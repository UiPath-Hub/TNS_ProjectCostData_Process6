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C29E658D-3623-43F8-A336-E0F6DD9BE76F}" xr6:coauthVersionLast="47" xr6:coauthVersionMax="47" xr10:uidLastSave="{00000000-0000-0000-0000-000000000000}"/>
  <bookViews>
    <workbookView xWindow="-120" yWindow="-120" windowWidth="29040" windowHeight="15720" tabRatio="682" activeTab="4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dition" sheetId="11" r:id="rId5"/>
    <sheet name="Configuration" sheetId="9" r:id="rId6"/>
    <sheet name="Validate_Type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8" l="1" a="1"/>
  <c r="L39" i="8" s="1"/>
  <c r="AH57" i="8" a="1"/>
  <c r="AH57" i="8" s="1"/>
  <c r="AI34" i="8" a="1"/>
  <c r="AI34" i="8" s="1"/>
  <c r="AD34" i="8" a="1"/>
  <c r="AD34" i="8" s="1"/>
  <c r="O33" i="8" a="1"/>
  <c r="O33" i="8" s="1"/>
  <c r="R24" i="8" a="1"/>
  <c r="R24" i="8" s="1"/>
  <c r="J24" i="8" a="1"/>
  <c r="J24" i="8" s="1"/>
  <c r="S23" i="8" a="1"/>
  <c r="S23" i="8" s="1"/>
  <c r="O23" i="8" a="1"/>
  <c r="O23" i="8" s="1"/>
  <c r="G23" i="8" a="1"/>
  <c r="G23" i="8" s="1"/>
  <c r="R23" i="8" a="1"/>
  <c r="R23" i="8" s="1"/>
  <c r="S22" i="8" a="1"/>
  <c r="S22" i="8" s="1"/>
  <c r="R20" i="8" a="1"/>
  <c r="R20" i="8" s="1"/>
  <c r="J20" i="8" a="1"/>
  <c r="J20" i="8" s="1"/>
  <c r="F20" i="8" a="1"/>
  <c r="F20" i="8" s="1"/>
  <c r="S19" i="8" a="1"/>
  <c r="S19" i="8" s="1"/>
  <c r="K19" i="8" a="1"/>
  <c r="K19" i="8" s="1"/>
  <c r="G19" i="8" a="1"/>
  <c r="G19" i="8" s="1"/>
  <c r="R19" i="8" a="1"/>
  <c r="R19" i="8" s="1"/>
  <c r="R16" i="8" a="1"/>
  <c r="R16" i="8" s="1"/>
  <c r="F16" i="8" a="1"/>
  <c r="F16" i="8" s="1"/>
  <c r="S15" i="8" a="1"/>
  <c r="S15" i="8" s="1"/>
  <c r="O15" i="8" a="1"/>
  <c r="O15" i="8" s="1"/>
  <c r="K15" i="8" a="1"/>
  <c r="K15" i="8" s="1"/>
  <c r="G15" i="8" a="1"/>
  <c r="G15" i="8" s="1"/>
  <c r="R15" i="8" a="1"/>
  <c r="R15" i="8" s="1"/>
  <c r="R12" i="8" a="1"/>
  <c r="R12" i="8" s="1"/>
  <c r="F12" i="8" a="1"/>
  <c r="F12" i="8" s="1"/>
  <c r="O11" i="8" a="1"/>
  <c r="O11" i="8" s="1"/>
  <c r="K11" i="8" a="1"/>
  <c r="K11" i="8" s="1"/>
  <c r="F24" i="8" a="1"/>
  <c r="F24" i="8" s="1"/>
  <c r="K23" i="8" a="1"/>
  <c r="K23" i="8" s="1"/>
  <c r="O19" i="8" a="1"/>
  <c r="O19" i="8" s="1"/>
  <c r="S11" i="8" a="1"/>
  <c r="S11" i="8" s="1"/>
  <c r="G11" i="8" a="1"/>
  <c r="G11" i="8" s="1"/>
  <c r="J12" i="8" a="1"/>
  <c r="J12" i="8" s="1"/>
  <c r="J16" i="8" a="1"/>
  <c r="J16" i="8" s="1"/>
  <c r="S31" i="8" a="1"/>
  <c r="S31" i="8" s="1"/>
  <c r="F34" i="8" a="1"/>
  <c r="F34" i="8" s="1"/>
  <c r="G34" i="8" a="1"/>
  <c r="G34" i="8" s="1"/>
  <c r="J34" i="8" a="1"/>
  <c r="J34" i="8" s="1"/>
  <c r="K34" i="8" a="1"/>
  <c r="K34" i="8" s="1"/>
  <c r="N34" i="8" a="1"/>
  <c r="N34" i="8" s="1"/>
  <c r="O34" i="8" a="1"/>
  <c r="O34" i="8" s="1"/>
  <c r="R34" i="8" a="1"/>
  <c r="R34" i="8" s="1"/>
  <c r="S34" i="8" a="1"/>
  <c r="S34" i="8" s="1"/>
  <c r="V34" i="8" a="1"/>
  <c r="V34" i="8" s="1"/>
  <c r="W34" i="8" a="1"/>
  <c r="W34" i="8" s="1"/>
  <c r="Z34" i="8" a="1"/>
  <c r="Z34" i="8" s="1"/>
  <c r="AA34" i="8" a="1"/>
  <c r="AA34" i="8" s="1"/>
  <c r="AE34" i="8" a="1"/>
  <c r="AE34" i="8" s="1"/>
  <c r="AH34" i="8" a="1"/>
  <c r="AH34" i="8" s="1"/>
  <c r="F35" i="8" a="1"/>
  <c r="F35" i="8" s="1"/>
  <c r="G35" i="8" a="1"/>
  <c r="G35" i="8" s="1"/>
  <c r="J35" i="8" a="1"/>
  <c r="J35" i="8" s="1"/>
  <c r="K35" i="8" a="1"/>
  <c r="K35" i="8" s="1"/>
  <c r="N35" i="8" a="1"/>
  <c r="N35" i="8" s="1"/>
  <c r="O35" i="8" a="1"/>
  <c r="O35" i="8" s="1"/>
  <c r="R35" i="8" a="1"/>
  <c r="R35" i="8" s="1"/>
  <c r="S35" i="8" a="1"/>
  <c r="S35" i="8" s="1"/>
  <c r="V35" i="8" a="1"/>
  <c r="V35" i="8" s="1"/>
  <c r="AA35" i="8" a="1"/>
  <c r="AA35" i="8" s="1"/>
  <c r="AH35" i="8" a="1"/>
  <c r="AH35" i="8" s="1"/>
  <c r="F36" i="8" a="1"/>
  <c r="F36" i="8" s="1"/>
  <c r="G36" i="8" a="1"/>
  <c r="G36" i="8" s="1"/>
  <c r="J36" i="8" a="1"/>
  <c r="J36" i="8" s="1"/>
  <c r="K36" i="8" a="1"/>
  <c r="K36" i="8" s="1"/>
  <c r="N36" i="8" a="1"/>
  <c r="N36" i="8" s="1"/>
  <c r="O36" i="8" a="1"/>
  <c r="O36" i="8" s="1"/>
  <c r="R36" i="8" a="1"/>
  <c r="R36" i="8" s="1"/>
  <c r="S36" i="8" a="1"/>
  <c r="S36" i="8" s="1"/>
  <c r="V36" i="8" a="1"/>
  <c r="V36" i="8" s="1"/>
  <c r="F37" i="8" a="1"/>
  <c r="F37" i="8" s="1"/>
  <c r="G37" i="8" a="1"/>
  <c r="G37" i="8" s="1"/>
  <c r="J37" i="8" a="1"/>
  <c r="J37" i="8" s="1"/>
  <c r="K37" i="8" a="1"/>
  <c r="K37" i="8" s="1"/>
  <c r="N37" i="8" a="1"/>
  <c r="N37" i="8" s="1"/>
  <c r="O37" i="8" a="1"/>
  <c r="O37" i="8" s="1"/>
  <c r="R37" i="8" a="1"/>
  <c r="R37" i="8" s="1"/>
  <c r="S37" i="8" a="1"/>
  <c r="S37" i="8" s="1"/>
  <c r="V37" i="8" a="1"/>
  <c r="V37" i="8" s="1"/>
  <c r="AH37" i="8" a="1"/>
  <c r="AH37" i="8" s="1"/>
  <c r="F38" i="8" a="1"/>
  <c r="F38" i="8" s="1"/>
  <c r="G38" i="8" a="1"/>
  <c r="G38" i="8" s="1"/>
  <c r="J38" i="8" a="1"/>
  <c r="J38" i="8" s="1"/>
  <c r="K38" i="8" a="1"/>
  <c r="K38" i="8" s="1"/>
  <c r="N38" i="8" a="1"/>
  <c r="N38" i="8" s="1"/>
  <c r="O38" i="8" a="1"/>
  <c r="O38" i="8" s="1"/>
  <c r="R38" i="8" a="1"/>
  <c r="R38" i="8" s="1"/>
  <c r="S38" i="8" a="1"/>
  <c r="S38" i="8" s="1"/>
  <c r="V38" i="8" a="1"/>
  <c r="V38" i="8" s="1"/>
  <c r="F39" i="8" a="1"/>
  <c r="F39" i="8" s="1"/>
  <c r="G39" i="8" a="1"/>
  <c r="G39" i="8" s="1"/>
  <c r="J39" i="8" a="1"/>
  <c r="J39" i="8" s="1"/>
  <c r="K39" i="8" a="1"/>
  <c r="K39" i="8" s="1"/>
  <c r="N39" i="8" a="1"/>
  <c r="N39" i="8" s="1"/>
  <c r="O39" i="8" a="1"/>
  <c r="O39" i="8" s="1"/>
  <c r="R39" i="8" a="1"/>
  <c r="R39" i="8" s="1"/>
  <c r="S39" i="8" a="1"/>
  <c r="S39" i="8" s="1"/>
  <c r="V39" i="8" a="1"/>
  <c r="V39" i="8" s="1"/>
  <c r="AH39" i="8" a="1"/>
  <c r="AH39" i="8" s="1"/>
  <c r="F40" i="8" a="1"/>
  <c r="F40" i="8" s="1"/>
  <c r="G40" i="8" a="1"/>
  <c r="G40" i="8" s="1"/>
  <c r="J40" i="8" a="1"/>
  <c r="J40" i="8" s="1"/>
  <c r="K40" i="8" a="1"/>
  <c r="K40" i="8" s="1"/>
  <c r="N40" i="8" a="1"/>
  <c r="N40" i="8" s="1"/>
  <c r="O40" i="8" a="1"/>
  <c r="O40" i="8" s="1"/>
  <c r="R40" i="8" a="1"/>
  <c r="R40" i="8" s="1"/>
  <c r="S40" i="8" a="1"/>
  <c r="S40" i="8" s="1"/>
  <c r="V40" i="8" a="1"/>
  <c r="V40" i="8" s="1"/>
  <c r="F41" i="8" a="1"/>
  <c r="F41" i="8" s="1"/>
  <c r="G41" i="8" a="1"/>
  <c r="G41" i="8" s="1"/>
  <c r="J41" i="8" a="1"/>
  <c r="J41" i="8" s="1"/>
  <c r="K41" i="8" a="1"/>
  <c r="K41" i="8" s="1"/>
  <c r="N41" i="8" a="1"/>
  <c r="N41" i="8" s="1"/>
  <c r="O41" i="8" a="1"/>
  <c r="O41" i="8" s="1"/>
  <c r="R41" i="8" a="1"/>
  <c r="R41" i="8" s="1"/>
  <c r="S41" i="8" a="1"/>
  <c r="S41" i="8" s="1"/>
  <c r="V41" i="8" a="1"/>
  <c r="V41" i="8" s="1"/>
  <c r="AH41" i="8" a="1"/>
  <c r="AH41" i="8" s="1"/>
  <c r="F42" i="8" a="1"/>
  <c r="F42" i="8" s="1"/>
  <c r="G42" i="8" a="1"/>
  <c r="G42" i="8" s="1"/>
  <c r="J42" i="8" a="1"/>
  <c r="J42" i="8" s="1"/>
  <c r="K42" i="8" a="1"/>
  <c r="K42" i="8" s="1"/>
  <c r="N42" i="8" a="1"/>
  <c r="N42" i="8" s="1"/>
  <c r="O42" i="8" a="1"/>
  <c r="O42" i="8" s="1"/>
  <c r="R42" i="8" a="1"/>
  <c r="R42" i="8" s="1"/>
  <c r="S42" i="8" a="1"/>
  <c r="S42" i="8" s="1"/>
  <c r="V42" i="8" a="1"/>
  <c r="V42" i="8" s="1"/>
  <c r="F43" i="8" a="1"/>
  <c r="F43" i="8" s="1"/>
  <c r="G43" i="8" a="1"/>
  <c r="G43" i="8" s="1"/>
  <c r="J43" i="8" a="1"/>
  <c r="J43" i="8" s="1"/>
  <c r="K43" i="8" a="1"/>
  <c r="K43" i="8" s="1"/>
  <c r="N43" i="8" a="1"/>
  <c r="N43" i="8" s="1"/>
  <c r="O43" i="8" a="1"/>
  <c r="O43" i="8" s="1"/>
  <c r="R43" i="8" a="1"/>
  <c r="R43" i="8" s="1"/>
  <c r="S43" i="8" a="1"/>
  <c r="S43" i="8" s="1"/>
  <c r="V43" i="8" a="1"/>
  <c r="V43" i="8" s="1"/>
  <c r="AH43" i="8" a="1"/>
  <c r="AH43" i="8" s="1"/>
  <c r="F44" i="8" a="1"/>
  <c r="F44" i="8" s="1"/>
  <c r="G44" i="8" a="1"/>
  <c r="G44" i="8" s="1"/>
  <c r="J44" i="8" a="1"/>
  <c r="J44" i="8" s="1"/>
  <c r="K44" i="8" a="1"/>
  <c r="K44" i="8" s="1"/>
  <c r="N44" i="8" a="1"/>
  <c r="N44" i="8" s="1"/>
  <c r="O44" i="8" a="1"/>
  <c r="O44" i="8" s="1"/>
  <c r="R44" i="8" a="1"/>
  <c r="R44" i="8" s="1"/>
  <c r="S44" i="8" a="1"/>
  <c r="S44" i="8" s="1"/>
  <c r="V44" i="8" a="1"/>
  <c r="V44" i="8" s="1"/>
  <c r="F45" i="8" a="1"/>
  <c r="F45" i="8" s="1"/>
  <c r="G45" i="8" a="1"/>
  <c r="G45" i="8" s="1"/>
  <c r="J45" i="8" a="1"/>
  <c r="J45" i="8" s="1"/>
  <c r="K45" i="8" a="1"/>
  <c r="K45" i="8" s="1"/>
  <c r="N45" i="8" a="1"/>
  <c r="N45" i="8" s="1"/>
  <c r="O45" i="8" a="1"/>
  <c r="O45" i="8" s="1"/>
  <c r="R45" i="8" a="1"/>
  <c r="R45" i="8" s="1"/>
  <c r="S45" i="8" a="1"/>
  <c r="S45" i="8" s="1"/>
  <c r="V45" i="8" a="1"/>
  <c r="V45" i="8" s="1"/>
  <c r="F46" i="8" a="1"/>
  <c r="F46" i="8" s="1"/>
  <c r="G46" i="8" a="1"/>
  <c r="G46" i="8" s="1"/>
  <c r="J46" i="8" a="1"/>
  <c r="J46" i="8" s="1"/>
  <c r="K46" i="8" a="1"/>
  <c r="K46" i="8" s="1"/>
  <c r="N46" i="8" a="1"/>
  <c r="N46" i="8" s="1"/>
  <c r="O46" i="8" a="1"/>
  <c r="O46" i="8" s="1"/>
  <c r="R46" i="8" a="1"/>
  <c r="R46" i="8" s="1"/>
  <c r="S46" i="8" a="1"/>
  <c r="S46" i="8" s="1"/>
  <c r="V46" i="8" a="1"/>
  <c r="V46" i="8" s="1"/>
  <c r="AH46" i="8" a="1"/>
  <c r="AH46" i="8" s="1"/>
  <c r="F47" i="8" a="1"/>
  <c r="F47" i="8" s="1"/>
  <c r="G47" i="8" a="1"/>
  <c r="G47" i="8" s="1"/>
  <c r="J47" i="8" a="1"/>
  <c r="J47" i="8" s="1"/>
  <c r="K47" i="8" a="1"/>
  <c r="K47" i="8" s="1"/>
  <c r="N47" i="8" a="1"/>
  <c r="N47" i="8" s="1"/>
  <c r="O47" i="8" a="1"/>
  <c r="O47" i="8" s="1"/>
  <c r="R47" i="8" a="1"/>
  <c r="R47" i="8" s="1"/>
  <c r="S47" i="8" a="1"/>
  <c r="S47" i="8" s="1"/>
  <c r="V47" i="8" a="1"/>
  <c r="V47" i="8" s="1"/>
  <c r="F48" i="8" a="1"/>
  <c r="F48" i="8" s="1"/>
  <c r="G48" i="8" a="1"/>
  <c r="G48" i="8" s="1"/>
  <c r="J48" i="8" a="1"/>
  <c r="J48" i="8" s="1"/>
  <c r="K48" i="8" a="1"/>
  <c r="K48" i="8" s="1"/>
  <c r="N48" i="8" a="1"/>
  <c r="N48" i="8" s="1"/>
  <c r="O48" i="8" a="1"/>
  <c r="O48" i="8" s="1"/>
  <c r="R48" i="8" a="1"/>
  <c r="R48" i="8" s="1"/>
  <c r="S48" i="8" a="1"/>
  <c r="S48" i="8" s="1"/>
  <c r="V48" i="8" a="1"/>
  <c r="V48" i="8" s="1"/>
  <c r="F49" i="8" a="1"/>
  <c r="F49" i="8" s="1"/>
  <c r="G49" i="8" a="1"/>
  <c r="G49" i="8" s="1"/>
  <c r="J49" i="8" a="1"/>
  <c r="J49" i="8" s="1"/>
  <c r="K49" i="8" a="1"/>
  <c r="K49" i="8" s="1"/>
  <c r="N49" i="8" a="1"/>
  <c r="N49" i="8" s="1"/>
  <c r="O49" i="8" a="1"/>
  <c r="O49" i="8" s="1"/>
  <c r="R49" i="8" a="1"/>
  <c r="R49" i="8" s="1"/>
  <c r="S49" i="8" a="1"/>
  <c r="S49" i="8" s="1"/>
  <c r="V49" i="8" a="1"/>
  <c r="V49" i="8" s="1"/>
  <c r="F50" i="8" a="1"/>
  <c r="F50" i="8" s="1"/>
  <c r="G50" i="8" a="1"/>
  <c r="G50" i="8" s="1"/>
  <c r="J50" i="8" a="1"/>
  <c r="J50" i="8" s="1"/>
  <c r="K50" i="8" a="1"/>
  <c r="K50" i="8" s="1"/>
  <c r="N50" i="8" a="1"/>
  <c r="N50" i="8" s="1"/>
  <c r="O50" i="8" a="1"/>
  <c r="O50" i="8" s="1"/>
  <c r="R50" i="8" a="1"/>
  <c r="R50" i="8" s="1"/>
  <c r="S50" i="8" a="1"/>
  <c r="S50" i="8" s="1"/>
  <c r="V50" i="8" a="1"/>
  <c r="V50" i="8" s="1"/>
  <c r="AH50" i="8" a="1"/>
  <c r="AH50" i="8" s="1"/>
  <c r="F51" i="8" a="1"/>
  <c r="F51" i="8" s="1"/>
  <c r="G51" i="8" a="1"/>
  <c r="G51" i="8" s="1"/>
  <c r="J51" i="8" a="1"/>
  <c r="J51" i="8" s="1"/>
  <c r="K51" i="8" a="1"/>
  <c r="K51" i="8" s="1"/>
  <c r="N51" i="8" a="1"/>
  <c r="N51" i="8" s="1"/>
  <c r="O51" i="8" a="1"/>
  <c r="O51" i="8" s="1"/>
  <c r="R51" i="8" a="1"/>
  <c r="R51" i="8" s="1"/>
  <c r="S51" i="8" a="1"/>
  <c r="S51" i="8" s="1"/>
  <c r="V51" i="8" a="1"/>
  <c r="V51" i="8" s="1"/>
  <c r="F52" i="8" a="1"/>
  <c r="F52" i="8" s="1"/>
  <c r="G52" i="8" a="1"/>
  <c r="G52" i="8" s="1"/>
  <c r="J52" i="8" a="1"/>
  <c r="J52" i="8" s="1"/>
  <c r="K52" i="8" a="1"/>
  <c r="K52" i="8" s="1"/>
  <c r="N52" i="8" a="1"/>
  <c r="N52" i="8" s="1"/>
  <c r="O52" i="8" a="1"/>
  <c r="O52" i="8" s="1"/>
  <c r="R52" i="8" a="1"/>
  <c r="R52" i="8" s="1"/>
  <c r="S52" i="8" a="1"/>
  <c r="S52" i="8" s="1"/>
  <c r="V52" i="8" a="1"/>
  <c r="V52" i="8" s="1"/>
  <c r="F53" i="8" a="1"/>
  <c r="F53" i="8" s="1"/>
  <c r="G53" i="8" a="1"/>
  <c r="G53" i="8" s="1"/>
  <c r="J53" i="8" a="1"/>
  <c r="J53" i="8" s="1"/>
  <c r="K53" i="8" a="1"/>
  <c r="K53" i="8" s="1"/>
  <c r="N53" i="8" a="1"/>
  <c r="N53" i="8" s="1"/>
  <c r="O53" i="8" a="1"/>
  <c r="O53" i="8" s="1"/>
  <c r="R53" i="8" a="1"/>
  <c r="R53" i="8" s="1"/>
  <c r="S53" i="8" a="1"/>
  <c r="S53" i="8" s="1"/>
  <c r="V53" i="8" a="1"/>
  <c r="V53" i="8" s="1"/>
  <c r="F54" i="8" a="1"/>
  <c r="F54" i="8" s="1"/>
  <c r="G54" i="8" a="1"/>
  <c r="G54" i="8" s="1"/>
  <c r="J54" i="8" a="1"/>
  <c r="J54" i="8" s="1"/>
  <c r="K54" i="8" a="1"/>
  <c r="K54" i="8" s="1"/>
  <c r="N54" i="8" a="1"/>
  <c r="N54" i="8" s="1"/>
  <c r="O54" i="8" a="1"/>
  <c r="O54" i="8" s="1"/>
  <c r="R54" i="8" a="1"/>
  <c r="R54" i="8" s="1"/>
  <c r="S54" i="8" a="1"/>
  <c r="S54" i="8" s="1"/>
  <c r="V54" i="8" a="1"/>
  <c r="V54" i="8" s="1"/>
  <c r="AH54" i="8" a="1"/>
  <c r="AH54" i="8" s="1"/>
  <c r="F55" i="8" a="1"/>
  <c r="F55" i="8" s="1"/>
  <c r="G55" i="8" a="1"/>
  <c r="G55" i="8" s="1"/>
  <c r="J55" i="8" a="1"/>
  <c r="J55" i="8" s="1"/>
  <c r="K55" i="8" a="1"/>
  <c r="K55" i="8" s="1"/>
  <c r="N55" i="8" a="1"/>
  <c r="N55" i="8" s="1"/>
  <c r="O55" i="8" a="1"/>
  <c r="O55" i="8" s="1"/>
  <c r="R55" i="8" a="1"/>
  <c r="R55" i="8" s="1"/>
  <c r="S55" i="8" a="1"/>
  <c r="S55" i="8" s="1"/>
  <c r="V55" i="8" a="1"/>
  <c r="V55" i="8" s="1"/>
  <c r="F56" i="8" a="1"/>
  <c r="F56" i="8" s="1"/>
  <c r="G56" i="8" a="1"/>
  <c r="G56" i="8" s="1"/>
  <c r="J56" i="8" a="1"/>
  <c r="J56" i="8" s="1"/>
  <c r="K56" i="8" a="1"/>
  <c r="K56" i="8" s="1"/>
  <c r="N56" i="8" a="1"/>
  <c r="N56" i="8" s="1"/>
  <c r="O56" i="8" a="1"/>
  <c r="O56" i="8" s="1"/>
  <c r="R56" i="8" a="1"/>
  <c r="R56" i="8" s="1"/>
  <c r="S56" i="8" a="1"/>
  <c r="S56" i="8" s="1"/>
  <c r="V56" i="8" a="1"/>
  <c r="V56" i="8" s="1"/>
  <c r="F57" i="8" a="1"/>
  <c r="F57" i="8" s="1"/>
  <c r="G57" i="8" a="1"/>
  <c r="G57" i="8" s="1"/>
  <c r="J57" i="8" a="1"/>
  <c r="J57" i="8" s="1"/>
  <c r="K57" i="8" a="1"/>
  <c r="K57" i="8" s="1"/>
  <c r="N57" i="8" a="1"/>
  <c r="N57" i="8" s="1"/>
  <c r="O57" i="8" a="1"/>
  <c r="O57" i="8" s="1"/>
  <c r="R57" i="8" a="1"/>
  <c r="R57" i="8" s="1"/>
  <c r="S57" i="8" a="1"/>
  <c r="S57" i="8" s="1"/>
  <c r="V57" i="8" a="1"/>
  <c r="V57" i="8" s="1"/>
  <c r="F58" i="8" a="1"/>
  <c r="F58" i="8" s="1"/>
  <c r="G58" i="8" a="1"/>
  <c r="G58" i="8" s="1"/>
  <c r="J58" i="8" a="1"/>
  <c r="J58" i="8" s="1"/>
  <c r="K58" i="8" a="1"/>
  <c r="K58" i="8" s="1"/>
  <c r="N58" i="8" a="1"/>
  <c r="N58" i="8" s="1"/>
  <c r="O58" i="8" a="1"/>
  <c r="O58" i="8" s="1"/>
  <c r="R58" i="8" a="1"/>
  <c r="R58" i="8" s="1"/>
  <c r="S58" i="8" a="1"/>
  <c r="S58" i="8" s="1"/>
  <c r="V58" i="8" a="1"/>
  <c r="V58" i="8" s="1"/>
  <c r="W58" i="8" a="1"/>
  <c r="W58" i="8" s="1"/>
  <c r="Z58" i="8" a="1"/>
  <c r="Z58" i="8" s="1"/>
  <c r="AA58" i="8" a="1"/>
  <c r="AA58" i="8" s="1"/>
  <c r="AD58" i="8" a="1"/>
  <c r="AD58" i="8" s="1"/>
  <c r="AE58" i="8" a="1"/>
  <c r="AE58" i="8" s="1"/>
  <c r="AH58" i="8" a="1"/>
  <c r="AH58" i="8" s="1"/>
  <c r="AI58" i="8" a="1"/>
  <c r="AI58" i="8" s="1"/>
  <c r="F59" i="8" a="1"/>
  <c r="F59" i="8" s="1"/>
  <c r="G59" i="8" a="1"/>
  <c r="G59" i="8" s="1"/>
  <c r="J59" i="8" a="1"/>
  <c r="J59" i="8" s="1"/>
  <c r="K59" i="8" a="1"/>
  <c r="K59" i="8" s="1"/>
  <c r="N59" i="8" a="1"/>
  <c r="N59" i="8" s="1"/>
  <c r="O59" i="8" a="1"/>
  <c r="O59" i="8" s="1"/>
  <c r="R59" i="8" a="1"/>
  <c r="R59" i="8" s="1"/>
  <c r="S59" i="8" a="1"/>
  <c r="S59" i="8" s="1"/>
  <c r="V59" i="8" a="1"/>
  <c r="V59" i="8" s="1"/>
  <c r="W59" i="8" a="1"/>
  <c r="W59" i="8" s="1"/>
  <c r="Z59" i="8" a="1"/>
  <c r="Z59" i="8" s="1"/>
  <c r="AA59" i="8" a="1"/>
  <c r="AA59" i="8" s="1"/>
  <c r="AD59" i="8" a="1"/>
  <c r="AD59" i="8" s="1"/>
  <c r="AE59" i="8" a="1"/>
  <c r="AE59" i="8" s="1"/>
  <c r="AH59" i="8" a="1"/>
  <c r="AH59" i="8" s="1"/>
  <c r="AI59" i="8" a="1"/>
  <c r="AI59" i="8" s="1"/>
  <c r="F60" i="8" a="1"/>
  <c r="F60" i="8" s="1"/>
  <c r="G60" i="8" a="1"/>
  <c r="G60" i="8" s="1"/>
  <c r="J60" i="8" a="1"/>
  <c r="J60" i="8" s="1"/>
  <c r="K60" i="8" a="1"/>
  <c r="K60" i="8" s="1"/>
  <c r="N60" i="8" a="1"/>
  <c r="N60" i="8" s="1"/>
  <c r="O60" i="8" a="1"/>
  <c r="O60" i="8" s="1"/>
  <c r="R60" i="8" a="1"/>
  <c r="R60" i="8" s="1"/>
  <c r="S60" i="8" a="1"/>
  <c r="S60" i="8" s="1"/>
  <c r="V60" i="8" a="1"/>
  <c r="V60" i="8" s="1"/>
  <c r="W60" i="8" a="1"/>
  <c r="W60" i="8" s="1"/>
  <c r="Z60" i="8" a="1"/>
  <c r="Z60" i="8" s="1"/>
  <c r="AA60" i="8" a="1"/>
  <c r="AA60" i="8" s="1"/>
  <c r="AD60" i="8" a="1"/>
  <c r="AD60" i="8" s="1"/>
  <c r="AE60" i="8" a="1"/>
  <c r="AE60" i="8" s="1"/>
  <c r="AH60" i="8" a="1"/>
  <c r="AH60" i="8" s="1"/>
  <c r="AI60" i="8" a="1"/>
  <c r="AI60" i="8" s="1"/>
  <c r="F61" i="8" a="1"/>
  <c r="F61" i="8" s="1"/>
  <c r="G61" i="8" a="1"/>
  <c r="G61" i="8" s="1"/>
  <c r="J61" i="8" a="1"/>
  <c r="J61" i="8" s="1"/>
  <c r="K61" i="8" a="1"/>
  <c r="K61" i="8" s="1"/>
  <c r="N61" i="8" a="1"/>
  <c r="N61" i="8" s="1"/>
  <c r="O61" i="8" a="1"/>
  <c r="O61" i="8" s="1"/>
  <c r="R61" i="8" a="1"/>
  <c r="R61" i="8" s="1"/>
  <c r="S61" i="8" a="1"/>
  <c r="S61" i="8" s="1"/>
  <c r="V61" i="8" a="1"/>
  <c r="V61" i="8" s="1"/>
  <c r="W61" i="8" a="1"/>
  <c r="W61" i="8" s="1"/>
  <c r="Z61" i="8" a="1"/>
  <c r="Z61" i="8" s="1"/>
  <c r="AA61" i="8" a="1"/>
  <c r="AA61" i="8" s="1"/>
  <c r="AD61" i="8" a="1"/>
  <c r="AD61" i="8" s="1"/>
  <c r="AE61" i="8" a="1"/>
  <c r="AE61" i="8" s="1"/>
  <c r="AH61" i="8" a="1"/>
  <c r="AH61" i="8" s="1"/>
  <c r="AI61" i="8" a="1"/>
  <c r="AI61" i="8" s="1"/>
  <c r="F62" i="8" a="1"/>
  <c r="F62" i="8" s="1"/>
  <c r="G62" i="8" a="1"/>
  <c r="G62" i="8" s="1"/>
  <c r="J62" i="8" a="1"/>
  <c r="J62" i="8" s="1"/>
  <c r="K62" i="8" a="1"/>
  <c r="K62" i="8" s="1"/>
  <c r="N62" i="8" a="1"/>
  <c r="N62" i="8" s="1"/>
  <c r="O62" i="8" a="1"/>
  <c r="O62" i="8" s="1"/>
  <c r="R62" i="8" a="1"/>
  <c r="R62" i="8" s="1"/>
  <c r="S62" i="8" a="1"/>
  <c r="S62" i="8" s="1"/>
  <c r="V62" i="8" a="1"/>
  <c r="V62" i="8" s="1"/>
  <c r="W62" i="8" a="1"/>
  <c r="W62" i="8" s="1"/>
  <c r="Z62" i="8" a="1"/>
  <c r="Z62" i="8" s="1"/>
  <c r="AA62" i="8" a="1"/>
  <c r="AA62" i="8" s="1"/>
  <c r="AD62" i="8" a="1"/>
  <c r="AD62" i="8" s="1"/>
  <c r="AE62" i="8" a="1"/>
  <c r="AE62" i="8" s="1"/>
  <c r="AH62" i="8" a="1"/>
  <c r="AH62" i="8" s="1"/>
  <c r="AI62" i="8" a="1"/>
  <c r="AI62" i="8" s="1"/>
  <c r="F63" i="8" a="1"/>
  <c r="F63" i="8" s="1"/>
  <c r="G63" i="8" a="1"/>
  <c r="G63" i="8" s="1"/>
  <c r="J63" i="8" a="1"/>
  <c r="J63" i="8" s="1"/>
  <c r="K63" i="8" a="1"/>
  <c r="K63" i="8" s="1"/>
  <c r="N63" i="8" a="1"/>
  <c r="N63" i="8" s="1"/>
  <c r="O63" i="8" a="1"/>
  <c r="O63" i="8" s="1"/>
  <c r="R63" i="8" a="1"/>
  <c r="R63" i="8" s="1"/>
  <c r="S63" i="8" a="1"/>
  <c r="S63" i="8" s="1"/>
  <c r="V63" i="8" a="1"/>
  <c r="V63" i="8" s="1"/>
  <c r="W63" i="8" a="1"/>
  <c r="W63" i="8" s="1"/>
  <c r="Z63" i="8" a="1"/>
  <c r="Z63" i="8" s="1"/>
  <c r="AA63" i="8" a="1"/>
  <c r="AA63" i="8" s="1"/>
  <c r="AD63" i="8" a="1"/>
  <c r="AD63" i="8" s="1"/>
  <c r="AE63" i="8" a="1"/>
  <c r="AE63" i="8" s="1"/>
  <c r="AH63" i="8" a="1"/>
  <c r="AH63" i="8" s="1"/>
  <c r="AI63" i="8" a="1"/>
  <c r="AI63" i="8" s="1"/>
  <c r="F64" i="8" a="1"/>
  <c r="F64" i="8" s="1"/>
  <c r="G64" i="8" a="1"/>
  <c r="G64" i="8" s="1"/>
  <c r="J64" i="8" a="1"/>
  <c r="J64" i="8" s="1"/>
  <c r="K64" i="8" a="1"/>
  <c r="K64" i="8" s="1"/>
  <c r="N64" i="8" a="1"/>
  <c r="N64" i="8" s="1"/>
  <c r="O64" i="8" a="1"/>
  <c r="O64" i="8" s="1"/>
  <c r="R64" i="8" a="1"/>
  <c r="R64" i="8" s="1"/>
  <c r="S64" i="8" a="1"/>
  <c r="S64" i="8" s="1"/>
  <c r="V64" i="8" a="1"/>
  <c r="V64" i="8" s="1"/>
  <c r="W64" i="8" a="1"/>
  <c r="W64" i="8" s="1"/>
  <c r="Z64" i="8" a="1"/>
  <c r="Z64" i="8" s="1"/>
  <c r="AA64" i="8" a="1"/>
  <c r="AA64" i="8" s="1"/>
  <c r="AD64" i="8" a="1"/>
  <c r="AD64" i="8" s="1"/>
  <c r="AE64" i="8" a="1"/>
  <c r="AE64" i="8" s="1"/>
  <c r="AH64" i="8" a="1"/>
  <c r="AH64" i="8" s="1"/>
  <c r="AI64" i="8" a="1"/>
  <c r="AI64" i="8" s="1"/>
  <c r="F65" i="8" a="1"/>
  <c r="F65" i="8" s="1"/>
  <c r="G65" i="8" a="1"/>
  <c r="G65" i="8" s="1"/>
  <c r="J65" i="8" a="1"/>
  <c r="J65" i="8" s="1"/>
  <c r="K65" i="8" a="1"/>
  <c r="K65" i="8" s="1"/>
  <c r="N65" i="8" a="1"/>
  <c r="N65" i="8" s="1"/>
  <c r="O65" i="8" a="1"/>
  <c r="O65" i="8" s="1"/>
  <c r="R65" i="8" a="1"/>
  <c r="R65" i="8" s="1"/>
  <c r="S65" i="8" a="1"/>
  <c r="S65" i="8" s="1"/>
  <c r="V65" i="8" a="1"/>
  <c r="V65" i="8" s="1"/>
  <c r="W65" i="8" a="1"/>
  <c r="W65" i="8" s="1"/>
  <c r="Z65" i="8" a="1"/>
  <c r="Z65" i="8" s="1"/>
  <c r="AA65" i="8" a="1"/>
  <c r="AA65" i="8" s="1"/>
  <c r="AD65" i="8" a="1"/>
  <c r="AD65" i="8" s="1"/>
  <c r="AE65" i="8" a="1"/>
  <c r="AE65" i="8" s="1"/>
  <c r="AH65" i="8" a="1"/>
  <c r="AH65" i="8" s="1"/>
  <c r="AI65" i="8" a="1"/>
  <c r="AI65" i="8" s="1"/>
  <c r="F66" i="8" a="1"/>
  <c r="F66" i="8" s="1"/>
  <c r="G66" i="8" a="1"/>
  <c r="G66" i="8" s="1"/>
  <c r="J66" i="8" a="1"/>
  <c r="J66" i="8" s="1"/>
  <c r="K66" i="8" a="1"/>
  <c r="K66" i="8" s="1"/>
  <c r="N66" i="8" a="1"/>
  <c r="N66" i="8" s="1"/>
  <c r="O66" i="8" a="1"/>
  <c r="O66" i="8" s="1"/>
  <c r="R66" i="8" a="1"/>
  <c r="R66" i="8" s="1"/>
  <c r="S66" i="8" a="1"/>
  <c r="S66" i="8" s="1"/>
  <c r="V66" i="8" a="1"/>
  <c r="V66" i="8" s="1"/>
  <c r="W66" i="8" a="1"/>
  <c r="W66" i="8" s="1"/>
  <c r="Z66" i="8" a="1"/>
  <c r="Z66" i="8" s="1"/>
  <c r="AA66" i="8" a="1"/>
  <c r="AA66" i="8" s="1"/>
  <c r="AD66" i="8" a="1"/>
  <c r="AD66" i="8" s="1"/>
  <c r="AE66" i="8" a="1"/>
  <c r="AE66" i="8" s="1"/>
  <c r="AH66" i="8" a="1"/>
  <c r="AH66" i="8" s="1"/>
  <c r="AI66" i="8" a="1"/>
  <c r="AI66" i="8" s="1"/>
  <c r="F67" i="8" a="1"/>
  <c r="F67" i="8" s="1"/>
  <c r="G67" i="8" a="1"/>
  <c r="G67" i="8" s="1"/>
  <c r="J67" i="8" a="1"/>
  <c r="J67" i="8" s="1"/>
  <c r="K67" i="8" a="1"/>
  <c r="K67" i="8" s="1"/>
  <c r="N67" i="8" a="1"/>
  <c r="N67" i="8" s="1"/>
  <c r="O67" i="8" a="1"/>
  <c r="O67" i="8" s="1"/>
  <c r="R67" i="8" a="1"/>
  <c r="R67" i="8" s="1"/>
  <c r="S67" i="8" a="1"/>
  <c r="S67" i="8" s="1"/>
  <c r="V67" i="8" a="1"/>
  <c r="V67" i="8" s="1"/>
  <c r="W67" i="8" a="1"/>
  <c r="W67" i="8" s="1"/>
  <c r="Z67" i="8" a="1"/>
  <c r="Z67" i="8" s="1"/>
  <c r="AA67" i="8" a="1"/>
  <c r="AA67" i="8" s="1"/>
  <c r="AD67" i="8" a="1"/>
  <c r="AD67" i="8" s="1"/>
  <c r="AE67" i="8" a="1"/>
  <c r="AE67" i="8" s="1"/>
  <c r="AH67" i="8" a="1"/>
  <c r="AH67" i="8" s="1"/>
  <c r="AI67" i="8" a="1"/>
  <c r="AI67" i="8" s="1"/>
  <c r="F68" i="8" a="1"/>
  <c r="F68" i="8" s="1"/>
  <c r="G68" i="8" a="1"/>
  <c r="G68" i="8" s="1"/>
  <c r="I68" i="8" a="1"/>
  <c r="I68" i="8" s="1"/>
  <c r="J68" i="8" a="1"/>
  <c r="J68" i="8" s="1"/>
  <c r="K68" i="8" a="1"/>
  <c r="K68" i="8" s="1"/>
  <c r="L68" i="8" a="1"/>
  <c r="L68" i="8" s="1"/>
  <c r="N68" i="8" a="1"/>
  <c r="N68" i="8" s="1"/>
  <c r="O68" i="8" a="1"/>
  <c r="O68" i="8" s="1"/>
  <c r="R68" i="8" a="1"/>
  <c r="R68" i="8" s="1"/>
  <c r="S68" i="8" a="1"/>
  <c r="S68" i="8" s="1"/>
  <c r="V68" i="8" a="1"/>
  <c r="V68" i="8" s="1"/>
  <c r="W68" i="8" a="1"/>
  <c r="W68" i="8" s="1"/>
  <c r="Z68" i="8" a="1"/>
  <c r="Z68" i="8" s="1"/>
  <c r="AA68" i="8" a="1"/>
  <c r="AA68" i="8" s="1"/>
  <c r="AD68" i="8" a="1"/>
  <c r="AD68" i="8" s="1"/>
  <c r="AE68" i="8" a="1"/>
  <c r="AE68" i="8" s="1"/>
  <c r="AH68" i="8" a="1"/>
  <c r="AH68" i="8" s="1"/>
  <c r="AI68" i="8" a="1"/>
  <c r="AI68" i="8" s="1"/>
  <c r="F69" i="8" a="1"/>
  <c r="F69" i="8" s="1"/>
  <c r="G69" i="8" a="1"/>
  <c r="G69" i="8" s="1"/>
  <c r="I69" i="8" a="1"/>
  <c r="I69" i="8" s="1"/>
  <c r="J69" i="8" a="1"/>
  <c r="J69" i="8" s="1"/>
  <c r="K69" i="8" a="1"/>
  <c r="K69" i="8" s="1"/>
  <c r="L69" i="8" a="1"/>
  <c r="L69" i="8" s="1"/>
  <c r="N69" i="8" a="1"/>
  <c r="N69" i="8" s="1"/>
  <c r="O69" i="8" a="1"/>
  <c r="O69" i="8" s="1"/>
  <c r="R69" i="8" a="1"/>
  <c r="R69" i="8" s="1"/>
  <c r="S69" i="8" a="1"/>
  <c r="S69" i="8" s="1"/>
  <c r="V69" i="8" a="1"/>
  <c r="V69" i="8" s="1"/>
  <c r="W69" i="8" a="1"/>
  <c r="W69" i="8" s="1"/>
  <c r="Z69" i="8" a="1"/>
  <c r="Z69" i="8" s="1"/>
  <c r="AA69" i="8" a="1"/>
  <c r="AA69" i="8" s="1"/>
  <c r="AD69" i="8" a="1"/>
  <c r="AD69" i="8" s="1"/>
  <c r="AE69" i="8" a="1"/>
  <c r="AE69" i="8" s="1"/>
  <c r="AH69" i="8" a="1"/>
  <c r="AH69" i="8" s="1"/>
  <c r="AI69" i="8" a="1"/>
  <c r="AI69" i="8" s="1"/>
  <c r="F70" i="8" a="1"/>
  <c r="F70" i="8" s="1"/>
  <c r="G70" i="8" a="1"/>
  <c r="G70" i="8" s="1"/>
  <c r="I70" i="8" a="1"/>
  <c r="I70" i="8" s="1"/>
  <c r="J70" i="8" a="1"/>
  <c r="J70" i="8" s="1"/>
  <c r="K70" i="8" a="1"/>
  <c r="K70" i="8" s="1"/>
  <c r="L70" i="8" a="1"/>
  <c r="L70" i="8" s="1"/>
  <c r="N70" i="8" a="1"/>
  <c r="N70" i="8" s="1"/>
  <c r="O70" i="8" a="1"/>
  <c r="O70" i="8" s="1"/>
  <c r="R70" i="8" a="1"/>
  <c r="R70" i="8" s="1"/>
  <c r="S70" i="8" a="1"/>
  <c r="S70" i="8" s="1"/>
  <c r="V70" i="8" a="1"/>
  <c r="V70" i="8" s="1"/>
  <c r="W70" i="8" a="1"/>
  <c r="W70" i="8" s="1"/>
  <c r="Z70" i="8" a="1"/>
  <c r="Z70" i="8" s="1"/>
  <c r="AA70" i="8" a="1"/>
  <c r="AA70" i="8" s="1"/>
  <c r="AD70" i="8" a="1"/>
  <c r="AD70" i="8" s="1"/>
  <c r="AE70" i="8" a="1"/>
  <c r="AE70" i="8" s="1"/>
  <c r="AH70" i="8" a="1"/>
  <c r="AH70" i="8" s="1"/>
  <c r="AI70" i="8" a="1"/>
  <c r="AI70" i="8" s="1"/>
  <c r="F71" i="8" a="1"/>
  <c r="F71" i="8" s="1"/>
  <c r="G71" i="8" a="1"/>
  <c r="G71" i="8" s="1"/>
  <c r="I71" i="8" a="1"/>
  <c r="I71" i="8" s="1"/>
  <c r="J71" i="8" a="1"/>
  <c r="J71" i="8" s="1"/>
  <c r="K71" i="8" a="1"/>
  <c r="K71" i="8" s="1"/>
  <c r="L71" i="8" a="1"/>
  <c r="L71" i="8" s="1"/>
  <c r="N71" i="8" a="1"/>
  <c r="N71" i="8" s="1"/>
  <c r="O71" i="8" a="1"/>
  <c r="O71" i="8" s="1"/>
  <c r="R71" i="8" a="1"/>
  <c r="R71" i="8" s="1"/>
  <c r="S71" i="8" a="1"/>
  <c r="S71" i="8" s="1"/>
  <c r="V71" i="8" a="1"/>
  <c r="V71" i="8" s="1"/>
  <c r="W71" i="8" a="1"/>
  <c r="W71" i="8" s="1"/>
  <c r="Z71" i="8" a="1"/>
  <c r="Z71" i="8" s="1"/>
  <c r="AA71" i="8" a="1"/>
  <c r="AA71" i="8" s="1"/>
  <c r="AD71" i="8" a="1"/>
  <c r="AD71" i="8" s="1"/>
  <c r="AE71" i="8" a="1"/>
  <c r="AE71" i="8" s="1"/>
  <c r="AH71" i="8" a="1"/>
  <c r="AH71" i="8" s="1"/>
  <c r="AI71" i="8" a="1"/>
  <c r="AI71" i="8" s="1"/>
  <c r="E72" i="8" a="1"/>
  <c r="E72" i="8" s="1"/>
  <c r="F72" i="8" a="1"/>
  <c r="F72" i="8" s="1"/>
  <c r="G72" i="8" a="1"/>
  <c r="G72" i="8" s="1"/>
  <c r="H72" i="8" a="1"/>
  <c r="H72" i="8" s="1"/>
  <c r="J72" i="8" a="1"/>
  <c r="J72" i="8" s="1"/>
  <c r="K72" i="8" a="1"/>
  <c r="K72" i="8" s="1"/>
  <c r="N72" i="8" a="1"/>
  <c r="N72" i="8" s="1"/>
  <c r="O72" i="8" a="1"/>
  <c r="O72" i="8" s="1"/>
  <c r="R72" i="8" a="1"/>
  <c r="R72" i="8" s="1"/>
  <c r="S72" i="8" a="1"/>
  <c r="S72" i="8" s="1"/>
  <c r="V72" i="8" a="1"/>
  <c r="V72" i="8" s="1"/>
  <c r="W72" i="8" a="1"/>
  <c r="W72" i="8" s="1"/>
  <c r="Z72" i="8" a="1"/>
  <c r="Z72" i="8" s="1"/>
  <c r="AA72" i="8" a="1"/>
  <c r="AA72" i="8" s="1"/>
  <c r="AD72" i="8" a="1"/>
  <c r="AD72" i="8" s="1"/>
  <c r="AE72" i="8" a="1"/>
  <c r="AE72" i="8" s="1"/>
  <c r="AH72" i="8" a="1"/>
  <c r="AH72" i="8" s="1"/>
  <c r="AI72" i="8" a="1"/>
  <c r="AI72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N73" i="8" a="1"/>
  <c r="N73" i="8" s="1"/>
  <c r="O73" i="8" a="1"/>
  <c r="O73" i="8" s="1"/>
  <c r="R73" i="8" a="1"/>
  <c r="R73" i="8" s="1"/>
  <c r="S73" i="8" a="1"/>
  <c r="S73" i="8" s="1"/>
  <c r="V73" i="8" a="1"/>
  <c r="V73" i="8" s="1"/>
  <c r="W73" i="8" a="1"/>
  <c r="W73" i="8" s="1"/>
  <c r="Z73" i="8" a="1"/>
  <c r="Z73" i="8" s="1"/>
  <c r="AA73" i="8" a="1"/>
  <c r="AA73" i="8" s="1"/>
  <c r="AD73" i="8" a="1"/>
  <c r="AD73" i="8" s="1"/>
  <c r="AE73" i="8" a="1"/>
  <c r="AE73" i="8" s="1"/>
  <c r="AH73" i="8" a="1"/>
  <c r="AH73" i="8" s="1"/>
  <c r="AI73" i="8" a="1"/>
  <c r="AI73" i="8" s="1"/>
  <c r="F74" i="8" a="1"/>
  <c r="F74" i="8" s="1"/>
  <c r="G74" i="8" a="1"/>
  <c r="G74" i="8" s="1"/>
  <c r="J74" i="8" a="1"/>
  <c r="J74" i="8" s="1"/>
  <c r="K74" i="8" a="1"/>
  <c r="K74" i="8" s="1"/>
  <c r="N74" i="8" a="1"/>
  <c r="N74" i="8" s="1"/>
  <c r="O74" i="8" a="1"/>
  <c r="O74" i="8" s="1"/>
  <c r="R74" i="8" a="1"/>
  <c r="R74" i="8" s="1"/>
  <c r="S74" i="8" a="1"/>
  <c r="S74" i="8" s="1"/>
  <c r="V74" i="8" a="1"/>
  <c r="V74" i="8" s="1"/>
  <c r="W74" i="8" a="1"/>
  <c r="W74" i="8" s="1"/>
  <c r="Z74" i="8" a="1"/>
  <c r="Z74" i="8" s="1"/>
  <c r="AA74" i="8" a="1"/>
  <c r="AA74" i="8" s="1"/>
  <c r="AD74" i="8" a="1"/>
  <c r="AD74" i="8" s="1"/>
  <c r="AE74" i="8" a="1"/>
  <c r="AE74" i="8" s="1"/>
  <c r="AH74" i="8" a="1"/>
  <c r="AH74" i="8" s="1"/>
  <c r="AI74" i="8" a="1"/>
  <c r="AI74" i="8" s="1"/>
  <c r="F75" i="8" a="1"/>
  <c r="F75" i="8" s="1"/>
  <c r="G75" i="8" a="1"/>
  <c r="G75" i="8" s="1"/>
  <c r="I75" i="8" a="1"/>
  <c r="I75" i="8" s="1"/>
  <c r="J75" i="8" a="1"/>
  <c r="J75" i="8" s="1"/>
  <c r="K75" i="8" a="1"/>
  <c r="K75" i="8" s="1"/>
  <c r="L75" i="8" a="1"/>
  <c r="L75" i="8" s="1"/>
  <c r="N75" i="8" a="1"/>
  <c r="N75" i="8" s="1"/>
  <c r="O75" i="8" a="1"/>
  <c r="O75" i="8" s="1"/>
  <c r="R75" i="8" a="1"/>
  <c r="R75" i="8" s="1"/>
  <c r="S75" i="8" a="1"/>
  <c r="S75" i="8" s="1"/>
  <c r="V75" i="8" a="1"/>
  <c r="V75" i="8" s="1"/>
  <c r="W75" i="8" a="1"/>
  <c r="W75" i="8" s="1"/>
  <c r="Z75" i="8" a="1"/>
  <c r="Z75" i="8" s="1"/>
  <c r="AA75" i="8" a="1"/>
  <c r="AA75" i="8" s="1"/>
  <c r="AD75" i="8" a="1"/>
  <c r="AD75" i="8" s="1"/>
  <c r="AE75" i="8" a="1"/>
  <c r="AE75" i="8" s="1"/>
  <c r="AH75" i="8" a="1"/>
  <c r="AH75" i="8" s="1"/>
  <c r="AI75" i="8" a="1"/>
  <c r="AI75" i="8" s="1"/>
  <c r="F76" i="8" a="1"/>
  <c r="F76" i="8" s="1"/>
  <c r="G76" i="8" a="1"/>
  <c r="G76" i="8" s="1"/>
  <c r="I76" i="8" a="1"/>
  <c r="I76" i="8" s="1"/>
  <c r="J76" i="8" a="1"/>
  <c r="J76" i="8" s="1"/>
  <c r="K76" i="8" a="1"/>
  <c r="K76" i="8" s="1"/>
  <c r="L76" i="8" a="1"/>
  <c r="L76" i="8" s="1"/>
  <c r="N76" i="8" a="1"/>
  <c r="N76" i="8" s="1"/>
  <c r="O76" i="8" a="1"/>
  <c r="O76" i="8" s="1"/>
  <c r="R76" i="8" a="1"/>
  <c r="R76" i="8" s="1"/>
  <c r="S76" i="8" a="1"/>
  <c r="S76" i="8" s="1"/>
  <c r="V76" i="8" a="1"/>
  <c r="V76" i="8" s="1"/>
  <c r="W76" i="8" a="1"/>
  <c r="W76" i="8" s="1"/>
  <c r="Z76" i="8" a="1"/>
  <c r="Z76" i="8" s="1"/>
  <c r="AA76" i="8" a="1"/>
  <c r="AA76" i="8" s="1"/>
  <c r="AD76" i="8" a="1"/>
  <c r="AD76" i="8" s="1"/>
  <c r="AE76" i="8" a="1"/>
  <c r="AE76" i="8" s="1"/>
  <c r="AH76" i="8" a="1"/>
  <c r="AH76" i="8" s="1"/>
  <c r="AI76" i="8" a="1"/>
  <c r="AI76" i="8" s="1"/>
  <c r="F77" i="8" a="1"/>
  <c r="F77" i="8" s="1"/>
  <c r="G77" i="8" a="1"/>
  <c r="G77" i="8" s="1"/>
  <c r="J77" i="8" a="1"/>
  <c r="J77" i="8" s="1"/>
  <c r="K77" i="8" a="1"/>
  <c r="K77" i="8" s="1"/>
  <c r="N77" i="8" a="1"/>
  <c r="N77" i="8" s="1"/>
  <c r="O77" i="8" a="1"/>
  <c r="O77" i="8" s="1"/>
  <c r="R77" i="8" a="1"/>
  <c r="R77" i="8" s="1"/>
  <c r="S77" i="8" a="1"/>
  <c r="S77" i="8" s="1"/>
  <c r="V77" i="8" a="1"/>
  <c r="V77" i="8" s="1"/>
  <c r="W77" i="8" a="1"/>
  <c r="W77" i="8" s="1"/>
  <c r="Z77" i="8" a="1"/>
  <c r="Z77" i="8" s="1"/>
  <c r="AA77" i="8" a="1"/>
  <c r="AA77" i="8" s="1"/>
  <c r="AD77" i="8" a="1"/>
  <c r="AD77" i="8" s="1"/>
  <c r="AE77" i="8" a="1"/>
  <c r="AE77" i="8" s="1"/>
  <c r="AH77" i="8" a="1"/>
  <c r="AH77" i="8" s="1"/>
  <c r="AI77" i="8" a="1"/>
  <c r="AI77" i="8" s="1"/>
  <c r="F78" i="8" a="1"/>
  <c r="F78" i="8" s="1"/>
  <c r="G78" i="8" a="1"/>
  <c r="G78" i="8" s="1"/>
  <c r="J78" i="8" a="1"/>
  <c r="J78" i="8" s="1"/>
  <c r="K78" i="8" a="1"/>
  <c r="K78" i="8" s="1"/>
  <c r="N78" i="8" a="1"/>
  <c r="N78" i="8" s="1"/>
  <c r="O78" i="8" a="1"/>
  <c r="O78" i="8" s="1"/>
  <c r="R78" i="8" a="1"/>
  <c r="R78" i="8" s="1"/>
  <c r="S78" i="8" a="1"/>
  <c r="S78" i="8" s="1"/>
  <c r="V78" i="8" a="1"/>
  <c r="V78" i="8" s="1"/>
  <c r="W78" i="8" a="1"/>
  <c r="W78" i="8" s="1"/>
  <c r="Z78" i="8" a="1"/>
  <c r="Z78" i="8" s="1"/>
  <c r="AA78" i="8" a="1"/>
  <c r="AA78" i="8" s="1"/>
  <c r="AD78" i="8" a="1"/>
  <c r="AD78" i="8" s="1"/>
  <c r="AE78" i="8" a="1"/>
  <c r="AE78" i="8" s="1"/>
  <c r="AH78" i="8" a="1"/>
  <c r="AH78" i="8" s="1"/>
  <c r="AI78" i="8" a="1"/>
  <c r="AI78" i="8" s="1"/>
  <c r="F79" i="8" a="1"/>
  <c r="F79" i="8" s="1"/>
  <c r="G79" i="8" a="1"/>
  <c r="G79" i="8" s="1"/>
  <c r="J79" i="8" a="1"/>
  <c r="J79" i="8" s="1"/>
  <c r="K79" i="8" a="1"/>
  <c r="K79" i="8" s="1"/>
  <c r="N79" i="8" a="1"/>
  <c r="N79" i="8" s="1"/>
  <c r="O79" i="8" a="1"/>
  <c r="O79" i="8" s="1"/>
  <c r="R79" i="8" a="1"/>
  <c r="R79" i="8" s="1"/>
  <c r="S79" i="8" a="1"/>
  <c r="S79" i="8" s="1"/>
  <c r="V79" i="8" a="1"/>
  <c r="V79" i="8" s="1"/>
  <c r="W79" i="8" a="1"/>
  <c r="W79" i="8" s="1"/>
  <c r="Z79" i="8" a="1"/>
  <c r="Z79" i="8" s="1"/>
  <c r="AA79" i="8" a="1"/>
  <c r="AA79" i="8" s="1"/>
  <c r="AD79" i="8" a="1"/>
  <c r="AD79" i="8" s="1"/>
  <c r="AE79" i="8" a="1"/>
  <c r="AE79" i="8" s="1"/>
  <c r="AH79" i="8" a="1"/>
  <c r="AH79" i="8" s="1"/>
  <c r="AI79" i="8" a="1"/>
  <c r="AI79" i="8" s="1"/>
  <c r="F80" i="8" a="1"/>
  <c r="F80" i="8" s="1"/>
  <c r="G80" i="8" a="1"/>
  <c r="G80" i="8" s="1"/>
  <c r="J80" i="8" a="1"/>
  <c r="J80" i="8" s="1"/>
  <c r="K80" i="8" a="1"/>
  <c r="K80" i="8" s="1"/>
  <c r="N80" i="8" a="1"/>
  <c r="N80" i="8" s="1"/>
  <c r="O80" i="8" a="1"/>
  <c r="O80" i="8" s="1"/>
  <c r="R80" i="8" a="1"/>
  <c r="R80" i="8" s="1"/>
  <c r="S80" i="8" a="1"/>
  <c r="S80" i="8" s="1"/>
  <c r="V80" i="8" a="1"/>
  <c r="V80" i="8" s="1"/>
  <c r="W80" i="8" a="1"/>
  <c r="W80" i="8" s="1"/>
  <c r="Z80" i="8" a="1"/>
  <c r="Z80" i="8" s="1"/>
  <c r="AA80" i="8" a="1"/>
  <c r="AA80" i="8" s="1"/>
  <c r="AD80" i="8" a="1"/>
  <c r="AD80" i="8" s="1"/>
  <c r="AE80" i="8" a="1"/>
  <c r="AE80" i="8" s="1"/>
  <c r="AH80" i="8" a="1"/>
  <c r="AH80" i="8" s="1"/>
  <c r="AI80" i="8" a="1"/>
  <c r="AI80" i="8" s="1"/>
  <c r="F81" i="8" a="1"/>
  <c r="F81" i="8" s="1"/>
  <c r="G81" i="8" a="1"/>
  <c r="G81" i="8" s="1"/>
  <c r="J81" i="8" a="1"/>
  <c r="J81" i="8" s="1"/>
  <c r="K81" i="8" a="1"/>
  <c r="K81" i="8" s="1"/>
  <c r="N81" i="8" a="1"/>
  <c r="N81" i="8" s="1"/>
  <c r="O81" i="8" a="1"/>
  <c r="O81" i="8" s="1"/>
  <c r="R81" i="8" a="1"/>
  <c r="R81" i="8" s="1"/>
  <c r="S81" i="8" a="1"/>
  <c r="S81" i="8" s="1"/>
  <c r="V81" i="8" a="1"/>
  <c r="V81" i="8" s="1"/>
  <c r="W81" i="8" a="1"/>
  <c r="W81" i="8" s="1"/>
  <c r="Z81" i="8" a="1"/>
  <c r="Z81" i="8" s="1"/>
  <c r="AA81" i="8" a="1"/>
  <c r="AA81" i="8" s="1"/>
  <c r="AD81" i="8" a="1"/>
  <c r="AD81" i="8" s="1"/>
  <c r="AE81" i="8" a="1"/>
  <c r="AE81" i="8" s="1"/>
  <c r="AH81" i="8" a="1"/>
  <c r="AH81" i="8" s="1"/>
  <c r="AI81" i="8" a="1"/>
  <c r="AI81" i="8" s="1"/>
  <c r="F82" i="8" a="1"/>
  <c r="F82" i="8" s="1"/>
  <c r="G82" i="8" a="1"/>
  <c r="G82" i="8" s="1"/>
  <c r="J82" i="8" a="1"/>
  <c r="J82" i="8" s="1"/>
  <c r="K82" i="8" a="1"/>
  <c r="K82" i="8" s="1"/>
  <c r="N82" i="8" a="1"/>
  <c r="N82" i="8" s="1"/>
  <c r="O82" i="8" a="1"/>
  <c r="O82" i="8" s="1"/>
  <c r="R82" i="8" a="1"/>
  <c r="R82" i="8" s="1"/>
  <c r="S82" i="8" a="1"/>
  <c r="S82" i="8" s="1"/>
  <c r="V82" i="8" a="1"/>
  <c r="V82" i="8" s="1"/>
  <c r="W82" i="8" a="1"/>
  <c r="W82" i="8" s="1"/>
  <c r="Z82" i="8" a="1"/>
  <c r="Z82" i="8" s="1"/>
  <c r="AA82" i="8" a="1"/>
  <c r="AA82" i="8" s="1"/>
  <c r="AD82" i="8" a="1"/>
  <c r="AD82" i="8" s="1"/>
  <c r="AE82" i="8" a="1"/>
  <c r="AE82" i="8" s="1"/>
  <c r="AH82" i="8" a="1"/>
  <c r="AH82" i="8" s="1"/>
  <c r="AI82" i="8" a="1"/>
  <c r="AI82" i="8" s="1"/>
  <c r="F83" i="8" a="1"/>
  <c r="F83" i="8" s="1"/>
  <c r="G83" i="8" a="1"/>
  <c r="G83" i="8" s="1"/>
  <c r="J83" i="8" a="1"/>
  <c r="J83" i="8" s="1"/>
  <c r="K83" i="8" a="1"/>
  <c r="K83" i="8" s="1"/>
  <c r="N83" i="8" a="1"/>
  <c r="N83" i="8" s="1"/>
  <c r="O83" i="8" a="1"/>
  <c r="O83" i="8" s="1"/>
  <c r="R83" i="8" a="1"/>
  <c r="R83" i="8" s="1"/>
  <c r="S83" i="8" a="1"/>
  <c r="S83" i="8" s="1"/>
  <c r="V83" i="8" a="1"/>
  <c r="V83" i="8" s="1"/>
  <c r="W83" i="8" a="1"/>
  <c r="W83" i="8" s="1"/>
  <c r="Z83" i="8" a="1"/>
  <c r="Z83" i="8" s="1"/>
  <c r="AA83" i="8" a="1"/>
  <c r="AA83" i="8" s="1"/>
  <c r="AD83" i="8" a="1"/>
  <c r="AD83" i="8" s="1"/>
  <c r="AE83" i="8" a="1"/>
  <c r="AE83" i="8" s="1"/>
  <c r="AH83" i="8" a="1"/>
  <c r="AH83" i="8" s="1"/>
  <c r="AI83" i="8" a="1"/>
  <c r="AI83" i="8" s="1"/>
  <c r="F84" i="8" a="1"/>
  <c r="F84" i="8" s="1"/>
  <c r="G84" i="8" a="1"/>
  <c r="G84" i="8" s="1"/>
  <c r="J84" i="8" a="1"/>
  <c r="J84" i="8" s="1"/>
  <c r="K84" i="8" a="1"/>
  <c r="K84" i="8" s="1"/>
  <c r="N84" i="8" a="1"/>
  <c r="N84" i="8" s="1"/>
  <c r="O84" i="8" a="1"/>
  <c r="O84" i="8" s="1"/>
  <c r="R84" i="8" a="1"/>
  <c r="R84" i="8" s="1"/>
  <c r="S84" i="8" a="1"/>
  <c r="S84" i="8" s="1"/>
  <c r="V84" i="8" a="1"/>
  <c r="V84" i="8" s="1"/>
  <c r="W84" i="8" a="1"/>
  <c r="W84" i="8" s="1"/>
  <c r="Z84" i="8" a="1"/>
  <c r="Z84" i="8" s="1"/>
  <c r="AA84" i="8" a="1"/>
  <c r="AA84" i="8" s="1"/>
  <c r="AD84" i="8" a="1"/>
  <c r="AD84" i="8" s="1"/>
  <c r="AE84" i="8" a="1"/>
  <c r="AE84" i="8" s="1"/>
  <c r="AH84" i="8" a="1"/>
  <c r="AH84" i="8" s="1"/>
  <c r="AI84" i="8" a="1"/>
  <c r="AI84" i="8" s="1"/>
  <c r="E85" i="8" a="1"/>
  <c r="E85" i="8" s="1"/>
  <c r="F85" i="8" a="1"/>
  <c r="F85" i="8" s="1"/>
  <c r="G85" i="8" a="1"/>
  <c r="G85" i="8" s="1"/>
  <c r="H85" i="8" a="1"/>
  <c r="H85" i="8" s="1"/>
  <c r="J85" i="8" a="1"/>
  <c r="J85" i="8" s="1"/>
  <c r="K85" i="8" a="1"/>
  <c r="K85" i="8" s="1"/>
  <c r="N85" i="8" a="1"/>
  <c r="N85" i="8" s="1"/>
  <c r="O85" i="8" a="1"/>
  <c r="O85" i="8" s="1"/>
  <c r="R85" i="8" a="1"/>
  <c r="R85" i="8" s="1"/>
  <c r="S85" i="8" a="1"/>
  <c r="S85" i="8" s="1"/>
  <c r="V85" i="8" a="1"/>
  <c r="V85" i="8" s="1"/>
  <c r="W85" i="8" a="1"/>
  <c r="W85" i="8" s="1"/>
  <c r="Z85" i="8" a="1"/>
  <c r="Z85" i="8" s="1"/>
  <c r="AA85" i="8" a="1"/>
  <c r="AA85" i="8" s="1"/>
  <c r="AD85" i="8" a="1"/>
  <c r="AD85" i="8" s="1"/>
  <c r="AE85" i="8" a="1"/>
  <c r="AE85" i="8" s="1"/>
  <c r="AH85" i="8" a="1"/>
  <c r="AH85" i="8" s="1"/>
  <c r="AI85" i="8" a="1"/>
  <c r="AI85" i="8" s="1"/>
  <c r="E86" i="8" a="1"/>
  <c r="E86" i="8" s="1"/>
  <c r="F86" i="8" a="1"/>
  <c r="F86" i="8" s="1"/>
  <c r="G86" i="8" a="1"/>
  <c r="G86" i="8" s="1"/>
  <c r="H86" i="8" a="1"/>
  <c r="H86" i="8" s="1"/>
  <c r="J86" i="8" a="1"/>
  <c r="J86" i="8" s="1"/>
  <c r="K86" i="8" a="1"/>
  <c r="K86" i="8" s="1"/>
  <c r="N86" i="8" a="1"/>
  <c r="N86" i="8" s="1"/>
  <c r="O86" i="8" a="1"/>
  <c r="O86" i="8" s="1"/>
  <c r="R86" i="8" a="1"/>
  <c r="R86" i="8" s="1"/>
  <c r="S86" i="8" a="1"/>
  <c r="S86" i="8" s="1"/>
  <c r="V86" i="8" a="1"/>
  <c r="V86" i="8" s="1"/>
  <c r="W86" i="8" a="1"/>
  <c r="W86" i="8" s="1"/>
  <c r="Z86" i="8" a="1"/>
  <c r="Z86" i="8" s="1"/>
  <c r="AA86" i="8" a="1"/>
  <c r="AA86" i="8" s="1"/>
  <c r="AD86" i="8" a="1"/>
  <c r="AD86" i="8" s="1"/>
  <c r="AE86" i="8" a="1"/>
  <c r="AE86" i="8" s="1"/>
  <c r="AH86" i="8" a="1"/>
  <c r="AH86" i="8" s="1"/>
  <c r="AI86" i="8" a="1"/>
  <c r="AI86" i="8" s="1"/>
  <c r="E87" i="8" a="1"/>
  <c r="E87" i="8" s="1"/>
  <c r="F87" i="8" a="1"/>
  <c r="F87" i="8" s="1"/>
  <c r="G87" i="8" a="1"/>
  <c r="G87" i="8" s="1"/>
  <c r="H87" i="8" a="1"/>
  <c r="H87" i="8" s="1"/>
  <c r="J87" i="8" a="1"/>
  <c r="J87" i="8" s="1"/>
  <c r="K87" i="8" a="1"/>
  <c r="K87" i="8" s="1"/>
  <c r="N87" i="8" a="1"/>
  <c r="N87" i="8" s="1"/>
  <c r="O87" i="8" a="1"/>
  <c r="O87" i="8" s="1"/>
  <c r="R87" i="8" a="1"/>
  <c r="R87" i="8" s="1"/>
  <c r="S87" i="8" a="1"/>
  <c r="S87" i="8" s="1"/>
  <c r="V87" i="8" a="1"/>
  <c r="V87" i="8" s="1"/>
  <c r="W87" i="8" a="1"/>
  <c r="W87" i="8" s="1"/>
  <c r="Z87" i="8" a="1"/>
  <c r="Z87" i="8" s="1"/>
  <c r="AA87" i="8" a="1"/>
  <c r="AA87" i="8" s="1"/>
  <c r="AD87" i="8" a="1"/>
  <c r="AD87" i="8" s="1"/>
  <c r="AE87" i="8" a="1"/>
  <c r="AE87" i="8" s="1"/>
  <c r="AH87" i="8" a="1"/>
  <c r="AH87" i="8" s="1"/>
  <c r="AI87" i="8" a="1"/>
  <c r="AI87" i="8" s="1"/>
  <c r="E88" i="8" a="1"/>
  <c r="E88" i="8" s="1"/>
  <c r="F88" i="8" a="1"/>
  <c r="F88" i="8" s="1"/>
  <c r="G88" i="8" a="1"/>
  <c r="G88" i="8" s="1"/>
  <c r="H88" i="8" a="1"/>
  <c r="H88" i="8" s="1"/>
  <c r="J88" i="8" a="1"/>
  <c r="J88" i="8" s="1"/>
  <c r="K88" i="8" a="1"/>
  <c r="K88" i="8" s="1"/>
  <c r="N88" i="8" a="1"/>
  <c r="N88" i="8" s="1"/>
  <c r="O88" i="8" a="1"/>
  <c r="O88" i="8" s="1"/>
  <c r="R88" i="8" a="1"/>
  <c r="R88" i="8" s="1"/>
  <c r="S88" i="8" a="1"/>
  <c r="S88" i="8" s="1"/>
  <c r="V88" i="8" a="1"/>
  <c r="V88" i="8" s="1"/>
  <c r="W88" i="8" a="1"/>
  <c r="W88" i="8" s="1"/>
  <c r="Z88" i="8" a="1"/>
  <c r="Z88" i="8" s="1"/>
  <c r="AA88" i="8" a="1"/>
  <c r="AA88" i="8" s="1"/>
  <c r="AD88" i="8" a="1"/>
  <c r="AD88" i="8" s="1"/>
  <c r="AE88" i="8" a="1"/>
  <c r="AE88" i="8" s="1"/>
  <c r="AH88" i="8" a="1"/>
  <c r="AH88" i="8" s="1"/>
  <c r="AI88" i="8" a="1"/>
  <c r="AI88" i="8" s="1"/>
  <c r="E89" i="8" a="1"/>
  <c r="E89" i="8" s="1"/>
  <c r="F89" i="8" a="1"/>
  <c r="F89" i="8" s="1"/>
  <c r="G89" i="8" a="1"/>
  <c r="G89" i="8" s="1"/>
  <c r="H89" i="8" a="1"/>
  <c r="H89" i="8" s="1"/>
  <c r="J89" i="8" a="1"/>
  <c r="J89" i="8" s="1"/>
  <c r="K89" i="8" a="1"/>
  <c r="K89" i="8" s="1"/>
  <c r="N89" i="8" a="1"/>
  <c r="N89" i="8" s="1"/>
  <c r="O89" i="8" a="1"/>
  <c r="O89" i="8" s="1"/>
  <c r="R89" i="8" a="1"/>
  <c r="R89" i="8" s="1"/>
  <c r="S89" i="8" a="1"/>
  <c r="S89" i="8" s="1"/>
  <c r="V89" i="8" a="1"/>
  <c r="V89" i="8" s="1"/>
  <c r="W89" i="8" a="1"/>
  <c r="W89" i="8" s="1"/>
  <c r="Z89" i="8" a="1"/>
  <c r="Z89" i="8" s="1"/>
  <c r="AA89" i="8" a="1"/>
  <c r="AA89" i="8" s="1"/>
  <c r="AD89" i="8" a="1"/>
  <c r="AD89" i="8" s="1"/>
  <c r="AE89" i="8" a="1"/>
  <c r="AE89" i="8" s="1"/>
  <c r="AH89" i="8" a="1"/>
  <c r="AH89" i="8" s="1"/>
  <c r="AI89" i="8" a="1"/>
  <c r="AI89" i="8" s="1"/>
  <c r="E90" i="8" a="1"/>
  <c r="E90" i="8" s="1"/>
  <c r="F90" i="8" a="1"/>
  <c r="F90" i="8" s="1"/>
  <c r="G90" i="8" a="1"/>
  <c r="G90" i="8" s="1"/>
  <c r="H90" i="8" a="1"/>
  <c r="H90" i="8" s="1"/>
  <c r="J90" i="8" a="1"/>
  <c r="J90" i="8" s="1"/>
  <c r="K90" i="8" a="1"/>
  <c r="K90" i="8" s="1"/>
  <c r="N90" i="8" a="1"/>
  <c r="N90" i="8" s="1"/>
  <c r="O90" i="8" a="1"/>
  <c r="O90" i="8" s="1"/>
  <c r="R90" i="8" a="1"/>
  <c r="R90" i="8" s="1"/>
  <c r="S90" i="8" a="1"/>
  <c r="S90" i="8" s="1"/>
  <c r="V90" i="8" a="1"/>
  <c r="V90" i="8" s="1"/>
  <c r="W90" i="8" a="1"/>
  <c r="W90" i="8" s="1"/>
  <c r="Z90" i="8" a="1"/>
  <c r="Z90" i="8" s="1"/>
  <c r="AA90" i="8" a="1"/>
  <c r="AA90" i="8" s="1"/>
  <c r="AD90" i="8" a="1"/>
  <c r="AD90" i="8" s="1"/>
  <c r="AE90" i="8" a="1"/>
  <c r="AE90" i="8" s="1"/>
  <c r="AH90" i="8" a="1"/>
  <c r="AH90" i="8" s="1"/>
  <c r="AI90" i="8" a="1"/>
  <c r="AI90" i="8" s="1"/>
  <c r="E91" i="8" a="1"/>
  <c r="E91" i="8" s="1"/>
  <c r="F91" i="8" a="1"/>
  <c r="F91" i="8" s="1"/>
  <c r="G91" i="8" a="1"/>
  <c r="G91" i="8" s="1"/>
  <c r="H91" i="8" a="1"/>
  <c r="H91" i="8" s="1"/>
  <c r="J91" i="8" a="1"/>
  <c r="J91" i="8" s="1"/>
  <c r="K91" i="8" a="1"/>
  <c r="K91" i="8" s="1"/>
  <c r="N91" i="8" a="1"/>
  <c r="N91" i="8" s="1"/>
  <c r="O91" i="8" a="1"/>
  <c r="O91" i="8" s="1"/>
  <c r="R91" i="8" a="1"/>
  <c r="R91" i="8" s="1"/>
  <c r="S91" i="8" a="1"/>
  <c r="S91" i="8" s="1"/>
  <c r="V91" i="8" a="1"/>
  <c r="V91" i="8" s="1"/>
  <c r="W91" i="8" a="1"/>
  <c r="W91" i="8" s="1"/>
  <c r="Z91" i="8" a="1"/>
  <c r="Z91" i="8" s="1"/>
  <c r="AA91" i="8" a="1"/>
  <c r="AA91" i="8" s="1"/>
  <c r="AD91" i="8" a="1"/>
  <c r="AD91" i="8" s="1"/>
  <c r="AE91" i="8" a="1"/>
  <c r="AE91" i="8" s="1"/>
  <c r="AH91" i="8" a="1"/>
  <c r="AH91" i="8" s="1"/>
  <c r="AI91" i="8" a="1"/>
  <c r="AI91" i="8" s="1"/>
  <c r="E92" i="8" a="1"/>
  <c r="E92" i="8" s="1"/>
  <c r="F92" i="8" a="1"/>
  <c r="F92" i="8" s="1"/>
  <c r="G92" i="8" a="1"/>
  <c r="G92" i="8" s="1"/>
  <c r="H92" i="8" a="1"/>
  <c r="H92" i="8" s="1"/>
  <c r="J92" i="8" a="1"/>
  <c r="J92" i="8" s="1"/>
  <c r="K92" i="8" a="1"/>
  <c r="K92" i="8" s="1"/>
  <c r="N92" i="8" a="1"/>
  <c r="N92" i="8" s="1"/>
  <c r="O92" i="8" a="1"/>
  <c r="O92" i="8" s="1"/>
  <c r="R92" i="8" a="1"/>
  <c r="R92" i="8" s="1"/>
  <c r="S92" i="8" a="1"/>
  <c r="S92" i="8" s="1"/>
  <c r="V92" i="8" a="1"/>
  <c r="V92" i="8" s="1"/>
  <c r="W92" i="8" a="1"/>
  <c r="W92" i="8" s="1"/>
  <c r="Z92" i="8" a="1"/>
  <c r="Z92" i="8" s="1"/>
  <c r="AA92" i="8" a="1"/>
  <c r="AA92" i="8" s="1"/>
  <c r="AD92" i="8" a="1"/>
  <c r="AD92" i="8" s="1"/>
  <c r="AE92" i="8" a="1"/>
  <c r="AE92" i="8" s="1"/>
  <c r="AH92" i="8" a="1"/>
  <c r="AH92" i="8" s="1"/>
  <c r="AI92" i="8" a="1"/>
  <c r="AI92" i="8" s="1"/>
  <c r="E93" i="8" a="1"/>
  <c r="E93" i="8" s="1"/>
  <c r="F93" i="8" a="1"/>
  <c r="F93" i="8" s="1"/>
  <c r="G93" i="8" a="1"/>
  <c r="G93" i="8" s="1"/>
  <c r="H93" i="8" a="1"/>
  <c r="H93" i="8" s="1"/>
  <c r="J93" i="8" a="1"/>
  <c r="J93" i="8" s="1"/>
  <c r="K93" i="8" a="1"/>
  <c r="K93" i="8" s="1"/>
  <c r="N93" i="8" a="1"/>
  <c r="N93" i="8" s="1"/>
  <c r="O93" i="8" a="1"/>
  <c r="O93" i="8" s="1"/>
  <c r="R93" i="8" a="1"/>
  <c r="R93" i="8" s="1"/>
  <c r="S93" i="8" a="1"/>
  <c r="S93" i="8" s="1"/>
  <c r="V93" i="8" a="1"/>
  <c r="V93" i="8" s="1"/>
  <c r="W93" i="8" a="1"/>
  <c r="W93" i="8" s="1"/>
  <c r="Z93" i="8" a="1"/>
  <c r="Z93" i="8" s="1"/>
  <c r="AA93" i="8" a="1"/>
  <c r="AA93" i="8" s="1"/>
  <c r="AD93" i="8" a="1"/>
  <c r="AD93" i="8" s="1"/>
  <c r="AE93" i="8" a="1"/>
  <c r="AE93" i="8" s="1"/>
  <c r="AH93" i="8" a="1"/>
  <c r="AH93" i="8" s="1"/>
  <c r="AI93" i="8" a="1"/>
  <c r="AI93" i="8" s="1"/>
  <c r="E94" i="8" a="1"/>
  <c r="E94" i="8" s="1"/>
  <c r="F94" i="8" a="1"/>
  <c r="F94" i="8" s="1"/>
  <c r="G94" i="8" a="1"/>
  <c r="G94" i="8" s="1"/>
  <c r="H94" i="8" a="1"/>
  <c r="H94" i="8" s="1"/>
  <c r="J94" i="8" a="1"/>
  <c r="J94" i="8" s="1"/>
  <c r="K94" i="8" a="1"/>
  <c r="K94" i="8" s="1"/>
  <c r="N94" i="8" a="1"/>
  <c r="N94" i="8" s="1"/>
  <c r="O94" i="8" a="1"/>
  <c r="O94" i="8" s="1"/>
  <c r="R94" i="8" a="1"/>
  <c r="R94" i="8" s="1"/>
  <c r="S94" i="8" a="1"/>
  <c r="S94" i="8" s="1"/>
  <c r="V94" i="8" a="1"/>
  <c r="V94" i="8" s="1"/>
  <c r="W94" i="8" a="1"/>
  <c r="W94" i="8" s="1"/>
  <c r="Z94" i="8" a="1"/>
  <c r="Z94" i="8" s="1"/>
  <c r="AA94" i="8" a="1"/>
  <c r="AA94" i="8" s="1"/>
  <c r="AD94" i="8" a="1"/>
  <c r="AD94" i="8" s="1"/>
  <c r="AE94" i="8" a="1"/>
  <c r="AE94" i="8" s="1"/>
  <c r="AH94" i="8" a="1"/>
  <c r="AH94" i="8" s="1"/>
  <c r="AI94" i="8" a="1"/>
  <c r="AI94" i="8" s="1"/>
  <c r="E95" i="8" a="1"/>
  <c r="E95" i="8" s="1"/>
  <c r="F95" i="8" a="1"/>
  <c r="F95" i="8" s="1"/>
  <c r="G95" i="8" a="1"/>
  <c r="G95" i="8" s="1"/>
  <c r="H95" i="8" a="1"/>
  <c r="H95" i="8" s="1"/>
  <c r="J95" i="8" a="1"/>
  <c r="J95" i="8" s="1"/>
  <c r="K95" i="8" a="1"/>
  <c r="K95" i="8" s="1"/>
  <c r="N95" i="8" a="1"/>
  <c r="N95" i="8" s="1"/>
  <c r="O95" i="8" a="1"/>
  <c r="O95" i="8" s="1"/>
  <c r="R95" i="8" a="1"/>
  <c r="R95" i="8" s="1"/>
  <c r="S95" i="8" a="1"/>
  <c r="S95" i="8" s="1"/>
  <c r="V95" i="8" a="1"/>
  <c r="V95" i="8" s="1"/>
  <c r="W95" i="8" a="1"/>
  <c r="W95" i="8" s="1"/>
  <c r="Z95" i="8" a="1"/>
  <c r="Z95" i="8" s="1"/>
  <c r="AA95" i="8" a="1"/>
  <c r="AA95" i="8" s="1"/>
  <c r="AD95" i="8" a="1"/>
  <c r="AD95" i="8" s="1"/>
  <c r="AE95" i="8" a="1"/>
  <c r="AE95" i="8" s="1"/>
  <c r="AH95" i="8" a="1"/>
  <c r="AH95" i="8" s="1"/>
  <c r="AI95" i="8" a="1"/>
  <c r="AI95" i="8" s="1"/>
  <c r="E96" i="8" a="1"/>
  <c r="E96" i="8" s="1"/>
  <c r="F96" i="8" a="1"/>
  <c r="F96" i="8" s="1"/>
  <c r="G96" i="8" a="1"/>
  <c r="G96" i="8" s="1"/>
  <c r="H96" i="8" a="1"/>
  <c r="H96" i="8" s="1"/>
  <c r="J96" i="8" a="1"/>
  <c r="J96" i="8" s="1"/>
  <c r="K96" i="8" a="1"/>
  <c r="K96" i="8" s="1"/>
  <c r="N96" i="8" a="1"/>
  <c r="N96" i="8" s="1"/>
  <c r="O96" i="8" a="1"/>
  <c r="O96" i="8" s="1"/>
  <c r="Q96" i="8" a="1"/>
  <c r="Q96" i="8" s="1"/>
  <c r="R96" i="8" a="1"/>
  <c r="R96" i="8" s="1"/>
  <c r="S96" i="8" a="1"/>
  <c r="S96" i="8" s="1"/>
  <c r="T96" i="8" a="1"/>
  <c r="T96" i="8" s="1"/>
  <c r="V96" i="8" a="1"/>
  <c r="V96" i="8" s="1"/>
  <c r="W96" i="8" a="1"/>
  <c r="W96" i="8" s="1"/>
  <c r="Z96" i="8" a="1"/>
  <c r="Z96" i="8" s="1"/>
  <c r="AA96" i="8" a="1"/>
  <c r="AA96" i="8" s="1"/>
  <c r="AD96" i="8" a="1"/>
  <c r="AD96" i="8" s="1"/>
  <c r="AE96" i="8" a="1"/>
  <c r="AE96" i="8" s="1"/>
  <c r="AH96" i="8" a="1"/>
  <c r="AH96" i="8" s="1"/>
  <c r="AI96" i="8" a="1"/>
  <c r="AI96" i="8" s="1"/>
  <c r="F97" i="8" a="1"/>
  <c r="F97" i="8" s="1"/>
  <c r="G97" i="8" a="1"/>
  <c r="G97" i="8" s="1"/>
  <c r="J97" i="8" a="1"/>
  <c r="J97" i="8" s="1"/>
  <c r="K97" i="8" a="1"/>
  <c r="K97" i="8" s="1"/>
  <c r="N97" i="8" a="1"/>
  <c r="N97" i="8" s="1"/>
  <c r="O97" i="8" a="1"/>
  <c r="O97" i="8" s="1"/>
  <c r="Q97" i="8" a="1"/>
  <c r="Q97" i="8" s="1"/>
  <c r="R97" i="8" a="1"/>
  <c r="R97" i="8" s="1"/>
  <c r="S97" i="8" a="1"/>
  <c r="S97" i="8" s="1"/>
  <c r="T97" i="8" a="1"/>
  <c r="T97" i="8" s="1"/>
  <c r="V97" i="8" a="1"/>
  <c r="V97" i="8" s="1"/>
  <c r="W97" i="8" a="1"/>
  <c r="W97" i="8" s="1"/>
  <c r="Z97" i="8" a="1"/>
  <c r="Z97" i="8" s="1"/>
  <c r="AA97" i="8" a="1"/>
  <c r="AA97" i="8" s="1"/>
  <c r="AD97" i="8" a="1"/>
  <c r="AD97" i="8" s="1"/>
  <c r="AE97" i="8" a="1"/>
  <c r="AE97" i="8" s="1"/>
  <c r="AH97" i="8" a="1"/>
  <c r="AH97" i="8" s="1"/>
  <c r="AI97" i="8" a="1"/>
  <c r="AI97" i="8" s="1"/>
  <c r="F98" i="8" a="1"/>
  <c r="F98" i="8" s="1"/>
  <c r="G98" i="8" a="1"/>
  <c r="G98" i="8" s="1"/>
  <c r="J98" i="8" a="1"/>
  <c r="J98" i="8" s="1"/>
  <c r="K98" i="8" a="1"/>
  <c r="K98" i="8" s="1"/>
  <c r="N98" i="8" a="1"/>
  <c r="N98" i="8" s="1"/>
  <c r="O98" i="8" a="1"/>
  <c r="O98" i="8" s="1"/>
  <c r="R98" i="8" a="1"/>
  <c r="R98" i="8" s="1"/>
  <c r="S98" i="8" a="1"/>
  <c r="S98" i="8" s="1"/>
  <c r="V98" i="8" a="1"/>
  <c r="V98" i="8" s="1"/>
  <c r="W98" i="8" a="1"/>
  <c r="W98" i="8" s="1"/>
  <c r="Z98" i="8" a="1"/>
  <c r="Z98" i="8" s="1"/>
  <c r="AA98" i="8" a="1"/>
  <c r="AA98" i="8" s="1"/>
  <c r="AD98" i="8" a="1"/>
  <c r="AD98" i="8" s="1"/>
  <c r="AE98" i="8" a="1"/>
  <c r="AE98" i="8" s="1"/>
  <c r="AH98" i="8" a="1"/>
  <c r="AH98" i="8" s="1"/>
  <c r="AI98" i="8" a="1"/>
  <c r="AI98" i="8" s="1"/>
  <c r="F99" i="8" a="1"/>
  <c r="F99" i="8" s="1"/>
  <c r="G99" i="8" a="1"/>
  <c r="G99" i="8" s="1"/>
  <c r="J99" i="8" a="1"/>
  <c r="J99" i="8" s="1"/>
  <c r="K99" i="8" a="1"/>
  <c r="K99" i="8" s="1"/>
  <c r="N99" i="8" a="1"/>
  <c r="N99" i="8" s="1"/>
  <c r="O99" i="8" a="1"/>
  <c r="O99" i="8" s="1"/>
  <c r="R99" i="8" a="1"/>
  <c r="R99" i="8" s="1"/>
  <c r="S99" i="8" a="1"/>
  <c r="S99" i="8" s="1"/>
  <c r="V99" i="8" a="1"/>
  <c r="V99" i="8" s="1"/>
  <c r="W99" i="8" a="1"/>
  <c r="W99" i="8" s="1"/>
  <c r="Z99" i="8" a="1"/>
  <c r="Z99" i="8" s="1"/>
  <c r="AA99" i="8" a="1"/>
  <c r="AA99" i="8" s="1"/>
  <c r="AD99" i="8" a="1"/>
  <c r="AD99" i="8" s="1"/>
  <c r="AE99" i="8" a="1"/>
  <c r="AE99" i="8" s="1"/>
  <c r="AH99" i="8" a="1"/>
  <c r="AH99" i="8" s="1"/>
  <c r="AI99" i="8" a="1"/>
  <c r="AI99" i="8" s="1"/>
  <c r="F100" i="8" a="1"/>
  <c r="F100" i="8" s="1"/>
  <c r="G100" i="8" a="1"/>
  <c r="G100" i="8" s="1"/>
  <c r="J100" i="8" a="1"/>
  <c r="J100" i="8" s="1"/>
  <c r="K100" i="8" a="1"/>
  <c r="K100" i="8" s="1"/>
  <c r="N100" i="8" a="1"/>
  <c r="N100" i="8" s="1"/>
  <c r="O100" i="8" a="1"/>
  <c r="O100" i="8" s="1"/>
  <c r="R100" i="8" a="1"/>
  <c r="R100" i="8" s="1"/>
  <c r="S100" i="8" a="1"/>
  <c r="S100" i="8" s="1"/>
  <c r="V100" i="8" a="1"/>
  <c r="V100" i="8" s="1"/>
  <c r="W100" i="8" a="1"/>
  <c r="W100" i="8" s="1"/>
  <c r="Z100" i="8" a="1"/>
  <c r="Z100" i="8" s="1"/>
  <c r="AA100" i="8" a="1"/>
  <c r="AA100" i="8" s="1"/>
  <c r="AD100" i="8" a="1"/>
  <c r="AD100" i="8" s="1"/>
  <c r="AE100" i="8" a="1"/>
  <c r="AE100" i="8" s="1"/>
  <c r="AH100" i="8" a="1"/>
  <c r="AH100" i="8" s="1"/>
  <c r="AI100" i="8" a="1"/>
  <c r="AI100" i="8" s="1"/>
  <c r="F101" i="8" a="1"/>
  <c r="F101" i="8" s="1"/>
  <c r="G101" i="8" a="1"/>
  <c r="G101" i="8" s="1"/>
  <c r="J101" i="8" a="1"/>
  <c r="J101" i="8" s="1"/>
  <c r="K101" i="8" a="1"/>
  <c r="K101" i="8" s="1"/>
  <c r="N101" i="8" a="1"/>
  <c r="N101" i="8" s="1"/>
  <c r="O101" i="8" a="1"/>
  <c r="O101" i="8" s="1"/>
  <c r="R101" i="8" a="1"/>
  <c r="R101" i="8" s="1"/>
  <c r="S101" i="8" a="1"/>
  <c r="S101" i="8" s="1"/>
  <c r="V101" i="8" a="1"/>
  <c r="V101" i="8" s="1"/>
  <c r="W101" i="8" a="1"/>
  <c r="W101" i="8" s="1"/>
  <c r="Z101" i="8" a="1"/>
  <c r="Z101" i="8" s="1"/>
  <c r="AA101" i="8" a="1"/>
  <c r="AA101" i="8" s="1"/>
  <c r="AD101" i="8" a="1"/>
  <c r="AD101" i="8" s="1"/>
  <c r="AE101" i="8" a="1"/>
  <c r="AE101" i="8" s="1"/>
  <c r="AH101" i="8" a="1"/>
  <c r="AH101" i="8" s="1"/>
  <c r="AI101" i="8" a="1"/>
  <c r="AI101" i="8" s="1"/>
  <c r="F102" i="8" a="1"/>
  <c r="F102" i="8" s="1"/>
  <c r="G102" i="8" a="1"/>
  <c r="G102" i="8" s="1"/>
  <c r="J102" i="8" a="1"/>
  <c r="J102" i="8" s="1"/>
  <c r="K102" i="8" a="1"/>
  <c r="K102" i="8" s="1"/>
  <c r="N102" i="8" a="1"/>
  <c r="N102" i="8" s="1"/>
  <c r="O102" i="8" a="1"/>
  <c r="O102" i="8" s="1"/>
  <c r="R102" i="8" a="1"/>
  <c r="R102" i="8" s="1"/>
  <c r="S102" i="8" a="1"/>
  <c r="S102" i="8" s="1"/>
  <c r="V102" i="8" a="1"/>
  <c r="V102" i="8" s="1"/>
  <c r="W102" i="8" a="1"/>
  <c r="W102" i="8" s="1"/>
  <c r="Z102" i="8" a="1"/>
  <c r="Z102" i="8" s="1"/>
  <c r="AA102" i="8" a="1"/>
  <c r="AA102" i="8" s="1"/>
  <c r="AD102" i="8" a="1"/>
  <c r="AD102" i="8" s="1"/>
  <c r="AE102" i="8" a="1"/>
  <c r="AE102" i="8" s="1"/>
  <c r="AH102" i="8" a="1"/>
  <c r="AH102" i="8" s="1"/>
  <c r="AI102" i="8" a="1"/>
  <c r="AI102" i="8" s="1"/>
  <c r="F103" i="8" a="1"/>
  <c r="F103" i="8" s="1"/>
  <c r="G103" i="8" a="1"/>
  <c r="G103" i="8" s="1"/>
  <c r="I103" i="8" a="1"/>
  <c r="I103" i="8" s="1"/>
  <c r="J103" i="8" a="1"/>
  <c r="J103" i="8" s="1"/>
  <c r="K103" i="8" a="1"/>
  <c r="K103" i="8" s="1"/>
  <c r="L103" i="8" a="1"/>
  <c r="L103" i="8" s="1"/>
  <c r="N103" i="8" a="1"/>
  <c r="N103" i="8" s="1"/>
  <c r="O103" i="8" a="1"/>
  <c r="O103" i="8" s="1"/>
  <c r="R103" i="8" a="1"/>
  <c r="R103" i="8" s="1"/>
  <c r="S103" i="8" a="1"/>
  <c r="S103" i="8" s="1"/>
  <c r="V103" i="8" a="1"/>
  <c r="V103" i="8" s="1"/>
  <c r="W103" i="8" a="1"/>
  <c r="W103" i="8" s="1"/>
  <c r="Z103" i="8" a="1"/>
  <c r="Z103" i="8" s="1"/>
  <c r="AA103" i="8" a="1"/>
  <c r="AA103" i="8" s="1"/>
  <c r="AD103" i="8" a="1"/>
  <c r="AD103" i="8" s="1"/>
  <c r="AE103" i="8" a="1"/>
  <c r="AE103" i="8" s="1"/>
  <c r="AH103" i="8" a="1"/>
  <c r="AH103" i="8" s="1"/>
  <c r="AI103" i="8" a="1"/>
  <c r="AI103" i="8" s="1"/>
  <c r="F104" i="8" a="1"/>
  <c r="F104" i="8" s="1"/>
  <c r="G104" i="8" a="1"/>
  <c r="G104" i="8" s="1"/>
  <c r="J104" i="8" a="1"/>
  <c r="J104" i="8" s="1"/>
  <c r="K104" i="8" a="1"/>
  <c r="K104" i="8" s="1"/>
  <c r="N104" i="8" a="1"/>
  <c r="N104" i="8" s="1"/>
  <c r="O104" i="8" a="1"/>
  <c r="O104" i="8" s="1"/>
  <c r="R104" i="8" a="1"/>
  <c r="R104" i="8" s="1"/>
  <c r="S104" i="8" a="1"/>
  <c r="S104" i="8" s="1"/>
  <c r="V104" i="8" a="1"/>
  <c r="V104" i="8" s="1"/>
  <c r="W104" i="8" a="1"/>
  <c r="W104" i="8" s="1"/>
  <c r="Z104" i="8" a="1"/>
  <c r="Z104" i="8" s="1"/>
  <c r="AA104" i="8" a="1"/>
  <c r="AA104" i="8" s="1"/>
  <c r="AD104" i="8" a="1"/>
  <c r="AD104" i="8" s="1"/>
  <c r="AE104" i="8" a="1"/>
  <c r="AE104" i="8" s="1"/>
  <c r="AH104" i="8" a="1"/>
  <c r="AH104" i="8" s="1"/>
  <c r="AI104" i="8" a="1"/>
  <c r="AI104" i="8" s="1"/>
  <c r="F105" i="8" a="1"/>
  <c r="F105" i="8" s="1"/>
  <c r="G105" i="8" a="1"/>
  <c r="G105" i="8" s="1"/>
  <c r="J105" i="8" a="1"/>
  <c r="J105" i="8" s="1"/>
  <c r="K105" i="8" a="1"/>
  <c r="K105" i="8" s="1"/>
  <c r="N105" i="8" a="1"/>
  <c r="N105" i="8" s="1"/>
  <c r="O105" i="8" a="1"/>
  <c r="O105" i="8" s="1"/>
  <c r="R105" i="8" a="1"/>
  <c r="R105" i="8" s="1"/>
  <c r="S105" i="8" a="1"/>
  <c r="S105" i="8" s="1"/>
  <c r="V105" i="8" a="1"/>
  <c r="V105" i="8" s="1"/>
  <c r="W105" i="8" a="1"/>
  <c r="W105" i="8" s="1"/>
  <c r="Z105" i="8" a="1"/>
  <c r="Z105" i="8" s="1"/>
  <c r="AA105" i="8" a="1"/>
  <c r="AA105" i="8" s="1"/>
  <c r="AD105" i="8" a="1"/>
  <c r="AD105" i="8" s="1"/>
  <c r="AE105" i="8" a="1"/>
  <c r="AE105" i="8" s="1"/>
  <c r="AH105" i="8" a="1"/>
  <c r="AH105" i="8" s="1"/>
  <c r="AI105" i="8" a="1"/>
  <c r="AI105" i="8" s="1"/>
  <c r="F106" i="8" a="1"/>
  <c r="F106" i="8" s="1"/>
  <c r="G106" i="8" a="1"/>
  <c r="G106" i="8" s="1"/>
  <c r="J106" i="8" a="1"/>
  <c r="J106" i="8" s="1"/>
  <c r="K106" i="8" a="1"/>
  <c r="K106" i="8" s="1"/>
  <c r="N106" i="8" a="1"/>
  <c r="N106" i="8" s="1"/>
  <c r="O106" i="8" a="1"/>
  <c r="O106" i="8" s="1"/>
  <c r="Q106" i="8" a="1"/>
  <c r="Q106" i="8" s="1"/>
  <c r="R106" i="8" a="1"/>
  <c r="R106" i="8" s="1"/>
  <c r="S106" i="8" a="1"/>
  <c r="S106" i="8" s="1"/>
  <c r="V106" i="8" a="1"/>
  <c r="V106" i="8" s="1"/>
  <c r="W106" i="8" a="1"/>
  <c r="W106" i="8" s="1"/>
  <c r="Z106" i="8" a="1"/>
  <c r="Z106" i="8" s="1"/>
  <c r="AA106" i="8" a="1"/>
  <c r="AA106" i="8" s="1"/>
  <c r="AD106" i="8" a="1"/>
  <c r="AD106" i="8" s="1"/>
  <c r="AE106" i="8" a="1"/>
  <c r="AE106" i="8" s="1"/>
  <c r="AH106" i="8" a="1"/>
  <c r="AH106" i="8" s="1"/>
  <c r="AI106" i="8" a="1"/>
  <c r="AI106" i="8" s="1"/>
  <c r="F107" i="8" a="1"/>
  <c r="F107" i="8" s="1"/>
  <c r="G107" i="8" a="1"/>
  <c r="G107" i="8" s="1"/>
  <c r="J107" i="8" a="1"/>
  <c r="J107" i="8" s="1"/>
  <c r="K107" i="8" a="1"/>
  <c r="K107" i="8" s="1"/>
  <c r="N107" i="8" a="1"/>
  <c r="N107" i="8" s="1"/>
  <c r="O107" i="8" a="1"/>
  <c r="O107" i="8" s="1"/>
  <c r="R107" i="8" a="1"/>
  <c r="R107" i="8" s="1"/>
  <c r="S107" i="8" a="1"/>
  <c r="S107" i="8" s="1"/>
  <c r="V107" i="8" a="1"/>
  <c r="V107" i="8" s="1"/>
  <c r="W107" i="8" a="1"/>
  <c r="W107" i="8" s="1"/>
  <c r="Z107" i="8" a="1"/>
  <c r="Z107" i="8" s="1"/>
  <c r="AA107" i="8" a="1"/>
  <c r="AA107" i="8" s="1"/>
  <c r="AD107" i="8" a="1"/>
  <c r="AD107" i="8" s="1"/>
  <c r="AE107" i="8" a="1"/>
  <c r="AE107" i="8" s="1"/>
  <c r="AH107" i="8" a="1"/>
  <c r="AH107" i="8" s="1"/>
  <c r="AI107" i="8" a="1"/>
  <c r="AI107" i="8" s="1"/>
  <c r="F108" i="8" a="1"/>
  <c r="F108" i="8" s="1"/>
  <c r="G108" i="8" a="1"/>
  <c r="G108" i="8" s="1"/>
  <c r="J108" i="8" a="1"/>
  <c r="J108" i="8" s="1"/>
  <c r="K108" i="8" a="1"/>
  <c r="K108" i="8" s="1"/>
  <c r="N108" i="8" a="1"/>
  <c r="N108" i="8" s="1"/>
  <c r="O108" i="8" a="1"/>
  <c r="O108" i="8" s="1"/>
  <c r="R108" i="8" a="1"/>
  <c r="R108" i="8" s="1"/>
  <c r="S108" i="8" a="1"/>
  <c r="S108" i="8" s="1"/>
  <c r="V108" i="8" a="1"/>
  <c r="V108" i="8" s="1"/>
  <c r="W108" i="8" a="1"/>
  <c r="W108" i="8" s="1"/>
  <c r="Z108" i="8" a="1"/>
  <c r="Z108" i="8" s="1"/>
  <c r="AA108" i="8" a="1"/>
  <c r="AA108" i="8" s="1"/>
  <c r="AD108" i="8" a="1"/>
  <c r="AD108" i="8" s="1"/>
  <c r="AE108" i="8" a="1"/>
  <c r="AE108" i="8" s="1"/>
  <c r="AH108" i="8" a="1"/>
  <c r="AH108" i="8" s="1"/>
  <c r="AI108" i="8" a="1"/>
  <c r="AI108" i="8" s="1"/>
  <c r="F109" i="8" a="1"/>
  <c r="F109" i="8" s="1"/>
  <c r="G109" i="8" a="1"/>
  <c r="G109" i="8" s="1"/>
  <c r="J109" i="8" a="1"/>
  <c r="J109" i="8" s="1"/>
  <c r="K109" i="8" a="1"/>
  <c r="K109" i="8" s="1"/>
  <c r="N109" i="8" a="1"/>
  <c r="N109" i="8" s="1"/>
  <c r="O109" i="8" a="1"/>
  <c r="O109" i="8" s="1"/>
  <c r="R109" i="8" a="1"/>
  <c r="R109" i="8" s="1"/>
  <c r="S109" i="8" a="1"/>
  <c r="S109" i="8" s="1"/>
  <c r="V109" i="8" a="1"/>
  <c r="V109" i="8" s="1"/>
  <c r="W109" i="8" a="1"/>
  <c r="W109" i="8" s="1"/>
  <c r="Z109" i="8" a="1"/>
  <c r="Z109" i="8" s="1"/>
  <c r="AA109" i="8" a="1"/>
  <c r="AA109" i="8" s="1"/>
  <c r="AD109" i="8" a="1"/>
  <c r="AD109" i="8" s="1"/>
  <c r="AE109" i="8" a="1"/>
  <c r="AE109" i="8" s="1"/>
  <c r="AH109" i="8" a="1"/>
  <c r="AH109" i="8" s="1"/>
  <c r="AI109" i="8" a="1"/>
  <c r="AI109" i="8" s="1"/>
  <c r="F110" i="8" a="1"/>
  <c r="F110" i="8" s="1"/>
  <c r="G110" i="8" a="1"/>
  <c r="G110" i="8" s="1"/>
  <c r="J110" i="8" a="1"/>
  <c r="J110" i="8" s="1"/>
  <c r="K110" i="8" a="1"/>
  <c r="K110" i="8" s="1"/>
  <c r="N110" i="8" a="1"/>
  <c r="N110" i="8" s="1"/>
  <c r="O110" i="8" a="1"/>
  <c r="O110" i="8" s="1"/>
  <c r="R110" i="8" a="1"/>
  <c r="R110" i="8" s="1"/>
  <c r="S110" i="8" a="1"/>
  <c r="S110" i="8" s="1"/>
  <c r="V110" i="8" a="1"/>
  <c r="V110" i="8" s="1"/>
  <c r="W110" i="8" a="1"/>
  <c r="W110" i="8" s="1"/>
  <c r="Z110" i="8" a="1"/>
  <c r="Z110" i="8" s="1"/>
  <c r="AA110" i="8" a="1"/>
  <c r="AA110" i="8" s="1"/>
  <c r="AD110" i="8" a="1"/>
  <c r="AD110" i="8" s="1"/>
  <c r="AE110" i="8" a="1"/>
  <c r="AE110" i="8" s="1"/>
  <c r="AH110" i="8" a="1"/>
  <c r="AH110" i="8" s="1"/>
  <c r="AI110" i="8" a="1"/>
  <c r="AI110" i="8" s="1"/>
  <c r="F111" i="8" a="1"/>
  <c r="F111" i="8" s="1"/>
  <c r="G111" i="8" a="1"/>
  <c r="G111" i="8" s="1"/>
  <c r="J111" i="8" a="1"/>
  <c r="J111" i="8" s="1"/>
  <c r="K111" i="8" a="1"/>
  <c r="K111" i="8" s="1"/>
  <c r="N111" i="8" a="1"/>
  <c r="N111" i="8" s="1"/>
  <c r="O111" i="8" a="1"/>
  <c r="O111" i="8" s="1"/>
  <c r="R111" i="8" a="1"/>
  <c r="R111" i="8" s="1"/>
  <c r="S111" i="8" a="1"/>
  <c r="S111" i="8" s="1"/>
  <c r="V111" i="8" a="1"/>
  <c r="V111" i="8" s="1"/>
  <c r="W111" i="8" a="1"/>
  <c r="W111" i="8" s="1"/>
  <c r="Z111" i="8" a="1"/>
  <c r="Z111" i="8" s="1"/>
  <c r="AA111" i="8" a="1"/>
  <c r="AA111" i="8" s="1"/>
  <c r="AD111" i="8" a="1"/>
  <c r="AD111" i="8" s="1"/>
  <c r="AE111" i="8" a="1"/>
  <c r="AE111" i="8" s="1"/>
  <c r="AH111" i="8" a="1"/>
  <c r="AH111" i="8" s="1"/>
  <c r="AI111" i="8" a="1"/>
  <c r="AI111" i="8" s="1"/>
  <c r="F112" i="8" a="1"/>
  <c r="F112" i="8" s="1"/>
  <c r="G112" i="8" a="1"/>
  <c r="G112" i="8" s="1"/>
  <c r="J112" i="8" a="1"/>
  <c r="J112" i="8" s="1"/>
  <c r="K112" i="8" a="1"/>
  <c r="K112" i="8" s="1"/>
  <c r="N112" i="8" a="1"/>
  <c r="N112" i="8" s="1"/>
  <c r="O112" i="8" a="1"/>
  <c r="O112" i="8" s="1"/>
  <c r="R112" i="8" a="1"/>
  <c r="R112" i="8" s="1"/>
  <c r="S112" i="8" a="1"/>
  <c r="S112" i="8" s="1"/>
  <c r="V112" i="8" a="1"/>
  <c r="V112" i="8" s="1"/>
  <c r="W112" i="8" a="1"/>
  <c r="W112" i="8" s="1"/>
  <c r="Z112" i="8" a="1"/>
  <c r="Z112" i="8" s="1"/>
  <c r="AA112" i="8" a="1"/>
  <c r="AA112" i="8" s="1"/>
  <c r="AD112" i="8" a="1"/>
  <c r="AD112" i="8" s="1"/>
  <c r="AE112" i="8" a="1"/>
  <c r="AE112" i="8" s="1"/>
  <c r="AH112" i="8" a="1"/>
  <c r="AH112" i="8" s="1"/>
  <c r="AI112" i="8" a="1"/>
  <c r="AI112" i="8" s="1"/>
  <c r="F113" i="8" a="1"/>
  <c r="F113" i="8" s="1"/>
  <c r="G113" i="8" a="1"/>
  <c r="G113" i="8" s="1"/>
  <c r="J113" i="8" a="1"/>
  <c r="J113" i="8" s="1"/>
  <c r="K113" i="8" a="1"/>
  <c r="K113" i="8" s="1"/>
  <c r="N113" i="8" a="1"/>
  <c r="N113" i="8" s="1"/>
  <c r="O113" i="8" a="1"/>
  <c r="O113" i="8" s="1"/>
  <c r="R113" i="8" a="1"/>
  <c r="R113" i="8" s="1"/>
  <c r="S113" i="8" a="1"/>
  <c r="S113" i="8" s="1"/>
  <c r="V113" i="8" a="1"/>
  <c r="V113" i="8" s="1"/>
  <c r="W113" i="8" a="1"/>
  <c r="W113" i="8" s="1"/>
  <c r="Z113" i="8" a="1"/>
  <c r="Z113" i="8" s="1"/>
  <c r="AA113" i="8" a="1"/>
  <c r="AA113" i="8" s="1"/>
  <c r="AD113" i="8" a="1"/>
  <c r="AD113" i="8" s="1"/>
  <c r="AE113" i="8" a="1"/>
  <c r="AE113" i="8" s="1"/>
  <c r="AH113" i="8" a="1"/>
  <c r="AH113" i="8" s="1"/>
  <c r="AI113" i="8" a="1"/>
  <c r="AI113" i="8" s="1"/>
  <c r="F114" i="8" a="1"/>
  <c r="F114" i="8" s="1"/>
  <c r="G114" i="8" a="1"/>
  <c r="G114" i="8" s="1"/>
  <c r="J114" i="8" a="1"/>
  <c r="J114" i="8" s="1"/>
  <c r="K114" i="8" a="1"/>
  <c r="K114" i="8" s="1"/>
  <c r="N114" i="8" a="1"/>
  <c r="N114" i="8" s="1"/>
  <c r="O114" i="8" a="1"/>
  <c r="O114" i="8" s="1"/>
  <c r="Q114" i="8" a="1"/>
  <c r="Q114" i="8" s="1"/>
  <c r="R114" i="8" a="1"/>
  <c r="R114" i="8" s="1"/>
  <c r="S114" i="8" a="1"/>
  <c r="S114" i="8" s="1"/>
  <c r="T114" i="8" a="1"/>
  <c r="T114" i="8" s="1"/>
  <c r="V114" i="8" a="1"/>
  <c r="V114" i="8" s="1"/>
  <c r="W114" i="8" a="1"/>
  <c r="W114" i="8" s="1"/>
  <c r="Z114" i="8" a="1"/>
  <c r="Z114" i="8" s="1"/>
  <c r="AA114" i="8" a="1"/>
  <c r="AA114" i="8" s="1"/>
  <c r="AD114" i="8" a="1"/>
  <c r="AD114" i="8" s="1"/>
  <c r="AE114" i="8" a="1"/>
  <c r="AE114" i="8" s="1"/>
  <c r="AH114" i="8" a="1"/>
  <c r="AH114" i="8" s="1"/>
  <c r="AI114" i="8" a="1"/>
  <c r="AI114" i="8" s="1"/>
  <c r="F115" i="8" a="1"/>
  <c r="F115" i="8" s="1"/>
  <c r="G115" i="8" a="1"/>
  <c r="G115" i="8" s="1"/>
  <c r="J115" i="8" a="1"/>
  <c r="J115" i="8" s="1"/>
  <c r="K115" i="8" a="1"/>
  <c r="K115" i="8" s="1"/>
  <c r="N115" i="8" a="1"/>
  <c r="N115" i="8" s="1"/>
  <c r="O115" i="8" a="1"/>
  <c r="O115" i="8" s="1"/>
  <c r="Q115" i="8" a="1"/>
  <c r="Q115" i="8" s="1"/>
  <c r="R115" i="8" a="1"/>
  <c r="R115" i="8" s="1"/>
  <c r="S115" i="8" a="1"/>
  <c r="S115" i="8" s="1"/>
  <c r="T115" i="8" a="1"/>
  <c r="T115" i="8" s="1"/>
  <c r="V115" i="8" a="1"/>
  <c r="V115" i="8" s="1"/>
  <c r="W115" i="8" a="1"/>
  <c r="W115" i="8" s="1"/>
  <c r="Z115" i="8" a="1"/>
  <c r="Z115" i="8" s="1"/>
  <c r="AA115" i="8" a="1"/>
  <c r="AA115" i="8" s="1"/>
  <c r="AD115" i="8" a="1"/>
  <c r="AD115" i="8" s="1"/>
  <c r="AE115" i="8" a="1"/>
  <c r="AE115" i="8" s="1"/>
  <c r="AH115" i="8" a="1"/>
  <c r="AH115" i="8" s="1"/>
  <c r="AI115" i="8" a="1"/>
  <c r="AI115" i="8" s="1"/>
  <c r="F116" i="8" a="1"/>
  <c r="F116" i="8" s="1"/>
  <c r="G116" i="8" a="1"/>
  <c r="G116" i="8" s="1"/>
  <c r="J116" i="8" a="1"/>
  <c r="J116" i="8" s="1"/>
  <c r="K116" i="8" a="1"/>
  <c r="K116" i="8" s="1"/>
  <c r="N116" i="8" a="1"/>
  <c r="N116" i="8" s="1"/>
  <c r="O116" i="8" a="1"/>
  <c r="O116" i="8" s="1"/>
  <c r="Q116" i="8" a="1"/>
  <c r="Q116" i="8" s="1"/>
  <c r="R116" i="8" a="1"/>
  <c r="R116" i="8" s="1"/>
  <c r="S116" i="8" a="1"/>
  <c r="S116" i="8" s="1"/>
  <c r="T116" i="8" a="1"/>
  <c r="T116" i="8" s="1"/>
  <c r="V116" i="8" a="1"/>
  <c r="V116" i="8" s="1"/>
  <c r="W116" i="8" a="1"/>
  <c r="W116" i="8" s="1"/>
  <c r="Z116" i="8" a="1"/>
  <c r="Z116" i="8" s="1"/>
  <c r="AA116" i="8" a="1"/>
  <c r="AA116" i="8" s="1"/>
  <c r="AD116" i="8" a="1"/>
  <c r="AD116" i="8" s="1"/>
  <c r="AE116" i="8" a="1"/>
  <c r="AE116" i="8" s="1"/>
  <c r="AH116" i="8" a="1"/>
  <c r="AH116" i="8" s="1"/>
  <c r="AI116" i="8" a="1"/>
  <c r="AI116" i="8" s="1"/>
  <c r="F117" i="8" a="1"/>
  <c r="F117" i="8" s="1"/>
  <c r="G117" i="8" a="1"/>
  <c r="G117" i="8" s="1"/>
  <c r="J117" i="8" a="1"/>
  <c r="J117" i="8" s="1"/>
  <c r="K117" i="8" a="1"/>
  <c r="K117" i="8" s="1"/>
  <c r="N117" i="8" a="1"/>
  <c r="N117" i="8" s="1"/>
  <c r="O117" i="8" a="1"/>
  <c r="O117" i="8" s="1"/>
  <c r="Q117" i="8" a="1"/>
  <c r="Q117" i="8" s="1"/>
  <c r="R117" i="8" a="1"/>
  <c r="R117" i="8" s="1"/>
  <c r="S117" i="8" a="1"/>
  <c r="S117" i="8" s="1"/>
  <c r="T117" i="8" a="1"/>
  <c r="T117" i="8" s="1"/>
  <c r="V117" i="8" a="1"/>
  <c r="V117" i="8" s="1"/>
  <c r="W117" i="8" a="1"/>
  <c r="W117" i="8" s="1"/>
  <c r="Z117" i="8" a="1"/>
  <c r="Z117" i="8" s="1"/>
  <c r="AA117" i="8" a="1"/>
  <c r="AA117" i="8" s="1"/>
  <c r="AD117" i="8" a="1"/>
  <c r="AD117" i="8" s="1"/>
  <c r="AE117" i="8" a="1"/>
  <c r="AE117" i="8" s="1"/>
  <c r="AH117" i="8" a="1"/>
  <c r="AH117" i="8" s="1"/>
  <c r="AI117" i="8" a="1"/>
  <c r="AI117" i="8" s="1"/>
  <c r="F118" i="8" a="1"/>
  <c r="F118" i="8" s="1"/>
  <c r="G118" i="8" a="1"/>
  <c r="G118" i="8" s="1"/>
  <c r="J118" i="8" a="1"/>
  <c r="J118" i="8" s="1"/>
  <c r="K118" i="8" a="1"/>
  <c r="K118" i="8" s="1"/>
  <c r="N118" i="8" a="1"/>
  <c r="N118" i="8" s="1"/>
  <c r="O118" i="8" a="1"/>
  <c r="O118" i="8" s="1"/>
  <c r="R118" i="8" a="1"/>
  <c r="R118" i="8" s="1"/>
  <c r="S118" i="8" a="1"/>
  <c r="S118" i="8" s="1"/>
  <c r="V118" i="8" a="1"/>
  <c r="V118" i="8" s="1"/>
  <c r="W118" i="8" a="1"/>
  <c r="W118" i="8" s="1"/>
  <c r="Z118" i="8" a="1"/>
  <c r="Z118" i="8" s="1"/>
  <c r="AA118" i="8" a="1"/>
  <c r="AA118" i="8" s="1"/>
  <c r="AD118" i="8" a="1"/>
  <c r="AD118" i="8" s="1"/>
  <c r="AE118" i="8" a="1"/>
  <c r="AE118" i="8" s="1"/>
  <c r="AH118" i="8" a="1"/>
  <c r="AH118" i="8" s="1"/>
  <c r="AI118" i="8" a="1"/>
  <c r="AI118" i="8" s="1"/>
  <c r="F119" i="8" a="1"/>
  <c r="F119" i="8" s="1"/>
  <c r="G119" i="8" a="1"/>
  <c r="G119" i="8" s="1"/>
  <c r="J119" i="8" a="1"/>
  <c r="J119" i="8" s="1"/>
  <c r="K119" i="8" a="1"/>
  <c r="K119" i="8" s="1"/>
  <c r="N119" i="8" a="1"/>
  <c r="N119" i="8" s="1"/>
  <c r="O119" i="8" a="1"/>
  <c r="O119" i="8" s="1"/>
  <c r="Q119" i="8" a="1"/>
  <c r="Q119" i="8" s="1"/>
  <c r="R119" i="8" a="1"/>
  <c r="R119" i="8" s="1"/>
  <c r="S119" i="8" a="1"/>
  <c r="S119" i="8" s="1"/>
  <c r="T119" i="8" a="1"/>
  <c r="T119" i="8" s="1"/>
  <c r="V119" i="8" a="1"/>
  <c r="V119" i="8" s="1"/>
  <c r="W119" i="8" a="1"/>
  <c r="W119" i="8" s="1"/>
  <c r="Z119" i="8" a="1"/>
  <c r="Z119" i="8" s="1"/>
  <c r="AA119" i="8" a="1"/>
  <c r="AA119" i="8" s="1"/>
  <c r="AD119" i="8" a="1"/>
  <c r="AD119" i="8" s="1"/>
  <c r="AE119" i="8" a="1"/>
  <c r="AE119" i="8" s="1"/>
  <c r="AH119" i="8" a="1"/>
  <c r="AH119" i="8" s="1"/>
  <c r="AI119" i="8" a="1"/>
  <c r="AI119" i="8" s="1"/>
  <c r="F120" i="8" a="1"/>
  <c r="F120" i="8" s="1"/>
  <c r="G120" i="8" a="1"/>
  <c r="G120" i="8" s="1"/>
  <c r="J120" i="8" a="1"/>
  <c r="J120" i="8" s="1"/>
  <c r="K120" i="8" a="1"/>
  <c r="K120" i="8" s="1"/>
  <c r="N120" i="8" a="1"/>
  <c r="N120" i="8" s="1"/>
  <c r="O120" i="8" a="1"/>
  <c r="O120" i="8" s="1"/>
  <c r="R120" i="8" a="1"/>
  <c r="R120" i="8" s="1"/>
  <c r="S120" i="8" a="1"/>
  <c r="S120" i="8" s="1"/>
  <c r="V120" i="8" a="1"/>
  <c r="V120" i="8" s="1"/>
  <c r="W120" i="8" a="1"/>
  <c r="W120" i="8" s="1"/>
  <c r="Z120" i="8" a="1"/>
  <c r="Z120" i="8" s="1"/>
  <c r="AA120" i="8" a="1"/>
  <c r="AA120" i="8" s="1"/>
  <c r="AD120" i="8" a="1"/>
  <c r="AD120" i="8" s="1"/>
  <c r="AE120" i="8" a="1"/>
  <c r="AE120" i="8" s="1"/>
  <c r="AH120" i="8" a="1"/>
  <c r="AH120" i="8" s="1"/>
  <c r="AI120" i="8" a="1"/>
  <c r="AI120" i="8" s="1"/>
  <c r="F121" i="8" a="1"/>
  <c r="F121" i="8" s="1"/>
  <c r="G121" i="8" a="1"/>
  <c r="G121" i="8" s="1"/>
  <c r="J121" i="8" a="1"/>
  <c r="J121" i="8" s="1"/>
  <c r="K121" i="8" a="1"/>
  <c r="K121" i="8" s="1"/>
  <c r="N121" i="8" a="1"/>
  <c r="N121" i="8" s="1"/>
  <c r="O121" i="8" a="1"/>
  <c r="O121" i="8" s="1"/>
  <c r="Q121" i="8" a="1"/>
  <c r="Q121" i="8" s="1"/>
  <c r="R121" i="8" a="1"/>
  <c r="R121" i="8" s="1"/>
  <c r="S121" i="8" a="1"/>
  <c r="S121" i="8" s="1"/>
  <c r="T121" i="8" a="1"/>
  <c r="T121" i="8" s="1"/>
  <c r="V121" i="8" a="1"/>
  <c r="V121" i="8" s="1"/>
  <c r="W121" i="8" a="1"/>
  <c r="W121" i="8" s="1"/>
  <c r="Z121" i="8" a="1"/>
  <c r="Z121" i="8" s="1"/>
  <c r="AA121" i="8" a="1"/>
  <c r="AA121" i="8" s="1"/>
  <c r="AD121" i="8" a="1"/>
  <c r="AD121" i="8" s="1"/>
  <c r="AE121" i="8" a="1"/>
  <c r="AE121" i="8" s="1"/>
  <c r="AH121" i="8" a="1"/>
  <c r="AH121" i="8" s="1"/>
  <c r="AI121" i="8" a="1"/>
  <c r="AI121" i="8" s="1"/>
  <c r="F122" i="8" a="1"/>
  <c r="F122" i="8" s="1"/>
  <c r="G122" i="8" a="1"/>
  <c r="G122" i="8" s="1"/>
  <c r="J122" i="8" a="1"/>
  <c r="J122" i="8" s="1"/>
  <c r="K122" i="8" a="1"/>
  <c r="K122" i="8" s="1"/>
  <c r="N122" i="8" a="1"/>
  <c r="N122" i="8" s="1"/>
  <c r="O122" i="8" a="1"/>
  <c r="O122" i="8" s="1"/>
  <c r="Q122" i="8" a="1"/>
  <c r="Q122" i="8" s="1"/>
  <c r="R122" i="8" a="1"/>
  <c r="R122" i="8" s="1"/>
  <c r="S122" i="8" a="1"/>
  <c r="S122" i="8" s="1"/>
  <c r="T122" i="8" a="1"/>
  <c r="T122" i="8" s="1"/>
  <c r="V122" i="8" a="1"/>
  <c r="V122" i="8" s="1"/>
  <c r="W122" i="8" a="1"/>
  <c r="W122" i="8" s="1"/>
  <c r="Z122" i="8" a="1"/>
  <c r="Z122" i="8" s="1"/>
  <c r="AA122" i="8" a="1"/>
  <c r="AA122" i="8" s="1"/>
  <c r="AD122" i="8" a="1"/>
  <c r="AD122" i="8" s="1"/>
  <c r="AE122" i="8" a="1"/>
  <c r="AE122" i="8" s="1"/>
  <c r="AH122" i="8" a="1"/>
  <c r="AH122" i="8" s="1"/>
  <c r="AI122" i="8" a="1"/>
  <c r="AI122" i="8" s="1"/>
  <c r="F123" i="8" a="1"/>
  <c r="F123" i="8" s="1"/>
  <c r="G123" i="8" a="1"/>
  <c r="G123" i="8" s="1"/>
  <c r="J123" i="8" a="1"/>
  <c r="J123" i="8" s="1"/>
  <c r="K123" i="8" a="1"/>
  <c r="K123" i="8" s="1"/>
  <c r="N123" i="8" a="1"/>
  <c r="N123" i="8" s="1"/>
  <c r="O123" i="8" a="1"/>
  <c r="O123" i="8" s="1"/>
  <c r="Q123" i="8" a="1"/>
  <c r="Q123" i="8" s="1"/>
  <c r="R123" i="8" a="1"/>
  <c r="R123" i="8" s="1"/>
  <c r="S123" i="8" a="1"/>
  <c r="S123" i="8" s="1"/>
  <c r="T123" i="8" a="1"/>
  <c r="T123" i="8" s="1"/>
  <c r="V123" i="8" a="1"/>
  <c r="V123" i="8" s="1"/>
  <c r="W123" i="8" a="1"/>
  <c r="W123" i="8" s="1"/>
  <c r="Z123" i="8" a="1"/>
  <c r="Z123" i="8" s="1"/>
  <c r="AA123" i="8" a="1"/>
  <c r="AA123" i="8" s="1"/>
  <c r="AD123" i="8" a="1"/>
  <c r="AD123" i="8" s="1"/>
  <c r="AE123" i="8" a="1"/>
  <c r="AE123" i="8" s="1"/>
  <c r="AH123" i="8" a="1"/>
  <c r="AH123" i="8" s="1"/>
  <c r="AI123" i="8" a="1"/>
  <c r="AI123" i="8" s="1"/>
  <c r="F124" i="8" a="1"/>
  <c r="F124" i="8" s="1"/>
  <c r="G124" i="8" a="1"/>
  <c r="G124" i="8" s="1"/>
  <c r="J124" i="8" a="1"/>
  <c r="J124" i="8" s="1"/>
  <c r="K124" i="8" a="1"/>
  <c r="K124" i="8" s="1"/>
  <c r="N124" i="8" a="1"/>
  <c r="N124" i="8" s="1"/>
  <c r="O124" i="8" a="1"/>
  <c r="O124" i="8" s="1"/>
  <c r="Q124" i="8" a="1"/>
  <c r="Q124" i="8" s="1"/>
  <c r="R124" i="8" a="1"/>
  <c r="R124" i="8" s="1"/>
  <c r="S124" i="8" a="1"/>
  <c r="S124" i="8" s="1"/>
  <c r="T124" i="8" a="1"/>
  <c r="T124" i="8" s="1"/>
  <c r="V124" i="8" a="1"/>
  <c r="V124" i="8" s="1"/>
  <c r="W124" i="8" a="1"/>
  <c r="W124" i="8" s="1"/>
  <c r="Z124" i="8" a="1"/>
  <c r="Z124" i="8" s="1"/>
  <c r="AA124" i="8" a="1"/>
  <c r="AA124" i="8" s="1"/>
  <c r="AD124" i="8" a="1"/>
  <c r="AD124" i="8" s="1"/>
  <c r="AE124" i="8" a="1"/>
  <c r="AE124" i="8" s="1"/>
  <c r="AH124" i="8" a="1"/>
  <c r="AH124" i="8" s="1"/>
  <c r="AI124" i="8" a="1"/>
  <c r="AI124" i="8" s="1"/>
  <c r="F125" i="8" a="1"/>
  <c r="F125" i="8" s="1"/>
  <c r="G125" i="8" a="1"/>
  <c r="G125" i="8" s="1"/>
  <c r="J125" i="8" a="1"/>
  <c r="J125" i="8" s="1"/>
  <c r="K125" i="8" a="1"/>
  <c r="K125" i="8" s="1"/>
  <c r="N125" i="8" a="1"/>
  <c r="N125" i="8" s="1"/>
  <c r="O125" i="8" a="1"/>
  <c r="O125" i="8" s="1"/>
  <c r="R125" i="8" a="1"/>
  <c r="R125" i="8" s="1"/>
  <c r="S125" i="8" a="1"/>
  <c r="S125" i="8" s="1"/>
  <c r="V125" i="8" a="1"/>
  <c r="V125" i="8" s="1"/>
  <c r="W125" i="8" a="1"/>
  <c r="W125" i="8" s="1"/>
  <c r="Z125" i="8" a="1"/>
  <c r="Z125" i="8" s="1"/>
  <c r="AA125" i="8" a="1"/>
  <c r="AA125" i="8" s="1"/>
  <c r="AD125" i="8" a="1"/>
  <c r="AD125" i="8" s="1"/>
  <c r="AE125" i="8" a="1"/>
  <c r="AE125" i="8" s="1"/>
  <c r="AH125" i="8" a="1"/>
  <c r="AH125" i="8" s="1"/>
  <c r="AI125" i="8" a="1"/>
  <c r="AI125" i="8" s="1"/>
  <c r="E126" i="8" a="1"/>
  <c r="E126" i="8" s="1"/>
  <c r="F126" i="8" a="1"/>
  <c r="F126" i="8" s="1"/>
  <c r="G126" i="8" a="1"/>
  <c r="G126" i="8" s="1"/>
  <c r="H126" i="8" a="1"/>
  <c r="H126" i="8" s="1"/>
  <c r="J126" i="8" a="1"/>
  <c r="J126" i="8" s="1"/>
  <c r="K126" i="8" a="1"/>
  <c r="K126" i="8" s="1"/>
  <c r="N126" i="8" a="1"/>
  <c r="N126" i="8" s="1"/>
  <c r="O126" i="8" a="1"/>
  <c r="O126" i="8" s="1"/>
  <c r="R126" i="8" a="1"/>
  <c r="R126" i="8" s="1"/>
  <c r="S126" i="8" a="1"/>
  <c r="S126" i="8" s="1"/>
  <c r="V126" i="8" a="1"/>
  <c r="V126" i="8" s="1"/>
  <c r="W126" i="8" a="1"/>
  <c r="W126" i="8" s="1"/>
  <c r="Z126" i="8" a="1"/>
  <c r="Z126" i="8" s="1"/>
  <c r="AA126" i="8" a="1"/>
  <c r="AA126" i="8" s="1"/>
  <c r="AD126" i="8" a="1"/>
  <c r="AD126" i="8" s="1"/>
  <c r="AE126" i="8" a="1"/>
  <c r="AE126" i="8" s="1"/>
  <c r="AH126" i="8" a="1"/>
  <c r="AH126" i="8" s="1"/>
  <c r="AI126" i="8" a="1"/>
  <c r="AI126" i="8" s="1"/>
  <c r="F127" i="8" a="1"/>
  <c r="F127" i="8" s="1"/>
  <c r="G127" i="8" a="1"/>
  <c r="G127" i="8" s="1"/>
  <c r="J127" i="8" a="1"/>
  <c r="J127" i="8" s="1"/>
  <c r="K127" i="8" a="1"/>
  <c r="K127" i="8" s="1"/>
  <c r="N127" i="8" a="1"/>
  <c r="N127" i="8" s="1"/>
  <c r="O127" i="8" a="1"/>
  <c r="O127" i="8" s="1"/>
  <c r="R127" i="8" a="1"/>
  <c r="R127" i="8" s="1"/>
  <c r="S127" i="8" a="1"/>
  <c r="S127" i="8" s="1"/>
  <c r="V127" i="8" a="1"/>
  <c r="V127" i="8" s="1"/>
  <c r="W127" i="8" a="1"/>
  <c r="W127" i="8" s="1"/>
  <c r="Z127" i="8" a="1"/>
  <c r="Z127" i="8" s="1"/>
  <c r="AA127" i="8" a="1"/>
  <c r="AA127" i="8" s="1"/>
  <c r="AD127" i="8" a="1"/>
  <c r="AD127" i="8" s="1"/>
  <c r="AE127" i="8" a="1"/>
  <c r="AE127" i="8" s="1"/>
  <c r="AH127" i="8" a="1"/>
  <c r="AH127" i="8" s="1"/>
  <c r="AI127" i="8" a="1"/>
  <c r="AI127" i="8" s="1"/>
  <c r="E128" i="8" a="1"/>
  <c r="E128" i="8" s="1"/>
  <c r="F128" i="8" a="1"/>
  <c r="F128" i="8" s="1"/>
  <c r="G128" i="8" a="1"/>
  <c r="G128" i="8" s="1"/>
  <c r="H128" i="8" a="1"/>
  <c r="H128" i="8" s="1"/>
  <c r="J128" i="8" a="1"/>
  <c r="J128" i="8" s="1"/>
  <c r="K128" i="8" a="1"/>
  <c r="K128" i="8" s="1"/>
  <c r="N128" i="8" a="1"/>
  <c r="N128" i="8" s="1"/>
  <c r="O128" i="8" a="1"/>
  <c r="O128" i="8" s="1"/>
  <c r="R128" i="8" a="1"/>
  <c r="R128" i="8" s="1"/>
  <c r="S128" i="8" a="1"/>
  <c r="S128" i="8" s="1"/>
  <c r="V128" i="8" a="1"/>
  <c r="V128" i="8" s="1"/>
  <c r="W128" i="8" a="1"/>
  <c r="W128" i="8" s="1"/>
  <c r="Z128" i="8" a="1"/>
  <c r="Z128" i="8" s="1"/>
  <c r="AA128" i="8" a="1"/>
  <c r="AA128" i="8" s="1"/>
  <c r="AD128" i="8" a="1"/>
  <c r="AD128" i="8" s="1"/>
  <c r="AE128" i="8" a="1"/>
  <c r="AE128" i="8" s="1"/>
  <c r="AH128" i="8" a="1"/>
  <c r="AH128" i="8" s="1"/>
  <c r="AI128" i="8" a="1"/>
  <c r="AI128" i="8" s="1"/>
  <c r="F129" i="8" a="1"/>
  <c r="F129" i="8" s="1"/>
  <c r="G129" i="8" a="1"/>
  <c r="G129" i="8" s="1"/>
  <c r="J129" i="8" a="1"/>
  <c r="J129" i="8" s="1"/>
  <c r="K129" i="8" a="1"/>
  <c r="K129" i="8" s="1"/>
  <c r="N129" i="8" a="1"/>
  <c r="N129" i="8" s="1"/>
  <c r="O129" i="8" a="1"/>
  <c r="O129" i="8" s="1"/>
  <c r="R129" i="8" a="1"/>
  <c r="R129" i="8" s="1"/>
  <c r="S129" i="8" a="1"/>
  <c r="S129" i="8" s="1"/>
  <c r="V129" i="8" a="1"/>
  <c r="V129" i="8" s="1"/>
  <c r="W129" i="8" a="1"/>
  <c r="W129" i="8" s="1"/>
  <c r="Z129" i="8" a="1"/>
  <c r="Z129" i="8" s="1"/>
  <c r="AA129" i="8" a="1"/>
  <c r="AA129" i="8" s="1"/>
  <c r="AD129" i="8" a="1"/>
  <c r="AD129" i="8" s="1"/>
  <c r="AE129" i="8" a="1"/>
  <c r="AE129" i="8" s="1"/>
  <c r="AH129" i="8" a="1"/>
  <c r="AH129" i="8" s="1"/>
  <c r="AI129" i="8" a="1"/>
  <c r="AI129" i="8" s="1"/>
  <c r="F130" i="8" a="1"/>
  <c r="F130" i="8" s="1"/>
  <c r="G130" i="8" a="1"/>
  <c r="G130" i="8" s="1"/>
  <c r="J130" i="8" a="1"/>
  <c r="J130" i="8" s="1"/>
  <c r="K130" i="8" a="1"/>
  <c r="K130" i="8" s="1"/>
  <c r="L130" i="8" a="1"/>
  <c r="L130" i="8" s="1"/>
  <c r="N130" i="8" a="1"/>
  <c r="N130" i="8" s="1"/>
  <c r="O130" i="8" a="1"/>
  <c r="O130" i="8" s="1"/>
  <c r="R130" i="8" a="1"/>
  <c r="R130" i="8" s="1"/>
  <c r="S130" i="8" a="1"/>
  <c r="S130" i="8" s="1"/>
  <c r="V130" i="8" a="1"/>
  <c r="V130" i="8" s="1"/>
  <c r="W130" i="8" a="1"/>
  <c r="W130" i="8" s="1"/>
  <c r="Z130" i="8" a="1"/>
  <c r="Z130" i="8" s="1"/>
  <c r="AA130" i="8" a="1"/>
  <c r="AA130" i="8" s="1"/>
  <c r="AD130" i="8" a="1"/>
  <c r="AD130" i="8" s="1"/>
  <c r="AE130" i="8" a="1"/>
  <c r="AE130" i="8" s="1"/>
  <c r="AH130" i="8" a="1"/>
  <c r="AH130" i="8" s="1"/>
  <c r="AI130" i="8" a="1"/>
  <c r="AI130" i="8" s="1"/>
  <c r="F131" i="8" a="1"/>
  <c r="F131" i="8" s="1"/>
  <c r="G131" i="8" a="1"/>
  <c r="G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R131" i="8" a="1"/>
  <c r="R131" i="8" s="1"/>
  <c r="S131" i="8" a="1"/>
  <c r="S131" i="8" s="1"/>
  <c r="V131" i="8" a="1"/>
  <c r="V131" i="8" s="1"/>
  <c r="W131" i="8" a="1"/>
  <c r="W131" i="8" s="1"/>
  <c r="Z131" i="8" a="1"/>
  <c r="Z131" i="8" s="1"/>
  <c r="AA131" i="8" a="1"/>
  <c r="AA131" i="8" s="1"/>
  <c r="AD131" i="8" a="1"/>
  <c r="AD131" i="8" s="1"/>
  <c r="AE131" i="8" a="1"/>
  <c r="AE131" i="8" s="1"/>
  <c r="AH131" i="8" a="1"/>
  <c r="AH131" i="8" s="1"/>
  <c r="AI131" i="8" a="1"/>
  <c r="AI131" i="8" s="1"/>
  <c r="F132" i="8" a="1"/>
  <c r="F132" i="8" s="1"/>
  <c r="G132" i="8" a="1"/>
  <c r="G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R132" i="8" a="1"/>
  <c r="R132" i="8" s="1"/>
  <c r="S132" i="8" a="1"/>
  <c r="S132" i="8" s="1"/>
  <c r="V132" i="8" a="1"/>
  <c r="V132" i="8" s="1"/>
  <c r="W132" i="8" a="1"/>
  <c r="W132" i="8" s="1"/>
  <c r="Z132" i="8" a="1"/>
  <c r="Z132" i="8" s="1"/>
  <c r="AA132" i="8" a="1"/>
  <c r="AA132" i="8" s="1"/>
  <c r="AD132" i="8" a="1"/>
  <c r="AD132" i="8" s="1"/>
  <c r="AE132" i="8" a="1"/>
  <c r="AE132" i="8" s="1"/>
  <c r="AH132" i="8" a="1"/>
  <c r="AH132" i="8" s="1"/>
  <c r="AI132" i="8" a="1"/>
  <c r="AI132" i="8" s="1"/>
  <c r="E133" i="8" a="1"/>
  <c r="E133" i="8" s="1"/>
  <c r="F133" i="8" a="1"/>
  <c r="F133" i="8" s="1"/>
  <c r="G133" i="8" a="1"/>
  <c r="G133" i="8" s="1"/>
  <c r="H133" i="8" a="1"/>
  <c r="H133" i="8" s="1"/>
  <c r="J133" i="8" a="1"/>
  <c r="J133" i="8" s="1"/>
  <c r="K133" i="8" a="1"/>
  <c r="K133" i="8" s="1"/>
  <c r="L133" i="8" a="1"/>
  <c r="L133" i="8" s="1"/>
  <c r="N133" i="8" a="1"/>
  <c r="N133" i="8" s="1"/>
  <c r="O133" i="8" a="1"/>
  <c r="O133" i="8" s="1"/>
  <c r="Q133" i="8" a="1"/>
  <c r="Q133" i="8" s="1"/>
  <c r="R133" i="8" a="1"/>
  <c r="R133" i="8" s="1"/>
  <c r="S133" i="8" a="1"/>
  <c r="S133" i="8" s="1"/>
  <c r="T133" i="8" a="1"/>
  <c r="T133" i="8" s="1"/>
  <c r="V133" i="8" a="1"/>
  <c r="V133" i="8" s="1"/>
  <c r="W133" i="8" a="1"/>
  <c r="W133" i="8" s="1"/>
  <c r="Z133" i="8" a="1"/>
  <c r="Z133" i="8" s="1"/>
  <c r="AA133" i="8" a="1"/>
  <c r="AA133" i="8" s="1"/>
  <c r="AD133" i="8" a="1"/>
  <c r="AD133" i="8" s="1"/>
  <c r="AE133" i="8" a="1"/>
  <c r="AE133" i="8" s="1"/>
  <c r="AH133" i="8" a="1"/>
  <c r="AH133" i="8" s="1"/>
  <c r="AI133" i="8" a="1"/>
  <c r="AI133" i="8" s="1"/>
  <c r="F134" i="8" a="1"/>
  <c r="F134" i="8" s="1"/>
  <c r="G134" i="8" a="1"/>
  <c r="G134" i="8" s="1"/>
  <c r="J134" i="8" a="1"/>
  <c r="J134" i="8" s="1"/>
  <c r="K134" i="8" a="1"/>
  <c r="K134" i="8" s="1"/>
  <c r="L134" i="8" a="1"/>
  <c r="L134" i="8" s="1"/>
  <c r="N134" i="8" a="1"/>
  <c r="N134" i="8" s="1"/>
  <c r="O134" i="8" a="1"/>
  <c r="O134" i="8" s="1"/>
  <c r="R134" i="8" a="1"/>
  <c r="R134" i="8" s="1"/>
  <c r="S134" i="8" a="1"/>
  <c r="S134" i="8" s="1"/>
  <c r="V134" i="8" a="1"/>
  <c r="V134" i="8" s="1"/>
  <c r="W134" i="8" a="1"/>
  <c r="W134" i="8" s="1"/>
  <c r="Z134" i="8" a="1"/>
  <c r="Z134" i="8" s="1"/>
  <c r="AA134" i="8" a="1"/>
  <c r="AA134" i="8" s="1"/>
  <c r="AD134" i="8" a="1"/>
  <c r="AD134" i="8" s="1"/>
  <c r="AE134" i="8" a="1"/>
  <c r="AE134" i="8" s="1"/>
  <c r="AH134" i="8" a="1"/>
  <c r="AH134" i="8" s="1"/>
  <c r="AI134" i="8" a="1"/>
  <c r="AI134" i="8" s="1"/>
  <c r="F135" i="8" a="1"/>
  <c r="F135" i="8" s="1"/>
  <c r="G135" i="8" a="1"/>
  <c r="G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R135" i="8" a="1"/>
  <c r="R135" i="8" s="1"/>
  <c r="S135" i="8" a="1"/>
  <c r="S135" i="8" s="1"/>
  <c r="V135" i="8" a="1"/>
  <c r="V135" i="8" s="1"/>
  <c r="W135" i="8" a="1"/>
  <c r="W135" i="8" s="1"/>
  <c r="Z135" i="8" a="1"/>
  <c r="Z135" i="8" s="1"/>
  <c r="AA135" i="8" a="1"/>
  <c r="AA135" i="8" s="1"/>
  <c r="AD135" i="8" a="1"/>
  <c r="AD135" i="8" s="1"/>
  <c r="AE135" i="8" a="1"/>
  <c r="AE135" i="8" s="1"/>
  <c r="AH135" i="8" a="1"/>
  <c r="AH135" i="8" s="1"/>
  <c r="AI135" i="8" a="1"/>
  <c r="AI135" i="8" s="1"/>
  <c r="F136" i="8" a="1"/>
  <c r="F136" i="8" s="1"/>
  <c r="G136" i="8" a="1"/>
  <c r="G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R136" i="8" a="1"/>
  <c r="R136" i="8" s="1"/>
  <c r="S136" i="8" a="1"/>
  <c r="S136" i="8" s="1"/>
  <c r="V136" i="8" a="1"/>
  <c r="V136" i="8" s="1"/>
  <c r="W136" i="8" a="1"/>
  <c r="W136" i="8" s="1"/>
  <c r="Z136" i="8" a="1"/>
  <c r="Z136" i="8" s="1"/>
  <c r="AA136" i="8" a="1"/>
  <c r="AA136" i="8" s="1"/>
  <c r="AD136" i="8" a="1"/>
  <c r="AD136" i="8" s="1"/>
  <c r="AE136" i="8" a="1"/>
  <c r="AE136" i="8" s="1"/>
  <c r="AH136" i="8" a="1"/>
  <c r="AH136" i="8" s="1"/>
  <c r="AI136" i="8" a="1"/>
  <c r="AI136" i="8" s="1"/>
  <c r="E137" i="8" a="1"/>
  <c r="E137" i="8" s="1"/>
  <c r="F137" i="8" a="1"/>
  <c r="F137" i="8" s="1"/>
  <c r="G137" i="8" a="1"/>
  <c r="G137" i="8" s="1"/>
  <c r="H137" i="8" a="1"/>
  <c r="H137" i="8" s="1"/>
  <c r="J137" i="8" a="1"/>
  <c r="J137" i="8" s="1"/>
  <c r="K137" i="8" a="1"/>
  <c r="K137" i="8" s="1"/>
  <c r="L137" i="8" a="1"/>
  <c r="L137" i="8" s="1"/>
  <c r="N137" i="8" a="1"/>
  <c r="N137" i="8" s="1"/>
  <c r="O137" i="8" a="1"/>
  <c r="O137" i="8" s="1"/>
  <c r="Q137" i="8" a="1"/>
  <c r="Q137" i="8" s="1"/>
  <c r="R137" i="8" a="1"/>
  <c r="R137" i="8" s="1"/>
  <c r="S137" i="8" a="1"/>
  <c r="S137" i="8" s="1"/>
  <c r="T137" i="8" a="1"/>
  <c r="T137" i="8" s="1"/>
  <c r="V137" i="8" a="1"/>
  <c r="V137" i="8" s="1"/>
  <c r="W137" i="8" a="1"/>
  <c r="W137" i="8" s="1"/>
  <c r="Z137" i="8" a="1"/>
  <c r="Z137" i="8" s="1"/>
  <c r="AA137" i="8" a="1"/>
  <c r="AA137" i="8" s="1"/>
  <c r="AD137" i="8" a="1"/>
  <c r="AD137" i="8" s="1"/>
  <c r="AE137" i="8" a="1"/>
  <c r="AE137" i="8" s="1"/>
  <c r="AH137" i="8" a="1"/>
  <c r="AH137" i="8" s="1"/>
  <c r="AI137" i="8" a="1"/>
  <c r="AI137" i="8" s="1"/>
  <c r="F138" i="8" a="1"/>
  <c r="F138" i="8" s="1"/>
  <c r="G138" i="8" a="1"/>
  <c r="G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R138" i="8" a="1"/>
  <c r="R138" i="8" s="1"/>
  <c r="S138" i="8" a="1"/>
  <c r="S138" i="8" s="1"/>
  <c r="V138" i="8" a="1"/>
  <c r="V138" i="8" s="1"/>
  <c r="W138" i="8" a="1"/>
  <c r="W138" i="8" s="1"/>
  <c r="Z138" i="8" a="1"/>
  <c r="Z138" i="8" s="1"/>
  <c r="AA138" i="8" a="1"/>
  <c r="AA138" i="8" s="1"/>
  <c r="AD138" i="8" a="1"/>
  <c r="AD138" i="8" s="1"/>
  <c r="AE138" i="8" a="1"/>
  <c r="AE138" i="8" s="1"/>
  <c r="AH138" i="8" a="1"/>
  <c r="AH138" i="8" s="1"/>
  <c r="AI138" i="8" a="1"/>
  <c r="AI138" i="8" s="1"/>
  <c r="F139" i="8" a="1"/>
  <c r="F139" i="8" s="1"/>
  <c r="G139" i="8" a="1"/>
  <c r="G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R139" i="8" a="1"/>
  <c r="R139" i="8" s="1"/>
  <c r="S139" i="8" a="1"/>
  <c r="S139" i="8" s="1"/>
  <c r="V139" i="8" a="1"/>
  <c r="V139" i="8" s="1"/>
  <c r="W139" i="8" a="1"/>
  <c r="W139" i="8" s="1"/>
  <c r="Z139" i="8" a="1"/>
  <c r="Z139" i="8" s="1"/>
  <c r="AA139" i="8" a="1"/>
  <c r="AA139" i="8" s="1"/>
  <c r="AD139" i="8" a="1"/>
  <c r="AD139" i="8" s="1"/>
  <c r="AE139" i="8" a="1"/>
  <c r="AE139" i="8" s="1"/>
  <c r="AH139" i="8" a="1"/>
  <c r="AH139" i="8" s="1"/>
  <c r="AI139" i="8" a="1"/>
  <c r="AI139" i="8" s="1"/>
  <c r="F140" i="8" a="1"/>
  <c r="F140" i="8" s="1"/>
  <c r="G140" i="8" a="1"/>
  <c r="G140" i="8" s="1"/>
  <c r="J140" i="8" a="1"/>
  <c r="J140" i="8" s="1"/>
  <c r="K140" i="8" a="1"/>
  <c r="K140" i="8" s="1"/>
  <c r="L140" i="8" a="1"/>
  <c r="L140" i="8" s="1"/>
  <c r="N140" i="8" a="1"/>
  <c r="N140" i="8" s="1"/>
  <c r="O140" i="8" a="1"/>
  <c r="O140" i="8" s="1"/>
  <c r="R140" i="8" a="1"/>
  <c r="R140" i="8" s="1"/>
  <c r="S140" i="8" a="1"/>
  <c r="S140" i="8" s="1"/>
  <c r="V140" i="8" a="1"/>
  <c r="V140" i="8" s="1"/>
  <c r="W140" i="8" a="1"/>
  <c r="W140" i="8" s="1"/>
  <c r="Z140" i="8" a="1"/>
  <c r="Z140" i="8" s="1"/>
  <c r="AA140" i="8" a="1"/>
  <c r="AA140" i="8" s="1"/>
  <c r="AD140" i="8" a="1"/>
  <c r="AD140" i="8" s="1"/>
  <c r="AE140" i="8" a="1"/>
  <c r="AE140" i="8" s="1"/>
  <c r="AH140" i="8" a="1"/>
  <c r="AH140" i="8" s="1"/>
  <c r="AI140" i="8" a="1"/>
  <c r="AI140" i="8" s="1"/>
  <c r="F141" i="8" a="1"/>
  <c r="F141" i="8" s="1"/>
  <c r="G141" i="8" a="1"/>
  <c r="G141" i="8" s="1"/>
  <c r="J141" i="8" a="1"/>
  <c r="J141" i="8" s="1"/>
  <c r="K141" i="8" a="1"/>
  <c r="K141" i="8" s="1"/>
  <c r="L141" i="8" a="1"/>
  <c r="L141" i="8" s="1"/>
  <c r="N141" i="8" a="1"/>
  <c r="N141" i="8" s="1"/>
  <c r="O141" i="8" a="1"/>
  <c r="O141" i="8" s="1"/>
  <c r="R141" i="8" a="1"/>
  <c r="R141" i="8" s="1"/>
  <c r="S141" i="8" a="1"/>
  <c r="S141" i="8" s="1"/>
  <c r="V141" i="8" a="1"/>
  <c r="V141" i="8" s="1"/>
  <c r="W141" i="8" a="1"/>
  <c r="W141" i="8" s="1"/>
  <c r="Z141" i="8" a="1"/>
  <c r="Z141" i="8" s="1"/>
  <c r="AA141" i="8" a="1"/>
  <c r="AA141" i="8" s="1"/>
  <c r="AD141" i="8" a="1"/>
  <c r="AD141" i="8" s="1"/>
  <c r="AE141" i="8" a="1"/>
  <c r="AE141" i="8" s="1"/>
  <c r="AH141" i="8" a="1"/>
  <c r="AH141" i="8" s="1"/>
  <c r="AI141" i="8" a="1"/>
  <c r="AI141" i="8" s="1"/>
  <c r="F142" i="8" a="1"/>
  <c r="F142" i="8" s="1"/>
  <c r="G142" i="8" a="1"/>
  <c r="G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R142" i="8" a="1"/>
  <c r="R142" i="8" s="1"/>
  <c r="S142" i="8" a="1"/>
  <c r="S142" i="8" s="1"/>
  <c r="V142" i="8" a="1"/>
  <c r="V142" i="8" s="1"/>
  <c r="W142" i="8" a="1"/>
  <c r="W142" i="8" s="1"/>
  <c r="Z142" i="8" a="1"/>
  <c r="Z142" i="8" s="1"/>
  <c r="AA142" i="8" a="1"/>
  <c r="AA142" i="8" s="1"/>
  <c r="AD142" i="8" a="1"/>
  <c r="AD142" i="8" s="1"/>
  <c r="AE142" i="8" a="1"/>
  <c r="AE142" i="8" s="1"/>
  <c r="AH142" i="8" a="1"/>
  <c r="AH142" i="8" s="1"/>
  <c r="AI142" i="8" a="1"/>
  <c r="AI142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V143" i="8" a="1"/>
  <c r="V143" i="8" s="1"/>
  <c r="W143" i="8" a="1"/>
  <c r="W143" i="8" s="1"/>
  <c r="Z143" i="8" a="1"/>
  <c r="Z143" i="8" s="1"/>
  <c r="AA143" i="8" a="1"/>
  <c r="AA143" i="8" s="1"/>
  <c r="AD143" i="8" a="1"/>
  <c r="AD143" i="8" s="1"/>
  <c r="AE143" i="8" a="1"/>
  <c r="AE143" i="8" s="1"/>
  <c r="AH143" i="8" a="1"/>
  <c r="AH143" i="8" s="1"/>
  <c r="AI143" i="8" a="1"/>
  <c r="AI143" i="8" s="1"/>
  <c r="F144" i="8" a="1"/>
  <c r="F144" i="8" s="1"/>
  <c r="G144" i="8" a="1"/>
  <c r="G144" i="8" s="1"/>
  <c r="J144" i="8" a="1"/>
  <c r="J144" i="8" s="1"/>
  <c r="K144" i="8" a="1"/>
  <c r="K144" i="8" s="1"/>
  <c r="L144" i="8" a="1"/>
  <c r="L144" i="8" s="1"/>
  <c r="N144" i="8" a="1"/>
  <c r="N144" i="8" s="1"/>
  <c r="O144" i="8" a="1"/>
  <c r="O144" i="8" s="1"/>
  <c r="R144" i="8" a="1"/>
  <c r="R144" i="8" s="1"/>
  <c r="S144" i="8" a="1"/>
  <c r="S144" i="8" s="1"/>
  <c r="V144" i="8" a="1"/>
  <c r="V144" i="8" s="1"/>
  <c r="W144" i="8" a="1"/>
  <c r="W144" i="8" s="1"/>
  <c r="Z144" i="8" a="1"/>
  <c r="Z144" i="8" s="1"/>
  <c r="AA144" i="8" a="1"/>
  <c r="AA144" i="8" s="1"/>
  <c r="AD144" i="8" a="1"/>
  <c r="AD144" i="8" s="1"/>
  <c r="AE144" i="8" a="1"/>
  <c r="AE144" i="8" s="1"/>
  <c r="AH144" i="8" a="1"/>
  <c r="AH144" i="8" s="1"/>
  <c r="AI144" i="8" a="1"/>
  <c r="AI144" i="8" s="1"/>
  <c r="F145" i="8" a="1"/>
  <c r="F145" i="8" s="1"/>
  <c r="G145" i="8" a="1"/>
  <c r="G145" i="8" s="1"/>
  <c r="J145" i="8" a="1"/>
  <c r="J145" i="8" s="1"/>
  <c r="K145" i="8" a="1"/>
  <c r="K145" i="8" s="1"/>
  <c r="L145" i="8" a="1"/>
  <c r="L145" i="8" s="1"/>
  <c r="N145" i="8" a="1"/>
  <c r="N145" i="8" s="1"/>
  <c r="O145" i="8" a="1"/>
  <c r="O145" i="8" s="1"/>
  <c r="R145" i="8" a="1"/>
  <c r="R145" i="8" s="1"/>
  <c r="S145" i="8" a="1"/>
  <c r="S145" i="8" s="1"/>
  <c r="V145" i="8" a="1"/>
  <c r="V145" i="8" s="1"/>
  <c r="W145" i="8" a="1"/>
  <c r="W145" i="8" s="1"/>
  <c r="Z145" i="8" a="1"/>
  <c r="Z145" i="8" s="1"/>
  <c r="AA145" i="8" a="1"/>
  <c r="AA145" i="8" s="1"/>
  <c r="AD145" i="8" a="1"/>
  <c r="AD145" i="8" s="1"/>
  <c r="AE145" i="8" a="1"/>
  <c r="AE145" i="8" s="1"/>
  <c r="AH145" i="8" a="1"/>
  <c r="AH145" i="8" s="1"/>
  <c r="AI145" i="8" a="1"/>
  <c r="AI145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V146" i="8" a="1"/>
  <c r="V146" i="8" s="1"/>
  <c r="W146" i="8" a="1"/>
  <c r="W146" i="8" s="1"/>
  <c r="Z146" i="8" a="1"/>
  <c r="Z146" i="8" s="1"/>
  <c r="AA146" i="8" a="1"/>
  <c r="AA146" i="8" s="1"/>
  <c r="AD146" i="8" a="1"/>
  <c r="AD146" i="8" s="1"/>
  <c r="AE146" i="8" a="1"/>
  <c r="AE146" i="8" s="1"/>
  <c r="AH146" i="8" a="1"/>
  <c r="AH146" i="8" s="1"/>
  <c r="AI146" i="8" a="1"/>
  <c r="AI146" i="8" s="1"/>
  <c r="F147" i="8" a="1"/>
  <c r="F147" i="8" s="1"/>
  <c r="G147" i="8" a="1"/>
  <c r="G147" i="8" s="1"/>
  <c r="J147" i="8" a="1"/>
  <c r="J147" i="8" s="1"/>
  <c r="K147" i="8" a="1"/>
  <c r="K147" i="8" s="1"/>
  <c r="L147" i="8" a="1"/>
  <c r="L147" i="8" s="1"/>
  <c r="N147" i="8" a="1"/>
  <c r="N147" i="8" s="1"/>
  <c r="O147" i="8" a="1"/>
  <c r="O147" i="8" s="1"/>
  <c r="R147" i="8" a="1"/>
  <c r="R147" i="8" s="1"/>
  <c r="S147" i="8" a="1"/>
  <c r="S147" i="8" s="1"/>
  <c r="V147" i="8" a="1"/>
  <c r="V147" i="8" s="1"/>
  <c r="W147" i="8" a="1"/>
  <c r="W147" i="8" s="1"/>
  <c r="Z147" i="8" a="1"/>
  <c r="Z147" i="8" s="1"/>
  <c r="AA147" i="8" a="1"/>
  <c r="AA147" i="8" s="1"/>
  <c r="AD147" i="8" a="1"/>
  <c r="AD147" i="8" s="1"/>
  <c r="AE147" i="8" a="1"/>
  <c r="AE147" i="8" s="1"/>
  <c r="AH147" i="8" a="1"/>
  <c r="AH147" i="8" s="1"/>
  <c r="AI147" i="8" a="1"/>
  <c r="AI147" i="8" s="1"/>
  <c r="F148" i="8" a="1"/>
  <c r="F148" i="8" s="1"/>
  <c r="G148" i="8" a="1"/>
  <c r="G148" i="8" s="1"/>
  <c r="J148" i="8" a="1"/>
  <c r="J148" i="8" s="1"/>
  <c r="K148" i="8" a="1"/>
  <c r="K148" i="8" s="1"/>
  <c r="L148" i="8" a="1"/>
  <c r="L148" i="8" s="1"/>
  <c r="N148" i="8" a="1"/>
  <c r="N148" i="8" s="1"/>
  <c r="O148" i="8" a="1"/>
  <c r="O148" i="8" s="1"/>
  <c r="R148" i="8" a="1"/>
  <c r="R148" i="8" s="1"/>
  <c r="S148" i="8" a="1"/>
  <c r="S148" i="8" s="1"/>
  <c r="V148" i="8" a="1"/>
  <c r="V148" i="8" s="1"/>
  <c r="W148" i="8" a="1"/>
  <c r="W148" i="8" s="1"/>
  <c r="Z148" i="8" a="1"/>
  <c r="Z148" i="8" s="1"/>
  <c r="AA148" i="8" a="1"/>
  <c r="AA148" i="8" s="1"/>
  <c r="AD148" i="8" a="1"/>
  <c r="AD148" i="8" s="1"/>
  <c r="AE148" i="8" a="1"/>
  <c r="AE148" i="8" s="1"/>
  <c r="AH148" i="8" a="1"/>
  <c r="AH148" i="8" s="1"/>
  <c r="AI148" i="8" a="1"/>
  <c r="AI148" i="8" s="1"/>
  <c r="F149" i="8" a="1"/>
  <c r="F149" i="8" s="1"/>
  <c r="G149" i="8" a="1"/>
  <c r="G149" i="8" s="1"/>
  <c r="I149" i="8" a="1"/>
  <c r="I149" i="8" s="1"/>
  <c r="J149" i="8" a="1"/>
  <c r="J149" i="8" s="1"/>
  <c r="K149" i="8" a="1"/>
  <c r="K149" i="8" s="1"/>
  <c r="L149" i="8" a="1"/>
  <c r="L149" i="8" s="1"/>
  <c r="N149" i="8" a="1"/>
  <c r="N149" i="8" s="1"/>
  <c r="O149" i="8" a="1"/>
  <c r="O149" i="8" s="1"/>
  <c r="R149" i="8" a="1"/>
  <c r="R149" i="8" s="1"/>
  <c r="S149" i="8" a="1"/>
  <c r="S149" i="8" s="1"/>
  <c r="V149" i="8" a="1"/>
  <c r="V149" i="8" s="1"/>
  <c r="W149" i="8" a="1"/>
  <c r="W149" i="8" s="1"/>
  <c r="Z149" i="8" a="1"/>
  <c r="Z149" i="8" s="1"/>
  <c r="AA149" i="8" a="1"/>
  <c r="AA149" i="8" s="1"/>
  <c r="AD149" i="8" a="1"/>
  <c r="AD149" i="8" s="1"/>
  <c r="AE149" i="8" a="1"/>
  <c r="AE149" i="8" s="1"/>
  <c r="AH149" i="8" a="1"/>
  <c r="AH149" i="8" s="1"/>
  <c r="AI149" i="8" a="1"/>
  <c r="AI149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V150" i="8" a="1"/>
  <c r="V150" i="8" s="1"/>
  <c r="W150" i="8" a="1"/>
  <c r="W150" i="8" s="1"/>
  <c r="Z150" i="8" a="1"/>
  <c r="Z150" i="8" s="1"/>
  <c r="AA150" i="8" a="1"/>
  <c r="AA150" i="8" s="1"/>
  <c r="AD150" i="8" a="1"/>
  <c r="AD150" i="8" s="1"/>
  <c r="AE150" i="8" a="1"/>
  <c r="AE150" i="8" s="1"/>
  <c r="AH150" i="8" a="1"/>
  <c r="AH150" i="8" s="1"/>
  <c r="AI150" i="8" a="1"/>
  <c r="AI150" i="8" s="1"/>
  <c r="F151" i="8" a="1"/>
  <c r="F151" i="8" s="1"/>
  <c r="G151" i="8" a="1"/>
  <c r="G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V151" i="8" a="1"/>
  <c r="V151" i="8" s="1"/>
  <c r="W151" i="8" a="1"/>
  <c r="W151" i="8" s="1"/>
  <c r="Z151" i="8" a="1"/>
  <c r="Z151" i="8" s="1"/>
  <c r="AA151" i="8" a="1"/>
  <c r="AA151" i="8" s="1"/>
  <c r="AD151" i="8" a="1"/>
  <c r="AD151" i="8" s="1"/>
  <c r="AE151" i="8" a="1"/>
  <c r="AE151" i="8" s="1"/>
  <c r="AH151" i="8" a="1"/>
  <c r="AH151" i="8" s="1"/>
  <c r="AI151" i="8" a="1"/>
  <c r="AI151" i="8" s="1"/>
  <c r="F152" i="8" a="1"/>
  <c r="F152" i="8" s="1"/>
  <c r="G152" i="8" a="1"/>
  <c r="G152" i="8" s="1"/>
  <c r="J152" i="8" a="1"/>
  <c r="J152" i="8" s="1"/>
  <c r="K152" i="8" a="1"/>
  <c r="K152" i="8" s="1"/>
  <c r="L152" i="8" a="1"/>
  <c r="L152" i="8" s="1"/>
  <c r="N152" i="8" a="1"/>
  <c r="N152" i="8" s="1"/>
  <c r="O152" i="8" a="1"/>
  <c r="O152" i="8" s="1"/>
  <c r="R152" i="8" a="1"/>
  <c r="R152" i="8" s="1"/>
  <c r="S152" i="8" a="1"/>
  <c r="S152" i="8" s="1"/>
  <c r="V152" i="8" a="1"/>
  <c r="V152" i="8" s="1"/>
  <c r="W152" i="8" a="1"/>
  <c r="W152" i="8" s="1"/>
  <c r="Z152" i="8" a="1"/>
  <c r="Z152" i="8" s="1"/>
  <c r="AA152" i="8" a="1"/>
  <c r="AA152" i="8" s="1"/>
  <c r="AD152" i="8" a="1"/>
  <c r="AD152" i="8" s="1"/>
  <c r="AE152" i="8" a="1"/>
  <c r="AE152" i="8" s="1"/>
  <c r="AH152" i="8" a="1"/>
  <c r="AH152" i="8" s="1"/>
  <c r="AI152" i="8" a="1"/>
  <c r="AI152" i="8" s="1"/>
  <c r="F153" i="8" a="1"/>
  <c r="F153" i="8" s="1"/>
  <c r="G153" i="8" a="1"/>
  <c r="G153" i="8" s="1"/>
  <c r="I153" i="8" a="1"/>
  <c r="I153" i="8" s="1"/>
  <c r="J153" i="8" a="1"/>
  <c r="J153" i="8" s="1"/>
  <c r="K153" i="8" a="1"/>
  <c r="K153" i="8" s="1"/>
  <c r="L153" i="8" a="1"/>
  <c r="L153" i="8" s="1"/>
  <c r="N153" i="8" a="1"/>
  <c r="N153" i="8" s="1"/>
  <c r="O153" i="8" a="1"/>
  <c r="O153" i="8" s="1"/>
  <c r="R153" i="8" a="1"/>
  <c r="R153" i="8" s="1"/>
  <c r="S153" i="8" a="1"/>
  <c r="S153" i="8" s="1"/>
  <c r="V153" i="8" a="1"/>
  <c r="V153" i="8" s="1"/>
  <c r="W153" i="8" a="1"/>
  <c r="W153" i="8" s="1"/>
  <c r="Z153" i="8" a="1"/>
  <c r="Z153" i="8" s="1"/>
  <c r="AA153" i="8" a="1"/>
  <c r="AA153" i="8" s="1"/>
  <c r="AD153" i="8" a="1"/>
  <c r="AD153" i="8" s="1"/>
  <c r="AE153" i="8" a="1"/>
  <c r="AE153" i="8" s="1"/>
  <c r="AH153" i="8" a="1"/>
  <c r="AH153" i="8" s="1"/>
  <c r="AI153" i="8" a="1"/>
  <c r="AI153" i="8" s="1"/>
  <c r="E154" i="8" a="1"/>
  <c r="E154" i="8" s="1"/>
  <c r="F154" i="8" a="1"/>
  <c r="F154" i="8" s="1"/>
  <c r="G154" i="8" a="1"/>
  <c r="G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Q154" i="8" a="1"/>
  <c r="Q154" i="8" s="1"/>
  <c r="R154" i="8" a="1"/>
  <c r="R154" i="8" s="1"/>
  <c r="S154" i="8" a="1"/>
  <c r="S154" i="8" s="1"/>
  <c r="V154" i="8" a="1"/>
  <c r="V154" i="8" s="1"/>
  <c r="W154" i="8" a="1"/>
  <c r="W154" i="8" s="1"/>
  <c r="Y154" i="8" a="1"/>
  <c r="Y154" i="8" s="1"/>
  <c r="Z154" i="8" a="1"/>
  <c r="Z154" i="8" s="1"/>
  <c r="AA154" i="8" a="1"/>
  <c r="AA154" i="8" s="1"/>
  <c r="AB154" i="8" a="1"/>
  <c r="AB154" i="8" s="1"/>
  <c r="AD154" i="8" a="1"/>
  <c r="AD154" i="8" s="1"/>
  <c r="AE154" i="8" a="1"/>
  <c r="AE154" i="8" s="1"/>
  <c r="AH154" i="8" a="1"/>
  <c r="AH154" i="8" s="1"/>
  <c r="AI154" i="8" a="1"/>
  <c r="AI154" i="8" s="1"/>
  <c r="F155" i="8" a="1"/>
  <c r="F155" i="8" s="1"/>
  <c r="G155" i="8" a="1"/>
  <c r="G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Q155" i="8" a="1"/>
  <c r="Q155" i="8" s="1"/>
  <c r="R155" i="8" a="1"/>
  <c r="R155" i="8" s="1"/>
  <c r="S155" i="8" a="1"/>
  <c r="S155" i="8" s="1"/>
  <c r="V155" i="8" a="1"/>
  <c r="V155" i="8" s="1"/>
  <c r="W155" i="8" a="1"/>
  <c r="W155" i="8" s="1"/>
  <c r="Z155" i="8" a="1"/>
  <c r="Z155" i="8" s="1"/>
  <c r="AA155" i="8" a="1"/>
  <c r="AA155" i="8" s="1"/>
  <c r="AD155" i="8" a="1"/>
  <c r="AD155" i="8" s="1"/>
  <c r="AE155" i="8" a="1"/>
  <c r="AE155" i="8" s="1"/>
  <c r="AH155" i="8" a="1"/>
  <c r="AH155" i="8" s="1"/>
  <c r="AI155" i="8" a="1"/>
  <c r="AI155" i="8" s="1"/>
  <c r="F156" i="8" a="1"/>
  <c r="F156" i="8" s="1"/>
  <c r="G156" i="8" a="1"/>
  <c r="G156" i="8" s="1"/>
  <c r="J156" i="8" a="1"/>
  <c r="J156" i="8" s="1"/>
  <c r="K156" i="8" a="1"/>
  <c r="K156" i="8" s="1"/>
  <c r="L156" i="8" a="1"/>
  <c r="L156" i="8" s="1"/>
  <c r="N156" i="8" a="1"/>
  <c r="N156" i="8" s="1"/>
  <c r="O156" i="8" a="1"/>
  <c r="O156" i="8" s="1"/>
  <c r="R156" i="8" a="1"/>
  <c r="R156" i="8" s="1"/>
  <c r="S156" i="8" a="1"/>
  <c r="S156" i="8" s="1"/>
  <c r="V156" i="8" a="1"/>
  <c r="V156" i="8" s="1"/>
  <c r="W156" i="8" a="1"/>
  <c r="W156" i="8" s="1"/>
  <c r="Z156" i="8" a="1"/>
  <c r="Z156" i="8" s="1"/>
  <c r="AA156" i="8" a="1"/>
  <c r="AA156" i="8" s="1"/>
  <c r="AD156" i="8" a="1"/>
  <c r="AD156" i="8" s="1"/>
  <c r="AE156" i="8" a="1"/>
  <c r="AE156" i="8" s="1"/>
  <c r="AH156" i="8" a="1"/>
  <c r="AH156" i="8" s="1"/>
  <c r="AI156" i="8" a="1"/>
  <c r="AI156" i="8" s="1"/>
  <c r="F157" i="8" a="1"/>
  <c r="F157" i="8" s="1"/>
  <c r="G157" i="8" a="1"/>
  <c r="G157" i="8" s="1"/>
  <c r="I157" i="8" a="1"/>
  <c r="I157" i="8" s="1"/>
  <c r="J157" i="8" a="1"/>
  <c r="J157" i="8" s="1"/>
  <c r="K157" i="8" a="1"/>
  <c r="K157" i="8" s="1"/>
  <c r="L157" i="8" a="1"/>
  <c r="L157" i="8" s="1"/>
  <c r="N157" i="8" a="1"/>
  <c r="N157" i="8" s="1"/>
  <c r="O157" i="8" a="1"/>
  <c r="O157" i="8" s="1"/>
  <c r="R157" i="8" a="1"/>
  <c r="R157" i="8" s="1"/>
  <c r="S157" i="8" a="1"/>
  <c r="S157" i="8" s="1"/>
  <c r="V157" i="8" a="1"/>
  <c r="V157" i="8" s="1"/>
  <c r="W157" i="8" a="1"/>
  <c r="W157" i="8" s="1"/>
  <c r="Z157" i="8" a="1"/>
  <c r="Z157" i="8" s="1"/>
  <c r="AA157" i="8" a="1"/>
  <c r="AA157" i="8" s="1"/>
  <c r="AD157" i="8" a="1"/>
  <c r="AD157" i="8" s="1"/>
  <c r="AE157" i="8" a="1"/>
  <c r="AE157" i="8" s="1"/>
  <c r="AH157" i="8" a="1"/>
  <c r="AH157" i="8" s="1"/>
  <c r="AI157" i="8" a="1"/>
  <c r="AI157" i="8" s="1"/>
  <c r="E158" i="8" a="1"/>
  <c r="E158" i="8" s="1"/>
  <c r="F158" i="8" a="1"/>
  <c r="F158" i="8" s="1"/>
  <c r="G158" i="8" a="1"/>
  <c r="G158" i="8" s="1"/>
  <c r="H158" i="8" a="1"/>
  <c r="H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V158" i="8" a="1"/>
  <c r="V158" i="8" s="1"/>
  <c r="W158" i="8" a="1"/>
  <c r="W158" i="8" s="1"/>
  <c r="Z158" i="8" a="1"/>
  <c r="Z158" i="8" s="1"/>
  <c r="AA158" i="8" a="1"/>
  <c r="AA158" i="8" s="1"/>
  <c r="AD158" i="8" a="1"/>
  <c r="AD158" i="8" s="1"/>
  <c r="AE158" i="8" a="1"/>
  <c r="AE158" i="8" s="1"/>
  <c r="AH158" i="8" a="1"/>
  <c r="AH158" i="8" s="1"/>
  <c r="AI158" i="8" a="1"/>
  <c r="AI158" i="8" s="1"/>
  <c r="F159" i="8" a="1"/>
  <c r="F159" i="8" s="1"/>
  <c r="G159" i="8" a="1"/>
  <c r="G159" i="8" s="1"/>
  <c r="J159" i="8" a="1"/>
  <c r="J159" i="8" s="1"/>
  <c r="K159" i="8" a="1"/>
  <c r="K159" i="8" s="1"/>
  <c r="L159" i="8" a="1"/>
  <c r="L159" i="8" s="1"/>
  <c r="N159" i="8" a="1"/>
  <c r="N159" i="8" s="1"/>
  <c r="O159" i="8" a="1"/>
  <c r="O159" i="8" s="1"/>
  <c r="R159" i="8" a="1"/>
  <c r="R159" i="8" s="1"/>
  <c r="S159" i="8" a="1"/>
  <c r="S159" i="8" s="1"/>
  <c r="V159" i="8" a="1"/>
  <c r="V159" i="8" s="1"/>
  <c r="W159" i="8" a="1"/>
  <c r="W159" i="8" s="1"/>
  <c r="Z159" i="8" a="1"/>
  <c r="Z159" i="8" s="1"/>
  <c r="AA159" i="8" a="1"/>
  <c r="AA159" i="8" s="1"/>
  <c r="AD159" i="8" a="1"/>
  <c r="AD159" i="8" s="1"/>
  <c r="AE159" i="8" a="1"/>
  <c r="AE159" i="8" s="1"/>
  <c r="AH159" i="8" a="1"/>
  <c r="AH159" i="8" s="1"/>
  <c r="AI159" i="8" a="1"/>
  <c r="AI159" i="8" s="1"/>
  <c r="F160" i="8" a="1"/>
  <c r="F160" i="8" s="1"/>
  <c r="G160" i="8" a="1"/>
  <c r="G160" i="8" s="1"/>
  <c r="J160" i="8" a="1"/>
  <c r="J160" i="8" s="1"/>
  <c r="K160" i="8" a="1"/>
  <c r="K160" i="8" s="1"/>
  <c r="L160" i="8" a="1"/>
  <c r="L160" i="8" s="1"/>
  <c r="N160" i="8" a="1"/>
  <c r="N160" i="8" s="1"/>
  <c r="O160" i="8" a="1"/>
  <c r="O160" i="8" s="1"/>
  <c r="R160" i="8" a="1"/>
  <c r="R160" i="8" s="1"/>
  <c r="S160" i="8" a="1"/>
  <c r="S160" i="8" s="1"/>
  <c r="V160" i="8" a="1"/>
  <c r="V160" i="8" s="1"/>
  <c r="W160" i="8" a="1"/>
  <c r="W160" i="8" s="1"/>
  <c r="Z160" i="8" a="1"/>
  <c r="Z160" i="8" s="1"/>
  <c r="AA160" i="8" a="1"/>
  <c r="AA160" i="8" s="1"/>
  <c r="AD160" i="8" a="1"/>
  <c r="AD160" i="8" s="1"/>
  <c r="AE160" i="8" a="1"/>
  <c r="AE160" i="8" s="1"/>
  <c r="AH160" i="8" a="1"/>
  <c r="AH160" i="8" s="1"/>
  <c r="AI160" i="8" a="1"/>
  <c r="AI160" i="8" s="1"/>
  <c r="F161" i="8" a="1"/>
  <c r="F161" i="8" s="1"/>
  <c r="G161" i="8" a="1"/>
  <c r="G161" i="8" s="1"/>
  <c r="I161" i="8" a="1"/>
  <c r="I161" i="8" s="1"/>
  <c r="J161" i="8" a="1"/>
  <c r="J161" i="8" s="1"/>
  <c r="K161" i="8" a="1"/>
  <c r="K161" i="8" s="1"/>
  <c r="L161" i="8" a="1"/>
  <c r="L161" i="8" s="1"/>
  <c r="N161" i="8" a="1"/>
  <c r="N161" i="8" s="1"/>
  <c r="O161" i="8" a="1"/>
  <c r="O161" i="8" s="1"/>
  <c r="R161" i="8" a="1"/>
  <c r="R161" i="8" s="1"/>
  <c r="S161" i="8" a="1"/>
  <c r="S161" i="8" s="1"/>
  <c r="V161" i="8" a="1"/>
  <c r="V161" i="8" s="1"/>
  <c r="W161" i="8" a="1"/>
  <c r="W161" i="8" s="1"/>
  <c r="Z161" i="8" a="1"/>
  <c r="Z161" i="8" s="1"/>
  <c r="AA161" i="8" a="1"/>
  <c r="AA161" i="8" s="1"/>
  <c r="AD161" i="8" a="1"/>
  <c r="AD161" i="8" s="1"/>
  <c r="AE161" i="8" a="1"/>
  <c r="AE161" i="8" s="1"/>
  <c r="AH161" i="8" a="1"/>
  <c r="AH161" i="8" s="1"/>
  <c r="AI161" i="8" a="1"/>
  <c r="AI161" i="8" s="1"/>
  <c r="F162" i="8" a="1"/>
  <c r="F162" i="8" s="1"/>
  <c r="G162" i="8" a="1"/>
  <c r="G162" i="8" s="1"/>
  <c r="I162" i="8" a="1"/>
  <c r="I162" i="8" s="1"/>
  <c r="J162" i="8" a="1"/>
  <c r="J162" i="8" s="1"/>
  <c r="K162" i="8" a="1"/>
  <c r="K162" i="8" s="1"/>
  <c r="L162" i="8" a="1"/>
  <c r="L162" i="8" s="1"/>
  <c r="N162" i="8" a="1"/>
  <c r="N162" i="8" s="1"/>
  <c r="O162" i="8" a="1"/>
  <c r="O162" i="8" s="1"/>
  <c r="R162" i="8" a="1"/>
  <c r="R162" i="8" s="1"/>
  <c r="S162" i="8" a="1"/>
  <c r="S162" i="8" s="1"/>
  <c r="V162" i="8" a="1"/>
  <c r="V162" i="8" s="1"/>
  <c r="W162" i="8" a="1"/>
  <c r="W162" i="8" s="1"/>
  <c r="Z162" i="8" a="1"/>
  <c r="Z162" i="8" s="1"/>
  <c r="AA162" i="8" a="1"/>
  <c r="AA162" i="8" s="1"/>
  <c r="AD162" i="8" a="1"/>
  <c r="AD162" i="8" s="1"/>
  <c r="AE162" i="8" a="1"/>
  <c r="AE162" i="8" s="1"/>
  <c r="AH162" i="8" a="1"/>
  <c r="AH162" i="8" s="1"/>
  <c r="AI162" i="8" a="1"/>
  <c r="AI162" i="8" s="1"/>
  <c r="F163" i="8" a="1"/>
  <c r="F163" i="8" s="1"/>
  <c r="G163" i="8" a="1"/>
  <c r="G163" i="8" s="1"/>
  <c r="J163" i="8" a="1"/>
  <c r="J163" i="8" s="1"/>
  <c r="K163" i="8" a="1"/>
  <c r="K163" i="8" s="1"/>
  <c r="L163" i="8" a="1"/>
  <c r="L163" i="8" s="1"/>
  <c r="N163" i="8" a="1"/>
  <c r="N163" i="8" s="1"/>
  <c r="O163" i="8" a="1"/>
  <c r="O163" i="8" s="1"/>
  <c r="R163" i="8" a="1"/>
  <c r="R163" i="8" s="1"/>
  <c r="S163" i="8" a="1"/>
  <c r="S163" i="8" s="1"/>
  <c r="V163" i="8" a="1"/>
  <c r="V163" i="8" s="1"/>
  <c r="W163" i="8" a="1"/>
  <c r="W163" i="8" s="1"/>
  <c r="Z163" i="8" a="1"/>
  <c r="Z163" i="8" s="1"/>
  <c r="AA163" i="8" a="1"/>
  <c r="AA163" i="8" s="1"/>
  <c r="AD163" i="8" a="1"/>
  <c r="AD163" i="8" s="1"/>
  <c r="AE163" i="8" a="1"/>
  <c r="AE163" i="8" s="1"/>
  <c r="AH163" i="8" a="1"/>
  <c r="AH163" i="8" s="1"/>
  <c r="AI163" i="8" a="1"/>
  <c r="AI163" i="8" s="1"/>
  <c r="F164" i="8" a="1"/>
  <c r="F164" i="8" s="1"/>
  <c r="G164" i="8" a="1"/>
  <c r="G164" i="8" s="1"/>
  <c r="I164" i="8" a="1"/>
  <c r="I164" i="8" s="1"/>
  <c r="J164" i="8" a="1"/>
  <c r="J164" i="8" s="1"/>
  <c r="K164" i="8" a="1"/>
  <c r="K164" i="8" s="1"/>
  <c r="L164" i="8" a="1"/>
  <c r="L164" i="8" s="1"/>
  <c r="N164" i="8" a="1"/>
  <c r="N164" i="8" s="1"/>
  <c r="O164" i="8" a="1"/>
  <c r="O164" i="8" s="1"/>
  <c r="R164" i="8" a="1"/>
  <c r="R164" i="8" s="1"/>
  <c r="S164" i="8" a="1"/>
  <c r="S164" i="8" s="1"/>
  <c r="V164" i="8" a="1"/>
  <c r="V164" i="8" s="1"/>
  <c r="W164" i="8" a="1"/>
  <c r="W164" i="8" s="1"/>
  <c r="Z164" i="8" a="1"/>
  <c r="Z164" i="8" s="1"/>
  <c r="AA164" i="8" a="1"/>
  <c r="AA164" i="8" s="1"/>
  <c r="AD164" i="8" a="1"/>
  <c r="AD164" i="8" s="1"/>
  <c r="AE164" i="8" a="1"/>
  <c r="AE164" i="8" s="1"/>
  <c r="AH164" i="8" a="1"/>
  <c r="AH164" i="8" s="1"/>
  <c r="AI164" i="8" a="1"/>
  <c r="AI164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N165" i="8" a="1"/>
  <c r="N165" i="8" s="1"/>
  <c r="O165" i="8" a="1"/>
  <c r="O165" i="8" s="1"/>
  <c r="Q165" i="8" a="1"/>
  <c r="Q165" i="8" s="1"/>
  <c r="R165" i="8" a="1"/>
  <c r="R165" i="8" s="1"/>
  <c r="S165" i="8" a="1"/>
  <c r="S165" i="8" s="1"/>
  <c r="T165" i="8" a="1"/>
  <c r="T165" i="8" s="1"/>
  <c r="V165" i="8" a="1"/>
  <c r="V165" i="8" s="1"/>
  <c r="W165" i="8" a="1"/>
  <c r="W165" i="8" s="1"/>
  <c r="Z165" i="8" a="1"/>
  <c r="Z165" i="8" s="1"/>
  <c r="AA165" i="8" a="1"/>
  <c r="AA165" i="8" s="1"/>
  <c r="AD165" i="8" a="1"/>
  <c r="AD165" i="8" s="1"/>
  <c r="AE165" i="8" a="1"/>
  <c r="AE165" i="8" s="1"/>
  <c r="AH165" i="8" a="1"/>
  <c r="AH165" i="8" s="1"/>
  <c r="AI165" i="8" a="1"/>
  <c r="AI165" i="8" s="1"/>
  <c r="F166" i="8" a="1"/>
  <c r="F166" i="8" s="1"/>
  <c r="G166" i="8" a="1"/>
  <c r="G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V166" i="8" a="1"/>
  <c r="V166" i="8" s="1"/>
  <c r="W166" i="8" a="1"/>
  <c r="W166" i="8" s="1"/>
  <c r="Z166" i="8" a="1"/>
  <c r="Z166" i="8" s="1"/>
  <c r="AA166" i="8" a="1"/>
  <c r="AA166" i="8" s="1"/>
  <c r="AD166" i="8" a="1"/>
  <c r="AD166" i="8" s="1"/>
  <c r="AE166" i="8" a="1"/>
  <c r="AE166" i="8" s="1"/>
  <c r="AH166" i="8" a="1"/>
  <c r="AH166" i="8" s="1"/>
  <c r="AI166" i="8" a="1"/>
  <c r="AI166" i="8" s="1"/>
  <c r="F167" i="8" a="1"/>
  <c r="F167" i="8" s="1"/>
  <c r="G167" i="8" a="1"/>
  <c r="G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V167" i="8" a="1"/>
  <c r="V167" i="8" s="1"/>
  <c r="W167" i="8" a="1"/>
  <c r="W167" i="8" s="1"/>
  <c r="Z167" i="8" a="1"/>
  <c r="Z167" i="8" s="1"/>
  <c r="AA167" i="8" a="1"/>
  <c r="AA167" i="8" s="1"/>
  <c r="AD167" i="8" a="1"/>
  <c r="AD167" i="8" s="1"/>
  <c r="AE167" i="8" a="1"/>
  <c r="AE167" i="8" s="1"/>
  <c r="AH167" i="8" a="1"/>
  <c r="AH167" i="8" s="1"/>
  <c r="AI167" i="8" a="1"/>
  <c r="AI167" i="8" s="1"/>
  <c r="F168" i="8" a="1"/>
  <c r="F168" i="8" s="1"/>
  <c r="G168" i="8" a="1"/>
  <c r="G168" i="8" s="1"/>
  <c r="I168" i="8" a="1"/>
  <c r="I168" i="8" s="1"/>
  <c r="J168" i="8" a="1"/>
  <c r="J168" i="8" s="1"/>
  <c r="K168" i="8" a="1"/>
  <c r="K168" i="8" s="1"/>
  <c r="L168" i="8" a="1"/>
  <c r="L168" i="8" s="1"/>
  <c r="N168" i="8" a="1"/>
  <c r="N168" i="8" s="1"/>
  <c r="O168" i="8" a="1"/>
  <c r="O168" i="8" s="1"/>
  <c r="R168" i="8" a="1"/>
  <c r="R168" i="8" s="1"/>
  <c r="S168" i="8" a="1"/>
  <c r="S168" i="8" s="1"/>
  <c r="V168" i="8" a="1"/>
  <c r="V168" i="8" s="1"/>
  <c r="W168" i="8" a="1"/>
  <c r="W168" i="8" s="1"/>
  <c r="Z168" i="8" a="1"/>
  <c r="Z168" i="8" s="1"/>
  <c r="AA168" i="8" a="1"/>
  <c r="AA168" i="8" s="1"/>
  <c r="AD168" i="8" a="1"/>
  <c r="AD168" i="8" s="1"/>
  <c r="AE168" i="8" a="1"/>
  <c r="AE168" i="8" s="1"/>
  <c r="AH168" i="8" a="1"/>
  <c r="AH168" i="8" s="1"/>
  <c r="AI168" i="8" a="1"/>
  <c r="AI168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N169" i="8" a="1"/>
  <c r="N169" i="8" s="1"/>
  <c r="O169" i="8" a="1"/>
  <c r="O169" i="8" s="1"/>
  <c r="R169" i="8" a="1"/>
  <c r="R169" i="8" s="1"/>
  <c r="S169" i="8" a="1"/>
  <c r="S169" i="8" s="1"/>
  <c r="V169" i="8" a="1"/>
  <c r="V169" i="8" s="1"/>
  <c r="W169" i="8" a="1"/>
  <c r="W169" i="8" s="1"/>
  <c r="Z169" i="8" a="1"/>
  <c r="Z169" i="8" s="1"/>
  <c r="AA169" i="8" a="1"/>
  <c r="AA169" i="8" s="1"/>
  <c r="AD169" i="8" a="1"/>
  <c r="AD169" i="8" s="1"/>
  <c r="AE169" i="8" a="1"/>
  <c r="AE169" i="8" s="1"/>
  <c r="AH169" i="8" a="1"/>
  <c r="AH169" i="8" s="1"/>
  <c r="AI169" i="8" a="1"/>
  <c r="AI169" i="8" s="1"/>
  <c r="F170" i="8" a="1"/>
  <c r="F170" i="8" s="1"/>
  <c r="G170" i="8" a="1"/>
  <c r="G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V170" i="8" a="1"/>
  <c r="V170" i="8" s="1"/>
  <c r="W170" i="8" a="1"/>
  <c r="W170" i="8" s="1"/>
  <c r="Z170" i="8" a="1"/>
  <c r="Z170" i="8" s="1"/>
  <c r="AA170" i="8" a="1"/>
  <c r="AA170" i="8" s="1"/>
  <c r="AD170" i="8" a="1"/>
  <c r="AD170" i="8" s="1"/>
  <c r="AE170" i="8" a="1"/>
  <c r="AE170" i="8" s="1"/>
  <c r="AH170" i="8" a="1"/>
  <c r="AH170" i="8" s="1"/>
  <c r="AI170" i="8" a="1"/>
  <c r="AI170" i="8" s="1"/>
  <c r="F171" i="8" a="1"/>
  <c r="F171" i="8" s="1"/>
  <c r="G171" i="8" a="1"/>
  <c r="G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V171" i="8" a="1"/>
  <c r="V171" i="8" s="1"/>
  <c r="W171" i="8" a="1"/>
  <c r="W171" i="8" s="1"/>
  <c r="Z171" i="8" a="1"/>
  <c r="Z171" i="8" s="1"/>
  <c r="AA171" i="8" a="1"/>
  <c r="AA171" i="8" s="1"/>
  <c r="AD171" i="8" a="1"/>
  <c r="AD171" i="8" s="1"/>
  <c r="AE171" i="8" a="1"/>
  <c r="AE171" i="8" s="1"/>
  <c r="AH171" i="8" a="1"/>
  <c r="AH171" i="8" s="1"/>
  <c r="AI171" i="8" a="1"/>
  <c r="AI171" i="8" s="1"/>
  <c r="F172" i="8" a="1"/>
  <c r="F172" i="8" s="1"/>
  <c r="G172" i="8" a="1"/>
  <c r="G172" i="8" s="1"/>
  <c r="J172" i="8" a="1"/>
  <c r="J172" i="8" s="1"/>
  <c r="K172" i="8" a="1"/>
  <c r="K172" i="8" s="1"/>
  <c r="L172" i="8" a="1"/>
  <c r="L172" i="8" s="1"/>
  <c r="N172" i="8" a="1"/>
  <c r="N172" i="8" s="1"/>
  <c r="O172" i="8" a="1"/>
  <c r="O172" i="8" s="1"/>
  <c r="R172" i="8" a="1"/>
  <c r="R172" i="8" s="1"/>
  <c r="S172" i="8" a="1"/>
  <c r="S172" i="8" s="1"/>
  <c r="V172" i="8" a="1"/>
  <c r="V172" i="8" s="1"/>
  <c r="W172" i="8" a="1"/>
  <c r="W172" i="8" s="1"/>
  <c r="Z172" i="8" a="1"/>
  <c r="Z172" i="8" s="1"/>
  <c r="AA172" i="8" a="1"/>
  <c r="AA172" i="8" s="1"/>
  <c r="AD172" i="8" a="1"/>
  <c r="AD172" i="8" s="1"/>
  <c r="AE172" i="8" a="1"/>
  <c r="AE172" i="8" s="1"/>
  <c r="AH172" i="8" a="1"/>
  <c r="AH172" i="8" s="1"/>
  <c r="AI172" i="8" a="1"/>
  <c r="AI172" i="8" s="1"/>
  <c r="F173" i="8" a="1"/>
  <c r="F173" i="8" s="1"/>
  <c r="G173" i="8" a="1"/>
  <c r="G173" i="8" s="1"/>
  <c r="J173" i="8" a="1"/>
  <c r="J173" i="8" s="1"/>
  <c r="K173" i="8" a="1"/>
  <c r="K173" i="8" s="1"/>
  <c r="L173" i="8" a="1"/>
  <c r="L173" i="8" s="1"/>
  <c r="N173" i="8" a="1"/>
  <c r="N173" i="8" s="1"/>
  <c r="O173" i="8" a="1"/>
  <c r="O173" i="8" s="1"/>
  <c r="R173" i="8" a="1"/>
  <c r="R173" i="8" s="1"/>
  <c r="S173" i="8" a="1"/>
  <c r="S173" i="8" s="1"/>
  <c r="V173" i="8" a="1"/>
  <c r="V173" i="8" s="1"/>
  <c r="W173" i="8" a="1"/>
  <c r="W173" i="8" s="1"/>
  <c r="Z173" i="8" a="1"/>
  <c r="Z173" i="8" s="1"/>
  <c r="AA173" i="8" a="1"/>
  <c r="AA173" i="8" s="1"/>
  <c r="AD173" i="8" a="1"/>
  <c r="AD173" i="8" s="1"/>
  <c r="AE173" i="8" a="1"/>
  <c r="AE173" i="8" s="1"/>
  <c r="AH173" i="8" a="1"/>
  <c r="AH173" i="8" s="1"/>
  <c r="AI173" i="8" a="1"/>
  <c r="AI173" i="8" s="1"/>
  <c r="F174" i="8" a="1"/>
  <c r="F174" i="8" s="1"/>
  <c r="G174" i="8" a="1"/>
  <c r="G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V174" i="8" a="1"/>
  <c r="V174" i="8" s="1"/>
  <c r="W174" i="8" a="1"/>
  <c r="W174" i="8" s="1"/>
  <c r="Z174" i="8" a="1"/>
  <c r="Z174" i="8" s="1"/>
  <c r="AA174" i="8" a="1"/>
  <c r="AA174" i="8" s="1"/>
  <c r="AD174" i="8" a="1"/>
  <c r="AD174" i="8" s="1"/>
  <c r="AE174" i="8" a="1"/>
  <c r="AE174" i="8" s="1"/>
  <c r="AH174" i="8" a="1"/>
  <c r="AH174" i="8" s="1"/>
  <c r="AI174" i="8" a="1"/>
  <c r="AI174" i="8" s="1"/>
  <c r="F175" i="8" a="1"/>
  <c r="F175" i="8" s="1"/>
  <c r="G175" i="8" a="1"/>
  <c r="G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R175" i="8" a="1"/>
  <c r="R175" i="8" s="1"/>
  <c r="S175" i="8" a="1"/>
  <c r="S175" i="8" s="1"/>
  <c r="V175" i="8" a="1"/>
  <c r="V175" i="8" s="1"/>
  <c r="W175" i="8" a="1"/>
  <c r="W175" i="8" s="1"/>
  <c r="Z175" i="8" a="1"/>
  <c r="Z175" i="8" s="1"/>
  <c r="AA175" i="8" a="1"/>
  <c r="AA175" i="8" s="1"/>
  <c r="AD175" i="8" a="1"/>
  <c r="AD175" i="8" s="1"/>
  <c r="AE175" i="8" a="1"/>
  <c r="AE175" i="8" s="1"/>
  <c r="AH175" i="8" a="1"/>
  <c r="AH175" i="8" s="1"/>
  <c r="AI175" i="8" a="1"/>
  <c r="AI175" i="8" s="1"/>
  <c r="F176" i="8" a="1"/>
  <c r="F176" i="8" s="1"/>
  <c r="G176" i="8" a="1"/>
  <c r="G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R176" i="8" a="1"/>
  <c r="R176" i="8" s="1"/>
  <c r="S176" i="8" a="1"/>
  <c r="S176" i="8" s="1"/>
  <c r="V176" i="8" a="1"/>
  <c r="V176" i="8" s="1"/>
  <c r="W176" i="8" a="1"/>
  <c r="W176" i="8" s="1"/>
  <c r="Z176" i="8" a="1"/>
  <c r="Z176" i="8" s="1"/>
  <c r="AA176" i="8" a="1"/>
  <c r="AA176" i="8" s="1"/>
  <c r="AD176" i="8" a="1"/>
  <c r="AD176" i="8" s="1"/>
  <c r="AE176" i="8" a="1"/>
  <c r="AE176" i="8" s="1"/>
  <c r="AH176" i="8" a="1"/>
  <c r="AH176" i="8" s="1"/>
  <c r="AI176" i="8" a="1"/>
  <c r="AI176" i="8" s="1"/>
  <c r="F177" i="8" a="1"/>
  <c r="F177" i="8" s="1"/>
  <c r="G177" i="8" a="1"/>
  <c r="G177" i="8" s="1"/>
  <c r="J177" i="8" a="1"/>
  <c r="J177" i="8" s="1"/>
  <c r="K177" i="8" a="1"/>
  <c r="K177" i="8" s="1"/>
  <c r="L177" i="8" a="1"/>
  <c r="L177" i="8" s="1"/>
  <c r="N177" i="8" a="1"/>
  <c r="N177" i="8" s="1"/>
  <c r="O177" i="8" a="1"/>
  <c r="O177" i="8" s="1"/>
  <c r="R177" i="8" a="1"/>
  <c r="R177" i="8" s="1"/>
  <c r="S177" i="8" a="1"/>
  <c r="S177" i="8" s="1"/>
  <c r="V177" i="8" a="1"/>
  <c r="V177" i="8" s="1"/>
  <c r="W177" i="8" a="1"/>
  <c r="W177" i="8" s="1"/>
  <c r="Z177" i="8" a="1"/>
  <c r="Z177" i="8" s="1"/>
  <c r="AA177" i="8" a="1"/>
  <c r="AA177" i="8" s="1"/>
  <c r="AD177" i="8" a="1"/>
  <c r="AD177" i="8" s="1"/>
  <c r="AE177" i="8" a="1"/>
  <c r="AE177" i="8" s="1"/>
  <c r="AH177" i="8" a="1"/>
  <c r="AH177" i="8" s="1"/>
  <c r="AI177" i="8" a="1"/>
  <c r="AI177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Z178" i="8" a="1"/>
  <c r="Z178" i="8" s="1"/>
  <c r="AA178" i="8" a="1"/>
  <c r="AA178" i="8" s="1"/>
  <c r="AB178" i="8" a="1"/>
  <c r="AB178" i="8" s="1"/>
  <c r="AC178" i="8" a="1"/>
  <c r="AC178" i="8" s="1"/>
  <c r="AD178" i="8" a="1"/>
  <c r="AD178" i="8" s="1"/>
  <c r="AE178" i="8" a="1"/>
  <c r="AE178" i="8" s="1"/>
  <c r="AF178" i="8" a="1"/>
  <c r="AF178" i="8" s="1"/>
  <c r="AG178" i="8" a="1"/>
  <c r="AG178" i="8" s="1"/>
  <c r="AH178" i="8" a="1"/>
  <c r="AH178" i="8" s="1"/>
  <c r="AI178" i="8" a="1"/>
  <c r="AI178" i="8" s="1"/>
  <c r="AJ178" i="8" a="1"/>
  <c r="AJ178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Y179" i="8" a="1"/>
  <c r="Y179" i="8" s="1"/>
  <c r="Z179" i="8" a="1"/>
  <c r="Z179" i="8" s="1"/>
  <c r="AA179" i="8" a="1"/>
  <c r="AA179" i="8" s="1"/>
  <c r="AB179" i="8" a="1"/>
  <c r="AB179" i="8" s="1"/>
  <c r="AC179" i="8" a="1"/>
  <c r="AC179" i="8" s="1"/>
  <c r="AD179" i="8" a="1"/>
  <c r="AD179" i="8" s="1"/>
  <c r="AE179" i="8" a="1"/>
  <c r="AE179" i="8" s="1"/>
  <c r="AF179" i="8" a="1"/>
  <c r="AF179" i="8" s="1"/>
  <c r="AG179" i="8" a="1"/>
  <c r="AG179" i="8" s="1"/>
  <c r="AH179" i="8" a="1"/>
  <c r="AH179" i="8" s="1"/>
  <c r="AI179" i="8" a="1"/>
  <c r="AI179" i="8" s="1"/>
  <c r="AJ179" i="8" a="1"/>
  <c r="AJ179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Z180" i="8" a="1"/>
  <c r="Z180" i="8" s="1"/>
  <c r="AA180" i="8" a="1"/>
  <c r="AA180" i="8" s="1"/>
  <c r="AD180" i="8" a="1"/>
  <c r="AD180" i="8" s="1"/>
  <c r="AE180" i="8" a="1"/>
  <c r="AE180" i="8" s="1"/>
  <c r="AH180" i="8" a="1"/>
  <c r="AH180" i="8" s="1"/>
  <c r="AI180" i="8" a="1"/>
  <c r="AI180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Z181" i="8" a="1"/>
  <c r="Z181" i="8" s="1"/>
  <c r="AA181" i="8" a="1"/>
  <c r="AA181" i="8" s="1"/>
  <c r="AD181" i="8" a="1"/>
  <c r="AD181" i="8" s="1"/>
  <c r="AE181" i="8" a="1"/>
  <c r="AE181" i="8" s="1"/>
  <c r="AH181" i="8" a="1"/>
  <c r="AH181" i="8" s="1"/>
  <c r="AI181" i="8" a="1"/>
  <c r="AI181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V182" i="8" a="1"/>
  <c r="V182" i="8" s="1"/>
  <c r="W182" i="8" a="1"/>
  <c r="W182" i="8" s="1"/>
  <c r="Z182" i="8" a="1"/>
  <c r="Z182" i="8" s="1"/>
  <c r="AA182" i="8" a="1"/>
  <c r="AA182" i="8" s="1"/>
  <c r="AD182" i="8" a="1"/>
  <c r="AD182" i="8" s="1"/>
  <c r="AE182" i="8" a="1"/>
  <c r="AE182" i="8" s="1"/>
  <c r="AH182" i="8" a="1"/>
  <c r="AH182" i="8" s="1"/>
  <c r="AI182" i="8" a="1"/>
  <c r="AI182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V183" i="8" a="1"/>
  <c r="V183" i="8" s="1"/>
  <c r="W183" i="8" a="1"/>
  <c r="W183" i="8" s="1"/>
  <c r="Z183" i="8" a="1"/>
  <c r="Z183" i="8" s="1"/>
  <c r="AA183" i="8" a="1"/>
  <c r="AA183" i="8" s="1"/>
  <c r="AD183" i="8" a="1"/>
  <c r="AD183" i="8" s="1"/>
  <c r="AE183" i="8" a="1"/>
  <c r="AE183" i="8" s="1"/>
  <c r="AH183" i="8" a="1"/>
  <c r="AH183" i="8" s="1"/>
  <c r="AI183" i="8" a="1"/>
  <c r="AI183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V184" i="8" a="1"/>
  <c r="V184" i="8" s="1"/>
  <c r="W184" i="8" a="1"/>
  <c r="W184" i="8" s="1"/>
  <c r="Z184" i="8" a="1"/>
  <c r="Z184" i="8" s="1"/>
  <c r="AA184" i="8" a="1"/>
  <c r="AA184" i="8" s="1"/>
  <c r="AD184" i="8" a="1"/>
  <c r="AD184" i="8" s="1"/>
  <c r="AE184" i="8" a="1"/>
  <c r="AE184" i="8" s="1"/>
  <c r="AH184" i="8" a="1"/>
  <c r="AH184" i="8" s="1"/>
  <c r="AI184" i="8" a="1"/>
  <c r="AI184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V185" i="8" a="1"/>
  <c r="V185" i="8" s="1"/>
  <c r="W185" i="8" a="1"/>
  <c r="W185" i="8" s="1"/>
  <c r="Z185" i="8" a="1"/>
  <c r="Z185" i="8" s="1"/>
  <c r="AA185" i="8" a="1"/>
  <c r="AA185" i="8" s="1"/>
  <c r="AD185" i="8" a="1"/>
  <c r="AD185" i="8" s="1"/>
  <c r="AE185" i="8" a="1"/>
  <c r="AE185" i="8" s="1"/>
  <c r="AH185" i="8" a="1"/>
  <c r="AH185" i="8" s="1"/>
  <c r="AI185" i="8" a="1"/>
  <c r="AI185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V186" i="8" a="1"/>
  <c r="V186" i="8" s="1"/>
  <c r="W186" i="8" a="1"/>
  <c r="W186" i="8" s="1"/>
  <c r="Z186" i="8" a="1"/>
  <c r="Z186" i="8" s="1"/>
  <c r="AA186" i="8" a="1"/>
  <c r="AA186" i="8" s="1"/>
  <c r="AD186" i="8" a="1"/>
  <c r="AD186" i="8" s="1"/>
  <c r="AE186" i="8" a="1"/>
  <c r="AE186" i="8" s="1"/>
  <c r="AH186" i="8" a="1"/>
  <c r="AH186" i="8" s="1"/>
  <c r="AI186" i="8" a="1"/>
  <c r="AI186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V187" i="8" a="1"/>
  <c r="V187" i="8" s="1"/>
  <c r="W187" i="8" a="1"/>
  <c r="W187" i="8" s="1"/>
  <c r="Z187" i="8" a="1"/>
  <c r="Z187" i="8" s="1"/>
  <c r="AA187" i="8" a="1"/>
  <c r="AA187" i="8" s="1"/>
  <c r="AD187" i="8" a="1"/>
  <c r="AD187" i="8" s="1"/>
  <c r="AE187" i="8" a="1"/>
  <c r="AE187" i="8" s="1"/>
  <c r="AH187" i="8" a="1"/>
  <c r="AH187" i="8" s="1"/>
  <c r="AI187" i="8" a="1"/>
  <c r="AI187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V188" i="8" a="1"/>
  <c r="V188" i="8" s="1"/>
  <c r="W188" i="8" a="1"/>
  <c r="W188" i="8" s="1"/>
  <c r="Z188" i="8" a="1"/>
  <c r="Z188" i="8" s="1"/>
  <c r="AA188" i="8" a="1"/>
  <c r="AA188" i="8" s="1"/>
  <c r="AD188" i="8" a="1"/>
  <c r="AD188" i="8" s="1"/>
  <c r="AE188" i="8" a="1"/>
  <c r="AE188" i="8" s="1"/>
  <c r="AH188" i="8" a="1"/>
  <c r="AH188" i="8" s="1"/>
  <c r="AI188" i="8" a="1"/>
  <c r="AI188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V189" i="8" a="1"/>
  <c r="V189" i="8" s="1"/>
  <c r="W189" i="8" a="1"/>
  <c r="W189" i="8" s="1"/>
  <c r="Z189" i="8" a="1"/>
  <c r="Z189" i="8" s="1"/>
  <c r="AA189" i="8" a="1"/>
  <c r="AA189" i="8" s="1"/>
  <c r="AD189" i="8" a="1"/>
  <c r="AD189" i="8" s="1"/>
  <c r="AE189" i="8" a="1"/>
  <c r="AE189" i="8" s="1"/>
  <c r="AH189" i="8" a="1"/>
  <c r="AH189" i="8" s="1"/>
  <c r="AI189" i="8" a="1"/>
  <c r="AI189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V190" i="8" a="1"/>
  <c r="V190" i="8" s="1"/>
  <c r="W190" i="8" a="1"/>
  <c r="W190" i="8" s="1"/>
  <c r="Z190" i="8" a="1"/>
  <c r="Z190" i="8" s="1"/>
  <c r="AA190" i="8" a="1"/>
  <c r="AA190" i="8" s="1"/>
  <c r="AD190" i="8" a="1"/>
  <c r="AD190" i="8" s="1"/>
  <c r="AE190" i="8" a="1"/>
  <c r="AE190" i="8" s="1"/>
  <c r="AH190" i="8" a="1"/>
  <c r="AH190" i="8" s="1"/>
  <c r="AI190" i="8" a="1"/>
  <c r="AI190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V191" i="8" a="1"/>
  <c r="V191" i="8" s="1"/>
  <c r="W191" i="8" a="1"/>
  <c r="W191" i="8" s="1"/>
  <c r="Z191" i="8" a="1"/>
  <c r="Z191" i="8" s="1"/>
  <c r="AA191" i="8" a="1"/>
  <c r="AA191" i="8" s="1"/>
  <c r="AD191" i="8" a="1"/>
  <c r="AD191" i="8" s="1"/>
  <c r="AE191" i="8" a="1"/>
  <c r="AE191" i="8" s="1"/>
  <c r="AH191" i="8" a="1"/>
  <c r="AH191" i="8" s="1"/>
  <c r="AI191" i="8" a="1"/>
  <c r="AI191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V192" i="8" a="1"/>
  <c r="V192" i="8" s="1"/>
  <c r="W192" i="8" a="1"/>
  <c r="W192" i="8" s="1"/>
  <c r="Z192" i="8" a="1"/>
  <c r="Z192" i="8" s="1"/>
  <c r="AA192" i="8" a="1"/>
  <c r="AA192" i="8" s="1"/>
  <c r="AD192" i="8" a="1"/>
  <c r="AD192" i="8" s="1"/>
  <c r="AE192" i="8" a="1"/>
  <c r="AE192" i="8" s="1"/>
  <c r="AH192" i="8" a="1"/>
  <c r="AH192" i="8" s="1"/>
  <c r="AI192" i="8" a="1"/>
  <c r="AI192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V193" i="8" a="1"/>
  <c r="V193" i="8" s="1"/>
  <c r="W193" i="8" a="1"/>
  <c r="W193" i="8" s="1"/>
  <c r="Z193" i="8" a="1"/>
  <c r="Z193" i="8" s="1"/>
  <c r="AA193" i="8" a="1"/>
  <c r="AA193" i="8" s="1"/>
  <c r="AD193" i="8" a="1"/>
  <c r="AD193" i="8" s="1"/>
  <c r="AE193" i="8" a="1"/>
  <c r="AE193" i="8" s="1"/>
  <c r="AH193" i="8" a="1"/>
  <c r="AH193" i="8" s="1"/>
  <c r="AI193" i="8" a="1"/>
  <c r="AI193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V194" i="8" a="1"/>
  <c r="V194" i="8" s="1"/>
  <c r="W194" i="8" a="1"/>
  <c r="W194" i="8" s="1"/>
  <c r="Z194" i="8" a="1"/>
  <c r="Z194" i="8" s="1"/>
  <c r="AA194" i="8" a="1"/>
  <c r="AA194" i="8" s="1"/>
  <c r="AD194" i="8" a="1"/>
  <c r="AD194" i="8" s="1"/>
  <c r="AE194" i="8" a="1"/>
  <c r="AE194" i="8" s="1"/>
  <c r="AH194" i="8" a="1"/>
  <c r="AH194" i="8" s="1"/>
  <c r="AI194" i="8" a="1"/>
  <c r="AI194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V195" i="8" a="1"/>
  <c r="V195" i="8" s="1"/>
  <c r="W195" i="8" a="1"/>
  <c r="W195" i="8" s="1"/>
  <c r="Z195" i="8" a="1"/>
  <c r="Z195" i="8" s="1"/>
  <c r="AA195" i="8" a="1"/>
  <c r="AA195" i="8" s="1"/>
  <c r="AD195" i="8" a="1"/>
  <c r="AD195" i="8" s="1"/>
  <c r="AE195" i="8" a="1"/>
  <c r="AE195" i="8" s="1"/>
  <c r="AH195" i="8" a="1"/>
  <c r="AH195" i="8" s="1"/>
  <c r="AI195" i="8" a="1"/>
  <c r="AI195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V196" i="8" a="1"/>
  <c r="V196" i="8" s="1"/>
  <c r="W196" i="8" a="1"/>
  <c r="W196" i="8" s="1"/>
  <c r="Z196" i="8" a="1"/>
  <c r="Z196" i="8" s="1"/>
  <c r="AA196" i="8" a="1"/>
  <c r="AA196" i="8" s="1"/>
  <c r="AD196" i="8" a="1"/>
  <c r="AD196" i="8" s="1"/>
  <c r="AE196" i="8" a="1"/>
  <c r="AE196" i="8" s="1"/>
  <c r="AH196" i="8" a="1"/>
  <c r="AH196" i="8" s="1"/>
  <c r="AI196" i="8" a="1"/>
  <c r="AI196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V197" i="8" a="1"/>
  <c r="V197" i="8" s="1"/>
  <c r="W197" i="8" a="1"/>
  <c r="W197" i="8" s="1"/>
  <c r="Z197" i="8" a="1"/>
  <c r="Z197" i="8" s="1"/>
  <c r="AA197" i="8" a="1"/>
  <c r="AA197" i="8" s="1"/>
  <c r="AD197" i="8" a="1"/>
  <c r="AD197" i="8" s="1"/>
  <c r="AE197" i="8" a="1"/>
  <c r="AE197" i="8" s="1"/>
  <c r="AH197" i="8" a="1"/>
  <c r="AH197" i="8" s="1"/>
  <c r="AI197" i="8" a="1"/>
  <c r="AI197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V198" i="8" a="1"/>
  <c r="V198" i="8" s="1"/>
  <c r="W198" i="8" a="1"/>
  <c r="W198" i="8" s="1"/>
  <c r="Z198" i="8" a="1"/>
  <c r="Z198" i="8" s="1"/>
  <c r="AA198" i="8" a="1"/>
  <c r="AA198" i="8" s="1"/>
  <c r="AD198" i="8" a="1"/>
  <c r="AD198" i="8" s="1"/>
  <c r="AE198" i="8" a="1"/>
  <c r="AE198" i="8" s="1"/>
  <c r="AH198" i="8" a="1"/>
  <c r="AH198" i="8" s="1"/>
  <c r="AI198" i="8" a="1"/>
  <c r="AI198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V199" i="8" a="1"/>
  <c r="V199" i="8" s="1"/>
  <c r="W199" i="8" a="1"/>
  <c r="W199" i="8" s="1"/>
  <c r="Z199" i="8" a="1"/>
  <c r="Z199" i="8" s="1"/>
  <c r="AA199" i="8" a="1"/>
  <c r="AA199" i="8" s="1"/>
  <c r="AD199" i="8" a="1"/>
  <c r="AD199" i="8" s="1"/>
  <c r="AE199" i="8" a="1"/>
  <c r="AE199" i="8" s="1"/>
  <c r="AH199" i="8" a="1"/>
  <c r="AH199" i="8" s="1"/>
  <c r="AI199" i="8" a="1"/>
  <c r="AI199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V200" i="8" a="1"/>
  <c r="V200" i="8" s="1"/>
  <c r="W200" i="8" a="1"/>
  <c r="W200" i="8" s="1"/>
  <c r="Z200" i="8" a="1"/>
  <c r="Z200" i="8" s="1"/>
  <c r="AA200" i="8" a="1"/>
  <c r="AA200" i="8" s="1"/>
  <c r="AD200" i="8" a="1"/>
  <c r="AD200" i="8" s="1"/>
  <c r="AE200" i="8" a="1"/>
  <c r="AE200" i="8" s="1"/>
  <c r="AH200" i="8" a="1"/>
  <c r="AH200" i="8" s="1"/>
  <c r="AI200" i="8" a="1"/>
  <c r="AI200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V201" i="8" a="1"/>
  <c r="V201" i="8" s="1"/>
  <c r="W201" i="8" a="1"/>
  <c r="W201" i="8" s="1"/>
  <c r="Z201" i="8" a="1"/>
  <c r="Z201" i="8" s="1"/>
  <c r="AA201" i="8" a="1"/>
  <c r="AA201" i="8" s="1"/>
  <c r="AD201" i="8" a="1"/>
  <c r="AD201" i="8" s="1"/>
  <c r="AE201" i="8" a="1"/>
  <c r="AE201" i="8" s="1"/>
  <c r="AH201" i="8" a="1"/>
  <c r="AH201" i="8" s="1"/>
  <c r="AI201" i="8" a="1"/>
  <c r="AI201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Z202" i="8" a="1"/>
  <c r="Z202" i="8" s="1"/>
  <c r="AA202" i="8" a="1"/>
  <c r="AA202" i="8" s="1"/>
  <c r="AB202" i="8" a="1"/>
  <c r="AB202" i="8" s="1"/>
  <c r="AC202" i="8" a="1"/>
  <c r="AC202" i="8" s="1"/>
  <c r="AD202" i="8" a="1"/>
  <c r="AD202" i="8" s="1"/>
  <c r="AE202" i="8" a="1"/>
  <c r="AE202" i="8" s="1"/>
  <c r="AF202" i="8" a="1"/>
  <c r="AF202" i="8" s="1"/>
  <c r="AG202" i="8" a="1"/>
  <c r="AG202" i="8" s="1"/>
  <c r="AH202" i="8" a="1"/>
  <c r="AH202" i="8" s="1"/>
  <c r="AI202" i="8" a="1"/>
  <c r="AI202" i="8" s="1"/>
  <c r="AJ202" i="8" a="1"/>
  <c r="AJ202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Y203" i="8" a="1"/>
  <c r="Y203" i="8" s="1"/>
  <c r="Z203" i="8" a="1"/>
  <c r="Z203" i="8" s="1"/>
  <c r="AA203" i="8" a="1"/>
  <c r="AA203" i="8" s="1"/>
  <c r="AC203" i="8" a="1"/>
  <c r="AC203" i="8" s="1"/>
  <c r="AD203" i="8" a="1"/>
  <c r="AD203" i="8" s="1"/>
  <c r="AE203" i="8" a="1"/>
  <c r="AE203" i="8" s="1"/>
  <c r="AG203" i="8" a="1"/>
  <c r="AG203" i="8" s="1"/>
  <c r="AH203" i="8" a="1"/>
  <c r="AH203" i="8" s="1"/>
  <c r="AI203" i="8" a="1"/>
  <c r="AI203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V204" i="8" a="1"/>
  <c r="V204" i="8" s="1"/>
  <c r="Y204" i="8" a="1"/>
  <c r="Y204" i="8" s="1"/>
  <c r="Z204" i="8" a="1"/>
  <c r="Z204" i="8" s="1"/>
  <c r="AA204" i="8" a="1"/>
  <c r="AA204" i="8" s="1"/>
  <c r="AC204" i="8" a="1"/>
  <c r="AC204" i="8" s="1"/>
  <c r="AD204" i="8" a="1"/>
  <c r="AD204" i="8" s="1"/>
  <c r="AE204" i="8" a="1"/>
  <c r="AE204" i="8" s="1"/>
  <c r="AG204" i="8" a="1"/>
  <c r="AG204" i="8" s="1"/>
  <c r="AH204" i="8" a="1"/>
  <c r="AH204" i="8" s="1"/>
  <c r="AI204" i="8" a="1"/>
  <c r="AI204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V205" i="8" a="1"/>
  <c r="V205" i="8" s="1"/>
  <c r="Z205" i="8" a="1"/>
  <c r="Z205" i="8" s="1"/>
  <c r="AA205" i="8" a="1"/>
  <c r="AA205" i="8" s="1"/>
  <c r="AD205" i="8" a="1"/>
  <c r="AD205" i="8" s="1"/>
  <c r="AE205" i="8" a="1"/>
  <c r="AE205" i="8" s="1"/>
  <c r="AH205" i="8" a="1"/>
  <c r="AH205" i="8" s="1"/>
  <c r="AI205" i="8" a="1"/>
  <c r="AI205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V206" i="8" a="1"/>
  <c r="V206" i="8" s="1"/>
  <c r="Z206" i="8" a="1"/>
  <c r="Z206" i="8" s="1"/>
  <c r="AA206" i="8" a="1"/>
  <c r="AA206" i="8" s="1"/>
  <c r="AD206" i="8" a="1"/>
  <c r="AD206" i="8" s="1"/>
  <c r="AE206" i="8" a="1"/>
  <c r="AE206" i="8" s="1"/>
  <c r="AH206" i="8" a="1"/>
  <c r="AH206" i="8" s="1"/>
  <c r="AI206" i="8" a="1"/>
  <c r="AI206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V207" i="8" a="1"/>
  <c r="V207" i="8" s="1"/>
  <c r="Z207" i="8" a="1"/>
  <c r="Z207" i="8" s="1"/>
  <c r="AA207" i="8" a="1"/>
  <c r="AA207" i="8" s="1"/>
  <c r="AD207" i="8" a="1"/>
  <c r="AD207" i="8" s="1"/>
  <c r="AE207" i="8" a="1"/>
  <c r="AE207" i="8" s="1"/>
  <c r="AH207" i="8" a="1"/>
  <c r="AH207" i="8" s="1"/>
  <c r="AI207" i="8" a="1"/>
  <c r="AI207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V208" i="8" a="1"/>
  <c r="V208" i="8" s="1"/>
  <c r="Z208" i="8" a="1"/>
  <c r="Z208" i="8" s="1"/>
  <c r="AA208" i="8" a="1"/>
  <c r="AA208" i="8" s="1"/>
  <c r="AD208" i="8" a="1"/>
  <c r="AD208" i="8" s="1"/>
  <c r="AE208" i="8" a="1"/>
  <c r="AE208" i="8" s="1"/>
  <c r="AH208" i="8" a="1"/>
  <c r="AH208" i="8" s="1"/>
  <c r="AI208" i="8" a="1"/>
  <c r="AI208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V209" i="8" a="1"/>
  <c r="V209" i="8" s="1"/>
  <c r="Z209" i="8" a="1"/>
  <c r="Z209" i="8" s="1"/>
  <c r="AA209" i="8" a="1"/>
  <c r="AA209" i="8" s="1"/>
  <c r="AD209" i="8" a="1"/>
  <c r="AD209" i="8" s="1"/>
  <c r="AE209" i="8" a="1"/>
  <c r="AE209" i="8" s="1"/>
  <c r="AH209" i="8" a="1"/>
  <c r="AH209" i="8" s="1"/>
  <c r="AI209" i="8" a="1"/>
  <c r="AI209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V210" i="8" a="1"/>
  <c r="V210" i="8" s="1"/>
  <c r="Z210" i="8" a="1"/>
  <c r="Z210" i="8" s="1"/>
  <c r="AA210" i="8" a="1"/>
  <c r="AA210" i="8" s="1"/>
  <c r="AD210" i="8" a="1"/>
  <c r="AD210" i="8" s="1"/>
  <c r="AE210" i="8" a="1"/>
  <c r="AE210" i="8" s="1"/>
  <c r="AH210" i="8" a="1"/>
  <c r="AH210" i="8" s="1"/>
  <c r="AI210" i="8" a="1"/>
  <c r="AI210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V211" i="8" a="1"/>
  <c r="V211" i="8" s="1"/>
  <c r="Z211" i="8" a="1"/>
  <c r="Z211" i="8" s="1"/>
  <c r="AA211" i="8" a="1"/>
  <c r="AA211" i="8" s="1"/>
  <c r="AD211" i="8" a="1"/>
  <c r="AD211" i="8" s="1"/>
  <c r="AE211" i="8" a="1"/>
  <c r="AE211" i="8" s="1"/>
  <c r="AH211" i="8" a="1"/>
  <c r="AH211" i="8" s="1"/>
  <c r="AI211" i="8" a="1"/>
  <c r="AI211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V212" i="8" a="1"/>
  <c r="V212" i="8" s="1"/>
  <c r="Z212" i="8" a="1"/>
  <c r="Z212" i="8" s="1"/>
  <c r="AA212" i="8" a="1"/>
  <c r="AA212" i="8" s="1"/>
  <c r="AD212" i="8" a="1"/>
  <c r="AD212" i="8" s="1"/>
  <c r="AE212" i="8" a="1"/>
  <c r="AE212" i="8" s="1"/>
  <c r="AH212" i="8" a="1"/>
  <c r="AH212" i="8" s="1"/>
  <c r="AI212" i="8" a="1"/>
  <c r="AI212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V213" i="8" a="1"/>
  <c r="V213" i="8" s="1"/>
  <c r="Z213" i="8" a="1"/>
  <c r="Z213" i="8" s="1"/>
  <c r="AA213" i="8" a="1"/>
  <c r="AA213" i="8" s="1"/>
  <c r="AD213" i="8" a="1"/>
  <c r="AD213" i="8" s="1"/>
  <c r="AE213" i="8" a="1"/>
  <c r="AE213" i="8" s="1"/>
  <c r="AH213" i="8" a="1"/>
  <c r="AH213" i="8" s="1"/>
  <c r="AI213" i="8" a="1"/>
  <c r="AI213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V214" i="8" a="1"/>
  <c r="V214" i="8" s="1"/>
  <c r="Z214" i="8" a="1"/>
  <c r="Z214" i="8" s="1"/>
  <c r="AA214" i="8" a="1"/>
  <c r="AA214" i="8" s="1"/>
  <c r="AD214" i="8" a="1"/>
  <c r="AD214" i="8" s="1"/>
  <c r="AE214" i="8" a="1"/>
  <c r="AE214" i="8" s="1"/>
  <c r="AH214" i="8" a="1"/>
  <c r="AH214" i="8" s="1"/>
  <c r="AI214" i="8" a="1"/>
  <c r="AI214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V215" i="8" a="1"/>
  <c r="V215" i="8" s="1"/>
  <c r="Z215" i="8" a="1"/>
  <c r="Z215" i="8" s="1"/>
  <c r="AA215" i="8" a="1"/>
  <c r="AA215" i="8" s="1"/>
  <c r="AD215" i="8" a="1"/>
  <c r="AD215" i="8" s="1"/>
  <c r="AE215" i="8" a="1"/>
  <c r="AE215" i="8" s="1"/>
  <c r="AH215" i="8" a="1"/>
  <c r="AH215" i="8" s="1"/>
  <c r="AI215" i="8" a="1"/>
  <c r="AI215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V216" i="8" a="1"/>
  <c r="V216" i="8" s="1"/>
  <c r="Z216" i="8" a="1"/>
  <c r="Z216" i="8" s="1"/>
  <c r="AA216" i="8" a="1"/>
  <c r="AA216" i="8" s="1"/>
  <c r="AD216" i="8" a="1"/>
  <c r="AD216" i="8" s="1"/>
  <c r="AE216" i="8" a="1"/>
  <c r="AE216" i="8" s="1"/>
  <c r="AH216" i="8" a="1"/>
  <c r="AH216" i="8" s="1"/>
  <c r="AI216" i="8" a="1"/>
  <c r="AI216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V217" i="8" a="1"/>
  <c r="V217" i="8" s="1"/>
  <c r="Z217" i="8" a="1"/>
  <c r="Z217" i="8" s="1"/>
  <c r="AA217" i="8" a="1"/>
  <c r="AA217" i="8" s="1"/>
  <c r="AD217" i="8" a="1"/>
  <c r="AD217" i="8" s="1"/>
  <c r="AE217" i="8" a="1"/>
  <c r="AE217" i="8" s="1"/>
  <c r="AH217" i="8" a="1"/>
  <c r="AH217" i="8" s="1"/>
  <c r="AI217" i="8" a="1"/>
  <c r="AI217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V218" i="8" a="1"/>
  <c r="V218" i="8" s="1"/>
  <c r="Z218" i="8" a="1"/>
  <c r="Z218" i="8" s="1"/>
  <c r="AA218" i="8" a="1"/>
  <c r="AA218" i="8" s="1"/>
  <c r="AD218" i="8" a="1"/>
  <c r="AD218" i="8" s="1"/>
  <c r="AE218" i="8" a="1"/>
  <c r="AE218" i="8" s="1"/>
  <c r="AH218" i="8" a="1"/>
  <c r="AH218" i="8" s="1"/>
  <c r="AI218" i="8" a="1"/>
  <c r="AI218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V219" i="8" a="1"/>
  <c r="V219" i="8" s="1"/>
  <c r="Z219" i="8" a="1"/>
  <c r="Z219" i="8" s="1"/>
  <c r="AA219" i="8" a="1"/>
  <c r="AA219" i="8" s="1"/>
  <c r="AD219" i="8" a="1"/>
  <c r="AD219" i="8" s="1"/>
  <c r="AE219" i="8" a="1"/>
  <c r="AE219" i="8" s="1"/>
  <c r="AH219" i="8" a="1"/>
  <c r="AH219" i="8" s="1"/>
  <c r="AI219" i="8" a="1"/>
  <c r="AI219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V220" i="8" a="1"/>
  <c r="V220" i="8" s="1"/>
  <c r="Z220" i="8" a="1"/>
  <c r="Z220" i="8" s="1"/>
  <c r="AA220" i="8" a="1"/>
  <c r="AA220" i="8" s="1"/>
  <c r="AD220" i="8" a="1"/>
  <c r="AD220" i="8" s="1"/>
  <c r="AE220" i="8" a="1"/>
  <c r="AE220" i="8" s="1"/>
  <c r="AH220" i="8" a="1"/>
  <c r="AH220" i="8" s="1"/>
  <c r="AI220" i="8" a="1"/>
  <c r="AI220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V221" i="8" a="1"/>
  <c r="V221" i="8" s="1"/>
  <c r="Z221" i="8" a="1"/>
  <c r="Z221" i="8" s="1"/>
  <c r="AA221" i="8" a="1"/>
  <c r="AA221" i="8" s="1"/>
  <c r="AD221" i="8" a="1"/>
  <c r="AD221" i="8" s="1"/>
  <c r="AE221" i="8" a="1"/>
  <c r="AE221" i="8" s="1"/>
  <c r="AH221" i="8" a="1"/>
  <c r="AH221" i="8" s="1"/>
  <c r="AI221" i="8" a="1"/>
  <c r="AI221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V222" i="8" a="1"/>
  <c r="V222" i="8" s="1"/>
  <c r="Z222" i="8" a="1"/>
  <c r="Z222" i="8" s="1"/>
  <c r="AA222" i="8" a="1"/>
  <c r="AA222" i="8" s="1"/>
  <c r="AD222" i="8" a="1"/>
  <c r="AD222" i="8" s="1"/>
  <c r="AE222" i="8" a="1"/>
  <c r="AE222" i="8" s="1"/>
  <c r="AH222" i="8" a="1"/>
  <c r="AH222" i="8" s="1"/>
  <c r="AI222" i="8" a="1"/>
  <c r="AI222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V223" i="8" a="1"/>
  <c r="V223" i="8" s="1"/>
  <c r="Z223" i="8" a="1"/>
  <c r="Z223" i="8" s="1"/>
  <c r="AA223" i="8" a="1"/>
  <c r="AA223" i="8" s="1"/>
  <c r="AD223" i="8" a="1"/>
  <c r="AD223" i="8" s="1"/>
  <c r="AE223" i="8" a="1"/>
  <c r="AE223" i="8" s="1"/>
  <c r="AH223" i="8" a="1"/>
  <c r="AH223" i="8" s="1"/>
  <c r="AI223" i="8" a="1"/>
  <c r="AI223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V224" i="8" a="1"/>
  <c r="V224" i="8" s="1"/>
  <c r="Z224" i="8" a="1"/>
  <c r="Z224" i="8" s="1"/>
  <c r="AA224" i="8" a="1"/>
  <c r="AA224" i="8" s="1"/>
  <c r="AD224" i="8" a="1"/>
  <c r="AD224" i="8" s="1"/>
  <c r="AE224" i="8" a="1"/>
  <c r="AE224" i="8" s="1"/>
  <c r="AH224" i="8" a="1"/>
  <c r="AH224" i="8" s="1"/>
  <c r="AI224" i="8" a="1"/>
  <c r="AI224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V225" i="8" a="1"/>
  <c r="V225" i="8" s="1"/>
  <c r="Z225" i="8" a="1"/>
  <c r="Z225" i="8" s="1"/>
  <c r="AA225" i="8" a="1"/>
  <c r="AA225" i="8" s="1"/>
  <c r="AD225" i="8" a="1"/>
  <c r="AD225" i="8" s="1"/>
  <c r="AE225" i="8" a="1"/>
  <c r="AE225" i="8" s="1"/>
  <c r="AH225" i="8" a="1"/>
  <c r="AH225" i="8" s="1"/>
  <c r="AI225" i="8" a="1"/>
  <c r="AI225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Z226" i="8" a="1"/>
  <c r="Z226" i="8" s="1"/>
  <c r="AA226" i="8" a="1"/>
  <c r="AA226" i="8" s="1"/>
  <c r="AB226" i="8" a="1"/>
  <c r="AB226" i="8" s="1"/>
  <c r="AC226" i="8" a="1"/>
  <c r="AC226" i="8" s="1"/>
  <c r="AD226" i="8" a="1"/>
  <c r="AD226" i="8" s="1"/>
  <c r="AE226" i="8" a="1"/>
  <c r="AE226" i="8" s="1"/>
  <c r="AG226" i="8" a="1"/>
  <c r="AG226" i="8" s="1"/>
  <c r="AH226" i="8" a="1"/>
  <c r="AH226" i="8" s="1"/>
  <c r="AI226" i="8" a="1"/>
  <c r="AI226" i="8" s="1"/>
  <c r="AJ226" i="8" a="1"/>
  <c r="AJ226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Y227" i="8" a="1"/>
  <c r="Y227" i="8" s="1"/>
  <c r="Z227" i="8" a="1"/>
  <c r="Z227" i="8" s="1"/>
  <c r="AA227" i="8" a="1"/>
  <c r="AA227" i="8" s="1"/>
  <c r="AC227" i="8" a="1"/>
  <c r="AC227" i="8" s="1"/>
  <c r="AD227" i="8" a="1"/>
  <c r="AD227" i="8" s="1"/>
  <c r="AE227" i="8" a="1"/>
  <c r="AE227" i="8" s="1"/>
  <c r="AG227" i="8" a="1"/>
  <c r="AG227" i="8" s="1"/>
  <c r="AH227" i="8" a="1"/>
  <c r="AH227" i="8" s="1"/>
  <c r="AI227" i="8" a="1"/>
  <c r="AI227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Z228" i="8" a="1"/>
  <c r="Z228" i="8" s="1"/>
  <c r="AA228" i="8" a="1"/>
  <c r="AA228" i="8" s="1"/>
  <c r="AD228" i="8" a="1"/>
  <c r="AD228" i="8" s="1"/>
  <c r="AE228" i="8" a="1"/>
  <c r="AE228" i="8" s="1"/>
  <c r="AH228" i="8" a="1"/>
  <c r="AH228" i="8" s="1"/>
  <c r="AI228" i="8" a="1"/>
  <c r="AI228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V229" i="8" a="1"/>
  <c r="V229" i="8" s="1"/>
  <c r="W229" i="8" a="1"/>
  <c r="W229" i="8" s="1"/>
  <c r="Z229" i="8" a="1"/>
  <c r="Z229" i="8" s="1"/>
  <c r="AA229" i="8" a="1"/>
  <c r="AA229" i="8" s="1"/>
  <c r="AD229" i="8" a="1"/>
  <c r="AD229" i="8" s="1"/>
  <c r="AE229" i="8" a="1"/>
  <c r="AE229" i="8" s="1"/>
  <c r="AH229" i="8" a="1"/>
  <c r="AH229" i="8" s="1"/>
  <c r="AI229" i="8" a="1"/>
  <c r="AI229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V230" i="8" a="1"/>
  <c r="V230" i="8" s="1"/>
  <c r="W230" i="8" a="1"/>
  <c r="W230" i="8" s="1"/>
  <c r="Z230" i="8" a="1"/>
  <c r="Z230" i="8" s="1"/>
  <c r="AA230" i="8" a="1"/>
  <c r="AA230" i="8" s="1"/>
  <c r="AD230" i="8" a="1"/>
  <c r="AD230" i="8" s="1"/>
  <c r="AE230" i="8" a="1"/>
  <c r="AE230" i="8" s="1"/>
  <c r="AH230" i="8" a="1"/>
  <c r="AH230" i="8" s="1"/>
  <c r="AI230" i="8" a="1"/>
  <c r="AI230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V231" i="8" a="1"/>
  <c r="V231" i="8" s="1"/>
  <c r="W231" i="8" a="1"/>
  <c r="W231" i="8" s="1"/>
  <c r="Z231" i="8" a="1"/>
  <c r="Z231" i="8" s="1"/>
  <c r="AA231" i="8" a="1"/>
  <c r="AA231" i="8" s="1"/>
  <c r="AD231" i="8" a="1"/>
  <c r="AD231" i="8" s="1"/>
  <c r="AE231" i="8" a="1"/>
  <c r="AE231" i="8" s="1"/>
  <c r="AH231" i="8" a="1"/>
  <c r="AH231" i="8" s="1"/>
  <c r="AI231" i="8" a="1"/>
  <c r="AI231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V232" i="8" a="1"/>
  <c r="V232" i="8" s="1"/>
  <c r="W232" i="8" a="1"/>
  <c r="W232" i="8" s="1"/>
  <c r="Z232" i="8" a="1"/>
  <c r="Z232" i="8" s="1"/>
  <c r="AA232" i="8" a="1"/>
  <c r="AA232" i="8" s="1"/>
  <c r="AD232" i="8" a="1"/>
  <c r="AD232" i="8" s="1"/>
  <c r="AE232" i="8" a="1"/>
  <c r="AE232" i="8" s="1"/>
  <c r="AH232" i="8" a="1"/>
  <c r="AH232" i="8" s="1"/>
  <c r="AI232" i="8" a="1"/>
  <c r="AI232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V233" i="8" a="1"/>
  <c r="V233" i="8" s="1"/>
  <c r="W233" i="8" a="1"/>
  <c r="W233" i="8" s="1"/>
  <c r="Z233" i="8" a="1"/>
  <c r="Z233" i="8" s="1"/>
  <c r="AA233" i="8" a="1"/>
  <c r="AA233" i="8" s="1"/>
  <c r="AD233" i="8" a="1"/>
  <c r="AD233" i="8" s="1"/>
  <c r="AE233" i="8" a="1"/>
  <c r="AE233" i="8" s="1"/>
  <c r="AH233" i="8" a="1"/>
  <c r="AH233" i="8" s="1"/>
  <c r="AI233" i="8" a="1"/>
  <c r="AI233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V234" i="8" a="1"/>
  <c r="V234" i="8" s="1"/>
  <c r="W234" i="8" a="1"/>
  <c r="W234" i="8" s="1"/>
  <c r="Z234" i="8" a="1"/>
  <c r="Z234" i="8" s="1"/>
  <c r="AA234" i="8" a="1"/>
  <c r="AA234" i="8" s="1"/>
  <c r="AD234" i="8" a="1"/>
  <c r="AD234" i="8" s="1"/>
  <c r="AE234" i="8" a="1"/>
  <c r="AE234" i="8" s="1"/>
  <c r="AH234" i="8" a="1"/>
  <c r="AH234" i="8" s="1"/>
  <c r="AI234" i="8" a="1"/>
  <c r="AI234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V235" i="8" a="1"/>
  <c r="V235" i="8" s="1"/>
  <c r="W235" i="8" a="1"/>
  <c r="W235" i="8" s="1"/>
  <c r="Z235" i="8" a="1"/>
  <c r="Z235" i="8" s="1"/>
  <c r="AA235" i="8" a="1"/>
  <c r="AA235" i="8" s="1"/>
  <c r="AD235" i="8" a="1"/>
  <c r="AD235" i="8" s="1"/>
  <c r="AE235" i="8" a="1"/>
  <c r="AE235" i="8" s="1"/>
  <c r="AH235" i="8" a="1"/>
  <c r="AH235" i="8" s="1"/>
  <c r="AI235" i="8" a="1"/>
  <c r="AI235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V236" i="8" a="1"/>
  <c r="V236" i="8" s="1"/>
  <c r="W236" i="8" a="1"/>
  <c r="W236" i="8" s="1"/>
  <c r="Z236" i="8" a="1"/>
  <c r="Z236" i="8" s="1"/>
  <c r="AA236" i="8" a="1"/>
  <c r="AA236" i="8" s="1"/>
  <c r="AD236" i="8" a="1"/>
  <c r="AD236" i="8" s="1"/>
  <c r="AE236" i="8" a="1"/>
  <c r="AE236" i="8" s="1"/>
  <c r="AH236" i="8" a="1"/>
  <c r="AH236" i="8" s="1"/>
  <c r="AI236" i="8" a="1"/>
  <c r="AI236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V237" i="8" a="1"/>
  <c r="V237" i="8" s="1"/>
  <c r="W237" i="8" a="1"/>
  <c r="W237" i="8" s="1"/>
  <c r="Z237" i="8" a="1"/>
  <c r="Z237" i="8" s="1"/>
  <c r="AA237" i="8" a="1"/>
  <c r="AA237" i="8" s="1"/>
  <c r="AD237" i="8" a="1"/>
  <c r="AD237" i="8" s="1"/>
  <c r="AE237" i="8" a="1"/>
  <c r="AE237" i="8" s="1"/>
  <c r="AH237" i="8" a="1"/>
  <c r="AH237" i="8" s="1"/>
  <c r="AI237" i="8" a="1"/>
  <c r="AI237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V238" i="8" a="1"/>
  <c r="V238" i="8" s="1"/>
  <c r="W238" i="8" a="1"/>
  <c r="W238" i="8" s="1"/>
  <c r="Z238" i="8" a="1"/>
  <c r="Z238" i="8" s="1"/>
  <c r="AA238" i="8" a="1"/>
  <c r="AA238" i="8" s="1"/>
  <c r="AD238" i="8" a="1"/>
  <c r="AD238" i="8" s="1"/>
  <c r="AE238" i="8" a="1"/>
  <c r="AE238" i="8" s="1"/>
  <c r="AH238" i="8" a="1"/>
  <c r="AH238" i="8" s="1"/>
  <c r="AI238" i="8" a="1"/>
  <c r="AI238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V239" i="8" a="1"/>
  <c r="V239" i="8" s="1"/>
  <c r="W239" i="8" a="1"/>
  <c r="W239" i="8" s="1"/>
  <c r="Z239" i="8" a="1"/>
  <c r="Z239" i="8" s="1"/>
  <c r="AA239" i="8" a="1"/>
  <c r="AA239" i="8" s="1"/>
  <c r="AD239" i="8" a="1"/>
  <c r="AD239" i="8" s="1"/>
  <c r="AE239" i="8" a="1"/>
  <c r="AE239" i="8" s="1"/>
  <c r="AH239" i="8" a="1"/>
  <c r="AH239" i="8" s="1"/>
  <c r="AI239" i="8" a="1"/>
  <c r="AI239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V240" i="8" a="1"/>
  <c r="V240" i="8" s="1"/>
  <c r="W240" i="8" a="1"/>
  <c r="W240" i="8" s="1"/>
  <c r="Z240" i="8" a="1"/>
  <c r="Z240" i="8" s="1"/>
  <c r="AA240" i="8" a="1"/>
  <c r="AA240" i="8" s="1"/>
  <c r="AD240" i="8" a="1"/>
  <c r="AD240" i="8" s="1"/>
  <c r="AE240" i="8" a="1"/>
  <c r="AE240" i="8" s="1"/>
  <c r="AH240" i="8" a="1"/>
  <c r="AH240" i="8" s="1"/>
  <c r="AI240" i="8" a="1"/>
  <c r="AI240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V241" i="8" a="1"/>
  <c r="V241" i="8" s="1"/>
  <c r="W241" i="8" a="1"/>
  <c r="W241" i="8" s="1"/>
  <c r="Z241" i="8" a="1"/>
  <c r="Z241" i="8" s="1"/>
  <c r="AA241" i="8" a="1"/>
  <c r="AA241" i="8" s="1"/>
  <c r="AD241" i="8" a="1"/>
  <c r="AD241" i="8" s="1"/>
  <c r="AE241" i="8" a="1"/>
  <c r="AE241" i="8" s="1"/>
  <c r="AH241" i="8" a="1"/>
  <c r="AH241" i="8" s="1"/>
  <c r="AI241" i="8" a="1"/>
  <c r="AI241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V242" i="8" a="1"/>
  <c r="V242" i="8" s="1"/>
  <c r="W242" i="8" a="1"/>
  <c r="W242" i="8" s="1"/>
  <c r="Z242" i="8" a="1"/>
  <c r="Z242" i="8" s="1"/>
  <c r="AA242" i="8" a="1"/>
  <c r="AA242" i="8" s="1"/>
  <c r="AD242" i="8" a="1"/>
  <c r="AD242" i="8" s="1"/>
  <c r="AE242" i="8" a="1"/>
  <c r="AE242" i="8" s="1"/>
  <c r="AH242" i="8" a="1"/>
  <c r="AH242" i="8" s="1"/>
  <c r="AI242" i="8" a="1"/>
  <c r="AI242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V243" i="8" a="1"/>
  <c r="V243" i="8" s="1"/>
  <c r="W243" i="8" a="1"/>
  <c r="W243" i="8" s="1"/>
  <c r="Z243" i="8" a="1"/>
  <c r="Z243" i="8" s="1"/>
  <c r="AA243" i="8" a="1"/>
  <c r="AA243" i="8" s="1"/>
  <c r="AD243" i="8" a="1"/>
  <c r="AD243" i="8" s="1"/>
  <c r="AE243" i="8" a="1"/>
  <c r="AE243" i="8" s="1"/>
  <c r="AH243" i="8" a="1"/>
  <c r="AH243" i="8" s="1"/>
  <c r="AI243" i="8" a="1"/>
  <c r="AI243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V244" i="8" a="1"/>
  <c r="V244" i="8" s="1"/>
  <c r="W244" i="8" a="1"/>
  <c r="W244" i="8" s="1"/>
  <c r="Z244" i="8" a="1"/>
  <c r="Z244" i="8" s="1"/>
  <c r="AA244" i="8" a="1"/>
  <c r="AA244" i="8" s="1"/>
  <c r="AD244" i="8" a="1"/>
  <c r="AD244" i="8" s="1"/>
  <c r="AE244" i="8" a="1"/>
  <c r="AE244" i="8" s="1"/>
  <c r="AH244" i="8" a="1"/>
  <c r="AH244" i="8" s="1"/>
  <c r="AI244" i="8" a="1"/>
  <c r="AI244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V245" i="8" a="1"/>
  <c r="V245" i="8" s="1"/>
  <c r="W245" i="8" a="1"/>
  <c r="W245" i="8" s="1"/>
  <c r="Z245" i="8" a="1"/>
  <c r="Z245" i="8" s="1"/>
  <c r="AA245" i="8" a="1"/>
  <c r="AA245" i="8" s="1"/>
  <c r="AD245" i="8" a="1"/>
  <c r="AD245" i="8" s="1"/>
  <c r="AE245" i="8" a="1"/>
  <c r="AE245" i="8" s="1"/>
  <c r="AH245" i="8" a="1"/>
  <c r="AH245" i="8" s="1"/>
  <c r="AI245" i="8" a="1"/>
  <c r="AI245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V246" i="8" a="1"/>
  <c r="V246" i="8" s="1"/>
  <c r="W246" i="8" a="1"/>
  <c r="W246" i="8" s="1"/>
  <c r="Z246" i="8" a="1"/>
  <c r="Z246" i="8" s="1"/>
  <c r="AA246" i="8" a="1"/>
  <c r="AA246" i="8" s="1"/>
  <c r="AD246" i="8" a="1"/>
  <c r="AD246" i="8" s="1"/>
  <c r="AE246" i="8" a="1"/>
  <c r="AE246" i="8" s="1"/>
  <c r="AH246" i="8" a="1"/>
  <c r="AH246" i="8" s="1"/>
  <c r="AI246" i="8" a="1"/>
  <c r="AI246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V247" i="8" a="1"/>
  <c r="V247" i="8" s="1"/>
  <c r="W247" i="8" a="1"/>
  <c r="W247" i="8" s="1"/>
  <c r="Z247" i="8" a="1"/>
  <c r="Z247" i="8" s="1"/>
  <c r="AA247" i="8" a="1"/>
  <c r="AA247" i="8" s="1"/>
  <c r="AD247" i="8" a="1"/>
  <c r="AD247" i="8" s="1"/>
  <c r="AE247" i="8" a="1"/>
  <c r="AE247" i="8" s="1"/>
  <c r="AH247" i="8" a="1"/>
  <c r="AH247" i="8" s="1"/>
  <c r="AI247" i="8" a="1"/>
  <c r="AI247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V248" i="8" a="1"/>
  <c r="V248" i="8" s="1"/>
  <c r="W248" i="8" a="1"/>
  <c r="W248" i="8" s="1"/>
  <c r="Z248" i="8" a="1"/>
  <c r="Z248" i="8" s="1"/>
  <c r="AA248" i="8" a="1"/>
  <c r="AA248" i="8" s="1"/>
  <c r="AD248" i="8" a="1"/>
  <c r="AD248" i="8" s="1"/>
  <c r="AE248" i="8" a="1"/>
  <c r="AE248" i="8" s="1"/>
  <c r="AH248" i="8" a="1"/>
  <c r="AH248" i="8" s="1"/>
  <c r="AI248" i="8" a="1"/>
  <c r="AI248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V249" i="8" a="1"/>
  <c r="V249" i="8" s="1"/>
  <c r="W249" i="8" a="1"/>
  <c r="W249" i="8" s="1"/>
  <c r="Z249" i="8" a="1"/>
  <c r="Z249" i="8" s="1"/>
  <c r="AA249" i="8" a="1"/>
  <c r="AA249" i="8" s="1"/>
  <c r="AD249" i="8" a="1"/>
  <c r="AD249" i="8" s="1"/>
  <c r="AE249" i="8" a="1"/>
  <c r="AE249" i="8" s="1"/>
  <c r="AH249" i="8" a="1"/>
  <c r="AH249" i="8" s="1"/>
  <c r="AI249" i="8" a="1"/>
  <c r="AI249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M250" i="8" a="1"/>
  <c r="M250" i="8" s="1"/>
  <c r="N250" i="8" a="1"/>
  <c r="N250" i="8" s="1"/>
  <c r="O250" i="8" a="1"/>
  <c r="O250" i="8" s="1"/>
  <c r="P250" i="8" a="1"/>
  <c r="P250" i="8" s="1"/>
  <c r="Q250" i="8" a="1"/>
  <c r="Q250" i="8" s="1"/>
  <c r="R250" i="8" a="1"/>
  <c r="R250" i="8" s="1"/>
  <c r="S250" i="8" a="1"/>
  <c r="S250" i="8" s="1"/>
  <c r="T250" i="8" a="1"/>
  <c r="T250" i="8" s="1"/>
  <c r="U250" i="8" a="1"/>
  <c r="U250" i="8" s="1"/>
  <c r="V250" i="8" a="1"/>
  <c r="V250" i="8" s="1"/>
  <c r="W250" i="8" a="1"/>
  <c r="W250" i="8" s="1"/>
  <c r="X250" i="8" a="1"/>
  <c r="X250" i="8" s="1"/>
  <c r="Y250" i="8" a="1"/>
  <c r="Y250" i="8" s="1"/>
  <c r="Z250" i="8" a="1"/>
  <c r="Z250" i="8" s="1"/>
  <c r="AA250" i="8" a="1"/>
  <c r="AA250" i="8" s="1"/>
  <c r="AB250" i="8" a="1"/>
  <c r="AB250" i="8" s="1"/>
  <c r="AC250" i="8" a="1"/>
  <c r="AC250" i="8" s="1"/>
  <c r="AD250" i="8" a="1"/>
  <c r="AD250" i="8" s="1"/>
  <c r="AE250" i="8" a="1"/>
  <c r="AE250" i="8" s="1"/>
  <c r="AF250" i="8" a="1"/>
  <c r="AF250" i="8" s="1"/>
  <c r="AG250" i="8" a="1"/>
  <c r="AG250" i="8" s="1"/>
  <c r="AH250" i="8" a="1"/>
  <c r="AH250" i="8" s="1"/>
  <c r="AI250" i="8" a="1"/>
  <c r="AI250" i="8" s="1"/>
  <c r="AJ250" i="8" a="1"/>
  <c r="AJ250" i="8" s="1"/>
  <c r="E251" i="8" a="1"/>
  <c r="E251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M251" i="8" a="1"/>
  <c r="M251" i="8" s="1"/>
  <c r="N251" i="8" a="1"/>
  <c r="N251" i="8" s="1"/>
  <c r="O251" i="8" a="1"/>
  <c r="O251" i="8" s="1"/>
  <c r="P251" i="8" a="1"/>
  <c r="P251" i="8" s="1"/>
  <c r="Q251" i="8" a="1"/>
  <c r="Q251" i="8" s="1"/>
  <c r="R251" i="8" a="1"/>
  <c r="R251" i="8" s="1"/>
  <c r="S251" i="8" a="1"/>
  <c r="S251" i="8" s="1"/>
  <c r="T251" i="8" a="1"/>
  <c r="T251" i="8" s="1"/>
  <c r="U251" i="8" a="1"/>
  <c r="U251" i="8" s="1"/>
  <c r="V251" i="8" a="1"/>
  <c r="V251" i="8" s="1"/>
  <c r="W251" i="8" a="1"/>
  <c r="W251" i="8" s="1"/>
  <c r="X251" i="8" a="1"/>
  <c r="X251" i="8" s="1"/>
  <c r="Y251" i="8" a="1"/>
  <c r="Y251" i="8" s="1"/>
  <c r="Z251" i="8" a="1"/>
  <c r="Z251" i="8" s="1"/>
  <c r="AA251" i="8" a="1"/>
  <c r="AA251" i="8" s="1"/>
  <c r="AB251" i="8" a="1"/>
  <c r="AB251" i="8" s="1"/>
  <c r="AC251" i="8" a="1"/>
  <c r="AC251" i="8" s="1"/>
  <c r="AD251" i="8" a="1"/>
  <c r="AD251" i="8" s="1"/>
  <c r="AE251" i="8" a="1"/>
  <c r="AE251" i="8" s="1"/>
  <c r="AF251" i="8" a="1"/>
  <c r="AF251" i="8" s="1"/>
  <c r="AG251" i="8" a="1"/>
  <c r="AG251" i="8" s="1"/>
  <c r="AH251" i="8" a="1"/>
  <c r="AH251" i="8" s="1"/>
  <c r="AI251" i="8" a="1"/>
  <c r="AI251" i="8" s="1"/>
  <c r="AJ251" i="8" a="1"/>
  <c r="AJ251" i="8" s="1"/>
  <c r="E252" i="8" a="1"/>
  <c r="E252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M252" i="8" a="1"/>
  <c r="M252" i="8" s="1"/>
  <c r="N252" i="8" a="1"/>
  <c r="N252" i="8" s="1"/>
  <c r="O252" i="8" a="1"/>
  <c r="O252" i="8" s="1"/>
  <c r="P252" i="8" a="1"/>
  <c r="P252" i="8" s="1"/>
  <c r="Q252" i="8" a="1"/>
  <c r="Q252" i="8" s="1"/>
  <c r="R252" i="8" a="1"/>
  <c r="R252" i="8" s="1"/>
  <c r="S252" i="8" a="1"/>
  <c r="S252" i="8" s="1"/>
  <c r="T252" i="8" a="1"/>
  <c r="T252" i="8" s="1"/>
  <c r="U252" i="8" a="1"/>
  <c r="U252" i="8" s="1"/>
  <c r="V252" i="8" a="1"/>
  <c r="V252" i="8" s="1"/>
  <c r="W252" i="8" a="1"/>
  <c r="W252" i="8" s="1"/>
  <c r="X252" i="8" a="1"/>
  <c r="X252" i="8" s="1"/>
  <c r="Y252" i="8" a="1"/>
  <c r="Y252" i="8" s="1"/>
  <c r="Z252" i="8" a="1"/>
  <c r="Z252" i="8" s="1"/>
  <c r="AA252" i="8" a="1"/>
  <c r="AA252" i="8" s="1"/>
  <c r="AB252" i="8" a="1"/>
  <c r="AB252" i="8" s="1"/>
  <c r="AC252" i="8" a="1"/>
  <c r="AC252" i="8" s="1"/>
  <c r="AD252" i="8" a="1"/>
  <c r="AD252" i="8" s="1"/>
  <c r="AE252" i="8" a="1"/>
  <c r="AE252" i="8" s="1"/>
  <c r="AF252" i="8" a="1"/>
  <c r="AF252" i="8" s="1"/>
  <c r="AG252" i="8" a="1"/>
  <c r="AG252" i="8" s="1"/>
  <c r="AH252" i="8" a="1"/>
  <c r="AH252" i="8" s="1"/>
  <c r="AI252" i="8" a="1"/>
  <c r="AI252" i="8" s="1"/>
  <c r="AJ252" i="8" a="1"/>
  <c r="AJ252" i="8" s="1"/>
  <c r="E253" i="8" a="1"/>
  <c r="E253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M253" i="8" a="1"/>
  <c r="M253" i="8" s="1"/>
  <c r="N253" i="8" a="1"/>
  <c r="N253" i="8" s="1"/>
  <c r="O253" i="8" a="1"/>
  <c r="O253" i="8" s="1"/>
  <c r="P253" i="8" a="1"/>
  <c r="P253" i="8" s="1"/>
  <c r="Q253" i="8" a="1"/>
  <c r="Q253" i="8" s="1"/>
  <c r="R253" i="8" a="1"/>
  <c r="R253" i="8" s="1"/>
  <c r="S253" i="8" a="1"/>
  <c r="S253" i="8" s="1"/>
  <c r="T253" i="8" a="1"/>
  <c r="T253" i="8" s="1"/>
  <c r="U253" i="8" a="1"/>
  <c r="U253" i="8" s="1"/>
  <c r="V253" i="8" a="1"/>
  <c r="V253" i="8" s="1"/>
  <c r="W253" i="8" a="1"/>
  <c r="W253" i="8" s="1"/>
  <c r="X253" i="8" a="1"/>
  <c r="X253" i="8" s="1"/>
  <c r="Y253" i="8" a="1"/>
  <c r="Y253" i="8" s="1"/>
  <c r="Z253" i="8" a="1"/>
  <c r="Z253" i="8" s="1"/>
  <c r="AA253" i="8" a="1"/>
  <c r="AA253" i="8" s="1"/>
  <c r="AB253" i="8" a="1"/>
  <c r="AB253" i="8" s="1"/>
  <c r="AC253" i="8" a="1"/>
  <c r="AC253" i="8" s="1"/>
  <c r="AD253" i="8" a="1"/>
  <c r="AD253" i="8" s="1"/>
  <c r="AE253" i="8" a="1"/>
  <c r="AE253" i="8" s="1"/>
  <c r="AF253" i="8" a="1"/>
  <c r="AF253" i="8" s="1"/>
  <c r="AG253" i="8" a="1"/>
  <c r="AG253" i="8" s="1"/>
  <c r="AH253" i="8" a="1"/>
  <c r="AH253" i="8" s="1"/>
  <c r="AI253" i="8" a="1"/>
  <c r="AI253" i="8" s="1"/>
  <c r="AJ253" i="8" a="1"/>
  <c r="AJ253" i="8" s="1"/>
  <c r="E254" i="8" a="1"/>
  <c r="E254" i="8" s="1"/>
  <c r="F254" i="8" a="1"/>
  <c r="F254" i="8" s="1"/>
  <c r="G254" i="8" a="1"/>
  <c r="G254" i="8" s="1"/>
  <c r="H254" i="8" a="1"/>
  <c r="H254" i="8" s="1"/>
  <c r="I254" i="8" a="1"/>
  <c r="I254" i="8" s="1"/>
  <c r="J254" i="8" a="1"/>
  <c r="J254" i="8" s="1"/>
  <c r="K254" i="8" a="1"/>
  <c r="K254" i="8" s="1"/>
  <c r="L254" i="8" a="1"/>
  <c r="L254" i="8" s="1"/>
  <c r="M254" i="8" a="1"/>
  <c r="M254" i="8" s="1"/>
  <c r="N254" i="8" a="1"/>
  <c r="N254" i="8" s="1"/>
  <c r="O254" i="8" a="1"/>
  <c r="O254" i="8" s="1"/>
  <c r="P254" i="8" a="1"/>
  <c r="P254" i="8" s="1"/>
  <c r="Q254" i="8" a="1"/>
  <c r="Q254" i="8" s="1"/>
  <c r="R254" i="8" a="1"/>
  <c r="R254" i="8" s="1"/>
  <c r="S254" i="8" a="1"/>
  <c r="S254" i="8" s="1"/>
  <c r="T254" i="8" a="1"/>
  <c r="T254" i="8" s="1"/>
  <c r="U254" i="8" a="1"/>
  <c r="U254" i="8" s="1"/>
  <c r="V254" i="8" a="1"/>
  <c r="V254" i="8" s="1"/>
  <c r="W254" i="8" a="1"/>
  <c r="W254" i="8" s="1"/>
  <c r="X254" i="8" a="1"/>
  <c r="X254" i="8" s="1"/>
  <c r="Y254" i="8" a="1"/>
  <c r="Y254" i="8" s="1"/>
  <c r="Z254" i="8" a="1"/>
  <c r="Z254" i="8" s="1"/>
  <c r="AA254" i="8" a="1"/>
  <c r="AA254" i="8" s="1"/>
  <c r="AB254" i="8" a="1"/>
  <c r="AB254" i="8" s="1"/>
  <c r="AC254" i="8" a="1"/>
  <c r="AC254" i="8" s="1"/>
  <c r="AD254" i="8" a="1"/>
  <c r="AD254" i="8" s="1"/>
  <c r="AE254" i="8" a="1"/>
  <c r="AE254" i="8" s="1"/>
  <c r="AF254" i="8" a="1"/>
  <c r="AF254" i="8" s="1"/>
  <c r="AG254" i="8" a="1"/>
  <c r="AG254" i="8" s="1"/>
  <c r="AH254" i="8" a="1"/>
  <c r="AH254" i="8" s="1"/>
  <c r="AI254" i="8" a="1"/>
  <c r="AI254" i="8" s="1"/>
  <c r="AJ254" i="8" a="1"/>
  <c r="AJ254" i="8" s="1"/>
  <c r="E255" i="8" a="1"/>
  <c r="E255" i="8" s="1"/>
  <c r="F255" i="8" a="1"/>
  <c r="F255" i="8" s="1"/>
  <c r="G255" i="8" a="1"/>
  <c r="G255" i="8" s="1"/>
  <c r="H255" i="8" a="1"/>
  <c r="H255" i="8" s="1"/>
  <c r="I255" i="8" a="1"/>
  <c r="I255" i="8" s="1"/>
  <c r="J255" i="8" a="1"/>
  <c r="J255" i="8" s="1"/>
  <c r="K255" i="8" a="1"/>
  <c r="K255" i="8" s="1"/>
  <c r="L255" i="8" a="1"/>
  <c r="L255" i="8" s="1"/>
  <c r="M255" i="8" a="1"/>
  <c r="M255" i="8" s="1"/>
  <c r="N255" i="8" a="1"/>
  <c r="N255" i="8" s="1"/>
  <c r="O255" i="8" a="1"/>
  <c r="O255" i="8" s="1"/>
  <c r="P255" i="8" a="1"/>
  <c r="P255" i="8" s="1"/>
  <c r="Q255" i="8" a="1"/>
  <c r="Q255" i="8" s="1"/>
  <c r="R255" i="8" a="1"/>
  <c r="R255" i="8" s="1"/>
  <c r="S255" i="8" a="1"/>
  <c r="S255" i="8" s="1"/>
  <c r="T255" i="8" a="1"/>
  <c r="T255" i="8" s="1"/>
  <c r="U255" i="8" a="1"/>
  <c r="U255" i="8" s="1"/>
  <c r="V255" i="8" a="1"/>
  <c r="V255" i="8" s="1"/>
  <c r="W255" i="8" a="1"/>
  <c r="W255" i="8" s="1"/>
  <c r="X255" i="8" a="1"/>
  <c r="X255" i="8" s="1"/>
  <c r="Y255" i="8" a="1"/>
  <c r="Y255" i="8" s="1"/>
  <c r="Z255" i="8" a="1"/>
  <c r="Z255" i="8" s="1"/>
  <c r="AA255" i="8" a="1"/>
  <c r="AA255" i="8" s="1"/>
  <c r="AB255" i="8" a="1"/>
  <c r="AB255" i="8" s="1"/>
  <c r="AC255" i="8" a="1"/>
  <c r="AC255" i="8" s="1"/>
  <c r="AD255" i="8" a="1"/>
  <c r="AD255" i="8" s="1"/>
  <c r="AE255" i="8" a="1"/>
  <c r="AE255" i="8" s="1"/>
  <c r="AF255" i="8" a="1"/>
  <c r="AF255" i="8" s="1"/>
  <c r="AG255" i="8" a="1"/>
  <c r="AG255" i="8" s="1"/>
  <c r="AH255" i="8" a="1"/>
  <c r="AH255" i="8" s="1"/>
  <c r="AI255" i="8" a="1"/>
  <c r="AI255" i="8" s="1"/>
  <c r="AJ255" i="8" a="1"/>
  <c r="AJ255" i="8" s="1"/>
  <c r="E256" i="8" a="1"/>
  <c r="E256" i="8" s="1"/>
  <c r="F256" i="8" a="1"/>
  <c r="F256" i="8" s="1"/>
  <c r="G256" i="8" a="1"/>
  <c r="G256" i="8" s="1"/>
  <c r="H256" i="8" a="1"/>
  <c r="H256" i="8" s="1"/>
  <c r="I256" i="8" a="1"/>
  <c r="I256" i="8" s="1"/>
  <c r="J256" i="8" a="1"/>
  <c r="J256" i="8" s="1"/>
  <c r="K256" i="8" a="1"/>
  <c r="K256" i="8" s="1"/>
  <c r="L256" i="8" a="1"/>
  <c r="L256" i="8" s="1"/>
  <c r="M256" i="8" a="1"/>
  <c r="M256" i="8" s="1"/>
  <c r="N256" i="8" a="1"/>
  <c r="N256" i="8" s="1"/>
  <c r="O256" i="8" a="1"/>
  <c r="O256" i="8" s="1"/>
  <c r="P256" i="8" a="1"/>
  <c r="P256" i="8" s="1"/>
  <c r="Q256" i="8" a="1"/>
  <c r="Q256" i="8" s="1"/>
  <c r="R256" i="8" a="1"/>
  <c r="R256" i="8" s="1"/>
  <c r="S256" i="8" a="1"/>
  <c r="S256" i="8" s="1"/>
  <c r="T256" i="8" a="1"/>
  <c r="T256" i="8" s="1"/>
  <c r="U256" i="8" a="1"/>
  <c r="U256" i="8" s="1"/>
  <c r="V256" i="8" a="1"/>
  <c r="V256" i="8" s="1"/>
  <c r="W256" i="8" a="1"/>
  <c r="W256" i="8" s="1"/>
  <c r="X256" i="8" a="1"/>
  <c r="X256" i="8" s="1"/>
  <c r="Y256" i="8" a="1"/>
  <c r="Y256" i="8" s="1"/>
  <c r="Z256" i="8" a="1"/>
  <c r="Z256" i="8" s="1"/>
  <c r="AA256" i="8" a="1"/>
  <c r="AA256" i="8" s="1"/>
  <c r="AB256" i="8" a="1"/>
  <c r="AB256" i="8" s="1"/>
  <c r="AC256" i="8" a="1"/>
  <c r="AC256" i="8" s="1"/>
  <c r="AD256" i="8" a="1"/>
  <c r="AD256" i="8" s="1"/>
  <c r="AE256" i="8" a="1"/>
  <c r="AE256" i="8" s="1"/>
  <c r="AF256" i="8" a="1"/>
  <c r="AF256" i="8" s="1"/>
  <c r="AG256" i="8" a="1"/>
  <c r="AG256" i="8" s="1"/>
  <c r="AH256" i="8" a="1"/>
  <c r="AH256" i="8" s="1"/>
  <c r="AI256" i="8" a="1"/>
  <c r="AI256" i="8" s="1"/>
  <c r="AJ256" i="8" a="1"/>
  <c r="AJ256" i="8" s="1"/>
  <c r="E257" i="8" a="1"/>
  <c r="E257" i="8" s="1"/>
  <c r="F257" i="8" a="1"/>
  <c r="F257" i="8" s="1"/>
  <c r="G257" i="8" a="1"/>
  <c r="G257" i="8" s="1"/>
  <c r="H257" i="8" a="1"/>
  <c r="H257" i="8" s="1"/>
  <c r="I257" i="8" a="1"/>
  <c r="I257" i="8" s="1"/>
  <c r="J257" i="8" a="1"/>
  <c r="J257" i="8" s="1"/>
  <c r="K257" i="8" a="1"/>
  <c r="K257" i="8" s="1"/>
  <c r="L257" i="8" a="1"/>
  <c r="L257" i="8" s="1"/>
  <c r="M257" i="8" a="1"/>
  <c r="M257" i="8" s="1"/>
  <c r="N257" i="8" a="1"/>
  <c r="N257" i="8" s="1"/>
  <c r="O257" i="8" a="1"/>
  <c r="O257" i="8" s="1"/>
  <c r="P257" i="8" a="1"/>
  <c r="P257" i="8" s="1"/>
  <c r="Q257" i="8" a="1"/>
  <c r="Q257" i="8" s="1"/>
  <c r="R257" i="8" a="1"/>
  <c r="R257" i="8" s="1"/>
  <c r="S257" i="8" a="1"/>
  <c r="S257" i="8" s="1"/>
  <c r="T257" i="8" a="1"/>
  <c r="T257" i="8" s="1"/>
  <c r="U257" i="8" a="1"/>
  <c r="U257" i="8" s="1"/>
  <c r="V257" i="8" a="1"/>
  <c r="V257" i="8" s="1"/>
  <c r="W257" i="8" a="1"/>
  <c r="W257" i="8" s="1"/>
  <c r="X257" i="8" a="1"/>
  <c r="X257" i="8" s="1"/>
  <c r="Y257" i="8" a="1"/>
  <c r="Y257" i="8" s="1"/>
  <c r="Z257" i="8" a="1"/>
  <c r="Z257" i="8" s="1"/>
  <c r="AA257" i="8" a="1"/>
  <c r="AA257" i="8" s="1"/>
  <c r="AB257" i="8" a="1"/>
  <c r="AB257" i="8" s="1"/>
  <c r="AC257" i="8" a="1"/>
  <c r="AC257" i="8" s="1"/>
  <c r="AD257" i="8" a="1"/>
  <c r="AD257" i="8" s="1"/>
  <c r="AE257" i="8" a="1"/>
  <c r="AE257" i="8" s="1"/>
  <c r="AF257" i="8" a="1"/>
  <c r="AF257" i="8" s="1"/>
  <c r="AG257" i="8" a="1"/>
  <c r="AG257" i="8" s="1"/>
  <c r="AH257" i="8" a="1"/>
  <c r="AH257" i="8" s="1"/>
  <c r="AI257" i="8" a="1"/>
  <c r="AI257" i="8" s="1"/>
  <c r="AJ257" i="8" a="1"/>
  <c r="AJ257" i="8" s="1"/>
  <c r="E258" i="8" a="1"/>
  <c r="E258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M258" i="8" a="1"/>
  <c r="M258" i="8" s="1"/>
  <c r="N258" i="8" a="1"/>
  <c r="N258" i="8" s="1"/>
  <c r="O258" i="8" a="1"/>
  <c r="O258" i="8" s="1"/>
  <c r="P258" i="8" a="1"/>
  <c r="P258" i="8" s="1"/>
  <c r="Q258" i="8" a="1"/>
  <c r="Q258" i="8" s="1"/>
  <c r="R258" i="8" a="1"/>
  <c r="R258" i="8" s="1"/>
  <c r="S258" i="8" a="1"/>
  <c r="S258" i="8" s="1"/>
  <c r="T258" i="8" a="1"/>
  <c r="T258" i="8" s="1"/>
  <c r="U258" i="8" a="1"/>
  <c r="U258" i="8" s="1"/>
  <c r="V258" i="8" a="1"/>
  <c r="V258" i="8" s="1"/>
  <c r="W258" i="8" a="1"/>
  <c r="W258" i="8" s="1"/>
  <c r="X258" i="8" a="1"/>
  <c r="X258" i="8" s="1"/>
  <c r="Y258" i="8" a="1"/>
  <c r="Y258" i="8" s="1"/>
  <c r="Z258" i="8" a="1"/>
  <c r="Z258" i="8" s="1"/>
  <c r="AA258" i="8" a="1"/>
  <c r="AA258" i="8" s="1"/>
  <c r="AB258" i="8" a="1"/>
  <c r="AB258" i="8" s="1"/>
  <c r="AC258" i="8" a="1"/>
  <c r="AC258" i="8" s="1"/>
  <c r="AD258" i="8" a="1"/>
  <c r="AD258" i="8" s="1"/>
  <c r="AE258" i="8" a="1"/>
  <c r="AE258" i="8" s="1"/>
  <c r="AF258" i="8" a="1"/>
  <c r="AF258" i="8" s="1"/>
  <c r="AG258" i="8" a="1"/>
  <c r="AG258" i="8" s="1"/>
  <c r="AH258" i="8" a="1"/>
  <c r="AH258" i="8" s="1"/>
  <c r="AI258" i="8" a="1"/>
  <c r="AI258" i="8" s="1"/>
  <c r="AJ258" i="8" a="1"/>
  <c r="AJ258" i="8" s="1"/>
  <c r="E259" i="8" a="1"/>
  <c r="E259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M259" i="8" a="1"/>
  <c r="M259" i="8" s="1"/>
  <c r="N259" i="8" a="1"/>
  <c r="N259" i="8" s="1"/>
  <c r="O259" i="8" a="1"/>
  <c r="O259" i="8" s="1"/>
  <c r="P259" i="8" a="1"/>
  <c r="P259" i="8" s="1"/>
  <c r="Q259" i="8" a="1"/>
  <c r="Q259" i="8" s="1"/>
  <c r="R259" i="8" a="1"/>
  <c r="R259" i="8" s="1"/>
  <c r="S259" i="8" a="1"/>
  <c r="S259" i="8" s="1"/>
  <c r="T259" i="8" a="1"/>
  <c r="T259" i="8" s="1"/>
  <c r="U259" i="8" a="1"/>
  <c r="U259" i="8" s="1"/>
  <c r="V259" i="8" a="1"/>
  <c r="V259" i="8" s="1"/>
  <c r="W259" i="8" a="1"/>
  <c r="W259" i="8" s="1"/>
  <c r="X259" i="8" a="1"/>
  <c r="X259" i="8" s="1"/>
  <c r="Y259" i="8" a="1"/>
  <c r="Y259" i="8" s="1"/>
  <c r="Z259" i="8" a="1"/>
  <c r="Z259" i="8" s="1"/>
  <c r="AA259" i="8" a="1"/>
  <c r="AA259" i="8" s="1"/>
  <c r="AB259" i="8" a="1"/>
  <c r="AB259" i="8" s="1"/>
  <c r="AC259" i="8" a="1"/>
  <c r="AC259" i="8" s="1"/>
  <c r="AD259" i="8" a="1"/>
  <c r="AD259" i="8" s="1"/>
  <c r="AE259" i="8" a="1"/>
  <c r="AE259" i="8" s="1"/>
  <c r="AF259" i="8" a="1"/>
  <c r="AF259" i="8" s="1"/>
  <c r="AG259" i="8" a="1"/>
  <c r="AG259" i="8" s="1"/>
  <c r="AH259" i="8" a="1"/>
  <c r="AH259" i="8" s="1"/>
  <c r="AI259" i="8" a="1"/>
  <c r="AI259" i="8" s="1"/>
  <c r="AJ259" i="8" a="1"/>
  <c r="AJ259" i="8" s="1"/>
  <c r="E260" i="8" a="1"/>
  <c r="E260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M260" i="8" a="1"/>
  <c r="M260" i="8" s="1"/>
  <c r="N260" i="8" a="1"/>
  <c r="N260" i="8" s="1"/>
  <c r="O260" i="8" a="1"/>
  <c r="O260" i="8" s="1"/>
  <c r="P260" i="8" a="1"/>
  <c r="P260" i="8" s="1"/>
  <c r="Q260" i="8" a="1"/>
  <c r="Q260" i="8" s="1"/>
  <c r="R260" i="8" a="1"/>
  <c r="R260" i="8" s="1"/>
  <c r="S260" i="8" a="1"/>
  <c r="S260" i="8" s="1"/>
  <c r="T260" i="8" a="1"/>
  <c r="T260" i="8" s="1"/>
  <c r="U260" i="8" a="1"/>
  <c r="U260" i="8" s="1"/>
  <c r="V260" i="8" a="1"/>
  <c r="V260" i="8" s="1"/>
  <c r="W260" i="8" a="1"/>
  <c r="W260" i="8" s="1"/>
  <c r="X260" i="8" a="1"/>
  <c r="X260" i="8" s="1"/>
  <c r="Y260" i="8" a="1"/>
  <c r="Y260" i="8" s="1"/>
  <c r="Z260" i="8" a="1"/>
  <c r="Z260" i="8" s="1"/>
  <c r="AA260" i="8" a="1"/>
  <c r="AA260" i="8" s="1"/>
  <c r="AB260" i="8" a="1"/>
  <c r="AB260" i="8" s="1"/>
  <c r="AC260" i="8" a="1"/>
  <c r="AC260" i="8" s="1"/>
  <c r="AD260" i="8" a="1"/>
  <c r="AD260" i="8" s="1"/>
  <c r="AE260" i="8" a="1"/>
  <c r="AE260" i="8" s="1"/>
  <c r="AF260" i="8" a="1"/>
  <c r="AF260" i="8" s="1"/>
  <c r="AG260" i="8" a="1"/>
  <c r="AG260" i="8" s="1"/>
  <c r="AH260" i="8" a="1"/>
  <c r="AH260" i="8" s="1"/>
  <c r="AI260" i="8" a="1"/>
  <c r="AI260" i="8" s="1"/>
  <c r="AJ260" i="8" a="1"/>
  <c r="AJ260" i="8" s="1"/>
  <c r="E261" i="8" a="1"/>
  <c r="E261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M261" i="8" a="1"/>
  <c r="M261" i="8" s="1"/>
  <c r="N261" i="8" a="1"/>
  <c r="N261" i="8" s="1"/>
  <c r="O261" i="8" a="1"/>
  <c r="O261" i="8" s="1"/>
  <c r="P261" i="8" a="1"/>
  <c r="P261" i="8" s="1"/>
  <c r="Q261" i="8" a="1"/>
  <c r="Q261" i="8" s="1"/>
  <c r="R261" i="8" a="1"/>
  <c r="R261" i="8" s="1"/>
  <c r="S261" i="8" a="1"/>
  <c r="S261" i="8" s="1"/>
  <c r="T261" i="8" a="1"/>
  <c r="T261" i="8" s="1"/>
  <c r="U261" i="8" a="1"/>
  <c r="U261" i="8" s="1"/>
  <c r="V261" i="8" a="1"/>
  <c r="V261" i="8" s="1"/>
  <c r="W261" i="8" a="1"/>
  <c r="W261" i="8" s="1"/>
  <c r="X261" i="8" a="1"/>
  <c r="X261" i="8" s="1"/>
  <c r="Y261" i="8" a="1"/>
  <c r="Y261" i="8" s="1"/>
  <c r="Z261" i="8" a="1"/>
  <c r="Z261" i="8" s="1"/>
  <c r="AA261" i="8" a="1"/>
  <c r="AA261" i="8" s="1"/>
  <c r="AB261" i="8" a="1"/>
  <c r="AB261" i="8" s="1"/>
  <c r="AC261" i="8" a="1"/>
  <c r="AC261" i="8" s="1"/>
  <c r="AD261" i="8" a="1"/>
  <c r="AD261" i="8" s="1"/>
  <c r="AE261" i="8" a="1"/>
  <c r="AE261" i="8" s="1"/>
  <c r="AF261" i="8" a="1"/>
  <c r="AF261" i="8" s="1"/>
  <c r="AG261" i="8" a="1"/>
  <c r="AG261" i="8" s="1"/>
  <c r="AH261" i="8" a="1"/>
  <c r="AH261" i="8" s="1"/>
  <c r="AI261" i="8" a="1"/>
  <c r="AI261" i="8" s="1"/>
  <c r="AJ261" i="8" a="1"/>
  <c r="AJ261" i="8" s="1"/>
  <c r="E262" i="8" a="1"/>
  <c r="E262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M262" i="8" a="1"/>
  <c r="M262" i="8" s="1"/>
  <c r="N262" i="8" a="1"/>
  <c r="N262" i="8" s="1"/>
  <c r="O262" i="8" a="1"/>
  <c r="O262" i="8" s="1"/>
  <c r="P262" i="8" a="1"/>
  <c r="P262" i="8" s="1"/>
  <c r="Q262" i="8" a="1"/>
  <c r="Q262" i="8" s="1"/>
  <c r="R262" i="8" a="1"/>
  <c r="R262" i="8" s="1"/>
  <c r="S262" i="8" a="1"/>
  <c r="S262" i="8" s="1"/>
  <c r="T262" i="8" a="1"/>
  <c r="T262" i="8" s="1"/>
  <c r="U262" i="8" a="1"/>
  <c r="U262" i="8" s="1"/>
  <c r="V262" i="8" a="1"/>
  <c r="V262" i="8" s="1"/>
  <c r="W262" i="8" a="1"/>
  <c r="W262" i="8" s="1"/>
  <c r="X262" i="8" a="1"/>
  <c r="X262" i="8" s="1"/>
  <c r="Y262" i="8" a="1"/>
  <c r="Y262" i="8" s="1"/>
  <c r="Z262" i="8" a="1"/>
  <c r="Z262" i="8" s="1"/>
  <c r="AA262" i="8" a="1"/>
  <c r="AA262" i="8" s="1"/>
  <c r="AB262" i="8" a="1"/>
  <c r="AB262" i="8" s="1"/>
  <c r="AC262" i="8" a="1"/>
  <c r="AC262" i="8" s="1"/>
  <c r="AD262" i="8" a="1"/>
  <c r="AD262" i="8" s="1"/>
  <c r="AE262" i="8" a="1"/>
  <c r="AE262" i="8" s="1"/>
  <c r="AF262" i="8" a="1"/>
  <c r="AF262" i="8" s="1"/>
  <c r="AG262" i="8" a="1"/>
  <c r="AG262" i="8" s="1"/>
  <c r="AH262" i="8" a="1"/>
  <c r="AH262" i="8" s="1"/>
  <c r="AI262" i="8" a="1"/>
  <c r="AI262" i="8" s="1"/>
  <c r="AJ262" i="8" a="1"/>
  <c r="AJ262" i="8" s="1"/>
  <c r="E263" i="8" a="1"/>
  <c r="E263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M263" i="8" a="1"/>
  <c r="M263" i="8" s="1"/>
  <c r="N263" i="8" a="1"/>
  <c r="N263" i="8" s="1"/>
  <c r="O263" i="8" a="1"/>
  <c r="O263" i="8" s="1"/>
  <c r="P263" i="8" a="1"/>
  <c r="P263" i="8" s="1"/>
  <c r="Q263" i="8" a="1"/>
  <c r="Q263" i="8" s="1"/>
  <c r="R263" i="8" a="1"/>
  <c r="R263" i="8" s="1"/>
  <c r="S263" i="8" a="1"/>
  <c r="S263" i="8" s="1"/>
  <c r="T263" i="8" a="1"/>
  <c r="T263" i="8" s="1"/>
  <c r="U263" i="8" a="1"/>
  <c r="U263" i="8" s="1"/>
  <c r="V263" i="8" a="1"/>
  <c r="V263" i="8" s="1"/>
  <c r="W263" i="8" a="1"/>
  <c r="W263" i="8" s="1"/>
  <c r="X263" i="8" a="1"/>
  <c r="X263" i="8" s="1"/>
  <c r="Y263" i="8" a="1"/>
  <c r="Y263" i="8" s="1"/>
  <c r="Z263" i="8" a="1"/>
  <c r="Z263" i="8" s="1"/>
  <c r="AA263" i="8" a="1"/>
  <c r="AA263" i="8" s="1"/>
  <c r="AB263" i="8" a="1"/>
  <c r="AB263" i="8" s="1"/>
  <c r="AC263" i="8" a="1"/>
  <c r="AC263" i="8" s="1"/>
  <c r="AD263" i="8" a="1"/>
  <c r="AD263" i="8" s="1"/>
  <c r="AE263" i="8" a="1"/>
  <c r="AE263" i="8" s="1"/>
  <c r="AF263" i="8" a="1"/>
  <c r="AF263" i="8" s="1"/>
  <c r="AG263" i="8" a="1"/>
  <c r="AG263" i="8" s="1"/>
  <c r="AH263" i="8" a="1"/>
  <c r="AH263" i="8" s="1"/>
  <c r="AI263" i="8" a="1"/>
  <c r="AI263" i="8" s="1"/>
  <c r="AJ263" i="8" a="1"/>
  <c r="AJ263" i="8" s="1"/>
  <c r="E264" i="8" a="1"/>
  <c r="E264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M264" i="8" a="1"/>
  <c r="M264" i="8" s="1"/>
  <c r="N264" i="8" a="1"/>
  <c r="N264" i="8" s="1"/>
  <c r="O264" i="8" a="1"/>
  <c r="O264" i="8" s="1"/>
  <c r="P264" i="8" a="1"/>
  <c r="P264" i="8" s="1"/>
  <c r="Q264" i="8" a="1"/>
  <c r="Q264" i="8" s="1"/>
  <c r="R264" i="8" a="1"/>
  <c r="R264" i="8" s="1"/>
  <c r="S264" i="8" a="1"/>
  <c r="S264" i="8" s="1"/>
  <c r="T264" i="8" a="1"/>
  <c r="T264" i="8" s="1"/>
  <c r="U264" i="8" a="1"/>
  <c r="U264" i="8" s="1"/>
  <c r="V264" i="8" a="1"/>
  <c r="V264" i="8" s="1"/>
  <c r="W264" i="8" a="1"/>
  <c r="W264" i="8" s="1"/>
  <c r="X264" i="8" a="1"/>
  <c r="X264" i="8" s="1"/>
  <c r="Y264" i="8" a="1"/>
  <c r="Y264" i="8" s="1"/>
  <c r="Z264" i="8" a="1"/>
  <c r="Z264" i="8" s="1"/>
  <c r="AA264" i="8" a="1"/>
  <c r="AA264" i="8" s="1"/>
  <c r="AB264" i="8" a="1"/>
  <c r="AB264" i="8" s="1"/>
  <c r="AC264" i="8" a="1"/>
  <c r="AC264" i="8" s="1"/>
  <c r="AD264" i="8" a="1"/>
  <c r="AD264" i="8" s="1"/>
  <c r="AE264" i="8" a="1"/>
  <c r="AE264" i="8" s="1"/>
  <c r="AF264" i="8" a="1"/>
  <c r="AF264" i="8" s="1"/>
  <c r="AG264" i="8" a="1"/>
  <c r="AG264" i="8" s="1"/>
  <c r="AH264" i="8" a="1"/>
  <c r="AH264" i="8" s="1"/>
  <c r="AI264" i="8" a="1"/>
  <c r="AI264" i="8" s="1"/>
  <c r="AJ264" i="8" a="1"/>
  <c r="AJ264" i="8" s="1"/>
  <c r="E265" i="8" a="1"/>
  <c r="E265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M265" i="8" a="1"/>
  <c r="M265" i="8" s="1"/>
  <c r="N265" i="8" a="1"/>
  <c r="N265" i="8" s="1"/>
  <c r="O265" i="8" a="1"/>
  <c r="O265" i="8" s="1"/>
  <c r="P265" i="8" a="1"/>
  <c r="P265" i="8" s="1"/>
  <c r="Q265" i="8" a="1"/>
  <c r="Q265" i="8" s="1"/>
  <c r="R265" i="8" a="1"/>
  <c r="R265" i="8" s="1"/>
  <c r="S265" i="8" a="1"/>
  <c r="S265" i="8" s="1"/>
  <c r="T265" i="8" a="1"/>
  <c r="T265" i="8" s="1"/>
  <c r="U265" i="8" a="1"/>
  <c r="U265" i="8" s="1"/>
  <c r="V265" i="8" a="1"/>
  <c r="V265" i="8" s="1"/>
  <c r="W265" i="8" a="1"/>
  <c r="W265" i="8" s="1"/>
  <c r="X265" i="8" a="1"/>
  <c r="X265" i="8" s="1"/>
  <c r="Y265" i="8" a="1"/>
  <c r="Y265" i="8" s="1"/>
  <c r="Z265" i="8" a="1"/>
  <c r="Z265" i="8" s="1"/>
  <c r="AA265" i="8" a="1"/>
  <c r="AA265" i="8" s="1"/>
  <c r="AB265" i="8" a="1"/>
  <c r="AB265" i="8" s="1"/>
  <c r="AC265" i="8" a="1"/>
  <c r="AC265" i="8" s="1"/>
  <c r="AD265" i="8" a="1"/>
  <c r="AD265" i="8" s="1"/>
  <c r="AE265" i="8" a="1"/>
  <c r="AE265" i="8" s="1"/>
  <c r="AF265" i="8" a="1"/>
  <c r="AF265" i="8" s="1"/>
  <c r="AG265" i="8" a="1"/>
  <c r="AG265" i="8" s="1"/>
  <c r="AH265" i="8" a="1"/>
  <c r="AH265" i="8" s="1"/>
  <c r="AI265" i="8" a="1"/>
  <c r="AI265" i="8" s="1"/>
  <c r="AJ265" i="8" a="1"/>
  <c r="AJ265" i="8" s="1"/>
  <c r="E266" i="8" a="1"/>
  <c r="E266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M266" i="8" a="1"/>
  <c r="M266" i="8" s="1"/>
  <c r="N266" i="8" a="1"/>
  <c r="N266" i="8" s="1"/>
  <c r="O266" i="8" a="1"/>
  <c r="O266" i="8" s="1"/>
  <c r="P266" i="8" a="1"/>
  <c r="P266" i="8" s="1"/>
  <c r="Q266" i="8" a="1"/>
  <c r="Q266" i="8" s="1"/>
  <c r="R266" i="8" a="1"/>
  <c r="R266" i="8" s="1"/>
  <c r="S266" i="8" a="1"/>
  <c r="S266" i="8" s="1"/>
  <c r="T266" i="8" a="1"/>
  <c r="T266" i="8" s="1"/>
  <c r="U266" i="8" a="1"/>
  <c r="U266" i="8" s="1"/>
  <c r="V266" i="8" a="1"/>
  <c r="V266" i="8" s="1"/>
  <c r="W266" i="8" a="1"/>
  <c r="W266" i="8" s="1"/>
  <c r="X266" i="8" a="1"/>
  <c r="X266" i="8" s="1"/>
  <c r="Y266" i="8" a="1"/>
  <c r="Y266" i="8" s="1"/>
  <c r="Z266" i="8" a="1"/>
  <c r="Z266" i="8" s="1"/>
  <c r="AA266" i="8" a="1"/>
  <c r="AA266" i="8" s="1"/>
  <c r="AB266" i="8" a="1"/>
  <c r="AB266" i="8" s="1"/>
  <c r="AC266" i="8" a="1"/>
  <c r="AC266" i="8" s="1"/>
  <c r="AD266" i="8" a="1"/>
  <c r="AD266" i="8" s="1"/>
  <c r="AE266" i="8" a="1"/>
  <c r="AE266" i="8" s="1"/>
  <c r="AF266" i="8" a="1"/>
  <c r="AF266" i="8" s="1"/>
  <c r="AG266" i="8" a="1"/>
  <c r="AG266" i="8" s="1"/>
  <c r="AH266" i="8" a="1"/>
  <c r="AH266" i="8" s="1"/>
  <c r="AI266" i="8" a="1"/>
  <c r="AI266" i="8" s="1"/>
  <c r="AJ266" i="8" a="1"/>
  <c r="AJ266" i="8" s="1"/>
  <c r="E267" i="8" a="1"/>
  <c r="E267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M267" i="8" a="1"/>
  <c r="M267" i="8" s="1"/>
  <c r="N267" i="8" a="1"/>
  <c r="N267" i="8" s="1"/>
  <c r="O267" i="8" a="1"/>
  <c r="O267" i="8" s="1"/>
  <c r="P267" i="8" a="1"/>
  <c r="P267" i="8" s="1"/>
  <c r="Q267" i="8" a="1"/>
  <c r="Q267" i="8" s="1"/>
  <c r="R267" i="8" a="1"/>
  <c r="R267" i="8" s="1"/>
  <c r="S267" i="8" a="1"/>
  <c r="S267" i="8" s="1"/>
  <c r="T267" i="8" a="1"/>
  <c r="T267" i="8" s="1"/>
  <c r="U267" i="8" a="1"/>
  <c r="U267" i="8" s="1"/>
  <c r="V267" i="8" a="1"/>
  <c r="V267" i="8" s="1"/>
  <c r="W267" i="8" a="1"/>
  <c r="W267" i="8" s="1"/>
  <c r="X267" i="8" a="1"/>
  <c r="X267" i="8" s="1"/>
  <c r="Y267" i="8" a="1"/>
  <c r="Y267" i="8" s="1"/>
  <c r="Z267" i="8" a="1"/>
  <c r="Z267" i="8" s="1"/>
  <c r="AA267" i="8" a="1"/>
  <c r="AA267" i="8" s="1"/>
  <c r="AB267" i="8" a="1"/>
  <c r="AB267" i="8" s="1"/>
  <c r="AC267" i="8" a="1"/>
  <c r="AC267" i="8" s="1"/>
  <c r="AD267" i="8" a="1"/>
  <c r="AD267" i="8" s="1"/>
  <c r="AE267" i="8" a="1"/>
  <c r="AE267" i="8" s="1"/>
  <c r="AF267" i="8" a="1"/>
  <c r="AF267" i="8" s="1"/>
  <c r="AG267" i="8" a="1"/>
  <c r="AG267" i="8" s="1"/>
  <c r="AH267" i="8" a="1"/>
  <c r="AH267" i="8" s="1"/>
  <c r="AI267" i="8" a="1"/>
  <c r="AI267" i="8" s="1"/>
  <c r="AJ267" i="8" a="1"/>
  <c r="AJ267" i="8" s="1"/>
  <c r="E268" i="8" a="1"/>
  <c r="E268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M268" i="8" a="1"/>
  <c r="M268" i="8" s="1"/>
  <c r="N268" i="8" a="1"/>
  <c r="N268" i="8" s="1"/>
  <c r="O268" i="8" a="1"/>
  <c r="O268" i="8" s="1"/>
  <c r="P268" i="8" a="1"/>
  <c r="P268" i="8" s="1"/>
  <c r="Q268" i="8" a="1"/>
  <c r="Q268" i="8" s="1"/>
  <c r="R268" i="8" a="1"/>
  <c r="R268" i="8" s="1"/>
  <c r="S268" i="8" a="1"/>
  <c r="S268" i="8" s="1"/>
  <c r="T268" i="8" a="1"/>
  <c r="T268" i="8" s="1"/>
  <c r="U268" i="8" a="1"/>
  <c r="U268" i="8" s="1"/>
  <c r="V268" i="8" a="1"/>
  <c r="V268" i="8" s="1"/>
  <c r="W268" i="8" a="1"/>
  <c r="W268" i="8" s="1"/>
  <c r="X268" i="8" a="1"/>
  <c r="X268" i="8" s="1"/>
  <c r="Y268" i="8" a="1"/>
  <c r="Y268" i="8" s="1"/>
  <c r="Z268" i="8" a="1"/>
  <c r="Z268" i="8" s="1"/>
  <c r="AA268" i="8" a="1"/>
  <c r="AA268" i="8" s="1"/>
  <c r="AB268" i="8" a="1"/>
  <c r="AB268" i="8" s="1"/>
  <c r="AC268" i="8" a="1"/>
  <c r="AC268" i="8" s="1"/>
  <c r="AD268" i="8" a="1"/>
  <c r="AD268" i="8" s="1"/>
  <c r="AE268" i="8" a="1"/>
  <c r="AE268" i="8" s="1"/>
  <c r="AF268" i="8" a="1"/>
  <c r="AF268" i="8" s="1"/>
  <c r="AG268" i="8" a="1"/>
  <c r="AG268" i="8" s="1"/>
  <c r="AH268" i="8" a="1"/>
  <c r="AH268" i="8" s="1"/>
  <c r="AI268" i="8" a="1"/>
  <c r="AI268" i="8" s="1"/>
  <c r="AJ268" i="8" a="1"/>
  <c r="AJ268" i="8" s="1"/>
  <c r="E269" i="8" a="1"/>
  <c r="E269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M269" i="8" a="1"/>
  <c r="M269" i="8" s="1"/>
  <c r="N269" i="8" a="1"/>
  <c r="N269" i="8" s="1"/>
  <c r="O269" i="8" a="1"/>
  <c r="O269" i="8" s="1"/>
  <c r="P269" i="8" a="1"/>
  <c r="P269" i="8" s="1"/>
  <c r="Q269" i="8" a="1"/>
  <c r="Q269" i="8" s="1"/>
  <c r="R269" i="8" a="1"/>
  <c r="R269" i="8" s="1"/>
  <c r="S269" i="8" a="1"/>
  <c r="S269" i="8" s="1"/>
  <c r="T269" i="8" a="1"/>
  <c r="T269" i="8" s="1"/>
  <c r="U269" i="8" a="1"/>
  <c r="U269" i="8" s="1"/>
  <c r="V269" i="8" a="1"/>
  <c r="V269" i="8" s="1"/>
  <c r="W269" i="8" a="1"/>
  <c r="W269" i="8" s="1"/>
  <c r="X269" i="8" a="1"/>
  <c r="X269" i="8" s="1"/>
  <c r="Y269" i="8" a="1"/>
  <c r="Y269" i="8" s="1"/>
  <c r="Z269" i="8" a="1"/>
  <c r="Z269" i="8" s="1"/>
  <c r="AA269" i="8" a="1"/>
  <c r="AA269" i="8" s="1"/>
  <c r="AB269" i="8" a="1"/>
  <c r="AB269" i="8" s="1"/>
  <c r="AC269" i="8" a="1"/>
  <c r="AC269" i="8" s="1"/>
  <c r="AD269" i="8" a="1"/>
  <c r="AD269" i="8" s="1"/>
  <c r="AE269" i="8" a="1"/>
  <c r="AE269" i="8" s="1"/>
  <c r="AF269" i="8" a="1"/>
  <c r="AF269" i="8" s="1"/>
  <c r="AG269" i="8" a="1"/>
  <c r="AG269" i="8" s="1"/>
  <c r="AH269" i="8" a="1"/>
  <c r="AH269" i="8" s="1"/>
  <c r="AI269" i="8" a="1"/>
  <c r="AI269" i="8" s="1"/>
  <c r="AJ269" i="8" a="1"/>
  <c r="AJ269" i="8" s="1"/>
  <c r="E270" i="8" a="1"/>
  <c r="E270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M270" i="8" a="1"/>
  <c r="M270" i="8" s="1"/>
  <c r="N270" i="8" a="1"/>
  <c r="N270" i="8" s="1"/>
  <c r="O270" i="8" a="1"/>
  <c r="O270" i="8" s="1"/>
  <c r="P270" i="8" a="1"/>
  <c r="P270" i="8" s="1"/>
  <c r="Q270" i="8" a="1"/>
  <c r="Q270" i="8" s="1"/>
  <c r="R270" i="8" a="1"/>
  <c r="R270" i="8" s="1"/>
  <c r="S270" i="8" a="1"/>
  <c r="S270" i="8" s="1"/>
  <c r="T270" i="8" a="1"/>
  <c r="T270" i="8" s="1"/>
  <c r="U270" i="8" a="1"/>
  <c r="U270" i="8" s="1"/>
  <c r="V270" i="8" a="1"/>
  <c r="V270" i="8" s="1"/>
  <c r="W270" i="8" a="1"/>
  <c r="W270" i="8" s="1"/>
  <c r="X270" i="8" a="1"/>
  <c r="X270" i="8" s="1"/>
  <c r="Y270" i="8" a="1"/>
  <c r="Y270" i="8" s="1"/>
  <c r="Z270" i="8" a="1"/>
  <c r="Z270" i="8" s="1"/>
  <c r="AA270" i="8" a="1"/>
  <c r="AA270" i="8" s="1"/>
  <c r="AB270" i="8" a="1"/>
  <c r="AB270" i="8" s="1"/>
  <c r="AC270" i="8" a="1"/>
  <c r="AC270" i="8" s="1"/>
  <c r="AD270" i="8" a="1"/>
  <c r="AD270" i="8" s="1"/>
  <c r="AE270" i="8" a="1"/>
  <c r="AE270" i="8" s="1"/>
  <c r="AF270" i="8" a="1"/>
  <c r="AF270" i="8" s="1"/>
  <c r="AG270" i="8" a="1"/>
  <c r="AG270" i="8" s="1"/>
  <c r="AH270" i="8" a="1"/>
  <c r="AH270" i="8" s="1"/>
  <c r="AI270" i="8" a="1"/>
  <c r="AI270" i="8" s="1"/>
  <c r="AJ270" i="8" a="1"/>
  <c r="AJ270" i="8" s="1"/>
  <c r="E271" i="8" a="1"/>
  <c r="E271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M271" i="8" a="1"/>
  <c r="M271" i="8" s="1"/>
  <c r="N271" i="8" a="1"/>
  <c r="N271" i="8" s="1"/>
  <c r="O271" i="8" a="1"/>
  <c r="O271" i="8" s="1"/>
  <c r="P271" i="8" a="1"/>
  <c r="P271" i="8" s="1"/>
  <c r="Q271" i="8" a="1"/>
  <c r="Q271" i="8" s="1"/>
  <c r="R271" i="8" a="1"/>
  <c r="R271" i="8" s="1"/>
  <c r="S271" i="8" a="1"/>
  <c r="S271" i="8" s="1"/>
  <c r="T271" i="8" a="1"/>
  <c r="T271" i="8" s="1"/>
  <c r="U271" i="8" a="1"/>
  <c r="U271" i="8" s="1"/>
  <c r="V271" i="8" a="1"/>
  <c r="V271" i="8" s="1"/>
  <c r="W271" i="8" a="1"/>
  <c r="W271" i="8" s="1"/>
  <c r="X271" i="8" a="1"/>
  <c r="X271" i="8" s="1"/>
  <c r="Y271" i="8" a="1"/>
  <c r="Y271" i="8" s="1"/>
  <c r="Z271" i="8" a="1"/>
  <c r="Z271" i="8" s="1"/>
  <c r="AA271" i="8" a="1"/>
  <c r="AA271" i="8" s="1"/>
  <c r="AB271" i="8" a="1"/>
  <c r="AB271" i="8" s="1"/>
  <c r="AC271" i="8" a="1"/>
  <c r="AC271" i="8" s="1"/>
  <c r="AD271" i="8" a="1"/>
  <c r="AD271" i="8" s="1"/>
  <c r="AE271" i="8" a="1"/>
  <c r="AE271" i="8" s="1"/>
  <c r="AF271" i="8" a="1"/>
  <c r="AF271" i="8" s="1"/>
  <c r="AG271" i="8" a="1"/>
  <c r="AG271" i="8" s="1"/>
  <c r="AH271" i="8" a="1"/>
  <c r="AH271" i="8" s="1"/>
  <c r="AI271" i="8" a="1"/>
  <c r="AI271" i="8" s="1"/>
  <c r="AJ271" i="8" a="1"/>
  <c r="AJ271" i="8" s="1"/>
  <c r="E272" i="8" a="1"/>
  <c r="E272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M272" i="8" a="1"/>
  <c r="M272" i="8" s="1"/>
  <c r="N272" i="8" a="1"/>
  <c r="N272" i="8" s="1"/>
  <c r="O272" i="8" a="1"/>
  <c r="O272" i="8" s="1"/>
  <c r="P272" i="8" a="1"/>
  <c r="P272" i="8" s="1"/>
  <c r="Q272" i="8" a="1"/>
  <c r="Q272" i="8" s="1"/>
  <c r="R272" i="8" a="1"/>
  <c r="R272" i="8" s="1"/>
  <c r="S272" i="8" a="1"/>
  <c r="S272" i="8" s="1"/>
  <c r="T272" i="8" a="1"/>
  <c r="T272" i="8" s="1"/>
  <c r="U272" i="8" a="1"/>
  <c r="U272" i="8" s="1"/>
  <c r="V272" i="8" a="1"/>
  <c r="V272" i="8" s="1"/>
  <c r="W272" i="8" a="1"/>
  <c r="W272" i="8" s="1"/>
  <c r="X272" i="8" a="1"/>
  <c r="X272" i="8" s="1"/>
  <c r="Y272" i="8" a="1"/>
  <c r="Y272" i="8" s="1"/>
  <c r="Z272" i="8" a="1"/>
  <c r="Z272" i="8" s="1"/>
  <c r="AA272" i="8" a="1"/>
  <c r="AA272" i="8" s="1"/>
  <c r="AB272" i="8" a="1"/>
  <c r="AB272" i="8" s="1"/>
  <c r="AC272" i="8" a="1"/>
  <c r="AC272" i="8" s="1"/>
  <c r="AD272" i="8" a="1"/>
  <c r="AD272" i="8" s="1"/>
  <c r="AE272" i="8" a="1"/>
  <c r="AE272" i="8" s="1"/>
  <c r="AF272" i="8" a="1"/>
  <c r="AF272" i="8" s="1"/>
  <c r="AG272" i="8" a="1"/>
  <c r="AG272" i="8" s="1"/>
  <c r="AH272" i="8" a="1"/>
  <c r="AH272" i="8" s="1"/>
  <c r="AI272" i="8" a="1"/>
  <c r="AI272" i="8" s="1"/>
  <c r="AJ272" i="8" a="1"/>
  <c r="AJ272" i="8" s="1"/>
  <c r="E273" i="8" a="1"/>
  <c r="E273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M273" i="8" a="1"/>
  <c r="M273" i="8" s="1"/>
  <c r="N273" i="8" a="1"/>
  <c r="N273" i="8" s="1"/>
  <c r="O273" i="8" a="1"/>
  <c r="O273" i="8" s="1"/>
  <c r="P273" i="8" a="1"/>
  <c r="P273" i="8" s="1"/>
  <c r="Q273" i="8" a="1"/>
  <c r="Q273" i="8" s="1"/>
  <c r="R273" i="8" a="1"/>
  <c r="R273" i="8" s="1"/>
  <c r="S273" i="8" a="1"/>
  <c r="S273" i="8" s="1"/>
  <c r="T273" i="8" a="1"/>
  <c r="T273" i="8" s="1"/>
  <c r="U273" i="8" a="1"/>
  <c r="U273" i="8" s="1"/>
  <c r="V273" i="8" a="1"/>
  <c r="V273" i="8" s="1"/>
  <c r="W273" i="8" a="1"/>
  <c r="W273" i="8" s="1"/>
  <c r="X273" i="8" a="1"/>
  <c r="X273" i="8" s="1"/>
  <c r="Y273" i="8" a="1"/>
  <c r="Y273" i="8" s="1"/>
  <c r="Z273" i="8" a="1"/>
  <c r="Z273" i="8" s="1"/>
  <c r="AA273" i="8" a="1"/>
  <c r="AA273" i="8" s="1"/>
  <c r="AB273" i="8" a="1"/>
  <c r="AB273" i="8" s="1"/>
  <c r="AC273" i="8" a="1"/>
  <c r="AC273" i="8" s="1"/>
  <c r="AD273" i="8" a="1"/>
  <c r="AD273" i="8" s="1"/>
  <c r="AE273" i="8" a="1"/>
  <c r="AE273" i="8" s="1"/>
  <c r="AF273" i="8" a="1"/>
  <c r="AF273" i="8" s="1"/>
  <c r="AG273" i="8" a="1"/>
  <c r="AG273" i="8" s="1"/>
  <c r="AH273" i="8" a="1"/>
  <c r="AH273" i="8" s="1"/>
  <c r="AI273" i="8" a="1"/>
  <c r="AI273" i="8" s="1"/>
  <c r="AJ273" i="8" a="1"/>
  <c r="AJ273" i="8" s="1"/>
  <c r="E274" i="8" a="1"/>
  <c r="E274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M274" i="8" a="1"/>
  <c r="M274" i="8" s="1"/>
  <c r="N274" i="8" a="1"/>
  <c r="N274" i="8" s="1"/>
  <c r="O274" i="8" a="1"/>
  <c r="O274" i="8" s="1"/>
  <c r="P274" i="8" a="1"/>
  <c r="P274" i="8" s="1"/>
  <c r="Q274" i="8" a="1"/>
  <c r="Q274" i="8" s="1"/>
  <c r="R274" i="8" a="1"/>
  <c r="R274" i="8" s="1"/>
  <c r="S274" i="8" a="1"/>
  <c r="S274" i="8" s="1"/>
  <c r="T274" i="8" a="1"/>
  <c r="T274" i="8" s="1"/>
  <c r="U274" i="8" a="1"/>
  <c r="U274" i="8" s="1"/>
  <c r="V274" i="8" a="1"/>
  <c r="V274" i="8" s="1"/>
  <c r="W274" i="8" a="1"/>
  <c r="W274" i="8" s="1"/>
  <c r="X274" i="8" a="1"/>
  <c r="X274" i="8" s="1"/>
  <c r="Y274" i="8" a="1"/>
  <c r="Y274" i="8" s="1"/>
  <c r="Z274" i="8" a="1"/>
  <c r="Z274" i="8" s="1"/>
  <c r="AA274" i="8" a="1"/>
  <c r="AA274" i="8" s="1"/>
  <c r="AB274" i="8" a="1"/>
  <c r="AB274" i="8" s="1"/>
  <c r="AC274" i="8" a="1"/>
  <c r="AC274" i="8" s="1"/>
  <c r="AD274" i="8" a="1"/>
  <c r="AD274" i="8" s="1"/>
  <c r="AE274" i="8" a="1"/>
  <c r="AE274" i="8" s="1"/>
  <c r="AF274" i="8" a="1"/>
  <c r="AF274" i="8" s="1"/>
  <c r="AG274" i="8" a="1"/>
  <c r="AG274" i="8" s="1"/>
  <c r="AH274" i="8" a="1"/>
  <c r="AH274" i="8" s="1"/>
  <c r="AI274" i="8" a="1"/>
  <c r="AI274" i="8" s="1"/>
  <c r="AJ274" i="8" a="1"/>
  <c r="AJ274" i="8" s="1"/>
  <c r="E275" i="8" a="1"/>
  <c r="E275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M275" i="8" a="1"/>
  <c r="M275" i="8" s="1"/>
  <c r="N275" i="8" a="1"/>
  <c r="N275" i="8" s="1"/>
  <c r="O275" i="8" a="1"/>
  <c r="O275" i="8" s="1"/>
  <c r="P275" i="8" a="1"/>
  <c r="P275" i="8" s="1"/>
  <c r="Q275" i="8" a="1"/>
  <c r="Q275" i="8" s="1"/>
  <c r="R275" i="8" a="1"/>
  <c r="R275" i="8" s="1"/>
  <c r="S275" i="8" a="1"/>
  <c r="S275" i="8" s="1"/>
  <c r="T275" i="8" a="1"/>
  <c r="T275" i="8" s="1"/>
  <c r="U275" i="8" a="1"/>
  <c r="U275" i="8" s="1"/>
  <c r="V275" i="8" a="1"/>
  <c r="V275" i="8" s="1"/>
  <c r="W275" i="8" a="1"/>
  <c r="W275" i="8" s="1"/>
  <c r="X275" i="8" a="1"/>
  <c r="X275" i="8" s="1"/>
  <c r="Y275" i="8" a="1"/>
  <c r="Y275" i="8" s="1"/>
  <c r="Z275" i="8" a="1"/>
  <c r="Z275" i="8" s="1"/>
  <c r="AA275" i="8" a="1"/>
  <c r="AA275" i="8" s="1"/>
  <c r="AB275" i="8" a="1"/>
  <c r="AB275" i="8" s="1"/>
  <c r="AC275" i="8" a="1"/>
  <c r="AC275" i="8" s="1"/>
  <c r="AD275" i="8" a="1"/>
  <c r="AD275" i="8" s="1"/>
  <c r="AE275" i="8" a="1"/>
  <c r="AE275" i="8" s="1"/>
  <c r="AF275" i="8" a="1"/>
  <c r="AF275" i="8" s="1"/>
  <c r="AG275" i="8" a="1"/>
  <c r="AG275" i="8" s="1"/>
  <c r="AH275" i="8" a="1"/>
  <c r="AH275" i="8" s="1"/>
  <c r="AI275" i="8" a="1"/>
  <c r="AI275" i="8" s="1"/>
  <c r="AJ275" i="8" a="1"/>
  <c r="AJ275" i="8" s="1"/>
  <c r="E276" i="8" a="1"/>
  <c r="E276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M276" i="8" a="1"/>
  <c r="M276" i="8" s="1"/>
  <c r="N276" i="8" a="1"/>
  <c r="N276" i="8" s="1"/>
  <c r="O276" i="8" a="1"/>
  <c r="O276" i="8" s="1"/>
  <c r="P276" i="8" a="1"/>
  <c r="P276" i="8" s="1"/>
  <c r="Q276" i="8" a="1"/>
  <c r="Q276" i="8" s="1"/>
  <c r="R276" i="8" a="1"/>
  <c r="R276" i="8" s="1"/>
  <c r="S276" i="8" a="1"/>
  <c r="S276" i="8" s="1"/>
  <c r="T276" i="8" a="1"/>
  <c r="T276" i="8" s="1"/>
  <c r="U276" i="8" a="1"/>
  <c r="U276" i="8" s="1"/>
  <c r="V276" i="8" a="1"/>
  <c r="V276" i="8" s="1"/>
  <c r="W276" i="8" a="1"/>
  <c r="W276" i="8" s="1"/>
  <c r="X276" i="8" a="1"/>
  <c r="X276" i="8" s="1"/>
  <c r="Y276" i="8" a="1"/>
  <c r="Y276" i="8" s="1"/>
  <c r="Z276" i="8" a="1"/>
  <c r="Z276" i="8" s="1"/>
  <c r="AA276" i="8" a="1"/>
  <c r="AA276" i="8" s="1"/>
  <c r="AB276" i="8" a="1"/>
  <c r="AB276" i="8" s="1"/>
  <c r="AC276" i="8" a="1"/>
  <c r="AC276" i="8" s="1"/>
  <c r="AD276" i="8" a="1"/>
  <c r="AD276" i="8" s="1"/>
  <c r="AE276" i="8" a="1"/>
  <c r="AE276" i="8" s="1"/>
  <c r="AF276" i="8" a="1"/>
  <c r="AF276" i="8" s="1"/>
  <c r="AG276" i="8" a="1"/>
  <c r="AG276" i="8" s="1"/>
  <c r="AH276" i="8" a="1"/>
  <c r="AH276" i="8" s="1"/>
  <c r="AI276" i="8" a="1"/>
  <c r="AI276" i="8" s="1"/>
  <c r="AJ276" i="8" a="1"/>
  <c r="AJ276" i="8" s="1"/>
  <c r="E277" i="8" a="1"/>
  <c r="E277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M277" i="8" a="1"/>
  <c r="M277" i="8" s="1"/>
  <c r="N277" i="8" a="1"/>
  <c r="N277" i="8" s="1"/>
  <c r="O277" i="8" a="1"/>
  <c r="O277" i="8" s="1"/>
  <c r="P277" i="8" a="1"/>
  <c r="P277" i="8" s="1"/>
  <c r="Q277" i="8" a="1"/>
  <c r="Q277" i="8" s="1"/>
  <c r="R277" i="8" a="1"/>
  <c r="R277" i="8" s="1"/>
  <c r="S277" i="8" a="1"/>
  <c r="S277" i="8" s="1"/>
  <c r="T277" i="8" a="1"/>
  <c r="T277" i="8" s="1"/>
  <c r="U277" i="8" a="1"/>
  <c r="U277" i="8" s="1"/>
  <c r="V277" i="8" a="1"/>
  <c r="V277" i="8" s="1"/>
  <c r="W277" i="8" a="1"/>
  <c r="W277" i="8" s="1"/>
  <c r="X277" i="8" a="1"/>
  <c r="X277" i="8" s="1"/>
  <c r="Y277" i="8" a="1"/>
  <c r="Y277" i="8" s="1"/>
  <c r="Z277" i="8" a="1"/>
  <c r="Z277" i="8" s="1"/>
  <c r="AA277" i="8" a="1"/>
  <c r="AA277" i="8" s="1"/>
  <c r="AB277" i="8" a="1"/>
  <c r="AB277" i="8" s="1"/>
  <c r="AC277" i="8" a="1"/>
  <c r="AC277" i="8" s="1"/>
  <c r="AD277" i="8" a="1"/>
  <c r="AD277" i="8" s="1"/>
  <c r="AE277" i="8" a="1"/>
  <c r="AE277" i="8" s="1"/>
  <c r="AF277" i="8" a="1"/>
  <c r="AF277" i="8" s="1"/>
  <c r="AG277" i="8" a="1"/>
  <c r="AG277" i="8" s="1"/>
  <c r="AH277" i="8" a="1"/>
  <c r="AH277" i="8" s="1"/>
  <c r="AI277" i="8" a="1"/>
  <c r="AI277" i="8" s="1"/>
  <c r="AJ277" i="8" a="1"/>
  <c r="AJ277" i="8" s="1"/>
  <c r="E278" i="8" a="1"/>
  <c r="E278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M278" i="8" a="1"/>
  <c r="M278" i="8" s="1"/>
  <c r="N278" i="8" a="1"/>
  <c r="N278" i="8" s="1"/>
  <c r="O278" i="8" a="1"/>
  <c r="O278" i="8" s="1"/>
  <c r="P278" i="8" a="1"/>
  <c r="P278" i="8" s="1"/>
  <c r="Q278" i="8" a="1"/>
  <c r="Q278" i="8" s="1"/>
  <c r="R278" i="8" a="1"/>
  <c r="R278" i="8" s="1"/>
  <c r="S278" i="8" a="1"/>
  <c r="S278" i="8" s="1"/>
  <c r="T278" i="8" a="1"/>
  <c r="T278" i="8" s="1"/>
  <c r="U278" i="8" a="1"/>
  <c r="U278" i="8" s="1"/>
  <c r="V278" i="8" a="1"/>
  <c r="V278" i="8" s="1"/>
  <c r="W278" i="8" a="1"/>
  <c r="W278" i="8" s="1"/>
  <c r="X278" i="8" a="1"/>
  <c r="X278" i="8" s="1"/>
  <c r="Y278" i="8" a="1"/>
  <c r="Y278" i="8" s="1"/>
  <c r="Z278" i="8" a="1"/>
  <c r="Z278" i="8" s="1"/>
  <c r="AA278" i="8" a="1"/>
  <c r="AA278" i="8" s="1"/>
  <c r="AB278" i="8" a="1"/>
  <c r="AB278" i="8" s="1"/>
  <c r="AC278" i="8" a="1"/>
  <c r="AC278" i="8" s="1"/>
  <c r="AD278" i="8" a="1"/>
  <c r="AD278" i="8" s="1"/>
  <c r="AE278" i="8" a="1"/>
  <c r="AE278" i="8" s="1"/>
  <c r="AF278" i="8" a="1"/>
  <c r="AF278" i="8" s="1"/>
  <c r="AG278" i="8" a="1"/>
  <c r="AG278" i="8" s="1"/>
  <c r="AH278" i="8" a="1"/>
  <c r="AH278" i="8" s="1"/>
  <c r="AI278" i="8" a="1"/>
  <c r="AI278" i="8" s="1"/>
  <c r="AJ278" i="8" a="1"/>
  <c r="AJ278" i="8" s="1"/>
  <c r="E279" i="8" a="1"/>
  <c r="E279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M279" i="8" a="1"/>
  <c r="M279" i="8" s="1"/>
  <c r="N279" i="8" a="1"/>
  <c r="N279" i="8" s="1"/>
  <c r="O279" i="8" a="1"/>
  <c r="O279" i="8" s="1"/>
  <c r="P279" i="8" a="1"/>
  <c r="P279" i="8" s="1"/>
  <c r="Q279" i="8" a="1"/>
  <c r="Q279" i="8" s="1"/>
  <c r="R279" i="8" a="1"/>
  <c r="R279" i="8" s="1"/>
  <c r="S279" i="8" a="1"/>
  <c r="S279" i="8" s="1"/>
  <c r="T279" i="8" a="1"/>
  <c r="T279" i="8" s="1"/>
  <c r="U279" i="8" a="1"/>
  <c r="U279" i="8" s="1"/>
  <c r="V279" i="8" a="1"/>
  <c r="V279" i="8" s="1"/>
  <c r="W279" i="8" a="1"/>
  <c r="W279" i="8" s="1"/>
  <c r="X279" i="8" a="1"/>
  <c r="X279" i="8" s="1"/>
  <c r="Y279" i="8" a="1"/>
  <c r="Y279" i="8" s="1"/>
  <c r="Z279" i="8" a="1"/>
  <c r="Z279" i="8" s="1"/>
  <c r="AA279" i="8" a="1"/>
  <c r="AA279" i="8" s="1"/>
  <c r="AB279" i="8" a="1"/>
  <c r="AB279" i="8" s="1"/>
  <c r="AC279" i="8" a="1"/>
  <c r="AC279" i="8" s="1"/>
  <c r="AD279" i="8" a="1"/>
  <c r="AD279" i="8" s="1"/>
  <c r="AE279" i="8" a="1"/>
  <c r="AE279" i="8" s="1"/>
  <c r="AF279" i="8" a="1"/>
  <c r="AF279" i="8" s="1"/>
  <c r="AG279" i="8" a="1"/>
  <c r="AG279" i="8" s="1"/>
  <c r="AH279" i="8" a="1"/>
  <c r="AH279" i="8" s="1"/>
  <c r="AI279" i="8" a="1"/>
  <c r="AI279" i="8" s="1"/>
  <c r="AJ279" i="8" a="1"/>
  <c r="AJ279" i="8" s="1"/>
  <c r="E280" i="8" a="1"/>
  <c r="E280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M280" i="8" a="1"/>
  <c r="M280" i="8" s="1"/>
  <c r="N280" i="8" a="1"/>
  <c r="N280" i="8" s="1"/>
  <c r="O280" i="8" a="1"/>
  <c r="O280" i="8" s="1"/>
  <c r="P280" i="8" a="1"/>
  <c r="P280" i="8" s="1"/>
  <c r="Q280" i="8" a="1"/>
  <c r="Q280" i="8" s="1"/>
  <c r="R280" i="8" a="1"/>
  <c r="R280" i="8" s="1"/>
  <c r="S280" i="8" a="1"/>
  <c r="S280" i="8" s="1"/>
  <c r="T280" i="8" a="1"/>
  <c r="T280" i="8" s="1"/>
  <c r="U280" i="8" a="1"/>
  <c r="U280" i="8" s="1"/>
  <c r="V280" i="8" a="1"/>
  <c r="V280" i="8" s="1"/>
  <c r="W280" i="8" a="1"/>
  <c r="W280" i="8" s="1"/>
  <c r="X280" i="8" a="1"/>
  <c r="X280" i="8" s="1"/>
  <c r="Y280" i="8" a="1"/>
  <c r="Y280" i="8" s="1"/>
  <c r="Z280" i="8" a="1"/>
  <c r="Z280" i="8" s="1"/>
  <c r="AA280" i="8" a="1"/>
  <c r="AA280" i="8" s="1"/>
  <c r="AB280" i="8" a="1"/>
  <c r="AB280" i="8" s="1"/>
  <c r="AC280" i="8" a="1"/>
  <c r="AC280" i="8" s="1"/>
  <c r="AD280" i="8" a="1"/>
  <c r="AD280" i="8" s="1"/>
  <c r="AE280" i="8" a="1"/>
  <c r="AE280" i="8" s="1"/>
  <c r="AF280" i="8" a="1"/>
  <c r="AF280" i="8" s="1"/>
  <c r="AG280" i="8" a="1"/>
  <c r="AG280" i="8" s="1"/>
  <c r="AH280" i="8" a="1"/>
  <c r="AH280" i="8" s="1"/>
  <c r="AI280" i="8" a="1"/>
  <c r="AI280" i="8" s="1"/>
  <c r="AJ280" i="8" a="1"/>
  <c r="AJ280" i="8" s="1"/>
  <c r="E281" i="8" a="1"/>
  <c r="E281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M281" i="8" a="1"/>
  <c r="M281" i="8" s="1"/>
  <c r="N281" i="8" a="1"/>
  <c r="N281" i="8" s="1"/>
  <c r="O281" i="8" a="1"/>
  <c r="O281" i="8" s="1"/>
  <c r="P281" i="8" a="1"/>
  <c r="P281" i="8" s="1"/>
  <c r="Q281" i="8" a="1"/>
  <c r="Q281" i="8" s="1"/>
  <c r="R281" i="8" a="1"/>
  <c r="R281" i="8" s="1"/>
  <c r="S281" i="8" a="1"/>
  <c r="S281" i="8" s="1"/>
  <c r="T281" i="8" a="1"/>
  <c r="T281" i="8" s="1"/>
  <c r="U281" i="8" a="1"/>
  <c r="U281" i="8" s="1"/>
  <c r="V281" i="8" a="1"/>
  <c r="V281" i="8" s="1"/>
  <c r="W281" i="8" a="1"/>
  <c r="W281" i="8" s="1"/>
  <c r="X281" i="8" a="1"/>
  <c r="X281" i="8" s="1"/>
  <c r="Y281" i="8" a="1"/>
  <c r="Y281" i="8" s="1"/>
  <c r="Z281" i="8" a="1"/>
  <c r="Z281" i="8" s="1"/>
  <c r="AA281" i="8" a="1"/>
  <c r="AA281" i="8" s="1"/>
  <c r="AB281" i="8" a="1"/>
  <c r="AB281" i="8" s="1"/>
  <c r="AC281" i="8" a="1"/>
  <c r="AC281" i="8" s="1"/>
  <c r="AD281" i="8" a="1"/>
  <c r="AD281" i="8" s="1"/>
  <c r="AE281" i="8" a="1"/>
  <c r="AE281" i="8" s="1"/>
  <c r="AF281" i="8" a="1"/>
  <c r="AF281" i="8" s="1"/>
  <c r="AG281" i="8" a="1"/>
  <c r="AG281" i="8" s="1"/>
  <c r="AH281" i="8" a="1"/>
  <c r="AH281" i="8" s="1"/>
  <c r="AI281" i="8" a="1"/>
  <c r="AI281" i="8" s="1"/>
  <c r="AJ281" i="8" a="1"/>
  <c r="AJ281" i="8" s="1"/>
  <c r="E282" i="8" a="1"/>
  <c r="E282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M282" i="8" a="1"/>
  <c r="M282" i="8" s="1"/>
  <c r="N282" i="8" a="1"/>
  <c r="N282" i="8" s="1"/>
  <c r="O282" i="8" a="1"/>
  <c r="O282" i="8" s="1"/>
  <c r="P282" i="8" a="1"/>
  <c r="P282" i="8" s="1"/>
  <c r="Q282" i="8" a="1"/>
  <c r="Q282" i="8" s="1"/>
  <c r="R282" i="8" a="1"/>
  <c r="R282" i="8" s="1"/>
  <c r="S282" i="8" a="1"/>
  <c r="S282" i="8" s="1"/>
  <c r="T282" i="8" a="1"/>
  <c r="T282" i="8" s="1"/>
  <c r="U282" i="8" a="1"/>
  <c r="U282" i="8" s="1"/>
  <c r="V282" i="8" a="1"/>
  <c r="V282" i="8" s="1"/>
  <c r="W282" i="8" a="1"/>
  <c r="W282" i="8" s="1"/>
  <c r="X282" i="8" a="1"/>
  <c r="X282" i="8" s="1"/>
  <c r="Y282" i="8" a="1"/>
  <c r="Y282" i="8" s="1"/>
  <c r="Z282" i="8" a="1"/>
  <c r="Z282" i="8" s="1"/>
  <c r="AA282" i="8" a="1"/>
  <c r="AA282" i="8" s="1"/>
  <c r="AB282" i="8" a="1"/>
  <c r="AB282" i="8" s="1"/>
  <c r="AC282" i="8" a="1"/>
  <c r="AC282" i="8" s="1"/>
  <c r="AD282" i="8" a="1"/>
  <c r="AD282" i="8" s="1"/>
  <c r="AE282" i="8" a="1"/>
  <c r="AE282" i="8" s="1"/>
  <c r="AF282" i="8" a="1"/>
  <c r="AF282" i="8" s="1"/>
  <c r="AG282" i="8" a="1"/>
  <c r="AG282" i="8" s="1"/>
  <c r="AH282" i="8" a="1"/>
  <c r="AH282" i="8" s="1"/>
  <c r="AI282" i="8" a="1"/>
  <c r="AI282" i="8" s="1"/>
  <c r="AJ282" i="8" a="1"/>
  <c r="AJ282" i="8" s="1"/>
  <c r="E283" i="8" a="1"/>
  <c r="E283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M283" i="8" a="1"/>
  <c r="M283" i="8" s="1"/>
  <c r="N283" i="8" a="1"/>
  <c r="N283" i="8" s="1"/>
  <c r="O283" i="8" a="1"/>
  <c r="O283" i="8" s="1"/>
  <c r="P283" i="8" a="1"/>
  <c r="P283" i="8" s="1"/>
  <c r="Q283" i="8" a="1"/>
  <c r="Q283" i="8" s="1"/>
  <c r="R283" i="8" a="1"/>
  <c r="R283" i="8" s="1"/>
  <c r="S283" i="8" a="1"/>
  <c r="S283" i="8" s="1"/>
  <c r="T283" i="8" a="1"/>
  <c r="T283" i="8" s="1"/>
  <c r="U283" i="8" a="1"/>
  <c r="U283" i="8" s="1"/>
  <c r="V283" i="8" a="1"/>
  <c r="V283" i="8" s="1"/>
  <c r="W283" i="8" a="1"/>
  <c r="W283" i="8" s="1"/>
  <c r="X283" i="8" a="1"/>
  <c r="X283" i="8" s="1"/>
  <c r="Y283" i="8" a="1"/>
  <c r="Y283" i="8" s="1"/>
  <c r="Z283" i="8" a="1"/>
  <c r="Z283" i="8" s="1"/>
  <c r="AA283" i="8" a="1"/>
  <c r="AA283" i="8" s="1"/>
  <c r="AB283" i="8" a="1"/>
  <c r="AB283" i="8" s="1"/>
  <c r="AC283" i="8" a="1"/>
  <c r="AC283" i="8" s="1"/>
  <c r="AD283" i="8" a="1"/>
  <c r="AD283" i="8" s="1"/>
  <c r="AE283" i="8" a="1"/>
  <c r="AE283" i="8" s="1"/>
  <c r="AF283" i="8" a="1"/>
  <c r="AF283" i="8" s="1"/>
  <c r="AG283" i="8" a="1"/>
  <c r="AG283" i="8" s="1"/>
  <c r="AH283" i="8" a="1"/>
  <c r="AH283" i="8" s="1"/>
  <c r="AI283" i="8" a="1"/>
  <c r="AI283" i="8" s="1"/>
  <c r="AJ283" i="8" a="1"/>
  <c r="AJ283" i="8" s="1"/>
  <c r="E284" i="8" a="1"/>
  <c r="E284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M284" i="8" a="1"/>
  <c r="M284" i="8" s="1"/>
  <c r="N284" i="8" a="1"/>
  <c r="N284" i="8" s="1"/>
  <c r="O284" i="8" a="1"/>
  <c r="O284" i="8" s="1"/>
  <c r="P284" i="8" a="1"/>
  <c r="P284" i="8" s="1"/>
  <c r="Q284" i="8" a="1"/>
  <c r="Q284" i="8" s="1"/>
  <c r="R284" i="8" a="1"/>
  <c r="R284" i="8" s="1"/>
  <c r="S284" i="8" a="1"/>
  <c r="S284" i="8" s="1"/>
  <c r="T284" i="8" a="1"/>
  <c r="T284" i="8" s="1"/>
  <c r="U284" i="8" a="1"/>
  <c r="U284" i="8" s="1"/>
  <c r="V284" i="8" a="1"/>
  <c r="V284" i="8" s="1"/>
  <c r="W284" i="8" a="1"/>
  <c r="W284" i="8" s="1"/>
  <c r="X284" i="8" a="1"/>
  <c r="X284" i="8" s="1"/>
  <c r="Y284" i="8" a="1"/>
  <c r="Y284" i="8" s="1"/>
  <c r="Z284" i="8" a="1"/>
  <c r="Z284" i="8" s="1"/>
  <c r="AA284" i="8" a="1"/>
  <c r="AA284" i="8" s="1"/>
  <c r="AB284" i="8" a="1"/>
  <c r="AB284" i="8" s="1"/>
  <c r="AC284" i="8" a="1"/>
  <c r="AC284" i="8" s="1"/>
  <c r="AD284" i="8" a="1"/>
  <c r="AD284" i="8" s="1"/>
  <c r="AE284" i="8" a="1"/>
  <c r="AE284" i="8" s="1"/>
  <c r="AF284" i="8" a="1"/>
  <c r="AF284" i="8" s="1"/>
  <c r="AG284" i="8" a="1"/>
  <c r="AG284" i="8" s="1"/>
  <c r="AH284" i="8" a="1"/>
  <c r="AH284" i="8" s="1"/>
  <c r="AI284" i="8" a="1"/>
  <c r="AI284" i="8" s="1"/>
  <c r="AJ284" i="8" a="1"/>
  <c r="AJ284" i="8" s="1"/>
  <c r="E285" i="8" a="1"/>
  <c r="E285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M285" i="8" a="1"/>
  <c r="M285" i="8" s="1"/>
  <c r="N285" i="8" a="1"/>
  <c r="N285" i="8" s="1"/>
  <c r="O285" i="8" a="1"/>
  <c r="O285" i="8" s="1"/>
  <c r="P285" i="8" a="1"/>
  <c r="P285" i="8" s="1"/>
  <c r="Q285" i="8" a="1"/>
  <c r="Q285" i="8" s="1"/>
  <c r="R285" i="8" a="1"/>
  <c r="R285" i="8" s="1"/>
  <c r="S285" i="8" a="1"/>
  <c r="S285" i="8" s="1"/>
  <c r="T285" i="8" a="1"/>
  <c r="T285" i="8" s="1"/>
  <c r="U285" i="8" a="1"/>
  <c r="U285" i="8" s="1"/>
  <c r="V285" i="8" a="1"/>
  <c r="V285" i="8" s="1"/>
  <c r="W285" i="8" a="1"/>
  <c r="W285" i="8" s="1"/>
  <c r="X285" i="8" a="1"/>
  <c r="X285" i="8" s="1"/>
  <c r="Y285" i="8" a="1"/>
  <c r="Y285" i="8" s="1"/>
  <c r="Z285" i="8" a="1"/>
  <c r="Z285" i="8" s="1"/>
  <c r="AA285" i="8" a="1"/>
  <c r="AA285" i="8" s="1"/>
  <c r="AB285" i="8" a="1"/>
  <c r="AB285" i="8" s="1"/>
  <c r="AC285" i="8" a="1"/>
  <c r="AC285" i="8" s="1"/>
  <c r="AD285" i="8" a="1"/>
  <c r="AD285" i="8" s="1"/>
  <c r="AE285" i="8" a="1"/>
  <c r="AE285" i="8" s="1"/>
  <c r="AF285" i="8" a="1"/>
  <c r="AF285" i="8" s="1"/>
  <c r="AG285" i="8" a="1"/>
  <c r="AG285" i="8" s="1"/>
  <c r="AH285" i="8" a="1"/>
  <c r="AH285" i="8" s="1"/>
  <c r="AI285" i="8" a="1"/>
  <c r="AI285" i="8" s="1"/>
  <c r="AJ285" i="8" a="1"/>
  <c r="AJ285" i="8" s="1"/>
  <c r="E286" i="8" a="1"/>
  <c r="E286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M286" i="8" a="1"/>
  <c r="M286" i="8" s="1"/>
  <c r="N286" i="8" a="1"/>
  <c r="N286" i="8" s="1"/>
  <c r="O286" i="8" a="1"/>
  <c r="O286" i="8" s="1"/>
  <c r="P286" i="8" a="1"/>
  <c r="P286" i="8" s="1"/>
  <c r="Q286" i="8" a="1"/>
  <c r="Q286" i="8" s="1"/>
  <c r="R286" i="8" a="1"/>
  <c r="R286" i="8" s="1"/>
  <c r="S286" i="8" a="1"/>
  <c r="S286" i="8" s="1"/>
  <c r="T286" i="8" a="1"/>
  <c r="T286" i="8" s="1"/>
  <c r="U286" i="8" a="1"/>
  <c r="U286" i="8" s="1"/>
  <c r="V286" i="8" a="1"/>
  <c r="V286" i="8" s="1"/>
  <c r="W286" i="8" a="1"/>
  <c r="W286" i="8" s="1"/>
  <c r="X286" i="8" a="1"/>
  <c r="X286" i="8" s="1"/>
  <c r="Y286" i="8" a="1"/>
  <c r="Y286" i="8" s="1"/>
  <c r="Z286" i="8" a="1"/>
  <c r="Z286" i="8" s="1"/>
  <c r="AA286" i="8" a="1"/>
  <c r="AA286" i="8" s="1"/>
  <c r="AB286" i="8" a="1"/>
  <c r="AB286" i="8" s="1"/>
  <c r="AC286" i="8" a="1"/>
  <c r="AC286" i="8" s="1"/>
  <c r="AD286" i="8" a="1"/>
  <c r="AD286" i="8" s="1"/>
  <c r="AE286" i="8" a="1"/>
  <c r="AE286" i="8" s="1"/>
  <c r="AF286" i="8" a="1"/>
  <c r="AF286" i="8" s="1"/>
  <c r="AG286" i="8" a="1"/>
  <c r="AG286" i="8" s="1"/>
  <c r="AH286" i="8" a="1"/>
  <c r="AH286" i="8" s="1"/>
  <c r="AI286" i="8" a="1"/>
  <c r="AI286" i="8" s="1"/>
  <c r="AJ286" i="8" a="1"/>
  <c r="AJ286" i="8" s="1"/>
  <c r="E287" i="8" a="1"/>
  <c r="E287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M287" i="8" a="1"/>
  <c r="M287" i="8" s="1"/>
  <c r="N287" i="8" a="1"/>
  <c r="N287" i="8" s="1"/>
  <c r="O287" i="8" a="1"/>
  <c r="O287" i="8" s="1"/>
  <c r="P287" i="8" a="1"/>
  <c r="P287" i="8" s="1"/>
  <c r="Q287" i="8" a="1"/>
  <c r="Q287" i="8" s="1"/>
  <c r="R287" i="8" a="1"/>
  <c r="R287" i="8" s="1"/>
  <c r="S287" i="8" a="1"/>
  <c r="S287" i="8" s="1"/>
  <c r="T287" i="8" a="1"/>
  <c r="T287" i="8" s="1"/>
  <c r="U287" i="8" a="1"/>
  <c r="U287" i="8" s="1"/>
  <c r="V287" i="8" a="1"/>
  <c r="V287" i="8" s="1"/>
  <c r="W287" i="8" a="1"/>
  <c r="W287" i="8" s="1"/>
  <c r="X287" i="8" a="1"/>
  <c r="X287" i="8" s="1"/>
  <c r="Y287" i="8" a="1"/>
  <c r="Y287" i="8" s="1"/>
  <c r="Z287" i="8" a="1"/>
  <c r="Z287" i="8" s="1"/>
  <c r="AA287" i="8" a="1"/>
  <c r="AA287" i="8" s="1"/>
  <c r="AB287" i="8" a="1"/>
  <c r="AB287" i="8" s="1"/>
  <c r="AC287" i="8" a="1"/>
  <c r="AC287" i="8" s="1"/>
  <c r="AD287" i="8" a="1"/>
  <c r="AD287" i="8" s="1"/>
  <c r="AE287" i="8" a="1"/>
  <c r="AE287" i="8" s="1"/>
  <c r="AF287" i="8" a="1"/>
  <c r="AF287" i="8" s="1"/>
  <c r="AG287" i="8" a="1"/>
  <c r="AG287" i="8" s="1"/>
  <c r="AH287" i="8" a="1"/>
  <c r="AH287" i="8" s="1"/>
  <c r="AI287" i="8" a="1"/>
  <c r="AI287" i="8" s="1"/>
  <c r="AJ287" i="8" a="1"/>
  <c r="AJ287" i="8" s="1"/>
  <c r="E288" i="8" a="1"/>
  <c r="E288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M288" i="8" a="1"/>
  <c r="M288" i="8" s="1"/>
  <c r="N288" i="8" a="1"/>
  <c r="N288" i="8" s="1"/>
  <c r="O288" i="8" a="1"/>
  <c r="O288" i="8" s="1"/>
  <c r="P288" i="8" a="1"/>
  <c r="P288" i="8" s="1"/>
  <c r="Q288" i="8" a="1"/>
  <c r="Q288" i="8" s="1"/>
  <c r="R288" i="8" a="1"/>
  <c r="R288" i="8" s="1"/>
  <c r="S288" i="8" a="1"/>
  <c r="S288" i="8" s="1"/>
  <c r="T288" i="8" a="1"/>
  <c r="T288" i="8" s="1"/>
  <c r="U288" i="8" a="1"/>
  <c r="U288" i="8" s="1"/>
  <c r="V288" i="8" a="1"/>
  <c r="V288" i="8" s="1"/>
  <c r="W288" i="8" a="1"/>
  <c r="W288" i="8" s="1"/>
  <c r="X288" i="8" a="1"/>
  <c r="X288" i="8" s="1"/>
  <c r="Y288" i="8" a="1"/>
  <c r="Y288" i="8" s="1"/>
  <c r="Z288" i="8" a="1"/>
  <c r="Z288" i="8" s="1"/>
  <c r="AA288" i="8" a="1"/>
  <c r="AA288" i="8" s="1"/>
  <c r="AB288" i="8" a="1"/>
  <c r="AB288" i="8" s="1"/>
  <c r="AC288" i="8" a="1"/>
  <c r="AC288" i="8" s="1"/>
  <c r="AD288" i="8" a="1"/>
  <c r="AD288" i="8" s="1"/>
  <c r="AE288" i="8" a="1"/>
  <c r="AE288" i="8" s="1"/>
  <c r="AF288" i="8" a="1"/>
  <c r="AF288" i="8" s="1"/>
  <c r="AG288" i="8" a="1"/>
  <c r="AG288" i="8" s="1"/>
  <c r="AH288" i="8" a="1"/>
  <c r="AH288" i="8" s="1"/>
  <c r="AI288" i="8" a="1"/>
  <c r="AI288" i="8" s="1"/>
  <c r="AJ288" i="8" a="1"/>
  <c r="AJ288" i="8" s="1"/>
  <c r="E289" i="8" a="1"/>
  <c r="E289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M289" i="8" a="1"/>
  <c r="M289" i="8" s="1"/>
  <c r="N289" i="8" a="1"/>
  <c r="N289" i="8" s="1"/>
  <c r="O289" i="8" a="1"/>
  <c r="O289" i="8" s="1"/>
  <c r="P289" i="8" a="1"/>
  <c r="P289" i="8" s="1"/>
  <c r="Q289" i="8" a="1"/>
  <c r="Q289" i="8" s="1"/>
  <c r="R289" i="8" a="1"/>
  <c r="R289" i="8" s="1"/>
  <c r="S289" i="8" a="1"/>
  <c r="S289" i="8" s="1"/>
  <c r="T289" i="8" a="1"/>
  <c r="T289" i="8" s="1"/>
  <c r="U289" i="8" a="1"/>
  <c r="U289" i="8" s="1"/>
  <c r="V289" i="8" a="1"/>
  <c r="V289" i="8" s="1"/>
  <c r="W289" i="8" a="1"/>
  <c r="W289" i="8" s="1"/>
  <c r="X289" i="8" a="1"/>
  <c r="X289" i="8" s="1"/>
  <c r="Y289" i="8" a="1"/>
  <c r="Y289" i="8" s="1"/>
  <c r="Z289" i="8" a="1"/>
  <c r="Z289" i="8" s="1"/>
  <c r="AA289" i="8" a="1"/>
  <c r="AA289" i="8" s="1"/>
  <c r="AB289" i="8" a="1"/>
  <c r="AB289" i="8" s="1"/>
  <c r="AC289" i="8" a="1"/>
  <c r="AC289" i="8" s="1"/>
  <c r="AD289" i="8" a="1"/>
  <c r="AD289" i="8" s="1"/>
  <c r="AE289" i="8" a="1"/>
  <c r="AE289" i="8" s="1"/>
  <c r="AF289" i="8" a="1"/>
  <c r="AF289" i="8" s="1"/>
  <c r="AG289" i="8" a="1"/>
  <c r="AG289" i="8" s="1"/>
  <c r="AH289" i="8" a="1"/>
  <c r="AH289" i="8" s="1"/>
  <c r="AI289" i="8" a="1"/>
  <c r="AI289" i="8" s="1"/>
  <c r="AJ289" i="8" a="1"/>
  <c r="AJ289" i="8" s="1"/>
  <c r="E290" i="8" a="1"/>
  <c r="E290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M290" i="8" a="1"/>
  <c r="M290" i="8" s="1"/>
  <c r="N290" i="8" a="1"/>
  <c r="N290" i="8" s="1"/>
  <c r="O290" i="8" a="1"/>
  <c r="O290" i="8" s="1"/>
  <c r="P290" i="8" a="1"/>
  <c r="P290" i="8" s="1"/>
  <c r="Q290" i="8" a="1"/>
  <c r="Q290" i="8" s="1"/>
  <c r="R290" i="8" a="1"/>
  <c r="R290" i="8" s="1"/>
  <c r="S290" i="8" a="1"/>
  <c r="S290" i="8" s="1"/>
  <c r="T290" i="8" a="1"/>
  <c r="T290" i="8" s="1"/>
  <c r="U290" i="8" a="1"/>
  <c r="U290" i="8" s="1"/>
  <c r="V290" i="8" a="1"/>
  <c r="V290" i="8" s="1"/>
  <c r="W290" i="8" a="1"/>
  <c r="W290" i="8" s="1"/>
  <c r="X290" i="8" a="1"/>
  <c r="X290" i="8" s="1"/>
  <c r="Y290" i="8" a="1"/>
  <c r="Y290" i="8" s="1"/>
  <c r="Z290" i="8" a="1"/>
  <c r="Z290" i="8" s="1"/>
  <c r="AA290" i="8" a="1"/>
  <c r="AA290" i="8" s="1"/>
  <c r="AB290" i="8" a="1"/>
  <c r="AB290" i="8" s="1"/>
  <c r="AC290" i="8" a="1"/>
  <c r="AC290" i="8" s="1"/>
  <c r="AD290" i="8" a="1"/>
  <c r="AD290" i="8" s="1"/>
  <c r="AE290" i="8" a="1"/>
  <c r="AE290" i="8" s="1"/>
  <c r="AF290" i="8" a="1"/>
  <c r="AF290" i="8" s="1"/>
  <c r="AG290" i="8" a="1"/>
  <c r="AG290" i="8" s="1"/>
  <c r="AH290" i="8" a="1"/>
  <c r="AH290" i="8" s="1"/>
  <c r="AI290" i="8" a="1"/>
  <c r="AI290" i="8" s="1"/>
  <c r="AJ290" i="8" a="1"/>
  <c r="AJ290" i="8" s="1"/>
  <c r="E291" i="8" a="1"/>
  <c r="E291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M291" i="8" a="1"/>
  <c r="M291" i="8" s="1"/>
  <c r="N291" i="8" a="1"/>
  <c r="N291" i="8" s="1"/>
  <c r="O291" i="8" a="1"/>
  <c r="O291" i="8" s="1"/>
  <c r="P291" i="8" a="1"/>
  <c r="P291" i="8" s="1"/>
  <c r="Q291" i="8" a="1"/>
  <c r="Q291" i="8" s="1"/>
  <c r="R291" i="8" a="1"/>
  <c r="R291" i="8" s="1"/>
  <c r="S291" i="8" a="1"/>
  <c r="S291" i="8" s="1"/>
  <c r="T291" i="8" a="1"/>
  <c r="T291" i="8" s="1"/>
  <c r="U291" i="8" a="1"/>
  <c r="U291" i="8" s="1"/>
  <c r="V291" i="8" a="1"/>
  <c r="V291" i="8" s="1"/>
  <c r="W291" i="8" a="1"/>
  <c r="W291" i="8" s="1"/>
  <c r="X291" i="8" a="1"/>
  <c r="X291" i="8" s="1"/>
  <c r="Y291" i="8" a="1"/>
  <c r="Y291" i="8" s="1"/>
  <c r="Z291" i="8" a="1"/>
  <c r="Z291" i="8" s="1"/>
  <c r="AA291" i="8" a="1"/>
  <c r="AA291" i="8" s="1"/>
  <c r="AB291" i="8" a="1"/>
  <c r="AB291" i="8" s="1"/>
  <c r="AC291" i="8" a="1"/>
  <c r="AC291" i="8" s="1"/>
  <c r="AD291" i="8" a="1"/>
  <c r="AD291" i="8" s="1"/>
  <c r="AE291" i="8" a="1"/>
  <c r="AE291" i="8" s="1"/>
  <c r="AF291" i="8" a="1"/>
  <c r="AF291" i="8" s="1"/>
  <c r="AG291" i="8" a="1"/>
  <c r="AG291" i="8" s="1"/>
  <c r="AH291" i="8" a="1"/>
  <c r="AH291" i="8" s="1"/>
  <c r="AI291" i="8" a="1"/>
  <c r="AI291" i="8" s="1"/>
  <c r="AJ291" i="8" a="1"/>
  <c r="AJ291" i="8" s="1"/>
  <c r="E292" i="8" a="1"/>
  <c r="E292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M292" i="8" a="1"/>
  <c r="M292" i="8" s="1"/>
  <c r="N292" i="8" a="1"/>
  <c r="N292" i="8" s="1"/>
  <c r="O292" i="8" a="1"/>
  <c r="O292" i="8" s="1"/>
  <c r="P292" i="8" a="1"/>
  <c r="P292" i="8" s="1"/>
  <c r="Q292" i="8" a="1"/>
  <c r="Q292" i="8" s="1"/>
  <c r="R292" i="8" a="1"/>
  <c r="R292" i="8" s="1"/>
  <c r="S292" i="8" a="1"/>
  <c r="S292" i="8" s="1"/>
  <c r="T292" i="8" a="1"/>
  <c r="T292" i="8" s="1"/>
  <c r="U292" i="8" a="1"/>
  <c r="U292" i="8" s="1"/>
  <c r="V292" i="8" a="1"/>
  <c r="V292" i="8" s="1"/>
  <c r="W292" i="8" a="1"/>
  <c r="W292" i="8" s="1"/>
  <c r="X292" i="8" a="1"/>
  <c r="X292" i="8" s="1"/>
  <c r="Y292" i="8" a="1"/>
  <c r="Y292" i="8" s="1"/>
  <c r="Z292" i="8" a="1"/>
  <c r="Z292" i="8" s="1"/>
  <c r="AA292" i="8" a="1"/>
  <c r="AA292" i="8" s="1"/>
  <c r="AB292" i="8" a="1"/>
  <c r="AB292" i="8" s="1"/>
  <c r="AC292" i="8" a="1"/>
  <c r="AC292" i="8" s="1"/>
  <c r="AD292" i="8" a="1"/>
  <c r="AD292" i="8" s="1"/>
  <c r="AE292" i="8" a="1"/>
  <c r="AE292" i="8" s="1"/>
  <c r="AF292" i="8" a="1"/>
  <c r="AF292" i="8" s="1"/>
  <c r="AG292" i="8" a="1"/>
  <c r="AG292" i="8" s="1"/>
  <c r="AH292" i="8" a="1"/>
  <c r="AH292" i="8" s="1"/>
  <c r="AI292" i="8" a="1"/>
  <c r="AI292" i="8" s="1"/>
  <c r="AJ292" i="8" a="1"/>
  <c r="AJ292" i="8" s="1"/>
  <c r="E293" i="8" a="1"/>
  <c r="E293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M293" i="8" a="1"/>
  <c r="M293" i="8" s="1"/>
  <c r="N293" i="8" a="1"/>
  <c r="N293" i="8" s="1"/>
  <c r="O293" i="8" a="1"/>
  <c r="O293" i="8" s="1"/>
  <c r="P293" i="8" a="1"/>
  <c r="P293" i="8" s="1"/>
  <c r="Q293" i="8" a="1"/>
  <c r="Q293" i="8" s="1"/>
  <c r="R293" i="8" a="1"/>
  <c r="R293" i="8" s="1"/>
  <c r="S293" i="8" a="1"/>
  <c r="S293" i="8" s="1"/>
  <c r="T293" i="8" a="1"/>
  <c r="T293" i="8" s="1"/>
  <c r="U293" i="8" a="1"/>
  <c r="U293" i="8" s="1"/>
  <c r="V293" i="8" a="1"/>
  <c r="V293" i="8" s="1"/>
  <c r="W293" i="8" a="1"/>
  <c r="W293" i="8" s="1"/>
  <c r="X293" i="8" a="1"/>
  <c r="X293" i="8" s="1"/>
  <c r="Y293" i="8" a="1"/>
  <c r="Y293" i="8" s="1"/>
  <c r="Z293" i="8" a="1"/>
  <c r="Z293" i="8" s="1"/>
  <c r="AA293" i="8" a="1"/>
  <c r="AA293" i="8" s="1"/>
  <c r="AB293" i="8" a="1"/>
  <c r="AB293" i="8" s="1"/>
  <c r="AC293" i="8" a="1"/>
  <c r="AC293" i="8" s="1"/>
  <c r="AD293" i="8" a="1"/>
  <c r="AD293" i="8" s="1"/>
  <c r="AE293" i="8" a="1"/>
  <c r="AE293" i="8" s="1"/>
  <c r="AF293" i="8" a="1"/>
  <c r="AF293" i="8" s="1"/>
  <c r="AG293" i="8" a="1"/>
  <c r="AG293" i="8" s="1"/>
  <c r="AH293" i="8" a="1"/>
  <c r="AH293" i="8" s="1"/>
  <c r="AI293" i="8" a="1"/>
  <c r="AI293" i="8" s="1"/>
  <c r="AJ293" i="8" a="1"/>
  <c r="AJ293" i="8" s="1"/>
  <c r="E294" i="8" a="1"/>
  <c r="E294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M294" i="8" a="1"/>
  <c r="M294" i="8" s="1"/>
  <c r="N294" i="8" a="1"/>
  <c r="N294" i="8" s="1"/>
  <c r="O294" i="8" a="1"/>
  <c r="O294" i="8" s="1"/>
  <c r="P294" i="8" a="1"/>
  <c r="P294" i="8" s="1"/>
  <c r="Q294" i="8" a="1"/>
  <c r="Q294" i="8" s="1"/>
  <c r="R294" i="8" a="1"/>
  <c r="R294" i="8" s="1"/>
  <c r="S294" i="8" a="1"/>
  <c r="S294" i="8" s="1"/>
  <c r="T294" i="8" a="1"/>
  <c r="T294" i="8" s="1"/>
  <c r="U294" i="8" a="1"/>
  <c r="U294" i="8" s="1"/>
  <c r="V294" i="8" a="1"/>
  <c r="V294" i="8" s="1"/>
  <c r="W294" i="8" a="1"/>
  <c r="W294" i="8" s="1"/>
  <c r="X294" i="8" a="1"/>
  <c r="X294" i="8" s="1"/>
  <c r="Y294" i="8" a="1"/>
  <c r="Y294" i="8" s="1"/>
  <c r="Z294" i="8" a="1"/>
  <c r="Z294" i="8" s="1"/>
  <c r="AA294" i="8" a="1"/>
  <c r="AA294" i="8" s="1"/>
  <c r="AB294" i="8" a="1"/>
  <c r="AB294" i="8" s="1"/>
  <c r="AC294" i="8" a="1"/>
  <c r="AC294" i="8" s="1"/>
  <c r="AD294" i="8" a="1"/>
  <c r="AD294" i="8" s="1"/>
  <c r="AE294" i="8" a="1"/>
  <c r="AE294" i="8" s="1"/>
  <c r="AF294" i="8" a="1"/>
  <c r="AF294" i="8" s="1"/>
  <c r="AG294" i="8" a="1"/>
  <c r="AG294" i="8" s="1"/>
  <c r="AH294" i="8" a="1"/>
  <c r="AH294" i="8" s="1"/>
  <c r="AI294" i="8" a="1"/>
  <c r="AI294" i="8" s="1"/>
  <c r="AJ294" i="8" a="1"/>
  <c r="AJ294" i="8" s="1"/>
  <c r="E295" i="8" a="1"/>
  <c r="E295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M295" i="8" a="1"/>
  <c r="M295" i="8" s="1"/>
  <c r="N295" i="8" a="1"/>
  <c r="N295" i="8" s="1"/>
  <c r="O295" i="8" a="1"/>
  <c r="O295" i="8" s="1"/>
  <c r="P295" i="8" a="1"/>
  <c r="P295" i="8" s="1"/>
  <c r="Q295" i="8" a="1"/>
  <c r="Q295" i="8" s="1"/>
  <c r="R295" i="8" a="1"/>
  <c r="R295" i="8" s="1"/>
  <c r="S295" i="8" a="1"/>
  <c r="S295" i="8" s="1"/>
  <c r="T295" i="8" a="1"/>
  <c r="T295" i="8" s="1"/>
  <c r="U295" i="8" a="1"/>
  <c r="U295" i="8" s="1"/>
  <c r="V295" i="8" a="1"/>
  <c r="V295" i="8" s="1"/>
  <c r="W295" i="8" a="1"/>
  <c r="W295" i="8" s="1"/>
  <c r="X295" i="8" a="1"/>
  <c r="X295" i="8" s="1"/>
  <c r="Y295" i="8" a="1"/>
  <c r="Y295" i="8" s="1"/>
  <c r="Z295" i="8" a="1"/>
  <c r="Z295" i="8" s="1"/>
  <c r="AA295" i="8" a="1"/>
  <c r="AA295" i="8" s="1"/>
  <c r="AB295" i="8" a="1"/>
  <c r="AB295" i="8" s="1"/>
  <c r="AC295" i="8" a="1"/>
  <c r="AC295" i="8" s="1"/>
  <c r="AD295" i="8" a="1"/>
  <c r="AD295" i="8" s="1"/>
  <c r="AE295" i="8" a="1"/>
  <c r="AE295" i="8" s="1"/>
  <c r="AF295" i="8" a="1"/>
  <c r="AF295" i="8" s="1"/>
  <c r="AG295" i="8" a="1"/>
  <c r="AG295" i="8" s="1"/>
  <c r="AH295" i="8" a="1"/>
  <c r="AH295" i="8" s="1"/>
  <c r="AI295" i="8" a="1"/>
  <c r="AI295" i="8" s="1"/>
  <c r="AJ295" i="8" a="1"/>
  <c r="AJ295" i="8" s="1"/>
  <c r="E296" i="8" a="1"/>
  <c r="E296" i="8" s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M296" i="8" a="1"/>
  <c r="M296" i="8" s="1"/>
  <c r="N296" i="8" a="1"/>
  <c r="N296" i="8" s="1"/>
  <c r="O296" i="8" a="1"/>
  <c r="O296" i="8" s="1"/>
  <c r="P296" i="8" a="1"/>
  <c r="P296" i="8" s="1"/>
  <c r="Q296" i="8" a="1"/>
  <c r="Q296" i="8" s="1"/>
  <c r="R296" i="8" a="1"/>
  <c r="R296" i="8" s="1"/>
  <c r="S296" i="8" a="1"/>
  <c r="S296" i="8" s="1"/>
  <c r="T296" i="8" a="1"/>
  <c r="T296" i="8" s="1"/>
  <c r="U296" i="8" a="1"/>
  <c r="U296" i="8" s="1"/>
  <c r="V296" i="8" a="1"/>
  <c r="V296" i="8" s="1"/>
  <c r="W296" i="8" a="1"/>
  <c r="W296" i="8" s="1"/>
  <c r="X296" i="8" a="1"/>
  <c r="X296" i="8" s="1"/>
  <c r="Y296" i="8" a="1"/>
  <c r="Y296" i="8" s="1"/>
  <c r="Z296" i="8" a="1"/>
  <c r="Z296" i="8" s="1"/>
  <c r="AA296" i="8" a="1"/>
  <c r="AA296" i="8" s="1"/>
  <c r="AB296" i="8" a="1"/>
  <c r="AB296" i="8" s="1"/>
  <c r="AC296" i="8" a="1"/>
  <c r="AC296" i="8" s="1"/>
  <c r="AD296" i="8" a="1"/>
  <c r="AD296" i="8" s="1"/>
  <c r="AE296" i="8" a="1"/>
  <c r="AE296" i="8" s="1"/>
  <c r="AF296" i="8" a="1"/>
  <c r="AF296" i="8" s="1"/>
  <c r="AG296" i="8" a="1"/>
  <c r="AG296" i="8" s="1"/>
  <c r="AH296" i="8" a="1"/>
  <c r="AH296" i="8" s="1"/>
  <c r="AI296" i="8" a="1"/>
  <c r="AI296" i="8" s="1"/>
  <c r="AJ296" i="8" a="1"/>
  <c r="AJ296" i="8" s="1"/>
  <c r="E297" i="8" a="1"/>
  <c r="E297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M297" i="8" a="1"/>
  <c r="M297" i="8" s="1"/>
  <c r="N297" i="8" a="1"/>
  <c r="N297" i="8" s="1"/>
  <c r="O297" i="8" a="1"/>
  <c r="O297" i="8" s="1"/>
  <c r="P297" i="8" a="1"/>
  <c r="P297" i="8" s="1"/>
  <c r="Q297" i="8" a="1"/>
  <c r="Q297" i="8" s="1"/>
  <c r="R297" i="8" a="1"/>
  <c r="R297" i="8" s="1"/>
  <c r="S297" i="8" a="1"/>
  <c r="S297" i="8" s="1"/>
  <c r="T297" i="8" a="1"/>
  <c r="T297" i="8" s="1"/>
  <c r="U297" i="8" a="1"/>
  <c r="U297" i="8" s="1"/>
  <c r="V297" i="8" a="1"/>
  <c r="V297" i="8" s="1"/>
  <c r="W297" i="8" a="1"/>
  <c r="W297" i="8" s="1"/>
  <c r="X297" i="8" a="1"/>
  <c r="X297" i="8" s="1"/>
  <c r="Y297" i="8" a="1"/>
  <c r="Y297" i="8" s="1"/>
  <c r="Z297" i="8" a="1"/>
  <c r="Z297" i="8" s="1"/>
  <c r="AA297" i="8" a="1"/>
  <c r="AA297" i="8" s="1"/>
  <c r="AB297" i="8" a="1"/>
  <c r="AB297" i="8" s="1"/>
  <c r="AC297" i="8" a="1"/>
  <c r="AC297" i="8" s="1"/>
  <c r="AD297" i="8" a="1"/>
  <c r="AD297" i="8" s="1"/>
  <c r="AE297" i="8" a="1"/>
  <c r="AE297" i="8" s="1"/>
  <c r="AF297" i="8" a="1"/>
  <c r="AF297" i="8" s="1"/>
  <c r="AG297" i="8" a="1"/>
  <c r="AG297" i="8" s="1"/>
  <c r="AH297" i="8" a="1"/>
  <c r="AH297" i="8" s="1"/>
  <c r="AI297" i="8" a="1"/>
  <c r="AI297" i="8" s="1"/>
  <c r="AJ297" i="8" a="1"/>
  <c r="AJ297" i="8" s="1"/>
  <c r="E298" i="8" a="1"/>
  <c r="E298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M298" i="8" a="1"/>
  <c r="M298" i="8" s="1"/>
  <c r="N298" i="8" a="1"/>
  <c r="N298" i="8" s="1"/>
  <c r="O298" i="8" a="1"/>
  <c r="O298" i="8" s="1"/>
  <c r="P298" i="8" a="1"/>
  <c r="P298" i="8" s="1"/>
  <c r="Q298" i="8" a="1"/>
  <c r="Q298" i="8" s="1"/>
  <c r="R298" i="8" a="1"/>
  <c r="R298" i="8" s="1"/>
  <c r="S298" i="8" a="1"/>
  <c r="S298" i="8" s="1"/>
  <c r="T298" i="8" a="1"/>
  <c r="T298" i="8" s="1"/>
  <c r="U298" i="8" a="1"/>
  <c r="U298" i="8" s="1"/>
  <c r="V298" i="8" a="1"/>
  <c r="V298" i="8" s="1"/>
  <c r="W298" i="8" a="1"/>
  <c r="W298" i="8" s="1"/>
  <c r="X298" i="8" a="1"/>
  <c r="X298" i="8" s="1"/>
  <c r="Y298" i="8" a="1"/>
  <c r="Y298" i="8" s="1"/>
  <c r="Z298" i="8" a="1"/>
  <c r="Z298" i="8" s="1"/>
  <c r="AA298" i="8" a="1"/>
  <c r="AA298" i="8" s="1"/>
  <c r="AB298" i="8" a="1"/>
  <c r="AB298" i="8" s="1"/>
  <c r="AC298" i="8" a="1"/>
  <c r="AC298" i="8" s="1"/>
  <c r="AD298" i="8" a="1"/>
  <c r="AD298" i="8" s="1"/>
  <c r="AE298" i="8" a="1"/>
  <c r="AE298" i="8" s="1"/>
  <c r="AF298" i="8" a="1"/>
  <c r="AF298" i="8" s="1"/>
  <c r="AG298" i="8" a="1"/>
  <c r="AG298" i="8" s="1"/>
  <c r="AH298" i="8" a="1"/>
  <c r="AH298" i="8" s="1"/>
  <c r="AI298" i="8" a="1"/>
  <c r="AI298" i="8" s="1"/>
  <c r="AJ298" i="8" a="1"/>
  <c r="AJ298" i="8" s="1"/>
  <c r="E299" i="8" a="1"/>
  <c r="E299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M299" i="8" a="1"/>
  <c r="M299" i="8" s="1"/>
  <c r="N299" i="8" a="1"/>
  <c r="N299" i="8" s="1"/>
  <c r="O299" i="8" a="1"/>
  <c r="O299" i="8" s="1"/>
  <c r="P299" i="8" a="1"/>
  <c r="P299" i="8" s="1"/>
  <c r="Q299" i="8" a="1"/>
  <c r="Q299" i="8" s="1"/>
  <c r="R299" i="8" a="1"/>
  <c r="R299" i="8" s="1"/>
  <c r="S299" i="8" a="1"/>
  <c r="S299" i="8" s="1"/>
  <c r="T299" i="8" a="1"/>
  <c r="T299" i="8" s="1"/>
  <c r="U299" i="8" a="1"/>
  <c r="U299" i="8" s="1"/>
  <c r="V299" i="8" a="1"/>
  <c r="V299" i="8" s="1"/>
  <c r="W299" i="8" a="1"/>
  <c r="W299" i="8" s="1"/>
  <c r="X299" i="8" a="1"/>
  <c r="X299" i="8" s="1"/>
  <c r="Y299" i="8" a="1"/>
  <c r="Y299" i="8" s="1"/>
  <c r="Z299" i="8" a="1"/>
  <c r="Z299" i="8" s="1"/>
  <c r="AA299" i="8" a="1"/>
  <c r="AA299" i="8" s="1"/>
  <c r="AB299" i="8" a="1"/>
  <c r="AB299" i="8" s="1"/>
  <c r="AC299" i="8" a="1"/>
  <c r="AC299" i="8" s="1"/>
  <c r="AD299" i="8" a="1"/>
  <c r="AD299" i="8" s="1"/>
  <c r="AE299" i="8" a="1"/>
  <c r="AE299" i="8" s="1"/>
  <c r="AF299" i="8" a="1"/>
  <c r="AF299" i="8" s="1"/>
  <c r="AG299" i="8" a="1"/>
  <c r="AG299" i="8" s="1"/>
  <c r="AH299" i="8" a="1"/>
  <c r="AH299" i="8" s="1"/>
  <c r="AI299" i="8" a="1"/>
  <c r="AI299" i="8" s="1"/>
  <c r="AJ299" i="8" a="1"/>
  <c r="AJ299" i="8" s="1"/>
  <c r="E300" i="8" a="1"/>
  <c r="E300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M300" i="8" a="1"/>
  <c r="M300" i="8" s="1"/>
  <c r="N300" i="8" a="1"/>
  <c r="N300" i="8" s="1"/>
  <c r="O300" i="8" a="1"/>
  <c r="O300" i="8" s="1"/>
  <c r="P300" i="8" a="1"/>
  <c r="P300" i="8" s="1"/>
  <c r="Q300" i="8" a="1"/>
  <c r="Q300" i="8" s="1"/>
  <c r="R300" i="8" a="1"/>
  <c r="R300" i="8" s="1"/>
  <c r="S300" i="8" a="1"/>
  <c r="S300" i="8" s="1"/>
  <c r="T300" i="8" a="1"/>
  <c r="T300" i="8" s="1"/>
  <c r="U300" i="8" a="1"/>
  <c r="U300" i="8" s="1"/>
  <c r="V300" i="8" a="1"/>
  <c r="V300" i="8" s="1"/>
  <c r="W300" i="8" a="1"/>
  <c r="W300" i="8" s="1"/>
  <c r="X300" i="8" a="1"/>
  <c r="X300" i="8" s="1"/>
  <c r="Y300" i="8" a="1"/>
  <c r="Y300" i="8" s="1"/>
  <c r="Z300" i="8" a="1"/>
  <c r="Z300" i="8" s="1"/>
  <c r="AA300" i="8" a="1"/>
  <c r="AA300" i="8" s="1"/>
  <c r="AB300" i="8" a="1"/>
  <c r="AB300" i="8" s="1"/>
  <c r="AC300" i="8" a="1"/>
  <c r="AC300" i="8" s="1"/>
  <c r="AD300" i="8" a="1"/>
  <c r="AD300" i="8" s="1"/>
  <c r="AE300" i="8" a="1"/>
  <c r="AE300" i="8" s="1"/>
  <c r="AF300" i="8" a="1"/>
  <c r="AF300" i="8" s="1"/>
  <c r="AG300" i="8" a="1"/>
  <c r="AG300" i="8" s="1"/>
  <c r="AH300" i="8" a="1"/>
  <c r="AH300" i="8" s="1"/>
  <c r="AI300" i="8" a="1"/>
  <c r="AI300" i="8" s="1"/>
  <c r="AJ300" i="8" a="1"/>
  <c r="AJ300" i="8" s="1"/>
  <c r="B11" i="8" a="1"/>
  <c r="B11" i="8" s="1"/>
  <c r="C11" i="8" a="1"/>
  <c r="C11" i="8" s="1"/>
  <c r="B12" i="8" a="1"/>
  <c r="B12" i="8" s="1"/>
  <c r="C12" i="8" a="1"/>
  <c r="C12" i="8" s="1"/>
  <c r="B13" i="8" a="1"/>
  <c r="B13" i="8" s="1"/>
  <c r="C13" i="8" a="1"/>
  <c r="C13" i="8" s="1"/>
  <c r="B14" i="8" a="1"/>
  <c r="B14" i="8" s="1"/>
  <c r="C14" i="8" a="1"/>
  <c r="C14" i="8" s="1"/>
  <c r="B15" i="8" a="1"/>
  <c r="B15" i="8" s="1"/>
  <c r="C15" i="8" a="1"/>
  <c r="C15" i="8" s="1"/>
  <c r="B16" i="8" a="1"/>
  <c r="B16" i="8" s="1"/>
  <c r="C16" i="8" a="1"/>
  <c r="C16" i="8" s="1"/>
  <c r="B17" i="8" a="1"/>
  <c r="B17" i="8" s="1"/>
  <c r="C17" i="8" a="1"/>
  <c r="C17" i="8" s="1"/>
  <c r="B18" i="8" a="1"/>
  <c r="B18" i="8" s="1"/>
  <c r="C18" i="8" a="1"/>
  <c r="C18" i="8" s="1"/>
  <c r="B19" i="8" a="1"/>
  <c r="B19" i="8" s="1"/>
  <c r="C19" i="8" a="1"/>
  <c r="C19" i="8" s="1"/>
  <c r="B20" i="8" a="1"/>
  <c r="B20" i="8" s="1"/>
  <c r="C20" i="8" a="1"/>
  <c r="C20" i="8" s="1"/>
  <c r="B21" i="8" a="1"/>
  <c r="B21" i="8" s="1"/>
  <c r="C21" i="8" a="1"/>
  <c r="C21" i="8" s="1"/>
  <c r="B22" i="8" a="1"/>
  <c r="B22" i="8" s="1"/>
  <c r="C22" i="8" a="1"/>
  <c r="C22" i="8" s="1"/>
  <c r="B23" i="8" a="1"/>
  <c r="B23" i="8" s="1"/>
  <c r="C23" i="8" a="1"/>
  <c r="C23" i="8" s="1"/>
  <c r="B24" i="8" a="1"/>
  <c r="B24" i="8" s="1"/>
  <c r="C24" i="8" a="1"/>
  <c r="C24" i="8" s="1"/>
  <c r="B25" i="8" a="1"/>
  <c r="B25" i="8" s="1"/>
  <c r="C25" i="8" a="1"/>
  <c r="C25" i="8" s="1"/>
  <c r="B26" i="8" a="1"/>
  <c r="B26" i="8" s="1"/>
  <c r="C26" i="8" a="1"/>
  <c r="C26" i="8" s="1"/>
  <c r="B27" i="8" a="1"/>
  <c r="B27" i="8" s="1"/>
  <c r="C27" i="8" a="1"/>
  <c r="C27" i="8" s="1"/>
  <c r="B28" i="8" a="1"/>
  <c r="B28" i="8" s="1"/>
  <c r="C28" i="8" a="1"/>
  <c r="C28" i="8" s="1"/>
  <c r="B29" i="8" a="1"/>
  <c r="B29" i="8" s="1"/>
  <c r="C29" i="8" a="1"/>
  <c r="C29" i="8" s="1"/>
  <c r="B30" i="8" a="1"/>
  <c r="B30" i="8" s="1"/>
  <c r="C30" i="8" a="1"/>
  <c r="C30" i="8" s="1"/>
  <c r="B31" i="8" a="1"/>
  <c r="B31" i="8" s="1"/>
  <c r="C31" i="8" a="1"/>
  <c r="C31" i="8" s="1"/>
  <c r="B32" i="8" a="1"/>
  <c r="B32" i="8" s="1"/>
  <c r="C32" i="8" a="1"/>
  <c r="C32" i="8" s="1"/>
  <c r="B33" i="8" a="1"/>
  <c r="B33" i="8" s="1"/>
  <c r="C33" i="8" a="1"/>
  <c r="C33" i="8" s="1"/>
  <c r="B34" i="8" a="1"/>
  <c r="B34" i="8" s="1"/>
  <c r="C34" i="8" a="1"/>
  <c r="C34" i="8" s="1"/>
  <c r="B35" i="8" a="1"/>
  <c r="B35" i="8" s="1"/>
  <c r="C35" i="8" a="1"/>
  <c r="C35" i="8" s="1"/>
  <c r="B36" i="8" a="1"/>
  <c r="B36" i="8" s="1"/>
  <c r="C36" i="8" a="1"/>
  <c r="C36" i="8" s="1"/>
  <c r="B37" i="8" a="1"/>
  <c r="B37" i="8" s="1"/>
  <c r="C37" i="8" a="1"/>
  <c r="C37" i="8" s="1"/>
  <c r="B38" i="8" a="1"/>
  <c r="B38" i="8" s="1"/>
  <c r="C38" i="8" a="1"/>
  <c r="C38" i="8" s="1"/>
  <c r="B39" i="8" a="1"/>
  <c r="B39" i="8" s="1"/>
  <c r="C39" i="8" a="1"/>
  <c r="C39" i="8" s="1"/>
  <c r="B40" i="8" a="1"/>
  <c r="B40" i="8" s="1"/>
  <c r="C40" i="8" a="1"/>
  <c r="C40" i="8" s="1"/>
  <c r="B41" i="8" a="1"/>
  <c r="B41" i="8" s="1"/>
  <c r="C41" i="8" a="1"/>
  <c r="C41" i="8" s="1"/>
  <c r="B42" i="8" a="1"/>
  <c r="B42" i="8" s="1"/>
  <c r="C42" i="8" a="1"/>
  <c r="C42" i="8" s="1"/>
  <c r="B43" i="8" a="1"/>
  <c r="B43" i="8" s="1"/>
  <c r="C43" i="8" a="1"/>
  <c r="C43" i="8" s="1"/>
  <c r="B44" i="8" a="1"/>
  <c r="B44" i="8" s="1"/>
  <c r="C44" i="8" a="1"/>
  <c r="C44" i="8" s="1"/>
  <c r="B45" i="8" a="1"/>
  <c r="B45" i="8" s="1"/>
  <c r="C45" i="8" a="1"/>
  <c r="C45" i="8" s="1"/>
  <c r="B46" i="8" a="1"/>
  <c r="B46" i="8" s="1"/>
  <c r="C46" i="8" a="1"/>
  <c r="C46" i="8" s="1"/>
  <c r="B47" i="8" a="1"/>
  <c r="B47" i="8" s="1"/>
  <c r="C47" i="8" a="1"/>
  <c r="C47" i="8" s="1"/>
  <c r="B48" i="8" a="1"/>
  <c r="B48" i="8" s="1"/>
  <c r="C48" i="8" a="1"/>
  <c r="C48" i="8" s="1"/>
  <c r="B49" i="8" a="1"/>
  <c r="B49" i="8" s="1"/>
  <c r="C49" i="8" a="1"/>
  <c r="C49" i="8" s="1"/>
  <c r="B50" i="8" a="1"/>
  <c r="B50" i="8" s="1"/>
  <c r="C50" i="8" a="1"/>
  <c r="C50" i="8" s="1"/>
  <c r="B51" i="8" a="1"/>
  <c r="B51" i="8" s="1"/>
  <c r="C51" i="8" a="1"/>
  <c r="C51" i="8" s="1"/>
  <c r="B52" i="8" a="1"/>
  <c r="B52" i="8" s="1"/>
  <c r="C52" i="8" a="1"/>
  <c r="C52" i="8" s="1"/>
  <c r="B53" i="8" a="1"/>
  <c r="B53" i="8" s="1"/>
  <c r="C53" i="8" a="1"/>
  <c r="C53" i="8" s="1"/>
  <c r="B54" i="8" a="1"/>
  <c r="B54" i="8" s="1"/>
  <c r="C54" i="8" a="1"/>
  <c r="C54" i="8" s="1"/>
  <c r="B55" i="8" a="1"/>
  <c r="B55" i="8" s="1"/>
  <c r="C55" i="8" a="1"/>
  <c r="C55" i="8" s="1"/>
  <c r="B56" i="8" a="1"/>
  <c r="B56" i="8" s="1"/>
  <c r="C56" i="8" a="1"/>
  <c r="C56" i="8" s="1"/>
  <c r="B57" i="8" a="1"/>
  <c r="B57" i="8" s="1"/>
  <c r="C57" i="8" a="1"/>
  <c r="C57" i="8" s="1"/>
  <c r="B58" i="8" a="1"/>
  <c r="B58" i="8" s="1"/>
  <c r="C58" i="8" a="1"/>
  <c r="C58" i="8" s="1"/>
  <c r="B59" i="8" a="1"/>
  <c r="B59" i="8" s="1"/>
  <c r="C59" i="8" a="1"/>
  <c r="C59" i="8" s="1"/>
  <c r="B60" i="8" a="1"/>
  <c r="B60" i="8" s="1"/>
  <c r="C60" i="8" a="1"/>
  <c r="C60" i="8" s="1"/>
  <c r="B61" i="8" a="1"/>
  <c r="B61" i="8" s="1"/>
  <c r="C61" i="8" a="1"/>
  <c r="C61" i="8" s="1"/>
  <c r="B62" i="8" a="1"/>
  <c r="B62" i="8" s="1"/>
  <c r="C62" i="8" a="1"/>
  <c r="C62" i="8" s="1"/>
  <c r="B63" i="8" a="1"/>
  <c r="B63" i="8" s="1"/>
  <c r="C63" i="8" a="1"/>
  <c r="C63" i="8" s="1"/>
  <c r="B64" i="8" a="1"/>
  <c r="B64" i="8" s="1"/>
  <c r="C64" i="8" a="1"/>
  <c r="C64" i="8" s="1"/>
  <c r="B65" i="8" a="1"/>
  <c r="B65" i="8" s="1"/>
  <c r="C65" i="8" a="1"/>
  <c r="C65" i="8" s="1"/>
  <c r="B66" i="8" a="1"/>
  <c r="B66" i="8" s="1"/>
  <c r="C66" i="8" a="1"/>
  <c r="C66" i="8" s="1"/>
  <c r="B67" i="8" a="1"/>
  <c r="B67" i="8" s="1"/>
  <c r="C67" i="8" a="1"/>
  <c r="C67" i="8" s="1"/>
  <c r="B68" i="8" a="1"/>
  <c r="B68" i="8" s="1"/>
  <c r="C68" i="8" a="1"/>
  <c r="C68" i="8" s="1"/>
  <c r="B69" i="8" a="1"/>
  <c r="B69" i="8" s="1"/>
  <c r="C69" i="8" a="1"/>
  <c r="C69" i="8" s="1"/>
  <c r="B70" i="8" a="1"/>
  <c r="B70" i="8" s="1"/>
  <c r="C70" i="8" a="1"/>
  <c r="C70" i="8" s="1"/>
  <c r="B71" i="8" a="1"/>
  <c r="B71" i="8" s="1"/>
  <c r="C71" i="8" a="1"/>
  <c r="C71" i="8" s="1"/>
  <c r="B72" i="8" a="1"/>
  <c r="B72" i="8" s="1"/>
  <c r="C72" i="8" a="1"/>
  <c r="C72" i="8" s="1"/>
  <c r="B73" i="8" a="1"/>
  <c r="B73" i="8" s="1"/>
  <c r="C73" i="8" a="1"/>
  <c r="C73" i="8" s="1"/>
  <c r="B74" i="8" a="1"/>
  <c r="B74" i="8" s="1"/>
  <c r="C74" i="8" a="1"/>
  <c r="C74" i="8" s="1"/>
  <c r="B75" i="8" a="1"/>
  <c r="B75" i="8" s="1"/>
  <c r="C75" i="8" a="1"/>
  <c r="C75" i="8" s="1"/>
  <c r="B76" i="8" a="1"/>
  <c r="B76" i="8" s="1"/>
  <c r="C76" i="8" a="1"/>
  <c r="C76" i="8" s="1"/>
  <c r="B77" i="8" a="1"/>
  <c r="B77" i="8" s="1"/>
  <c r="C77" i="8" a="1"/>
  <c r="C77" i="8" s="1"/>
  <c r="B78" i="8" a="1"/>
  <c r="B78" i="8" s="1"/>
  <c r="C78" i="8" a="1"/>
  <c r="C78" i="8" s="1"/>
  <c r="B79" i="8" a="1"/>
  <c r="B79" i="8" s="1"/>
  <c r="C79" i="8" a="1"/>
  <c r="C79" i="8" s="1"/>
  <c r="B80" i="8" a="1"/>
  <c r="B80" i="8" s="1"/>
  <c r="C80" i="8" a="1"/>
  <c r="C80" i="8" s="1"/>
  <c r="B81" i="8" a="1"/>
  <c r="B81" i="8" s="1"/>
  <c r="C81" i="8" a="1"/>
  <c r="C81" i="8" s="1"/>
  <c r="B82" i="8" a="1"/>
  <c r="B82" i="8" s="1"/>
  <c r="C82" i="8" a="1"/>
  <c r="C82" i="8" s="1"/>
  <c r="B83" i="8" a="1"/>
  <c r="B83" i="8" s="1"/>
  <c r="C83" i="8" a="1"/>
  <c r="C83" i="8" s="1"/>
  <c r="B84" i="8" a="1"/>
  <c r="B84" i="8" s="1"/>
  <c r="C84" i="8" a="1"/>
  <c r="C84" i="8" s="1"/>
  <c r="B85" i="8" a="1"/>
  <c r="B85" i="8" s="1"/>
  <c r="C85" i="8" a="1"/>
  <c r="C85" i="8" s="1"/>
  <c r="B86" i="8" a="1"/>
  <c r="B86" i="8" s="1"/>
  <c r="C86" i="8" a="1"/>
  <c r="C86" i="8" s="1"/>
  <c r="B87" i="8" a="1"/>
  <c r="B87" i="8" s="1"/>
  <c r="C87" i="8" a="1"/>
  <c r="C87" i="8" s="1"/>
  <c r="B88" i="8" a="1"/>
  <c r="B88" i="8" s="1"/>
  <c r="C88" i="8" a="1"/>
  <c r="C88" i="8" s="1"/>
  <c r="B89" i="8" a="1"/>
  <c r="B89" i="8" s="1"/>
  <c r="C89" i="8" a="1"/>
  <c r="C89" i="8" s="1"/>
  <c r="B90" i="8" a="1"/>
  <c r="B90" i="8" s="1"/>
  <c r="C90" i="8" a="1"/>
  <c r="C90" i="8" s="1"/>
  <c r="B91" i="8" a="1"/>
  <c r="B91" i="8" s="1"/>
  <c r="C91" i="8" a="1"/>
  <c r="C91" i="8" s="1"/>
  <c r="B92" i="8" a="1"/>
  <c r="B92" i="8" s="1"/>
  <c r="C92" i="8" a="1"/>
  <c r="C92" i="8" s="1"/>
  <c r="B93" i="8" a="1"/>
  <c r="B93" i="8" s="1"/>
  <c r="C93" i="8" a="1"/>
  <c r="C93" i="8" s="1"/>
  <c r="B94" i="8" a="1"/>
  <c r="B94" i="8" s="1"/>
  <c r="C94" i="8" a="1"/>
  <c r="C94" i="8" s="1"/>
  <c r="B95" i="8" a="1"/>
  <c r="B95" i="8" s="1"/>
  <c r="C95" i="8" a="1"/>
  <c r="C95" i="8" s="1"/>
  <c r="B96" i="8" a="1"/>
  <c r="B96" i="8" s="1"/>
  <c r="C96" i="8" a="1"/>
  <c r="C96" i="8" s="1"/>
  <c r="B97" i="8" a="1"/>
  <c r="B97" i="8" s="1"/>
  <c r="C97" i="8" a="1"/>
  <c r="C97" i="8" s="1"/>
  <c r="B98" i="8" a="1"/>
  <c r="B98" i="8" s="1"/>
  <c r="C98" i="8" a="1"/>
  <c r="C98" i="8" s="1"/>
  <c r="B99" i="8" a="1"/>
  <c r="B99" i="8" s="1"/>
  <c r="C99" i="8" a="1"/>
  <c r="C99" i="8" s="1"/>
  <c r="B100" i="8" a="1"/>
  <c r="B100" i="8" s="1"/>
  <c r="C100" i="8" a="1"/>
  <c r="C100" i="8" s="1"/>
  <c r="B101" i="8" a="1"/>
  <c r="B101" i="8" s="1"/>
  <c r="C101" i="8" a="1"/>
  <c r="C101" i="8" s="1"/>
  <c r="B102" i="8" a="1"/>
  <c r="B102" i="8" s="1"/>
  <c r="C102" i="8" a="1"/>
  <c r="C102" i="8" s="1"/>
  <c r="B103" i="8" a="1"/>
  <c r="B103" i="8" s="1"/>
  <c r="C103" i="8" a="1"/>
  <c r="C103" i="8" s="1"/>
  <c r="B104" i="8" a="1"/>
  <c r="B104" i="8" s="1"/>
  <c r="C104" i="8" a="1"/>
  <c r="C104" i="8" s="1"/>
  <c r="B105" i="8" a="1"/>
  <c r="B105" i="8" s="1"/>
  <c r="C105" i="8" a="1"/>
  <c r="C105" i="8" s="1"/>
  <c r="B106" i="8" a="1"/>
  <c r="B106" i="8" s="1"/>
  <c r="C106" i="8" a="1"/>
  <c r="C106" i="8" s="1"/>
  <c r="B107" i="8" a="1"/>
  <c r="B107" i="8" s="1"/>
  <c r="C107" i="8" a="1"/>
  <c r="C107" i="8" s="1"/>
  <c r="B108" i="8" a="1"/>
  <c r="B108" i="8" s="1"/>
  <c r="C108" i="8" a="1"/>
  <c r="C108" i="8" s="1"/>
  <c r="B109" i="8" a="1"/>
  <c r="B109" i="8" s="1"/>
  <c r="C109" i="8" a="1"/>
  <c r="C109" i="8" s="1"/>
  <c r="B110" i="8" a="1"/>
  <c r="B110" i="8" s="1"/>
  <c r="C110" i="8" a="1"/>
  <c r="C110" i="8" s="1"/>
  <c r="B111" i="8" a="1"/>
  <c r="B111" i="8" s="1"/>
  <c r="C111" i="8" a="1"/>
  <c r="C111" i="8" s="1"/>
  <c r="B112" i="8" a="1"/>
  <c r="B112" i="8" s="1"/>
  <c r="C112" i="8" a="1"/>
  <c r="C112" i="8" s="1"/>
  <c r="B113" i="8" a="1"/>
  <c r="B113" i="8" s="1"/>
  <c r="C113" i="8" a="1"/>
  <c r="C113" i="8" s="1"/>
  <c r="B114" i="8" a="1"/>
  <c r="B114" i="8" s="1"/>
  <c r="C114" i="8" a="1"/>
  <c r="C114" i="8" s="1"/>
  <c r="B115" i="8" a="1"/>
  <c r="B115" i="8" s="1"/>
  <c r="C115" i="8" a="1"/>
  <c r="C115" i="8" s="1"/>
  <c r="B116" i="8" a="1"/>
  <c r="B116" i="8" s="1"/>
  <c r="C116" i="8" a="1"/>
  <c r="C116" i="8" s="1"/>
  <c r="B117" i="8" a="1"/>
  <c r="B117" i="8" s="1"/>
  <c r="C117" i="8" a="1"/>
  <c r="C117" i="8" s="1"/>
  <c r="B118" i="8" a="1"/>
  <c r="B118" i="8" s="1"/>
  <c r="C118" i="8" a="1"/>
  <c r="C118" i="8" s="1"/>
  <c r="B119" i="8" a="1"/>
  <c r="B119" i="8" s="1"/>
  <c r="C119" i="8" a="1"/>
  <c r="C119" i="8" s="1"/>
  <c r="B120" i="8" a="1"/>
  <c r="B120" i="8" s="1"/>
  <c r="C120" i="8" a="1"/>
  <c r="C120" i="8" s="1"/>
  <c r="B121" i="8" a="1"/>
  <c r="B121" i="8" s="1"/>
  <c r="C121" i="8" a="1"/>
  <c r="C121" i="8" s="1"/>
  <c r="B122" i="8" a="1"/>
  <c r="B122" i="8" s="1"/>
  <c r="C122" i="8" a="1"/>
  <c r="C122" i="8" s="1"/>
  <c r="B123" i="8" a="1"/>
  <c r="B123" i="8" s="1"/>
  <c r="C123" i="8" a="1"/>
  <c r="C123" i="8" s="1"/>
  <c r="B124" i="8" a="1"/>
  <c r="B124" i="8" s="1"/>
  <c r="C124" i="8" a="1"/>
  <c r="C124" i="8" s="1"/>
  <c r="B125" i="8" a="1"/>
  <c r="B125" i="8" s="1"/>
  <c r="C125" i="8" a="1"/>
  <c r="C125" i="8" s="1"/>
  <c r="B126" i="8" a="1"/>
  <c r="B126" i="8" s="1"/>
  <c r="C126" i="8" a="1"/>
  <c r="C126" i="8" s="1"/>
  <c r="B127" i="8" a="1"/>
  <c r="B127" i="8" s="1"/>
  <c r="C127" i="8" a="1"/>
  <c r="C127" i="8" s="1"/>
  <c r="B128" i="8" a="1"/>
  <c r="B128" i="8" s="1"/>
  <c r="C128" i="8" a="1"/>
  <c r="C128" i="8" s="1"/>
  <c r="B129" i="8" a="1"/>
  <c r="B129" i="8" s="1"/>
  <c r="C129" i="8" a="1"/>
  <c r="C129" i="8" s="1"/>
  <c r="B130" i="8" a="1"/>
  <c r="B130" i="8" s="1"/>
  <c r="C130" i="8" a="1"/>
  <c r="C130" i="8" s="1"/>
  <c r="B131" i="8" a="1"/>
  <c r="B131" i="8" s="1"/>
  <c r="C131" i="8" a="1"/>
  <c r="C131" i="8" s="1"/>
  <c r="B132" i="8" a="1"/>
  <c r="B132" i="8" s="1"/>
  <c r="C132" i="8" a="1"/>
  <c r="C132" i="8" s="1"/>
  <c r="B133" i="8" a="1"/>
  <c r="B133" i="8" s="1"/>
  <c r="C133" i="8" a="1"/>
  <c r="C133" i="8" s="1"/>
  <c r="B134" i="8" a="1"/>
  <c r="B134" i="8" s="1"/>
  <c r="C134" i="8" a="1"/>
  <c r="C134" i="8" s="1"/>
  <c r="B135" i="8" a="1"/>
  <c r="B135" i="8" s="1"/>
  <c r="C135" i="8" a="1"/>
  <c r="C135" i="8" s="1"/>
  <c r="B136" i="8" a="1"/>
  <c r="B136" i="8" s="1"/>
  <c r="C136" i="8" a="1"/>
  <c r="C136" i="8" s="1"/>
  <c r="B137" i="8" a="1"/>
  <c r="B137" i="8" s="1"/>
  <c r="C137" i="8" a="1"/>
  <c r="C137" i="8" s="1"/>
  <c r="B138" i="8" a="1"/>
  <c r="B138" i="8" s="1"/>
  <c r="C138" i="8" a="1"/>
  <c r="C138" i="8" s="1"/>
  <c r="B139" i="8" a="1"/>
  <c r="B139" i="8" s="1"/>
  <c r="C139" i="8" a="1"/>
  <c r="C139" i="8" s="1"/>
  <c r="B140" i="8" a="1"/>
  <c r="B140" i="8" s="1"/>
  <c r="C140" i="8" a="1"/>
  <c r="C140" i="8" s="1"/>
  <c r="B141" i="8" a="1"/>
  <c r="B141" i="8" s="1"/>
  <c r="C141" i="8" a="1"/>
  <c r="C141" i="8" s="1"/>
  <c r="B142" i="8" a="1"/>
  <c r="B142" i="8" s="1"/>
  <c r="C142" i="8" a="1"/>
  <c r="C142" i="8" s="1"/>
  <c r="B143" i="8" a="1"/>
  <c r="B143" i="8" s="1"/>
  <c r="C143" i="8" a="1"/>
  <c r="C143" i="8" s="1"/>
  <c r="B144" i="8" a="1"/>
  <c r="B144" i="8" s="1"/>
  <c r="C144" i="8" a="1"/>
  <c r="C144" i="8" s="1"/>
  <c r="B145" i="8" a="1"/>
  <c r="B145" i="8" s="1"/>
  <c r="C145" i="8" a="1"/>
  <c r="C145" i="8" s="1"/>
  <c r="B146" i="8" a="1"/>
  <c r="B146" i="8" s="1"/>
  <c r="C146" i="8" a="1"/>
  <c r="C146" i="8" s="1"/>
  <c r="B147" i="8" a="1"/>
  <c r="B147" i="8" s="1"/>
  <c r="C147" i="8" a="1"/>
  <c r="C147" i="8" s="1"/>
  <c r="B148" i="8" a="1"/>
  <c r="B148" i="8" s="1"/>
  <c r="C148" i="8" a="1"/>
  <c r="C148" i="8" s="1"/>
  <c r="B149" i="8" a="1"/>
  <c r="B149" i="8" s="1"/>
  <c r="C149" i="8" a="1"/>
  <c r="C149" i="8" s="1"/>
  <c r="B150" i="8" a="1"/>
  <c r="B150" i="8" s="1"/>
  <c r="C150" i="8" a="1"/>
  <c r="C150" i="8" s="1"/>
  <c r="B151" i="8" a="1"/>
  <c r="B151" i="8" s="1"/>
  <c r="C151" i="8" a="1"/>
  <c r="C151" i="8" s="1"/>
  <c r="B152" i="8" a="1"/>
  <c r="B152" i="8" s="1"/>
  <c r="C152" i="8" a="1"/>
  <c r="C152" i="8" s="1"/>
  <c r="B153" i="8" a="1"/>
  <c r="B153" i="8" s="1"/>
  <c r="C153" i="8" a="1"/>
  <c r="C153" i="8" s="1"/>
  <c r="B154" i="8" a="1"/>
  <c r="B154" i="8" s="1"/>
  <c r="C154" i="8" a="1"/>
  <c r="C154" i="8" s="1"/>
  <c r="B155" i="8" a="1"/>
  <c r="B155" i="8" s="1"/>
  <c r="C155" i="8" a="1"/>
  <c r="C155" i="8" s="1"/>
  <c r="B156" i="8" a="1"/>
  <c r="B156" i="8" s="1"/>
  <c r="C156" i="8" a="1"/>
  <c r="C156" i="8" s="1"/>
  <c r="B157" i="8" a="1"/>
  <c r="B157" i="8" s="1"/>
  <c r="C157" i="8" a="1"/>
  <c r="C157" i="8" s="1"/>
  <c r="B158" i="8" a="1"/>
  <c r="B158" i="8" s="1"/>
  <c r="C158" i="8" a="1"/>
  <c r="C158" i="8" s="1"/>
  <c r="B159" i="8" a="1"/>
  <c r="B159" i="8" s="1"/>
  <c r="C159" i="8" a="1"/>
  <c r="C159" i="8" s="1"/>
  <c r="B160" i="8" a="1"/>
  <c r="B160" i="8" s="1"/>
  <c r="C160" i="8" a="1"/>
  <c r="C160" i="8" s="1"/>
  <c r="B161" i="8" a="1"/>
  <c r="B161" i="8" s="1"/>
  <c r="C161" i="8" a="1"/>
  <c r="C161" i="8" s="1"/>
  <c r="B162" i="8" a="1"/>
  <c r="B162" i="8" s="1"/>
  <c r="C162" i="8" a="1"/>
  <c r="C162" i="8" s="1"/>
  <c r="B163" i="8" a="1"/>
  <c r="B163" i="8" s="1"/>
  <c r="C163" i="8" a="1"/>
  <c r="C163" i="8" s="1"/>
  <c r="B164" i="8" a="1"/>
  <c r="B164" i="8" s="1"/>
  <c r="C164" i="8" a="1"/>
  <c r="C164" i="8" s="1"/>
  <c r="B165" i="8" a="1"/>
  <c r="B165" i="8" s="1"/>
  <c r="C165" i="8" a="1"/>
  <c r="C165" i="8" s="1"/>
  <c r="B166" i="8" a="1"/>
  <c r="B166" i="8" s="1"/>
  <c r="C166" i="8" a="1"/>
  <c r="C166" i="8" s="1"/>
  <c r="B167" i="8" a="1"/>
  <c r="B167" i="8" s="1"/>
  <c r="C167" i="8" a="1"/>
  <c r="C167" i="8" s="1"/>
  <c r="B168" i="8" a="1"/>
  <c r="B168" i="8" s="1"/>
  <c r="C168" i="8" a="1"/>
  <c r="C168" i="8" s="1"/>
  <c r="B169" i="8" a="1"/>
  <c r="B169" i="8" s="1"/>
  <c r="C169" i="8" a="1"/>
  <c r="C169" i="8" s="1"/>
  <c r="B170" i="8" a="1"/>
  <c r="B170" i="8" s="1"/>
  <c r="C170" i="8" a="1"/>
  <c r="C170" i="8" s="1"/>
  <c r="B171" i="8" a="1"/>
  <c r="B171" i="8" s="1"/>
  <c r="C171" i="8" a="1"/>
  <c r="C171" i="8" s="1"/>
  <c r="B172" i="8" a="1"/>
  <c r="B172" i="8" s="1"/>
  <c r="C172" i="8" a="1"/>
  <c r="C172" i="8" s="1"/>
  <c r="B173" i="8" a="1"/>
  <c r="B173" i="8" s="1"/>
  <c r="C173" i="8" a="1"/>
  <c r="C173" i="8" s="1"/>
  <c r="B174" i="8" a="1"/>
  <c r="B174" i="8" s="1"/>
  <c r="C174" i="8" a="1"/>
  <c r="C174" i="8" s="1"/>
  <c r="B175" i="8" a="1"/>
  <c r="B175" i="8" s="1"/>
  <c r="C175" i="8" a="1"/>
  <c r="C175" i="8" s="1"/>
  <c r="B176" i="8" a="1"/>
  <c r="B176" i="8" s="1"/>
  <c r="C176" i="8" a="1"/>
  <c r="C176" i="8" s="1"/>
  <c r="B177" i="8" a="1"/>
  <c r="B177" i="8" s="1"/>
  <c r="C177" i="8" a="1"/>
  <c r="C177" i="8" s="1"/>
  <c r="B178" i="8" a="1"/>
  <c r="B178" i="8" s="1"/>
  <c r="C178" i="8" a="1"/>
  <c r="C178" i="8" s="1"/>
  <c r="B179" i="8" a="1"/>
  <c r="B179" i="8" s="1"/>
  <c r="C179" i="8" a="1"/>
  <c r="C179" i="8" s="1"/>
  <c r="B180" i="8" a="1"/>
  <c r="B180" i="8" s="1"/>
  <c r="C180" i="8" a="1"/>
  <c r="C180" i="8" s="1"/>
  <c r="B181" i="8" a="1"/>
  <c r="B181" i="8" s="1"/>
  <c r="C181" i="8" a="1"/>
  <c r="C181" i="8" s="1"/>
  <c r="B182" i="8" a="1"/>
  <c r="B182" i="8" s="1"/>
  <c r="C182" i="8" a="1"/>
  <c r="C182" i="8" s="1"/>
  <c r="B183" i="8" a="1"/>
  <c r="B183" i="8" s="1"/>
  <c r="C183" i="8" a="1"/>
  <c r="C183" i="8" s="1"/>
  <c r="B184" i="8" a="1"/>
  <c r="B184" i="8" s="1"/>
  <c r="C184" i="8" a="1"/>
  <c r="C184" i="8" s="1"/>
  <c r="B185" i="8" a="1"/>
  <c r="B185" i="8" s="1"/>
  <c r="C185" i="8" a="1"/>
  <c r="C185" i="8" s="1"/>
  <c r="B186" i="8" a="1"/>
  <c r="B186" i="8" s="1"/>
  <c r="C186" i="8" a="1"/>
  <c r="C186" i="8" s="1"/>
  <c r="B187" i="8" a="1"/>
  <c r="B187" i="8" s="1"/>
  <c r="C187" i="8" a="1"/>
  <c r="C187" i="8" s="1"/>
  <c r="B188" i="8" a="1"/>
  <c r="B188" i="8" s="1"/>
  <c r="C188" i="8" a="1"/>
  <c r="C188" i="8" s="1"/>
  <c r="B189" i="8" a="1"/>
  <c r="B189" i="8" s="1"/>
  <c r="C189" i="8" a="1"/>
  <c r="C189" i="8" s="1"/>
  <c r="B190" i="8" a="1"/>
  <c r="B190" i="8" s="1"/>
  <c r="C190" i="8" a="1"/>
  <c r="C190" i="8" s="1"/>
  <c r="B191" i="8" a="1"/>
  <c r="B191" i="8" s="1"/>
  <c r="C191" i="8" a="1"/>
  <c r="C191" i="8" s="1"/>
  <c r="B192" i="8" a="1"/>
  <c r="B192" i="8" s="1"/>
  <c r="C192" i="8" a="1"/>
  <c r="C192" i="8" s="1"/>
  <c r="B193" i="8" a="1"/>
  <c r="B193" i="8" s="1"/>
  <c r="C193" i="8" a="1"/>
  <c r="C193" i="8" s="1"/>
  <c r="B194" i="8" a="1"/>
  <c r="B194" i="8" s="1"/>
  <c r="C194" i="8" a="1"/>
  <c r="C194" i="8" s="1"/>
  <c r="B195" i="8" a="1"/>
  <c r="B195" i="8" s="1"/>
  <c r="C195" i="8" a="1"/>
  <c r="C195" i="8" s="1"/>
  <c r="B196" i="8" a="1"/>
  <c r="B196" i="8" s="1"/>
  <c r="C196" i="8" a="1"/>
  <c r="C196" i="8" s="1"/>
  <c r="B197" i="8" a="1"/>
  <c r="B197" i="8" s="1"/>
  <c r="C197" i="8" a="1"/>
  <c r="C197" i="8" s="1"/>
  <c r="B198" i="8" a="1"/>
  <c r="B198" i="8" s="1"/>
  <c r="C198" i="8" a="1"/>
  <c r="C198" i="8" s="1"/>
  <c r="B199" i="8" a="1"/>
  <c r="B199" i="8" s="1"/>
  <c r="C199" i="8" a="1"/>
  <c r="C199" i="8" s="1"/>
  <c r="B200" i="8" a="1"/>
  <c r="B200" i="8" s="1"/>
  <c r="C200" i="8" a="1"/>
  <c r="C200" i="8" s="1"/>
  <c r="B201" i="8" a="1"/>
  <c r="B201" i="8" s="1"/>
  <c r="C201" i="8" a="1"/>
  <c r="C201" i="8" s="1"/>
  <c r="B202" i="8" a="1"/>
  <c r="B202" i="8" s="1"/>
  <c r="C202" i="8" a="1"/>
  <c r="C202" i="8" s="1"/>
  <c r="B203" i="8" a="1"/>
  <c r="B203" i="8" s="1"/>
  <c r="C203" i="8" a="1"/>
  <c r="C203" i="8" s="1"/>
  <c r="B204" i="8" a="1"/>
  <c r="B204" i="8" s="1"/>
  <c r="C204" i="8" a="1"/>
  <c r="C204" i="8" s="1"/>
  <c r="B205" i="8" a="1"/>
  <c r="B205" i="8" s="1"/>
  <c r="C205" i="8" a="1"/>
  <c r="C205" i="8" s="1"/>
  <c r="B206" i="8" a="1"/>
  <c r="B206" i="8" s="1"/>
  <c r="C206" i="8" a="1"/>
  <c r="C206" i="8" s="1"/>
  <c r="B207" i="8" a="1"/>
  <c r="B207" i="8" s="1"/>
  <c r="C207" i="8" a="1"/>
  <c r="C207" i="8" s="1"/>
  <c r="B208" i="8" a="1"/>
  <c r="B208" i="8" s="1"/>
  <c r="C208" i="8" a="1"/>
  <c r="C208" i="8" s="1"/>
  <c r="B209" i="8" a="1"/>
  <c r="B209" i="8" s="1"/>
  <c r="C209" i="8" a="1"/>
  <c r="C209" i="8" s="1"/>
  <c r="B210" i="8" a="1"/>
  <c r="B210" i="8" s="1"/>
  <c r="C210" i="8" a="1"/>
  <c r="C210" i="8" s="1"/>
  <c r="B211" i="8" a="1"/>
  <c r="B211" i="8" s="1"/>
  <c r="C211" i="8" a="1"/>
  <c r="C211" i="8" s="1"/>
  <c r="B212" i="8" a="1"/>
  <c r="B212" i="8" s="1"/>
  <c r="C212" i="8" a="1"/>
  <c r="C212" i="8" s="1"/>
  <c r="B213" i="8" a="1"/>
  <c r="B213" i="8" s="1"/>
  <c r="C213" i="8" a="1"/>
  <c r="C213" i="8" s="1"/>
  <c r="B214" i="8" a="1"/>
  <c r="B214" i="8" s="1"/>
  <c r="C214" i="8" a="1"/>
  <c r="C214" i="8" s="1"/>
  <c r="B215" i="8" a="1"/>
  <c r="B215" i="8" s="1"/>
  <c r="C215" i="8" a="1"/>
  <c r="C215" i="8" s="1"/>
  <c r="B216" i="8" a="1"/>
  <c r="B216" i="8" s="1"/>
  <c r="C216" i="8" a="1"/>
  <c r="C216" i="8" s="1"/>
  <c r="B217" i="8" a="1"/>
  <c r="B217" i="8" s="1"/>
  <c r="C217" i="8" a="1"/>
  <c r="C217" i="8" s="1"/>
  <c r="B218" i="8" a="1"/>
  <c r="B218" i="8" s="1"/>
  <c r="C218" i="8" a="1"/>
  <c r="C218" i="8" s="1"/>
  <c r="B219" i="8" a="1"/>
  <c r="B219" i="8" s="1"/>
  <c r="C219" i="8" a="1"/>
  <c r="C219" i="8" s="1"/>
  <c r="B220" i="8" a="1"/>
  <c r="B220" i="8" s="1"/>
  <c r="C220" i="8" a="1"/>
  <c r="C220" i="8" s="1"/>
  <c r="B221" i="8" a="1"/>
  <c r="B221" i="8" s="1"/>
  <c r="C221" i="8" a="1"/>
  <c r="C221" i="8" s="1"/>
  <c r="B222" i="8" a="1"/>
  <c r="B222" i="8" s="1"/>
  <c r="C222" i="8" a="1"/>
  <c r="C222" i="8" s="1"/>
  <c r="B223" i="8" a="1"/>
  <c r="B223" i="8" s="1"/>
  <c r="C223" i="8" a="1"/>
  <c r="C223" i="8" s="1"/>
  <c r="B224" i="8" a="1"/>
  <c r="B224" i="8" s="1"/>
  <c r="C224" i="8" a="1"/>
  <c r="C224" i="8" s="1"/>
  <c r="B225" i="8" a="1"/>
  <c r="B225" i="8" s="1"/>
  <c r="C225" i="8" a="1"/>
  <c r="C225" i="8" s="1"/>
  <c r="B226" i="8" a="1"/>
  <c r="B226" i="8" s="1"/>
  <c r="C226" i="8" a="1"/>
  <c r="C226" i="8" s="1"/>
  <c r="B227" i="8" a="1"/>
  <c r="B227" i="8" s="1"/>
  <c r="C227" i="8" a="1"/>
  <c r="C227" i="8" s="1"/>
  <c r="B228" i="8" a="1"/>
  <c r="B228" i="8" s="1"/>
  <c r="C228" i="8" a="1"/>
  <c r="C228" i="8" s="1"/>
  <c r="B229" i="8" a="1"/>
  <c r="B229" i="8" s="1"/>
  <c r="C229" i="8" a="1"/>
  <c r="C229" i="8" s="1"/>
  <c r="B230" i="8" a="1"/>
  <c r="B230" i="8" s="1"/>
  <c r="C230" i="8" a="1"/>
  <c r="C230" i="8" s="1"/>
  <c r="B231" i="8" a="1"/>
  <c r="B231" i="8" s="1"/>
  <c r="C231" i="8" a="1"/>
  <c r="C231" i="8" s="1"/>
  <c r="B232" i="8" a="1"/>
  <c r="B232" i="8" s="1"/>
  <c r="C232" i="8" a="1"/>
  <c r="C232" i="8" s="1"/>
  <c r="B233" i="8" a="1"/>
  <c r="B233" i="8" s="1"/>
  <c r="C233" i="8" a="1"/>
  <c r="C233" i="8" s="1"/>
  <c r="B234" i="8" a="1"/>
  <c r="B234" i="8" s="1"/>
  <c r="C234" i="8" a="1"/>
  <c r="C234" i="8" s="1"/>
  <c r="B235" i="8" a="1"/>
  <c r="B235" i="8" s="1"/>
  <c r="C235" i="8" a="1"/>
  <c r="C235" i="8" s="1"/>
  <c r="B236" i="8" a="1"/>
  <c r="B236" i="8" s="1"/>
  <c r="C236" i="8" a="1"/>
  <c r="C236" i="8" s="1"/>
  <c r="B237" i="8" a="1"/>
  <c r="B237" i="8" s="1"/>
  <c r="C237" i="8" a="1"/>
  <c r="C237" i="8" s="1"/>
  <c r="B238" i="8" a="1"/>
  <c r="B238" i="8" s="1"/>
  <c r="C238" i="8" a="1"/>
  <c r="C238" i="8" s="1"/>
  <c r="B239" i="8" a="1"/>
  <c r="B239" i="8" s="1"/>
  <c r="C239" i="8" a="1"/>
  <c r="C239" i="8" s="1"/>
  <c r="B240" i="8" a="1"/>
  <c r="B240" i="8" s="1"/>
  <c r="C240" i="8" a="1"/>
  <c r="C240" i="8" s="1"/>
  <c r="B241" i="8" a="1"/>
  <c r="B241" i="8" s="1"/>
  <c r="C241" i="8" a="1"/>
  <c r="C241" i="8" s="1"/>
  <c r="B242" i="8" a="1"/>
  <c r="B242" i="8" s="1"/>
  <c r="C242" i="8" a="1"/>
  <c r="C242" i="8" s="1"/>
  <c r="B243" i="8" a="1"/>
  <c r="B243" i="8" s="1"/>
  <c r="C243" i="8" a="1"/>
  <c r="C243" i="8" s="1"/>
  <c r="B244" i="8" a="1"/>
  <c r="B244" i="8" s="1"/>
  <c r="C244" i="8" a="1"/>
  <c r="C244" i="8" s="1"/>
  <c r="B245" i="8" a="1"/>
  <c r="B245" i="8" s="1"/>
  <c r="C245" i="8" a="1"/>
  <c r="C245" i="8" s="1"/>
  <c r="B246" i="8" a="1"/>
  <c r="B246" i="8" s="1"/>
  <c r="C246" i="8" a="1"/>
  <c r="C246" i="8" s="1"/>
  <c r="B247" i="8" a="1"/>
  <c r="B247" i="8" s="1"/>
  <c r="C247" i="8" a="1"/>
  <c r="C247" i="8" s="1"/>
  <c r="B248" i="8" a="1"/>
  <c r="B248" i="8" s="1"/>
  <c r="C248" i="8" a="1"/>
  <c r="C248" i="8" s="1"/>
  <c r="B249" i="8" a="1"/>
  <c r="B249" i="8" s="1"/>
  <c r="C249" i="8" a="1"/>
  <c r="C249" i="8" s="1"/>
  <c r="B250" i="8" a="1"/>
  <c r="B250" i="8" s="1"/>
  <c r="C250" i="8" a="1"/>
  <c r="C250" i="8" s="1"/>
  <c r="B251" i="8" a="1"/>
  <c r="B251" i="8" s="1"/>
  <c r="C251" i="8" a="1"/>
  <c r="C251" i="8" s="1"/>
  <c r="B252" i="8" a="1"/>
  <c r="B252" i="8" s="1"/>
  <c r="C252" i="8" a="1"/>
  <c r="C252" i="8" s="1"/>
  <c r="B253" i="8" a="1"/>
  <c r="B253" i="8" s="1"/>
  <c r="C253" i="8" a="1"/>
  <c r="C253" i="8" s="1"/>
  <c r="B254" i="8" a="1"/>
  <c r="B254" i="8" s="1"/>
  <c r="C254" i="8" a="1"/>
  <c r="C254" i="8" s="1"/>
  <c r="B255" i="8" a="1"/>
  <c r="B255" i="8" s="1"/>
  <c r="C255" i="8" a="1"/>
  <c r="C255" i="8" s="1"/>
  <c r="B256" i="8" a="1"/>
  <c r="B256" i="8" s="1"/>
  <c r="C256" i="8" a="1"/>
  <c r="C256" i="8" s="1"/>
  <c r="B257" i="8" a="1"/>
  <c r="B257" i="8" s="1"/>
  <c r="C257" i="8" a="1"/>
  <c r="C257" i="8" s="1"/>
  <c r="B258" i="8" a="1"/>
  <c r="B258" i="8" s="1"/>
  <c r="C258" i="8" a="1"/>
  <c r="C258" i="8" s="1"/>
  <c r="B259" i="8" a="1"/>
  <c r="B259" i="8" s="1"/>
  <c r="C259" i="8" a="1"/>
  <c r="C259" i="8" s="1"/>
  <c r="B260" i="8" a="1"/>
  <c r="B260" i="8" s="1"/>
  <c r="C260" i="8" a="1"/>
  <c r="C260" i="8" s="1"/>
  <c r="B261" i="8" a="1"/>
  <c r="B261" i="8" s="1"/>
  <c r="C261" i="8" a="1"/>
  <c r="C261" i="8" s="1"/>
  <c r="B262" i="8" a="1"/>
  <c r="B262" i="8" s="1"/>
  <c r="C262" i="8" a="1"/>
  <c r="C262" i="8" s="1"/>
  <c r="B263" i="8" a="1"/>
  <c r="B263" i="8" s="1"/>
  <c r="C263" i="8" a="1"/>
  <c r="C263" i="8" s="1"/>
  <c r="B264" i="8" a="1"/>
  <c r="B264" i="8" s="1"/>
  <c r="C264" i="8" a="1"/>
  <c r="C264" i="8" s="1"/>
  <c r="B265" i="8" a="1"/>
  <c r="B265" i="8" s="1"/>
  <c r="C265" i="8" a="1"/>
  <c r="C265" i="8" s="1"/>
  <c r="B266" i="8" a="1"/>
  <c r="B266" i="8" s="1"/>
  <c r="C266" i="8" a="1"/>
  <c r="C266" i="8" s="1"/>
  <c r="B267" i="8" a="1"/>
  <c r="B267" i="8" s="1"/>
  <c r="C267" i="8" a="1"/>
  <c r="C267" i="8" s="1"/>
  <c r="B268" i="8" a="1"/>
  <c r="B268" i="8" s="1"/>
  <c r="C268" i="8" a="1"/>
  <c r="C268" i="8" s="1"/>
  <c r="B269" i="8" a="1"/>
  <c r="B269" i="8" s="1"/>
  <c r="C269" i="8" a="1"/>
  <c r="C269" i="8" s="1"/>
  <c r="B270" i="8" a="1"/>
  <c r="B270" i="8" s="1"/>
  <c r="C270" i="8" a="1"/>
  <c r="C270" i="8" s="1"/>
  <c r="B271" i="8" a="1"/>
  <c r="B271" i="8" s="1"/>
  <c r="C271" i="8" a="1"/>
  <c r="C271" i="8" s="1"/>
  <c r="B272" i="8" a="1"/>
  <c r="B272" i="8" s="1"/>
  <c r="C272" i="8" a="1"/>
  <c r="C272" i="8" s="1"/>
  <c r="B273" i="8" a="1"/>
  <c r="B273" i="8" s="1"/>
  <c r="C273" i="8" a="1"/>
  <c r="C273" i="8" s="1"/>
  <c r="B274" i="8" a="1"/>
  <c r="B274" i="8" s="1"/>
  <c r="C274" i="8" a="1"/>
  <c r="C274" i="8" s="1"/>
  <c r="B275" i="8" a="1"/>
  <c r="B275" i="8" s="1"/>
  <c r="C275" i="8" a="1"/>
  <c r="C275" i="8" s="1"/>
  <c r="B276" i="8" a="1"/>
  <c r="B276" i="8" s="1"/>
  <c r="C276" i="8" a="1"/>
  <c r="C276" i="8" s="1"/>
  <c r="B277" i="8" a="1"/>
  <c r="B277" i="8" s="1"/>
  <c r="C277" i="8" a="1"/>
  <c r="C277" i="8" s="1"/>
  <c r="B278" i="8" a="1"/>
  <c r="B278" i="8" s="1"/>
  <c r="C278" i="8" a="1"/>
  <c r="C278" i="8" s="1"/>
  <c r="B279" i="8" a="1"/>
  <c r="B279" i="8" s="1"/>
  <c r="C279" i="8" a="1"/>
  <c r="C279" i="8" s="1"/>
  <c r="B280" i="8" a="1"/>
  <c r="B280" i="8" s="1"/>
  <c r="C280" i="8" a="1"/>
  <c r="C280" i="8" s="1"/>
  <c r="B281" i="8" a="1"/>
  <c r="B281" i="8" s="1"/>
  <c r="C281" i="8" a="1"/>
  <c r="C281" i="8" s="1"/>
  <c r="B282" i="8" a="1"/>
  <c r="B282" i="8" s="1"/>
  <c r="C282" i="8" a="1"/>
  <c r="C282" i="8" s="1"/>
  <c r="B283" i="8" a="1"/>
  <c r="B283" i="8" s="1"/>
  <c r="C283" i="8" a="1"/>
  <c r="C283" i="8" s="1"/>
  <c r="B284" i="8" a="1"/>
  <c r="B284" i="8" s="1"/>
  <c r="C284" i="8" a="1"/>
  <c r="C284" i="8" s="1"/>
  <c r="B285" i="8" a="1"/>
  <c r="B285" i="8" s="1"/>
  <c r="C285" i="8" a="1"/>
  <c r="C285" i="8" s="1"/>
  <c r="B286" i="8" a="1"/>
  <c r="B286" i="8" s="1"/>
  <c r="C286" i="8" a="1"/>
  <c r="C286" i="8" s="1"/>
  <c r="B287" i="8" a="1"/>
  <c r="B287" i="8" s="1"/>
  <c r="C287" i="8" a="1"/>
  <c r="C287" i="8" s="1"/>
  <c r="B288" i="8" a="1"/>
  <c r="B288" i="8" s="1"/>
  <c r="C288" i="8" a="1"/>
  <c r="C288" i="8" s="1"/>
  <c r="B289" i="8" a="1"/>
  <c r="B289" i="8" s="1"/>
  <c r="C289" i="8" a="1"/>
  <c r="C289" i="8" s="1"/>
  <c r="B290" i="8" a="1"/>
  <c r="B290" i="8" s="1"/>
  <c r="C290" i="8" a="1"/>
  <c r="C290" i="8" s="1"/>
  <c r="B291" i="8" a="1"/>
  <c r="B291" i="8" s="1"/>
  <c r="C291" i="8" a="1"/>
  <c r="C291" i="8" s="1"/>
  <c r="B292" i="8" a="1"/>
  <c r="B292" i="8" s="1"/>
  <c r="C292" i="8" a="1"/>
  <c r="C292" i="8" s="1"/>
  <c r="B293" i="8" a="1"/>
  <c r="B293" i="8" s="1"/>
  <c r="C293" i="8" a="1"/>
  <c r="C293" i="8" s="1"/>
  <c r="B294" i="8" a="1"/>
  <c r="B294" i="8" s="1"/>
  <c r="C294" i="8" a="1"/>
  <c r="C294" i="8" s="1"/>
  <c r="B295" i="8" a="1"/>
  <c r="B295" i="8" s="1"/>
  <c r="C295" i="8" a="1"/>
  <c r="C295" i="8" s="1"/>
  <c r="B296" i="8" a="1"/>
  <c r="B296" i="8" s="1"/>
  <c r="B296" i="10" s="1" a="1"/>
  <c r="B296" i="10" s="1"/>
  <c r="C296" i="8" a="1"/>
  <c r="C296" i="8" s="1"/>
  <c r="C296" i="10" s="1" a="1"/>
  <c r="C296" i="10" s="1"/>
  <c r="B297" i="8" a="1"/>
  <c r="B297" i="8" s="1"/>
  <c r="B297" i="10" s="1" a="1"/>
  <c r="B297" i="10" s="1"/>
  <c r="C297" i="8" a="1"/>
  <c r="C297" i="8" s="1"/>
  <c r="C297" i="10" s="1" a="1"/>
  <c r="C297" i="10" s="1"/>
  <c r="B298" i="8" a="1"/>
  <c r="B298" i="8" s="1"/>
  <c r="B298" i="10" s="1" a="1"/>
  <c r="B298" i="10" s="1"/>
  <c r="C298" i="8" a="1"/>
  <c r="C298" i="8" s="1"/>
  <c r="C298" i="10" s="1" a="1"/>
  <c r="C298" i="10" s="1"/>
  <c r="B299" i="8" a="1"/>
  <c r="B299" i="8" s="1"/>
  <c r="B299" i="10" s="1" a="1"/>
  <c r="B299" i="10" s="1"/>
  <c r="C299" i="8" a="1"/>
  <c r="C299" i="8" s="1"/>
  <c r="C299" i="10" s="1" a="1"/>
  <c r="C299" i="10" s="1"/>
  <c r="B300" i="8" a="1"/>
  <c r="B300" i="8" s="1"/>
  <c r="B300" i="10" s="1" a="1"/>
  <c r="B300" i="10" s="1"/>
  <c r="C300" i="8" a="1"/>
  <c r="C300" i="8" s="1"/>
  <c r="C300" i="10" s="1" a="1"/>
  <c r="C300" i="10" s="1"/>
  <c r="C10" i="8" a="1"/>
  <c r="C10" i="8" s="1"/>
  <c r="B10" i="8" a="1"/>
  <c r="B10" i="8" s="1"/>
  <c r="AE35" i="8" l="1" a="1"/>
  <c r="AE35" i="8" s="1"/>
  <c r="Z35" i="8" a="1"/>
  <c r="Z35" i="8" s="1"/>
  <c r="W36" i="8" a="1"/>
  <c r="W36" i="8" s="1"/>
  <c r="R11" i="8" a="1"/>
  <c r="R11" i="8" s="1"/>
  <c r="AA36" i="8" a="1"/>
  <c r="AA36" i="8" s="1"/>
  <c r="AH56" i="8" a="1"/>
  <c r="AH56" i="8" s="1"/>
  <c r="AH53" i="8" a="1"/>
  <c r="AH53" i="8" s="1"/>
  <c r="AH49" i="8" a="1"/>
  <c r="AH49" i="8" s="1"/>
  <c r="AH45" i="8" a="1"/>
  <c r="AH45" i="8" s="1"/>
  <c r="AH42" i="8" a="1"/>
  <c r="AH42" i="8" s="1"/>
  <c r="AH40" i="8" a="1"/>
  <c r="AH40" i="8" s="1"/>
  <c r="AH38" i="8" a="1"/>
  <c r="AH38" i="8" s="1"/>
  <c r="AH36" i="8" a="1"/>
  <c r="AH36" i="8" s="1"/>
  <c r="W35" i="8" a="1"/>
  <c r="W35" i="8" s="1"/>
  <c r="F27" i="8" a="1"/>
  <c r="F27" i="8" s="1"/>
  <c r="O27" i="8" a="1"/>
  <c r="O27" i="8" s="1"/>
  <c r="F29" i="8" a="1"/>
  <c r="F29" i="8" s="1"/>
  <c r="K29" i="8" a="1"/>
  <c r="K29" i="8" s="1"/>
  <c r="J30" i="8" a="1"/>
  <c r="J30" i="8" s="1"/>
  <c r="O31" i="8" a="1"/>
  <c r="O31" i="8" s="1"/>
  <c r="K33" i="8" a="1"/>
  <c r="K33" i="8" s="1"/>
  <c r="AH52" i="8" a="1"/>
  <c r="AH52" i="8" s="1"/>
  <c r="AH48" i="8" a="1"/>
  <c r="AH48" i="8" s="1"/>
  <c r="I39" i="8" a="1"/>
  <c r="I39" i="8" s="1"/>
  <c r="N14" i="8" a="1"/>
  <c r="N14" i="8" s="1"/>
  <c r="K17" i="8" a="1"/>
  <c r="K17" i="8" s="1"/>
  <c r="J18" i="8" a="1"/>
  <c r="J18" i="8" s="1"/>
  <c r="N18" i="8" a="1"/>
  <c r="N18" i="8" s="1"/>
  <c r="K21" i="8" a="1"/>
  <c r="K21" i="8" s="1"/>
  <c r="J22" i="8" a="1"/>
  <c r="J22" i="8" s="1"/>
  <c r="K25" i="8" a="1"/>
  <c r="K25" i="8" s="1"/>
  <c r="K27" i="8" a="1"/>
  <c r="K27" i="8" s="1"/>
  <c r="J28" i="8" a="1"/>
  <c r="J28" i="8" s="1"/>
  <c r="O28" i="8" a="1"/>
  <c r="O28" i="8" s="1"/>
  <c r="G29" i="8" a="1"/>
  <c r="G29" i="8" s="1"/>
  <c r="R29" i="8" a="1"/>
  <c r="R29" i="8" s="1"/>
  <c r="F30" i="8" a="1"/>
  <c r="F30" i="8" s="1"/>
  <c r="K31" i="8" a="1"/>
  <c r="K31" i="8" s="1"/>
  <c r="G33" i="8" a="1"/>
  <c r="G33" i="8" s="1"/>
  <c r="AH55" i="8" a="1"/>
  <c r="AH55" i="8" s="1"/>
  <c r="AH51" i="8" a="1"/>
  <c r="AH51" i="8" s="1"/>
  <c r="AH47" i="8" a="1"/>
  <c r="AH47" i="8" s="1"/>
  <c r="AH44" i="8" a="1"/>
  <c r="AH44" i="8" s="1"/>
  <c r="J11" i="8" a="1"/>
  <c r="J11" i="8" s="1"/>
  <c r="N11" i="8" a="1"/>
  <c r="N11" i="8" s="1"/>
  <c r="F15" i="8" a="1"/>
  <c r="F15" i="8" s="1"/>
  <c r="J15" i="8" a="1"/>
  <c r="J15" i="8" s="1"/>
  <c r="N15" i="8" a="1"/>
  <c r="N15" i="8" s="1"/>
  <c r="F19" i="8" a="1"/>
  <c r="F19" i="8" s="1"/>
  <c r="J19" i="8" a="1"/>
  <c r="J19" i="8" s="1"/>
  <c r="N19" i="8" a="1"/>
  <c r="N19" i="8" s="1"/>
  <c r="F23" i="8" a="1"/>
  <c r="F23" i="8" s="1"/>
  <c r="J23" i="8" a="1"/>
  <c r="J23" i="8" s="1"/>
  <c r="N23" i="8" a="1"/>
  <c r="N23" i="8" s="1"/>
  <c r="G27" i="8" a="1"/>
  <c r="G27" i="8" s="1"/>
  <c r="N29" i="8" a="1"/>
  <c r="N29" i="8" s="1"/>
  <c r="S29" i="8" a="1"/>
  <c r="S29" i="8" s="1"/>
  <c r="R30" i="8" a="1"/>
  <c r="R30" i="8" s="1"/>
  <c r="G31" i="8" a="1"/>
  <c r="G31" i="8" s="1"/>
  <c r="S33" i="8" a="1"/>
  <c r="S33" i="8" s="1"/>
  <c r="I142" i="8" a="1"/>
  <c r="I142" i="8" s="1"/>
  <c r="I133" i="8" a="1"/>
  <c r="I133" i="8" s="1"/>
  <c r="I137" i="8" a="1"/>
  <c r="I137" i="8" s="1"/>
  <c r="I141" i="8" a="1"/>
  <c r="I141" i="8" s="1"/>
  <c r="I144" i="8" a="1"/>
  <c r="I144" i="8" s="1"/>
  <c r="I158" i="8" a="1"/>
  <c r="I158" i="8" s="1"/>
  <c r="I163" i="8" a="1"/>
  <c r="I163" i="8" s="1"/>
  <c r="I166" i="8" a="1"/>
  <c r="I166" i="8" s="1"/>
  <c r="I170" i="8" a="1"/>
  <c r="I170" i="8" s="1"/>
  <c r="I174" i="8" a="1"/>
  <c r="I174" i="8" s="1"/>
  <c r="X179" i="8" a="1"/>
  <c r="X179" i="8" s="1"/>
  <c r="AB203" i="8" a="1"/>
  <c r="AB203" i="8" s="1"/>
  <c r="AF203" i="8" a="1"/>
  <c r="AF203" i="8" s="1"/>
  <c r="AF227" i="8" a="1"/>
  <c r="AF227" i="8" s="1"/>
  <c r="AJ227" i="8" a="1"/>
  <c r="AJ227" i="8" s="1"/>
  <c r="X228" i="8" a="1"/>
  <c r="X228" i="8" s="1"/>
  <c r="R13" i="8" a="1"/>
  <c r="R13" i="8" s="1"/>
  <c r="N13" i="8" a="1"/>
  <c r="N13" i="8" s="1"/>
  <c r="J13" i="8" a="1"/>
  <c r="J13" i="8" s="1"/>
  <c r="F13" i="8" a="1"/>
  <c r="F13" i="8" s="1"/>
  <c r="S13" i="8" a="1"/>
  <c r="S13" i="8" s="1"/>
  <c r="G13" i="8" a="1"/>
  <c r="G13" i="8" s="1"/>
  <c r="O13" i="8" a="1"/>
  <c r="O13" i="8" s="1"/>
  <c r="R26" i="8" a="1"/>
  <c r="R26" i="8" s="1"/>
  <c r="G26" i="8" a="1"/>
  <c r="G26" i="8" s="1"/>
  <c r="K26" i="8" a="1"/>
  <c r="K26" i="8" s="1"/>
  <c r="F26" i="8" a="1"/>
  <c r="F26" i="8" s="1"/>
  <c r="O26" i="8" a="1"/>
  <c r="O26" i="8" s="1"/>
  <c r="S32" i="8" a="1"/>
  <c r="S32" i="8" s="1"/>
  <c r="O32" i="8" a="1"/>
  <c r="O32" i="8" s="1"/>
  <c r="K32" i="8" a="1"/>
  <c r="K32" i="8" s="1"/>
  <c r="G32" i="8" a="1"/>
  <c r="G32" i="8" s="1"/>
  <c r="J32" i="8" a="1"/>
  <c r="J32" i="8" s="1"/>
  <c r="R32" i="8" a="1"/>
  <c r="R32" i="8" s="1"/>
  <c r="F32" i="8" a="1"/>
  <c r="F32" i="8" s="1"/>
  <c r="I34" i="8" a="1"/>
  <c r="I34" i="8" s="1"/>
  <c r="L36" i="8" a="1"/>
  <c r="L36" i="8" s="1"/>
  <c r="I36" i="8" a="1"/>
  <c r="I36" i="8" s="1"/>
  <c r="AI43" i="8" a="1"/>
  <c r="AI43" i="8" s="1"/>
  <c r="AI40" i="8" a="1"/>
  <c r="AI40" i="8" s="1"/>
  <c r="AI39" i="8" a="1"/>
  <c r="AI39" i="8" s="1"/>
  <c r="AI36" i="8" a="1"/>
  <c r="AI36" i="8" s="1"/>
  <c r="AI35" i="8" a="1"/>
  <c r="AI35" i="8" s="1"/>
  <c r="W11" i="8" a="1"/>
  <c r="W11" i="8" s="1"/>
  <c r="AH11" i="8" a="1"/>
  <c r="AH11" i="8" s="1"/>
  <c r="R14" i="8" a="1"/>
  <c r="R14" i="8" s="1"/>
  <c r="G14" i="8" a="1"/>
  <c r="G14" i="8" s="1"/>
  <c r="K14" i="8" a="1"/>
  <c r="K14" i="8" s="1"/>
  <c r="F14" i="8" a="1"/>
  <c r="F14" i="8" s="1"/>
  <c r="O14" i="8" a="1"/>
  <c r="O14" i="8" s="1"/>
  <c r="R17" i="8" a="1"/>
  <c r="R17" i="8" s="1"/>
  <c r="N17" i="8" a="1"/>
  <c r="N17" i="8" s="1"/>
  <c r="J17" i="8" a="1"/>
  <c r="J17" i="8" s="1"/>
  <c r="F17" i="8" a="1"/>
  <c r="F17" i="8" s="1"/>
  <c r="S17" i="8" a="1"/>
  <c r="S17" i="8" s="1"/>
  <c r="G17" i="8" a="1"/>
  <c r="G17" i="8" s="1"/>
  <c r="O17" i="8" a="1"/>
  <c r="O17" i="8" s="1"/>
  <c r="S26" i="8" a="1"/>
  <c r="S26" i="8" s="1"/>
  <c r="N32" i="8" a="1"/>
  <c r="N32" i="8" s="1"/>
  <c r="S14" i="8" a="1"/>
  <c r="S14" i="8" s="1"/>
  <c r="R18" i="8" a="1"/>
  <c r="R18" i="8" s="1"/>
  <c r="G18" i="8" a="1"/>
  <c r="G18" i="8" s="1"/>
  <c r="K18" i="8" a="1"/>
  <c r="K18" i="8" s="1"/>
  <c r="F18" i="8" a="1"/>
  <c r="F18" i="8" s="1"/>
  <c r="O18" i="8" a="1"/>
  <c r="O18" i="8" s="1"/>
  <c r="R21" i="8" a="1"/>
  <c r="R21" i="8" s="1"/>
  <c r="N21" i="8" a="1"/>
  <c r="N21" i="8" s="1"/>
  <c r="J21" i="8" a="1"/>
  <c r="J21" i="8" s="1"/>
  <c r="F21" i="8" a="1"/>
  <c r="F21" i="8" s="1"/>
  <c r="S21" i="8" a="1"/>
  <c r="S21" i="8" s="1"/>
  <c r="G21" i="8" a="1"/>
  <c r="G21" i="8" s="1"/>
  <c r="O21" i="8" a="1"/>
  <c r="O21" i="8" s="1"/>
  <c r="N22" i="8" a="1"/>
  <c r="N22" i="8" s="1"/>
  <c r="J26" i="8" a="1"/>
  <c r="J26" i="8" s="1"/>
  <c r="AI42" i="8" a="1"/>
  <c r="AI42" i="8" s="1"/>
  <c r="AI41" i="8" a="1"/>
  <c r="AI41" i="8" s="1"/>
  <c r="AI38" i="8" a="1"/>
  <c r="AI38" i="8" s="1"/>
  <c r="AI37" i="8" a="1"/>
  <c r="AI37" i="8" s="1"/>
  <c r="K13" i="8" a="1"/>
  <c r="K13" i="8" s="1"/>
  <c r="J14" i="8" a="1"/>
  <c r="J14" i="8" s="1"/>
  <c r="S18" i="8" a="1"/>
  <c r="S18" i="8" s="1"/>
  <c r="R22" i="8" a="1"/>
  <c r="R22" i="8" s="1"/>
  <c r="G22" i="8" a="1"/>
  <c r="G22" i="8" s="1"/>
  <c r="K22" i="8" a="1"/>
  <c r="K22" i="8" s="1"/>
  <c r="F22" i="8" a="1"/>
  <c r="F22" i="8" s="1"/>
  <c r="O22" i="8" a="1"/>
  <c r="O22" i="8" s="1"/>
  <c r="R25" i="8" a="1"/>
  <c r="R25" i="8" s="1"/>
  <c r="N25" i="8" a="1"/>
  <c r="N25" i="8" s="1"/>
  <c r="J25" i="8" a="1"/>
  <c r="J25" i="8" s="1"/>
  <c r="F25" i="8" a="1"/>
  <c r="F25" i="8" s="1"/>
  <c r="S25" i="8" a="1"/>
  <c r="S25" i="8" s="1"/>
  <c r="G25" i="8" a="1"/>
  <c r="G25" i="8" s="1"/>
  <c r="O25" i="8" a="1"/>
  <c r="O25" i="8" s="1"/>
  <c r="N26" i="8" a="1"/>
  <c r="N26" i="8" s="1"/>
  <c r="O29" i="8" a="1"/>
  <c r="O29" i="8" s="1"/>
  <c r="J29" i="8" a="1"/>
  <c r="J29" i="8" s="1"/>
  <c r="R28" i="8" a="1"/>
  <c r="R28" i="8" s="1"/>
  <c r="G28" i="8" a="1"/>
  <c r="G28" i="8" s="1"/>
  <c r="K28" i="8" a="1"/>
  <c r="K28" i="8" s="1"/>
  <c r="S28" i="8" a="1"/>
  <c r="S28" i="8" s="1"/>
  <c r="S12" i="8" a="1"/>
  <c r="S12" i="8" s="1"/>
  <c r="O12" i="8" a="1"/>
  <c r="O12" i="8" s="1"/>
  <c r="K12" i="8" a="1"/>
  <c r="K12" i="8" s="1"/>
  <c r="G12" i="8" a="1"/>
  <c r="G12" i="8" s="1"/>
  <c r="N12" i="8" a="1"/>
  <c r="N12" i="8" s="1"/>
  <c r="S16" i="8" a="1"/>
  <c r="S16" i="8" s="1"/>
  <c r="O16" i="8" a="1"/>
  <c r="O16" i="8" s="1"/>
  <c r="K16" i="8" a="1"/>
  <c r="K16" i="8" s="1"/>
  <c r="G16" i="8" a="1"/>
  <c r="G16" i="8" s="1"/>
  <c r="N16" i="8" a="1"/>
  <c r="N16" i="8" s="1"/>
  <c r="S20" i="8" a="1"/>
  <c r="S20" i="8" s="1"/>
  <c r="O20" i="8" a="1"/>
  <c r="O20" i="8" s="1"/>
  <c r="K20" i="8" a="1"/>
  <c r="K20" i="8" s="1"/>
  <c r="G20" i="8" a="1"/>
  <c r="G20" i="8" s="1"/>
  <c r="N20" i="8" a="1"/>
  <c r="N20" i="8" s="1"/>
  <c r="S24" i="8" a="1"/>
  <c r="S24" i="8" s="1"/>
  <c r="O24" i="8" a="1"/>
  <c r="O24" i="8" s="1"/>
  <c r="K24" i="8" a="1"/>
  <c r="K24" i="8" s="1"/>
  <c r="G24" i="8" a="1"/>
  <c r="G24" i="8" s="1"/>
  <c r="N24" i="8" a="1"/>
  <c r="N24" i="8" s="1"/>
  <c r="F28" i="8" a="1"/>
  <c r="F28" i="8" s="1"/>
  <c r="N28" i="8" a="1"/>
  <c r="N28" i="8" s="1"/>
  <c r="R27" i="8" a="1"/>
  <c r="R27" i="8" s="1"/>
  <c r="N27" i="8" a="1"/>
  <c r="N27" i="8" s="1"/>
  <c r="J27" i="8" a="1"/>
  <c r="J27" i="8" s="1"/>
  <c r="S27" i="8" a="1"/>
  <c r="S27" i="8" s="1"/>
  <c r="S30" i="8" a="1"/>
  <c r="S30" i="8" s="1"/>
  <c r="O30" i="8" a="1"/>
  <c r="O30" i="8" s="1"/>
  <c r="K30" i="8" a="1"/>
  <c r="K30" i="8" s="1"/>
  <c r="G30" i="8" a="1"/>
  <c r="G30" i="8" s="1"/>
  <c r="N30" i="8" a="1"/>
  <c r="N30" i="8" s="1"/>
  <c r="R33" i="8" a="1"/>
  <c r="R33" i="8" s="1"/>
  <c r="N33" i="8" a="1"/>
  <c r="N33" i="8" s="1"/>
  <c r="J33" i="8" a="1"/>
  <c r="J33" i="8" s="1"/>
  <c r="F33" i="8" a="1"/>
  <c r="F33" i="8" s="1"/>
  <c r="F31" i="8" a="1"/>
  <c r="F31" i="8" s="1"/>
  <c r="J31" i="8" a="1"/>
  <c r="J31" i="8" s="1"/>
  <c r="N31" i="8" a="1"/>
  <c r="N31" i="8" s="1"/>
  <c r="R31" i="8" a="1"/>
  <c r="R31" i="8" s="1"/>
  <c r="T106" i="8" a="1"/>
  <c r="T106" i="8" s="1"/>
  <c r="I132" i="8" a="1"/>
  <c r="I132" i="8" s="1"/>
  <c r="I136" i="8" a="1"/>
  <c r="I136" i="8" s="1"/>
  <c r="P154" i="8" a="1"/>
  <c r="P154" i="8" s="1"/>
  <c r="P155" i="8" a="1"/>
  <c r="P155" i="8" s="1"/>
  <c r="I135" i="8" a="1"/>
  <c r="I135" i="8" s="1"/>
  <c r="I139" i="8" a="1"/>
  <c r="I139" i="8" s="1"/>
  <c r="T154" i="8" a="1"/>
  <c r="T154" i="8" s="1"/>
  <c r="T155" i="8" a="1"/>
  <c r="T155" i="8" s="1"/>
  <c r="I134" i="8" a="1"/>
  <c r="I134" i="8" s="1"/>
  <c r="I138" i="8" a="1"/>
  <c r="I138" i="8" s="1"/>
  <c r="I145" i="8" a="1"/>
  <c r="I145" i="8" s="1"/>
  <c r="I140" i="8" a="1"/>
  <c r="I140" i="8" s="1"/>
  <c r="H154" i="8" a="1"/>
  <c r="H154" i="8" s="1"/>
  <c r="I148" i="8" a="1"/>
  <c r="I148" i="8" s="1"/>
  <c r="I152" i="8" a="1"/>
  <c r="I152" i="8" s="1"/>
  <c r="I156" i="8" a="1"/>
  <c r="I156" i="8" s="1"/>
  <c r="I160" i="8" a="1"/>
  <c r="I160" i="8" s="1"/>
  <c r="I147" i="8" a="1"/>
  <c r="I147" i="8" s="1"/>
  <c r="I151" i="8" a="1"/>
  <c r="I151" i="8" s="1"/>
  <c r="I159" i="8" a="1"/>
  <c r="I159" i="8" s="1"/>
  <c r="X180" i="8" a="1"/>
  <c r="X180" i="8" s="1"/>
  <c r="I173" i="8" a="1"/>
  <c r="I173" i="8" s="1"/>
  <c r="I177" i="8" a="1"/>
  <c r="I177" i="8" s="1"/>
  <c r="AF204" i="8" a="1"/>
  <c r="AF204" i="8" s="1"/>
  <c r="I172" i="8" a="1"/>
  <c r="I172" i="8" s="1"/>
  <c r="I176" i="8" a="1"/>
  <c r="I176" i="8" s="1"/>
  <c r="AB204" i="8" a="1"/>
  <c r="AB204" i="8" s="1"/>
  <c r="I167" i="8" a="1"/>
  <c r="I167" i="8" s="1"/>
  <c r="I171" i="8" a="1"/>
  <c r="I171" i="8" s="1"/>
  <c r="I175" i="8" a="1"/>
  <c r="I175" i="8" s="1"/>
  <c r="X181" i="8" a="1"/>
  <c r="X181" i="8" s="1"/>
  <c r="X203" i="8" a="1"/>
  <c r="X203" i="8" s="1"/>
  <c r="AJ204" i="8" a="1"/>
  <c r="AJ204" i="8" s="1"/>
  <c r="AJ203" i="8" a="1"/>
  <c r="AJ203" i="8" s="1"/>
  <c r="X227" i="8" a="1"/>
  <c r="X227" i="8" s="1"/>
  <c r="AB227" i="8" a="1"/>
  <c r="AB227" i="8" s="1"/>
  <c r="AF226" i="8" a="1"/>
  <c r="AF226" i="8" s="1"/>
  <c r="D250" i="8" a="1"/>
  <c r="D250" i="8" s="1"/>
  <c r="D251" i="8" a="1"/>
  <c r="D251" i="8" s="1"/>
  <c r="D252" i="8" a="1"/>
  <c r="D252" i="8" s="1"/>
  <c r="D253" i="8" a="1"/>
  <c r="D253" i="8" s="1"/>
  <c r="D254" i="8" a="1"/>
  <c r="D254" i="8" s="1"/>
  <c r="D255" i="8" a="1"/>
  <c r="D255" i="8" s="1"/>
  <c r="D256" i="8" a="1"/>
  <c r="D256" i="8" s="1"/>
  <c r="D257" i="8" a="1"/>
  <c r="D257" i="8" s="1"/>
  <c r="D258" i="8" a="1"/>
  <c r="D258" i="8" s="1"/>
  <c r="D259" i="8" a="1"/>
  <c r="D259" i="8" s="1"/>
  <c r="D260" i="8" a="1"/>
  <c r="D260" i="8" s="1"/>
  <c r="D261" i="8" a="1"/>
  <c r="D261" i="8" s="1"/>
  <c r="D262" i="8" a="1"/>
  <c r="D262" i="8" s="1"/>
  <c r="D263" i="8" a="1"/>
  <c r="D263" i="8" s="1"/>
  <c r="D264" i="8" a="1"/>
  <c r="D264" i="8" s="1"/>
  <c r="D265" i="8" a="1"/>
  <c r="D265" i="8" s="1"/>
  <c r="D266" i="8" a="1"/>
  <c r="D266" i="8" s="1"/>
  <c r="D267" i="8" a="1"/>
  <c r="D267" i="8" s="1"/>
  <c r="D268" i="8" a="1"/>
  <c r="D268" i="8" s="1"/>
  <c r="D269" i="8" a="1"/>
  <c r="D269" i="8" s="1"/>
  <c r="D270" i="8" a="1"/>
  <c r="D270" i="8" s="1"/>
  <c r="D271" i="8" a="1"/>
  <c r="D271" i="8" s="1"/>
  <c r="D272" i="8" a="1"/>
  <c r="D272" i="8" s="1"/>
  <c r="D273" i="8" a="1"/>
  <c r="D273" i="8" s="1"/>
  <c r="D274" i="8" a="1"/>
  <c r="D274" i="8" s="1"/>
  <c r="D275" i="8" a="1"/>
  <c r="D275" i="8" s="1"/>
  <c r="D276" i="8" a="1"/>
  <c r="D276" i="8" s="1"/>
  <c r="D277" i="8" a="1"/>
  <c r="D277" i="8" s="1"/>
  <c r="D278" i="8" a="1"/>
  <c r="D278" i="8" s="1"/>
  <c r="D279" i="8" a="1"/>
  <c r="D279" i="8" s="1"/>
  <c r="D280" i="8" a="1"/>
  <c r="D280" i="8" s="1"/>
  <c r="D281" i="8" a="1"/>
  <c r="D281" i="8" s="1"/>
  <c r="D282" i="8" a="1"/>
  <c r="D282" i="8" s="1"/>
  <c r="D283" i="8" a="1"/>
  <c r="D283" i="8" s="1"/>
  <c r="D284" i="8" a="1"/>
  <c r="D284" i="8" s="1"/>
  <c r="D285" i="8" a="1"/>
  <c r="D285" i="8" s="1"/>
  <c r="D286" i="8" a="1"/>
  <c r="D286" i="8" s="1"/>
  <c r="D287" i="8" a="1"/>
  <c r="D287" i="8" s="1"/>
  <c r="D288" i="8" a="1"/>
  <c r="D288" i="8" s="1"/>
  <c r="D289" i="8" a="1"/>
  <c r="D289" i="8" s="1"/>
  <c r="D290" i="8" a="1"/>
  <c r="D290" i="8" s="1"/>
  <c r="D291" i="8" a="1"/>
  <c r="D291" i="8" s="1"/>
  <c r="D292" i="8" a="1"/>
  <c r="D292" i="8" s="1"/>
  <c r="D293" i="8" a="1"/>
  <c r="D293" i="8" s="1"/>
  <c r="D294" i="8" a="1"/>
  <c r="D294" i="8" s="1"/>
  <c r="D295" i="8" a="1"/>
  <c r="D295" i="8" s="1"/>
  <c r="D296" i="8" a="1"/>
  <c r="D296" i="8" s="1"/>
  <c r="D297" i="8" a="1"/>
  <c r="D297" i="8" s="1"/>
  <c r="D298" i="8" a="1"/>
  <c r="D298" i="8" s="1"/>
  <c r="D299" i="8" a="1"/>
  <c r="D299" i="8" s="1"/>
  <c r="D300" i="8" a="1"/>
  <c r="D30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24" i="8" a="1"/>
  <c r="D24" i="8" s="1"/>
  <c r="D25" i="8" a="1"/>
  <c r="D25" i="8" s="1"/>
  <c r="D26" i="8" a="1"/>
  <c r="D26" i="8" s="1"/>
  <c r="D27" i="8" a="1"/>
  <c r="D27" i="8" s="1"/>
  <c r="D28" i="8" a="1"/>
  <c r="D28" i="8" s="1"/>
  <c r="D29" i="8" a="1"/>
  <c r="D29" i="8" s="1"/>
  <c r="D30" i="8" a="1"/>
  <c r="D30" i="8" s="1"/>
  <c r="D31" i="8" a="1"/>
  <c r="D31" i="8" s="1"/>
  <c r="D32" i="8" a="1"/>
  <c r="D32" i="8" s="1"/>
  <c r="D33" i="8" a="1"/>
  <c r="D33" i="8" s="1"/>
  <c r="D34" i="8" a="1"/>
  <c r="D34" i="8" s="1"/>
  <c r="D35" i="8" a="1"/>
  <c r="D35" i="8" s="1"/>
  <c r="D36" i="8" a="1"/>
  <c r="D36" i="8" s="1"/>
  <c r="D37" i="8" a="1"/>
  <c r="D37" i="8" s="1"/>
  <c r="D38" i="8" a="1"/>
  <c r="D38" i="8" s="1"/>
  <c r="D39" i="8" a="1"/>
  <c r="D39" i="8" s="1"/>
  <c r="D40" i="8" a="1"/>
  <c r="D40" i="8" s="1"/>
  <c r="D41" i="8" a="1"/>
  <c r="D41" i="8" s="1"/>
  <c r="D42" i="8" a="1"/>
  <c r="D42" i="8" s="1"/>
  <c r="D43" i="8" a="1"/>
  <c r="D43" i="8" s="1"/>
  <c r="D44" i="8" a="1"/>
  <c r="D44" i="8" s="1"/>
  <c r="D45" i="8" a="1"/>
  <c r="D45" i="8" s="1"/>
  <c r="D46" i="8" a="1"/>
  <c r="D46" i="8" s="1"/>
  <c r="D47" i="8" a="1"/>
  <c r="D47" i="8" s="1"/>
  <c r="D48" i="8" a="1"/>
  <c r="D48" i="8" s="1"/>
  <c r="D49" i="8" a="1"/>
  <c r="D49" i="8" s="1"/>
  <c r="D50" i="8" a="1"/>
  <c r="D50" i="8" s="1"/>
  <c r="D51" i="8" a="1"/>
  <c r="D51" i="8" s="1"/>
  <c r="D52" i="8" a="1"/>
  <c r="D52" i="8" s="1"/>
  <c r="D53" i="8" a="1"/>
  <c r="D53" i="8" s="1"/>
  <c r="D54" i="8" a="1"/>
  <c r="D54" i="8" s="1"/>
  <c r="D55" i="8" a="1"/>
  <c r="D55" i="8" s="1"/>
  <c r="D56" i="8" a="1"/>
  <c r="D56" i="8" s="1"/>
  <c r="D57" i="8" a="1"/>
  <c r="D57" i="8" s="1"/>
  <c r="D58" i="8" a="1"/>
  <c r="D58" i="8" s="1"/>
  <c r="D59" i="8" a="1"/>
  <c r="D59" i="8" s="1"/>
  <c r="D60" i="8" a="1"/>
  <c r="D60" i="8" s="1"/>
  <c r="D61" i="8" a="1"/>
  <c r="D61" i="8" s="1"/>
  <c r="D62" i="8" a="1"/>
  <c r="D62" i="8" s="1"/>
  <c r="D63" i="8" a="1"/>
  <c r="D63" i="8" s="1"/>
  <c r="D64" i="8" a="1"/>
  <c r="D64" i="8" s="1"/>
  <c r="D65" i="8" a="1"/>
  <c r="D65" i="8" s="1"/>
  <c r="D66" i="8" a="1"/>
  <c r="D66" i="8" s="1"/>
  <c r="D67" i="8" a="1"/>
  <c r="D67" i="8" s="1"/>
  <c r="D68" i="8" a="1"/>
  <c r="D68" i="8" s="1"/>
  <c r="D69" i="8" a="1"/>
  <c r="D69" i="8" s="1"/>
  <c r="D70" i="8" a="1"/>
  <c r="D70" i="8" s="1"/>
  <c r="D71" i="8" a="1"/>
  <c r="D71" i="8" s="1"/>
  <c r="D72" i="8" a="1"/>
  <c r="D72" i="8" s="1"/>
  <c r="D73" i="8" a="1"/>
  <c r="D73" i="8" s="1"/>
  <c r="D74" i="8" a="1"/>
  <c r="D74" i="8" s="1"/>
  <c r="D75" i="8" a="1"/>
  <c r="D75" i="8" s="1"/>
  <c r="D76" i="8" a="1"/>
  <c r="D76" i="8" s="1"/>
  <c r="D77" i="8" a="1"/>
  <c r="D77" i="8" s="1"/>
  <c r="D78" i="8" a="1"/>
  <c r="D78" i="8" s="1"/>
  <c r="D79" i="8" a="1"/>
  <c r="D79" i="8" s="1"/>
  <c r="D80" i="8" a="1"/>
  <c r="D80" i="8" s="1"/>
  <c r="D81" i="8" a="1"/>
  <c r="D81" i="8" s="1"/>
  <c r="D82" i="8" a="1"/>
  <c r="D82" i="8" s="1"/>
  <c r="D83" i="8" a="1"/>
  <c r="D83" i="8" s="1"/>
  <c r="D84" i="8" a="1"/>
  <c r="D84" i="8" s="1"/>
  <c r="D85" i="8" a="1"/>
  <c r="D85" i="8" s="1"/>
  <c r="D86" i="8" a="1"/>
  <c r="D86" i="8" s="1"/>
  <c r="D87" i="8" a="1"/>
  <c r="D87" i="8" s="1"/>
  <c r="D88" i="8" a="1"/>
  <c r="D88" i="8" s="1"/>
  <c r="D89" i="8" a="1"/>
  <c r="D89" i="8" s="1"/>
  <c r="D90" i="8" a="1"/>
  <c r="D90" i="8" s="1"/>
  <c r="D91" i="8" a="1"/>
  <c r="D91" i="8" s="1"/>
  <c r="D92" i="8" a="1"/>
  <c r="D92" i="8" s="1"/>
  <c r="D93" i="8" a="1"/>
  <c r="D93" i="8" s="1"/>
  <c r="D94" i="8" a="1"/>
  <c r="D94" i="8" s="1"/>
  <c r="D95" i="8" a="1"/>
  <c r="D95" i="8" s="1"/>
  <c r="D96" i="8" a="1"/>
  <c r="D96" i="8" s="1"/>
  <c r="D97" i="8" a="1"/>
  <c r="D97" i="8" s="1"/>
  <c r="D98" i="8" a="1"/>
  <c r="D98" i="8" s="1"/>
  <c r="D99" i="8" a="1"/>
  <c r="D99" i="8" s="1"/>
  <c r="D100" i="8" a="1"/>
  <c r="D100" i="8" s="1"/>
  <c r="D101" i="8" a="1"/>
  <c r="D101" i="8" s="1"/>
  <c r="D102" i="8" a="1"/>
  <c r="D102" i="8" s="1"/>
  <c r="D103" i="8" a="1"/>
  <c r="D103" i="8" s="1"/>
  <c r="D104" i="8" a="1"/>
  <c r="D104" i="8" s="1"/>
  <c r="D105" i="8" a="1"/>
  <c r="D105" i="8" s="1"/>
  <c r="D106" i="8" a="1"/>
  <c r="D106" i="8" s="1"/>
  <c r="D107" i="8" a="1"/>
  <c r="D107" i="8" s="1"/>
  <c r="D108" i="8" a="1"/>
  <c r="D108" i="8" s="1"/>
  <c r="D109" i="8" a="1"/>
  <c r="D109" i="8" s="1"/>
  <c r="D110" i="8" a="1"/>
  <c r="D110" i="8" s="1"/>
  <c r="D111" i="8" a="1"/>
  <c r="D111" i="8" s="1"/>
  <c r="D112" i="8" a="1"/>
  <c r="D112" i="8" s="1"/>
  <c r="D113" i="8" a="1"/>
  <c r="D113" i="8" s="1"/>
  <c r="D114" i="8" a="1"/>
  <c r="D114" i="8" s="1"/>
  <c r="D115" i="8" a="1"/>
  <c r="D115" i="8" s="1"/>
  <c r="D116" i="8" a="1"/>
  <c r="D116" i="8" s="1"/>
  <c r="D117" i="8" a="1"/>
  <c r="D117" i="8" s="1"/>
  <c r="D118" i="8" a="1"/>
  <c r="D118" i="8" s="1"/>
  <c r="D119" i="8" a="1"/>
  <c r="D119" i="8" s="1"/>
  <c r="D120" i="8" a="1"/>
  <c r="D120" i="8" s="1"/>
  <c r="D121" i="8" a="1"/>
  <c r="D121" i="8" s="1"/>
  <c r="D122" i="8" a="1"/>
  <c r="D122" i="8" s="1"/>
  <c r="D123" i="8" a="1"/>
  <c r="D123" i="8" s="1"/>
  <c r="D124" i="8" a="1"/>
  <c r="D124" i="8" s="1"/>
  <c r="D125" i="8" a="1"/>
  <c r="D125" i="8" s="1"/>
  <c r="D126" i="8" a="1"/>
  <c r="D126" i="8" s="1"/>
  <c r="D127" i="8" a="1"/>
  <c r="D127" i="8" s="1"/>
  <c r="D128" i="8" a="1"/>
  <c r="D128" i="8" s="1"/>
  <c r="D129" i="8" a="1"/>
  <c r="D129" i="8" s="1"/>
  <c r="D10" i="8" a="1"/>
  <c r="D10" i="8" s="1"/>
  <c r="D131" i="8" a="1"/>
  <c r="D135" i="8" a="1"/>
  <c r="D139" i="8" a="1"/>
  <c r="D143" i="8" a="1"/>
  <c r="D147" i="8" a="1"/>
  <c r="D151" i="8" a="1"/>
  <c r="D155" i="8" a="1"/>
  <c r="D159" i="8" a="1"/>
  <c r="D163" i="8" a="1"/>
  <c r="D167" i="8" a="1"/>
  <c r="D171" i="8" a="1"/>
  <c r="D175" i="8" a="1"/>
  <c r="D179" i="8" a="1"/>
  <c r="D183" i="8" a="1"/>
  <c r="D187" i="8" a="1"/>
  <c r="D191" i="8" a="1"/>
  <c r="D195" i="8" a="1"/>
  <c r="D199" i="8" a="1"/>
  <c r="D203" i="8" a="1"/>
  <c r="D207" i="8" a="1"/>
  <c r="D211" i="8" a="1"/>
  <c r="D215" i="8" a="1"/>
  <c r="D219" i="8" a="1"/>
  <c r="D223" i="8" a="1"/>
  <c r="D227" i="8" a="1"/>
  <c r="D231" i="8" a="1"/>
  <c r="D235" i="8" a="1"/>
  <c r="D239" i="8" a="1"/>
  <c r="D243" i="8" a="1"/>
  <c r="D247" i="8" a="1"/>
  <c r="D132" i="8" a="1"/>
  <c r="D136" i="8" a="1"/>
  <c r="D140" i="8" a="1"/>
  <c r="D144" i="8" a="1"/>
  <c r="D152" i="8" a="1"/>
  <c r="D156" i="8" a="1"/>
  <c r="D160" i="8" a="1"/>
  <c r="D164" i="8" a="1"/>
  <c r="D168" i="8" a="1"/>
  <c r="D172" i="8" a="1"/>
  <c r="D176" i="8" a="1"/>
  <c r="D180" i="8" a="1"/>
  <c r="D184" i="8" a="1"/>
  <c r="D188" i="8" a="1"/>
  <c r="D192" i="8" a="1"/>
  <c r="D196" i="8" a="1"/>
  <c r="D200" i="8" a="1"/>
  <c r="D204" i="8" a="1"/>
  <c r="D212" i="8" a="1"/>
  <c r="D220" i="8" a="1"/>
  <c r="D228" i="8" a="1"/>
  <c r="D236" i="8" a="1"/>
  <c r="D244" i="8" a="1"/>
  <c r="D137" i="8" a="1"/>
  <c r="D145" i="8" a="1"/>
  <c r="D153" i="8" a="1"/>
  <c r="D161" i="8" a="1"/>
  <c r="D169" i="8" a="1"/>
  <c r="D177" i="8" a="1"/>
  <c r="D185" i="8" a="1"/>
  <c r="D193" i="8" a="1"/>
  <c r="D197" i="8" a="1"/>
  <c r="D205" i="8" a="1"/>
  <c r="D213" i="8" a="1"/>
  <c r="D221" i="8" a="1"/>
  <c r="D229" i="8" a="1"/>
  <c r="D237" i="8" a="1"/>
  <c r="D245" i="8" a="1"/>
  <c r="D130" i="8" a="1"/>
  <c r="D134" i="8" a="1"/>
  <c r="D142" i="8" a="1"/>
  <c r="D150" i="8" a="1"/>
  <c r="D158" i="8" a="1"/>
  <c r="D166" i="8" a="1"/>
  <c r="D174" i="8" a="1"/>
  <c r="D182" i="8" a="1"/>
  <c r="D190" i="8" a="1"/>
  <c r="D198" i="8" a="1"/>
  <c r="D206" i="8" a="1"/>
  <c r="D214" i="8" a="1"/>
  <c r="D222" i="8" a="1"/>
  <c r="D234" i="8" a="1"/>
  <c r="D242" i="8" a="1"/>
  <c r="D246" i="8" a="1"/>
  <c r="D148" i="8" a="1"/>
  <c r="D208" i="8" a="1"/>
  <c r="D216" i="8" a="1"/>
  <c r="D224" i="8" a="1"/>
  <c r="D232" i="8" a="1"/>
  <c r="D240" i="8" a="1"/>
  <c r="D248" i="8" a="1"/>
  <c r="D133" i="8" a="1"/>
  <c r="D141" i="8" a="1"/>
  <c r="D149" i="8" a="1"/>
  <c r="D157" i="8" a="1"/>
  <c r="D165" i="8" a="1"/>
  <c r="D173" i="8" a="1"/>
  <c r="D181" i="8" a="1"/>
  <c r="D189" i="8" a="1"/>
  <c r="D201" i="8" a="1"/>
  <c r="D209" i="8" a="1"/>
  <c r="D217" i="8" a="1"/>
  <c r="D225" i="8" a="1"/>
  <c r="D233" i="8" a="1"/>
  <c r="D241" i="8" a="1"/>
  <c r="D249" i="8" a="1"/>
  <c r="D138" i="8" a="1"/>
  <c r="D146" i="8" a="1"/>
  <c r="D154" i="8" a="1"/>
  <c r="D162" i="8" a="1"/>
  <c r="D170" i="8" a="1"/>
  <c r="D178" i="8" a="1"/>
  <c r="D186" i="8" a="1"/>
  <c r="D194" i="8" a="1"/>
  <c r="D202" i="8" a="1"/>
  <c r="D210" i="8" a="1"/>
  <c r="D218" i="8" a="1"/>
  <c r="D226" i="8" a="1"/>
  <c r="D230" i="8" a="1"/>
  <c r="D238" i="8" a="1"/>
  <c r="D238" i="8" l="1"/>
  <c r="D230" i="8"/>
  <c r="D226" i="8"/>
  <c r="D218" i="8"/>
  <c r="D210" i="8"/>
  <c r="D202" i="8"/>
  <c r="D194" i="8"/>
  <c r="D186" i="8"/>
  <c r="D178" i="8"/>
  <c r="D170" i="8"/>
  <c r="D162" i="8"/>
  <c r="D154" i="8"/>
  <c r="D146" i="8"/>
  <c r="D138" i="8"/>
  <c r="D249" i="8"/>
  <c r="D241" i="8"/>
  <c r="D233" i="8"/>
  <c r="D225" i="8"/>
  <c r="D217" i="8"/>
  <c r="D209" i="8"/>
  <c r="D201" i="8"/>
  <c r="D189" i="8"/>
  <c r="D181" i="8"/>
  <c r="D173" i="8"/>
  <c r="D165" i="8"/>
  <c r="D157" i="8"/>
  <c r="D149" i="8"/>
  <c r="D141" i="8"/>
  <c r="D133" i="8"/>
  <c r="D248" i="8"/>
  <c r="D240" i="8"/>
  <c r="D232" i="8"/>
  <c r="D224" i="8"/>
  <c r="D216" i="8"/>
  <c r="D208" i="8"/>
  <c r="D148" i="8"/>
  <c r="D246" i="8"/>
  <c r="D242" i="8"/>
  <c r="D234" i="8"/>
  <c r="D222" i="8"/>
  <c r="D214" i="8"/>
  <c r="D206" i="8"/>
  <c r="D198" i="8"/>
  <c r="D190" i="8"/>
  <c r="D182" i="8"/>
  <c r="D174" i="8"/>
  <c r="D166" i="8"/>
  <c r="D158" i="8"/>
  <c r="D150" i="8"/>
  <c r="D142" i="8"/>
  <c r="D134" i="8"/>
  <c r="D130" i="8"/>
  <c r="D245" i="8"/>
  <c r="D237" i="8"/>
  <c r="D229" i="8"/>
  <c r="D221" i="8"/>
  <c r="D213" i="8"/>
  <c r="D205" i="8"/>
  <c r="D197" i="8"/>
  <c r="D193" i="8"/>
  <c r="D185" i="8"/>
  <c r="D177" i="8"/>
  <c r="D169" i="8"/>
  <c r="D161" i="8"/>
  <c r="D153" i="8"/>
  <c r="D145" i="8"/>
  <c r="D137" i="8"/>
  <c r="D244" i="8"/>
  <c r="D236" i="8"/>
  <c r="D228" i="8"/>
  <c r="D220" i="8"/>
  <c r="D212" i="8"/>
  <c r="D204" i="8"/>
  <c r="D200" i="8"/>
  <c r="D196" i="8"/>
  <c r="D192" i="8"/>
  <c r="D188" i="8"/>
  <c r="D184" i="8"/>
  <c r="D180" i="8"/>
  <c r="D176" i="8"/>
  <c r="D172" i="8"/>
  <c r="D168" i="8"/>
  <c r="D164" i="8"/>
  <c r="D160" i="8"/>
  <c r="D156" i="8"/>
  <c r="D152" i="8"/>
  <c r="D144" i="8"/>
  <c r="D140" i="8"/>
  <c r="D136" i="8"/>
  <c r="D132" i="8"/>
  <c r="D247" i="8"/>
  <c r="D243" i="8"/>
  <c r="D239" i="8"/>
  <c r="D235" i="8"/>
  <c r="D231" i="8"/>
  <c r="D227" i="8"/>
  <c r="D223" i="8"/>
  <c r="D219" i="8"/>
  <c r="D215" i="8"/>
  <c r="D211" i="8"/>
  <c r="D207" i="8"/>
  <c r="D203" i="8"/>
  <c r="D199" i="8"/>
  <c r="D195" i="8"/>
  <c r="D191" i="8"/>
  <c r="D187" i="8"/>
  <c r="D183" i="8"/>
  <c r="D179" i="8"/>
  <c r="D175" i="8"/>
  <c r="D171" i="8"/>
  <c r="D167" i="8"/>
  <c r="D163" i="8"/>
  <c r="D159" i="8"/>
  <c r="D155" i="8"/>
  <c r="D151" i="8"/>
  <c r="D147" i="8"/>
  <c r="D143" i="8"/>
  <c r="D139" i="8"/>
  <c r="D135" i="8"/>
  <c r="D131" i="8"/>
  <c r="AJ228" i="8" a="1"/>
  <c r="AJ228" i="8" s="1"/>
  <c r="AG228" i="8" a="1"/>
  <c r="AG228" i="8" s="1"/>
  <c r="H174" i="8" a="1"/>
  <c r="H174" i="8" s="1"/>
  <c r="E174" i="8" a="1"/>
  <c r="E174" i="8" s="1"/>
  <c r="P160" i="8" a="1"/>
  <c r="P160" i="8" s="1"/>
  <c r="M160" i="8" a="1"/>
  <c r="M160" i="8" s="1"/>
  <c r="H151" i="8" a="1"/>
  <c r="H151" i="8" s="1"/>
  <c r="E151" i="8" a="1"/>
  <c r="E151" i="8" s="1"/>
  <c r="H162" i="8" a="1"/>
  <c r="H162" i="8" s="1"/>
  <c r="E162" i="8" a="1"/>
  <c r="E162" i="8" s="1"/>
  <c r="P152" i="8" a="1"/>
  <c r="P152" i="8" s="1"/>
  <c r="M152" i="8" a="1"/>
  <c r="M152" i="8" s="1"/>
  <c r="T147" i="8" a="1"/>
  <c r="T147" i="8" s="1"/>
  <c r="Q147" i="8" a="1"/>
  <c r="Q147" i="8" s="1"/>
  <c r="T138" i="8" a="1"/>
  <c r="T138" i="8" s="1"/>
  <c r="Q138" i="8" a="1"/>
  <c r="Q138" i="8" s="1"/>
  <c r="H159" i="8" a="1"/>
  <c r="H159" i="8" s="1"/>
  <c r="E159" i="8" a="1"/>
  <c r="E159" i="8" s="1"/>
  <c r="P141" i="8" a="1"/>
  <c r="P141" i="8" s="1"/>
  <c r="M141" i="8" a="1"/>
  <c r="M141" i="8" s="1"/>
  <c r="T129" i="8" a="1"/>
  <c r="T129" i="8" s="1"/>
  <c r="Q129" i="8" a="1"/>
  <c r="Q129" i="8" s="1"/>
  <c r="L118" i="8" a="1"/>
  <c r="L118" i="8" s="1"/>
  <c r="I118" i="8" a="1"/>
  <c r="I118" i="8" s="1"/>
  <c r="T130" i="8" a="1"/>
  <c r="T130" i="8" s="1"/>
  <c r="Q130" i="8" a="1"/>
  <c r="Q130" i="8" s="1"/>
  <c r="H125" i="8" a="1"/>
  <c r="H125" i="8" s="1"/>
  <c r="E125" i="8" a="1"/>
  <c r="E125" i="8" s="1"/>
  <c r="T107" i="8" a="1"/>
  <c r="T107" i="8" s="1"/>
  <c r="Q107" i="8" a="1"/>
  <c r="Q107" i="8" s="1"/>
  <c r="H81" i="8" a="1"/>
  <c r="H81" i="8" s="1"/>
  <c r="E81" i="8" a="1"/>
  <c r="E81" i="8" s="1"/>
  <c r="T113" i="8" a="1"/>
  <c r="T113" i="8" s="1"/>
  <c r="Q113" i="8" a="1"/>
  <c r="Q113" i="8" s="1"/>
  <c r="T109" i="8" a="1"/>
  <c r="T109" i="8" s="1"/>
  <c r="Q109" i="8" a="1"/>
  <c r="Q109" i="8" s="1"/>
  <c r="L100" i="8" a="1"/>
  <c r="L100" i="8" s="1"/>
  <c r="I100" i="8" a="1"/>
  <c r="I100" i="8" s="1"/>
  <c r="L96" i="8" a="1"/>
  <c r="L96" i="8" s="1"/>
  <c r="I96" i="8" a="1"/>
  <c r="I96" i="8" s="1"/>
  <c r="P72" i="8" a="1"/>
  <c r="P72" i="8" s="1"/>
  <c r="M72" i="8" a="1"/>
  <c r="M72" i="8" s="1"/>
  <c r="P69" i="8" a="1"/>
  <c r="P69" i="8" s="1"/>
  <c r="M69" i="8" a="1"/>
  <c r="M69" i="8" s="1"/>
  <c r="T68" i="8" a="1"/>
  <c r="T68" i="8" s="1"/>
  <c r="Q68" i="8" a="1"/>
  <c r="Q68" i="8" s="1"/>
  <c r="T64" i="8" a="1"/>
  <c r="T64" i="8" s="1"/>
  <c r="Q64" i="8" a="1"/>
  <c r="Q64" i="8" s="1"/>
  <c r="T60" i="8" a="1"/>
  <c r="T60" i="8" s="1"/>
  <c r="Q60" i="8" a="1"/>
  <c r="Q60" i="8" s="1"/>
  <c r="H70" i="8" a="1"/>
  <c r="H70" i="8" s="1"/>
  <c r="E70" i="8" a="1"/>
  <c r="E70" i="8" s="1"/>
  <c r="H66" i="8" a="1"/>
  <c r="H66" i="8" s="1"/>
  <c r="E66" i="8" a="1"/>
  <c r="E66" i="8" s="1"/>
  <c r="H62" i="8" a="1"/>
  <c r="H62" i="8" s="1"/>
  <c r="E62" i="8" a="1"/>
  <c r="E62" i="8" s="1"/>
  <c r="H58" i="8" a="1"/>
  <c r="H58" i="8" s="1"/>
  <c r="E58" i="8" a="1"/>
  <c r="E58" i="8" s="1"/>
  <c r="H54" i="8" a="1"/>
  <c r="H54" i="8" s="1"/>
  <c r="E54" i="8" a="1"/>
  <c r="E54" i="8" s="1"/>
  <c r="H50" i="8" a="1"/>
  <c r="H50" i="8" s="1"/>
  <c r="E50" i="8" a="1"/>
  <c r="E50" i="8" s="1"/>
  <c r="H43" i="8" a="1"/>
  <c r="H43" i="8" s="1"/>
  <c r="E43" i="8" a="1"/>
  <c r="E43" i="8" s="1"/>
  <c r="AA37" i="8" a="1"/>
  <c r="AA37" i="8" s="1"/>
  <c r="W37" i="8" a="1"/>
  <c r="W37" i="8" s="1"/>
  <c r="AF228" i="8" a="1"/>
  <c r="AF228" i="8" s="1"/>
  <c r="AC228" i="8" a="1"/>
  <c r="AC228" i="8" s="1"/>
  <c r="H170" i="8" a="1"/>
  <c r="H170" i="8" s="1"/>
  <c r="E170" i="8" a="1"/>
  <c r="E170" i="8" s="1"/>
  <c r="X182" i="8" a="1"/>
  <c r="X182" i="8" s="1"/>
  <c r="U182" i="8" a="1"/>
  <c r="U182" i="8" s="1"/>
  <c r="AF180" i="8" a="1"/>
  <c r="AF180" i="8" s="1"/>
  <c r="AC180" i="8" a="1"/>
  <c r="AC180" i="8" s="1"/>
  <c r="P172" i="8" a="1"/>
  <c r="P172" i="8" s="1"/>
  <c r="M172" i="8" a="1"/>
  <c r="M172" i="8" s="1"/>
  <c r="T162" i="8" a="1"/>
  <c r="T162" i="8" s="1"/>
  <c r="Q162" i="8" a="1"/>
  <c r="Q162" i="8" s="1"/>
  <c r="P148" i="8" a="1"/>
  <c r="P148" i="8" s="1"/>
  <c r="M148" i="8" a="1"/>
  <c r="M148" i="8" s="1"/>
  <c r="T142" i="8" a="1"/>
  <c r="T142" i="8" s="1"/>
  <c r="Q142" i="8" a="1"/>
  <c r="Q142" i="8" s="1"/>
  <c r="T159" i="8" a="1"/>
  <c r="T159" i="8" s="1"/>
  <c r="Q159" i="8" a="1"/>
  <c r="Q159" i="8" s="1"/>
  <c r="T125" i="8" a="1"/>
  <c r="T125" i="8" s="1"/>
  <c r="Q125" i="8" a="1"/>
  <c r="Q125" i="8" s="1"/>
  <c r="H124" i="8" a="1"/>
  <c r="H124" i="8" s="1"/>
  <c r="E124" i="8" a="1"/>
  <c r="E124" i="8" s="1"/>
  <c r="T127" i="8" a="1"/>
  <c r="T127" i="8" s="1"/>
  <c r="Q127" i="8" a="1"/>
  <c r="Q127" i="8" s="1"/>
  <c r="L121" i="8" a="1"/>
  <c r="L121" i="8" s="1"/>
  <c r="I121" i="8" a="1"/>
  <c r="I121" i="8" s="1"/>
  <c r="P130" i="8" a="1"/>
  <c r="P130" i="8" s="1"/>
  <c r="M130" i="8" a="1"/>
  <c r="M130" i="8" s="1"/>
  <c r="H84" i="8" a="1"/>
  <c r="H84" i="8" s="1"/>
  <c r="E84" i="8" a="1"/>
  <c r="E84" i="8" s="1"/>
  <c r="L99" i="8" a="1"/>
  <c r="L99" i="8" s="1"/>
  <c r="I99" i="8" a="1"/>
  <c r="I99" i="8" s="1"/>
  <c r="T72" i="8" a="1"/>
  <c r="T72" i="8" s="1"/>
  <c r="Q72" i="8" a="1"/>
  <c r="Q72" i="8" s="1"/>
  <c r="T71" i="8" a="1"/>
  <c r="T71" i="8" s="1"/>
  <c r="Q71" i="8" a="1"/>
  <c r="Q71" i="8" s="1"/>
  <c r="T67" i="8" a="1"/>
  <c r="T67" i="8" s="1"/>
  <c r="Q67" i="8" a="1"/>
  <c r="Q67" i="8" s="1"/>
  <c r="T63" i="8" a="1"/>
  <c r="T63" i="8" s="1"/>
  <c r="Q63" i="8" a="1"/>
  <c r="Q63" i="8" s="1"/>
  <c r="P73" i="8" a="1"/>
  <c r="P73" i="8" s="1"/>
  <c r="M73" i="8" a="1"/>
  <c r="M73" i="8" s="1"/>
  <c r="H69" i="8" a="1"/>
  <c r="H69" i="8" s="1"/>
  <c r="E69" i="8" a="1"/>
  <c r="E69" i="8" s="1"/>
  <c r="H65" i="8" a="1"/>
  <c r="H65" i="8" s="1"/>
  <c r="E65" i="8" a="1"/>
  <c r="E65" i="8" s="1"/>
  <c r="H61" i="8" a="1"/>
  <c r="H61" i="8" s="1"/>
  <c r="E61" i="8" a="1"/>
  <c r="E61" i="8" s="1"/>
  <c r="H57" i="8" a="1"/>
  <c r="H57" i="8" s="1"/>
  <c r="E57" i="8" a="1"/>
  <c r="E57" i="8" s="1"/>
  <c r="H53" i="8" a="1"/>
  <c r="H53" i="8" s="1"/>
  <c r="E53" i="8" a="1"/>
  <c r="E53" i="8" s="1"/>
  <c r="H47" i="8" a="1"/>
  <c r="H47" i="8" s="1"/>
  <c r="E47" i="8" a="1"/>
  <c r="E47" i="8" s="1"/>
  <c r="L37" i="8" a="1"/>
  <c r="L37" i="8" s="1"/>
  <c r="I37" i="8" a="1"/>
  <c r="I37" i="8" s="1"/>
  <c r="E21" i="8" a="1"/>
  <c r="E21" i="8" s="1"/>
  <c r="H46" i="8" a="1"/>
  <c r="H46" i="8" s="1"/>
  <c r="E46" i="8" a="1"/>
  <c r="E46" i="8" s="1"/>
  <c r="Q34" i="8" a="1"/>
  <c r="Q34" i="8" s="1"/>
  <c r="W204" i="8" a="1"/>
  <c r="W204" i="8" s="1"/>
  <c r="H166" i="8" a="1"/>
  <c r="H166" i="8" s="1"/>
  <c r="E166" i="8" a="1"/>
  <c r="E166" i="8" s="1"/>
  <c r="AB180" i="8" a="1"/>
  <c r="AB180" i="8" s="1"/>
  <c r="Y180" i="8" a="1"/>
  <c r="Y180" i="8" s="1"/>
  <c r="AJ180" i="8" a="1"/>
  <c r="AJ180" i="8" s="1"/>
  <c r="AG180" i="8" a="1"/>
  <c r="AG180" i="8" s="1"/>
  <c r="P156" i="8" a="1"/>
  <c r="P156" i="8" s="1"/>
  <c r="M156" i="8" a="1"/>
  <c r="M156" i="8" s="1"/>
  <c r="P147" i="8" a="1"/>
  <c r="P147" i="8" s="1"/>
  <c r="M147" i="8" a="1"/>
  <c r="M147" i="8" s="1"/>
  <c r="H142" i="8" a="1"/>
  <c r="H142" i="8" s="1"/>
  <c r="E142" i="8" a="1"/>
  <c r="E142" i="8" s="1"/>
  <c r="P133" i="8" a="1"/>
  <c r="P133" i="8" s="1"/>
  <c r="M133" i="8" a="1"/>
  <c r="M133" i="8" s="1"/>
  <c r="T128" i="8" a="1"/>
  <c r="T128" i="8" s="1"/>
  <c r="Q128" i="8" a="1"/>
  <c r="Q128" i="8" s="1"/>
  <c r="H123" i="8" a="1"/>
  <c r="H123" i="8" s="1"/>
  <c r="E123" i="8" a="1"/>
  <c r="E123" i="8" s="1"/>
  <c r="T134" i="8" a="1"/>
  <c r="T134" i="8" s="1"/>
  <c r="Q134" i="8" a="1"/>
  <c r="Q134" i="8" s="1"/>
  <c r="T112" i="8" a="1"/>
  <c r="T112" i="8" s="1"/>
  <c r="Q112" i="8" a="1"/>
  <c r="Q112" i="8" s="1"/>
  <c r="H83" i="8" a="1"/>
  <c r="H83" i="8" s="1"/>
  <c r="E83" i="8" a="1"/>
  <c r="E83" i="8" s="1"/>
  <c r="L104" i="8" a="1"/>
  <c r="L104" i="8" s="1"/>
  <c r="I104" i="8" a="1"/>
  <c r="I104" i="8" s="1"/>
  <c r="L98" i="8" a="1"/>
  <c r="L98" i="8" s="1"/>
  <c r="I98" i="8" a="1"/>
  <c r="I98" i="8" s="1"/>
  <c r="T108" i="8" a="1"/>
  <c r="T108" i="8" s="1"/>
  <c r="Q108" i="8" a="1"/>
  <c r="Q108" i="8" s="1"/>
  <c r="L79" i="8" a="1"/>
  <c r="L79" i="8" s="1"/>
  <c r="I79" i="8" a="1"/>
  <c r="I79" i="8" s="1"/>
  <c r="P71" i="8" a="1"/>
  <c r="P71" i="8" s="1"/>
  <c r="M71" i="8" a="1"/>
  <c r="M71" i="8" s="1"/>
  <c r="T70" i="8" a="1"/>
  <c r="T70" i="8" s="1"/>
  <c r="Q70" i="8" a="1"/>
  <c r="Q70" i="8" s="1"/>
  <c r="T66" i="8" a="1"/>
  <c r="T66" i="8" s="1"/>
  <c r="Q66" i="8" a="1"/>
  <c r="Q66" i="8" s="1"/>
  <c r="T62" i="8" a="1"/>
  <c r="T62" i="8" s="1"/>
  <c r="Q62" i="8" a="1"/>
  <c r="Q62" i="8" s="1"/>
  <c r="T73" i="8" a="1"/>
  <c r="T73" i="8" s="1"/>
  <c r="Q73" i="8" a="1"/>
  <c r="Q73" i="8" s="1"/>
  <c r="H68" i="8" a="1"/>
  <c r="H68" i="8" s="1"/>
  <c r="E68" i="8" a="1"/>
  <c r="E68" i="8" s="1"/>
  <c r="H64" i="8" a="1"/>
  <c r="H64" i="8" s="1"/>
  <c r="E64" i="8" a="1"/>
  <c r="E64" i="8" s="1"/>
  <c r="H60" i="8" a="1"/>
  <c r="H60" i="8" s="1"/>
  <c r="E60" i="8" a="1"/>
  <c r="E60" i="8" s="1"/>
  <c r="H56" i="8" a="1"/>
  <c r="H56" i="8" s="1"/>
  <c r="E56" i="8" a="1"/>
  <c r="E56" i="8" s="1"/>
  <c r="H52" i="8" a="1"/>
  <c r="H52" i="8" s="1"/>
  <c r="E52" i="8" a="1"/>
  <c r="E52" i="8" s="1"/>
  <c r="F11" i="8" a="1"/>
  <c r="F11" i="8" s="1"/>
  <c r="L41" i="8" a="1"/>
  <c r="L41" i="8" s="1"/>
  <c r="I41" i="8" a="1"/>
  <c r="I41" i="8" s="1"/>
  <c r="H49" i="8" a="1"/>
  <c r="H49" i="8" s="1"/>
  <c r="E49" i="8" a="1"/>
  <c r="E49" i="8" s="1"/>
  <c r="H45" i="8" a="1"/>
  <c r="H45" i="8" s="1"/>
  <c r="E45" i="8" a="1"/>
  <c r="E45" i="8" s="1"/>
  <c r="AI44" i="8" a="1"/>
  <c r="AI44" i="8" s="1"/>
  <c r="Z36" i="8" a="1"/>
  <c r="Z36" i="8" s="1"/>
  <c r="AB228" i="8" a="1"/>
  <c r="AB228" i="8" s="1"/>
  <c r="Y228" i="8" a="1"/>
  <c r="Y228" i="8" s="1"/>
  <c r="T175" i="8" a="1"/>
  <c r="T175" i="8" s="1"/>
  <c r="Q175" i="8" a="1"/>
  <c r="Q175" i="8" s="1"/>
  <c r="P177" i="8" a="1"/>
  <c r="P177" i="8" s="1"/>
  <c r="M177" i="8" a="1"/>
  <c r="M177" i="8" s="1"/>
  <c r="P173" i="8" a="1"/>
  <c r="P173" i="8" s="1"/>
  <c r="M173" i="8" a="1"/>
  <c r="M173" i="8" s="1"/>
  <c r="P165" i="8" a="1"/>
  <c r="P165" i="8" s="1"/>
  <c r="M165" i="8" a="1"/>
  <c r="M165" i="8" s="1"/>
  <c r="P162" i="8" a="1"/>
  <c r="P162" i="8" s="1"/>
  <c r="M162" i="8" a="1"/>
  <c r="M162" i="8" s="1"/>
  <c r="H155" i="8" a="1"/>
  <c r="H155" i="8" s="1"/>
  <c r="E155" i="8" a="1"/>
  <c r="E155" i="8" s="1"/>
  <c r="H147" i="8" a="1"/>
  <c r="H147" i="8" s="1"/>
  <c r="E147" i="8" a="1"/>
  <c r="E147" i="8" s="1"/>
  <c r="P159" i="8" a="1"/>
  <c r="P159" i="8" s="1"/>
  <c r="M159" i="8" a="1"/>
  <c r="M159" i="8" s="1"/>
  <c r="P137" i="8" a="1"/>
  <c r="P137" i="8" s="1"/>
  <c r="M137" i="8" a="1"/>
  <c r="M137" i="8" s="1"/>
  <c r="H127" i="8" a="1"/>
  <c r="H127" i="8" s="1"/>
  <c r="E127" i="8" a="1"/>
  <c r="E127" i="8" s="1"/>
  <c r="P134" i="8" a="1"/>
  <c r="P134" i="8" s="1"/>
  <c r="M134" i="8" a="1"/>
  <c r="M134" i="8" s="1"/>
  <c r="H129" i="8" a="1"/>
  <c r="H129" i="8" s="1"/>
  <c r="E129" i="8" a="1"/>
  <c r="E129" i="8" s="1"/>
  <c r="L119" i="8" a="1"/>
  <c r="L119" i="8" s="1"/>
  <c r="I119" i="8" a="1"/>
  <c r="I119" i="8" s="1"/>
  <c r="T126" i="8" a="1"/>
  <c r="T126" i="8" s="1"/>
  <c r="Q126" i="8" a="1"/>
  <c r="Q126" i="8" s="1"/>
  <c r="T111" i="8" a="1"/>
  <c r="T111" i="8" s="1"/>
  <c r="Q111" i="8" a="1"/>
  <c r="Q111" i="8" s="1"/>
  <c r="H82" i="8" a="1"/>
  <c r="H82" i="8" s="1"/>
  <c r="E82" i="8" a="1"/>
  <c r="E82" i="8" s="1"/>
  <c r="L97" i="8" a="1"/>
  <c r="L97" i="8" s="1"/>
  <c r="I97" i="8" a="1"/>
  <c r="I97" i="8" s="1"/>
  <c r="T110" i="8" a="1"/>
  <c r="T110" i="8" s="1"/>
  <c r="Q110" i="8" a="1"/>
  <c r="Q110" i="8" s="1"/>
  <c r="L72" i="8" a="1"/>
  <c r="L72" i="8" s="1"/>
  <c r="I72" i="8" a="1"/>
  <c r="I72" i="8" s="1"/>
  <c r="P70" i="8" a="1"/>
  <c r="P70" i="8" s="1"/>
  <c r="M70" i="8" a="1"/>
  <c r="M70" i="8" s="1"/>
  <c r="T69" i="8" a="1"/>
  <c r="T69" i="8" s="1"/>
  <c r="Q69" i="8" a="1"/>
  <c r="Q69" i="8" s="1"/>
  <c r="T65" i="8" a="1"/>
  <c r="T65" i="8" s="1"/>
  <c r="Q65" i="8" a="1"/>
  <c r="Q65" i="8" s="1"/>
  <c r="T61" i="8" a="1"/>
  <c r="T61" i="8" s="1"/>
  <c r="Q61" i="8" a="1"/>
  <c r="Q61" i="8" s="1"/>
  <c r="H71" i="8" a="1"/>
  <c r="H71" i="8" s="1"/>
  <c r="E71" i="8" a="1"/>
  <c r="E71" i="8" s="1"/>
  <c r="H67" i="8" a="1"/>
  <c r="H67" i="8" s="1"/>
  <c r="E67" i="8" a="1"/>
  <c r="E67" i="8" s="1"/>
  <c r="H63" i="8" a="1"/>
  <c r="H63" i="8" s="1"/>
  <c r="E63" i="8" a="1"/>
  <c r="E63" i="8" s="1"/>
  <c r="H59" i="8" a="1"/>
  <c r="H59" i="8" s="1"/>
  <c r="E59" i="8" a="1"/>
  <c r="E59" i="8" s="1"/>
  <c r="H55" i="8" a="1"/>
  <c r="H55" i="8" s="1"/>
  <c r="E55" i="8" a="1"/>
  <c r="E55" i="8" s="1"/>
  <c r="H51" i="8" a="1"/>
  <c r="H51" i="8" s="1"/>
  <c r="E51" i="8" a="1"/>
  <c r="E51" i="8" s="1"/>
  <c r="H48" i="8" a="1"/>
  <c r="H48" i="8" s="1"/>
  <c r="E48" i="8" a="1"/>
  <c r="E48" i="8" s="1"/>
  <c r="H44" i="8" a="1"/>
  <c r="H44" i="8" s="1"/>
  <c r="E44" i="8" a="1"/>
  <c r="E44" i="8" s="1"/>
  <c r="AD35" i="8" a="1"/>
  <c r="AD35" i="8" s="1"/>
  <c r="M31" i="8" a="1"/>
  <c r="M31" i="8" s="1"/>
  <c r="AE36" i="8" a="1"/>
  <c r="AE36" i="8" s="1"/>
  <c r="P168" i="8" a="1"/>
  <c r="P168" i="8" s="1"/>
  <c r="M168" i="8" a="1"/>
  <c r="M168" i="8" s="1"/>
  <c r="T152" i="8" a="1"/>
  <c r="T152" i="8" s="1"/>
  <c r="Q152" i="8" a="1"/>
  <c r="Q152" i="8" s="1"/>
  <c r="T148" i="8" a="1"/>
  <c r="T148" i="8" s="1"/>
  <c r="Q148" i="8" a="1"/>
  <c r="Q148" i="8" s="1"/>
  <c r="H161" i="8" a="1"/>
  <c r="H161" i="8" s="1"/>
  <c r="E161" i="8" a="1"/>
  <c r="E161" i="8" s="1"/>
  <c r="H144" i="8" a="1"/>
  <c r="H144" i="8" s="1"/>
  <c r="E144" i="8" a="1"/>
  <c r="E144" i="8" s="1"/>
  <c r="H141" i="8" a="1"/>
  <c r="H141" i="8" s="1"/>
  <c r="E141" i="8" a="1"/>
  <c r="E141" i="8" s="1"/>
  <c r="H130" i="8" a="1"/>
  <c r="H130" i="8" s="1"/>
  <c r="E130" i="8" a="1"/>
  <c r="E130" i="8" s="1"/>
  <c r="T131" i="8" a="1"/>
  <c r="T131" i="8" s="1"/>
  <c r="Q131" i="8" a="1"/>
  <c r="Q131" i="8" s="1"/>
  <c r="L128" i="8" a="1"/>
  <c r="L128" i="8" s="1"/>
  <c r="I128" i="8" a="1"/>
  <c r="I128" i="8" s="1"/>
  <c r="L124" i="8" a="1"/>
  <c r="L124" i="8" s="1"/>
  <c r="I124" i="8" a="1"/>
  <c r="I124" i="8" s="1"/>
  <c r="T136" i="8" a="1"/>
  <c r="T136" i="8" s="1"/>
  <c r="Q136" i="8" a="1"/>
  <c r="Q136" i="8" s="1"/>
  <c r="H132" i="8" a="1"/>
  <c r="H132" i="8" s="1"/>
  <c r="E132" i="8" a="1"/>
  <c r="E132" i="8" s="1"/>
  <c r="P127" i="8" a="1"/>
  <c r="P127" i="8" s="1"/>
  <c r="M127" i="8" a="1"/>
  <c r="M127" i="8" s="1"/>
  <c r="P123" i="8" a="1"/>
  <c r="P123" i="8" s="1"/>
  <c r="M123" i="8" a="1"/>
  <c r="M123" i="8" s="1"/>
  <c r="T140" i="8" a="1"/>
  <c r="T140" i="8" s="1"/>
  <c r="Q140" i="8" a="1"/>
  <c r="Q140" i="8" s="1"/>
  <c r="P121" i="8" a="1"/>
  <c r="P121" i="8" s="1"/>
  <c r="M121" i="8" a="1"/>
  <c r="M121" i="8" s="1"/>
  <c r="H119" i="8" a="1"/>
  <c r="H119" i="8" s="1"/>
  <c r="E119" i="8" a="1"/>
  <c r="E119" i="8" s="1"/>
  <c r="T118" i="8" a="1"/>
  <c r="T118" i="8" s="1"/>
  <c r="Q118" i="8" a="1"/>
  <c r="Q118" i="8" s="1"/>
  <c r="H114" i="8" a="1"/>
  <c r="H114" i="8" s="1"/>
  <c r="E114" i="8" a="1"/>
  <c r="E114" i="8" s="1"/>
  <c r="H110" i="8" a="1"/>
  <c r="H110" i="8" s="1"/>
  <c r="E110" i="8" a="1"/>
  <c r="E110" i="8" s="1"/>
  <c r="H106" i="8" a="1"/>
  <c r="H106" i="8" s="1"/>
  <c r="E106" i="8" a="1"/>
  <c r="E106" i="8" s="1"/>
  <c r="L122" i="8" a="1"/>
  <c r="L122" i="8" s="1"/>
  <c r="I122" i="8" a="1"/>
  <c r="I122" i="8" s="1"/>
  <c r="L117" i="8" a="1"/>
  <c r="L117" i="8" s="1"/>
  <c r="I117" i="8" a="1"/>
  <c r="I117" i="8" s="1"/>
  <c r="L113" i="8" a="1"/>
  <c r="L113" i="8" s="1"/>
  <c r="I113" i="8" a="1"/>
  <c r="I113" i="8" s="1"/>
  <c r="L109" i="8" a="1"/>
  <c r="L109" i="8" s="1"/>
  <c r="I109" i="8" a="1"/>
  <c r="I109" i="8" s="1"/>
  <c r="P118" i="8" a="1"/>
  <c r="P118" i="8" s="1"/>
  <c r="M118" i="8" a="1"/>
  <c r="M118" i="8" s="1"/>
  <c r="P115" i="8" a="1"/>
  <c r="P115" i="8" s="1"/>
  <c r="M115" i="8" a="1"/>
  <c r="M115" i="8" s="1"/>
  <c r="P111" i="8" a="1"/>
  <c r="P111" i="8" s="1"/>
  <c r="M111" i="8" a="1"/>
  <c r="M111" i="8" s="1"/>
  <c r="P107" i="8" a="1"/>
  <c r="P107" i="8" s="1"/>
  <c r="M107" i="8" a="1"/>
  <c r="M107" i="8" s="1"/>
  <c r="P104" i="8" a="1"/>
  <c r="P104" i="8" s="1"/>
  <c r="M104" i="8" a="1"/>
  <c r="M104" i="8" s="1"/>
  <c r="P100" i="8" a="1"/>
  <c r="P100" i="8" s="1"/>
  <c r="M100" i="8" a="1"/>
  <c r="M100" i="8" s="1"/>
  <c r="H98" i="8" a="1"/>
  <c r="H98" i="8" s="1"/>
  <c r="E98" i="8" a="1"/>
  <c r="E98" i="8" s="1"/>
  <c r="H105" i="8" a="1"/>
  <c r="H105" i="8" s="1"/>
  <c r="E105" i="8" a="1"/>
  <c r="E105" i="8" s="1"/>
  <c r="H101" i="8" a="1"/>
  <c r="H101" i="8" s="1"/>
  <c r="E101" i="8" a="1"/>
  <c r="E101" i="8" s="1"/>
  <c r="L93" i="8" a="1"/>
  <c r="L93" i="8" s="1"/>
  <c r="I93" i="8" a="1"/>
  <c r="I93" i="8" s="1"/>
  <c r="L89" i="8" a="1"/>
  <c r="L89" i="8" s="1"/>
  <c r="I89" i="8" a="1"/>
  <c r="I89" i="8" s="1"/>
  <c r="L85" i="8" a="1"/>
  <c r="L85" i="8" s="1"/>
  <c r="I85" i="8" a="1"/>
  <c r="I85" i="8" s="1"/>
  <c r="L81" i="8" a="1"/>
  <c r="L81" i="8" s="1"/>
  <c r="I81" i="8" a="1"/>
  <c r="I81" i="8" s="1"/>
  <c r="P95" i="8" a="1"/>
  <c r="P95" i="8" s="1"/>
  <c r="M95" i="8" a="1"/>
  <c r="M95" i="8" s="1"/>
  <c r="P91" i="8" a="1"/>
  <c r="P91" i="8" s="1"/>
  <c r="M91" i="8" a="1"/>
  <c r="M91" i="8" s="1"/>
  <c r="P87" i="8" a="1"/>
  <c r="P87" i="8" s="1"/>
  <c r="M87" i="8" a="1"/>
  <c r="M87" i="8" s="1"/>
  <c r="P83" i="8" a="1"/>
  <c r="P83" i="8" s="1"/>
  <c r="M83" i="8" a="1"/>
  <c r="M83" i="8" s="1"/>
  <c r="H103" i="8" a="1"/>
  <c r="H103" i="8" s="1"/>
  <c r="E103" i="8" a="1"/>
  <c r="E103" i="8" s="1"/>
  <c r="T99" i="8" a="1"/>
  <c r="T99" i="8" s="1"/>
  <c r="Q99" i="8" a="1"/>
  <c r="Q99" i="8" s="1"/>
  <c r="T95" i="8" a="1"/>
  <c r="T95" i="8" s="1"/>
  <c r="Q95" i="8" a="1"/>
  <c r="Q95" i="8" s="1"/>
  <c r="T91" i="8" a="1"/>
  <c r="T91" i="8" s="1"/>
  <c r="Q91" i="8" a="1"/>
  <c r="Q91" i="8" s="1"/>
  <c r="T87" i="8" a="1"/>
  <c r="T87" i="8" s="1"/>
  <c r="Q87" i="8" a="1"/>
  <c r="Q87" i="8" s="1"/>
  <c r="T83" i="8" a="1"/>
  <c r="T83" i="8" s="1"/>
  <c r="Q83" i="8" a="1"/>
  <c r="Q83" i="8" s="1"/>
  <c r="P79" i="8" a="1"/>
  <c r="P79" i="8" s="1"/>
  <c r="M79" i="8" a="1"/>
  <c r="M79" i="8" s="1"/>
  <c r="H75" i="8" a="1"/>
  <c r="H75" i="8" s="1"/>
  <c r="E75" i="8" a="1"/>
  <c r="E75" i="8" s="1"/>
  <c r="H80" i="8" a="1"/>
  <c r="H80" i="8" s="1"/>
  <c r="E80" i="8" a="1"/>
  <c r="E80" i="8" s="1"/>
  <c r="H76" i="8" a="1"/>
  <c r="H76" i="8" s="1"/>
  <c r="E76" i="8" a="1"/>
  <c r="E76" i="8" s="1"/>
  <c r="L64" i="8" a="1"/>
  <c r="L64" i="8" s="1"/>
  <c r="I64" i="8" a="1"/>
  <c r="I64" i="8" s="1"/>
  <c r="L60" i="8" a="1"/>
  <c r="L60" i="8" s="1"/>
  <c r="I60" i="8" a="1"/>
  <c r="I60" i="8" s="1"/>
  <c r="L56" i="8" a="1"/>
  <c r="L56" i="8" s="1"/>
  <c r="I56" i="8" a="1"/>
  <c r="I56" i="8" s="1"/>
  <c r="L52" i="8" a="1"/>
  <c r="L52" i="8" s="1"/>
  <c r="I52" i="8" a="1"/>
  <c r="I52" i="8" s="1"/>
  <c r="L48" i="8" a="1"/>
  <c r="L48" i="8" s="1"/>
  <c r="I48" i="8" a="1"/>
  <c r="I48" i="8" s="1"/>
  <c r="L44" i="8" a="1"/>
  <c r="L44" i="8" s="1"/>
  <c r="I44" i="8" a="1"/>
  <c r="I44" i="8" s="1"/>
  <c r="P77" i="8" a="1"/>
  <c r="P77" i="8" s="1"/>
  <c r="M77" i="8" a="1"/>
  <c r="M77" i="8" s="1"/>
  <c r="P67" i="8" a="1"/>
  <c r="P67" i="8" s="1"/>
  <c r="M67" i="8" a="1"/>
  <c r="M67" i="8" s="1"/>
  <c r="P63" i="8" a="1"/>
  <c r="P63" i="8" s="1"/>
  <c r="M63" i="8" a="1"/>
  <c r="M63" i="8" s="1"/>
  <c r="P59" i="8" a="1"/>
  <c r="P59" i="8" s="1"/>
  <c r="M59" i="8" a="1"/>
  <c r="M59" i="8" s="1"/>
  <c r="P55" i="8" a="1"/>
  <c r="P55" i="8" s="1"/>
  <c r="M55" i="8" a="1"/>
  <c r="M55" i="8" s="1"/>
  <c r="P51" i="8" a="1"/>
  <c r="P51" i="8" s="1"/>
  <c r="M51" i="8" a="1"/>
  <c r="M51" i="8" s="1"/>
  <c r="P47" i="8" a="1"/>
  <c r="P47" i="8" s="1"/>
  <c r="M47" i="8" a="1"/>
  <c r="M47" i="8" s="1"/>
  <c r="P43" i="8" a="1"/>
  <c r="P43" i="8" s="1"/>
  <c r="M43" i="8" a="1"/>
  <c r="M43" i="8" s="1"/>
  <c r="U83" i="8" a="1"/>
  <c r="U83" i="8" s="1"/>
  <c r="P78" i="8" a="1"/>
  <c r="P78" i="8" s="1"/>
  <c r="M78" i="8" a="1"/>
  <c r="M78" i="8" s="1"/>
  <c r="T59" i="8" a="1"/>
  <c r="T59" i="8" s="1"/>
  <c r="Q59" i="8" a="1"/>
  <c r="Q59" i="8" s="1"/>
  <c r="T55" i="8" a="1"/>
  <c r="T55" i="8" s="1"/>
  <c r="Q55" i="8" a="1"/>
  <c r="Q55" i="8" s="1"/>
  <c r="T51" i="8" a="1"/>
  <c r="T51" i="8" s="1"/>
  <c r="Q51" i="8" a="1"/>
  <c r="Q51" i="8" s="1"/>
  <c r="T47" i="8" a="1"/>
  <c r="T47" i="8" s="1"/>
  <c r="Q47" i="8" a="1"/>
  <c r="Q47" i="8" s="1"/>
  <c r="T43" i="8" a="1"/>
  <c r="T43" i="8" s="1"/>
  <c r="Q43" i="8" a="1"/>
  <c r="Q43" i="8" s="1"/>
  <c r="L38" i="8" a="1"/>
  <c r="L38" i="8" s="1"/>
  <c r="I38" i="8" a="1"/>
  <c r="I38" i="8" s="1"/>
  <c r="M33" i="8" a="1"/>
  <c r="M33" i="8" s="1"/>
  <c r="M30" i="8" a="1"/>
  <c r="M30" i="8" s="1"/>
  <c r="M29" i="8" a="1"/>
  <c r="M29" i="8" s="1"/>
  <c r="M24" i="8" a="1"/>
  <c r="M24" i="8" s="1"/>
  <c r="M20" i="8" a="1"/>
  <c r="M20" i="8" s="1"/>
  <c r="M16" i="8" a="1"/>
  <c r="M16" i="8" s="1"/>
  <c r="M12" i="8" a="1"/>
  <c r="M12" i="8" s="1"/>
  <c r="M34" i="8" a="1"/>
  <c r="M34" i="8" s="1"/>
  <c r="M15" i="8" a="1"/>
  <c r="M15" i="8" s="1"/>
  <c r="M11" i="8" a="1"/>
  <c r="M11" i="8" s="1"/>
  <c r="M23" i="8" a="1"/>
  <c r="M23" i="8" s="1"/>
  <c r="M19" i="8" a="1"/>
  <c r="M19" i="8" s="1"/>
  <c r="M27" i="8" a="1"/>
  <c r="M27" i="8" s="1"/>
  <c r="X58" i="8" a="1"/>
  <c r="X58" i="8" s="1"/>
  <c r="U58" i="8" a="1"/>
  <c r="U58" i="8" s="1"/>
  <c r="H42" i="8" a="1"/>
  <c r="H42" i="8" s="1"/>
  <c r="E42" i="8" a="1"/>
  <c r="E42" i="8" s="1"/>
  <c r="T36" i="8" a="1"/>
  <c r="T36" i="8" s="1"/>
  <c r="Q36" i="8" a="1"/>
  <c r="Q36" i="8" s="1"/>
  <c r="T39" i="8" a="1"/>
  <c r="T39" i="8" s="1"/>
  <c r="Q39" i="8" a="1"/>
  <c r="Q39" i="8" s="1"/>
  <c r="P40" i="8" a="1"/>
  <c r="P40" i="8" s="1"/>
  <c r="M40" i="8" a="1"/>
  <c r="M40" i="8" s="1"/>
  <c r="Q31" i="8" a="1"/>
  <c r="Q31" i="8" s="1"/>
  <c r="E28" i="8" a="1"/>
  <c r="E28" i="8" s="1"/>
  <c r="Q27" i="8" a="1"/>
  <c r="Q27" i="8" s="1"/>
  <c r="Q33" i="8" a="1"/>
  <c r="Q33" i="8" s="1"/>
  <c r="Q35" i="8" a="1"/>
  <c r="Q35" i="8" s="1"/>
  <c r="Q24" i="8" a="1"/>
  <c r="Q24" i="8" s="1"/>
  <c r="Q19" i="8" a="1"/>
  <c r="Q19" i="8" s="1"/>
  <c r="Q20" i="8" a="1"/>
  <c r="Q20" i="8" s="1"/>
  <c r="Q15" i="8" a="1"/>
  <c r="Q15" i="8" s="1"/>
  <c r="Q30" i="8" a="1"/>
  <c r="Q30" i="8" s="1"/>
  <c r="Q29" i="8" a="1"/>
  <c r="Q29" i="8" s="1"/>
  <c r="Q16" i="8" a="1"/>
  <c r="Q16" i="8" s="1"/>
  <c r="Q23" i="8" a="1"/>
  <c r="Q23" i="8" s="1"/>
  <c r="Q12" i="8" a="1"/>
  <c r="Q12" i="8" s="1"/>
  <c r="P35" i="8" a="1"/>
  <c r="P35" i="8" s="1"/>
  <c r="M35" i="8" a="1"/>
  <c r="M35" i="8" s="1"/>
  <c r="I22" i="8" a="1"/>
  <c r="I22" i="8" s="1"/>
  <c r="I17" i="8" a="1"/>
  <c r="I17" i="8" s="1"/>
  <c r="M21" i="8" a="1"/>
  <c r="M21" i="8" s="1"/>
  <c r="Q18" i="8" a="1"/>
  <c r="Q18" i="8" s="1"/>
  <c r="J10" i="8" a="1"/>
  <c r="J10" i="8" s="1"/>
  <c r="I25" i="8" a="1"/>
  <c r="I25" i="8" s="1"/>
  <c r="M17" i="8" a="1"/>
  <c r="M17" i="8" s="1"/>
  <c r="Q14" i="8" a="1"/>
  <c r="Q14" i="8" s="1"/>
  <c r="AH12" i="8" a="1"/>
  <c r="AH12" i="8" s="1"/>
  <c r="I15" i="8" a="1"/>
  <c r="I15" i="8" s="1"/>
  <c r="I33" i="8" a="1"/>
  <c r="I33" i="8" s="1"/>
  <c r="Q32" i="8" a="1"/>
  <c r="Q32" i="8" s="1"/>
  <c r="I26" i="8" a="1"/>
  <c r="I26" i="8" s="1"/>
  <c r="K10" i="8" a="1"/>
  <c r="K10" i="8" s="1"/>
  <c r="T169" i="8" a="1"/>
  <c r="T169" i="8" s="1"/>
  <c r="Q169" i="8" a="1"/>
  <c r="Q169" i="8" s="1"/>
  <c r="T160" i="8" a="1"/>
  <c r="T160" i="8" s="1"/>
  <c r="Q160" i="8" a="1"/>
  <c r="Q160" i="8" s="1"/>
  <c r="X229" i="8" a="1"/>
  <c r="X229" i="8" s="1"/>
  <c r="U229" i="8" a="1"/>
  <c r="U229" i="8" s="1"/>
  <c r="T177" i="8" a="1"/>
  <c r="T177" i="8" s="1"/>
  <c r="Q177" i="8" a="1"/>
  <c r="Q177" i="8" s="1"/>
  <c r="H173" i="8" a="1"/>
  <c r="H173" i="8" s="1"/>
  <c r="E173" i="8" a="1"/>
  <c r="E173" i="8" s="1"/>
  <c r="P169" i="8" a="1"/>
  <c r="P169" i="8" s="1"/>
  <c r="M169" i="8" a="1"/>
  <c r="M169" i="8" s="1"/>
  <c r="H164" i="8" a="1"/>
  <c r="H164" i="8" s="1"/>
  <c r="E164" i="8" a="1"/>
  <c r="E164" i="8" s="1"/>
  <c r="H163" i="8" a="1"/>
  <c r="H163" i="8" s="1"/>
  <c r="E163" i="8" a="1"/>
  <c r="E163" i="8" s="1"/>
  <c r="H160" i="8" a="1"/>
  <c r="H160" i="8" s="1"/>
  <c r="E160" i="8" a="1"/>
  <c r="E160" i="8" s="1"/>
  <c r="H156" i="8" a="1"/>
  <c r="H156" i="8" s="1"/>
  <c r="E156" i="8" a="1"/>
  <c r="E156" i="8" s="1"/>
  <c r="H152" i="8" a="1"/>
  <c r="H152" i="8" s="1"/>
  <c r="E152" i="8" a="1"/>
  <c r="E152" i="8" s="1"/>
  <c r="H148" i="8" a="1"/>
  <c r="H148" i="8" s="1"/>
  <c r="E148" i="8" a="1"/>
  <c r="E148" i="8" s="1"/>
  <c r="T149" i="8" a="1"/>
  <c r="T149" i="8" s="1"/>
  <c r="Q149" i="8" a="1"/>
  <c r="Q149" i="8" s="1"/>
  <c r="T144" i="8" a="1"/>
  <c r="T144" i="8" s="1"/>
  <c r="Q144" i="8" a="1"/>
  <c r="Q144" i="8" s="1"/>
  <c r="T135" i="8" a="1"/>
  <c r="T135" i="8" s="1"/>
  <c r="Q135" i="8" a="1"/>
  <c r="Q135" i="8" s="1"/>
  <c r="H131" i="8" a="1"/>
  <c r="H131" i="8" s="1"/>
  <c r="E131" i="8" a="1"/>
  <c r="E131" i="8" s="1"/>
  <c r="L127" i="8" a="1"/>
  <c r="L127" i="8" s="1"/>
  <c r="I127" i="8" a="1"/>
  <c r="I127" i="8" s="1"/>
  <c r="L123" i="8" a="1"/>
  <c r="L123" i="8" s="1"/>
  <c r="I123" i="8" a="1"/>
  <c r="I123" i="8" s="1"/>
  <c r="AJ154" i="8" a="1"/>
  <c r="AJ154" i="8" s="1"/>
  <c r="AG154" i="8" a="1"/>
  <c r="AG154" i="8" s="1"/>
  <c r="H136" i="8" a="1"/>
  <c r="H136" i="8" s="1"/>
  <c r="E136" i="8" a="1"/>
  <c r="E136" i="8" s="1"/>
  <c r="I131" i="8" a="1"/>
  <c r="I131" i="8" s="1"/>
  <c r="P126" i="8" a="1"/>
  <c r="P126" i="8" s="1"/>
  <c r="M126" i="8" a="1"/>
  <c r="M126" i="8" s="1"/>
  <c r="AF155" i="8" a="1"/>
  <c r="AF155" i="8" s="1"/>
  <c r="AC155" i="8" a="1"/>
  <c r="AC155" i="8" s="1"/>
  <c r="T145" i="8" a="1"/>
  <c r="T145" i="8" s="1"/>
  <c r="Q145" i="8" a="1"/>
  <c r="Q145" i="8" s="1"/>
  <c r="P140" i="8" a="1"/>
  <c r="P140" i="8" s="1"/>
  <c r="M140" i="8" a="1"/>
  <c r="M140" i="8" s="1"/>
  <c r="H121" i="8" a="1"/>
  <c r="H121" i="8" s="1"/>
  <c r="E121" i="8" a="1"/>
  <c r="E121" i="8" s="1"/>
  <c r="AC130" i="8" a="1"/>
  <c r="AC130" i="8" s="1"/>
  <c r="H117" i="8" a="1"/>
  <c r="H117" i="8" s="1"/>
  <c r="E117" i="8" a="1"/>
  <c r="E117" i="8" s="1"/>
  <c r="H113" i="8" a="1"/>
  <c r="H113" i="8" s="1"/>
  <c r="E113" i="8" a="1"/>
  <c r="E113" i="8" s="1"/>
  <c r="H109" i="8" a="1"/>
  <c r="H109" i="8" s="1"/>
  <c r="E109" i="8" a="1"/>
  <c r="E109" i="8" s="1"/>
  <c r="H122" i="8" a="1"/>
  <c r="H122" i="8" s="1"/>
  <c r="E122" i="8" a="1"/>
  <c r="E122" i="8" s="1"/>
  <c r="L116" i="8" a="1"/>
  <c r="L116" i="8" s="1"/>
  <c r="I116" i="8" a="1"/>
  <c r="I116" i="8" s="1"/>
  <c r="L112" i="8" a="1"/>
  <c r="L112" i="8" s="1"/>
  <c r="I112" i="8" a="1"/>
  <c r="I112" i="8" s="1"/>
  <c r="L108" i="8" a="1"/>
  <c r="L108" i="8" s="1"/>
  <c r="I108" i="8" a="1"/>
  <c r="I108" i="8" s="1"/>
  <c r="H118" i="8" a="1"/>
  <c r="H118" i="8" s="1"/>
  <c r="E118" i="8" a="1"/>
  <c r="E118" i="8" s="1"/>
  <c r="P114" i="8" a="1"/>
  <c r="P114" i="8" s="1"/>
  <c r="M114" i="8" a="1"/>
  <c r="M114" i="8" s="1"/>
  <c r="P110" i="8" a="1"/>
  <c r="P110" i="8" s="1"/>
  <c r="M110" i="8" a="1"/>
  <c r="M110" i="8" s="1"/>
  <c r="P106" i="8" a="1"/>
  <c r="P106" i="8" s="1"/>
  <c r="M106" i="8" a="1"/>
  <c r="M106" i="8" s="1"/>
  <c r="H104" i="8" a="1"/>
  <c r="H104" i="8" s="1"/>
  <c r="E104" i="8" a="1"/>
  <c r="E104" i="8" s="1"/>
  <c r="H100" i="8" a="1"/>
  <c r="H100" i="8" s="1"/>
  <c r="E100" i="8" a="1"/>
  <c r="E100" i="8" s="1"/>
  <c r="T98" i="8" a="1"/>
  <c r="T98" i="8" s="1"/>
  <c r="Q98" i="8" a="1"/>
  <c r="Q98" i="8" s="1"/>
  <c r="T105" i="8" a="1"/>
  <c r="T105" i="8" s="1"/>
  <c r="Q105" i="8" a="1"/>
  <c r="Q105" i="8" s="1"/>
  <c r="T101" i="8" a="1"/>
  <c r="T101" i="8" s="1"/>
  <c r="Q101" i="8" a="1"/>
  <c r="Q101" i="8" s="1"/>
  <c r="L92" i="8" a="1"/>
  <c r="L92" i="8" s="1"/>
  <c r="I92" i="8" a="1"/>
  <c r="I92" i="8" s="1"/>
  <c r="L88" i="8" a="1"/>
  <c r="L88" i="8" s="1"/>
  <c r="I88" i="8" a="1"/>
  <c r="I88" i="8" s="1"/>
  <c r="L84" i="8" a="1"/>
  <c r="L84" i="8" s="1"/>
  <c r="I84" i="8" a="1"/>
  <c r="I84" i="8" s="1"/>
  <c r="P102" i="8" a="1"/>
  <c r="P102" i="8" s="1"/>
  <c r="M102" i="8" a="1"/>
  <c r="M102" i="8" s="1"/>
  <c r="P94" i="8" a="1"/>
  <c r="P94" i="8" s="1"/>
  <c r="M94" i="8" a="1"/>
  <c r="M94" i="8" s="1"/>
  <c r="P90" i="8" a="1"/>
  <c r="P90" i="8" s="1"/>
  <c r="M90" i="8" a="1"/>
  <c r="M90" i="8" s="1"/>
  <c r="P86" i="8" a="1"/>
  <c r="P86" i="8" s="1"/>
  <c r="M86" i="8" a="1"/>
  <c r="M86" i="8" s="1"/>
  <c r="P82" i="8" a="1"/>
  <c r="P82" i="8" s="1"/>
  <c r="M82" i="8" a="1"/>
  <c r="M82" i="8" s="1"/>
  <c r="T103" i="8" a="1"/>
  <c r="T103" i="8" s="1"/>
  <c r="Q103" i="8" a="1"/>
  <c r="Q103" i="8" s="1"/>
  <c r="P97" i="8" a="1"/>
  <c r="P97" i="8" s="1"/>
  <c r="M97" i="8" a="1"/>
  <c r="M97" i="8" s="1"/>
  <c r="T94" i="8" a="1"/>
  <c r="T94" i="8" s="1"/>
  <c r="Q94" i="8" a="1"/>
  <c r="Q94" i="8" s="1"/>
  <c r="T90" i="8" a="1"/>
  <c r="T90" i="8" s="1"/>
  <c r="Q90" i="8" a="1"/>
  <c r="Q90" i="8" s="1"/>
  <c r="T86" i="8" a="1"/>
  <c r="T86" i="8" s="1"/>
  <c r="Q86" i="8" a="1"/>
  <c r="Q86" i="8" s="1"/>
  <c r="T82" i="8" a="1"/>
  <c r="T82" i="8" s="1"/>
  <c r="Q82" i="8" a="1"/>
  <c r="Q82" i="8" s="1"/>
  <c r="H79" i="8" a="1"/>
  <c r="H79" i="8" s="1"/>
  <c r="E79" i="8" a="1"/>
  <c r="E79" i="8" s="1"/>
  <c r="L74" i="8" a="1"/>
  <c r="L74" i="8" s="1"/>
  <c r="I74" i="8" a="1"/>
  <c r="I74" i="8" s="1"/>
  <c r="T80" i="8" a="1"/>
  <c r="T80" i="8" s="1"/>
  <c r="Q80" i="8" a="1"/>
  <c r="Q80" i="8" s="1"/>
  <c r="L77" i="8" a="1"/>
  <c r="L77" i="8" s="1"/>
  <c r="I77" i="8" a="1"/>
  <c r="I77" i="8" s="1"/>
  <c r="L67" i="8" a="1"/>
  <c r="L67" i="8" s="1"/>
  <c r="I67" i="8" a="1"/>
  <c r="I67" i="8" s="1"/>
  <c r="L63" i="8" a="1"/>
  <c r="L63" i="8" s="1"/>
  <c r="I63" i="8" a="1"/>
  <c r="I63" i="8" s="1"/>
  <c r="L59" i="8" a="1"/>
  <c r="L59" i="8" s="1"/>
  <c r="I59" i="8" a="1"/>
  <c r="I59" i="8" s="1"/>
  <c r="L55" i="8" a="1"/>
  <c r="L55" i="8" s="1"/>
  <c r="I55" i="8" a="1"/>
  <c r="I55" i="8" s="1"/>
  <c r="L51" i="8" a="1"/>
  <c r="L51" i="8" s="1"/>
  <c r="I51" i="8" a="1"/>
  <c r="I51" i="8" s="1"/>
  <c r="L47" i="8" a="1"/>
  <c r="L47" i="8" s="1"/>
  <c r="I47" i="8" a="1"/>
  <c r="I47" i="8" s="1"/>
  <c r="L43" i="8" a="1"/>
  <c r="L43" i="8" s="1"/>
  <c r="I43" i="8" a="1"/>
  <c r="I43" i="8" s="1"/>
  <c r="H77" i="8" a="1"/>
  <c r="H77" i="8" s="1"/>
  <c r="E77" i="8" a="1"/>
  <c r="E77" i="8" s="1"/>
  <c r="P66" i="8" a="1"/>
  <c r="P66" i="8" s="1"/>
  <c r="M66" i="8" a="1"/>
  <c r="M66" i="8" s="1"/>
  <c r="P62" i="8" a="1"/>
  <c r="P62" i="8" s="1"/>
  <c r="M62" i="8" a="1"/>
  <c r="M62" i="8" s="1"/>
  <c r="P58" i="8" a="1"/>
  <c r="P58" i="8" s="1"/>
  <c r="M58" i="8" a="1"/>
  <c r="M58" i="8" s="1"/>
  <c r="P54" i="8" a="1"/>
  <c r="P54" i="8" s="1"/>
  <c r="M54" i="8" a="1"/>
  <c r="M54" i="8" s="1"/>
  <c r="P50" i="8" a="1"/>
  <c r="P50" i="8" s="1"/>
  <c r="M50" i="8" a="1"/>
  <c r="M50" i="8" s="1"/>
  <c r="P46" i="8" a="1"/>
  <c r="P46" i="8" s="1"/>
  <c r="M46" i="8" a="1"/>
  <c r="M46" i="8" s="1"/>
  <c r="H78" i="8" a="1"/>
  <c r="H78" i="8" s="1"/>
  <c r="E78" i="8" a="1"/>
  <c r="E78" i="8" s="1"/>
  <c r="T58" i="8" a="1"/>
  <c r="T58" i="8" s="1"/>
  <c r="Q58" i="8" a="1"/>
  <c r="Q58" i="8" s="1"/>
  <c r="T54" i="8" a="1"/>
  <c r="T54" i="8" s="1"/>
  <c r="Q54" i="8" a="1"/>
  <c r="Q54" i="8" s="1"/>
  <c r="T50" i="8" a="1"/>
  <c r="T50" i="8" s="1"/>
  <c r="Q50" i="8" a="1"/>
  <c r="Q50" i="8" s="1"/>
  <c r="T46" i="8" a="1"/>
  <c r="T46" i="8" s="1"/>
  <c r="Q46" i="8" a="1"/>
  <c r="Q46" i="8" s="1"/>
  <c r="T41" i="8" a="1"/>
  <c r="T41" i="8" s="1"/>
  <c r="Q41" i="8" a="1"/>
  <c r="Q41" i="8" s="1"/>
  <c r="T37" i="8" a="1"/>
  <c r="T37" i="8" s="1"/>
  <c r="Q37" i="8" a="1"/>
  <c r="Q37" i="8" s="1"/>
  <c r="E33" i="8" a="1"/>
  <c r="E33" i="8" s="1"/>
  <c r="E29" i="8" a="1"/>
  <c r="E29" i="8" s="1"/>
  <c r="E27" i="8" a="1"/>
  <c r="E27" i="8" s="1"/>
  <c r="E23" i="8" a="1"/>
  <c r="E23" i="8" s="1"/>
  <c r="E19" i="8" a="1"/>
  <c r="E19" i="8" s="1"/>
  <c r="E15" i="8" a="1"/>
  <c r="E15" i="8" s="1"/>
  <c r="E34" i="8" a="1"/>
  <c r="E34" i="8" s="1"/>
  <c r="E30" i="8" a="1"/>
  <c r="E30" i="8" s="1"/>
  <c r="E12" i="8" a="1"/>
  <c r="E12" i="8" s="1"/>
  <c r="E31" i="8" a="1"/>
  <c r="E31" i="8" s="1"/>
  <c r="E24" i="8" a="1"/>
  <c r="E24" i="8" s="1"/>
  <c r="E20" i="8" a="1"/>
  <c r="E20" i="8" s="1"/>
  <c r="E25" i="8" a="1"/>
  <c r="E25" i="8" s="1"/>
  <c r="E16" i="8" a="1"/>
  <c r="E16" i="8" s="1"/>
  <c r="I30" i="8" a="1"/>
  <c r="I30" i="8" s="1"/>
  <c r="T42" i="8" a="1"/>
  <c r="T42" i="8" s="1"/>
  <c r="Q42" i="8" a="1"/>
  <c r="Q42" i="8" s="1"/>
  <c r="T38" i="8" a="1"/>
  <c r="T38" i="8" s="1"/>
  <c r="Q38" i="8" a="1"/>
  <c r="Q38" i="8" s="1"/>
  <c r="P36" i="8" a="1"/>
  <c r="P36" i="8" s="1"/>
  <c r="M36" i="8" a="1"/>
  <c r="M36" i="8" s="1"/>
  <c r="P39" i="8" a="1"/>
  <c r="P39" i="8" s="1"/>
  <c r="M39" i="8" a="1"/>
  <c r="M39" i="8" s="1"/>
  <c r="H40" i="8" a="1"/>
  <c r="H40" i="8" s="1"/>
  <c r="E40" i="8" a="1"/>
  <c r="E40" i="8" s="1"/>
  <c r="I28" i="8" a="1"/>
  <c r="I28" i="8" s="1"/>
  <c r="I35" i="8" a="1"/>
  <c r="I35" i="8" s="1"/>
  <c r="I21" i="8" a="1"/>
  <c r="I21" i="8" s="1"/>
  <c r="H35" i="8" a="1"/>
  <c r="H35" i="8" s="1"/>
  <c r="E35" i="8" a="1"/>
  <c r="E35" i="8" s="1"/>
  <c r="M22" i="8" a="1"/>
  <c r="M22" i="8" s="1"/>
  <c r="I29" i="8" a="1"/>
  <c r="I29" i="8" s="1"/>
  <c r="Q21" i="8" a="1"/>
  <c r="Q21" i="8" s="1"/>
  <c r="E18" i="8" a="1"/>
  <c r="E18" i="8" s="1"/>
  <c r="Q17" i="8" a="1"/>
  <c r="Q17" i="8" s="1"/>
  <c r="E14" i="8" a="1"/>
  <c r="E14" i="8" s="1"/>
  <c r="L34" i="8" a="1"/>
  <c r="L34" i="8" s="1"/>
  <c r="I19" i="8" a="1"/>
  <c r="I19" i="8" s="1"/>
  <c r="I31" i="8" a="1"/>
  <c r="I31" i="8" s="1"/>
  <c r="E32" i="8" a="1"/>
  <c r="E32" i="8" s="1"/>
  <c r="M26" i="8" a="1"/>
  <c r="M26" i="8" s="1"/>
  <c r="AH10" i="8" a="1"/>
  <c r="AH10" i="8" s="1"/>
  <c r="R10" i="8" a="1"/>
  <c r="R10" i="8" s="1"/>
  <c r="H167" i="8" a="1"/>
  <c r="H167" i="8" s="1"/>
  <c r="E167" i="8" a="1"/>
  <c r="E167" i="8" s="1"/>
  <c r="T173" i="8" a="1"/>
  <c r="T173" i="8" s="1"/>
  <c r="Q173" i="8" a="1"/>
  <c r="Q173" i="8" s="1"/>
  <c r="AF205" i="8" a="1"/>
  <c r="AF205" i="8" s="1"/>
  <c r="AC205" i="8" a="1"/>
  <c r="AC205" i="8" s="1"/>
  <c r="P163" i="8" a="1"/>
  <c r="P163" i="8" s="1"/>
  <c r="M163" i="8" a="1"/>
  <c r="M163" i="8" s="1"/>
  <c r="T172" i="8" a="1"/>
  <c r="T172" i="8" s="1"/>
  <c r="Q172" i="8" a="1"/>
  <c r="Q172" i="8" s="1"/>
  <c r="AG229" i="8" a="1"/>
  <c r="AG229" i="8" s="1"/>
  <c r="X204" i="8" a="1"/>
  <c r="X204" i="8" s="1"/>
  <c r="U204" i="8" a="1"/>
  <c r="U204" i="8" s="1"/>
  <c r="H175" i="8" a="1"/>
  <c r="H175" i="8" s="1"/>
  <c r="E175" i="8" a="1"/>
  <c r="E175" i="8" s="1"/>
  <c r="T176" i="8" a="1"/>
  <c r="T176" i="8" s="1"/>
  <c r="Q176" i="8" a="1"/>
  <c r="Q176" i="8" s="1"/>
  <c r="H172" i="8" a="1"/>
  <c r="H172" i="8" s="1"/>
  <c r="E172" i="8" a="1"/>
  <c r="E172" i="8" s="1"/>
  <c r="H177" i="8" a="1"/>
  <c r="H177" i="8" s="1"/>
  <c r="E177" i="8" a="1"/>
  <c r="E177" i="8" s="1"/>
  <c r="H168" i="8" a="1"/>
  <c r="H168" i="8" s="1"/>
  <c r="E168" i="8" a="1"/>
  <c r="E168" i="8" s="1"/>
  <c r="T164" i="8" a="1"/>
  <c r="T164" i="8" s="1"/>
  <c r="Q164" i="8" a="1"/>
  <c r="Q164" i="8" s="1"/>
  <c r="T163" i="8" a="1"/>
  <c r="T163" i="8" s="1"/>
  <c r="Q163" i="8" a="1"/>
  <c r="Q163" i="8" s="1"/>
  <c r="I155" i="8" a="1"/>
  <c r="I155" i="8" s="1"/>
  <c r="T157" i="8" a="1"/>
  <c r="T157" i="8" s="1"/>
  <c r="Q157" i="8" a="1"/>
  <c r="Q157" i="8" s="1"/>
  <c r="T153" i="8" a="1"/>
  <c r="T153" i="8" s="1"/>
  <c r="Q153" i="8" a="1"/>
  <c r="Q153" i="8" s="1"/>
  <c r="H149" i="8" a="1"/>
  <c r="H149" i="8" s="1"/>
  <c r="E149" i="8" a="1"/>
  <c r="E149" i="8" s="1"/>
  <c r="P144" i="8" a="1"/>
  <c r="P144" i="8" s="1"/>
  <c r="M144" i="8" a="1"/>
  <c r="M144" i="8" s="1"/>
  <c r="H138" i="8" a="1"/>
  <c r="H138" i="8" s="1"/>
  <c r="E138" i="8" a="1"/>
  <c r="E138" i="8" s="1"/>
  <c r="T139" i="8" a="1"/>
  <c r="T139" i="8" s="1"/>
  <c r="Q139" i="8" a="1"/>
  <c r="Q139" i="8" s="1"/>
  <c r="H135" i="8" a="1"/>
  <c r="H135" i="8" s="1"/>
  <c r="E135" i="8" a="1"/>
  <c r="E135" i="8" s="1"/>
  <c r="I130" i="8" a="1"/>
  <c r="I130" i="8" s="1"/>
  <c r="L126" i="8" a="1"/>
  <c r="L126" i="8" s="1"/>
  <c r="I126" i="8" a="1"/>
  <c r="I126" i="8" s="1"/>
  <c r="H145" i="8" a="1"/>
  <c r="H145" i="8" s="1"/>
  <c r="E145" i="8" a="1"/>
  <c r="E145" i="8" s="1"/>
  <c r="P129" i="8" a="1"/>
  <c r="P129" i="8" s="1"/>
  <c r="M129" i="8" a="1"/>
  <c r="M129" i="8" s="1"/>
  <c r="P125" i="8" a="1"/>
  <c r="P125" i="8" s="1"/>
  <c r="M125" i="8" a="1"/>
  <c r="M125" i="8" s="1"/>
  <c r="P145" i="8" a="1"/>
  <c r="P145" i="8" s="1"/>
  <c r="M145" i="8" a="1"/>
  <c r="M145" i="8" s="1"/>
  <c r="L120" i="8" a="1"/>
  <c r="L120" i="8" s="1"/>
  <c r="I120" i="8" a="1"/>
  <c r="I120" i="8" s="1"/>
  <c r="H116" i="8" a="1"/>
  <c r="H116" i="8" s="1"/>
  <c r="E116" i="8" a="1"/>
  <c r="E116" i="8" s="1"/>
  <c r="H112" i="8" a="1"/>
  <c r="H112" i="8" s="1"/>
  <c r="E112" i="8" a="1"/>
  <c r="E112" i="8" s="1"/>
  <c r="H108" i="8" a="1"/>
  <c r="H108" i="8" s="1"/>
  <c r="E108" i="8" a="1"/>
  <c r="E108" i="8" s="1"/>
  <c r="AG130" i="8" a="1"/>
  <c r="AG130" i="8" s="1"/>
  <c r="P120" i="8" a="1"/>
  <c r="P120" i="8" s="1"/>
  <c r="M120" i="8" a="1"/>
  <c r="M120" i="8" s="1"/>
  <c r="L115" i="8" a="1"/>
  <c r="L115" i="8" s="1"/>
  <c r="I115" i="8" a="1"/>
  <c r="I115" i="8" s="1"/>
  <c r="L111" i="8" a="1"/>
  <c r="L111" i="8" s="1"/>
  <c r="I111" i="8" a="1"/>
  <c r="I111" i="8" s="1"/>
  <c r="L107" i="8" a="1"/>
  <c r="L107" i="8" s="1"/>
  <c r="I107" i="8" a="1"/>
  <c r="I107" i="8" s="1"/>
  <c r="P117" i="8" a="1"/>
  <c r="P117" i="8" s="1"/>
  <c r="M117" i="8" a="1"/>
  <c r="M117" i="8" s="1"/>
  <c r="P113" i="8" a="1"/>
  <c r="P113" i="8" s="1"/>
  <c r="M113" i="8" a="1"/>
  <c r="M113" i="8" s="1"/>
  <c r="P109" i="8" a="1"/>
  <c r="P109" i="8" s="1"/>
  <c r="M109" i="8" a="1"/>
  <c r="M109" i="8" s="1"/>
  <c r="T104" i="8" a="1"/>
  <c r="T104" i="8" s="1"/>
  <c r="Q104" i="8" a="1"/>
  <c r="Q104" i="8" s="1"/>
  <c r="T100" i="8" a="1"/>
  <c r="T100" i="8" s="1"/>
  <c r="Q100" i="8" a="1"/>
  <c r="Q100" i="8" s="1"/>
  <c r="P105" i="8" a="1"/>
  <c r="P105" i="8" s="1"/>
  <c r="M105" i="8" a="1"/>
  <c r="M105" i="8" s="1"/>
  <c r="L102" i="8" a="1"/>
  <c r="L102" i="8" s="1"/>
  <c r="I102" i="8" a="1"/>
  <c r="I102" i="8" s="1"/>
  <c r="L95" i="8" a="1"/>
  <c r="L95" i="8" s="1"/>
  <c r="I95" i="8" a="1"/>
  <c r="I95" i="8" s="1"/>
  <c r="L91" i="8" a="1"/>
  <c r="L91" i="8" s="1"/>
  <c r="I91" i="8" a="1"/>
  <c r="I91" i="8" s="1"/>
  <c r="L87" i="8" a="1"/>
  <c r="L87" i="8" s="1"/>
  <c r="I87" i="8" a="1"/>
  <c r="I87" i="8" s="1"/>
  <c r="L83" i="8" a="1"/>
  <c r="L83" i="8" s="1"/>
  <c r="I83" i="8" a="1"/>
  <c r="I83" i="8" s="1"/>
  <c r="H102" i="8" a="1"/>
  <c r="H102" i="8" s="1"/>
  <c r="E102" i="8" a="1"/>
  <c r="E102" i="8" s="1"/>
  <c r="P93" i="8" a="1"/>
  <c r="P93" i="8" s="1"/>
  <c r="M93" i="8" a="1"/>
  <c r="M93" i="8" s="1"/>
  <c r="P89" i="8" a="1"/>
  <c r="P89" i="8" s="1"/>
  <c r="M89" i="8" a="1"/>
  <c r="M89" i="8" s="1"/>
  <c r="P85" i="8" a="1"/>
  <c r="P85" i="8" s="1"/>
  <c r="M85" i="8" a="1"/>
  <c r="M85" i="8" s="1"/>
  <c r="P81" i="8" a="1"/>
  <c r="P81" i="8" s="1"/>
  <c r="M81" i="8" a="1"/>
  <c r="M81" i="8" s="1"/>
  <c r="P99" i="8" a="1"/>
  <c r="P99" i="8" s="1"/>
  <c r="M99" i="8" a="1"/>
  <c r="M99" i="8" s="1"/>
  <c r="H97" i="8" a="1"/>
  <c r="H97" i="8" s="1"/>
  <c r="E97" i="8" a="1"/>
  <c r="E97" i="8" s="1"/>
  <c r="T93" i="8" a="1"/>
  <c r="T93" i="8" s="1"/>
  <c r="Q93" i="8" a="1"/>
  <c r="Q93" i="8" s="1"/>
  <c r="T89" i="8" a="1"/>
  <c r="T89" i="8" s="1"/>
  <c r="Q89" i="8" a="1"/>
  <c r="Q89" i="8" s="1"/>
  <c r="T85" i="8" a="1"/>
  <c r="T85" i="8" s="1"/>
  <c r="Q85" i="8" a="1"/>
  <c r="Q85" i="8" s="1"/>
  <c r="T81" i="8" a="1"/>
  <c r="T81" i="8" s="1"/>
  <c r="Q81" i="8" a="1"/>
  <c r="Q81" i="8" s="1"/>
  <c r="T75" i="8" a="1"/>
  <c r="T75" i="8" s="1"/>
  <c r="Q75" i="8" a="1"/>
  <c r="Q75" i="8" s="1"/>
  <c r="P80" i="8" a="1"/>
  <c r="P80" i="8" s="1"/>
  <c r="M80" i="8" a="1"/>
  <c r="M80" i="8" s="1"/>
  <c r="T76" i="8" a="1"/>
  <c r="T76" i="8" s="1"/>
  <c r="Q76" i="8" a="1"/>
  <c r="Q76" i="8" s="1"/>
  <c r="L66" i="8" a="1"/>
  <c r="L66" i="8" s="1"/>
  <c r="I66" i="8" a="1"/>
  <c r="I66" i="8" s="1"/>
  <c r="L62" i="8" a="1"/>
  <c r="L62" i="8" s="1"/>
  <c r="I62" i="8" a="1"/>
  <c r="I62" i="8" s="1"/>
  <c r="L58" i="8" a="1"/>
  <c r="L58" i="8" s="1"/>
  <c r="I58" i="8" a="1"/>
  <c r="I58" i="8" s="1"/>
  <c r="L54" i="8" a="1"/>
  <c r="L54" i="8" s="1"/>
  <c r="I54" i="8" a="1"/>
  <c r="I54" i="8" s="1"/>
  <c r="L50" i="8" a="1"/>
  <c r="L50" i="8" s="1"/>
  <c r="I50" i="8" a="1"/>
  <c r="I50" i="8" s="1"/>
  <c r="L46" i="8" a="1"/>
  <c r="L46" i="8" s="1"/>
  <c r="I46" i="8" a="1"/>
  <c r="I46" i="8" s="1"/>
  <c r="L78" i="8" a="1"/>
  <c r="L78" i="8" s="1"/>
  <c r="I78" i="8" a="1"/>
  <c r="I78" i="8" s="1"/>
  <c r="H74" i="8" a="1"/>
  <c r="H74" i="8" s="1"/>
  <c r="E74" i="8" a="1"/>
  <c r="E74" i="8" s="1"/>
  <c r="P65" i="8" a="1"/>
  <c r="P65" i="8" s="1"/>
  <c r="M65" i="8" a="1"/>
  <c r="M65" i="8" s="1"/>
  <c r="P61" i="8" a="1"/>
  <c r="P61" i="8" s="1"/>
  <c r="M61" i="8" a="1"/>
  <c r="M61" i="8" s="1"/>
  <c r="P57" i="8" a="1"/>
  <c r="P57" i="8" s="1"/>
  <c r="M57" i="8" a="1"/>
  <c r="M57" i="8" s="1"/>
  <c r="P53" i="8" a="1"/>
  <c r="P53" i="8" s="1"/>
  <c r="M53" i="8" a="1"/>
  <c r="M53" i="8" s="1"/>
  <c r="P49" i="8" a="1"/>
  <c r="P49" i="8" s="1"/>
  <c r="M49" i="8" a="1"/>
  <c r="M49" i="8" s="1"/>
  <c r="P45" i="8" a="1"/>
  <c r="P45" i="8" s="1"/>
  <c r="M45" i="8" a="1"/>
  <c r="M45" i="8" s="1"/>
  <c r="X82" i="8" a="1"/>
  <c r="X82" i="8" s="1"/>
  <c r="U82" i="8" a="1"/>
  <c r="U82" i="8" s="1"/>
  <c r="T74" i="8" a="1"/>
  <c r="T74" i="8" s="1"/>
  <c r="Q74" i="8" a="1"/>
  <c r="Q74" i="8" s="1"/>
  <c r="T57" i="8" a="1"/>
  <c r="T57" i="8" s="1"/>
  <c r="Q57" i="8" a="1"/>
  <c r="Q57" i="8" s="1"/>
  <c r="T53" i="8" a="1"/>
  <c r="T53" i="8" s="1"/>
  <c r="Q53" i="8" a="1"/>
  <c r="Q53" i="8" s="1"/>
  <c r="T49" i="8" a="1"/>
  <c r="T49" i="8" s="1"/>
  <c r="Q49" i="8" a="1"/>
  <c r="Q49" i="8" s="1"/>
  <c r="T45" i="8" a="1"/>
  <c r="T45" i="8" s="1"/>
  <c r="Q45" i="8" a="1"/>
  <c r="Q45" i="8" s="1"/>
  <c r="P41" i="8" a="1"/>
  <c r="P41" i="8" s="1"/>
  <c r="M41" i="8" a="1"/>
  <c r="M41" i="8" s="1"/>
  <c r="P37" i="8" a="1"/>
  <c r="P37" i="8" s="1"/>
  <c r="M37" i="8" a="1"/>
  <c r="M37" i="8" s="1"/>
  <c r="U59" i="8" a="1"/>
  <c r="U59" i="8" s="1"/>
  <c r="P42" i="8" a="1"/>
  <c r="P42" i="8" s="1"/>
  <c r="M42" i="8" a="1"/>
  <c r="M42" i="8" s="1"/>
  <c r="P38" i="8" a="1"/>
  <c r="P38" i="8" s="1"/>
  <c r="M38" i="8" a="1"/>
  <c r="M38" i="8" s="1"/>
  <c r="H36" i="8" a="1"/>
  <c r="H36" i="8" s="1"/>
  <c r="E36" i="8" a="1"/>
  <c r="E36" i="8" s="1"/>
  <c r="H39" i="8" a="1"/>
  <c r="H39" i="8" s="1"/>
  <c r="E39" i="8" a="1"/>
  <c r="E39" i="8" s="1"/>
  <c r="T34" i="8" a="1"/>
  <c r="T34" i="8" s="1"/>
  <c r="I24" i="8" a="1"/>
  <c r="I24" i="8" s="1"/>
  <c r="I20" i="8" a="1"/>
  <c r="I20" i="8" s="1"/>
  <c r="I16" i="8" a="1"/>
  <c r="I16" i="8" s="1"/>
  <c r="I12" i="8" a="1"/>
  <c r="I12" i="8" s="1"/>
  <c r="M28" i="8" a="1"/>
  <c r="M28" i="8" s="1"/>
  <c r="M25" i="8" a="1"/>
  <c r="M25" i="8" s="1"/>
  <c r="Q22" i="8" a="1"/>
  <c r="Q22" i="8" s="1"/>
  <c r="I18" i="8" a="1"/>
  <c r="I18" i="8" s="1"/>
  <c r="E17" i="8" a="1"/>
  <c r="E17" i="8" s="1"/>
  <c r="I13" i="8" a="1"/>
  <c r="I13" i="8" s="1"/>
  <c r="I14" i="8" a="1"/>
  <c r="I14" i="8" s="1"/>
  <c r="E13" i="8" a="1"/>
  <c r="E13" i="8" s="1"/>
  <c r="I23" i="8" a="1"/>
  <c r="I23" i="8" s="1"/>
  <c r="Y34" i="8" a="1"/>
  <c r="Y34" i="8" s="1"/>
  <c r="I32" i="8" a="1"/>
  <c r="I32" i="8" s="1"/>
  <c r="Q26" i="8" a="1"/>
  <c r="Q26" i="8" s="1"/>
  <c r="M13" i="8" a="1"/>
  <c r="M13" i="8" s="1"/>
  <c r="O10" i="8" a="1"/>
  <c r="O10" i="8" s="1"/>
  <c r="AJ205" i="8" a="1"/>
  <c r="AJ205" i="8" s="1"/>
  <c r="AG205" i="8" a="1"/>
  <c r="AG205" i="8" s="1"/>
  <c r="AB205" i="8" a="1"/>
  <c r="AB205" i="8" s="1"/>
  <c r="Y205" i="8" a="1"/>
  <c r="Y205" i="8" s="1"/>
  <c r="T156" i="8" a="1"/>
  <c r="T156" i="8" s="1"/>
  <c r="Q156" i="8" a="1"/>
  <c r="Q156" i="8" s="1"/>
  <c r="Y229" i="8" a="1"/>
  <c r="Y229" i="8" s="1"/>
  <c r="H171" i="8" a="1"/>
  <c r="H171" i="8" s="1"/>
  <c r="E171" i="8" a="1"/>
  <c r="E171" i="8" s="1"/>
  <c r="H176" i="8" a="1"/>
  <c r="H176" i="8" s="1"/>
  <c r="E176" i="8" a="1"/>
  <c r="E176" i="8" s="1"/>
  <c r="U183" i="8" a="1"/>
  <c r="U183" i="8" s="1"/>
  <c r="T168" i="8" a="1"/>
  <c r="T168" i="8" s="1"/>
  <c r="Q168" i="8" a="1"/>
  <c r="Q168" i="8" s="1"/>
  <c r="P164" i="8" a="1"/>
  <c r="P164" i="8" s="1"/>
  <c r="M164" i="8" a="1"/>
  <c r="M164" i="8" s="1"/>
  <c r="P161" i="8" a="1"/>
  <c r="P161" i="8" s="1"/>
  <c r="M161" i="8" a="1"/>
  <c r="M161" i="8" s="1"/>
  <c r="P157" i="8" a="1"/>
  <c r="P157" i="8" s="1"/>
  <c r="M157" i="8" a="1"/>
  <c r="M157" i="8" s="1"/>
  <c r="P153" i="8" a="1"/>
  <c r="P153" i="8" s="1"/>
  <c r="M153" i="8" a="1"/>
  <c r="M153" i="8" s="1"/>
  <c r="P149" i="8" a="1"/>
  <c r="P149" i="8" s="1"/>
  <c r="M149" i="8" a="1"/>
  <c r="M149" i="8" s="1"/>
  <c r="T161" i="8" a="1"/>
  <c r="T161" i="8" s="1"/>
  <c r="Q161" i="8" a="1"/>
  <c r="Q161" i="8" s="1"/>
  <c r="H157" i="8" a="1"/>
  <c r="H157" i="8" s="1"/>
  <c r="E157" i="8" a="1"/>
  <c r="E157" i="8" s="1"/>
  <c r="H153" i="8" a="1"/>
  <c r="H153" i="8" s="1"/>
  <c r="E153" i="8" a="1"/>
  <c r="E153" i="8" s="1"/>
  <c r="X154" i="8" a="1"/>
  <c r="X154" i="8" s="1"/>
  <c r="U154" i="8" a="1"/>
  <c r="U154" i="8" s="1"/>
  <c r="T141" i="8" a="1"/>
  <c r="T141" i="8" s="1"/>
  <c r="Q141" i="8" a="1"/>
  <c r="Q141" i="8" s="1"/>
  <c r="H134" i="8" a="1"/>
  <c r="H134" i="8" s="1"/>
  <c r="E134" i="8" a="1"/>
  <c r="E134" i="8" s="1"/>
  <c r="H139" i="8" a="1"/>
  <c r="H139" i="8" s="1"/>
  <c r="E139" i="8" a="1"/>
  <c r="E139" i="8" s="1"/>
  <c r="L129" i="8" a="1"/>
  <c r="L129" i="8" s="1"/>
  <c r="I129" i="8" a="1"/>
  <c r="I129" i="8" s="1"/>
  <c r="L125" i="8" a="1"/>
  <c r="L125" i="8" s="1"/>
  <c r="I125" i="8" a="1"/>
  <c r="I125" i="8" s="1"/>
  <c r="AJ155" i="8" a="1"/>
  <c r="AJ155" i="8" s="1"/>
  <c r="AG155" i="8" a="1"/>
  <c r="AG155" i="8" s="1"/>
  <c r="T132" i="8" a="1"/>
  <c r="T132" i="8" s="1"/>
  <c r="Q132" i="8" a="1"/>
  <c r="Q132" i="8" s="1"/>
  <c r="P128" i="8" a="1"/>
  <c r="P128" i="8" s="1"/>
  <c r="M128" i="8" a="1"/>
  <c r="M128" i="8" s="1"/>
  <c r="P124" i="8" a="1"/>
  <c r="P124" i="8" s="1"/>
  <c r="M124" i="8" a="1"/>
  <c r="M124" i="8" s="1"/>
  <c r="AF154" i="8" a="1"/>
  <c r="AF154" i="8" s="1"/>
  <c r="AC154" i="8" a="1"/>
  <c r="AC154" i="8" s="1"/>
  <c r="H140" i="8" a="1"/>
  <c r="H140" i="8" s="1"/>
  <c r="E140" i="8" a="1"/>
  <c r="E140" i="8" s="1"/>
  <c r="P119" i="8" a="1"/>
  <c r="P119" i="8" s="1"/>
  <c r="M119" i="8" a="1"/>
  <c r="M119" i="8" s="1"/>
  <c r="T120" i="8" a="1"/>
  <c r="T120" i="8" s="1"/>
  <c r="Q120" i="8" a="1"/>
  <c r="Q120" i="8" s="1"/>
  <c r="H115" i="8" a="1"/>
  <c r="H115" i="8" s="1"/>
  <c r="E115" i="8" a="1"/>
  <c r="E115" i="8" s="1"/>
  <c r="H111" i="8" a="1"/>
  <c r="H111" i="8" s="1"/>
  <c r="E111" i="8" a="1"/>
  <c r="E111" i="8" s="1"/>
  <c r="H107" i="8" a="1"/>
  <c r="H107" i="8" s="1"/>
  <c r="E107" i="8" a="1"/>
  <c r="E107" i="8" s="1"/>
  <c r="P122" i="8" a="1"/>
  <c r="P122" i="8" s="1"/>
  <c r="M122" i="8" a="1"/>
  <c r="M122" i="8" s="1"/>
  <c r="H120" i="8" a="1"/>
  <c r="H120" i="8" s="1"/>
  <c r="E120" i="8" a="1"/>
  <c r="E120" i="8" s="1"/>
  <c r="L114" i="8" a="1"/>
  <c r="L114" i="8" s="1"/>
  <c r="I114" i="8" a="1"/>
  <c r="I114" i="8" s="1"/>
  <c r="L110" i="8" a="1"/>
  <c r="L110" i="8" s="1"/>
  <c r="I110" i="8" a="1"/>
  <c r="I110" i="8" s="1"/>
  <c r="L106" i="8" a="1"/>
  <c r="L106" i="8" s="1"/>
  <c r="I106" i="8" a="1"/>
  <c r="I106" i="8" s="1"/>
  <c r="P116" i="8" a="1"/>
  <c r="P116" i="8" s="1"/>
  <c r="M116" i="8" a="1"/>
  <c r="M116" i="8" s="1"/>
  <c r="P112" i="8" a="1"/>
  <c r="P112" i="8" s="1"/>
  <c r="M112" i="8" a="1"/>
  <c r="M112" i="8" s="1"/>
  <c r="P108" i="8" a="1"/>
  <c r="P108" i="8" s="1"/>
  <c r="M108" i="8" a="1"/>
  <c r="M108" i="8" s="1"/>
  <c r="AJ106" i="8" a="1"/>
  <c r="AJ106" i="8" s="1"/>
  <c r="AG106" i="8" a="1"/>
  <c r="AG106" i="8" s="1"/>
  <c r="L101" i="8" a="1"/>
  <c r="L101" i="8" s="1"/>
  <c r="I101" i="8" a="1"/>
  <c r="I101" i="8" s="1"/>
  <c r="P98" i="8" a="1"/>
  <c r="P98" i="8" s="1"/>
  <c r="M98" i="8" a="1"/>
  <c r="M98" i="8" s="1"/>
  <c r="L105" i="8" a="1"/>
  <c r="L105" i="8" s="1"/>
  <c r="I105" i="8" a="1"/>
  <c r="I105" i="8" s="1"/>
  <c r="P101" i="8" a="1"/>
  <c r="P101" i="8" s="1"/>
  <c r="M101" i="8" a="1"/>
  <c r="M101" i="8" s="1"/>
  <c r="L94" i="8" a="1"/>
  <c r="L94" i="8" s="1"/>
  <c r="I94" i="8" a="1"/>
  <c r="I94" i="8" s="1"/>
  <c r="L90" i="8" a="1"/>
  <c r="L90" i="8" s="1"/>
  <c r="I90" i="8" a="1"/>
  <c r="I90" i="8" s="1"/>
  <c r="L86" i="8" a="1"/>
  <c r="L86" i="8" s="1"/>
  <c r="I86" i="8" a="1"/>
  <c r="I86" i="8" s="1"/>
  <c r="L82" i="8" a="1"/>
  <c r="L82" i="8" s="1"/>
  <c r="I82" i="8" a="1"/>
  <c r="I82" i="8" s="1"/>
  <c r="T102" i="8" a="1"/>
  <c r="T102" i="8" s="1"/>
  <c r="Q102" i="8" a="1"/>
  <c r="Q102" i="8" s="1"/>
  <c r="P92" i="8" a="1"/>
  <c r="P92" i="8" s="1"/>
  <c r="M92" i="8" a="1"/>
  <c r="M92" i="8" s="1"/>
  <c r="P88" i="8" a="1"/>
  <c r="P88" i="8" s="1"/>
  <c r="M88" i="8" a="1"/>
  <c r="M88" i="8" s="1"/>
  <c r="P84" i="8" a="1"/>
  <c r="P84" i="8" s="1"/>
  <c r="M84" i="8" a="1"/>
  <c r="M84" i="8" s="1"/>
  <c r="P103" i="8" a="1"/>
  <c r="P103" i="8" s="1"/>
  <c r="M103" i="8" a="1"/>
  <c r="M103" i="8" s="1"/>
  <c r="H99" i="8" a="1"/>
  <c r="H99" i="8" s="1"/>
  <c r="E99" i="8" a="1"/>
  <c r="E99" i="8" s="1"/>
  <c r="P96" i="8" a="1"/>
  <c r="P96" i="8" s="1"/>
  <c r="M96" i="8" a="1"/>
  <c r="M96" i="8" s="1"/>
  <c r="T92" i="8" a="1"/>
  <c r="T92" i="8" s="1"/>
  <c r="Q92" i="8" a="1"/>
  <c r="Q92" i="8" s="1"/>
  <c r="T88" i="8" a="1"/>
  <c r="T88" i="8" s="1"/>
  <c r="Q88" i="8" a="1"/>
  <c r="Q88" i="8" s="1"/>
  <c r="T84" i="8" a="1"/>
  <c r="T84" i="8" s="1"/>
  <c r="Q84" i="8" a="1"/>
  <c r="Q84" i="8" s="1"/>
  <c r="T79" i="8" a="1"/>
  <c r="T79" i="8" s="1"/>
  <c r="Q79" i="8" a="1"/>
  <c r="Q79" i="8" s="1"/>
  <c r="P75" i="8" a="1"/>
  <c r="P75" i="8" s="1"/>
  <c r="M75" i="8" a="1"/>
  <c r="M75" i="8" s="1"/>
  <c r="L80" i="8" a="1"/>
  <c r="L80" i="8" s="1"/>
  <c r="I80" i="8" a="1"/>
  <c r="I80" i="8" s="1"/>
  <c r="P76" i="8" a="1"/>
  <c r="P76" i="8" s="1"/>
  <c r="M76" i="8" a="1"/>
  <c r="M76" i="8" s="1"/>
  <c r="L65" i="8" a="1"/>
  <c r="L65" i="8" s="1"/>
  <c r="I65" i="8" a="1"/>
  <c r="I65" i="8" s="1"/>
  <c r="L61" i="8" a="1"/>
  <c r="L61" i="8" s="1"/>
  <c r="I61" i="8" a="1"/>
  <c r="I61" i="8" s="1"/>
  <c r="L57" i="8" a="1"/>
  <c r="L57" i="8" s="1"/>
  <c r="I57" i="8" a="1"/>
  <c r="I57" i="8" s="1"/>
  <c r="L53" i="8" a="1"/>
  <c r="L53" i="8" s="1"/>
  <c r="I53" i="8" a="1"/>
  <c r="I53" i="8" s="1"/>
  <c r="L49" i="8" a="1"/>
  <c r="L49" i="8" s="1"/>
  <c r="I49" i="8" a="1"/>
  <c r="I49" i="8" s="1"/>
  <c r="L45" i="8" a="1"/>
  <c r="L45" i="8" s="1"/>
  <c r="I45" i="8" a="1"/>
  <c r="I45" i="8" s="1"/>
  <c r="T77" i="8" a="1"/>
  <c r="T77" i="8" s="1"/>
  <c r="Q77" i="8" a="1"/>
  <c r="Q77" i="8" s="1"/>
  <c r="P68" i="8" a="1"/>
  <c r="P68" i="8" s="1"/>
  <c r="M68" i="8" a="1"/>
  <c r="M68" i="8" s="1"/>
  <c r="P64" i="8" a="1"/>
  <c r="P64" i="8" s="1"/>
  <c r="M64" i="8" a="1"/>
  <c r="M64" i="8" s="1"/>
  <c r="P60" i="8" a="1"/>
  <c r="P60" i="8" s="1"/>
  <c r="M60" i="8" a="1"/>
  <c r="M60" i="8" s="1"/>
  <c r="P56" i="8" a="1"/>
  <c r="P56" i="8" s="1"/>
  <c r="M56" i="8" a="1"/>
  <c r="M56" i="8" s="1"/>
  <c r="P52" i="8" a="1"/>
  <c r="P52" i="8" s="1"/>
  <c r="M52" i="8" a="1"/>
  <c r="M52" i="8" s="1"/>
  <c r="P48" i="8" a="1"/>
  <c r="P48" i="8" s="1"/>
  <c r="M48" i="8" a="1"/>
  <c r="M48" i="8" s="1"/>
  <c r="P44" i="8" a="1"/>
  <c r="P44" i="8" s="1"/>
  <c r="M44" i="8" a="1"/>
  <c r="M44" i="8" s="1"/>
  <c r="T78" i="8" a="1"/>
  <c r="T78" i="8" s="1"/>
  <c r="Q78" i="8" a="1"/>
  <c r="Q78" i="8" s="1"/>
  <c r="P74" i="8" a="1"/>
  <c r="P74" i="8" s="1"/>
  <c r="M74" i="8" a="1"/>
  <c r="M74" i="8" s="1"/>
  <c r="T56" i="8" a="1"/>
  <c r="T56" i="8" s="1"/>
  <c r="Q56" i="8" a="1"/>
  <c r="Q56" i="8" s="1"/>
  <c r="T52" i="8" a="1"/>
  <c r="T52" i="8" s="1"/>
  <c r="Q52" i="8" a="1"/>
  <c r="Q52" i="8" s="1"/>
  <c r="T48" i="8" a="1"/>
  <c r="T48" i="8" s="1"/>
  <c r="Q48" i="8" a="1"/>
  <c r="Q48" i="8" s="1"/>
  <c r="T44" i="8" a="1"/>
  <c r="T44" i="8" s="1"/>
  <c r="Q44" i="8" a="1"/>
  <c r="Q44" i="8" s="1"/>
  <c r="H41" i="8" a="1"/>
  <c r="H41" i="8" s="1"/>
  <c r="E41" i="8" a="1"/>
  <c r="E41" i="8" s="1"/>
  <c r="H37" i="8" a="1"/>
  <c r="H37" i="8" s="1"/>
  <c r="E37" i="8" a="1"/>
  <c r="E37" i="8" s="1"/>
  <c r="L42" i="8" a="1"/>
  <c r="L42" i="8" s="1"/>
  <c r="I42" i="8" a="1"/>
  <c r="I42" i="8" s="1"/>
  <c r="H38" i="8" a="1"/>
  <c r="H38" i="8" s="1"/>
  <c r="E38" i="8" a="1"/>
  <c r="E38" i="8" s="1"/>
  <c r="L40" i="8" a="1"/>
  <c r="L40" i="8" s="1"/>
  <c r="I40" i="8" a="1"/>
  <c r="I40" i="8" s="1"/>
  <c r="T40" i="8" a="1"/>
  <c r="T40" i="8" s="1"/>
  <c r="Q40" i="8" a="1"/>
  <c r="Q40" i="8" s="1"/>
  <c r="AG34" i="8" a="1"/>
  <c r="AG34" i="8" s="1"/>
  <c r="Q28" i="8" a="1"/>
  <c r="Q28" i="8" s="1"/>
  <c r="Q25" i="8" a="1"/>
  <c r="Q25" i="8" s="1"/>
  <c r="E22" i="8" a="1"/>
  <c r="E22" i="8" s="1"/>
  <c r="N10" i="8" a="1"/>
  <c r="N10" i="8" s="1"/>
  <c r="M18" i="8" a="1"/>
  <c r="M18" i="8" s="1"/>
  <c r="M14" i="8" a="1"/>
  <c r="M14" i="8" s="1"/>
  <c r="S10" i="8" a="1"/>
  <c r="S10" i="8" s="1"/>
  <c r="I27" i="8" a="1"/>
  <c r="I27" i="8" s="1"/>
  <c r="M32" i="8" a="1"/>
  <c r="M32" i="8" s="1"/>
  <c r="E26" i="8" a="1"/>
  <c r="E26" i="8" s="1"/>
  <c r="Q13" i="8" a="1"/>
  <c r="Q13" i="8" s="1"/>
  <c r="V10" i="8" a="1"/>
  <c r="V10" i="8" s="1"/>
  <c r="F10" i="8" a="1"/>
  <c r="F10" i="8" s="1"/>
  <c r="W10" i="8" a="1"/>
  <c r="W10" i="8" s="1"/>
  <c r="G10" i="8" a="1"/>
  <c r="G10" i="8" s="1"/>
  <c r="G16" i="7" a="1"/>
  <c r="G15" i="7" a="1"/>
  <c r="G14" i="7" a="1"/>
  <c r="G12" i="7" a="1"/>
  <c r="G10" i="7" a="1"/>
  <c r="G13" i="7" a="1"/>
  <c r="G11" i="7" a="1"/>
  <c r="X59" i="8" l="1" a="1"/>
  <c r="X59" i="8" s="1"/>
  <c r="Z37" i="8" a="1"/>
  <c r="Z37" i="8" s="1"/>
  <c r="W205" i="8" a="1"/>
  <c r="W205" i="8" s="1"/>
  <c r="AF229" i="8" a="1"/>
  <c r="AF229" i="8" s="1"/>
  <c r="AC229" i="8" a="1"/>
  <c r="AC229" i="8" s="1"/>
  <c r="AA38" i="8" a="1"/>
  <c r="AA38" i="8" s="1"/>
  <c r="AD36" i="8" a="1"/>
  <c r="AD36" i="8" s="1"/>
  <c r="X83" i="8" a="1"/>
  <c r="X83" i="8" s="1"/>
  <c r="T17" i="8" a="1"/>
  <c r="T17" i="8" s="1"/>
  <c r="T10" i="8" a="1"/>
  <c r="T10" i="8" s="1"/>
  <c r="T32" i="8" a="1"/>
  <c r="T32" i="8" s="1"/>
  <c r="AJ130" i="8" a="1"/>
  <c r="AJ130" i="8" s="1"/>
  <c r="X155" i="8" a="1"/>
  <c r="X155" i="8" s="1"/>
  <c r="U155" i="8" a="1"/>
  <c r="U155" i="8" s="1"/>
  <c r="AB229" i="8" a="1"/>
  <c r="AB229" i="8" s="1"/>
  <c r="AI45" i="8" a="1"/>
  <c r="AI45" i="8" s="1"/>
  <c r="W38" i="8" a="1"/>
  <c r="W38" i="8" s="1"/>
  <c r="X107" i="8" a="1"/>
  <c r="X107" i="8" s="1"/>
  <c r="AE37" i="8" a="1"/>
  <c r="AE37" i="8" s="1"/>
  <c r="V11" i="8" a="1"/>
  <c r="V11" i="8" s="1"/>
  <c r="AJ181" i="8" a="1"/>
  <c r="AJ181" i="8" s="1"/>
  <c r="AG181" i="8" a="1"/>
  <c r="AG181" i="8" s="1"/>
  <c r="AB181" i="8" a="1"/>
  <c r="AB181" i="8" s="1"/>
  <c r="Y181" i="8" a="1"/>
  <c r="Y181" i="8" s="1"/>
  <c r="AF130" i="8" a="1"/>
  <c r="AF130" i="8" s="1"/>
  <c r="AF181" i="8" a="1"/>
  <c r="AF181" i="8" s="1"/>
  <c r="AC181" i="8" a="1"/>
  <c r="AC181" i="8" s="1"/>
  <c r="X183" i="8" a="1"/>
  <c r="X183" i="8" s="1"/>
  <c r="AJ229" i="8" a="1"/>
  <c r="AJ229" i="8" s="1"/>
  <c r="U10" i="8" a="1"/>
  <c r="U10" i="8" s="1"/>
  <c r="E10" i="8" a="1"/>
  <c r="E10" i="8" s="1"/>
  <c r="AI10" i="8" a="1"/>
  <c r="AI10" i="8" s="1"/>
  <c r="AJ34" i="8" a="1"/>
  <c r="AJ34" i="8" s="1"/>
  <c r="AJ107" i="8" a="1"/>
  <c r="AJ107" i="8" s="1"/>
  <c r="AG107" i="8" a="1"/>
  <c r="AG107" i="8" s="1"/>
  <c r="AB106" i="8" a="1"/>
  <c r="AB106" i="8" s="1"/>
  <c r="Y106" i="8" a="1"/>
  <c r="Y106" i="8" s="1"/>
  <c r="U107" i="8" a="1"/>
  <c r="U107" i="8" s="1"/>
  <c r="AB206" i="8" a="1"/>
  <c r="AB206" i="8" s="1"/>
  <c r="Y206" i="8" a="1"/>
  <c r="Y206" i="8" s="1"/>
  <c r="T25" i="8" a="1"/>
  <c r="T25" i="8" s="1"/>
  <c r="AG230" i="8" a="1"/>
  <c r="AG230" i="8" s="1"/>
  <c r="L27" i="8" a="1"/>
  <c r="L27" i="8" s="1"/>
  <c r="T14" i="8" a="1"/>
  <c r="T14" i="8" s="1"/>
  <c r="X35" i="8" a="1"/>
  <c r="X35" i="8" s="1"/>
  <c r="U35" i="8" a="1"/>
  <c r="U35" i="8" s="1"/>
  <c r="L35" i="8" a="1"/>
  <c r="L35" i="8" s="1"/>
  <c r="L11" i="8" a="1"/>
  <c r="L11" i="8" s="1"/>
  <c r="L31" i="8" a="1"/>
  <c r="L31" i="8" s="1"/>
  <c r="L14" i="8" a="1"/>
  <c r="L14" i="8" s="1"/>
  <c r="L18" i="8" a="1"/>
  <c r="L18" i="8" s="1"/>
  <c r="L25" i="8" a="1"/>
  <c r="L25" i="8" s="1"/>
  <c r="L23" i="8" a="1"/>
  <c r="L23" i="8" s="1"/>
  <c r="L33" i="8" a="1"/>
  <c r="L33" i="8" s="1"/>
  <c r="L28" i="8" a="1"/>
  <c r="L28" i="8" s="1"/>
  <c r="L19" i="8" a="1"/>
  <c r="L19" i="8" s="1"/>
  <c r="L29" i="8" a="1"/>
  <c r="L29" i="8" s="1"/>
  <c r="L10" i="8" a="1"/>
  <c r="L10" i="8" s="1"/>
  <c r="L26" i="8" a="1"/>
  <c r="L26" i="8" s="1"/>
  <c r="L32" i="8" a="1"/>
  <c r="L32" i="8" s="1"/>
  <c r="L17" i="8" a="1"/>
  <c r="L17" i="8" s="1"/>
  <c r="L21" i="8" a="1"/>
  <c r="L21" i="8" s="1"/>
  <c r="L22" i="8" a="1"/>
  <c r="L22" i="8" s="1"/>
  <c r="L15" i="8" a="1"/>
  <c r="L15" i="8" s="1"/>
  <c r="H30" i="8" a="1"/>
  <c r="H30" i="8" s="1"/>
  <c r="H34" i="8" a="1"/>
  <c r="H34" i="8" s="1"/>
  <c r="H24" i="8" a="1"/>
  <c r="H24" i="8" s="1"/>
  <c r="H20" i="8" a="1"/>
  <c r="H20" i="8" s="1"/>
  <c r="H16" i="8" a="1"/>
  <c r="H16" i="8" s="1"/>
  <c r="H12" i="8" a="1"/>
  <c r="H12" i="8" s="1"/>
  <c r="H28" i="8" a="1"/>
  <c r="H28" i="8" s="1"/>
  <c r="H22" i="8" a="1"/>
  <c r="H22" i="8" s="1"/>
  <c r="H17" i="8" a="1"/>
  <c r="H17" i="8" s="1"/>
  <c r="H26" i="8" a="1"/>
  <c r="H26" i="8" s="1"/>
  <c r="H21" i="8" a="1"/>
  <c r="H21" i="8" s="1"/>
  <c r="H23" i="8" a="1"/>
  <c r="H23" i="8" s="1"/>
  <c r="H33" i="8" a="1"/>
  <c r="H33" i="8" s="1"/>
  <c r="H18" i="8" a="1"/>
  <c r="H18" i="8" s="1"/>
  <c r="H19" i="8" a="1"/>
  <c r="H19" i="8" s="1"/>
  <c r="H29" i="8" a="1"/>
  <c r="H29" i="8" s="1"/>
  <c r="H13" i="8" a="1"/>
  <c r="H13" i="8" s="1"/>
  <c r="H32" i="8" a="1"/>
  <c r="H32" i="8" s="1"/>
  <c r="H25" i="8" a="1"/>
  <c r="H25" i="8" s="1"/>
  <c r="H15" i="8" a="1"/>
  <c r="H15" i="8" s="1"/>
  <c r="H27" i="8" a="1"/>
  <c r="H27" i="8" s="1"/>
  <c r="H10" i="8" a="1"/>
  <c r="H10" i="8" s="1"/>
  <c r="H14" i="8" a="1"/>
  <c r="H14" i="8" s="1"/>
  <c r="H11" i="8" a="1"/>
  <c r="H11" i="8" s="1"/>
  <c r="H31" i="8" a="1"/>
  <c r="H31" i="8" s="1"/>
  <c r="AF58" i="8" a="1"/>
  <c r="AF58" i="8" s="1"/>
  <c r="AC58" i="8" a="1"/>
  <c r="AC58" i="8" s="1"/>
  <c r="AF106" i="8" a="1"/>
  <c r="AF106" i="8" s="1"/>
  <c r="AC106" i="8" a="1"/>
  <c r="AC106" i="8" s="1"/>
  <c r="AC131" i="8" a="1"/>
  <c r="AC131" i="8" s="1"/>
  <c r="X131" i="8" a="1"/>
  <c r="X131" i="8" s="1"/>
  <c r="U131" i="8" a="1"/>
  <c r="U131" i="8" s="1"/>
  <c r="Z10" i="8" a="1"/>
  <c r="Z10" i="8" s="1"/>
  <c r="T35" i="8" a="1"/>
  <c r="T35" i="8" s="1"/>
  <c r="T19" i="8" a="1"/>
  <c r="T19" i="8" s="1"/>
  <c r="T30" i="8" a="1"/>
  <c r="T30" i="8" s="1"/>
  <c r="T29" i="8" a="1"/>
  <c r="T29" i="8" s="1"/>
  <c r="T15" i="8" a="1"/>
  <c r="T15" i="8" s="1"/>
  <c r="T11" i="8" a="1"/>
  <c r="T11" i="8" s="1"/>
  <c r="T31" i="8" a="1"/>
  <c r="T31" i="8" s="1"/>
  <c r="T12" i="8" a="1"/>
  <c r="T12" i="8" s="1"/>
  <c r="T16" i="8" a="1"/>
  <c r="T16" i="8" s="1"/>
  <c r="T20" i="8" a="1"/>
  <c r="T20" i="8" s="1"/>
  <c r="T24" i="8" a="1"/>
  <c r="T24" i="8" s="1"/>
  <c r="T28" i="8" a="1"/>
  <c r="T28" i="8" s="1"/>
  <c r="T23" i="8" a="1"/>
  <c r="T23" i="8" s="1"/>
  <c r="T33" i="8" a="1"/>
  <c r="T33" i="8" s="1"/>
  <c r="P30" i="8" a="1"/>
  <c r="P30" i="8" s="1"/>
  <c r="P34" i="8" a="1"/>
  <c r="P34" i="8" s="1"/>
  <c r="P27" i="8" a="1"/>
  <c r="P27" i="8" s="1"/>
  <c r="P12" i="8" a="1"/>
  <c r="P12" i="8" s="1"/>
  <c r="P24" i="8" a="1"/>
  <c r="P24" i="8" s="1"/>
  <c r="P28" i="8" a="1"/>
  <c r="P28" i="8" s="1"/>
  <c r="P20" i="8" a="1"/>
  <c r="P20" i="8" s="1"/>
  <c r="P25" i="8" a="1"/>
  <c r="P25" i="8" s="1"/>
  <c r="P16" i="8" a="1"/>
  <c r="P16" i="8" s="1"/>
  <c r="P14" i="8" a="1"/>
  <c r="P14" i="8" s="1"/>
  <c r="P18" i="8" a="1"/>
  <c r="P18" i="8" s="1"/>
  <c r="P21" i="8" a="1"/>
  <c r="P21" i="8" s="1"/>
  <c r="P15" i="8" a="1"/>
  <c r="P15" i="8" s="1"/>
  <c r="P32" i="8" a="1"/>
  <c r="P32" i="8" s="1"/>
  <c r="P11" i="8" a="1"/>
  <c r="P11" i="8" s="1"/>
  <c r="P31" i="8" a="1"/>
  <c r="P31" i="8" s="1"/>
  <c r="P10" i="8" a="1"/>
  <c r="P10" i="8" s="1"/>
  <c r="P26" i="8" a="1"/>
  <c r="P26" i="8" s="1"/>
  <c r="P13" i="8" a="1"/>
  <c r="P13" i="8" s="1"/>
  <c r="P17" i="8" a="1"/>
  <c r="P17" i="8" s="1"/>
  <c r="P22" i="8" a="1"/>
  <c r="P22" i="8" s="1"/>
  <c r="P23" i="8" a="1"/>
  <c r="P23" i="8" s="1"/>
  <c r="P33" i="8" a="1"/>
  <c r="P33" i="8" s="1"/>
  <c r="P19" i="8" a="1"/>
  <c r="P19" i="8" s="1"/>
  <c r="P29" i="8" a="1"/>
  <c r="P29" i="8" s="1"/>
  <c r="AD10" i="8" a="1"/>
  <c r="AD10" i="8" s="1"/>
  <c r="AJ156" i="8" a="1"/>
  <c r="AJ156" i="8" s="1"/>
  <c r="AG156" i="8" a="1"/>
  <c r="AG156" i="8" s="1"/>
  <c r="Y230" i="8" a="1"/>
  <c r="Y230" i="8" s="1"/>
  <c r="AG10" i="8" a="1"/>
  <c r="AG10" i="8" s="1"/>
  <c r="Q10" i="8" a="1"/>
  <c r="Q10" i="8" s="1"/>
  <c r="L13" i="8" a="1"/>
  <c r="L13" i="8" s="1"/>
  <c r="AB34" i="8" a="1"/>
  <c r="AB34" i="8" s="1"/>
  <c r="T26" i="8" a="1"/>
  <c r="T26" i="8" s="1"/>
  <c r="T18" i="8" a="1"/>
  <c r="T18" i="8" s="1"/>
  <c r="T27" i="8" a="1"/>
  <c r="T27" i="8" s="1"/>
  <c r="U60" i="8" a="1"/>
  <c r="U60" i="8" s="1"/>
  <c r="AB83" i="8" a="1"/>
  <c r="AB83" i="8" s="1"/>
  <c r="Y83" i="8" a="1"/>
  <c r="Y83" i="8" s="1"/>
  <c r="AG131" i="8" a="1"/>
  <c r="AG131" i="8" s="1"/>
  <c r="AB130" i="8" a="1"/>
  <c r="AB130" i="8" s="1"/>
  <c r="Y130" i="8" a="1"/>
  <c r="Y130" i="8" s="1"/>
  <c r="AB155" i="8" a="1"/>
  <c r="AB155" i="8" s="1"/>
  <c r="Y155" i="8" a="1"/>
  <c r="Y155" i="8" s="1"/>
  <c r="X205" i="8" a="1"/>
  <c r="X205" i="8" s="1"/>
  <c r="U205" i="8" a="1"/>
  <c r="U205" i="8" s="1"/>
  <c r="L12" i="8" a="1"/>
  <c r="L12" i="8" s="1"/>
  <c r="E11" i="8" a="1"/>
  <c r="E11" i="8" s="1"/>
  <c r="U34" i="8" a="1"/>
  <c r="U34" i="8" s="1"/>
  <c r="AJ82" i="8" a="1"/>
  <c r="AJ82" i="8" s="1"/>
  <c r="AG82" i="8" a="1"/>
  <c r="AG82" i="8" s="1"/>
  <c r="AF82" i="8" a="1"/>
  <c r="AF82" i="8" s="1"/>
  <c r="AC82" i="8" a="1"/>
  <c r="AC82" i="8" s="1"/>
  <c r="AF156" i="8" a="1"/>
  <c r="AF156" i="8" s="1"/>
  <c r="AC156" i="8" a="1"/>
  <c r="AC156" i="8" s="1"/>
  <c r="AB131" i="8" a="1"/>
  <c r="AB131" i="8" s="1"/>
  <c r="Y131" i="8" a="1"/>
  <c r="Y131" i="8" s="1"/>
  <c r="X230" i="8" a="1"/>
  <c r="X230" i="8" s="1"/>
  <c r="U230" i="8" a="1"/>
  <c r="U230" i="8" s="1"/>
  <c r="AA10" i="8" a="1"/>
  <c r="AA10" i="8" s="1"/>
  <c r="Q11" i="8" a="1"/>
  <c r="Q11" i="8" s="1"/>
  <c r="U84" i="8" a="1"/>
  <c r="U84" i="8" s="1"/>
  <c r="I11" i="8" a="1"/>
  <c r="I11" i="8" s="1"/>
  <c r="U184" i="8" a="1"/>
  <c r="U184" i="8" s="1"/>
  <c r="T21" i="8" a="1"/>
  <c r="T21" i="8" s="1"/>
  <c r="AB58" i="8" a="1"/>
  <c r="AB58" i="8" s="1"/>
  <c r="Y58" i="8" a="1"/>
  <c r="Y58" i="8" s="1"/>
  <c r="AF206" i="8" a="1"/>
  <c r="AF206" i="8" s="1"/>
  <c r="AC206" i="8" a="1"/>
  <c r="AC206" i="8" s="1"/>
  <c r="L20" i="8" a="1"/>
  <c r="L20" i="8" s="1"/>
  <c r="L16" i="8" a="1"/>
  <c r="L16" i="8" s="1"/>
  <c r="AB35" i="8" a="1"/>
  <c r="AB35" i="8" s="1"/>
  <c r="Y35" i="8" a="1"/>
  <c r="Y35" i="8" s="1"/>
  <c r="AJ58" i="8" a="1"/>
  <c r="AJ58" i="8" s="1"/>
  <c r="AG58" i="8" a="1"/>
  <c r="AG58" i="8" s="1"/>
  <c r="AB59" i="8" a="1"/>
  <c r="AB59" i="8" s="1"/>
  <c r="Y59" i="8" a="1"/>
  <c r="Y59" i="8" s="1"/>
  <c r="AC34" i="8" a="1"/>
  <c r="AC34" i="8" s="1"/>
  <c r="X106" i="8" a="1"/>
  <c r="X106" i="8" s="1"/>
  <c r="U106" i="8" a="1"/>
  <c r="U106" i="8" s="1"/>
  <c r="AG35" i="8" a="1"/>
  <c r="AG35" i="8" s="1"/>
  <c r="AB82" i="8" a="1"/>
  <c r="AB82" i="8" s="1"/>
  <c r="Y82" i="8" a="1"/>
  <c r="Y82" i="8" s="1"/>
  <c r="AJ206" i="8" a="1"/>
  <c r="AJ206" i="8" s="1"/>
  <c r="AG206" i="8" a="1"/>
  <c r="AG206" i="8" s="1"/>
  <c r="AE10" i="8" a="1"/>
  <c r="AE10" i="8" s="1"/>
  <c r="W12" i="8" a="1"/>
  <c r="W12" i="8" s="1"/>
  <c r="T22" i="8" a="1"/>
  <c r="T22" i="8" s="1"/>
  <c r="AB107" i="8" a="1"/>
  <c r="AB107" i="8" s="1"/>
  <c r="Y107" i="8" a="1"/>
  <c r="Y107" i="8" s="1"/>
  <c r="M10" i="8" a="1"/>
  <c r="M10" i="8" s="1"/>
  <c r="L24" i="8" a="1"/>
  <c r="L24" i="8" s="1"/>
  <c r="L30" i="8" a="1"/>
  <c r="L30" i="8" s="1"/>
  <c r="Y10" i="8" a="1"/>
  <c r="Y10" i="8" s="1"/>
  <c r="I10" i="8" a="1"/>
  <c r="I10" i="8" s="1"/>
  <c r="AH13" i="8" a="1"/>
  <c r="AH13" i="8" s="1"/>
  <c r="X130" i="8" a="1"/>
  <c r="X130" i="8" s="1"/>
  <c r="U130" i="8" a="1"/>
  <c r="U130" i="8" s="1"/>
  <c r="T13" i="8" a="1"/>
  <c r="T13" i="8" s="1"/>
  <c r="G12" i="7"/>
  <c r="G13" i="7"/>
  <c r="G11" i="7"/>
  <c r="G10" i="7"/>
  <c r="G16" i="7"/>
  <c r="G15" i="7"/>
  <c r="G14" i="7"/>
  <c r="G9" i="7" a="1"/>
  <c r="B9" i="7" a="1"/>
  <c r="C9" i="7" a="1"/>
  <c r="D9" i="7" a="1"/>
  <c r="F9" i="7" a="1"/>
  <c r="E9" i="7" a="1"/>
  <c r="H9" i="7" a="1"/>
  <c r="I9" i="7" a="1"/>
  <c r="C78" i="6" a="1"/>
  <c r="C128" i="6" a="1"/>
  <c r="C107" i="6" a="1"/>
  <c r="C19" i="6" a="1"/>
  <c r="C83" i="6" a="1"/>
  <c r="B13" i="7" a="1"/>
  <c r="B89" i="6" a="1"/>
  <c r="B40" i="6" a="1"/>
  <c r="C58" i="6" a="1"/>
  <c r="B107" i="6" a="1"/>
  <c r="F14" i="7" a="1"/>
  <c r="B91" i="6" a="1"/>
  <c r="C67" i="6" a="1"/>
  <c r="B38" i="6" a="1"/>
  <c r="F10" i="7" a="1"/>
  <c r="C69" i="6" a="1"/>
  <c r="B117" i="6" a="1"/>
  <c r="B100" i="6" a="1"/>
  <c r="C29" i="6" a="1"/>
  <c r="H15" i="7" a="1"/>
  <c r="C17" i="6" a="1"/>
  <c r="C88" i="6" a="1"/>
  <c r="B10" i="6" a="1"/>
  <c r="B31" i="6" a="1"/>
  <c r="C37" i="6" a="1"/>
  <c r="E14" i="7" a="1"/>
  <c r="B55" i="6" a="1"/>
  <c r="B56" i="6" a="1"/>
  <c r="C50" i="6" a="1"/>
  <c r="B60" i="6" a="1"/>
  <c r="B79" i="6" a="1"/>
  <c r="C13" i="6" a="1"/>
  <c r="C118" i="6" a="1"/>
  <c r="C125" i="6" a="1"/>
  <c r="B45" i="6" a="1"/>
  <c r="C41" i="6" a="1"/>
  <c r="B98" i="6" a="1"/>
  <c r="B53" i="6" a="1"/>
  <c r="E10" i="7" a="1"/>
  <c r="C198" i="6" a="1"/>
  <c r="C190" i="6" a="1"/>
  <c r="B221" i="6" a="1"/>
  <c r="B136" i="6" a="1"/>
  <c r="C237" i="6" a="1"/>
  <c r="C154" i="6" a="1"/>
  <c r="C156" i="6" a="1"/>
  <c r="C193" i="6" a="1"/>
  <c r="B232" i="6" a="1"/>
  <c r="B152" i="6" a="1"/>
  <c r="C233" i="6" a="1"/>
  <c r="C234" i="6" a="1"/>
  <c r="C203" i="6" a="1"/>
  <c r="B214" i="6" a="1"/>
  <c r="C144" i="6" a="1"/>
  <c r="C225" i="6" a="1"/>
  <c r="B239" i="6" a="1"/>
  <c r="C172" i="6" a="1"/>
  <c r="B240" i="6" a="1"/>
  <c r="B165" i="6" a="1"/>
  <c r="B160" i="6" a="1"/>
  <c r="B204" i="6" a="1"/>
  <c r="C206" i="6" a="1"/>
  <c r="B185" i="6" a="1"/>
  <c r="B145" i="6" a="1"/>
  <c r="C166" i="6" a="1"/>
  <c r="B203" i="6" a="1"/>
  <c r="C226" i="6" a="1"/>
  <c r="B249" i="6" a="1"/>
  <c r="B188" i="6" a="1"/>
  <c r="B241" i="6" a="1"/>
  <c r="B137" i="6" a="1"/>
  <c r="C240" i="6" a="1"/>
  <c r="C246" i="6" a="1"/>
  <c r="B169" i="6" a="1"/>
  <c r="B27" i="6" a="1"/>
  <c r="C81" i="6" a="1"/>
  <c r="C73" i="6" a="1"/>
  <c r="C100" i="6" a="1"/>
  <c r="C71" i="6" a="1"/>
  <c r="C60" i="6" a="1"/>
  <c r="H13" i="7" a="1"/>
  <c r="B69" i="6" a="1"/>
  <c r="C109" i="6" a="1"/>
  <c r="B93" i="6" a="1"/>
  <c r="B113" i="6" a="1"/>
  <c r="B72" i="6" a="1"/>
  <c r="B62" i="6" a="1"/>
  <c r="C124" i="6" a="1"/>
  <c r="C34" i="6" a="1"/>
  <c r="C30" i="6" a="1"/>
  <c r="C66" i="6" a="1"/>
  <c r="B16" i="7" a="1"/>
  <c r="C56" i="6" a="1"/>
  <c r="B23" i="6" a="1"/>
  <c r="C110" i="6" a="1"/>
  <c r="C25" i="6" a="1"/>
  <c r="C45" i="6" a="1"/>
  <c r="B65" i="6" a="1"/>
  <c r="F16" i="7" a="1"/>
  <c r="B39" i="6" a="1"/>
  <c r="B122" i="6" a="1"/>
  <c r="C23" i="6" a="1"/>
  <c r="B114" i="6" a="1"/>
  <c r="C65" i="6" a="1"/>
  <c r="C102" i="6" a="1"/>
  <c r="B123" i="6" a="1"/>
  <c r="B11" i="7" a="1"/>
  <c r="C208" i="6" a="1"/>
  <c r="C161" i="6" a="1"/>
  <c r="B225" i="6" a="1"/>
  <c r="C160" i="6" a="1"/>
  <c r="B199" i="6" a="1"/>
  <c r="C134" i="6" a="1"/>
  <c r="B193" i="6" a="1"/>
  <c r="C143" i="6" a="1"/>
  <c r="B227" i="6" a="1"/>
  <c r="C216" i="6" a="1"/>
  <c r="B231" i="6" a="1"/>
  <c r="C221" i="6" a="1"/>
  <c r="C63" i="6" a="1"/>
  <c r="C82" i="6" a="1"/>
  <c r="B126" i="6" a="1"/>
  <c r="C98" i="6" a="1"/>
  <c r="H11" i="7" a="1"/>
  <c r="B33" i="6" a="1"/>
  <c r="C80" i="6" a="1"/>
  <c r="C57" i="6" a="1"/>
  <c r="C92" i="6" a="1"/>
  <c r="H14" i="7" a="1"/>
  <c r="B16" i="6" a="1"/>
  <c r="B119" i="6" a="1"/>
  <c r="B12" i="7" a="1"/>
  <c r="B103" i="6" a="1"/>
  <c r="C22" i="6" a="1"/>
  <c r="C54" i="6" a="1"/>
  <c r="B66" i="6" a="1"/>
  <c r="B12" i="6" a="1"/>
  <c r="B34" i="6" a="1"/>
  <c r="B95" i="6" a="1"/>
  <c r="B36" i="6" a="1"/>
  <c r="C106" i="6" a="1"/>
  <c r="C70" i="6" a="1"/>
  <c r="B101" i="6" a="1"/>
  <c r="B49" i="6" a="1"/>
  <c r="B99" i="6" a="1"/>
  <c r="B94" i="6" a="1"/>
  <c r="C120" i="6" a="1"/>
  <c r="B58" i="6" a="1"/>
  <c r="C20" i="6" a="1"/>
  <c r="C111" i="6" a="1"/>
  <c r="C11" i="6" a="1"/>
  <c r="B73" i="6" a="1"/>
  <c r="B17" i="6" a="1"/>
  <c r="H12" i="7" a="1"/>
  <c r="C146" i="6" a="1"/>
  <c r="C231" i="6" a="1"/>
  <c r="B244" i="6" a="1"/>
  <c r="B166" i="6" a="1"/>
  <c r="B138" i="6" a="1"/>
  <c r="C241" i="6" a="1"/>
  <c r="C130" i="6" a="1"/>
  <c r="C180" i="6" a="1"/>
  <c r="C220" i="6" a="1"/>
  <c r="C197" i="6" a="1"/>
  <c r="B196" i="6" a="1"/>
  <c r="C179" i="6" a="1"/>
  <c r="B162" i="6" a="1"/>
  <c r="B153" i="6" a="1"/>
  <c r="C215" i="6" a="1"/>
  <c r="C229" i="6" a="1"/>
  <c r="B159" i="6" a="1"/>
  <c r="C150" i="6" a="1"/>
  <c r="B215" i="6" a="1"/>
  <c r="B189" i="6" a="1"/>
  <c r="B192" i="6" a="1"/>
  <c r="B208" i="6" a="1"/>
  <c r="B130" i="6" a="1"/>
  <c r="C212" i="6" a="1"/>
  <c r="C236" i="6" a="1"/>
  <c r="C168" i="6" a="1"/>
  <c r="B218" i="6" a="1"/>
  <c r="B150" i="6" a="1"/>
  <c r="C151" i="6" a="1"/>
  <c r="C149" i="6" a="1"/>
  <c r="C131" i="6" a="1"/>
  <c r="B147" i="6" a="1"/>
  <c r="B220" i="6" a="1"/>
  <c r="C170" i="6" a="1"/>
  <c r="C227" i="6" a="1"/>
  <c r="C101" i="6" a="1"/>
  <c r="C104" i="6" a="1"/>
  <c r="C15" i="7" a="1"/>
  <c r="C52" i="6" a="1"/>
  <c r="C14" i="6" a="1"/>
  <c r="B97" i="6" a="1"/>
  <c r="B124" i="6" a="1"/>
  <c r="C13" i="7" a="1"/>
  <c r="C48" i="6" a="1"/>
  <c r="C85" i="6" a="1"/>
  <c r="B67" i="6" a="1"/>
  <c r="E16" i="7" a="1"/>
  <c r="B11" i="6" a="1"/>
  <c r="C126" i="6" a="1"/>
  <c r="B116" i="6" a="1"/>
  <c r="C90" i="6" a="1"/>
  <c r="B129" i="6" a="1"/>
  <c r="C127" i="6" a="1"/>
  <c r="C21" i="6" a="1"/>
  <c r="C116" i="6" a="1"/>
  <c r="B77" i="6" a="1"/>
  <c r="B85" i="6" a="1"/>
  <c r="C117" i="6" a="1"/>
  <c r="B128" i="6" a="1"/>
  <c r="B13" i="6" a="1"/>
  <c r="B74" i="6" a="1"/>
  <c r="C18" i="6" a="1"/>
  <c r="C103" i="6" a="1"/>
  <c r="B82" i="6" a="1"/>
  <c r="C61" i="6" a="1"/>
  <c r="C49" i="6" a="1"/>
  <c r="B125" i="6" a="1"/>
  <c r="B10" i="7" a="1"/>
  <c r="C157" i="6" a="1"/>
  <c r="C132" i="6" a="1"/>
  <c r="B140" i="6" a="1"/>
  <c r="C209" i="6" a="1"/>
  <c r="C138" i="6" a="1"/>
  <c r="B161" i="6" a="1"/>
  <c r="C214" i="6" a="1"/>
  <c r="B198" i="6" a="1"/>
  <c r="B154" i="6" a="1"/>
  <c r="C167" i="6" a="1"/>
  <c r="B176" i="6" a="1"/>
  <c r="C173" i="6" a="1"/>
  <c r="C175" i="6" a="1"/>
  <c r="B233" i="6" a="1"/>
  <c r="B177" i="6" a="1"/>
  <c r="B182" i="6" a="1"/>
  <c r="C186" i="6" a="1"/>
  <c r="B143" i="6" a="1"/>
  <c r="C162" i="6" a="1"/>
  <c r="B200" i="6" a="1"/>
  <c r="C135" i="6" a="1"/>
  <c r="C189" i="6" a="1"/>
  <c r="B243" i="6" a="1"/>
  <c r="B183" i="6" a="1"/>
  <c r="B210" i="6" a="1"/>
  <c r="B230" i="6" a="1"/>
  <c r="B146" i="6" a="1"/>
  <c r="C218" i="6" a="1"/>
  <c r="C176" i="6" a="1"/>
  <c r="B247" i="6" a="1"/>
  <c r="C141" i="6" a="1"/>
  <c r="B238" i="6" a="1"/>
  <c r="C36" i="6" a="1"/>
  <c r="B84" i="6" a="1"/>
  <c r="B26" i="6" a="1"/>
  <c r="B54" i="6" a="1"/>
  <c r="F12" i="7" a="1"/>
  <c r="B52" i="6" a="1"/>
  <c r="B47" i="6" a="1"/>
  <c r="C91" i="6" a="1"/>
  <c r="C12" i="7" a="1"/>
  <c r="C47" i="6" a="1"/>
  <c r="C15" i="6" a="1"/>
  <c r="C115" i="6" a="1"/>
  <c r="E15" i="7" a="1"/>
  <c r="B102" i="6" a="1"/>
  <c r="B120" i="6" a="1"/>
  <c r="C94" i="6" a="1"/>
  <c r="C113" i="6" a="1"/>
  <c r="B15" i="7" a="1"/>
  <c r="B37" i="6" a="1"/>
  <c r="B68" i="6" a="1"/>
  <c r="B70" i="6" a="1"/>
  <c r="B110" i="6" a="1"/>
  <c r="B21" i="6" a="1"/>
  <c r="C32" i="6" a="1"/>
  <c r="C26" i="6" a="1"/>
  <c r="B61" i="6" a="1"/>
  <c r="C38" i="6" a="1"/>
  <c r="B88" i="6" a="1"/>
  <c r="C27" i="6" a="1"/>
  <c r="B96" i="6" a="1"/>
  <c r="B115" i="6" a="1"/>
  <c r="H10" i="7" a="1"/>
  <c r="B170" i="6" a="1"/>
  <c r="B207" i="6" a="1"/>
  <c r="B246" i="6" a="1"/>
  <c r="B212" i="6" a="1"/>
  <c r="C165" i="6" a="1"/>
  <c r="C181" i="6" a="1"/>
  <c r="B248" i="6" a="1"/>
  <c r="C196" i="6" a="1"/>
  <c r="B134" i="6" a="1"/>
  <c r="C223" i="6" a="1"/>
  <c r="B202" i="6" a="1"/>
  <c r="B209" i="6" a="1"/>
  <c r="B172" i="6" a="1"/>
  <c r="B158" i="6" a="1"/>
  <c r="B245" i="6" a="1"/>
  <c r="C158" i="6" a="1"/>
  <c r="B219" i="6" a="1"/>
  <c r="C145" i="6" a="1"/>
  <c r="C169" i="6" a="1"/>
  <c r="C204" i="6" a="1"/>
  <c r="C224" i="6" a="1"/>
  <c r="C177" i="6" a="1"/>
  <c r="B148" i="6" a="1"/>
  <c r="C147" i="6" a="1"/>
  <c r="B132" i="6" a="1"/>
  <c r="C148" i="6" a="1"/>
  <c r="B135" i="6" a="1"/>
  <c r="C238" i="6" a="1"/>
  <c r="C152" i="6" a="1"/>
  <c r="B28" i="6" a="1"/>
  <c r="C86" i="6" a="1"/>
  <c r="B42" i="6" a="1"/>
  <c r="B81" i="6" a="1"/>
  <c r="C95" i="6" a="1"/>
  <c r="C75" i="6" a="1"/>
  <c r="B108" i="6" a="1"/>
  <c r="C64" i="6" a="1"/>
  <c r="B14" i="7" a="1"/>
  <c r="B51" i="6" a="1"/>
  <c r="B80" i="6" a="1"/>
  <c r="C31" i="6" a="1"/>
  <c r="B59" i="6" a="1"/>
  <c r="B43" i="6" a="1"/>
  <c r="F13" i="7" a="1"/>
  <c r="C89" i="6" a="1"/>
  <c r="C53" i="6" a="1"/>
  <c r="B104" i="6" a="1"/>
  <c r="C108" i="6" a="1"/>
  <c r="C51" i="6" a="1"/>
  <c r="C16" i="7" a="1"/>
  <c r="C74" i="6" a="1"/>
  <c r="B22" i="6" a="1"/>
  <c r="B105" i="6" a="1"/>
  <c r="B35" i="6" a="1"/>
  <c r="C43" i="6" a="1"/>
  <c r="C121" i="6" a="1"/>
  <c r="C87" i="6" a="1"/>
  <c r="B30" i="6" a="1"/>
  <c r="C42" i="6" a="1"/>
  <c r="C129" i="6" a="1"/>
  <c r="B29" i="6" a="1"/>
  <c r="C12" i="6" a="1"/>
  <c r="C68" i="6" a="1"/>
  <c r="B24" i="6" a="1"/>
  <c r="E13" i="7" a="1"/>
  <c r="C164" i="6" a="1"/>
  <c r="B195" i="6" a="1"/>
  <c r="B180" i="6" a="1"/>
  <c r="B184" i="6" a="1"/>
  <c r="C239" i="6" a="1"/>
  <c r="B149" i="6" a="1"/>
  <c r="C210" i="6" a="1"/>
  <c r="C199" i="6" a="1"/>
  <c r="C163" i="6" a="1"/>
  <c r="B201" i="6" a="1"/>
  <c r="C171" i="6" a="1"/>
  <c r="B163" i="6" a="1"/>
  <c r="C155" i="6" a="1"/>
  <c r="C178" i="6" a="1"/>
  <c r="B156" i="6" a="1"/>
  <c r="B213" i="6" a="1"/>
  <c r="C96" i="6" a="1"/>
  <c r="B64" i="6" a="1"/>
  <c r="B86" i="6" a="1"/>
  <c r="B32" i="6" a="1"/>
  <c r="C40" i="6" a="1"/>
  <c r="C112" i="6" a="1"/>
  <c r="C28" i="6" a="1"/>
  <c r="H16" i="7" a="1"/>
  <c r="C123" i="6" a="1"/>
  <c r="C59" i="6" a="1"/>
  <c r="B127" i="6" a="1"/>
  <c r="C14" i="7" a="1"/>
  <c r="B46" i="6" a="1"/>
  <c r="C97" i="6" a="1"/>
  <c r="B63" i="6" a="1"/>
  <c r="C10" i="7" a="1"/>
  <c r="B57" i="6" a="1"/>
  <c r="C77" i="6" a="1"/>
  <c r="B50" i="6" a="1"/>
  <c r="I10" i="7" a="1"/>
  <c r="C62" i="6" a="1"/>
  <c r="B14" i="6" a="1"/>
  <c r="B44" i="6" a="1"/>
  <c r="B48" i="6" a="1"/>
  <c r="C24" i="6" a="1"/>
  <c r="C10" i="6" a="1"/>
  <c r="C114" i="6" a="1"/>
  <c r="C44" i="6" a="1"/>
  <c r="B87" i="6" a="1"/>
  <c r="C122" i="6" a="1"/>
  <c r="B15" i="6" a="1"/>
  <c r="C79" i="6" a="1"/>
  <c r="B111" i="6" a="1"/>
  <c r="F15" i="7" a="1"/>
  <c r="B167" i="6" a="1"/>
  <c r="C200" i="6" a="1"/>
  <c r="C182" i="6" a="1"/>
  <c r="C244" i="6" a="1"/>
  <c r="C153" i="6" a="1"/>
  <c r="B142" i="6" a="1"/>
  <c r="B174" i="6" a="1"/>
  <c r="B141" i="6" a="1"/>
  <c r="B224" i="6" a="1"/>
  <c r="C222" i="6" a="1"/>
  <c r="C140" i="6" a="1"/>
  <c r="B222" i="6" a="1"/>
  <c r="B171" i="6" a="1"/>
  <c r="C201" i="6" a="1"/>
  <c r="B144" i="6" a="1"/>
  <c r="B190" i="6" a="1"/>
  <c r="B175" i="6" a="1"/>
  <c r="B228" i="6" a="1"/>
  <c r="B179" i="6" a="1"/>
  <c r="C243" i="6" a="1"/>
  <c r="B194" i="6" a="1"/>
  <c r="B223" i="6" a="1"/>
  <c r="C217" i="6" a="1"/>
  <c r="C137" i="6" a="1"/>
  <c r="C235" i="6" a="1"/>
  <c r="B151" i="6" a="1"/>
  <c r="C207" i="6" a="1"/>
  <c r="C213" i="6" a="1"/>
  <c r="C195" i="6" a="1"/>
  <c r="C245" i="6" a="1"/>
  <c r="C192" i="6" a="1"/>
  <c r="B226" i="6" a="1"/>
  <c r="C35" i="6" a="1"/>
  <c r="B71" i="6" a="1"/>
  <c r="B83" i="6" a="1"/>
  <c r="B20" i="6" a="1"/>
  <c r="C55" i="6" a="1"/>
  <c r="F11" i="7" a="1"/>
  <c r="C99" i="6" a="1"/>
  <c r="B121" i="6" a="1"/>
  <c r="C76" i="6" a="1"/>
  <c r="C72" i="6" a="1"/>
  <c r="B90" i="6" a="1"/>
  <c r="E12" i="7" a="1"/>
  <c r="B112" i="6" a="1"/>
  <c r="C39" i="6" a="1"/>
  <c r="C16" i="6" a="1"/>
  <c r="B78" i="6" a="1"/>
  <c r="B18" i="6" a="1"/>
  <c r="B92" i="6" a="1"/>
  <c r="B19" i="6" a="1"/>
  <c r="C119" i="6" a="1"/>
  <c r="E11" i="7" a="1"/>
  <c r="C33" i="6" a="1"/>
  <c r="C93" i="6" a="1"/>
  <c r="B25" i="6" a="1"/>
  <c r="B118" i="6" a="1"/>
  <c r="B109" i="6" a="1"/>
  <c r="B75" i="6" a="1"/>
  <c r="C84" i="6" a="1"/>
  <c r="C46" i="6" a="1"/>
  <c r="C105" i="6" a="1"/>
  <c r="B76" i="6" a="1"/>
  <c r="B41" i="6" a="1"/>
  <c r="B106" i="6" a="1"/>
  <c r="C242" i="6" a="1"/>
  <c r="B168" i="6" a="1"/>
  <c r="C247" i="6" a="1"/>
  <c r="B155" i="6" a="1"/>
  <c r="C185" i="6" a="1"/>
  <c r="B211" i="6" a="1"/>
  <c r="B186" i="6" a="1"/>
  <c r="C159" i="6" a="1"/>
  <c r="B237" i="6" a="1"/>
  <c r="C136" i="6" a="1"/>
  <c r="C174" i="6" a="1"/>
  <c r="B191" i="6" a="1"/>
  <c r="B139" i="6" a="1"/>
  <c r="B173" i="6" a="1"/>
  <c r="B242" i="6" a="1"/>
  <c r="B157" i="6" a="1"/>
  <c r="B234" i="6" a="1"/>
  <c r="C232" i="6" a="1"/>
  <c r="B205" i="6" a="1"/>
  <c r="B131" i="6" a="1"/>
  <c r="C202" i="6" a="1"/>
  <c r="B178" i="6" a="1"/>
  <c r="B206" i="6" a="1"/>
  <c r="C219" i="6" a="1"/>
  <c r="C205" i="6" a="1"/>
  <c r="C248" i="6" a="1"/>
  <c r="C142" i="6" a="1"/>
  <c r="B216" i="6" a="1"/>
  <c r="C194" i="6" a="1"/>
  <c r="B217" i="6" a="1"/>
  <c r="B229" i="6" a="1"/>
  <c r="C187" i="6" a="1"/>
  <c r="C139" i="6" a="1"/>
  <c r="B235" i="6" a="1"/>
  <c r="B197" i="6" a="1"/>
  <c r="B181" i="6" a="1"/>
  <c r="C191" i="6" a="1"/>
  <c r="B164" i="6" a="1"/>
  <c r="B133" i="6" a="1"/>
  <c r="C230" i="6" a="1"/>
  <c r="C183" i="6" a="1"/>
  <c r="B187" i="6" a="1"/>
  <c r="C228" i="6" a="1"/>
  <c r="B236" i="6" a="1"/>
  <c r="C133" i="6" a="1"/>
  <c r="C249" i="6" a="1"/>
  <c r="C211" i="6" a="1"/>
  <c r="C188" i="6" a="1"/>
  <c r="C184" i="6" a="1"/>
  <c r="C11" i="7" a="1"/>
  <c r="D14" i="7" a="1"/>
  <c r="D11" i="7" a="1"/>
  <c r="D13" i="7" a="1"/>
  <c r="D15" i="7" a="1"/>
  <c r="D16" i="7" a="1"/>
  <c r="D10" i="7" a="1"/>
  <c r="AE38" i="8" l="1" a="1"/>
  <c r="AE38" i="8" s="1"/>
  <c r="W39" i="8" a="1"/>
  <c r="W39" i="8" s="1"/>
  <c r="AJ35" i="8" a="1"/>
  <c r="AJ35" i="8" s="1"/>
  <c r="AI46" i="8" a="1"/>
  <c r="AI46" i="8" s="1"/>
  <c r="AA39" i="8" a="1"/>
  <c r="AA39" i="8" s="1"/>
  <c r="X156" i="8" a="1"/>
  <c r="X156" i="8" s="1"/>
  <c r="U156" i="8" a="1"/>
  <c r="U156" i="8" s="1"/>
  <c r="X84" i="8" a="1"/>
  <c r="X84" i="8" s="1"/>
  <c r="AD37" i="8" a="1"/>
  <c r="AD37" i="8" s="1"/>
  <c r="X184" i="8" a="1"/>
  <c r="X184" i="8" s="1"/>
  <c r="AF182" i="8" a="1"/>
  <c r="AF182" i="8" s="1"/>
  <c r="AC182" i="8" a="1"/>
  <c r="AC182" i="8" s="1"/>
  <c r="AF131" i="8" a="1"/>
  <c r="AF131" i="8" s="1"/>
  <c r="AJ182" i="8" a="1"/>
  <c r="AJ182" i="8" s="1"/>
  <c r="AG182" i="8" a="1"/>
  <c r="AG182" i="8" s="1"/>
  <c r="AB230" i="8" a="1"/>
  <c r="AB230" i="8" s="1"/>
  <c r="W206" i="8" a="1"/>
  <c r="W206" i="8" s="1"/>
  <c r="X60" i="8" a="1"/>
  <c r="X60" i="8" s="1"/>
  <c r="AJ230" i="8" a="1"/>
  <c r="AJ230" i="8" s="1"/>
  <c r="AB182" i="8" a="1"/>
  <c r="AB182" i="8" s="1"/>
  <c r="Y182" i="8" a="1"/>
  <c r="Y182" i="8" s="1"/>
  <c r="V12" i="8" a="1"/>
  <c r="V12" i="8" s="1"/>
  <c r="AJ131" i="8" a="1"/>
  <c r="AJ131" i="8" s="1"/>
  <c r="AF230" i="8" a="1"/>
  <c r="AF230" i="8" s="1"/>
  <c r="AC230" i="8" a="1"/>
  <c r="AC230" i="8" s="1"/>
  <c r="Z38" i="8" a="1"/>
  <c r="Z38" i="8" s="1"/>
  <c r="AE11" i="8" a="1"/>
  <c r="AE11" i="8" s="1"/>
  <c r="AF34" i="8" a="1"/>
  <c r="AF34" i="8" s="1"/>
  <c r="U85" i="8" a="1"/>
  <c r="U85" i="8" s="1"/>
  <c r="AA11" i="8" a="1"/>
  <c r="AA11" i="8" s="1"/>
  <c r="AF157" i="8" a="1"/>
  <c r="AF157" i="8" s="1"/>
  <c r="AC157" i="8" a="1"/>
  <c r="AC157" i="8" s="1"/>
  <c r="X34" i="8" a="1"/>
  <c r="X34" i="8" s="1"/>
  <c r="U61" i="8" a="1"/>
  <c r="U61" i="8" s="1"/>
  <c r="Z11" i="8" a="1"/>
  <c r="Z11" i="8" s="1"/>
  <c r="AF59" i="8" a="1"/>
  <c r="AF59" i="8" s="1"/>
  <c r="AC59" i="8" a="1"/>
  <c r="AC59" i="8" s="1"/>
  <c r="AH14" i="8" a="1"/>
  <c r="AH14" i="8" s="1"/>
  <c r="AC10" i="8" a="1"/>
  <c r="AC10" i="8" s="1"/>
  <c r="W13" i="8" a="1"/>
  <c r="W13" i="8" s="1"/>
  <c r="Y11" i="8" a="1"/>
  <c r="Y11" i="8" s="1"/>
  <c r="AG11" i="8" a="1"/>
  <c r="AG11" i="8" s="1"/>
  <c r="AB132" i="8" a="1"/>
  <c r="AB132" i="8" s="1"/>
  <c r="Y132" i="8" a="1"/>
  <c r="Y132" i="8" s="1"/>
  <c r="AB156" i="8" a="1"/>
  <c r="AB156" i="8" s="1"/>
  <c r="Y156" i="8" a="1"/>
  <c r="Y156" i="8" s="1"/>
  <c r="AB84" i="8" a="1"/>
  <c r="AB84" i="8" s="1"/>
  <c r="Y84" i="8" a="1"/>
  <c r="Y84" i="8" s="1"/>
  <c r="AJ157" i="8" a="1"/>
  <c r="AJ157" i="8" s="1"/>
  <c r="AG157" i="8" a="1"/>
  <c r="AG157" i="8" s="1"/>
  <c r="AF107" i="8" a="1"/>
  <c r="AF107" i="8" s="1"/>
  <c r="AC107" i="8" a="1"/>
  <c r="AC107" i="8" s="1"/>
  <c r="X108" i="8" a="1"/>
  <c r="X108" i="8" s="1"/>
  <c r="U108" i="8" a="1"/>
  <c r="U108" i="8" s="1"/>
  <c r="AI11" i="8" a="1"/>
  <c r="AI11" i="8" s="1"/>
  <c r="AJ59" i="8" a="1"/>
  <c r="AJ59" i="8" s="1"/>
  <c r="AG59" i="8" a="1"/>
  <c r="AG59" i="8" s="1"/>
  <c r="AF207" i="8" a="1"/>
  <c r="AF207" i="8" s="1"/>
  <c r="AC207" i="8" a="1"/>
  <c r="AC207" i="8" s="1"/>
  <c r="AJ83" i="8" a="1"/>
  <c r="AJ83" i="8" s="1"/>
  <c r="AG83" i="8" a="1"/>
  <c r="AG83" i="8" s="1"/>
  <c r="U11" i="8" a="1"/>
  <c r="U11" i="8" s="1"/>
  <c r="X206" i="8" a="1"/>
  <c r="X206" i="8" s="1"/>
  <c r="U206" i="8" a="1"/>
  <c r="U206" i="8" s="1"/>
  <c r="AG132" i="8" a="1"/>
  <c r="AG132" i="8" s="1"/>
  <c r="Y231" i="8" a="1"/>
  <c r="Y231" i="8" s="1"/>
  <c r="X132" i="8" a="1"/>
  <c r="X132" i="8" s="1"/>
  <c r="U132" i="8" a="1"/>
  <c r="U132" i="8" s="1"/>
  <c r="AC132" i="8" a="1"/>
  <c r="AC132" i="8" s="1"/>
  <c r="X36" i="8" a="1"/>
  <c r="X36" i="8" s="1"/>
  <c r="U36" i="8" a="1"/>
  <c r="U36" i="8" s="1"/>
  <c r="AJ108" i="8" a="1"/>
  <c r="AJ108" i="8" s="1"/>
  <c r="AG108" i="8" a="1"/>
  <c r="AG108" i="8" s="1"/>
  <c r="AB108" i="8" a="1"/>
  <c r="AB108" i="8" s="1"/>
  <c r="Y108" i="8" a="1"/>
  <c r="Y108" i="8" s="1"/>
  <c r="AJ207" i="8" a="1"/>
  <c r="AJ207" i="8" s="1"/>
  <c r="AG207" i="8" a="1"/>
  <c r="AG207" i="8" s="1"/>
  <c r="AG36" i="8" a="1"/>
  <c r="AG36" i="8" s="1"/>
  <c r="AF35" i="8" a="1"/>
  <c r="AF35" i="8" s="1"/>
  <c r="AC35" i="8" a="1"/>
  <c r="AC35" i="8" s="1"/>
  <c r="AB60" i="8" a="1"/>
  <c r="AB60" i="8" s="1"/>
  <c r="Y60" i="8" a="1"/>
  <c r="Y60" i="8" s="1"/>
  <c r="AB36" i="8" a="1"/>
  <c r="AB36" i="8" s="1"/>
  <c r="Y36" i="8" a="1"/>
  <c r="Y36" i="8" s="1"/>
  <c r="U185" i="8" a="1"/>
  <c r="U185" i="8" s="1"/>
  <c r="X231" i="8" a="1"/>
  <c r="X231" i="8" s="1"/>
  <c r="U231" i="8" a="1"/>
  <c r="U231" i="8" s="1"/>
  <c r="AF83" i="8" a="1"/>
  <c r="AF83" i="8" s="1"/>
  <c r="AC83" i="8" a="1"/>
  <c r="AC83" i="8" s="1"/>
  <c r="AD11" i="8" a="1"/>
  <c r="AD11" i="8" s="1"/>
  <c r="AG231" i="8" a="1"/>
  <c r="AG231" i="8" s="1"/>
  <c r="AB207" i="8" a="1"/>
  <c r="AB207" i="8" s="1"/>
  <c r="Y207" i="8" a="1"/>
  <c r="Y207" i="8" s="1"/>
  <c r="C184" i="6"/>
  <c r="C188" i="6"/>
  <c r="C211" i="6"/>
  <c r="C249" i="6"/>
  <c r="C133" i="6"/>
  <c r="B236" i="6"/>
  <c r="C228" i="6"/>
  <c r="B187" i="6"/>
  <c r="C183" i="6"/>
  <c r="C230" i="6"/>
  <c r="B133" i="6"/>
  <c r="B164" i="6"/>
  <c r="C191" i="6"/>
  <c r="B181" i="6"/>
  <c r="B197" i="6"/>
  <c r="B235" i="6"/>
  <c r="C139" i="6"/>
  <c r="C187" i="6"/>
  <c r="B229" i="6"/>
  <c r="B217" i="6"/>
  <c r="C194" i="6"/>
  <c r="B216" i="6"/>
  <c r="C142" i="6"/>
  <c r="C248" i="6"/>
  <c r="C205" i="6"/>
  <c r="C219" i="6"/>
  <c r="B206" i="6"/>
  <c r="B178" i="6"/>
  <c r="C202" i="6"/>
  <c r="B131" i="6"/>
  <c r="B205" i="6"/>
  <c r="C232" i="6"/>
  <c r="B234" i="6"/>
  <c r="B157" i="6"/>
  <c r="B242" i="6"/>
  <c r="B173" i="6"/>
  <c r="B139" i="6"/>
  <c r="B191" i="6"/>
  <c r="C174" i="6"/>
  <c r="C136" i="6"/>
  <c r="B237" i="6"/>
  <c r="C159" i="6"/>
  <c r="B186" i="6"/>
  <c r="B211" i="6"/>
  <c r="C185" i="6"/>
  <c r="B155" i="6"/>
  <c r="C247" i="6"/>
  <c r="B168" i="6"/>
  <c r="C242" i="6"/>
  <c r="B106" i="6"/>
  <c r="B41" i="6"/>
  <c r="B76" i="6"/>
  <c r="C105" i="6"/>
  <c r="C46" i="6"/>
  <c r="C84" i="6"/>
  <c r="B75" i="6"/>
  <c r="B109" i="6"/>
  <c r="B118" i="6"/>
  <c r="B25" i="6"/>
  <c r="C93" i="6"/>
  <c r="C33" i="6"/>
  <c r="E11" i="7"/>
  <c r="C119" i="6"/>
  <c r="B19" i="6"/>
  <c r="B92" i="6"/>
  <c r="B18" i="6"/>
  <c r="B78" i="6"/>
  <c r="C16" i="6"/>
  <c r="C39" i="6"/>
  <c r="B112" i="6"/>
  <c r="E12" i="7"/>
  <c r="B90" i="6"/>
  <c r="C72" i="6"/>
  <c r="C76" i="6"/>
  <c r="B121" i="6"/>
  <c r="C99" i="6"/>
  <c r="F11" i="7"/>
  <c r="C55" i="6"/>
  <c r="B20" i="6"/>
  <c r="B83" i="6"/>
  <c r="B71" i="6"/>
  <c r="C35" i="6"/>
  <c r="B226" i="6"/>
  <c r="C192" i="6"/>
  <c r="C245" i="6"/>
  <c r="C195" i="6"/>
  <c r="C213" i="6"/>
  <c r="C207" i="6"/>
  <c r="B151" i="6"/>
  <c r="C235" i="6"/>
  <c r="C137" i="6"/>
  <c r="C217" i="6"/>
  <c r="B223" i="6"/>
  <c r="B194" i="6"/>
  <c r="C243" i="6"/>
  <c r="B179" i="6"/>
  <c r="B228" i="6"/>
  <c r="B175" i="6"/>
  <c r="B190" i="6"/>
  <c r="B144" i="6"/>
  <c r="C201" i="6"/>
  <c r="B171" i="6"/>
  <c r="B222" i="6"/>
  <c r="C140" i="6"/>
  <c r="C222" i="6"/>
  <c r="B224" i="6"/>
  <c r="B141" i="6"/>
  <c r="B174" i="6"/>
  <c r="B142" i="6"/>
  <c r="C153" i="6"/>
  <c r="C244" i="6"/>
  <c r="C182" i="6"/>
  <c r="C200" i="6"/>
  <c r="B167" i="6"/>
  <c r="F15" i="7"/>
  <c r="B111" i="6"/>
  <c r="C79" i="6"/>
  <c r="B15" i="6"/>
  <c r="C122" i="6"/>
  <c r="B87" i="6"/>
  <c r="C44" i="6"/>
  <c r="C114" i="6"/>
  <c r="C10" i="6"/>
  <c r="C24" i="6"/>
  <c r="B48" i="6"/>
  <c r="B44" i="6"/>
  <c r="B14" i="6"/>
  <c r="C62" i="6"/>
  <c r="I10" i="7"/>
  <c r="B50" i="6"/>
  <c r="C77" i="6"/>
  <c r="B57" i="6"/>
  <c r="C10" i="7"/>
  <c r="B63" i="6"/>
  <c r="C97" i="6"/>
  <c r="B46" i="6"/>
  <c r="C14" i="7"/>
  <c r="B127" i="6"/>
  <c r="C59" i="6"/>
  <c r="C123" i="6"/>
  <c r="H16" i="7"/>
  <c r="C28" i="6"/>
  <c r="C112" i="6"/>
  <c r="C40" i="6"/>
  <c r="B32" i="6"/>
  <c r="B86" i="6"/>
  <c r="D10" i="7"/>
  <c r="B64" i="6"/>
  <c r="C96" i="6"/>
  <c r="B213" i="6"/>
  <c r="B156" i="6"/>
  <c r="C178" i="6"/>
  <c r="C155" i="6"/>
  <c r="B163" i="6"/>
  <c r="C171" i="6"/>
  <c r="B201" i="6"/>
  <c r="C163" i="6"/>
  <c r="C199" i="6"/>
  <c r="C210" i="6"/>
  <c r="B149" i="6"/>
  <c r="C239" i="6"/>
  <c r="B184" i="6"/>
  <c r="B180" i="6"/>
  <c r="B195" i="6"/>
  <c r="C164" i="6"/>
  <c r="E13" i="7"/>
  <c r="B24" i="6"/>
  <c r="C68" i="6"/>
  <c r="C12" i="6"/>
  <c r="B29" i="6"/>
  <c r="C129" i="6"/>
  <c r="C42" i="6"/>
  <c r="B30" i="6"/>
  <c r="C87" i="6"/>
  <c r="C121" i="6"/>
  <c r="C43" i="6"/>
  <c r="B35" i="6"/>
  <c r="B105" i="6"/>
  <c r="B22" i="6"/>
  <c r="C74" i="6"/>
  <c r="C16" i="7"/>
  <c r="C51" i="6"/>
  <c r="C108" i="6"/>
  <c r="B104" i="6"/>
  <c r="C53" i="6"/>
  <c r="C89" i="6"/>
  <c r="F13" i="7"/>
  <c r="B43" i="6"/>
  <c r="B59" i="6"/>
  <c r="C31" i="6"/>
  <c r="B80" i="6"/>
  <c r="B51" i="6"/>
  <c r="B14" i="7"/>
  <c r="C64" i="6"/>
  <c r="B108" i="6"/>
  <c r="C75" i="6"/>
  <c r="C95" i="6"/>
  <c r="B81" i="6"/>
  <c r="B42" i="6"/>
  <c r="D11" i="7"/>
  <c r="C86" i="6"/>
  <c r="B28" i="6"/>
  <c r="C152" i="6"/>
  <c r="C238" i="6"/>
  <c r="B135" i="6"/>
  <c r="C148" i="6"/>
  <c r="B132" i="6"/>
  <c r="C147" i="6"/>
  <c r="B148" i="6"/>
  <c r="C177" i="6"/>
  <c r="C224" i="6"/>
  <c r="C204" i="6"/>
  <c r="C169" i="6"/>
  <c r="C145" i="6"/>
  <c r="B219" i="6"/>
  <c r="C158" i="6"/>
  <c r="B245" i="6"/>
  <c r="B158" i="6"/>
  <c r="B172" i="6"/>
  <c r="B209" i="6"/>
  <c r="B202" i="6"/>
  <c r="C223" i="6"/>
  <c r="B134" i="6"/>
  <c r="C196" i="6"/>
  <c r="B248" i="6"/>
  <c r="C181" i="6"/>
  <c r="C165" i="6"/>
  <c r="B212" i="6"/>
  <c r="B246" i="6"/>
  <c r="B207" i="6"/>
  <c r="B170" i="6"/>
  <c r="H10" i="7"/>
  <c r="B115" i="6"/>
  <c r="B96" i="6"/>
  <c r="C27" i="6"/>
  <c r="B88" i="6"/>
  <c r="C38" i="6"/>
  <c r="B61" i="6"/>
  <c r="C26" i="6"/>
  <c r="C32" i="6"/>
  <c r="B21" i="6"/>
  <c r="B110" i="6"/>
  <c r="B70" i="6"/>
  <c r="B68" i="6"/>
  <c r="B37" i="6"/>
  <c r="B15" i="7"/>
  <c r="C113" i="6"/>
  <c r="C94" i="6"/>
  <c r="B120" i="6"/>
  <c r="B102" i="6"/>
  <c r="E15" i="7"/>
  <c r="C115" i="6"/>
  <c r="C15" i="6"/>
  <c r="C47" i="6"/>
  <c r="C12" i="7"/>
  <c r="C91" i="6"/>
  <c r="B47" i="6"/>
  <c r="B52" i="6"/>
  <c r="D16" i="7"/>
  <c r="F12" i="7"/>
  <c r="B54" i="6"/>
  <c r="B26" i="6"/>
  <c r="B84" i="6"/>
  <c r="C36" i="6"/>
  <c r="B238" i="6"/>
  <c r="C141" i="6"/>
  <c r="B247" i="6"/>
  <c r="C176" i="6"/>
  <c r="C218" i="6"/>
  <c r="B146" i="6"/>
  <c r="B230" i="6"/>
  <c r="B210" i="6"/>
  <c r="B183" i="6"/>
  <c r="B243" i="6"/>
  <c r="C189" i="6"/>
  <c r="C135" i="6"/>
  <c r="B200" i="6"/>
  <c r="C162" i="6"/>
  <c r="B143" i="6"/>
  <c r="C186" i="6"/>
  <c r="B182" i="6"/>
  <c r="B177" i="6"/>
  <c r="B233" i="6"/>
  <c r="C175" i="6"/>
  <c r="C173" i="6"/>
  <c r="B176" i="6"/>
  <c r="C167" i="6"/>
  <c r="B154" i="6"/>
  <c r="B198" i="6"/>
  <c r="C214" i="6"/>
  <c r="B161" i="6"/>
  <c r="C138" i="6"/>
  <c r="C209" i="6"/>
  <c r="B140" i="6"/>
  <c r="C132" i="6"/>
  <c r="C157" i="6"/>
  <c r="B10" i="7"/>
  <c r="B125" i="6"/>
  <c r="C49" i="6"/>
  <c r="C61" i="6"/>
  <c r="B82" i="6"/>
  <c r="C103" i="6"/>
  <c r="C18" i="6"/>
  <c r="B74" i="6"/>
  <c r="B13" i="6"/>
  <c r="B128" i="6"/>
  <c r="C117" i="6"/>
  <c r="B85" i="6"/>
  <c r="B77" i="6"/>
  <c r="C116" i="6"/>
  <c r="C21" i="6"/>
  <c r="C127" i="6"/>
  <c r="B129" i="6"/>
  <c r="C90" i="6"/>
  <c r="B116" i="6"/>
  <c r="C126" i="6"/>
  <c r="B11" i="6"/>
  <c r="E16" i="7"/>
  <c r="B67" i="6"/>
  <c r="C85" i="6"/>
  <c r="C48" i="6"/>
  <c r="C13" i="7"/>
  <c r="B124" i="6"/>
  <c r="B97" i="6"/>
  <c r="C14" i="6"/>
  <c r="C52" i="6"/>
  <c r="C15" i="7"/>
  <c r="C104" i="6"/>
  <c r="C101" i="6"/>
  <c r="C227" i="6"/>
  <c r="C170" i="6"/>
  <c r="B220" i="6"/>
  <c r="B147" i="6"/>
  <c r="C131" i="6"/>
  <c r="C149" i="6"/>
  <c r="C151" i="6"/>
  <c r="B150" i="6"/>
  <c r="B218" i="6"/>
  <c r="C168" i="6"/>
  <c r="C236" i="6"/>
  <c r="C212" i="6"/>
  <c r="B130" i="6"/>
  <c r="B208" i="6"/>
  <c r="B192" i="6"/>
  <c r="B189" i="6"/>
  <c r="B215" i="6"/>
  <c r="C150" i="6"/>
  <c r="B159" i="6"/>
  <c r="C229" i="6"/>
  <c r="C215" i="6"/>
  <c r="B153" i="6"/>
  <c r="B162" i="6"/>
  <c r="C179" i="6"/>
  <c r="B196" i="6"/>
  <c r="C197" i="6"/>
  <c r="C220" i="6"/>
  <c r="C180" i="6"/>
  <c r="C130" i="6"/>
  <c r="C241" i="6"/>
  <c r="B138" i="6"/>
  <c r="B166" i="6"/>
  <c r="B244" i="6"/>
  <c r="C231" i="6"/>
  <c r="C146" i="6"/>
  <c r="H12" i="7"/>
  <c r="B17" i="6"/>
  <c r="B73" i="6"/>
  <c r="C11" i="6"/>
  <c r="C111" i="6"/>
  <c r="D14" i="7"/>
  <c r="C20" i="6"/>
  <c r="B58" i="6"/>
  <c r="C120" i="6"/>
  <c r="B94" i="6"/>
  <c r="B99" i="6"/>
  <c r="B49" i="6"/>
  <c r="B101" i="6"/>
  <c r="C70" i="6"/>
  <c r="C106" i="6"/>
  <c r="D15" i="7"/>
  <c r="B36" i="6"/>
  <c r="B95" i="6"/>
  <c r="B34" i="6"/>
  <c r="B12" i="6"/>
  <c r="B66" i="6"/>
  <c r="C54" i="6"/>
  <c r="C22" i="6"/>
  <c r="B103" i="6"/>
  <c r="B12" i="7"/>
  <c r="B119" i="6"/>
  <c r="B16" i="6"/>
  <c r="H14" i="7"/>
  <c r="C92" i="6"/>
  <c r="C57" i="6"/>
  <c r="C80" i="6"/>
  <c r="B33" i="6"/>
  <c r="H11" i="7"/>
  <c r="C98" i="6"/>
  <c r="B126" i="6"/>
  <c r="C82" i="6"/>
  <c r="C63" i="6"/>
  <c r="C221" i="6"/>
  <c r="B231" i="6"/>
  <c r="C216" i="6"/>
  <c r="B227" i="6"/>
  <c r="C143" i="6"/>
  <c r="B193" i="6"/>
  <c r="C134" i="6"/>
  <c r="B199" i="6"/>
  <c r="C160" i="6"/>
  <c r="B225" i="6"/>
  <c r="C161" i="6"/>
  <c r="C208" i="6"/>
  <c r="B11" i="7"/>
  <c r="B123" i="6"/>
  <c r="C102" i="6"/>
  <c r="C65" i="6"/>
  <c r="B114" i="6"/>
  <c r="C23" i="6"/>
  <c r="B122" i="6"/>
  <c r="B39" i="6"/>
  <c r="F16" i="7"/>
  <c r="B65" i="6"/>
  <c r="C45" i="6"/>
  <c r="C25" i="6"/>
  <c r="C110" i="6"/>
  <c r="B23" i="6"/>
  <c r="C56" i="6"/>
  <c r="B16" i="7"/>
  <c r="C66" i="6"/>
  <c r="C30" i="6"/>
  <c r="C34" i="6"/>
  <c r="C124" i="6"/>
  <c r="B62" i="6"/>
  <c r="B72" i="6"/>
  <c r="B113" i="6"/>
  <c r="B93" i="6"/>
  <c r="C109" i="6"/>
  <c r="B69" i="6"/>
  <c r="H13" i="7"/>
  <c r="C60" i="6"/>
  <c r="C71" i="6"/>
  <c r="C100" i="6"/>
  <c r="C73" i="6"/>
  <c r="C81" i="6"/>
  <c r="B27" i="6"/>
  <c r="B169" i="6"/>
  <c r="C246" i="6"/>
  <c r="C240" i="6"/>
  <c r="B137" i="6"/>
  <c r="B241" i="6"/>
  <c r="B188" i="6"/>
  <c r="B249" i="6"/>
  <c r="C226" i="6"/>
  <c r="B203" i="6"/>
  <c r="C166" i="6"/>
  <c r="B145" i="6"/>
  <c r="B185" i="6"/>
  <c r="C206" i="6"/>
  <c r="B204" i="6"/>
  <c r="B160" i="6"/>
  <c r="B165" i="6"/>
  <c r="B240" i="6"/>
  <c r="C172" i="6"/>
  <c r="B239" i="6"/>
  <c r="C225" i="6"/>
  <c r="C144" i="6"/>
  <c r="B214" i="6"/>
  <c r="C203" i="6"/>
  <c r="C234" i="6"/>
  <c r="C233" i="6"/>
  <c r="B152" i="6"/>
  <c r="B232" i="6"/>
  <c r="C193" i="6"/>
  <c r="C156" i="6"/>
  <c r="C154" i="6"/>
  <c r="C237" i="6"/>
  <c r="B136" i="6"/>
  <c r="B221" i="6"/>
  <c r="C190" i="6"/>
  <c r="C198" i="6"/>
  <c r="E10" i="7"/>
  <c r="B53" i="6"/>
  <c r="B98" i="6"/>
  <c r="C41" i="6"/>
  <c r="B45" i="6"/>
  <c r="C125" i="6"/>
  <c r="C118" i="6"/>
  <c r="C13" i="6"/>
  <c r="B79" i="6"/>
  <c r="B60" i="6"/>
  <c r="C50" i="6"/>
  <c r="B56" i="6"/>
  <c r="B55" i="6"/>
  <c r="E14" i="7"/>
  <c r="C37" i="6"/>
  <c r="B31" i="6"/>
  <c r="B10" i="6"/>
  <c r="C88" i="6"/>
  <c r="C17" i="6"/>
  <c r="H15" i="7"/>
  <c r="C29" i="6"/>
  <c r="B100" i="6"/>
  <c r="B117" i="6"/>
  <c r="C69" i="6"/>
  <c r="F10" i="7"/>
  <c r="B38" i="6"/>
  <c r="C67" i="6"/>
  <c r="B91" i="6"/>
  <c r="F14" i="7"/>
  <c r="B107" i="6"/>
  <c r="C58" i="6"/>
  <c r="B40" i="6"/>
  <c r="B89" i="6"/>
  <c r="B13" i="7"/>
  <c r="C83" i="6"/>
  <c r="C19" i="6"/>
  <c r="C107" i="6"/>
  <c r="C128" i="6"/>
  <c r="C78" i="6"/>
  <c r="C11" i="7"/>
  <c r="C9" i="7"/>
  <c r="I9" i="7"/>
  <c r="H9" i="7"/>
  <c r="D13" i="7"/>
  <c r="B9" i="7"/>
  <c r="E9" i="7"/>
  <c r="G9" i="7"/>
  <c r="D9" i="7"/>
  <c r="F9" i="7"/>
  <c r="B164" i="10" a="1"/>
  <c r="B173" i="10" a="1"/>
  <c r="B75" i="10" a="1"/>
  <c r="B90" i="10" a="1"/>
  <c r="B174" i="10" a="1"/>
  <c r="C62" i="10" a="1"/>
  <c r="B201" i="10" a="1"/>
  <c r="C42" i="10" a="1"/>
  <c r="B43" i="10" a="1"/>
  <c r="B88" i="10" a="1"/>
  <c r="C115" i="10" a="1"/>
  <c r="B154" i="10" a="1"/>
  <c r="C127" i="10" a="1"/>
  <c r="C104" i="10" a="1"/>
  <c r="B162" i="10" a="1"/>
  <c r="B49" i="10" a="1"/>
  <c r="C82" i="10" a="1"/>
  <c r="C34" i="10" a="1"/>
  <c r="B204" i="10" a="1"/>
  <c r="C118" i="10" a="1"/>
  <c r="B117" i="10" a="1"/>
  <c r="C78" i="10" a="1"/>
  <c r="B234" i="10" a="1"/>
  <c r="B139" i="10" a="1"/>
  <c r="B92" i="10" a="1"/>
  <c r="B151" i="10" a="1"/>
  <c r="C79" i="10" a="1"/>
  <c r="C96" i="10" a="1"/>
  <c r="C53" i="10" a="1"/>
  <c r="B135" i="10" a="1"/>
  <c r="B248" i="10" a="1"/>
  <c r="B37" i="10" a="1"/>
  <c r="B54" i="10" a="1"/>
  <c r="B182" i="10" a="1"/>
  <c r="B77" i="10" a="1"/>
  <c r="C101" i="10" a="1"/>
  <c r="B166" i="10" a="1"/>
  <c r="B36" i="10" a="1"/>
  <c r="B227" i="10" a="1"/>
  <c r="C124" i="10" a="1"/>
  <c r="B145" i="10" a="1"/>
  <c r="C13" i="10" a="1"/>
  <c r="B91" i="10" a="1"/>
  <c r="C55" i="10" a="1"/>
  <c r="B55" i="10" a="1"/>
  <c r="C41" i="10" a="1"/>
  <c r="B181" i="10" a="1"/>
  <c r="B191" i="10" a="1"/>
  <c r="B118" i="10" a="1"/>
  <c r="C35" i="10" a="1"/>
  <c r="B224" i="10" a="1"/>
  <c r="B50" i="10" a="1"/>
  <c r="B86" i="10" a="1"/>
  <c r="B29" i="10" a="1"/>
  <c r="B235" i="10" a="1"/>
  <c r="B211" i="10" a="1"/>
  <c r="C93" i="10" a="1"/>
  <c r="B83" i="10" a="1"/>
  <c r="B111" i="10" a="1"/>
  <c r="B57" i="10" a="1"/>
  <c r="B149" i="10" a="1"/>
  <c r="C43" i="10" a="1"/>
  <c r="B51" i="10" a="1"/>
  <c r="C32" i="10" a="1"/>
  <c r="C91" i="10" a="1"/>
  <c r="C61" i="10" a="1"/>
  <c r="C126" i="10" a="1"/>
  <c r="B220" i="10" a="1"/>
  <c r="B138" i="10" a="1"/>
  <c r="B12" i="10" a="1"/>
  <c r="C102" i="10" a="1"/>
  <c r="B113" i="10" a="1"/>
  <c r="B214" i="10" a="1"/>
  <c r="C50" i="10" a="1"/>
  <c r="C67" i="10" a="1"/>
  <c r="C40" i="10" a="1"/>
  <c r="C45" i="10" a="1"/>
  <c r="B237" i="10" a="1"/>
  <c r="C39" i="10" a="1"/>
  <c r="B223" i="10" a="1"/>
  <c r="C44" i="10" a="1"/>
  <c r="C12" i="10" a="1"/>
  <c r="B59" i="10" a="1"/>
  <c r="B148" i="10" a="1"/>
  <c r="B246" i="10" a="1"/>
  <c r="B120" i="10" a="1"/>
  <c r="B238" i="10" a="1"/>
  <c r="B198" i="10" a="1"/>
  <c r="B129" i="10" a="1"/>
  <c r="B147" i="10" a="1"/>
  <c r="C111" i="10" a="1"/>
  <c r="B66" i="10" a="1"/>
  <c r="C65" i="10" a="1"/>
  <c r="B93" i="10" a="1"/>
  <c r="B160" i="10" a="1"/>
  <c r="B56" i="10" a="1"/>
  <c r="B40" i="10" a="1"/>
  <c r="C103" i="10" a="1"/>
  <c r="C29" i="10" a="1"/>
  <c r="B100" i="10" a="1"/>
  <c r="B216" i="10" a="1"/>
  <c r="B155" i="10" a="1"/>
  <c r="B18" i="10" a="1"/>
  <c r="B194" i="10" a="1"/>
  <c r="B167" i="10" a="1"/>
  <c r="B63" i="10" a="1"/>
  <c r="B213" i="10" a="1"/>
  <c r="C87" i="10" a="1"/>
  <c r="C31" i="10" a="1"/>
  <c r="B158" i="10" a="1"/>
  <c r="B110" i="10" a="1"/>
  <c r="B26" i="10" a="1"/>
  <c r="B176" i="10" a="1"/>
  <c r="C116" i="10" a="1"/>
  <c r="B215" i="10" a="1"/>
  <c r="C70" i="10" a="1"/>
  <c r="C57" i="10" a="1"/>
  <c r="C66" i="10" a="1"/>
  <c r="B27" i="10" a="1"/>
  <c r="B136" i="10" a="1"/>
  <c r="B89" i="10" a="1"/>
  <c r="B107" i="10" a="1"/>
  <c r="B229" i="10" a="1"/>
  <c r="B41" i="10" a="1"/>
  <c r="B78" i="10" a="1"/>
  <c r="B190" i="10" a="1"/>
  <c r="C10" i="10" a="1"/>
  <c r="C59" i="10" a="1"/>
  <c r="B24" i="10" a="1"/>
  <c r="C108" i="10" a="1"/>
  <c r="B132" i="10" a="1"/>
  <c r="B170" i="10" a="1"/>
  <c r="C113" i="10" a="1"/>
  <c r="B143" i="10" a="1"/>
  <c r="C18" i="10" a="1"/>
  <c r="B67" i="10" a="1"/>
  <c r="B73" i="10" a="1"/>
  <c r="B34" i="10" a="1"/>
  <c r="B126" i="10" a="1"/>
  <c r="B123" i="10" a="1"/>
  <c r="C30" i="10" a="1"/>
  <c r="B169" i="10" a="1"/>
  <c r="B221" i="10" a="1"/>
  <c r="C128" i="10" a="1"/>
  <c r="C119" i="10" a="1"/>
  <c r="C97" i="10" a="1"/>
  <c r="B70" i="10" a="1"/>
  <c r="B116" i="10" a="1"/>
  <c r="C80" i="10" a="1"/>
  <c r="C100" i="10" a="1"/>
  <c r="B217" i="10" a="1"/>
  <c r="B168" i="10" a="1"/>
  <c r="B19" i="10" a="1"/>
  <c r="B179" i="10" a="1"/>
  <c r="B87" i="10" a="1"/>
  <c r="B46" i="10" a="1"/>
  <c r="B195" i="10" a="1"/>
  <c r="C74" i="10" a="1"/>
  <c r="C75" i="10" a="1"/>
  <c r="B68" i="10" a="1"/>
  <c r="C36" i="10" a="1"/>
  <c r="B74" i="10" a="1"/>
  <c r="C85" i="10" a="1"/>
  <c r="B192" i="10" a="1"/>
  <c r="C11" i="10" a="1"/>
  <c r="B103" i="10" a="1"/>
  <c r="B122" i="10" a="1"/>
  <c r="C73" i="10" a="1"/>
  <c r="B152" i="10" a="1"/>
  <c r="C37" i="10" a="1"/>
  <c r="C58" i="10" a="1"/>
  <c r="B236" i="10" a="1"/>
  <c r="B38" i="10" a="1"/>
  <c r="B109" i="10" a="1"/>
  <c r="C72" i="10" a="1"/>
  <c r="B228" i="10" a="1"/>
  <c r="B48" i="10" a="1"/>
  <c r="B30" i="10" a="1"/>
  <c r="C95" i="10" a="1"/>
  <c r="B245" i="10" a="1"/>
  <c r="C38" i="10" a="1"/>
  <c r="C15" i="10" a="1"/>
  <c r="B183" i="10" a="1"/>
  <c r="B82" i="10" a="1"/>
  <c r="B11" i="10" a="1"/>
  <c r="B150" i="10" a="1"/>
  <c r="C120" i="10" a="1"/>
  <c r="C92" i="10" a="1"/>
  <c r="B39" i="10" a="1"/>
  <c r="C60" i="10" a="1"/>
  <c r="B239" i="10" a="1"/>
  <c r="B31" i="10" a="1"/>
  <c r="C19" i="10" a="1"/>
  <c r="B199" i="10" a="1"/>
  <c r="C107" i="10" a="1"/>
  <c r="B205" i="10" a="1"/>
  <c r="B131" i="10" a="1"/>
  <c r="B106" i="10" a="1"/>
  <c r="B112" i="10" a="1"/>
  <c r="B175" i="10" a="1"/>
  <c r="B15" i="10" a="1"/>
  <c r="B127" i="10" a="1"/>
  <c r="B163" i="10" a="1"/>
  <c r="B105" i="10" a="1"/>
  <c r="C64" i="10" a="1"/>
  <c r="B207" i="10" a="1"/>
  <c r="B102" i="10" a="1"/>
  <c r="B146" i="10" a="1"/>
  <c r="B140" i="10" a="1"/>
  <c r="C90" i="10" a="1"/>
  <c r="B196" i="10" a="1"/>
  <c r="B95" i="10" a="1"/>
  <c r="C98" i="10" a="1"/>
  <c r="B62" i="10" a="1"/>
  <c r="B137" i="10" a="1"/>
  <c r="B45" i="10" a="1"/>
  <c r="B64" i="10" a="1"/>
  <c r="B44" i="10" a="1"/>
  <c r="B206" i="10" a="1"/>
  <c r="C84" i="10" a="1"/>
  <c r="B121" i="10" a="1"/>
  <c r="B222" i="10" a="1"/>
  <c r="B14" i="10" a="1"/>
  <c r="C112" i="10" a="1"/>
  <c r="C129" i="10" a="1"/>
  <c r="B80" i="10" a="1"/>
  <c r="B219" i="10" a="1"/>
  <c r="C27" i="10" a="1"/>
  <c r="B84" i="10" a="1"/>
  <c r="B233" i="10" a="1"/>
  <c r="C117" i="10" a="1"/>
  <c r="B124" i="10" a="1"/>
  <c r="C20" i="10" a="1"/>
  <c r="C22" i="10" a="1"/>
  <c r="B231" i="10" a="1"/>
  <c r="C23" i="10" a="1"/>
  <c r="B72" i="10" a="1"/>
  <c r="B241" i="10" a="1"/>
  <c r="B53" i="10" a="1"/>
  <c r="C81" i="10" a="1"/>
  <c r="B28" i="10" a="1"/>
  <c r="B52" i="10" a="1"/>
  <c r="B128" i="10" a="1"/>
  <c r="B94" i="10" a="1"/>
  <c r="C110" i="10" a="1"/>
  <c r="B165" i="10" a="1"/>
  <c r="B60" i="10" a="1"/>
  <c r="B197" i="10" a="1"/>
  <c r="B226" i="10" a="1"/>
  <c r="B22" i="10" a="1"/>
  <c r="B42" i="10" a="1"/>
  <c r="B230" i="10" a="1"/>
  <c r="C106" i="10" a="1"/>
  <c r="B23" i="10" a="1"/>
  <c r="B240" i="10" a="1"/>
  <c r="B187" i="10" a="1"/>
  <c r="B178" i="10" a="1"/>
  <c r="B76" i="10" a="1"/>
  <c r="C16" i="10" a="1"/>
  <c r="B144" i="10" a="1"/>
  <c r="C24" i="10" a="1"/>
  <c r="C123" i="10" a="1"/>
  <c r="C68" i="10" a="1"/>
  <c r="B104" i="10" a="1"/>
  <c r="B212" i="10" a="1"/>
  <c r="C94" i="10" a="1"/>
  <c r="B210" i="10" a="1"/>
  <c r="B85" i="10" a="1"/>
  <c r="B97" i="10" a="1"/>
  <c r="B159" i="10" a="1"/>
  <c r="B58" i="10" a="1"/>
  <c r="B33" i="10" a="1"/>
  <c r="C56" i="10" a="1"/>
  <c r="B188" i="10" a="1"/>
  <c r="B98" i="10" a="1"/>
  <c r="C17" i="10" a="1"/>
  <c r="C83" i="10" a="1"/>
  <c r="B209" i="10" a="1"/>
  <c r="C99" i="10" a="1"/>
  <c r="C33" i="10" a="1"/>
  <c r="B71" i="10" a="1"/>
  <c r="B142" i="10" a="1"/>
  <c r="B32" i="10" a="1"/>
  <c r="B35" i="10" a="1"/>
  <c r="C86" i="10" a="1"/>
  <c r="B202" i="10" a="1"/>
  <c r="B21" i="10" a="1"/>
  <c r="B47" i="10" a="1"/>
  <c r="B200" i="10" a="1"/>
  <c r="B13" i="10" a="1"/>
  <c r="C14" i="10" a="1"/>
  <c r="B189" i="10" a="1"/>
  <c r="B101" i="10" a="1"/>
  <c r="C63" i="10" a="1"/>
  <c r="C25" i="10" a="1"/>
  <c r="B249" i="10" a="1"/>
  <c r="B232" i="10" a="1"/>
  <c r="C69" i="10" a="1"/>
  <c r="B115" i="10" a="1"/>
  <c r="B244" i="10" a="1"/>
  <c r="C105" i="10" a="1"/>
  <c r="B218" i="10" a="1"/>
  <c r="B157" i="10" a="1"/>
  <c r="C46" i="10" a="1"/>
  <c r="C76" i="10" a="1"/>
  <c r="B171" i="10" a="1"/>
  <c r="C114" i="10" a="1"/>
  <c r="C28" i="10" a="1"/>
  <c r="B184" i="10" a="1"/>
  <c r="C51" i="10" a="1"/>
  <c r="B81" i="10" a="1"/>
  <c r="B96" i="10" a="1"/>
  <c r="C47" i="10" a="1"/>
  <c r="B243" i="10" a="1"/>
  <c r="B125" i="10" a="1"/>
  <c r="C52" i="10" a="1"/>
  <c r="B17" i="10" a="1"/>
  <c r="C54" i="10" a="1"/>
  <c r="B114" i="10" a="1"/>
  <c r="C109" i="10" a="1"/>
  <c r="B185" i="10" a="1"/>
  <c r="B79" i="10" a="1"/>
  <c r="C48" i="10" a="1"/>
  <c r="B133" i="10" a="1"/>
  <c r="B242" i="10" a="1"/>
  <c r="B25" i="10" a="1"/>
  <c r="B20" i="10" a="1"/>
  <c r="B141" i="10" a="1"/>
  <c r="C77" i="10" a="1"/>
  <c r="B156" i="10" a="1"/>
  <c r="C121" i="10" a="1"/>
  <c r="B108" i="10" a="1"/>
  <c r="B172" i="10" a="1"/>
  <c r="C26" i="10" a="1"/>
  <c r="B247" i="10" a="1"/>
  <c r="B161" i="10" a="1"/>
  <c r="C21" i="10" a="1"/>
  <c r="B208" i="10" a="1"/>
  <c r="B99" i="10" a="1"/>
  <c r="B16" i="10" a="1"/>
  <c r="B193" i="10" a="1"/>
  <c r="B65" i="10" a="1"/>
  <c r="B69" i="10" a="1"/>
  <c r="B203" i="10" a="1"/>
  <c r="C125" i="10" a="1"/>
  <c r="C89" i="10" a="1"/>
  <c r="B61" i="10" a="1"/>
  <c r="B177" i="10" a="1"/>
  <c r="B130" i="10" a="1"/>
  <c r="B119" i="10" a="1"/>
  <c r="C71" i="10" a="1"/>
  <c r="B10" i="10" a="1"/>
  <c r="B186" i="10" a="1"/>
  <c r="C122" i="10" a="1"/>
  <c r="B180" i="10" a="1"/>
  <c r="B134" i="10" a="1"/>
  <c r="C49" i="10" a="1"/>
  <c r="B153" i="10" a="1"/>
  <c r="B225" i="10" a="1"/>
  <c r="C88" i="10" a="1"/>
  <c r="AJ132" i="8" l="1" a="1"/>
  <c r="AJ132" i="8" s="1"/>
  <c r="AB231" i="8" a="1"/>
  <c r="AB231" i="8" s="1"/>
  <c r="X185" i="8" a="1"/>
  <c r="X185" i="8" s="1"/>
  <c r="X157" i="8" a="1"/>
  <c r="X157" i="8" s="1"/>
  <c r="U157" i="8" a="1"/>
  <c r="U157" i="8" s="1"/>
  <c r="AB183" i="8" a="1"/>
  <c r="AB183" i="8" s="1"/>
  <c r="Y183" i="8" a="1"/>
  <c r="Y183" i="8" s="1"/>
  <c r="AJ231" i="8" a="1"/>
  <c r="AJ231" i="8" s="1"/>
  <c r="AJ183" i="8" a="1"/>
  <c r="AJ183" i="8" s="1"/>
  <c r="AG183" i="8" a="1"/>
  <c r="AG183" i="8" s="1"/>
  <c r="AF183" i="8" a="1"/>
  <c r="AF183" i="8" s="1"/>
  <c r="AC183" i="8" a="1"/>
  <c r="AC183" i="8" s="1"/>
  <c r="AI47" i="8" a="1"/>
  <c r="AI47" i="8" s="1"/>
  <c r="W40" i="8" a="1"/>
  <c r="W40" i="8" s="1"/>
  <c r="AF231" i="8" a="1"/>
  <c r="AF231" i="8" s="1"/>
  <c r="AC231" i="8" a="1"/>
  <c r="AC231" i="8" s="1"/>
  <c r="V13" i="8" a="1"/>
  <c r="V13" i="8" s="1"/>
  <c r="X61" i="8" a="1"/>
  <c r="X61" i="8" s="1"/>
  <c r="W207" i="8" a="1"/>
  <c r="W207" i="8" s="1"/>
  <c r="AD38" i="8" a="1"/>
  <c r="AD38" i="8" s="1"/>
  <c r="X85" i="8" a="1"/>
  <c r="X85" i="8" s="1"/>
  <c r="Z39" i="8" a="1"/>
  <c r="Z39" i="8" s="1"/>
  <c r="AF84" i="8" a="1"/>
  <c r="AF84" i="8" s="1"/>
  <c r="AF132" i="8" a="1"/>
  <c r="AF132" i="8" s="1"/>
  <c r="AA40" i="8" a="1"/>
  <c r="AA40" i="8" s="1"/>
  <c r="AE39" i="8" a="1"/>
  <c r="AE39" i="8" s="1"/>
  <c r="AC84" i="8" a="1"/>
  <c r="AC84" i="8" s="1"/>
  <c r="Y37" i="8" a="1"/>
  <c r="Y37" i="8" s="1"/>
  <c r="AB61" i="8" a="1"/>
  <c r="AB61" i="8" s="1"/>
  <c r="Y61" i="8" a="1"/>
  <c r="Y61" i="8" s="1"/>
  <c r="AG37" i="8" a="1"/>
  <c r="AG37" i="8" s="1"/>
  <c r="AJ208" i="8" a="1"/>
  <c r="AJ208" i="8" s="1"/>
  <c r="AG208" i="8" a="1"/>
  <c r="AG208" i="8" s="1"/>
  <c r="AJ109" i="8" a="1"/>
  <c r="AJ109" i="8" s="1"/>
  <c r="AG109" i="8" a="1"/>
  <c r="AG109" i="8" s="1"/>
  <c r="X133" i="8" a="1"/>
  <c r="X133" i="8" s="1"/>
  <c r="U133" i="8" a="1"/>
  <c r="U133" i="8" s="1"/>
  <c r="AG133" i="8" a="1"/>
  <c r="AG133" i="8" s="1"/>
  <c r="AJ84" i="8" a="1"/>
  <c r="AJ84" i="8" s="1"/>
  <c r="AG84" i="8" a="1"/>
  <c r="AG84" i="8" s="1"/>
  <c r="X109" i="8" a="1"/>
  <c r="X109" i="8" s="1"/>
  <c r="U109" i="8" a="1"/>
  <c r="U109" i="8" s="1"/>
  <c r="AC11" i="8" a="1"/>
  <c r="AC11" i="8" s="1"/>
  <c r="Z12" i="8" a="1"/>
  <c r="Z12" i="8" s="1"/>
  <c r="AA12" i="8" a="1"/>
  <c r="AA12" i="8" s="1"/>
  <c r="AG232" i="8" a="1"/>
  <c r="AG232" i="8" s="1"/>
  <c r="AC133" i="8" a="1"/>
  <c r="AC133" i="8" s="1"/>
  <c r="U12" i="8" a="1"/>
  <c r="U12" i="8" s="1"/>
  <c r="AJ60" i="8" a="1"/>
  <c r="AJ60" i="8" s="1"/>
  <c r="AG60" i="8" a="1"/>
  <c r="AG60" i="8" s="1"/>
  <c r="AB133" i="8" a="1"/>
  <c r="AB133" i="8" s="1"/>
  <c r="Y133" i="8" a="1"/>
  <c r="Y133" i="8" s="1"/>
  <c r="Y12" i="8" a="1"/>
  <c r="Y12" i="8" s="1"/>
  <c r="W14" i="8" a="1"/>
  <c r="W14" i="8" s="1"/>
  <c r="AH15" i="8" a="1"/>
  <c r="AH15" i="8" s="1"/>
  <c r="AB208" i="8" a="1"/>
  <c r="AB208" i="8" s="1"/>
  <c r="Y208" i="8" a="1"/>
  <c r="Y208" i="8" s="1"/>
  <c r="U186" i="8" a="1"/>
  <c r="U186" i="8" s="1"/>
  <c r="AF36" i="8" a="1"/>
  <c r="AF36" i="8" s="1"/>
  <c r="AC36" i="8" a="1"/>
  <c r="AC36" i="8" s="1"/>
  <c r="X37" i="8" a="1"/>
  <c r="X37" i="8" s="1"/>
  <c r="U37" i="8" a="1"/>
  <c r="U37" i="8" s="1"/>
  <c r="X207" i="8" a="1"/>
  <c r="X207" i="8" s="1"/>
  <c r="U207" i="8" a="1"/>
  <c r="U207" i="8" s="1"/>
  <c r="AF208" i="8" a="1"/>
  <c r="AF208" i="8" s="1"/>
  <c r="AC208" i="8" a="1"/>
  <c r="AC208" i="8" s="1"/>
  <c r="AJ158" i="8" a="1"/>
  <c r="AJ158" i="8" s="1"/>
  <c r="AG158" i="8" a="1"/>
  <c r="AG158" i="8" s="1"/>
  <c r="AB157" i="8" a="1"/>
  <c r="AB157" i="8" s="1"/>
  <c r="Y157" i="8" a="1"/>
  <c r="Y157" i="8" s="1"/>
  <c r="AG12" i="8" a="1"/>
  <c r="AG12" i="8" s="1"/>
  <c r="U62" i="8" a="1"/>
  <c r="U62" i="8" s="1"/>
  <c r="AF158" i="8" a="1"/>
  <c r="AF158" i="8" s="1"/>
  <c r="AC158" i="8" a="1"/>
  <c r="AC158" i="8" s="1"/>
  <c r="AE12" i="8" a="1"/>
  <c r="AE12" i="8" s="1"/>
  <c r="AD12" i="8" a="1"/>
  <c r="AD12" i="8" s="1"/>
  <c r="X232" i="8" a="1"/>
  <c r="X232" i="8" s="1"/>
  <c r="U232" i="8" a="1"/>
  <c r="U232" i="8" s="1"/>
  <c r="AB109" i="8" a="1"/>
  <c r="AB109" i="8" s="1"/>
  <c r="Y109" i="8" a="1"/>
  <c r="Y109" i="8" s="1"/>
  <c r="Y232" i="8" a="1"/>
  <c r="Y232" i="8" s="1"/>
  <c r="AI12" i="8" a="1"/>
  <c r="AI12" i="8" s="1"/>
  <c r="AF108" i="8" a="1"/>
  <c r="AF108" i="8" s="1"/>
  <c r="AC108" i="8" a="1"/>
  <c r="AC108" i="8" s="1"/>
  <c r="AB85" i="8" a="1"/>
  <c r="AB85" i="8" s="1"/>
  <c r="Y85" i="8" a="1"/>
  <c r="Y85" i="8" s="1"/>
  <c r="AF60" i="8" a="1"/>
  <c r="AF60" i="8" s="1"/>
  <c r="AC60" i="8" a="1"/>
  <c r="AC60" i="8" s="1"/>
  <c r="U86" i="8" a="1"/>
  <c r="U86" i="8" s="1"/>
  <c r="B56" i="10"/>
  <c r="B152" i="10"/>
  <c r="B214" i="10"/>
  <c r="B241" i="10"/>
  <c r="B193" i="10"/>
  <c r="C98" i="10"/>
  <c r="B12" i="10"/>
  <c r="C126" i="10"/>
  <c r="B125" i="10"/>
  <c r="B198" i="10"/>
  <c r="B60" i="10"/>
  <c r="B45" i="10"/>
  <c r="B69" i="10"/>
  <c r="C65" i="10"/>
  <c r="B103" i="10"/>
  <c r="B49" i="10"/>
  <c r="C111" i="10"/>
  <c r="B192" i="10"/>
  <c r="B77" i="10"/>
  <c r="B239" i="10"/>
  <c r="B113" i="10"/>
  <c r="B17" i="10"/>
  <c r="C85" i="10"/>
  <c r="B10" i="10"/>
  <c r="C73" i="10"/>
  <c r="C66" i="10"/>
  <c r="C22" i="10"/>
  <c r="B244" i="10"/>
  <c r="B215" i="10"/>
  <c r="C101" i="10"/>
  <c r="C83" i="10"/>
  <c r="C45" i="10"/>
  <c r="B33" i="10"/>
  <c r="B36" i="10"/>
  <c r="B218" i="10"/>
  <c r="C52" i="10"/>
  <c r="B39" i="10"/>
  <c r="C120" i="10"/>
  <c r="C90" i="10"/>
  <c r="B47" i="10"/>
  <c r="B42" i="10"/>
  <c r="B104" i="10"/>
  <c r="C68" i="10"/>
  <c r="B127" i="10"/>
  <c r="C114" i="10"/>
  <c r="B83" i="10"/>
  <c r="B90" i="10"/>
  <c r="B157" i="10"/>
  <c r="B217" i="10"/>
  <c r="B164" i="10"/>
  <c r="C107" i="10"/>
  <c r="C58" i="10"/>
  <c r="C17" i="10"/>
  <c r="C41" i="10"/>
  <c r="B165" i="10"/>
  <c r="B249" i="10"/>
  <c r="B137" i="10"/>
  <c r="B27" i="10"/>
  <c r="C109" i="10"/>
  <c r="C34" i="10"/>
  <c r="B199" i="10"/>
  <c r="B16" i="10"/>
  <c r="B34" i="10"/>
  <c r="B99" i="10"/>
  <c r="C11" i="10"/>
  <c r="B166" i="10"/>
  <c r="B208" i="10"/>
  <c r="B85" i="10"/>
  <c r="B154" i="10"/>
  <c r="C91" i="10"/>
  <c r="C115" i="10"/>
  <c r="C32" i="10"/>
  <c r="B202" i="10"/>
  <c r="B81" i="10"/>
  <c r="C108" i="10"/>
  <c r="B35" i="10"/>
  <c r="C42" i="10"/>
  <c r="B24" i="10"/>
  <c r="B180" i="10"/>
  <c r="B163" i="10"/>
  <c r="B57" i="10"/>
  <c r="C44" i="10"/>
  <c r="B175" i="10"/>
  <c r="B194" i="10"/>
  <c r="B18" i="10"/>
  <c r="C93" i="10"/>
  <c r="C84" i="10"/>
  <c r="B186" i="10"/>
  <c r="B234" i="10"/>
  <c r="B133" i="10"/>
  <c r="B84" i="10"/>
  <c r="C38" i="10"/>
  <c r="B80" i="10"/>
  <c r="B105" i="10"/>
  <c r="C112" i="10"/>
  <c r="C62" i="10"/>
  <c r="B190" i="10"/>
  <c r="C76" i="10"/>
  <c r="B211" i="10"/>
  <c r="B139" i="10"/>
  <c r="B131" i="10"/>
  <c r="C19" i="10"/>
  <c r="B107" i="10"/>
  <c r="C88" i="10"/>
  <c r="C50" i="10"/>
  <c r="B160" i="10"/>
  <c r="B145" i="10"/>
  <c r="C81" i="10"/>
  <c r="B93" i="10"/>
  <c r="C30" i="10"/>
  <c r="C25" i="10"/>
  <c r="B231" i="10"/>
  <c r="B95" i="10"/>
  <c r="B94" i="10"/>
  <c r="B73" i="10"/>
  <c r="B138" i="10"/>
  <c r="B162" i="10"/>
  <c r="B130" i="10"/>
  <c r="C48" i="10"/>
  <c r="B116" i="10"/>
  <c r="C117" i="10"/>
  <c r="C103" i="10"/>
  <c r="B233" i="10"/>
  <c r="B143" i="10"/>
  <c r="B210" i="10"/>
  <c r="B247" i="10"/>
  <c r="B26" i="10"/>
  <c r="B37" i="10"/>
  <c r="B170" i="10"/>
  <c r="B209" i="10"/>
  <c r="B132" i="10"/>
  <c r="B28" i="10"/>
  <c r="C95" i="10"/>
  <c r="C31" i="10"/>
  <c r="C51" i="10"/>
  <c r="C43" i="10"/>
  <c r="C28" i="10"/>
  <c r="B14" i="10"/>
  <c r="B87" i="10"/>
  <c r="B167" i="10"/>
  <c r="B223" i="10"/>
  <c r="B151" i="10"/>
  <c r="B20" i="10"/>
  <c r="C72" i="10"/>
  <c r="B92" i="10"/>
  <c r="B168" i="10"/>
  <c r="B229" i="10"/>
  <c r="B128" i="10"/>
  <c r="B243" i="10"/>
  <c r="B207" i="10"/>
  <c r="B59" i="10"/>
  <c r="B44" i="10"/>
  <c r="B112" i="10"/>
  <c r="B173" i="10"/>
  <c r="B91" i="10"/>
  <c r="C69" i="10"/>
  <c r="B31" i="10"/>
  <c r="B79" i="10"/>
  <c r="B98" i="10"/>
  <c r="B221" i="10"/>
  <c r="B203" i="10"/>
  <c r="C100" i="10"/>
  <c r="B72" i="10"/>
  <c r="B122" i="10"/>
  <c r="C102" i="10"/>
  <c r="C63" i="10"/>
  <c r="C80" i="10"/>
  <c r="C54" i="10"/>
  <c r="B153" i="10"/>
  <c r="B147" i="10"/>
  <c r="C104" i="10"/>
  <c r="C14" i="10"/>
  <c r="B67" i="10"/>
  <c r="B129" i="10"/>
  <c r="B13" i="10"/>
  <c r="B82" i="10"/>
  <c r="B182" i="10"/>
  <c r="B183" i="10"/>
  <c r="B68" i="10"/>
  <c r="C27" i="10"/>
  <c r="B246" i="10"/>
  <c r="B172" i="10"/>
  <c r="B219" i="10"/>
  <c r="C86" i="10"/>
  <c r="B108" i="10"/>
  <c r="B43" i="10"/>
  <c r="C87" i="10"/>
  <c r="B29" i="10"/>
  <c r="B184" i="10"/>
  <c r="B213" i="10"/>
  <c r="C123" i="10"/>
  <c r="B48" i="10"/>
  <c r="B15" i="10"/>
  <c r="B142" i="10"/>
  <c r="C39" i="10"/>
  <c r="C119" i="10"/>
  <c r="C105" i="10"/>
  <c r="B155" i="10"/>
  <c r="B237" i="10"/>
  <c r="B191" i="10"/>
  <c r="B178" i="10"/>
  <c r="B206" i="10"/>
  <c r="B140" i="10"/>
  <c r="B230" i="10"/>
  <c r="B102" i="10"/>
  <c r="C121" i="10"/>
  <c r="C77" i="10"/>
  <c r="B19" i="10"/>
  <c r="B197" i="10"/>
  <c r="B117" i="10"/>
  <c r="C13" i="10"/>
  <c r="B204" i="10"/>
  <c r="C71" i="10"/>
  <c r="C56" i="10"/>
  <c r="B123" i="10"/>
  <c r="C57" i="10"/>
  <c r="C106" i="10"/>
  <c r="B58" i="10"/>
  <c r="B196" i="10"/>
  <c r="B150" i="10"/>
  <c r="B220" i="10"/>
  <c r="B97" i="10"/>
  <c r="C127" i="10"/>
  <c r="B74" i="10"/>
  <c r="C61" i="10"/>
  <c r="B146" i="10"/>
  <c r="B238" i="10"/>
  <c r="C47" i="10"/>
  <c r="B120" i="10"/>
  <c r="B70" i="10"/>
  <c r="B134" i="10"/>
  <c r="B158" i="10"/>
  <c r="B135" i="10"/>
  <c r="C64" i="10"/>
  <c r="C74" i="10"/>
  <c r="B86" i="10"/>
  <c r="C59" i="10"/>
  <c r="C97" i="10"/>
  <c r="B50" i="10"/>
  <c r="C24" i="10"/>
  <c r="C79" i="10"/>
  <c r="B174" i="10"/>
  <c r="B222" i="10"/>
  <c r="B228" i="10"/>
  <c r="B226" i="10"/>
  <c r="B118" i="10"/>
  <c r="B76" i="10"/>
  <c r="B181" i="10"/>
  <c r="B177" i="10"/>
  <c r="B248" i="10"/>
  <c r="C129" i="10"/>
  <c r="B46" i="10"/>
  <c r="C55" i="10"/>
  <c r="C46" i="10"/>
  <c r="B236" i="10"/>
  <c r="C67" i="10"/>
  <c r="C37" i="10"/>
  <c r="B188" i="10"/>
  <c r="B62" i="10"/>
  <c r="C78" i="10"/>
  <c r="B100" i="10"/>
  <c r="C118" i="10"/>
  <c r="B53" i="10"/>
  <c r="B240" i="10"/>
  <c r="C60" i="10"/>
  <c r="C124" i="10"/>
  <c r="B23" i="10"/>
  <c r="C23" i="10"/>
  <c r="B225" i="10"/>
  <c r="C82" i="10"/>
  <c r="B119" i="10"/>
  <c r="C70" i="10"/>
  <c r="C20" i="10"/>
  <c r="B159" i="10"/>
  <c r="B189" i="10"/>
  <c r="B124" i="10"/>
  <c r="C21" i="10"/>
  <c r="C18" i="10"/>
  <c r="C49" i="10"/>
  <c r="B161" i="10"/>
  <c r="B176" i="10"/>
  <c r="B52" i="10"/>
  <c r="C15" i="10"/>
  <c r="C94" i="10"/>
  <c r="B110" i="10"/>
  <c r="C26" i="10"/>
  <c r="B96" i="10"/>
  <c r="B212" i="10"/>
  <c r="C89" i="10"/>
  <c r="B22" i="10"/>
  <c r="B30" i="10"/>
  <c r="B32" i="10"/>
  <c r="B111" i="10"/>
  <c r="B141" i="10"/>
  <c r="B144" i="10"/>
  <c r="C35" i="10"/>
  <c r="C99" i="10"/>
  <c r="C16" i="10"/>
  <c r="B109" i="10"/>
  <c r="B41" i="10"/>
  <c r="B216" i="10"/>
  <c r="B54" i="10"/>
  <c r="B88" i="10"/>
  <c r="C75" i="10"/>
  <c r="B64" i="10"/>
  <c r="C122" i="10"/>
  <c r="B25" i="10"/>
  <c r="B89" i="10"/>
  <c r="C128" i="10"/>
  <c r="B40" i="10"/>
  <c r="B38" i="10"/>
  <c r="C29" i="10"/>
  <c r="B55" i="10"/>
  <c r="C125" i="10"/>
  <c r="B136" i="10"/>
  <c r="B232" i="10"/>
  <c r="B185" i="10"/>
  <c r="B169" i="10"/>
  <c r="C110" i="10"/>
  <c r="B65" i="10"/>
  <c r="B114" i="10"/>
  <c r="B227" i="10"/>
  <c r="B126" i="10"/>
  <c r="C92" i="10"/>
  <c r="B66" i="10"/>
  <c r="B101" i="10"/>
  <c r="B11" i="10"/>
  <c r="C116" i="10"/>
  <c r="B200" i="10"/>
  <c r="C36" i="10"/>
  <c r="C113" i="10"/>
  <c r="B21" i="10"/>
  <c r="B61" i="10"/>
  <c r="B115" i="10"/>
  <c r="B245" i="10"/>
  <c r="B148" i="10"/>
  <c r="B51" i="10"/>
  <c r="C53" i="10"/>
  <c r="C12" i="10"/>
  <c r="B195" i="10"/>
  <c r="B149" i="10"/>
  <c r="B201" i="10"/>
  <c r="B156" i="10"/>
  <c r="C96" i="10"/>
  <c r="C40" i="10"/>
  <c r="B63" i="10"/>
  <c r="C10" i="10"/>
  <c r="B224" i="10"/>
  <c r="B171" i="10"/>
  <c r="B179" i="10"/>
  <c r="B71" i="10"/>
  <c r="B121" i="10"/>
  <c r="B78" i="10"/>
  <c r="C33" i="10"/>
  <c r="B75" i="10"/>
  <c r="B106" i="10"/>
  <c r="B242" i="10"/>
  <c r="B205" i="10"/>
  <c r="B235" i="10"/>
  <c r="B187" i="10"/>
  <c r="G156" i="7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C160" i="10" a="1"/>
  <c r="C186" i="10" a="1"/>
  <c r="C195" i="10" a="1"/>
  <c r="C236" i="10" a="1"/>
  <c r="C246" i="10" a="1"/>
  <c r="C228" i="10" a="1"/>
  <c r="C239" i="10" a="1"/>
  <c r="C140" i="10" a="1"/>
  <c r="C232" i="10" a="1"/>
  <c r="C193" i="10" a="1"/>
  <c r="C167" i="10" a="1"/>
  <c r="C234" i="10" a="1"/>
  <c r="C138" i="10" a="1"/>
  <c r="C240" i="10" a="1"/>
  <c r="C183" i="10" a="1"/>
  <c r="C212" i="10" a="1"/>
  <c r="C157" i="10" a="1"/>
  <c r="C199" i="10" a="1"/>
  <c r="C172" i="10" a="1"/>
  <c r="C207" i="10" a="1"/>
  <c r="C135" i="10" a="1"/>
  <c r="C139" i="10" a="1"/>
  <c r="C216" i="10" a="1"/>
  <c r="C233" i="10" a="1"/>
  <c r="C165" i="10" a="1"/>
  <c r="C201" i="10" a="1"/>
  <c r="C134" i="10" a="1"/>
  <c r="C154" i="10" a="1"/>
  <c r="C219" i="10" a="1"/>
  <c r="C150" i="10" a="1"/>
  <c r="C282" i="6" a="1"/>
  <c r="B254" i="6" a="1"/>
  <c r="B271" i="6" a="1"/>
  <c r="C262" i="6" a="1"/>
  <c r="C294" i="6" a="1"/>
  <c r="B283" i="6" a="1"/>
  <c r="C280" i="6" a="1"/>
  <c r="C267" i="6" a="1"/>
  <c r="C281" i="6" a="1"/>
  <c r="C266" i="6" a="1"/>
  <c r="B289" i="6" a="1"/>
  <c r="B263" i="6" a="1"/>
  <c r="B284" i="6" a="1"/>
  <c r="C277" i="6" a="1"/>
  <c r="B286" i="6" a="1"/>
  <c r="B267" i="6" a="1"/>
  <c r="B251" i="6" a="1"/>
  <c r="C268" i="6" a="1"/>
  <c r="B293" i="6" a="1"/>
  <c r="C276" i="6" a="1"/>
  <c r="C285" i="6" a="1"/>
  <c r="C292" i="6" a="1"/>
  <c r="C188" i="10" a="1"/>
  <c r="C179" i="10" a="1"/>
  <c r="C166" i="10" a="1"/>
  <c r="C225" i="10" a="1"/>
  <c r="C159" i="10" a="1"/>
  <c r="C248" i="10" a="1"/>
  <c r="C171" i="10" a="1"/>
  <c r="C210" i="10" a="1"/>
  <c r="C149" i="10" a="1"/>
  <c r="C170" i="10" a="1"/>
  <c r="C209" i="10" a="1"/>
  <c r="C194" i="10" a="1"/>
  <c r="C155" i="10" a="1"/>
  <c r="C206" i="10" a="1"/>
  <c r="C182" i="10" a="1"/>
  <c r="C215" i="10" a="1"/>
  <c r="C181" i="10" a="1"/>
  <c r="C230" i="10" a="1"/>
  <c r="C208" i="10" a="1"/>
  <c r="C226" i="10" a="1"/>
  <c r="C136" i="10" a="1"/>
  <c r="C175" i="10" a="1"/>
  <c r="C185" i="10" a="1"/>
  <c r="C142" i="10" a="1"/>
  <c r="C242" i="10" a="1"/>
  <c r="C229" i="10" a="1"/>
  <c r="C221" i="10" a="1"/>
  <c r="C214" i="10" a="1"/>
  <c r="C184" i="10" a="1"/>
  <c r="C198" i="10" a="1"/>
  <c r="B292" i="6" a="1"/>
  <c r="C264" i="6" a="1"/>
  <c r="C272" i="6" a="1"/>
  <c r="B282" i="6" a="1"/>
  <c r="B295" i="6" a="1"/>
  <c r="B270" i="6" a="1"/>
  <c r="B287" i="6" a="1"/>
  <c r="C261" i="6" a="1"/>
  <c r="B278" i="6" a="1"/>
  <c r="B259" i="6" a="1"/>
  <c r="C255" i="6" a="1"/>
  <c r="C273" i="6" a="1"/>
  <c r="B261" i="6" a="1"/>
  <c r="C287" i="6" a="1"/>
  <c r="C284" i="6" a="1"/>
  <c r="C251" i="6" a="1"/>
  <c r="B262" i="6" a="1"/>
  <c r="C256" i="6" a="1"/>
  <c r="B275" i="6" a="1"/>
  <c r="C283" i="6" a="1"/>
  <c r="C265" i="6" a="1"/>
  <c r="C274" i="6" a="1"/>
  <c r="C252" i="6" a="1"/>
  <c r="B264" i="6" a="1"/>
  <c r="C174" i="10" a="1"/>
  <c r="C131" i="10" a="1"/>
  <c r="C204" i="10" a="1"/>
  <c r="C158" i="10" a="1"/>
  <c r="C224" i="10" a="1"/>
  <c r="C243" i="10" a="1"/>
  <c r="C141" i="10" a="1"/>
  <c r="C241" i="10" a="1"/>
  <c r="C189" i="10" a="1"/>
  <c r="C178" i="10" a="1"/>
  <c r="C245" i="10" a="1"/>
  <c r="C133" i="10" a="1"/>
  <c r="C146" i="10" a="1"/>
  <c r="C144" i="10" a="1"/>
  <c r="C161" i="10" a="1"/>
  <c r="C247" i="10" a="1"/>
  <c r="C200" i="10" a="1"/>
  <c r="C223" i="10" a="1"/>
  <c r="C162" i="10" a="1"/>
  <c r="C203" i="10" a="1"/>
  <c r="C244" i="10" a="1"/>
  <c r="C249" i="10" a="1"/>
  <c r="C213" i="10" a="1"/>
  <c r="C205" i="10" a="1"/>
  <c r="C222" i="10" a="1"/>
  <c r="C235" i="10" a="1"/>
  <c r="C191" i="10" a="1"/>
  <c r="C151" i="10" a="1"/>
  <c r="C137" i="10" a="1"/>
  <c r="C148" i="10" a="1"/>
  <c r="C289" i="6" a="1"/>
  <c r="B277" i="6" a="1"/>
  <c r="B250" i="6" a="1"/>
  <c r="B276" i="6" a="1"/>
  <c r="C271" i="6" a="1"/>
  <c r="B273" i="6" a="1"/>
  <c r="C258" i="6" a="1"/>
  <c r="C293" i="6" a="1"/>
  <c r="C288" i="6" a="1"/>
  <c r="C270" i="6" a="1"/>
  <c r="B258" i="6" a="1"/>
  <c r="B253" i="6" a="1"/>
  <c r="C290" i="6" a="1"/>
  <c r="B255" i="6" a="1"/>
  <c r="B269" i="6" a="1"/>
  <c r="C260" i="6" a="1"/>
  <c r="C254" i="6" a="1"/>
  <c r="B257" i="6" a="1"/>
  <c r="B288" i="6" a="1"/>
  <c r="B266" i="6" a="1"/>
  <c r="B260" i="6" a="1"/>
  <c r="C250" i="6" a="1"/>
  <c r="C176" i="10" a="1"/>
  <c r="C237" i="10" a="1"/>
  <c r="C132" i="10" a="1"/>
  <c r="C187" i="10" a="1"/>
  <c r="C163" i="10" a="1"/>
  <c r="C177" i="10" a="1"/>
  <c r="C218" i="10" a="1"/>
  <c r="C196" i="10" a="1"/>
  <c r="C147" i="10" a="1"/>
  <c r="C169" i="10" a="1"/>
  <c r="C145" i="10" a="1"/>
  <c r="C168" i="10" a="1"/>
  <c r="C173" i="10" a="1"/>
  <c r="C217" i="10" a="1"/>
  <c r="C130" i="10" a="1"/>
  <c r="C153" i="10" a="1"/>
  <c r="C192" i="10" a="1"/>
  <c r="C180" i="10" a="1"/>
  <c r="C227" i="10" a="1"/>
  <c r="C164" i="10" a="1"/>
  <c r="C156" i="10" a="1"/>
  <c r="C190" i="10" a="1"/>
  <c r="C238" i="10" a="1"/>
  <c r="C220" i="10" a="1"/>
  <c r="C143" i="10" a="1"/>
  <c r="C231" i="10" a="1"/>
  <c r="C152" i="10" a="1"/>
  <c r="C197" i="10" a="1"/>
  <c r="C211" i="10" a="1"/>
  <c r="C202" i="10" a="1"/>
  <c r="C291" i="6" a="1"/>
  <c r="B279" i="6" a="1"/>
  <c r="C269" i="6" a="1"/>
  <c r="B256" i="6" a="1"/>
  <c r="B285" i="6" a="1"/>
  <c r="B268" i="6" a="1"/>
  <c r="C286" i="6" a="1"/>
  <c r="C278" i="6" a="1"/>
  <c r="B291" i="6" a="1"/>
  <c r="C259" i="6" a="1"/>
  <c r="B252" i="6" a="1"/>
  <c r="B294" i="6" a="1"/>
  <c r="B265" i="6" a="1"/>
  <c r="B272" i="6" a="1"/>
  <c r="C279" i="6" a="1"/>
  <c r="C295" i="6" a="1"/>
  <c r="C263" i="6" a="1"/>
  <c r="C275" i="6" a="1"/>
  <c r="B280" i="6" a="1"/>
  <c r="C257" i="6" a="1"/>
  <c r="B281" i="6" a="1"/>
  <c r="B290" i="6" a="1"/>
  <c r="C253" i="6" a="1"/>
  <c r="B274" i="6" a="1"/>
  <c r="W208" i="8" l="1" a="1"/>
  <c r="W208" i="8" s="1"/>
  <c r="V14" i="8" a="1"/>
  <c r="V14" i="8" s="1"/>
  <c r="AF184" i="8" a="1"/>
  <c r="AF184" i="8" s="1"/>
  <c r="AC184" i="8" a="1"/>
  <c r="AC184" i="8" s="1"/>
  <c r="AA41" i="8" a="1"/>
  <c r="AA41" i="8" s="1"/>
  <c r="AF133" i="8" a="1"/>
  <c r="AF133" i="8" s="1"/>
  <c r="AD39" i="8" a="1"/>
  <c r="AD39" i="8" s="1"/>
  <c r="X62" i="8" a="1"/>
  <c r="X62" i="8" s="1"/>
  <c r="AF232" i="8" a="1"/>
  <c r="AF232" i="8" s="1"/>
  <c r="AC232" i="8" a="1"/>
  <c r="AC232" i="8" s="1"/>
  <c r="AI48" i="8" a="1"/>
  <c r="AI48" i="8" s="1"/>
  <c r="X158" i="8" a="1"/>
  <c r="X158" i="8" s="1"/>
  <c r="U158" i="8" a="1"/>
  <c r="U158" i="8" s="1"/>
  <c r="AJ36" i="8" a="1"/>
  <c r="AJ36" i="8" s="1"/>
  <c r="AB184" i="8" a="1"/>
  <c r="AB184" i="8" s="1"/>
  <c r="Y184" i="8" a="1"/>
  <c r="Y184" i="8" s="1"/>
  <c r="X186" i="8" a="1"/>
  <c r="X186" i="8" s="1"/>
  <c r="AE40" i="8" a="1"/>
  <c r="AE40" i="8" s="1"/>
  <c r="Z40" i="8" a="1"/>
  <c r="Z40" i="8" s="1"/>
  <c r="X86" i="8" a="1"/>
  <c r="X86" i="8" s="1"/>
  <c r="W41" i="8" a="1"/>
  <c r="W41" i="8" s="1"/>
  <c r="AJ184" i="8" a="1"/>
  <c r="AJ184" i="8" s="1"/>
  <c r="AG184" i="8" a="1"/>
  <c r="AG184" i="8" s="1"/>
  <c r="AJ232" i="8" a="1"/>
  <c r="AJ232" i="8" s="1"/>
  <c r="AJ110" i="8" a="1"/>
  <c r="AJ110" i="8" s="1"/>
  <c r="AB232" i="8" a="1"/>
  <c r="AB232" i="8" s="1"/>
  <c r="AJ133" i="8" a="1"/>
  <c r="AJ133" i="8" s="1"/>
  <c r="AF61" i="8" a="1"/>
  <c r="AF61" i="8" s="1"/>
  <c r="AC61" i="8" a="1"/>
  <c r="AC61" i="8" s="1"/>
  <c r="AB86" i="8" a="1"/>
  <c r="AB86" i="8" s="1"/>
  <c r="Y86" i="8" a="1"/>
  <c r="Y86" i="8" s="1"/>
  <c r="AD13" i="8" a="1"/>
  <c r="AD13" i="8" s="1"/>
  <c r="X208" i="8" a="1"/>
  <c r="X208" i="8" s="1"/>
  <c r="U208" i="8" a="1"/>
  <c r="U208" i="8" s="1"/>
  <c r="U38" i="8" a="1"/>
  <c r="U38" i="8" s="1"/>
  <c r="AC37" i="8" a="1"/>
  <c r="AC37" i="8" s="1"/>
  <c r="Y13" i="8" a="1"/>
  <c r="Y13" i="8" s="1"/>
  <c r="AB134" i="8" a="1"/>
  <c r="AB134" i="8" s="1"/>
  <c r="Y134" i="8" a="1"/>
  <c r="Y134" i="8" s="1"/>
  <c r="U13" i="8" a="1"/>
  <c r="U13" i="8" s="1"/>
  <c r="X110" i="8" a="1"/>
  <c r="X110" i="8" s="1"/>
  <c r="U110" i="8" a="1"/>
  <c r="U110" i="8" s="1"/>
  <c r="AG134" i="8" a="1"/>
  <c r="AG134" i="8" s="1"/>
  <c r="AG110" i="8" a="1"/>
  <c r="AG110" i="8" s="1"/>
  <c r="AJ37" i="8" a="1"/>
  <c r="AJ37" i="8" s="1"/>
  <c r="U87" i="8" a="1"/>
  <c r="U87" i="8" s="1"/>
  <c r="AF109" i="8" a="1"/>
  <c r="AF109" i="8" s="1"/>
  <c r="AC109" i="8" a="1"/>
  <c r="AC109" i="8" s="1"/>
  <c r="AF159" i="8" a="1"/>
  <c r="AF159" i="8" s="1"/>
  <c r="AC159" i="8" a="1"/>
  <c r="AC159" i="8" s="1"/>
  <c r="AF209" i="8" a="1"/>
  <c r="AF209" i="8" s="1"/>
  <c r="AC209" i="8" a="1"/>
  <c r="AC209" i="8" s="1"/>
  <c r="U187" i="8" a="1"/>
  <c r="U187" i="8" s="1"/>
  <c r="AB209" i="8" a="1"/>
  <c r="AB209" i="8" s="1"/>
  <c r="Y209" i="8" a="1"/>
  <c r="Y209" i="8" s="1"/>
  <c r="AH16" i="8" a="1"/>
  <c r="AH16" i="8" s="1"/>
  <c r="AC134" i="8" a="1"/>
  <c r="AC134" i="8" s="1"/>
  <c r="AA13" i="8" a="1"/>
  <c r="AA13" i="8" s="1"/>
  <c r="AJ85" i="8" a="1"/>
  <c r="AJ85" i="8" s="1"/>
  <c r="AG85" i="8" a="1"/>
  <c r="AG85" i="8" s="1"/>
  <c r="X134" i="8" a="1"/>
  <c r="X134" i="8" s="1"/>
  <c r="U134" i="8" a="1"/>
  <c r="U134" i="8" s="1"/>
  <c r="AJ209" i="8" a="1"/>
  <c r="AJ209" i="8" s="1"/>
  <c r="AG209" i="8" a="1"/>
  <c r="AG209" i="8" s="1"/>
  <c r="Y38" i="8" a="1"/>
  <c r="Y38" i="8" s="1"/>
  <c r="AF85" i="8" a="1"/>
  <c r="AF85" i="8" s="1"/>
  <c r="AC85" i="8" a="1"/>
  <c r="AC85" i="8" s="1"/>
  <c r="X233" i="8" a="1"/>
  <c r="X233" i="8" s="1"/>
  <c r="U233" i="8" a="1"/>
  <c r="U233" i="8" s="1"/>
  <c r="U63" i="8" a="1"/>
  <c r="U63" i="8" s="1"/>
  <c r="AG13" i="8" a="1"/>
  <c r="AG13" i="8" s="1"/>
  <c r="AB158" i="8" a="1"/>
  <c r="AB158" i="8" s="1"/>
  <c r="Y158" i="8" a="1"/>
  <c r="Y158" i="8" s="1"/>
  <c r="AJ159" i="8" a="1"/>
  <c r="AJ159" i="8" s="1"/>
  <c r="AG159" i="8" a="1"/>
  <c r="AG159" i="8" s="1"/>
  <c r="W15" i="8" a="1"/>
  <c r="W15" i="8" s="1"/>
  <c r="AJ61" i="8" a="1"/>
  <c r="AJ61" i="8" s="1"/>
  <c r="AG61" i="8" a="1"/>
  <c r="AG61" i="8" s="1"/>
  <c r="AG233" i="8" a="1"/>
  <c r="AG233" i="8" s="1"/>
  <c r="AB37" i="8" a="1"/>
  <c r="AB37" i="8" s="1"/>
  <c r="AI13" i="8" a="1"/>
  <c r="AI13" i="8" s="1"/>
  <c r="Y233" i="8" a="1"/>
  <c r="Y233" i="8" s="1"/>
  <c r="AB110" i="8" a="1"/>
  <c r="AB110" i="8" s="1"/>
  <c r="Y110" i="8" a="1"/>
  <c r="Y110" i="8" s="1"/>
  <c r="AE13" i="8" a="1"/>
  <c r="AE13" i="8" s="1"/>
  <c r="Z13" i="8" a="1"/>
  <c r="Z13" i="8" s="1"/>
  <c r="AC12" i="8" a="1"/>
  <c r="AC12" i="8" s="1"/>
  <c r="AG38" i="8" a="1"/>
  <c r="AG38" i="8" s="1"/>
  <c r="AB62" i="8" a="1"/>
  <c r="AB62" i="8" s="1"/>
  <c r="Y62" i="8" a="1"/>
  <c r="Y62" i="8" s="1"/>
  <c r="C191" i="10"/>
  <c r="C141" i="10"/>
  <c r="C169" i="10"/>
  <c r="C289" i="6"/>
  <c r="C289" i="10" s="1" a="1"/>
  <c r="C289" i="10" s="1"/>
  <c r="C238" i="10"/>
  <c r="C173" i="10"/>
  <c r="C199" i="10"/>
  <c r="C130" i="10"/>
  <c r="C188" i="10"/>
  <c r="C156" i="10"/>
  <c r="C165" i="10"/>
  <c r="C278" i="6"/>
  <c r="C278" i="10" s="1" a="1"/>
  <c r="C278" i="10" s="1"/>
  <c r="C292" i="6"/>
  <c r="C292" i="10" s="1" a="1"/>
  <c r="C292" i="10" s="1"/>
  <c r="C234" i="10"/>
  <c r="B262" i="6"/>
  <c r="B262" i="10" s="1" a="1"/>
  <c r="B262" i="10" s="1"/>
  <c r="C211" i="10"/>
  <c r="C209" i="10"/>
  <c r="C251" i="6"/>
  <c r="C251" i="10" s="1" a="1"/>
  <c r="C251" i="10" s="1"/>
  <c r="C194" i="10"/>
  <c r="B259" i="6"/>
  <c r="B259" i="10" s="1" a="1"/>
  <c r="B259" i="10" s="1"/>
  <c r="C139" i="10"/>
  <c r="C246" i="10"/>
  <c r="C235" i="10"/>
  <c r="C177" i="10"/>
  <c r="C145" i="10"/>
  <c r="C179" i="10"/>
  <c r="B256" i="6"/>
  <c r="B256" i="10" s="1" a="1"/>
  <c r="B256" i="10" s="1"/>
  <c r="B268" i="6"/>
  <c r="B268" i="10" s="1" a="1"/>
  <c r="B268" i="10" s="1"/>
  <c r="C281" i="6"/>
  <c r="C281" i="10" s="1" a="1"/>
  <c r="C281" i="10" s="1"/>
  <c r="C216" i="10"/>
  <c r="C229" i="10"/>
  <c r="C233" i="10"/>
  <c r="C282" i="6"/>
  <c r="C282" i="10" s="1" a="1"/>
  <c r="C282" i="10" s="1"/>
  <c r="C186" i="10"/>
  <c r="C274" i="6"/>
  <c r="C274" i="10" s="1" a="1"/>
  <c r="C274" i="10" s="1"/>
  <c r="C240" i="10"/>
  <c r="C174" i="10"/>
  <c r="C295" i="6"/>
  <c r="C295" i="10" s="1" a="1"/>
  <c r="C295" i="10" s="1"/>
  <c r="C152" i="10"/>
  <c r="B269" i="6"/>
  <c r="B269" i="10" s="1" a="1"/>
  <c r="B269" i="10" s="1"/>
  <c r="C220" i="10"/>
  <c r="B273" i="6"/>
  <c r="B273" i="10" s="1" a="1"/>
  <c r="B273" i="10" s="1"/>
  <c r="C275" i="6"/>
  <c r="C275" i="10" s="1" a="1"/>
  <c r="C275" i="10" s="1"/>
  <c r="C183" i="10"/>
  <c r="C158" i="10"/>
  <c r="C258" i="6"/>
  <c r="C258" i="10" s="1" a="1"/>
  <c r="C258" i="10" s="1"/>
  <c r="C171" i="10"/>
  <c r="B286" i="6"/>
  <c r="B286" i="10" s="1" a="1"/>
  <c r="B286" i="10" s="1"/>
  <c r="C149" i="10"/>
  <c r="B271" i="6"/>
  <c r="B271" i="10" s="1" a="1"/>
  <c r="B271" i="10" s="1"/>
  <c r="C268" i="6"/>
  <c r="C268" i="10" s="1" a="1"/>
  <c r="C268" i="10" s="1"/>
  <c r="C219" i="10"/>
  <c r="C131" i="10"/>
  <c r="C254" i="6"/>
  <c r="C254" i="10" s="1" a="1"/>
  <c r="C254" i="10" s="1"/>
  <c r="C187" i="10"/>
  <c r="C142" i="10"/>
  <c r="C285" i="6"/>
  <c r="C285" i="10" s="1" a="1"/>
  <c r="C285" i="10" s="1"/>
  <c r="B289" i="6"/>
  <c r="B289" i="10" s="1" a="1"/>
  <c r="B289" i="10" s="1"/>
  <c r="C185" i="10"/>
  <c r="C277" i="6"/>
  <c r="C277" i="10" s="1" a="1"/>
  <c r="C277" i="10" s="1"/>
  <c r="C287" i="6"/>
  <c r="C287" i="10" s="1" a="1"/>
  <c r="C287" i="10" s="1"/>
  <c r="C159" i="10"/>
  <c r="B251" i="6"/>
  <c r="B251" i="10" s="1" a="1"/>
  <c r="B251" i="10" s="1"/>
  <c r="C172" i="10"/>
  <c r="C230" i="10"/>
  <c r="C247" i="10"/>
  <c r="C200" i="10"/>
  <c r="C228" i="10"/>
  <c r="C250" i="6"/>
  <c r="C250" i="10" s="1" a="1"/>
  <c r="C250" i="10" s="1"/>
  <c r="C266" i="6"/>
  <c r="C266" i="10" s="1" a="1"/>
  <c r="C266" i="10" s="1"/>
  <c r="C217" i="10"/>
  <c r="C249" i="10"/>
  <c r="C178" i="10"/>
  <c r="C290" i="6"/>
  <c r="C290" i="10" s="1" a="1"/>
  <c r="C290" i="10" s="1"/>
  <c r="C255" i="6"/>
  <c r="C255" i="10" s="1" a="1"/>
  <c r="C255" i="10" s="1"/>
  <c r="B280" i="6"/>
  <c r="B280" i="10" s="1" a="1"/>
  <c r="B280" i="10" s="1"/>
  <c r="C175" i="10"/>
  <c r="C207" i="10"/>
  <c r="B277" i="6"/>
  <c r="B277" i="10" s="1" a="1"/>
  <c r="B277" i="10" s="1"/>
  <c r="C197" i="10"/>
  <c r="B260" i="6"/>
  <c r="B260" i="10" s="1" a="1"/>
  <c r="B260" i="10" s="1"/>
  <c r="C262" i="6"/>
  <c r="C262" i="10" s="1" a="1"/>
  <c r="C262" i="10" s="1"/>
  <c r="C253" i="6"/>
  <c r="C253" i="10" s="1" a="1"/>
  <c r="C253" i="10" s="1"/>
  <c r="C213" i="10"/>
  <c r="C224" i="10"/>
  <c r="C144" i="10"/>
  <c r="C288" i="6"/>
  <c r="C288" i="10" s="1" a="1"/>
  <c r="C288" i="10" s="1"/>
  <c r="C151" i="10"/>
  <c r="C269" i="6"/>
  <c r="C269" i="10" s="1" a="1"/>
  <c r="C269" i="10" s="1"/>
  <c r="B272" i="6"/>
  <c r="B272" i="10" s="1" a="1"/>
  <c r="B272" i="10" s="1"/>
  <c r="B278" i="6"/>
  <c r="B278" i="10" s="1" a="1"/>
  <c r="B278" i="10" s="1"/>
  <c r="B293" i="6"/>
  <c r="B293" i="10" s="1" a="1"/>
  <c r="B293" i="10" s="1"/>
  <c r="C257" i="6"/>
  <c r="C257" i="10" s="1" a="1"/>
  <c r="C257" i="10" s="1"/>
  <c r="B257" i="6"/>
  <c r="B257" i="10" s="1" a="1"/>
  <c r="B257" i="10" s="1"/>
  <c r="C293" i="6"/>
  <c r="C293" i="10" s="1" a="1"/>
  <c r="C293" i="10" s="1"/>
  <c r="B270" i="6"/>
  <c r="B270" i="10" s="1" a="1"/>
  <c r="B270" i="10" s="1"/>
  <c r="B261" i="6"/>
  <c r="B261" i="10" s="1" a="1"/>
  <c r="B261" i="10" s="1"/>
  <c r="C192" i="10"/>
  <c r="C203" i="10"/>
  <c r="C225" i="10"/>
  <c r="C189" i="10"/>
  <c r="C150" i="10"/>
  <c r="C170" i="10"/>
  <c r="C161" i="10"/>
  <c r="C196" i="10"/>
  <c r="C164" i="10"/>
  <c r="B266" i="6"/>
  <c r="B266" i="10" s="1" a="1"/>
  <c r="B266" i="10" s="1"/>
  <c r="C168" i="10"/>
  <c r="B264" i="6"/>
  <c r="B264" i="10" s="1" a="1"/>
  <c r="B264" i="10" s="1"/>
  <c r="C193" i="10"/>
  <c r="C215" i="10"/>
  <c r="C284" i="6"/>
  <c r="C284" i="10" s="1" a="1"/>
  <c r="C284" i="10" s="1"/>
  <c r="B263" i="6"/>
  <c r="B263" i="10" s="1" a="1"/>
  <c r="B263" i="10" s="1"/>
  <c r="C256" i="6"/>
  <c r="C256" i="10" s="1" a="1"/>
  <c r="C256" i="10" s="1"/>
  <c r="C223" i="10"/>
  <c r="C181" i="10"/>
  <c r="C231" i="10"/>
  <c r="C153" i="10"/>
  <c r="C190" i="10"/>
  <c r="C280" i="6"/>
  <c r="C280" i="10" s="1" a="1"/>
  <c r="C280" i="10" s="1"/>
  <c r="B284" i="6"/>
  <c r="B284" i="10" s="1" a="1"/>
  <c r="B284" i="10" s="1"/>
  <c r="B285" i="6"/>
  <c r="B285" i="10" s="1" a="1"/>
  <c r="B285" i="10" s="1"/>
  <c r="C245" i="10"/>
  <c r="C239" i="10"/>
  <c r="C265" i="6"/>
  <c r="C265" i="10" s="1" a="1"/>
  <c r="C265" i="10" s="1"/>
  <c r="C276" i="6"/>
  <c r="C276" i="10" s="1" a="1"/>
  <c r="C276" i="10" s="1"/>
  <c r="C180" i="10"/>
  <c r="B279" i="6"/>
  <c r="B279" i="10" s="1" a="1"/>
  <c r="B279" i="10" s="1"/>
  <c r="C137" i="10"/>
  <c r="C182" i="10"/>
  <c r="C135" i="10"/>
  <c r="C201" i="10"/>
  <c r="C252" i="6"/>
  <c r="C252" i="10" s="1" a="1"/>
  <c r="C252" i="10" s="1"/>
  <c r="B290" i="6"/>
  <c r="B290" i="10" s="1" a="1"/>
  <c r="B290" i="10" s="1"/>
  <c r="C263" i="6"/>
  <c r="C263" i="10" s="1" a="1"/>
  <c r="C263" i="10" s="1"/>
  <c r="C195" i="10"/>
  <c r="C283" i="6"/>
  <c r="C283" i="10" s="1" a="1"/>
  <c r="C283" i="10" s="1"/>
  <c r="C198" i="10"/>
  <c r="B292" i="6"/>
  <c r="B292" i="10" s="1" a="1"/>
  <c r="B292" i="10" s="1"/>
  <c r="C271" i="6"/>
  <c r="C271" i="10" s="1" a="1"/>
  <c r="C271" i="10" s="1"/>
  <c r="C237" i="10"/>
  <c r="C147" i="10"/>
  <c r="C146" i="10"/>
  <c r="B258" i="6"/>
  <c r="B258" i="10" s="1" a="1"/>
  <c r="B258" i="10" s="1"/>
  <c r="C264" i="6"/>
  <c r="C264" i="10" s="1" a="1"/>
  <c r="C264" i="10" s="1"/>
  <c r="C270" i="6"/>
  <c r="C270" i="10" s="1" a="1"/>
  <c r="C270" i="10" s="1"/>
  <c r="B275" i="6"/>
  <c r="B275" i="10" s="1" a="1"/>
  <c r="B275" i="10" s="1"/>
  <c r="C176" i="10"/>
  <c r="C202" i="10"/>
  <c r="C208" i="10"/>
  <c r="C243" i="10"/>
  <c r="C136" i="10"/>
  <c r="B255" i="6"/>
  <c r="B255" i="10" s="1" a="1"/>
  <c r="B255" i="10" s="1"/>
  <c r="C259" i="6"/>
  <c r="C259" i="10" s="1" a="1"/>
  <c r="C259" i="10" s="1"/>
  <c r="B276" i="6"/>
  <c r="B276" i="10" s="1" a="1"/>
  <c r="B276" i="10" s="1"/>
  <c r="B267" i="6"/>
  <c r="B267" i="10" s="1" a="1"/>
  <c r="B267" i="10" s="1"/>
  <c r="C160" i="10"/>
  <c r="B274" i="6"/>
  <c r="B274" i="10" s="1" a="1"/>
  <c r="B274" i="10" s="1"/>
  <c r="C157" i="10"/>
  <c r="B295" i="6"/>
  <c r="B295" i="10" s="1" a="1"/>
  <c r="B295" i="10" s="1"/>
  <c r="C273" i="6"/>
  <c r="C273" i="10" s="1" a="1"/>
  <c r="C273" i="10" s="1"/>
  <c r="C162" i="10"/>
  <c r="C261" i="6"/>
  <c r="C261" i="10" s="1" a="1"/>
  <c r="C261" i="10" s="1"/>
  <c r="B281" i="6"/>
  <c r="B281" i="10" s="1" a="1"/>
  <c r="B281" i="10" s="1"/>
  <c r="C272" i="6"/>
  <c r="C272" i="10" s="1" a="1"/>
  <c r="C272" i="10" s="1"/>
  <c r="C244" i="10"/>
  <c r="C134" i="10"/>
  <c r="B287" i="6"/>
  <c r="B287" i="10" s="1" a="1"/>
  <c r="B287" i="10" s="1"/>
  <c r="C163" i="10"/>
  <c r="C222" i="10"/>
  <c r="C242" i="10"/>
  <c r="C204" i="10"/>
  <c r="B288" i="6"/>
  <c r="B288" i="10" s="1" a="1"/>
  <c r="B288" i="10" s="1"/>
  <c r="B283" i="6"/>
  <c r="B283" i="10" s="1" a="1"/>
  <c r="B283" i="10" s="1"/>
  <c r="C167" i="10"/>
  <c r="C132" i="10"/>
  <c r="C155" i="10"/>
  <c r="C267" i="6"/>
  <c r="C267" i="10" s="1" a="1"/>
  <c r="C267" i="10" s="1"/>
  <c r="C279" i="6"/>
  <c r="C279" i="10" s="1" a="1"/>
  <c r="C279" i="10" s="1"/>
  <c r="C212" i="10"/>
  <c r="C236" i="10"/>
  <c r="B282" i="6"/>
  <c r="B282" i="10" s="1" a="1"/>
  <c r="B282" i="10" s="1"/>
  <c r="C206" i="10"/>
  <c r="C226" i="10"/>
  <c r="B294" i="6"/>
  <c r="B294" i="10" s="1" a="1"/>
  <c r="B294" i="10" s="1"/>
  <c r="C241" i="10"/>
  <c r="C214" i="10"/>
  <c r="C184" i="10"/>
  <c r="B253" i="6"/>
  <c r="B253" i="10" s="1" a="1"/>
  <c r="B253" i="10" s="1"/>
  <c r="C210" i="10"/>
  <c r="C294" i="6"/>
  <c r="C294" i="10" s="1" a="1"/>
  <c r="C294" i="10" s="1"/>
  <c r="C166" i="10"/>
  <c r="C260" i="6"/>
  <c r="C260" i="10" s="1" a="1"/>
  <c r="C260" i="10" s="1"/>
  <c r="C286" i="6"/>
  <c r="C286" i="10" s="1" a="1"/>
  <c r="C286" i="10" s="1"/>
  <c r="C221" i="10"/>
  <c r="C248" i="10"/>
  <c r="B254" i="6"/>
  <c r="B254" i="10" s="1" a="1"/>
  <c r="B254" i="10" s="1"/>
  <c r="C148" i="10"/>
  <c r="C232" i="10"/>
  <c r="C138" i="10"/>
  <c r="C154" i="10"/>
  <c r="C143" i="10"/>
  <c r="B291" i="6"/>
  <c r="B291" i="10" s="1" a="1"/>
  <c r="B291" i="10" s="1"/>
  <c r="C133" i="10"/>
  <c r="B265" i="6"/>
  <c r="B265" i="10" s="1" a="1"/>
  <c r="B265" i="10" s="1"/>
  <c r="C205" i="10"/>
  <c r="B252" i="6"/>
  <c r="B252" i="10" s="1" a="1"/>
  <c r="B252" i="10" s="1"/>
  <c r="C140" i="10"/>
  <c r="C227" i="10"/>
  <c r="B250" i="6"/>
  <c r="B250" i="10" s="1" a="1"/>
  <c r="B250" i="10" s="1"/>
  <c r="C218" i="10"/>
  <c r="C291" i="6"/>
  <c r="C291" i="10" s="1" a="1"/>
  <c r="C291" i="10" s="1"/>
  <c r="G194" i="7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AJ233" i="8" l="1" a="1"/>
  <c r="AJ233" i="8" s="1"/>
  <c r="X159" i="8" a="1"/>
  <c r="X159" i="8" s="1"/>
  <c r="U159" i="8" a="1"/>
  <c r="U159" i="8" s="1"/>
  <c r="AD40" i="8" a="1"/>
  <c r="AD40" i="8" s="1"/>
  <c r="AF134" i="8" a="1"/>
  <c r="AF134" i="8" s="1"/>
  <c r="V15" i="8" a="1"/>
  <c r="V15" i="8" s="1"/>
  <c r="AI49" i="8" a="1"/>
  <c r="AI49" i="8" s="1"/>
  <c r="X63" i="8" a="1"/>
  <c r="X63" i="8" s="1"/>
  <c r="AF185" i="8" a="1"/>
  <c r="AF185" i="8" s="1"/>
  <c r="AC185" i="8" a="1"/>
  <c r="AC185" i="8" s="1"/>
  <c r="AJ134" i="8" a="1"/>
  <c r="AJ134" i="8" s="1"/>
  <c r="AA42" i="8" a="1"/>
  <c r="AA42" i="8" s="1"/>
  <c r="AB233" i="8" a="1"/>
  <c r="AB233" i="8" s="1"/>
  <c r="AJ185" i="8" a="1"/>
  <c r="AJ185" i="8" s="1"/>
  <c r="AG185" i="8" a="1"/>
  <c r="AG185" i="8" s="1"/>
  <c r="W42" i="8" a="1"/>
  <c r="W42" i="8" s="1"/>
  <c r="X87" i="8" a="1"/>
  <c r="X87" i="8" s="1"/>
  <c r="Z41" i="8" a="1"/>
  <c r="Z41" i="8" s="1"/>
  <c r="AE41" i="8" a="1"/>
  <c r="AE41" i="8" s="1"/>
  <c r="X187" i="8" a="1"/>
  <c r="X187" i="8" s="1"/>
  <c r="AB185" i="8" a="1"/>
  <c r="AB185" i="8" s="1"/>
  <c r="Y185" i="8" a="1"/>
  <c r="Y185" i="8" s="1"/>
  <c r="AF233" i="8" a="1"/>
  <c r="AF233" i="8" s="1"/>
  <c r="AC233" i="8" a="1"/>
  <c r="AC233" i="8" s="1"/>
  <c r="W209" i="8" a="1"/>
  <c r="W209" i="8" s="1"/>
  <c r="AJ38" i="8" a="1"/>
  <c r="AJ38" i="8" s="1"/>
  <c r="AJ160" i="8" a="1"/>
  <c r="AJ160" i="8" s="1"/>
  <c r="AG160" i="8" a="1"/>
  <c r="AG160" i="8" s="1"/>
  <c r="U64" i="8" a="1"/>
  <c r="U64" i="8" s="1"/>
  <c r="Y39" i="8" a="1"/>
  <c r="Y39" i="8" s="1"/>
  <c r="AJ210" i="8" a="1"/>
  <c r="AJ210" i="8" s="1"/>
  <c r="AG210" i="8" a="1"/>
  <c r="AG210" i="8" s="1"/>
  <c r="X135" i="8" a="1"/>
  <c r="X135" i="8" s="1"/>
  <c r="U135" i="8" a="1"/>
  <c r="U135" i="8" s="1"/>
  <c r="U188" i="8" a="1"/>
  <c r="U188" i="8" s="1"/>
  <c r="AJ111" i="8" a="1"/>
  <c r="AJ111" i="8" s="1"/>
  <c r="AG111" i="8" a="1"/>
  <c r="AG111" i="8" s="1"/>
  <c r="U14" i="8" a="1"/>
  <c r="U14" i="8" s="1"/>
  <c r="X38" i="8" a="1"/>
  <c r="X38" i="8" s="1"/>
  <c r="X209" i="8" a="1"/>
  <c r="X209" i="8" s="1"/>
  <c r="U209" i="8" a="1"/>
  <c r="U209" i="8" s="1"/>
  <c r="AB87" i="8" a="1"/>
  <c r="AB87" i="8" s="1"/>
  <c r="Y87" i="8" a="1"/>
  <c r="Y87" i="8" s="1"/>
  <c r="AB63" i="8" a="1"/>
  <c r="AB63" i="8" s="1"/>
  <c r="Y63" i="8" a="1"/>
  <c r="Y63" i="8" s="1"/>
  <c r="Y234" i="8" a="1"/>
  <c r="Y234" i="8" s="1"/>
  <c r="AJ62" i="8" a="1"/>
  <c r="AJ62" i="8" s="1"/>
  <c r="AG62" i="8" a="1"/>
  <c r="AG62" i="8" s="1"/>
  <c r="AG14" i="8" a="1"/>
  <c r="AG14" i="8" s="1"/>
  <c r="AB38" i="8" a="1"/>
  <c r="AB38" i="8" s="1"/>
  <c r="AA14" i="8" a="1"/>
  <c r="AA14" i="8" s="1"/>
  <c r="AC135" i="8" a="1"/>
  <c r="AC135" i="8" s="1"/>
  <c r="AB210" i="8" a="1"/>
  <c r="AB210" i="8" s="1"/>
  <c r="Y210" i="8" a="1"/>
  <c r="Y210" i="8" s="1"/>
  <c r="U88" i="8" a="1"/>
  <c r="U88" i="8" s="1"/>
  <c r="Y14" i="8" a="1"/>
  <c r="Y14" i="8" s="1"/>
  <c r="AC38" i="8" a="1"/>
  <c r="AC38" i="8" s="1"/>
  <c r="U39" i="8" a="1"/>
  <c r="U39" i="8" s="1"/>
  <c r="AD14" i="8" a="1"/>
  <c r="AD14" i="8" s="1"/>
  <c r="AC13" i="8" a="1"/>
  <c r="AC13" i="8" s="1"/>
  <c r="AE14" i="8" a="1"/>
  <c r="AE14" i="8" s="1"/>
  <c r="AB111" i="8" a="1"/>
  <c r="AB111" i="8" s="1"/>
  <c r="Y111" i="8" a="1"/>
  <c r="Y111" i="8" s="1"/>
  <c r="AI14" i="8" a="1"/>
  <c r="AI14" i="8" s="1"/>
  <c r="AG234" i="8" a="1"/>
  <c r="AG234" i="8" s="1"/>
  <c r="X234" i="8" a="1"/>
  <c r="X234" i="8" s="1"/>
  <c r="U234" i="8" a="1"/>
  <c r="U234" i="8" s="1"/>
  <c r="AF86" i="8" a="1"/>
  <c r="AF86" i="8" s="1"/>
  <c r="AC86" i="8" a="1"/>
  <c r="AC86" i="8" s="1"/>
  <c r="AF210" i="8" a="1"/>
  <c r="AF210" i="8" s="1"/>
  <c r="AC210" i="8" a="1"/>
  <c r="AC210" i="8" s="1"/>
  <c r="AF160" i="8" a="1"/>
  <c r="AF160" i="8" s="1"/>
  <c r="AC160" i="8" a="1"/>
  <c r="AC160" i="8" s="1"/>
  <c r="X111" i="8" a="1"/>
  <c r="X111" i="8" s="1"/>
  <c r="U111" i="8" a="1"/>
  <c r="U111" i="8" s="1"/>
  <c r="AF37" i="8" a="1"/>
  <c r="AF37" i="8" s="1"/>
  <c r="AG39" i="8" a="1"/>
  <c r="AG39" i="8" s="1"/>
  <c r="Z14" i="8" a="1"/>
  <c r="Z14" i="8" s="1"/>
  <c r="W16" i="8" a="1"/>
  <c r="W16" i="8" s="1"/>
  <c r="AB159" i="8" a="1"/>
  <c r="AB159" i="8" s="1"/>
  <c r="Y159" i="8" a="1"/>
  <c r="Y159" i="8" s="1"/>
  <c r="AJ86" i="8" a="1"/>
  <c r="AJ86" i="8" s="1"/>
  <c r="AG86" i="8" a="1"/>
  <c r="AG86" i="8" s="1"/>
  <c r="AH17" i="8" a="1"/>
  <c r="AH17" i="8" s="1"/>
  <c r="AF110" i="8" a="1"/>
  <c r="AF110" i="8" s="1"/>
  <c r="AC110" i="8" a="1"/>
  <c r="AC110" i="8" s="1"/>
  <c r="AG135" i="8" a="1"/>
  <c r="AG135" i="8" s="1"/>
  <c r="AB135" i="8" a="1"/>
  <c r="AB135" i="8" s="1"/>
  <c r="Y135" i="8" a="1"/>
  <c r="Y135" i="8" s="1"/>
  <c r="AF62" i="8" a="1"/>
  <c r="AF62" i="8" s="1"/>
  <c r="AC62" i="8" a="1"/>
  <c r="AC62" i="8" s="1"/>
  <c r="I7" i="7" a="1"/>
  <c r="D7" i="7" a="1"/>
  <c r="H7" i="7" a="1"/>
  <c r="C7" i="7" a="1"/>
  <c r="F7" i="7" a="1"/>
  <c r="B7" i="7" a="1"/>
  <c r="E7" i="7" a="1"/>
  <c r="AB186" i="8" l="1" a="1"/>
  <c r="AB186" i="8" s="1"/>
  <c r="Y186" i="8" a="1"/>
  <c r="Y186" i="8" s="1"/>
  <c r="AE42" i="8" a="1"/>
  <c r="AE42" i="8" s="1"/>
  <c r="X88" i="8" a="1"/>
  <c r="X88" i="8" s="1"/>
  <c r="AI50" i="8" a="1"/>
  <c r="AI50" i="8" s="1"/>
  <c r="V16" i="8" a="1"/>
  <c r="V16" i="8" s="1"/>
  <c r="AF135" i="8" a="1"/>
  <c r="AF135" i="8" s="1"/>
  <c r="X160" i="8" a="1"/>
  <c r="X160" i="8" s="1"/>
  <c r="U160" i="8" a="1"/>
  <c r="U160" i="8" s="1"/>
  <c r="W210" i="8" a="1"/>
  <c r="W210" i="8" s="1"/>
  <c r="X188" i="8" a="1"/>
  <c r="X188" i="8" s="1"/>
  <c r="AJ186" i="8" a="1"/>
  <c r="AJ186" i="8" s="1"/>
  <c r="AG186" i="8" a="1"/>
  <c r="AG186" i="8" s="1"/>
  <c r="X64" i="8" a="1"/>
  <c r="X64" i="8" s="1"/>
  <c r="AJ234" i="8" a="1"/>
  <c r="AJ234" i="8" s="1"/>
  <c r="Z42" i="8" a="1"/>
  <c r="Z42" i="8" s="1"/>
  <c r="W43" i="8" a="1"/>
  <c r="W43" i="8" s="1"/>
  <c r="AA43" i="8" a="1"/>
  <c r="AA43" i="8" s="1"/>
  <c r="AJ135" i="8" a="1"/>
  <c r="AJ135" i="8" s="1"/>
  <c r="AD41" i="8" a="1"/>
  <c r="AD41" i="8" s="1"/>
  <c r="AJ39" i="8" a="1"/>
  <c r="AJ39" i="8" s="1"/>
  <c r="AF234" i="8" a="1"/>
  <c r="AF234" i="8" s="1"/>
  <c r="AC234" i="8" a="1"/>
  <c r="AC234" i="8" s="1"/>
  <c r="AB234" i="8" a="1"/>
  <c r="AB234" i="8" s="1"/>
  <c r="AF186" i="8" a="1"/>
  <c r="AF186" i="8" s="1"/>
  <c r="AC186" i="8" a="1"/>
  <c r="AC186" i="8" s="1"/>
  <c r="AJ87" i="8" a="1"/>
  <c r="AJ87" i="8" s="1"/>
  <c r="AG87" i="8" a="1"/>
  <c r="AG87" i="8" s="1"/>
  <c r="W17" i="8" a="1"/>
  <c r="W17" i="8" s="1"/>
  <c r="AF87" i="8" a="1"/>
  <c r="AF87" i="8" s="1"/>
  <c r="AC87" i="8" a="1"/>
  <c r="AC87" i="8" s="1"/>
  <c r="AE15" i="8" a="1"/>
  <c r="AE15" i="8" s="1"/>
  <c r="X40" i="8" a="1"/>
  <c r="X40" i="8" s="1"/>
  <c r="U40" i="8" a="1"/>
  <c r="U40" i="8" s="1"/>
  <c r="AJ63" i="8" a="1"/>
  <c r="AJ63" i="8" s="1"/>
  <c r="AG63" i="8" a="1"/>
  <c r="AG63" i="8" s="1"/>
  <c r="AB88" i="8" a="1"/>
  <c r="AB88" i="8" s="1"/>
  <c r="Y88" i="8" a="1"/>
  <c r="Y88" i="8" s="1"/>
  <c r="AB39" i="8" a="1"/>
  <c r="AB39" i="8" s="1"/>
  <c r="AH18" i="8" a="1"/>
  <c r="AH18" i="8" s="1"/>
  <c r="AG40" i="8" a="1"/>
  <c r="AG40" i="8" s="1"/>
  <c r="AD15" i="8" a="1"/>
  <c r="AD15" i="8" s="1"/>
  <c r="Y15" i="8" a="1"/>
  <c r="Y15" i="8" s="1"/>
  <c r="U89" i="8" a="1"/>
  <c r="U89" i="8" s="1"/>
  <c r="AG15" i="8" a="1"/>
  <c r="AG15" i="8" s="1"/>
  <c r="AB64" i="8" a="1"/>
  <c r="AB64" i="8" s="1"/>
  <c r="Y64" i="8" a="1"/>
  <c r="Y64" i="8" s="1"/>
  <c r="AJ112" i="8" a="1"/>
  <c r="AJ112" i="8" s="1"/>
  <c r="AG112" i="8" a="1"/>
  <c r="AG112" i="8" s="1"/>
  <c r="X136" i="8" a="1"/>
  <c r="X136" i="8" s="1"/>
  <c r="U136" i="8" a="1"/>
  <c r="U136" i="8" s="1"/>
  <c r="AJ211" i="8" a="1"/>
  <c r="AJ211" i="8" s="1"/>
  <c r="AG211" i="8" a="1"/>
  <c r="AG211" i="8" s="1"/>
  <c r="AF211" i="8" a="1"/>
  <c r="AF211" i="8" s="1"/>
  <c r="AC211" i="8" a="1"/>
  <c r="AC211" i="8" s="1"/>
  <c r="AG235" i="8" a="1"/>
  <c r="AG235" i="8" s="1"/>
  <c r="AC39" i="8" a="1"/>
  <c r="AC39" i="8" s="1"/>
  <c r="AC136" i="8" a="1"/>
  <c r="AC136" i="8" s="1"/>
  <c r="U15" i="8" a="1"/>
  <c r="U15" i="8" s="1"/>
  <c r="AJ161" i="8" a="1"/>
  <c r="AJ161" i="8" s="1"/>
  <c r="AG161" i="8" a="1"/>
  <c r="AG161" i="8" s="1"/>
  <c r="AB136" i="8" a="1"/>
  <c r="AB136" i="8" s="1"/>
  <c r="Y136" i="8" a="1"/>
  <c r="Y136" i="8" s="1"/>
  <c r="AF63" i="8" a="1"/>
  <c r="AF63" i="8" s="1"/>
  <c r="AC63" i="8" a="1"/>
  <c r="AC63" i="8" s="1"/>
  <c r="AG136" i="8" a="1"/>
  <c r="AG136" i="8" s="1"/>
  <c r="AF111" i="8" a="1"/>
  <c r="AF111" i="8" s="1"/>
  <c r="AC111" i="8" a="1"/>
  <c r="AC111" i="8" s="1"/>
  <c r="AB160" i="8" a="1"/>
  <c r="AB160" i="8" s="1"/>
  <c r="Y160" i="8" a="1"/>
  <c r="Y160" i="8" s="1"/>
  <c r="Z15" i="8" a="1"/>
  <c r="Z15" i="8" s="1"/>
  <c r="X112" i="8" a="1"/>
  <c r="X112" i="8" s="1"/>
  <c r="U112" i="8" a="1"/>
  <c r="U112" i="8" s="1"/>
  <c r="AF161" i="8" a="1"/>
  <c r="AF161" i="8" s="1"/>
  <c r="AC161" i="8" a="1"/>
  <c r="AC161" i="8" s="1"/>
  <c r="X235" i="8" a="1"/>
  <c r="X235" i="8" s="1"/>
  <c r="U235" i="8" a="1"/>
  <c r="U235" i="8" s="1"/>
  <c r="AI15" i="8" a="1"/>
  <c r="AI15" i="8" s="1"/>
  <c r="AB112" i="8" a="1"/>
  <c r="AB112" i="8" s="1"/>
  <c r="Y112" i="8" a="1"/>
  <c r="Y112" i="8" s="1"/>
  <c r="AC14" i="8" a="1"/>
  <c r="AC14" i="8" s="1"/>
  <c r="X39" i="8" a="1"/>
  <c r="X39" i="8" s="1"/>
  <c r="AF38" i="8" a="1"/>
  <c r="AF38" i="8" s="1"/>
  <c r="AB211" i="8" a="1"/>
  <c r="AB211" i="8" s="1"/>
  <c r="Y211" i="8" a="1"/>
  <c r="Y211" i="8" s="1"/>
  <c r="AA15" i="8" a="1"/>
  <c r="AA15" i="8" s="1"/>
  <c r="Y235" i="8" a="1"/>
  <c r="Y235" i="8" s="1"/>
  <c r="X210" i="8" a="1"/>
  <c r="X210" i="8" s="1"/>
  <c r="U210" i="8" a="1"/>
  <c r="U210" i="8" s="1"/>
  <c r="U189" i="8" a="1"/>
  <c r="U189" i="8" s="1"/>
  <c r="Y40" i="8" a="1"/>
  <c r="Y40" i="8" s="1"/>
  <c r="U65" i="8" a="1"/>
  <c r="U65" i="8" s="1"/>
  <c r="E7" i="7"/>
  <c r="B7" i="7"/>
  <c r="F7" i="7"/>
  <c r="C7" i="7"/>
  <c r="H7" i="7"/>
  <c r="D7" i="7"/>
  <c r="I7" i="7"/>
  <c r="X189" i="8" l="1" a="1"/>
  <c r="X189" i="8" s="1"/>
  <c r="X161" i="8" a="1"/>
  <c r="X161" i="8" s="1"/>
  <c r="U161" i="8" a="1"/>
  <c r="U161" i="8" s="1"/>
  <c r="V17" i="8" a="1"/>
  <c r="V17" i="8" s="1"/>
  <c r="AI51" i="8" a="1"/>
  <c r="AI51" i="8" s="1"/>
  <c r="AE43" i="8" a="1"/>
  <c r="AE43" i="8" s="1"/>
  <c r="AF187" i="8" a="1"/>
  <c r="AF187" i="8" s="1"/>
  <c r="AC187" i="8" a="1"/>
  <c r="AC187" i="8" s="1"/>
  <c r="AF235" i="8" a="1"/>
  <c r="AF235" i="8" s="1"/>
  <c r="AC235" i="8" a="1"/>
  <c r="AC235" i="8" s="1"/>
  <c r="AJ136" i="8" a="1"/>
  <c r="AJ136" i="8" s="1"/>
  <c r="AA44" i="8" a="1"/>
  <c r="AA44" i="8" s="1"/>
  <c r="W44" i="8" a="1"/>
  <c r="W44" i="8" s="1"/>
  <c r="AJ235" i="8" a="1"/>
  <c r="AJ235" i="8" s="1"/>
  <c r="AJ187" i="8" a="1"/>
  <c r="AJ187" i="8" s="1"/>
  <c r="AG187" i="8" a="1"/>
  <c r="AG187" i="8" s="1"/>
  <c r="W211" i="8" a="1"/>
  <c r="W211" i="8" s="1"/>
  <c r="AB235" i="8" a="1"/>
  <c r="AB235" i="8" s="1"/>
  <c r="AJ40" i="8" a="1"/>
  <c r="AJ40" i="8" s="1"/>
  <c r="X65" i="8" a="1"/>
  <c r="X65" i="8" s="1"/>
  <c r="AF136" i="8" a="1"/>
  <c r="AF136" i="8" s="1"/>
  <c r="X89" i="8" a="1"/>
  <c r="X89" i="8" s="1"/>
  <c r="AB187" i="8" a="1"/>
  <c r="AB187" i="8" s="1"/>
  <c r="Y187" i="8" a="1"/>
  <c r="Y187" i="8" s="1"/>
  <c r="AD42" i="8" a="1"/>
  <c r="AD42" i="8" s="1"/>
  <c r="Z43" i="8" a="1"/>
  <c r="Z43" i="8" s="1"/>
  <c r="U190" i="8" a="1"/>
  <c r="U190" i="8" s="1"/>
  <c r="X211" i="8" a="1"/>
  <c r="X211" i="8" s="1"/>
  <c r="U211" i="8" a="1"/>
  <c r="U211" i="8" s="1"/>
  <c r="X236" i="8" a="1"/>
  <c r="X236" i="8" s="1"/>
  <c r="U236" i="8" a="1"/>
  <c r="U236" i="8" s="1"/>
  <c r="AF64" i="8" a="1"/>
  <c r="AF64" i="8" s="1"/>
  <c r="AC64" i="8" a="1"/>
  <c r="AC64" i="8" s="1"/>
  <c r="AF39" i="8" a="1"/>
  <c r="AF39" i="8" s="1"/>
  <c r="AJ113" i="8" a="1"/>
  <c r="AJ113" i="8" s="1"/>
  <c r="AG113" i="8" a="1"/>
  <c r="AG113" i="8" s="1"/>
  <c r="AH19" i="8" a="1"/>
  <c r="AH19" i="8" s="1"/>
  <c r="U41" i="8" a="1"/>
  <c r="U41" i="8" s="1"/>
  <c r="AB41" i="8" a="1"/>
  <c r="AB41" i="8" s="1"/>
  <c r="Y41" i="8" a="1"/>
  <c r="Y41" i="8" s="1"/>
  <c r="AB212" i="8" a="1"/>
  <c r="AB212" i="8" s="1"/>
  <c r="Y212" i="8" a="1"/>
  <c r="Y212" i="8" s="1"/>
  <c r="AI16" i="8" a="1"/>
  <c r="AI16" i="8" s="1"/>
  <c r="AG137" i="8" a="1"/>
  <c r="AG137" i="8" s="1"/>
  <c r="U16" i="8" a="1"/>
  <c r="U16" i="8" s="1"/>
  <c r="AC137" i="8" a="1"/>
  <c r="AC137" i="8" s="1"/>
  <c r="AF212" i="8" a="1"/>
  <c r="AF212" i="8" s="1"/>
  <c r="AC212" i="8" a="1"/>
  <c r="AC212" i="8" s="1"/>
  <c r="X137" i="8" a="1"/>
  <c r="X137" i="8" s="1"/>
  <c r="U137" i="8" a="1"/>
  <c r="U137" i="8" s="1"/>
  <c r="AB65" i="8" a="1"/>
  <c r="AB65" i="8" s="1"/>
  <c r="Y65" i="8" a="1"/>
  <c r="Y65" i="8" s="1"/>
  <c r="AG16" i="8" a="1"/>
  <c r="AG16" i="8" s="1"/>
  <c r="U90" i="8" a="1"/>
  <c r="U90" i="8" s="1"/>
  <c r="AD16" i="8" a="1"/>
  <c r="AD16" i="8" s="1"/>
  <c r="AF88" i="8" a="1"/>
  <c r="AF88" i="8" s="1"/>
  <c r="AC88" i="8" a="1"/>
  <c r="AC88" i="8" s="1"/>
  <c r="AB40" i="8" a="1"/>
  <c r="AB40" i="8" s="1"/>
  <c r="AA16" i="8" a="1"/>
  <c r="AA16" i="8" s="1"/>
  <c r="X113" i="8" a="1"/>
  <c r="X113" i="8" s="1"/>
  <c r="U113" i="8" a="1"/>
  <c r="U113" i="8" s="1"/>
  <c r="AF112" i="8" a="1"/>
  <c r="AF112" i="8" s="1"/>
  <c r="AC112" i="8" a="1"/>
  <c r="AC112" i="8" s="1"/>
  <c r="AJ212" i="8" a="1"/>
  <c r="AJ212" i="8" s="1"/>
  <c r="AG212" i="8" a="1"/>
  <c r="AG212" i="8" s="1"/>
  <c r="AG41" i="8" a="1"/>
  <c r="AG41" i="8" s="1"/>
  <c r="AJ64" i="8" a="1"/>
  <c r="AJ64" i="8" s="1"/>
  <c r="AG64" i="8" a="1"/>
  <c r="AG64" i="8" s="1"/>
  <c r="AE16" i="8" a="1"/>
  <c r="AE16" i="8" s="1"/>
  <c r="W18" i="8" a="1"/>
  <c r="W18" i="8" s="1"/>
  <c r="AJ88" i="8" a="1"/>
  <c r="AJ88" i="8" s="1"/>
  <c r="AG88" i="8" a="1"/>
  <c r="AG88" i="8" s="1"/>
  <c r="Y236" i="8" a="1"/>
  <c r="Y236" i="8" s="1"/>
  <c r="U66" i="8" a="1"/>
  <c r="U66" i="8" s="1"/>
  <c r="AC15" i="8" a="1"/>
  <c r="AC15" i="8" s="1"/>
  <c r="AB113" i="8" a="1"/>
  <c r="AB113" i="8" s="1"/>
  <c r="Y113" i="8" a="1"/>
  <c r="Y113" i="8" s="1"/>
  <c r="AF162" i="8" a="1"/>
  <c r="AF162" i="8" s="1"/>
  <c r="AC162" i="8" a="1"/>
  <c r="AC162" i="8" s="1"/>
  <c r="Z16" i="8" a="1"/>
  <c r="Z16" i="8" s="1"/>
  <c r="AB161" i="8" a="1"/>
  <c r="AB161" i="8" s="1"/>
  <c r="Y161" i="8" a="1"/>
  <c r="Y161" i="8" s="1"/>
  <c r="AB137" i="8" a="1"/>
  <c r="AB137" i="8" s="1"/>
  <c r="Y137" i="8" a="1"/>
  <c r="Y137" i="8" s="1"/>
  <c r="AJ162" i="8" a="1"/>
  <c r="AJ162" i="8" s="1"/>
  <c r="AG162" i="8" a="1"/>
  <c r="AG162" i="8" s="1"/>
  <c r="AC40" i="8" a="1"/>
  <c r="AC40" i="8" s="1"/>
  <c r="AG236" i="8" a="1"/>
  <c r="AG236" i="8" s="1"/>
  <c r="Y16" i="8" a="1"/>
  <c r="Y16" i="8" s="1"/>
  <c r="AB89" i="8" a="1"/>
  <c r="AB89" i="8" s="1"/>
  <c r="Y89" i="8" a="1"/>
  <c r="Y89" i="8" s="1"/>
  <c r="I20" i="7" a="1"/>
  <c r="B51" i="7" a="1"/>
  <c r="H26" i="7" a="1"/>
  <c r="I96" i="7" a="1"/>
  <c r="F18" i="7" a="1"/>
  <c r="E19" i="7" a="1"/>
  <c r="E27" i="7" a="1"/>
  <c r="B70" i="7" a="1"/>
  <c r="C102" i="7" a="1"/>
  <c r="C127" i="7" a="1"/>
  <c r="I68" i="7" a="1"/>
  <c r="I18" i="7" a="1"/>
  <c r="E102" i="7" a="1"/>
  <c r="B20" i="7" a="1"/>
  <c r="B112" i="7" a="1"/>
  <c r="I70" i="7" a="1"/>
  <c r="I33" i="7" a="1"/>
  <c r="C48" i="7" a="1"/>
  <c r="E18" i="7" a="1"/>
  <c r="E88" i="7" a="1"/>
  <c r="E129" i="7" a="1"/>
  <c r="C65" i="7" a="1"/>
  <c r="C125" i="7" a="1"/>
  <c r="C47" i="7" a="1"/>
  <c r="I58" i="7" a="1"/>
  <c r="E98" i="7" a="1"/>
  <c r="E111" i="7" a="1"/>
  <c r="F17" i="7" a="1"/>
  <c r="C72" i="7" a="1"/>
  <c r="E99" i="7" a="1"/>
  <c r="C17" i="7" a="1"/>
  <c r="I30" i="7" a="1"/>
  <c r="I40" i="7" a="1"/>
  <c r="F30" i="7" a="1"/>
  <c r="E114" i="7" a="1"/>
  <c r="C105" i="7" a="1"/>
  <c r="B25" i="7" a="1"/>
  <c r="I129" i="7" a="1"/>
  <c r="E59" i="7" a="1"/>
  <c r="E125" i="7" a="1"/>
  <c r="I94" i="7" a="1"/>
  <c r="B98" i="7" a="1"/>
  <c r="C100" i="7" a="1"/>
  <c r="B41" i="7" a="1"/>
  <c r="F32" i="7" a="1"/>
  <c r="E43" i="7" a="1"/>
  <c r="I77" i="7" a="1"/>
  <c r="I25" i="7" a="1"/>
  <c r="C67" i="7" a="1"/>
  <c r="E123" i="7" a="1"/>
  <c r="I88" i="7" a="1"/>
  <c r="E65" i="7" a="1"/>
  <c r="B105" i="7" a="1"/>
  <c r="E53" i="7" a="1"/>
  <c r="E71" i="7" a="1"/>
  <c r="E124" i="7" a="1"/>
  <c r="C78" i="7" a="1"/>
  <c r="C18" i="7" a="1"/>
  <c r="B128" i="7" a="1"/>
  <c r="B30" i="7" a="1"/>
  <c r="B97" i="7" a="1"/>
  <c r="E41" i="7" a="1"/>
  <c r="B72" i="7" a="1"/>
  <c r="B87" i="7" a="1"/>
  <c r="C27" i="7" a="1"/>
  <c r="C45" i="7" a="1"/>
  <c r="B225" i="7" a="1"/>
  <c r="C169" i="7" a="1"/>
  <c r="B149" i="7" a="1"/>
  <c r="B205" i="7" a="1"/>
  <c r="E146" i="7" a="1"/>
  <c r="C199" i="7" a="1"/>
  <c r="B248" i="7" a="1"/>
  <c r="C133" i="7" a="1"/>
  <c r="B183" i="7" a="1"/>
  <c r="C238" i="7" a="1"/>
  <c r="E169" i="7" a="1"/>
  <c r="I218" i="7" a="1"/>
  <c r="B245" i="7" a="1"/>
  <c r="I192" i="7" a="1"/>
  <c r="B160" i="7" a="1"/>
  <c r="E130" i="7" a="1"/>
  <c r="I155" i="7" a="1"/>
  <c r="C136" i="7" a="1"/>
  <c r="I226" i="7" a="1"/>
  <c r="C160" i="7" a="1"/>
  <c r="C156" i="7" a="1"/>
  <c r="C187" i="7" a="1"/>
  <c r="C71" i="7" a="1"/>
  <c r="C118" i="7" a="1"/>
  <c r="I116" i="7" a="1"/>
  <c r="B34" i="7" a="1"/>
  <c r="F31" i="7" a="1"/>
  <c r="B48" i="7" a="1"/>
  <c r="C129" i="7" a="1"/>
  <c r="I86" i="7" a="1"/>
  <c r="B18" i="7" a="1"/>
  <c r="B47" i="7" a="1"/>
  <c r="I82" i="7" a="1"/>
  <c r="B86" i="7" a="1"/>
  <c r="I122" i="7" a="1"/>
  <c r="B31" i="7" a="1"/>
  <c r="C40" i="7" a="1"/>
  <c r="B46" i="7" a="1"/>
  <c r="E33" i="7" a="1"/>
  <c r="C50" i="7" a="1"/>
  <c r="B56" i="7" a="1"/>
  <c r="E55" i="7" a="1"/>
  <c r="C44" i="7" a="1"/>
  <c r="I61" i="7" a="1"/>
  <c r="I48" i="7" a="1"/>
  <c r="C117" i="7" a="1"/>
  <c r="E62" i="7" a="1"/>
  <c r="C58" i="7" a="1"/>
  <c r="H17" i="7" a="1"/>
  <c r="B62" i="7" a="1"/>
  <c r="C22" i="7" a="1"/>
  <c r="I112" i="7" a="1"/>
  <c r="I123" i="7" a="1"/>
  <c r="C26" i="7" a="1"/>
  <c r="E93" i="7" a="1"/>
  <c r="E94" i="7" a="1"/>
  <c r="B28" i="7" a="1"/>
  <c r="H25" i="7" a="1"/>
  <c r="E32" i="7" a="1"/>
  <c r="I69" i="7" a="1"/>
  <c r="B115" i="7" a="1"/>
  <c r="C110" i="7" a="1"/>
  <c r="I114" i="7" a="1"/>
  <c r="E61" i="7" a="1"/>
  <c r="C104" i="7" a="1"/>
  <c r="C23" i="7" a="1"/>
  <c r="I73" i="7" a="1"/>
  <c r="E84" i="7" a="1"/>
  <c r="I98" i="7" a="1"/>
  <c r="E35" i="7" a="1"/>
  <c r="C66" i="7" a="1"/>
  <c r="F25" i="7" a="1"/>
  <c r="C109" i="7" a="1"/>
  <c r="I15" i="7" a="1"/>
  <c r="I32" i="7" a="1"/>
  <c r="I56" i="7" a="1"/>
  <c r="C25" i="7" a="1"/>
  <c r="E60" i="7" a="1"/>
  <c r="B127" i="7" a="1"/>
  <c r="E109" i="7" a="1"/>
  <c r="B92" i="7" a="1"/>
  <c r="B54" i="7" a="1"/>
  <c r="I118" i="7" a="1"/>
  <c r="I97" i="7" a="1"/>
  <c r="E120" i="7" a="1"/>
  <c r="C138" i="7" a="1"/>
  <c r="C209" i="7" a="1"/>
  <c r="C242" i="7" a="1"/>
  <c r="C219" i="7" a="1"/>
  <c r="C185" i="7" a="1"/>
  <c r="I182" i="7" a="1"/>
  <c r="I198" i="7" a="1"/>
  <c r="C167" i="7" a="1"/>
  <c r="I157" i="7" a="1"/>
  <c r="C176" i="7" a="1"/>
  <c r="C201" i="7" a="1"/>
  <c r="I237" i="7" a="1"/>
  <c r="C174" i="7" a="1"/>
  <c r="I210" i="7" a="1"/>
  <c r="B142" i="7" a="1"/>
  <c r="E80" i="7" a="1"/>
  <c r="B96" i="7" a="1"/>
  <c r="B27" i="7" a="1"/>
  <c r="F22" i="7" a="1"/>
  <c r="B83" i="7" a="1"/>
  <c r="B59" i="7" a="1"/>
  <c r="C101" i="7" a="1"/>
  <c r="B120" i="7" a="1"/>
  <c r="E75" i="7" a="1"/>
  <c r="I55" i="7" a="1"/>
  <c r="I27" i="7" a="1"/>
  <c r="I110" i="7" a="1"/>
  <c r="C49" i="7" a="1"/>
  <c r="B69" i="7" a="1"/>
  <c r="B67" i="7" a="1"/>
  <c r="I44" i="7" a="1"/>
  <c r="I113" i="7" a="1"/>
  <c r="C126" i="7" a="1"/>
  <c r="C93" i="7" a="1"/>
  <c r="E45" i="7" a="1"/>
  <c r="F33" i="7" a="1"/>
  <c r="E77" i="7" a="1"/>
  <c r="C113" i="7" a="1"/>
  <c r="I43" i="7" a="1"/>
  <c r="E113" i="7" a="1"/>
  <c r="E112" i="7" a="1"/>
  <c r="C122" i="7" a="1"/>
  <c r="E20" i="7" a="1"/>
  <c r="B37" i="7" a="1"/>
  <c r="I120" i="7" a="1"/>
  <c r="E26" i="7" a="1"/>
  <c r="I95" i="7" a="1"/>
  <c r="I105" i="7" a="1"/>
  <c r="E126" i="7" a="1"/>
  <c r="H31" i="7" a="1"/>
  <c r="H23" i="7" a="1"/>
  <c r="I42" i="7" a="1"/>
  <c r="I62" i="7" a="1"/>
  <c r="E119" i="7" a="1"/>
  <c r="C59" i="7" a="1"/>
  <c r="B57" i="7" a="1"/>
  <c r="B77" i="7" a="1"/>
  <c r="C91" i="7" a="1"/>
  <c r="B63" i="7" a="1"/>
  <c r="I66" i="7" a="1"/>
  <c r="I90" i="7" a="1"/>
  <c r="C80" i="7" a="1"/>
  <c r="C73" i="7" a="1"/>
  <c r="E40" i="7" a="1"/>
  <c r="I17" i="7" a="1"/>
  <c r="C36" i="7" a="1"/>
  <c r="H22" i="7" a="1"/>
  <c r="H32" i="7" a="1"/>
  <c r="I46" i="7" a="1"/>
  <c r="C97" i="7" a="1"/>
  <c r="B122" i="7" a="1"/>
  <c r="B113" i="7" a="1"/>
  <c r="H24" i="7" a="1"/>
  <c r="I101" i="7" a="1"/>
  <c r="H29" i="7" a="1"/>
  <c r="C19" i="7" a="1"/>
  <c r="I176" i="7" a="1"/>
  <c r="C197" i="7" a="1"/>
  <c r="C195" i="7" a="1"/>
  <c r="B188" i="7" a="1"/>
  <c r="E165" i="7" a="1"/>
  <c r="C132" i="7" a="1"/>
  <c r="B224" i="7" a="1"/>
  <c r="C140" i="7" a="1"/>
  <c r="B141" i="7" a="1"/>
  <c r="I170" i="7" a="1"/>
  <c r="I246" i="7" a="1"/>
  <c r="E141" i="7" a="1"/>
  <c r="I205" i="7" a="1"/>
  <c r="I196" i="7" a="1"/>
  <c r="I154" i="7" a="1"/>
  <c r="B132" i="7" a="1"/>
  <c r="I121" i="7" a="1"/>
  <c r="E37" i="7" a="1"/>
  <c r="E76" i="7" a="1"/>
  <c r="I64" i="7" a="1"/>
  <c r="B110" i="7" a="1"/>
  <c r="B82" i="7" a="1"/>
  <c r="I45" i="7" a="1"/>
  <c r="E29" i="7" a="1"/>
  <c r="E79" i="7" a="1"/>
  <c r="I89" i="7" a="1"/>
  <c r="B43" i="7" a="1"/>
  <c r="E31" i="7" a="1"/>
  <c r="B26" i="7" a="1"/>
  <c r="F19" i="7" a="1"/>
  <c r="B100" i="7" a="1"/>
  <c r="C88" i="7" a="1"/>
  <c r="E39" i="7" a="1"/>
  <c r="B38" i="7" a="1"/>
  <c r="C98" i="7" a="1"/>
  <c r="B17" i="7" a="1"/>
  <c r="C82" i="7" a="1"/>
  <c r="E127" i="7" a="1"/>
  <c r="I38" i="7" a="1"/>
  <c r="C57" i="7" a="1"/>
  <c r="I47" i="7" a="1"/>
  <c r="I49" i="7" a="1"/>
  <c r="I124" i="7" a="1"/>
  <c r="B74" i="7" a="1"/>
  <c r="I67" i="7" a="1"/>
  <c r="B79" i="7" a="1"/>
  <c r="E52" i="7" a="1"/>
  <c r="E81" i="7" a="1"/>
  <c r="I22" i="7" a="1"/>
  <c r="E121" i="7" a="1"/>
  <c r="I119" i="7" a="1"/>
  <c r="C30" i="7" a="1"/>
  <c r="B118" i="7" a="1"/>
  <c r="I115" i="7" a="1"/>
  <c r="I19" i="7" a="1"/>
  <c r="I127" i="7" a="1"/>
  <c r="C123" i="7" a="1"/>
  <c r="E96" i="7" a="1"/>
  <c r="B109" i="7" a="1"/>
  <c r="B116" i="7" a="1"/>
  <c r="C112" i="7" a="1"/>
  <c r="E66" i="7" a="1"/>
  <c r="I54" i="7" a="1"/>
  <c r="I79" i="7" a="1"/>
  <c r="C60" i="7" a="1"/>
  <c r="C119" i="7" a="1"/>
  <c r="I37" i="7" a="1"/>
  <c r="C38" i="7" a="1"/>
  <c r="E44" i="7" a="1"/>
  <c r="C103" i="7" a="1"/>
  <c r="C121" i="7" a="1"/>
  <c r="I84" i="7" a="1"/>
  <c r="E89" i="7" a="1"/>
  <c r="C51" i="7" a="1"/>
  <c r="B239" i="7" a="1"/>
  <c r="I185" i="7" a="1"/>
  <c r="C243" i="7" a="1"/>
  <c r="I188" i="7" a="1"/>
  <c r="C214" i="7" a="1"/>
  <c r="B230" i="7" a="1"/>
  <c r="I239" i="7" a="1"/>
  <c r="C181" i="7" a="1"/>
  <c r="C227" i="7" a="1"/>
  <c r="I174" i="7" a="1"/>
  <c r="I202" i="7" a="1"/>
  <c r="B165" i="7" a="1"/>
  <c r="B210" i="7" a="1"/>
  <c r="I219" i="7" a="1"/>
  <c r="C151" i="7" a="1"/>
  <c r="B229" i="7" a="1"/>
  <c r="C135" i="7" a="1"/>
  <c r="I139" i="7" a="1"/>
  <c r="B199" i="7" a="1"/>
  <c r="B173" i="7" a="1"/>
  <c r="H18" i="7" a="1"/>
  <c r="E107" i="7" a="1"/>
  <c r="B104" i="7" a="1"/>
  <c r="I99" i="7" a="1"/>
  <c r="I60" i="7" a="1"/>
  <c r="C43" i="7" a="1"/>
  <c r="E85" i="7" a="1"/>
  <c r="B94" i="7" a="1"/>
  <c r="I117" i="7" a="1"/>
  <c r="B40" i="7" a="1"/>
  <c r="I21" i="7" a="1"/>
  <c r="E105" i="7" a="1"/>
  <c r="E47" i="7" a="1"/>
  <c r="C87" i="7" a="1"/>
  <c r="B22" i="7" a="1"/>
  <c r="I107" i="7" a="1"/>
  <c r="I50" i="7" a="1"/>
  <c r="C86" i="7" a="1"/>
  <c r="I14" i="7" a="1"/>
  <c r="E28" i="7" a="1"/>
  <c r="C96" i="7" a="1"/>
  <c r="C56" i="7" a="1"/>
  <c r="C62" i="7" a="1"/>
  <c r="C35" i="7" a="1"/>
  <c r="E101" i="7" a="1"/>
  <c r="I102" i="7" a="1"/>
  <c r="C28" i="7" a="1"/>
  <c r="C76" i="7" a="1"/>
  <c r="B39" i="7" a="1"/>
  <c r="E90" i="7" a="1"/>
  <c r="I109" i="7" a="1"/>
  <c r="C32" i="7" a="1"/>
  <c r="I126" i="7" a="1"/>
  <c r="B65" i="7" a="1"/>
  <c r="C54" i="7" a="1"/>
  <c r="C116" i="7" a="1"/>
  <c r="E38" i="7" a="1"/>
  <c r="B52" i="7" a="1"/>
  <c r="I78" i="7" a="1"/>
  <c r="E100" i="7" a="1"/>
  <c r="H30" i="7" a="1"/>
  <c r="E86" i="7" a="1"/>
  <c r="E17" i="7" a="1"/>
  <c r="B102" i="7" a="1"/>
  <c r="I76" i="7" a="1"/>
  <c r="B35" i="7" a="1"/>
  <c r="B76" i="7" a="1"/>
  <c r="B126" i="7" a="1"/>
  <c r="E68" i="7" a="1"/>
  <c r="B89" i="7" a="1"/>
  <c r="F28" i="7" a="1"/>
  <c r="B106" i="7" a="1"/>
  <c r="E57" i="7" a="1"/>
  <c r="E63" i="7" a="1"/>
  <c r="B61" i="7" a="1"/>
  <c r="H21" i="7" a="1"/>
  <c r="E133" i="7" a="1"/>
  <c r="B134" i="7" a="1"/>
  <c r="C208" i="7" a="1"/>
  <c r="B207" i="7" a="1"/>
  <c r="C229" i="7" a="1"/>
  <c r="C190" i="7" a="1"/>
  <c r="B146" i="7" a="1"/>
  <c r="B155" i="7" a="1"/>
  <c r="B163" i="7" a="1"/>
  <c r="C215" i="7" a="1"/>
  <c r="C143" i="7" a="1"/>
  <c r="B159" i="7" a="1"/>
  <c r="I150" i="7" a="1"/>
  <c r="I225" i="7" a="1"/>
  <c r="C179" i="7" a="1"/>
  <c r="I233" i="7" a="1"/>
  <c r="B182" i="7" a="1"/>
  <c r="I111" i="7" a="1"/>
  <c r="C69" i="7" a="1"/>
  <c r="C94" i="7" a="1"/>
  <c r="I39" i="7" a="1"/>
  <c r="E30" i="7" a="1"/>
  <c r="H28" i="7" a="1"/>
  <c r="C39" i="7" a="1"/>
  <c r="I80" i="7" a="1"/>
  <c r="E49" i="7" a="1"/>
  <c r="C41" i="7" a="1"/>
  <c r="C75" i="7" a="1"/>
  <c r="I63" i="7" a="1"/>
  <c r="E36" i="7" a="1"/>
  <c r="B64" i="7" a="1"/>
  <c r="I128" i="7" a="1"/>
  <c r="C106" i="7" a="1"/>
  <c r="E91" i="7" a="1"/>
  <c r="B58" i="7" a="1"/>
  <c r="E115" i="7" a="1"/>
  <c r="B121" i="7" a="1"/>
  <c r="B85" i="7" a="1"/>
  <c r="B71" i="7" a="1"/>
  <c r="B50" i="7" a="1"/>
  <c r="B99" i="7" a="1"/>
  <c r="B95" i="7" a="1"/>
  <c r="C34" i="7" a="1"/>
  <c r="E67" i="7" a="1"/>
  <c r="C64" i="7" a="1"/>
  <c r="F21" i="7" a="1"/>
  <c r="E51" i="7" a="1"/>
  <c r="E74" i="7" a="1"/>
  <c r="C79" i="7" a="1"/>
  <c r="E69" i="7" a="1"/>
  <c r="C33" i="7" a="1"/>
  <c r="E118" i="7" a="1"/>
  <c r="C128" i="7" a="1"/>
  <c r="I53" i="7" a="1"/>
  <c r="I83" i="7" a="1"/>
  <c r="E42" i="7" a="1"/>
  <c r="I125" i="7" a="1"/>
  <c r="I108" i="7" a="1"/>
  <c r="F20" i="7" a="1"/>
  <c r="I57" i="7" a="1"/>
  <c r="C53" i="7" a="1"/>
  <c r="B78" i="7" a="1"/>
  <c r="I13" i="7" a="1"/>
  <c r="B101" i="7" a="1"/>
  <c r="E108" i="7" a="1"/>
  <c r="B114" i="7" a="1"/>
  <c r="B21" i="7" a="1"/>
  <c r="B42" i="7" a="1"/>
  <c r="C114" i="7" a="1"/>
  <c r="I81" i="7" a="1"/>
  <c r="I35" i="7" a="1"/>
  <c r="B108" i="7" a="1"/>
  <c r="C29" i="7" a="1"/>
  <c r="C46" i="7" a="1"/>
  <c r="C92" i="7" a="1"/>
  <c r="B117" i="7" a="1"/>
  <c r="H20" i="7" a="1"/>
  <c r="E58" i="7" a="1"/>
  <c r="B88" i="7" a="1"/>
  <c r="I104" i="7" a="1"/>
  <c r="B29" i="7" a="1"/>
  <c r="B189" i="7" a="1"/>
  <c r="B221" i="7" a="1"/>
  <c r="C149" i="7" a="1"/>
  <c r="B191" i="7" a="1"/>
  <c r="C216" i="7" a="1"/>
  <c r="B233" i="7" a="1"/>
  <c r="B198" i="7" a="1"/>
  <c r="B234" i="7" a="1"/>
  <c r="F29" i="7" a="1"/>
  <c r="B129" i="7" a="1"/>
  <c r="E82" i="7" a="1"/>
  <c r="I91" i="7" a="1"/>
  <c r="E48" i="7" a="1"/>
  <c r="B55" i="7" a="1"/>
  <c r="I28" i="7" a="1"/>
  <c r="I85" i="7" a="1"/>
  <c r="I16" i="7" a="1"/>
  <c r="C111" i="7" a="1"/>
  <c r="E83" i="7" a="1"/>
  <c r="E56" i="7" a="1"/>
  <c r="B91" i="7" a="1"/>
  <c r="C31" i="7" a="1"/>
  <c r="E54" i="7" a="1"/>
  <c r="E128" i="7" a="1"/>
  <c r="C55" i="7" a="1"/>
  <c r="C108" i="7" a="1"/>
  <c r="E25" i="7" a="1"/>
  <c r="I103" i="7" a="1"/>
  <c r="E122" i="7" a="1"/>
  <c r="C85" i="7" a="1"/>
  <c r="B75" i="7" a="1"/>
  <c r="C124" i="7" a="1"/>
  <c r="F23" i="7" a="1"/>
  <c r="F26" i="7" a="1"/>
  <c r="H27" i="7" a="1"/>
  <c r="I106" i="7" a="1"/>
  <c r="C21" i="7" a="1"/>
  <c r="C74" i="7" a="1"/>
  <c r="B24" i="7" a="1"/>
  <c r="I75" i="7" a="1"/>
  <c r="E87" i="7" a="1"/>
  <c r="E106" i="7" a="1"/>
  <c r="E70" i="7" a="1"/>
  <c r="C81" i="7" a="1"/>
  <c r="C68" i="7" a="1"/>
  <c r="B125" i="7" a="1"/>
  <c r="I34" i="7" a="1"/>
  <c r="I65" i="7" a="1"/>
  <c r="E103" i="7" a="1"/>
  <c r="C95" i="7" a="1"/>
  <c r="E46" i="7" a="1"/>
  <c r="I24" i="7" a="1"/>
  <c r="H19" i="7" a="1"/>
  <c r="E95" i="7" a="1"/>
  <c r="C70" i="7" a="1"/>
  <c r="B53" i="7" a="1"/>
  <c r="B81" i="7" a="1"/>
  <c r="B68" i="7" a="1"/>
  <c r="C107" i="7" a="1"/>
  <c r="E72" i="7" a="1"/>
  <c r="I11" i="7" a="1"/>
  <c r="B107" i="7" a="1"/>
  <c r="E34" i="7" a="1"/>
  <c r="C84" i="7" a="1"/>
  <c r="I87" i="7" a="1"/>
  <c r="E22" i="7" a="1"/>
  <c r="B80" i="7" a="1"/>
  <c r="B73" i="7" a="1"/>
  <c r="F27" i="7" a="1"/>
  <c r="B66" i="7" a="1"/>
  <c r="I221" i="7" a="1"/>
  <c r="I148" i="7" a="1"/>
  <c r="C153" i="7" a="1"/>
  <c r="C245" i="7" a="1"/>
  <c r="C186" i="7" a="1"/>
  <c r="B240" i="7" a="1"/>
  <c r="B19" i="7" a="1"/>
  <c r="E116" i="7" a="1"/>
  <c r="B23" i="7" a="1"/>
  <c r="B124" i="7" a="1"/>
  <c r="I23" i="7" a="1"/>
  <c r="B32" i="7" a="1"/>
  <c r="I72" i="7" a="1"/>
  <c r="E64" i="7" a="1"/>
  <c r="C89" i="7" a="1"/>
  <c r="I31" i="7" a="1"/>
  <c r="B123" i="7" a="1"/>
  <c r="E110" i="7" a="1"/>
  <c r="I93" i="7" a="1"/>
  <c r="E24" i="7" a="1"/>
  <c r="E117" i="7" a="1"/>
  <c r="E104" i="7" a="1"/>
  <c r="C120" i="7" a="1"/>
  <c r="B103" i="7" a="1"/>
  <c r="I74" i="7" a="1"/>
  <c r="F24" i="7" a="1"/>
  <c r="B33" i="7" a="1"/>
  <c r="B49" i="7" a="1"/>
  <c r="I12" i="7" a="1"/>
  <c r="E73" i="7" a="1"/>
  <c r="B44" i="7" a="1"/>
  <c r="C20" i="7" a="1"/>
  <c r="B93" i="7" a="1"/>
  <c r="I92" i="7" a="1"/>
  <c r="E97" i="7" a="1"/>
  <c r="C42" i="7" a="1"/>
  <c r="B111" i="7" a="1"/>
  <c r="C77" i="7" a="1"/>
  <c r="I41" i="7" a="1"/>
  <c r="C37" i="7" a="1"/>
  <c r="B90" i="7" a="1"/>
  <c r="I29" i="7" a="1"/>
  <c r="C83" i="7" a="1"/>
  <c r="B84" i="7" a="1"/>
  <c r="H33" i="7" a="1"/>
  <c r="I71" i="7" a="1"/>
  <c r="I59" i="7" a="1"/>
  <c r="E78" i="7" a="1"/>
  <c r="I36" i="7" a="1"/>
  <c r="E21" i="7" a="1"/>
  <c r="B36" i="7" a="1"/>
  <c r="I51" i="7" a="1"/>
  <c r="I26" i="7" a="1"/>
  <c r="C115" i="7" a="1"/>
  <c r="E23" i="7" a="1"/>
  <c r="I52" i="7" a="1"/>
  <c r="I100" i="7" a="1"/>
  <c r="C24" i="7" a="1"/>
  <c r="E50" i="7" a="1"/>
  <c r="B45" i="7" a="1"/>
  <c r="B119" i="7" a="1"/>
  <c r="C63" i="7" a="1"/>
  <c r="C99" i="7" a="1"/>
  <c r="E92" i="7" a="1"/>
  <c r="C52" i="7" a="1"/>
  <c r="C90" i="7" a="1"/>
  <c r="B60" i="7" a="1"/>
  <c r="C61" i="7" a="1"/>
  <c r="C228" i="7" a="1"/>
  <c r="E140" i="7" a="1"/>
  <c r="I133" i="7" a="1"/>
  <c r="I169" i="7" a="1"/>
  <c r="I197" i="7" a="1"/>
  <c r="I140" i="7" a="1"/>
  <c r="E163" i="7" a="1"/>
  <c r="C145" i="7" a="1"/>
  <c r="B226" i="7" a="1"/>
  <c r="B181" i="7" a="1"/>
  <c r="B150" i="7" a="1"/>
  <c r="E147" i="7" a="1"/>
  <c r="B139" i="7" a="1"/>
  <c r="E131" i="7" a="1"/>
  <c r="I134" i="7" a="1"/>
  <c r="I168" i="7" a="1"/>
  <c r="C158" i="7" a="1"/>
  <c r="C232" i="7" a="1"/>
  <c r="I137" i="7" a="1"/>
  <c r="I136" i="7" a="1"/>
  <c r="I132" i="7" a="1"/>
  <c r="B227" i="7" a="1"/>
  <c r="C200" i="7" a="1"/>
  <c r="B176" i="7" a="1"/>
  <c r="C161" i="7" a="1"/>
  <c r="C137" i="7" a="1"/>
  <c r="B178" i="7" a="1"/>
  <c r="I245" i="7" a="1"/>
  <c r="E151" i="7" a="1"/>
  <c r="C175" i="7" a="1"/>
  <c r="C178" i="7" a="1"/>
  <c r="C183" i="7" a="1"/>
  <c r="B136" i="7" a="1"/>
  <c r="B204" i="7" a="1"/>
  <c r="C206" i="7" a="1"/>
  <c r="C144" i="7" a="1"/>
  <c r="C212" i="7" a="1"/>
  <c r="C171" i="7" a="1"/>
  <c r="B168" i="7" a="1"/>
  <c r="I165" i="7" a="1"/>
  <c r="C170" i="7" a="1"/>
  <c r="E177" i="7" a="1"/>
  <c r="I211" i="7" a="1"/>
  <c r="I180" i="7" a="1"/>
  <c r="E164" i="7" a="1"/>
  <c r="E150" i="7" a="1"/>
  <c r="B130" i="7" a="1"/>
  <c r="B158" i="7" a="1"/>
  <c r="B135" i="7" a="1"/>
  <c r="C141" i="7" a="1"/>
  <c r="I173" i="7" a="1"/>
  <c r="C163" i="7" a="1"/>
  <c r="C188" i="7" a="1"/>
  <c r="B214" i="7" a="1"/>
  <c r="I209" i="7" a="1"/>
  <c r="I135" i="7" a="1"/>
  <c r="E142" i="7" a="1"/>
  <c r="B153" i="7" a="1"/>
  <c r="I147" i="7" a="1"/>
  <c r="E135" i="7" a="1"/>
  <c r="B140" i="7" a="1"/>
  <c r="C182" i="7" a="1"/>
  <c r="B232" i="7" a="1"/>
  <c r="I222" i="7" a="1"/>
  <c r="B238" i="7" a="1"/>
  <c r="E138" i="7" a="1"/>
  <c r="B148" i="7" a="1"/>
  <c r="I194" i="7" a="1"/>
  <c r="I181" i="7" a="1"/>
  <c r="C226" i="7" a="1"/>
  <c r="B249" i="7" a="1"/>
  <c r="C189" i="7" a="1"/>
  <c r="I195" i="7" a="1"/>
  <c r="B219" i="7" a="1"/>
  <c r="C225" i="7" a="1"/>
  <c r="I158" i="7" a="1"/>
  <c r="B237" i="7" a="1"/>
  <c r="C249" i="7" a="1"/>
  <c r="C166" i="7" a="1"/>
  <c r="B193" i="7" a="1"/>
  <c r="E145" i="7" a="1"/>
  <c r="B202" i="7" a="1"/>
  <c r="I200" i="7" a="1"/>
  <c r="I203" i="7" a="1"/>
  <c r="B244" i="7" a="1"/>
  <c r="C180" i="7" a="1"/>
  <c r="I175" i="7" a="1"/>
  <c r="C231" i="7" a="1"/>
  <c r="I231" i="7" a="1"/>
  <c r="B143" i="7" a="1"/>
  <c r="I178" i="7" a="1"/>
  <c r="B197" i="7" a="1"/>
  <c r="C210" i="7" a="1"/>
  <c r="C172" i="7" a="1"/>
  <c r="I161" i="7" a="1"/>
  <c r="E170" i="7" a="1"/>
  <c r="C223" i="7" a="1"/>
  <c r="B203" i="7" a="1"/>
  <c r="B154" i="7" a="1"/>
  <c r="B179" i="7" a="1"/>
  <c r="I230" i="7" a="1"/>
  <c r="B167" i="7" a="1"/>
  <c r="B174" i="7" a="1"/>
  <c r="C207" i="7" a="1"/>
  <c r="C157" i="7" a="1"/>
  <c r="I159" i="7" a="1"/>
  <c r="C244" i="7" a="1"/>
  <c r="E154" i="7" a="1"/>
  <c r="C240" i="7" a="1"/>
  <c r="I149" i="7" a="1"/>
  <c r="E148" i="7" a="1"/>
  <c r="C222" i="7" a="1"/>
  <c r="B133" i="7" a="1"/>
  <c r="I208" i="7" a="1"/>
  <c r="I179" i="7" a="1"/>
  <c r="B206" i="7" a="1"/>
  <c r="I223" i="7" a="1"/>
  <c r="I187" i="7" a="1"/>
  <c r="C241" i="7" a="1"/>
  <c r="B195" i="7" a="1"/>
  <c r="I167" i="7" a="1"/>
  <c r="I215" i="7" a="1"/>
  <c r="C184" i="7" a="1"/>
  <c r="B243" i="7" a="1"/>
  <c r="B222" i="7" a="1"/>
  <c r="I238" i="7" a="1"/>
  <c r="B190" i="7" a="1"/>
  <c r="I217" i="7" a="1"/>
  <c r="C247" i="7" a="1"/>
  <c r="B231" i="7" a="1"/>
  <c r="C218" i="7" a="1"/>
  <c r="B145" i="7" a="1"/>
  <c r="B147" i="7" a="1"/>
  <c r="E132" i="7" a="1"/>
  <c r="B157" i="7" a="1"/>
  <c r="I235" i="7" a="1"/>
  <c r="C173" i="7" a="1"/>
  <c r="E155" i="7" a="1"/>
  <c r="C236" i="7" a="1"/>
  <c r="C177" i="7" a="1"/>
  <c r="B187" i="7" a="1"/>
  <c r="B246" i="7" a="1"/>
  <c r="B138" i="7" a="1"/>
  <c r="B144" i="7" a="1"/>
  <c r="I216" i="7" a="1"/>
  <c r="I153" i="7" a="1"/>
  <c r="B215" i="7" a="1"/>
  <c r="B220" i="7" a="1"/>
  <c r="B216" i="7" a="1"/>
  <c r="I184" i="7" a="1"/>
  <c r="B201" i="7" a="1"/>
  <c r="B151" i="7" a="1"/>
  <c r="I241" i="7" a="1"/>
  <c r="B196" i="7" a="1"/>
  <c r="C152" i="7" a="1"/>
  <c r="E161" i="7" a="1"/>
  <c r="B156" i="7" a="1"/>
  <c r="C130" i="7" a="1"/>
  <c r="C159" i="7" a="1"/>
  <c r="I152" i="7" a="1"/>
  <c r="I244" i="7" a="1"/>
  <c r="I131" i="7" a="1"/>
  <c r="C192" i="7" a="1"/>
  <c r="C211" i="7" a="1"/>
  <c r="B223" i="7" a="1"/>
  <c r="B247" i="7" a="1"/>
  <c r="B211" i="7" a="1"/>
  <c r="C154" i="7" a="1"/>
  <c r="B218" i="7" a="1"/>
  <c r="B137" i="7" a="1"/>
  <c r="I228" i="7" a="1"/>
  <c r="I189" i="7" a="1"/>
  <c r="I220" i="7" a="1"/>
  <c r="B200" i="7" a="1"/>
  <c r="B241" i="7" a="1"/>
  <c r="E156" i="7" a="1"/>
  <c r="I141" i="7" a="1"/>
  <c r="B152" i="7" a="1"/>
  <c r="I142" i="7" a="1"/>
  <c r="C248" i="7" a="1"/>
  <c r="I243" i="7" a="1"/>
  <c r="E136" i="7" a="1"/>
  <c r="E149" i="7" a="1"/>
  <c r="C224" i="7" a="1"/>
  <c r="E174" i="7" a="1"/>
  <c r="I166" i="7" a="1"/>
  <c r="I193" i="7" a="1"/>
  <c r="B166" i="7" a="1"/>
  <c r="B170" i="7" a="1"/>
  <c r="B236" i="7" a="1"/>
  <c r="I204" i="7" a="1"/>
  <c r="B162" i="7" a="1"/>
  <c r="C134" i="7" a="1"/>
  <c r="B213" i="7" a="1"/>
  <c r="I186" i="7" a="1"/>
  <c r="I171" i="7" a="1"/>
  <c r="E152" i="7" a="1"/>
  <c r="C155" i="7" a="1"/>
  <c r="I214" i="7" a="1"/>
  <c r="I224" i="7" a="1"/>
  <c r="I144" i="7" a="1"/>
  <c r="B242" i="7" a="1"/>
  <c r="E158" i="7" a="1"/>
  <c r="C146" i="7" a="1"/>
  <c r="C193" i="7" a="1"/>
  <c r="I229" i="7" a="1"/>
  <c r="C150" i="7" a="1"/>
  <c r="C203" i="7" a="1"/>
  <c r="E162" i="7" a="1"/>
  <c r="E172" i="7" a="1"/>
  <c r="C205" i="7" a="1"/>
  <c r="C139" i="7" a="1"/>
  <c r="C202" i="7" a="1"/>
  <c r="B186" i="7" a="1"/>
  <c r="C164" i="7" a="1"/>
  <c r="I199" i="7" a="1"/>
  <c r="E157" i="7" a="1"/>
  <c r="B228" i="7" a="1"/>
  <c r="C217" i="7" a="1"/>
  <c r="C191" i="7" a="1"/>
  <c r="I213" i="7" a="1"/>
  <c r="C131" i="7" a="1"/>
  <c r="I160" i="7" a="1"/>
  <c r="E134" i="7" a="1"/>
  <c r="B212" i="7" a="1"/>
  <c r="C194" i="7" a="1"/>
  <c r="C165" i="7" a="1"/>
  <c r="I207" i="7" a="1"/>
  <c r="B184" i="7" a="1"/>
  <c r="C220" i="7" a="1"/>
  <c r="I145" i="7" a="1"/>
  <c r="I236" i="7" a="1"/>
  <c r="C196" i="7" a="1"/>
  <c r="C235" i="7" a="1"/>
  <c r="B208" i="7" a="1"/>
  <c r="I249" i="7" a="1"/>
  <c r="B235" i="7" a="1"/>
  <c r="E143" i="7" a="1"/>
  <c r="B209" i="7" a="1"/>
  <c r="C213" i="7" a="1"/>
  <c r="C246" i="7" a="1"/>
  <c r="I190" i="7" a="1"/>
  <c r="C148" i="7" a="1"/>
  <c r="I242" i="7" a="1"/>
  <c r="E168" i="7" a="1"/>
  <c r="E175" i="7" a="1"/>
  <c r="I248" i="7" a="1"/>
  <c r="E153" i="7" a="1"/>
  <c r="E160" i="7" a="1"/>
  <c r="B161" i="7" a="1"/>
  <c r="C239" i="7" a="1"/>
  <c r="I143" i="7" a="1"/>
  <c r="C142" i="7" a="1"/>
  <c r="E137" i="7" a="1"/>
  <c r="E139" i="7" a="1"/>
  <c r="I163" i="7" a="1"/>
  <c r="B171" i="7" a="1"/>
  <c r="E173" i="7" a="1"/>
  <c r="I240" i="7" a="1"/>
  <c r="B180" i="7" a="1"/>
  <c r="E171" i="7" a="1"/>
  <c r="C168" i="7" a="1"/>
  <c r="C204" i="7" a="1"/>
  <c r="I247" i="7" a="1"/>
  <c r="B169" i="7" a="1"/>
  <c r="C221" i="7" a="1"/>
  <c r="I162" i="7" a="1"/>
  <c r="I172" i="7" a="1"/>
  <c r="C234" i="7" a="1"/>
  <c r="C233" i="7" a="1"/>
  <c r="I146" i="7" a="1"/>
  <c r="E159" i="7" a="1"/>
  <c r="B185" i="7" a="1"/>
  <c r="I206" i="7" a="1"/>
  <c r="I201" i="7" a="1"/>
  <c r="C198" i="7" a="1"/>
  <c r="B192" i="7" a="1"/>
  <c r="C230" i="7" a="1"/>
  <c r="E176" i="7" a="1"/>
  <c r="I183" i="7" a="1"/>
  <c r="I234" i="7" a="1"/>
  <c r="E144" i="7" a="1"/>
  <c r="B172" i="7" a="1"/>
  <c r="I191" i="7" a="1"/>
  <c r="B164" i="7" a="1"/>
  <c r="I177" i="7" a="1"/>
  <c r="B175" i="7" a="1"/>
  <c r="C237" i="7" a="1"/>
  <c r="C147" i="7" a="1"/>
  <c r="C162" i="7" a="1"/>
  <c r="I227" i="7" a="1"/>
  <c r="E167" i="7" a="1"/>
  <c r="B177" i="7" a="1"/>
  <c r="B217" i="7" a="1"/>
  <c r="B131" i="7" a="1"/>
  <c r="I138" i="7" a="1"/>
  <c r="I130" i="7" a="1"/>
  <c r="I164" i="7" a="1"/>
  <c r="I212" i="7" a="1"/>
  <c r="E166" i="7" a="1"/>
  <c r="I156" i="7" a="1"/>
  <c r="B194" i="7" a="1"/>
  <c r="I232" i="7" a="1"/>
  <c r="I151" i="7" a="1"/>
  <c r="D79" i="7" a="1"/>
  <c r="D71" i="7" a="1"/>
  <c r="D34" i="7" a="1"/>
  <c r="D21" i="7" a="1"/>
  <c r="D24" i="7" a="1"/>
  <c r="D88" i="7" a="1"/>
  <c r="D20" i="7" a="1"/>
  <c r="D42" i="7" a="1"/>
  <c r="D48" i="7" a="1"/>
  <c r="D83" i="7" a="1"/>
  <c r="D40" i="7" a="1"/>
  <c r="D64" i="7" a="1"/>
  <c r="D57" i="7" a="1"/>
  <c r="D106" i="7" a="1"/>
  <c r="D104" i="7" a="1"/>
  <c r="D85" i="7" a="1"/>
  <c r="D41" i="7" a="1"/>
  <c r="D28" i="7" a="1"/>
  <c r="D52" i="7" a="1"/>
  <c r="D66" i="7" a="1"/>
  <c r="D98" i="7" a="1"/>
  <c r="D22" i="7" a="1"/>
  <c r="D84" i="7" a="1"/>
  <c r="D105" i="7" a="1"/>
  <c r="D89" i="7" a="1"/>
  <c r="D70" i="7" a="1"/>
  <c r="D61" i="7" a="1"/>
  <c r="D72" i="7" a="1"/>
  <c r="D74" i="7" a="1"/>
  <c r="D129" i="7" a="1"/>
  <c r="D33" i="7" a="1"/>
  <c r="D96" i="7" a="1"/>
  <c r="D100" i="7" a="1"/>
  <c r="D87" i="7" a="1"/>
  <c r="D114" i="7" a="1"/>
  <c r="D35" i="7" a="1"/>
  <c r="D46" i="7" a="1"/>
  <c r="D101" i="7" a="1"/>
  <c r="D109" i="7" a="1"/>
  <c r="D38" i="7" a="1"/>
  <c r="D108" i="7" a="1"/>
  <c r="D29" i="7" a="1"/>
  <c r="D49" i="7" a="1"/>
  <c r="D118" i="7" a="1"/>
  <c r="D86" i="7" a="1"/>
  <c r="D58" i="7" a="1"/>
  <c r="D26" i="7" a="1"/>
  <c r="D91" i="7" a="1"/>
  <c r="D99" i="7" a="1"/>
  <c r="D119" i="7" a="1"/>
  <c r="D117" i="7" a="1"/>
  <c r="D69" i="7" a="1"/>
  <c r="D51" i="7" a="1"/>
  <c r="D50" i="7" a="1"/>
  <c r="D90" i="7" a="1"/>
  <c r="D23" i="7" a="1"/>
  <c r="D54" i="7" a="1"/>
  <c r="D75" i="7" a="1"/>
  <c r="D65" i="7" a="1"/>
  <c r="D110" i="7" a="1"/>
  <c r="D95" i="7" a="1"/>
  <c r="D92" i="7" a="1"/>
  <c r="D27" i="7" a="1"/>
  <c r="D53" i="7" a="1"/>
  <c r="D126" i="7" a="1"/>
  <c r="D17" i="7" a="1"/>
  <c r="D122" i="7" a="1"/>
  <c r="D18" i="7" a="1"/>
  <c r="D121" i="7" a="1"/>
  <c r="D36" i="7" a="1"/>
  <c r="D115" i="7" a="1"/>
  <c r="D19" i="7" a="1"/>
  <c r="D63" i="7" a="1"/>
  <c r="D102" i="7" a="1"/>
  <c r="D94" i="7" a="1"/>
  <c r="D93" i="7" a="1"/>
  <c r="D43" i="7" a="1"/>
  <c r="D76" i="7" a="1"/>
  <c r="D80" i="7" a="1"/>
  <c r="D77" i="7" a="1"/>
  <c r="D31" i="7" a="1"/>
  <c r="D113" i="7" a="1"/>
  <c r="D78" i="7" a="1"/>
  <c r="D60" i="7" a="1"/>
  <c r="D97" i="7" a="1"/>
  <c r="D112" i="7" a="1"/>
  <c r="D67" i="7" a="1"/>
  <c r="D12" i="7" a="1"/>
  <c r="D59" i="7" a="1"/>
  <c r="D111" i="7" a="1"/>
  <c r="D82" i="7" a="1"/>
  <c r="D32" i="7" a="1"/>
  <c r="D55" i="7" a="1"/>
  <c r="D47" i="7" a="1"/>
  <c r="D125" i="7" a="1"/>
  <c r="D124" i="7" a="1"/>
  <c r="D44" i="7" a="1"/>
  <c r="D30" i="7" a="1"/>
  <c r="D68" i="7" a="1"/>
  <c r="D128" i="7" a="1"/>
  <c r="D56" i="7" a="1"/>
  <c r="D45" i="7" a="1"/>
  <c r="D116" i="7" a="1"/>
  <c r="D37" i="7" a="1"/>
  <c r="D123" i="7" a="1"/>
  <c r="D120" i="7" a="1"/>
  <c r="D81" i="7" a="1"/>
  <c r="D107" i="7" a="1"/>
  <c r="D62" i="7" a="1"/>
  <c r="D39" i="7" a="1"/>
  <c r="D73" i="7" a="1"/>
  <c r="D127" i="7" a="1"/>
  <c r="D103" i="7" a="1"/>
  <c r="D25" i="7" a="1"/>
  <c r="AD43" i="8" l="1" a="1"/>
  <c r="AD43" i="8" s="1"/>
  <c r="W212" i="8" a="1"/>
  <c r="W212" i="8" s="1"/>
  <c r="AF236" i="8" a="1"/>
  <c r="AF236" i="8" s="1"/>
  <c r="AC236" i="8" a="1"/>
  <c r="AC236" i="8" s="1"/>
  <c r="Z44" i="8" a="1"/>
  <c r="Z44" i="8" s="1"/>
  <c r="AB188" i="8" a="1"/>
  <c r="AB188" i="8" s="1"/>
  <c r="Y188" i="8" a="1"/>
  <c r="Y188" i="8" s="1"/>
  <c r="AB236" i="8" a="1"/>
  <c r="AB236" i="8" s="1"/>
  <c r="AJ236" i="8" a="1"/>
  <c r="AJ236" i="8" s="1"/>
  <c r="AA45" i="8" a="1"/>
  <c r="AA45" i="8" s="1"/>
  <c r="AE44" i="8" a="1"/>
  <c r="AE44" i="8" s="1"/>
  <c r="V18" i="8" a="1"/>
  <c r="V18" i="8" s="1"/>
  <c r="X190" i="8" a="1"/>
  <c r="X190" i="8" s="1"/>
  <c r="X66" i="8" a="1"/>
  <c r="X66" i="8" s="1"/>
  <c r="AJ41" i="8" a="1"/>
  <c r="AJ41" i="8" s="1"/>
  <c r="X90" i="8" a="1"/>
  <c r="X90" i="8" s="1"/>
  <c r="AF137" i="8" a="1"/>
  <c r="AF137" i="8" s="1"/>
  <c r="AJ188" i="8" a="1"/>
  <c r="AJ188" i="8" s="1"/>
  <c r="AG188" i="8" a="1"/>
  <c r="AG188" i="8" s="1"/>
  <c r="W45" i="8" a="1"/>
  <c r="W45" i="8" s="1"/>
  <c r="AJ137" i="8" a="1"/>
  <c r="AJ137" i="8" s="1"/>
  <c r="AF188" i="8" a="1"/>
  <c r="AF188" i="8" s="1"/>
  <c r="AC188" i="8" a="1"/>
  <c r="AC188" i="8" s="1"/>
  <c r="AI52" i="8" a="1"/>
  <c r="AI52" i="8" s="1"/>
  <c r="X162" i="8" a="1"/>
  <c r="X162" i="8" s="1"/>
  <c r="U162" i="8" a="1"/>
  <c r="U162" i="8" s="1"/>
  <c r="AF41" i="8" a="1"/>
  <c r="AF41" i="8" s="1"/>
  <c r="AC41" i="8" a="1"/>
  <c r="AC41" i="8" s="1"/>
  <c r="AJ163" i="8" a="1"/>
  <c r="AJ163" i="8" s="1"/>
  <c r="AG163" i="8" a="1"/>
  <c r="AG163" i="8" s="1"/>
  <c r="Z17" i="8" a="1"/>
  <c r="Z17" i="8" s="1"/>
  <c r="AC16" i="8" a="1"/>
  <c r="AC16" i="8" s="1"/>
  <c r="AE17" i="8" a="1"/>
  <c r="AE17" i="8" s="1"/>
  <c r="AJ65" i="8" a="1"/>
  <c r="AJ65" i="8" s="1"/>
  <c r="AG65" i="8" a="1"/>
  <c r="AG65" i="8" s="1"/>
  <c r="X114" i="8" a="1"/>
  <c r="X114" i="8" s="1"/>
  <c r="U114" i="8" a="1"/>
  <c r="U114" i="8" s="1"/>
  <c r="AF89" i="8" a="1"/>
  <c r="AF89" i="8" s="1"/>
  <c r="AC89" i="8" a="1"/>
  <c r="AC89" i="8" s="1"/>
  <c r="U91" i="8" a="1"/>
  <c r="U91" i="8" s="1"/>
  <c r="X138" i="8" a="1"/>
  <c r="X138" i="8" s="1"/>
  <c r="U138" i="8" a="1"/>
  <c r="U138" i="8" s="1"/>
  <c r="X41" i="8" a="1"/>
  <c r="X41" i="8" s="1"/>
  <c r="AJ114" i="8" a="1"/>
  <c r="AJ114" i="8" s="1"/>
  <c r="AG114" i="8" a="1"/>
  <c r="AG114" i="8" s="1"/>
  <c r="X237" i="8" a="1"/>
  <c r="X237" i="8" s="1"/>
  <c r="U237" i="8" a="1"/>
  <c r="U237" i="8" s="1"/>
  <c r="AG237" i="8" a="1"/>
  <c r="AG237" i="8" s="1"/>
  <c r="AF40" i="8" a="1"/>
  <c r="AF40" i="8" s="1"/>
  <c r="Y237" i="8" a="1"/>
  <c r="Y237" i="8" s="1"/>
  <c r="AJ89" i="8" a="1"/>
  <c r="AJ89" i="8" s="1"/>
  <c r="AG89" i="8" a="1"/>
  <c r="AG89" i="8" s="1"/>
  <c r="AF113" i="8" a="1"/>
  <c r="AF113" i="8" s="1"/>
  <c r="AC113" i="8" a="1"/>
  <c r="AC113" i="8" s="1"/>
  <c r="AA17" i="8" a="1"/>
  <c r="AA17" i="8" s="1"/>
  <c r="AD17" i="8" a="1"/>
  <c r="AD17" i="8" s="1"/>
  <c r="AG17" i="8" a="1"/>
  <c r="AG17" i="8" s="1"/>
  <c r="AB66" i="8" a="1"/>
  <c r="AB66" i="8" s="1"/>
  <c r="Y66" i="8" a="1"/>
  <c r="Y66" i="8" s="1"/>
  <c r="X42" i="8" a="1"/>
  <c r="X42" i="8" s="1"/>
  <c r="U42" i="8" a="1"/>
  <c r="U42" i="8" s="1"/>
  <c r="AF65" i="8" a="1"/>
  <c r="AF65" i="8" s="1"/>
  <c r="AC65" i="8" a="1"/>
  <c r="AC65" i="8" s="1"/>
  <c r="U191" i="8" a="1"/>
  <c r="U191" i="8" s="1"/>
  <c r="AB90" i="8" a="1"/>
  <c r="AB90" i="8" s="1"/>
  <c r="Y90" i="8" a="1"/>
  <c r="Y90" i="8" s="1"/>
  <c r="Y17" i="8" a="1"/>
  <c r="Y17" i="8" s="1"/>
  <c r="AB162" i="8" a="1"/>
  <c r="AB162" i="8" s="1"/>
  <c r="Y162" i="8" a="1"/>
  <c r="Y162" i="8" s="1"/>
  <c r="AB114" i="8" a="1"/>
  <c r="AB114" i="8" s="1"/>
  <c r="Y114" i="8" a="1"/>
  <c r="Y114" i="8" s="1"/>
  <c r="W19" i="8" a="1"/>
  <c r="W19" i="8" s="1"/>
  <c r="AJ213" i="8" a="1"/>
  <c r="AJ213" i="8" s="1"/>
  <c r="AG213" i="8" a="1"/>
  <c r="AG213" i="8" s="1"/>
  <c r="AC138" i="8" a="1"/>
  <c r="AC138" i="8" s="1"/>
  <c r="U17" i="8" a="1"/>
  <c r="U17" i="8" s="1"/>
  <c r="AG138" i="8" a="1"/>
  <c r="AG138" i="8" s="1"/>
  <c r="AB42" i="8" a="1"/>
  <c r="AB42" i="8" s="1"/>
  <c r="Y42" i="8" a="1"/>
  <c r="Y42" i="8" s="1"/>
  <c r="AB138" i="8" a="1"/>
  <c r="AB138" i="8" s="1"/>
  <c r="Y138" i="8" a="1"/>
  <c r="Y138" i="8" s="1"/>
  <c r="AF163" i="8" a="1"/>
  <c r="AF163" i="8" s="1"/>
  <c r="AC163" i="8" a="1"/>
  <c r="AC163" i="8" s="1"/>
  <c r="U67" i="8" a="1"/>
  <c r="U67" i="8" s="1"/>
  <c r="AG42" i="8" a="1"/>
  <c r="AG42" i="8" s="1"/>
  <c r="AF213" i="8" a="1"/>
  <c r="AF213" i="8" s="1"/>
  <c r="AC213" i="8" a="1"/>
  <c r="AC213" i="8" s="1"/>
  <c r="AI17" i="8" a="1"/>
  <c r="AI17" i="8" s="1"/>
  <c r="AB213" i="8" a="1"/>
  <c r="AB213" i="8" s="1"/>
  <c r="Y213" i="8" a="1"/>
  <c r="Y213" i="8" s="1"/>
  <c r="AH20" i="8" a="1"/>
  <c r="AH20" i="8" s="1"/>
  <c r="X212" i="8" a="1"/>
  <c r="X212" i="8" s="1"/>
  <c r="U212" i="8" a="1"/>
  <c r="U212" i="8" s="1"/>
  <c r="I151" i="7"/>
  <c r="I232" i="7"/>
  <c r="B194" i="7"/>
  <c r="I156" i="7"/>
  <c r="E166" i="7"/>
  <c r="I212" i="7"/>
  <c r="I164" i="7"/>
  <c r="I130" i="7"/>
  <c r="I138" i="7"/>
  <c r="B131" i="7"/>
  <c r="B217" i="7"/>
  <c r="B177" i="7"/>
  <c r="E167" i="7"/>
  <c r="I227" i="7"/>
  <c r="C162" i="7"/>
  <c r="C147" i="7"/>
  <c r="C237" i="7"/>
  <c r="B175" i="7"/>
  <c r="I177" i="7"/>
  <c r="B164" i="7"/>
  <c r="I191" i="7"/>
  <c r="B172" i="7"/>
  <c r="E144" i="7"/>
  <c r="I234" i="7"/>
  <c r="I183" i="7"/>
  <c r="E176" i="7"/>
  <c r="C230" i="7"/>
  <c r="B192" i="7"/>
  <c r="C198" i="7"/>
  <c r="I201" i="7"/>
  <c r="I206" i="7"/>
  <c r="B185" i="7"/>
  <c r="E159" i="7"/>
  <c r="I146" i="7"/>
  <c r="C233" i="7"/>
  <c r="C234" i="7"/>
  <c r="I172" i="7"/>
  <c r="I162" i="7"/>
  <c r="C221" i="7"/>
  <c r="B169" i="7"/>
  <c r="I247" i="7"/>
  <c r="C204" i="7"/>
  <c r="C168" i="7"/>
  <c r="E171" i="7"/>
  <c r="B180" i="7"/>
  <c r="I240" i="7"/>
  <c r="E173" i="7"/>
  <c r="B171" i="7"/>
  <c r="I163" i="7"/>
  <c r="E139" i="7"/>
  <c r="E137" i="7"/>
  <c r="C142" i="7"/>
  <c r="I143" i="7"/>
  <c r="C239" i="7"/>
  <c r="B161" i="7"/>
  <c r="E160" i="7"/>
  <c r="E153" i="7"/>
  <c r="I248" i="7"/>
  <c r="E175" i="7"/>
  <c r="E168" i="7"/>
  <c r="I242" i="7"/>
  <c r="C148" i="7"/>
  <c r="I190" i="7"/>
  <c r="C246" i="7"/>
  <c r="C213" i="7"/>
  <c r="B209" i="7"/>
  <c r="E143" i="7"/>
  <c r="B235" i="7"/>
  <c r="I249" i="7"/>
  <c r="B208" i="7"/>
  <c r="C235" i="7"/>
  <c r="C196" i="7"/>
  <c r="I236" i="7"/>
  <c r="I145" i="7"/>
  <c r="C220" i="7"/>
  <c r="B184" i="7"/>
  <c r="I207" i="7"/>
  <c r="C165" i="7"/>
  <c r="C194" i="7"/>
  <c r="B212" i="7"/>
  <c r="E134" i="7"/>
  <c r="I160" i="7"/>
  <c r="C131" i="7"/>
  <c r="I213" i="7"/>
  <c r="C191" i="7"/>
  <c r="C217" i="7"/>
  <c r="B228" i="7"/>
  <c r="E157" i="7"/>
  <c r="I199" i="7"/>
  <c r="C164" i="7"/>
  <c r="B186" i="7"/>
  <c r="C202" i="7"/>
  <c r="C139" i="7"/>
  <c r="C205" i="7"/>
  <c r="E172" i="7"/>
  <c r="E162" i="7"/>
  <c r="C203" i="7"/>
  <c r="C150" i="7"/>
  <c r="I229" i="7"/>
  <c r="C193" i="7"/>
  <c r="C146" i="7"/>
  <c r="E158" i="7"/>
  <c r="B242" i="7"/>
  <c r="I144" i="7"/>
  <c r="I224" i="7"/>
  <c r="I214" i="7"/>
  <c r="C155" i="7"/>
  <c r="E152" i="7"/>
  <c r="I171" i="7"/>
  <c r="I186" i="7"/>
  <c r="B213" i="7"/>
  <c r="C134" i="7"/>
  <c r="B162" i="7"/>
  <c r="I204" i="7"/>
  <c r="B236" i="7"/>
  <c r="B170" i="7"/>
  <c r="B166" i="7"/>
  <c r="I193" i="7"/>
  <c r="I166" i="7"/>
  <c r="E174" i="7"/>
  <c r="C224" i="7"/>
  <c r="E149" i="7"/>
  <c r="E136" i="7"/>
  <c r="I243" i="7"/>
  <c r="C248" i="7"/>
  <c r="I142" i="7"/>
  <c r="B152" i="7"/>
  <c r="I141" i="7"/>
  <c r="E156" i="7"/>
  <c r="B241" i="7"/>
  <c r="B200" i="7"/>
  <c r="I220" i="7"/>
  <c r="I189" i="7"/>
  <c r="I228" i="7"/>
  <c r="B137" i="7"/>
  <c r="B218" i="7"/>
  <c r="C154" i="7"/>
  <c r="B211" i="7"/>
  <c r="B247" i="7"/>
  <c r="B223" i="7"/>
  <c r="C211" i="7"/>
  <c r="C192" i="7"/>
  <c r="I131" i="7"/>
  <c r="I244" i="7"/>
  <c r="I152" i="7"/>
  <c r="C159" i="7"/>
  <c r="C130" i="7"/>
  <c r="B156" i="7"/>
  <c r="E161" i="7"/>
  <c r="C152" i="7"/>
  <c r="B196" i="7"/>
  <c r="I241" i="7"/>
  <c r="B151" i="7"/>
  <c r="B201" i="7"/>
  <c r="I184" i="7"/>
  <c r="B216" i="7"/>
  <c r="B220" i="7"/>
  <c r="B215" i="7"/>
  <c r="I153" i="7"/>
  <c r="I216" i="7"/>
  <c r="B144" i="7"/>
  <c r="B138" i="7"/>
  <c r="B246" i="7"/>
  <c r="B187" i="7"/>
  <c r="C177" i="7"/>
  <c r="C236" i="7"/>
  <c r="E155" i="7"/>
  <c r="C173" i="7"/>
  <c r="I235" i="7"/>
  <c r="B157" i="7"/>
  <c r="E132" i="7"/>
  <c r="B147" i="7"/>
  <c r="B145" i="7"/>
  <c r="C218" i="7"/>
  <c r="B231" i="7"/>
  <c r="C247" i="7"/>
  <c r="I217" i="7"/>
  <c r="B190" i="7"/>
  <c r="I238" i="7"/>
  <c r="B222" i="7"/>
  <c r="B243" i="7"/>
  <c r="C184" i="7"/>
  <c r="I215" i="7"/>
  <c r="I167" i="7"/>
  <c r="B195" i="7"/>
  <c r="C241" i="7"/>
  <c r="I187" i="7"/>
  <c r="I223" i="7"/>
  <c r="B206" i="7"/>
  <c r="I179" i="7"/>
  <c r="I208" i="7"/>
  <c r="B133" i="7"/>
  <c r="C222" i="7"/>
  <c r="E148" i="7"/>
  <c r="I149" i="7"/>
  <c r="C240" i="7"/>
  <c r="E154" i="7"/>
  <c r="C244" i="7"/>
  <c r="I159" i="7"/>
  <c r="C157" i="7"/>
  <c r="C207" i="7"/>
  <c r="B174" i="7"/>
  <c r="B167" i="7"/>
  <c r="I230" i="7"/>
  <c r="B179" i="7"/>
  <c r="B154" i="7"/>
  <c r="B203" i="7"/>
  <c r="C223" i="7"/>
  <c r="E170" i="7"/>
  <c r="I161" i="7"/>
  <c r="C172" i="7"/>
  <c r="C210" i="7"/>
  <c r="B197" i="7"/>
  <c r="I178" i="7"/>
  <c r="B143" i="7"/>
  <c r="I231" i="7"/>
  <c r="C231" i="7"/>
  <c r="I175" i="7"/>
  <c r="C180" i="7"/>
  <c r="B244" i="7"/>
  <c r="I203" i="7"/>
  <c r="I200" i="7"/>
  <c r="B202" i="7"/>
  <c r="E145" i="7"/>
  <c r="B193" i="7"/>
  <c r="C166" i="7"/>
  <c r="C249" i="7"/>
  <c r="B237" i="7"/>
  <c r="I158" i="7"/>
  <c r="C225" i="7"/>
  <c r="B219" i="7"/>
  <c r="I195" i="7"/>
  <c r="C189" i="7"/>
  <c r="B249" i="7"/>
  <c r="C226" i="7"/>
  <c r="I181" i="7"/>
  <c r="I194" i="7"/>
  <c r="B148" i="7"/>
  <c r="E138" i="7"/>
  <c r="B238" i="7"/>
  <c r="I222" i="7"/>
  <c r="B232" i="7"/>
  <c r="C182" i="7"/>
  <c r="B140" i="7"/>
  <c r="E135" i="7"/>
  <c r="I147" i="7"/>
  <c r="B153" i="7"/>
  <c r="E142" i="7"/>
  <c r="I135" i="7"/>
  <c r="I209" i="7"/>
  <c r="B214" i="7"/>
  <c r="C188" i="7"/>
  <c r="C163" i="7"/>
  <c r="I173" i="7"/>
  <c r="C141" i="7"/>
  <c r="B135" i="7"/>
  <c r="B158" i="7"/>
  <c r="B130" i="7"/>
  <c r="E150" i="7"/>
  <c r="E164" i="7"/>
  <c r="I180" i="7"/>
  <c r="I211" i="7"/>
  <c r="E177" i="7"/>
  <c r="C170" i="7"/>
  <c r="I165" i="7"/>
  <c r="B168" i="7"/>
  <c r="C171" i="7"/>
  <c r="C212" i="7"/>
  <c r="C144" i="7"/>
  <c r="C206" i="7"/>
  <c r="B204" i="7"/>
  <c r="B136" i="7"/>
  <c r="C183" i="7"/>
  <c r="C178" i="7"/>
  <c r="C175" i="7"/>
  <c r="E151" i="7"/>
  <c r="I245" i="7"/>
  <c r="B178" i="7"/>
  <c r="C137" i="7"/>
  <c r="C161" i="7"/>
  <c r="B176" i="7"/>
  <c r="C200" i="7"/>
  <c r="B227" i="7"/>
  <c r="I132" i="7"/>
  <c r="I136" i="7"/>
  <c r="I137" i="7"/>
  <c r="C232" i="7"/>
  <c r="C158" i="7"/>
  <c r="I168" i="7"/>
  <c r="I134" i="7"/>
  <c r="E131" i="7"/>
  <c r="B139" i="7"/>
  <c r="E147" i="7"/>
  <c r="B150" i="7"/>
  <c r="B181" i="7"/>
  <c r="B226" i="7"/>
  <c r="C145" i="7"/>
  <c r="E163" i="7"/>
  <c r="I140" i="7"/>
  <c r="I197" i="7"/>
  <c r="I169" i="7"/>
  <c r="I133" i="7"/>
  <c r="E140" i="7"/>
  <c r="C228" i="7"/>
  <c r="C61" i="7"/>
  <c r="B60" i="7"/>
  <c r="C90" i="7"/>
  <c r="C52" i="7"/>
  <c r="E92" i="7"/>
  <c r="C99" i="7"/>
  <c r="C63" i="7"/>
  <c r="B119" i="7"/>
  <c r="B45" i="7"/>
  <c r="E50" i="7"/>
  <c r="C24" i="7"/>
  <c r="I100" i="7"/>
  <c r="I52" i="7"/>
  <c r="E23" i="7"/>
  <c r="D25" i="7"/>
  <c r="C115" i="7"/>
  <c r="I26" i="7"/>
  <c r="I51" i="7"/>
  <c r="B36" i="7"/>
  <c r="D113" i="7"/>
  <c r="E21" i="7"/>
  <c r="D129" i="7"/>
  <c r="I36" i="7"/>
  <c r="E78" i="7"/>
  <c r="I59" i="7"/>
  <c r="I71" i="7"/>
  <c r="H33" i="7"/>
  <c r="D31" i="7"/>
  <c r="D90" i="7"/>
  <c r="D74" i="7"/>
  <c r="D103" i="7"/>
  <c r="B84" i="7"/>
  <c r="C83" i="7"/>
  <c r="I29" i="7"/>
  <c r="D127" i="7"/>
  <c r="B90" i="7"/>
  <c r="C37" i="7"/>
  <c r="I41" i="7"/>
  <c r="C77" i="7"/>
  <c r="B111" i="7"/>
  <c r="D50" i="7"/>
  <c r="C42" i="7"/>
  <c r="E97" i="7"/>
  <c r="I92" i="7"/>
  <c r="D51" i="7"/>
  <c r="B93" i="7"/>
  <c r="C20" i="7"/>
  <c r="B44" i="7"/>
  <c r="E73" i="7"/>
  <c r="I12" i="7"/>
  <c r="B49" i="7"/>
  <c r="B33" i="7"/>
  <c r="F24" i="7"/>
  <c r="D72" i="7"/>
  <c r="I74" i="7"/>
  <c r="B103" i="7"/>
  <c r="C120" i="7"/>
  <c r="E104" i="7"/>
  <c r="E117" i="7"/>
  <c r="D77" i="7"/>
  <c r="E24" i="7"/>
  <c r="I93" i="7"/>
  <c r="E110" i="7"/>
  <c r="B123" i="7"/>
  <c r="I31" i="7"/>
  <c r="C89" i="7"/>
  <c r="D73" i="7"/>
  <c r="E64" i="7"/>
  <c r="D69" i="7"/>
  <c r="I72" i="7"/>
  <c r="B32" i="7"/>
  <c r="I23" i="7"/>
  <c r="B124" i="7"/>
  <c r="B23" i="7"/>
  <c r="E116" i="7"/>
  <c r="B19" i="7"/>
  <c r="B240" i="7"/>
  <c r="C186" i="7"/>
  <c r="C245" i="7"/>
  <c r="C153" i="7"/>
  <c r="I148" i="7"/>
  <c r="I221" i="7"/>
  <c r="B66" i="7"/>
  <c r="F27" i="7"/>
  <c r="B73" i="7"/>
  <c r="B80" i="7"/>
  <c r="E22" i="7"/>
  <c r="I87" i="7"/>
  <c r="C84" i="7"/>
  <c r="E34" i="7"/>
  <c r="B107" i="7"/>
  <c r="I11" i="7"/>
  <c r="E72" i="7"/>
  <c r="C107" i="7"/>
  <c r="B68" i="7"/>
  <c r="B81" i="7"/>
  <c r="D117" i="7"/>
  <c r="D61" i="7"/>
  <c r="B53" i="7"/>
  <c r="D80" i="7"/>
  <c r="C70" i="7"/>
  <c r="D70" i="7"/>
  <c r="D39" i="7"/>
  <c r="E95" i="7"/>
  <c r="H19" i="7"/>
  <c r="I24" i="7"/>
  <c r="E46" i="7"/>
  <c r="D76" i="7"/>
  <c r="C95" i="7"/>
  <c r="E103" i="7"/>
  <c r="I65" i="7"/>
  <c r="I34" i="7"/>
  <c r="B125" i="7"/>
  <c r="C68" i="7"/>
  <c r="C81" i="7"/>
  <c r="E70" i="7"/>
  <c r="E106" i="7"/>
  <c r="E87" i="7"/>
  <c r="I75" i="7"/>
  <c r="D43" i="7"/>
  <c r="B24" i="7"/>
  <c r="C74" i="7"/>
  <c r="C21" i="7"/>
  <c r="I106" i="7"/>
  <c r="D119" i="7"/>
  <c r="H27" i="7"/>
  <c r="F26" i="7"/>
  <c r="F23" i="7"/>
  <c r="D99" i="7"/>
  <c r="C124" i="7"/>
  <c r="B75" i="7"/>
  <c r="D93" i="7"/>
  <c r="C85" i="7"/>
  <c r="E122" i="7"/>
  <c r="I103" i="7"/>
  <c r="E25" i="7"/>
  <c r="C108" i="7"/>
  <c r="C55" i="7"/>
  <c r="E128" i="7"/>
  <c r="E54" i="7"/>
  <c r="D91" i="7"/>
  <c r="C31" i="7"/>
  <c r="B91" i="7"/>
  <c r="E56" i="7"/>
  <c r="D26" i="7"/>
  <c r="E83" i="7"/>
  <c r="D62" i="7"/>
  <c r="C111" i="7"/>
  <c r="I16" i="7"/>
  <c r="I85" i="7"/>
  <c r="I28" i="7"/>
  <c r="B55" i="7"/>
  <c r="E48" i="7"/>
  <c r="I91" i="7"/>
  <c r="E82" i="7"/>
  <c r="B129" i="7"/>
  <c r="F29" i="7"/>
  <c r="B234" i="7"/>
  <c r="B198" i="7"/>
  <c r="B233" i="7"/>
  <c r="C216" i="7"/>
  <c r="B191" i="7"/>
  <c r="C149" i="7"/>
  <c r="B221" i="7"/>
  <c r="B189" i="7"/>
  <c r="B29" i="7"/>
  <c r="I104" i="7"/>
  <c r="B88" i="7"/>
  <c r="E58" i="7"/>
  <c r="H20" i="7"/>
  <c r="B117" i="7"/>
  <c r="C92" i="7"/>
  <c r="C46" i="7"/>
  <c r="C29" i="7"/>
  <c r="D107" i="7"/>
  <c r="B108" i="7"/>
  <c r="D58" i="7"/>
  <c r="I35" i="7"/>
  <c r="I81" i="7"/>
  <c r="C114" i="7"/>
  <c r="B42" i="7"/>
  <c r="B21" i="7"/>
  <c r="B114" i="7"/>
  <c r="D94" i="7"/>
  <c r="D86" i="7"/>
  <c r="E108" i="7"/>
  <c r="B101" i="7"/>
  <c r="I13" i="7"/>
  <c r="B78" i="7"/>
  <c r="C53" i="7"/>
  <c r="I57" i="7"/>
  <c r="F20" i="7"/>
  <c r="I108" i="7"/>
  <c r="D89" i="7"/>
  <c r="I125" i="7"/>
  <c r="E42" i="7"/>
  <c r="D118" i="7"/>
  <c r="I83" i="7"/>
  <c r="I53" i="7"/>
  <c r="C128" i="7"/>
  <c r="E118" i="7"/>
  <c r="C33" i="7"/>
  <c r="E69" i="7"/>
  <c r="C79" i="7"/>
  <c r="E74" i="7"/>
  <c r="E51" i="7"/>
  <c r="D81" i="7"/>
  <c r="D102" i="7"/>
  <c r="F21" i="7"/>
  <c r="D105" i="7"/>
  <c r="C64" i="7"/>
  <c r="E67" i="7"/>
  <c r="C34" i="7"/>
  <c r="B95" i="7"/>
  <c r="B99" i="7"/>
  <c r="B50" i="7"/>
  <c r="B71" i="7"/>
  <c r="B85" i="7"/>
  <c r="B121" i="7"/>
  <c r="E115" i="7"/>
  <c r="B58" i="7"/>
  <c r="E91" i="7"/>
  <c r="D120" i="7"/>
  <c r="C106" i="7"/>
  <c r="I128" i="7"/>
  <c r="B64" i="7"/>
  <c r="E36" i="7"/>
  <c r="I63" i="7"/>
  <c r="C75" i="7"/>
  <c r="C41" i="7"/>
  <c r="E49" i="7"/>
  <c r="I80" i="7"/>
  <c r="C39" i="7"/>
  <c r="H28" i="7"/>
  <c r="D123" i="7"/>
  <c r="E30" i="7"/>
  <c r="I39" i="7"/>
  <c r="C94" i="7"/>
  <c r="C69" i="7"/>
  <c r="I111" i="7"/>
  <c r="B182" i="7"/>
  <c r="I233" i="7"/>
  <c r="C179" i="7"/>
  <c r="I225" i="7"/>
  <c r="I150" i="7"/>
  <c r="B159" i="7"/>
  <c r="C143" i="7"/>
  <c r="C215" i="7"/>
  <c r="B163" i="7"/>
  <c r="B155" i="7"/>
  <c r="B146" i="7"/>
  <c r="C190" i="7"/>
  <c r="C229" i="7"/>
  <c r="B207" i="7"/>
  <c r="C208" i="7"/>
  <c r="B134" i="7"/>
  <c r="E133" i="7"/>
  <c r="D84" i="7"/>
  <c r="D37" i="7"/>
  <c r="H21" i="7"/>
  <c r="B61" i="7"/>
  <c r="E63" i="7"/>
  <c r="D116" i="7"/>
  <c r="E57" i="7"/>
  <c r="B106" i="7"/>
  <c r="D22" i="7"/>
  <c r="D45" i="7"/>
  <c r="F28" i="7"/>
  <c r="B89" i="7"/>
  <c r="D98" i="7"/>
  <c r="E68" i="7"/>
  <c r="B126" i="7"/>
  <c r="B76" i="7"/>
  <c r="B35" i="7"/>
  <c r="I76" i="7"/>
  <c r="B102" i="7"/>
  <c r="D49" i="7"/>
  <c r="E17" i="7"/>
  <c r="E86" i="7"/>
  <c r="H30" i="7"/>
  <c r="E100" i="7"/>
  <c r="D66" i="7"/>
  <c r="I78" i="7"/>
  <c r="B52" i="7"/>
  <c r="E38" i="7"/>
  <c r="D52" i="7"/>
  <c r="C116" i="7"/>
  <c r="D63" i="7"/>
  <c r="C54" i="7"/>
  <c r="B65" i="7"/>
  <c r="I126" i="7"/>
  <c r="C32" i="7"/>
  <c r="I109" i="7"/>
  <c r="D28" i="7"/>
  <c r="E90" i="7"/>
  <c r="B39" i="7"/>
  <c r="C76" i="7"/>
  <c r="C28" i="7"/>
  <c r="I102" i="7"/>
  <c r="D19" i="7"/>
  <c r="E101" i="7"/>
  <c r="C35" i="7"/>
  <c r="C62" i="7"/>
  <c r="D115" i="7"/>
  <c r="D29" i="7"/>
  <c r="D41" i="7"/>
  <c r="C56" i="7"/>
  <c r="C96" i="7"/>
  <c r="E28" i="7"/>
  <c r="I14" i="7"/>
  <c r="D56" i="7"/>
  <c r="C86" i="7"/>
  <c r="I50" i="7"/>
  <c r="D85" i="7"/>
  <c r="I107" i="7"/>
  <c r="B22" i="7"/>
  <c r="C87" i="7"/>
  <c r="E47" i="7"/>
  <c r="E105" i="7"/>
  <c r="I21" i="7"/>
  <c r="B40" i="7"/>
  <c r="I117" i="7"/>
  <c r="D128" i="7"/>
  <c r="B94" i="7"/>
  <c r="D108" i="7"/>
  <c r="E85" i="7"/>
  <c r="C43" i="7"/>
  <c r="I60" i="7"/>
  <c r="I99" i="7"/>
  <c r="B104" i="7"/>
  <c r="E107" i="7"/>
  <c r="H18" i="7"/>
  <c r="D38" i="7"/>
  <c r="B173" i="7"/>
  <c r="B199" i="7"/>
  <c r="I139" i="7"/>
  <c r="C135" i="7"/>
  <c r="B229" i="7"/>
  <c r="C151" i="7"/>
  <c r="I219" i="7"/>
  <c r="B210" i="7"/>
  <c r="B165" i="7"/>
  <c r="I202" i="7"/>
  <c r="I174" i="7"/>
  <c r="C227" i="7"/>
  <c r="C181" i="7"/>
  <c r="I239" i="7"/>
  <c r="B230" i="7"/>
  <c r="C214" i="7"/>
  <c r="I188" i="7"/>
  <c r="C243" i="7"/>
  <c r="I185" i="7"/>
  <c r="B239" i="7"/>
  <c r="C51" i="7"/>
  <c r="E89" i="7"/>
  <c r="I84" i="7"/>
  <c r="C121" i="7"/>
  <c r="D104" i="7"/>
  <c r="C103" i="7"/>
  <c r="D36" i="7"/>
  <c r="E44" i="7"/>
  <c r="C38" i="7"/>
  <c r="D68" i="7"/>
  <c r="I37" i="7"/>
  <c r="C119" i="7"/>
  <c r="C60" i="7"/>
  <c r="D30" i="7"/>
  <c r="I79" i="7"/>
  <c r="I54" i="7"/>
  <c r="E66" i="7"/>
  <c r="C112" i="7"/>
  <c r="B116" i="7"/>
  <c r="B109" i="7"/>
  <c r="E96" i="7"/>
  <c r="C123" i="7"/>
  <c r="D121" i="7"/>
  <c r="I127" i="7"/>
  <c r="I19" i="7"/>
  <c r="I115" i="7"/>
  <c r="B118" i="7"/>
  <c r="D109" i="7"/>
  <c r="D106" i="7"/>
  <c r="C30" i="7"/>
  <c r="D18" i="7"/>
  <c r="I119" i="7"/>
  <c r="E121" i="7"/>
  <c r="I22" i="7"/>
  <c r="D122" i="7"/>
  <c r="E81" i="7"/>
  <c r="E52" i="7"/>
  <c r="B79" i="7"/>
  <c r="D17" i="7"/>
  <c r="I67" i="7"/>
  <c r="B74" i="7"/>
  <c r="I124" i="7"/>
  <c r="I49" i="7"/>
  <c r="I47" i="7"/>
  <c r="C57" i="7"/>
  <c r="D44" i="7"/>
  <c r="I38" i="7"/>
  <c r="D101" i="7"/>
  <c r="D57" i="7"/>
  <c r="E127" i="7"/>
  <c r="C82" i="7"/>
  <c r="B17" i="7"/>
  <c r="D64" i="7"/>
  <c r="C98" i="7"/>
  <c r="D126" i="7"/>
  <c r="B38" i="7"/>
  <c r="E39" i="7"/>
  <c r="D124" i="7"/>
  <c r="C88" i="7"/>
  <c r="D46" i="7"/>
  <c r="B100" i="7"/>
  <c r="D125" i="7"/>
  <c r="F19" i="7"/>
  <c r="B26" i="7"/>
  <c r="E31" i="7"/>
  <c r="B43" i="7"/>
  <c r="I89" i="7"/>
  <c r="E79" i="7"/>
  <c r="E29" i="7"/>
  <c r="I45" i="7"/>
  <c r="B82" i="7"/>
  <c r="B110" i="7"/>
  <c r="I64" i="7"/>
  <c r="E76" i="7"/>
  <c r="E37" i="7"/>
  <c r="I121" i="7"/>
  <c r="B132" i="7"/>
  <c r="I154" i="7"/>
  <c r="I196" i="7"/>
  <c r="I205" i="7"/>
  <c r="E141" i="7"/>
  <c r="I246" i="7"/>
  <c r="I170" i="7"/>
  <c r="B141" i="7"/>
  <c r="C140" i="7"/>
  <c r="B224" i="7"/>
  <c r="C132" i="7"/>
  <c r="E165" i="7"/>
  <c r="B188" i="7"/>
  <c r="C195" i="7"/>
  <c r="C197" i="7"/>
  <c r="I176" i="7"/>
  <c r="C19" i="7"/>
  <c r="H29" i="7"/>
  <c r="I101" i="7"/>
  <c r="H24" i="7"/>
  <c r="D40" i="7"/>
  <c r="B113" i="7"/>
  <c r="D53" i="7"/>
  <c r="B122" i="7"/>
  <c r="D83" i="7"/>
  <c r="C97" i="7"/>
  <c r="I46" i="7"/>
  <c r="H32" i="7"/>
  <c r="H22" i="7"/>
  <c r="C36" i="7"/>
  <c r="I17" i="7"/>
  <c r="E40" i="7"/>
  <c r="C73" i="7"/>
  <c r="C80" i="7"/>
  <c r="I90" i="7"/>
  <c r="I66" i="7"/>
  <c r="B63" i="7"/>
  <c r="C91" i="7"/>
  <c r="B77" i="7"/>
  <c r="D35" i="7"/>
  <c r="B57" i="7"/>
  <c r="C59" i="7"/>
  <c r="E119" i="7"/>
  <c r="I62" i="7"/>
  <c r="I42" i="7"/>
  <c r="H23" i="7"/>
  <c r="H31" i="7"/>
  <c r="E126" i="7"/>
  <c r="I105" i="7"/>
  <c r="D47" i="7"/>
  <c r="I95" i="7"/>
  <c r="D114" i="7"/>
  <c r="E26" i="7"/>
  <c r="I120" i="7"/>
  <c r="B37" i="7"/>
  <c r="E20" i="7"/>
  <c r="C122" i="7"/>
  <c r="E112" i="7"/>
  <c r="E113" i="7"/>
  <c r="D87" i="7"/>
  <c r="D48" i="7"/>
  <c r="D55" i="7"/>
  <c r="I43" i="7"/>
  <c r="C113" i="7"/>
  <c r="D42" i="7"/>
  <c r="D32" i="7"/>
  <c r="E77" i="7"/>
  <c r="F33" i="7"/>
  <c r="E45" i="7"/>
  <c r="D82" i="7"/>
  <c r="C93" i="7"/>
  <c r="C126" i="7"/>
  <c r="I113" i="7"/>
  <c r="D111" i="7"/>
  <c r="I44" i="7"/>
  <c r="B67" i="7"/>
  <c r="B69" i="7"/>
  <c r="C49" i="7"/>
  <c r="I110" i="7"/>
  <c r="I27" i="7"/>
  <c r="D20" i="7"/>
  <c r="I55" i="7"/>
  <c r="E75" i="7"/>
  <c r="B120" i="7"/>
  <c r="C101" i="7"/>
  <c r="B59" i="7"/>
  <c r="B83" i="7"/>
  <c r="F22" i="7"/>
  <c r="B27" i="7"/>
  <c r="D59" i="7"/>
  <c r="B96" i="7"/>
  <c r="E80" i="7"/>
  <c r="B142" i="7"/>
  <c r="I210" i="7"/>
  <c r="C174" i="7"/>
  <c r="I237" i="7"/>
  <c r="C201" i="7"/>
  <c r="C176" i="7"/>
  <c r="I157" i="7"/>
  <c r="C167" i="7"/>
  <c r="I198" i="7"/>
  <c r="I182" i="7"/>
  <c r="C185" i="7"/>
  <c r="C219" i="7"/>
  <c r="C242" i="7"/>
  <c r="C209" i="7"/>
  <c r="C138" i="7"/>
  <c r="D100" i="7"/>
  <c r="E120" i="7"/>
  <c r="I97" i="7"/>
  <c r="I118" i="7"/>
  <c r="B54" i="7"/>
  <c r="B92" i="7"/>
  <c r="E109" i="7"/>
  <c r="D27" i="7"/>
  <c r="B127" i="7"/>
  <c r="D88" i="7"/>
  <c r="E60" i="7"/>
  <c r="D92" i="7"/>
  <c r="D96" i="7"/>
  <c r="C25" i="7"/>
  <c r="I56" i="7"/>
  <c r="I32" i="7"/>
  <c r="I15" i="7"/>
  <c r="C109" i="7"/>
  <c r="F25" i="7"/>
  <c r="C66" i="7"/>
  <c r="E35" i="7"/>
  <c r="D24" i="7"/>
  <c r="I98" i="7"/>
  <c r="E84" i="7"/>
  <c r="I73" i="7"/>
  <c r="C23" i="7"/>
  <c r="C104" i="7"/>
  <c r="D95" i="7"/>
  <c r="E61" i="7"/>
  <c r="I114" i="7"/>
  <c r="C110" i="7"/>
  <c r="B115" i="7"/>
  <c r="I69" i="7"/>
  <c r="E32" i="7"/>
  <c r="H25" i="7"/>
  <c r="B28" i="7"/>
  <c r="E94" i="7"/>
  <c r="E93" i="7"/>
  <c r="C26" i="7"/>
  <c r="I123" i="7"/>
  <c r="I112" i="7"/>
  <c r="D21" i="7"/>
  <c r="C22" i="7"/>
  <c r="D110" i="7"/>
  <c r="B62" i="7"/>
  <c r="H17" i="7"/>
  <c r="C58" i="7"/>
  <c r="E62" i="7"/>
  <c r="C117" i="7"/>
  <c r="I48" i="7"/>
  <c r="I61" i="7"/>
  <c r="C44" i="7"/>
  <c r="D33" i="7"/>
  <c r="E55" i="7"/>
  <c r="B56" i="7"/>
  <c r="C50" i="7"/>
  <c r="E33" i="7"/>
  <c r="B46" i="7"/>
  <c r="C40" i="7"/>
  <c r="B31" i="7"/>
  <c r="I122" i="7"/>
  <c r="D34" i="7"/>
  <c r="B86" i="7"/>
  <c r="I82" i="7"/>
  <c r="B47" i="7"/>
  <c r="B18" i="7"/>
  <c r="I86" i="7"/>
  <c r="D65" i="7"/>
  <c r="C129" i="7"/>
  <c r="B48" i="7"/>
  <c r="F31" i="7"/>
  <c r="D75" i="7"/>
  <c r="B34" i="7"/>
  <c r="I116" i="7"/>
  <c r="C118" i="7"/>
  <c r="C71" i="7"/>
  <c r="C187" i="7"/>
  <c r="C156" i="7"/>
  <c r="C160" i="7"/>
  <c r="I226" i="7"/>
  <c r="C136" i="7"/>
  <c r="I155" i="7"/>
  <c r="E130" i="7"/>
  <c r="B160" i="7"/>
  <c r="I192" i="7"/>
  <c r="B245" i="7"/>
  <c r="I218" i="7"/>
  <c r="E169" i="7"/>
  <c r="C238" i="7"/>
  <c r="B183" i="7"/>
  <c r="C133" i="7"/>
  <c r="B248" i="7"/>
  <c r="C199" i="7"/>
  <c r="E146" i="7"/>
  <c r="B205" i="7"/>
  <c r="B149" i="7"/>
  <c r="C169" i="7"/>
  <c r="B225" i="7"/>
  <c r="C45" i="7"/>
  <c r="C27" i="7"/>
  <c r="B87" i="7"/>
  <c r="B72" i="7"/>
  <c r="D12" i="7"/>
  <c r="E41" i="7"/>
  <c r="B97" i="7"/>
  <c r="B30" i="7"/>
  <c r="B128" i="7"/>
  <c r="C18" i="7"/>
  <c r="C78" i="7"/>
  <c r="E124" i="7"/>
  <c r="E71" i="7"/>
  <c r="D54" i="7"/>
  <c r="E53" i="7"/>
  <c r="B105" i="7"/>
  <c r="D67" i="7"/>
  <c r="E65" i="7"/>
  <c r="I88" i="7"/>
  <c r="E123" i="7"/>
  <c r="C67" i="7"/>
  <c r="I25" i="7"/>
  <c r="I77" i="7"/>
  <c r="E43" i="7"/>
  <c r="F32" i="7"/>
  <c r="B41" i="7"/>
  <c r="C100" i="7"/>
  <c r="D71" i="7"/>
  <c r="D112" i="7"/>
  <c r="B98" i="7"/>
  <c r="I94" i="7"/>
  <c r="E125" i="7"/>
  <c r="D97" i="7"/>
  <c r="E59" i="7"/>
  <c r="I129" i="7"/>
  <c r="B25" i="7"/>
  <c r="D60" i="7"/>
  <c r="D23" i="7"/>
  <c r="C105" i="7"/>
  <c r="E114" i="7"/>
  <c r="F30" i="7"/>
  <c r="I40" i="7"/>
  <c r="I30" i="7"/>
  <c r="C17" i="7"/>
  <c r="E99" i="7"/>
  <c r="C72" i="7"/>
  <c r="F17" i="7"/>
  <c r="E111" i="7"/>
  <c r="E98" i="7"/>
  <c r="I58" i="7"/>
  <c r="C47" i="7"/>
  <c r="C125" i="7"/>
  <c r="C65" i="7"/>
  <c r="E129" i="7"/>
  <c r="E88" i="7"/>
  <c r="E18" i="7"/>
  <c r="C48" i="7"/>
  <c r="I33" i="7"/>
  <c r="I70" i="7"/>
  <c r="D79" i="7"/>
  <c r="B112" i="7"/>
  <c r="B20" i="7"/>
  <c r="E102" i="7"/>
  <c r="I18" i="7"/>
  <c r="I68" i="7"/>
  <c r="C127" i="7"/>
  <c r="C102" i="7"/>
  <c r="B70" i="7"/>
  <c r="E27" i="7"/>
  <c r="E19" i="7"/>
  <c r="F18" i="7"/>
  <c r="I96" i="7"/>
  <c r="D78" i="7"/>
  <c r="H26" i="7"/>
  <c r="B51" i="7"/>
  <c r="I20" i="7"/>
  <c r="AI53" i="8" l="1" a="1"/>
  <c r="AI53" i="8" s="1"/>
  <c r="AF138" i="8" a="1"/>
  <c r="AF138" i="8" s="1"/>
  <c r="X191" i="8" a="1"/>
  <c r="X191" i="8" s="1"/>
  <c r="AB189" i="8" a="1"/>
  <c r="AB189" i="8" s="1"/>
  <c r="Y189" i="8" a="1"/>
  <c r="Y189" i="8" s="1"/>
  <c r="AF189" i="8" a="1"/>
  <c r="AF189" i="8" s="1"/>
  <c r="AC189" i="8" a="1"/>
  <c r="AC189" i="8" s="1"/>
  <c r="AJ138" i="8" a="1"/>
  <c r="AJ138" i="8" s="1"/>
  <c r="AJ189" i="8" a="1"/>
  <c r="AJ189" i="8" s="1"/>
  <c r="AG189" i="8" a="1"/>
  <c r="AG189" i="8" s="1"/>
  <c r="X67" i="8" a="1"/>
  <c r="X67" i="8" s="1"/>
  <c r="AB237" i="8" a="1"/>
  <c r="AB237" i="8" s="1"/>
  <c r="X163" i="8" a="1"/>
  <c r="X163" i="8" s="1"/>
  <c r="U163" i="8" a="1"/>
  <c r="U163" i="8" s="1"/>
  <c r="X91" i="8" a="1"/>
  <c r="X91" i="8" s="1"/>
  <c r="AB91" i="8" a="1"/>
  <c r="AB91" i="8" s="1"/>
  <c r="V19" i="8" a="1"/>
  <c r="V19" i="8" s="1"/>
  <c r="AE45" i="8" a="1"/>
  <c r="AE45" i="8" s="1"/>
  <c r="AA46" i="8" a="1"/>
  <c r="AA46" i="8" s="1"/>
  <c r="W46" i="8" a="1"/>
  <c r="W46" i="8" s="1"/>
  <c r="AJ42" i="8" a="1"/>
  <c r="AJ42" i="8" s="1"/>
  <c r="AJ237" i="8" a="1"/>
  <c r="AJ237" i="8" s="1"/>
  <c r="Z45" i="8" a="1"/>
  <c r="Z45" i="8" s="1"/>
  <c r="AF237" i="8" a="1"/>
  <c r="AF237" i="8" s="1"/>
  <c r="AC237" i="8" a="1"/>
  <c r="AC237" i="8" s="1"/>
  <c r="W213" i="8" a="1"/>
  <c r="W213" i="8" s="1"/>
  <c r="X213" i="8" a="1"/>
  <c r="X213" i="8" s="1"/>
  <c r="AD44" i="8" a="1"/>
  <c r="AD44" i="8" s="1"/>
  <c r="U213" i="8" a="1"/>
  <c r="U213" i="8" s="1"/>
  <c r="AG43" i="8" a="1"/>
  <c r="AG43" i="8" s="1"/>
  <c r="AG139" i="8" a="1"/>
  <c r="AG139" i="8" s="1"/>
  <c r="AB115" i="8" a="1"/>
  <c r="AB115" i="8" s="1"/>
  <c r="Y115" i="8" a="1"/>
  <c r="Y115" i="8" s="1"/>
  <c r="Y91" i="8" a="1"/>
  <c r="Y91" i="8" s="1"/>
  <c r="AA18" i="8" a="1"/>
  <c r="AA18" i="8" s="1"/>
  <c r="AF114" i="8" a="1"/>
  <c r="AF114" i="8" s="1"/>
  <c r="AC114" i="8" a="1"/>
  <c r="AC114" i="8" s="1"/>
  <c r="AF90" i="8" a="1"/>
  <c r="AF90" i="8" s="1"/>
  <c r="AC90" i="8" a="1"/>
  <c r="AC90" i="8" s="1"/>
  <c r="Z18" i="8" a="1"/>
  <c r="Z18" i="8" s="1"/>
  <c r="AB214" i="8" a="1"/>
  <c r="AB214" i="8" s="1"/>
  <c r="Y214" i="8" a="1"/>
  <c r="Y214" i="8" s="1"/>
  <c r="AB139" i="8" a="1"/>
  <c r="AB139" i="8" s="1"/>
  <c r="Y139" i="8" a="1"/>
  <c r="Y139" i="8" s="1"/>
  <c r="AB43" i="8" a="1"/>
  <c r="AB43" i="8" s="1"/>
  <c r="Y43" i="8" a="1"/>
  <c r="Y43" i="8" s="1"/>
  <c r="AC139" i="8" a="1"/>
  <c r="AC139" i="8" s="1"/>
  <c r="W20" i="8" a="1"/>
  <c r="W20" i="8" s="1"/>
  <c r="Y18" i="8" a="1"/>
  <c r="Y18" i="8" s="1"/>
  <c r="X43" i="8" a="1"/>
  <c r="X43" i="8" s="1"/>
  <c r="U43" i="8" a="1"/>
  <c r="U43" i="8" s="1"/>
  <c r="AG18" i="8" a="1"/>
  <c r="AG18" i="8" s="1"/>
  <c r="U92" i="8" a="1"/>
  <c r="U92" i="8" s="1"/>
  <c r="AF214" i="8" a="1"/>
  <c r="AF214" i="8" s="1"/>
  <c r="AC214" i="8" a="1"/>
  <c r="AC214" i="8" s="1"/>
  <c r="AF164" i="8" a="1"/>
  <c r="AF164" i="8" s="1"/>
  <c r="AC164" i="8" a="1"/>
  <c r="AC164" i="8" s="1"/>
  <c r="U18" i="8" a="1"/>
  <c r="U18" i="8" s="1"/>
  <c r="AJ214" i="8" a="1"/>
  <c r="AJ214" i="8" s="1"/>
  <c r="AG214" i="8" a="1"/>
  <c r="AG214" i="8" s="1"/>
  <c r="AF66" i="8" a="1"/>
  <c r="AF66" i="8" s="1"/>
  <c r="AC66" i="8" a="1"/>
  <c r="AC66" i="8" s="1"/>
  <c r="Y238" i="8" a="1"/>
  <c r="Y238" i="8" s="1"/>
  <c r="AG238" i="8" a="1"/>
  <c r="AG238" i="8" s="1"/>
  <c r="X139" i="8" a="1"/>
  <c r="X139" i="8" s="1"/>
  <c r="U139" i="8" a="1"/>
  <c r="U139" i="8" s="1"/>
  <c r="AJ66" i="8" a="1"/>
  <c r="AJ66" i="8" s="1"/>
  <c r="AG66" i="8" a="1"/>
  <c r="AG66" i="8" s="1"/>
  <c r="AC17" i="8" a="1"/>
  <c r="AC17" i="8" s="1"/>
  <c r="AF42" i="8" a="1"/>
  <c r="AF42" i="8" s="1"/>
  <c r="AC42" i="8" a="1"/>
  <c r="AC42" i="8" s="1"/>
  <c r="AH21" i="8" a="1"/>
  <c r="AH21" i="8" s="1"/>
  <c r="AI18" i="8" a="1"/>
  <c r="AI18" i="8" s="1"/>
  <c r="U68" i="8" a="1"/>
  <c r="U68" i="8" s="1"/>
  <c r="AB163" i="8" a="1"/>
  <c r="AB163" i="8" s="1"/>
  <c r="Y163" i="8" a="1"/>
  <c r="Y163" i="8" s="1"/>
  <c r="U192" i="8" a="1"/>
  <c r="U192" i="8" s="1"/>
  <c r="AB67" i="8" a="1"/>
  <c r="AB67" i="8" s="1"/>
  <c r="Y67" i="8" a="1"/>
  <c r="Y67" i="8" s="1"/>
  <c r="AD18" i="8" a="1"/>
  <c r="AD18" i="8" s="1"/>
  <c r="AJ90" i="8" a="1"/>
  <c r="AJ90" i="8" s="1"/>
  <c r="AG90" i="8" a="1"/>
  <c r="AG90" i="8" s="1"/>
  <c r="X238" i="8" a="1"/>
  <c r="X238" i="8" s="1"/>
  <c r="U238" i="8" a="1"/>
  <c r="U238" i="8" s="1"/>
  <c r="AJ115" i="8" a="1"/>
  <c r="AJ115" i="8" s="1"/>
  <c r="AG115" i="8" a="1"/>
  <c r="AG115" i="8" s="1"/>
  <c r="X115" i="8" a="1"/>
  <c r="X115" i="8" s="1"/>
  <c r="U115" i="8" a="1"/>
  <c r="U115" i="8" s="1"/>
  <c r="AE18" i="8" a="1"/>
  <c r="AE18" i="8" s="1"/>
  <c r="AJ164" i="8" a="1"/>
  <c r="AJ164" i="8" s="1"/>
  <c r="AG164" i="8" a="1"/>
  <c r="AG164" i="8" s="1"/>
  <c r="W214" i="8" l="1" a="1"/>
  <c r="W214" i="8" s="1"/>
  <c r="AB238" i="8" a="1"/>
  <c r="AB238" i="8" s="1"/>
  <c r="AD45" i="8" a="1"/>
  <c r="AD45" i="8" s="1"/>
  <c r="AJ238" i="8" a="1"/>
  <c r="AJ238" i="8" s="1"/>
  <c r="W47" i="8" a="1"/>
  <c r="W47" i="8" s="1"/>
  <c r="AA47" i="8" a="1"/>
  <c r="AA47" i="8" s="1"/>
  <c r="V20" i="8" a="1"/>
  <c r="V20" i="8" s="1"/>
  <c r="X92" i="8" a="1"/>
  <c r="X92" i="8" s="1"/>
  <c r="X68" i="8" a="1"/>
  <c r="X68" i="8" s="1"/>
  <c r="AJ190" i="8" a="1"/>
  <c r="AJ190" i="8" s="1"/>
  <c r="AG190" i="8" a="1"/>
  <c r="AG190" i="8" s="1"/>
  <c r="X192" i="8" a="1"/>
  <c r="X192" i="8" s="1"/>
  <c r="AI54" i="8" a="1"/>
  <c r="AI54" i="8" s="1"/>
  <c r="AJ43" i="8" a="1"/>
  <c r="AJ43" i="8" s="1"/>
  <c r="AF190" i="8" a="1"/>
  <c r="AF190" i="8" s="1"/>
  <c r="AC190" i="8" a="1"/>
  <c r="AC190" i="8" s="1"/>
  <c r="AF238" i="8" a="1"/>
  <c r="AF238" i="8" s="1"/>
  <c r="AC238" i="8" a="1"/>
  <c r="AC238" i="8" s="1"/>
  <c r="Z46" i="8" a="1"/>
  <c r="Z46" i="8" s="1"/>
  <c r="AE46" i="8" a="1"/>
  <c r="AE46" i="8" s="1"/>
  <c r="X164" i="8" a="1"/>
  <c r="X164" i="8" s="1"/>
  <c r="U164" i="8" a="1"/>
  <c r="U164" i="8" s="1"/>
  <c r="AJ139" i="8" a="1"/>
  <c r="AJ139" i="8" s="1"/>
  <c r="AB190" i="8" a="1"/>
  <c r="AB190" i="8" s="1"/>
  <c r="Y190" i="8" a="1"/>
  <c r="Y190" i="8" s="1"/>
  <c r="AF139" i="8" a="1"/>
  <c r="AF139" i="8" s="1"/>
  <c r="AJ91" i="8" a="1"/>
  <c r="AJ91" i="8" s="1"/>
  <c r="AG91" i="8" a="1"/>
  <c r="AG91" i="8" s="1"/>
  <c r="U193" i="8" a="1"/>
  <c r="U193" i="8" s="1"/>
  <c r="AG239" i="8" a="1"/>
  <c r="AG239" i="8" s="1"/>
  <c r="AF67" i="8" a="1"/>
  <c r="AF67" i="8" s="1"/>
  <c r="AC67" i="8" a="1"/>
  <c r="AC67" i="8" s="1"/>
  <c r="AF165" i="8" a="1"/>
  <c r="AF165" i="8" s="1"/>
  <c r="AC165" i="8" a="1"/>
  <c r="AC165" i="8" s="1"/>
  <c r="Y19" i="8" a="1"/>
  <c r="Y19" i="8" s="1"/>
  <c r="AC140" i="8" a="1"/>
  <c r="AC140" i="8" s="1"/>
  <c r="AB44" i="8" a="1"/>
  <c r="AB44" i="8" s="1"/>
  <c r="Y44" i="8" a="1"/>
  <c r="Y44" i="8" s="1"/>
  <c r="AB215" i="8" a="1"/>
  <c r="AB215" i="8" s="1"/>
  <c r="Y215" i="8" a="1"/>
  <c r="Y215" i="8" s="1"/>
  <c r="AF115" i="8" a="1"/>
  <c r="AF115" i="8" s="1"/>
  <c r="AC115" i="8" a="1"/>
  <c r="AC115" i="8" s="1"/>
  <c r="AB92" i="8" a="1"/>
  <c r="AB92" i="8" s="1"/>
  <c r="Y92" i="8" a="1"/>
  <c r="Y92" i="8" s="1"/>
  <c r="AG140" i="8" a="1"/>
  <c r="AG140" i="8" s="1"/>
  <c r="AG44" i="8" a="1"/>
  <c r="AG44" i="8" s="1"/>
  <c r="X239" i="8" a="1"/>
  <c r="X239" i="8" s="1"/>
  <c r="U239" i="8" a="1"/>
  <c r="U239" i="8" s="1"/>
  <c r="AB68" i="8" a="1"/>
  <c r="AB68" i="8" s="1"/>
  <c r="Y68" i="8" a="1"/>
  <c r="Y68" i="8" s="1"/>
  <c r="AF43" i="8" a="1"/>
  <c r="AF43" i="8" s="1"/>
  <c r="AC43" i="8" a="1"/>
  <c r="AC43" i="8" s="1"/>
  <c r="X140" i="8" a="1"/>
  <c r="X140" i="8" s="1"/>
  <c r="U140" i="8" a="1"/>
  <c r="U140" i="8" s="1"/>
  <c r="U19" i="8" a="1"/>
  <c r="U19" i="8" s="1"/>
  <c r="W21" i="8" a="1"/>
  <c r="W21" i="8" s="1"/>
  <c r="AF91" i="8" a="1"/>
  <c r="AF91" i="8" s="1"/>
  <c r="AC91" i="8" a="1"/>
  <c r="AC91" i="8" s="1"/>
  <c r="AA19" i="8" a="1"/>
  <c r="AA19" i="8" s="1"/>
  <c r="AJ165" i="8" a="1"/>
  <c r="AJ165" i="8" s="1"/>
  <c r="AG165" i="8" a="1"/>
  <c r="AG165" i="8" s="1"/>
  <c r="AJ116" i="8" a="1"/>
  <c r="AJ116" i="8" s="1"/>
  <c r="AG116" i="8" a="1"/>
  <c r="AG116" i="8" s="1"/>
  <c r="AD19" i="8" a="1"/>
  <c r="AD19" i="8" s="1"/>
  <c r="AB164" i="8" a="1"/>
  <c r="AB164" i="8" s="1"/>
  <c r="Y164" i="8" a="1"/>
  <c r="Y164" i="8" s="1"/>
  <c r="U69" i="8" a="1"/>
  <c r="U69" i="8" s="1"/>
  <c r="AH22" i="8" a="1"/>
  <c r="AH22" i="8" s="1"/>
  <c r="AJ67" i="8" a="1"/>
  <c r="AJ67" i="8" s="1"/>
  <c r="AG67" i="8" a="1"/>
  <c r="AG67" i="8" s="1"/>
  <c r="U93" i="8" a="1"/>
  <c r="U93" i="8" s="1"/>
  <c r="AG19" i="8" a="1"/>
  <c r="AG19" i="8" s="1"/>
  <c r="X44" i="8" a="1"/>
  <c r="X44" i="8" s="1"/>
  <c r="U44" i="8" a="1"/>
  <c r="U44" i="8" s="1"/>
  <c r="AB140" i="8" a="1"/>
  <c r="AB140" i="8" s="1"/>
  <c r="Y140" i="8" a="1"/>
  <c r="Y140" i="8" s="1"/>
  <c r="Z19" i="8" a="1"/>
  <c r="Z19" i="8" s="1"/>
  <c r="AE19" i="8" a="1"/>
  <c r="AE19" i="8" s="1"/>
  <c r="X116" i="8" a="1"/>
  <c r="X116" i="8" s="1"/>
  <c r="U116" i="8" a="1"/>
  <c r="U116" i="8" s="1"/>
  <c r="AI19" i="8" a="1"/>
  <c r="AI19" i="8" s="1"/>
  <c r="AC18" i="8" a="1"/>
  <c r="AC18" i="8" s="1"/>
  <c r="Y239" i="8" a="1"/>
  <c r="Y239" i="8" s="1"/>
  <c r="AJ215" i="8" a="1"/>
  <c r="AJ215" i="8" s="1"/>
  <c r="AG215" i="8" a="1"/>
  <c r="AG215" i="8" s="1"/>
  <c r="AF215" i="8" a="1"/>
  <c r="AF215" i="8" s="1"/>
  <c r="AC215" i="8" a="1"/>
  <c r="AC215" i="8" s="1"/>
  <c r="AB116" i="8" a="1"/>
  <c r="AB116" i="8" s="1"/>
  <c r="Y116" i="8" a="1"/>
  <c r="Y116" i="8" s="1"/>
  <c r="X214" i="8" a="1"/>
  <c r="X214" i="8" s="1"/>
  <c r="U214" i="8" a="1"/>
  <c r="U214" i="8" s="1"/>
  <c r="AF239" i="8" l="1" a="1"/>
  <c r="AF239" i="8" s="1"/>
  <c r="AC239" i="8" a="1"/>
  <c r="AC239" i="8" s="1"/>
  <c r="AJ44" i="8" a="1"/>
  <c r="AJ44" i="8" s="1"/>
  <c r="X93" i="8" a="1"/>
  <c r="X93" i="8" s="1"/>
  <c r="V21" i="8" a="1"/>
  <c r="V21" i="8" s="1"/>
  <c r="W48" i="8" a="1"/>
  <c r="W48" i="8" s="1"/>
  <c r="X165" i="8" a="1"/>
  <c r="X165" i="8" s="1"/>
  <c r="U165" i="8" a="1"/>
  <c r="U165" i="8" s="1"/>
  <c r="AE47" i="8" a="1"/>
  <c r="AE47" i="8" s="1"/>
  <c r="Z47" i="8" a="1"/>
  <c r="Z47" i="8" s="1"/>
  <c r="AB191" i="8" a="1"/>
  <c r="AB191" i="8" s="1"/>
  <c r="Y191" i="8" a="1"/>
  <c r="Y191" i="8" s="1"/>
  <c r="AJ140" i="8" a="1"/>
  <c r="AJ140" i="8" s="1"/>
  <c r="AJ191" i="8" a="1"/>
  <c r="AJ191" i="8" s="1"/>
  <c r="AG191" i="8" a="1"/>
  <c r="AG191" i="8" s="1"/>
  <c r="AA48" i="8" a="1"/>
  <c r="AA48" i="8" s="1"/>
  <c r="AJ239" i="8" a="1"/>
  <c r="AJ239" i="8" s="1"/>
  <c r="AD46" i="8" a="1"/>
  <c r="AD46" i="8" s="1"/>
  <c r="AB239" i="8" a="1"/>
  <c r="AB239" i="8" s="1"/>
  <c r="AF140" i="8" a="1"/>
  <c r="AF140" i="8" s="1"/>
  <c r="AF191" i="8" a="1"/>
  <c r="AF191" i="8" s="1"/>
  <c r="AC191" i="8" a="1"/>
  <c r="AC191" i="8" s="1"/>
  <c r="AI55" i="8" a="1"/>
  <c r="AI55" i="8" s="1"/>
  <c r="X193" i="8" a="1"/>
  <c r="X193" i="8" s="1"/>
  <c r="X69" i="8" a="1"/>
  <c r="X69" i="8" s="1"/>
  <c r="W215" i="8" a="1"/>
  <c r="W215" i="8" s="1"/>
  <c r="X215" i="8" a="1"/>
  <c r="X215" i="8" s="1"/>
  <c r="AF216" i="8" a="1"/>
  <c r="AF216" i="8" s="1"/>
  <c r="AC216" i="8" a="1"/>
  <c r="AC216" i="8" s="1"/>
  <c r="Z20" i="8" a="1"/>
  <c r="Z20" i="8" s="1"/>
  <c r="AB69" i="8" a="1"/>
  <c r="AB69" i="8" s="1"/>
  <c r="Y69" i="8" a="1"/>
  <c r="Y69" i="8" s="1"/>
  <c r="AB93" i="8" a="1"/>
  <c r="AB93" i="8" s="1"/>
  <c r="Y93" i="8" a="1"/>
  <c r="Y93" i="8" s="1"/>
  <c r="Y20" i="8" a="1"/>
  <c r="Y20" i="8" s="1"/>
  <c r="U194" i="8" a="1"/>
  <c r="U194" i="8" s="1"/>
  <c r="U215" i="8" a="1"/>
  <c r="U215" i="8" s="1"/>
  <c r="AB117" i="8" a="1"/>
  <c r="AB117" i="8" s="1"/>
  <c r="Y117" i="8" a="1"/>
  <c r="Y117" i="8" s="1"/>
  <c r="X117" i="8" a="1"/>
  <c r="X117" i="8" s="1"/>
  <c r="U117" i="8" a="1"/>
  <c r="U117" i="8" s="1"/>
  <c r="AJ68" i="8" a="1"/>
  <c r="AJ68" i="8" s="1"/>
  <c r="AG68" i="8" a="1"/>
  <c r="AG68" i="8" s="1"/>
  <c r="AB165" i="8" a="1"/>
  <c r="AB165" i="8" s="1"/>
  <c r="Y165" i="8" a="1"/>
  <c r="Y165" i="8" s="1"/>
  <c r="AJ166" i="8" a="1"/>
  <c r="AJ166" i="8" s="1"/>
  <c r="AG166" i="8" a="1"/>
  <c r="AG166" i="8" s="1"/>
  <c r="AF92" i="8" a="1"/>
  <c r="AF92" i="8" s="1"/>
  <c r="AC92" i="8" a="1"/>
  <c r="AC92" i="8" s="1"/>
  <c r="X141" i="8" a="1"/>
  <c r="X141" i="8" s="1"/>
  <c r="U141" i="8" a="1"/>
  <c r="U141" i="8" s="1"/>
  <c r="AF44" i="8" a="1"/>
  <c r="AF44" i="8" s="1"/>
  <c r="AC44" i="8" a="1"/>
  <c r="AC44" i="8" s="1"/>
  <c r="AG141" i="8" a="1"/>
  <c r="AG141" i="8" s="1"/>
  <c r="AG240" i="8" a="1"/>
  <c r="AG240" i="8" s="1"/>
  <c r="Y240" i="8" a="1"/>
  <c r="Y240" i="8" s="1"/>
  <c r="AI20" i="8" a="1"/>
  <c r="AI20" i="8" s="1"/>
  <c r="X45" i="8" a="1"/>
  <c r="X45" i="8" s="1"/>
  <c r="U45" i="8" a="1"/>
  <c r="U45" i="8" s="1"/>
  <c r="AH23" i="8" a="1"/>
  <c r="AH23" i="8" s="1"/>
  <c r="U70" i="8" a="1"/>
  <c r="U70" i="8" s="1"/>
  <c r="AJ117" i="8" a="1"/>
  <c r="AJ117" i="8" s="1"/>
  <c r="AG117" i="8" a="1"/>
  <c r="AG117" i="8" s="1"/>
  <c r="AA20" i="8" a="1"/>
  <c r="AA20" i="8" s="1"/>
  <c r="W22" i="8" a="1"/>
  <c r="W22" i="8" s="1"/>
  <c r="AG45" i="8" a="1"/>
  <c r="AG45" i="8" s="1"/>
  <c r="AB216" i="8" a="1"/>
  <c r="AB216" i="8" s="1"/>
  <c r="Y216" i="8" a="1"/>
  <c r="Y216" i="8" s="1"/>
  <c r="AC141" i="8" a="1"/>
  <c r="AC141" i="8" s="1"/>
  <c r="AF68" i="8" a="1"/>
  <c r="AF68" i="8" s="1"/>
  <c r="AC68" i="8" a="1"/>
  <c r="AC68" i="8" s="1"/>
  <c r="AJ216" i="8" a="1"/>
  <c r="AJ216" i="8" s="1"/>
  <c r="AG216" i="8" a="1"/>
  <c r="AG216" i="8" s="1"/>
  <c r="AC19" i="8" a="1"/>
  <c r="AC19" i="8" s="1"/>
  <c r="AE20" i="8" a="1"/>
  <c r="AE20" i="8" s="1"/>
  <c r="AB141" i="8" a="1"/>
  <c r="AB141" i="8" s="1"/>
  <c r="Y141" i="8" a="1"/>
  <c r="Y141" i="8" s="1"/>
  <c r="AG20" i="8" a="1"/>
  <c r="AG20" i="8" s="1"/>
  <c r="U94" i="8" a="1"/>
  <c r="U94" i="8" s="1"/>
  <c r="AD20" i="8" a="1"/>
  <c r="AD20" i="8" s="1"/>
  <c r="U20" i="8" a="1"/>
  <c r="U20" i="8" s="1"/>
  <c r="X240" i="8" a="1"/>
  <c r="X240" i="8" s="1"/>
  <c r="U240" i="8" a="1"/>
  <c r="U240" i="8" s="1"/>
  <c r="AF116" i="8" a="1"/>
  <c r="AF116" i="8" s="1"/>
  <c r="AC116" i="8" a="1"/>
  <c r="AC116" i="8" s="1"/>
  <c r="AB45" i="8" a="1"/>
  <c r="AB45" i="8" s="1"/>
  <c r="Y45" i="8" a="1"/>
  <c r="Y45" i="8" s="1"/>
  <c r="AF166" i="8" a="1"/>
  <c r="AF166" i="8" s="1"/>
  <c r="AC166" i="8" a="1"/>
  <c r="AC166" i="8" s="1"/>
  <c r="AJ92" i="8" a="1"/>
  <c r="AJ92" i="8" s="1"/>
  <c r="AG92" i="8" a="1"/>
  <c r="AG92" i="8" s="1"/>
  <c r="W216" i="8" l="1" a="1"/>
  <c r="W216" i="8" s="1"/>
  <c r="AI57" i="8" a="1"/>
  <c r="AI57" i="8" s="1"/>
  <c r="AI56" i="8" a="1"/>
  <c r="AI56" i="8" s="1"/>
  <c r="AJ192" i="8" a="1"/>
  <c r="AJ192" i="8" s="1"/>
  <c r="AG192" i="8" a="1"/>
  <c r="AG192" i="8" s="1"/>
  <c r="AJ141" i="8" a="1"/>
  <c r="AJ141" i="8" s="1"/>
  <c r="X166" i="8" a="1"/>
  <c r="X166" i="8" s="1"/>
  <c r="U166" i="8" a="1"/>
  <c r="U166" i="8" s="1"/>
  <c r="V22" i="8" a="1"/>
  <c r="V22" i="8" s="1"/>
  <c r="X70" i="8" a="1"/>
  <c r="X70" i="8" s="1"/>
  <c r="X194" i="8" a="1"/>
  <c r="X194" i="8" s="1"/>
  <c r="AF192" i="8" a="1"/>
  <c r="AF192" i="8" s="1"/>
  <c r="AC192" i="8" a="1"/>
  <c r="AC192" i="8" s="1"/>
  <c r="AF141" i="8" a="1"/>
  <c r="AF141" i="8" s="1"/>
  <c r="AB240" i="8" a="1"/>
  <c r="AB240" i="8" s="1"/>
  <c r="AJ240" i="8" a="1"/>
  <c r="AJ240" i="8" s="1"/>
  <c r="Z48" i="8" a="1"/>
  <c r="Z48" i="8" s="1"/>
  <c r="W49" i="8" a="1"/>
  <c r="W49" i="8" s="1"/>
  <c r="X94" i="8" a="1"/>
  <c r="X94" i="8" s="1"/>
  <c r="AD47" i="8" a="1"/>
  <c r="AD47" i="8" s="1"/>
  <c r="AA49" i="8" a="1"/>
  <c r="AA49" i="8" s="1"/>
  <c r="AB192" i="8" a="1"/>
  <c r="AB192" i="8" s="1"/>
  <c r="Y192" i="8" a="1"/>
  <c r="Y192" i="8" s="1"/>
  <c r="AE48" i="8" a="1"/>
  <c r="AE48" i="8" s="1"/>
  <c r="AJ45" i="8" a="1"/>
  <c r="AJ45" i="8" s="1"/>
  <c r="AF240" i="8" a="1"/>
  <c r="AF240" i="8" s="1"/>
  <c r="AC240" i="8" a="1"/>
  <c r="AC240" i="8" s="1"/>
  <c r="AB46" i="8" a="1"/>
  <c r="AB46" i="8" s="1"/>
  <c r="Y46" i="8" a="1"/>
  <c r="Y46" i="8" s="1"/>
  <c r="X241" i="8" a="1"/>
  <c r="X241" i="8" s="1"/>
  <c r="U241" i="8" a="1"/>
  <c r="U241" i="8" s="1"/>
  <c r="U21" i="8" a="1"/>
  <c r="U21" i="8" s="1"/>
  <c r="AF69" i="8" a="1"/>
  <c r="AF69" i="8" s="1"/>
  <c r="AC69" i="8" a="1"/>
  <c r="AC69" i="8" s="1"/>
  <c r="AH24" i="8" a="1"/>
  <c r="AH24" i="8" s="1"/>
  <c r="AG241" i="8" a="1"/>
  <c r="AG241" i="8" s="1"/>
  <c r="AG142" i="8" a="1"/>
  <c r="AG142" i="8" s="1"/>
  <c r="AJ167" i="8" a="1"/>
  <c r="AJ167" i="8" s="1"/>
  <c r="AG167" i="8" a="1"/>
  <c r="AG167" i="8" s="1"/>
  <c r="AB118" i="8" a="1"/>
  <c r="AB118" i="8" s="1"/>
  <c r="Y118" i="8" a="1"/>
  <c r="Y118" i="8" s="1"/>
  <c r="Y21" i="8" a="1"/>
  <c r="Y21" i="8" s="1"/>
  <c r="Z21" i="8" a="1"/>
  <c r="Z21" i="8" s="1"/>
  <c r="AF167" i="8" a="1"/>
  <c r="AF167" i="8" s="1"/>
  <c r="AC167" i="8" a="1"/>
  <c r="AC167" i="8" s="1"/>
  <c r="AF117" i="8" a="1"/>
  <c r="AF117" i="8" s="1"/>
  <c r="AC117" i="8" a="1"/>
  <c r="AC117" i="8" s="1"/>
  <c r="U95" i="8" a="1"/>
  <c r="U95" i="8" s="1"/>
  <c r="AJ217" i="8" a="1"/>
  <c r="AJ217" i="8" s="1"/>
  <c r="AG217" i="8" a="1"/>
  <c r="AG217" i="8" s="1"/>
  <c r="AG46" i="8" a="1"/>
  <c r="AG46" i="8" s="1"/>
  <c r="W23" i="8" a="1"/>
  <c r="W23" i="8" s="1"/>
  <c r="AF93" i="8" a="1"/>
  <c r="AF93" i="8" s="1"/>
  <c r="AC93" i="8" a="1"/>
  <c r="AC93" i="8" s="1"/>
  <c r="X118" i="8" a="1"/>
  <c r="X118" i="8" s="1"/>
  <c r="U118" i="8" a="1"/>
  <c r="U118" i="8" s="1"/>
  <c r="U195" i="8" a="1"/>
  <c r="U195" i="8" s="1"/>
  <c r="AJ93" i="8" a="1"/>
  <c r="AJ93" i="8" s="1"/>
  <c r="AG93" i="8" a="1"/>
  <c r="AG93" i="8" s="1"/>
  <c r="AD21" i="8" a="1"/>
  <c r="AD21" i="8" s="1"/>
  <c r="AG21" i="8" a="1"/>
  <c r="AG21" i="8" s="1"/>
  <c r="AB142" i="8" a="1"/>
  <c r="AB142" i="8" s="1"/>
  <c r="Y142" i="8" a="1"/>
  <c r="Y142" i="8" s="1"/>
  <c r="AC20" i="8" a="1"/>
  <c r="AC20" i="8" s="1"/>
  <c r="AB217" i="8" a="1"/>
  <c r="AB217" i="8" s="1"/>
  <c r="Y217" i="8" a="1"/>
  <c r="Y217" i="8" s="1"/>
  <c r="AJ118" i="8" a="1"/>
  <c r="AJ118" i="8" s="1"/>
  <c r="AG118" i="8" a="1"/>
  <c r="AG118" i="8" s="1"/>
  <c r="U71" i="8" a="1"/>
  <c r="U71" i="8" s="1"/>
  <c r="X46" i="8" a="1"/>
  <c r="X46" i="8" s="1"/>
  <c r="U46" i="8" a="1"/>
  <c r="U46" i="8" s="1"/>
  <c r="AI21" i="8" a="1"/>
  <c r="AI21" i="8" s="1"/>
  <c r="Y241" i="8" a="1"/>
  <c r="Y241" i="8" s="1"/>
  <c r="X142" i="8" a="1"/>
  <c r="X142" i="8" s="1"/>
  <c r="U142" i="8" a="1"/>
  <c r="U142" i="8" s="1"/>
  <c r="AJ69" i="8" a="1"/>
  <c r="AJ69" i="8" s="1"/>
  <c r="AG69" i="8" a="1"/>
  <c r="AG69" i="8" s="1"/>
  <c r="AB70" i="8" a="1"/>
  <c r="AB70" i="8" s="1"/>
  <c r="Y70" i="8" a="1"/>
  <c r="Y70" i="8" s="1"/>
  <c r="AE21" i="8" a="1"/>
  <c r="AE21" i="8" s="1"/>
  <c r="AC142" i="8" a="1"/>
  <c r="AC142" i="8" s="1"/>
  <c r="AA21" i="8" a="1"/>
  <c r="AA21" i="8" s="1"/>
  <c r="AF45" i="8" a="1"/>
  <c r="AF45" i="8" s="1"/>
  <c r="AC45" i="8" a="1"/>
  <c r="AC45" i="8" s="1"/>
  <c r="AB166" i="8" a="1"/>
  <c r="AB166" i="8" s="1"/>
  <c r="Y166" i="8" a="1"/>
  <c r="Y166" i="8" s="1"/>
  <c r="X216" i="8" a="1"/>
  <c r="X216" i="8" s="1"/>
  <c r="U216" i="8" a="1"/>
  <c r="U216" i="8" s="1"/>
  <c r="AB94" i="8" a="1"/>
  <c r="AB94" i="8" s="1"/>
  <c r="Y94" i="8" a="1"/>
  <c r="Y94" i="8" s="1"/>
  <c r="AF217" i="8" a="1"/>
  <c r="AF217" i="8" s="1"/>
  <c r="AC217" i="8" a="1"/>
  <c r="AC217" i="8" s="1"/>
  <c r="AB193" i="8" l="1" a="1"/>
  <c r="AB193" i="8" s="1"/>
  <c r="Y193" i="8" a="1"/>
  <c r="Y193" i="8" s="1"/>
  <c r="AJ241" i="8" a="1"/>
  <c r="AJ241" i="8" s="1"/>
  <c r="X195" i="8" a="1"/>
  <c r="X195" i="8" s="1"/>
  <c r="V23" i="8" a="1"/>
  <c r="V23" i="8" s="1"/>
  <c r="AJ46" i="8" a="1"/>
  <c r="AJ46" i="8" s="1"/>
  <c r="AD48" i="8" a="1"/>
  <c r="AD48" i="8" s="1"/>
  <c r="X95" i="8" a="1"/>
  <c r="X95" i="8" s="1"/>
  <c r="Z49" i="8" a="1"/>
  <c r="Z49" i="8" s="1"/>
  <c r="AF142" i="8" a="1"/>
  <c r="AF142" i="8" s="1"/>
  <c r="X71" i="8" a="1"/>
  <c r="X71" i="8" s="1"/>
  <c r="AJ193" i="8" a="1"/>
  <c r="AJ193" i="8" s="1"/>
  <c r="AG193" i="8" a="1"/>
  <c r="AG193" i="8" s="1"/>
  <c r="AE49" i="8" a="1"/>
  <c r="AE49" i="8" s="1"/>
  <c r="AF193" i="8" a="1"/>
  <c r="AF193" i="8" s="1"/>
  <c r="AC193" i="8" a="1"/>
  <c r="AC193" i="8" s="1"/>
  <c r="AF241" i="8" a="1"/>
  <c r="AF241" i="8" s="1"/>
  <c r="AC241" i="8" a="1"/>
  <c r="AC241" i="8" s="1"/>
  <c r="AA50" i="8" a="1"/>
  <c r="AA50" i="8" s="1"/>
  <c r="W50" i="8" a="1"/>
  <c r="W50" i="8" s="1"/>
  <c r="AB241" i="8" a="1"/>
  <c r="AB241" i="8" s="1"/>
  <c r="X167" i="8" a="1"/>
  <c r="X167" i="8" s="1"/>
  <c r="U167" i="8" a="1"/>
  <c r="U167" i="8" s="1"/>
  <c r="AJ142" i="8" a="1"/>
  <c r="AJ142" i="8" s="1"/>
  <c r="W217" i="8" a="1"/>
  <c r="W217" i="8" s="1"/>
  <c r="AE22" i="8" a="1"/>
  <c r="AE22" i="8" s="1"/>
  <c r="Y242" i="8" a="1"/>
  <c r="Y242" i="8" s="1"/>
  <c r="AG22" i="8" a="1"/>
  <c r="AG22" i="8" s="1"/>
  <c r="U196" i="8" a="1"/>
  <c r="U196" i="8" s="1"/>
  <c r="W24" i="8" a="1"/>
  <c r="W24" i="8" s="1"/>
  <c r="AF118" i="8" a="1"/>
  <c r="AF118" i="8" s="1"/>
  <c r="AC118" i="8" a="1"/>
  <c r="AC118" i="8" s="1"/>
  <c r="AF70" i="8" a="1"/>
  <c r="AF70" i="8" s="1"/>
  <c r="AC70" i="8" a="1"/>
  <c r="AC70" i="8" s="1"/>
  <c r="X217" i="8" a="1"/>
  <c r="X217" i="8" s="1"/>
  <c r="U217" i="8" a="1"/>
  <c r="U217" i="8" s="1"/>
  <c r="AF218" i="8" a="1"/>
  <c r="AF218" i="8" s="1"/>
  <c r="AC218" i="8" a="1"/>
  <c r="AC218" i="8" s="1"/>
  <c r="AB95" i="8" a="1"/>
  <c r="AB95" i="8" s="1"/>
  <c r="Y95" i="8" a="1"/>
  <c r="Y95" i="8" s="1"/>
  <c r="X143" i="8" a="1"/>
  <c r="X143" i="8" s="1"/>
  <c r="U143" i="8" a="1"/>
  <c r="U143" i="8" s="1"/>
  <c r="AI22" i="8" a="1"/>
  <c r="AI22" i="8" s="1"/>
  <c r="X47" i="8" a="1"/>
  <c r="X47" i="8" s="1"/>
  <c r="U47" i="8" a="1"/>
  <c r="U47" i="8" s="1"/>
  <c r="AJ119" i="8" a="1"/>
  <c r="AJ119" i="8" s="1"/>
  <c r="AG119" i="8" a="1"/>
  <c r="AG119" i="8" s="1"/>
  <c r="AB218" i="8" a="1"/>
  <c r="AB218" i="8" s="1"/>
  <c r="Y218" i="8" a="1"/>
  <c r="Y218" i="8" s="1"/>
  <c r="AB143" i="8" a="1"/>
  <c r="AB143" i="8" s="1"/>
  <c r="Y143" i="8" a="1"/>
  <c r="Y143" i="8" s="1"/>
  <c r="AD22" i="8" a="1"/>
  <c r="AD22" i="8" s="1"/>
  <c r="AJ94" i="8" a="1"/>
  <c r="AJ94" i="8" s="1"/>
  <c r="AG94" i="8" a="1"/>
  <c r="AG94" i="8" s="1"/>
  <c r="AJ218" i="8" a="1"/>
  <c r="AJ218" i="8" s="1"/>
  <c r="AG218" i="8" a="1"/>
  <c r="AG218" i="8" s="1"/>
  <c r="U96" i="8" a="1"/>
  <c r="U96" i="8" s="1"/>
  <c r="AF168" i="8" a="1"/>
  <c r="AF168" i="8" s="1"/>
  <c r="AC168" i="8" a="1"/>
  <c r="AC168" i="8" s="1"/>
  <c r="Y22" i="8" a="1"/>
  <c r="Y22" i="8" s="1"/>
  <c r="AG143" i="8" a="1"/>
  <c r="AG143" i="8" s="1"/>
  <c r="AG242" i="8" a="1"/>
  <c r="AG242" i="8" s="1"/>
  <c r="U22" i="8" a="1"/>
  <c r="U22" i="8" s="1"/>
  <c r="AF46" i="8" a="1"/>
  <c r="AF46" i="8" s="1"/>
  <c r="AC46" i="8" a="1"/>
  <c r="AC46" i="8" s="1"/>
  <c r="AJ70" i="8" a="1"/>
  <c r="AJ70" i="8" s="1"/>
  <c r="AG70" i="8" a="1"/>
  <c r="AG70" i="8" s="1"/>
  <c r="AF94" i="8" a="1"/>
  <c r="AF94" i="8" s="1"/>
  <c r="AC94" i="8" a="1"/>
  <c r="AC94" i="8" s="1"/>
  <c r="AH25" i="8" a="1"/>
  <c r="AH25" i="8" s="1"/>
  <c r="AB167" i="8" a="1"/>
  <c r="AB167" i="8" s="1"/>
  <c r="Y167" i="8" a="1"/>
  <c r="Y167" i="8" s="1"/>
  <c r="AA22" i="8" a="1"/>
  <c r="AA22" i="8" s="1"/>
  <c r="AC143" i="8" a="1"/>
  <c r="AC143" i="8" s="1"/>
  <c r="AB71" i="8" a="1"/>
  <c r="AB71" i="8" s="1"/>
  <c r="Y71" i="8" a="1"/>
  <c r="Y71" i="8" s="1"/>
  <c r="U72" i="8" a="1"/>
  <c r="U72" i="8" s="1"/>
  <c r="AC21" i="8" a="1"/>
  <c r="AC21" i="8" s="1"/>
  <c r="X119" i="8" a="1"/>
  <c r="X119" i="8" s="1"/>
  <c r="U119" i="8" a="1"/>
  <c r="U119" i="8" s="1"/>
  <c r="AG47" i="8" a="1"/>
  <c r="AG47" i="8" s="1"/>
  <c r="Z22" i="8" a="1"/>
  <c r="Z22" i="8" s="1"/>
  <c r="AB119" i="8" a="1"/>
  <c r="AB119" i="8" s="1"/>
  <c r="Y119" i="8" a="1"/>
  <c r="Y119" i="8" s="1"/>
  <c r="AJ168" i="8" a="1"/>
  <c r="AJ168" i="8" s="1"/>
  <c r="AG168" i="8" a="1"/>
  <c r="AG168" i="8" s="1"/>
  <c r="X242" i="8" a="1"/>
  <c r="X242" i="8" s="1"/>
  <c r="U242" i="8" a="1"/>
  <c r="U242" i="8" s="1"/>
  <c r="AB47" i="8" a="1"/>
  <c r="AB47" i="8" s="1"/>
  <c r="Y47" i="8" a="1"/>
  <c r="Y47" i="8" s="1"/>
  <c r="X168" i="8" l="1" a="1"/>
  <c r="X168" i="8" s="1"/>
  <c r="U168" i="8" a="1"/>
  <c r="U168" i="8" s="1"/>
  <c r="AJ194" i="8" a="1"/>
  <c r="AJ194" i="8" s="1"/>
  <c r="AG194" i="8" a="1"/>
  <c r="AG194" i="8" s="1"/>
  <c r="Z50" i="8" a="1"/>
  <c r="Z50" i="8" s="1"/>
  <c r="X96" i="8" a="1"/>
  <c r="X96" i="8" s="1"/>
  <c r="AD49" i="8" a="1"/>
  <c r="AD49" i="8" s="1"/>
  <c r="X196" i="8" a="1"/>
  <c r="X196" i="8" s="1"/>
  <c r="W51" i="8" a="1"/>
  <c r="W51" i="8" s="1"/>
  <c r="AE50" i="8" a="1"/>
  <c r="AE50" i="8" s="1"/>
  <c r="X72" i="8" a="1"/>
  <c r="X72" i="8" s="1"/>
  <c r="AJ47" i="8" a="1"/>
  <c r="AJ47" i="8" s="1"/>
  <c r="W218" i="8" a="1"/>
  <c r="W218" i="8" s="1"/>
  <c r="AJ143" i="8" a="1"/>
  <c r="AJ143" i="8" s="1"/>
  <c r="AF242" i="8" a="1"/>
  <c r="AF242" i="8" s="1"/>
  <c r="AC242" i="8" a="1"/>
  <c r="AC242" i="8" s="1"/>
  <c r="AF143" i="8" a="1"/>
  <c r="AF143" i="8" s="1"/>
  <c r="V24" i="8" a="1"/>
  <c r="V24" i="8" s="1"/>
  <c r="AJ242" i="8" a="1"/>
  <c r="AJ242" i="8" s="1"/>
  <c r="AB242" i="8" a="1"/>
  <c r="AB242" i="8" s="1"/>
  <c r="AA51" i="8" a="1"/>
  <c r="AA51" i="8" s="1"/>
  <c r="AF194" i="8" a="1"/>
  <c r="AF194" i="8" s="1"/>
  <c r="AC194" i="8" a="1"/>
  <c r="AC194" i="8" s="1"/>
  <c r="AB194" i="8" a="1"/>
  <c r="AB194" i="8" s="1"/>
  <c r="Y194" i="8" a="1"/>
  <c r="Y194" i="8" s="1"/>
  <c r="AB48" i="8" a="1"/>
  <c r="AB48" i="8" s="1"/>
  <c r="Y48" i="8" a="1"/>
  <c r="Y48" i="8" s="1"/>
  <c r="Z23" i="8" a="1"/>
  <c r="Z23" i="8" s="1"/>
  <c r="AC22" i="8" a="1"/>
  <c r="AC22" i="8" s="1"/>
  <c r="AC144" i="8" a="1"/>
  <c r="AC144" i="8" s="1"/>
  <c r="AF95" i="8" a="1"/>
  <c r="AF95" i="8" s="1"/>
  <c r="AC95" i="8" a="1"/>
  <c r="AC95" i="8" s="1"/>
  <c r="U23" i="8" a="1"/>
  <c r="U23" i="8" s="1"/>
  <c r="AJ219" i="8" a="1"/>
  <c r="AJ219" i="8" s="1"/>
  <c r="AG219" i="8" a="1"/>
  <c r="AG219" i="8" s="1"/>
  <c r="AB144" i="8" a="1"/>
  <c r="AB144" i="8" s="1"/>
  <c r="Y144" i="8" a="1"/>
  <c r="Y144" i="8" s="1"/>
  <c r="AF219" i="8" a="1"/>
  <c r="AF219" i="8" s="1"/>
  <c r="AC219" i="8" a="1"/>
  <c r="AC219" i="8" s="1"/>
  <c r="AJ169" i="8" a="1"/>
  <c r="AJ169" i="8" s="1"/>
  <c r="AG169" i="8" a="1"/>
  <c r="AG169" i="8" s="1"/>
  <c r="X243" i="8" a="1"/>
  <c r="X243" i="8" s="1"/>
  <c r="U243" i="8" a="1"/>
  <c r="U243" i="8" s="1"/>
  <c r="AB120" i="8" a="1"/>
  <c r="AB120" i="8" s="1"/>
  <c r="Y120" i="8" a="1"/>
  <c r="Y120" i="8" s="1"/>
  <c r="AA23" i="8" a="1"/>
  <c r="AA23" i="8" s="1"/>
  <c r="AB168" i="8" a="1"/>
  <c r="AB168" i="8" s="1"/>
  <c r="Y168" i="8" a="1"/>
  <c r="Y168" i="8" s="1"/>
  <c r="AG144" i="8" a="1"/>
  <c r="AG144" i="8" s="1"/>
  <c r="U97" i="8" a="1"/>
  <c r="U97" i="8" s="1"/>
  <c r="AD23" i="8" a="1"/>
  <c r="AD23" i="8" s="1"/>
  <c r="AJ120" i="8" a="1"/>
  <c r="AJ120" i="8" s="1"/>
  <c r="AG120" i="8" a="1"/>
  <c r="AG120" i="8" s="1"/>
  <c r="X48" i="8" a="1"/>
  <c r="X48" i="8" s="1"/>
  <c r="U48" i="8" a="1"/>
  <c r="U48" i="8" s="1"/>
  <c r="AB96" i="8" a="1"/>
  <c r="AB96" i="8" s="1"/>
  <c r="Y96" i="8" a="1"/>
  <c r="Y96" i="8" s="1"/>
  <c r="W25" i="8" a="1"/>
  <c r="W25" i="8" s="1"/>
  <c r="U197" i="8" a="1"/>
  <c r="U197" i="8" s="1"/>
  <c r="Y243" i="8" a="1"/>
  <c r="Y243" i="8" s="1"/>
  <c r="X120" i="8" a="1"/>
  <c r="X120" i="8" s="1"/>
  <c r="U120" i="8" a="1"/>
  <c r="U120" i="8" s="1"/>
  <c r="AB72" i="8" a="1"/>
  <c r="AB72" i="8" s="1"/>
  <c r="Y72" i="8" a="1"/>
  <c r="Y72" i="8" s="1"/>
  <c r="AF47" i="8" a="1"/>
  <c r="AF47" i="8" s="1"/>
  <c r="AC47" i="8" a="1"/>
  <c r="AC47" i="8" s="1"/>
  <c r="AG243" i="8" a="1"/>
  <c r="AG243" i="8" s="1"/>
  <c r="AF169" i="8" a="1"/>
  <c r="AF169" i="8" s="1"/>
  <c r="AC169" i="8" a="1"/>
  <c r="AC169" i="8" s="1"/>
  <c r="AJ95" i="8" a="1"/>
  <c r="AJ95" i="8" s="1"/>
  <c r="AG95" i="8" a="1"/>
  <c r="AG95" i="8" s="1"/>
  <c r="AI23" i="8" a="1"/>
  <c r="AI23" i="8" s="1"/>
  <c r="X144" i="8" a="1"/>
  <c r="X144" i="8" s="1"/>
  <c r="U144" i="8" a="1"/>
  <c r="U144" i="8" s="1"/>
  <c r="AF71" i="8" a="1"/>
  <c r="AF71" i="8" s="1"/>
  <c r="AC71" i="8" a="1"/>
  <c r="AC71" i="8" s="1"/>
  <c r="AG23" i="8" a="1"/>
  <c r="AG23" i="8" s="1"/>
  <c r="AE23" i="8" a="1"/>
  <c r="AE23" i="8" s="1"/>
  <c r="AG48" i="8" a="1"/>
  <c r="AG48" i="8" s="1"/>
  <c r="U73" i="8" a="1"/>
  <c r="U73" i="8" s="1"/>
  <c r="AH26" i="8" a="1"/>
  <c r="AH26" i="8" s="1"/>
  <c r="AJ71" i="8" a="1"/>
  <c r="AJ71" i="8" s="1"/>
  <c r="AG71" i="8" a="1"/>
  <c r="AG71" i="8" s="1"/>
  <c r="Y23" i="8" a="1"/>
  <c r="Y23" i="8" s="1"/>
  <c r="AB219" i="8" a="1"/>
  <c r="AB219" i="8" s="1"/>
  <c r="Y219" i="8" a="1"/>
  <c r="Y219" i="8" s="1"/>
  <c r="X218" i="8" a="1"/>
  <c r="X218" i="8" s="1"/>
  <c r="U218" i="8" a="1"/>
  <c r="U218" i="8" s="1"/>
  <c r="AF119" i="8" a="1"/>
  <c r="AF119" i="8" s="1"/>
  <c r="AC119" i="8" a="1"/>
  <c r="AC119" i="8" s="1"/>
  <c r="AB195" i="8" l="1" a="1"/>
  <c r="AB195" i="8" s="1"/>
  <c r="Y195" i="8" a="1"/>
  <c r="Y195" i="8" s="1"/>
  <c r="AF243" i="8" a="1"/>
  <c r="AF243" i="8" s="1"/>
  <c r="AC243" i="8" a="1"/>
  <c r="AC243" i="8" s="1"/>
  <c r="AJ48" i="8" a="1"/>
  <c r="AJ48" i="8" s="1"/>
  <c r="AJ195" i="8" a="1"/>
  <c r="AJ195" i="8" s="1"/>
  <c r="AG195" i="8" a="1"/>
  <c r="AG195" i="8" s="1"/>
  <c r="AA52" i="8" a="1"/>
  <c r="AA52" i="8" s="1"/>
  <c r="AJ243" i="8" a="1"/>
  <c r="AJ243" i="8" s="1"/>
  <c r="AE51" i="8" a="1"/>
  <c r="AE51" i="8" s="1"/>
  <c r="X197" i="8" a="1"/>
  <c r="X197" i="8" s="1"/>
  <c r="AD50" i="8" a="1"/>
  <c r="AD50" i="8" s="1"/>
  <c r="X73" i="8" a="1"/>
  <c r="X73" i="8" s="1"/>
  <c r="AF195" i="8" a="1"/>
  <c r="AF195" i="8" s="1"/>
  <c r="AC195" i="8" a="1"/>
  <c r="AC195" i="8" s="1"/>
  <c r="AB243" i="8" a="1"/>
  <c r="AB243" i="8" s="1"/>
  <c r="V25" i="8" a="1"/>
  <c r="V25" i="8" s="1"/>
  <c r="AF144" i="8" a="1"/>
  <c r="AF144" i="8" s="1"/>
  <c r="AJ144" i="8" a="1"/>
  <c r="AJ144" i="8" s="1"/>
  <c r="W219" i="8" a="1"/>
  <c r="W219" i="8" s="1"/>
  <c r="W52" i="8" a="1"/>
  <c r="W52" i="8" s="1"/>
  <c r="X97" i="8" a="1"/>
  <c r="X97" i="8" s="1"/>
  <c r="Z51" i="8" a="1"/>
  <c r="Z51" i="8" s="1"/>
  <c r="X169" i="8" a="1"/>
  <c r="X169" i="8" s="1"/>
  <c r="U169" i="8" a="1"/>
  <c r="U169" i="8" s="1"/>
  <c r="X219" i="8" a="1"/>
  <c r="X219" i="8" s="1"/>
  <c r="U219" i="8" a="1"/>
  <c r="U219" i="8" s="1"/>
  <c r="AB220" i="8" a="1"/>
  <c r="AB220" i="8" s="1"/>
  <c r="Y220" i="8" a="1"/>
  <c r="Y220" i="8" s="1"/>
  <c r="AJ72" i="8" a="1"/>
  <c r="AJ72" i="8" s="1"/>
  <c r="AG72" i="8" a="1"/>
  <c r="AG72" i="8" s="1"/>
  <c r="U74" i="8" a="1"/>
  <c r="U74" i="8" s="1"/>
  <c r="AG49" i="8" a="1"/>
  <c r="AG49" i="8" s="1"/>
  <c r="X145" i="8" a="1"/>
  <c r="X145" i="8" s="1"/>
  <c r="U145" i="8" a="1"/>
  <c r="U145" i="8" s="1"/>
  <c r="AG244" i="8" a="1"/>
  <c r="AG244" i="8" s="1"/>
  <c r="Y244" i="8" a="1"/>
  <c r="Y244" i="8" s="1"/>
  <c r="W26" i="8" a="1"/>
  <c r="W26" i="8" s="1"/>
  <c r="AJ121" i="8" a="1"/>
  <c r="AJ121" i="8" s="1"/>
  <c r="AG121" i="8" a="1"/>
  <c r="AG121" i="8" s="1"/>
  <c r="AB169" i="8" a="1"/>
  <c r="AB169" i="8" s="1"/>
  <c r="Y169" i="8" a="1"/>
  <c r="Y169" i="8" s="1"/>
  <c r="AF220" i="8" a="1"/>
  <c r="AF220" i="8" s="1"/>
  <c r="AC220" i="8" a="1"/>
  <c r="AC220" i="8" s="1"/>
  <c r="AC145" i="8" a="1"/>
  <c r="AC145" i="8" s="1"/>
  <c r="Z24" i="8" a="1"/>
  <c r="Z24" i="8" s="1"/>
  <c r="AF120" i="8" a="1"/>
  <c r="AF120" i="8" s="1"/>
  <c r="AC120" i="8" a="1"/>
  <c r="AC120" i="8" s="1"/>
  <c r="AJ96" i="8" a="1"/>
  <c r="AJ96" i="8" s="1"/>
  <c r="AG96" i="8" a="1"/>
  <c r="AG96" i="8" s="1"/>
  <c r="AF170" i="8" a="1"/>
  <c r="AF170" i="8" s="1"/>
  <c r="AC170" i="8" a="1"/>
  <c r="AC170" i="8" s="1"/>
  <c r="X121" i="8" a="1"/>
  <c r="X121" i="8" s="1"/>
  <c r="U121" i="8" a="1"/>
  <c r="U121" i="8" s="1"/>
  <c r="AG145" i="8" a="1"/>
  <c r="AG145" i="8" s="1"/>
  <c r="AJ170" i="8" a="1"/>
  <c r="AJ170" i="8" s="1"/>
  <c r="AG170" i="8" a="1"/>
  <c r="AG170" i="8" s="1"/>
  <c r="AC23" i="8" a="1"/>
  <c r="AC23" i="8" s="1"/>
  <c r="AH27" i="8" a="1"/>
  <c r="AH27" i="8" s="1"/>
  <c r="AE24" i="8" a="1"/>
  <c r="AE24" i="8" s="1"/>
  <c r="AG24" i="8" a="1"/>
  <c r="AG24" i="8" s="1"/>
  <c r="AF72" i="8" a="1"/>
  <c r="AF72" i="8" s="1"/>
  <c r="AC72" i="8" a="1"/>
  <c r="AC72" i="8" s="1"/>
  <c r="AB73" i="8" a="1"/>
  <c r="AB73" i="8" s="1"/>
  <c r="Y73" i="8" a="1"/>
  <c r="Y73" i="8" s="1"/>
  <c r="X49" i="8" a="1"/>
  <c r="X49" i="8" s="1"/>
  <c r="U49" i="8" a="1"/>
  <c r="U49" i="8" s="1"/>
  <c r="U98" i="8" a="1"/>
  <c r="U98" i="8" s="1"/>
  <c r="AA24" i="8" a="1"/>
  <c r="AA24" i="8" s="1"/>
  <c r="AJ220" i="8" a="1"/>
  <c r="AJ220" i="8" s="1"/>
  <c r="AG220" i="8" a="1"/>
  <c r="AG220" i="8" s="1"/>
  <c r="AF96" i="8" a="1"/>
  <c r="AF96" i="8" s="1"/>
  <c r="AC96" i="8" a="1"/>
  <c r="AC96" i="8" s="1"/>
  <c r="Y24" i="8" a="1"/>
  <c r="Y24" i="8" s="1"/>
  <c r="AI24" i="8" a="1"/>
  <c r="AI24" i="8" s="1"/>
  <c r="AF48" i="8" a="1"/>
  <c r="AF48" i="8" s="1"/>
  <c r="AC48" i="8" a="1"/>
  <c r="AC48" i="8" s="1"/>
  <c r="U198" i="8" a="1"/>
  <c r="U198" i="8" s="1"/>
  <c r="AB97" i="8" a="1"/>
  <c r="AB97" i="8" s="1"/>
  <c r="Y97" i="8" a="1"/>
  <c r="Y97" i="8" s="1"/>
  <c r="AD24" i="8" a="1"/>
  <c r="AD24" i="8" s="1"/>
  <c r="AB121" i="8" a="1"/>
  <c r="AB121" i="8" s="1"/>
  <c r="Y121" i="8" a="1"/>
  <c r="Y121" i="8" s="1"/>
  <c r="X244" i="8" a="1"/>
  <c r="X244" i="8" s="1"/>
  <c r="U244" i="8" a="1"/>
  <c r="U244" i="8" s="1"/>
  <c r="AB145" i="8" a="1"/>
  <c r="AB145" i="8" s="1"/>
  <c r="Y145" i="8" a="1"/>
  <c r="Y145" i="8" s="1"/>
  <c r="U24" i="8" a="1"/>
  <c r="U24" i="8" s="1"/>
  <c r="AB49" i="8" a="1"/>
  <c r="AB49" i="8" s="1"/>
  <c r="Y49" i="8" a="1"/>
  <c r="Y49" i="8" s="1"/>
  <c r="Z52" i="8" l="1" a="1"/>
  <c r="Z52" i="8" s="1"/>
  <c r="W53" i="8" a="1"/>
  <c r="W53" i="8" s="1"/>
  <c r="AE52" i="8" a="1"/>
  <c r="AE52" i="8" s="1"/>
  <c r="AJ244" i="8" a="1"/>
  <c r="AJ244" i="8" s="1"/>
  <c r="AA53" i="8" a="1"/>
  <c r="AA53" i="8" s="1"/>
  <c r="AJ49" i="8" a="1"/>
  <c r="AJ49" i="8" s="1"/>
  <c r="AF244" i="8" a="1"/>
  <c r="AF244" i="8" s="1"/>
  <c r="AC244" i="8" a="1"/>
  <c r="AC244" i="8" s="1"/>
  <c r="W220" i="8" a="1"/>
  <c r="W220" i="8" s="1"/>
  <c r="AF145" i="8" a="1"/>
  <c r="AF145" i="8" s="1"/>
  <c r="V26" i="8" a="1"/>
  <c r="V26" i="8" s="1"/>
  <c r="AB244" i="8" a="1"/>
  <c r="AB244" i="8" s="1"/>
  <c r="X170" i="8" a="1"/>
  <c r="X170" i="8" s="1"/>
  <c r="U170" i="8" a="1"/>
  <c r="U170" i="8" s="1"/>
  <c r="X98" i="8" a="1"/>
  <c r="X98" i="8" s="1"/>
  <c r="AF196" i="8" a="1"/>
  <c r="AF196" i="8" s="1"/>
  <c r="AC196" i="8" a="1"/>
  <c r="AC196" i="8" s="1"/>
  <c r="AD51" i="8" a="1"/>
  <c r="AD51" i="8" s="1"/>
  <c r="AJ145" i="8" a="1"/>
  <c r="AJ145" i="8" s="1"/>
  <c r="X74" i="8" a="1"/>
  <c r="X74" i="8" s="1"/>
  <c r="X198" i="8" a="1"/>
  <c r="X198" i="8" s="1"/>
  <c r="AJ196" i="8" a="1"/>
  <c r="AJ196" i="8" s="1"/>
  <c r="AG196" i="8" a="1"/>
  <c r="AG196" i="8" s="1"/>
  <c r="AB196" i="8" a="1"/>
  <c r="AB196" i="8" s="1"/>
  <c r="Y196" i="8" a="1"/>
  <c r="Y196" i="8" s="1"/>
  <c r="X245" i="8" a="1"/>
  <c r="X245" i="8" s="1"/>
  <c r="U245" i="8" a="1"/>
  <c r="U245" i="8" s="1"/>
  <c r="AD25" i="8" a="1"/>
  <c r="AD25" i="8" s="1"/>
  <c r="U25" i="8" a="1"/>
  <c r="U25" i="8" s="1"/>
  <c r="U199" i="8" a="1"/>
  <c r="U199" i="8" s="1"/>
  <c r="AF49" i="8" a="1"/>
  <c r="AF49" i="8" s="1"/>
  <c r="AC49" i="8" a="1"/>
  <c r="AC49" i="8" s="1"/>
  <c r="Y25" i="8" a="1"/>
  <c r="Y25" i="8" s="1"/>
  <c r="AB74" i="8" a="1"/>
  <c r="AB74" i="8" s="1"/>
  <c r="Y74" i="8" a="1"/>
  <c r="Y74" i="8" s="1"/>
  <c r="AG25" i="8" a="1"/>
  <c r="AG25" i="8" s="1"/>
  <c r="AJ171" i="8" a="1"/>
  <c r="AJ171" i="8" s="1"/>
  <c r="AG171" i="8" a="1"/>
  <c r="AG171" i="8" s="1"/>
  <c r="AF171" i="8" a="1"/>
  <c r="AF171" i="8" s="1"/>
  <c r="AC171" i="8" a="1"/>
  <c r="AC171" i="8" s="1"/>
  <c r="AF221" i="8" a="1"/>
  <c r="AF221" i="8" s="1"/>
  <c r="AC221" i="8" a="1"/>
  <c r="AC221" i="8" s="1"/>
  <c r="AG245" i="8" a="1"/>
  <c r="AG245" i="8" s="1"/>
  <c r="X146" i="8" a="1"/>
  <c r="X146" i="8" s="1"/>
  <c r="U146" i="8" a="1"/>
  <c r="U146" i="8" s="1"/>
  <c r="AB221" i="8" a="1"/>
  <c r="AB221" i="8" s="1"/>
  <c r="Y221" i="8" a="1"/>
  <c r="Y221" i="8" s="1"/>
  <c r="AB50" i="8" a="1"/>
  <c r="AB50" i="8" s="1"/>
  <c r="Y50" i="8" a="1"/>
  <c r="Y50" i="8" s="1"/>
  <c r="AB122" i="8" a="1"/>
  <c r="AB122" i="8" s="1"/>
  <c r="Y122" i="8" a="1"/>
  <c r="Y122" i="8" s="1"/>
  <c r="AB98" i="8" a="1"/>
  <c r="AB98" i="8" s="1"/>
  <c r="Y98" i="8" a="1"/>
  <c r="Y98" i="8" s="1"/>
  <c r="AI25" i="8" a="1"/>
  <c r="AI25" i="8" s="1"/>
  <c r="X50" i="8" a="1"/>
  <c r="X50" i="8" s="1"/>
  <c r="U50" i="8" a="1"/>
  <c r="U50" i="8" s="1"/>
  <c r="AH28" i="8" a="1"/>
  <c r="AH28" i="8" s="1"/>
  <c r="X122" i="8" a="1"/>
  <c r="X122" i="8" s="1"/>
  <c r="U122" i="8" a="1"/>
  <c r="U122" i="8" s="1"/>
  <c r="AC146" i="8" a="1"/>
  <c r="AC146" i="8" s="1"/>
  <c r="Y245" i="8" a="1"/>
  <c r="Y245" i="8" s="1"/>
  <c r="AJ73" i="8" a="1"/>
  <c r="AJ73" i="8" s="1"/>
  <c r="AG73" i="8" a="1"/>
  <c r="AG73" i="8" s="1"/>
  <c r="AJ221" i="8" a="1"/>
  <c r="AJ221" i="8" s="1"/>
  <c r="AG221" i="8" a="1"/>
  <c r="AG221" i="8" s="1"/>
  <c r="AA25" i="8" a="1"/>
  <c r="AA25" i="8" s="1"/>
  <c r="U99" i="8" a="1"/>
  <c r="U99" i="8" s="1"/>
  <c r="AE25" i="8" a="1"/>
  <c r="AE25" i="8" s="1"/>
  <c r="AG146" i="8" a="1"/>
  <c r="AG146" i="8" s="1"/>
  <c r="AJ97" i="8" a="1"/>
  <c r="AJ97" i="8" s="1"/>
  <c r="AG97" i="8" a="1"/>
  <c r="AG97" i="8" s="1"/>
  <c r="Z25" i="8" a="1"/>
  <c r="Z25" i="8" s="1"/>
  <c r="AJ122" i="8" a="1"/>
  <c r="AJ122" i="8" s="1"/>
  <c r="AG122" i="8" a="1"/>
  <c r="AG122" i="8" s="1"/>
  <c r="W27" i="8" a="1"/>
  <c r="W27" i="8" s="1"/>
  <c r="U75" i="8" a="1"/>
  <c r="U75" i="8" s="1"/>
  <c r="AB146" i="8" a="1"/>
  <c r="AB146" i="8" s="1"/>
  <c r="Y146" i="8" a="1"/>
  <c r="Y146" i="8" s="1"/>
  <c r="AF97" i="8" a="1"/>
  <c r="AF97" i="8" s="1"/>
  <c r="AC97" i="8" a="1"/>
  <c r="AC97" i="8" s="1"/>
  <c r="AF73" i="8" a="1"/>
  <c r="AF73" i="8" s="1"/>
  <c r="AC73" i="8" a="1"/>
  <c r="AC73" i="8" s="1"/>
  <c r="AC24" i="8" a="1"/>
  <c r="AC24" i="8" s="1"/>
  <c r="AF121" i="8" a="1"/>
  <c r="AF121" i="8" s="1"/>
  <c r="AC121" i="8" a="1"/>
  <c r="AC121" i="8" s="1"/>
  <c r="AB170" i="8" a="1"/>
  <c r="AB170" i="8" s="1"/>
  <c r="Y170" i="8" a="1"/>
  <c r="Y170" i="8" s="1"/>
  <c r="AG50" i="8" a="1"/>
  <c r="AG50" i="8" s="1"/>
  <c r="X220" i="8" a="1"/>
  <c r="X220" i="8" s="1"/>
  <c r="U220" i="8" a="1"/>
  <c r="U220" i="8" s="1"/>
  <c r="H175" i="7" a="1"/>
  <c r="F239" i="7" a="1"/>
  <c r="F178" i="7" a="1"/>
  <c r="C290" i="7" a="1"/>
  <c r="F251" i="7" a="1"/>
  <c r="F276" i="7" a="1"/>
  <c r="E251" i="7" a="1"/>
  <c r="B263" i="7" a="1"/>
  <c r="F85" i="7" a="1"/>
  <c r="F59" i="7" a="1"/>
  <c r="D283" i="7" a="1"/>
  <c r="D228" i="7" a="1"/>
  <c r="C281" i="7" a="1"/>
  <c r="C276" i="7" a="1"/>
  <c r="E222" i="7" a="1"/>
  <c r="D234" i="7" a="1"/>
  <c r="B256" i="7" a="1"/>
  <c r="H40" i="7" a="1"/>
  <c r="F61" i="7" a="1"/>
  <c r="F195" i="7" a="1"/>
  <c r="D253" i="7" a="1"/>
  <c r="F216" i="7" a="1"/>
  <c r="E230" i="7" a="1"/>
  <c r="E203" i="7" a="1"/>
  <c r="E189" i="7" a="1"/>
  <c r="H131" i="7" a="1"/>
  <c r="E187" i="7" a="1"/>
  <c r="F218" i="7" a="1"/>
  <c r="D220" i="7" a="1"/>
  <c r="F143" i="7" a="1"/>
  <c r="F240" i="7" a="1"/>
  <c r="D157" i="7" a="1"/>
  <c r="D266" i="7" a="1"/>
  <c r="D259" i="7" a="1"/>
  <c r="B286" i="7" a="1"/>
  <c r="C258" i="7" a="1"/>
  <c r="E233" i="7" a="1"/>
  <c r="H57" i="7" a="1"/>
  <c r="I296" i="7" a="1"/>
  <c r="F5" i="7" a="1"/>
  <c r="I252" i="7" a="1"/>
  <c r="D164" i="7" a="1"/>
  <c r="H58" i="7" a="1"/>
  <c r="E212" i="7" a="1"/>
  <c r="H201" i="7" a="1"/>
  <c r="H263" i="7" a="1"/>
  <c r="F254" i="7" a="1"/>
  <c r="F50" i="7" a="1"/>
  <c r="F157" i="7" a="1"/>
  <c r="C280" i="7" a="1"/>
  <c r="D188" i="7" a="1"/>
  <c r="D5" i="7" a="1"/>
  <c r="F212" i="7" a="1"/>
  <c r="B264" i="7" a="1"/>
  <c r="F250" i="7" a="1"/>
  <c r="B288" i="7" a="1"/>
  <c r="E234" i="7" a="1"/>
  <c r="F106" i="7" a="1"/>
  <c r="E290" i="7" a="1"/>
  <c r="H34" i="7" a="1"/>
  <c r="H158" i="7" a="1"/>
  <c r="E240" i="7" a="1"/>
  <c r="H265" i="7" a="1"/>
  <c r="H191" i="7" a="1"/>
  <c r="H230" i="7" a="1"/>
  <c r="D264" i="7" a="1"/>
  <c r="H181" i="7" a="1"/>
  <c r="E199" i="7" a="1"/>
  <c r="H140" i="7" a="1"/>
  <c r="F135" i="7" a="1"/>
  <c r="F229" i="7" a="1"/>
  <c r="F292" i="7" a="1"/>
  <c r="H296" i="7" a="1"/>
  <c r="F201" i="7" a="1"/>
  <c r="H295" i="7" a="1"/>
  <c r="F243" i="7" a="1"/>
  <c r="I281" i="7" a="1"/>
  <c r="E269" i="7" a="1"/>
  <c r="F217" i="7" a="1"/>
  <c r="E206" i="7" a="1"/>
  <c r="H81" i="7" a="1"/>
  <c r="F232" i="7" a="1"/>
  <c r="H156" i="7" a="1"/>
  <c r="F199" i="7" a="1"/>
  <c r="H65" i="7" a="1"/>
  <c r="E295" i="7" a="1"/>
  <c r="F224" i="7" a="1"/>
  <c r="I259" i="7" a="1"/>
  <c r="D202" i="7" a="1"/>
  <c r="C266" i="7" a="1"/>
  <c r="F6" i="7" a="1"/>
  <c r="F86" i="7" a="1"/>
  <c r="E227" i="7" a="1"/>
  <c r="E261" i="7" a="1"/>
  <c r="H133" i="7" a="1"/>
  <c r="F130" i="7" a="1"/>
  <c r="E211" i="7" a="1"/>
  <c r="D222" i="7" a="1"/>
  <c r="D241" i="7" a="1"/>
  <c r="H36" i="7" a="1"/>
  <c r="I267" i="7" a="1"/>
  <c r="H194" i="7" a="1"/>
  <c r="F64" i="7" a="1"/>
  <c r="F265" i="7" a="1"/>
  <c r="E180" i="7" a="1"/>
  <c r="H214" i="7" a="1"/>
  <c r="F207" i="7" a="1"/>
  <c r="F122" i="7" a="1"/>
  <c r="D278" i="7" a="1"/>
  <c r="H185" i="7" a="1"/>
  <c r="E207" i="7" a="1"/>
  <c r="F65" i="7" a="1"/>
  <c r="F264" i="7" a="1"/>
  <c r="F158" i="7" a="1"/>
  <c r="D149" i="7" a="1"/>
  <c r="E300" i="7" a="1"/>
  <c r="H121" i="7" a="1"/>
  <c r="D274" i="7" a="1"/>
  <c r="F55" i="7" a="1"/>
  <c r="F129" i="7" a="1"/>
  <c r="F58" i="7" a="1"/>
  <c r="D133" i="7" a="1"/>
  <c r="B3" i="7" a="1"/>
  <c r="C286" i="7" a="1"/>
  <c r="D141" i="7" a="1"/>
  <c r="H48" i="7" a="1"/>
  <c r="H82" i="7" a="1"/>
  <c r="D277" i="7" a="1"/>
  <c r="F238" i="7" a="1"/>
  <c r="F123" i="7" a="1"/>
  <c r="F82" i="7" a="1"/>
  <c r="C253" i="7" a="1"/>
  <c r="F173" i="7" a="1"/>
  <c r="D281" i="7" a="1"/>
  <c r="B272" i="7" a="1"/>
  <c r="H112" i="7" a="1"/>
  <c r="B282" i="7" a="1"/>
  <c r="F146" i="7" a="1"/>
  <c r="F145" i="7" a="1"/>
  <c r="B258" i="7" a="1"/>
  <c r="F39" i="7" a="1"/>
  <c r="F186" i="7" a="1"/>
  <c r="I262" i="7" a="1"/>
  <c r="C4" i="7" a="1"/>
  <c r="B268" i="7" a="1"/>
  <c r="H273" i="7" a="1"/>
  <c r="H2" i="7" a="1"/>
  <c r="D195" i="7" a="1"/>
  <c r="H192" i="7" a="1"/>
  <c r="H189" i="7" a="1"/>
  <c r="F60" i="7" a="1"/>
  <c r="F78" i="7" a="1"/>
  <c r="H117" i="7" a="1"/>
  <c r="H102" i="7" a="1"/>
  <c r="F153" i="7" a="1"/>
  <c r="D231" i="7" a="1"/>
  <c r="H109" i="7" a="1"/>
  <c r="F120" i="7" a="1"/>
  <c r="B259" i="7" a="1"/>
  <c r="I256" i="7" a="1"/>
  <c r="H103" i="7" a="1"/>
  <c r="B273" i="7" a="1"/>
  <c r="C259" i="7" a="1"/>
  <c r="H186" i="7" a="1"/>
  <c r="B277" i="7" a="1"/>
  <c r="F112" i="7" a="1"/>
  <c r="E186" i="7" a="1"/>
  <c r="F270" i="7" a="1"/>
  <c r="D273" i="7" a="1"/>
  <c r="H202" i="7" a="1"/>
  <c r="F249" i="7" a="1"/>
  <c r="I254" i="7" a="1"/>
  <c r="D286" i="7" a="1"/>
  <c r="E284" i="7" a="1"/>
  <c r="D246" i="7" a="1"/>
  <c r="E184" i="7" a="1"/>
  <c r="F288" i="7" a="1"/>
  <c r="F51" i="7" a="1"/>
  <c r="B274" i="7" a="1"/>
  <c r="E194" i="7" a="1"/>
  <c r="H110" i="7" a="1"/>
  <c r="H127" i="7" a="1"/>
  <c r="H190" i="7" a="1"/>
  <c r="H92" i="7" a="1"/>
  <c r="H138" i="7" a="1"/>
  <c r="E5" i="7" a="1"/>
  <c r="F151" i="7" a="1"/>
  <c r="H284" i="7" a="1"/>
  <c r="F213" i="7" a="1"/>
  <c r="F116" i="7" a="1"/>
  <c r="H255" i="7" a="1"/>
  <c r="F119" i="7" a="1"/>
  <c r="F174" i="7" a="1"/>
  <c r="D254" i="7" a="1"/>
  <c r="H179" i="7" a="1"/>
  <c r="D132" i="7" a="1"/>
  <c r="F127" i="7" a="1"/>
  <c r="F269" i="7" a="1"/>
  <c r="E213" i="7" a="1"/>
  <c r="I263" i="7" a="1"/>
  <c r="H165" i="7" a="1"/>
  <c r="H79" i="7" a="1"/>
  <c r="F268" i="7" a="1"/>
  <c r="I4" i="7" a="1"/>
  <c r="H97" i="7" a="1"/>
  <c r="E271" i="7" a="1"/>
  <c r="B251" i="7" a="1"/>
  <c r="F35" i="7" a="1"/>
  <c r="I280" i="7" a="1"/>
  <c r="F280" i="7" a="1"/>
  <c r="H88" i="7" a="1"/>
  <c r="F76" i="7" a="1"/>
  <c r="C284" i="7" a="1"/>
  <c r="I283" i="7" a="1"/>
  <c r="E247" i="7" a="1"/>
  <c r="D294" i="7" a="1"/>
  <c r="C2" i="7" a="1"/>
  <c r="I260" i="7" a="1"/>
  <c r="H257" i="7" a="1"/>
  <c r="C256" i="7" a="1"/>
  <c r="H187" i="7" a="1"/>
  <c r="C292" i="7" a="1"/>
  <c r="H150" i="7" a="1"/>
  <c r="E242" i="7" a="1"/>
  <c r="F38" i="7" a="1"/>
  <c r="D296" i="7" a="1"/>
  <c r="I272" i="7" a="1"/>
  <c r="F263" i="7" a="1"/>
  <c r="F96" i="7" a="1"/>
  <c r="H229" i="7" a="1"/>
  <c r="H299" i="7" a="1"/>
  <c r="H68" i="7" a="1"/>
  <c r="F74" i="7" a="1"/>
  <c r="E237" i="7" a="1"/>
  <c r="H239" i="7" a="1"/>
  <c r="D201" i="7" a="1"/>
  <c r="F69" i="7" a="1"/>
  <c r="E183" i="7" a="1"/>
  <c r="E275" i="7" a="1"/>
  <c r="F103" i="7" a="1"/>
  <c r="F4" i="7" a="1"/>
  <c r="I255" i="7" a="1"/>
  <c r="H177" i="7" a="1"/>
  <c r="E243" i="7" a="1"/>
  <c r="E192" i="7" a="1"/>
  <c r="H237" i="7" a="1"/>
  <c r="D179" i="7" a="1"/>
  <c r="H188" i="7" a="1"/>
  <c r="E205" i="7" a="1"/>
  <c r="B289" i="7" a="1"/>
  <c r="H245" i="7" a="1"/>
  <c r="E2" i="7" a="1"/>
  <c r="F113" i="7" a="1"/>
  <c r="B6" i="7" a="1"/>
  <c r="F159" i="7" a="1"/>
  <c r="H183" i="7" a="1"/>
  <c r="F256" i="7" a="1"/>
  <c r="E293" i="7" a="1"/>
  <c r="I273" i="7" a="1"/>
  <c r="H4" i="7" a="1"/>
  <c r="H116" i="7" a="1"/>
  <c r="D262" i="7" a="1"/>
  <c r="H174" i="7" a="1"/>
  <c r="D268" i="7" a="1"/>
  <c r="B297" i="7" a="1"/>
  <c r="H217" i="7" a="1"/>
  <c r="E239" i="7" a="1"/>
  <c r="D214" i="7" a="1"/>
  <c r="H283" i="7" a="1"/>
  <c r="H126" i="7" a="1"/>
  <c r="C291" i="7" a="1"/>
  <c r="D280" i="7" a="1"/>
  <c r="H78" i="7" a="1"/>
  <c r="H135" i="7" a="1"/>
  <c r="H123" i="7" a="1"/>
  <c r="F296" i="7" a="1"/>
  <c r="D256" i="7" a="1"/>
  <c r="E280" i="7" a="1"/>
  <c r="D134" i="7" a="1"/>
  <c r="I2" i="7" a="1"/>
  <c r="H204" i="7" a="1"/>
  <c r="F77" i="7" a="1"/>
  <c r="D186" i="7" a="1"/>
  <c r="D284" i="7" a="1"/>
  <c r="B295" i="7" a="1"/>
  <c r="E241" i="7" a="1"/>
  <c r="H63" i="7" a="1"/>
  <c r="E298" i="7" a="1"/>
  <c r="D176" i="7" a="1"/>
  <c r="C294" i="7" a="1"/>
  <c r="E260" i="7" a="1"/>
  <c r="I287" i="7" a="1"/>
  <c r="F180" i="7" a="1"/>
  <c r="D249" i="7" a="1"/>
  <c r="H209" i="7" a="1"/>
  <c r="C275" i="7" a="1"/>
  <c r="D261" i="7" a="1"/>
  <c r="H216" i="7" a="1"/>
  <c r="D225" i="7" a="1"/>
  <c r="H164" i="7" a="1"/>
  <c r="F235" i="7" a="1"/>
  <c r="D288" i="7" a="1"/>
  <c r="F222" i="7" a="1"/>
  <c r="D137" i="7" a="1"/>
  <c r="D240" i="7" a="1"/>
  <c r="C269" i="7" a="1"/>
  <c r="H3" i="7" a="1"/>
  <c r="E191" i="7" a="1"/>
  <c r="F49" i="7" a="1"/>
  <c r="F3" i="7" a="1"/>
  <c r="B252" i="7" a="1"/>
  <c r="E259" i="7" a="1"/>
  <c r="F139" i="7" a="1"/>
  <c r="E215" i="7" a="1"/>
  <c r="H42" i="7" a="1"/>
  <c r="H52" i="7" a="1"/>
  <c r="H162" i="7" a="1"/>
  <c r="H280" i="7" a="1"/>
  <c r="F290" i="7" a="1"/>
  <c r="F47" i="7" a="1"/>
  <c r="F273" i="7" a="1"/>
  <c r="B291" i="7" a="1"/>
  <c r="H72" i="7" a="1"/>
  <c r="F267" i="7" a="1"/>
  <c r="D272" i="7" a="1"/>
  <c r="B281" i="7" a="1"/>
  <c r="H215" i="7" a="1"/>
  <c r="B296" i="7" a="1"/>
  <c r="D191" i="7" a="1"/>
  <c r="I274" i="7" a="1"/>
  <c r="D247" i="7" a="1"/>
  <c r="H134" i="7" a="1"/>
  <c r="E214" i="7" a="1"/>
  <c r="H247" i="7" a="1"/>
  <c r="I279" i="7" a="1"/>
  <c r="I295" i="7" a="1"/>
  <c r="F48" i="7" a="1"/>
  <c r="B275" i="7" a="1"/>
  <c r="H139" i="7" a="1"/>
  <c r="H227" i="7" a="1"/>
  <c r="F272" i="7" a="1"/>
  <c r="D158" i="7" a="1"/>
  <c r="F181" i="7" a="1"/>
  <c r="C267" i="7" a="1"/>
  <c r="E4" i="7" a="1"/>
  <c r="F205" i="7" a="1"/>
  <c r="D289" i="7" a="1"/>
  <c r="C279" i="7" a="1"/>
  <c r="B266" i="7" a="1"/>
  <c r="H101" i="7" a="1"/>
  <c r="H106" i="7" a="1"/>
  <c r="D182" i="7" a="1"/>
  <c r="H281" i="7" a="1"/>
  <c r="E182" i="7" a="1"/>
  <c r="D275" i="7" a="1"/>
  <c r="H62" i="7" a="1"/>
  <c r="C252" i="7" a="1"/>
  <c r="F117" i="7" a="1"/>
  <c r="F233" i="7" a="1"/>
  <c r="H51" i="7" a="1"/>
  <c r="H152" i="7" a="1"/>
  <c r="D162" i="7" a="1"/>
  <c r="D152" i="7" a="1"/>
  <c r="C271" i="7" a="1"/>
  <c r="F219" i="7" a="1"/>
  <c r="D180" i="7" a="1"/>
  <c r="C260" i="7" a="1"/>
  <c r="H253" i="7" a="1"/>
  <c r="D169" i="7" a="1"/>
  <c r="I275" i="7" a="1"/>
  <c r="E283" i="7" a="1"/>
  <c r="H298" i="7" a="1"/>
  <c r="D208" i="7" a="1"/>
  <c r="D255" i="7" a="1"/>
  <c r="H254" i="7" a="1"/>
  <c r="D229" i="7" a="1"/>
  <c r="H231" i="7" a="1"/>
  <c r="H146" i="7" a="1"/>
  <c r="F44" i="7" a="1"/>
  <c r="H159" i="7" a="1"/>
  <c r="H56" i="7" a="1"/>
  <c r="D166" i="7" a="1"/>
  <c r="E266" i="7" a="1"/>
  <c r="H238" i="7" a="1"/>
  <c r="D177" i="7" a="1"/>
  <c r="I290" i="7" a="1"/>
  <c r="B5" i="7" a="1"/>
  <c r="F196" i="7" a="1"/>
  <c r="E216" i="7" a="1"/>
  <c r="H167" i="7" a="1"/>
  <c r="B270" i="7" a="1"/>
  <c r="E281" i="7" a="1"/>
  <c r="D181" i="7" a="1"/>
  <c r="E257" i="7" a="1"/>
  <c r="F41" i="7" a="1"/>
  <c r="H269" i="7" a="1"/>
  <c r="C274" i="7" a="1"/>
  <c r="D267" i="7" a="1"/>
  <c r="F257" i="7" a="1"/>
  <c r="D140" i="7" a="1"/>
  <c r="F165" i="7" a="1"/>
  <c r="E225" i="7" a="1"/>
  <c r="C5" i="7" a="1"/>
  <c r="F221" i="7" a="1"/>
  <c r="D260" i="7" a="1"/>
  <c r="F171" i="7" a="1"/>
  <c r="I257" i="7" a="1"/>
  <c r="H277" i="7" a="1"/>
  <c r="E236" i="7" a="1"/>
  <c r="F295" i="7" a="1"/>
  <c r="H99" i="7" a="1"/>
  <c r="H60" i="7" a="1"/>
  <c r="E285" i="7" a="1"/>
  <c r="H66" i="7" a="1"/>
  <c r="F227" i="7" a="1"/>
  <c r="B254" i="7" a="1"/>
  <c r="D184" i="7" a="1"/>
  <c r="D194" i="7" a="1"/>
  <c r="D189" i="7" a="1"/>
  <c r="D170" i="7" a="1"/>
  <c r="H141" i="7" a="1"/>
  <c r="C3" i="7" a="1"/>
  <c r="H69" i="7" a="1"/>
  <c r="H218" i="7" a="1"/>
  <c r="H132" i="7" a="1"/>
  <c r="F230" i="7" a="1"/>
  <c r="H87" i="7" a="1"/>
  <c r="D230" i="7" a="1"/>
  <c r="F150" i="7" a="1"/>
  <c r="H163" i="7" a="1"/>
  <c r="H267" i="7" a="1"/>
  <c r="I269" i="7" a="1"/>
  <c r="C277" i="7" a="1"/>
  <c r="H300" i="7" a="1"/>
  <c r="D198" i="7" a="1"/>
  <c r="I266" i="7" a="1"/>
  <c r="F36" i="7" a="1"/>
  <c r="H105" i="7" a="1"/>
  <c r="H207" i="7" a="1"/>
  <c r="D300" i="7" a="1"/>
  <c r="E201" i="7" a="1"/>
  <c r="F53" i="7" a="1"/>
  <c r="D263" i="7" a="1"/>
  <c r="H193" i="7" a="1"/>
  <c r="H107" i="7" a="1"/>
  <c r="E193" i="7" a="1"/>
  <c r="I264" i="7" a="1"/>
  <c r="F81" i="7" a="1"/>
  <c r="E232" i="7" a="1"/>
  <c r="H252" i="7" a="1"/>
  <c r="H168" i="7" a="1"/>
  <c r="D3" i="7" a="1"/>
  <c r="F184" i="7" a="1"/>
  <c r="H233" i="7" a="1"/>
  <c r="F152" i="7" a="1"/>
  <c r="I298" i="7" a="1"/>
  <c r="H197" i="7" a="1"/>
  <c r="H243" i="7" a="1"/>
  <c r="F241" i="7" a="1"/>
  <c r="H120" i="7" a="1"/>
  <c r="H118" i="7" a="1"/>
  <c r="H49" i="7" a="1"/>
  <c r="E272" i="7" a="1"/>
  <c r="H251" i="7" a="1"/>
  <c r="D257" i="7" a="1"/>
  <c r="H80" i="7" a="1"/>
  <c r="D135" i="7" a="1"/>
  <c r="D235" i="7" a="1"/>
  <c r="H93" i="7" a="1"/>
  <c r="D187" i="7" a="1"/>
  <c r="E273" i="7" a="1"/>
  <c r="H248" i="7" a="1"/>
  <c r="F67" i="7" a="1"/>
  <c r="H264" i="7" a="1"/>
  <c r="F246" i="7" a="1"/>
  <c r="C264" i="7" a="1"/>
  <c r="F170" i="7" a="1"/>
  <c r="E291" i="7" a="1"/>
  <c r="C282" i="7" a="1"/>
  <c r="H46" i="7" a="1"/>
  <c r="H130" i="7" a="1"/>
  <c r="I276" i="7" a="1"/>
  <c r="H111" i="7" a="1"/>
  <c r="F188" i="7" a="1"/>
  <c r="F286" i="7" a="1"/>
  <c r="H75" i="7" a="1"/>
  <c r="H44" i="7" a="1"/>
  <c r="F293" i="7" a="1"/>
  <c r="H172" i="7" a="1"/>
  <c r="F193" i="7" a="1"/>
  <c r="F115" i="7" a="1"/>
  <c r="H98" i="7" a="1"/>
  <c r="F71" i="7" a="1"/>
  <c r="E6" i="7" a="1"/>
  <c r="F102" i="7" a="1"/>
  <c r="D223" i="7" a="1"/>
  <c r="F169" i="7" a="1"/>
  <c r="D163" i="7" a="1"/>
  <c r="H47" i="7" a="1"/>
  <c r="F245" i="7" a="1"/>
  <c r="F175" i="7" a="1"/>
  <c r="E179" i="7" a="1"/>
  <c r="F128" i="7" a="1"/>
  <c r="H178" i="7" a="1"/>
  <c r="E3" i="7" a="1"/>
  <c r="F155" i="7" a="1"/>
  <c r="H169" i="7" a="1"/>
  <c r="H95" i="7" a="1"/>
  <c r="D250" i="7" a="1"/>
  <c r="F244" i="7" a="1"/>
  <c r="F190" i="7" a="1"/>
  <c r="F278" i="7" a="1"/>
  <c r="F46" i="7" a="1"/>
  <c r="F179" i="7" a="1"/>
  <c r="H38" i="7" a="1"/>
  <c r="H55" i="7" a="1"/>
  <c r="F107" i="7" a="1"/>
  <c r="D203" i="7" a="1"/>
  <c r="D215" i="7" a="1"/>
  <c r="F45" i="7" a="1"/>
  <c r="H244" i="7" a="1"/>
  <c r="I288" i="7" a="1"/>
  <c r="E252" i="7" a="1"/>
  <c r="E190" i="7" a="1"/>
  <c r="E181" i="7" a="1"/>
  <c r="C255" i="7" a="1"/>
  <c r="E265" i="7" a="1"/>
  <c r="H170" i="7" a="1"/>
  <c r="B300" i="7" a="1"/>
  <c r="F258" i="7" a="1"/>
  <c r="F136" i="7" a="1"/>
  <c r="I277" i="7" a="1"/>
  <c r="I265" i="7" a="1"/>
  <c r="E258" i="7" a="1"/>
  <c r="D298" i="7" a="1"/>
  <c r="D285" i="7" a="1"/>
  <c r="E255" i="7" a="1"/>
  <c r="D153" i="7" a="1"/>
  <c r="C265" i="7" a="1"/>
  <c r="F168" i="7" a="1"/>
  <c r="H226" i="7" a="1"/>
  <c r="H289" i="7" a="1"/>
  <c r="B279" i="7" a="1"/>
  <c r="I253" i="7" a="1"/>
  <c r="D2" i="7" a="1"/>
  <c r="D295" i="7" a="1"/>
  <c r="D205" i="7" a="1"/>
  <c r="C261" i="7" a="1"/>
  <c r="E197" i="7" a="1"/>
  <c r="H155" i="7" a="1"/>
  <c r="D290" i="7" a="1"/>
  <c r="F287" i="7" a="1"/>
  <c r="F228" i="7" a="1"/>
  <c r="H287" i="7" a="1"/>
  <c r="H291" i="7" a="1"/>
  <c r="H268" i="7" a="1"/>
  <c r="H77" i="7" a="1"/>
  <c r="F291" i="7" a="1"/>
  <c r="F87" i="7" a="1"/>
  <c r="H161" i="7" a="1"/>
  <c r="H137" i="7" a="1"/>
  <c r="F225" i="7" a="1"/>
  <c r="B253" i="7" a="1"/>
  <c r="B260" i="7" a="1"/>
  <c r="H198" i="7" a="1"/>
  <c r="D282" i="7" a="1"/>
  <c r="H220" i="7" a="1"/>
  <c r="F37" i="7" a="1"/>
  <c r="H41" i="7" a="1"/>
  <c r="F149" i="7" a="1"/>
  <c r="F192" i="7" a="1"/>
  <c r="F206" i="7" a="1"/>
  <c r="H124" i="7" a="1"/>
  <c r="E226" i="7" a="1"/>
  <c r="H142" i="7" a="1"/>
  <c r="E219" i="7" a="1"/>
  <c r="E188" i="7" a="1"/>
  <c r="C251" i="7" a="1"/>
  <c r="H61" i="7" a="1"/>
  <c r="I261" i="7" a="1"/>
  <c r="F223" i="7" a="1"/>
  <c r="F202" i="7" a="1"/>
  <c r="F99" i="7" a="1"/>
  <c r="F183" i="7" a="1"/>
  <c r="E217" i="7" a="1"/>
  <c r="F105" i="7" a="1"/>
  <c r="H50" i="7" a="1"/>
  <c r="I293" i="7" a="1"/>
  <c r="E204" i="7" a="1"/>
  <c r="B294" i="7" a="1"/>
  <c r="F125" i="7" a="1"/>
  <c r="H54" i="7" a="1"/>
  <c r="H258" i="7" a="1"/>
  <c r="E262" i="7" a="1"/>
  <c r="D160" i="7" a="1"/>
  <c r="D209" i="7" a="1"/>
  <c r="H96" i="7" a="1"/>
  <c r="H136" i="7" a="1"/>
  <c r="D183" i="7" a="1"/>
  <c r="F94" i="7" a="1"/>
  <c r="H219" i="7" a="1"/>
  <c r="D226" i="7" a="1"/>
  <c r="H6" i="7" a="1"/>
  <c r="I5" i="7" a="1"/>
  <c r="F200" i="7" a="1"/>
  <c r="I271" i="7" a="1"/>
  <c r="B280" i="7" a="1"/>
  <c r="D297" i="7" a="1"/>
  <c r="D206" i="7" a="1"/>
  <c r="C285" i="7" a="1"/>
  <c r="B255" i="7" a="1"/>
  <c r="D136" i="7" a="1"/>
  <c r="D199" i="7" a="1"/>
  <c r="E277" i="7" a="1"/>
  <c r="F187" i="7" a="1"/>
  <c r="F177" i="7" a="1"/>
  <c r="F191" i="7" a="1"/>
  <c r="C300" i="7" a="1"/>
  <c r="D270" i="7" a="1"/>
  <c r="B293" i="7" a="1"/>
  <c r="C295" i="7" a="1"/>
  <c r="F208" i="7" a="1"/>
  <c r="F297" i="7" a="1"/>
  <c r="E218" i="7" a="1"/>
  <c r="H128" i="7" a="1"/>
  <c r="E253" i="7" a="1"/>
  <c r="D239" i="7" a="1"/>
  <c r="I250" i="7" a="1"/>
  <c r="F259" i="7" a="1"/>
  <c r="F72" i="7" a="1"/>
  <c r="H147" i="7" a="1"/>
  <c r="F154" i="7" a="1"/>
  <c r="H275" i="7" a="1"/>
  <c r="D242" i="7" a="1"/>
  <c r="D258" i="7" a="1"/>
  <c r="D271" i="7" a="1"/>
  <c r="D167" i="7" a="1"/>
  <c r="F234" i="7" a="1"/>
  <c r="F141" i="7" a="1"/>
  <c r="F294" i="7" a="1"/>
  <c r="H151" i="7" a="1"/>
  <c r="D265" i="7" a="1"/>
  <c r="H113" i="7" a="1"/>
  <c r="F231" i="7" a="1"/>
  <c r="F147" i="7" a="1"/>
  <c r="D293" i="7" a="1"/>
  <c r="H119" i="7" a="1"/>
  <c r="I297" i="7" a="1"/>
  <c r="F91" i="7" a="1"/>
  <c r="H203" i="7" a="1"/>
  <c r="H89" i="7" a="1"/>
  <c r="E270" i="7" a="1"/>
  <c r="E231" i="7" a="1"/>
  <c r="F66" i="7" a="1"/>
  <c r="F57" i="7" a="1"/>
  <c r="F54" i="7" a="1"/>
  <c r="D190" i="7" a="1"/>
  <c r="F237" i="7" a="1"/>
  <c r="F220" i="7" a="1"/>
  <c r="E238" i="7" a="1"/>
  <c r="D144" i="7" a="1"/>
  <c r="H176" i="7" a="1"/>
  <c r="D211" i="7" a="1"/>
  <c r="F210" i="7" a="1"/>
  <c r="I251" i="7" a="1"/>
  <c r="F197" i="7" a="1"/>
  <c r="F63" i="7" a="1"/>
  <c r="D193" i="7" a="1"/>
  <c r="H246" i="7" a="1"/>
  <c r="F80" i="7" a="1"/>
  <c r="C298" i="7" a="1"/>
  <c r="E268" i="7" a="1"/>
  <c r="F83" i="7" a="1"/>
  <c r="F118" i="7" a="1"/>
  <c r="D6" i="7" a="1"/>
  <c r="F189" i="7" a="1"/>
  <c r="E185" i="7" a="1"/>
  <c r="D219" i="7" a="1"/>
  <c r="F79" i="7" a="1"/>
  <c r="H83" i="7" a="1"/>
  <c r="D252" i="7" a="1"/>
  <c r="C262" i="7" a="1"/>
  <c r="D276" i="7" a="1"/>
  <c r="H274" i="7" a="1"/>
  <c r="H278" i="7" a="1"/>
  <c r="F248" i="7" a="1"/>
  <c r="H154" i="7" a="1"/>
  <c r="F172" i="7" a="1"/>
  <c r="E200" i="7" a="1"/>
  <c r="H294" i="7" a="1"/>
  <c r="D148" i="7" a="1"/>
  <c r="C289" i="7" a="1"/>
  <c r="D174" i="7" a="1"/>
  <c r="D269" i="7" a="1"/>
  <c r="B261" i="7" a="1"/>
  <c r="H104" i="7" a="1"/>
  <c r="E263" i="7" a="1"/>
  <c r="I285" i="7" a="1"/>
  <c r="F126" i="7" a="1"/>
  <c r="F42" i="7" a="1"/>
  <c r="F185" i="7" a="1"/>
  <c r="B250" i="7" a="1"/>
  <c r="B290" i="7" a="1"/>
  <c r="E286" i="7" a="1"/>
  <c r="F121" i="7" a="1"/>
  <c r="H45" i="7" a="1"/>
  <c r="E274" i="7" a="1"/>
  <c r="E254" i="7" a="1"/>
  <c r="H5" i="7" a="1"/>
  <c r="H157" i="7" a="1"/>
  <c r="F111" i="7" a="1"/>
  <c r="H286" i="7" a="1"/>
  <c r="B262" i="7" a="1"/>
  <c r="D146" i="7" a="1"/>
  <c r="D245" i="7" a="1"/>
  <c r="H262" i="7" a="1"/>
  <c r="E297" i="7" a="1"/>
  <c r="H148" i="7" a="1"/>
  <c r="F134" i="7" a="1"/>
  <c r="H228" i="7" a="1"/>
  <c r="F144" i="7" a="1"/>
  <c r="D237" i="7" a="1"/>
  <c r="H260" i="7" a="1"/>
  <c r="B4" i="7" a="1"/>
  <c r="D292" i="7" a="1"/>
  <c r="H70" i="7" a="1"/>
  <c r="H210" i="7" a="1"/>
  <c r="H249" i="7" a="1"/>
  <c r="D207" i="7" a="1"/>
  <c r="D172" i="7" a="1"/>
  <c r="E287" i="7" a="1"/>
  <c r="F298" i="7" a="1"/>
  <c r="D175" i="7" a="1"/>
  <c r="E246" i="7" a="1"/>
  <c r="F242" i="7" a="1"/>
  <c r="F166" i="7" a="1"/>
  <c r="D218" i="7" a="1"/>
  <c r="E244" i="7" a="1"/>
  <c r="H285" i="7" a="1"/>
  <c r="F52" i="7" a="1"/>
  <c r="D154" i="7" a="1"/>
  <c r="F274" i="7" a="1"/>
  <c r="H259" i="7" a="1"/>
  <c r="E289" i="7" a="1"/>
  <c r="C257" i="7" a="1"/>
  <c r="C288" i="7" a="1"/>
  <c r="I299" i="7" a="1"/>
  <c r="D200" i="7" a="1"/>
  <c r="H205" i="7" a="1"/>
  <c r="B285" i="7" a="1"/>
  <c r="F68" i="7" a="1"/>
  <c r="D197" i="7" a="1"/>
  <c r="F88" i="7" a="1"/>
  <c r="H232" i="7" a="1"/>
  <c r="H242" i="7" a="1"/>
  <c r="D178" i="7" a="1"/>
  <c r="E279" i="7" a="1"/>
  <c r="F182" i="7" a="1"/>
  <c r="H288" i="7" a="1"/>
  <c r="F156" i="7" a="1"/>
  <c r="F108" i="7" a="1"/>
  <c r="F43" i="7" a="1"/>
  <c r="F56" i="7" a="1"/>
  <c r="C270" i="7" a="1"/>
  <c r="H100" i="7" a="1"/>
  <c r="F142" i="7" a="1"/>
  <c r="H43" i="7" a="1"/>
  <c r="B283" i="7" a="1"/>
  <c r="H71" i="7" a="1"/>
  <c r="D299" i="7" a="1"/>
  <c r="H270" i="7" a="1"/>
  <c r="H67" i="7" a="1"/>
  <c r="F138" i="7" a="1"/>
  <c r="E220" i="7" a="1"/>
  <c r="E209" i="7" a="1"/>
  <c r="C287" i="7" a="1"/>
  <c r="D236" i="7" a="1"/>
  <c r="H272" i="7" a="1"/>
  <c r="H206" i="7" a="1"/>
  <c r="F211" i="7" a="1"/>
  <c r="D233" i="7" a="1"/>
  <c r="I294" i="7" a="1"/>
  <c r="F90" i="7" a="1"/>
  <c r="B298" i="7" a="1"/>
  <c r="F40" i="7" a="1"/>
  <c r="F176" i="7" a="1"/>
  <c r="H292" i="7" a="1"/>
  <c r="H222" i="7" a="1"/>
  <c r="F70" i="7" a="1"/>
  <c r="E210" i="7" a="1"/>
  <c r="F282" i="7" a="1"/>
  <c r="H166" i="7" a="1"/>
  <c r="E228" i="7" a="1"/>
  <c r="H94" i="7" a="1"/>
  <c r="H211" i="7" a="1"/>
  <c r="H221" i="7" a="1"/>
  <c r="C254" i="7" a="1"/>
  <c r="F104" i="7" a="1"/>
  <c r="H39" i="7" a="1"/>
  <c r="C296" i="7" a="1"/>
  <c r="H59" i="7" a="1"/>
  <c r="F285" i="7" a="1"/>
  <c r="D139" i="7" a="1"/>
  <c r="H196" i="7" a="1"/>
  <c r="C6" i="7" a="1"/>
  <c r="F110" i="7" a="1"/>
  <c r="D168" i="7" a="1"/>
  <c r="E221" i="7" a="1"/>
  <c r="F101" i="7" a="1"/>
  <c r="B278" i="7" a="1"/>
  <c r="H144" i="7" a="1"/>
  <c r="E208" i="7" a="1"/>
  <c r="F84" i="7" a="1"/>
  <c r="F89" i="7" a="1"/>
  <c r="F271" i="7" a="1"/>
  <c r="H297" i="7" a="1"/>
  <c r="E196" i="7" a="1"/>
  <c r="H73" i="7" a="1"/>
  <c r="B287" i="7" a="1"/>
  <c r="F93" i="7" a="1"/>
  <c r="I284" i="7" a="1"/>
  <c r="F198" i="7" a="1"/>
  <c r="C278" i="7" a="1"/>
  <c r="H108" i="7" a="1"/>
  <c r="F132" i="7" a="1"/>
  <c r="D151" i="7" a="1"/>
  <c r="I258" i="7" a="1"/>
  <c r="D291" i="7" a="1"/>
  <c r="H223" i="7" a="1"/>
  <c r="F148" i="7" a="1"/>
  <c r="F133" i="7" a="1"/>
  <c r="F114" i="7" a="1"/>
  <c r="F260" i="7" a="1"/>
  <c r="D244" i="7" a="1"/>
  <c r="F163" i="7" a="1"/>
  <c r="B269" i="7" a="1"/>
  <c r="I286" i="7" a="1"/>
  <c r="D145" i="7" a="1"/>
  <c r="F34" i="7" a="1"/>
  <c r="E249" i="7" a="1"/>
  <c r="H279" i="7" a="1"/>
  <c r="D150" i="7" a="1"/>
  <c r="E294" i="7" a="1"/>
  <c r="F266" i="7" a="1"/>
  <c r="H122" i="7" a="1"/>
  <c r="F124" i="7" a="1"/>
  <c r="F109" i="7" a="1"/>
  <c r="D287" i="7" a="1"/>
  <c r="E178" i="7" a="1"/>
  <c r="D279" i="7" a="1"/>
  <c r="B292" i="7" a="1"/>
  <c r="F204" i="7" a="1"/>
  <c r="H85" i="7" a="1"/>
  <c r="H256" i="7" a="1"/>
  <c r="F236" i="7" a="1"/>
  <c r="F283" i="7" a="1"/>
  <c r="D131" i="7" a="1"/>
  <c r="I289" i="7" a="1"/>
  <c r="B276" i="7" a="1"/>
  <c r="D243" i="7" a="1"/>
  <c r="E288" i="7" a="1"/>
  <c r="F161" i="7" a="1"/>
  <c r="H184" i="7" a="1"/>
  <c r="B284" i="7" a="1"/>
  <c r="C299" i="7" a="1"/>
  <c r="I3" i="7" a="1"/>
  <c r="F194" i="7" a="1"/>
  <c r="H114" i="7" a="1"/>
  <c r="H213" i="7" a="1"/>
  <c r="D248" i="7" a="1"/>
  <c r="D142" i="7" a="1"/>
  <c r="E195" i="7" a="1"/>
  <c r="I278" i="7" a="1"/>
  <c r="F289" i="7" a="1"/>
  <c r="E202" i="7" a="1"/>
  <c r="H199" i="7" a="1"/>
  <c r="F160" i="7" a="1"/>
  <c r="D147" i="7" a="1"/>
  <c r="D156" i="7" a="1"/>
  <c r="H53" i="7" a="1"/>
  <c r="F300" i="7" a="1"/>
  <c r="D232" i="7" a="1"/>
  <c r="F255" i="7" a="1"/>
  <c r="D155" i="7" a="1"/>
  <c r="C268" i="7" a="1"/>
  <c r="D227" i="7" a="1"/>
  <c r="D192" i="7" a="1"/>
  <c r="D210" i="7" a="1"/>
  <c r="B257" i="7" a="1"/>
  <c r="D143" i="7" a="1"/>
  <c r="F73" i="7" a="1"/>
  <c r="E248" i="7" a="1"/>
  <c r="F162" i="7" a="1"/>
  <c r="H261" i="7" a="1"/>
  <c r="F95" i="7" a="1"/>
  <c r="F284" i="7" a="1"/>
  <c r="D216" i="7" a="1"/>
  <c r="F167" i="7" a="1"/>
  <c r="E292" i="7" a="1"/>
  <c r="C293" i="7" a="1"/>
  <c r="F215" i="7" a="1"/>
  <c r="D171" i="7" a="1"/>
  <c r="H145" i="7" a="1"/>
  <c r="H74" i="7" a="1"/>
  <c r="E250" i="7" a="1"/>
  <c r="E282" i="7" a="1"/>
  <c r="C250" i="7" a="1"/>
  <c r="F164" i="7" a="1"/>
  <c r="H241" i="7" a="1"/>
  <c r="I282" i="7" a="1"/>
  <c r="D238" i="7" a="1"/>
  <c r="F214" i="7" a="1"/>
  <c r="F140" i="7" a="1"/>
  <c r="E299" i="7" a="1"/>
  <c r="F137" i="7" a="1"/>
  <c r="H173" i="7" a="1"/>
  <c r="H143" i="7" a="1"/>
  <c r="H208" i="7" a="1"/>
  <c r="F92" i="7" a="1"/>
  <c r="C263" i="7" a="1"/>
  <c r="E296" i="7" a="1"/>
  <c r="I6" i="7" a="1"/>
  <c r="H91" i="7" a="1"/>
  <c r="F275" i="7" a="1"/>
  <c r="H234" i="7" a="1"/>
  <c r="F75" i="7" a="1"/>
  <c r="H266" i="7" a="1"/>
  <c r="H37" i="7" a="1"/>
  <c r="F97" i="7" a="1"/>
  <c r="F203" i="7" a="1"/>
  <c r="E267" i="7" a="1"/>
  <c r="E256" i="7" a="1"/>
  <c r="H200" i="7" a="1"/>
  <c r="H276" i="7" a="1"/>
  <c r="E224" i="7" a="1"/>
  <c r="H90" i="7" a="1"/>
  <c r="D165" i="7" a="1"/>
  <c r="D173" i="7" a="1"/>
  <c r="F247" i="7" a="1"/>
  <c r="B271" i="7" a="1"/>
  <c r="D159" i="7" a="1"/>
  <c r="H235" i="7" a="1"/>
  <c r="H76" i="7" a="1"/>
  <c r="F277" i="7" a="1"/>
  <c r="F252" i="7" a="1"/>
  <c r="D204" i="7" a="1"/>
  <c r="D251" i="7" a="1"/>
  <c r="H86" i="7" a="1"/>
  <c r="E245" i="7" a="1"/>
  <c r="F279" i="7" a="1"/>
  <c r="H129" i="7" a="1"/>
  <c r="E235" i="7" a="1"/>
  <c r="H160" i="7" a="1"/>
  <c r="H84" i="7" a="1"/>
  <c r="B265" i="7" a="1"/>
  <c r="B2" i="7" a="1"/>
  <c r="F253" i="7" a="1"/>
  <c r="E198" i="7" a="1"/>
  <c r="F261" i="7" a="1"/>
  <c r="H125" i="7" a="1"/>
  <c r="H271" i="7" a="1"/>
  <c r="H224" i="7" a="1"/>
  <c r="D185" i="7" a="1"/>
  <c r="H240" i="7" a="1"/>
  <c r="H236" i="7" a="1"/>
  <c r="D224" i="7" a="1"/>
  <c r="D130" i="7" a="1"/>
  <c r="I300" i="7" a="1"/>
  <c r="B267" i="7" a="1"/>
  <c r="D138" i="7" a="1"/>
  <c r="F2" i="7" a="1"/>
  <c r="C272" i="7" a="1"/>
  <c r="H293" i="7" a="1"/>
  <c r="F100" i="7" a="1"/>
  <c r="I268" i="7" a="1"/>
  <c r="H282" i="7" a="1"/>
  <c r="D217" i="7" a="1"/>
  <c r="H225" i="7" a="1"/>
  <c r="E229" i="7" a="1"/>
  <c r="E278" i="7" a="1"/>
  <c r="H195" i="7" a="1"/>
  <c r="D221" i="7" a="1"/>
  <c r="H182" i="7" a="1"/>
  <c r="I270" i="7" a="1"/>
  <c r="B299" i="7" a="1"/>
  <c r="I292" i="7" a="1"/>
  <c r="H149" i="7" a="1"/>
  <c r="H171" i="7" a="1"/>
  <c r="H290" i="7" a="1"/>
  <c r="F131" i="7" a="1"/>
  <c r="I291" i="7" a="1"/>
  <c r="H153" i="7" a="1"/>
  <c r="F281" i="7" a="1"/>
  <c r="C297" i="7" a="1"/>
  <c r="F262" i="7" a="1"/>
  <c r="E264" i="7" a="1"/>
  <c r="H212" i="7" a="1"/>
  <c r="F62" i="7" a="1"/>
  <c r="H35" i="7" a="1"/>
  <c r="D212" i="7" a="1"/>
  <c r="H64" i="7" a="1"/>
  <c r="F209" i="7" a="1"/>
  <c r="C273" i="7" a="1"/>
  <c r="E276" i="7" a="1"/>
  <c r="F98" i="7" a="1"/>
  <c r="D196" i="7" a="1"/>
  <c r="C283" i="7" a="1"/>
  <c r="D4" i="7" a="1"/>
  <c r="F226" i="7" a="1"/>
  <c r="D161" i="7" a="1"/>
  <c r="D213" i="7" a="1"/>
  <c r="H250" i="7" a="1"/>
  <c r="F299" i="7" a="1"/>
  <c r="H180" i="7" a="1"/>
  <c r="E223" i="7" a="1"/>
  <c r="H115" i="7" a="1"/>
  <c r="H115" i="7" l="1"/>
  <c r="E223" i="7"/>
  <c r="H180" i="7"/>
  <c r="F299" i="7"/>
  <c r="H250" i="7"/>
  <c r="D213" i="7"/>
  <c r="D161" i="7"/>
  <c r="F226" i="7"/>
  <c r="D4" i="7"/>
  <c r="C283" i="7"/>
  <c r="D196" i="7"/>
  <c r="F98" i="7"/>
  <c r="E276" i="7"/>
  <c r="C273" i="7"/>
  <c r="F209" i="7"/>
  <c r="H64" i="7"/>
  <c r="D212" i="7"/>
  <c r="H35" i="7"/>
  <c r="F62" i="7"/>
  <c r="H212" i="7"/>
  <c r="E264" i="7"/>
  <c r="F262" i="7"/>
  <c r="C297" i="7"/>
  <c r="F281" i="7"/>
  <c r="H153" i="7"/>
  <c r="I291" i="7"/>
  <c r="F131" i="7"/>
  <c r="H290" i="7"/>
  <c r="H171" i="7"/>
  <c r="H149" i="7"/>
  <c r="I292" i="7"/>
  <c r="B299" i="7"/>
  <c r="I270" i="7"/>
  <c r="H182" i="7"/>
  <c r="D221" i="7"/>
  <c r="H195" i="7"/>
  <c r="E278" i="7"/>
  <c r="E229" i="7"/>
  <c r="H225" i="7"/>
  <c r="D217" i="7"/>
  <c r="H282" i="7"/>
  <c r="I268" i="7"/>
  <c r="F100" i="7"/>
  <c r="H293" i="7"/>
  <c r="C272" i="7"/>
  <c r="F2" i="7"/>
  <c r="D138" i="7"/>
  <c r="B267" i="7"/>
  <c r="I300" i="7"/>
  <c r="D130" i="7"/>
  <c r="D224" i="7"/>
  <c r="H236" i="7"/>
  <c r="H240" i="7"/>
  <c r="D185" i="7"/>
  <c r="H224" i="7"/>
  <c r="H271" i="7"/>
  <c r="H125" i="7"/>
  <c r="F261" i="7"/>
  <c r="E198" i="7"/>
  <c r="F253" i="7"/>
  <c r="B2" i="7"/>
  <c r="B265" i="7"/>
  <c r="H84" i="7"/>
  <c r="H160" i="7"/>
  <c r="E235" i="7"/>
  <c r="H129" i="7"/>
  <c r="F279" i="7"/>
  <c r="E245" i="7"/>
  <c r="H86" i="7"/>
  <c r="D251" i="7"/>
  <c r="D204" i="7"/>
  <c r="F252" i="7"/>
  <c r="F277" i="7"/>
  <c r="H76" i="7"/>
  <c r="H235" i="7"/>
  <c r="D159" i="7"/>
  <c r="B271" i="7"/>
  <c r="F247" i="7"/>
  <c r="D173" i="7"/>
  <c r="D165" i="7"/>
  <c r="H90" i="7"/>
  <c r="E224" i="7"/>
  <c r="H276" i="7"/>
  <c r="H200" i="7"/>
  <c r="E256" i="7"/>
  <c r="E267" i="7"/>
  <c r="F203" i="7"/>
  <c r="F97" i="7"/>
  <c r="H37" i="7"/>
  <c r="H266" i="7"/>
  <c r="F75" i="7"/>
  <c r="H234" i="7"/>
  <c r="F275" i="7"/>
  <c r="H91" i="7"/>
  <c r="I6" i="7"/>
  <c r="E296" i="7"/>
  <c r="C263" i="7"/>
  <c r="F92" i="7"/>
  <c r="H208" i="7"/>
  <c r="H143" i="7"/>
  <c r="H173" i="7"/>
  <c r="F137" i="7"/>
  <c r="E299" i="7"/>
  <c r="F140" i="7"/>
  <c r="F214" i="7"/>
  <c r="D238" i="7"/>
  <c r="I282" i="7"/>
  <c r="H241" i="7"/>
  <c r="F164" i="7"/>
  <c r="C250" i="7"/>
  <c r="E282" i="7"/>
  <c r="E250" i="7"/>
  <c r="H74" i="7"/>
  <c r="H145" i="7"/>
  <c r="D171" i="7"/>
  <c r="F215" i="7"/>
  <c r="C293" i="7"/>
  <c r="E292" i="7"/>
  <c r="F167" i="7"/>
  <c r="D216" i="7"/>
  <c r="F284" i="7"/>
  <c r="F95" i="7"/>
  <c r="H261" i="7"/>
  <c r="F162" i="7"/>
  <c r="E248" i="7"/>
  <c r="F73" i="7"/>
  <c r="D143" i="7"/>
  <c r="B257" i="7"/>
  <c r="D210" i="7"/>
  <c r="D192" i="7"/>
  <c r="D227" i="7"/>
  <c r="C268" i="7"/>
  <c r="D155" i="7"/>
  <c r="F255" i="7"/>
  <c r="D232" i="7"/>
  <c r="F300" i="7"/>
  <c r="H53" i="7"/>
  <c r="D156" i="7"/>
  <c r="D147" i="7"/>
  <c r="F160" i="7"/>
  <c r="H199" i="7"/>
  <c r="E202" i="7"/>
  <c r="F289" i="7"/>
  <c r="I278" i="7"/>
  <c r="E195" i="7"/>
  <c r="D142" i="7"/>
  <c r="D248" i="7"/>
  <c r="H213" i="7"/>
  <c r="H114" i="7"/>
  <c r="F194" i="7"/>
  <c r="I3" i="7"/>
  <c r="C299" i="7"/>
  <c r="B284" i="7"/>
  <c r="H184" i="7"/>
  <c r="F161" i="7"/>
  <c r="E288" i="7"/>
  <c r="D243" i="7"/>
  <c r="B276" i="7"/>
  <c r="I289" i="7"/>
  <c r="D131" i="7"/>
  <c r="F283" i="7"/>
  <c r="F236" i="7"/>
  <c r="H256" i="7"/>
  <c r="H85" i="7"/>
  <c r="F204" i="7"/>
  <c r="B292" i="7"/>
  <c r="D279" i="7"/>
  <c r="E178" i="7"/>
  <c r="D287" i="7"/>
  <c r="F109" i="7"/>
  <c r="F124" i="7"/>
  <c r="H122" i="7"/>
  <c r="F266" i="7"/>
  <c r="E294" i="7"/>
  <c r="D150" i="7"/>
  <c r="H279" i="7"/>
  <c r="E249" i="7"/>
  <c r="F34" i="7"/>
  <c r="D145" i="7"/>
  <c r="I286" i="7"/>
  <c r="B269" i="7"/>
  <c r="F163" i="7"/>
  <c r="D244" i="7"/>
  <c r="F260" i="7"/>
  <c r="F114" i="7"/>
  <c r="F133" i="7"/>
  <c r="F148" i="7"/>
  <c r="H223" i="7"/>
  <c r="D291" i="7"/>
  <c r="I258" i="7"/>
  <c r="D151" i="7"/>
  <c r="F132" i="7"/>
  <c r="H108" i="7"/>
  <c r="C278" i="7"/>
  <c r="F198" i="7"/>
  <c r="I284" i="7"/>
  <c r="F93" i="7"/>
  <c r="B287" i="7"/>
  <c r="H73" i="7"/>
  <c r="E196" i="7"/>
  <c r="H297" i="7"/>
  <c r="F271" i="7"/>
  <c r="F89" i="7"/>
  <c r="F84" i="7"/>
  <c r="E208" i="7"/>
  <c r="H144" i="7"/>
  <c r="B278" i="7"/>
  <c r="F101" i="7"/>
  <c r="E221" i="7"/>
  <c r="D168" i="7"/>
  <c r="F110" i="7"/>
  <c r="C6" i="7"/>
  <c r="H196" i="7"/>
  <c r="D139" i="7"/>
  <c r="F285" i="7"/>
  <c r="H59" i="7"/>
  <c r="C296" i="7"/>
  <c r="H39" i="7"/>
  <c r="F104" i="7"/>
  <c r="C254" i="7"/>
  <c r="H221" i="7"/>
  <c r="H211" i="7"/>
  <c r="H94" i="7"/>
  <c r="E228" i="7"/>
  <c r="H166" i="7"/>
  <c r="F282" i="7"/>
  <c r="E210" i="7"/>
  <c r="F70" i="7"/>
  <c r="H222" i="7"/>
  <c r="H292" i="7"/>
  <c r="F176" i="7"/>
  <c r="F40" i="7"/>
  <c r="B298" i="7"/>
  <c r="F90" i="7"/>
  <c r="I294" i="7"/>
  <c r="D233" i="7"/>
  <c r="F211" i="7"/>
  <c r="H206" i="7"/>
  <c r="H272" i="7"/>
  <c r="D236" i="7"/>
  <c r="C287" i="7"/>
  <c r="E209" i="7"/>
  <c r="E220" i="7"/>
  <c r="F138" i="7"/>
  <c r="H67" i="7"/>
  <c r="H270" i="7"/>
  <c r="D299" i="7"/>
  <c r="H71" i="7"/>
  <c r="B283" i="7"/>
  <c r="H43" i="7"/>
  <c r="F142" i="7"/>
  <c r="H100" i="7"/>
  <c r="C270" i="7"/>
  <c r="F56" i="7"/>
  <c r="F43" i="7"/>
  <c r="F108" i="7"/>
  <c r="F156" i="7"/>
  <c r="H288" i="7"/>
  <c r="F182" i="7"/>
  <c r="E279" i="7"/>
  <c r="D178" i="7"/>
  <c r="H242" i="7"/>
  <c r="H232" i="7"/>
  <c r="F88" i="7"/>
  <c r="D197" i="7"/>
  <c r="F68" i="7"/>
  <c r="B285" i="7"/>
  <c r="H205" i="7"/>
  <c r="D200" i="7"/>
  <c r="I299" i="7"/>
  <c r="C288" i="7"/>
  <c r="C257" i="7"/>
  <c r="E289" i="7"/>
  <c r="H259" i="7"/>
  <c r="F274" i="7"/>
  <c r="D154" i="7"/>
  <c r="F52" i="7"/>
  <c r="H285" i="7"/>
  <c r="E244" i="7"/>
  <c r="D218" i="7"/>
  <c r="F166" i="7"/>
  <c r="F242" i="7"/>
  <c r="E246" i="7"/>
  <c r="D175" i="7"/>
  <c r="F298" i="7"/>
  <c r="E287" i="7"/>
  <c r="D172" i="7"/>
  <c r="D207" i="7"/>
  <c r="H249" i="7"/>
  <c r="H210" i="7"/>
  <c r="H70" i="7"/>
  <c r="D292" i="7"/>
  <c r="B4" i="7"/>
  <c r="H260" i="7"/>
  <c r="D237" i="7"/>
  <c r="F144" i="7"/>
  <c r="H228" i="7"/>
  <c r="F134" i="7"/>
  <c r="H148" i="7"/>
  <c r="E297" i="7"/>
  <c r="H262" i="7"/>
  <c r="D245" i="7"/>
  <c r="D146" i="7"/>
  <c r="B262" i="7"/>
  <c r="H286" i="7"/>
  <c r="F111" i="7"/>
  <c r="H157" i="7"/>
  <c r="H5" i="7"/>
  <c r="E254" i="7"/>
  <c r="E274" i="7"/>
  <c r="H45" i="7"/>
  <c r="F121" i="7"/>
  <c r="E286" i="7"/>
  <c r="B290" i="7"/>
  <c r="B250" i="7"/>
  <c r="F185" i="7"/>
  <c r="F42" i="7"/>
  <c r="F126" i="7"/>
  <c r="I285" i="7"/>
  <c r="E263" i="7"/>
  <c r="H104" i="7"/>
  <c r="B261" i="7"/>
  <c r="D269" i="7"/>
  <c r="D174" i="7"/>
  <c r="C289" i="7"/>
  <c r="D148" i="7"/>
  <c r="H294" i="7"/>
  <c r="E200" i="7"/>
  <c r="F172" i="7"/>
  <c r="H154" i="7"/>
  <c r="F248" i="7"/>
  <c r="H278" i="7"/>
  <c r="H274" i="7"/>
  <c r="D276" i="7"/>
  <c r="C262" i="7"/>
  <c r="D252" i="7"/>
  <c r="H83" i="7"/>
  <c r="F79" i="7"/>
  <c r="D219" i="7"/>
  <c r="E185" i="7"/>
  <c r="F189" i="7"/>
  <c r="D6" i="7"/>
  <c r="F118" i="7"/>
  <c r="F83" i="7"/>
  <c r="E268" i="7"/>
  <c r="C298" i="7"/>
  <c r="F80" i="7"/>
  <c r="H246" i="7"/>
  <c r="D193" i="7"/>
  <c r="F63" i="7"/>
  <c r="F197" i="7"/>
  <c r="I251" i="7"/>
  <c r="F210" i="7"/>
  <c r="D211" i="7"/>
  <c r="H176" i="7"/>
  <c r="D144" i="7"/>
  <c r="E238" i="7"/>
  <c r="F220" i="7"/>
  <c r="F237" i="7"/>
  <c r="D190" i="7"/>
  <c r="F54" i="7"/>
  <c r="F57" i="7"/>
  <c r="F66" i="7"/>
  <c r="E231" i="7"/>
  <c r="E270" i="7"/>
  <c r="H89" i="7"/>
  <c r="H203" i="7"/>
  <c r="F91" i="7"/>
  <c r="I297" i="7"/>
  <c r="H119" i="7"/>
  <c r="D293" i="7"/>
  <c r="F147" i="7"/>
  <c r="F231" i="7"/>
  <c r="H113" i="7"/>
  <c r="D265" i="7"/>
  <c r="H151" i="7"/>
  <c r="F294" i="7"/>
  <c r="F141" i="7"/>
  <c r="F234" i="7"/>
  <c r="D167" i="7"/>
  <c r="D271" i="7"/>
  <c r="D258" i="7"/>
  <c r="D242" i="7"/>
  <c r="H275" i="7"/>
  <c r="F154" i="7"/>
  <c r="H147" i="7"/>
  <c r="F72" i="7"/>
  <c r="F259" i="7"/>
  <c r="I250" i="7"/>
  <c r="D239" i="7"/>
  <c r="E253" i="7"/>
  <c r="H128" i="7"/>
  <c r="E218" i="7"/>
  <c r="F297" i="7"/>
  <c r="F208" i="7"/>
  <c r="C295" i="7"/>
  <c r="B293" i="7"/>
  <c r="D270" i="7"/>
  <c r="C300" i="7"/>
  <c r="F191" i="7"/>
  <c r="F177" i="7"/>
  <c r="F187" i="7"/>
  <c r="E277" i="7"/>
  <c r="D199" i="7"/>
  <c r="D136" i="7"/>
  <c r="B255" i="7"/>
  <c r="C285" i="7"/>
  <c r="D206" i="7"/>
  <c r="D297" i="7"/>
  <c r="B280" i="7"/>
  <c r="I271" i="7"/>
  <c r="F200" i="7"/>
  <c r="I5" i="7"/>
  <c r="H6" i="7"/>
  <c r="D226" i="7"/>
  <c r="H219" i="7"/>
  <c r="F94" i="7"/>
  <c r="D183" i="7"/>
  <c r="H136" i="7"/>
  <c r="H96" i="7"/>
  <c r="D209" i="7"/>
  <c r="D160" i="7"/>
  <c r="E262" i="7"/>
  <c r="H258" i="7"/>
  <c r="H54" i="7"/>
  <c r="F125" i="7"/>
  <c r="B294" i="7"/>
  <c r="E204" i="7"/>
  <c r="I293" i="7"/>
  <c r="H50" i="7"/>
  <c r="F105" i="7"/>
  <c r="E217" i="7"/>
  <c r="F183" i="7"/>
  <c r="F99" i="7"/>
  <c r="F202" i="7"/>
  <c r="F223" i="7"/>
  <c r="I261" i="7"/>
  <c r="H61" i="7"/>
  <c r="C251" i="7"/>
  <c r="E188" i="7"/>
  <c r="E219" i="7"/>
  <c r="H142" i="7"/>
  <c r="E226" i="7"/>
  <c r="H124" i="7"/>
  <c r="F206" i="7"/>
  <c r="F192" i="7"/>
  <c r="F149" i="7"/>
  <c r="H41" i="7"/>
  <c r="F37" i="7"/>
  <c r="H220" i="7"/>
  <c r="D282" i="7"/>
  <c r="H198" i="7"/>
  <c r="B260" i="7"/>
  <c r="B253" i="7"/>
  <c r="F225" i="7"/>
  <c r="H137" i="7"/>
  <c r="H161" i="7"/>
  <c r="F87" i="7"/>
  <c r="F291" i="7"/>
  <c r="H77" i="7"/>
  <c r="H268" i="7"/>
  <c r="H291" i="7"/>
  <c r="H287" i="7"/>
  <c r="F228" i="7"/>
  <c r="F287" i="7"/>
  <c r="D290" i="7"/>
  <c r="H155" i="7"/>
  <c r="E197" i="7"/>
  <c r="C261" i="7"/>
  <c r="D205" i="7"/>
  <c r="D295" i="7"/>
  <c r="D2" i="7"/>
  <c r="I253" i="7"/>
  <c r="B279" i="7"/>
  <c r="H289" i="7"/>
  <c r="H226" i="7"/>
  <c r="F168" i="7"/>
  <c r="C265" i="7"/>
  <c r="D153" i="7"/>
  <c r="E255" i="7"/>
  <c r="D285" i="7"/>
  <c r="D298" i="7"/>
  <c r="E258" i="7"/>
  <c r="I265" i="7"/>
  <c r="I277" i="7"/>
  <c r="F136" i="7"/>
  <c r="F258" i="7"/>
  <c r="B300" i="7"/>
  <c r="H170" i="7"/>
  <c r="E265" i="7"/>
  <c r="C255" i="7"/>
  <c r="E181" i="7"/>
  <c r="E190" i="7"/>
  <c r="E252" i="7"/>
  <c r="I288" i="7"/>
  <c r="H244" i="7"/>
  <c r="F45" i="7"/>
  <c r="D215" i="7"/>
  <c r="D203" i="7"/>
  <c r="F107" i="7"/>
  <c r="H55" i="7"/>
  <c r="H38" i="7"/>
  <c r="F179" i="7"/>
  <c r="F46" i="7"/>
  <c r="F278" i="7"/>
  <c r="F190" i="7"/>
  <c r="F244" i="7"/>
  <c r="D250" i="7"/>
  <c r="H95" i="7"/>
  <c r="H169" i="7"/>
  <c r="F155" i="7"/>
  <c r="E3" i="7"/>
  <c r="H178" i="7"/>
  <c r="F128" i="7"/>
  <c r="E179" i="7"/>
  <c r="F175" i="7"/>
  <c r="F245" i="7"/>
  <c r="H47" i="7"/>
  <c r="D163" i="7"/>
  <c r="F169" i="7"/>
  <c r="D223" i="7"/>
  <c r="F102" i="7"/>
  <c r="E6" i="7"/>
  <c r="F71" i="7"/>
  <c r="H98" i="7"/>
  <c r="F115" i="7"/>
  <c r="F193" i="7"/>
  <c r="H172" i="7"/>
  <c r="F293" i="7"/>
  <c r="H44" i="7"/>
  <c r="H75" i="7"/>
  <c r="F286" i="7"/>
  <c r="F188" i="7"/>
  <c r="H111" i="7"/>
  <c r="I276" i="7"/>
  <c r="H130" i="7"/>
  <c r="H46" i="7"/>
  <c r="C282" i="7"/>
  <c r="E291" i="7"/>
  <c r="F170" i="7"/>
  <c r="C264" i="7"/>
  <c r="F246" i="7"/>
  <c r="H264" i="7"/>
  <c r="F67" i="7"/>
  <c r="H248" i="7"/>
  <c r="E273" i="7"/>
  <c r="D187" i="7"/>
  <c r="H93" i="7"/>
  <c r="D235" i="7"/>
  <c r="D135" i="7"/>
  <c r="H80" i="7"/>
  <c r="D257" i="7"/>
  <c r="H251" i="7"/>
  <c r="E272" i="7"/>
  <c r="H49" i="7"/>
  <c r="H118" i="7"/>
  <c r="H120" i="7"/>
  <c r="F241" i="7"/>
  <c r="H243" i="7"/>
  <c r="H197" i="7"/>
  <c r="I298" i="7"/>
  <c r="F152" i="7"/>
  <c r="H233" i="7"/>
  <c r="F184" i="7"/>
  <c r="D3" i="7"/>
  <c r="H168" i="7"/>
  <c r="H252" i="7"/>
  <c r="E232" i="7"/>
  <c r="F81" i="7"/>
  <c r="I264" i="7"/>
  <c r="E193" i="7"/>
  <c r="H107" i="7"/>
  <c r="H193" i="7"/>
  <c r="D263" i="7"/>
  <c r="F53" i="7"/>
  <c r="E201" i="7"/>
  <c r="D300" i="7"/>
  <c r="H207" i="7"/>
  <c r="H105" i="7"/>
  <c r="F36" i="7"/>
  <c r="I266" i="7"/>
  <c r="D198" i="7"/>
  <c r="H300" i="7"/>
  <c r="C277" i="7"/>
  <c r="I269" i="7"/>
  <c r="H267" i="7"/>
  <c r="H163" i="7"/>
  <c r="F150" i="7"/>
  <c r="D230" i="7"/>
  <c r="H87" i="7"/>
  <c r="F230" i="7"/>
  <c r="H132" i="7"/>
  <c r="H218" i="7"/>
  <c r="H69" i="7"/>
  <c r="C3" i="7"/>
  <c r="H141" i="7"/>
  <c r="D170" i="7"/>
  <c r="D189" i="7"/>
  <c r="D194" i="7"/>
  <c r="D184" i="7"/>
  <c r="B254" i="7"/>
  <c r="F227" i="7"/>
  <c r="H66" i="7"/>
  <c r="E285" i="7"/>
  <c r="H60" i="7"/>
  <c r="H99" i="7"/>
  <c r="F295" i="7"/>
  <c r="E236" i="7"/>
  <c r="H277" i="7"/>
  <c r="I257" i="7"/>
  <c r="F171" i="7"/>
  <c r="D260" i="7"/>
  <c r="F221" i="7"/>
  <c r="C5" i="7"/>
  <c r="E225" i="7"/>
  <c r="F165" i="7"/>
  <c r="D140" i="7"/>
  <c r="F257" i="7"/>
  <c r="D267" i="7"/>
  <c r="C274" i="7"/>
  <c r="H269" i="7"/>
  <c r="F41" i="7"/>
  <c r="E257" i="7"/>
  <c r="D181" i="7"/>
  <c r="E281" i="7"/>
  <c r="B270" i="7"/>
  <c r="H167" i="7"/>
  <c r="E216" i="7"/>
  <c r="F196" i="7"/>
  <c r="B5" i="7"/>
  <c r="I290" i="7"/>
  <c r="D177" i="7"/>
  <c r="H238" i="7"/>
  <c r="E266" i="7"/>
  <c r="D166" i="7"/>
  <c r="H56" i="7"/>
  <c r="H159" i="7"/>
  <c r="F44" i="7"/>
  <c r="H146" i="7"/>
  <c r="H231" i="7"/>
  <c r="D229" i="7"/>
  <c r="H254" i="7"/>
  <c r="D255" i="7"/>
  <c r="D208" i="7"/>
  <c r="H298" i="7"/>
  <c r="E283" i="7"/>
  <c r="I275" i="7"/>
  <c r="D169" i="7"/>
  <c r="H253" i="7"/>
  <c r="C260" i="7"/>
  <c r="D180" i="7"/>
  <c r="F219" i="7"/>
  <c r="C271" i="7"/>
  <c r="D152" i="7"/>
  <c r="D162" i="7"/>
  <c r="H152" i="7"/>
  <c r="H51" i="7"/>
  <c r="F233" i="7"/>
  <c r="F117" i="7"/>
  <c r="C252" i="7"/>
  <c r="H62" i="7"/>
  <c r="D275" i="7"/>
  <c r="E182" i="7"/>
  <c r="H281" i="7"/>
  <c r="D182" i="7"/>
  <c r="H106" i="7"/>
  <c r="H101" i="7"/>
  <c r="B266" i="7"/>
  <c r="C279" i="7"/>
  <c r="D289" i="7"/>
  <c r="F205" i="7"/>
  <c r="E4" i="7"/>
  <c r="C267" i="7"/>
  <c r="F181" i="7"/>
  <c r="D158" i="7"/>
  <c r="F272" i="7"/>
  <c r="H227" i="7"/>
  <c r="H139" i="7"/>
  <c r="B275" i="7"/>
  <c r="F48" i="7"/>
  <c r="I295" i="7"/>
  <c r="I279" i="7"/>
  <c r="H247" i="7"/>
  <c r="E214" i="7"/>
  <c r="H134" i="7"/>
  <c r="D247" i="7"/>
  <c r="I274" i="7"/>
  <c r="D191" i="7"/>
  <c r="B296" i="7"/>
  <c r="H215" i="7"/>
  <c r="B281" i="7"/>
  <c r="D272" i="7"/>
  <c r="F267" i="7"/>
  <c r="H72" i="7"/>
  <c r="B291" i="7"/>
  <c r="F273" i="7"/>
  <c r="F47" i="7"/>
  <c r="F290" i="7"/>
  <c r="H280" i="7"/>
  <c r="H162" i="7"/>
  <c r="H52" i="7"/>
  <c r="H42" i="7"/>
  <c r="E215" i="7"/>
  <c r="F139" i="7"/>
  <c r="E259" i="7"/>
  <c r="B252" i="7"/>
  <c r="F3" i="7"/>
  <c r="F49" i="7"/>
  <c r="E191" i="7"/>
  <c r="H3" i="7"/>
  <c r="C269" i="7"/>
  <c r="D240" i="7"/>
  <c r="D137" i="7"/>
  <c r="F222" i="7"/>
  <c r="D288" i="7"/>
  <c r="F235" i="7"/>
  <c r="H164" i="7"/>
  <c r="D225" i="7"/>
  <c r="H216" i="7"/>
  <c r="D261" i="7"/>
  <c r="C275" i="7"/>
  <c r="H209" i="7"/>
  <c r="D249" i="7"/>
  <c r="F180" i="7"/>
  <c r="I287" i="7"/>
  <c r="E260" i="7"/>
  <c r="C294" i="7"/>
  <c r="D176" i="7"/>
  <c r="E298" i="7"/>
  <c r="H63" i="7"/>
  <c r="E241" i="7"/>
  <c r="B295" i="7"/>
  <c r="D284" i="7"/>
  <c r="D186" i="7"/>
  <c r="F77" i="7"/>
  <c r="H204" i="7"/>
  <c r="I2" i="7"/>
  <c r="D134" i="7"/>
  <c r="E280" i="7"/>
  <c r="D256" i="7"/>
  <c r="F296" i="7"/>
  <c r="H123" i="7"/>
  <c r="H135" i="7"/>
  <c r="H78" i="7"/>
  <c r="D280" i="7"/>
  <c r="C291" i="7"/>
  <c r="H126" i="7"/>
  <c r="H283" i="7"/>
  <c r="D214" i="7"/>
  <c r="E239" i="7"/>
  <c r="H217" i="7"/>
  <c r="B297" i="7"/>
  <c r="D268" i="7"/>
  <c r="H174" i="7"/>
  <c r="D262" i="7"/>
  <c r="H116" i="7"/>
  <c r="H4" i="7"/>
  <c r="I273" i="7"/>
  <c r="E293" i="7"/>
  <c r="F256" i="7"/>
  <c r="H183" i="7"/>
  <c r="F159" i="7"/>
  <c r="B6" i="7"/>
  <c r="F113" i="7"/>
  <c r="E2" i="7"/>
  <c r="H245" i="7"/>
  <c r="B289" i="7"/>
  <c r="E205" i="7"/>
  <c r="H188" i="7"/>
  <c r="D179" i="7"/>
  <c r="H237" i="7"/>
  <c r="E192" i="7"/>
  <c r="E243" i="7"/>
  <c r="H177" i="7"/>
  <c r="I255" i="7"/>
  <c r="F4" i="7"/>
  <c r="F103" i="7"/>
  <c r="E275" i="7"/>
  <c r="E183" i="7"/>
  <c r="F69" i="7"/>
  <c r="D201" i="7"/>
  <c r="H239" i="7"/>
  <c r="E237" i="7"/>
  <c r="F74" i="7"/>
  <c r="H68" i="7"/>
  <c r="H299" i="7"/>
  <c r="H229" i="7"/>
  <c r="F96" i="7"/>
  <c r="F263" i="7"/>
  <c r="I272" i="7"/>
  <c r="D296" i="7"/>
  <c r="F38" i="7"/>
  <c r="E242" i="7"/>
  <c r="H150" i="7"/>
  <c r="C292" i="7"/>
  <c r="H187" i="7"/>
  <c r="C256" i="7"/>
  <c r="H257" i="7"/>
  <c r="I260" i="7"/>
  <c r="C2" i="7"/>
  <c r="D294" i="7"/>
  <c r="E247" i="7"/>
  <c r="I283" i="7"/>
  <c r="C284" i="7"/>
  <c r="F76" i="7"/>
  <c r="H88" i="7"/>
  <c r="F280" i="7"/>
  <c r="I280" i="7"/>
  <c r="F35" i="7"/>
  <c r="B251" i="7"/>
  <c r="E271" i="7"/>
  <c r="H97" i="7"/>
  <c r="I4" i="7"/>
  <c r="F268" i="7"/>
  <c r="H79" i="7"/>
  <c r="H165" i="7"/>
  <c r="I263" i="7"/>
  <c r="E213" i="7"/>
  <c r="F269" i="7"/>
  <c r="F127" i="7"/>
  <c r="D132" i="7"/>
  <c r="H179" i="7"/>
  <c r="D254" i="7"/>
  <c r="F174" i="7"/>
  <c r="F119" i="7"/>
  <c r="H255" i="7"/>
  <c r="F116" i="7"/>
  <c r="F213" i="7"/>
  <c r="H284" i="7"/>
  <c r="F151" i="7"/>
  <c r="E5" i="7"/>
  <c r="H138" i="7"/>
  <c r="H92" i="7"/>
  <c r="H190" i="7"/>
  <c r="H127" i="7"/>
  <c r="H110" i="7"/>
  <c r="E194" i="7"/>
  <c r="B274" i="7"/>
  <c r="F51" i="7"/>
  <c r="F288" i="7"/>
  <c r="E184" i="7"/>
  <c r="D246" i="7"/>
  <c r="E284" i="7"/>
  <c r="D286" i="7"/>
  <c r="I254" i="7"/>
  <c r="F249" i="7"/>
  <c r="H202" i="7"/>
  <c r="D273" i="7"/>
  <c r="F270" i="7"/>
  <c r="E186" i="7"/>
  <c r="F112" i="7"/>
  <c r="B277" i="7"/>
  <c r="H186" i="7"/>
  <c r="C259" i="7"/>
  <c r="B273" i="7"/>
  <c r="H103" i="7"/>
  <c r="I256" i="7"/>
  <c r="B259" i="7"/>
  <c r="F120" i="7"/>
  <c r="H109" i="7"/>
  <c r="D231" i="7"/>
  <c r="F153" i="7"/>
  <c r="H102" i="7"/>
  <c r="H117" i="7"/>
  <c r="F78" i="7"/>
  <c r="F60" i="7"/>
  <c r="H189" i="7"/>
  <c r="H192" i="7"/>
  <c r="D195" i="7"/>
  <c r="H2" i="7"/>
  <c r="H273" i="7"/>
  <c r="B268" i="7"/>
  <c r="C4" i="7"/>
  <c r="I262" i="7"/>
  <c r="F186" i="7"/>
  <c r="F39" i="7"/>
  <c r="B258" i="7"/>
  <c r="F145" i="7"/>
  <c r="F146" i="7"/>
  <c r="B282" i="7"/>
  <c r="H112" i="7"/>
  <c r="B272" i="7"/>
  <c r="D281" i="7"/>
  <c r="F173" i="7"/>
  <c r="C253" i="7"/>
  <c r="F82" i="7"/>
  <c r="F123" i="7"/>
  <c r="F238" i="7"/>
  <c r="D277" i="7"/>
  <c r="H82" i="7"/>
  <c r="H48" i="7"/>
  <c r="D141" i="7"/>
  <c r="C286" i="7"/>
  <c r="B3" i="7"/>
  <c r="D133" i="7"/>
  <c r="F58" i="7"/>
  <c r="F129" i="7"/>
  <c r="F55" i="7"/>
  <c r="D274" i="7"/>
  <c r="H121" i="7"/>
  <c r="E300" i="7"/>
  <c r="D149" i="7"/>
  <c r="F158" i="7"/>
  <c r="F264" i="7"/>
  <c r="F65" i="7"/>
  <c r="E207" i="7"/>
  <c r="H185" i="7"/>
  <c r="D278" i="7"/>
  <c r="F122" i="7"/>
  <c r="F207" i="7"/>
  <c r="H214" i="7"/>
  <c r="E180" i="7"/>
  <c r="F265" i="7"/>
  <c r="F64" i="7"/>
  <c r="H194" i="7"/>
  <c r="I267" i="7"/>
  <c r="H36" i="7"/>
  <c r="D241" i="7"/>
  <c r="D222" i="7"/>
  <c r="E211" i="7"/>
  <c r="F130" i="7"/>
  <c r="H133" i="7"/>
  <c r="E261" i="7"/>
  <c r="E227" i="7"/>
  <c r="F86" i="7"/>
  <c r="F6" i="7"/>
  <c r="C266" i="7"/>
  <c r="D202" i="7"/>
  <c r="I259" i="7"/>
  <c r="F224" i="7"/>
  <c r="E295" i="7"/>
  <c r="H65" i="7"/>
  <c r="F199" i="7"/>
  <c r="H156" i="7"/>
  <c r="F232" i="7"/>
  <c r="H81" i="7"/>
  <c r="E206" i="7"/>
  <c r="F217" i="7"/>
  <c r="E269" i="7"/>
  <c r="I281" i="7"/>
  <c r="F243" i="7"/>
  <c r="H295" i="7"/>
  <c r="F201" i="7"/>
  <c r="H296" i="7"/>
  <c r="F292" i="7"/>
  <c r="F229" i="7"/>
  <c r="F135" i="7"/>
  <c r="H140" i="7"/>
  <c r="E199" i="7"/>
  <c r="H181" i="7"/>
  <c r="D264" i="7"/>
  <c r="H230" i="7"/>
  <c r="H191" i="7"/>
  <c r="H265" i="7"/>
  <c r="E240" i="7"/>
  <c r="H158" i="7"/>
  <c r="H34" i="7"/>
  <c r="E290" i="7"/>
  <c r="F106" i="7"/>
  <c r="E234" i="7"/>
  <c r="B288" i="7"/>
  <c r="F250" i="7"/>
  <c r="B264" i="7"/>
  <c r="F212" i="7"/>
  <c r="D5" i="7"/>
  <c r="D188" i="7"/>
  <c r="C280" i="7"/>
  <c r="F157" i="7"/>
  <c r="F50" i="7"/>
  <c r="F254" i="7"/>
  <c r="H263" i="7"/>
  <c r="H201" i="7"/>
  <c r="E212" i="7"/>
  <c r="H58" i="7"/>
  <c r="D164" i="7"/>
  <c r="I252" i="7"/>
  <c r="F5" i="7"/>
  <c r="I296" i="7"/>
  <c r="H57" i="7"/>
  <c r="E233" i="7"/>
  <c r="C258" i="7"/>
  <c r="B286" i="7"/>
  <c r="D259" i="7"/>
  <c r="D266" i="7"/>
  <c r="D157" i="7"/>
  <c r="F240" i="7"/>
  <c r="F143" i="7"/>
  <c r="D220" i="7"/>
  <c r="F218" i="7"/>
  <c r="E187" i="7"/>
  <c r="H131" i="7"/>
  <c r="E189" i="7"/>
  <c r="E203" i="7"/>
  <c r="E230" i="7"/>
  <c r="F216" i="7"/>
  <c r="D253" i="7"/>
  <c r="F195" i="7"/>
  <c r="F61" i="7"/>
  <c r="H40" i="7"/>
  <c r="B256" i="7"/>
  <c r="D234" i="7"/>
  <c r="E222" i="7"/>
  <c r="C276" i="7"/>
  <c r="C281" i="7"/>
  <c r="D228" i="7"/>
  <c r="D283" i="7"/>
  <c r="F59" i="7"/>
  <c r="F85" i="7"/>
  <c r="B263" i="7"/>
  <c r="E251" i="7"/>
  <c r="F276" i="7"/>
  <c r="F251" i="7"/>
  <c r="C290" i="7"/>
  <c r="F178" i="7"/>
  <c r="F239" i="7"/>
  <c r="H175" i="7"/>
  <c r="X75" i="8" a="1"/>
  <c r="X75" i="8" s="1"/>
  <c r="AJ245" i="8" a="1"/>
  <c r="AJ245" i="8" s="1"/>
  <c r="AB197" i="8" a="1"/>
  <c r="AB197" i="8" s="1"/>
  <c r="Y197" i="8" a="1"/>
  <c r="Y197" i="8" s="1"/>
  <c r="X199" i="8" a="1"/>
  <c r="X199" i="8" s="1"/>
  <c r="X171" i="8" a="1"/>
  <c r="X171" i="8" s="1"/>
  <c r="U171" i="8" a="1"/>
  <c r="U171" i="8" s="1"/>
  <c r="V27" i="8" a="1"/>
  <c r="V27" i="8" s="1"/>
  <c r="AF245" i="8" a="1"/>
  <c r="AF245" i="8" s="1"/>
  <c r="AC245" i="8" a="1"/>
  <c r="AC245" i="8" s="1"/>
  <c r="X99" i="8" a="1"/>
  <c r="X99" i="8" s="1"/>
  <c r="AB245" i="8" a="1"/>
  <c r="AB245" i="8" s="1"/>
  <c r="AF146" i="8" a="1"/>
  <c r="AF146" i="8" s="1"/>
  <c r="W221" i="8" a="1"/>
  <c r="W221" i="8" s="1"/>
  <c r="AJ197" i="8" a="1"/>
  <c r="AJ197" i="8" s="1"/>
  <c r="AG197" i="8" a="1"/>
  <c r="AG197" i="8" s="1"/>
  <c r="AJ146" i="8" a="1"/>
  <c r="AJ146" i="8" s="1"/>
  <c r="AD52" i="8" a="1"/>
  <c r="AD52" i="8" s="1"/>
  <c r="AF197" i="8" a="1"/>
  <c r="AF197" i="8" s="1"/>
  <c r="AC197" i="8" a="1"/>
  <c r="AC197" i="8" s="1"/>
  <c r="AJ50" i="8" a="1"/>
  <c r="AJ50" i="8" s="1"/>
  <c r="AA54" i="8" a="1"/>
  <c r="AA54" i="8" s="1"/>
  <c r="AE53" i="8" a="1"/>
  <c r="AE53" i="8" s="1"/>
  <c r="W54" i="8" a="1"/>
  <c r="W54" i="8" s="1"/>
  <c r="Z53" i="8" a="1"/>
  <c r="Z53" i="8" s="1"/>
  <c r="AC25" i="8" a="1"/>
  <c r="AC25" i="8" s="1"/>
  <c r="U76" i="8" a="1"/>
  <c r="U76" i="8" s="1"/>
  <c r="AJ98" i="8" a="1"/>
  <c r="AJ98" i="8" s="1"/>
  <c r="AG98" i="8" a="1"/>
  <c r="AG98" i="8" s="1"/>
  <c r="AG147" i="8" a="1"/>
  <c r="AG147" i="8" s="1"/>
  <c r="AJ74" i="8" a="1"/>
  <c r="AJ74" i="8" s="1"/>
  <c r="AG74" i="8" a="1"/>
  <c r="AG74" i="8" s="1"/>
  <c r="Y246" i="8" a="1"/>
  <c r="Y246" i="8" s="1"/>
  <c r="AH29" i="8" a="1"/>
  <c r="AH29" i="8" s="1"/>
  <c r="AF222" i="8" a="1"/>
  <c r="AF222" i="8" s="1"/>
  <c r="AC222" i="8" a="1"/>
  <c r="AC222" i="8" s="1"/>
  <c r="U200" i="8" a="1"/>
  <c r="U200" i="8" s="1"/>
  <c r="AB171" i="8" a="1"/>
  <c r="AB171" i="8" s="1"/>
  <c r="Y171" i="8" a="1"/>
  <c r="Y171" i="8" s="1"/>
  <c r="AG51" i="8" a="1"/>
  <c r="AG51" i="8" s="1"/>
  <c r="AF98" i="8" a="1"/>
  <c r="AF98" i="8" s="1"/>
  <c r="AC98" i="8" a="1"/>
  <c r="AC98" i="8" s="1"/>
  <c r="AB147" i="8" a="1"/>
  <c r="AB147" i="8" s="1"/>
  <c r="Y147" i="8" a="1"/>
  <c r="Y147" i="8" s="1"/>
  <c r="AJ123" i="8" a="1"/>
  <c r="AJ123" i="8" s="1"/>
  <c r="AG123" i="8" a="1"/>
  <c r="AG123" i="8" s="1"/>
  <c r="AE26" i="8" a="1"/>
  <c r="AE26" i="8" s="1"/>
  <c r="U100" i="8" a="1"/>
  <c r="U100" i="8" s="1"/>
  <c r="AJ222" i="8" a="1"/>
  <c r="AJ222" i="8" s="1"/>
  <c r="AG222" i="8" a="1"/>
  <c r="AG222" i="8" s="1"/>
  <c r="AB51" i="8" a="1"/>
  <c r="AB51" i="8" s="1"/>
  <c r="Y51" i="8" a="1"/>
  <c r="Y51" i="8" s="1"/>
  <c r="AJ172" i="8" a="1"/>
  <c r="AJ172" i="8" s="1"/>
  <c r="AG172" i="8" a="1"/>
  <c r="AG172" i="8" s="1"/>
  <c r="AG26" i="8" a="1"/>
  <c r="AG26" i="8" s="1"/>
  <c r="AF50" i="8" a="1"/>
  <c r="AF50" i="8" s="1"/>
  <c r="AC50" i="8" a="1"/>
  <c r="AC50" i="8" s="1"/>
  <c r="X221" i="8" a="1"/>
  <c r="X221" i="8" s="1"/>
  <c r="U221" i="8" a="1"/>
  <c r="U221" i="8" s="1"/>
  <c r="W28" i="8" a="1"/>
  <c r="W28" i="8" s="1"/>
  <c r="Z26" i="8" a="1"/>
  <c r="Z26" i="8" s="1"/>
  <c r="AA26" i="8" a="1"/>
  <c r="AA26" i="8" s="1"/>
  <c r="X123" i="8" a="1"/>
  <c r="X123" i="8" s="1"/>
  <c r="U123" i="8" a="1"/>
  <c r="U123" i="8" s="1"/>
  <c r="AB99" i="8" a="1"/>
  <c r="AB99" i="8" s="1"/>
  <c r="Y99" i="8" a="1"/>
  <c r="Y99" i="8" s="1"/>
  <c r="AB123" i="8" a="1"/>
  <c r="AB123" i="8" s="1"/>
  <c r="Y123" i="8" a="1"/>
  <c r="Y123" i="8" s="1"/>
  <c r="AG246" i="8" a="1"/>
  <c r="AG246" i="8" s="1"/>
  <c r="AF172" i="8" a="1"/>
  <c r="AF172" i="8" s="1"/>
  <c r="AC172" i="8" a="1"/>
  <c r="AC172" i="8" s="1"/>
  <c r="Y26" i="8" a="1"/>
  <c r="Y26" i="8" s="1"/>
  <c r="U26" i="8" a="1"/>
  <c r="U26" i="8" s="1"/>
  <c r="X246" i="8" a="1"/>
  <c r="X246" i="8" s="1"/>
  <c r="U246" i="8" a="1"/>
  <c r="U246" i="8" s="1"/>
  <c r="AF122" i="8" a="1"/>
  <c r="AF122" i="8" s="1"/>
  <c r="AC122" i="8" a="1"/>
  <c r="AC122" i="8" s="1"/>
  <c r="AF74" i="8" a="1"/>
  <c r="AF74" i="8" s="1"/>
  <c r="AC74" i="8" a="1"/>
  <c r="AC74" i="8" s="1"/>
  <c r="AC147" i="8" a="1"/>
  <c r="AC147" i="8" s="1"/>
  <c r="X51" i="8" a="1"/>
  <c r="X51" i="8" s="1"/>
  <c r="U51" i="8" a="1"/>
  <c r="U51" i="8" s="1"/>
  <c r="AI26" i="8" a="1"/>
  <c r="AI26" i="8" s="1"/>
  <c r="AB222" i="8" a="1"/>
  <c r="AB222" i="8" s="1"/>
  <c r="Y222" i="8" a="1"/>
  <c r="Y222" i="8" s="1"/>
  <c r="X147" i="8" a="1"/>
  <c r="X147" i="8" s="1"/>
  <c r="U147" i="8" a="1"/>
  <c r="U147" i="8" s="1"/>
  <c r="AB75" i="8" a="1"/>
  <c r="AB75" i="8" s="1"/>
  <c r="Y75" i="8" a="1"/>
  <c r="Y75" i="8" s="1"/>
  <c r="AD26" i="8" a="1"/>
  <c r="AD26" i="8" s="1"/>
  <c r="AJ147" i="8" l="1" a="1"/>
  <c r="AJ147" i="8" s="1"/>
  <c r="W222" i="8" a="1"/>
  <c r="W222" i="8" s="1"/>
  <c r="AB246" i="8" a="1"/>
  <c r="AB246" i="8" s="1"/>
  <c r="Z54" i="8" a="1"/>
  <c r="Z54" i="8" s="1"/>
  <c r="AE54" i="8" a="1"/>
  <c r="AE54" i="8" s="1"/>
  <c r="AJ51" i="8" a="1"/>
  <c r="AJ51" i="8" s="1"/>
  <c r="AF147" i="8" a="1"/>
  <c r="AF147" i="8" s="1"/>
  <c r="AF246" i="8" a="1"/>
  <c r="AF246" i="8" s="1"/>
  <c r="AC246" i="8" a="1"/>
  <c r="AC246" i="8" s="1"/>
  <c r="X172" i="8" a="1"/>
  <c r="X172" i="8" s="1"/>
  <c r="U172" i="8" a="1"/>
  <c r="U172" i="8" s="1"/>
  <c r="AJ246" i="8" a="1"/>
  <c r="AJ246" i="8" s="1"/>
  <c r="AF198" i="8" a="1"/>
  <c r="AF198" i="8" s="1"/>
  <c r="AC198" i="8" a="1"/>
  <c r="AC198" i="8" s="1"/>
  <c r="AD53" i="8" a="1"/>
  <c r="AD53" i="8" s="1"/>
  <c r="X100" i="8" a="1"/>
  <c r="X100" i="8" s="1"/>
  <c r="X200" i="8" a="1"/>
  <c r="X200" i="8" s="1"/>
  <c r="X76" i="8" a="1"/>
  <c r="X76" i="8" s="1"/>
  <c r="W55" i="8" a="1"/>
  <c r="W55" i="8" s="1"/>
  <c r="AA55" i="8" a="1"/>
  <c r="AA55" i="8" s="1"/>
  <c r="AJ198" i="8" a="1"/>
  <c r="AJ198" i="8" s="1"/>
  <c r="AG198" i="8" a="1"/>
  <c r="AG198" i="8" s="1"/>
  <c r="V28" i="8" a="1"/>
  <c r="V28" i="8" s="1"/>
  <c r="AB198" i="8" a="1"/>
  <c r="AB198" i="8" s="1"/>
  <c r="Y198" i="8" a="1"/>
  <c r="Y198" i="8" s="1"/>
  <c r="X52" i="8" a="1"/>
  <c r="X52" i="8" s="1"/>
  <c r="U52" i="8" a="1"/>
  <c r="U52" i="8" s="1"/>
  <c r="X247" i="8" a="1"/>
  <c r="X247" i="8" s="1"/>
  <c r="U247" i="8" a="1"/>
  <c r="U247" i="8" s="1"/>
  <c r="Y27" i="8" a="1"/>
  <c r="Y27" i="8" s="1"/>
  <c r="AB52" i="8" a="1"/>
  <c r="AB52" i="8" s="1"/>
  <c r="Y52" i="8" a="1"/>
  <c r="Y52" i="8" s="1"/>
  <c r="AF99" i="8" a="1"/>
  <c r="AF99" i="8" s="1"/>
  <c r="AC99" i="8" a="1"/>
  <c r="AC99" i="8" s="1"/>
  <c r="AF223" i="8" a="1"/>
  <c r="AF223" i="8" s="1"/>
  <c r="AC223" i="8" a="1"/>
  <c r="AC223" i="8" s="1"/>
  <c r="AI27" i="8" a="1"/>
  <c r="AI27" i="8" s="1"/>
  <c r="AF75" i="8" a="1"/>
  <c r="AF75" i="8" s="1"/>
  <c r="AC75" i="8" a="1"/>
  <c r="AC75" i="8" s="1"/>
  <c r="AF123" i="8" a="1"/>
  <c r="AF123" i="8" s="1"/>
  <c r="AC123" i="8" a="1"/>
  <c r="AC123" i="8" s="1"/>
  <c r="U27" i="8" a="1"/>
  <c r="U27" i="8" s="1"/>
  <c r="AB124" i="8" a="1"/>
  <c r="AB124" i="8" s="1"/>
  <c r="Y124" i="8" a="1"/>
  <c r="Y124" i="8" s="1"/>
  <c r="Z27" i="8" a="1"/>
  <c r="Z27" i="8" s="1"/>
  <c r="AF51" i="8" a="1"/>
  <c r="AF51" i="8" s="1"/>
  <c r="AC51" i="8" a="1"/>
  <c r="AC51" i="8" s="1"/>
  <c r="X201" i="8" a="1"/>
  <c r="X201" i="8" s="1"/>
  <c r="U201" i="8" a="1"/>
  <c r="U201" i="8" s="1"/>
  <c r="Y247" i="8" a="1"/>
  <c r="Y247" i="8" s="1"/>
  <c r="AJ99" i="8" a="1"/>
  <c r="AJ99" i="8" s="1"/>
  <c r="AG99" i="8" a="1"/>
  <c r="AG99" i="8" s="1"/>
  <c r="U77" i="8" a="1"/>
  <c r="U77" i="8" s="1"/>
  <c r="AD27" i="8" a="1"/>
  <c r="AD27" i="8" s="1"/>
  <c r="AG247" i="8" a="1"/>
  <c r="AG247" i="8" s="1"/>
  <c r="X124" i="8" a="1"/>
  <c r="X124" i="8" s="1"/>
  <c r="U124" i="8" a="1"/>
  <c r="U124" i="8" s="1"/>
  <c r="W29" i="8" a="1"/>
  <c r="W29" i="8" s="1"/>
  <c r="X222" i="8" a="1"/>
  <c r="X222" i="8" s="1"/>
  <c r="U222" i="8" a="1"/>
  <c r="U222" i="8" s="1"/>
  <c r="AG27" i="8" a="1"/>
  <c r="AG27" i="8" s="1"/>
  <c r="AJ173" i="8" a="1"/>
  <c r="AJ173" i="8" s="1"/>
  <c r="AG173" i="8" a="1"/>
  <c r="AG173" i="8" s="1"/>
  <c r="U101" i="8" a="1"/>
  <c r="U101" i="8" s="1"/>
  <c r="AB148" i="8" a="1"/>
  <c r="AB148" i="8" s="1"/>
  <c r="Y148" i="8" a="1"/>
  <c r="Y148" i="8" s="1"/>
  <c r="AB172" i="8" a="1"/>
  <c r="AB172" i="8" s="1"/>
  <c r="Y172" i="8" a="1"/>
  <c r="Y172" i="8" s="1"/>
  <c r="AH30" i="8" a="1"/>
  <c r="AH30" i="8" s="1"/>
  <c r="AB76" i="8" a="1"/>
  <c r="AB76" i="8" s="1"/>
  <c r="Y76" i="8" a="1"/>
  <c r="Y76" i="8" s="1"/>
  <c r="X148" i="8" a="1"/>
  <c r="X148" i="8" s="1"/>
  <c r="U148" i="8" a="1"/>
  <c r="U148" i="8" s="1"/>
  <c r="AB223" i="8" a="1"/>
  <c r="AB223" i="8" s="1"/>
  <c r="Y223" i="8" a="1"/>
  <c r="Y223" i="8" s="1"/>
  <c r="AC148" i="8" a="1"/>
  <c r="AC148" i="8" s="1"/>
  <c r="AF173" i="8" a="1"/>
  <c r="AF173" i="8" s="1"/>
  <c r="AC173" i="8" a="1"/>
  <c r="AC173" i="8" s="1"/>
  <c r="AB100" i="8" a="1"/>
  <c r="AB100" i="8" s="1"/>
  <c r="Y100" i="8" a="1"/>
  <c r="Y100" i="8" s="1"/>
  <c r="AA27" i="8" a="1"/>
  <c r="AA27" i="8" s="1"/>
  <c r="AJ223" i="8" a="1"/>
  <c r="AJ223" i="8" s="1"/>
  <c r="AG223" i="8" a="1"/>
  <c r="AG223" i="8" s="1"/>
  <c r="AE27" i="8" a="1"/>
  <c r="AE27" i="8" s="1"/>
  <c r="AJ124" i="8" a="1"/>
  <c r="AJ124" i="8" s="1"/>
  <c r="AG124" i="8" a="1"/>
  <c r="AG124" i="8" s="1"/>
  <c r="AG52" i="8" a="1"/>
  <c r="AG52" i="8" s="1"/>
  <c r="AJ75" i="8" a="1"/>
  <c r="AJ75" i="8" s="1"/>
  <c r="AG75" i="8" a="1"/>
  <c r="AG75" i="8" s="1"/>
  <c r="AG148" i="8" a="1"/>
  <c r="AG148" i="8" s="1"/>
  <c r="AC26" i="8" a="1"/>
  <c r="AC26" i="8" s="1"/>
  <c r="X77" i="8" l="1" a="1"/>
  <c r="X77" i="8" s="1"/>
  <c r="AE55" i="8" a="1"/>
  <c r="AE55" i="8" s="1"/>
  <c r="AB247" i="8" a="1"/>
  <c r="AB247" i="8" s="1"/>
  <c r="AA57" i="8" a="1"/>
  <c r="AA57" i="8" s="1"/>
  <c r="AA56" i="8" a="1"/>
  <c r="AA56" i="8" s="1"/>
  <c r="AF148" i="8" a="1"/>
  <c r="AF148" i="8" s="1"/>
  <c r="AJ148" i="8" a="1"/>
  <c r="AJ148" i="8" s="1"/>
  <c r="V29" i="8" a="1"/>
  <c r="V29" i="8" s="1"/>
  <c r="AF199" i="8" a="1"/>
  <c r="AF199" i="8" s="1"/>
  <c r="AC199" i="8" a="1"/>
  <c r="AC199" i="8" s="1"/>
  <c r="AJ247" i="8" a="1"/>
  <c r="AJ247" i="8" s="1"/>
  <c r="AF247" i="8" a="1"/>
  <c r="AF247" i="8" s="1"/>
  <c r="AC247" i="8" a="1"/>
  <c r="AC247" i="8" s="1"/>
  <c r="AJ52" i="8" a="1"/>
  <c r="AJ52" i="8" s="1"/>
  <c r="Z55" i="8" a="1"/>
  <c r="Z55" i="8" s="1"/>
  <c r="AB199" i="8" a="1"/>
  <c r="AB199" i="8" s="1"/>
  <c r="Y199" i="8" a="1"/>
  <c r="Y199" i="8" s="1"/>
  <c r="AJ199" i="8" a="1"/>
  <c r="AJ199" i="8" s="1"/>
  <c r="AG199" i="8" a="1"/>
  <c r="AG199" i="8" s="1"/>
  <c r="W57" i="8" a="1"/>
  <c r="W57" i="8" s="1"/>
  <c r="W56" i="8" a="1"/>
  <c r="W56" i="8" s="1"/>
  <c r="X101" i="8" a="1"/>
  <c r="X101" i="8" s="1"/>
  <c r="AD54" i="8" a="1"/>
  <c r="AD54" i="8" s="1"/>
  <c r="X173" i="8" a="1"/>
  <c r="X173" i="8" s="1"/>
  <c r="U173" i="8" a="1"/>
  <c r="U173" i="8" s="1"/>
  <c r="W223" i="8" a="1"/>
  <c r="W223" i="8" s="1"/>
  <c r="AC149" i="8" a="1"/>
  <c r="AC149" i="8" s="1"/>
  <c r="AB77" i="8" a="1"/>
  <c r="AB77" i="8" s="1"/>
  <c r="Y77" i="8" a="1"/>
  <c r="Y77" i="8" s="1"/>
  <c r="AB173" i="8" a="1"/>
  <c r="AB173" i="8" s="1"/>
  <c r="Y173" i="8" a="1"/>
  <c r="Y173" i="8" s="1"/>
  <c r="W30" i="8" a="1"/>
  <c r="W30" i="8" s="1"/>
  <c r="U28" i="8" a="1"/>
  <c r="U28" i="8" s="1"/>
  <c r="X248" i="8" a="1"/>
  <c r="X248" i="8" s="1"/>
  <c r="U248" i="8" a="1"/>
  <c r="U248" i="8" s="1"/>
  <c r="AB101" i="8" a="1"/>
  <c r="AB101" i="8" s="1"/>
  <c r="Y101" i="8" a="1"/>
  <c r="Y101" i="8" s="1"/>
  <c r="AF174" i="8" a="1"/>
  <c r="AF174" i="8" s="1"/>
  <c r="AC174" i="8" a="1"/>
  <c r="AC174" i="8" s="1"/>
  <c r="AH31" i="8" a="1"/>
  <c r="AH31" i="8" s="1"/>
  <c r="AJ174" i="8" a="1"/>
  <c r="AJ174" i="8" s="1"/>
  <c r="AG174" i="8" a="1"/>
  <c r="AG174" i="8" s="1"/>
  <c r="X223" i="8" a="1"/>
  <c r="X223" i="8" s="1"/>
  <c r="U223" i="8" a="1"/>
  <c r="U223" i="8" s="1"/>
  <c r="AJ100" i="8" a="1"/>
  <c r="AJ100" i="8" s="1"/>
  <c r="AG100" i="8" a="1"/>
  <c r="AG100" i="8" s="1"/>
  <c r="Y248" i="8" a="1"/>
  <c r="Y248" i="8" s="1"/>
  <c r="AF52" i="8" a="1"/>
  <c r="AF52" i="8" s="1"/>
  <c r="AC52" i="8" a="1"/>
  <c r="AC52" i="8" s="1"/>
  <c r="AF76" i="8" a="1"/>
  <c r="AF76" i="8" s="1"/>
  <c r="AC76" i="8" a="1"/>
  <c r="AC76" i="8" s="1"/>
  <c r="Y28" i="8" a="1"/>
  <c r="Y28" i="8" s="1"/>
  <c r="AC27" i="8" a="1"/>
  <c r="AC27" i="8" s="1"/>
  <c r="X149" i="8" a="1"/>
  <c r="X149" i="8" s="1"/>
  <c r="U149" i="8" a="1"/>
  <c r="U149" i="8" s="1"/>
  <c r="U102" i="8" a="1"/>
  <c r="U102" i="8" s="1"/>
  <c r="AG248" i="8" a="1"/>
  <c r="AG248" i="8" s="1"/>
  <c r="AB125" i="8" a="1"/>
  <c r="AB125" i="8" s="1"/>
  <c r="Y125" i="8" a="1"/>
  <c r="Y125" i="8" s="1"/>
  <c r="AF224" i="8" a="1"/>
  <c r="AF224" i="8" s="1"/>
  <c r="AC224" i="8" a="1"/>
  <c r="AC224" i="8" s="1"/>
  <c r="AG149" i="8" a="1"/>
  <c r="AG149" i="8" s="1"/>
  <c r="AJ125" i="8" a="1"/>
  <c r="AJ125" i="8" s="1"/>
  <c r="AG125" i="8" a="1"/>
  <c r="AG125" i="8" s="1"/>
  <c r="AJ76" i="8" a="1"/>
  <c r="AJ76" i="8" s="1"/>
  <c r="AG76" i="8" a="1"/>
  <c r="AG76" i="8" s="1"/>
  <c r="AG53" i="8" a="1"/>
  <c r="AG53" i="8" s="1"/>
  <c r="AE28" i="8" a="1"/>
  <c r="AE28" i="8" s="1"/>
  <c r="AJ224" i="8" a="1"/>
  <c r="AJ224" i="8" s="1"/>
  <c r="AG224" i="8" a="1"/>
  <c r="AG224" i="8" s="1"/>
  <c r="AA28" i="8" a="1"/>
  <c r="AA28" i="8" s="1"/>
  <c r="AB224" i="8" a="1"/>
  <c r="AB224" i="8" s="1"/>
  <c r="Y224" i="8" a="1"/>
  <c r="Y224" i="8" s="1"/>
  <c r="AB149" i="8" a="1"/>
  <c r="AB149" i="8" s="1"/>
  <c r="Y149" i="8" a="1"/>
  <c r="Y149" i="8" s="1"/>
  <c r="AG28" i="8" a="1"/>
  <c r="AG28" i="8" s="1"/>
  <c r="X125" i="8" a="1"/>
  <c r="X125" i="8" s="1"/>
  <c r="U125" i="8" a="1"/>
  <c r="U125" i="8" s="1"/>
  <c r="AD28" i="8" a="1"/>
  <c r="AD28" i="8" s="1"/>
  <c r="U78" i="8" a="1"/>
  <c r="U78" i="8" s="1"/>
  <c r="Z28" i="8" a="1"/>
  <c r="Z28" i="8" s="1"/>
  <c r="AF124" i="8" a="1"/>
  <c r="AF124" i="8" s="1"/>
  <c r="AC124" i="8" a="1"/>
  <c r="AC124" i="8" s="1"/>
  <c r="AI28" i="8" a="1"/>
  <c r="AI28" i="8" s="1"/>
  <c r="AF100" i="8" a="1"/>
  <c r="AF100" i="8" s="1"/>
  <c r="AC100" i="8" a="1"/>
  <c r="AC100" i="8" s="1"/>
  <c r="AB53" i="8" a="1"/>
  <c r="AB53" i="8" s="1"/>
  <c r="Y53" i="8" a="1"/>
  <c r="Y53" i="8" s="1"/>
  <c r="X53" i="8" a="1"/>
  <c r="X53" i="8" s="1"/>
  <c r="U53" i="8" a="1"/>
  <c r="U53" i="8" s="1"/>
  <c r="AJ200" i="8" l="1" a="1"/>
  <c r="AJ200" i="8" s="1"/>
  <c r="AG200" i="8" a="1"/>
  <c r="AG200" i="8" s="1"/>
  <c r="AF248" i="8" a="1"/>
  <c r="AF248" i="8" s="1"/>
  <c r="AC248" i="8" a="1"/>
  <c r="AC248" i="8" s="1"/>
  <c r="AD55" i="8" a="1"/>
  <c r="AD55" i="8" s="1"/>
  <c r="AB200" i="8" a="1"/>
  <c r="AB200" i="8" s="1"/>
  <c r="Y200" i="8" a="1"/>
  <c r="Y200" i="8" s="1"/>
  <c r="AJ53" i="8" a="1"/>
  <c r="AJ53" i="8" s="1"/>
  <c r="AF200" i="8" a="1"/>
  <c r="AF200" i="8" s="1"/>
  <c r="AC200" i="8" a="1"/>
  <c r="AC200" i="8" s="1"/>
  <c r="AJ149" i="8" a="1"/>
  <c r="AJ149" i="8" s="1"/>
  <c r="AF149" i="8" a="1"/>
  <c r="AF149" i="8" s="1"/>
  <c r="AB248" i="8" a="1"/>
  <c r="AB248" i="8" s="1"/>
  <c r="AE57" i="8" a="1"/>
  <c r="AE57" i="8" s="1"/>
  <c r="AE56" i="8" a="1"/>
  <c r="AE56" i="8" s="1"/>
  <c r="W224" i="8" a="1"/>
  <c r="W224" i="8" s="1"/>
  <c r="AJ248" i="8" a="1"/>
  <c r="AJ248" i="8" s="1"/>
  <c r="X174" i="8" a="1"/>
  <c r="X174" i="8" s="1"/>
  <c r="U174" i="8" a="1"/>
  <c r="U174" i="8" s="1"/>
  <c r="X102" i="8" a="1"/>
  <c r="X102" i="8" s="1"/>
  <c r="Z57" i="8" a="1"/>
  <c r="Z57" i="8" s="1"/>
  <c r="Z56" i="8" a="1"/>
  <c r="Z56" i="8" s="1"/>
  <c r="V30" i="8" a="1"/>
  <c r="V30" i="8" s="1"/>
  <c r="X78" i="8" a="1"/>
  <c r="X78" i="8" s="1"/>
  <c r="AB54" i="8" a="1"/>
  <c r="AB54" i="8" s="1"/>
  <c r="Y54" i="8" a="1"/>
  <c r="Y54" i="8" s="1"/>
  <c r="Z29" i="8" a="1"/>
  <c r="Z29" i="8" s="1"/>
  <c r="AD29" i="8" a="1"/>
  <c r="AD29" i="8" s="1"/>
  <c r="X126" i="8" a="1"/>
  <c r="X126" i="8" s="1"/>
  <c r="U126" i="8" a="1"/>
  <c r="U126" i="8" s="1"/>
  <c r="AG54" i="8" a="1"/>
  <c r="AG54" i="8" s="1"/>
  <c r="AF225" i="8" a="1"/>
  <c r="AF225" i="8" s="1"/>
  <c r="AC225" i="8" a="1"/>
  <c r="AC225" i="8" s="1"/>
  <c r="AG249" i="8" a="1"/>
  <c r="AG249" i="8" s="1"/>
  <c r="AC28" i="8" a="1"/>
  <c r="AC28" i="8" s="1"/>
  <c r="AJ101" i="8" a="1"/>
  <c r="AJ101" i="8" s="1"/>
  <c r="AG101" i="8" a="1"/>
  <c r="AG101" i="8" s="1"/>
  <c r="X224" i="8" a="1"/>
  <c r="X224" i="8" s="1"/>
  <c r="U224" i="8" a="1"/>
  <c r="U224" i="8" s="1"/>
  <c r="AF175" i="8" a="1"/>
  <c r="AF175" i="8" s="1"/>
  <c r="AC175" i="8" a="1"/>
  <c r="AC175" i="8" s="1"/>
  <c r="U29" i="8" a="1"/>
  <c r="U29" i="8" s="1"/>
  <c r="AG29" i="8" a="1"/>
  <c r="AG29" i="8" s="1"/>
  <c r="AB150" i="8" a="1"/>
  <c r="AB150" i="8" s="1"/>
  <c r="Y150" i="8" a="1"/>
  <c r="Y150" i="8" s="1"/>
  <c r="AE29" i="8" a="1"/>
  <c r="AE29" i="8" s="1"/>
  <c r="AG150" i="8" a="1"/>
  <c r="AG150" i="8" s="1"/>
  <c r="Y249" i="8" a="1"/>
  <c r="Y249" i="8" s="1"/>
  <c r="AH33" i="8" a="1"/>
  <c r="AH33" i="8" s="1"/>
  <c r="AH32" i="8" a="1"/>
  <c r="AH32" i="8" s="1"/>
  <c r="AB174" i="8" a="1"/>
  <c r="AB174" i="8" s="1"/>
  <c r="Y174" i="8" a="1"/>
  <c r="Y174" i="8" s="1"/>
  <c r="AF101" i="8" a="1"/>
  <c r="AF101" i="8" s="1"/>
  <c r="AC101" i="8" a="1"/>
  <c r="AC101" i="8" s="1"/>
  <c r="AI29" i="8" a="1"/>
  <c r="AI29" i="8" s="1"/>
  <c r="AF125" i="8" a="1"/>
  <c r="AF125" i="8" s="1"/>
  <c r="AC125" i="8" a="1"/>
  <c r="AC125" i="8" s="1"/>
  <c r="AB225" i="8" a="1"/>
  <c r="AB225" i="8" s="1"/>
  <c r="Y225" i="8" a="1"/>
  <c r="Y225" i="8" s="1"/>
  <c r="AJ225" i="8" a="1"/>
  <c r="AJ225" i="8" s="1"/>
  <c r="AG225" i="8" a="1"/>
  <c r="AG225" i="8" s="1"/>
  <c r="AJ77" i="8" a="1"/>
  <c r="AJ77" i="8" s="1"/>
  <c r="AG77" i="8" a="1"/>
  <c r="AG77" i="8" s="1"/>
  <c r="AJ126" i="8" a="1"/>
  <c r="AJ126" i="8" s="1"/>
  <c r="AG126" i="8" a="1"/>
  <c r="AG126" i="8" s="1"/>
  <c r="X150" i="8" a="1"/>
  <c r="X150" i="8" s="1"/>
  <c r="U150" i="8" a="1"/>
  <c r="U150" i="8" s="1"/>
  <c r="Y29" i="8" a="1"/>
  <c r="Y29" i="8" s="1"/>
  <c r="AB102" i="8" a="1"/>
  <c r="AB102" i="8" s="1"/>
  <c r="Y102" i="8" a="1"/>
  <c r="Y102" i="8" s="1"/>
  <c r="U249" i="8" a="1"/>
  <c r="U249" i="8" s="1"/>
  <c r="W31" i="8" a="1"/>
  <c r="W31" i="8" s="1"/>
  <c r="X54" i="8" a="1"/>
  <c r="X54" i="8" s="1"/>
  <c r="U54" i="8" a="1"/>
  <c r="U54" i="8" s="1"/>
  <c r="U79" i="8" a="1"/>
  <c r="U79" i="8" s="1"/>
  <c r="AA29" i="8" a="1"/>
  <c r="AA29" i="8" s="1"/>
  <c r="AB126" i="8" a="1"/>
  <c r="AB126" i="8" s="1"/>
  <c r="Y126" i="8" a="1"/>
  <c r="Y126" i="8" s="1"/>
  <c r="U103" i="8" a="1"/>
  <c r="U103" i="8" s="1"/>
  <c r="AF77" i="8" a="1"/>
  <c r="AF77" i="8" s="1"/>
  <c r="AC77" i="8" a="1"/>
  <c r="AC77" i="8" s="1"/>
  <c r="AF53" i="8" a="1"/>
  <c r="AF53" i="8" s="1"/>
  <c r="AC53" i="8" a="1"/>
  <c r="AC53" i="8" s="1"/>
  <c r="AJ175" i="8" a="1"/>
  <c r="AJ175" i="8" s="1"/>
  <c r="AG175" i="8" a="1"/>
  <c r="AG175" i="8" s="1"/>
  <c r="AB78" i="8" a="1"/>
  <c r="AB78" i="8" s="1"/>
  <c r="Y78" i="8" a="1"/>
  <c r="Y78" i="8" s="1"/>
  <c r="AC150" i="8" a="1"/>
  <c r="AC150" i="8" s="1"/>
  <c r="V31" i="8" l="1" a="1"/>
  <c r="V31" i="8" s="1"/>
  <c r="AJ150" i="8" a="1"/>
  <c r="AJ150" i="8" s="1"/>
  <c r="AD57" i="8" a="1"/>
  <c r="AD57" i="8" s="1"/>
  <c r="AD56" i="8" a="1"/>
  <c r="AD56" i="8" s="1"/>
  <c r="X79" i="8" a="1"/>
  <c r="X79" i="8" s="1"/>
  <c r="X175" i="8" a="1"/>
  <c r="X175" i="8" s="1"/>
  <c r="U175" i="8" a="1"/>
  <c r="U175" i="8" s="1"/>
  <c r="AJ54" i="8" a="1"/>
  <c r="AJ54" i="8" s="1"/>
  <c r="AB201" i="8" a="1"/>
  <c r="AB201" i="8" s="1"/>
  <c r="Y201" i="8" a="1"/>
  <c r="Y201" i="8" s="1"/>
  <c r="AJ201" i="8" a="1"/>
  <c r="AJ201" i="8" s="1"/>
  <c r="AG201" i="8" a="1"/>
  <c r="AG201" i="8" s="1"/>
  <c r="X103" i="8" a="1"/>
  <c r="X103" i="8" s="1"/>
  <c r="W225" i="8" a="1"/>
  <c r="W225" i="8" s="1"/>
  <c r="AF150" i="8" a="1"/>
  <c r="AF150" i="8" s="1"/>
  <c r="AF201" i="8" a="1"/>
  <c r="AF201" i="8" s="1"/>
  <c r="AC201" i="8" a="1"/>
  <c r="AC201" i="8" s="1"/>
  <c r="AC249" i="8" a="1"/>
  <c r="AC249" i="8" s="1"/>
  <c r="AB127" i="8" a="1"/>
  <c r="AB127" i="8" s="1"/>
  <c r="Y127" i="8" a="1"/>
  <c r="Y127" i="8" s="1"/>
  <c r="W33" i="8" a="1"/>
  <c r="W33" i="8" s="1"/>
  <c r="W32" i="8" a="1"/>
  <c r="W32" i="8" s="1"/>
  <c r="AB103" i="8" a="1"/>
  <c r="AB103" i="8" s="1"/>
  <c r="Y103" i="8" a="1"/>
  <c r="Y103" i="8" s="1"/>
  <c r="X225" i="8" a="1"/>
  <c r="X225" i="8" s="1"/>
  <c r="U225" i="8" a="1"/>
  <c r="U225" i="8" s="1"/>
  <c r="AJ249" i="8" a="1"/>
  <c r="AJ249" i="8" s="1"/>
  <c r="X127" i="8" a="1"/>
  <c r="X127" i="8" s="1"/>
  <c r="U127" i="8" a="1"/>
  <c r="U127" i="8" s="1"/>
  <c r="Z30" i="8" a="1"/>
  <c r="Z30" i="8" s="1"/>
  <c r="AB79" i="8" a="1"/>
  <c r="AB79" i="8" s="1"/>
  <c r="Y79" i="8" a="1"/>
  <c r="Y79" i="8" s="1"/>
  <c r="AJ176" i="8" a="1"/>
  <c r="AJ176" i="8" s="1"/>
  <c r="AG176" i="8" a="1"/>
  <c r="AG176" i="8" s="1"/>
  <c r="AF78" i="8" a="1"/>
  <c r="AF78" i="8" s="1"/>
  <c r="AC78" i="8" a="1"/>
  <c r="AC78" i="8" s="1"/>
  <c r="U104" i="8" a="1"/>
  <c r="U104" i="8" s="1"/>
  <c r="AJ127" i="8" a="1"/>
  <c r="AJ127" i="8" s="1"/>
  <c r="AG127" i="8" a="1"/>
  <c r="AG127" i="8" s="1"/>
  <c r="AI30" i="8" a="1"/>
  <c r="AI30" i="8" s="1"/>
  <c r="AG151" i="8" a="1"/>
  <c r="AG151" i="8" s="1"/>
  <c r="AF176" i="8" a="1"/>
  <c r="AF176" i="8" s="1"/>
  <c r="AC176" i="8" a="1"/>
  <c r="AC176" i="8" s="1"/>
  <c r="AC29" i="8" a="1"/>
  <c r="AC29" i="8" s="1"/>
  <c r="AG55" i="8" a="1"/>
  <c r="AG55" i="8" s="1"/>
  <c r="AC151" i="8" a="1"/>
  <c r="AC151" i="8" s="1"/>
  <c r="AA30" i="8" a="1"/>
  <c r="AA30" i="8" s="1"/>
  <c r="X55" i="8" a="1"/>
  <c r="X55" i="8" s="1"/>
  <c r="U55" i="8" a="1"/>
  <c r="U55" i="8" s="1"/>
  <c r="X249" i="8" a="1"/>
  <c r="X249" i="8" s="1"/>
  <c r="X151" i="8" a="1"/>
  <c r="X151" i="8" s="1"/>
  <c r="U151" i="8" a="1"/>
  <c r="U151" i="8" s="1"/>
  <c r="AB151" i="8" a="1"/>
  <c r="AB151" i="8" s="1"/>
  <c r="Y151" i="8" a="1"/>
  <c r="Y151" i="8" s="1"/>
  <c r="U30" i="8" a="1"/>
  <c r="U30" i="8" s="1"/>
  <c r="AJ102" i="8" a="1"/>
  <c r="AJ102" i="8" s="1"/>
  <c r="AG102" i="8" a="1"/>
  <c r="AG102" i="8" s="1"/>
  <c r="AD30" i="8" a="1"/>
  <c r="AD30" i="8" s="1"/>
  <c r="AF54" i="8" a="1"/>
  <c r="AF54" i="8" s="1"/>
  <c r="AC54" i="8" a="1"/>
  <c r="AC54" i="8" s="1"/>
  <c r="U80" i="8" a="1"/>
  <c r="U80" i="8" s="1"/>
  <c r="Y30" i="8" a="1"/>
  <c r="Y30" i="8" s="1"/>
  <c r="AJ78" i="8" a="1"/>
  <c r="AJ78" i="8" s="1"/>
  <c r="AG78" i="8" a="1"/>
  <c r="AG78" i="8" s="1"/>
  <c r="AF126" i="8" a="1"/>
  <c r="AF126" i="8" s="1"/>
  <c r="AC126" i="8" a="1"/>
  <c r="AC126" i="8" s="1"/>
  <c r="AF102" i="8" a="1"/>
  <c r="AF102" i="8" s="1"/>
  <c r="AC102" i="8" a="1"/>
  <c r="AC102" i="8" s="1"/>
  <c r="AB175" i="8" a="1"/>
  <c r="AB175" i="8" s="1"/>
  <c r="Y175" i="8" a="1"/>
  <c r="Y175" i="8" s="1"/>
  <c r="AB249" i="8" a="1"/>
  <c r="AB249" i="8" s="1"/>
  <c r="AE30" i="8" a="1"/>
  <c r="AE30" i="8" s="1"/>
  <c r="AG30" i="8" a="1"/>
  <c r="AG30" i="8" s="1"/>
  <c r="AB55" i="8" a="1"/>
  <c r="AB55" i="8" s="1"/>
  <c r="Y55" i="8" a="1"/>
  <c r="Y55" i="8" s="1"/>
  <c r="X104" i="8" l="1" a="1"/>
  <c r="X104" i="8" s="1"/>
  <c r="X176" i="8" a="1"/>
  <c r="X176" i="8" s="1"/>
  <c r="U176" i="8" a="1"/>
  <c r="U176" i="8" s="1"/>
  <c r="AJ151" i="8" a="1"/>
  <c r="AJ151" i="8" s="1"/>
  <c r="V33" i="8" a="1"/>
  <c r="V33" i="8" s="1"/>
  <c r="V32" i="8" a="1"/>
  <c r="V32" i="8" s="1"/>
  <c r="AF249" i="8" a="1"/>
  <c r="AF249" i="8" s="1"/>
  <c r="AF151" i="8" a="1"/>
  <c r="AF151" i="8" s="1"/>
  <c r="X81" i="8" a="1"/>
  <c r="X81" i="8" s="1"/>
  <c r="X80" i="8" a="1"/>
  <c r="X80" i="8" s="1"/>
  <c r="AE31" i="8" a="1"/>
  <c r="AE31" i="8" s="1"/>
  <c r="AB176" i="8" a="1"/>
  <c r="AB176" i="8" s="1"/>
  <c r="Y176" i="8" a="1"/>
  <c r="Y176" i="8" s="1"/>
  <c r="AJ79" i="8" a="1"/>
  <c r="AJ79" i="8" s="1"/>
  <c r="AG79" i="8" a="1"/>
  <c r="AG79" i="8" s="1"/>
  <c r="U56" i="8" a="1"/>
  <c r="U56" i="8" s="1"/>
  <c r="AG56" i="8" a="1"/>
  <c r="AG56" i="8" s="1"/>
  <c r="AC30" i="8" a="1"/>
  <c r="AC30" i="8" s="1"/>
  <c r="X105" i="8" a="1"/>
  <c r="X105" i="8" s="1"/>
  <c r="U105" i="8" a="1"/>
  <c r="U105" i="8" s="1"/>
  <c r="AC55" i="8" a="1"/>
  <c r="AC55" i="8" s="1"/>
  <c r="AB152" i="8" a="1"/>
  <c r="AB152" i="8" s="1"/>
  <c r="Y152" i="8" a="1"/>
  <c r="Y152" i="8" s="1"/>
  <c r="AC152" i="8" a="1"/>
  <c r="AC152" i="8" s="1"/>
  <c r="AJ128" i="8" a="1"/>
  <c r="AJ128" i="8" s="1"/>
  <c r="AG128" i="8" a="1"/>
  <c r="AG128" i="8" s="1"/>
  <c r="AB80" i="8" a="1"/>
  <c r="AB80" i="8" s="1"/>
  <c r="Y80" i="8" a="1"/>
  <c r="Y80" i="8" s="1"/>
  <c r="AB104" i="8" a="1"/>
  <c r="AB104" i="8" s="1"/>
  <c r="Y104" i="8" a="1"/>
  <c r="Y104" i="8" s="1"/>
  <c r="AB56" i="8" a="1"/>
  <c r="AB56" i="8" s="1"/>
  <c r="Y56" i="8" a="1"/>
  <c r="Y56" i="8" s="1"/>
  <c r="AG31" i="8" a="1"/>
  <c r="AG31" i="8" s="1"/>
  <c r="AF103" i="8" a="1"/>
  <c r="AF103" i="8" s="1"/>
  <c r="AC103" i="8" a="1"/>
  <c r="AC103" i="8" s="1"/>
  <c r="AF127" i="8" a="1"/>
  <c r="AF127" i="8" s="1"/>
  <c r="AC127" i="8" a="1"/>
  <c r="AC127" i="8" s="1"/>
  <c r="U81" i="8" a="1"/>
  <c r="U81" i="8" s="1"/>
  <c r="U31" i="8" a="1"/>
  <c r="U31" i="8" s="1"/>
  <c r="AA31" i="8" a="1"/>
  <c r="AA31" i="8" s="1"/>
  <c r="AG152" i="8" a="1"/>
  <c r="AG152" i="8" s="1"/>
  <c r="AI31" i="8" a="1"/>
  <c r="AI31" i="8" s="1"/>
  <c r="AF79" i="8" a="1"/>
  <c r="AF79" i="8" s="1"/>
  <c r="AC79" i="8" a="1"/>
  <c r="AC79" i="8" s="1"/>
  <c r="AJ177" i="8" a="1"/>
  <c r="AJ177" i="8" s="1"/>
  <c r="AG177" i="8" a="1"/>
  <c r="AG177" i="8" s="1"/>
  <c r="X128" i="8" a="1"/>
  <c r="X128" i="8" s="1"/>
  <c r="U128" i="8" a="1"/>
  <c r="U128" i="8" s="1"/>
  <c r="Y31" i="8" a="1"/>
  <c r="Y31" i="8" s="1"/>
  <c r="AD31" i="8" a="1"/>
  <c r="AD31" i="8" s="1"/>
  <c r="AJ103" i="8" a="1"/>
  <c r="AJ103" i="8" s="1"/>
  <c r="AG103" i="8" a="1"/>
  <c r="AG103" i="8" s="1"/>
  <c r="X152" i="8" a="1"/>
  <c r="X152" i="8" s="1"/>
  <c r="U152" i="8" a="1"/>
  <c r="U152" i="8" s="1"/>
  <c r="AF177" i="8" a="1"/>
  <c r="AF177" i="8" s="1"/>
  <c r="AC177" i="8" a="1"/>
  <c r="AC177" i="8" s="1"/>
  <c r="Z31" i="8" a="1"/>
  <c r="Z31" i="8" s="1"/>
  <c r="AB128" i="8" a="1"/>
  <c r="AB128" i="8" s="1"/>
  <c r="Y128" i="8" a="1"/>
  <c r="Y128" i="8" s="1"/>
  <c r="U177" i="8" l="1" a="1"/>
  <c r="U177" i="8" s="1"/>
  <c r="AJ56" i="8" a="1"/>
  <c r="AJ56" i="8" s="1"/>
  <c r="AJ152" i="8" a="1"/>
  <c r="AJ152" i="8" s="1"/>
  <c r="AF152" i="8" a="1"/>
  <c r="AF152" i="8" s="1"/>
  <c r="AJ55" i="8" a="1"/>
  <c r="AJ55" i="8" s="1"/>
  <c r="AB129" i="8" a="1"/>
  <c r="AB129" i="8" s="1"/>
  <c r="Y129" i="8" a="1"/>
  <c r="Y129" i="8" s="1"/>
  <c r="Z33" i="8" a="1"/>
  <c r="Z33" i="8" s="1"/>
  <c r="Z32" i="8" a="1"/>
  <c r="Z32" i="8" s="1"/>
  <c r="AC80" i="8" a="1"/>
  <c r="AC80" i="8" s="1"/>
  <c r="U33" i="8" a="1"/>
  <c r="U33" i="8" s="1"/>
  <c r="U32" i="8" a="1"/>
  <c r="U32" i="8" s="1"/>
  <c r="AF104" i="8" a="1"/>
  <c r="AF104" i="8" s="1"/>
  <c r="AC104" i="8" a="1"/>
  <c r="AC104" i="8" s="1"/>
  <c r="Y57" i="8" a="1"/>
  <c r="Y57" i="8" s="1"/>
  <c r="AB105" i="8" a="1"/>
  <c r="AB105" i="8" s="1"/>
  <c r="Y105" i="8" a="1"/>
  <c r="Y105" i="8" s="1"/>
  <c r="AG57" i="8" a="1"/>
  <c r="AG57" i="8" s="1"/>
  <c r="AJ80" i="8" a="1"/>
  <c r="AJ80" i="8" s="1"/>
  <c r="AG80" i="8" a="1"/>
  <c r="AG80" i="8" s="1"/>
  <c r="AJ104" i="8" a="1"/>
  <c r="AJ104" i="8" s="1"/>
  <c r="AG104" i="8" a="1"/>
  <c r="AG104" i="8" s="1"/>
  <c r="AD33" i="8" a="1"/>
  <c r="AD33" i="8" s="1"/>
  <c r="AD32" i="8" a="1"/>
  <c r="AD32" i="8" s="1"/>
  <c r="AJ153" i="8" a="1"/>
  <c r="AJ153" i="8" s="1"/>
  <c r="AG153" i="8" a="1"/>
  <c r="AG153" i="8" s="1"/>
  <c r="AA33" i="8" a="1"/>
  <c r="AA33" i="8" s="1"/>
  <c r="AA32" i="8" a="1"/>
  <c r="AA32" i="8" s="1"/>
  <c r="AG32" i="8" a="1"/>
  <c r="AG32" i="8" s="1"/>
  <c r="AG33" i="8" a="1"/>
  <c r="AG33" i="8" s="1"/>
  <c r="AI33" i="8" a="1"/>
  <c r="AI33" i="8" s="1"/>
  <c r="AI32" i="8" a="1"/>
  <c r="AI32" i="8" s="1"/>
  <c r="AF128" i="8" a="1"/>
  <c r="AF128" i="8" s="1"/>
  <c r="AC128" i="8" a="1"/>
  <c r="AC128" i="8" s="1"/>
  <c r="AJ129" i="8" a="1"/>
  <c r="AJ129" i="8" s="1"/>
  <c r="AG129" i="8" a="1"/>
  <c r="AG129" i="8" s="1"/>
  <c r="AB153" i="8" a="1"/>
  <c r="AB153" i="8" s="1"/>
  <c r="Y153" i="8" a="1"/>
  <c r="Y153" i="8" s="1"/>
  <c r="AF55" i="8" a="1"/>
  <c r="AF55" i="8" s="1"/>
  <c r="X56" i="8" a="1"/>
  <c r="X56" i="8" s="1"/>
  <c r="X153" i="8" a="1"/>
  <c r="X153" i="8" s="1"/>
  <c r="U153" i="8" a="1"/>
  <c r="U153" i="8" s="1"/>
  <c r="Y32" i="8" a="1"/>
  <c r="Y32" i="8" s="1"/>
  <c r="Y33" i="8" a="1"/>
  <c r="Y33" i="8" s="1"/>
  <c r="X129" i="8" a="1"/>
  <c r="X129" i="8" s="1"/>
  <c r="U129" i="8" a="1"/>
  <c r="U129" i="8" s="1"/>
  <c r="AB81" i="8" a="1"/>
  <c r="AB81" i="8" s="1"/>
  <c r="Y81" i="8" a="1"/>
  <c r="Y81" i="8" s="1"/>
  <c r="AF153" i="8" a="1"/>
  <c r="AF153" i="8" s="1"/>
  <c r="AC153" i="8" a="1"/>
  <c r="AC153" i="8" s="1"/>
  <c r="AC56" i="8" a="1"/>
  <c r="AC56" i="8" s="1"/>
  <c r="AB11" i="8" a="1"/>
  <c r="AB11" i="8" s="1"/>
  <c r="AC31" i="8" a="1"/>
  <c r="AC31" i="8" s="1"/>
  <c r="U57" i="8" a="1"/>
  <c r="U57" i="8" s="1"/>
  <c r="AB177" i="8" a="1"/>
  <c r="AB177" i="8" s="1"/>
  <c r="Y177" i="8" a="1"/>
  <c r="Y177" i="8" s="1"/>
  <c r="AB15" i="8" a="1"/>
  <c r="AB15" i="8" s="1"/>
  <c r="AE33" i="8" a="1"/>
  <c r="AE33" i="8" s="1"/>
  <c r="AE32" i="8" a="1"/>
  <c r="AE32" i="8" s="1"/>
  <c r="X177" i="8" l="1" a="1"/>
  <c r="X177" i="8" s="1"/>
  <c r="X33" i="8" a="1"/>
  <c r="X33" i="8" s="1"/>
  <c r="AF80" i="8" a="1"/>
  <c r="AF80" i="8" s="1"/>
  <c r="AC33" i="8" a="1"/>
  <c r="AC33" i="8" s="1"/>
  <c r="AC32" i="8" a="1"/>
  <c r="AC32" i="8" s="1"/>
  <c r="AC57" i="8" a="1"/>
  <c r="AC57" i="8" s="1"/>
  <c r="X27" i="8" a="1"/>
  <c r="X27" i="8" s="1"/>
  <c r="X18" i="8" a="1"/>
  <c r="X18" i="8" s="1"/>
  <c r="X15" i="8" a="1"/>
  <c r="X15" i="8" s="1"/>
  <c r="X11" i="8" a="1"/>
  <c r="X11" i="8" s="1"/>
  <c r="X16" i="8" a="1"/>
  <c r="X16" i="8" s="1"/>
  <c r="X30" i="8" a="1"/>
  <c r="X30" i="8" s="1"/>
  <c r="AB20" i="8" a="1"/>
  <c r="AB20" i="8" s="1"/>
  <c r="AB31" i="8" a="1"/>
  <c r="AB31" i="8" s="1"/>
  <c r="AB14" i="8" a="1"/>
  <c r="AB14" i="8" s="1"/>
  <c r="AJ81" i="8" a="1"/>
  <c r="AJ81" i="8" s="1"/>
  <c r="AG81" i="8" a="1"/>
  <c r="AG81" i="8" s="1"/>
  <c r="AB12" i="8" a="1"/>
  <c r="AB12" i="8" s="1"/>
  <c r="AB17" i="8" a="1"/>
  <c r="AB17" i="8" s="1"/>
  <c r="X26" i="8" a="1"/>
  <c r="X26" i="8" s="1"/>
  <c r="X20" i="8" a="1"/>
  <c r="X20" i="8" s="1"/>
  <c r="X29" i="8" a="1"/>
  <c r="X29" i="8" s="1"/>
  <c r="X17" i="8" a="1"/>
  <c r="X17" i="8" s="1"/>
  <c r="AF129" i="8" a="1"/>
  <c r="AF129" i="8" s="1"/>
  <c r="AC129" i="8" a="1"/>
  <c r="AC129" i="8" s="1"/>
  <c r="AB10" i="8" a="1"/>
  <c r="AB10" i="8" s="1"/>
  <c r="AB32" i="8" a="1"/>
  <c r="AB32" i="8" s="1"/>
  <c r="AB28" i="8" a="1"/>
  <c r="AB28" i="8" s="1"/>
  <c r="AF105" i="8" a="1"/>
  <c r="AF105" i="8" s="1"/>
  <c r="AC105" i="8" a="1"/>
  <c r="AC105" i="8" s="1"/>
  <c r="X57" i="8" a="1"/>
  <c r="X57" i="8" s="1"/>
  <c r="X19" i="8" a="1"/>
  <c r="X19" i="8" s="1"/>
  <c r="X14" i="8" a="1"/>
  <c r="X14" i="8" s="1"/>
  <c r="X21" i="8" a="1"/>
  <c r="X21" i="8" s="1"/>
  <c r="X10" i="8" a="1"/>
  <c r="X10" i="8" s="1"/>
  <c r="X24" i="8" a="1"/>
  <c r="X24" i="8" s="1"/>
  <c r="X13" i="8" a="1"/>
  <c r="X13" i="8" s="1"/>
  <c r="X32" i="8" a="1"/>
  <c r="X32" i="8" s="1"/>
  <c r="AB57" i="8" a="1"/>
  <c r="AB57" i="8" s="1"/>
  <c r="AB24" i="8" a="1"/>
  <c r="AB24" i="8" s="1"/>
  <c r="AB13" i="8" a="1"/>
  <c r="AB13" i="8" s="1"/>
  <c r="AB19" i="8" a="1"/>
  <c r="AB19" i="8" s="1"/>
  <c r="AB21" i="8" a="1"/>
  <c r="AB21" i="8" s="1"/>
  <c r="AB33" i="8" a="1"/>
  <c r="AB33" i="8" s="1"/>
  <c r="AB22" i="8" a="1"/>
  <c r="AB22" i="8" s="1"/>
  <c r="AB16" i="8" a="1"/>
  <c r="AB16" i="8" s="1"/>
  <c r="AB26" i="8" a="1"/>
  <c r="AB26" i="8" s="1"/>
  <c r="AB27" i="8" a="1"/>
  <c r="AB27" i="8" s="1"/>
  <c r="AB25" i="8" a="1"/>
  <c r="AB25" i="8" s="1"/>
  <c r="AB18" i="8" a="1"/>
  <c r="AB18" i="8" s="1"/>
  <c r="AB30" i="8" a="1"/>
  <c r="AB30" i="8" s="1"/>
  <c r="AB23" i="8" a="1"/>
  <c r="AB23" i="8" s="1"/>
  <c r="AF81" i="8" a="1"/>
  <c r="AF81" i="8" s="1"/>
  <c r="AC81" i="8" a="1"/>
  <c r="AC81" i="8" s="1"/>
  <c r="AF56" i="8" a="1"/>
  <c r="AF56" i="8" s="1"/>
  <c r="AF10" i="8" a="1"/>
  <c r="AF10" i="8" s="1"/>
  <c r="AF21" i="8" a="1"/>
  <c r="AF21" i="8" s="1"/>
  <c r="AF25" i="8" a="1"/>
  <c r="AF25" i="8" s="1"/>
  <c r="AF26" i="8" a="1"/>
  <c r="AF26" i="8" s="1"/>
  <c r="AF16" i="8" a="1"/>
  <c r="AF16" i="8" s="1"/>
  <c r="AF33" i="8" a="1"/>
  <c r="AF33" i="8" s="1"/>
  <c r="AF18" i="8" a="1"/>
  <c r="AF18" i="8" s="1"/>
  <c r="AF13" i="8" a="1"/>
  <c r="AF13" i="8" s="1"/>
  <c r="X25" i="8" a="1"/>
  <c r="X25" i="8" s="1"/>
  <c r="X22" i="8" a="1"/>
  <c r="X22" i="8" s="1"/>
  <c r="X31" i="8" a="1"/>
  <c r="X31" i="8" s="1"/>
  <c r="X12" i="8" a="1"/>
  <c r="X12" i="8" s="1"/>
  <c r="X28" i="8" a="1"/>
  <c r="X28" i="8" s="1"/>
  <c r="X23" i="8" a="1"/>
  <c r="X23" i="8" s="1"/>
  <c r="AB29" i="8" a="1"/>
  <c r="AB29" i="8" s="1"/>
  <c r="AF23" i="8" a="1"/>
  <c r="AF23" i="8" s="1"/>
  <c r="AF30" i="8" a="1"/>
  <c r="AF30" i="8" s="1"/>
  <c r="AJ105" i="8" a="1"/>
  <c r="AJ105" i="8" s="1"/>
  <c r="AG105" i="8" a="1"/>
  <c r="AG105" i="8" s="1"/>
  <c r="AJ57" i="8" a="1"/>
  <c r="AJ57" i="8" s="1"/>
  <c r="AJ20" i="8" a="1"/>
  <c r="AJ20" i="8" s="1"/>
  <c r="AJ15" i="8" a="1"/>
  <c r="AJ15" i="8" s="1"/>
  <c r="AJ30" i="8" a="1"/>
  <c r="AJ30" i="8" s="1"/>
  <c r="AJ33" i="8" a="1"/>
  <c r="AJ33" i="8" s="1"/>
  <c r="AJ32" i="8" a="1"/>
  <c r="AJ32" i="8" s="1"/>
  <c r="AJ19" i="8" a="1"/>
  <c r="AJ19" i="8" s="1"/>
  <c r="AJ28" i="8" a="1"/>
  <c r="AJ28" i="8" s="1"/>
  <c r="AJ31" i="8" a="1"/>
  <c r="AJ31" i="8" s="1"/>
  <c r="AJ22" i="8" a="1"/>
  <c r="AJ22" i="8" s="1"/>
  <c r="AJ21" i="8" a="1"/>
  <c r="AJ21" i="8" s="1"/>
  <c r="AJ14" i="8" a="1"/>
  <c r="AJ14" i="8" s="1"/>
  <c r="AJ26" i="8" a="1"/>
  <c r="AJ26" i="8" s="1"/>
  <c r="AJ25" i="8" a="1"/>
  <c r="AJ25" i="8" s="1"/>
  <c r="AJ12" i="8" a="1"/>
  <c r="AJ12" i="8" s="1"/>
  <c r="AJ13" i="8" a="1"/>
  <c r="AJ13" i="8" s="1"/>
  <c r="AJ16" i="8" a="1"/>
  <c r="AJ16" i="8" s="1"/>
  <c r="AJ27" i="8" a="1"/>
  <c r="AJ27" i="8" s="1"/>
  <c r="AJ10" i="8" a="1"/>
  <c r="AJ10" i="8" s="1"/>
  <c r="AJ24" i="8" a="1"/>
  <c r="AJ24" i="8" s="1"/>
  <c r="AJ11" i="8" a="1"/>
  <c r="AJ11" i="8" s="1"/>
  <c r="AJ17" i="8" a="1"/>
  <c r="AJ17" i="8" s="1"/>
  <c r="AJ23" i="8" a="1"/>
  <c r="AJ23" i="8" s="1"/>
  <c r="AJ18" i="8" a="1"/>
  <c r="AJ18" i="8" s="1"/>
  <c r="AJ29" i="8" a="1"/>
  <c r="AJ29" i="8" s="1"/>
  <c r="AF19" i="8" a="1"/>
  <c r="AF19" i="8" s="1"/>
  <c r="AF31" i="8" l="1" a="1"/>
  <c r="AF31" i="8" s="1"/>
  <c r="AF29" i="8" a="1"/>
  <c r="AF29" i="8" s="1"/>
  <c r="AF57" i="8" a="1"/>
  <c r="AF57" i="8" s="1"/>
  <c r="AF24" i="8" a="1"/>
  <c r="AF24" i="8" s="1"/>
  <c r="AF20" i="8" a="1"/>
  <c r="AF20" i="8" s="1"/>
  <c r="AF32" i="8" a="1"/>
  <c r="AF32" i="8" s="1"/>
  <c r="AF17" i="8" a="1"/>
  <c r="AF17" i="8" s="1"/>
  <c r="AF27" i="8" a="1"/>
  <c r="AF27" i="8" s="1"/>
  <c r="AF14" i="8" a="1"/>
  <c r="AF14" i="8" s="1"/>
  <c r="AF11" i="8" a="1"/>
  <c r="AF11" i="8" s="1"/>
  <c r="AF22" i="8" a="1"/>
  <c r="AF22" i="8" s="1"/>
  <c r="AF12" i="8" a="1"/>
  <c r="AF12" i="8" s="1"/>
  <c r="AF15" i="8" a="1"/>
  <c r="AF15" i="8" s="1"/>
  <c r="AF28" i="8" a="1"/>
  <c r="AF28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<sst xmlns="http://schemas.openxmlformats.org/spreadsheetml/2006/main" count="1195" uniqueCount="90">
  <si>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</si>
  <si>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</si>
  <si>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</si>
  <si>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</si>
  <si>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</si>
  <si>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</si>
  <si>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</si>
  <si>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</si>
  <si>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</si>
  <si>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</si>
  <si>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</si>
  <si>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</si>
  <si>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</si>
  <si>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</si>
  <si>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</si>
  <si>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</si>
  <si>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</si>
  <si>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</si>
  <si>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</si>
  <si>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</si>
  <si>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</si>
  <si>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</si>
  <si>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</si>
  <si>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</si>
  <si>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</si>
  <si>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</si>
  <si>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</si>
  <si>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</si>
  <si>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</si>
  <si>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</si>
  <si>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</si>
  <si>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</si>
  <si>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</si>
  <si>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</si>
  <si>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</si>
  <si>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NVARCHAR(255)</t>
  </si>
  <si>
    <t>NVARCHAR(20)</t>
  </si>
  <si>
    <t>DATE</t>
  </si>
  <si>
    <t>DECIMAL(13,2)</t>
  </si>
  <si>
    <t>Yes</t>
  </si>
  <si>
    <t>YES</t>
  </si>
  <si>
    <t>range_start</t>
  </si>
  <si>
    <t>range_stop</t>
  </si>
  <si>
    <t>project_active_start</t>
  </si>
  <si>
    <t>project_inactive_end</t>
  </si>
  <si>
    <t>relate_document</t>
  </si>
  <si>
    <t>B10</t>
  </si>
  <si>
    <t>AJ?</t>
  </si>
  <si>
    <t>5. Progress</t>
  </si>
  <si>
    <t>relate_range_start_05</t>
  </si>
  <si>
    <t>05. Progress</t>
  </si>
  <si>
    <t>relate_range_stop_05</t>
  </si>
  <si>
    <t>C?</t>
  </si>
  <si>
    <t>col_number</t>
  </si>
  <si>
    <t>Overall Project</t>
  </si>
  <si>
    <t>Month # 1</t>
  </si>
  <si>
    <t>Month # 2</t>
  </si>
  <si>
    <t>Month # 3</t>
  </si>
  <si>
    <t>Month # 4</t>
  </si>
  <si>
    <t>Month # 5</t>
  </si>
  <si>
    <t>Month # 6</t>
  </si>
  <si>
    <t>Month # 7</t>
  </si>
  <si>
    <t>Month # 8</t>
  </si>
  <si>
    <t>Month # 9</t>
  </si>
  <si>
    <t>Month # 10</t>
  </si>
  <si>
    <t>Month # 11</t>
  </si>
  <si>
    <t>Month # 12</t>
  </si>
  <si>
    <t>Month # 13</t>
  </si>
  <si>
    <t>Month # 14</t>
  </si>
  <si>
    <t>Month # 15</t>
  </si>
  <si>
    <t>Month # 16</t>
  </si>
  <si>
    <t>Month # 17</t>
  </si>
  <si>
    <t>Month # 18</t>
  </si>
  <si>
    <t>Month # 19</t>
  </si>
  <si>
    <t>Month # 20</t>
  </si>
  <si>
    <t>Month # 21</t>
  </si>
  <si>
    <t>Month # 22</t>
  </si>
  <si>
    <t>Month # 23</t>
  </si>
  <si>
    <t>Month # 24</t>
  </si>
  <si>
    <t>Engineering</t>
  </si>
  <si>
    <t>Procurement</t>
  </si>
  <si>
    <t>Construction</t>
  </si>
  <si>
    <t>Project Management</t>
  </si>
  <si>
    <t>HUC</t>
  </si>
  <si>
    <t>Service to NSE</t>
  </si>
  <si>
    <t>Subcontract Work to NSE</t>
  </si>
  <si>
    <t>Punch List Work</t>
  </si>
  <si>
    <t>Warranty Claim</t>
  </si>
  <si>
    <t>N/A</t>
  </si>
  <si>
    <t>5. Progress-Edited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</si>
</sst>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14" fontId="0" fillId="0" borderId="0" xfId="0" quotePrefix="1" applyNumberFormat="1"/>
  </cellXfs>
  <cellStyles count="4">
    <cellStyle name="Comma" xfId="1" builtinId="3"/>
    <cellStyle name="Comma 2 3" xfId="2" xr:uid="{902E92DD-3110-4647-A98A-7D202CCAEE6A}"/>
    <cellStyle name="Normal" xfId="0" builtinId="0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AJ249"/>
  <sheetViews>
    <sheetView topLeftCell="B9" zoomScale="55" zoomScaleNormal="55" workbookViewId="0">
      <pane xSplit="1" ySplit="1" topLeftCell="C115" activePane="bottomRight" state="frozen"/>
      <selection activeCell="B9" sqref="B9"/>
      <selection pane="topRight" activeCell="C9" sqref="C9"/>
      <selection pane="bottomLeft" activeCell="B10" sqref="B10"/>
      <selection pane="bottomRight" activeCell="L130" sqref="L130:L152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3" customWidth="1"/>
    <col min="5" max="5" width="25" bestFit="1" customWidth="1"/>
    <col min="6" max="6" width="10.85546875" customWidth="1"/>
    <col min="24" max="24" width="16.42578125" customWidth="1"/>
  </cols>
  <sheetData>
    <row r="1" spans="2:36" x14ac:dyDescent="0.25">
      <c r="G1" s="5"/>
      <c r="H1" s="5"/>
    </row>
    <row r="9" spans="2:36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  <c r="AE9" s="11" t="s">
        <v>29</v>
      </c>
      <c r="AF9" s="1" t="s">
        <v>30</v>
      </c>
      <c r="AG9" s="1" t="s">
        <v>31</v>
      </c>
      <c r="AH9" s="11" t="s">
        <v>32</v>
      </c>
      <c r="AI9" s="1" t="s">
        <v>33</v>
      </c>
      <c r="AJ9" s="1" t="s">
        <v>34</v>
      </c>
    </row>
    <row r="10" spans="2:36" x14ac:dyDescent="0.25">
      <c r="B10" t="s">
        <v>54</v>
      </c>
      <c r="C10" s="9" t="s">
        <v>55</v>
      </c>
      <c r="D10" s="14">
        <v>45536</v>
      </c>
      <c r="E10" s="2">
        <v>0</v>
      </c>
      <c r="F10" s="3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1013.3399999999999</v>
      </c>
      <c r="R10">
        <v>0</v>
      </c>
      <c r="S10">
        <v>0</v>
      </c>
      <c r="T10">
        <v>1013.3399999999999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1013.3399999999999</v>
      </c>
      <c r="AH10">
        <v>0</v>
      </c>
      <c r="AI10">
        <v>0</v>
      </c>
      <c r="AJ10">
        <v>1013.3399999999999</v>
      </c>
    </row>
    <row r="11" spans="2:36" x14ac:dyDescent="0.25">
      <c r="B11" t="s">
        <v>54</v>
      </c>
      <c r="C11" s="9" t="s">
        <v>56</v>
      </c>
      <c r="D11" s="14">
        <v>45566</v>
      </c>
      <c r="E11" s="2">
        <v>414.61</v>
      </c>
      <c r="F11" s="3">
        <v>0</v>
      </c>
      <c r="G11">
        <v>0</v>
      </c>
      <c r="H11">
        <v>414.61</v>
      </c>
      <c r="I11">
        <v>598.64</v>
      </c>
      <c r="J11">
        <v>8.75</v>
      </c>
      <c r="K11">
        <v>0</v>
      </c>
      <c r="L11">
        <v>607.39</v>
      </c>
      <c r="M11">
        <v>444.93</v>
      </c>
      <c r="N11">
        <v>8.75</v>
      </c>
      <c r="O11">
        <v>0</v>
      </c>
      <c r="P11">
        <v>453.68</v>
      </c>
      <c r="Q11">
        <v>1819.62</v>
      </c>
      <c r="R11">
        <v>8.75</v>
      </c>
      <c r="S11">
        <v>0</v>
      </c>
      <c r="T11">
        <v>1828.37</v>
      </c>
      <c r="U11">
        <v>414.61</v>
      </c>
      <c r="V11">
        <v>0</v>
      </c>
      <c r="W11">
        <v>0</v>
      </c>
      <c r="X11">
        <v>414.61</v>
      </c>
      <c r="Y11">
        <v>598.64</v>
      </c>
      <c r="Z11">
        <v>8.75</v>
      </c>
      <c r="AA11">
        <v>0</v>
      </c>
      <c r="AB11">
        <v>607.39</v>
      </c>
      <c r="AC11">
        <v>444.93</v>
      </c>
      <c r="AD11">
        <v>8.75</v>
      </c>
      <c r="AE11">
        <v>0</v>
      </c>
      <c r="AF11">
        <v>453.68</v>
      </c>
      <c r="AG11">
        <v>1819.62</v>
      </c>
      <c r="AH11">
        <v>8.75</v>
      </c>
      <c r="AI11">
        <v>0</v>
      </c>
      <c r="AJ11">
        <v>2841.71</v>
      </c>
    </row>
    <row r="12" spans="2:36" x14ac:dyDescent="0.25">
      <c r="B12" t="s">
        <v>54</v>
      </c>
      <c r="C12" s="9" t="s">
        <v>57</v>
      </c>
      <c r="D12" s="14">
        <v>45597</v>
      </c>
      <c r="E12" s="2">
        <v>2791.29</v>
      </c>
      <c r="F12" s="3">
        <v>0</v>
      </c>
      <c r="G12">
        <v>0</v>
      </c>
      <c r="H12">
        <v>2791.29</v>
      </c>
      <c r="I12">
        <v>1195.24</v>
      </c>
      <c r="J12">
        <v>271.75</v>
      </c>
      <c r="K12">
        <v>0</v>
      </c>
      <c r="L12">
        <v>1466.99</v>
      </c>
      <c r="M12">
        <v>1013.3399999999999</v>
      </c>
      <c r="N12">
        <v>293.25</v>
      </c>
      <c r="O12">
        <v>0</v>
      </c>
      <c r="P12">
        <v>1306.5899999999999</v>
      </c>
      <c r="Q12">
        <v>2165.0700000000002</v>
      </c>
      <c r="R12">
        <v>293.25</v>
      </c>
      <c r="S12">
        <v>0</v>
      </c>
      <c r="T12">
        <v>2458.3200000000002</v>
      </c>
      <c r="U12">
        <v>3205.9</v>
      </c>
      <c r="V12">
        <v>0</v>
      </c>
      <c r="W12">
        <v>0</v>
      </c>
      <c r="X12">
        <v>3205.9000000000005</v>
      </c>
      <c r="Y12">
        <v>1793.88</v>
      </c>
      <c r="Z12">
        <v>280.5</v>
      </c>
      <c r="AA12">
        <v>0</v>
      </c>
      <c r="AB12">
        <v>2074.38</v>
      </c>
      <c r="AC12">
        <v>1458.27</v>
      </c>
      <c r="AD12">
        <v>302</v>
      </c>
      <c r="AE12">
        <v>0</v>
      </c>
      <c r="AF12">
        <v>1760.27</v>
      </c>
      <c r="AG12">
        <v>3984.69</v>
      </c>
      <c r="AH12">
        <v>302</v>
      </c>
      <c r="AI12">
        <v>0</v>
      </c>
      <c r="AJ12">
        <v>5300.03</v>
      </c>
    </row>
    <row r="13" spans="2:36" x14ac:dyDescent="0.25">
      <c r="B13" t="s">
        <v>54</v>
      </c>
      <c r="C13" s="9" t="s">
        <v>58</v>
      </c>
      <c r="D13" s="14">
        <v>45627</v>
      </c>
      <c r="E13" s="2">
        <v>3104.71</v>
      </c>
      <c r="F13" s="3">
        <v>0</v>
      </c>
      <c r="G13">
        <v>0</v>
      </c>
      <c r="H13">
        <v>3104.71</v>
      </c>
      <c r="I13">
        <v>1922.86</v>
      </c>
      <c r="J13">
        <v>397.1</v>
      </c>
      <c r="K13">
        <v>0</v>
      </c>
      <c r="L13">
        <v>2319.96</v>
      </c>
      <c r="M13">
        <v>1819.62</v>
      </c>
      <c r="N13">
        <v>447.5</v>
      </c>
      <c r="O13">
        <v>0</v>
      </c>
      <c r="P13">
        <v>2267.12</v>
      </c>
      <c r="Q13">
        <v>1968.3</v>
      </c>
      <c r="R13">
        <v>447.5</v>
      </c>
      <c r="S13">
        <v>0</v>
      </c>
      <c r="T13">
        <v>2415.8000000000002</v>
      </c>
      <c r="U13">
        <v>6310.6100000000006</v>
      </c>
      <c r="V13">
        <v>0</v>
      </c>
      <c r="W13">
        <v>0</v>
      </c>
      <c r="X13">
        <v>6310.6100000000006</v>
      </c>
      <c r="Y13">
        <v>3716.74</v>
      </c>
      <c r="Z13">
        <v>677.6</v>
      </c>
      <c r="AA13">
        <v>0</v>
      </c>
      <c r="AB13">
        <v>4394.34</v>
      </c>
      <c r="AC13">
        <v>3277.89</v>
      </c>
      <c r="AD13">
        <v>749.5</v>
      </c>
      <c r="AE13">
        <v>0</v>
      </c>
      <c r="AF13">
        <v>4027.3900000000003</v>
      </c>
      <c r="AG13">
        <v>5952.99</v>
      </c>
      <c r="AH13">
        <v>749.5</v>
      </c>
      <c r="AI13">
        <v>0</v>
      </c>
      <c r="AJ13">
        <v>7715.83</v>
      </c>
    </row>
    <row r="14" spans="2:36" x14ac:dyDescent="0.25">
      <c r="B14" t="s">
        <v>54</v>
      </c>
      <c r="C14" s="9" t="s">
        <v>59</v>
      </c>
      <c r="D14" s="14">
        <v>45658</v>
      </c>
      <c r="E14" s="2">
        <v>3449.31</v>
      </c>
      <c r="F14" s="3">
        <v>0</v>
      </c>
      <c r="G14">
        <v>0</v>
      </c>
      <c r="H14">
        <v>3449.31</v>
      </c>
      <c r="I14">
        <v>2379.2200000000003</v>
      </c>
      <c r="J14">
        <v>417.41</v>
      </c>
      <c r="K14">
        <v>0</v>
      </c>
      <c r="L14">
        <v>2796.63</v>
      </c>
      <c r="M14">
        <v>2165.0700000000002</v>
      </c>
      <c r="N14">
        <v>674</v>
      </c>
      <c r="O14">
        <v>0</v>
      </c>
      <c r="P14">
        <v>2839.07</v>
      </c>
      <c r="Q14">
        <v>2960.4300000000003</v>
      </c>
      <c r="R14">
        <v>674</v>
      </c>
      <c r="S14">
        <v>0</v>
      </c>
      <c r="T14">
        <v>3634.4300000000003</v>
      </c>
      <c r="U14">
        <v>9759.92</v>
      </c>
      <c r="V14">
        <v>0</v>
      </c>
      <c r="W14">
        <v>0</v>
      </c>
      <c r="X14">
        <v>9759.92</v>
      </c>
      <c r="Y14">
        <v>6095.96</v>
      </c>
      <c r="Z14">
        <v>1095.01</v>
      </c>
      <c r="AA14">
        <v>0</v>
      </c>
      <c r="AB14">
        <v>7190.97</v>
      </c>
      <c r="AC14">
        <v>5442.96</v>
      </c>
      <c r="AD14">
        <v>1423.5</v>
      </c>
      <c r="AE14">
        <v>0</v>
      </c>
      <c r="AF14">
        <v>6866.4600000000009</v>
      </c>
      <c r="AG14">
        <v>8913.42</v>
      </c>
      <c r="AH14">
        <v>1423.5</v>
      </c>
      <c r="AI14">
        <v>0</v>
      </c>
      <c r="AJ14">
        <v>11350.259999999998</v>
      </c>
    </row>
    <row r="15" spans="2:36" x14ac:dyDescent="0.25">
      <c r="B15" t="s">
        <v>54</v>
      </c>
      <c r="C15" s="9" t="s">
        <v>60</v>
      </c>
      <c r="D15" s="14">
        <v>45689</v>
      </c>
      <c r="E15" s="2">
        <v>3091.5099999999998</v>
      </c>
      <c r="F15" s="3">
        <v>0</v>
      </c>
      <c r="G15">
        <v>0</v>
      </c>
      <c r="H15">
        <v>3091.5099999999998</v>
      </c>
      <c r="I15">
        <v>2195.4399999999996</v>
      </c>
      <c r="J15">
        <v>0</v>
      </c>
      <c r="K15">
        <v>0</v>
      </c>
      <c r="L15">
        <v>2195.4399999999996</v>
      </c>
      <c r="M15">
        <v>1968.3</v>
      </c>
      <c r="N15">
        <v>634.75</v>
      </c>
      <c r="O15">
        <v>0</v>
      </c>
      <c r="P15">
        <v>2603.0500000000002</v>
      </c>
      <c r="Q15">
        <v>2283.5</v>
      </c>
      <c r="R15">
        <v>634.75</v>
      </c>
      <c r="S15">
        <v>0</v>
      </c>
      <c r="T15">
        <v>2918.25</v>
      </c>
      <c r="U15">
        <v>12851.43</v>
      </c>
      <c r="V15">
        <v>0</v>
      </c>
      <c r="W15">
        <v>0</v>
      </c>
      <c r="X15">
        <v>12851.43</v>
      </c>
      <c r="Y15">
        <v>8291.4</v>
      </c>
      <c r="Z15">
        <v>1095.01</v>
      </c>
      <c r="AA15">
        <v>0</v>
      </c>
      <c r="AB15">
        <v>9386.41</v>
      </c>
      <c r="AC15">
        <v>7411.26</v>
      </c>
      <c r="AD15">
        <v>2058.25</v>
      </c>
      <c r="AE15">
        <v>0</v>
      </c>
      <c r="AF15">
        <v>9469.51</v>
      </c>
      <c r="AG15">
        <v>11196.92</v>
      </c>
      <c r="AH15">
        <v>2058.25</v>
      </c>
      <c r="AI15">
        <v>0</v>
      </c>
      <c r="AJ15">
        <v>14268.51</v>
      </c>
    </row>
    <row r="16" spans="2:36" x14ac:dyDescent="0.25">
      <c r="B16" t="s">
        <v>54</v>
      </c>
      <c r="C16" s="9" t="s">
        <v>61</v>
      </c>
      <c r="D16" s="14">
        <v>45717</v>
      </c>
      <c r="E16" s="2">
        <v>1928.54</v>
      </c>
      <c r="F16">
        <v>0</v>
      </c>
      <c r="G16">
        <v>0</v>
      </c>
      <c r="H16">
        <v>1928.54</v>
      </c>
      <c r="I16">
        <v>1562.04</v>
      </c>
      <c r="J16">
        <v>0</v>
      </c>
      <c r="K16">
        <v>0</v>
      </c>
      <c r="L16">
        <v>1562.04</v>
      </c>
      <c r="M16">
        <v>2960.4300000000003</v>
      </c>
      <c r="N16">
        <v>482</v>
      </c>
      <c r="O16">
        <v>0</v>
      </c>
      <c r="P16">
        <v>3442.4300000000003</v>
      </c>
      <c r="Q16">
        <v>2361.35</v>
      </c>
      <c r="R16">
        <v>482</v>
      </c>
      <c r="S16">
        <v>0</v>
      </c>
      <c r="T16">
        <v>2843.35</v>
      </c>
      <c r="U16">
        <v>14779.970000000001</v>
      </c>
      <c r="V16">
        <v>0</v>
      </c>
      <c r="W16">
        <v>0</v>
      </c>
      <c r="X16">
        <v>14779.97</v>
      </c>
      <c r="Y16">
        <v>9853.4399999999987</v>
      </c>
      <c r="Z16">
        <v>1095.01</v>
      </c>
      <c r="AA16">
        <v>0</v>
      </c>
      <c r="AB16">
        <v>10948.449999999999</v>
      </c>
      <c r="AC16">
        <v>10371.69</v>
      </c>
      <c r="AD16">
        <v>2540.25</v>
      </c>
      <c r="AE16">
        <v>0</v>
      </c>
      <c r="AF16">
        <v>12911.94</v>
      </c>
      <c r="AG16">
        <v>13558.27</v>
      </c>
      <c r="AH16">
        <v>2540.25</v>
      </c>
      <c r="AI16">
        <v>0</v>
      </c>
      <c r="AJ16">
        <v>17111.86</v>
      </c>
    </row>
    <row r="17" spans="2:36" x14ac:dyDescent="0.25">
      <c r="B17" t="s">
        <v>54</v>
      </c>
      <c r="C17" s="9" t="s">
        <v>62</v>
      </c>
      <c r="D17" s="14">
        <v>45748</v>
      </c>
      <c r="E17" s="2">
        <v>2880.9</v>
      </c>
      <c r="F17">
        <v>0</v>
      </c>
      <c r="G17">
        <v>0</v>
      </c>
      <c r="H17">
        <v>2880.9</v>
      </c>
      <c r="I17">
        <v>1773.57</v>
      </c>
      <c r="J17">
        <v>0</v>
      </c>
      <c r="K17">
        <v>0</v>
      </c>
      <c r="L17">
        <v>1773.57</v>
      </c>
      <c r="M17">
        <v>2283.5</v>
      </c>
      <c r="N17">
        <v>568.75</v>
      </c>
      <c r="O17">
        <v>0</v>
      </c>
      <c r="P17">
        <v>2852.25</v>
      </c>
      <c r="Q17">
        <v>1703.5500000000002</v>
      </c>
      <c r="R17">
        <v>568.75</v>
      </c>
      <c r="S17">
        <v>0</v>
      </c>
      <c r="T17">
        <v>2272.3000000000002</v>
      </c>
      <c r="U17">
        <v>17660.870000000003</v>
      </c>
      <c r="V17">
        <v>0</v>
      </c>
      <c r="W17">
        <v>0</v>
      </c>
      <c r="X17">
        <v>17660.87</v>
      </c>
      <c r="Y17">
        <v>11627.009999999998</v>
      </c>
      <c r="Z17">
        <v>1095.01</v>
      </c>
      <c r="AA17">
        <v>0</v>
      </c>
      <c r="AB17">
        <v>12722.019999999999</v>
      </c>
      <c r="AC17">
        <v>12655.19</v>
      </c>
      <c r="AD17">
        <v>3109</v>
      </c>
      <c r="AE17">
        <v>0</v>
      </c>
      <c r="AF17">
        <v>15764.190000000002</v>
      </c>
      <c r="AG17">
        <v>15261.82</v>
      </c>
      <c r="AH17">
        <v>3109</v>
      </c>
      <c r="AI17">
        <v>0</v>
      </c>
      <c r="AJ17">
        <v>19384.159999999996</v>
      </c>
    </row>
    <row r="18" spans="2:36" x14ac:dyDescent="0.25">
      <c r="B18" t="s">
        <v>54</v>
      </c>
      <c r="C18" s="9" t="s">
        <v>63</v>
      </c>
      <c r="D18" s="14">
        <v>45778</v>
      </c>
      <c r="E18" s="2">
        <v>3551.28</v>
      </c>
      <c r="F18">
        <v>0</v>
      </c>
      <c r="G18">
        <v>0</v>
      </c>
      <c r="H18">
        <v>3551.28</v>
      </c>
      <c r="I18">
        <v>1923.47</v>
      </c>
      <c r="J18">
        <v>0</v>
      </c>
      <c r="K18">
        <v>0</v>
      </c>
      <c r="L18">
        <v>1923.47</v>
      </c>
      <c r="M18">
        <v>2361.35</v>
      </c>
      <c r="N18">
        <v>264.5</v>
      </c>
      <c r="O18">
        <v>0</v>
      </c>
      <c r="P18">
        <v>2625.85</v>
      </c>
      <c r="Q18">
        <v>2204.4499999999998</v>
      </c>
      <c r="R18">
        <v>56.5</v>
      </c>
      <c r="S18">
        <v>0</v>
      </c>
      <c r="T18">
        <v>2260.9499999999998</v>
      </c>
      <c r="U18">
        <v>21212.15</v>
      </c>
      <c r="V18">
        <v>0</v>
      </c>
      <c r="W18">
        <v>0</v>
      </c>
      <c r="X18">
        <v>21212.149999999998</v>
      </c>
      <c r="Y18">
        <v>13550.479999999998</v>
      </c>
      <c r="Z18">
        <v>1095.01</v>
      </c>
      <c r="AA18">
        <v>0</v>
      </c>
      <c r="AB18">
        <v>14645.49</v>
      </c>
      <c r="AC18">
        <v>15016.54</v>
      </c>
      <c r="AD18">
        <v>3373.5</v>
      </c>
      <c r="AE18">
        <v>0</v>
      </c>
      <c r="AF18">
        <v>18390.04</v>
      </c>
      <c r="AG18">
        <v>17466.27</v>
      </c>
      <c r="AH18">
        <v>3165.5</v>
      </c>
      <c r="AI18">
        <v>0</v>
      </c>
      <c r="AJ18">
        <v>21645.11</v>
      </c>
    </row>
    <row r="19" spans="2:36" x14ac:dyDescent="0.25">
      <c r="B19" t="s">
        <v>54</v>
      </c>
      <c r="C19" s="9" t="s">
        <v>64</v>
      </c>
      <c r="D19" s="14">
        <v>45809</v>
      </c>
      <c r="E19" s="2">
        <v>2014.06</v>
      </c>
      <c r="F19">
        <v>0</v>
      </c>
      <c r="G19">
        <v>0</v>
      </c>
      <c r="H19">
        <v>2014.06</v>
      </c>
      <c r="I19">
        <v>1097.25</v>
      </c>
      <c r="J19">
        <v>0</v>
      </c>
      <c r="K19">
        <v>0</v>
      </c>
      <c r="L19">
        <v>1097.25</v>
      </c>
      <c r="M19">
        <v>1703.8000000000002</v>
      </c>
      <c r="N19">
        <v>382.16</v>
      </c>
      <c r="O19">
        <v>0</v>
      </c>
      <c r="P19">
        <v>2085.96</v>
      </c>
      <c r="Q19">
        <v>1217.3500000000001</v>
      </c>
      <c r="R19">
        <v>122.5</v>
      </c>
      <c r="S19">
        <v>0</v>
      </c>
      <c r="T19">
        <v>1339.8500000000001</v>
      </c>
      <c r="U19">
        <v>23226.210000000003</v>
      </c>
      <c r="V19">
        <v>0</v>
      </c>
      <c r="W19">
        <v>0</v>
      </c>
      <c r="X19">
        <v>23226.21</v>
      </c>
      <c r="Y19">
        <v>14647.729999999998</v>
      </c>
      <c r="Z19">
        <v>1095.01</v>
      </c>
      <c r="AA19">
        <v>0</v>
      </c>
      <c r="AB19">
        <v>15742.74</v>
      </c>
      <c r="AC19">
        <v>16720.34</v>
      </c>
      <c r="AD19">
        <v>3755.66</v>
      </c>
      <c r="AE19">
        <v>0</v>
      </c>
      <c r="AF19">
        <v>20476</v>
      </c>
      <c r="AG19">
        <v>18683.62</v>
      </c>
      <c r="AH19">
        <v>3288</v>
      </c>
      <c r="AI19">
        <v>0</v>
      </c>
      <c r="AJ19">
        <v>22984.959999999999</v>
      </c>
    </row>
    <row r="20" spans="2:36" x14ac:dyDescent="0.25">
      <c r="B20" t="s">
        <v>54</v>
      </c>
      <c r="C20" s="9" t="s">
        <v>65</v>
      </c>
      <c r="D20" s="14">
        <v>45839</v>
      </c>
      <c r="E20" s="2">
        <v>1373.4</v>
      </c>
      <c r="F20">
        <v>0</v>
      </c>
      <c r="G20">
        <v>0</v>
      </c>
      <c r="H20">
        <v>1373.4</v>
      </c>
      <c r="I20">
        <v>757.89</v>
      </c>
      <c r="J20">
        <v>0</v>
      </c>
      <c r="K20">
        <v>0</v>
      </c>
      <c r="L20">
        <v>757.89</v>
      </c>
      <c r="M20">
        <v>2204.1999999999998</v>
      </c>
      <c r="N20">
        <v>200</v>
      </c>
      <c r="O20">
        <v>0</v>
      </c>
      <c r="P20">
        <v>2404.1999999999998</v>
      </c>
      <c r="Q20">
        <v>1199.6200000000001</v>
      </c>
      <c r="R20">
        <v>17.5</v>
      </c>
      <c r="S20">
        <v>0</v>
      </c>
      <c r="T20">
        <v>1217.1200000000001</v>
      </c>
      <c r="U20">
        <v>24599.610000000004</v>
      </c>
      <c r="V20">
        <v>0</v>
      </c>
      <c r="W20">
        <v>0</v>
      </c>
      <c r="X20">
        <v>24599.61</v>
      </c>
      <c r="Y20">
        <v>15405.619999999997</v>
      </c>
      <c r="Z20">
        <v>1095.01</v>
      </c>
      <c r="AA20">
        <v>0</v>
      </c>
      <c r="AB20">
        <v>16500.629999999997</v>
      </c>
      <c r="AC20">
        <v>18924.54</v>
      </c>
      <c r="AD20">
        <v>3955.66</v>
      </c>
      <c r="AE20">
        <v>0</v>
      </c>
      <c r="AF20">
        <v>22880.199999999997</v>
      </c>
      <c r="AG20">
        <v>19883.239999999998</v>
      </c>
      <c r="AH20">
        <v>3305.5</v>
      </c>
      <c r="AI20">
        <v>0</v>
      </c>
      <c r="AJ20">
        <v>24202.079999999998</v>
      </c>
    </row>
    <row r="21" spans="2:36" x14ac:dyDescent="0.25">
      <c r="B21" t="s">
        <v>54</v>
      </c>
      <c r="C21" s="9" t="s">
        <v>66</v>
      </c>
      <c r="D21" s="14">
        <v>45870</v>
      </c>
      <c r="E21" s="2">
        <v>1316.45</v>
      </c>
      <c r="F21">
        <v>0</v>
      </c>
      <c r="G21">
        <v>0</v>
      </c>
      <c r="H21">
        <v>1316.45</v>
      </c>
      <c r="I21">
        <v>770.74</v>
      </c>
      <c r="J21">
        <v>0</v>
      </c>
      <c r="K21">
        <v>0</v>
      </c>
      <c r="L21">
        <v>770.74</v>
      </c>
      <c r="M21">
        <v>1217.3500000000001</v>
      </c>
      <c r="N21">
        <v>200</v>
      </c>
      <c r="O21">
        <v>0</v>
      </c>
      <c r="P21">
        <v>1417.3500000000001</v>
      </c>
      <c r="Q21">
        <v>1052.6300000000001</v>
      </c>
      <c r="R21">
        <v>0</v>
      </c>
      <c r="S21">
        <v>0</v>
      </c>
      <c r="T21">
        <v>1052.6300000000001</v>
      </c>
      <c r="U21">
        <v>25916.060000000005</v>
      </c>
      <c r="V21">
        <v>0</v>
      </c>
      <c r="W21">
        <v>0</v>
      </c>
      <c r="X21">
        <v>25916.06</v>
      </c>
      <c r="Y21">
        <v>16176.359999999997</v>
      </c>
      <c r="Z21">
        <v>1095.01</v>
      </c>
      <c r="AA21">
        <v>0</v>
      </c>
      <c r="AB21">
        <v>17271.37</v>
      </c>
      <c r="AC21">
        <v>20141.89</v>
      </c>
      <c r="AD21">
        <v>4155.66</v>
      </c>
      <c r="AE21">
        <v>0</v>
      </c>
      <c r="AF21">
        <v>24297.550000000003</v>
      </c>
      <c r="AG21">
        <v>20935.87</v>
      </c>
      <c r="AH21">
        <v>3305.5</v>
      </c>
      <c r="AI21">
        <v>0</v>
      </c>
      <c r="AJ21">
        <v>25254.71</v>
      </c>
    </row>
    <row r="22" spans="2:36" x14ac:dyDescent="0.25">
      <c r="B22" t="s">
        <v>54</v>
      </c>
      <c r="C22" s="9" t="s">
        <v>67</v>
      </c>
      <c r="D22" s="14">
        <v>45901</v>
      </c>
      <c r="E22" s="2">
        <v>1089.9000000000001</v>
      </c>
      <c r="F22">
        <v>0</v>
      </c>
      <c r="G22">
        <v>0</v>
      </c>
      <c r="H22">
        <v>1089.9000000000001</v>
      </c>
      <c r="I22">
        <v>689.2</v>
      </c>
      <c r="J22">
        <v>0</v>
      </c>
      <c r="K22">
        <v>0</v>
      </c>
      <c r="L22">
        <v>689.2</v>
      </c>
      <c r="M22">
        <v>1199.6200000000001</v>
      </c>
      <c r="N22">
        <v>200</v>
      </c>
      <c r="O22">
        <v>0</v>
      </c>
      <c r="P22">
        <v>1399.6200000000001</v>
      </c>
      <c r="Q22">
        <v>1236.3</v>
      </c>
      <c r="R22">
        <v>0</v>
      </c>
      <c r="S22">
        <v>0</v>
      </c>
      <c r="T22">
        <v>1236.3</v>
      </c>
      <c r="U22">
        <v>27005.960000000006</v>
      </c>
      <c r="V22">
        <v>0</v>
      </c>
      <c r="W22">
        <v>0</v>
      </c>
      <c r="X22">
        <v>27005.96</v>
      </c>
      <c r="Y22">
        <v>16865.559999999998</v>
      </c>
      <c r="Z22">
        <v>1095.01</v>
      </c>
      <c r="AA22">
        <v>0</v>
      </c>
      <c r="AB22">
        <v>17960.57</v>
      </c>
      <c r="AC22">
        <v>21341.51</v>
      </c>
      <c r="AD22">
        <v>4355.66</v>
      </c>
      <c r="AE22">
        <v>0</v>
      </c>
      <c r="AF22">
        <v>25697.17</v>
      </c>
      <c r="AG22">
        <v>22172.17</v>
      </c>
      <c r="AH22">
        <v>3305.5</v>
      </c>
      <c r="AI22">
        <v>0</v>
      </c>
      <c r="AJ22">
        <v>26491.01</v>
      </c>
    </row>
    <row r="23" spans="2:36" x14ac:dyDescent="0.25">
      <c r="B23" t="s">
        <v>54</v>
      </c>
      <c r="C23" s="9" t="s">
        <v>68</v>
      </c>
      <c r="D23" s="14">
        <v>45931</v>
      </c>
      <c r="E23" s="2">
        <v>787.67</v>
      </c>
      <c r="F23">
        <v>0</v>
      </c>
      <c r="G23">
        <v>0</v>
      </c>
      <c r="H23">
        <v>787.67</v>
      </c>
      <c r="I23">
        <v>579.42000000000007</v>
      </c>
      <c r="J23">
        <v>0</v>
      </c>
      <c r="K23">
        <v>0</v>
      </c>
      <c r="L23">
        <v>579.42000000000007</v>
      </c>
      <c r="M23">
        <v>1052.6300000000001</v>
      </c>
      <c r="N23">
        <v>164.93</v>
      </c>
      <c r="O23">
        <v>0</v>
      </c>
      <c r="P23">
        <v>1217.56</v>
      </c>
      <c r="Q23">
        <v>1270.8500000000001</v>
      </c>
      <c r="R23">
        <v>0</v>
      </c>
      <c r="S23">
        <v>0</v>
      </c>
      <c r="T23">
        <v>1270.8500000000001</v>
      </c>
      <c r="U23">
        <v>27793.630000000005</v>
      </c>
      <c r="V23">
        <v>0</v>
      </c>
      <c r="W23">
        <v>0</v>
      </c>
      <c r="X23">
        <v>27793.63</v>
      </c>
      <c r="Y23">
        <v>17444.979999999996</v>
      </c>
      <c r="Z23">
        <v>1095.01</v>
      </c>
      <c r="AA23">
        <v>0</v>
      </c>
      <c r="AB23">
        <v>18539.989999999998</v>
      </c>
      <c r="AC23">
        <v>22394.14</v>
      </c>
      <c r="AD23">
        <v>4520.59</v>
      </c>
      <c r="AE23">
        <v>0</v>
      </c>
      <c r="AF23">
        <v>26914.730000000003</v>
      </c>
      <c r="AG23">
        <v>23443.019999999997</v>
      </c>
      <c r="AH23">
        <v>3305.5</v>
      </c>
      <c r="AI23">
        <v>0</v>
      </c>
      <c r="AJ23">
        <v>27761.859999999997</v>
      </c>
    </row>
    <row r="24" spans="2:36" x14ac:dyDescent="0.25">
      <c r="B24" t="s">
        <v>54</v>
      </c>
      <c r="C24" s="9" t="s">
        <v>69</v>
      </c>
      <c r="D24" s="14">
        <v>45962</v>
      </c>
      <c r="E24" s="2">
        <v>651.13</v>
      </c>
      <c r="F24">
        <v>0</v>
      </c>
      <c r="G24">
        <v>0</v>
      </c>
      <c r="H24">
        <v>651.13</v>
      </c>
      <c r="I24">
        <v>425.12</v>
      </c>
      <c r="J24">
        <v>0</v>
      </c>
      <c r="K24">
        <v>0</v>
      </c>
      <c r="L24">
        <v>425.12</v>
      </c>
      <c r="M24">
        <v>1236.3</v>
      </c>
      <c r="N24">
        <v>0</v>
      </c>
      <c r="O24">
        <v>0</v>
      </c>
      <c r="P24">
        <v>1236.3</v>
      </c>
      <c r="Q24">
        <v>453.86</v>
      </c>
      <c r="R24">
        <v>0</v>
      </c>
      <c r="S24">
        <v>0</v>
      </c>
      <c r="T24">
        <v>453.86</v>
      </c>
      <c r="U24">
        <v>28444.760000000006</v>
      </c>
      <c r="V24">
        <v>0</v>
      </c>
      <c r="W24">
        <v>0</v>
      </c>
      <c r="X24">
        <v>28444.76</v>
      </c>
      <c r="Y24">
        <v>17870.099999999995</v>
      </c>
      <c r="Z24">
        <v>1095.01</v>
      </c>
      <c r="AA24">
        <v>0</v>
      </c>
      <c r="AB24">
        <v>18965.11</v>
      </c>
      <c r="AC24">
        <v>23630.44</v>
      </c>
      <c r="AD24">
        <v>4520.59</v>
      </c>
      <c r="AE24">
        <v>0</v>
      </c>
      <c r="AF24">
        <v>28151.03</v>
      </c>
      <c r="AG24">
        <v>23896.879999999997</v>
      </c>
      <c r="AH24">
        <v>3305.5</v>
      </c>
      <c r="AI24">
        <v>0</v>
      </c>
      <c r="AJ24">
        <v>28215.72</v>
      </c>
    </row>
    <row r="25" spans="2:36" x14ac:dyDescent="0.25">
      <c r="B25" t="s">
        <v>54</v>
      </c>
      <c r="C25" s="9" t="s">
        <v>70</v>
      </c>
      <c r="D25" s="14">
        <v>45992</v>
      </c>
      <c r="E25" s="2">
        <v>974.93</v>
      </c>
      <c r="F25">
        <v>0</v>
      </c>
      <c r="G25">
        <v>0</v>
      </c>
      <c r="H25">
        <v>974.93</v>
      </c>
      <c r="I25">
        <v>556.69000000000005</v>
      </c>
      <c r="J25">
        <v>0</v>
      </c>
      <c r="K25">
        <v>0</v>
      </c>
      <c r="L25">
        <v>556.69000000000005</v>
      </c>
      <c r="M25">
        <v>1270.8500000000001</v>
      </c>
      <c r="N25">
        <v>0</v>
      </c>
      <c r="O25">
        <v>0</v>
      </c>
      <c r="P25">
        <v>1270.8500000000001</v>
      </c>
      <c r="Q25">
        <v>0</v>
      </c>
      <c r="R25">
        <v>0</v>
      </c>
      <c r="S25">
        <v>0</v>
      </c>
      <c r="T25">
        <v>0</v>
      </c>
      <c r="U25">
        <v>29419.690000000006</v>
      </c>
      <c r="V25">
        <v>0</v>
      </c>
      <c r="W25">
        <v>0</v>
      </c>
      <c r="X25">
        <v>29419.69</v>
      </c>
      <c r="Y25">
        <v>18426.789999999994</v>
      </c>
      <c r="Z25">
        <v>1095.01</v>
      </c>
      <c r="AA25">
        <v>0</v>
      </c>
      <c r="AB25">
        <v>19521.800000000003</v>
      </c>
      <c r="AC25">
        <v>24901.289999999997</v>
      </c>
      <c r="AD25">
        <v>4520.59</v>
      </c>
      <c r="AE25">
        <v>0</v>
      </c>
      <c r="AF25">
        <v>29421.88</v>
      </c>
      <c r="AG25">
        <v>23896.879999999997</v>
      </c>
      <c r="AH25">
        <v>3305.5</v>
      </c>
      <c r="AI25">
        <v>0</v>
      </c>
      <c r="AJ25">
        <v>28215.72</v>
      </c>
    </row>
    <row r="26" spans="2:36" x14ac:dyDescent="0.25">
      <c r="B26" t="s">
        <v>54</v>
      </c>
      <c r="C26" s="9" t="s">
        <v>71</v>
      </c>
      <c r="D26" s="14">
        <v>46023</v>
      </c>
      <c r="E26" s="2">
        <v>391.86</v>
      </c>
      <c r="F26">
        <v>0</v>
      </c>
      <c r="G26">
        <v>0</v>
      </c>
      <c r="H26">
        <v>391.86</v>
      </c>
      <c r="I26">
        <v>271.94</v>
      </c>
      <c r="J26">
        <v>0</v>
      </c>
      <c r="K26">
        <v>0</v>
      </c>
      <c r="L26">
        <v>271.94</v>
      </c>
      <c r="M26">
        <v>486.56</v>
      </c>
      <c r="N26">
        <v>0</v>
      </c>
      <c r="O26">
        <v>0</v>
      </c>
      <c r="P26">
        <v>486.56</v>
      </c>
      <c r="Q26">
        <v>0</v>
      </c>
      <c r="R26">
        <v>0</v>
      </c>
      <c r="S26">
        <v>0</v>
      </c>
      <c r="T26">
        <v>0</v>
      </c>
      <c r="U26">
        <v>29811.550000000007</v>
      </c>
      <c r="V26">
        <v>0</v>
      </c>
      <c r="W26">
        <v>0</v>
      </c>
      <c r="X26">
        <v>29811.550000000003</v>
      </c>
      <c r="Y26">
        <v>18698.729999999992</v>
      </c>
      <c r="Z26">
        <v>1095.01</v>
      </c>
      <c r="AA26">
        <v>0</v>
      </c>
      <c r="AB26">
        <v>19793.740000000002</v>
      </c>
      <c r="AC26">
        <v>25387.85</v>
      </c>
      <c r="AD26">
        <v>4520.59</v>
      </c>
      <c r="AE26">
        <v>0</v>
      </c>
      <c r="AF26">
        <v>29908.44</v>
      </c>
      <c r="AG26">
        <v>23896.879999999997</v>
      </c>
      <c r="AH26">
        <v>3305.5</v>
      </c>
      <c r="AI26">
        <v>0</v>
      </c>
      <c r="AJ26">
        <v>28215.72</v>
      </c>
    </row>
    <row r="27" spans="2:36" x14ac:dyDescent="0.25">
      <c r="B27" t="s">
        <v>54</v>
      </c>
      <c r="C27" s="9" t="s">
        <v>72</v>
      </c>
      <c r="D27" s="14">
        <v>46054</v>
      </c>
      <c r="E27" s="2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243.28</v>
      </c>
      <c r="N27">
        <v>0</v>
      </c>
      <c r="O27">
        <v>0</v>
      </c>
      <c r="P27">
        <v>243.28</v>
      </c>
      <c r="Q27">
        <v>0</v>
      </c>
      <c r="R27">
        <v>0</v>
      </c>
      <c r="S27">
        <v>0</v>
      </c>
      <c r="T27">
        <v>0</v>
      </c>
      <c r="U27">
        <v>29811.550000000007</v>
      </c>
      <c r="V27">
        <v>0</v>
      </c>
      <c r="W27">
        <v>0</v>
      </c>
      <c r="X27">
        <v>29811.550000000003</v>
      </c>
      <c r="Y27">
        <v>18698.729999999992</v>
      </c>
      <c r="Z27">
        <v>1095.01</v>
      </c>
      <c r="AA27">
        <v>0</v>
      </c>
      <c r="AB27">
        <v>19793.740000000002</v>
      </c>
      <c r="AC27">
        <v>25631.129999999997</v>
      </c>
      <c r="AD27">
        <v>4520.59</v>
      </c>
      <c r="AE27">
        <v>0</v>
      </c>
      <c r="AF27">
        <v>30151.719999999998</v>
      </c>
      <c r="AG27">
        <v>23896.879999999997</v>
      </c>
      <c r="AH27">
        <v>3305.5</v>
      </c>
      <c r="AI27">
        <v>0</v>
      </c>
      <c r="AJ27">
        <v>28215.72</v>
      </c>
    </row>
    <row r="28" spans="2:36" x14ac:dyDescent="0.25">
      <c r="B28" t="s">
        <v>54</v>
      </c>
      <c r="C28" s="9" t="s">
        <v>73</v>
      </c>
      <c r="D28" s="14">
        <v>46082</v>
      </c>
      <c r="E28" s="2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64</v>
      </c>
      <c r="N28">
        <v>0</v>
      </c>
      <c r="O28">
        <v>0</v>
      </c>
      <c r="P28">
        <v>64</v>
      </c>
      <c r="Q28">
        <v>0</v>
      </c>
      <c r="R28">
        <v>0</v>
      </c>
      <c r="S28">
        <v>0</v>
      </c>
      <c r="T28">
        <v>0</v>
      </c>
      <c r="U28">
        <v>29811.550000000007</v>
      </c>
      <c r="V28">
        <v>0</v>
      </c>
      <c r="W28">
        <v>0</v>
      </c>
      <c r="X28">
        <v>29811.550000000003</v>
      </c>
      <c r="Y28">
        <v>18698.729999999992</v>
      </c>
      <c r="Z28">
        <v>1095.01</v>
      </c>
      <c r="AA28">
        <v>0</v>
      </c>
      <c r="AB28">
        <v>19793.740000000002</v>
      </c>
      <c r="AC28">
        <v>25695.129999999997</v>
      </c>
      <c r="AD28">
        <v>4520.59</v>
      </c>
      <c r="AE28">
        <v>0</v>
      </c>
      <c r="AF28">
        <v>30215.719999999998</v>
      </c>
      <c r="AG28">
        <v>23896.879999999997</v>
      </c>
      <c r="AH28">
        <v>3305.5</v>
      </c>
      <c r="AI28">
        <v>0</v>
      </c>
      <c r="AJ28">
        <v>28215.72</v>
      </c>
    </row>
    <row r="29" spans="2:36" x14ac:dyDescent="0.25">
      <c r="B29" t="s">
        <v>54</v>
      </c>
      <c r="C29" s="9" t="s">
        <v>74</v>
      </c>
      <c r="D29" s="14">
        <v>46113</v>
      </c>
      <c r="E29" s="2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29811.550000000007</v>
      </c>
      <c r="V29">
        <v>0</v>
      </c>
      <c r="W29">
        <v>0</v>
      </c>
      <c r="X29">
        <v>29811.550000000003</v>
      </c>
      <c r="Y29">
        <v>18698.729999999992</v>
      </c>
      <c r="Z29">
        <v>1095.01</v>
      </c>
      <c r="AA29">
        <v>0</v>
      </c>
      <c r="AB29">
        <v>19793.740000000002</v>
      </c>
      <c r="AC29">
        <v>25695.129999999997</v>
      </c>
      <c r="AD29">
        <v>4520.59</v>
      </c>
      <c r="AE29">
        <v>0</v>
      </c>
      <c r="AF29">
        <v>30215.719999999998</v>
      </c>
      <c r="AG29">
        <v>23896.879999999997</v>
      </c>
      <c r="AH29">
        <v>3305.5</v>
      </c>
      <c r="AI29">
        <v>0</v>
      </c>
      <c r="AJ29">
        <v>28215.72</v>
      </c>
    </row>
    <row r="30" spans="2:36" x14ac:dyDescent="0.25">
      <c r="B30" t="s">
        <v>54</v>
      </c>
      <c r="C30" s="9" t="s">
        <v>75</v>
      </c>
      <c r="D30" s="14">
        <v>46143</v>
      </c>
      <c r="E30" s="2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29811.550000000007</v>
      </c>
      <c r="V30">
        <v>0</v>
      </c>
      <c r="W30">
        <v>0</v>
      </c>
      <c r="X30">
        <v>29811.550000000003</v>
      </c>
      <c r="Y30">
        <v>18698.729999999992</v>
      </c>
      <c r="Z30">
        <v>1095.01</v>
      </c>
      <c r="AA30">
        <v>0</v>
      </c>
      <c r="AB30">
        <v>19793.740000000002</v>
      </c>
      <c r="AC30">
        <v>25695.129999999997</v>
      </c>
      <c r="AD30">
        <v>4520.59</v>
      </c>
      <c r="AE30">
        <v>0</v>
      </c>
      <c r="AF30">
        <v>30215.719999999998</v>
      </c>
      <c r="AG30">
        <v>23896.879999999997</v>
      </c>
      <c r="AH30">
        <v>3305.5</v>
      </c>
      <c r="AI30">
        <v>0</v>
      </c>
      <c r="AJ30">
        <v>28215.72</v>
      </c>
    </row>
    <row r="31" spans="2:36" x14ac:dyDescent="0.25">
      <c r="B31" t="s">
        <v>54</v>
      </c>
      <c r="C31" s="9" t="s">
        <v>76</v>
      </c>
      <c r="D31" s="14">
        <v>46174</v>
      </c>
      <c r="E31" s="2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29811.550000000007</v>
      </c>
      <c r="V31">
        <v>0</v>
      </c>
      <c r="W31">
        <v>0</v>
      </c>
      <c r="X31">
        <v>29811.550000000003</v>
      </c>
      <c r="Y31">
        <v>18698.729999999992</v>
      </c>
      <c r="Z31">
        <v>1095.01</v>
      </c>
      <c r="AA31">
        <v>0</v>
      </c>
      <c r="AB31">
        <v>19793.740000000002</v>
      </c>
      <c r="AC31">
        <v>25695.129999999997</v>
      </c>
      <c r="AD31">
        <v>4520.59</v>
      </c>
      <c r="AE31">
        <v>0</v>
      </c>
      <c r="AF31">
        <v>30215.719999999998</v>
      </c>
      <c r="AG31">
        <v>23896.879999999997</v>
      </c>
      <c r="AH31">
        <v>3305.5</v>
      </c>
      <c r="AI31">
        <v>0</v>
      </c>
      <c r="AJ31">
        <v>28215.72</v>
      </c>
    </row>
    <row r="32" spans="2:36" x14ac:dyDescent="0.25">
      <c r="B32" t="s">
        <v>54</v>
      </c>
      <c r="C32" s="9" t="s">
        <v>77</v>
      </c>
      <c r="D32" s="14">
        <v>46204</v>
      </c>
      <c r="E32" s="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29811.550000000007</v>
      </c>
      <c r="V32">
        <v>0</v>
      </c>
      <c r="W32">
        <v>0</v>
      </c>
      <c r="X32">
        <v>29811.550000000003</v>
      </c>
      <c r="Y32">
        <v>18698.729999999992</v>
      </c>
      <c r="Z32">
        <v>1095.01</v>
      </c>
      <c r="AA32">
        <v>0</v>
      </c>
      <c r="AB32">
        <v>19793.740000000002</v>
      </c>
      <c r="AC32">
        <v>25695.129999999997</v>
      </c>
      <c r="AD32">
        <v>4520.59</v>
      </c>
      <c r="AE32">
        <v>0</v>
      </c>
      <c r="AF32">
        <v>30215.719999999998</v>
      </c>
      <c r="AG32">
        <v>23896.879999999997</v>
      </c>
      <c r="AH32">
        <v>3305.5</v>
      </c>
      <c r="AI32">
        <v>0</v>
      </c>
      <c r="AJ32">
        <v>28215.72</v>
      </c>
    </row>
    <row r="33" spans="2:36" x14ac:dyDescent="0.25">
      <c r="B33" t="s">
        <v>54</v>
      </c>
      <c r="C33" s="9" t="s">
        <v>78</v>
      </c>
      <c r="D33" s="14">
        <v>46235</v>
      </c>
      <c r="E33" s="2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29811.550000000007</v>
      </c>
      <c r="V33">
        <v>0</v>
      </c>
      <c r="W33">
        <v>0</v>
      </c>
      <c r="X33">
        <v>29811.550000000003</v>
      </c>
      <c r="Y33">
        <v>18698.729999999992</v>
      </c>
      <c r="Z33">
        <v>1095.01</v>
      </c>
      <c r="AA33">
        <v>0</v>
      </c>
      <c r="AB33">
        <v>19793.740000000002</v>
      </c>
      <c r="AC33">
        <v>25695.129999999997</v>
      </c>
      <c r="AD33">
        <v>4520.59</v>
      </c>
      <c r="AE33">
        <v>0</v>
      </c>
      <c r="AF33">
        <v>30215.719999999998</v>
      </c>
      <c r="AG33">
        <v>23896.879999999997</v>
      </c>
      <c r="AH33">
        <v>3305.5</v>
      </c>
      <c r="AI33">
        <v>0</v>
      </c>
      <c r="AJ33">
        <v>28215.72</v>
      </c>
    </row>
    <row r="34" spans="2:36" x14ac:dyDescent="0.25">
      <c r="B34" t="s">
        <v>79</v>
      </c>
      <c r="C34" s="9" t="s">
        <v>55</v>
      </c>
      <c r="D34" s="14">
        <v>45536</v>
      </c>
      <c r="E34" s="2">
        <v>0</v>
      </c>
      <c r="H34">
        <v>0</v>
      </c>
      <c r="I34">
        <v>0</v>
      </c>
      <c r="L34">
        <v>0</v>
      </c>
      <c r="M34">
        <v>0</v>
      </c>
      <c r="P34">
        <v>0</v>
      </c>
      <c r="Q34">
        <v>358.75</v>
      </c>
      <c r="S34">
        <v>0</v>
      </c>
      <c r="T34">
        <v>358.75</v>
      </c>
      <c r="U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358.75</v>
      </c>
      <c r="AH34">
        <v>0</v>
      </c>
      <c r="AI34">
        <v>0</v>
      </c>
      <c r="AJ34">
        <v>358.75</v>
      </c>
    </row>
    <row r="35" spans="2:36" x14ac:dyDescent="0.25">
      <c r="B35" t="s">
        <v>79</v>
      </c>
      <c r="C35" s="9" t="s">
        <v>56</v>
      </c>
      <c r="D35" s="14">
        <v>45566</v>
      </c>
      <c r="E35" s="2">
        <v>52.38</v>
      </c>
      <c r="H35">
        <v>52.38</v>
      </c>
      <c r="I35">
        <v>44</v>
      </c>
      <c r="J35">
        <v>8.75</v>
      </c>
      <c r="L35">
        <v>52.75</v>
      </c>
      <c r="M35">
        <v>49</v>
      </c>
      <c r="N35">
        <v>8.75</v>
      </c>
      <c r="P35">
        <v>57.75</v>
      </c>
      <c r="Q35">
        <v>616.41999999999996</v>
      </c>
      <c r="R35">
        <v>8.75</v>
      </c>
      <c r="T35">
        <v>625.16999999999996</v>
      </c>
      <c r="U35">
        <v>52.38</v>
      </c>
      <c r="W35">
        <v>0</v>
      </c>
      <c r="X35">
        <v>52.38</v>
      </c>
      <c r="Y35">
        <v>44</v>
      </c>
      <c r="Z35">
        <v>8.75</v>
      </c>
      <c r="AA35">
        <v>0</v>
      </c>
      <c r="AB35">
        <v>52.75</v>
      </c>
      <c r="AC35">
        <v>49</v>
      </c>
      <c r="AD35">
        <v>8.75</v>
      </c>
      <c r="AE35">
        <v>0</v>
      </c>
      <c r="AF35">
        <v>57.75</v>
      </c>
      <c r="AG35">
        <v>975.17</v>
      </c>
      <c r="AH35">
        <v>8.75</v>
      </c>
      <c r="AI35">
        <v>0</v>
      </c>
      <c r="AJ35">
        <v>983.92</v>
      </c>
    </row>
    <row r="36" spans="2:36" x14ac:dyDescent="0.25">
      <c r="B36" t="s">
        <v>79</v>
      </c>
      <c r="C36" s="9" t="s">
        <v>57</v>
      </c>
      <c r="D36" s="14">
        <v>45597</v>
      </c>
      <c r="E36" s="2">
        <v>615.6</v>
      </c>
      <c r="H36">
        <v>615.6</v>
      </c>
      <c r="I36">
        <v>472</v>
      </c>
      <c r="J36">
        <v>271.75</v>
      </c>
      <c r="L36">
        <v>743.75</v>
      </c>
      <c r="M36">
        <v>358.75</v>
      </c>
      <c r="N36">
        <v>293.25</v>
      </c>
      <c r="P36">
        <v>652</v>
      </c>
      <c r="Q36">
        <v>792.84</v>
      </c>
      <c r="R36">
        <v>293.25</v>
      </c>
      <c r="T36">
        <v>1086.0900000000001</v>
      </c>
      <c r="U36">
        <v>667.98</v>
      </c>
      <c r="W36">
        <v>0</v>
      </c>
      <c r="X36">
        <v>667.98</v>
      </c>
      <c r="Y36">
        <v>516</v>
      </c>
      <c r="Z36">
        <v>280.5</v>
      </c>
      <c r="AA36">
        <v>0</v>
      </c>
      <c r="AB36">
        <v>796.5</v>
      </c>
      <c r="AC36">
        <v>407.75</v>
      </c>
      <c r="AD36">
        <v>302</v>
      </c>
      <c r="AE36">
        <v>0</v>
      </c>
      <c r="AF36">
        <v>709.75</v>
      </c>
      <c r="AG36">
        <v>1768.01</v>
      </c>
      <c r="AH36">
        <v>302</v>
      </c>
      <c r="AI36">
        <v>0</v>
      </c>
      <c r="AJ36">
        <v>2070.0100000000002</v>
      </c>
    </row>
    <row r="37" spans="2:36" x14ac:dyDescent="0.25">
      <c r="B37" t="s">
        <v>79</v>
      </c>
      <c r="C37" s="9" t="s">
        <v>58</v>
      </c>
      <c r="D37" s="14">
        <v>45627</v>
      </c>
      <c r="E37" s="2">
        <v>587.45000000000005</v>
      </c>
      <c r="H37">
        <v>587.45000000000005</v>
      </c>
      <c r="I37">
        <v>436</v>
      </c>
      <c r="J37">
        <v>397.1</v>
      </c>
      <c r="L37">
        <v>833.1</v>
      </c>
      <c r="M37">
        <v>616.41999999999996</v>
      </c>
      <c r="N37">
        <v>447.5</v>
      </c>
      <c r="P37">
        <v>1063.92</v>
      </c>
      <c r="Q37">
        <v>614.75</v>
      </c>
      <c r="R37">
        <v>447.5</v>
      </c>
      <c r="T37">
        <v>1062.25</v>
      </c>
      <c r="U37">
        <v>1255.43</v>
      </c>
      <c r="W37">
        <v>0</v>
      </c>
      <c r="X37">
        <v>1255.43</v>
      </c>
      <c r="Y37">
        <v>952</v>
      </c>
      <c r="Z37">
        <v>677.6</v>
      </c>
      <c r="AA37">
        <v>0</v>
      </c>
      <c r="AB37">
        <v>1629.6</v>
      </c>
      <c r="AC37">
        <v>1024.17</v>
      </c>
      <c r="AD37">
        <v>749.5</v>
      </c>
      <c r="AE37">
        <v>0</v>
      </c>
      <c r="AF37">
        <v>1773.67</v>
      </c>
      <c r="AG37">
        <v>2382.7600000000002</v>
      </c>
      <c r="AH37">
        <v>749.5</v>
      </c>
      <c r="AI37">
        <v>0</v>
      </c>
      <c r="AJ37">
        <v>3132.26</v>
      </c>
    </row>
    <row r="38" spans="2:36" x14ac:dyDescent="0.25">
      <c r="B38" t="s">
        <v>79</v>
      </c>
      <c r="C38" s="9" t="s">
        <v>59</v>
      </c>
      <c r="D38" s="14">
        <v>45658</v>
      </c>
      <c r="E38" s="2">
        <v>494.03</v>
      </c>
      <c r="H38">
        <v>494.03</v>
      </c>
      <c r="I38">
        <v>302</v>
      </c>
      <c r="J38">
        <v>417.41</v>
      </c>
      <c r="L38">
        <v>719.41000000000008</v>
      </c>
      <c r="M38">
        <v>792.84</v>
      </c>
      <c r="N38">
        <v>674</v>
      </c>
      <c r="P38">
        <v>1466.8400000000001</v>
      </c>
      <c r="Q38">
        <v>885.5</v>
      </c>
      <c r="R38">
        <v>674</v>
      </c>
      <c r="T38">
        <v>1559.5</v>
      </c>
      <c r="U38">
        <v>1749.46</v>
      </c>
      <c r="W38">
        <v>0</v>
      </c>
      <c r="X38">
        <v>1749.46</v>
      </c>
      <c r="Y38">
        <v>1254</v>
      </c>
      <c r="Z38">
        <v>1095.01</v>
      </c>
      <c r="AA38">
        <v>0</v>
      </c>
      <c r="AB38">
        <v>2349.0100000000002</v>
      </c>
      <c r="AC38">
        <v>1817.0100000000002</v>
      </c>
      <c r="AD38">
        <v>1423.5</v>
      </c>
      <c r="AE38">
        <v>0</v>
      </c>
      <c r="AF38">
        <v>3240.51</v>
      </c>
      <c r="AG38">
        <v>3268.26</v>
      </c>
      <c r="AH38">
        <v>1423.5</v>
      </c>
      <c r="AI38">
        <v>0</v>
      </c>
      <c r="AJ38">
        <v>4691.76</v>
      </c>
    </row>
    <row r="39" spans="2:36" x14ac:dyDescent="0.25">
      <c r="B39" t="s">
        <v>79</v>
      </c>
      <c r="C39" s="9" t="s">
        <v>60</v>
      </c>
      <c r="D39" s="14">
        <v>45689</v>
      </c>
      <c r="E39" s="2">
        <v>329.65</v>
      </c>
      <c r="H39">
        <v>329.65</v>
      </c>
      <c r="I39">
        <v>168</v>
      </c>
      <c r="L39">
        <v>168</v>
      </c>
      <c r="M39">
        <v>614.75</v>
      </c>
      <c r="N39">
        <v>634.75</v>
      </c>
      <c r="P39">
        <v>1249.5</v>
      </c>
      <c r="Q39">
        <v>544.16999999999996</v>
      </c>
      <c r="R39">
        <v>634.75</v>
      </c>
      <c r="T39">
        <v>1178.92</v>
      </c>
      <c r="U39">
        <v>2079.11</v>
      </c>
      <c r="W39">
        <v>0</v>
      </c>
      <c r="X39">
        <v>2079.11</v>
      </c>
      <c r="Y39">
        <v>1422</v>
      </c>
      <c r="Z39">
        <v>1095.01</v>
      </c>
      <c r="AA39">
        <v>0</v>
      </c>
      <c r="AB39">
        <v>2517.0100000000002</v>
      </c>
      <c r="AC39">
        <v>2431.7600000000002</v>
      </c>
      <c r="AD39">
        <v>2058.25</v>
      </c>
      <c r="AE39">
        <v>0</v>
      </c>
      <c r="AF39">
        <v>4490.01</v>
      </c>
      <c r="AG39">
        <v>3812.4300000000003</v>
      </c>
      <c r="AH39">
        <v>2058.25</v>
      </c>
      <c r="AI39">
        <v>0</v>
      </c>
      <c r="AJ39">
        <v>5870.68</v>
      </c>
    </row>
    <row r="40" spans="2:36" x14ac:dyDescent="0.25">
      <c r="B40" t="s">
        <v>79</v>
      </c>
      <c r="C40" s="9" t="s">
        <v>61</v>
      </c>
      <c r="D40" s="14">
        <v>45717</v>
      </c>
      <c r="E40" s="2">
        <v>95.58</v>
      </c>
      <c r="H40">
        <v>95.58</v>
      </c>
      <c r="I40">
        <v>92</v>
      </c>
      <c r="L40">
        <v>92</v>
      </c>
      <c r="M40">
        <v>885.5</v>
      </c>
      <c r="N40">
        <v>482</v>
      </c>
      <c r="P40">
        <v>1367.5</v>
      </c>
      <c r="Q40">
        <v>130.25</v>
      </c>
      <c r="R40">
        <v>482</v>
      </c>
      <c r="T40">
        <v>612.25</v>
      </c>
      <c r="U40">
        <v>2174.69</v>
      </c>
      <c r="W40">
        <v>0</v>
      </c>
      <c r="X40">
        <v>2174.69</v>
      </c>
      <c r="Y40">
        <v>1514</v>
      </c>
      <c r="Z40">
        <v>1095.01</v>
      </c>
      <c r="AA40">
        <v>0</v>
      </c>
      <c r="AB40">
        <v>2609.0100000000002</v>
      </c>
      <c r="AC40">
        <v>3317.26</v>
      </c>
      <c r="AD40">
        <v>2540.25</v>
      </c>
      <c r="AE40">
        <v>0</v>
      </c>
      <c r="AF40">
        <v>5857.51</v>
      </c>
      <c r="AG40">
        <v>3942.6800000000003</v>
      </c>
      <c r="AH40">
        <v>2540.25</v>
      </c>
      <c r="AI40">
        <v>0</v>
      </c>
      <c r="AJ40">
        <v>6482.93</v>
      </c>
    </row>
    <row r="41" spans="2:36" x14ac:dyDescent="0.25">
      <c r="B41" t="s">
        <v>79</v>
      </c>
      <c r="C41" s="9" t="s">
        <v>62</v>
      </c>
      <c r="D41" s="14">
        <v>45748</v>
      </c>
      <c r="E41" s="2">
        <v>49.59</v>
      </c>
      <c r="H41">
        <v>49.59</v>
      </c>
      <c r="I41">
        <v>48</v>
      </c>
      <c r="L41">
        <v>48</v>
      </c>
      <c r="M41">
        <v>544.16999999999996</v>
      </c>
      <c r="N41">
        <v>568.75</v>
      </c>
      <c r="P41">
        <v>1112.92</v>
      </c>
      <c r="Q41">
        <v>43.5</v>
      </c>
      <c r="R41">
        <v>568.75</v>
      </c>
      <c r="T41">
        <v>612.25</v>
      </c>
      <c r="U41">
        <v>2224.2800000000002</v>
      </c>
      <c r="W41">
        <v>0</v>
      </c>
      <c r="X41">
        <v>2224.2800000000002</v>
      </c>
      <c r="Y41">
        <v>1562</v>
      </c>
      <c r="Z41">
        <v>1095.01</v>
      </c>
      <c r="AA41">
        <v>0</v>
      </c>
      <c r="AB41">
        <v>2657.01</v>
      </c>
      <c r="AC41">
        <v>3861.4300000000003</v>
      </c>
      <c r="AD41">
        <v>3109</v>
      </c>
      <c r="AE41">
        <v>0</v>
      </c>
      <c r="AF41">
        <v>6970.43</v>
      </c>
      <c r="AG41">
        <v>3986.1800000000003</v>
      </c>
      <c r="AH41">
        <v>3109</v>
      </c>
      <c r="AI41">
        <v>0</v>
      </c>
      <c r="AJ41">
        <v>7095.18</v>
      </c>
    </row>
    <row r="42" spans="2:36" x14ac:dyDescent="0.25">
      <c r="B42" t="s">
        <v>79</v>
      </c>
      <c r="C42" s="9" t="s">
        <v>63</v>
      </c>
      <c r="D42" s="14">
        <v>45778</v>
      </c>
      <c r="E42" s="2">
        <v>43.33</v>
      </c>
      <c r="H42">
        <v>43.33</v>
      </c>
      <c r="I42">
        <v>40</v>
      </c>
      <c r="L42">
        <v>40</v>
      </c>
      <c r="M42">
        <v>130.25</v>
      </c>
      <c r="N42">
        <v>264.5</v>
      </c>
      <c r="P42">
        <v>394.75</v>
      </c>
      <c r="Q42">
        <v>106.5</v>
      </c>
      <c r="R42">
        <v>56.5</v>
      </c>
      <c r="T42">
        <v>163</v>
      </c>
      <c r="U42">
        <v>2267.61</v>
      </c>
      <c r="W42">
        <v>0</v>
      </c>
      <c r="X42">
        <v>2267.61</v>
      </c>
      <c r="Y42">
        <v>1602</v>
      </c>
      <c r="Z42">
        <v>1095.01</v>
      </c>
      <c r="AA42">
        <v>0</v>
      </c>
      <c r="AB42">
        <v>2697.01</v>
      </c>
      <c r="AC42">
        <v>3991.6800000000003</v>
      </c>
      <c r="AD42">
        <v>3373.5</v>
      </c>
      <c r="AE42">
        <v>0</v>
      </c>
      <c r="AF42">
        <v>7365.18</v>
      </c>
      <c r="AG42">
        <v>4092.6800000000003</v>
      </c>
      <c r="AH42">
        <v>3165.5</v>
      </c>
      <c r="AI42">
        <v>0</v>
      </c>
      <c r="AJ42">
        <v>7258.18</v>
      </c>
    </row>
    <row r="43" spans="2:36" x14ac:dyDescent="0.25">
      <c r="B43" t="s">
        <v>79</v>
      </c>
      <c r="C43" s="9" t="s">
        <v>64</v>
      </c>
      <c r="D43" s="14">
        <v>45809</v>
      </c>
      <c r="E43" s="2">
        <v>26.26</v>
      </c>
      <c r="H43">
        <v>26.26</v>
      </c>
      <c r="I43">
        <v>28</v>
      </c>
      <c r="L43">
        <v>28</v>
      </c>
      <c r="M43">
        <v>43.75</v>
      </c>
      <c r="N43">
        <v>382.16</v>
      </c>
      <c r="P43">
        <v>425.91</v>
      </c>
      <c r="Q43">
        <v>0</v>
      </c>
      <c r="R43">
        <v>122.5</v>
      </c>
      <c r="T43">
        <v>122.5</v>
      </c>
      <c r="U43">
        <v>2293.8700000000003</v>
      </c>
      <c r="W43">
        <v>0</v>
      </c>
      <c r="X43">
        <v>2293.8700000000003</v>
      </c>
      <c r="Y43">
        <v>1630</v>
      </c>
      <c r="Z43">
        <v>1095.01</v>
      </c>
      <c r="AA43">
        <v>0</v>
      </c>
      <c r="AB43">
        <v>2725.01</v>
      </c>
      <c r="AC43">
        <v>4035.4300000000003</v>
      </c>
      <c r="AD43">
        <v>3755.66</v>
      </c>
      <c r="AE43">
        <v>0</v>
      </c>
      <c r="AF43">
        <v>7791.09</v>
      </c>
      <c r="AG43">
        <v>4092.6800000000003</v>
      </c>
      <c r="AH43">
        <v>3288</v>
      </c>
      <c r="AI43">
        <v>0</v>
      </c>
      <c r="AJ43">
        <v>7380.68</v>
      </c>
    </row>
    <row r="44" spans="2:36" x14ac:dyDescent="0.25">
      <c r="B44" t="s">
        <v>79</v>
      </c>
      <c r="C44" s="9" t="s">
        <v>65</v>
      </c>
      <c r="D44" s="14">
        <v>45839</v>
      </c>
      <c r="E44" s="2">
        <v>30</v>
      </c>
      <c r="H44">
        <v>30</v>
      </c>
      <c r="I44">
        <v>30</v>
      </c>
      <c r="L44">
        <v>30</v>
      </c>
      <c r="M44">
        <v>106.25</v>
      </c>
      <c r="N44">
        <v>200</v>
      </c>
      <c r="P44">
        <v>306.25</v>
      </c>
      <c r="Q44">
        <v>4</v>
      </c>
      <c r="R44">
        <v>17.5</v>
      </c>
      <c r="T44">
        <v>21.5</v>
      </c>
      <c r="U44">
        <v>2323.8700000000003</v>
      </c>
      <c r="W44">
        <v>0</v>
      </c>
      <c r="X44">
        <v>2323.8700000000003</v>
      </c>
      <c r="Y44">
        <v>1660</v>
      </c>
      <c r="Z44">
        <v>1095.01</v>
      </c>
      <c r="AA44">
        <v>0</v>
      </c>
      <c r="AB44">
        <v>2755.01</v>
      </c>
      <c r="AC44">
        <v>4141.68</v>
      </c>
      <c r="AD44">
        <v>3955.66</v>
      </c>
      <c r="AE44">
        <v>0</v>
      </c>
      <c r="AF44">
        <v>8097.34</v>
      </c>
      <c r="AG44">
        <v>4096.68</v>
      </c>
      <c r="AH44">
        <v>3305.5</v>
      </c>
      <c r="AI44">
        <v>0</v>
      </c>
      <c r="AJ44">
        <v>7402.18</v>
      </c>
    </row>
    <row r="45" spans="2:36" x14ac:dyDescent="0.25">
      <c r="B45" t="s">
        <v>79</v>
      </c>
      <c r="C45" s="9" t="s">
        <v>66</v>
      </c>
      <c r="D45" s="14">
        <v>45870</v>
      </c>
      <c r="E45" s="2">
        <v>30.23</v>
      </c>
      <c r="H45">
        <v>30.23</v>
      </c>
      <c r="I45">
        <v>32</v>
      </c>
      <c r="L45">
        <v>32</v>
      </c>
      <c r="M45">
        <v>0</v>
      </c>
      <c r="N45">
        <v>200</v>
      </c>
      <c r="P45">
        <v>200</v>
      </c>
      <c r="Q45">
        <v>35.75</v>
      </c>
      <c r="T45">
        <v>35.75</v>
      </c>
      <c r="U45">
        <v>2354.1000000000004</v>
      </c>
      <c r="W45">
        <v>0</v>
      </c>
      <c r="X45">
        <v>2354.1000000000004</v>
      </c>
      <c r="Y45">
        <v>1692</v>
      </c>
      <c r="Z45">
        <v>1095.01</v>
      </c>
      <c r="AA45">
        <v>0</v>
      </c>
      <c r="AB45">
        <v>2787.01</v>
      </c>
      <c r="AC45">
        <v>4141.68</v>
      </c>
      <c r="AD45">
        <v>4155.66</v>
      </c>
      <c r="AE45">
        <v>0</v>
      </c>
      <c r="AF45">
        <v>8297.34</v>
      </c>
      <c r="AG45">
        <v>4132.43</v>
      </c>
      <c r="AH45">
        <v>3305.5</v>
      </c>
      <c r="AI45">
        <v>0</v>
      </c>
      <c r="AJ45">
        <v>7437.93</v>
      </c>
    </row>
    <row r="46" spans="2:36" x14ac:dyDescent="0.25">
      <c r="B46" t="s">
        <v>79</v>
      </c>
      <c r="C46" s="9" t="s">
        <v>67</v>
      </c>
      <c r="D46" s="14">
        <v>45901</v>
      </c>
      <c r="E46" s="2">
        <v>30.23</v>
      </c>
      <c r="H46">
        <v>30.23</v>
      </c>
      <c r="I46">
        <v>32</v>
      </c>
      <c r="L46">
        <v>32</v>
      </c>
      <c r="M46">
        <v>4</v>
      </c>
      <c r="N46">
        <v>200</v>
      </c>
      <c r="P46">
        <v>204</v>
      </c>
      <c r="Q46">
        <v>71.400000000000006</v>
      </c>
      <c r="T46">
        <v>71.400000000000006</v>
      </c>
      <c r="U46">
        <v>2384.3300000000004</v>
      </c>
      <c r="W46">
        <v>0</v>
      </c>
      <c r="X46">
        <v>2384.3300000000004</v>
      </c>
      <c r="Y46">
        <v>1724</v>
      </c>
      <c r="Z46">
        <v>1095.01</v>
      </c>
      <c r="AA46">
        <v>0</v>
      </c>
      <c r="AB46">
        <v>2819.01</v>
      </c>
      <c r="AC46">
        <v>4145.68</v>
      </c>
      <c r="AD46">
        <v>4355.66</v>
      </c>
      <c r="AE46">
        <v>0</v>
      </c>
      <c r="AF46">
        <v>8501.34</v>
      </c>
      <c r="AG46">
        <v>4203.83</v>
      </c>
      <c r="AH46">
        <v>3305.5</v>
      </c>
      <c r="AI46">
        <v>0</v>
      </c>
      <c r="AJ46">
        <v>7509.33</v>
      </c>
    </row>
    <row r="47" spans="2:36" x14ac:dyDescent="0.25">
      <c r="B47" t="s">
        <v>79</v>
      </c>
      <c r="C47" s="9" t="s">
        <v>68</v>
      </c>
      <c r="D47" s="14">
        <v>45931</v>
      </c>
      <c r="E47" s="2">
        <v>40.31</v>
      </c>
      <c r="H47">
        <v>40.31</v>
      </c>
      <c r="I47">
        <v>40</v>
      </c>
      <c r="L47">
        <v>40</v>
      </c>
      <c r="M47">
        <v>35.75</v>
      </c>
      <c r="N47">
        <v>164.93</v>
      </c>
      <c r="P47">
        <v>200.68</v>
      </c>
      <c r="Q47">
        <v>198.93</v>
      </c>
      <c r="T47">
        <v>198.93</v>
      </c>
      <c r="U47">
        <v>2424.6400000000003</v>
      </c>
      <c r="W47">
        <v>0</v>
      </c>
      <c r="X47">
        <v>2424.6400000000003</v>
      </c>
      <c r="Y47">
        <v>1764</v>
      </c>
      <c r="Z47">
        <v>1095.01</v>
      </c>
      <c r="AA47">
        <v>0</v>
      </c>
      <c r="AB47">
        <v>2859.01</v>
      </c>
      <c r="AC47">
        <v>4181.43</v>
      </c>
      <c r="AD47">
        <v>4520.59</v>
      </c>
      <c r="AE47">
        <v>0</v>
      </c>
      <c r="AF47">
        <v>8702.02</v>
      </c>
      <c r="AG47">
        <v>4402.76</v>
      </c>
      <c r="AH47">
        <v>3305.5</v>
      </c>
      <c r="AI47">
        <v>0</v>
      </c>
      <c r="AJ47">
        <v>7708.26</v>
      </c>
    </row>
    <row r="48" spans="2:36" x14ac:dyDescent="0.25">
      <c r="B48" t="s">
        <v>79</v>
      </c>
      <c r="C48" s="9" t="s">
        <v>69</v>
      </c>
      <c r="D48" s="14">
        <v>45962</v>
      </c>
      <c r="E48" s="2">
        <v>195.89</v>
      </c>
      <c r="H48">
        <v>195.89</v>
      </c>
      <c r="I48">
        <v>116</v>
      </c>
      <c r="L48">
        <v>116</v>
      </c>
      <c r="M48">
        <v>71.400000000000006</v>
      </c>
      <c r="P48">
        <v>71.400000000000006</v>
      </c>
      <c r="Q48">
        <v>0</v>
      </c>
      <c r="T48">
        <v>0</v>
      </c>
      <c r="U48">
        <v>2620.5300000000002</v>
      </c>
      <c r="W48">
        <v>0</v>
      </c>
      <c r="X48">
        <v>2620.5300000000002</v>
      </c>
      <c r="Y48">
        <v>1880</v>
      </c>
      <c r="Z48">
        <v>1095.01</v>
      </c>
      <c r="AA48">
        <v>0</v>
      </c>
      <c r="AB48">
        <v>2975.01</v>
      </c>
      <c r="AC48">
        <v>4252.83</v>
      </c>
      <c r="AD48">
        <v>4520.59</v>
      </c>
      <c r="AE48">
        <v>0</v>
      </c>
      <c r="AF48">
        <v>8773.42</v>
      </c>
      <c r="AG48">
        <v>4402.76</v>
      </c>
      <c r="AH48">
        <v>3305.5</v>
      </c>
      <c r="AI48">
        <v>0</v>
      </c>
      <c r="AJ48">
        <v>7708.26</v>
      </c>
    </row>
    <row r="49" spans="2:36" x14ac:dyDescent="0.25">
      <c r="B49" t="s">
        <v>79</v>
      </c>
      <c r="C49" s="9" t="s">
        <v>70</v>
      </c>
      <c r="D49" s="14">
        <v>45992</v>
      </c>
      <c r="E49" s="2">
        <v>431.09</v>
      </c>
      <c r="H49">
        <v>431.09</v>
      </c>
      <c r="I49">
        <v>240.1</v>
      </c>
      <c r="L49">
        <v>240.1</v>
      </c>
      <c r="M49">
        <v>198.93</v>
      </c>
      <c r="P49">
        <v>198.93</v>
      </c>
      <c r="Q49">
        <v>0</v>
      </c>
      <c r="T49">
        <v>0</v>
      </c>
      <c r="U49">
        <v>3051.6200000000003</v>
      </c>
      <c r="W49">
        <v>0</v>
      </c>
      <c r="X49">
        <v>3051.6200000000003</v>
      </c>
      <c r="Y49">
        <v>2120.1</v>
      </c>
      <c r="Z49">
        <v>1095.01</v>
      </c>
      <c r="AA49">
        <v>0</v>
      </c>
      <c r="AB49">
        <v>3215.1099999999997</v>
      </c>
      <c r="AC49">
        <v>4451.76</v>
      </c>
      <c r="AD49">
        <v>4520.59</v>
      </c>
      <c r="AE49">
        <v>0</v>
      </c>
      <c r="AF49">
        <v>8972.35</v>
      </c>
      <c r="AG49">
        <v>4402.76</v>
      </c>
      <c r="AH49">
        <v>3305.5</v>
      </c>
      <c r="AI49">
        <v>0</v>
      </c>
      <c r="AJ49">
        <v>7708.26</v>
      </c>
    </row>
    <row r="50" spans="2:36" x14ac:dyDescent="0.25">
      <c r="B50" t="s">
        <v>79</v>
      </c>
      <c r="C50" s="9" t="s">
        <v>71</v>
      </c>
      <c r="D50" s="14">
        <v>46023</v>
      </c>
      <c r="E50" s="2">
        <v>36.49</v>
      </c>
      <c r="H50">
        <v>36.49</v>
      </c>
      <c r="I50">
        <v>40</v>
      </c>
      <c r="L50">
        <v>40</v>
      </c>
      <c r="M50">
        <v>0</v>
      </c>
      <c r="P50">
        <v>0</v>
      </c>
      <c r="Q50">
        <v>0</v>
      </c>
      <c r="T50">
        <v>0</v>
      </c>
      <c r="U50">
        <v>3088.11</v>
      </c>
      <c r="W50">
        <v>0</v>
      </c>
      <c r="X50">
        <v>3088.11</v>
      </c>
      <c r="Y50">
        <v>2160.1</v>
      </c>
      <c r="Z50">
        <v>1095.01</v>
      </c>
      <c r="AA50">
        <v>0</v>
      </c>
      <c r="AB50">
        <v>3255.1099999999997</v>
      </c>
      <c r="AC50">
        <v>4451.76</v>
      </c>
      <c r="AD50">
        <v>4520.59</v>
      </c>
      <c r="AE50">
        <v>0</v>
      </c>
      <c r="AF50">
        <v>8972.35</v>
      </c>
      <c r="AG50">
        <v>4402.76</v>
      </c>
      <c r="AH50">
        <v>3305.5</v>
      </c>
      <c r="AI50">
        <v>0</v>
      </c>
      <c r="AJ50">
        <v>7708.26</v>
      </c>
    </row>
    <row r="51" spans="2:36" x14ac:dyDescent="0.25">
      <c r="B51" t="s">
        <v>79</v>
      </c>
      <c r="C51" s="9" t="s">
        <v>72</v>
      </c>
      <c r="D51" s="14">
        <v>46054</v>
      </c>
      <c r="E51" s="2">
        <v>0</v>
      </c>
      <c r="H51">
        <v>0</v>
      </c>
      <c r="I51">
        <v>0</v>
      </c>
      <c r="L51">
        <v>0</v>
      </c>
      <c r="M51">
        <v>18</v>
      </c>
      <c r="P51">
        <v>18</v>
      </c>
      <c r="Q51">
        <v>0</v>
      </c>
      <c r="T51">
        <v>0</v>
      </c>
      <c r="U51">
        <v>3088.11</v>
      </c>
      <c r="W51">
        <v>0</v>
      </c>
      <c r="X51">
        <v>3088.11</v>
      </c>
      <c r="Y51">
        <v>2160.1</v>
      </c>
      <c r="Z51">
        <v>1095.01</v>
      </c>
      <c r="AA51">
        <v>0</v>
      </c>
      <c r="AB51">
        <v>3255.1099999999997</v>
      </c>
      <c r="AC51">
        <v>4469.76</v>
      </c>
      <c r="AD51">
        <v>4520.59</v>
      </c>
      <c r="AE51">
        <v>0</v>
      </c>
      <c r="AF51">
        <v>8990.35</v>
      </c>
      <c r="AG51">
        <v>4402.76</v>
      </c>
      <c r="AH51">
        <v>3305.5</v>
      </c>
      <c r="AI51">
        <v>0</v>
      </c>
      <c r="AJ51">
        <v>7708.26</v>
      </c>
    </row>
    <row r="52" spans="2:36" x14ac:dyDescent="0.25">
      <c r="B52" t="s">
        <v>79</v>
      </c>
      <c r="C52" s="9" t="s">
        <v>73</v>
      </c>
      <c r="D52" s="14">
        <v>46082</v>
      </c>
      <c r="E52" s="2">
        <v>0</v>
      </c>
      <c r="H52">
        <v>0</v>
      </c>
      <c r="I52">
        <v>0</v>
      </c>
      <c r="L52">
        <v>0</v>
      </c>
      <c r="M52">
        <v>64</v>
      </c>
      <c r="P52">
        <v>64</v>
      </c>
      <c r="Q52">
        <v>0</v>
      </c>
      <c r="T52">
        <v>0</v>
      </c>
      <c r="U52">
        <v>3088.11</v>
      </c>
      <c r="W52">
        <v>0</v>
      </c>
      <c r="X52">
        <v>3088.11</v>
      </c>
      <c r="Y52">
        <v>2160.1</v>
      </c>
      <c r="Z52">
        <v>1095.01</v>
      </c>
      <c r="AA52">
        <v>0</v>
      </c>
      <c r="AB52">
        <v>3255.1099999999997</v>
      </c>
      <c r="AC52">
        <v>4533.76</v>
      </c>
      <c r="AD52">
        <v>4520.59</v>
      </c>
      <c r="AE52">
        <v>0</v>
      </c>
      <c r="AF52">
        <v>9054.35</v>
      </c>
      <c r="AG52">
        <v>4402.76</v>
      </c>
      <c r="AH52">
        <v>3305.5</v>
      </c>
      <c r="AI52">
        <v>0</v>
      </c>
      <c r="AJ52">
        <v>7708.26</v>
      </c>
    </row>
    <row r="53" spans="2:36" x14ac:dyDescent="0.25">
      <c r="B53" t="s">
        <v>79</v>
      </c>
      <c r="C53" s="9" t="s">
        <v>74</v>
      </c>
      <c r="D53" s="14">
        <v>46113</v>
      </c>
      <c r="E53" s="2">
        <v>0</v>
      </c>
      <c r="H53">
        <v>0</v>
      </c>
      <c r="I53">
        <v>0</v>
      </c>
      <c r="L53">
        <v>0</v>
      </c>
      <c r="M53">
        <v>0</v>
      </c>
      <c r="P53">
        <v>0</v>
      </c>
      <c r="Q53">
        <v>0</v>
      </c>
      <c r="T53">
        <v>0</v>
      </c>
      <c r="U53">
        <v>3088.11</v>
      </c>
      <c r="W53">
        <v>0</v>
      </c>
      <c r="X53">
        <v>3088.11</v>
      </c>
      <c r="Y53">
        <v>2160.1</v>
      </c>
      <c r="Z53">
        <v>1095.01</v>
      </c>
      <c r="AA53">
        <v>0</v>
      </c>
      <c r="AB53">
        <v>3255.1099999999997</v>
      </c>
      <c r="AC53">
        <v>4533.76</v>
      </c>
      <c r="AD53">
        <v>4520.59</v>
      </c>
      <c r="AE53">
        <v>0</v>
      </c>
      <c r="AF53">
        <v>9054.35</v>
      </c>
      <c r="AG53">
        <v>4402.76</v>
      </c>
      <c r="AH53">
        <v>3305.5</v>
      </c>
      <c r="AI53">
        <v>0</v>
      </c>
      <c r="AJ53">
        <v>7708.26</v>
      </c>
    </row>
    <row r="54" spans="2:36" x14ac:dyDescent="0.25">
      <c r="B54" t="s">
        <v>79</v>
      </c>
      <c r="C54" s="9" t="s">
        <v>75</v>
      </c>
      <c r="D54" s="14">
        <v>46143</v>
      </c>
      <c r="E54" s="2">
        <v>0</v>
      </c>
      <c r="H54">
        <v>0</v>
      </c>
      <c r="I54">
        <v>0</v>
      </c>
      <c r="L54">
        <v>0</v>
      </c>
      <c r="M54">
        <v>0</v>
      </c>
      <c r="P54">
        <v>0</v>
      </c>
      <c r="Q54">
        <v>0</v>
      </c>
      <c r="T54">
        <v>0</v>
      </c>
      <c r="U54">
        <v>3088.11</v>
      </c>
      <c r="W54">
        <v>0</v>
      </c>
      <c r="X54">
        <v>3088.11</v>
      </c>
      <c r="Y54">
        <v>2160.1</v>
      </c>
      <c r="Z54">
        <v>1095.01</v>
      </c>
      <c r="AA54">
        <v>0</v>
      </c>
      <c r="AB54">
        <v>3255.1099999999997</v>
      </c>
      <c r="AC54">
        <v>4533.76</v>
      </c>
      <c r="AD54">
        <v>4520.59</v>
      </c>
      <c r="AE54">
        <v>0</v>
      </c>
      <c r="AF54">
        <v>9054.35</v>
      </c>
      <c r="AG54">
        <v>4402.76</v>
      </c>
      <c r="AH54">
        <v>3305.5</v>
      </c>
      <c r="AI54">
        <v>0</v>
      </c>
      <c r="AJ54">
        <v>7708.26</v>
      </c>
    </row>
    <row r="55" spans="2:36" x14ac:dyDescent="0.25">
      <c r="B55" t="s">
        <v>79</v>
      </c>
      <c r="C55" s="9" t="s">
        <v>76</v>
      </c>
      <c r="D55" s="14">
        <v>46174</v>
      </c>
      <c r="E55" s="2">
        <v>0</v>
      </c>
      <c r="H55">
        <v>0</v>
      </c>
      <c r="I55">
        <v>0</v>
      </c>
      <c r="L55">
        <v>0</v>
      </c>
      <c r="M55">
        <v>0</v>
      </c>
      <c r="P55">
        <v>0</v>
      </c>
      <c r="Q55">
        <v>0</v>
      </c>
      <c r="T55">
        <v>0</v>
      </c>
      <c r="U55">
        <v>3088.11</v>
      </c>
      <c r="W55">
        <v>0</v>
      </c>
      <c r="X55">
        <v>3088.11</v>
      </c>
      <c r="Y55">
        <v>2160.1</v>
      </c>
      <c r="Z55">
        <v>1095.01</v>
      </c>
      <c r="AA55">
        <v>0</v>
      </c>
      <c r="AB55">
        <v>3255.1099999999997</v>
      </c>
      <c r="AC55">
        <v>4533.76</v>
      </c>
      <c r="AD55">
        <v>4520.59</v>
      </c>
      <c r="AE55">
        <v>0</v>
      </c>
      <c r="AF55">
        <v>9054.35</v>
      </c>
      <c r="AG55">
        <v>4402.76</v>
      </c>
      <c r="AH55">
        <v>3305.5</v>
      </c>
      <c r="AI55">
        <v>0</v>
      </c>
      <c r="AJ55">
        <v>7708.26</v>
      </c>
    </row>
    <row r="56" spans="2:36" x14ac:dyDescent="0.25">
      <c r="B56" t="s">
        <v>79</v>
      </c>
      <c r="C56" s="9" t="s">
        <v>77</v>
      </c>
      <c r="D56" s="14">
        <v>46204</v>
      </c>
      <c r="E56" s="2">
        <v>0</v>
      </c>
      <c r="H56">
        <v>0</v>
      </c>
      <c r="I56">
        <v>0</v>
      </c>
      <c r="L56">
        <v>0</v>
      </c>
      <c r="M56">
        <v>0</v>
      </c>
      <c r="P56">
        <v>0</v>
      </c>
      <c r="Q56">
        <v>0</v>
      </c>
      <c r="T56">
        <v>0</v>
      </c>
      <c r="U56">
        <v>3088.11</v>
      </c>
      <c r="W56">
        <v>0</v>
      </c>
      <c r="X56">
        <v>3088.11</v>
      </c>
      <c r="Y56">
        <v>2160.1</v>
      </c>
      <c r="Z56">
        <v>1095.01</v>
      </c>
      <c r="AA56">
        <v>0</v>
      </c>
      <c r="AB56">
        <v>3255.1099999999997</v>
      </c>
      <c r="AC56">
        <v>4533.76</v>
      </c>
      <c r="AD56">
        <v>4520.59</v>
      </c>
      <c r="AE56">
        <v>0</v>
      </c>
      <c r="AF56">
        <v>9054.35</v>
      </c>
      <c r="AG56">
        <v>4402.76</v>
      </c>
      <c r="AH56">
        <v>3305.5</v>
      </c>
      <c r="AI56">
        <v>0</v>
      </c>
      <c r="AJ56">
        <v>7708.26</v>
      </c>
    </row>
    <row r="57" spans="2:36" x14ac:dyDescent="0.25">
      <c r="B57" t="s">
        <v>79</v>
      </c>
      <c r="C57" s="9" t="s">
        <v>78</v>
      </c>
      <c r="D57" s="14">
        <v>46235</v>
      </c>
      <c r="E57" s="2">
        <v>0</v>
      </c>
      <c r="H57">
        <v>0</v>
      </c>
      <c r="I57">
        <v>0</v>
      </c>
      <c r="L57">
        <v>0</v>
      </c>
      <c r="M57">
        <v>0</v>
      </c>
      <c r="P57">
        <v>0</v>
      </c>
      <c r="Q57">
        <v>0</v>
      </c>
      <c r="T57">
        <v>0</v>
      </c>
      <c r="U57">
        <v>3088.11</v>
      </c>
      <c r="W57">
        <v>0</v>
      </c>
      <c r="X57">
        <v>3088.11</v>
      </c>
      <c r="Y57">
        <v>2160.1</v>
      </c>
      <c r="Z57">
        <v>1095.01</v>
      </c>
      <c r="AA57">
        <v>0</v>
      </c>
      <c r="AB57">
        <v>3255.1099999999997</v>
      </c>
      <c r="AC57">
        <v>4533.76</v>
      </c>
      <c r="AD57">
        <v>4520.59</v>
      </c>
      <c r="AE57">
        <v>0</v>
      </c>
      <c r="AF57">
        <v>9054.35</v>
      </c>
      <c r="AG57">
        <v>4402.76</v>
      </c>
      <c r="AH57">
        <v>3305.5</v>
      </c>
      <c r="AI57">
        <v>0</v>
      </c>
      <c r="AJ57">
        <v>7708.26</v>
      </c>
    </row>
    <row r="58" spans="2:36" x14ac:dyDescent="0.25">
      <c r="B58" t="s">
        <v>80</v>
      </c>
      <c r="C58" s="9" t="s">
        <v>55</v>
      </c>
      <c r="D58" s="14">
        <v>45536</v>
      </c>
      <c r="E58" s="2">
        <v>0</v>
      </c>
      <c r="H58">
        <v>0</v>
      </c>
      <c r="I58">
        <v>0</v>
      </c>
      <c r="L58">
        <v>0</v>
      </c>
      <c r="M58">
        <v>0</v>
      </c>
      <c r="P58">
        <v>0</v>
      </c>
      <c r="Q58">
        <v>268.64</v>
      </c>
      <c r="T58">
        <v>268.64</v>
      </c>
      <c r="U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268.64</v>
      </c>
      <c r="AH58">
        <v>0</v>
      </c>
      <c r="AI58">
        <v>0</v>
      </c>
      <c r="AJ58">
        <v>268.64</v>
      </c>
    </row>
    <row r="59" spans="2:36" x14ac:dyDescent="0.25">
      <c r="B59" t="s">
        <v>80</v>
      </c>
      <c r="C59" s="9" t="s">
        <v>56</v>
      </c>
      <c r="D59" s="14">
        <v>45566</v>
      </c>
      <c r="E59" s="2">
        <v>72.099999999999994</v>
      </c>
      <c r="H59">
        <v>72.099999999999994</v>
      </c>
      <c r="I59">
        <v>224.64</v>
      </c>
      <c r="L59">
        <v>224.64</v>
      </c>
      <c r="M59">
        <v>61.58</v>
      </c>
      <c r="P59">
        <v>61.58</v>
      </c>
      <c r="Q59">
        <v>355.03</v>
      </c>
      <c r="T59">
        <v>355.03</v>
      </c>
      <c r="U59">
        <v>72.099999999999994</v>
      </c>
      <c r="W59">
        <v>0</v>
      </c>
      <c r="X59">
        <v>72.099999999999994</v>
      </c>
      <c r="Y59">
        <v>224.64</v>
      </c>
      <c r="Z59">
        <v>0</v>
      </c>
      <c r="AA59">
        <v>0</v>
      </c>
      <c r="AB59">
        <v>224.64</v>
      </c>
      <c r="AC59">
        <v>61.58</v>
      </c>
      <c r="AD59">
        <v>0</v>
      </c>
      <c r="AE59">
        <v>0</v>
      </c>
      <c r="AF59">
        <v>61.58</v>
      </c>
      <c r="AG59">
        <v>623.66999999999996</v>
      </c>
      <c r="AH59">
        <v>0</v>
      </c>
      <c r="AI59">
        <v>0</v>
      </c>
      <c r="AJ59">
        <v>623.66999999999996</v>
      </c>
    </row>
    <row r="60" spans="2:36" x14ac:dyDescent="0.25">
      <c r="B60" t="s">
        <v>80</v>
      </c>
      <c r="C60" s="9" t="s">
        <v>57</v>
      </c>
      <c r="D60" s="14">
        <v>45597</v>
      </c>
      <c r="E60" s="2">
        <v>196.13</v>
      </c>
      <c r="H60">
        <v>196.13</v>
      </c>
      <c r="I60">
        <v>313.25</v>
      </c>
      <c r="L60">
        <v>313.25</v>
      </c>
      <c r="M60">
        <v>268.64</v>
      </c>
      <c r="P60">
        <v>268.64</v>
      </c>
      <c r="Q60">
        <v>431.19</v>
      </c>
      <c r="T60">
        <v>431.19</v>
      </c>
      <c r="U60">
        <v>268.23</v>
      </c>
      <c r="W60">
        <v>0</v>
      </c>
      <c r="X60">
        <v>268.23</v>
      </c>
      <c r="Y60">
        <v>537.89</v>
      </c>
      <c r="Z60">
        <v>0</v>
      </c>
      <c r="AA60">
        <v>0</v>
      </c>
      <c r="AB60">
        <v>537.89</v>
      </c>
      <c r="AC60">
        <v>330.21999999999997</v>
      </c>
      <c r="AD60">
        <v>0</v>
      </c>
      <c r="AE60">
        <v>0</v>
      </c>
      <c r="AF60">
        <v>330.21999999999997</v>
      </c>
      <c r="AG60">
        <v>1054.8599999999999</v>
      </c>
      <c r="AH60">
        <v>0</v>
      </c>
      <c r="AI60">
        <v>0</v>
      </c>
      <c r="AJ60">
        <v>1054.8599999999999</v>
      </c>
    </row>
    <row r="61" spans="2:36" x14ac:dyDescent="0.25">
      <c r="B61" t="s">
        <v>80</v>
      </c>
      <c r="C61" s="9" t="s">
        <v>58</v>
      </c>
      <c r="D61" s="14">
        <v>45627</v>
      </c>
      <c r="E61" s="2">
        <v>334.71</v>
      </c>
      <c r="H61">
        <v>334.71</v>
      </c>
      <c r="I61">
        <v>262.75</v>
      </c>
      <c r="L61">
        <v>262.75</v>
      </c>
      <c r="M61">
        <v>355.03</v>
      </c>
      <c r="P61">
        <v>355.03</v>
      </c>
      <c r="Q61">
        <v>279.55</v>
      </c>
      <c r="T61">
        <v>279.55</v>
      </c>
      <c r="U61">
        <v>602.94000000000005</v>
      </c>
      <c r="W61">
        <v>0</v>
      </c>
      <c r="X61">
        <v>602.94000000000005</v>
      </c>
      <c r="Y61">
        <v>800.64</v>
      </c>
      <c r="Z61">
        <v>0</v>
      </c>
      <c r="AA61">
        <v>0</v>
      </c>
      <c r="AB61">
        <v>800.64</v>
      </c>
      <c r="AC61">
        <v>685.25</v>
      </c>
      <c r="AD61">
        <v>0</v>
      </c>
      <c r="AE61">
        <v>0</v>
      </c>
      <c r="AF61">
        <v>685.25</v>
      </c>
      <c r="AG61">
        <v>1334.4099999999999</v>
      </c>
      <c r="AH61">
        <v>0</v>
      </c>
      <c r="AI61">
        <v>0</v>
      </c>
      <c r="AJ61">
        <v>1334.4099999999999</v>
      </c>
    </row>
    <row r="62" spans="2:36" x14ac:dyDescent="0.25">
      <c r="B62" t="s">
        <v>80</v>
      </c>
      <c r="C62" s="9" t="s">
        <v>59</v>
      </c>
      <c r="D62" s="14">
        <v>45658</v>
      </c>
      <c r="E62" s="2">
        <v>218.36</v>
      </c>
      <c r="H62">
        <v>218.36</v>
      </c>
      <c r="I62">
        <v>218.44</v>
      </c>
      <c r="L62">
        <v>218.44</v>
      </c>
      <c r="M62">
        <v>431.19</v>
      </c>
      <c r="P62">
        <v>431.19</v>
      </c>
      <c r="Q62">
        <v>300.89</v>
      </c>
      <c r="T62">
        <v>300.89</v>
      </c>
      <c r="U62">
        <v>821.30000000000007</v>
      </c>
      <c r="W62">
        <v>0</v>
      </c>
      <c r="X62">
        <v>821.30000000000007</v>
      </c>
      <c r="Y62">
        <v>1019.0799999999999</v>
      </c>
      <c r="Z62">
        <v>0</v>
      </c>
      <c r="AA62">
        <v>0</v>
      </c>
      <c r="AB62">
        <v>1019.0799999999999</v>
      </c>
      <c r="AC62">
        <v>1116.44</v>
      </c>
      <c r="AD62">
        <v>0</v>
      </c>
      <c r="AE62">
        <v>0</v>
      </c>
      <c r="AF62">
        <v>1116.44</v>
      </c>
      <c r="AG62">
        <v>1635.2999999999997</v>
      </c>
      <c r="AH62">
        <v>0</v>
      </c>
      <c r="AI62">
        <v>0</v>
      </c>
      <c r="AJ62">
        <v>1635.2999999999997</v>
      </c>
    </row>
    <row r="63" spans="2:36" x14ac:dyDescent="0.25">
      <c r="B63" t="s">
        <v>80</v>
      </c>
      <c r="C63" s="9" t="s">
        <v>60</v>
      </c>
      <c r="D63" s="14">
        <v>45689</v>
      </c>
      <c r="E63" s="2">
        <v>320.76</v>
      </c>
      <c r="H63">
        <v>320.76</v>
      </c>
      <c r="I63">
        <v>260.14</v>
      </c>
      <c r="L63">
        <v>260.14</v>
      </c>
      <c r="M63">
        <v>279.55</v>
      </c>
      <c r="P63">
        <v>279.55</v>
      </c>
      <c r="Q63">
        <v>180.75</v>
      </c>
      <c r="T63">
        <v>180.75</v>
      </c>
      <c r="U63">
        <v>1142.06</v>
      </c>
      <c r="W63">
        <v>0</v>
      </c>
      <c r="X63">
        <v>1142.06</v>
      </c>
      <c r="Y63">
        <v>1279.2199999999998</v>
      </c>
      <c r="Z63">
        <v>0</v>
      </c>
      <c r="AA63">
        <v>0</v>
      </c>
      <c r="AB63">
        <v>1279.2199999999998</v>
      </c>
      <c r="AC63">
        <v>1395.99</v>
      </c>
      <c r="AD63">
        <v>0</v>
      </c>
      <c r="AE63">
        <v>0</v>
      </c>
      <c r="AF63">
        <v>1395.99</v>
      </c>
      <c r="AG63">
        <v>1816.0499999999997</v>
      </c>
      <c r="AH63">
        <v>0</v>
      </c>
      <c r="AI63">
        <v>0</v>
      </c>
      <c r="AJ63">
        <v>1816.0499999999997</v>
      </c>
    </row>
    <row r="64" spans="2:36" x14ac:dyDescent="0.25">
      <c r="B64" t="s">
        <v>80</v>
      </c>
      <c r="C64" s="9" t="s">
        <v>61</v>
      </c>
      <c r="D64" s="14">
        <v>45717</v>
      </c>
      <c r="E64" s="2">
        <v>157.04</v>
      </c>
      <c r="H64">
        <v>157.04</v>
      </c>
      <c r="I64">
        <v>146.76</v>
      </c>
      <c r="L64">
        <v>146.76</v>
      </c>
      <c r="M64">
        <v>300.89</v>
      </c>
      <c r="P64">
        <v>300.89</v>
      </c>
      <c r="Q64">
        <v>88.74</v>
      </c>
      <c r="T64">
        <v>88.74</v>
      </c>
      <c r="U64">
        <v>1299.0999999999999</v>
      </c>
      <c r="W64">
        <v>0</v>
      </c>
      <c r="X64">
        <v>1299.0999999999999</v>
      </c>
      <c r="Y64">
        <v>1425.9799999999998</v>
      </c>
      <c r="Z64">
        <v>0</v>
      </c>
      <c r="AA64">
        <v>0</v>
      </c>
      <c r="AB64">
        <v>1425.9799999999998</v>
      </c>
      <c r="AC64">
        <v>1696.88</v>
      </c>
      <c r="AD64">
        <v>0</v>
      </c>
      <c r="AE64">
        <v>0</v>
      </c>
      <c r="AF64">
        <v>1696.88</v>
      </c>
      <c r="AG64">
        <v>1904.7899999999997</v>
      </c>
      <c r="AH64">
        <v>0</v>
      </c>
      <c r="AI64">
        <v>0</v>
      </c>
      <c r="AJ64">
        <v>1904.7899999999997</v>
      </c>
    </row>
    <row r="65" spans="2:36" x14ac:dyDescent="0.25">
      <c r="B65" t="s">
        <v>80</v>
      </c>
      <c r="C65" s="9" t="s">
        <v>62</v>
      </c>
      <c r="D65" s="14">
        <v>45748</v>
      </c>
      <c r="E65" s="2">
        <v>178.12</v>
      </c>
      <c r="H65">
        <v>178.12</v>
      </c>
      <c r="I65">
        <v>51.5</v>
      </c>
      <c r="L65">
        <v>51.5</v>
      </c>
      <c r="M65">
        <v>180.75</v>
      </c>
      <c r="P65">
        <v>180.75</v>
      </c>
      <c r="Q65">
        <v>77.27</v>
      </c>
      <c r="T65">
        <v>77.27</v>
      </c>
      <c r="U65">
        <v>1477.2199999999998</v>
      </c>
      <c r="W65">
        <v>0</v>
      </c>
      <c r="X65">
        <v>1477.2199999999998</v>
      </c>
      <c r="Y65">
        <v>1477.4799999999998</v>
      </c>
      <c r="Z65">
        <v>0</v>
      </c>
      <c r="AA65">
        <v>0</v>
      </c>
      <c r="AB65">
        <v>1477.4799999999998</v>
      </c>
      <c r="AC65">
        <v>1877.63</v>
      </c>
      <c r="AD65">
        <v>0</v>
      </c>
      <c r="AE65">
        <v>0</v>
      </c>
      <c r="AF65">
        <v>1877.63</v>
      </c>
      <c r="AG65">
        <v>1982.0599999999997</v>
      </c>
      <c r="AH65">
        <v>0</v>
      </c>
      <c r="AI65">
        <v>0</v>
      </c>
      <c r="AJ65">
        <v>1982.0599999999997</v>
      </c>
    </row>
    <row r="66" spans="2:36" x14ac:dyDescent="0.25">
      <c r="B66" t="s">
        <v>80</v>
      </c>
      <c r="C66" s="9" t="s">
        <v>63</v>
      </c>
      <c r="D66" s="14">
        <v>45778</v>
      </c>
      <c r="E66" s="2">
        <v>20</v>
      </c>
      <c r="H66">
        <v>20</v>
      </c>
      <c r="I66">
        <v>20</v>
      </c>
      <c r="L66">
        <v>20</v>
      </c>
      <c r="M66">
        <v>88.74</v>
      </c>
      <c r="P66">
        <v>88.74</v>
      </c>
      <c r="Q66">
        <v>35.409999999999997</v>
      </c>
      <c r="T66">
        <v>35.409999999999997</v>
      </c>
      <c r="U66">
        <v>1497.2199999999998</v>
      </c>
      <c r="W66">
        <v>0</v>
      </c>
      <c r="X66">
        <v>1497.2199999999998</v>
      </c>
      <c r="Y66">
        <v>1497.4799999999998</v>
      </c>
      <c r="Z66">
        <v>0</v>
      </c>
      <c r="AA66">
        <v>0</v>
      </c>
      <c r="AB66">
        <v>1497.4799999999998</v>
      </c>
      <c r="AC66">
        <v>1966.3700000000001</v>
      </c>
      <c r="AD66">
        <v>0</v>
      </c>
      <c r="AE66">
        <v>0</v>
      </c>
      <c r="AF66">
        <v>1966.3700000000001</v>
      </c>
      <c r="AG66">
        <v>2017.4699999999998</v>
      </c>
      <c r="AH66">
        <v>0</v>
      </c>
      <c r="AI66">
        <v>0</v>
      </c>
      <c r="AJ66">
        <v>2017.4699999999998</v>
      </c>
    </row>
    <row r="67" spans="2:36" x14ac:dyDescent="0.25">
      <c r="B67" t="s">
        <v>80</v>
      </c>
      <c r="C67" s="9" t="s">
        <v>64</v>
      </c>
      <c r="D67" s="14">
        <v>45809</v>
      </c>
      <c r="E67" s="2">
        <v>0</v>
      </c>
      <c r="H67">
        <v>0</v>
      </c>
      <c r="I67">
        <v>0</v>
      </c>
      <c r="L67">
        <v>0</v>
      </c>
      <c r="M67">
        <v>77.27</v>
      </c>
      <c r="P67">
        <v>77.27</v>
      </c>
      <c r="Q67">
        <v>19.420000000000002</v>
      </c>
      <c r="T67">
        <v>19.420000000000002</v>
      </c>
      <c r="U67">
        <v>1497.2199999999998</v>
      </c>
      <c r="W67">
        <v>0</v>
      </c>
      <c r="X67">
        <v>1497.2199999999998</v>
      </c>
      <c r="Y67">
        <v>1497.4799999999998</v>
      </c>
      <c r="Z67">
        <v>0</v>
      </c>
      <c r="AA67">
        <v>0</v>
      </c>
      <c r="AB67">
        <v>1497.4799999999998</v>
      </c>
      <c r="AC67">
        <v>2043.64</v>
      </c>
      <c r="AD67">
        <v>0</v>
      </c>
      <c r="AE67">
        <v>0</v>
      </c>
      <c r="AF67">
        <v>2043.64</v>
      </c>
      <c r="AG67">
        <v>2036.8899999999999</v>
      </c>
      <c r="AH67">
        <v>0</v>
      </c>
      <c r="AI67">
        <v>0</v>
      </c>
      <c r="AJ67">
        <v>2036.8899999999999</v>
      </c>
    </row>
    <row r="68" spans="2:36" x14ac:dyDescent="0.25">
      <c r="B68" t="s">
        <v>80</v>
      </c>
      <c r="C68" s="9" t="s">
        <v>65</v>
      </c>
      <c r="D68" s="14">
        <v>45839</v>
      </c>
      <c r="E68" s="2">
        <v>0</v>
      </c>
      <c r="H68">
        <v>0</v>
      </c>
      <c r="I68">
        <v>0</v>
      </c>
      <c r="L68">
        <v>0</v>
      </c>
      <c r="M68">
        <v>35.409999999999997</v>
      </c>
      <c r="P68">
        <v>35.409999999999997</v>
      </c>
      <c r="Q68">
        <v>25.08</v>
      </c>
      <c r="T68">
        <v>25.08</v>
      </c>
      <c r="U68">
        <v>1497.2199999999998</v>
      </c>
      <c r="W68">
        <v>0</v>
      </c>
      <c r="X68">
        <v>1497.2199999999998</v>
      </c>
      <c r="Y68">
        <v>1497.4799999999998</v>
      </c>
      <c r="Z68">
        <v>0</v>
      </c>
      <c r="AA68">
        <v>0</v>
      </c>
      <c r="AB68">
        <v>1497.4799999999998</v>
      </c>
      <c r="AC68">
        <v>2079.0500000000002</v>
      </c>
      <c r="AD68">
        <v>0</v>
      </c>
      <c r="AE68">
        <v>0</v>
      </c>
      <c r="AF68">
        <v>2079.0500000000002</v>
      </c>
      <c r="AG68">
        <v>2061.9699999999998</v>
      </c>
      <c r="AH68">
        <v>0</v>
      </c>
      <c r="AI68">
        <v>0</v>
      </c>
      <c r="AJ68">
        <v>2061.9699999999998</v>
      </c>
    </row>
    <row r="69" spans="2:36" x14ac:dyDescent="0.25">
      <c r="B69" t="s">
        <v>80</v>
      </c>
      <c r="C69" s="9" t="s">
        <v>66</v>
      </c>
      <c r="D69" s="14">
        <v>45870</v>
      </c>
      <c r="E69" s="2">
        <v>0</v>
      </c>
      <c r="H69">
        <v>0</v>
      </c>
      <c r="I69">
        <v>0</v>
      </c>
      <c r="L69">
        <v>0</v>
      </c>
      <c r="M69">
        <v>19.420000000000002</v>
      </c>
      <c r="P69">
        <v>19.420000000000002</v>
      </c>
      <c r="Q69">
        <v>15.58</v>
      </c>
      <c r="T69">
        <v>15.58</v>
      </c>
      <c r="U69">
        <v>1497.2199999999998</v>
      </c>
      <c r="W69">
        <v>0</v>
      </c>
      <c r="X69">
        <v>1497.2199999999998</v>
      </c>
      <c r="Y69">
        <v>1497.4799999999998</v>
      </c>
      <c r="Z69">
        <v>0</v>
      </c>
      <c r="AA69">
        <v>0</v>
      </c>
      <c r="AB69">
        <v>1497.4799999999998</v>
      </c>
      <c r="AC69">
        <v>2098.4700000000003</v>
      </c>
      <c r="AD69">
        <v>0</v>
      </c>
      <c r="AE69">
        <v>0</v>
      </c>
      <c r="AF69">
        <v>2098.4700000000003</v>
      </c>
      <c r="AG69">
        <v>2077.5499999999997</v>
      </c>
      <c r="AH69">
        <v>0</v>
      </c>
      <c r="AI69">
        <v>0</v>
      </c>
      <c r="AJ69">
        <v>2077.5499999999997</v>
      </c>
    </row>
    <row r="70" spans="2:36" x14ac:dyDescent="0.25">
      <c r="B70" t="s">
        <v>80</v>
      </c>
      <c r="C70" s="9" t="s">
        <v>67</v>
      </c>
      <c r="D70" s="14">
        <v>45901</v>
      </c>
      <c r="E70" s="2">
        <v>0</v>
      </c>
      <c r="H70">
        <v>0</v>
      </c>
      <c r="I70">
        <v>0</v>
      </c>
      <c r="L70">
        <v>0</v>
      </c>
      <c r="M70">
        <v>25.08</v>
      </c>
      <c r="P70">
        <v>25.08</v>
      </c>
      <c r="Q70">
        <v>19.16</v>
      </c>
      <c r="T70">
        <v>19.16</v>
      </c>
      <c r="U70">
        <v>1497.2199999999998</v>
      </c>
      <c r="W70">
        <v>0</v>
      </c>
      <c r="X70">
        <v>1497.2199999999998</v>
      </c>
      <c r="Y70">
        <v>1497.4799999999998</v>
      </c>
      <c r="Z70">
        <v>0</v>
      </c>
      <c r="AA70">
        <v>0</v>
      </c>
      <c r="AB70">
        <v>1497.4799999999998</v>
      </c>
      <c r="AC70">
        <v>2123.5500000000002</v>
      </c>
      <c r="AD70">
        <v>0</v>
      </c>
      <c r="AE70">
        <v>0</v>
      </c>
      <c r="AF70">
        <v>2123.5500000000002</v>
      </c>
      <c r="AG70">
        <v>2096.7099999999996</v>
      </c>
      <c r="AH70">
        <v>0</v>
      </c>
      <c r="AI70">
        <v>0</v>
      </c>
      <c r="AJ70">
        <v>2096.7099999999996</v>
      </c>
    </row>
    <row r="71" spans="2:36" x14ac:dyDescent="0.25">
      <c r="B71" t="s">
        <v>80</v>
      </c>
      <c r="C71" s="9" t="s">
        <v>68</v>
      </c>
      <c r="D71" s="14">
        <v>45931</v>
      </c>
      <c r="E71" s="2">
        <v>0</v>
      </c>
      <c r="H71">
        <v>0</v>
      </c>
      <c r="I71">
        <v>0</v>
      </c>
      <c r="L71">
        <v>0</v>
      </c>
      <c r="M71">
        <v>15.58</v>
      </c>
      <c r="P71">
        <v>15.58</v>
      </c>
      <c r="Q71">
        <v>1</v>
      </c>
      <c r="T71">
        <v>1</v>
      </c>
      <c r="U71">
        <v>1497.2199999999998</v>
      </c>
      <c r="W71">
        <v>0</v>
      </c>
      <c r="X71">
        <v>1497.2199999999998</v>
      </c>
      <c r="Y71">
        <v>1497.4799999999998</v>
      </c>
      <c r="Z71">
        <v>0</v>
      </c>
      <c r="AA71">
        <v>0</v>
      </c>
      <c r="AB71">
        <v>1497.4799999999998</v>
      </c>
      <c r="AC71">
        <v>2139.13</v>
      </c>
      <c r="AD71">
        <v>0</v>
      </c>
      <c r="AE71">
        <v>0</v>
      </c>
      <c r="AF71">
        <v>2139.13</v>
      </c>
      <c r="AG71">
        <v>2097.7099999999996</v>
      </c>
      <c r="AH71">
        <v>0</v>
      </c>
      <c r="AI71">
        <v>0</v>
      </c>
      <c r="AJ71">
        <v>2097.7099999999996</v>
      </c>
    </row>
    <row r="72" spans="2:36" x14ac:dyDescent="0.25">
      <c r="B72" t="s">
        <v>80</v>
      </c>
      <c r="C72" s="9" t="s">
        <v>69</v>
      </c>
      <c r="D72" s="14">
        <v>45962</v>
      </c>
      <c r="E72" s="2">
        <v>0</v>
      </c>
      <c r="H72">
        <v>0</v>
      </c>
      <c r="I72">
        <v>0</v>
      </c>
      <c r="L72">
        <v>0</v>
      </c>
      <c r="M72">
        <v>19.16</v>
      </c>
      <c r="P72">
        <v>19.16</v>
      </c>
      <c r="Q72">
        <v>4.75</v>
      </c>
      <c r="T72">
        <v>4.75</v>
      </c>
      <c r="U72">
        <v>1497.2199999999998</v>
      </c>
      <c r="W72">
        <v>0</v>
      </c>
      <c r="X72">
        <v>1497.2199999999998</v>
      </c>
      <c r="Y72">
        <v>1497.4799999999998</v>
      </c>
      <c r="Z72">
        <v>0</v>
      </c>
      <c r="AA72">
        <v>0</v>
      </c>
      <c r="AB72">
        <v>1497.4799999999998</v>
      </c>
      <c r="AC72">
        <v>2158.29</v>
      </c>
      <c r="AD72">
        <v>0</v>
      </c>
      <c r="AE72">
        <v>0</v>
      </c>
      <c r="AF72">
        <v>2158.29</v>
      </c>
      <c r="AG72">
        <v>2102.4599999999996</v>
      </c>
      <c r="AH72">
        <v>0</v>
      </c>
      <c r="AI72">
        <v>0</v>
      </c>
      <c r="AJ72">
        <v>2102.4599999999996</v>
      </c>
    </row>
    <row r="73" spans="2:36" x14ac:dyDescent="0.25">
      <c r="B73" t="s">
        <v>80</v>
      </c>
      <c r="C73" s="9" t="s">
        <v>70</v>
      </c>
      <c r="D73" s="14">
        <v>45992</v>
      </c>
      <c r="E73" s="2">
        <v>0</v>
      </c>
      <c r="H73">
        <v>0</v>
      </c>
      <c r="I73">
        <v>0</v>
      </c>
      <c r="L73">
        <v>0</v>
      </c>
      <c r="M73">
        <v>1</v>
      </c>
      <c r="P73">
        <v>1</v>
      </c>
      <c r="Q73">
        <v>0</v>
      </c>
      <c r="T73">
        <v>0</v>
      </c>
      <c r="U73">
        <v>1497.2199999999998</v>
      </c>
      <c r="W73">
        <v>0</v>
      </c>
      <c r="X73">
        <v>1497.2199999999998</v>
      </c>
      <c r="Y73">
        <v>1497.4799999999998</v>
      </c>
      <c r="Z73">
        <v>0</v>
      </c>
      <c r="AA73">
        <v>0</v>
      </c>
      <c r="AB73">
        <v>1497.4799999999998</v>
      </c>
      <c r="AC73">
        <v>2159.29</v>
      </c>
      <c r="AD73">
        <v>0</v>
      </c>
      <c r="AE73">
        <v>0</v>
      </c>
      <c r="AF73">
        <v>2159.29</v>
      </c>
      <c r="AG73">
        <v>2102.4599999999996</v>
      </c>
      <c r="AH73">
        <v>0</v>
      </c>
      <c r="AI73">
        <v>0</v>
      </c>
      <c r="AJ73">
        <v>2102.4599999999996</v>
      </c>
    </row>
    <row r="74" spans="2:36" x14ac:dyDescent="0.25">
      <c r="B74" t="s">
        <v>80</v>
      </c>
      <c r="C74" s="9" t="s">
        <v>71</v>
      </c>
      <c r="D74" s="14">
        <v>46023</v>
      </c>
      <c r="E74" s="2">
        <v>0</v>
      </c>
      <c r="H74">
        <v>0</v>
      </c>
      <c r="I74">
        <v>0</v>
      </c>
      <c r="L74">
        <v>0</v>
      </c>
      <c r="M74">
        <v>4.75</v>
      </c>
      <c r="P74">
        <v>4.75</v>
      </c>
      <c r="Q74">
        <v>0</v>
      </c>
      <c r="T74">
        <v>0</v>
      </c>
      <c r="U74">
        <v>1497.2199999999998</v>
      </c>
      <c r="W74">
        <v>0</v>
      </c>
      <c r="X74">
        <v>1497.2199999999998</v>
      </c>
      <c r="Y74">
        <v>1497.4799999999998</v>
      </c>
      <c r="Z74">
        <v>0</v>
      </c>
      <c r="AA74">
        <v>0</v>
      </c>
      <c r="AB74">
        <v>1497.4799999999998</v>
      </c>
      <c r="AC74">
        <v>2164.04</v>
      </c>
      <c r="AD74">
        <v>0</v>
      </c>
      <c r="AE74">
        <v>0</v>
      </c>
      <c r="AF74">
        <v>2164.04</v>
      </c>
      <c r="AG74">
        <v>2102.4599999999996</v>
      </c>
      <c r="AH74">
        <v>0</v>
      </c>
      <c r="AI74">
        <v>0</v>
      </c>
      <c r="AJ74">
        <v>2102.4599999999996</v>
      </c>
    </row>
    <row r="75" spans="2:36" x14ac:dyDescent="0.25">
      <c r="B75" t="s">
        <v>80</v>
      </c>
      <c r="C75" s="9" t="s">
        <v>72</v>
      </c>
      <c r="D75" s="14">
        <v>46054</v>
      </c>
      <c r="E75" s="2">
        <v>0</v>
      </c>
      <c r="H75">
        <v>0</v>
      </c>
      <c r="I75">
        <v>0</v>
      </c>
      <c r="L75">
        <v>0</v>
      </c>
      <c r="M75">
        <v>0</v>
      </c>
      <c r="P75">
        <v>0</v>
      </c>
      <c r="Q75">
        <v>0</v>
      </c>
      <c r="T75">
        <v>0</v>
      </c>
      <c r="U75">
        <v>1497.2199999999998</v>
      </c>
      <c r="W75">
        <v>0</v>
      </c>
      <c r="X75">
        <v>1497.2199999999998</v>
      </c>
      <c r="Y75">
        <v>1497.4799999999998</v>
      </c>
      <c r="Z75">
        <v>0</v>
      </c>
      <c r="AA75">
        <v>0</v>
      </c>
      <c r="AB75">
        <v>1497.4799999999998</v>
      </c>
      <c r="AC75">
        <v>2164.04</v>
      </c>
      <c r="AD75">
        <v>0</v>
      </c>
      <c r="AE75">
        <v>0</v>
      </c>
      <c r="AF75">
        <v>2164.04</v>
      </c>
      <c r="AG75">
        <v>2102.4599999999996</v>
      </c>
      <c r="AH75">
        <v>0</v>
      </c>
      <c r="AI75">
        <v>0</v>
      </c>
      <c r="AJ75">
        <v>2102.4599999999996</v>
      </c>
    </row>
    <row r="76" spans="2:36" x14ac:dyDescent="0.25">
      <c r="B76" t="s">
        <v>80</v>
      </c>
      <c r="C76" s="9" t="s">
        <v>73</v>
      </c>
      <c r="D76" s="14">
        <v>46082</v>
      </c>
      <c r="E76" s="2">
        <v>0</v>
      </c>
      <c r="H76">
        <v>0</v>
      </c>
      <c r="I76">
        <v>0</v>
      </c>
      <c r="L76">
        <v>0</v>
      </c>
      <c r="M76">
        <v>0</v>
      </c>
      <c r="P76">
        <v>0</v>
      </c>
      <c r="Q76">
        <v>0</v>
      </c>
      <c r="T76">
        <v>0</v>
      </c>
      <c r="U76">
        <v>1497.2199999999998</v>
      </c>
      <c r="W76">
        <v>0</v>
      </c>
      <c r="X76">
        <v>1497.2199999999998</v>
      </c>
      <c r="Y76">
        <v>1497.4799999999998</v>
      </c>
      <c r="Z76">
        <v>0</v>
      </c>
      <c r="AA76">
        <v>0</v>
      </c>
      <c r="AB76">
        <v>1497.4799999999998</v>
      </c>
      <c r="AC76">
        <v>2164.04</v>
      </c>
      <c r="AD76">
        <v>0</v>
      </c>
      <c r="AE76">
        <v>0</v>
      </c>
      <c r="AF76">
        <v>2164.04</v>
      </c>
      <c r="AG76">
        <v>2102.4599999999996</v>
      </c>
      <c r="AH76">
        <v>0</v>
      </c>
      <c r="AI76">
        <v>0</v>
      </c>
      <c r="AJ76">
        <v>2102.4599999999996</v>
      </c>
    </row>
    <row r="77" spans="2:36" x14ac:dyDescent="0.25">
      <c r="B77" t="s">
        <v>80</v>
      </c>
      <c r="C77" s="9" t="s">
        <v>74</v>
      </c>
      <c r="D77" s="14">
        <v>46113</v>
      </c>
      <c r="E77" s="2">
        <v>0</v>
      </c>
      <c r="H77">
        <v>0</v>
      </c>
      <c r="I77">
        <v>0</v>
      </c>
      <c r="L77">
        <v>0</v>
      </c>
      <c r="M77">
        <v>0</v>
      </c>
      <c r="P77">
        <v>0</v>
      </c>
      <c r="Q77">
        <v>0</v>
      </c>
      <c r="T77">
        <v>0</v>
      </c>
      <c r="U77">
        <v>1497.2199999999998</v>
      </c>
      <c r="W77">
        <v>0</v>
      </c>
      <c r="X77">
        <v>1497.2199999999998</v>
      </c>
      <c r="Y77">
        <v>1497.4799999999998</v>
      </c>
      <c r="Z77">
        <v>0</v>
      </c>
      <c r="AA77">
        <v>0</v>
      </c>
      <c r="AB77">
        <v>1497.4799999999998</v>
      </c>
      <c r="AC77">
        <v>2164.04</v>
      </c>
      <c r="AD77">
        <v>0</v>
      </c>
      <c r="AE77">
        <v>0</v>
      </c>
      <c r="AF77">
        <v>2164.04</v>
      </c>
      <c r="AG77">
        <v>2102.4599999999996</v>
      </c>
      <c r="AH77">
        <v>0</v>
      </c>
      <c r="AI77">
        <v>0</v>
      </c>
      <c r="AJ77">
        <v>2102.4599999999996</v>
      </c>
    </row>
    <row r="78" spans="2:36" x14ac:dyDescent="0.25">
      <c r="B78" t="s">
        <v>80</v>
      </c>
      <c r="C78" s="9" t="s">
        <v>75</v>
      </c>
      <c r="D78" s="14">
        <v>46143</v>
      </c>
      <c r="E78" s="2">
        <v>0</v>
      </c>
      <c r="H78">
        <v>0</v>
      </c>
      <c r="I78">
        <v>0</v>
      </c>
      <c r="L78">
        <v>0</v>
      </c>
      <c r="M78">
        <v>0</v>
      </c>
      <c r="P78">
        <v>0</v>
      </c>
      <c r="Q78">
        <v>0</v>
      </c>
      <c r="T78">
        <v>0</v>
      </c>
      <c r="U78">
        <v>1497.2199999999998</v>
      </c>
      <c r="W78">
        <v>0</v>
      </c>
      <c r="X78">
        <v>1497.2199999999998</v>
      </c>
      <c r="Y78">
        <v>1497.4799999999998</v>
      </c>
      <c r="Z78">
        <v>0</v>
      </c>
      <c r="AA78">
        <v>0</v>
      </c>
      <c r="AB78">
        <v>1497.4799999999998</v>
      </c>
      <c r="AC78">
        <v>2164.04</v>
      </c>
      <c r="AD78">
        <v>0</v>
      </c>
      <c r="AE78">
        <v>0</v>
      </c>
      <c r="AF78">
        <v>2164.04</v>
      </c>
      <c r="AG78">
        <v>2102.4599999999996</v>
      </c>
      <c r="AH78">
        <v>0</v>
      </c>
      <c r="AI78">
        <v>0</v>
      </c>
      <c r="AJ78">
        <v>2102.4599999999996</v>
      </c>
    </row>
    <row r="79" spans="2:36" x14ac:dyDescent="0.25">
      <c r="B79" t="s">
        <v>80</v>
      </c>
      <c r="C79" s="9" t="s">
        <v>76</v>
      </c>
      <c r="D79" s="14">
        <v>46174</v>
      </c>
      <c r="E79" s="2">
        <v>0</v>
      </c>
      <c r="H79">
        <v>0</v>
      </c>
      <c r="I79">
        <v>0</v>
      </c>
      <c r="L79">
        <v>0</v>
      </c>
      <c r="M79">
        <v>0</v>
      </c>
      <c r="P79">
        <v>0</v>
      </c>
      <c r="Q79">
        <v>0</v>
      </c>
      <c r="T79">
        <v>0</v>
      </c>
      <c r="U79">
        <v>1497.2199999999998</v>
      </c>
      <c r="W79">
        <v>0</v>
      </c>
      <c r="X79">
        <v>1497.2199999999998</v>
      </c>
      <c r="Y79">
        <v>1497.4799999999998</v>
      </c>
      <c r="Z79">
        <v>0</v>
      </c>
      <c r="AA79">
        <v>0</v>
      </c>
      <c r="AB79">
        <v>1497.4799999999998</v>
      </c>
      <c r="AC79">
        <v>2164.04</v>
      </c>
      <c r="AD79">
        <v>0</v>
      </c>
      <c r="AE79">
        <v>0</v>
      </c>
      <c r="AF79">
        <v>2164.04</v>
      </c>
      <c r="AG79">
        <v>2102.4599999999996</v>
      </c>
      <c r="AH79">
        <v>0</v>
      </c>
      <c r="AI79">
        <v>0</v>
      </c>
      <c r="AJ79">
        <v>2102.4599999999996</v>
      </c>
    </row>
    <row r="80" spans="2:36" x14ac:dyDescent="0.25">
      <c r="B80" t="s">
        <v>80</v>
      </c>
      <c r="C80" s="9" t="s">
        <v>77</v>
      </c>
      <c r="D80" s="14">
        <v>46204</v>
      </c>
      <c r="E80" s="2">
        <v>0</v>
      </c>
      <c r="H80">
        <v>0</v>
      </c>
      <c r="I80">
        <v>0</v>
      </c>
      <c r="L80">
        <v>0</v>
      </c>
      <c r="M80">
        <v>0</v>
      </c>
      <c r="P80">
        <v>0</v>
      </c>
      <c r="Q80">
        <v>0</v>
      </c>
      <c r="T80">
        <v>0</v>
      </c>
      <c r="U80">
        <v>1497.2199999999998</v>
      </c>
      <c r="W80">
        <v>0</v>
      </c>
      <c r="X80">
        <v>1497.2199999999998</v>
      </c>
      <c r="Y80">
        <v>1497.4799999999998</v>
      </c>
      <c r="Z80">
        <v>0</v>
      </c>
      <c r="AA80">
        <v>0</v>
      </c>
      <c r="AB80">
        <v>1497.4799999999998</v>
      </c>
      <c r="AC80">
        <v>2164.04</v>
      </c>
      <c r="AD80">
        <v>0</v>
      </c>
      <c r="AE80">
        <v>0</v>
      </c>
      <c r="AF80">
        <v>2164.04</v>
      </c>
      <c r="AG80">
        <v>2102.4599999999996</v>
      </c>
      <c r="AH80">
        <v>0</v>
      </c>
      <c r="AI80">
        <v>0</v>
      </c>
      <c r="AJ80">
        <v>2102.4599999999996</v>
      </c>
    </row>
    <row r="81" spans="2:36" x14ac:dyDescent="0.25">
      <c r="B81" t="s">
        <v>80</v>
      </c>
      <c r="C81" s="9" t="s">
        <v>78</v>
      </c>
      <c r="D81" s="14">
        <v>46235</v>
      </c>
      <c r="E81" s="2">
        <v>0</v>
      </c>
      <c r="H81">
        <v>0</v>
      </c>
      <c r="I81">
        <v>0</v>
      </c>
      <c r="L81">
        <v>0</v>
      </c>
      <c r="M81">
        <v>0</v>
      </c>
      <c r="P81">
        <v>0</v>
      </c>
      <c r="Q81">
        <v>0</v>
      </c>
      <c r="T81">
        <v>0</v>
      </c>
      <c r="U81">
        <v>1497.2199999999998</v>
      </c>
      <c r="W81">
        <v>0</v>
      </c>
      <c r="X81">
        <v>1497.2199999999998</v>
      </c>
      <c r="Y81">
        <v>1497.4799999999998</v>
      </c>
      <c r="Z81">
        <v>0</v>
      </c>
      <c r="AA81">
        <v>0</v>
      </c>
      <c r="AB81">
        <v>1497.4799999999998</v>
      </c>
      <c r="AC81">
        <v>2164.04</v>
      </c>
      <c r="AD81">
        <v>0</v>
      </c>
      <c r="AE81">
        <v>0</v>
      </c>
      <c r="AF81">
        <v>2164.04</v>
      </c>
      <c r="AG81">
        <v>2102.4599999999996</v>
      </c>
      <c r="AH81">
        <v>0</v>
      </c>
      <c r="AI81">
        <v>0</v>
      </c>
      <c r="AJ81">
        <v>2102.4599999999996</v>
      </c>
    </row>
    <row r="82" spans="2:36" x14ac:dyDescent="0.25">
      <c r="B82" t="s">
        <v>81</v>
      </c>
      <c r="C82" s="9" t="s">
        <v>55</v>
      </c>
      <c r="D82" s="14">
        <v>45536</v>
      </c>
      <c r="E82" s="2">
        <v>0</v>
      </c>
      <c r="H82">
        <v>0</v>
      </c>
      <c r="I82">
        <v>0</v>
      </c>
      <c r="L82">
        <v>0</v>
      </c>
      <c r="M82">
        <v>0</v>
      </c>
      <c r="P82">
        <v>0</v>
      </c>
      <c r="Q82">
        <v>81.25</v>
      </c>
      <c r="T82">
        <v>81.25</v>
      </c>
      <c r="U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81.25</v>
      </c>
      <c r="AH82">
        <v>0</v>
      </c>
      <c r="AI82">
        <v>0</v>
      </c>
      <c r="AJ82">
        <v>81.25</v>
      </c>
    </row>
    <row r="83" spans="2:36" x14ac:dyDescent="0.25">
      <c r="B83" t="s">
        <v>81</v>
      </c>
      <c r="C83" s="9" t="s">
        <v>56</v>
      </c>
      <c r="D83" s="14">
        <v>45566</v>
      </c>
      <c r="E83" s="2">
        <v>0</v>
      </c>
      <c r="H83">
        <v>0</v>
      </c>
      <c r="I83">
        <v>0</v>
      </c>
      <c r="L83">
        <v>0</v>
      </c>
      <c r="M83">
        <v>8.75</v>
      </c>
      <c r="P83">
        <v>8.75</v>
      </c>
      <c r="Q83">
        <v>548.5</v>
      </c>
      <c r="T83">
        <v>548.5</v>
      </c>
      <c r="U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8.75</v>
      </c>
      <c r="AD83">
        <v>0</v>
      </c>
      <c r="AE83">
        <v>0</v>
      </c>
      <c r="AF83">
        <v>8.75</v>
      </c>
      <c r="AG83">
        <v>629.75</v>
      </c>
      <c r="AH83">
        <v>0</v>
      </c>
      <c r="AI83">
        <v>0</v>
      </c>
      <c r="AJ83">
        <v>629.75</v>
      </c>
    </row>
    <row r="84" spans="2:36" x14ac:dyDescent="0.25">
      <c r="B84" t="s">
        <v>81</v>
      </c>
      <c r="C84" s="9" t="s">
        <v>57</v>
      </c>
      <c r="D84" s="14">
        <v>45597</v>
      </c>
      <c r="E84" s="2">
        <v>1689.43</v>
      </c>
      <c r="H84">
        <v>1689.43</v>
      </c>
      <c r="I84">
        <v>140</v>
      </c>
      <c r="L84">
        <v>140</v>
      </c>
      <c r="M84">
        <v>81.25</v>
      </c>
      <c r="P84">
        <v>81.25</v>
      </c>
      <c r="Q84">
        <v>676.75</v>
      </c>
      <c r="T84">
        <v>676.75</v>
      </c>
      <c r="U84">
        <v>1689.43</v>
      </c>
      <c r="W84">
        <v>0</v>
      </c>
      <c r="X84">
        <v>1689.43</v>
      </c>
      <c r="Y84">
        <v>140</v>
      </c>
      <c r="Z84">
        <v>0</v>
      </c>
      <c r="AA84">
        <v>0</v>
      </c>
      <c r="AB84">
        <v>140</v>
      </c>
      <c r="AC84">
        <v>90</v>
      </c>
      <c r="AD84">
        <v>0</v>
      </c>
      <c r="AE84">
        <v>0</v>
      </c>
      <c r="AF84">
        <v>90</v>
      </c>
      <c r="AG84">
        <v>1306.5</v>
      </c>
      <c r="AH84">
        <v>0</v>
      </c>
      <c r="AI84">
        <v>0</v>
      </c>
      <c r="AJ84">
        <v>1306.5</v>
      </c>
    </row>
    <row r="85" spans="2:36" x14ac:dyDescent="0.25">
      <c r="B85" t="s">
        <v>81</v>
      </c>
      <c r="C85" s="9" t="s">
        <v>58</v>
      </c>
      <c r="D85" s="14">
        <v>45627</v>
      </c>
      <c r="E85" s="2">
        <v>1899.43</v>
      </c>
      <c r="H85">
        <v>1899.43</v>
      </c>
      <c r="I85">
        <v>974.12</v>
      </c>
      <c r="L85">
        <v>974.12</v>
      </c>
      <c r="M85">
        <v>548.5</v>
      </c>
      <c r="P85">
        <v>548.5</v>
      </c>
      <c r="Q85">
        <v>786.25</v>
      </c>
      <c r="T85">
        <v>786.25</v>
      </c>
      <c r="U85">
        <v>3588.86</v>
      </c>
      <c r="W85">
        <v>0</v>
      </c>
      <c r="X85">
        <v>3588.86</v>
      </c>
      <c r="Y85">
        <v>1114.1199999999999</v>
      </c>
      <c r="Z85">
        <v>0</v>
      </c>
      <c r="AA85">
        <v>0</v>
      </c>
      <c r="AB85">
        <v>1114.1199999999999</v>
      </c>
      <c r="AC85">
        <v>638.5</v>
      </c>
      <c r="AD85">
        <v>0</v>
      </c>
      <c r="AE85">
        <v>0</v>
      </c>
      <c r="AF85">
        <v>638.5</v>
      </c>
      <c r="AG85">
        <v>2092.75</v>
      </c>
      <c r="AH85">
        <v>0</v>
      </c>
      <c r="AI85">
        <v>0</v>
      </c>
      <c r="AJ85">
        <v>2092.75</v>
      </c>
    </row>
    <row r="86" spans="2:36" x14ac:dyDescent="0.25">
      <c r="B86" t="s">
        <v>81</v>
      </c>
      <c r="C86" s="9" t="s">
        <v>59</v>
      </c>
      <c r="D86" s="14">
        <v>45658</v>
      </c>
      <c r="E86" s="2">
        <v>2458</v>
      </c>
      <c r="H86">
        <v>2458</v>
      </c>
      <c r="I86">
        <v>1608.79</v>
      </c>
      <c r="L86">
        <v>1608.79</v>
      </c>
      <c r="M86">
        <v>676.75</v>
      </c>
      <c r="P86">
        <v>676.75</v>
      </c>
      <c r="Q86">
        <v>1447.95</v>
      </c>
      <c r="T86">
        <v>1447.95</v>
      </c>
      <c r="U86">
        <v>6046.8600000000006</v>
      </c>
      <c r="W86">
        <v>0</v>
      </c>
      <c r="X86">
        <v>6046.8600000000006</v>
      </c>
      <c r="Y86">
        <v>2722.91</v>
      </c>
      <c r="Z86">
        <v>0</v>
      </c>
      <c r="AA86">
        <v>0</v>
      </c>
      <c r="AB86">
        <v>2722.91</v>
      </c>
      <c r="AC86">
        <v>1315.25</v>
      </c>
      <c r="AD86">
        <v>0</v>
      </c>
      <c r="AE86">
        <v>0</v>
      </c>
      <c r="AF86">
        <v>1315.25</v>
      </c>
      <c r="AG86">
        <v>3540.7</v>
      </c>
      <c r="AH86">
        <v>0</v>
      </c>
      <c r="AI86">
        <v>0</v>
      </c>
      <c r="AJ86">
        <v>3540.7</v>
      </c>
    </row>
    <row r="87" spans="2:36" x14ac:dyDescent="0.25">
      <c r="B87" t="s">
        <v>81</v>
      </c>
      <c r="C87" s="9" t="s">
        <v>60</v>
      </c>
      <c r="D87" s="14">
        <v>45689</v>
      </c>
      <c r="E87" s="2">
        <v>2155.19</v>
      </c>
      <c r="H87">
        <v>2155.19</v>
      </c>
      <c r="I87">
        <v>1517.31</v>
      </c>
      <c r="L87">
        <v>1517.31</v>
      </c>
      <c r="M87">
        <v>786.25</v>
      </c>
      <c r="P87">
        <v>786.25</v>
      </c>
      <c r="Q87">
        <v>1251</v>
      </c>
      <c r="T87">
        <v>1251</v>
      </c>
      <c r="U87">
        <v>8202.0500000000011</v>
      </c>
      <c r="W87">
        <v>0</v>
      </c>
      <c r="X87">
        <v>8202.0500000000011</v>
      </c>
      <c r="Y87">
        <v>4240.2199999999993</v>
      </c>
      <c r="Z87">
        <v>0</v>
      </c>
      <c r="AA87">
        <v>0</v>
      </c>
      <c r="AB87">
        <v>4240.2199999999993</v>
      </c>
      <c r="AC87">
        <v>2101.5</v>
      </c>
      <c r="AD87">
        <v>0</v>
      </c>
      <c r="AE87">
        <v>0</v>
      </c>
      <c r="AF87">
        <v>2101.5</v>
      </c>
      <c r="AG87">
        <v>4791.7</v>
      </c>
      <c r="AH87">
        <v>0</v>
      </c>
      <c r="AI87">
        <v>0</v>
      </c>
      <c r="AJ87">
        <v>4791.7</v>
      </c>
    </row>
    <row r="88" spans="2:36" x14ac:dyDescent="0.25">
      <c r="B88" t="s">
        <v>81</v>
      </c>
      <c r="C88" s="9" t="s">
        <v>61</v>
      </c>
      <c r="D88" s="14">
        <v>45717</v>
      </c>
      <c r="E88" s="2">
        <v>1454.82</v>
      </c>
      <c r="H88">
        <v>1454.82</v>
      </c>
      <c r="I88">
        <v>1103.27</v>
      </c>
      <c r="L88">
        <v>1103.27</v>
      </c>
      <c r="M88">
        <v>1447.95</v>
      </c>
      <c r="P88">
        <v>1447.95</v>
      </c>
      <c r="Q88">
        <v>1815.17</v>
      </c>
      <c r="T88">
        <v>1815.17</v>
      </c>
      <c r="U88">
        <v>9656.8700000000008</v>
      </c>
      <c r="W88">
        <v>0</v>
      </c>
      <c r="X88">
        <v>9656.8700000000008</v>
      </c>
      <c r="Y88">
        <v>5343.49</v>
      </c>
      <c r="Z88">
        <v>0</v>
      </c>
      <c r="AA88">
        <v>0</v>
      </c>
      <c r="AB88">
        <v>5343.49</v>
      </c>
      <c r="AC88">
        <v>3549.45</v>
      </c>
      <c r="AD88">
        <v>0</v>
      </c>
      <c r="AE88">
        <v>0</v>
      </c>
      <c r="AF88">
        <v>3549.45</v>
      </c>
      <c r="AG88">
        <v>6606.87</v>
      </c>
      <c r="AH88">
        <v>0</v>
      </c>
      <c r="AI88">
        <v>0</v>
      </c>
      <c r="AJ88">
        <v>6606.87</v>
      </c>
    </row>
    <row r="89" spans="2:36" x14ac:dyDescent="0.25">
      <c r="B89" t="s">
        <v>81</v>
      </c>
      <c r="C89" s="9" t="s">
        <v>62</v>
      </c>
      <c r="D89" s="14">
        <v>45748</v>
      </c>
      <c r="E89" s="2">
        <v>2440.4</v>
      </c>
      <c r="H89">
        <v>2440.4</v>
      </c>
      <c r="I89">
        <v>1459.07</v>
      </c>
      <c r="L89">
        <v>1459.07</v>
      </c>
      <c r="M89">
        <v>1251</v>
      </c>
      <c r="P89">
        <v>1251</v>
      </c>
      <c r="Q89">
        <v>1343.88</v>
      </c>
      <c r="T89">
        <v>1343.88</v>
      </c>
      <c r="U89">
        <v>12097.27</v>
      </c>
      <c r="W89">
        <v>0</v>
      </c>
      <c r="X89">
        <v>12097.27</v>
      </c>
      <c r="Y89">
        <v>6802.5599999999995</v>
      </c>
      <c r="Z89">
        <v>0</v>
      </c>
      <c r="AA89">
        <v>0</v>
      </c>
      <c r="AB89">
        <v>6802.5599999999995</v>
      </c>
      <c r="AC89">
        <v>4800.45</v>
      </c>
      <c r="AD89">
        <v>0</v>
      </c>
      <c r="AE89">
        <v>0</v>
      </c>
      <c r="AF89">
        <v>4800.45</v>
      </c>
      <c r="AG89">
        <v>7950.75</v>
      </c>
      <c r="AH89">
        <v>0</v>
      </c>
      <c r="AI89">
        <v>0</v>
      </c>
      <c r="AJ89">
        <v>7950.75</v>
      </c>
    </row>
    <row r="90" spans="2:36" x14ac:dyDescent="0.25">
      <c r="B90" t="s">
        <v>81</v>
      </c>
      <c r="C90" s="9" t="s">
        <v>63</v>
      </c>
      <c r="D90" s="14">
        <v>45778</v>
      </c>
      <c r="E90" s="2">
        <v>3283.86</v>
      </c>
      <c r="H90">
        <v>3283.86</v>
      </c>
      <c r="I90">
        <v>1653.46</v>
      </c>
      <c r="L90">
        <v>1653.46</v>
      </c>
      <c r="M90">
        <v>1815.17</v>
      </c>
      <c r="P90">
        <v>1815.17</v>
      </c>
      <c r="Q90">
        <v>1787.06</v>
      </c>
      <c r="T90">
        <v>1787.06</v>
      </c>
      <c r="U90">
        <v>15381.130000000001</v>
      </c>
      <c r="W90">
        <v>0</v>
      </c>
      <c r="X90">
        <v>15381.130000000001</v>
      </c>
      <c r="Y90">
        <v>8456.02</v>
      </c>
      <c r="Z90">
        <v>0</v>
      </c>
      <c r="AA90">
        <v>0</v>
      </c>
      <c r="AB90">
        <v>8456.02</v>
      </c>
      <c r="AC90">
        <v>6615.62</v>
      </c>
      <c r="AD90">
        <v>0</v>
      </c>
      <c r="AE90">
        <v>0</v>
      </c>
      <c r="AF90">
        <v>6615.62</v>
      </c>
      <c r="AG90">
        <v>9737.81</v>
      </c>
      <c r="AH90">
        <v>0</v>
      </c>
      <c r="AI90">
        <v>0</v>
      </c>
      <c r="AJ90">
        <v>9737.81</v>
      </c>
    </row>
    <row r="91" spans="2:36" x14ac:dyDescent="0.25">
      <c r="B91" t="s">
        <v>81</v>
      </c>
      <c r="C91" s="9" t="s">
        <v>64</v>
      </c>
      <c r="D91" s="14">
        <v>45809</v>
      </c>
      <c r="E91" s="2">
        <v>1801.8</v>
      </c>
      <c r="H91">
        <v>1801.8</v>
      </c>
      <c r="I91">
        <v>879.24</v>
      </c>
      <c r="L91">
        <v>879.24</v>
      </c>
      <c r="M91">
        <v>1343.88</v>
      </c>
      <c r="P91">
        <v>1343.88</v>
      </c>
      <c r="Q91">
        <v>1094.76</v>
      </c>
      <c r="T91">
        <v>1094.76</v>
      </c>
      <c r="U91">
        <v>17182.93</v>
      </c>
      <c r="W91">
        <v>0</v>
      </c>
      <c r="X91">
        <v>17182.93</v>
      </c>
      <c r="Y91">
        <v>9335.26</v>
      </c>
      <c r="Z91">
        <v>0</v>
      </c>
      <c r="AA91">
        <v>0</v>
      </c>
      <c r="AB91">
        <v>9335.26</v>
      </c>
      <c r="AC91">
        <v>7959.5</v>
      </c>
      <c r="AD91">
        <v>0</v>
      </c>
      <c r="AE91">
        <v>0</v>
      </c>
      <c r="AF91">
        <v>7959.5</v>
      </c>
      <c r="AG91">
        <v>10832.57</v>
      </c>
      <c r="AH91">
        <v>0</v>
      </c>
      <c r="AI91">
        <v>0</v>
      </c>
      <c r="AJ91">
        <v>10832.57</v>
      </c>
    </row>
    <row r="92" spans="2:36" x14ac:dyDescent="0.25">
      <c r="B92" t="s">
        <v>81</v>
      </c>
      <c r="C92" s="9" t="s">
        <v>65</v>
      </c>
      <c r="D92" s="14">
        <v>45839</v>
      </c>
      <c r="E92" s="2">
        <v>1157.4000000000001</v>
      </c>
      <c r="H92">
        <v>1157.4000000000001</v>
      </c>
      <c r="I92">
        <v>537.88</v>
      </c>
      <c r="L92">
        <v>537.88</v>
      </c>
      <c r="M92">
        <v>1787.06</v>
      </c>
      <c r="P92">
        <v>1787.06</v>
      </c>
      <c r="Q92">
        <v>1062.8800000000001</v>
      </c>
      <c r="T92">
        <v>1062.8800000000001</v>
      </c>
      <c r="U92">
        <v>18340.330000000002</v>
      </c>
      <c r="W92">
        <v>0</v>
      </c>
      <c r="X92">
        <v>18340.330000000002</v>
      </c>
      <c r="Y92">
        <v>9873.14</v>
      </c>
      <c r="Z92">
        <v>0</v>
      </c>
      <c r="AA92">
        <v>0</v>
      </c>
      <c r="AB92">
        <v>9873.14</v>
      </c>
      <c r="AC92">
        <v>9746.56</v>
      </c>
      <c r="AD92">
        <v>0</v>
      </c>
      <c r="AE92">
        <v>0</v>
      </c>
      <c r="AF92">
        <v>9746.56</v>
      </c>
      <c r="AG92">
        <v>11895.45</v>
      </c>
      <c r="AH92">
        <v>0</v>
      </c>
      <c r="AI92">
        <v>0</v>
      </c>
      <c r="AJ92">
        <v>11895.45</v>
      </c>
    </row>
    <row r="93" spans="2:36" x14ac:dyDescent="0.25">
      <c r="B93" t="s">
        <v>81</v>
      </c>
      <c r="C93" s="9" t="s">
        <v>66</v>
      </c>
      <c r="D93" s="14">
        <v>45870</v>
      </c>
      <c r="E93" s="2">
        <v>1099</v>
      </c>
      <c r="H93">
        <v>1099</v>
      </c>
      <c r="I93">
        <v>548.73</v>
      </c>
      <c r="L93">
        <v>548.73</v>
      </c>
      <c r="M93">
        <v>1094.76</v>
      </c>
      <c r="P93">
        <v>1094.76</v>
      </c>
      <c r="Q93">
        <v>918.5</v>
      </c>
      <c r="T93">
        <v>918.5</v>
      </c>
      <c r="U93">
        <v>19439.330000000002</v>
      </c>
      <c r="W93">
        <v>0</v>
      </c>
      <c r="X93">
        <v>19439.330000000002</v>
      </c>
      <c r="Y93">
        <v>10421.869999999999</v>
      </c>
      <c r="Z93">
        <v>0</v>
      </c>
      <c r="AA93">
        <v>0</v>
      </c>
      <c r="AB93">
        <v>10421.869999999999</v>
      </c>
      <c r="AC93">
        <v>10841.32</v>
      </c>
      <c r="AD93">
        <v>0</v>
      </c>
      <c r="AE93">
        <v>0</v>
      </c>
      <c r="AF93">
        <v>10841.32</v>
      </c>
      <c r="AG93">
        <v>12813.95</v>
      </c>
      <c r="AH93">
        <v>0</v>
      </c>
      <c r="AI93">
        <v>0</v>
      </c>
      <c r="AJ93">
        <v>12813.95</v>
      </c>
    </row>
    <row r="94" spans="2:36" x14ac:dyDescent="0.25">
      <c r="B94" t="s">
        <v>81</v>
      </c>
      <c r="C94" s="9" t="s">
        <v>67</v>
      </c>
      <c r="D94" s="14">
        <v>45901</v>
      </c>
      <c r="E94" s="2">
        <v>882.78</v>
      </c>
      <c r="H94">
        <v>882.78</v>
      </c>
      <c r="I94">
        <v>467.19</v>
      </c>
      <c r="L94">
        <v>467.19</v>
      </c>
      <c r="M94">
        <v>1062.8800000000001</v>
      </c>
      <c r="P94">
        <v>1062.8800000000001</v>
      </c>
      <c r="Q94">
        <v>1020.75</v>
      </c>
      <c r="T94">
        <v>1020.75</v>
      </c>
      <c r="U94">
        <v>20322.11</v>
      </c>
      <c r="W94">
        <v>0</v>
      </c>
      <c r="X94">
        <v>20322.11</v>
      </c>
      <c r="Y94">
        <v>10889.06</v>
      </c>
      <c r="Z94">
        <v>0</v>
      </c>
      <c r="AA94">
        <v>0</v>
      </c>
      <c r="AB94">
        <v>10889.06</v>
      </c>
      <c r="AC94">
        <v>11904.2</v>
      </c>
      <c r="AD94">
        <v>0</v>
      </c>
      <c r="AE94">
        <v>0</v>
      </c>
      <c r="AF94">
        <v>11904.2</v>
      </c>
      <c r="AG94">
        <v>13834.7</v>
      </c>
      <c r="AH94">
        <v>0</v>
      </c>
      <c r="AI94">
        <v>0</v>
      </c>
      <c r="AJ94">
        <v>13834.7</v>
      </c>
    </row>
    <row r="95" spans="2:36" x14ac:dyDescent="0.25">
      <c r="B95" t="s">
        <v>81</v>
      </c>
      <c r="C95" s="9" t="s">
        <v>68</v>
      </c>
      <c r="D95" s="14">
        <v>45931</v>
      </c>
      <c r="E95" s="2">
        <v>570.47</v>
      </c>
      <c r="H95">
        <v>570.47</v>
      </c>
      <c r="I95">
        <v>349.41</v>
      </c>
      <c r="L95">
        <v>349.41</v>
      </c>
      <c r="M95">
        <v>918.5</v>
      </c>
      <c r="P95">
        <v>918.5</v>
      </c>
      <c r="Q95">
        <v>982</v>
      </c>
      <c r="T95">
        <v>982</v>
      </c>
      <c r="U95">
        <v>20892.580000000002</v>
      </c>
      <c r="W95">
        <v>0</v>
      </c>
      <c r="X95">
        <v>20892.580000000002</v>
      </c>
      <c r="Y95">
        <v>11238.47</v>
      </c>
      <c r="Z95">
        <v>0</v>
      </c>
      <c r="AA95">
        <v>0</v>
      </c>
      <c r="AB95">
        <v>11238.47</v>
      </c>
      <c r="AC95">
        <v>12822.7</v>
      </c>
      <c r="AD95">
        <v>0</v>
      </c>
      <c r="AE95">
        <v>0</v>
      </c>
      <c r="AF95">
        <v>12822.7</v>
      </c>
      <c r="AG95">
        <v>14816.7</v>
      </c>
      <c r="AH95">
        <v>0</v>
      </c>
      <c r="AI95">
        <v>0</v>
      </c>
      <c r="AJ95">
        <v>14816.7</v>
      </c>
    </row>
    <row r="96" spans="2:36" x14ac:dyDescent="0.25">
      <c r="B96" t="s">
        <v>81</v>
      </c>
      <c r="C96" s="9" t="s">
        <v>69</v>
      </c>
      <c r="D96" s="14">
        <v>45962</v>
      </c>
      <c r="E96" s="2">
        <v>293.35000000000002</v>
      </c>
      <c r="H96">
        <v>293.35000000000002</v>
      </c>
      <c r="I96">
        <v>139.11000000000001</v>
      </c>
      <c r="L96">
        <v>139.11000000000001</v>
      </c>
      <c r="M96">
        <v>1020.75</v>
      </c>
      <c r="P96">
        <v>1020.75</v>
      </c>
      <c r="Q96">
        <v>389.83</v>
      </c>
      <c r="T96">
        <v>389.83</v>
      </c>
      <c r="U96">
        <v>21185.93</v>
      </c>
      <c r="W96">
        <v>0</v>
      </c>
      <c r="X96">
        <v>21185.93</v>
      </c>
      <c r="Y96">
        <v>11377.58</v>
      </c>
      <c r="Z96">
        <v>0</v>
      </c>
      <c r="AA96">
        <v>0</v>
      </c>
      <c r="AB96">
        <v>11377.58</v>
      </c>
      <c r="AC96">
        <v>13843.45</v>
      </c>
      <c r="AD96">
        <v>0</v>
      </c>
      <c r="AE96">
        <v>0</v>
      </c>
      <c r="AF96">
        <v>13843.45</v>
      </c>
      <c r="AG96">
        <v>15206.53</v>
      </c>
      <c r="AH96">
        <v>0</v>
      </c>
      <c r="AI96">
        <v>0</v>
      </c>
      <c r="AJ96">
        <v>15206.53</v>
      </c>
    </row>
    <row r="97" spans="2:36" x14ac:dyDescent="0.25">
      <c r="B97" t="s">
        <v>81</v>
      </c>
      <c r="C97" s="9" t="s">
        <v>70</v>
      </c>
      <c r="D97" s="14">
        <v>45992</v>
      </c>
      <c r="E97" s="2">
        <v>388.68</v>
      </c>
      <c r="H97">
        <v>388.68</v>
      </c>
      <c r="I97">
        <v>146.58000000000001</v>
      </c>
      <c r="L97">
        <v>146.58000000000001</v>
      </c>
      <c r="M97">
        <v>982</v>
      </c>
      <c r="P97">
        <v>982</v>
      </c>
      <c r="Q97">
        <v>0</v>
      </c>
      <c r="T97">
        <v>0</v>
      </c>
      <c r="U97">
        <v>21574.61</v>
      </c>
      <c r="W97">
        <v>0</v>
      </c>
      <c r="X97">
        <v>21574.61</v>
      </c>
      <c r="Y97">
        <v>11524.16</v>
      </c>
      <c r="Z97">
        <v>0</v>
      </c>
      <c r="AA97">
        <v>0</v>
      </c>
      <c r="AB97">
        <v>11524.16</v>
      </c>
      <c r="AC97">
        <v>14825.45</v>
      </c>
      <c r="AD97">
        <v>0</v>
      </c>
      <c r="AE97">
        <v>0</v>
      </c>
      <c r="AF97">
        <v>14825.45</v>
      </c>
      <c r="AG97">
        <v>15206.53</v>
      </c>
      <c r="AH97">
        <v>0</v>
      </c>
      <c r="AI97">
        <v>0</v>
      </c>
      <c r="AJ97">
        <v>15206.53</v>
      </c>
    </row>
    <row r="98" spans="2:36" x14ac:dyDescent="0.25">
      <c r="B98" t="s">
        <v>81</v>
      </c>
      <c r="C98" s="9" t="s">
        <v>71</v>
      </c>
      <c r="D98" s="14">
        <v>46023</v>
      </c>
      <c r="E98" s="2">
        <v>216.22</v>
      </c>
      <c r="H98">
        <v>216.22</v>
      </c>
      <c r="I98">
        <v>81.540000000000006</v>
      </c>
      <c r="L98">
        <v>81.540000000000006</v>
      </c>
      <c r="M98">
        <v>397.83</v>
      </c>
      <c r="P98">
        <v>397.83</v>
      </c>
      <c r="Q98">
        <v>0</v>
      </c>
      <c r="T98">
        <v>0</v>
      </c>
      <c r="U98">
        <v>21790.83</v>
      </c>
      <c r="W98">
        <v>0</v>
      </c>
      <c r="X98">
        <v>21790.83</v>
      </c>
      <c r="Y98">
        <v>11605.7</v>
      </c>
      <c r="Z98">
        <v>0</v>
      </c>
      <c r="AA98">
        <v>0</v>
      </c>
      <c r="AB98">
        <v>11605.7</v>
      </c>
      <c r="AC98">
        <v>15223.28</v>
      </c>
      <c r="AD98">
        <v>0</v>
      </c>
      <c r="AE98">
        <v>0</v>
      </c>
      <c r="AF98">
        <v>15223.28</v>
      </c>
      <c r="AG98">
        <v>15206.53</v>
      </c>
      <c r="AH98">
        <v>0</v>
      </c>
      <c r="AI98">
        <v>0</v>
      </c>
      <c r="AJ98">
        <v>15206.53</v>
      </c>
    </row>
    <row r="99" spans="2:36" x14ac:dyDescent="0.25">
      <c r="B99" t="s">
        <v>81</v>
      </c>
      <c r="C99" s="9" t="s">
        <v>72</v>
      </c>
      <c r="D99" s="14">
        <v>46054</v>
      </c>
      <c r="E99" s="2">
        <v>0</v>
      </c>
      <c r="H99">
        <v>0</v>
      </c>
      <c r="I99">
        <v>0</v>
      </c>
      <c r="L99">
        <v>0</v>
      </c>
      <c r="M99">
        <v>187.75</v>
      </c>
      <c r="P99">
        <v>187.75</v>
      </c>
      <c r="Q99">
        <v>0</v>
      </c>
      <c r="T99">
        <v>0</v>
      </c>
      <c r="U99">
        <v>21790.83</v>
      </c>
      <c r="W99">
        <v>0</v>
      </c>
      <c r="X99">
        <v>21790.83</v>
      </c>
      <c r="Y99">
        <v>11605.7</v>
      </c>
      <c r="Z99">
        <v>0</v>
      </c>
      <c r="AA99">
        <v>0</v>
      </c>
      <c r="AB99">
        <v>11605.7</v>
      </c>
      <c r="AC99">
        <v>15411.03</v>
      </c>
      <c r="AD99">
        <v>0</v>
      </c>
      <c r="AE99">
        <v>0</v>
      </c>
      <c r="AF99">
        <v>15411.03</v>
      </c>
      <c r="AG99">
        <v>15206.53</v>
      </c>
      <c r="AH99">
        <v>0</v>
      </c>
      <c r="AI99">
        <v>0</v>
      </c>
      <c r="AJ99">
        <v>15206.53</v>
      </c>
    </row>
    <row r="100" spans="2:36" x14ac:dyDescent="0.25">
      <c r="B100" t="s">
        <v>81</v>
      </c>
      <c r="C100" s="9" t="s">
        <v>73</v>
      </c>
      <c r="D100" s="14">
        <v>46082</v>
      </c>
      <c r="E100" s="2">
        <v>0</v>
      </c>
      <c r="H100">
        <v>0</v>
      </c>
      <c r="I100">
        <v>0</v>
      </c>
      <c r="L100">
        <v>0</v>
      </c>
      <c r="M100">
        <v>0</v>
      </c>
      <c r="P100">
        <v>0</v>
      </c>
      <c r="Q100">
        <v>0</v>
      </c>
      <c r="T100">
        <v>0</v>
      </c>
      <c r="U100">
        <v>21790.83</v>
      </c>
      <c r="W100">
        <v>0</v>
      </c>
      <c r="X100">
        <v>21790.83</v>
      </c>
      <c r="Y100">
        <v>11605.7</v>
      </c>
      <c r="Z100">
        <v>0</v>
      </c>
      <c r="AA100">
        <v>0</v>
      </c>
      <c r="AB100">
        <v>11605.7</v>
      </c>
      <c r="AC100">
        <v>15411.03</v>
      </c>
      <c r="AD100">
        <v>0</v>
      </c>
      <c r="AE100">
        <v>0</v>
      </c>
      <c r="AF100">
        <v>15411.03</v>
      </c>
      <c r="AG100">
        <v>15206.53</v>
      </c>
      <c r="AH100">
        <v>0</v>
      </c>
      <c r="AI100">
        <v>0</v>
      </c>
      <c r="AJ100">
        <v>15206.53</v>
      </c>
    </row>
    <row r="101" spans="2:36" x14ac:dyDescent="0.25">
      <c r="B101" t="s">
        <v>81</v>
      </c>
      <c r="C101" s="9" t="s">
        <v>74</v>
      </c>
      <c r="D101" s="14">
        <v>46113</v>
      </c>
      <c r="E101" s="2">
        <v>0</v>
      </c>
      <c r="H101">
        <v>0</v>
      </c>
      <c r="I101">
        <v>0</v>
      </c>
      <c r="L101">
        <v>0</v>
      </c>
      <c r="M101">
        <v>0</v>
      </c>
      <c r="P101">
        <v>0</v>
      </c>
      <c r="Q101">
        <v>0</v>
      </c>
      <c r="T101">
        <v>0</v>
      </c>
      <c r="U101">
        <v>21790.83</v>
      </c>
      <c r="W101">
        <v>0</v>
      </c>
      <c r="X101">
        <v>21790.83</v>
      </c>
      <c r="Y101">
        <v>11605.7</v>
      </c>
      <c r="Z101">
        <v>0</v>
      </c>
      <c r="AA101">
        <v>0</v>
      </c>
      <c r="AB101">
        <v>11605.7</v>
      </c>
      <c r="AC101">
        <v>15411.03</v>
      </c>
      <c r="AD101">
        <v>0</v>
      </c>
      <c r="AE101">
        <v>0</v>
      </c>
      <c r="AF101">
        <v>15411.03</v>
      </c>
      <c r="AG101">
        <v>15206.53</v>
      </c>
      <c r="AH101">
        <v>0</v>
      </c>
      <c r="AI101">
        <v>0</v>
      </c>
      <c r="AJ101">
        <v>15206.53</v>
      </c>
    </row>
    <row r="102" spans="2:36" x14ac:dyDescent="0.25">
      <c r="B102" t="s">
        <v>81</v>
      </c>
      <c r="C102" s="9" t="s">
        <v>75</v>
      </c>
      <c r="D102" s="14">
        <v>46143</v>
      </c>
      <c r="E102" s="2">
        <v>0</v>
      </c>
      <c r="H102">
        <v>0</v>
      </c>
      <c r="I102">
        <v>0</v>
      </c>
      <c r="L102">
        <v>0</v>
      </c>
      <c r="M102">
        <v>0</v>
      </c>
      <c r="P102">
        <v>0</v>
      </c>
      <c r="Q102">
        <v>0</v>
      </c>
      <c r="T102">
        <v>0</v>
      </c>
      <c r="U102">
        <v>21790.83</v>
      </c>
      <c r="W102">
        <v>0</v>
      </c>
      <c r="X102">
        <v>21790.83</v>
      </c>
      <c r="Y102">
        <v>11605.7</v>
      </c>
      <c r="Z102">
        <v>0</v>
      </c>
      <c r="AA102">
        <v>0</v>
      </c>
      <c r="AB102">
        <v>11605.7</v>
      </c>
      <c r="AC102">
        <v>15411.03</v>
      </c>
      <c r="AD102">
        <v>0</v>
      </c>
      <c r="AE102">
        <v>0</v>
      </c>
      <c r="AF102">
        <v>15411.03</v>
      </c>
      <c r="AG102">
        <v>15206.53</v>
      </c>
      <c r="AH102">
        <v>0</v>
      </c>
      <c r="AI102">
        <v>0</v>
      </c>
      <c r="AJ102">
        <v>15206.53</v>
      </c>
    </row>
    <row r="103" spans="2:36" x14ac:dyDescent="0.25">
      <c r="B103" t="s">
        <v>81</v>
      </c>
      <c r="C103" s="9" t="s">
        <v>76</v>
      </c>
      <c r="D103" s="14">
        <v>46174</v>
      </c>
      <c r="E103" s="2">
        <v>0</v>
      </c>
      <c r="H103">
        <v>0</v>
      </c>
      <c r="I103">
        <v>0</v>
      </c>
      <c r="L103">
        <v>0</v>
      </c>
      <c r="M103">
        <v>0</v>
      </c>
      <c r="P103">
        <v>0</v>
      </c>
      <c r="Q103">
        <v>0</v>
      </c>
      <c r="T103">
        <v>0</v>
      </c>
      <c r="U103">
        <v>21790.83</v>
      </c>
      <c r="W103">
        <v>0</v>
      </c>
      <c r="X103">
        <v>21790.83</v>
      </c>
      <c r="Y103">
        <v>11605.7</v>
      </c>
      <c r="Z103">
        <v>0</v>
      </c>
      <c r="AA103">
        <v>0</v>
      </c>
      <c r="AB103">
        <v>11605.7</v>
      </c>
      <c r="AC103">
        <v>15411.03</v>
      </c>
      <c r="AD103">
        <v>0</v>
      </c>
      <c r="AE103">
        <v>0</v>
      </c>
      <c r="AF103">
        <v>15411.03</v>
      </c>
      <c r="AG103">
        <v>15206.53</v>
      </c>
      <c r="AH103">
        <v>0</v>
      </c>
      <c r="AI103">
        <v>0</v>
      </c>
      <c r="AJ103">
        <v>15206.53</v>
      </c>
    </row>
    <row r="104" spans="2:36" x14ac:dyDescent="0.25">
      <c r="B104" t="s">
        <v>81</v>
      </c>
      <c r="C104" s="9" t="s">
        <v>77</v>
      </c>
      <c r="D104" s="14">
        <v>46204</v>
      </c>
      <c r="E104" s="2">
        <v>0</v>
      </c>
      <c r="H104">
        <v>0</v>
      </c>
      <c r="I104">
        <v>0</v>
      </c>
      <c r="L104">
        <v>0</v>
      </c>
      <c r="M104">
        <v>0</v>
      </c>
      <c r="P104">
        <v>0</v>
      </c>
      <c r="Q104">
        <v>0</v>
      </c>
      <c r="T104">
        <v>0</v>
      </c>
      <c r="U104">
        <v>21790.83</v>
      </c>
      <c r="W104">
        <v>0</v>
      </c>
      <c r="X104">
        <v>21790.83</v>
      </c>
      <c r="Y104">
        <v>11605.7</v>
      </c>
      <c r="Z104">
        <v>0</v>
      </c>
      <c r="AA104">
        <v>0</v>
      </c>
      <c r="AB104">
        <v>11605.7</v>
      </c>
      <c r="AC104">
        <v>15411.03</v>
      </c>
      <c r="AD104">
        <v>0</v>
      </c>
      <c r="AE104">
        <v>0</v>
      </c>
      <c r="AF104">
        <v>15411.03</v>
      </c>
      <c r="AG104">
        <v>15206.53</v>
      </c>
      <c r="AH104">
        <v>0</v>
      </c>
      <c r="AI104">
        <v>0</v>
      </c>
      <c r="AJ104">
        <v>15206.53</v>
      </c>
    </row>
    <row r="105" spans="2:36" x14ac:dyDescent="0.25">
      <c r="B105" t="s">
        <v>81</v>
      </c>
      <c r="C105" s="9" t="s">
        <v>78</v>
      </c>
      <c r="D105" s="14">
        <v>46235</v>
      </c>
      <c r="E105" s="2">
        <v>0</v>
      </c>
      <c r="H105">
        <v>0</v>
      </c>
      <c r="I105">
        <v>0</v>
      </c>
      <c r="L105">
        <v>0</v>
      </c>
      <c r="M105">
        <v>0</v>
      </c>
      <c r="P105">
        <v>0</v>
      </c>
      <c r="Q105">
        <v>0</v>
      </c>
      <c r="T105">
        <v>0</v>
      </c>
      <c r="U105">
        <v>21790.83</v>
      </c>
      <c r="W105">
        <v>0</v>
      </c>
      <c r="X105">
        <v>21790.83</v>
      </c>
      <c r="Y105">
        <v>11605.7</v>
      </c>
      <c r="Z105">
        <v>0</v>
      </c>
      <c r="AA105">
        <v>0</v>
      </c>
      <c r="AB105">
        <v>11605.7</v>
      </c>
      <c r="AC105">
        <v>15411.03</v>
      </c>
      <c r="AD105">
        <v>0</v>
      </c>
      <c r="AE105">
        <v>0</v>
      </c>
      <c r="AF105">
        <v>15411.03</v>
      </c>
      <c r="AG105">
        <v>15206.53</v>
      </c>
      <c r="AH105">
        <v>0</v>
      </c>
      <c r="AI105">
        <v>0</v>
      </c>
      <c r="AJ105">
        <v>15206.53</v>
      </c>
    </row>
    <row r="106" spans="2:36" x14ac:dyDescent="0.25">
      <c r="B106" t="s">
        <v>82</v>
      </c>
      <c r="C106" s="9" t="s">
        <v>55</v>
      </c>
      <c r="D106" s="14">
        <v>45536</v>
      </c>
      <c r="E106" s="2">
        <v>0</v>
      </c>
      <c r="H106">
        <v>0</v>
      </c>
      <c r="I106">
        <v>0</v>
      </c>
      <c r="L106">
        <v>0</v>
      </c>
      <c r="M106">
        <v>0</v>
      </c>
      <c r="P106">
        <v>0</v>
      </c>
      <c r="Q106">
        <v>304.7</v>
      </c>
      <c r="T106">
        <v>304.7</v>
      </c>
      <c r="U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304.7</v>
      </c>
      <c r="AH106">
        <v>0</v>
      </c>
      <c r="AI106">
        <v>0</v>
      </c>
      <c r="AJ106">
        <v>304.7</v>
      </c>
    </row>
    <row r="107" spans="2:36" x14ac:dyDescent="0.25">
      <c r="B107" t="s">
        <v>82</v>
      </c>
      <c r="C107" s="9" t="s">
        <v>56</v>
      </c>
      <c r="D107" s="14">
        <v>45566</v>
      </c>
      <c r="E107" s="2">
        <v>290.13</v>
      </c>
      <c r="H107">
        <v>290.13</v>
      </c>
      <c r="I107">
        <v>330</v>
      </c>
      <c r="L107">
        <v>330</v>
      </c>
      <c r="M107">
        <v>325.60000000000002</v>
      </c>
      <c r="P107">
        <v>325.60000000000002</v>
      </c>
      <c r="Q107">
        <v>299.67</v>
      </c>
      <c r="T107">
        <v>299.67</v>
      </c>
      <c r="U107">
        <v>290.13</v>
      </c>
      <c r="W107">
        <v>0</v>
      </c>
      <c r="X107">
        <v>290.13</v>
      </c>
      <c r="Y107">
        <v>330</v>
      </c>
      <c r="Z107">
        <v>0</v>
      </c>
      <c r="AA107">
        <v>0</v>
      </c>
      <c r="AB107">
        <v>330</v>
      </c>
      <c r="AC107">
        <v>325.60000000000002</v>
      </c>
      <c r="AD107">
        <v>0</v>
      </c>
      <c r="AE107">
        <v>0</v>
      </c>
      <c r="AF107">
        <v>325.60000000000002</v>
      </c>
      <c r="AG107">
        <v>604.37</v>
      </c>
      <c r="AH107">
        <v>0</v>
      </c>
      <c r="AI107">
        <v>0</v>
      </c>
      <c r="AJ107">
        <v>604.37</v>
      </c>
    </row>
    <row r="108" spans="2:36" x14ac:dyDescent="0.25">
      <c r="B108" t="s">
        <v>82</v>
      </c>
      <c r="C108" s="9" t="s">
        <v>57</v>
      </c>
      <c r="D108" s="14">
        <v>45597</v>
      </c>
      <c r="E108" s="2">
        <v>290.13</v>
      </c>
      <c r="H108">
        <v>290.13</v>
      </c>
      <c r="I108">
        <v>269.99</v>
      </c>
      <c r="L108">
        <v>269.99</v>
      </c>
      <c r="M108">
        <v>304.7</v>
      </c>
      <c r="P108">
        <v>304.7</v>
      </c>
      <c r="Q108">
        <v>264.29000000000002</v>
      </c>
      <c r="T108">
        <v>264.29000000000002</v>
      </c>
      <c r="U108">
        <v>580.26</v>
      </c>
      <c r="W108">
        <v>0</v>
      </c>
      <c r="X108">
        <v>580.26</v>
      </c>
      <c r="Y108">
        <v>599.99</v>
      </c>
      <c r="Z108">
        <v>0</v>
      </c>
      <c r="AA108">
        <v>0</v>
      </c>
      <c r="AB108">
        <v>599.99</v>
      </c>
      <c r="AC108">
        <v>630.29999999999995</v>
      </c>
      <c r="AD108">
        <v>0</v>
      </c>
      <c r="AE108">
        <v>0</v>
      </c>
      <c r="AF108">
        <v>630.29999999999995</v>
      </c>
      <c r="AG108">
        <v>868.66000000000008</v>
      </c>
      <c r="AH108">
        <v>0</v>
      </c>
      <c r="AI108">
        <v>0</v>
      </c>
      <c r="AJ108">
        <v>868.66000000000008</v>
      </c>
    </row>
    <row r="109" spans="2:36" x14ac:dyDescent="0.25">
      <c r="B109" t="s">
        <v>82</v>
      </c>
      <c r="C109" s="9" t="s">
        <v>58</v>
      </c>
      <c r="D109" s="14">
        <v>45627</v>
      </c>
      <c r="E109" s="2">
        <v>283.12</v>
      </c>
      <c r="H109">
        <v>283.12</v>
      </c>
      <c r="I109">
        <v>249.99</v>
      </c>
      <c r="L109">
        <v>249.99</v>
      </c>
      <c r="M109">
        <v>299.67</v>
      </c>
      <c r="P109">
        <v>299.67</v>
      </c>
      <c r="Q109">
        <v>287.75</v>
      </c>
      <c r="T109">
        <v>287.75</v>
      </c>
      <c r="U109">
        <v>863.38</v>
      </c>
      <c r="W109">
        <v>0</v>
      </c>
      <c r="X109">
        <v>863.38</v>
      </c>
      <c r="Y109">
        <v>849.98</v>
      </c>
      <c r="Z109">
        <v>0</v>
      </c>
      <c r="AA109">
        <v>0</v>
      </c>
      <c r="AB109">
        <v>849.98</v>
      </c>
      <c r="AC109">
        <v>929.97</v>
      </c>
      <c r="AD109">
        <v>0</v>
      </c>
      <c r="AE109">
        <v>0</v>
      </c>
      <c r="AF109">
        <v>929.97</v>
      </c>
      <c r="AG109">
        <v>1156.4100000000001</v>
      </c>
      <c r="AH109">
        <v>0</v>
      </c>
      <c r="AI109">
        <v>0</v>
      </c>
      <c r="AJ109">
        <v>1156.4100000000001</v>
      </c>
    </row>
    <row r="110" spans="2:36" x14ac:dyDescent="0.25">
      <c r="B110" t="s">
        <v>82</v>
      </c>
      <c r="C110" s="9" t="s">
        <v>59</v>
      </c>
      <c r="D110" s="14">
        <v>45658</v>
      </c>
      <c r="E110" s="2">
        <v>278.92</v>
      </c>
      <c r="H110">
        <v>278.92</v>
      </c>
      <c r="I110">
        <v>249.99</v>
      </c>
      <c r="L110">
        <v>249.99</v>
      </c>
      <c r="M110">
        <v>264.29000000000002</v>
      </c>
      <c r="P110">
        <v>264.29000000000002</v>
      </c>
      <c r="Q110">
        <v>326.08999999999997</v>
      </c>
      <c r="T110">
        <v>326.08999999999997</v>
      </c>
      <c r="U110">
        <v>1142.3</v>
      </c>
      <c r="W110">
        <v>0</v>
      </c>
      <c r="X110">
        <v>1142.3</v>
      </c>
      <c r="Y110">
        <v>1099.97</v>
      </c>
      <c r="Z110">
        <v>0</v>
      </c>
      <c r="AA110">
        <v>0</v>
      </c>
      <c r="AB110">
        <v>1099.97</v>
      </c>
      <c r="AC110">
        <v>1194.26</v>
      </c>
      <c r="AD110">
        <v>0</v>
      </c>
      <c r="AE110">
        <v>0</v>
      </c>
      <c r="AF110">
        <v>1194.26</v>
      </c>
      <c r="AG110">
        <v>1482.5</v>
      </c>
      <c r="AH110">
        <v>0</v>
      </c>
      <c r="AI110">
        <v>0</v>
      </c>
      <c r="AJ110">
        <v>1482.5</v>
      </c>
    </row>
    <row r="111" spans="2:36" x14ac:dyDescent="0.25">
      <c r="B111" t="s">
        <v>82</v>
      </c>
      <c r="C111" s="9" t="s">
        <v>60</v>
      </c>
      <c r="D111" s="14">
        <v>45689</v>
      </c>
      <c r="E111" s="2">
        <v>285.91000000000003</v>
      </c>
      <c r="H111">
        <v>285.91000000000003</v>
      </c>
      <c r="I111">
        <v>249.99</v>
      </c>
      <c r="L111">
        <v>249.99</v>
      </c>
      <c r="M111">
        <v>287.75</v>
      </c>
      <c r="P111">
        <v>287.75</v>
      </c>
      <c r="Q111">
        <v>307.58</v>
      </c>
      <c r="T111">
        <v>307.58</v>
      </c>
      <c r="U111">
        <v>1428.21</v>
      </c>
      <c r="W111">
        <v>0</v>
      </c>
      <c r="X111">
        <v>1428.21</v>
      </c>
      <c r="Y111">
        <v>1349.96</v>
      </c>
      <c r="Z111">
        <v>0</v>
      </c>
      <c r="AA111">
        <v>0</v>
      </c>
      <c r="AB111">
        <v>1349.96</v>
      </c>
      <c r="AC111">
        <v>1482.01</v>
      </c>
      <c r="AD111">
        <v>0</v>
      </c>
      <c r="AE111">
        <v>0</v>
      </c>
      <c r="AF111">
        <v>1482.01</v>
      </c>
      <c r="AG111">
        <v>1790.08</v>
      </c>
      <c r="AH111">
        <v>0</v>
      </c>
      <c r="AI111">
        <v>0</v>
      </c>
      <c r="AJ111">
        <v>1790.08</v>
      </c>
    </row>
    <row r="112" spans="2:36" x14ac:dyDescent="0.25">
      <c r="B112" t="s">
        <v>82</v>
      </c>
      <c r="C112" s="9" t="s">
        <v>61</v>
      </c>
      <c r="D112" s="14">
        <v>45717</v>
      </c>
      <c r="E112" s="2">
        <v>221.1</v>
      </c>
      <c r="H112">
        <v>221.1</v>
      </c>
      <c r="I112">
        <v>220.01</v>
      </c>
      <c r="L112">
        <v>220.01</v>
      </c>
      <c r="M112">
        <v>326.08999999999997</v>
      </c>
      <c r="P112">
        <v>326.08999999999997</v>
      </c>
      <c r="Q112">
        <v>327.19</v>
      </c>
      <c r="T112">
        <v>327.19</v>
      </c>
      <c r="U112">
        <v>1649.31</v>
      </c>
      <c r="W112">
        <v>0</v>
      </c>
      <c r="X112">
        <v>1649.31</v>
      </c>
      <c r="Y112">
        <v>1569.97</v>
      </c>
      <c r="Z112">
        <v>0</v>
      </c>
      <c r="AA112">
        <v>0</v>
      </c>
      <c r="AB112">
        <v>1569.97</v>
      </c>
      <c r="AC112">
        <v>1808.1</v>
      </c>
      <c r="AD112">
        <v>0</v>
      </c>
      <c r="AE112">
        <v>0</v>
      </c>
      <c r="AF112">
        <v>1808.1</v>
      </c>
      <c r="AG112">
        <v>2117.27</v>
      </c>
      <c r="AH112">
        <v>0</v>
      </c>
      <c r="AI112">
        <v>0</v>
      </c>
      <c r="AJ112">
        <v>2117.27</v>
      </c>
    </row>
    <row r="113" spans="2:36" x14ac:dyDescent="0.25">
      <c r="B113" t="s">
        <v>82</v>
      </c>
      <c r="C113" s="9" t="s">
        <v>62</v>
      </c>
      <c r="D113" s="14">
        <v>45748</v>
      </c>
      <c r="E113" s="2">
        <v>212.79</v>
      </c>
      <c r="H113">
        <v>212.79</v>
      </c>
      <c r="I113">
        <v>215</v>
      </c>
      <c r="L113">
        <v>215</v>
      </c>
      <c r="M113">
        <v>307.58</v>
      </c>
      <c r="P113">
        <v>307.58</v>
      </c>
      <c r="Q113">
        <v>238.9</v>
      </c>
      <c r="T113">
        <v>238.9</v>
      </c>
      <c r="U113">
        <v>1862.1</v>
      </c>
      <c r="W113">
        <v>0</v>
      </c>
      <c r="X113">
        <v>1862.1</v>
      </c>
      <c r="Y113">
        <v>1784.97</v>
      </c>
      <c r="Z113">
        <v>0</v>
      </c>
      <c r="AA113">
        <v>0</v>
      </c>
      <c r="AB113">
        <v>1784.97</v>
      </c>
      <c r="AC113">
        <v>2115.6799999999998</v>
      </c>
      <c r="AD113">
        <v>0</v>
      </c>
      <c r="AE113">
        <v>0</v>
      </c>
      <c r="AF113">
        <v>2115.6799999999998</v>
      </c>
      <c r="AG113">
        <v>2356.17</v>
      </c>
      <c r="AH113">
        <v>0</v>
      </c>
      <c r="AI113">
        <v>0</v>
      </c>
      <c r="AJ113">
        <v>2356.17</v>
      </c>
    </row>
    <row r="114" spans="2:36" x14ac:dyDescent="0.25">
      <c r="B114" t="s">
        <v>82</v>
      </c>
      <c r="C114" s="9" t="s">
        <v>63</v>
      </c>
      <c r="D114" s="14">
        <v>45778</v>
      </c>
      <c r="E114" s="2">
        <v>204.09</v>
      </c>
      <c r="H114">
        <v>204.09</v>
      </c>
      <c r="I114">
        <v>210.01</v>
      </c>
      <c r="L114">
        <v>210.01</v>
      </c>
      <c r="M114">
        <v>327.19</v>
      </c>
      <c r="P114">
        <v>327.19</v>
      </c>
      <c r="Q114">
        <v>275.48</v>
      </c>
      <c r="T114">
        <v>275.48</v>
      </c>
      <c r="U114">
        <v>2066.19</v>
      </c>
      <c r="W114">
        <v>0</v>
      </c>
      <c r="X114">
        <v>2066.19</v>
      </c>
      <c r="Y114">
        <v>1994.98</v>
      </c>
      <c r="Z114">
        <v>0</v>
      </c>
      <c r="AA114">
        <v>0</v>
      </c>
      <c r="AB114">
        <v>1994.98</v>
      </c>
      <c r="AC114">
        <v>2442.87</v>
      </c>
      <c r="AD114">
        <v>0</v>
      </c>
      <c r="AE114">
        <v>0</v>
      </c>
      <c r="AF114">
        <v>2442.87</v>
      </c>
      <c r="AG114">
        <v>2631.65</v>
      </c>
      <c r="AH114">
        <v>0</v>
      </c>
      <c r="AI114">
        <v>0</v>
      </c>
      <c r="AJ114">
        <v>2631.65</v>
      </c>
    </row>
    <row r="115" spans="2:36" x14ac:dyDescent="0.25">
      <c r="B115" t="s">
        <v>82</v>
      </c>
      <c r="C115" s="9" t="s">
        <v>64</v>
      </c>
      <c r="D115" s="14">
        <v>45809</v>
      </c>
      <c r="E115" s="2">
        <v>186</v>
      </c>
      <c r="H115">
        <v>186</v>
      </c>
      <c r="I115">
        <v>190.01</v>
      </c>
      <c r="L115">
        <v>190.01</v>
      </c>
      <c r="M115">
        <v>238.9</v>
      </c>
      <c r="P115">
        <v>238.9</v>
      </c>
      <c r="Q115">
        <v>103.17</v>
      </c>
      <c r="T115">
        <v>103.17</v>
      </c>
      <c r="U115">
        <v>2252.19</v>
      </c>
      <c r="W115">
        <v>0</v>
      </c>
      <c r="X115">
        <v>2252.19</v>
      </c>
      <c r="Y115">
        <v>2184.9899999999998</v>
      </c>
      <c r="Z115">
        <v>0</v>
      </c>
      <c r="AA115">
        <v>0</v>
      </c>
      <c r="AB115">
        <v>2184.9899999999998</v>
      </c>
      <c r="AC115">
        <v>2681.77</v>
      </c>
      <c r="AD115">
        <v>0</v>
      </c>
      <c r="AE115">
        <v>0</v>
      </c>
      <c r="AF115">
        <v>2681.77</v>
      </c>
      <c r="AG115">
        <v>2734.82</v>
      </c>
      <c r="AH115">
        <v>0</v>
      </c>
      <c r="AI115">
        <v>0</v>
      </c>
      <c r="AJ115">
        <v>2734.82</v>
      </c>
    </row>
    <row r="116" spans="2:36" x14ac:dyDescent="0.25">
      <c r="B116" t="s">
        <v>82</v>
      </c>
      <c r="C116" s="9" t="s">
        <v>65</v>
      </c>
      <c r="D116" s="14">
        <v>45839</v>
      </c>
      <c r="E116" s="2">
        <v>186</v>
      </c>
      <c r="H116">
        <v>186</v>
      </c>
      <c r="I116">
        <v>190.01</v>
      </c>
      <c r="L116">
        <v>190.01</v>
      </c>
      <c r="M116">
        <v>275.48</v>
      </c>
      <c r="P116">
        <v>275.48</v>
      </c>
      <c r="Q116">
        <v>107.66</v>
      </c>
      <c r="T116">
        <v>107.66</v>
      </c>
      <c r="U116">
        <v>2438.19</v>
      </c>
      <c r="W116">
        <v>0</v>
      </c>
      <c r="X116">
        <v>2438.19</v>
      </c>
      <c r="Y116">
        <v>2375</v>
      </c>
      <c r="Z116">
        <v>0</v>
      </c>
      <c r="AA116">
        <v>0</v>
      </c>
      <c r="AB116">
        <v>2375</v>
      </c>
      <c r="AC116">
        <v>2957.25</v>
      </c>
      <c r="AD116">
        <v>0</v>
      </c>
      <c r="AE116">
        <v>0</v>
      </c>
      <c r="AF116">
        <v>2957.25</v>
      </c>
      <c r="AG116">
        <v>2842.48</v>
      </c>
      <c r="AH116">
        <v>0</v>
      </c>
      <c r="AI116">
        <v>0</v>
      </c>
      <c r="AJ116">
        <v>2842.48</v>
      </c>
    </row>
    <row r="117" spans="2:36" x14ac:dyDescent="0.25">
      <c r="B117" t="s">
        <v>82</v>
      </c>
      <c r="C117" s="9" t="s">
        <v>66</v>
      </c>
      <c r="D117" s="14">
        <v>45870</v>
      </c>
      <c r="E117" s="2">
        <v>187.22</v>
      </c>
      <c r="H117">
        <v>187.22</v>
      </c>
      <c r="I117">
        <v>190.01</v>
      </c>
      <c r="L117">
        <v>190.01</v>
      </c>
      <c r="M117">
        <v>103.17</v>
      </c>
      <c r="P117">
        <v>103.17</v>
      </c>
      <c r="Q117">
        <v>82.8</v>
      </c>
      <c r="T117">
        <v>82.8</v>
      </c>
      <c r="U117">
        <v>2625.41</v>
      </c>
      <c r="W117">
        <v>0</v>
      </c>
      <c r="X117">
        <v>2625.41</v>
      </c>
      <c r="Y117">
        <v>2565.0100000000002</v>
      </c>
      <c r="Z117">
        <v>0</v>
      </c>
      <c r="AA117">
        <v>0</v>
      </c>
      <c r="AB117">
        <v>2565.0100000000002</v>
      </c>
      <c r="AC117">
        <v>3060.42</v>
      </c>
      <c r="AD117">
        <v>0</v>
      </c>
      <c r="AE117">
        <v>0</v>
      </c>
      <c r="AF117">
        <v>3060.42</v>
      </c>
      <c r="AG117">
        <v>2925.28</v>
      </c>
      <c r="AH117">
        <v>0</v>
      </c>
      <c r="AI117">
        <v>0</v>
      </c>
      <c r="AJ117">
        <v>2925.28</v>
      </c>
    </row>
    <row r="118" spans="2:36" x14ac:dyDescent="0.25">
      <c r="B118" t="s">
        <v>82</v>
      </c>
      <c r="C118" s="9" t="s">
        <v>67</v>
      </c>
      <c r="D118" s="14">
        <v>45901</v>
      </c>
      <c r="E118" s="2">
        <v>176.89</v>
      </c>
      <c r="H118">
        <v>176.89</v>
      </c>
      <c r="I118">
        <v>190.01</v>
      </c>
      <c r="L118">
        <v>190.01</v>
      </c>
      <c r="M118">
        <v>107.66</v>
      </c>
      <c r="P118">
        <v>107.66</v>
      </c>
      <c r="Q118">
        <v>124.99</v>
      </c>
      <c r="T118">
        <v>124.99</v>
      </c>
      <c r="U118">
        <v>2802.2999999999997</v>
      </c>
      <c r="W118">
        <v>0</v>
      </c>
      <c r="X118">
        <v>2802.2999999999997</v>
      </c>
      <c r="Y118">
        <v>2755.0200000000004</v>
      </c>
      <c r="Z118">
        <v>0</v>
      </c>
      <c r="AA118">
        <v>0</v>
      </c>
      <c r="AB118">
        <v>2755.0200000000004</v>
      </c>
      <c r="AC118">
        <v>3168.08</v>
      </c>
      <c r="AD118">
        <v>0</v>
      </c>
      <c r="AE118">
        <v>0</v>
      </c>
      <c r="AF118">
        <v>3168.08</v>
      </c>
      <c r="AG118">
        <v>3050.27</v>
      </c>
      <c r="AH118">
        <v>0</v>
      </c>
      <c r="AI118">
        <v>0</v>
      </c>
      <c r="AJ118">
        <v>3050.27</v>
      </c>
    </row>
    <row r="119" spans="2:36" x14ac:dyDescent="0.25">
      <c r="B119" t="s">
        <v>82</v>
      </c>
      <c r="C119" s="9" t="s">
        <v>68</v>
      </c>
      <c r="D119" s="14">
        <v>45931</v>
      </c>
      <c r="E119" s="2">
        <v>176.89</v>
      </c>
      <c r="H119">
        <v>176.89</v>
      </c>
      <c r="I119">
        <v>190.01</v>
      </c>
      <c r="L119">
        <v>190.01</v>
      </c>
      <c r="M119">
        <v>82.8</v>
      </c>
      <c r="P119">
        <v>82.8</v>
      </c>
      <c r="Q119">
        <v>88.92</v>
      </c>
      <c r="T119">
        <v>88.92</v>
      </c>
      <c r="U119">
        <v>2979.1899999999996</v>
      </c>
      <c r="W119">
        <v>0</v>
      </c>
      <c r="X119">
        <v>2979.1899999999996</v>
      </c>
      <c r="Y119">
        <v>2945.0300000000007</v>
      </c>
      <c r="Z119">
        <v>0</v>
      </c>
      <c r="AA119">
        <v>0</v>
      </c>
      <c r="AB119">
        <v>2945.0300000000007</v>
      </c>
      <c r="AC119">
        <v>3250.88</v>
      </c>
      <c r="AD119">
        <v>0</v>
      </c>
      <c r="AE119">
        <v>0</v>
      </c>
      <c r="AF119">
        <v>3250.88</v>
      </c>
      <c r="AG119">
        <v>3139.19</v>
      </c>
      <c r="AH119">
        <v>0</v>
      </c>
      <c r="AI119">
        <v>0</v>
      </c>
      <c r="AJ119">
        <v>3139.19</v>
      </c>
    </row>
    <row r="120" spans="2:36" x14ac:dyDescent="0.25">
      <c r="B120" t="s">
        <v>82</v>
      </c>
      <c r="C120" s="9" t="s">
        <v>69</v>
      </c>
      <c r="D120" s="14">
        <v>45962</v>
      </c>
      <c r="E120" s="2">
        <v>161.88999999999999</v>
      </c>
      <c r="H120">
        <v>161.88999999999999</v>
      </c>
      <c r="I120">
        <v>170.01</v>
      </c>
      <c r="L120">
        <v>170.01</v>
      </c>
      <c r="M120">
        <v>124.99</v>
      </c>
      <c r="P120">
        <v>124.99</v>
      </c>
      <c r="Q120">
        <v>59.28</v>
      </c>
      <c r="T120">
        <v>59.28</v>
      </c>
      <c r="U120">
        <v>3141.0799999999995</v>
      </c>
      <c r="W120">
        <v>0</v>
      </c>
      <c r="X120">
        <v>3141.0799999999995</v>
      </c>
      <c r="Y120">
        <v>3115.0400000000009</v>
      </c>
      <c r="Z120">
        <v>0</v>
      </c>
      <c r="AA120">
        <v>0</v>
      </c>
      <c r="AB120">
        <v>3115.0400000000009</v>
      </c>
      <c r="AC120">
        <v>3375.87</v>
      </c>
      <c r="AD120">
        <v>0</v>
      </c>
      <c r="AE120">
        <v>0</v>
      </c>
      <c r="AF120">
        <v>3375.87</v>
      </c>
      <c r="AG120">
        <v>3198.4700000000003</v>
      </c>
      <c r="AH120">
        <v>0</v>
      </c>
      <c r="AI120">
        <v>0</v>
      </c>
      <c r="AJ120">
        <v>3198.4700000000003</v>
      </c>
    </row>
    <row r="121" spans="2:36" x14ac:dyDescent="0.25">
      <c r="B121" t="s">
        <v>82</v>
      </c>
      <c r="C121" s="9" t="s">
        <v>70</v>
      </c>
      <c r="D121" s="14">
        <v>45992</v>
      </c>
      <c r="E121" s="2">
        <v>155.16</v>
      </c>
      <c r="H121">
        <v>155.16</v>
      </c>
      <c r="I121">
        <v>170.01</v>
      </c>
      <c r="L121">
        <v>170.01</v>
      </c>
      <c r="M121">
        <v>88.92</v>
      </c>
      <c r="P121">
        <v>88.92</v>
      </c>
      <c r="Q121">
        <v>0</v>
      </c>
      <c r="T121">
        <v>0</v>
      </c>
      <c r="U121">
        <v>3296.2399999999993</v>
      </c>
      <c r="W121">
        <v>0</v>
      </c>
      <c r="X121">
        <v>3296.2399999999993</v>
      </c>
      <c r="Y121">
        <v>3285.0500000000011</v>
      </c>
      <c r="Z121">
        <v>0</v>
      </c>
      <c r="AA121">
        <v>0</v>
      </c>
      <c r="AB121">
        <v>3285.0500000000011</v>
      </c>
      <c r="AC121">
        <v>3464.79</v>
      </c>
      <c r="AD121">
        <v>0</v>
      </c>
      <c r="AE121">
        <v>0</v>
      </c>
      <c r="AF121">
        <v>3464.79</v>
      </c>
      <c r="AG121">
        <v>3198.4700000000003</v>
      </c>
      <c r="AH121">
        <v>0</v>
      </c>
      <c r="AI121">
        <v>0</v>
      </c>
      <c r="AJ121">
        <v>3198.4700000000003</v>
      </c>
    </row>
    <row r="122" spans="2:36" x14ac:dyDescent="0.25">
      <c r="B122" t="s">
        <v>82</v>
      </c>
      <c r="C122" s="9" t="s">
        <v>71</v>
      </c>
      <c r="D122" s="14">
        <v>46023</v>
      </c>
      <c r="E122" s="2">
        <v>139.15</v>
      </c>
      <c r="H122">
        <v>139.15</v>
      </c>
      <c r="I122">
        <v>150.4</v>
      </c>
      <c r="L122">
        <v>150.4</v>
      </c>
      <c r="M122">
        <v>83.98</v>
      </c>
      <c r="P122">
        <v>83.98</v>
      </c>
      <c r="Q122">
        <v>0</v>
      </c>
      <c r="T122">
        <v>0</v>
      </c>
      <c r="U122">
        <v>3435.3899999999994</v>
      </c>
      <c r="W122">
        <v>0</v>
      </c>
      <c r="X122">
        <v>3435.3899999999994</v>
      </c>
      <c r="Y122">
        <v>3435.4500000000012</v>
      </c>
      <c r="Z122">
        <v>0</v>
      </c>
      <c r="AA122">
        <v>0</v>
      </c>
      <c r="AB122">
        <v>3435.4500000000012</v>
      </c>
      <c r="AC122">
        <v>3548.77</v>
      </c>
      <c r="AD122">
        <v>0</v>
      </c>
      <c r="AE122">
        <v>0</v>
      </c>
      <c r="AF122">
        <v>3548.77</v>
      </c>
      <c r="AG122">
        <v>3198.4700000000003</v>
      </c>
      <c r="AH122">
        <v>0</v>
      </c>
      <c r="AI122">
        <v>0</v>
      </c>
      <c r="AJ122">
        <v>3198.4700000000003</v>
      </c>
    </row>
    <row r="123" spans="2:36" x14ac:dyDescent="0.25">
      <c r="B123" t="s">
        <v>82</v>
      </c>
      <c r="C123" s="9" t="s">
        <v>72</v>
      </c>
      <c r="D123" s="14">
        <v>46054</v>
      </c>
      <c r="E123" s="2">
        <v>0</v>
      </c>
      <c r="H123">
        <v>0</v>
      </c>
      <c r="I123">
        <v>0</v>
      </c>
      <c r="L123">
        <v>0</v>
      </c>
      <c r="M123">
        <v>37.53</v>
      </c>
      <c r="P123">
        <v>37.53</v>
      </c>
      <c r="Q123">
        <v>0</v>
      </c>
      <c r="T123">
        <v>0</v>
      </c>
      <c r="U123">
        <v>3435.3899999999994</v>
      </c>
      <c r="W123">
        <v>0</v>
      </c>
      <c r="X123">
        <v>3435.3899999999994</v>
      </c>
      <c r="Y123">
        <v>3435.4500000000012</v>
      </c>
      <c r="Z123">
        <v>0</v>
      </c>
      <c r="AA123">
        <v>0</v>
      </c>
      <c r="AB123">
        <v>3435.4500000000012</v>
      </c>
      <c r="AC123">
        <v>3586.3</v>
      </c>
      <c r="AD123">
        <v>0</v>
      </c>
      <c r="AE123">
        <v>0</v>
      </c>
      <c r="AF123">
        <v>3586.3</v>
      </c>
      <c r="AG123">
        <v>3198.4700000000003</v>
      </c>
      <c r="AH123">
        <v>0</v>
      </c>
      <c r="AI123">
        <v>0</v>
      </c>
      <c r="AJ123">
        <v>3198.4700000000003</v>
      </c>
    </row>
    <row r="124" spans="2:36" x14ac:dyDescent="0.25">
      <c r="B124" t="s">
        <v>82</v>
      </c>
      <c r="C124" s="9" t="s">
        <v>73</v>
      </c>
      <c r="D124" s="14">
        <v>46082</v>
      </c>
      <c r="E124" s="2">
        <v>0</v>
      </c>
      <c r="H124">
        <v>0</v>
      </c>
      <c r="I124">
        <v>0</v>
      </c>
      <c r="L124">
        <v>0</v>
      </c>
      <c r="M124">
        <v>0</v>
      </c>
      <c r="P124">
        <v>0</v>
      </c>
      <c r="Q124">
        <v>0</v>
      </c>
      <c r="T124">
        <v>0</v>
      </c>
      <c r="U124">
        <v>3435.3899999999994</v>
      </c>
      <c r="W124">
        <v>0</v>
      </c>
      <c r="X124">
        <v>3435.3899999999994</v>
      </c>
      <c r="Y124">
        <v>3435.4500000000012</v>
      </c>
      <c r="Z124">
        <v>0</v>
      </c>
      <c r="AA124">
        <v>0</v>
      </c>
      <c r="AB124">
        <v>3435.4500000000012</v>
      </c>
      <c r="AC124">
        <v>3586.3</v>
      </c>
      <c r="AD124">
        <v>0</v>
      </c>
      <c r="AE124">
        <v>0</v>
      </c>
      <c r="AF124">
        <v>3586.3</v>
      </c>
      <c r="AG124">
        <v>3198.4700000000003</v>
      </c>
      <c r="AH124">
        <v>0</v>
      </c>
      <c r="AI124">
        <v>0</v>
      </c>
      <c r="AJ124">
        <v>3198.4700000000003</v>
      </c>
    </row>
    <row r="125" spans="2:36" x14ac:dyDescent="0.25">
      <c r="B125" t="s">
        <v>82</v>
      </c>
      <c r="C125" s="9" t="s">
        <v>74</v>
      </c>
      <c r="D125" s="14">
        <v>46113</v>
      </c>
      <c r="E125" s="2">
        <v>0</v>
      </c>
      <c r="H125">
        <v>0</v>
      </c>
      <c r="I125">
        <v>0</v>
      </c>
      <c r="L125">
        <v>0</v>
      </c>
      <c r="M125">
        <v>0</v>
      </c>
      <c r="P125">
        <v>0</v>
      </c>
      <c r="Q125">
        <v>0</v>
      </c>
      <c r="T125">
        <v>0</v>
      </c>
      <c r="U125">
        <v>3435.3899999999994</v>
      </c>
      <c r="W125">
        <v>0</v>
      </c>
      <c r="X125">
        <v>3435.3899999999994</v>
      </c>
      <c r="Y125">
        <v>3435.4500000000012</v>
      </c>
      <c r="Z125">
        <v>0</v>
      </c>
      <c r="AA125">
        <v>0</v>
      </c>
      <c r="AB125">
        <v>3435.4500000000012</v>
      </c>
      <c r="AC125">
        <v>3586.3</v>
      </c>
      <c r="AD125">
        <v>0</v>
      </c>
      <c r="AE125">
        <v>0</v>
      </c>
      <c r="AF125">
        <v>3586.3</v>
      </c>
      <c r="AG125">
        <v>3198.4700000000003</v>
      </c>
      <c r="AH125">
        <v>0</v>
      </c>
      <c r="AI125">
        <v>0</v>
      </c>
      <c r="AJ125">
        <v>3198.4700000000003</v>
      </c>
    </row>
    <row r="126" spans="2:36" x14ac:dyDescent="0.25">
      <c r="B126" t="s">
        <v>82</v>
      </c>
      <c r="C126" s="9" t="s">
        <v>75</v>
      </c>
      <c r="D126" s="14">
        <v>46143</v>
      </c>
      <c r="E126" s="2">
        <v>0</v>
      </c>
      <c r="H126">
        <v>0</v>
      </c>
      <c r="I126">
        <v>0</v>
      </c>
      <c r="L126">
        <v>0</v>
      </c>
      <c r="M126">
        <v>0</v>
      </c>
      <c r="P126">
        <v>0</v>
      </c>
      <c r="Q126">
        <v>0</v>
      </c>
      <c r="T126">
        <v>0</v>
      </c>
      <c r="U126">
        <v>3435.3899999999994</v>
      </c>
      <c r="W126">
        <v>0</v>
      </c>
      <c r="X126">
        <v>3435.3899999999994</v>
      </c>
      <c r="Y126">
        <v>3435.4500000000012</v>
      </c>
      <c r="Z126">
        <v>0</v>
      </c>
      <c r="AA126">
        <v>0</v>
      </c>
      <c r="AB126">
        <v>3435.4500000000012</v>
      </c>
      <c r="AC126">
        <v>3586.3</v>
      </c>
      <c r="AD126">
        <v>0</v>
      </c>
      <c r="AE126">
        <v>0</v>
      </c>
      <c r="AF126">
        <v>3586.3</v>
      </c>
      <c r="AG126">
        <v>3198.4700000000003</v>
      </c>
      <c r="AH126">
        <v>0</v>
      </c>
      <c r="AI126">
        <v>0</v>
      </c>
      <c r="AJ126">
        <v>3198.4700000000003</v>
      </c>
    </row>
    <row r="127" spans="2:36" x14ac:dyDescent="0.25">
      <c r="B127" t="s">
        <v>82</v>
      </c>
      <c r="C127" s="9" t="s">
        <v>76</v>
      </c>
      <c r="D127" s="14">
        <v>46174</v>
      </c>
      <c r="E127" s="2">
        <v>0</v>
      </c>
      <c r="H127">
        <v>0</v>
      </c>
      <c r="I127">
        <v>0</v>
      </c>
      <c r="L127">
        <v>0</v>
      </c>
      <c r="M127">
        <v>0</v>
      </c>
      <c r="P127">
        <v>0</v>
      </c>
      <c r="Q127">
        <v>0</v>
      </c>
      <c r="T127">
        <v>0</v>
      </c>
      <c r="U127">
        <v>3435.3899999999994</v>
      </c>
      <c r="W127">
        <v>0</v>
      </c>
      <c r="X127">
        <v>3435.3899999999994</v>
      </c>
      <c r="Y127">
        <v>3435.4500000000012</v>
      </c>
      <c r="Z127">
        <v>0</v>
      </c>
      <c r="AA127">
        <v>0</v>
      </c>
      <c r="AB127">
        <v>3435.4500000000012</v>
      </c>
      <c r="AC127">
        <v>3586.3</v>
      </c>
      <c r="AD127">
        <v>0</v>
      </c>
      <c r="AE127">
        <v>0</v>
      </c>
      <c r="AF127">
        <v>3586.3</v>
      </c>
      <c r="AG127">
        <v>3198.4700000000003</v>
      </c>
      <c r="AH127">
        <v>0</v>
      </c>
      <c r="AI127">
        <v>0</v>
      </c>
      <c r="AJ127">
        <v>3198.4700000000003</v>
      </c>
    </row>
    <row r="128" spans="2:36" x14ac:dyDescent="0.25">
      <c r="B128" t="s">
        <v>82</v>
      </c>
      <c r="C128" s="9" t="s">
        <v>77</v>
      </c>
      <c r="D128" s="14">
        <v>46204</v>
      </c>
      <c r="E128" s="2">
        <v>0</v>
      </c>
      <c r="H128">
        <v>0</v>
      </c>
      <c r="I128">
        <v>0</v>
      </c>
      <c r="L128">
        <v>0</v>
      </c>
      <c r="M128">
        <v>0</v>
      </c>
      <c r="P128">
        <v>0</v>
      </c>
      <c r="Q128">
        <v>0</v>
      </c>
      <c r="T128">
        <v>0</v>
      </c>
      <c r="U128">
        <v>3435.3899999999994</v>
      </c>
      <c r="W128">
        <v>0</v>
      </c>
      <c r="X128">
        <v>3435.3899999999994</v>
      </c>
      <c r="Y128">
        <v>3435.4500000000012</v>
      </c>
      <c r="Z128">
        <v>0</v>
      </c>
      <c r="AA128">
        <v>0</v>
      </c>
      <c r="AB128">
        <v>3435.4500000000012</v>
      </c>
      <c r="AC128">
        <v>3586.3</v>
      </c>
      <c r="AD128">
        <v>0</v>
      </c>
      <c r="AE128">
        <v>0</v>
      </c>
      <c r="AF128">
        <v>3586.3</v>
      </c>
      <c r="AG128">
        <v>3198.4700000000003</v>
      </c>
      <c r="AH128">
        <v>0</v>
      </c>
      <c r="AI128">
        <v>0</v>
      </c>
      <c r="AJ128">
        <v>3198.4700000000003</v>
      </c>
    </row>
    <row r="129" spans="2:36" x14ac:dyDescent="0.25">
      <c r="B129" t="s">
        <v>82</v>
      </c>
      <c r="C129" s="9" t="s">
        <v>78</v>
      </c>
      <c r="D129" s="14">
        <v>46235</v>
      </c>
      <c r="E129" s="2">
        <v>0</v>
      </c>
      <c r="H129">
        <v>0</v>
      </c>
      <c r="I129">
        <v>0</v>
      </c>
      <c r="L129">
        <v>0</v>
      </c>
      <c r="M129">
        <v>0</v>
      </c>
      <c r="P129">
        <v>0</v>
      </c>
      <c r="Q129">
        <v>0</v>
      </c>
      <c r="T129">
        <v>0</v>
      </c>
      <c r="U129">
        <v>3435.3899999999994</v>
      </c>
      <c r="W129">
        <v>0</v>
      </c>
      <c r="X129">
        <v>3435.3899999999994</v>
      </c>
      <c r="Y129">
        <v>3435.4500000000012</v>
      </c>
      <c r="Z129">
        <v>0</v>
      </c>
      <c r="AA129">
        <v>0</v>
      </c>
      <c r="AB129">
        <v>3435.4500000000012</v>
      </c>
      <c r="AC129">
        <v>3586.3</v>
      </c>
      <c r="AD129">
        <v>0</v>
      </c>
      <c r="AE129">
        <v>0</v>
      </c>
      <c r="AF129">
        <v>3586.3</v>
      </c>
      <c r="AG129">
        <v>3198.4700000000003</v>
      </c>
      <c r="AH129">
        <v>0</v>
      </c>
      <c r="AI129">
        <v>0</v>
      </c>
      <c r="AJ129">
        <v>3198.4700000000003</v>
      </c>
    </row>
    <row r="130" spans="2:36" x14ac:dyDescent="0.25">
      <c r="B130" t="s">
        <v>83</v>
      </c>
      <c r="C130" s="9" t="s">
        <v>88</v>
      </c>
      <c r="D130" s="10"/>
      <c r="E130" s="2">
        <v>0</v>
      </c>
      <c r="H130">
        <v>0</v>
      </c>
      <c r="I130">
        <v>0</v>
      </c>
      <c r="M130">
        <v>0</v>
      </c>
      <c r="P130">
        <v>0</v>
      </c>
      <c r="Q130">
        <v>0</v>
      </c>
      <c r="T130">
        <v>0</v>
      </c>
      <c r="U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 x14ac:dyDescent="0.25">
      <c r="B131" t="s">
        <v>83</v>
      </c>
      <c r="C131" s="9" t="s">
        <v>88</v>
      </c>
      <c r="D131" s="10"/>
      <c r="E131" s="2">
        <v>0</v>
      </c>
      <c r="H131">
        <v>0</v>
      </c>
      <c r="I131">
        <v>0</v>
      </c>
      <c r="M131">
        <v>0</v>
      </c>
      <c r="P131">
        <v>0</v>
      </c>
      <c r="Q131">
        <v>0</v>
      </c>
      <c r="T131">
        <v>0</v>
      </c>
      <c r="U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2:36" x14ac:dyDescent="0.25">
      <c r="B132" t="s">
        <v>83</v>
      </c>
      <c r="C132" s="9" t="s">
        <v>88</v>
      </c>
      <c r="D132" s="10"/>
      <c r="E132" s="2">
        <v>0</v>
      </c>
      <c r="H132">
        <v>0</v>
      </c>
      <c r="I132">
        <v>0</v>
      </c>
      <c r="M132">
        <v>0</v>
      </c>
      <c r="P132">
        <v>0</v>
      </c>
      <c r="Q132">
        <v>0</v>
      </c>
      <c r="T132">
        <v>0</v>
      </c>
      <c r="U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x14ac:dyDescent="0.25">
      <c r="B133" t="s">
        <v>83</v>
      </c>
      <c r="C133" s="9" t="s">
        <v>88</v>
      </c>
      <c r="D133" s="10"/>
      <c r="E133" s="2">
        <v>0</v>
      </c>
      <c r="H133">
        <v>0</v>
      </c>
      <c r="I133">
        <v>0</v>
      </c>
      <c r="M133">
        <v>0</v>
      </c>
      <c r="P133">
        <v>0</v>
      </c>
      <c r="Q133">
        <v>0</v>
      </c>
      <c r="T133">
        <v>0</v>
      </c>
      <c r="U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 x14ac:dyDescent="0.25">
      <c r="B134" t="s">
        <v>83</v>
      </c>
      <c r="C134" s="9" t="s">
        <v>88</v>
      </c>
      <c r="D134" s="10"/>
      <c r="E134" s="2">
        <v>0</v>
      </c>
      <c r="H134">
        <v>0</v>
      </c>
      <c r="I134">
        <v>0</v>
      </c>
      <c r="M134">
        <v>0</v>
      </c>
      <c r="P134">
        <v>0</v>
      </c>
      <c r="Q134">
        <v>0</v>
      </c>
      <c r="T134">
        <v>0</v>
      </c>
      <c r="U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2:36" x14ac:dyDescent="0.25">
      <c r="B135" t="s">
        <v>83</v>
      </c>
      <c r="C135" s="9" t="s">
        <v>88</v>
      </c>
      <c r="D135" s="10"/>
      <c r="E135" s="2">
        <v>0</v>
      </c>
      <c r="H135">
        <v>0</v>
      </c>
      <c r="I135">
        <v>0</v>
      </c>
      <c r="M135">
        <v>0</v>
      </c>
      <c r="P135">
        <v>0</v>
      </c>
      <c r="Q135">
        <v>0</v>
      </c>
      <c r="T135">
        <v>0</v>
      </c>
      <c r="U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2:36" x14ac:dyDescent="0.25">
      <c r="B136" t="s">
        <v>83</v>
      </c>
      <c r="C136" s="9" t="s">
        <v>88</v>
      </c>
      <c r="D136" s="10"/>
      <c r="E136" s="2">
        <v>0</v>
      </c>
      <c r="H136">
        <v>0</v>
      </c>
      <c r="I136">
        <v>0</v>
      </c>
      <c r="M136">
        <v>0</v>
      </c>
      <c r="P136">
        <v>0</v>
      </c>
      <c r="Q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2:36" x14ac:dyDescent="0.25">
      <c r="B137" t="s">
        <v>83</v>
      </c>
      <c r="C137" s="9" t="s">
        <v>88</v>
      </c>
      <c r="D137" s="10"/>
      <c r="E137" s="2">
        <v>0</v>
      </c>
      <c r="H137">
        <v>0</v>
      </c>
      <c r="I137">
        <v>0</v>
      </c>
      <c r="M137">
        <v>0</v>
      </c>
      <c r="P137">
        <v>0</v>
      </c>
      <c r="Q137">
        <v>0</v>
      </c>
      <c r="T137">
        <v>0</v>
      </c>
      <c r="U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2:36" x14ac:dyDescent="0.25">
      <c r="B138" t="s">
        <v>83</v>
      </c>
      <c r="C138" t="s">
        <v>88</v>
      </c>
      <c r="E138">
        <v>0</v>
      </c>
      <c r="H138">
        <v>0</v>
      </c>
      <c r="I138">
        <v>0</v>
      </c>
      <c r="M138">
        <v>0</v>
      </c>
      <c r="P138">
        <v>0</v>
      </c>
      <c r="Q138">
        <v>0</v>
      </c>
      <c r="T138">
        <v>0</v>
      </c>
      <c r="U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2:36" x14ac:dyDescent="0.25">
      <c r="B139" t="s">
        <v>83</v>
      </c>
      <c r="C139" t="s">
        <v>88</v>
      </c>
      <c r="E139">
        <v>0</v>
      </c>
      <c r="H139">
        <v>0</v>
      </c>
      <c r="I139">
        <v>0</v>
      </c>
      <c r="M139">
        <v>0</v>
      </c>
      <c r="P139">
        <v>0</v>
      </c>
      <c r="Q139">
        <v>0</v>
      </c>
      <c r="T139">
        <v>0</v>
      </c>
      <c r="U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2:36" x14ac:dyDescent="0.25">
      <c r="B140" t="s">
        <v>83</v>
      </c>
      <c r="C140" t="s">
        <v>88</v>
      </c>
      <c r="E140">
        <v>0</v>
      </c>
      <c r="H140">
        <v>0</v>
      </c>
      <c r="I140">
        <v>0</v>
      </c>
      <c r="M140">
        <v>0</v>
      </c>
      <c r="P140">
        <v>0</v>
      </c>
      <c r="Q140">
        <v>0</v>
      </c>
      <c r="T140">
        <v>0</v>
      </c>
      <c r="U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2:36" x14ac:dyDescent="0.25">
      <c r="B141" t="s">
        <v>83</v>
      </c>
      <c r="C141" t="s">
        <v>88</v>
      </c>
      <c r="E141">
        <v>0</v>
      </c>
      <c r="H141">
        <v>0</v>
      </c>
      <c r="I141">
        <v>0</v>
      </c>
      <c r="M141">
        <v>0</v>
      </c>
      <c r="P141">
        <v>0</v>
      </c>
      <c r="Q141">
        <v>0</v>
      </c>
      <c r="T141">
        <v>0</v>
      </c>
      <c r="U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2:36" x14ac:dyDescent="0.25">
      <c r="B142" t="s">
        <v>83</v>
      </c>
      <c r="C142" t="s">
        <v>88</v>
      </c>
      <c r="E142">
        <v>0</v>
      </c>
      <c r="H142">
        <v>0</v>
      </c>
      <c r="I142">
        <v>0</v>
      </c>
      <c r="M142">
        <v>0</v>
      </c>
      <c r="P142">
        <v>0</v>
      </c>
      <c r="Q142">
        <v>0</v>
      </c>
      <c r="T142">
        <v>0</v>
      </c>
      <c r="U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2:36" x14ac:dyDescent="0.25">
      <c r="B143" t="s">
        <v>83</v>
      </c>
      <c r="C143" t="s">
        <v>88</v>
      </c>
      <c r="E143">
        <v>0</v>
      </c>
      <c r="H143">
        <v>0</v>
      </c>
      <c r="I143">
        <v>0</v>
      </c>
      <c r="M143">
        <v>0</v>
      </c>
      <c r="P143">
        <v>0</v>
      </c>
      <c r="Q143">
        <v>0</v>
      </c>
      <c r="T143">
        <v>0</v>
      </c>
      <c r="U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2:36" x14ac:dyDescent="0.25">
      <c r="B144" t="s">
        <v>83</v>
      </c>
      <c r="C144" t="s">
        <v>88</v>
      </c>
      <c r="E144">
        <v>0</v>
      </c>
      <c r="H144">
        <v>0</v>
      </c>
      <c r="I144">
        <v>0</v>
      </c>
      <c r="M144">
        <v>0</v>
      </c>
      <c r="P144">
        <v>0</v>
      </c>
      <c r="Q144">
        <v>0</v>
      </c>
      <c r="T144">
        <v>0</v>
      </c>
      <c r="U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2:36" x14ac:dyDescent="0.25">
      <c r="B145" t="s">
        <v>83</v>
      </c>
      <c r="C145" t="s">
        <v>88</v>
      </c>
      <c r="E145">
        <v>0</v>
      </c>
      <c r="H145">
        <v>0</v>
      </c>
      <c r="I145">
        <v>0</v>
      </c>
      <c r="M145">
        <v>0</v>
      </c>
      <c r="P145">
        <v>0</v>
      </c>
      <c r="Q145">
        <v>0</v>
      </c>
      <c r="T145">
        <v>0</v>
      </c>
      <c r="U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2:36" x14ac:dyDescent="0.25">
      <c r="B146" t="s">
        <v>83</v>
      </c>
      <c r="C146" t="s">
        <v>88</v>
      </c>
      <c r="E146">
        <v>0</v>
      </c>
      <c r="H146">
        <v>0</v>
      </c>
      <c r="I146">
        <v>0</v>
      </c>
      <c r="M146">
        <v>0</v>
      </c>
      <c r="P146">
        <v>0</v>
      </c>
      <c r="Q146">
        <v>0</v>
      </c>
      <c r="T146">
        <v>0</v>
      </c>
      <c r="U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2:36" x14ac:dyDescent="0.25">
      <c r="B147" t="s">
        <v>83</v>
      </c>
      <c r="C147" t="s">
        <v>88</v>
      </c>
      <c r="E147">
        <v>0</v>
      </c>
      <c r="H147">
        <v>0</v>
      </c>
      <c r="I147">
        <v>0</v>
      </c>
      <c r="M147">
        <v>0</v>
      </c>
      <c r="P147">
        <v>0</v>
      </c>
      <c r="Q147">
        <v>0</v>
      </c>
      <c r="T147">
        <v>0</v>
      </c>
      <c r="U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2:36" x14ac:dyDescent="0.25">
      <c r="B148" t="s">
        <v>83</v>
      </c>
      <c r="C148" t="s">
        <v>88</v>
      </c>
      <c r="E148">
        <v>0</v>
      </c>
      <c r="H148">
        <v>0</v>
      </c>
      <c r="I148">
        <v>0</v>
      </c>
      <c r="M148">
        <v>0</v>
      </c>
      <c r="P148">
        <v>0</v>
      </c>
      <c r="Q148">
        <v>0</v>
      </c>
      <c r="T148">
        <v>0</v>
      </c>
      <c r="U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2:36" x14ac:dyDescent="0.25">
      <c r="B149" t="s">
        <v>83</v>
      </c>
      <c r="C149" t="s">
        <v>88</v>
      </c>
      <c r="E149">
        <v>0</v>
      </c>
      <c r="H149">
        <v>0</v>
      </c>
      <c r="I149">
        <v>0</v>
      </c>
      <c r="M149">
        <v>0</v>
      </c>
      <c r="P149">
        <v>0</v>
      </c>
      <c r="Q149">
        <v>0</v>
      </c>
      <c r="T149">
        <v>0</v>
      </c>
      <c r="U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2:36" x14ac:dyDescent="0.25">
      <c r="B150" t="s">
        <v>83</v>
      </c>
      <c r="C150" t="s">
        <v>88</v>
      </c>
      <c r="E150">
        <v>0</v>
      </c>
      <c r="H150">
        <v>0</v>
      </c>
      <c r="I150">
        <v>0</v>
      </c>
      <c r="M150">
        <v>0</v>
      </c>
      <c r="P150">
        <v>0</v>
      </c>
      <c r="Q150">
        <v>0</v>
      </c>
      <c r="T150">
        <v>0</v>
      </c>
      <c r="U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2:36" x14ac:dyDescent="0.25">
      <c r="B151" t="s">
        <v>83</v>
      </c>
      <c r="C151" t="s">
        <v>88</v>
      </c>
      <c r="E151">
        <v>0</v>
      </c>
      <c r="H151">
        <v>0</v>
      </c>
      <c r="I151">
        <v>0</v>
      </c>
      <c r="M151">
        <v>0</v>
      </c>
      <c r="P151">
        <v>0</v>
      </c>
      <c r="Q151">
        <v>0</v>
      </c>
      <c r="T151">
        <v>0</v>
      </c>
      <c r="U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2:36" x14ac:dyDescent="0.25">
      <c r="B152" t="s">
        <v>83</v>
      </c>
      <c r="C152" t="s">
        <v>88</v>
      </c>
      <c r="E152">
        <v>0</v>
      </c>
      <c r="H152">
        <v>0</v>
      </c>
      <c r="I152">
        <v>0</v>
      </c>
      <c r="M152">
        <v>0</v>
      </c>
      <c r="P152">
        <v>0</v>
      </c>
      <c r="Q152">
        <v>0</v>
      </c>
      <c r="T152">
        <v>0</v>
      </c>
      <c r="U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2:36" x14ac:dyDescent="0.25">
      <c r="B153" t="s">
        <v>83</v>
      </c>
      <c r="C153" t="s">
        <v>88</v>
      </c>
      <c r="E153">
        <v>0</v>
      </c>
      <c r="H153">
        <v>0</v>
      </c>
      <c r="I153">
        <v>0</v>
      </c>
      <c r="M153">
        <v>0</v>
      </c>
      <c r="P153">
        <v>0</v>
      </c>
      <c r="Q153">
        <v>0</v>
      </c>
      <c r="T153">
        <v>0</v>
      </c>
      <c r="U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2:36" x14ac:dyDescent="0.25">
      <c r="B154" t="s">
        <v>84</v>
      </c>
      <c r="C154" t="s">
        <v>88</v>
      </c>
      <c r="E154">
        <v>0</v>
      </c>
      <c r="H154">
        <v>0</v>
      </c>
      <c r="I154">
        <v>0</v>
      </c>
      <c r="M154">
        <v>0</v>
      </c>
      <c r="P154">
        <v>0</v>
      </c>
      <c r="Q154">
        <v>0</v>
      </c>
      <c r="T154">
        <v>0</v>
      </c>
      <c r="U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2:36" x14ac:dyDescent="0.25">
      <c r="B155" t="s">
        <v>84</v>
      </c>
      <c r="C155" t="s">
        <v>88</v>
      </c>
      <c r="E155">
        <v>0</v>
      </c>
      <c r="H155">
        <v>0</v>
      </c>
      <c r="I155">
        <v>0</v>
      </c>
      <c r="M155">
        <v>0</v>
      </c>
      <c r="P155">
        <v>0</v>
      </c>
      <c r="Q155">
        <v>0</v>
      </c>
      <c r="T155">
        <v>0</v>
      </c>
      <c r="U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2:36" x14ac:dyDescent="0.25">
      <c r="B156" t="s">
        <v>84</v>
      </c>
      <c r="C156" t="s">
        <v>88</v>
      </c>
      <c r="E156">
        <v>0</v>
      </c>
      <c r="H156">
        <v>0</v>
      </c>
      <c r="I156">
        <v>0</v>
      </c>
      <c r="M156">
        <v>0</v>
      </c>
      <c r="P156">
        <v>0</v>
      </c>
      <c r="Q156">
        <v>0</v>
      </c>
      <c r="T156">
        <v>0</v>
      </c>
      <c r="U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2:36" x14ac:dyDescent="0.25">
      <c r="B157" t="s">
        <v>84</v>
      </c>
      <c r="C157" t="s">
        <v>88</v>
      </c>
      <c r="E157">
        <v>0</v>
      </c>
      <c r="H157">
        <v>0</v>
      </c>
      <c r="I157">
        <v>0</v>
      </c>
      <c r="M157">
        <v>0</v>
      </c>
      <c r="P157">
        <v>0</v>
      </c>
      <c r="Q157">
        <v>0</v>
      </c>
      <c r="T157">
        <v>0</v>
      </c>
      <c r="U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2:36" x14ac:dyDescent="0.25">
      <c r="B158" t="s">
        <v>84</v>
      </c>
      <c r="C158" t="s">
        <v>88</v>
      </c>
      <c r="E158">
        <v>0</v>
      </c>
      <c r="H158">
        <v>0</v>
      </c>
      <c r="I158">
        <v>0</v>
      </c>
      <c r="M158">
        <v>0</v>
      </c>
      <c r="P158">
        <v>0</v>
      </c>
      <c r="Q158">
        <v>0</v>
      </c>
      <c r="T158">
        <v>0</v>
      </c>
      <c r="U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2:36" x14ac:dyDescent="0.25">
      <c r="B159" t="s">
        <v>84</v>
      </c>
      <c r="C159" t="s">
        <v>88</v>
      </c>
      <c r="E159">
        <v>0</v>
      </c>
      <c r="H159">
        <v>0</v>
      </c>
      <c r="I159">
        <v>0</v>
      </c>
      <c r="M159">
        <v>0</v>
      </c>
      <c r="P159">
        <v>0</v>
      </c>
      <c r="Q159">
        <v>0</v>
      </c>
      <c r="T159">
        <v>0</v>
      </c>
      <c r="U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2:36" x14ac:dyDescent="0.25">
      <c r="B160" t="s">
        <v>84</v>
      </c>
      <c r="C160" t="s">
        <v>88</v>
      </c>
      <c r="E160">
        <v>0</v>
      </c>
      <c r="H160">
        <v>0</v>
      </c>
      <c r="I160">
        <v>0</v>
      </c>
      <c r="M160">
        <v>0</v>
      </c>
      <c r="P160">
        <v>0</v>
      </c>
      <c r="Q160">
        <v>0</v>
      </c>
      <c r="T160">
        <v>0</v>
      </c>
      <c r="U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2:36" x14ac:dyDescent="0.25">
      <c r="B161" t="s">
        <v>84</v>
      </c>
      <c r="C161" t="s">
        <v>88</v>
      </c>
      <c r="E161">
        <v>0</v>
      </c>
      <c r="H161">
        <v>0</v>
      </c>
      <c r="I161">
        <v>0</v>
      </c>
      <c r="M161">
        <v>0</v>
      </c>
      <c r="P161">
        <v>0</v>
      </c>
      <c r="Q161">
        <v>0</v>
      </c>
      <c r="T161">
        <v>0</v>
      </c>
      <c r="U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2:36" x14ac:dyDescent="0.25">
      <c r="B162" t="s">
        <v>84</v>
      </c>
      <c r="C162" t="s">
        <v>88</v>
      </c>
      <c r="E162">
        <v>0</v>
      </c>
      <c r="H162">
        <v>0</v>
      </c>
      <c r="I162">
        <v>0</v>
      </c>
      <c r="M162">
        <v>0</v>
      </c>
      <c r="P162">
        <v>0</v>
      </c>
      <c r="Q162">
        <v>0</v>
      </c>
      <c r="T162">
        <v>0</v>
      </c>
      <c r="U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2:36" x14ac:dyDescent="0.25">
      <c r="B163" t="s">
        <v>84</v>
      </c>
      <c r="C163" t="s">
        <v>88</v>
      </c>
      <c r="E163">
        <v>0</v>
      </c>
      <c r="H163">
        <v>0</v>
      </c>
      <c r="I163">
        <v>0</v>
      </c>
      <c r="M163">
        <v>0</v>
      </c>
      <c r="P163">
        <v>0</v>
      </c>
      <c r="Q163">
        <v>0</v>
      </c>
      <c r="T163">
        <v>0</v>
      </c>
      <c r="U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2:36" x14ac:dyDescent="0.25">
      <c r="B164" t="s">
        <v>84</v>
      </c>
      <c r="C164" t="s">
        <v>88</v>
      </c>
      <c r="E164">
        <v>0</v>
      </c>
      <c r="H164">
        <v>0</v>
      </c>
      <c r="I164">
        <v>0</v>
      </c>
      <c r="M164">
        <v>0</v>
      </c>
      <c r="P164">
        <v>0</v>
      </c>
      <c r="Q164">
        <v>0</v>
      </c>
      <c r="T164">
        <v>0</v>
      </c>
      <c r="U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2:36" x14ac:dyDescent="0.25">
      <c r="B165" t="s">
        <v>84</v>
      </c>
      <c r="C165" t="s">
        <v>88</v>
      </c>
      <c r="E165">
        <v>0</v>
      </c>
      <c r="H165">
        <v>0</v>
      </c>
      <c r="I165">
        <v>0</v>
      </c>
      <c r="M165">
        <v>0</v>
      </c>
      <c r="P165">
        <v>0</v>
      </c>
      <c r="Q165">
        <v>0</v>
      </c>
      <c r="T165">
        <v>0</v>
      </c>
      <c r="U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2:36" x14ac:dyDescent="0.25">
      <c r="B166" t="s">
        <v>84</v>
      </c>
      <c r="C166" t="s">
        <v>88</v>
      </c>
      <c r="E166">
        <v>0</v>
      </c>
      <c r="H166">
        <v>0</v>
      </c>
      <c r="I166">
        <v>0</v>
      </c>
      <c r="M166">
        <v>0</v>
      </c>
      <c r="P166">
        <v>0</v>
      </c>
      <c r="Q166">
        <v>0</v>
      </c>
      <c r="T166">
        <v>0</v>
      </c>
      <c r="U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2:36" x14ac:dyDescent="0.25">
      <c r="B167" t="s">
        <v>84</v>
      </c>
      <c r="C167" t="s">
        <v>88</v>
      </c>
      <c r="E167">
        <v>0</v>
      </c>
      <c r="H167">
        <v>0</v>
      </c>
      <c r="I167">
        <v>0</v>
      </c>
      <c r="M167">
        <v>0</v>
      </c>
      <c r="P167">
        <v>0</v>
      </c>
      <c r="Q167">
        <v>0</v>
      </c>
      <c r="T167">
        <v>0</v>
      </c>
      <c r="U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2:36" x14ac:dyDescent="0.25">
      <c r="B168" t="s">
        <v>84</v>
      </c>
      <c r="C168" t="s">
        <v>88</v>
      </c>
      <c r="E168">
        <v>0</v>
      </c>
      <c r="H168">
        <v>0</v>
      </c>
      <c r="I168">
        <v>0</v>
      </c>
      <c r="M168">
        <v>0</v>
      </c>
      <c r="P168">
        <v>0</v>
      </c>
      <c r="Q168">
        <v>0</v>
      </c>
      <c r="T168">
        <v>0</v>
      </c>
      <c r="U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2:36" x14ac:dyDescent="0.25">
      <c r="B169" t="s">
        <v>84</v>
      </c>
      <c r="C169" t="s">
        <v>88</v>
      </c>
      <c r="E169">
        <v>0</v>
      </c>
      <c r="H169">
        <v>0</v>
      </c>
      <c r="I169">
        <v>0</v>
      </c>
      <c r="M169">
        <v>0</v>
      </c>
      <c r="P169">
        <v>0</v>
      </c>
      <c r="Q169">
        <v>0</v>
      </c>
      <c r="T169">
        <v>0</v>
      </c>
      <c r="U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2:36" x14ac:dyDescent="0.25">
      <c r="B170" t="s">
        <v>84</v>
      </c>
      <c r="C170" t="s">
        <v>88</v>
      </c>
      <c r="E170">
        <v>0</v>
      </c>
      <c r="H170">
        <v>0</v>
      </c>
      <c r="I170">
        <v>0</v>
      </c>
      <c r="M170">
        <v>0</v>
      </c>
      <c r="P170">
        <v>0</v>
      </c>
      <c r="Q170">
        <v>0</v>
      </c>
      <c r="T170">
        <v>0</v>
      </c>
      <c r="U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2:36" x14ac:dyDescent="0.25">
      <c r="B171" t="s">
        <v>84</v>
      </c>
      <c r="C171" t="s">
        <v>88</v>
      </c>
      <c r="E171">
        <v>0</v>
      </c>
      <c r="H171">
        <v>0</v>
      </c>
      <c r="I171">
        <v>0</v>
      </c>
      <c r="M171">
        <v>0</v>
      </c>
      <c r="P171">
        <v>0</v>
      </c>
      <c r="Q171">
        <v>0</v>
      </c>
      <c r="T171">
        <v>0</v>
      </c>
      <c r="U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2:36" x14ac:dyDescent="0.25">
      <c r="B172" t="s">
        <v>84</v>
      </c>
      <c r="C172" t="s">
        <v>88</v>
      </c>
      <c r="E172">
        <v>0</v>
      </c>
      <c r="H172">
        <v>0</v>
      </c>
      <c r="I172">
        <v>0</v>
      </c>
      <c r="M172">
        <v>0</v>
      </c>
      <c r="P172">
        <v>0</v>
      </c>
      <c r="Q172">
        <v>0</v>
      </c>
      <c r="T172">
        <v>0</v>
      </c>
      <c r="U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2:36" x14ac:dyDescent="0.25">
      <c r="B173" t="s">
        <v>84</v>
      </c>
      <c r="C173" t="s">
        <v>88</v>
      </c>
      <c r="E173">
        <v>0</v>
      </c>
      <c r="H173">
        <v>0</v>
      </c>
      <c r="I173">
        <v>0</v>
      </c>
      <c r="M173">
        <v>0</v>
      </c>
      <c r="P173">
        <v>0</v>
      </c>
      <c r="Q173">
        <v>0</v>
      </c>
      <c r="T173">
        <v>0</v>
      </c>
      <c r="U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2:36" x14ac:dyDescent="0.25">
      <c r="B174" t="s">
        <v>84</v>
      </c>
      <c r="C174" t="s">
        <v>88</v>
      </c>
      <c r="E174">
        <v>0</v>
      </c>
      <c r="H174">
        <v>0</v>
      </c>
      <c r="I174">
        <v>0</v>
      </c>
      <c r="M174">
        <v>0</v>
      </c>
      <c r="P174">
        <v>0</v>
      </c>
      <c r="Q174">
        <v>0</v>
      </c>
      <c r="T174">
        <v>0</v>
      </c>
      <c r="U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2:36" x14ac:dyDescent="0.25">
      <c r="B175" t="s">
        <v>84</v>
      </c>
      <c r="C175" t="s">
        <v>88</v>
      </c>
      <c r="E175">
        <v>0</v>
      </c>
      <c r="H175">
        <v>0</v>
      </c>
      <c r="I175">
        <v>0</v>
      </c>
      <c r="M175">
        <v>0</v>
      </c>
      <c r="P175">
        <v>0</v>
      </c>
      <c r="Q175">
        <v>0</v>
      </c>
      <c r="T175">
        <v>0</v>
      </c>
      <c r="U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2:36" x14ac:dyDescent="0.25">
      <c r="B176" t="s">
        <v>84</v>
      </c>
      <c r="C176" t="s">
        <v>88</v>
      </c>
      <c r="E176">
        <v>0</v>
      </c>
      <c r="H176">
        <v>0</v>
      </c>
      <c r="I176">
        <v>0</v>
      </c>
      <c r="M176">
        <v>0</v>
      </c>
      <c r="P176">
        <v>0</v>
      </c>
      <c r="Q176">
        <v>0</v>
      </c>
      <c r="T176">
        <v>0</v>
      </c>
      <c r="U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2:36" x14ac:dyDescent="0.25">
      <c r="B177" t="s">
        <v>84</v>
      </c>
      <c r="C177" t="s">
        <v>88</v>
      </c>
      <c r="E177">
        <v>0</v>
      </c>
      <c r="H177">
        <v>0</v>
      </c>
      <c r="I177">
        <v>0</v>
      </c>
      <c r="M177">
        <v>0</v>
      </c>
      <c r="P177">
        <v>0</v>
      </c>
      <c r="Q177">
        <v>0</v>
      </c>
      <c r="T177">
        <v>0</v>
      </c>
      <c r="U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2:36" x14ac:dyDescent="0.25">
      <c r="B178" t="s">
        <v>85</v>
      </c>
      <c r="C178" t="s">
        <v>88</v>
      </c>
      <c r="H178">
        <v>0</v>
      </c>
      <c r="P178">
        <v>0</v>
      </c>
      <c r="T178">
        <v>0</v>
      </c>
      <c r="U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2:36" x14ac:dyDescent="0.25">
      <c r="B179" t="s">
        <v>85</v>
      </c>
      <c r="C179" t="s">
        <v>88</v>
      </c>
      <c r="H179">
        <v>0</v>
      </c>
      <c r="P179">
        <v>0</v>
      </c>
      <c r="T179">
        <v>0</v>
      </c>
      <c r="U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2:36" x14ac:dyDescent="0.25">
      <c r="B180" t="s">
        <v>85</v>
      </c>
      <c r="C180" t="s">
        <v>88</v>
      </c>
      <c r="H180">
        <v>0</v>
      </c>
      <c r="P180">
        <v>0</v>
      </c>
      <c r="T180">
        <v>0</v>
      </c>
      <c r="U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2:36" x14ac:dyDescent="0.25">
      <c r="B181" t="s">
        <v>85</v>
      </c>
      <c r="C181" t="s">
        <v>88</v>
      </c>
      <c r="H181">
        <v>0</v>
      </c>
      <c r="P181">
        <v>0</v>
      </c>
      <c r="T181">
        <v>0</v>
      </c>
      <c r="U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2:36" x14ac:dyDescent="0.25">
      <c r="B182" t="s">
        <v>85</v>
      </c>
      <c r="C182" t="s">
        <v>88</v>
      </c>
      <c r="H182">
        <v>0</v>
      </c>
      <c r="P182">
        <v>0</v>
      </c>
      <c r="T182">
        <v>0</v>
      </c>
      <c r="U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2:36" x14ac:dyDescent="0.25">
      <c r="B183" t="s">
        <v>85</v>
      </c>
      <c r="C183" t="s">
        <v>88</v>
      </c>
      <c r="H183">
        <v>0</v>
      </c>
      <c r="P183">
        <v>0</v>
      </c>
      <c r="T183">
        <v>0</v>
      </c>
      <c r="U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2:36" x14ac:dyDescent="0.25">
      <c r="B184" t="s">
        <v>85</v>
      </c>
      <c r="C184" t="s">
        <v>88</v>
      </c>
      <c r="H184">
        <v>0</v>
      </c>
      <c r="P184">
        <v>0</v>
      </c>
      <c r="T184">
        <v>0</v>
      </c>
      <c r="U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2:36" x14ac:dyDescent="0.25">
      <c r="B185" t="s">
        <v>85</v>
      </c>
      <c r="C185" t="s">
        <v>88</v>
      </c>
      <c r="H185">
        <v>0</v>
      </c>
      <c r="P185">
        <v>0</v>
      </c>
      <c r="T185">
        <v>0</v>
      </c>
      <c r="U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2:36" x14ac:dyDescent="0.25">
      <c r="B186" t="s">
        <v>85</v>
      </c>
      <c r="C186" t="s">
        <v>88</v>
      </c>
      <c r="H186">
        <v>0</v>
      </c>
      <c r="P186">
        <v>0</v>
      </c>
      <c r="T186">
        <v>0</v>
      </c>
      <c r="U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2:36" x14ac:dyDescent="0.25">
      <c r="B187" t="s">
        <v>85</v>
      </c>
      <c r="C187" t="s">
        <v>88</v>
      </c>
      <c r="H187">
        <v>0</v>
      </c>
      <c r="P187">
        <v>0</v>
      </c>
      <c r="T187">
        <v>0</v>
      </c>
      <c r="U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2:36" x14ac:dyDescent="0.25">
      <c r="B188" t="s">
        <v>85</v>
      </c>
      <c r="C188" t="s">
        <v>88</v>
      </c>
      <c r="H188">
        <v>0</v>
      </c>
      <c r="P188">
        <v>0</v>
      </c>
      <c r="T188">
        <v>0</v>
      </c>
      <c r="U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2:36" x14ac:dyDescent="0.25">
      <c r="B189" t="s">
        <v>85</v>
      </c>
      <c r="C189" t="s">
        <v>88</v>
      </c>
      <c r="H189">
        <v>0</v>
      </c>
      <c r="P189">
        <v>0</v>
      </c>
      <c r="T189">
        <v>0</v>
      </c>
      <c r="U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2:36" x14ac:dyDescent="0.25">
      <c r="B190" t="s">
        <v>85</v>
      </c>
      <c r="C190" t="s">
        <v>88</v>
      </c>
      <c r="H190">
        <v>0</v>
      </c>
      <c r="P190">
        <v>0</v>
      </c>
      <c r="T190">
        <v>0</v>
      </c>
      <c r="U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2:36" x14ac:dyDescent="0.25">
      <c r="B191" t="s">
        <v>85</v>
      </c>
      <c r="C191" t="s">
        <v>88</v>
      </c>
      <c r="H191">
        <v>0</v>
      </c>
      <c r="P191">
        <v>0</v>
      </c>
      <c r="T191">
        <v>0</v>
      </c>
      <c r="U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2:36" x14ac:dyDescent="0.25">
      <c r="B192" t="s">
        <v>85</v>
      </c>
      <c r="C192" t="s">
        <v>88</v>
      </c>
      <c r="H192">
        <v>0</v>
      </c>
      <c r="P192">
        <v>0</v>
      </c>
      <c r="T192">
        <v>0</v>
      </c>
      <c r="U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2:36" x14ac:dyDescent="0.25">
      <c r="B193" t="s">
        <v>85</v>
      </c>
      <c r="C193" t="s">
        <v>88</v>
      </c>
      <c r="H193">
        <v>0</v>
      </c>
      <c r="P193">
        <v>0</v>
      </c>
      <c r="T193">
        <v>0</v>
      </c>
      <c r="U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2:36" x14ac:dyDescent="0.25">
      <c r="B194" t="s">
        <v>85</v>
      </c>
      <c r="C194" t="s">
        <v>88</v>
      </c>
      <c r="H194">
        <v>0</v>
      </c>
      <c r="P194">
        <v>0</v>
      </c>
      <c r="T194">
        <v>0</v>
      </c>
      <c r="U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2:36" x14ac:dyDescent="0.25">
      <c r="B195" t="s">
        <v>85</v>
      </c>
      <c r="C195" t="s">
        <v>88</v>
      </c>
      <c r="H195">
        <v>0</v>
      </c>
      <c r="P195">
        <v>0</v>
      </c>
      <c r="T195">
        <v>0</v>
      </c>
      <c r="U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2:36" x14ac:dyDescent="0.25">
      <c r="B196" t="s">
        <v>85</v>
      </c>
      <c r="C196" t="s">
        <v>88</v>
      </c>
      <c r="H196">
        <v>0</v>
      </c>
      <c r="P196">
        <v>0</v>
      </c>
      <c r="T196">
        <v>0</v>
      </c>
      <c r="U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2:36" x14ac:dyDescent="0.25">
      <c r="B197" t="s">
        <v>85</v>
      </c>
      <c r="C197" t="s">
        <v>88</v>
      </c>
      <c r="H197">
        <v>0</v>
      </c>
      <c r="P197">
        <v>0</v>
      </c>
      <c r="T197">
        <v>0</v>
      </c>
      <c r="U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2:36" x14ac:dyDescent="0.25">
      <c r="B198" t="s">
        <v>85</v>
      </c>
      <c r="C198" t="s">
        <v>88</v>
      </c>
      <c r="H198">
        <v>0</v>
      </c>
      <c r="P198">
        <v>0</v>
      </c>
      <c r="T198">
        <v>0</v>
      </c>
      <c r="U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2:36" x14ac:dyDescent="0.25">
      <c r="B199" t="s">
        <v>85</v>
      </c>
      <c r="C199" t="s">
        <v>88</v>
      </c>
      <c r="H199">
        <v>0</v>
      </c>
      <c r="P199">
        <v>0</v>
      </c>
      <c r="T199">
        <v>0</v>
      </c>
      <c r="U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2:36" x14ac:dyDescent="0.25">
      <c r="B200" t="s">
        <v>85</v>
      </c>
      <c r="C200" t="s">
        <v>88</v>
      </c>
      <c r="H200">
        <v>0</v>
      </c>
      <c r="P200">
        <v>0</v>
      </c>
      <c r="T200">
        <v>0</v>
      </c>
      <c r="U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2:36" x14ac:dyDescent="0.25">
      <c r="B201" t="s">
        <v>85</v>
      </c>
      <c r="C201" t="s">
        <v>88</v>
      </c>
      <c r="H201">
        <v>0</v>
      </c>
      <c r="P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2:36" x14ac:dyDescent="0.25">
      <c r="B202" t="s">
        <v>86</v>
      </c>
      <c r="C202" t="s">
        <v>88</v>
      </c>
      <c r="H202">
        <v>0</v>
      </c>
      <c r="P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2:36" x14ac:dyDescent="0.25">
      <c r="B203" t="s">
        <v>86</v>
      </c>
      <c r="C203" t="s">
        <v>88</v>
      </c>
      <c r="H203">
        <v>0</v>
      </c>
      <c r="P203">
        <v>0</v>
      </c>
      <c r="T203">
        <v>0</v>
      </c>
      <c r="U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2:36" x14ac:dyDescent="0.25">
      <c r="B204" t="s">
        <v>86</v>
      </c>
      <c r="C204" t="s">
        <v>88</v>
      </c>
      <c r="H204">
        <v>0</v>
      </c>
      <c r="P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2:36" x14ac:dyDescent="0.25">
      <c r="B205" t="s">
        <v>86</v>
      </c>
      <c r="C205" t="s">
        <v>88</v>
      </c>
      <c r="H205">
        <v>0</v>
      </c>
      <c r="P205">
        <v>0</v>
      </c>
      <c r="T205">
        <v>0</v>
      </c>
      <c r="U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2:36" x14ac:dyDescent="0.25">
      <c r="B206" t="s">
        <v>86</v>
      </c>
      <c r="C206" t="s">
        <v>88</v>
      </c>
      <c r="H206">
        <v>0</v>
      </c>
      <c r="P206">
        <v>0</v>
      </c>
      <c r="T206">
        <v>0</v>
      </c>
      <c r="U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2:36" x14ac:dyDescent="0.25">
      <c r="B207" t="s">
        <v>86</v>
      </c>
      <c r="C207" t="s">
        <v>88</v>
      </c>
      <c r="H207">
        <v>0</v>
      </c>
      <c r="P207">
        <v>0</v>
      </c>
      <c r="T207">
        <v>0</v>
      </c>
      <c r="U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2:36" x14ac:dyDescent="0.25">
      <c r="B208" t="s">
        <v>86</v>
      </c>
      <c r="C208" t="s">
        <v>88</v>
      </c>
      <c r="H208">
        <v>0</v>
      </c>
      <c r="P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2:36" x14ac:dyDescent="0.25">
      <c r="B209" t="s">
        <v>86</v>
      </c>
      <c r="C209" t="s">
        <v>88</v>
      </c>
      <c r="H209">
        <v>0</v>
      </c>
      <c r="P209">
        <v>0</v>
      </c>
      <c r="T209">
        <v>0</v>
      </c>
      <c r="U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2:36" x14ac:dyDescent="0.25">
      <c r="B210" t="s">
        <v>86</v>
      </c>
      <c r="C210" t="s">
        <v>88</v>
      </c>
      <c r="H210">
        <v>0</v>
      </c>
      <c r="P210">
        <v>0</v>
      </c>
      <c r="T210">
        <v>0</v>
      </c>
      <c r="U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2:36" x14ac:dyDescent="0.25">
      <c r="B211" t="s">
        <v>86</v>
      </c>
      <c r="C211" t="s">
        <v>88</v>
      </c>
      <c r="H211">
        <v>0</v>
      </c>
      <c r="P211">
        <v>0</v>
      </c>
      <c r="T211">
        <v>0</v>
      </c>
      <c r="U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2:36" x14ac:dyDescent="0.25">
      <c r="B212" t="s">
        <v>86</v>
      </c>
      <c r="C212" t="s">
        <v>88</v>
      </c>
      <c r="H212">
        <v>0</v>
      </c>
      <c r="P212">
        <v>0</v>
      </c>
      <c r="T212">
        <v>0</v>
      </c>
      <c r="U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2:36" x14ac:dyDescent="0.25">
      <c r="B213" t="s">
        <v>86</v>
      </c>
      <c r="C213" t="s">
        <v>88</v>
      </c>
      <c r="H213">
        <v>0</v>
      </c>
      <c r="P213">
        <v>0</v>
      </c>
      <c r="T213">
        <v>0</v>
      </c>
      <c r="U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2:36" x14ac:dyDescent="0.25">
      <c r="B214" t="s">
        <v>86</v>
      </c>
      <c r="C214" t="s">
        <v>88</v>
      </c>
      <c r="H214">
        <v>0</v>
      </c>
      <c r="P214">
        <v>0</v>
      </c>
      <c r="T214">
        <v>0</v>
      </c>
      <c r="U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2:36" x14ac:dyDescent="0.25">
      <c r="B215" t="s">
        <v>86</v>
      </c>
      <c r="C215" t="s">
        <v>88</v>
      </c>
      <c r="H215">
        <v>0</v>
      </c>
      <c r="P215">
        <v>0</v>
      </c>
      <c r="T215">
        <v>0</v>
      </c>
      <c r="U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2:36" x14ac:dyDescent="0.25">
      <c r="B216" t="s">
        <v>86</v>
      </c>
      <c r="C216" t="s">
        <v>88</v>
      </c>
      <c r="H216">
        <v>0</v>
      </c>
      <c r="P216">
        <v>0</v>
      </c>
      <c r="T216">
        <v>0</v>
      </c>
      <c r="U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2:36" x14ac:dyDescent="0.25">
      <c r="B217" t="s">
        <v>86</v>
      </c>
      <c r="C217" t="s">
        <v>88</v>
      </c>
      <c r="H217">
        <v>0</v>
      </c>
      <c r="P217">
        <v>0</v>
      </c>
      <c r="T217">
        <v>0</v>
      </c>
      <c r="U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2:36" x14ac:dyDescent="0.25">
      <c r="B218" t="s">
        <v>86</v>
      </c>
      <c r="C218" t="s">
        <v>88</v>
      </c>
      <c r="H218">
        <v>0</v>
      </c>
      <c r="P218">
        <v>0</v>
      </c>
      <c r="T218">
        <v>0</v>
      </c>
      <c r="U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2:36" x14ac:dyDescent="0.25">
      <c r="B219" t="s">
        <v>86</v>
      </c>
      <c r="C219" t="s">
        <v>88</v>
      </c>
      <c r="H219">
        <v>0</v>
      </c>
      <c r="P219">
        <v>0</v>
      </c>
      <c r="T219">
        <v>0</v>
      </c>
      <c r="U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2:36" x14ac:dyDescent="0.25">
      <c r="B220" t="s">
        <v>86</v>
      </c>
      <c r="C220" t="s">
        <v>88</v>
      </c>
      <c r="H220">
        <v>0</v>
      </c>
      <c r="P220">
        <v>0</v>
      </c>
      <c r="T220">
        <v>0</v>
      </c>
      <c r="U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2:36" x14ac:dyDescent="0.25">
      <c r="B221" t="s">
        <v>86</v>
      </c>
      <c r="C221" t="s">
        <v>88</v>
      </c>
      <c r="H221">
        <v>0</v>
      </c>
      <c r="P221">
        <v>0</v>
      </c>
      <c r="T221">
        <v>0</v>
      </c>
      <c r="U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2:36" x14ac:dyDescent="0.25">
      <c r="B222" t="s">
        <v>86</v>
      </c>
      <c r="C222" t="s">
        <v>88</v>
      </c>
      <c r="H222">
        <v>0</v>
      </c>
      <c r="P222">
        <v>0</v>
      </c>
      <c r="T222">
        <v>0</v>
      </c>
      <c r="U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2:36" x14ac:dyDescent="0.25">
      <c r="B223" t="s">
        <v>86</v>
      </c>
      <c r="C223" t="s">
        <v>88</v>
      </c>
      <c r="H223">
        <v>0</v>
      </c>
      <c r="P223">
        <v>0</v>
      </c>
      <c r="T223">
        <v>0</v>
      </c>
      <c r="U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2:36" x14ac:dyDescent="0.25">
      <c r="B224" t="s">
        <v>86</v>
      </c>
      <c r="C224" t="s">
        <v>88</v>
      </c>
      <c r="H224">
        <v>0</v>
      </c>
      <c r="P224">
        <v>0</v>
      </c>
      <c r="T224">
        <v>0</v>
      </c>
      <c r="U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2:36" x14ac:dyDescent="0.25">
      <c r="B225" t="s">
        <v>86</v>
      </c>
      <c r="C225" t="s">
        <v>88</v>
      </c>
      <c r="H225">
        <v>0</v>
      </c>
      <c r="P225">
        <v>0</v>
      </c>
      <c r="T225">
        <v>0</v>
      </c>
      <c r="U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2:36" x14ac:dyDescent="0.25">
      <c r="B226" t="s">
        <v>87</v>
      </c>
      <c r="C226" t="s">
        <v>88</v>
      </c>
      <c r="H226">
        <v>0</v>
      </c>
      <c r="P226">
        <v>0</v>
      </c>
      <c r="T226">
        <v>0</v>
      </c>
      <c r="U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2:36" x14ac:dyDescent="0.25">
      <c r="B227" t="s">
        <v>87</v>
      </c>
      <c r="C227" t="s">
        <v>88</v>
      </c>
      <c r="H227">
        <v>0</v>
      </c>
      <c r="P227">
        <v>0</v>
      </c>
      <c r="T227">
        <v>0</v>
      </c>
      <c r="U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2:36" x14ac:dyDescent="0.25">
      <c r="B228" t="s">
        <v>87</v>
      </c>
      <c r="C228" t="s">
        <v>88</v>
      </c>
      <c r="H228">
        <v>0</v>
      </c>
      <c r="P228">
        <v>0</v>
      </c>
      <c r="T228">
        <v>0</v>
      </c>
      <c r="U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2:36" x14ac:dyDescent="0.25">
      <c r="B229" t="s">
        <v>87</v>
      </c>
      <c r="C229" t="s">
        <v>88</v>
      </c>
      <c r="H229">
        <v>0</v>
      </c>
      <c r="P229">
        <v>0</v>
      </c>
      <c r="T229">
        <v>0</v>
      </c>
      <c r="U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2:36" x14ac:dyDescent="0.25">
      <c r="B230" t="s">
        <v>87</v>
      </c>
      <c r="C230" t="s">
        <v>88</v>
      </c>
      <c r="H230">
        <v>0</v>
      </c>
      <c r="P230">
        <v>0</v>
      </c>
      <c r="T230">
        <v>0</v>
      </c>
      <c r="U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2:36" x14ac:dyDescent="0.25">
      <c r="B231" t="s">
        <v>87</v>
      </c>
      <c r="C231" t="s">
        <v>88</v>
      </c>
      <c r="H231">
        <v>0</v>
      </c>
      <c r="P231">
        <v>0</v>
      </c>
      <c r="T231">
        <v>0</v>
      </c>
      <c r="U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2:36" x14ac:dyDescent="0.25">
      <c r="B232" t="s">
        <v>87</v>
      </c>
      <c r="C232" t="s">
        <v>88</v>
      </c>
      <c r="H232">
        <v>0</v>
      </c>
      <c r="P232">
        <v>0</v>
      </c>
      <c r="T232">
        <v>0</v>
      </c>
      <c r="U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2:36" x14ac:dyDescent="0.25">
      <c r="B233" t="s">
        <v>87</v>
      </c>
      <c r="C233" t="s">
        <v>88</v>
      </c>
      <c r="H233">
        <v>0</v>
      </c>
      <c r="P233">
        <v>0</v>
      </c>
      <c r="T233">
        <v>0</v>
      </c>
      <c r="U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2:36" x14ac:dyDescent="0.25">
      <c r="B234" t="s">
        <v>87</v>
      </c>
      <c r="C234" t="s">
        <v>88</v>
      </c>
      <c r="H234">
        <v>0</v>
      </c>
      <c r="P234">
        <v>0</v>
      </c>
      <c r="T234">
        <v>0</v>
      </c>
      <c r="U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2:36" x14ac:dyDescent="0.25">
      <c r="B235" t="s">
        <v>87</v>
      </c>
      <c r="C235" t="s">
        <v>88</v>
      </c>
      <c r="H235">
        <v>0</v>
      </c>
      <c r="P235">
        <v>0</v>
      </c>
      <c r="T235">
        <v>0</v>
      </c>
      <c r="U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2:36" x14ac:dyDescent="0.25">
      <c r="B236" t="s">
        <v>87</v>
      </c>
      <c r="C236" t="s">
        <v>88</v>
      </c>
      <c r="H236">
        <v>0</v>
      </c>
      <c r="P236">
        <v>0</v>
      </c>
      <c r="T236">
        <v>0</v>
      </c>
      <c r="U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2:36" x14ac:dyDescent="0.25">
      <c r="B237" t="s">
        <v>87</v>
      </c>
      <c r="C237" t="s">
        <v>88</v>
      </c>
      <c r="H237">
        <v>0</v>
      </c>
      <c r="P237">
        <v>0</v>
      </c>
      <c r="T237">
        <v>0</v>
      </c>
      <c r="U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2:36" x14ac:dyDescent="0.25">
      <c r="B238" t="s">
        <v>87</v>
      </c>
      <c r="C238" t="s">
        <v>88</v>
      </c>
      <c r="H238">
        <v>0</v>
      </c>
      <c r="P238">
        <v>0</v>
      </c>
      <c r="T238">
        <v>0</v>
      </c>
      <c r="U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2:36" x14ac:dyDescent="0.25">
      <c r="B239" t="s">
        <v>87</v>
      </c>
      <c r="C239" t="s">
        <v>88</v>
      </c>
      <c r="H239">
        <v>0</v>
      </c>
      <c r="P239">
        <v>0</v>
      </c>
      <c r="T239">
        <v>0</v>
      </c>
      <c r="U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2:36" x14ac:dyDescent="0.25">
      <c r="B240" t="s">
        <v>87</v>
      </c>
      <c r="C240" t="s">
        <v>88</v>
      </c>
      <c r="H240">
        <v>0</v>
      </c>
      <c r="P240">
        <v>0</v>
      </c>
      <c r="T240">
        <v>0</v>
      </c>
      <c r="U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2:36" x14ac:dyDescent="0.25">
      <c r="B241" t="s">
        <v>87</v>
      </c>
      <c r="C241" t="s">
        <v>88</v>
      </c>
      <c r="H241">
        <v>0</v>
      </c>
      <c r="P241">
        <v>0</v>
      </c>
      <c r="T241">
        <v>0</v>
      </c>
      <c r="U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2:36" x14ac:dyDescent="0.25">
      <c r="B242" t="s">
        <v>87</v>
      </c>
      <c r="C242" t="s">
        <v>88</v>
      </c>
      <c r="H242">
        <v>0</v>
      </c>
      <c r="P242">
        <v>0</v>
      </c>
      <c r="T242">
        <v>0</v>
      </c>
      <c r="U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2:36" x14ac:dyDescent="0.25">
      <c r="B243" t="s">
        <v>87</v>
      </c>
      <c r="C243" t="s">
        <v>88</v>
      </c>
      <c r="H243">
        <v>0</v>
      </c>
      <c r="P243">
        <v>0</v>
      </c>
      <c r="T243">
        <v>0</v>
      </c>
      <c r="U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2:36" x14ac:dyDescent="0.25">
      <c r="B244" t="s">
        <v>87</v>
      </c>
      <c r="C244" t="s">
        <v>88</v>
      </c>
      <c r="H244">
        <v>0</v>
      </c>
      <c r="P244">
        <v>0</v>
      </c>
      <c r="T244">
        <v>0</v>
      </c>
      <c r="U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2:36" x14ac:dyDescent="0.25">
      <c r="B245" t="s">
        <v>87</v>
      </c>
      <c r="C245" t="s">
        <v>88</v>
      </c>
      <c r="H245">
        <v>0</v>
      </c>
      <c r="P245">
        <v>0</v>
      </c>
      <c r="T245">
        <v>0</v>
      </c>
      <c r="U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2:36" x14ac:dyDescent="0.25">
      <c r="B246" t="s">
        <v>87</v>
      </c>
      <c r="C246" t="s">
        <v>88</v>
      </c>
      <c r="H246">
        <v>0</v>
      </c>
      <c r="P246">
        <v>0</v>
      </c>
      <c r="T246">
        <v>0</v>
      </c>
      <c r="U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2:36" x14ac:dyDescent="0.25">
      <c r="B247" t="s">
        <v>87</v>
      </c>
      <c r="C247" t="s">
        <v>88</v>
      </c>
      <c r="H247">
        <v>0</v>
      </c>
      <c r="P247">
        <v>0</v>
      </c>
      <c r="T247">
        <v>0</v>
      </c>
      <c r="U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2:36" x14ac:dyDescent="0.25">
      <c r="B248" t="s">
        <v>87</v>
      </c>
      <c r="C248" t="s">
        <v>88</v>
      </c>
      <c r="H248">
        <v>0</v>
      </c>
      <c r="P248">
        <v>0</v>
      </c>
      <c r="T248">
        <v>0</v>
      </c>
      <c r="U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2:36" x14ac:dyDescent="0.25">
      <c r="B249" t="s">
        <v>87</v>
      </c>
      <c r="C249" t="s">
        <v>88</v>
      </c>
      <c r="H249">
        <v>0</v>
      </c>
      <c r="P249">
        <v>0</v>
      </c>
      <c r="T249">
        <v>0</v>
      </c>
      <c r="U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AJ295"/>
  <sheetViews>
    <sheetView zoomScale="73" zoomScaleNormal="73" workbookViewId="0">
      <selection activeCell="D10" sqref="D10:D295"/>
    </sheetView>
  </sheetViews>
  <sheetFormatPr defaultRowHeight="15" x14ac:dyDescent="0.25"/>
  <cols>
    <col min="1" max="1" width="8.5703125" customWidth="1"/>
  </cols>
  <sheetData>
    <row r="8" spans="2:36" x14ac:dyDescent="0.25">
      <c r="B8" s="12" t="b">
        <v>1</v>
      </c>
      <c r="C8" s="12" t="b">
        <v>1</v>
      </c>
      <c r="D8" s="12" t="b">
        <v>0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0</v>
      </c>
      <c r="J8" s="12" t="b">
        <v>0</v>
      </c>
      <c r="K8" s="12" t="b">
        <v>0</v>
      </c>
      <c r="L8" s="12" t="b">
        <v>0</v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2" t="b">
        <v>0</v>
      </c>
      <c r="S8" s="12" t="b">
        <v>0</v>
      </c>
      <c r="T8" s="12" t="b">
        <v>0</v>
      </c>
      <c r="U8" s="12" t="b">
        <v>0</v>
      </c>
      <c r="V8" s="12" t="b">
        <v>0</v>
      </c>
      <c r="W8" s="12" t="b">
        <v>0</v>
      </c>
      <c r="X8" s="12" t="b">
        <v>0</v>
      </c>
      <c r="Y8" s="12" t="b">
        <v>0</v>
      </c>
      <c r="Z8" s="12" t="b">
        <v>0</v>
      </c>
      <c r="AA8" s="12" t="b">
        <v>0</v>
      </c>
      <c r="AB8" s="12" t="b">
        <v>0</v>
      </c>
      <c r="AC8" s="12" t="b">
        <v>0</v>
      </c>
      <c r="AD8" s="12" t="b">
        <v>0</v>
      </c>
      <c r="AE8" s="12" t="b">
        <v>0</v>
      </c>
      <c r="AF8" s="12" t="b">
        <v>0</v>
      </c>
      <c r="AG8" s="12" t="b">
        <v>0</v>
      </c>
      <c r="AH8" s="12" t="b">
        <v>0</v>
      </c>
      <c r="AI8" s="12" t="b">
        <v>0</v>
      </c>
      <c r="AJ8" s="12" t="b">
        <v>0</v>
      </c>
    </row>
    <row r="9" spans="2:36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  <c r="AE9" s="11" t="s">
        <v>29</v>
      </c>
      <c r="AF9" s="1" t="s">
        <v>30</v>
      </c>
      <c r="AG9" s="1" t="s">
        <v>31</v>
      </c>
      <c r="AH9" s="11" t="s">
        <v>32</v>
      </c>
      <c r="AI9" s="1" t="s">
        <v>33</v>
      </c>
      <c r="AJ9" s="1" t="s">
        <v>34</v>
      </c>
    </row>
    <row r="10" spans="2:36" x14ac:dyDescent="0.25">
      <c r="B10" s="6" t="str" cm="1">
        <f t="array" aca="1" ref="B10" ca="1">IFERROR(IF(OR('Raw Data'!B10="",LEN(TRIM('Raw Data'!B10))=0),_xlfn.REGEXEXTRACT(CELL("address",'Raw Data'!B10),"\$([A-Z]+)\$[0-9]+"),""),"")</f>
        <v/>
      </c>
      <c r="C10" s="6" t="str" cm="1">
        <f t="array" aca="1" ref="C10" ca="1">IFERROR(IF(OR('Raw Data'!C10="",LEN(TRIM('Raw Data'!C10))=0),_xlfn.REGEXEXTRACT(CELL("address",'Raw Data'!C10),"\$([A-Z]+)\$[0-9]+"),""),"")</f>
        <v/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2:36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2:36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2:36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2:36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2:36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2:36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2:36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2:36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2:36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2:36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2:36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2:36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2:36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2:36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2:36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2:36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2:36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2:36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2:36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2:36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2:36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2:36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2:36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2:36" x14ac:dyDescent="0.25">
      <c r="B34" s="6" t="str" cm="1">
        <f t="array" aca="1" ref="B34" ca="1">IFERROR(IF(OR('Raw Data'!B34="",LEN(TRIM('Raw Data'!B34))=0),_xlfn.REGEXEXTRACT(CELL("address",'Raw Data'!B34),"\$([A-Z]+)\$[0-9]+"),""),"")</f>
        <v/>
      </c>
      <c r="C34" s="6" t="str" cm="1">
        <f t="array" aca="1" ref="C34" ca="1">IFERROR(IF(OR('Raw Data'!C34="",LEN(TRIM('Raw Data'!C34))=0),_xlfn.REGEXEXTRACT(CELL("address",'Raw Data'!C34),"\$([A-Z]+)\$[0-9]+"),""),"")</f>
        <v/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2:36" x14ac:dyDescent="0.25">
      <c r="B35" s="6" t="str" cm="1">
        <f t="array" aca="1" ref="B35" ca="1">IFERROR(IF(OR('Raw Data'!B35="",LEN(TRIM('Raw Data'!B35))=0),_xlfn.REGEXEXTRACT(CELL("address",'Raw Data'!B35),"\$([A-Z]+)\$[0-9]+"),""),"")</f>
        <v/>
      </c>
      <c r="C35" s="6" t="str" cm="1">
        <f t="array" aca="1" ref="C35" ca="1">IFERROR(IF(OR('Raw Data'!C35="",LEN(TRIM('Raw Data'!C35))=0),_xlfn.REGEXEXTRACT(CELL("address",'Raw Data'!C35),"\$([A-Z]+)\$[0-9]+"),""),"")</f>
        <v/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2:36" x14ac:dyDescent="0.25">
      <c r="B36" s="6" t="str" cm="1">
        <f t="array" aca="1" ref="B36" ca="1">IFERROR(IF(OR('Raw Data'!B36="",LEN(TRIM('Raw Data'!B36))=0),_xlfn.REGEXEXTRACT(CELL("address",'Raw Data'!B36),"\$([A-Z]+)\$[0-9]+"),""),"")</f>
        <v/>
      </c>
      <c r="C36" s="6" t="str" cm="1">
        <f t="array" aca="1" ref="C36" ca="1">IFERROR(IF(OR('Raw Data'!C36="",LEN(TRIM('Raw Data'!C36))=0),_xlfn.REGEXEXTRACT(CELL("address",'Raw Data'!C36),"\$([A-Z]+)\$[0-9]+"),""),"")</f>
        <v/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2:36" x14ac:dyDescent="0.25">
      <c r="B37" s="6" t="str" cm="1">
        <f t="array" aca="1" ref="B37" ca="1">IFERROR(IF(OR('Raw Data'!B37="",LEN(TRIM('Raw Data'!B37))=0),_xlfn.REGEXEXTRACT(CELL("address",'Raw Data'!B37),"\$([A-Z]+)\$[0-9]+"),""),"")</f>
        <v/>
      </c>
      <c r="C37" s="6" t="str" cm="1">
        <f t="array" aca="1" ref="C37" ca="1">IFERROR(IF(OR('Raw Data'!C37="",LEN(TRIM('Raw Data'!C37))=0),_xlfn.REGEXEXTRACT(CELL("address",'Raw Data'!C37),"\$([A-Z]+)\$[0-9]+"),""),"")</f>
        <v/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2:36" x14ac:dyDescent="0.25">
      <c r="B38" s="6" t="str" cm="1">
        <f t="array" aca="1" ref="B38" ca="1">IFERROR(IF(OR('Raw Data'!B38="",LEN(TRIM('Raw Data'!B38))=0),_xlfn.REGEXEXTRACT(CELL("address",'Raw Data'!B38),"\$([A-Z]+)\$[0-9]+"),""),"")</f>
        <v/>
      </c>
      <c r="C38" s="6" t="str" cm="1">
        <f t="array" aca="1" ref="C38" ca="1">IFERROR(IF(OR('Raw Data'!C38="",LEN(TRIM('Raw Data'!C38))=0),_xlfn.REGEXEXTRACT(CELL("address",'Raw Data'!C38),"\$([A-Z]+)\$[0-9]+"),""),"")</f>
        <v/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2:36" x14ac:dyDescent="0.25">
      <c r="B39" s="6" t="str" cm="1">
        <f t="array" aca="1" ref="B39" ca="1">IFERROR(IF(OR('Raw Data'!B39="",LEN(TRIM('Raw Data'!B39))=0),_xlfn.REGEXEXTRACT(CELL("address",'Raw Data'!B39),"\$([A-Z]+)\$[0-9]+"),""),"")</f>
        <v/>
      </c>
      <c r="C39" s="6" t="str" cm="1">
        <f t="array" aca="1" ref="C39" ca="1">IFERROR(IF(OR('Raw Data'!C39="",LEN(TRIM('Raw Data'!C39))=0),_xlfn.REGEXEXTRACT(CELL("address",'Raw Data'!C39),"\$([A-Z]+)\$[0-9]+"),""),"")</f>
        <v/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2:36" x14ac:dyDescent="0.25">
      <c r="B40" s="6" t="str" cm="1">
        <f t="array" aca="1" ref="B40" ca="1">IFERROR(IF(OR('Raw Data'!B40="",LEN(TRIM('Raw Data'!B40))=0),_xlfn.REGEXEXTRACT(CELL("address",'Raw Data'!B40),"\$([A-Z]+)\$[0-9]+"),""),"")</f>
        <v/>
      </c>
      <c r="C40" s="6" t="str" cm="1">
        <f t="array" aca="1" ref="C40" ca="1">IFERROR(IF(OR('Raw Data'!C40="",LEN(TRIM('Raw Data'!C40))=0),_xlfn.REGEXEXTRACT(CELL("address",'Raw Data'!C40),"\$([A-Z]+)\$[0-9]+"),""),"")</f>
        <v/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2:36" x14ac:dyDescent="0.25">
      <c r="B41" s="6" t="str" cm="1">
        <f t="array" aca="1" ref="B41" ca="1">IFERROR(IF(OR('Raw Data'!B41="",LEN(TRIM('Raw Data'!B41))=0),_xlfn.REGEXEXTRACT(CELL("address",'Raw Data'!B41),"\$([A-Z]+)\$[0-9]+"),""),"")</f>
        <v/>
      </c>
      <c r="C41" s="6" t="str" cm="1">
        <f t="array" aca="1" ref="C41" ca="1">IFERROR(IF(OR('Raw Data'!C41="",LEN(TRIM('Raw Data'!C41))=0),_xlfn.REGEXEXTRACT(CELL("address",'Raw Data'!C41),"\$([A-Z]+)\$[0-9]+"),""),"")</f>
        <v/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2:36" x14ac:dyDescent="0.25">
      <c r="B42" s="6" t="str" cm="1">
        <f t="array" aca="1" ref="B42" ca="1">IFERROR(IF(OR('Raw Data'!B42="",LEN(TRIM('Raw Data'!B42))=0),_xlfn.REGEXEXTRACT(CELL("address",'Raw Data'!B42),"\$([A-Z]+)\$[0-9]+"),""),"")</f>
        <v/>
      </c>
      <c r="C42" s="6" t="str" cm="1">
        <f t="array" aca="1" ref="C42" ca="1">IFERROR(IF(OR('Raw Data'!C42="",LEN(TRIM('Raw Data'!C42))=0),_xlfn.REGEXEXTRACT(CELL("address",'Raw Data'!C42),"\$([A-Z]+)\$[0-9]+"),""),"")</f>
        <v/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2:36" x14ac:dyDescent="0.25">
      <c r="B43" s="6" t="str" cm="1">
        <f t="array" aca="1" ref="B43" ca="1">IFERROR(IF(OR('Raw Data'!B43="",LEN(TRIM('Raw Data'!B43))=0),_xlfn.REGEXEXTRACT(CELL("address",'Raw Data'!B43),"\$([A-Z]+)\$[0-9]+"),""),"")</f>
        <v/>
      </c>
      <c r="C43" s="6" t="str" cm="1">
        <f t="array" aca="1" ref="C43" ca="1">IFERROR(IF(OR('Raw Data'!C43="",LEN(TRIM('Raw Data'!C43))=0),_xlfn.REGEXEXTRACT(CELL("address",'Raw Data'!C43),"\$([A-Z]+)\$[0-9]+"),""),"")</f>
        <v/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2:36" x14ac:dyDescent="0.25">
      <c r="B44" s="6" t="str" cm="1">
        <f t="array" aca="1" ref="B44" ca="1">IFERROR(IF(OR('Raw Data'!B44="",LEN(TRIM('Raw Data'!B44))=0),_xlfn.REGEXEXTRACT(CELL("address",'Raw Data'!B44),"\$([A-Z]+)\$[0-9]+"),""),"")</f>
        <v/>
      </c>
      <c r="C44" s="6" t="str" cm="1">
        <f t="array" aca="1" ref="C44" ca="1">IFERROR(IF(OR('Raw Data'!C44="",LEN(TRIM('Raw Data'!C44))=0),_xlfn.REGEXEXTRACT(CELL("address",'Raw Data'!C44),"\$([A-Z]+)\$[0-9]+"),""),"")</f>
        <v/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2:36" x14ac:dyDescent="0.25">
      <c r="B45" s="6" t="str" cm="1">
        <f t="array" aca="1" ref="B45" ca="1">IFERROR(IF(OR('Raw Data'!B45="",LEN(TRIM('Raw Data'!B45))=0),_xlfn.REGEXEXTRACT(CELL("address",'Raw Data'!B45),"\$([A-Z]+)\$[0-9]+"),""),"")</f>
        <v/>
      </c>
      <c r="C45" s="6" t="str" cm="1">
        <f t="array" aca="1" ref="C45" ca="1">IFERROR(IF(OR('Raw Data'!C45="",LEN(TRIM('Raw Data'!C45))=0),_xlfn.REGEXEXTRACT(CELL("address",'Raw Data'!C45),"\$([A-Z]+)\$[0-9]+"),""),"")</f>
        <v/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2:36" x14ac:dyDescent="0.25">
      <c r="B46" s="6" t="str" cm="1">
        <f t="array" aca="1" ref="B46" ca="1">IFERROR(IF(OR('Raw Data'!B46="",LEN(TRIM('Raw Data'!B46))=0),_xlfn.REGEXEXTRACT(CELL("address",'Raw Data'!B46),"\$([A-Z]+)\$[0-9]+"),""),"")</f>
        <v/>
      </c>
      <c r="C46" s="6" t="str" cm="1">
        <f t="array" aca="1" ref="C46" ca="1">IFERROR(IF(OR('Raw Data'!C46="",LEN(TRIM('Raw Data'!C46))=0),_xlfn.REGEXEXTRACT(CELL("address",'Raw Data'!C46),"\$([A-Z]+)\$[0-9]+"),""),"")</f>
        <v/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2:36" x14ac:dyDescent="0.25">
      <c r="B47" s="6" t="str" cm="1">
        <f t="array" aca="1" ref="B47" ca="1">IFERROR(IF(OR('Raw Data'!B47="",LEN(TRIM('Raw Data'!B47))=0),_xlfn.REGEXEXTRACT(CELL("address",'Raw Data'!B47),"\$([A-Z]+)\$[0-9]+"),""),"")</f>
        <v/>
      </c>
      <c r="C47" s="6" t="str" cm="1">
        <f t="array" aca="1" ref="C47" ca="1">IFERROR(IF(OR('Raw Data'!C47="",LEN(TRIM('Raw Data'!C47))=0),_xlfn.REGEXEXTRACT(CELL("address",'Raw Data'!C47),"\$([A-Z]+)\$[0-9]+"),""),"")</f>
        <v/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2:36" x14ac:dyDescent="0.25">
      <c r="B48" s="6" t="str" cm="1">
        <f t="array" aca="1" ref="B48" ca="1">IFERROR(IF(OR('Raw Data'!B48="",LEN(TRIM('Raw Data'!B48))=0),_xlfn.REGEXEXTRACT(CELL("address",'Raw Data'!B48),"\$([A-Z]+)\$[0-9]+"),""),"")</f>
        <v/>
      </c>
      <c r="C48" s="6" t="str" cm="1">
        <f t="array" aca="1" ref="C48" ca="1">IFERROR(IF(OR('Raw Data'!C48="",LEN(TRIM('Raw Data'!C48))=0),_xlfn.REGEXEXTRACT(CELL("address",'Raw Data'!C48),"\$([A-Z]+)\$[0-9]+"),""),"")</f>
        <v/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2:36" x14ac:dyDescent="0.25">
      <c r="B49" s="6" t="str" cm="1">
        <f t="array" aca="1" ref="B49" ca="1">IFERROR(IF(OR('Raw Data'!B49="",LEN(TRIM('Raw Data'!B49))=0),_xlfn.REGEXEXTRACT(CELL("address",'Raw Data'!B49),"\$([A-Z]+)\$[0-9]+"),""),"")</f>
        <v/>
      </c>
      <c r="C49" s="6" t="str" cm="1">
        <f t="array" aca="1" ref="C49" ca="1">IFERROR(IF(OR('Raw Data'!C49="",LEN(TRIM('Raw Data'!C49))=0),_xlfn.REGEXEXTRACT(CELL("address",'Raw Data'!C49),"\$([A-Z]+)\$[0-9]+"),""),"")</f>
        <v/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2:36" x14ac:dyDescent="0.25">
      <c r="B50" s="6" t="str" cm="1">
        <f t="array" aca="1" ref="B50" ca="1">IFERROR(IF(OR('Raw Data'!B50="",LEN(TRIM('Raw Data'!B50))=0),_xlfn.REGEXEXTRACT(CELL("address",'Raw Data'!B50),"\$([A-Z]+)\$[0-9]+"),""),"")</f>
        <v/>
      </c>
      <c r="C50" s="6" t="str" cm="1">
        <f t="array" aca="1" ref="C50" ca="1">IFERROR(IF(OR('Raw Data'!C50="",LEN(TRIM('Raw Data'!C50))=0),_xlfn.REGEXEXTRACT(CELL("address",'Raw Data'!C50),"\$([A-Z]+)\$[0-9]+"),""),"")</f>
        <v/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2:36" x14ac:dyDescent="0.25">
      <c r="B51" s="6" t="str" cm="1">
        <f t="array" aca="1" ref="B51" ca="1">IFERROR(IF(OR('Raw Data'!B51="",LEN(TRIM('Raw Data'!B51))=0),_xlfn.REGEXEXTRACT(CELL("address",'Raw Data'!B51),"\$([A-Z]+)\$[0-9]+"),""),"")</f>
        <v/>
      </c>
      <c r="C51" s="6" t="str" cm="1">
        <f t="array" aca="1" ref="C51" ca="1">IFERROR(IF(OR('Raw Data'!C51="",LEN(TRIM('Raw Data'!C51))=0),_xlfn.REGEXEXTRACT(CELL("address",'Raw Data'!C51),"\$([A-Z]+)\$[0-9]+"),""),"")</f>
        <v/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2:36" x14ac:dyDescent="0.25">
      <c r="B52" s="6" t="str" cm="1">
        <f t="array" aca="1" ref="B52" ca="1">IFERROR(IF(OR('Raw Data'!B52="",LEN(TRIM('Raw Data'!B52))=0),_xlfn.REGEXEXTRACT(CELL("address",'Raw Data'!B52),"\$([A-Z]+)\$[0-9]+"),""),"")</f>
        <v/>
      </c>
      <c r="C52" s="6" t="str" cm="1">
        <f t="array" aca="1" ref="C52" ca="1">IFERROR(IF(OR('Raw Data'!C52="",LEN(TRIM('Raw Data'!C52))=0),_xlfn.REGEXEXTRACT(CELL("address",'Raw Data'!C52),"\$([A-Z]+)\$[0-9]+"),""),"")</f>
        <v/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2:36" x14ac:dyDescent="0.25">
      <c r="B53" s="6" t="str" cm="1">
        <f t="array" aca="1" ref="B53" ca="1">IFERROR(IF(OR('Raw Data'!B53="",LEN(TRIM('Raw Data'!B53))=0),_xlfn.REGEXEXTRACT(CELL("address",'Raw Data'!B53),"\$([A-Z]+)\$[0-9]+"),""),"")</f>
        <v/>
      </c>
      <c r="C53" s="6" t="str" cm="1">
        <f t="array" aca="1" ref="C53" ca="1">IFERROR(IF(OR('Raw Data'!C53="",LEN(TRIM('Raw Data'!C53))=0),_xlfn.REGEXEXTRACT(CELL("address",'Raw Data'!C53),"\$([A-Z]+)\$[0-9]+"),""),"")</f>
        <v/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2:36" x14ac:dyDescent="0.25">
      <c r="B54" s="6" t="str" cm="1">
        <f t="array" aca="1" ref="B54" ca="1">IFERROR(IF(OR('Raw Data'!B54="",LEN(TRIM('Raw Data'!B54))=0),_xlfn.REGEXEXTRACT(CELL("address",'Raw Data'!B54),"\$([A-Z]+)\$[0-9]+"),""),"")</f>
        <v/>
      </c>
      <c r="C54" s="6" t="str" cm="1">
        <f t="array" aca="1" ref="C54" ca="1">IFERROR(IF(OR('Raw Data'!C54="",LEN(TRIM('Raw Data'!C54))=0),_xlfn.REGEXEXTRACT(CELL("address",'Raw Data'!C54),"\$([A-Z]+)\$[0-9]+"),""),"")</f>
        <v/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2:36" x14ac:dyDescent="0.25">
      <c r="B55" s="6" t="str" cm="1">
        <f t="array" aca="1" ref="B55" ca="1">IFERROR(IF(OR('Raw Data'!B55="",LEN(TRIM('Raw Data'!B55))=0),_xlfn.REGEXEXTRACT(CELL("address",'Raw Data'!B55),"\$([A-Z]+)\$[0-9]+"),""),"")</f>
        <v/>
      </c>
      <c r="C55" s="6" t="str" cm="1">
        <f t="array" aca="1" ref="C55" ca="1">IFERROR(IF(OR('Raw Data'!C55="",LEN(TRIM('Raw Data'!C55))=0),_xlfn.REGEXEXTRACT(CELL("address",'Raw Data'!C55),"\$([A-Z]+)\$[0-9]+"),""),"")</f>
        <v/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2:36" x14ac:dyDescent="0.25">
      <c r="B56" s="6" t="str" cm="1">
        <f t="array" aca="1" ref="B56" ca="1">IFERROR(IF(OR('Raw Data'!B56="",LEN(TRIM('Raw Data'!B56))=0),_xlfn.REGEXEXTRACT(CELL("address",'Raw Data'!B56),"\$([A-Z]+)\$[0-9]+"),""),"")</f>
        <v/>
      </c>
      <c r="C56" s="6" t="str" cm="1">
        <f t="array" aca="1" ref="C56" ca="1">IFERROR(IF(OR('Raw Data'!C56="",LEN(TRIM('Raw Data'!C56))=0),_xlfn.REGEXEXTRACT(CELL("address",'Raw Data'!C56),"\$([A-Z]+)\$[0-9]+"),""),"")</f>
        <v/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2:36" x14ac:dyDescent="0.25">
      <c r="B57" s="6" t="str" cm="1">
        <f t="array" aca="1" ref="B57" ca="1">IFERROR(IF(OR('Raw Data'!B57="",LEN(TRIM('Raw Data'!B57))=0),_xlfn.REGEXEXTRACT(CELL("address",'Raw Data'!B57),"\$([A-Z]+)\$[0-9]+"),""),"")</f>
        <v/>
      </c>
      <c r="C57" s="6" t="str" cm="1">
        <f t="array" aca="1" ref="C57" ca="1">IFERROR(IF(OR('Raw Data'!C57="",LEN(TRIM('Raw Data'!C57))=0),_xlfn.REGEXEXTRACT(CELL("address",'Raw Data'!C57),"\$([A-Z]+)\$[0-9]+"),""),"")</f>
        <v/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2:36" x14ac:dyDescent="0.25">
      <c r="B58" s="6" t="str" cm="1">
        <f t="array" aca="1" ref="B58" ca="1">IFERROR(IF(OR('Raw Data'!B58="",LEN(TRIM('Raw Data'!B58))=0),_xlfn.REGEXEXTRACT(CELL("address",'Raw Data'!B58),"\$([A-Z]+)\$[0-9]+"),""),"")</f>
        <v/>
      </c>
      <c r="C58" s="6" t="str" cm="1">
        <f t="array" aca="1" ref="C58" ca="1">IFERROR(IF(OR('Raw Data'!C58="",LEN(TRIM('Raw Data'!C58))=0),_xlfn.REGEXEXTRACT(CELL("address",'Raw Data'!C58),"\$([A-Z]+)\$[0-9]+"),""),"")</f>
        <v/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2:36" x14ac:dyDescent="0.25">
      <c r="B59" s="6" t="str" cm="1">
        <f t="array" aca="1" ref="B59" ca="1">IFERROR(IF(OR('Raw Data'!B59="",LEN(TRIM('Raw Data'!B59))=0),_xlfn.REGEXEXTRACT(CELL("address",'Raw Data'!B59),"\$([A-Z]+)\$[0-9]+"),""),"")</f>
        <v/>
      </c>
      <c r="C59" s="6" t="str" cm="1">
        <f t="array" aca="1" ref="C59" ca="1">IFERROR(IF(OR('Raw Data'!C59="",LEN(TRIM('Raw Data'!C59))=0),_xlfn.REGEXEXTRACT(CELL("address",'Raw Data'!C59),"\$([A-Z]+)\$[0-9]+"),""),"")</f>
        <v/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2:36" x14ac:dyDescent="0.25">
      <c r="B60" s="6" t="str" cm="1">
        <f t="array" aca="1" ref="B60" ca="1">IFERROR(IF(OR('Raw Data'!B60="",LEN(TRIM('Raw Data'!B60))=0),_xlfn.REGEXEXTRACT(CELL("address",'Raw Data'!B60),"\$([A-Z]+)\$[0-9]+"),""),"")</f>
        <v/>
      </c>
      <c r="C60" s="6" t="str" cm="1">
        <f t="array" aca="1" ref="C60" ca="1">IFERROR(IF(OR('Raw Data'!C60="",LEN(TRIM('Raw Data'!C60))=0),_xlfn.REGEXEXTRACT(CELL("address",'Raw Data'!C60),"\$([A-Z]+)\$[0-9]+"),""),"")</f>
        <v/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2:36" x14ac:dyDescent="0.25">
      <c r="B61" s="6" t="str" cm="1">
        <f t="array" aca="1" ref="B61" ca="1">IFERROR(IF(OR('Raw Data'!B61="",LEN(TRIM('Raw Data'!B61))=0),_xlfn.REGEXEXTRACT(CELL("address",'Raw Data'!B61),"\$([A-Z]+)\$[0-9]+"),""),"")</f>
        <v/>
      </c>
      <c r="C61" s="6" t="str" cm="1">
        <f t="array" aca="1" ref="C61" ca="1">IFERROR(IF(OR('Raw Data'!C61="",LEN(TRIM('Raw Data'!C61))=0),_xlfn.REGEXEXTRACT(CELL("address",'Raw Data'!C61),"\$([A-Z]+)\$[0-9]+"),""),"")</f>
        <v/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2:36" x14ac:dyDescent="0.25">
      <c r="B62" s="6" t="str" cm="1">
        <f t="array" aca="1" ref="B62" ca="1">IFERROR(IF(OR('Raw Data'!B62="",LEN(TRIM('Raw Data'!B62))=0),_xlfn.REGEXEXTRACT(CELL("address",'Raw Data'!B62),"\$([A-Z]+)\$[0-9]+"),""),"")</f>
        <v/>
      </c>
      <c r="C62" s="6" t="str" cm="1">
        <f t="array" aca="1" ref="C62" ca="1">IFERROR(IF(OR('Raw Data'!C62="",LEN(TRIM('Raw Data'!C62))=0),_xlfn.REGEXEXTRACT(CELL("address",'Raw Data'!C62),"\$([A-Z]+)\$[0-9]+"),""),"")</f>
        <v/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2:36" x14ac:dyDescent="0.25">
      <c r="B63" s="6" t="str" cm="1">
        <f t="array" aca="1" ref="B63" ca="1">IFERROR(IF(OR('Raw Data'!B63="",LEN(TRIM('Raw Data'!B63))=0),_xlfn.REGEXEXTRACT(CELL("address",'Raw Data'!B63),"\$([A-Z]+)\$[0-9]+"),""),"")</f>
        <v/>
      </c>
      <c r="C63" s="6" t="str" cm="1">
        <f t="array" aca="1" ref="C63" ca="1">IFERROR(IF(OR('Raw Data'!C63="",LEN(TRIM('Raw Data'!C63))=0),_xlfn.REGEXEXTRACT(CELL("address",'Raw Data'!C63),"\$([A-Z]+)\$[0-9]+"),""),"")</f>
        <v/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2:36" x14ac:dyDescent="0.25">
      <c r="B64" s="6" t="str" cm="1">
        <f t="array" aca="1" ref="B64" ca="1">IFERROR(IF(OR('Raw Data'!B64="",LEN(TRIM('Raw Data'!B64))=0),_xlfn.REGEXEXTRACT(CELL("address",'Raw Data'!B64),"\$([A-Z]+)\$[0-9]+"),""),"")</f>
        <v/>
      </c>
      <c r="C64" s="6" t="str" cm="1">
        <f t="array" aca="1" ref="C64" ca="1">IFERROR(IF(OR('Raw Data'!C64="",LEN(TRIM('Raw Data'!C64))=0),_xlfn.REGEXEXTRACT(CELL("address",'Raw Data'!C64),"\$([A-Z]+)\$[0-9]+"),""),"")</f>
        <v/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2:36" x14ac:dyDescent="0.25">
      <c r="B65" s="6" t="str" cm="1">
        <f t="array" aca="1" ref="B65" ca="1">IFERROR(IF(OR('Raw Data'!B65="",LEN(TRIM('Raw Data'!B65))=0),_xlfn.REGEXEXTRACT(CELL("address",'Raw Data'!B65),"\$([A-Z]+)\$[0-9]+"),""),"")</f>
        <v/>
      </c>
      <c r="C65" s="6" t="str" cm="1">
        <f t="array" aca="1" ref="C65" ca="1">IFERROR(IF(OR('Raw Data'!C65="",LEN(TRIM('Raw Data'!C65))=0),_xlfn.REGEXEXTRACT(CELL("address",'Raw Data'!C65),"\$([A-Z]+)\$[0-9]+"),""),"")</f>
        <v/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2:36" x14ac:dyDescent="0.25">
      <c r="B66" s="6" t="str" cm="1">
        <f t="array" aca="1" ref="B66" ca="1">IFERROR(IF(OR('Raw Data'!B66="",LEN(TRIM('Raw Data'!B66))=0),_xlfn.REGEXEXTRACT(CELL("address",'Raw Data'!B66),"\$([A-Z]+)\$[0-9]+"),""),"")</f>
        <v/>
      </c>
      <c r="C66" s="6" t="str" cm="1">
        <f t="array" aca="1" ref="C66" ca="1">IFERROR(IF(OR('Raw Data'!C66="",LEN(TRIM('Raw Data'!C66))=0),_xlfn.REGEXEXTRACT(CELL("address",'Raw Data'!C66),"\$([A-Z]+)\$[0-9]+"),""),"")</f>
        <v/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2:36" x14ac:dyDescent="0.25">
      <c r="B67" s="6" t="str" cm="1">
        <f t="array" aca="1" ref="B67" ca="1">IFERROR(IF(OR('Raw Data'!B67="",LEN(TRIM('Raw Data'!B67))=0),_xlfn.REGEXEXTRACT(CELL("address",'Raw Data'!B67),"\$([A-Z]+)\$[0-9]+"),""),"")</f>
        <v/>
      </c>
      <c r="C67" s="6" t="str" cm="1">
        <f t="array" aca="1" ref="C67" ca="1">IFERROR(IF(OR('Raw Data'!C67="",LEN(TRIM('Raw Data'!C67))=0),_xlfn.REGEXEXTRACT(CELL("address",'Raw Data'!C67),"\$([A-Z]+)\$[0-9]+"),""),"")</f>
        <v/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2:36" x14ac:dyDescent="0.25">
      <c r="B68" s="6" t="str" cm="1">
        <f t="array" aca="1" ref="B68" ca="1">IFERROR(IF(OR('Raw Data'!B68="",LEN(TRIM('Raw Data'!B68))=0),_xlfn.REGEXEXTRACT(CELL("address",'Raw Data'!B68),"\$([A-Z]+)\$[0-9]+"),""),"")</f>
        <v/>
      </c>
      <c r="C68" s="6" t="str" cm="1">
        <f t="array" aca="1" ref="C68" ca="1">IFERROR(IF(OR('Raw Data'!C68="",LEN(TRIM('Raw Data'!C68))=0),_xlfn.REGEXEXTRACT(CELL("address",'Raw Data'!C68),"\$([A-Z]+)\$[0-9]+"),""),"")</f>
        <v/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2:36" x14ac:dyDescent="0.25">
      <c r="B69" s="6" t="str" cm="1">
        <f t="array" aca="1" ref="B69" ca="1">IFERROR(IF(OR('Raw Data'!B69="",LEN(TRIM('Raw Data'!B69))=0),_xlfn.REGEXEXTRACT(CELL("address",'Raw Data'!B69),"\$([A-Z]+)\$[0-9]+"),""),"")</f>
        <v/>
      </c>
      <c r="C69" s="6" t="str" cm="1">
        <f t="array" aca="1" ref="C69" ca="1">IFERROR(IF(OR('Raw Data'!C69="",LEN(TRIM('Raw Data'!C69))=0),_xlfn.REGEXEXTRACT(CELL("address",'Raw Data'!C69),"\$([A-Z]+)\$[0-9]+"),""),"")</f>
        <v/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2:36" x14ac:dyDescent="0.25">
      <c r="B70" s="6" t="str" cm="1">
        <f t="array" aca="1" ref="B70" ca="1">IFERROR(IF(OR('Raw Data'!B70="",LEN(TRIM('Raw Data'!B70))=0),_xlfn.REGEXEXTRACT(CELL("address",'Raw Data'!B70),"\$([A-Z]+)\$[0-9]+"),""),"")</f>
        <v/>
      </c>
      <c r="C70" s="6" t="str" cm="1">
        <f t="array" aca="1" ref="C70" ca="1">IFERROR(IF(OR('Raw Data'!C70="",LEN(TRIM('Raw Data'!C70))=0),_xlfn.REGEXEXTRACT(CELL("address",'Raw Data'!C70),"\$([A-Z]+)\$[0-9]+"),""),"")</f>
        <v/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2:36" x14ac:dyDescent="0.25">
      <c r="B71" s="6" t="str" cm="1">
        <f t="array" aca="1" ref="B71" ca="1">IFERROR(IF(OR('Raw Data'!B71="",LEN(TRIM('Raw Data'!B71))=0),_xlfn.REGEXEXTRACT(CELL("address",'Raw Data'!B71),"\$([A-Z]+)\$[0-9]+"),""),"")</f>
        <v/>
      </c>
      <c r="C71" s="6" t="str" cm="1">
        <f t="array" aca="1" ref="C71" ca="1">IFERROR(IF(OR('Raw Data'!C71="",LEN(TRIM('Raw Data'!C71))=0),_xlfn.REGEXEXTRACT(CELL("address",'Raw Data'!C71),"\$([A-Z]+)\$[0-9]+"),""),"")</f>
        <v/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2:36" x14ac:dyDescent="0.25">
      <c r="B72" s="6" t="str" cm="1">
        <f t="array" aca="1" ref="B72" ca="1">IFERROR(IF(OR('Raw Data'!B72="",LEN(TRIM('Raw Data'!B72))=0),_xlfn.REGEXEXTRACT(CELL("address",'Raw Data'!B72),"\$([A-Z]+)\$[0-9]+"),""),"")</f>
        <v/>
      </c>
      <c r="C72" s="6" t="str" cm="1">
        <f t="array" aca="1" ref="C72" ca="1">IFERROR(IF(OR('Raw Data'!C72="",LEN(TRIM('Raw Data'!C72))=0),_xlfn.REGEXEXTRACT(CELL("address",'Raw Data'!C72),"\$([A-Z]+)\$[0-9]+"),""),"")</f>
        <v/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2:36" x14ac:dyDescent="0.25">
      <c r="B73" s="6" t="str" cm="1">
        <f t="array" aca="1" ref="B73" ca="1">IFERROR(IF(OR('Raw Data'!B73="",LEN(TRIM('Raw Data'!B73))=0),_xlfn.REGEXEXTRACT(CELL("address",'Raw Data'!B73),"\$([A-Z]+)\$[0-9]+"),""),"")</f>
        <v/>
      </c>
      <c r="C73" s="6" t="str" cm="1">
        <f t="array" aca="1" ref="C73" ca="1">IFERROR(IF(OR('Raw Data'!C73="",LEN(TRIM('Raw Data'!C73))=0),_xlfn.REGEXEXTRACT(CELL("address",'Raw Data'!C73),"\$([A-Z]+)\$[0-9]+"),""),"")</f>
        <v/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2:36" x14ac:dyDescent="0.25">
      <c r="B74" s="6" t="str" cm="1">
        <f t="array" aca="1" ref="B74" ca="1">IFERROR(IF(OR('Raw Data'!B74="",LEN(TRIM('Raw Data'!B74))=0),_xlfn.REGEXEXTRACT(CELL("address",'Raw Data'!B74),"\$([A-Z]+)\$[0-9]+"),""),"")</f>
        <v/>
      </c>
      <c r="C74" s="6" t="str" cm="1">
        <f t="array" aca="1" ref="C74" ca="1">IFERROR(IF(OR('Raw Data'!C74="",LEN(TRIM('Raw Data'!C74))=0),_xlfn.REGEXEXTRACT(CELL("address",'Raw Data'!C74),"\$([A-Z]+)\$[0-9]+"),""),"")</f>
        <v/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2:36" x14ac:dyDescent="0.25">
      <c r="B75" s="6" t="str" cm="1">
        <f t="array" aca="1" ref="B75" ca="1">IFERROR(IF(OR('Raw Data'!B75="",LEN(TRIM('Raw Data'!B75))=0),_xlfn.REGEXEXTRACT(CELL("address",'Raw Data'!B75),"\$([A-Z]+)\$[0-9]+"),""),"")</f>
        <v/>
      </c>
      <c r="C75" s="6" t="str" cm="1">
        <f t="array" aca="1" ref="C75" ca="1">IFERROR(IF(OR('Raw Data'!C75="",LEN(TRIM('Raw Data'!C75))=0),_xlfn.REGEXEXTRACT(CELL("address",'Raw Data'!C75),"\$([A-Z]+)\$[0-9]+"),""),"")</f>
        <v/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2:36" x14ac:dyDescent="0.25">
      <c r="B76" s="6" t="str" cm="1">
        <f t="array" aca="1" ref="B76" ca="1">IFERROR(IF(OR('Raw Data'!B76="",LEN(TRIM('Raw Data'!B76))=0),_xlfn.REGEXEXTRACT(CELL("address",'Raw Data'!B76),"\$([A-Z]+)\$[0-9]+"),""),"")</f>
        <v/>
      </c>
      <c r="C76" s="6" t="str" cm="1">
        <f t="array" aca="1" ref="C76" ca="1">IFERROR(IF(OR('Raw Data'!C76="",LEN(TRIM('Raw Data'!C76))=0),_xlfn.REGEXEXTRACT(CELL("address",'Raw Data'!C76),"\$([A-Z]+)\$[0-9]+"),""),"")</f>
        <v/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2:36" x14ac:dyDescent="0.25">
      <c r="B77" s="6" t="str" cm="1">
        <f t="array" aca="1" ref="B77" ca="1">IFERROR(IF(OR('Raw Data'!B77="",LEN(TRIM('Raw Data'!B77))=0),_xlfn.REGEXEXTRACT(CELL("address",'Raw Data'!B77),"\$([A-Z]+)\$[0-9]+"),""),"")</f>
        <v/>
      </c>
      <c r="C77" s="6" t="str" cm="1">
        <f t="array" aca="1" ref="C77" ca="1">IFERROR(IF(OR('Raw Data'!C77="",LEN(TRIM('Raw Data'!C77))=0),_xlfn.REGEXEXTRACT(CELL("address",'Raw Data'!C77),"\$([A-Z]+)\$[0-9]+"),""),"")</f>
        <v/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2:36" x14ac:dyDescent="0.25">
      <c r="B78" s="6" t="str" cm="1">
        <f t="array" aca="1" ref="B78" ca="1">IFERROR(IF(OR('Raw Data'!B78="",LEN(TRIM('Raw Data'!B78))=0),_xlfn.REGEXEXTRACT(CELL("address",'Raw Data'!B78),"\$([A-Z]+)\$[0-9]+"),""),"")</f>
        <v/>
      </c>
      <c r="C78" s="6" t="str" cm="1">
        <f t="array" aca="1" ref="C78" ca="1">IFERROR(IF(OR('Raw Data'!C78="",LEN(TRIM('Raw Data'!C78))=0),_xlfn.REGEXEXTRACT(CELL("address",'Raw Data'!C78),"\$([A-Z]+)\$[0-9]+"),""),"")</f>
        <v/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2:36" x14ac:dyDescent="0.25">
      <c r="B79" s="6" t="str" cm="1">
        <f t="array" aca="1" ref="B79" ca="1">IFERROR(IF(OR('Raw Data'!B79="",LEN(TRIM('Raw Data'!B79))=0),_xlfn.REGEXEXTRACT(CELL("address",'Raw Data'!B79),"\$([A-Z]+)\$[0-9]+"),""),"")</f>
        <v/>
      </c>
      <c r="C79" s="6" t="str" cm="1">
        <f t="array" aca="1" ref="C79" ca="1">IFERROR(IF(OR('Raw Data'!C79="",LEN(TRIM('Raw Data'!C79))=0),_xlfn.REGEXEXTRACT(CELL("address",'Raw Data'!C79),"\$([A-Z]+)\$[0-9]+"),""),"")</f>
        <v/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2:36" x14ac:dyDescent="0.25">
      <c r="B80" s="6" t="str" cm="1">
        <f t="array" aca="1" ref="B80" ca="1">IFERROR(IF(OR('Raw Data'!B80="",LEN(TRIM('Raw Data'!B80))=0),_xlfn.REGEXEXTRACT(CELL("address",'Raw Data'!B80),"\$([A-Z]+)\$[0-9]+"),""),"")</f>
        <v/>
      </c>
      <c r="C80" s="6" t="str" cm="1">
        <f t="array" aca="1" ref="C80" ca="1">IFERROR(IF(OR('Raw Data'!C80="",LEN(TRIM('Raw Data'!C80))=0),_xlfn.REGEXEXTRACT(CELL("address",'Raw Data'!C80),"\$([A-Z]+)\$[0-9]+"),""),"")</f>
        <v/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2:36" x14ac:dyDescent="0.25">
      <c r="B81" s="6" t="str" cm="1">
        <f t="array" aca="1" ref="B81" ca="1">IFERROR(IF(OR('Raw Data'!B81="",LEN(TRIM('Raw Data'!B81))=0),_xlfn.REGEXEXTRACT(CELL("address",'Raw Data'!B81),"\$([A-Z]+)\$[0-9]+"),""),"")</f>
        <v/>
      </c>
      <c r="C81" s="6" t="str" cm="1">
        <f t="array" aca="1" ref="C81" ca="1">IFERROR(IF(OR('Raw Data'!C81="",LEN(TRIM('Raw Data'!C81))=0),_xlfn.REGEXEXTRACT(CELL("address",'Raw Data'!C81),"\$([A-Z]+)\$[0-9]+"),""),"")</f>
        <v/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2:36" x14ac:dyDescent="0.25">
      <c r="B82" s="6" t="str" cm="1">
        <f t="array" aca="1" ref="B82" ca="1">IFERROR(IF(OR('Raw Data'!B82="",LEN(TRIM('Raw Data'!B82))=0),_xlfn.REGEXEXTRACT(CELL("address",'Raw Data'!B82),"\$([A-Z]+)\$[0-9]+"),""),"")</f>
        <v/>
      </c>
      <c r="C82" s="6" t="str" cm="1">
        <f t="array" aca="1" ref="C82" ca="1">IFERROR(IF(OR('Raw Data'!C82="",LEN(TRIM('Raw Data'!C82))=0),_xlfn.REGEXEXTRACT(CELL("address",'Raw Data'!C82),"\$([A-Z]+)\$[0-9]+"),""),"")</f>
        <v/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2:36" x14ac:dyDescent="0.25">
      <c r="B83" s="6" t="str" cm="1">
        <f t="array" aca="1" ref="B83" ca="1">IFERROR(IF(OR('Raw Data'!B83="",LEN(TRIM('Raw Data'!B83))=0),_xlfn.REGEXEXTRACT(CELL("address",'Raw Data'!B83),"\$([A-Z]+)\$[0-9]+"),""),"")</f>
        <v/>
      </c>
      <c r="C83" s="6" t="str" cm="1">
        <f t="array" aca="1" ref="C83" ca="1">IFERROR(IF(OR('Raw Data'!C83="",LEN(TRIM('Raw Data'!C83))=0),_xlfn.REGEXEXTRACT(CELL("address",'Raw Data'!C83),"\$([A-Z]+)\$[0-9]+"),""),"")</f>
        <v/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2:36" x14ac:dyDescent="0.25">
      <c r="B84" s="6" t="str" cm="1">
        <f t="array" aca="1" ref="B84" ca="1">IFERROR(IF(OR('Raw Data'!B84="",LEN(TRIM('Raw Data'!B84))=0),_xlfn.REGEXEXTRACT(CELL("address",'Raw Data'!B84),"\$([A-Z]+)\$[0-9]+"),""),"")</f>
        <v/>
      </c>
      <c r="C84" s="6" t="str" cm="1">
        <f t="array" aca="1" ref="C84" ca="1">IFERROR(IF(OR('Raw Data'!C84="",LEN(TRIM('Raw Data'!C84))=0),_xlfn.REGEXEXTRACT(CELL("address",'Raw Data'!C84),"\$([A-Z]+)\$[0-9]+"),""),"")</f>
        <v/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2:36" x14ac:dyDescent="0.25">
      <c r="B85" s="6" t="str" cm="1">
        <f t="array" aca="1" ref="B85" ca="1">IFERROR(IF(OR('Raw Data'!B85="",LEN(TRIM('Raw Data'!B85))=0),_xlfn.REGEXEXTRACT(CELL("address",'Raw Data'!B85),"\$([A-Z]+)\$[0-9]+"),""),"")</f>
        <v/>
      </c>
      <c r="C85" s="6" t="str" cm="1">
        <f t="array" aca="1" ref="C85" ca="1">IFERROR(IF(OR('Raw Data'!C85="",LEN(TRIM('Raw Data'!C85))=0),_xlfn.REGEXEXTRACT(CELL("address",'Raw Data'!C85),"\$([A-Z]+)\$[0-9]+"),""),"")</f>
        <v/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2:36" x14ac:dyDescent="0.25">
      <c r="B86" s="6" t="str" cm="1">
        <f t="array" aca="1" ref="B86" ca="1">IFERROR(IF(OR('Raw Data'!B86="",LEN(TRIM('Raw Data'!B86))=0),_xlfn.REGEXEXTRACT(CELL("address",'Raw Data'!B86),"\$([A-Z]+)\$[0-9]+"),""),"")</f>
        <v/>
      </c>
      <c r="C86" s="6" t="str" cm="1">
        <f t="array" aca="1" ref="C86" ca="1">IFERROR(IF(OR('Raw Data'!C86="",LEN(TRIM('Raw Data'!C86))=0),_xlfn.REGEXEXTRACT(CELL("address",'Raw Data'!C86),"\$([A-Z]+)\$[0-9]+"),""),"")</f>
        <v/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2:36" x14ac:dyDescent="0.25">
      <c r="B87" s="6" t="str" cm="1">
        <f t="array" aca="1" ref="B87" ca="1">IFERROR(IF(OR('Raw Data'!B87="",LEN(TRIM('Raw Data'!B87))=0),_xlfn.REGEXEXTRACT(CELL("address",'Raw Data'!B87),"\$([A-Z]+)\$[0-9]+"),""),"")</f>
        <v/>
      </c>
      <c r="C87" s="6" t="str" cm="1">
        <f t="array" aca="1" ref="C87" ca="1">IFERROR(IF(OR('Raw Data'!C87="",LEN(TRIM('Raw Data'!C87))=0),_xlfn.REGEXEXTRACT(CELL("address",'Raw Data'!C87),"\$([A-Z]+)\$[0-9]+"),""),"")</f>
        <v/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2:36" x14ac:dyDescent="0.25">
      <c r="B88" s="6" t="str" cm="1">
        <f t="array" aca="1" ref="B88" ca="1">IFERROR(IF(OR('Raw Data'!B88="",LEN(TRIM('Raw Data'!B88))=0),_xlfn.REGEXEXTRACT(CELL("address",'Raw Data'!B88),"\$([A-Z]+)\$[0-9]+"),""),"")</f>
        <v/>
      </c>
      <c r="C88" s="6" t="str" cm="1">
        <f t="array" aca="1" ref="C88" ca="1">IFERROR(IF(OR('Raw Data'!C88="",LEN(TRIM('Raw Data'!C88))=0),_xlfn.REGEXEXTRACT(CELL("address",'Raw Data'!C88),"\$([A-Z]+)\$[0-9]+"),""),"")</f>
        <v/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2:36" x14ac:dyDescent="0.25">
      <c r="B89" s="6" t="str" cm="1">
        <f t="array" aca="1" ref="B89" ca="1">IFERROR(IF(OR('Raw Data'!B89="",LEN(TRIM('Raw Data'!B89))=0),_xlfn.REGEXEXTRACT(CELL("address",'Raw Data'!B89),"\$([A-Z]+)\$[0-9]+"),""),"")</f>
        <v/>
      </c>
      <c r="C89" s="6" t="str" cm="1">
        <f t="array" aca="1" ref="C89" ca="1">IFERROR(IF(OR('Raw Data'!C89="",LEN(TRIM('Raw Data'!C89))=0),_xlfn.REGEXEXTRACT(CELL("address",'Raw Data'!C89),"\$([A-Z]+)\$[0-9]+"),""),"")</f>
        <v/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2:36" x14ac:dyDescent="0.25">
      <c r="B90" s="6" t="str" cm="1">
        <f t="array" aca="1" ref="B90" ca="1">IFERROR(IF(OR('Raw Data'!B90="",LEN(TRIM('Raw Data'!B90))=0),_xlfn.REGEXEXTRACT(CELL("address",'Raw Data'!B90),"\$([A-Z]+)\$[0-9]+"),""),"")</f>
        <v/>
      </c>
      <c r="C90" s="6" t="str" cm="1">
        <f t="array" aca="1" ref="C90" ca="1">IFERROR(IF(OR('Raw Data'!C90="",LEN(TRIM('Raw Data'!C90))=0),_xlfn.REGEXEXTRACT(CELL("address",'Raw Data'!C90),"\$([A-Z]+)\$[0-9]+"),""),"")</f>
        <v/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2:36" x14ac:dyDescent="0.25">
      <c r="B91" s="6" t="str" cm="1">
        <f t="array" aca="1" ref="B91" ca="1">IFERROR(IF(OR('Raw Data'!B91="",LEN(TRIM('Raw Data'!B91))=0),_xlfn.REGEXEXTRACT(CELL("address",'Raw Data'!B91),"\$([A-Z]+)\$[0-9]+"),""),"")</f>
        <v/>
      </c>
      <c r="C91" s="6" t="str" cm="1">
        <f t="array" aca="1" ref="C91" ca="1">IFERROR(IF(OR('Raw Data'!C91="",LEN(TRIM('Raw Data'!C91))=0),_xlfn.REGEXEXTRACT(CELL("address",'Raw Data'!C91),"\$([A-Z]+)\$[0-9]+"),""),"")</f>
        <v/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2:36" x14ac:dyDescent="0.25">
      <c r="B92" s="6" t="str" cm="1">
        <f t="array" aca="1" ref="B92" ca="1">IFERROR(IF(OR('Raw Data'!B92="",LEN(TRIM('Raw Data'!B92))=0),_xlfn.REGEXEXTRACT(CELL("address",'Raw Data'!B92),"\$([A-Z]+)\$[0-9]+"),""),"")</f>
        <v/>
      </c>
      <c r="C92" s="6" t="str" cm="1">
        <f t="array" aca="1" ref="C92" ca="1">IFERROR(IF(OR('Raw Data'!C92="",LEN(TRIM('Raw Data'!C92))=0),_xlfn.REGEXEXTRACT(CELL("address",'Raw Data'!C92),"\$([A-Z]+)\$[0-9]+"),""),"")</f>
        <v/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2:36" x14ac:dyDescent="0.25">
      <c r="B93" s="6" t="str" cm="1">
        <f t="array" aca="1" ref="B93" ca="1">IFERROR(IF(OR('Raw Data'!B93="",LEN(TRIM('Raw Data'!B93))=0),_xlfn.REGEXEXTRACT(CELL("address",'Raw Data'!B93),"\$([A-Z]+)\$[0-9]+"),""),"")</f>
        <v/>
      </c>
      <c r="C93" s="6" t="str" cm="1">
        <f t="array" aca="1" ref="C93" ca="1">IFERROR(IF(OR('Raw Data'!C93="",LEN(TRIM('Raw Data'!C93))=0),_xlfn.REGEXEXTRACT(CELL("address",'Raw Data'!C93),"\$([A-Z]+)\$[0-9]+"),""),"")</f>
        <v/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2:36" x14ac:dyDescent="0.25">
      <c r="B94" s="6" t="str" cm="1">
        <f t="array" aca="1" ref="B94" ca="1">IFERROR(IF(OR('Raw Data'!B94="",LEN(TRIM('Raw Data'!B94))=0),_xlfn.REGEXEXTRACT(CELL("address",'Raw Data'!B94),"\$([A-Z]+)\$[0-9]+"),""),"")</f>
        <v/>
      </c>
      <c r="C94" s="6" t="str" cm="1">
        <f t="array" aca="1" ref="C94" ca="1">IFERROR(IF(OR('Raw Data'!C94="",LEN(TRIM('Raw Data'!C94))=0),_xlfn.REGEXEXTRACT(CELL("address",'Raw Data'!C94),"\$([A-Z]+)\$[0-9]+"),""),"")</f>
        <v/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2:36" x14ac:dyDescent="0.25">
      <c r="B95" s="6" t="str" cm="1">
        <f t="array" aca="1" ref="B95" ca="1">IFERROR(IF(OR('Raw Data'!B95="",LEN(TRIM('Raw Data'!B95))=0),_xlfn.REGEXEXTRACT(CELL("address",'Raw Data'!B95),"\$([A-Z]+)\$[0-9]+"),""),"")</f>
        <v/>
      </c>
      <c r="C95" s="6" t="str" cm="1">
        <f t="array" aca="1" ref="C95" ca="1">IFERROR(IF(OR('Raw Data'!C95="",LEN(TRIM('Raw Data'!C95))=0),_xlfn.REGEXEXTRACT(CELL("address",'Raw Data'!C95),"\$([A-Z]+)\$[0-9]+"),""),"")</f>
        <v/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2:36" x14ac:dyDescent="0.25">
      <c r="B96" s="6" t="str" cm="1">
        <f t="array" aca="1" ref="B96" ca="1">IFERROR(IF(OR('Raw Data'!B96="",LEN(TRIM('Raw Data'!B96))=0),_xlfn.REGEXEXTRACT(CELL("address",'Raw Data'!B96),"\$([A-Z]+)\$[0-9]+"),""),"")</f>
        <v/>
      </c>
      <c r="C96" s="6" t="str" cm="1">
        <f t="array" aca="1" ref="C96" ca="1">IFERROR(IF(OR('Raw Data'!C96="",LEN(TRIM('Raw Data'!C96))=0),_xlfn.REGEXEXTRACT(CELL("address",'Raw Data'!C96),"\$([A-Z]+)\$[0-9]+"),""),"")</f>
        <v/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2:36" x14ac:dyDescent="0.25">
      <c r="B97" s="6" t="str" cm="1">
        <f t="array" aca="1" ref="B97" ca="1">IFERROR(IF(OR('Raw Data'!B97="",LEN(TRIM('Raw Data'!B97))=0),_xlfn.REGEXEXTRACT(CELL("address",'Raw Data'!B97),"\$([A-Z]+)\$[0-9]+"),""),"")</f>
        <v/>
      </c>
      <c r="C97" s="6" t="str" cm="1">
        <f t="array" aca="1" ref="C97" ca="1">IFERROR(IF(OR('Raw Data'!C97="",LEN(TRIM('Raw Data'!C97))=0),_xlfn.REGEXEXTRACT(CELL("address",'Raw Data'!C97),"\$([A-Z]+)\$[0-9]+"),""),"")</f>
        <v/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2:36" x14ac:dyDescent="0.25">
      <c r="B98" s="6" t="str" cm="1">
        <f t="array" aca="1" ref="B98" ca="1">IFERROR(IF(OR('Raw Data'!B98="",LEN(TRIM('Raw Data'!B98))=0),_xlfn.REGEXEXTRACT(CELL("address",'Raw Data'!B98),"\$([A-Z]+)\$[0-9]+"),""),"")</f>
        <v/>
      </c>
      <c r="C98" s="6" t="str" cm="1">
        <f t="array" aca="1" ref="C98" ca="1">IFERROR(IF(OR('Raw Data'!C98="",LEN(TRIM('Raw Data'!C98))=0),_xlfn.REGEXEXTRACT(CELL("address",'Raw Data'!C98),"\$([A-Z]+)\$[0-9]+"),""),"")</f>
        <v/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2:36" x14ac:dyDescent="0.25">
      <c r="B99" s="6" t="str" cm="1">
        <f t="array" aca="1" ref="B99" ca="1">IFERROR(IF(OR('Raw Data'!B99="",LEN(TRIM('Raw Data'!B99))=0),_xlfn.REGEXEXTRACT(CELL("address",'Raw Data'!B99),"\$([A-Z]+)\$[0-9]+"),""),"")</f>
        <v/>
      </c>
      <c r="C99" s="6" t="str" cm="1">
        <f t="array" aca="1" ref="C99" ca="1">IFERROR(IF(OR('Raw Data'!C99="",LEN(TRIM('Raw Data'!C99))=0),_xlfn.REGEXEXTRACT(CELL("address",'Raw Data'!C99),"\$([A-Z]+)\$[0-9]+"),""),"")</f>
        <v/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2:36" x14ac:dyDescent="0.25">
      <c r="B100" s="6" t="str" cm="1">
        <f t="array" aca="1" ref="B100" ca="1">IFERROR(IF(OR('Raw Data'!B100="",LEN(TRIM('Raw Data'!B100))=0),_xlfn.REGEXEXTRACT(CELL("address",'Raw Data'!B100),"\$([A-Z]+)\$[0-9]+"),""),"")</f>
        <v/>
      </c>
      <c r="C100" s="6" t="str" cm="1">
        <f t="array" aca="1" ref="C100" ca="1">IFERROR(IF(OR('Raw Data'!C100="",LEN(TRIM('Raw Data'!C100))=0),_xlfn.REGEXEXTRACT(CELL("address",'Raw Data'!C100),"\$([A-Z]+)\$[0-9]+"),""),"")</f>
        <v/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2:36" x14ac:dyDescent="0.25">
      <c r="B101" s="6" t="str" cm="1">
        <f t="array" aca="1" ref="B101" ca="1">IFERROR(IF(OR('Raw Data'!B101="",LEN(TRIM('Raw Data'!B101))=0),_xlfn.REGEXEXTRACT(CELL("address",'Raw Data'!B101),"\$([A-Z]+)\$[0-9]+"),""),"")</f>
        <v/>
      </c>
      <c r="C101" s="6" t="str" cm="1">
        <f t="array" aca="1" ref="C101" ca="1">IFERROR(IF(OR('Raw Data'!C101="",LEN(TRIM('Raw Data'!C101))=0),_xlfn.REGEXEXTRACT(CELL("address",'Raw Data'!C101),"\$([A-Z]+)\$[0-9]+"),""),"")</f>
        <v/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2:36" x14ac:dyDescent="0.25">
      <c r="B102" s="6" t="str" cm="1">
        <f t="array" aca="1" ref="B102" ca="1">IFERROR(IF(OR('Raw Data'!B102="",LEN(TRIM('Raw Data'!B102))=0),_xlfn.REGEXEXTRACT(CELL("address",'Raw Data'!B102),"\$([A-Z]+)\$[0-9]+"),""),"")</f>
        <v/>
      </c>
      <c r="C102" s="6" t="str" cm="1">
        <f t="array" aca="1" ref="C102" ca="1">IFERROR(IF(OR('Raw Data'!C102="",LEN(TRIM('Raw Data'!C102))=0),_xlfn.REGEXEXTRACT(CELL("address",'Raw Data'!C102),"\$([A-Z]+)\$[0-9]+"),""),"")</f>
        <v/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2:36" x14ac:dyDescent="0.25">
      <c r="B103" s="6" t="str" cm="1">
        <f t="array" aca="1" ref="B103" ca="1">IFERROR(IF(OR('Raw Data'!B103="",LEN(TRIM('Raw Data'!B103))=0),_xlfn.REGEXEXTRACT(CELL("address",'Raw Data'!B103),"\$([A-Z]+)\$[0-9]+"),""),"")</f>
        <v/>
      </c>
      <c r="C103" s="6" t="str" cm="1">
        <f t="array" aca="1" ref="C103" ca="1">IFERROR(IF(OR('Raw Data'!C103="",LEN(TRIM('Raw Data'!C103))=0),_xlfn.REGEXEXTRACT(CELL("address",'Raw Data'!C103),"\$([A-Z]+)\$[0-9]+"),""),"")</f>
        <v/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2:36" x14ac:dyDescent="0.25">
      <c r="B104" s="6" t="str" cm="1">
        <f t="array" aca="1" ref="B104" ca="1">IFERROR(IF(OR('Raw Data'!B104="",LEN(TRIM('Raw Data'!B104))=0),_xlfn.REGEXEXTRACT(CELL("address",'Raw Data'!B104),"\$([A-Z]+)\$[0-9]+"),""),"")</f>
        <v/>
      </c>
      <c r="C104" s="6" t="str" cm="1">
        <f t="array" aca="1" ref="C104" ca="1">IFERROR(IF(OR('Raw Data'!C104="",LEN(TRIM('Raw Data'!C104))=0),_xlfn.REGEXEXTRACT(CELL("address",'Raw Data'!C104),"\$([A-Z]+)\$[0-9]+"),""),"")</f>
        <v/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2:36" x14ac:dyDescent="0.25">
      <c r="B105" s="6" t="str" cm="1">
        <f t="array" aca="1" ref="B105" ca="1">IFERROR(IF(OR('Raw Data'!B105="",LEN(TRIM('Raw Data'!B105))=0),_xlfn.REGEXEXTRACT(CELL("address",'Raw Data'!B105),"\$([A-Z]+)\$[0-9]+"),""),"")</f>
        <v/>
      </c>
      <c r="C105" s="6" t="str" cm="1">
        <f t="array" aca="1" ref="C105" ca="1">IFERROR(IF(OR('Raw Data'!C105="",LEN(TRIM('Raw Data'!C105))=0),_xlfn.REGEXEXTRACT(CELL("address",'Raw Data'!C105),"\$([A-Z]+)\$[0-9]+"),""),"")</f>
        <v/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2:36" x14ac:dyDescent="0.25">
      <c r="B106" s="6" t="str" cm="1">
        <f t="array" aca="1" ref="B106" ca="1">IFERROR(IF(OR('Raw Data'!B106="",LEN(TRIM('Raw Data'!B106))=0),_xlfn.REGEXEXTRACT(CELL("address",'Raw Data'!B106),"\$([A-Z]+)\$[0-9]+"),""),"")</f>
        <v/>
      </c>
      <c r="C106" s="6" t="str" cm="1">
        <f t="array" aca="1" ref="C106" ca="1">IFERROR(IF(OR('Raw Data'!C106="",LEN(TRIM('Raw Data'!C106))=0),_xlfn.REGEXEXTRACT(CELL("address",'Raw Data'!C106),"\$([A-Z]+)\$[0-9]+"),""),"")</f>
        <v/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2:36" x14ac:dyDescent="0.25">
      <c r="B107" s="6" t="str" cm="1">
        <f t="array" aca="1" ref="B107" ca="1">IFERROR(IF(OR('Raw Data'!B107="",LEN(TRIM('Raw Data'!B107))=0),_xlfn.REGEXEXTRACT(CELL("address",'Raw Data'!B107),"\$([A-Z]+)\$[0-9]+"),""),"")</f>
        <v/>
      </c>
      <c r="C107" s="6" t="str" cm="1">
        <f t="array" aca="1" ref="C107" ca="1">IFERROR(IF(OR('Raw Data'!C107="",LEN(TRIM('Raw Data'!C107))=0),_xlfn.REGEXEXTRACT(CELL("address",'Raw Data'!C107),"\$([A-Z]+)\$[0-9]+"),""),"")</f>
        <v/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2:36" x14ac:dyDescent="0.25">
      <c r="B108" s="6" t="str" cm="1">
        <f t="array" aca="1" ref="B108" ca="1">IFERROR(IF(OR('Raw Data'!B108="",LEN(TRIM('Raw Data'!B108))=0),_xlfn.REGEXEXTRACT(CELL("address",'Raw Data'!B108),"\$([A-Z]+)\$[0-9]+"),""),"")</f>
        <v/>
      </c>
      <c r="C108" s="6" t="str" cm="1">
        <f t="array" aca="1" ref="C108" ca="1">IFERROR(IF(OR('Raw Data'!C108="",LEN(TRIM('Raw Data'!C108))=0),_xlfn.REGEXEXTRACT(CELL("address",'Raw Data'!C108),"\$([A-Z]+)\$[0-9]+"),""),"")</f>
        <v/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2:36" x14ac:dyDescent="0.25">
      <c r="B109" s="6" t="str" cm="1">
        <f t="array" aca="1" ref="B109" ca="1">IFERROR(IF(OR('Raw Data'!B109="",LEN(TRIM('Raw Data'!B109))=0),_xlfn.REGEXEXTRACT(CELL("address",'Raw Data'!B109),"\$([A-Z]+)\$[0-9]+"),""),"")</f>
        <v/>
      </c>
      <c r="C109" s="6" t="str" cm="1">
        <f t="array" aca="1" ref="C109" ca="1">IFERROR(IF(OR('Raw Data'!C109="",LEN(TRIM('Raw Data'!C109))=0),_xlfn.REGEXEXTRACT(CELL("address",'Raw Data'!C109),"\$([A-Z]+)\$[0-9]+"),""),"")</f>
        <v/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2:36" x14ac:dyDescent="0.25">
      <c r="B110" s="6" t="str" cm="1">
        <f t="array" aca="1" ref="B110" ca="1">IFERROR(IF(OR('Raw Data'!B110="",LEN(TRIM('Raw Data'!B110))=0),_xlfn.REGEXEXTRACT(CELL("address",'Raw Data'!B110),"\$([A-Z]+)\$[0-9]+"),""),"")</f>
        <v/>
      </c>
      <c r="C110" s="6" t="str" cm="1">
        <f t="array" aca="1" ref="C110" ca="1">IFERROR(IF(OR('Raw Data'!C110="",LEN(TRIM('Raw Data'!C110))=0),_xlfn.REGEXEXTRACT(CELL("address",'Raw Data'!C110),"\$([A-Z]+)\$[0-9]+"),""),"")</f>
        <v/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2:36" x14ac:dyDescent="0.25">
      <c r="B111" s="6" t="str" cm="1">
        <f t="array" aca="1" ref="B111" ca="1">IFERROR(IF(OR('Raw Data'!B111="",LEN(TRIM('Raw Data'!B111))=0),_xlfn.REGEXEXTRACT(CELL("address",'Raw Data'!B111),"\$([A-Z]+)\$[0-9]+"),""),"")</f>
        <v/>
      </c>
      <c r="C111" s="6" t="str" cm="1">
        <f t="array" aca="1" ref="C111" ca="1">IFERROR(IF(OR('Raw Data'!C111="",LEN(TRIM('Raw Data'!C111))=0),_xlfn.REGEXEXTRACT(CELL("address",'Raw Data'!C111),"\$([A-Z]+)\$[0-9]+"),""),"")</f>
        <v/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2:36" x14ac:dyDescent="0.25">
      <c r="B112" s="6" t="str" cm="1">
        <f t="array" aca="1" ref="B112" ca="1">IFERROR(IF(OR('Raw Data'!B112="",LEN(TRIM('Raw Data'!B112))=0),_xlfn.REGEXEXTRACT(CELL("address",'Raw Data'!B112),"\$([A-Z]+)\$[0-9]+"),""),"")</f>
        <v/>
      </c>
      <c r="C112" s="6" t="str" cm="1">
        <f t="array" aca="1" ref="C112" ca="1">IFERROR(IF(OR('Raw Data'!C112="",LEN(TRIM('Raw Data'!C112))=0),_xlfn.REGEXEXTRACT(CELL("address",'Raw Data'!C112),"\$([A-Z]+)\$[0-9]+"),""),"")</f>
        <v/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2:36" x14ac:dyDescent="0.25">
      <c r="B113" s="6" t="str" cm="1">
        <f t="array" aca="1" ref="B113" ca="1">IFERROR(IF(OR('Raw Data'!B113="",LEN(TRIM('Raw Data'!B113))=0),_xlfn.REGEXEXTRACT(CELL("address",'Raw Data'!B113),"\$([A-Z]+)\$[0-9]+"),""),"")</f>
        <v/>
      </c>
      <c r="C113" s="6" t="str" cm="1">
        <f t="array" aca="1" ref="C113" ca="1">IFERROR(IF(OR('Raw Data'!C113="",LEN(TRIM('Raw Data'!C113))=0),_xlfn.REGEXEXTRACT(CELL("address",'Raw Data'!C113),"\$([A-Z]+)\$[0-9]+"),""),"")</f>
        <v/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2:36" x14ac:dyDescent="0.25">
      <c r="B114" s="6" t="str" cm="1">
        <f t="array" aca="1" ref="B114" ca="1">IFERROR(IF(OR('Raw Data'!B114="",LEN(TRIM('Raw Data'!B114))=0),_xlfn.REGEXEXTRACT(CELL("address",'Raw Data'!B114),"\$([A-Z]+)\$[0-9]+"),""),"")</f>
        <v/>
      </c>
      <c r="C114" s="6" t="str" cm="1">
        <f t="array" aca="1" ref="C114" ca="1">IFERROR(IF(OR('Raw Data'!C114="",LEN(TRIM('Raw Data'!C114))=0),_xlfn.REGEXEXTRACT(CELL("address",'Raw Data'!C114),"\$([A-Z]+)\$[0-9]+"),""),"")</f>
        <v/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2:36" x14ac:dyDescent="0.25">
      <c r="B115" s="6" t="str" cm="1">
        <f t="array" aca="1" ref="B115" ca="1">IFERROR(IF(OR('Raw Data'!B115="",LEN(TRIM('Raw Data'!B115))=0),_xlfn.REGEXEXTRACT(CELL("address",'Raw Data'!B115),"\$([A-Z]+)\$[0-9]+"),""),"")</f>
        <v/>
      </c>
      <c r="C115" s="6" t="str" cm="1">
        <f t="array" aca="1" ref="C115" ca="1">IFERROR(IF(OR('Raw Data'!C115="",LEN(TRIM('Raw Data'!C115))=0),_xlfn.REGEXEXTRACT(CELL("address",'Raw Data'!C115),"\$([A-Z]+)\$[0-9]+"),""),"")</f>
        <v/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2:36" x14ac:dyDescent="0.25">
      <c r="B116" s="6" t="str" cm="1">
        <f t="array" aca="1" ref="B116" ca="1">IFERROR(IF(OR('Raw Data'!B116="",LEN(TRIM('Raw Data'!B116))=0),_xlfn.REGEXEXTRACT(CELL("address",'Raw Data'!B116),"\$([A-Z]+)\$[0-9]+"),""),"")</f>
        <v/>
      </c>
      <c r="C116" s="6" t="str" cm="1">
        <f t="array" aca="1" ref="C116" ca="1">IFERROR(IF(OR('Raw Data'!C116="",LEN(TRIM('Raw Data'!C116))=0),_xlfn.REGEXEXTRACT(CELL("address",'Raw Data'!C116),"\$([A-Z]+)\$[0-9]+"),""),"")</f>
        <v/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2:36" x14ac:dyDescent="0.25">
      <c r="B117" s="6" t="str" cm="1">
        <f t="array" aca="1" ref="B117" ca="1">IFERROR(IF(OR('Raw Data'!B117="",LEN(TRIM('Raw Data'!B117))=0),_xlfn.REGEXEXTRACT(CELL("address",'Raw Data'!B117),"\$([A-Z]+)\$[0-9]+"),""),"")</f>
        <v/>
      </c>
      <c r="C117" s="6" t="str" cm="1">
        <f t="array" aca="1" ref="C117" ca="1">IFERROR(IF(OR('Raw Data'!C117="",LEN(TRIM('Raw Data'!C117))=0),_xlfn.REGEXEXTRACT(CELL("address",'Raw Data'!C117),"\$([A-Z]+)\$[0-9]+"),""),"")</f>
        <v/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2:36" x14ac:dyDescent="0.25">
      <c r="B118" s="6" t="str" cm="1">
        <f t="array" aca="1" ref="B118" ca="1">IFERROR(IF(OR('Raw Data'!B118="",LEN(TRIM('Raw Data'!B118))=0),_xlfn.REGEXEXTRACT(CELL("address",'Raw Data'!B118),"\$([A-Z]+)\$[0-9]+"),""),"")</f>
        <v/>
      </c>
      <c r="C118" s="6" t="str" cm="1">
        <f t="array" aca="1" ref="C118" ca="1">IFERROR(IF(OR('Raw Data'!C118="",LEN(TRIM('Raw Data'!C118))=0),_xlfn.REGEXEXTRACT(CELL("address",'Raw Data'!C118),"\$([A-Z]+)\$[0-9]+"),""),"")</f>
        <v/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2:36" x14ac:dyDescent="0.25">
      <c r="B119" s="6" t="str" cm="1">
        <f t="array" aca="1" ref="B119" ca="1">IFERROR(IF(OR('Raw Data'!B119="",LEN(TRIM('Raw Data'!B119))=0),_xlfn.REGEXEXTRACT(CELL("address",'Raw Data'!B119),"\$([A-Z]+)\$[0-9]+"),""),"")</f>
        <v/>
      </c>
      <c r="C119" s="6" t="str" cm="1">
        <f t="array" aca="1" ref="C119" ca="1">IFERROR(IF(OR('Raw Data'!C119="",LEN(TRIM('Raw Data'!C119))=0),_xlfn.REGEXEXTRACT(CELL("address",'Raw Data'!C119),"\$([A-Z]+)\$[0-9]+"),""),"")</f>
        <v/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2:36" x14ac:dyDescent="0.25">
      <c r="B120" s="6" t="str" cm="1">
        <f t="array" aca="1" ref="B120" ca="1">IFERROR(IF(OR('Raw Data'!B120="",LEN(TRIM('Raw Data'!B120))=0),_xlfn.REGEXEXTRACT(CELL("address",'Raw Data'!B120),"\$([A-Z]+)\$[0-9]+"),""),"")</f>
        <v/>
      </c>
      <c r="C120" s="6" t="str" cm="1">
        <f t="array" aca="1" ref="C120" ca="1">IFERROR(IF(OR('Raw Data'!C120="",LEN(TRIM('Raw Data'!C120))=0),_xlfn.REGEXEXTRACT(CELL("address",'Raw Data'!C120),"\$([A-Z]+)\$[0-9]+"),""),"")</f>
        <v/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2:36" x14ac:dyDescent="0.25">
      <c r="B121" s="6" t="str" cm="1">
        <f t="array" aca="1" ref="B121" ca="1">IFERROR(IF(OR('Raw Data'!B121="",LEN(TRIM('Raw Data'!B121))=0),_xlfn.REGEXEXTRACT(CELL("address",'Raw Data'!B121),"\$([A-Z]+)\$[0-9]+"),""),"")</f>
        <v/>
      </c>
      <c r="C121" s="6" t="str" cm="1">
        <f t="array" aca="1" ref="C121" ca="1">IFERROR(IF(OR('Raw Data'!C121="",LEN(TRIM('Raw Data'!C121))=0),_xlfn.REGEXEXTRACT(CELL("address",'Raw Data'!C121),"\$([A-Z]+)\$[0-9]+"),""),"")</f>
        <v/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2:36" x14ac:dyDescent="0.25">
      <c r="B122" s="6" t="str" cm="1">
        <f t="array" aca="1" ref="B122" ca="1">IFERROR(IF(OR('Raw Data'!B122="",LEN(TRIM('Raw Data'!B122))=0),_xlfn.REGEXEXTRACT(CELL("address",'Raw Data'!B122),"\$([A-Z]+)\$[0-9]+"),""),"")</f>
        <v/>
      </c>
      <c r="C122" s="6" t="str" cm="1">
        <f t="array" aca="1" ref="C122" ca="1">IFERROR(IF(OR('Raw Data'!C122="",LEN(TRIM('Raw Data'!C122))=0),_xlfn.REGEXEXTRACT(CELL("address",'Raw Data'!C122),"\$([A-Z]+)\$[0-9]+"),""),"")</f>
        <v/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2:36" x14ac:dyDescent="0.25">
      <c r="B123" s="6" t="str" cm="1">
        <f t="array" aca="1" ref="B123" ca="1">IFERROR(IF(OR('Raw Data'!B123="",LEN(TRIM('Raw Data'!B123))=0),_xlfn.REGEXEXTRACT(CELL("address",'Raw Data'!B123),"\$([A-Z]+)\$[0-9]+"),""),"")</f>
        <v/>
      </c>
      <c r="C123" s="6" t="str" cm="1">
        <f t="array" aca="1" ref="C123" ca="1">IFERROR(IF(OR('Raw Data'!C123="",LEN(TRIM('Raw Data'!C123))=0),_xlfn.REGEXEXTRACT(CELL("address",'Raw Data'!C123),"\$([A-Z]+)\$[0-9]+"),""),"")</f>
        <v/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2:36" x14ac:dyDescent="0.25">
      <c r="B124" s="6" t="str" cm="1">
        <f t="array" aca="1" ref="B124" ca="1">IFERROR(IF(OR('Raw Data'!B124="",LEN(TRIM('Raw Data'!B124))=0),_xlfn.REGEXEXTRACT(CELL("address",'Raw Data'!B124),"\$([A-Z]+)\$[0-9]+"),""),"")</f>
        <v/>
      </c>
      <c r="C124" s="6" t="str" cm="1">
        <f t="array" aca="1" ref="C124" ca="1">IFERROR(IF(OR('Raw Data'!C124="",LEN(TRIM('Raw Data'!C124))=0),_xlfn.REGEXEXTRACT(CELL("address",'Raw Data'!C124),"\$([A-Z]+)\$[0-9]+"),""),"")</f>
        <v/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2:36" x14ac:dyDescent="0.25">
      <c r="B125" s="6" t="str" cm="1">
        <f t="array" aca="1" ref="B125" ca="1">IFERROR(IF(OR('Raw Data'!B125="",LEN(TRIM('Raw Data'!B125))=0),_xlfn.REGEXEXTRACT(CELL("address",'Raw Data'!B125),"\$([A-Z]+)\$[0-9]+"),""),"")</f>
        <v/>
      </c>
      <c r="C125" s="6" t="str" cm="1">
        <f t="array" aca="1" ref="C125" ca="1">IFERROR(IF(OR('Raw Data'!C125="",LEN(TRIM('Raw Data'!C125))=0),_xlfn.REGEXEXTRACT(CELL("address",'Raw Data'!C125),"\$([A-Z]+)\$[0-9]+"),""),"")</f>
        <v/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2:36" x14ac:dyDescent="0.25">
      <c r="B126" s="6" t="str" cm="1">
        <f t="array" aca="1" ref="B126" ca="1">IFERROR(IF(OR('Raw Data'!B126="",LEN(TRIM('Raw Data'!B126))=0),_xlfn.REGEXEXTRACT(CELL("address",'Raw Data'!B126),"\$([A-Z]+)\$[0-9]+"),""),"")</f>
        <v/>
      </c>
      <c r="C126" s="6" t="str" cm="1">
        <f t="array" aca="1" ref="C126" ca="1">IFERROR(IF(OR('Raw Data'!C126="",LEN(TRIM('Raw Data'!C126))=0),_xlfn.REGEXEXTRACT(CELL("address",'Raw Data'!C126),"\$([A-Z]+)\$[0-9]+"),""),"")</f>
        <v/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2:36" x14ac:dyDescent="0.25">
      <c r="B127" s="6" t="str" cm="1">
        <f t="array" aca="1" ref="B127" ca="1">IFERROR(IF(OR('Raw Data'!B127="",LEN(TRIM('Raw Data'!B127))=0),_xlfn.REGEXEXTRACT(CELL("address",'Raw Data'!B127),"\$([A-Z]+)\$[0-9]+"),""),"")</f>
        <v/>
      </c>
      <c r="C127" s="6" t="str" cm="1">
        <f t="array" aca="1" ref="C127" ca="1">IFERROR(IF(OR('Raw Data'!C127="",LEN(TRIM('Raw Data'!C127))=0),_xlfn.REGEXEXTRACT(CELL("address",'Raw Data'!C127),"\$([A-Z]+)\$[0-9]+"),""),"")</f>
        <v/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2:36" x14ac:dyDescent="0.25">
      <c r="B128" s="6" t="str" cm="1">
        <f t="array" aca="1" ref="B128" ca="1">IFERROR(IF(OR('Raw Data'!B128="",LEN(TRIM('Raw Data'!B128))=0),_xlfn.REGEXEXTRACT(CELL("address",'Raw Data'!B128),"\$([A-Z]+)\$[0-9]+"),""),"")</f>
        <v/>
      </c>
      <c r="C128" s="6" t="str" cm="1">
        <f t="array" aca="1" ref="C128" ca="1">IFERROR(IF(OR('Raw Data'!C128="",LEN(TRIM('Raw Data'!C128))=0),_xlfn.REGEXEXTRACT(CELL("address",'Raw Data'!C128),"\$([A-Z]+)\$[0-9]+"),""),"")</f>
        <v/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2:36" x14ac:dyDescent="0.25">
      <c r="B129" s="6" t="str" cm="1">
        <f t="array" aca="1" ref="B129" ca="1">IFERROR(IF(OR('Raw Data'!B129="",LEN(TRIM('Raw Data'!B129))=0),_xlfn.REGEXEXTRACT(CELL("address",'Raw Data'!B129),"\$([A-Z]+)\$[0-9]+"),""),"")</f>
        <v/>
      </c>
      <c r="C129" s="6" t="str" cm="1">
        <f t="array" aca="1" ref="C129" ca="1">IFERROR(IF(OR('Raw Data'!C129="",LEN(TRIM('Raw Data'!C129))=0),_xlfn.REGEXEXTRACT(CELL("address",'Raw Data'!C129),"\$([A-Z]+)\$[0-9]+"),""),"")</f>
        <v/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2:36" x14ac:dyDescent="0.25">
      <c r="B130" s="6" t="str" cm="1">
        <f t="array" aca="1" ref="B130" ca="1">IFERROR(IF(OR('Raw Data'!B130="",LEN(TRIM('Raw Data'!B130))=0),_xlfn.REGEXEXTRACT(CELL("address",'Raw Data'!B130),"\$([A-Z]+)\$[0-9]+"),""),"")</f>
        <v/>
      </c>
      <c r="C130" s="6" t="str" cm="1">
        <f t="array" aca="1" ref="C130" ca="1">IFERROR(IF(OR('Raw Data'!C130="",LEN(TRIM('Raw Data'!C130))=0),_xlfn.REGEXEXTRACT(CELL("address",'Raw Data'!C130),"\$([A-Z]+)\$[0-9]+"),""),"")</f>
        <v/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2:36" x14ac:dyDescent="0.25">
      <c r="B131" s="6" t="str" cm="1">
        <f t="array" aca="1" ref="B131" ca="1">IFERROR(IF(OR('Raw Data'!B131="",LEN(TRIM('Raw Data'!B131))=0),_xlfn.REGEXEXTRACT(CELL("address",'Raw Data'!B131),"\$([A-Z]+)\$[0-9]+"),""),"")</f>
        <v/>
      </c>
      <c r="C131" s="6" t="str" cm="1">
        <f t="array" aca="1" ref="C131" ca="1">IFERROR(IF(OR('Raw Data'!C131="",LEN(TRIM('Raw Data'!C131))=0),_xlfn.REGEXEXTRACT(CELL("address",'Raw Data'!C131),"\$([A-Z]+)\$[0-9]+"),""),"")</f>
        <v/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2:36" x14ac:dyDescent="0.25">
      <c r="B132" s="6" t="str" cm="1">
        <f t="array" aca="1" ref="B132" ca="1">IFERROR(IF(OR('Raw Data'!B132="",LEN(TRIM('Raw Data'!B132))=0),_xlfn.REGEXEXTRACT(CELL("address",'Raw Data'!B132),"\$([A-Z]+)\$[0-9]+"),""),"")</f>
        <v/>
      </c>
      <c r="C132" s="6" t="str" cm="1">
        <f t="array" aca="1" ref="C132" ca="1">IFERROR(IF(OR('Raw Data'!C132="",LEN(TRIM('Raw Data'!C132))=0),_xlfn.REGEXEXTRACT(CELL("address",'Raw Data'!C132),"\$([A-Z]+)\$[0-9]+"),""),"")</f>
        <v/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2:36" x14ac:dyDescent="0.25">
      <c r="B133" s="6" t="str" cm="1">
        <f t="array" aca="1" ref="B133" ca="1">IFERROR(IF(OR('Raw Data'!B133="",LEN(TRIM('Raw Data'!B133))=0),_xlfn.REGEXEXTRACT(CELL("address",'Raw Data'!B133),"\$([A-Z]+)\$[0-9]+"),""),"")</f>
        <v/>
      </c>
      <c r="C133" s="6" t="str" cm="1">
        <f t="array" aca="1" ref="C133" ca="1">IFERROR(IF(OR('Raw Data'!C133="",LEN(TRIM('Raw Data'!C133))=0),_xlfn.REGEXEXTRACT(CELL("address",'Raw Data'!C133),"\$([A-Z]+)\$[0-9]+"),""),"")</f>
        <v/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2:36" x14ac:dyDescent="0.25">
      <c r="B134" s="6" t="str" cm="1">
        <f t="array" aca="1" ref="B134" ca="1">IFERROR(IF(OR('Raw Data'!B134="",LEN(TRIM('Raw Data'!B134))=0),_xlfn.REGEXEXTRACT(CELL("address",'Raw Data'!B134),"\$([A-Z]+)\$[0-9]+"),""),"")</f>
        <v/>
      </c>
      <c r="C134" s="6" t="str" cm="1">
        <f t="array" aca="1" ref="C134" ca="1">IFERROR(IF(OR('Raw Data'!C134="",LEN(TRIM('Raw Data'!C134))=0),_xlfn.REGEXEXTRACT(CELL("address",'Raw Data'!C134),"\$([A-Z]+)\$[0-9]+"),""),"")</f>
        <v/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2:36" x14ac:dyDescent="0.25">
      <c r="B135" s="6" t="str" cm="1">
        <f t="array" aca="1" ref="B135" ca="1">IFERROR(IF(OR('Raw Data'!B135="",LEN(TRIM('Raw Data'!B135))=0),_xlfn.REGEXEXTRACT(CELL("address",'Raw Data'!B135),"\$([A-Z]+)\$[0-9]+"),""),"")</f>
        <v/>
      </c>
      <c r="C135" s="6" t="str" cm="1">
        <f t="array" aca="1" ref="C135" ca="1">IFERROR(IF(OR('Raw Data'!C135="",LEN(TRIM('Raw Data'!C135))=0),_xlfn.REGEXEXTRACT(CELL("address",'Raw Data'!C135),"\$([A-Z]+)\$[0-9]+"),""),"")</f>
        <v/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2:36" x14ac:dyDescent="0.25">
      <c r="B136" s="6" t="str" cm="1">
        <f t="array" aca="1" ref="B136" ca="1">IFERROR(IF(OR('Raw Data'!B136="",LEN(TRIM('Raw Data'!B136))=0),_xlfn.REGEXEXTRACT(CELL("address",'Raw Data'!B136),"\$([A-Z]+)\$[0-9]+"),""),"")</f>
        <v/>
      </c>
      <c r="C136" s="6" t="str" cm="1">
        <f t="array" aca="1" ref="C136" ca="1">IFERROR(IF(OR('Raw Data'!C136="",LEN(TRIM('Raw Data'!C136))=0),_xlfn.REGEXEXTRACT(CELL("address",'Raw Data'!C136),"\$([A-Z]+)\$[0-9]+"),""),"")</f>
        <v/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2:36" x14ac:dyDescent="0.25">
      <c r="B137" s="6" t="str" cm="1">
        <f t="array" aca="1" ref="B137" ca="1">IFERROR(IF(OR('Raw Data'!B137="",LEN(TRIM('Raw Data'!B137))=0),_xlfn.REGEXEXTRACT(CELL("address",'Raw Data'!B137),"\$([A-Z]+)\$[0-9]+"),""),"")</f>
        <v/>
      </c>
      <c r="C137" s="6" t="str" cm="1">
        <f t="array" aca="1" ref="C137" ca="1">IFERROR(IF(OR('Raw Data'!C137="",LEN(TRIM('Raw Data'!C137))=0),_xlfn.REGEXEXTRACT(CELL("address",'Raw Data'!C137),"\$([A-Z]+)\$[0-9]+"),""),"")</f>
        <v/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2:36" x14ac:dyDescent="0.25">
      <c r="B138" s="6" t="str" cm="1">
        <f t="array" aca="1" ref="B138" ca="1">IFERROR(IF(OR('Raw Data'!B138="",LEN(TRIM('Raw Data'!B138))=0),_xlfn.REGEXEXTRACT(CELL("address",'Raw Data'!B138),"\$([A-Z]+)\$[0-9]+"),""),"")</f>
        <v/>
      </c>
      <c r="C138" s="6" t="str" cm="1">
        <f t="array" aca="1" ref="C138" ca="1">IFERROR(IF(OR('Raw Data'!C138="",LEN(TRIM('Raw Data'!C138))=0),_xlfn.REGEXEXTRACT(CELL("address",'Raw Data'!C138),"\$([A-Z]+)\$[0-9]+"),""),"")</f>
        <v/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2:36" x14ac:dyDescent="0.25">
      <c r="B139" s="6" t="str" cm="1">
        <f t="array" aca="1" ref="B139" ca="1">IFERROR(IF(OR('Raw Data'!B139="",LEN(TRIM('Raw Data'!B139))=0),_xlfn.REGEXEXTRACT(CELL("address",'Raw Data'!B139),"\$([A-Z]+)\$[0-9]+"),""),"")</f>
        <v/>
      </c>
      <c r="C139" s="6" t="str" cm="1">
        <f t="array" aca="1" ref="C139" ca="1">IFERROR(IF(OR('Raw Data'!C139="",LEN(TRIM('Raw Data'!C139))=0),_xlfn.REGEXEXTRACT(CELL("address",'Raw Data'!C139),"\$([A-Z]+)\$[0-9]+"),""),"")</f>
        <v/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2:36" x14ac:dyDescent="0.25">
      <c r="B140" s="6" t="str" cm="1">
        <f t="array" aca="1" ref="B140" ca="1">IFERROR(IF(OR('Raw Data'!B140="",LEN(TRIM('Raw Data'!B140))=0),_xlfn.REGEXEXTRACT(CELL("address",'Raw Data'!B140),"\$([A-Z]+)\$[0-9]+"),""),"")</f>
        <v/>
      </c>
      <c r="C140" s="6" t="str" cm="1">
        <f t="array" aca="1" ref="C140" ca="1">IFERROR(IF(OR('Raw Data'!C140="",LEN(TRIM('Raw Data'!C140))=0),_xlfn.REGEXEXTRACT(CELL("address",'Raw Data'!C140),"\$([A-Z]+)\$[0-9]+"),""),"")</f>
        <v/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2:36" x14ac:dyDescent="0.25">
      <c r="B141" s="6" t="str" cm="1">
        <f t="array" aca="1" ref="B141" ca="1">IFERROR(IF(OR('Raw Data'!B141="",LEN(TRIM('Raw Data'!B141))=0),_xlfn.REGEXEXTRACT(CELL("address",'Raw Data'!B141),"\$([A-Z]+)\$[0-9]+"),""),"")</f>
        <v/>
      </c>
      <c r="C141" s="6" t="str" cm="1">
        <f t="array" aca="1" ref="C141" ca="1">IFERROR(IF(OR('Raw Data'!C141="",LEN(TRIM('Raw Data'!C141))=0),_xlfn.REGEXEXTRACT(CELL("address",'Raw Data'!C141),"\$([A-Z]+)\$[0-9]+"),""),"")</f>
        <v/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2:36" x14ac:dyDescent="0.25">
      <c r="B142" s="6" t="str" cm="1">
        <f t="array" aca="1" ref="B142" ca="1">IFERROR(IF(OR('Raw Data'!B142="",LEN(TRIM('Raw Data'!B142))=0),_xlfn.REGEXEXTRACT(CELL("address",'Raw Data'!B142),"\$([A-Z]+)\$[0-9]+"),""),"")</f>
        <v/>
      </c>
      <c r="C142" s="6" t="str" cm="1">
        <f t="array" aca="1" ref="C142" ca="1">IFERROR(IF(OR('Raw Data'!C142="",LEN(TRIM('Raw Data'!C142))=0),_xlfn.REGEXEXTRACT(CELL("address",'Raw Data'!C142),"\$([A-Z]+)\$[0-9]+"),""),"")</f>
        <v/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2:36" x14ac:dyDescent="0.25">
      <c r="B143" s="6" t="str" cm="1">
        <f t="array" aca="1" ref="B143" ca="1">IFERROR(IF(OR('Raw Data'!B143="",LEN(TRIM('Raw Data'!B143))=0),_xlfn.REGEXEXTRACT(CELL("address",'Raw Data'!B143),"\$([A-Z]+)\$[0-9]+"),""),"")</f>
        <v/>
      </c>
      <c r="C143" s="6" t="str" cm="1">
        <f t="array" aca="1" ref="C143" ca="1">IFERROR(IF(OR('Raw Data'!C143="",LEN(TRIM('Raw Data'!C143))=0),_xlfn.REGEXEXTRACT(CELL("address",'Raw Data'!C143),"\$([A-Z]+)\$[0-9]+"),""),"")</f>
        <v/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2:36" x14ac:dyDescent="0.25">
      <c r="B144" s="6" t="str" cm="1">
        <f t="array" aca="1" ref="B144" ca="1">IFERROR(IF(OR('Raw Data'!B144="",LEN(TRIM('Raw Data'!B144))=0),_xlfn.REGEXEXTRACT(CELL("address",'Raw Data'!B144),"\$([A-Z]+)\$[0-9]+"),""),"")</f>
        <v/>
      </c>
      <c r="C144" s="6" t="str" cm="1">
        <f t="array" aca="1" ref="C144" ca="1">IFERROR(IF(OR('Raw Data'!C144="",LEN(TRIM('Raw Data'!C144))=0),_xlfn.REGEXEXTRACT(CELL("address",'Raw Data'!C144),"\$([A-Z]+)\$[0-9]+"),""),"")</f>
        <v/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2:36" x14ac:dyDescent="0.25">
      <c r="B145" s="6" t="str" cm="1">
        <f t="array" aca="1" ref="B145" ca="1">IFERROR(IF(OR('Raw Data'!B145="",LEN(TRIM('Raw Data'!B145))=0),_xlfn.REGEXEXTRACT(CELL("address",'Raw Data'!B145),"\$([A-Z]+)\$[0-9]+"),""),"")</f>
        <v/>
      </c>
      <c r="C145" s="6" t="str" cm="1">
        <f t="array" aca="1" ref="C145" ca="1">IFERROR(IF(OR('Raw Data'!C145="",LEN(TRIM('Raw Data'!C145))=0),_xlfn.REGEXEXTRACT(CELL("address",'Raw Data'!C145),"\$([A-Z]+)\$[0-9]+"),""),"")</f>
        <v/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2:36" x14ac:dyDescent="0.25">
      <c r="B146" s="6" t="str" cm="1">
        <f t="array" aca="1" ref="B146" ca="1">IFERROR(IF(OR('Raw Data'!B146="",LEN(TRIM('Raw Data'!B146))=0),_xlfn.REGEXEXTRACT(CELL("address",'Raw Data'!B146),"\$([A-Z]+)\$[0-9]+"),""),"")</f>
        <v/>
      </c>
      <c r="C146" s="6" t="str" cm="1">
        <f t="array" aca="1" ref="C146" ca="1">IFERROR(IF(OR('Raw Data'!C146="",LEN(TRIM('Raw Data'!C146))=0),_xlfn.REGEXEXTRACT(CELL("address",'Raw Data'!C146),"\$([A-Z]+)\$[0-9]+"),""),"")</f>
        <v/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2:36" x14ac:dyDescent="0.25">
      <c r="B147" s="6" t="str" cm="1">
        <f t="array" aca="1" ref="B147" ca="1">IFERROR(IF(OR('Raw Data'!B147="",LEN(TRIM('Raw Data'!B147))=0),_xlfn.REGEXEXTRACT(CELL("address",'Raw Data'!B147),"\$([A-Z]+)\$[0-9]+"),""),"")</f>
        <v/>
      </c>
      <c r="C147" s="6" t="str" cm="1">
        <f t="array" aca="1" ref="C147" ca="1">IFERROR(IF(OR('Raw Data'!C147="",LEN(TRIM('Raw Data'!C147))=0),_xlfn.REGEXEXTRACT(CELL("address",'Raw Data'!C147),"\$([A-Z]+)\$[0-9]+"),""),"")</f>
        <v/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2:36" x14ac:dyDescent="0.25">
      <c r="B148" s="6" t="str" cm="1">
        <f t="array" aca="1" ref="B148" ca="1">IFERROR(IF(OR('Raw Data'!B148="",LEN(TRIM('Raw Data'!B148))=0),_xlfn.REGEXEXTRACT(CELL("address",'Raw Data'!B148),"\$([A-Z]+)\$[0-9]+"),""),"")</f>
        <v/>
      </c>
      <c r="C148" s="6" t="str" cm="1">
        <f t="array" aca="1" ref="C148" ca="1">IFERROR(IF(OR('Raw Data'!C148="",LEN(TRIM('Raw Data'!C148))=0),_xlfn.REGEXEXTRACT(CELL("address",'Raw Data'!C148),"\$([A-Z]+)\$[0-9]+"),""),"")</f>
        <v/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2:36" x14ac:dyDescent="0.25">
      <c r="B149" s="6" t="str" cm="1">
        <f t="array" aca="1" ref="B149" ca="1">IFERROR(IF(OR('Raw Data'!B149="",LEN(TRIM('Raw Data'!B149))=0),_xlfn.REGEXEXTRACT(CELL("address",'Raw Data'!B149),"\$([A-Z]+)\$[0-9]+"),""),"")</f>
        <v/>
      </c>
      <c r="C149" s="6" t="str" cm="1">
        <f t="array" aca="1" ref="C149" ca="1">IFERROR(IF(OR('Raw Data'!C149="",LEN(TRIM('Raw Data'!C149))=0),_xlfn.REGEXEXTRACT(CELL("address",'Raw Data'!C149),"\$([A-Z]+)\$[0-9]+"),""),"")</f>
        <v/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2:36" x14ac:dyDescent="0.25">
      <c r="B150" s="6" t="str" cm="1">
        <f t="array" aca="1" ref="B150" ca="1">IFERROR(IF(OR('Raw Data'!B150="",LEN(TRIM('Raw Data'!B150))=0),_xlfn.REGEXEXTRACT(CELL("address",'Raw Data'!B150),"\$([A-Z]+)\$[0-9]+"),""),"")</f>
        <v/>
      </c>
      <c r="C150" s="6" t="str" cm="1">
        <f t="array" aca="1" ref="C150" ca="1">IFERROR(IF(OR('Raw Data'!C150="",LEN(TRIM('Raw Data'!C150))=0),_xlfn.REGEXEXTRACT(CELL("address",'Raw Data'!C150),"\$([A-Z]+)\$[0-9]+"),""),"")</f>
        <v/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2:36" x14ac:dyDescent="0.25">
      <c r="B151" s="6" t="str" cm="1">
        <f t="array" aca="1" ref="B151" ca="1">IFERROR(IF(OR('Raw Data'!B151="",LEN(TRIM('Raw Data'!B151))=0),_xlfn.REGEXEXTRACT(CELL("address",'Raw Data'!B151),"\$([A-Z]+)\$[0-9]+"),""),"")</f>
        <v/>
      </c>
      <c r="C151" s="6" t="str" cm="1">
        <f t="array" aca="1" ref="C151" ca="1">IFERROR(IF(OR('Raw Data'!C151="",LEN(TRIM('Raw Data'!C151))=0),_xlfn.REGEXEXTRACT(CELL("address",'Raw Data'!C151),"\$([A-Z]+)\$[0-9]+"),""),"")</f>
        <v/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2:36" x14ac:dyDescent="0.25">
      <c r="B152" s="6" t="str" cm="1">
        <f t="array" aca="1" ref="B152" ca="1">IFERROR(IF(OR('Raw Data'!B152="",LEN(TRIM('Raw Data'!B152))=0),_xlfn.REGEXEXTRACT(CELL("address",'Raw Data'!B152),"\$([A-Z]+)\$[0-9]+"),""),"")</f>
        <v/>
      </c>
      <c r="C152" s="6" t="str" cm="1">
        <f t="array" aca="1" ref="C152" ca="1">IFERROR(IF(OR('Raw Data'!C152="",LEN(TRIM('Raw Data'!C152))=0),_xlfn.REGEXEXTRACT(CELL("address",'Raw Data'!C152),"\$([A-Z]+)\$[0-9]+"),""),"")</f>
        <v/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2:36" x14ac:dyDescent="0.25">
      <c r="B153" s="6" t="str" cm="1">
        <f t="array" aca="1" ref="B153" ca="1">IFERROR(IF(OR('Raw Data'!B153="",LEN(TRIM('Raw Data'!B153))=0),_xlfn.REGEXEXTRACT(CELL("address",'Raw Data'!B153),"\$([A-Z]+)\$[0-9]+"),""),"")</f>
        <v/>
      </c>
      <c r="C153" s="6" t="str" cm="1">
        <f t="array" aca="1" ref="C153" ca="1">IFERROR(IF(OR('Raw Data'!C153="",LEN(TRIM('Raw Data'!C153))=0),_xlfn.REGEXEXTRACT(CELL("address",'Raw Data'!C153),"\$([A-Z]+)\$[0-9]+"),""),"")</f>
        <v/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2:36" x14ac:dyDescent="0.25">
      <c r="B154" s="6" t="str" cm="1">
        <f t="array" aca="1" ref="B154" ca="1">IFERROR(IF(OR('Raw Data'!B154="",LEN(TRIM('Raw Data'!B154))=0),_xlfn.REGEXEXTRACT(CELL("address",'Raw Data'!B154),"\$([A-Z]+)\$[0-9]+"),""),"")</f>
        <v/>
      </c>
      <c r="C154" s="6" t="str" cm="1">
        <f t="array" aca="1" ref="C154" ca="1">IFERROR(IF(OR('Raw Data'!C154="",LEN(TRIM('Raw Data'!C154))=0),_xlfn.REGEXEXTRACT(CELL("address",'Raw Data'!C154),"\$([A-Z]+)\$[0-9]+"),""),"")</f>
        <v/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2:36" x14ac:dyDescent="0.25">
      <c r="B155" s="6" t="str" cm="1">
        <f t="array" aca="1" ref="B155" ca="1">IFERROR(IF(OR('Raw Data'!B155="",LEN(TRIM('Raw Data'!B155))=0),_xlfn.REGEXEXTRACT(CELL("address",'Raw Data'!B155),"\$([A-Z]+)\$[0-9]+"),""),"")</f>
        <v/>
      </c>
      <c r="C155" s="6" t="str" cm="1">
        <f t="array" aca="1" ref="C155" ca="1">IFERROR(IF(OR('Raw Data'!C155="",LEN(TRIM('Raw Data'!C155))=0),_xlfn.REGEXEXTRACT(CELL("address",'Raw Data'!C155),"\$([A-Z]+)\$[0-9]+"),""),"")</f>
        <v/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2:36" x14ac:dyDescent="0.25">
      <c r="B156" s="6" t="str" cm="1">
        <f t="array" aca="1" ref="B156" ca="1">IFERROR(IF(OR('Raw Data'!B156="",LEN(TRIM('Raw Data'!B156))=0),_xlfn.REGEXEXTRACT(CELL("address",'Raw Data'!B156),"\$([A-Z]+)\$[0-9]+"),""),"")</f>
        <v/>
      </c>
      <c r="C156" s="6" t="str" cm="1">
        <f t="array" aca="1" ref="C156" ca="1">IFERROR(IF(OR('Raw Data'!C156="",LEN(TRIM('Raw Data'!C156))=0),_xlfn.REGEXEXTRACT(CELL("address",'Raw Data'!C156),"\$([A-Z]+)\$[0-9]+"),""),"")</f>
        <v/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2:36" x14ac:dyDescent="0.25">
      <c r="B157" s="6" t="str" cm="1">
        <f t="array" aca="1" ref="B157" ca="1">IFERROR(IF(OR('Raw Data'!B157="",LEN(TRIM('Raw Data'!B157))=0),_xlfn.REGEXEXTRACT(CELL("address",'Raw Data'!B157),"\$([A-Z]+)\$[0-9]+"),""),"")</f>
        <v/>
      </c>
      <c r="C157" s="6" t="str" cm="1">
        <f t="array" aca="1" ref="C157" ca="1">IFERROR(IF(OR('Raw Data'!C157="",LEN(TRIM('Raw Data'!C157))=0),_xlfn.REGEXEXTRACT(CELL("address",'Raw Data'!C157),"\$([A-Z]+)\$[0-9]+"),""),"")</f>
        <v/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2:36" x14ac:dyDescent="0.25">
      <c r="B158" s="6" t="str" cm="1">
        <f t="array" aca="1" ref="B158" ca="1">IFERROR(IF(OR('Raw Data'!B158="",LEN(TRIM('Raw Data'!B158))=0),_xlfn.REGEXEXTRACT(CELL("address",'Raw Data'!B158),"\$([A-Z]+)\$[0-9]+"),""),"")</f>
        <v/>
      </c>
      <c r="C158" s="6" t="str" cm="1">
        <f t="array" aca="1" ref="C158" ca="1">IFERROR(IF(OR('Raw Data'!C158="",LEN(TRIM('Raw Data'!C158))=0),_xlfn.REGEXEXTRACT(CELL("address",'Raw Data'!C158),"\$([A-Z]+)\$[0-9]+"),""),"")</f>
        <v/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2:36" x14ac:dyDescent="0.25">
      <c r="B159" s="6" t="str" cm="1">
        <f t="array" aca="1" ref="B159" ca="1">IFERROR(IF(OR('Raw Data'!B159="",LEN(TRIM('Raw Data'!B159))=0),_xlfn.REGEXEXTRACT(CELL("address",'Raw Data'!B159),"\$([A-Z]+)\$[0-9]+"),""),"")</f>
        <v/>
      </c>
      <c r="C159" s="6" t="str" cm="1">
        <f t="array" aca="1" ref="C159" ca="1">IFERROR(IF(OR('Raw Data'!C159="",LEN(TRIM('Raw Data'!C159))=0),_xlfn.REGEXEXTRACT(CELL("address",'Raw Data'!C159),"\$([A-Z]+)\$[0-9]+"),""),"")</f>
        <v/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2:36" x14ac:dyDescent="0.25">
      <c r="B160" s="6" t="str" cm="1">
        <f t="array" aca="1" ref="B160" ca="1">IFERROR(IF(OR('Raw Data'!B160="",LEN(TRIM('Raw Data'!B160))=0),_xlfn.REGEXEXTRACT(CELL("address",'Raw Data'!B160),"\$([A-Z]+)\$[0-9]+"),""),"")</f>
        <v/>
      </c>
      <c r="C160" s="6" t="str" cm="1">
        <f t="array" aca="1" ref="C160" ca="1">IFERROR(IF(OR('Raw Data'!C160="",LEN(TRIM('Raw Data'!C160))=0),_xlfn.REGEXEXTRACT(CELL("address",'Raw Data'!C160),"\$([A-Z]+)\$[0-9]+"),""),"")</f>
        <v/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2:36" x14ac:dyDescent="0.25">
      <c r="B161" s="6" t="str" cm="1">
        <f t="array" aca="1" ref="B161" ca="1">IFERROR(IF(OR('Raw Data'!B161="",LEN(TRIM('Raw Data'!B161))=0),_xlfn.REGEXEXTRACT(CELL("address",'Raw Data'!B161),"\$([A-Z]+)\$[0-9]+"),""),"")</f>
        <v/>
      </c>
      <c r="C161" s="6" t="str" cm="1">
        <f t="array" aca="1" ref="C161" ca="1">IFERROR(IF(OR('Raw Data'!C161="",LEN(TRIM('Raw Data'!C161))=0),_xlfn.REGEXEXTRACT(CELL("address",'Raw Data'!C161),"\$([A-Z]+)\$[0-9]+"),""),"")</f>
        <v/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2:36" x14ac:dyDescent="0.25">
      <c r="B162" s="6" t="str" cm="1">
        <f t="array" aca="1" ref="B162" ca="1">IFERROR(IF(OR('Raw Data'!B162="",LEN(TRIM('Raw Data'!B162))=0),_xlfn.REGEXEXTRACT(CELL("address",'Raw Data'!B162),"\$([A-Z]+)\$[0-9]+"),""),"")</f>
        <v/>
      </c>
      <c r="C162" s="6" t="str" cm="1">
        <f t="array" aca="1" ref="C162" ca="1">IFERROR(IF(OR('Raw Data'!C162="",LEN(TRIM('Raw Data'!C162))=0),_xlfn.REGEXEXTRACT(CELL("address",'Raw Data'!C162),"\$([A-Z]+)\$[0-9]+"),""),"")</f>
        <v/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2:36" x14ac:dyDescent="0.25">
      <c r="B163" s="6" t="str" cm="1">
        <f t="array" aca="1" ref="B163" ca="1">IFERROR(IF(OR('Raw Data'!B163="",LEN(TRIM('Raw Data'!B163))=0),_xlfn.REGEXEXTRACT(CELL("address",'Raw Data'!B163),"\$([A-Z]+)\$[0-9]+"),""),"")</f>
        <v/>
      </c>
      <c r="C163" s="6" t="str" cm="1">
        <f t="array" aca="1" ref="C163" ca="1">IFERROR(IF(OR('Raw Data'!C163="",LEN(TRIM('Raw Data'!C163))=0),_xlfn.REGEXEXTRACT(CELL("address",'Raw Data'!C163),"\$([A-Z]+)\$[0-9]+"),""),"")</f>
        <v/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2:36" x14ac:dyDescent="0.25">
      <c r="B164" s="6" t="str" cm="1">
        <f t="array" aca="1" ref="B164" ca="1">IFERROR(IF(OR('Raw Data'!B164="",LEN(TRIM('Raw Data'!B164))=0),_xlfn.REGEXEXTRACT(CELL("address",'Raw Data'!B164),"\$([A-Z]+)\$[0-9]+"),""),"")</f>
        <v/>
      </c>
      <c r="C164" s="6" t="str" cm="1">
        <f t="array" aca="1" ref="C164" ca="1">IFERROR(IF(OR('Raw Data'!C164="",LEN(TRIM('Raw Data'!C164))=0),_xlfn.REGEXEXTRACT(CELL("address",'Raw Data'!C164),"\$([A-Z]+)\$[0-9]+"),""),"")</f>
        <v/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2:36" x14ac:dyDescent="0.25">
      <c r="B165" s="6" t="str" cm="1">
        <f t="array" aca="1" ref="B165" ca="1">IFERROR(IF(OR('Raw Data'!B165="",LEN(TRIM('Raw Data'!B165))=0),_xlfn.REGEXEXTRACT(CELL("address",'Raw Data'!B165),"\$([A-Z]+)\$[0-9]+"),""),"")</f>
        <v/>
      </c>
      <c r="C165" s="6" t="str" cm="1">
        <f t="array" aca="1" ref="C165" ca="1">IFERROR(IF(OR('Raw Data'!C165="",LEN(TRIM('Raw Data'!C165))=0),_xlfn.REGEXEXTRACT(CELL("address",'Raw Data'!C165),"\$([A-Z]+)\$[0-9]+"),""),"")</f>
        <v/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2:36" x14ac:dyDescent="0.25">
      <c r="B166" s="6" t="str" cm="1">
        <f t="array" aca="1" ref="B166" ca="1">IFERROR(IF(OR('Raw Data'!B166="",LEN(TRIM('Raw Data'!B166))=0),_xlfn.REGEXEXTRACT(CELL("address",'Raw Data'!B166),"\$([A-Z]+)\$[0-9]+"),""),"")</f>
        <v/>
      </c>
      <c r="C166" s="6" t="str" cm="1">
        <f t="array" aca="1" ref="C166" ca="1">IFERROR(IF(OR('Raw Data'!C166="",LEN(TRIM('Raw Data'!C166))=0),_xlfn.REGEXEXTRACT(CELL("address",'Raw Data'!C166),"\$([A-Z]+)\$[0-9]+"),""),"")</f>
        <v/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2:36" x14ac:dyDescent="0.25">
      <c r="B167" s="6" t="str" cm="1">
        <f t="array" aca="1" ref="B167" ca="1">IFERROR(IF(OR('Raw Data'!B167="",LEN(TRIM('Raw Data'!B167))=0),_xlfn.REGEXEXTRACT(CELL("address",'Raw Data'!B167),"\$([A-Z]+)\$[0-9]+"),""),"")</f>
        <v/>
      </c>
      <c r="C167" s="6" t="str" cm="1">
        <f t="array" aca="1" ref="C167" ca="1">IFERROR(IF(OR('Raw Data'!C167="",LEN(TRIM('Raw Data'!C167))=0),_xlfn.REGEXEXTRACT(CELL("address",'Raw Data'!C167),"\$([A-Z]+)\$[0-9]+"),""),"")</f>
        <v/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2:36" x14ac:dyDescent="0.25">
      <c r="B168" s="6" t="str" cm="1">
        <f t="array" aca="1" ref="B168" ca="1">IFERROR(IF(OR('Raw Data'!B168="",LEN(TRIM('Raw Data'!B168))=0),_xlfn.REGEXEXTRACT(CELL("address",'Raw Data'!B168),"\$([A-Z]+)\$[0-9]+"),""),"")</f>
        <v/>
      </c>
      <c r="C168" s="6" t="str" cm="1">
        <f t="array" aca="1" ref="C168" ca="1">IFERROR(IF(OR('Raw Data'!C168="",LEN(TRIM('Raw Data'!C168))=0),_xlfn.REGEXEXTRACT(CELL("address",'Raw Data'!C168),"\$([A-Z]+)\$[0-9]+"),""),"")</f>
        <v/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2:36" x14ac:dyDescent="0.25">
      <c r="B169" s="6" t="str" cm="1">
        <f t="array" aca="1" ref="B169" ca="1">IFERROR(IF(OR('Raw Data'!B169="",LEN(TRIM('Raw Data'!B169))=0),_xlfn.REGEXEXTRACT(CELL("address",'Raw Data'!B169),"\$([A-Z]+)\$[0-9]+"),""),"")</f>
        <v/>
      </c>
      <c r="C169" s="6" t="str" cm="1">
        <f t="array" aca="1" ref="C169" ca="1">IFERROR(IF(OR('Raw Data'!C169="",LEN(TRIM('Raw Data'!C169))=0),_xlfn.REGEXEXTRACT(CELL("address",'Raw Data'!C169),"\$([A-Z]+)\$[0-9]+"),""),"")</f>
        <v/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2:36" x14ac:dyDescent="0.25">
      <c r="B170" s="6" t="str" cm="1">
        <f t="array" aca="1" ref="B170" ca="1">IFERROR(IF(OR('Raw Data'!B170="",LEN(TRIM('Raw Data'!B170))=0),_xlfn.REGEXEXTRACT(CELL("address",'Raw Data'!B170),"\$([A-Z]+)\$[0-9]+"),""),"")</f>
        <v/>
      </c>
      <c r="C170" s="6" t="str" cm="1">
        <f t="array" aca="1" ref="C170" ca="1">IFERROR(IF(OR('Raw Data'!C170="",LEN(TRIM('Raw Data'!C170))=0),_xlfn.REGEXEXTRACT(CELL("address",'Raw Data'!C170),"\$([A-Z]+)\$[0-9]+"),""),"")</f>
        <v/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2:36" x14ac:dyDescent="0.25">
      <c r="B171" s="6" t="str" cm="1">
        <f t="array" aca="1" ref="B171" ca="1">IFERROR(IF(OR('Raw Data'!B171="",LEN(TRIM('Raw Data'!B171))=0),_xlfn.REGEXEXTRACT(CELL("address",'Raw Data'!B171),"\$([A-Z]+)\$[0-9]+"),""),"")</f>
        <v/>
      </c>
      <c r="C171" s="6" t="str" cm="1">
        <f t="array" aca="1" ref="C171" ca="1">IFERROR(IF(OR('Raw Data'!C171="",LEN(TRIM('Raw Data'!C171))=0),_xlfn.REGEXEXTRACT(CELL("address",'Raw Data'!C171),"\$([A-Z]+)\$[0-9]+"),""),"")</f>
        <v/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2:36" x14ac:dyDescent="0.25">
      <c r="B172" s="6" t="str" cm="1">
        <f t="array" aca="1" ref="B172" ca="1">IFERROR(IF(OR('Raw Data'!B172="",LEN(TRIM('Raw Data'!B172))=0),_xlfn.REGEXEXTRACT(CELL("address",'Raw Data'!B172),"\$([A-Z]+)\$[0-9]+"),""),"")</f>
        <v/>
      </c>
      <c r="C172" s="6" t="str" cm="1">
        <f t="array" aca="1" ref="C172" ca="1">IFERROR(IF(OR('Raw Data'!C172="",LEN(TRIM('Raw Data'!C172))=0),_xlfn.REGEXEXTRACT(CELL("address",'Raw Data'!C172),"\$([A-Z]+)\$[0-9]+"),""),"")</f>
        <v/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2:36" x14ac:dyDescent="0.25">
      <c r="B173" s="6" t="str" cm="1">
        <f t="array" aca="1" ref="B173" ca="1">IFERROR(IF(OR('Raw Data'!B173="",LEN(TRIM('Raw Data'!B173))=0),_xlfn.REGEXEXTRACT(CELL("address",'Raw Data'!B173),"\$([A-Z]+)\$[0-9]+"),""),"")</f>
        <v/>
      </c>
      <c r="C173" s="6" t="str" cm="1">
        <f t="array" aca="1" ref="C173" ca="1">IFERROR(IF(OR('Raw Data'!C173="",LEN(TRIM('Raw Data'!C173))=0),_xlfn.REGEXEXTRACT(CELL("address",'Raw Data'!C173),"\$([A-Z]+)\$[0-9]+"),""),"")</f>
        <v/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2:36" x14ac:dyDescent="0.25">
      <c r="B174" s="6" t="str" cm="1">
        <f t="array" aca="1" ref="B174" ca="1">IFERROR(IF(OR('Raw Data'!B174="",LEN(TRIM('Raw Data'!B174))=0),_xlfn.REGEXEXTRACT(CELL("address",'Raw Data'!B174),"\$([A-Z]+)\$[0-9]+"),""),"")</f>
        <v/>
      </c>
      <c r="C174" s="6" t="str" cm="1">
        <f t="array" aca="1" ref="C174" ca="1">IFERROR(IF(OR('Raw Data'!C174="",LEN(TRIM('Raw Data'!C174))=0),_xlfn.REGEXEXTRACT(CELL("address",'Raw Data'!C174),"\$([A-Z]+)\$[0-9]+"),""),"")</f>
        <v/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2:36" x14ac:dyDescent="0.25">
      <c r="B175" s="6" t="str" cm="1">
        <f t="array" aca="1" ref="B175" ca="1">IFERROR(IF(OR('Raw Data'!B175="",LEN(TRIM('Raw Data'!B175))=0),_xlfn.REGEXEXTRACT(CELL("address",'Raw Data'!B175),"\$([A-Z]+)\$[0-9]+"),""),"")</f>
        <v/>
      </c>
      <c r="C175" s="6" t="str" cm="1">
        <f t="array" aca="1" ref="C175" ca="1">IFERROR(IF(OR('Raw Data'!C175="",LEN(TRIM('Raw Data'!C175))=0),_xlfn.REGEXEXTRACT(CELL("address",'Raw Data'!C175),"\$([A-Z]+)\$[0-9]+"),""),"")</f>
        <v/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2:36" x14ac:dyDescent="0.25">
      <c r="B176" s="6" t="str" cm="1">
        <f t="array" aca="1" ref="B176" ca="1">IFERROR(IF(OR('Raw Data'!B176="",LEN(TRIM('Raw Data'!B176))=0),_xlfn.REGEXEXTRACT(CELL("address",'Raw Data'!B176),"\$([A-Z]+)\$[0-9]+"),""),"")</f>
        <v/>
      </c>
      <c r="C176" s="6" t="str" cm="1">
        <f t="array" aca="1" ref="C176" ca="1">IFERROR(IF(OR('Raw Data'!C176="",LEN(TRIM('Raw Data'!C176))=0),_xlfn.REGEXEXTRACT(CELL("address",'Raw Data'!C176),"\$([A-Z]+)\$[0-9]+"),""),"")</f>
        <v/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2:36" x14ac:dyDescent="0.25">
      <c r="B177" s="6" t="str" cm="1">
        <f t="array" aca="1" ref="B177" ca="1">IFERROR(IF(OR('Raw Data'!B177="",LEN(TRIM('Raw Data'!B177))=0),_xlfn.REGEXEXTRACT(CELL("address",'Raw Data'!B177),"\$([A-Z]+)\$[0-9]+"),""),"")</f>
        <v/>
      </c>
      <c r="C177" s="6" t="str" cm="1">
        <f t="array" aca="1" ref="C177" ca="1">IFERROR(IF(OR('Raw Data'!C177="",LEN(TRIM('Raw Data'!C177))=0),_xlfn.REGEXEXTRACT(CELL("address",'Raw Data'!C177),"\$([A-Z]+)\$[0-9]+"),""),"")</f>
        <v/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2:36" x14ac:dyDescent="0.25">
      <c r="B178" s="6" t="str" cm="1">
        <f t="array" aca="1" ref="B178" ca="1">IFERROR(IF(OR('Raw Data'!B178="",LEN(TRIM('Raw Data'!B178))=0),_xlfn.REGEXEXTRACT(CELL("address",'Raw Data'!B178),"\$([A-Z]+)\$[0-9]+"),""),"")</f>
        <v/>
      </c>
      <c r="C178" s="6" t="str" cm="1">
        <f t="array" aca="1" ref="C178" ca="1">IFERROR(IF(OR('Raw Data'!C178="",LEN(TRIM('Raw Data'!C178))=0),_xlfn.REGEXEXTRACT(CELL("address",'Raw Data'!C178),"\$([A-Z]+)\$[0-9]+"),""),"")</f>
        <v/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2:36" x14ac:dyDescent="0.25">
      <c r="B179" s="6" t="str" cm="1">
        <f t="array" aca="1" ref="B179" ca="1">IFERROR(IF(OR('Raw Data'!B179="",LEN(TRIM('Raw Data'!B179))=0),_xlfn.REGEXEXTRACT(CELL("address",'Raw Data'!B179),"\$([A-Z]+)\$[0-9]+"),""),"")</f>
        <v/>
      </c>
      <c r="C179" s="6" t="str" cm="1">
        <f t="array" aca="1" ref="C179" ca="1">IFERROR(IF(OR('Raw Data'!C179="",LEN(TRIM('Raw Data'!C179))=0),_xlfn.REGEXEXTRACT(CELL("address",'Raw Data'!C179),"\$([A-Z]+)\$[0-9]+"),""),"")</f>
        <v/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2:36" x14ac:dyDescent="0.25">
      <c r="B180" s="6" t="str" cm="1">
        <f t="array" aca="1" ref="B180" ca="1">IFERROR(IF(OR('Raw Data'!B180="",LEN(TRIM('Raw Data'!B180))=0),_xlfn.REGEXEXTRACT(CELL("address",'Raw Data'!B180),"\$([A-Z]+)\$[0-9]+"),""),"")</f>
        <v/>
      </c>
      <c r="C180" s="6" t="str" cm="1">
        <f t="array" aca="1" ref="C180" ca="1">IFERROR(IF(OR('Raw Data'!C180="",LEN(TRIM('Raw Data'!C180))=0),_xlfn.REGEXEXTRACT(CELL("address",'Raw Data'!C180),"\$([A-Z]+)\$[0-9]+"),""),"")</f>
        <v/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2:36" x14ac:dyDescent="0.25">
      <c r="B181" s="6" t="str" cm="1">
        <f t="array" aca="1" ref="B181" ca="1">IFERROR(IF(OR('Raw Data'!B181="",LEN(TRIM('Raw Data'!B181))=0),_xlfn.REGEXEXTRACT(CELL("address",'Raw Data'!B181),"\$([A-Z]+)\$[0-9]+"),""),"")</f>
        <v/>
      </c>
      <c r="C181" s="6" t="str" cm="1">
        <f t="array" aca="1" ref="C181" ca="1">IFERROR(IF(OR('Raw Data'!C181="",LEN(TRIM('Raw Data'!C181))=0),_xlfn.REGEXEXTRACT(CELL("address",'Raw Data'!C181),"\$([A-Z]+)\$[0-9]+"),""),"")</f>
        <v/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2:36" x14ac:dyDescent="0.25">
      <c r="B182" s="6" t="str" cm="1">
        <f t="array" aca="1" ref="B182" ca="1">IFERROR(IF(OR('Raw Data'!B182="",LEN(TRIM('Raw Data'!B182))=0),_xlfn.REGEXEXTRACT(CELL("address",'Raw Data'!B182),"\$([A-Z]+)\$[0-9]+"),""),"")</f>
        <v/>
      </c>
      <c r="C182" s="6" t="str" cm="1">
        <f t="array" aca="1" ref="C182" ca="1">IFERROR(IF(OR('Raw Data'!C182="",LEN(TRIM('Raw Data'!C182))=0),_xlfn.REGEXEXTRACT(CELL("address",'Raw Data'!C182),"\$([A-Z]+)\$[0-9]+"),""),"")</f>
        <v/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2:36" x14ac:dyDescent="0.25">
      <c r="B183" s="6" t="str" cm="1">
        <f t="array" aca="1" ref="B183" ca="1">IFERROR(IF(OR('Raw Data'!B183="",LEN(TRIM('Raw Data'!B183))=0),_xlfn.REGEXEXTRACT(CELL("address",'Raw Data'!B183),"\$([A-Z]+)\$[0-9]+"),""),"")</f>
        <v/>
      </c>
      <c r="C183" s="6" t="str" cm="1">
        <f t="array" aca="1" ref="C183" ca="1">IFERROR(IF(OR('Raw Data'!C183="",LEN(TRIM('Raw Data'!C183))=0),_xlfn.REGEXEXTRACT(CELL("address",'Raw Data'!C183),"\$([A-Z]+)\$[0-9]+"),""),"")</f>
        <v/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2:36" x14ac:dyDescent="0.25">
      <c r="B184" s="6" t="str" cm="1">
        <f t="array" aca="1" ref="B184" ca="1">IFERROR(IF(OR('Raw Data'!B184="",LEN(TRIM('Raw Data'!B184))=0),_xlfn.REGEXEXTRACT(CELL("address",'Raw Data'!B184),"\$([A-Z]+)\$[0-9]+"),""),"")</f>
        <v/>
      </c>
      <c r="C184" s="6" t="str" cm="1">
        <f t="array" aca="1" ref="C184" ca="1">IFERROR(IF(OR('Raw Data'!C184="",LEN(TRIM('Raw Data'!C184))=0),_xlfn.REGEXEXTRACT(CELL("address",'Raw Data'!C184),"\$([A-Z]+)\$[0-9]+"),""),"")</f>
        <v/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2:36" x14ac:dyDescent="0.25">
      <c r="B185" s="6" t="str" cm="1">
        <f t="array" aca="1" ref="B185" ca="1">IFERROR(IF(OR('Raw Data'!B185="",LEN(TRIM('Raw Data'!B185))=0),_xlfn.REGEXEXTRACT(CELL("address",'Raw Data'!B185),"\$([A-Z]+)\$[0-9]+"),""),"")</f>
        <v/>
      </c>
      <c r="C185" s="6" t="str" cm="1">
        <f t="array" aca="1" ref="C185" ca="1">IFERROR(IF(OR('Raw Data'!C185="",LEN(TRIM('Raw Data'!C185))=0),_xlfn.REGEXEXTRACT(CELL("address",'Raw Data'!C185),"\$([A-Z]+)\$[0-9]+"),""),"")</f>
        <v/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2:36" x14ac:dyDescent="0.25">
      <c r="B186" s="6" t="str" cm="1">
        <f t="array" aca="1" ref="B186" ca="1">IFERROR(IF(OR('Raw Data'!B186="",LEN(TRIM('Raw Data'!B186))=0),_xlfn.REGEXEXTRACT(CELL("address",'Raw Data'!B186),"\$([A-Z]+)\$[0-9]+"),""),"")</f>
        <v/>
      </c>
      <c r="C186" s="6" t="str" cm="1">
        <f t="array" aca="1" ref="C186" ca="1">IFERROR(IF(OR('Raw Data'!C186="",LEN(TRIM('Raw Data'!C186))=0),_xlfn.REGEXEXTRACT(CELL("address",'Raw Data'!C186),"\$([A-Z]+)\$[0-9]+"),""),"")</f>
        <v/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2:36" x14ac:dyDescent="0.25">
      <c r="B187" s="6" t="str" cm="1">
        <f t="array" aca="1" ref="B187" ca="1">IFERROR(IF(OR('Raw Data'!B187="",LEN(TRIM('Raw Data'!B187))=0),_xlfn.REGEXEXTRACT(CELL("address",'Raw Data'!B187),"\$([A-Z]+)\$[0-9]+"),""),"")</f>
        <v/>
      </c>
      <c r="C187" s="6" t="str" cm="1">
        <f t="array" aca="1" ref="C187" ca="1">IFERROR(IF(OR('Raw Data'!C187="",LEN(TRIM('Raw Data'!C187))=0),_xlfn.REGEXEXTRACT(CELL("address",'Raw Data'!C187),"\$([A-Z]+)\$[0-9]+"),""),"")</f>
        <v/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2:36" x14ac:dyDescent="0.25">
      <c r="B188" s="6" t="str" cm="1">
        <f t="array" aca="1" ref="B188" ca="1">IFERROR(IF(OR('Raw Data'!B188="",LEN(TRIM('Raw Data'!B188))=0),_xlfn.REGEXEXTRACT(CELL("address",'Raw Data'!B188),"\$([A-Z]+)\$[0-9]+"),""),"")</f>
        <v/>
      </c>
      <c r="C188" s="6" t="str" cm="1">
        <f t="array" aca="1" ref="C188" ca="1">IFERROR(IF(OR('Raw Data'!C188="",LEN(TRIM('Raw Data'!C188))=0),_xlfn.REGEXEXTRACT(CELL("address",'Raw Data'!C188),"\$([A-Z]+)\$[0-9]+"),""),"")</f>
        <v/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2:36" x14ac:dyDescent="0.25">
      <c r="B189" s="6" t="str" cm="1">
        <f t="array" aca="1" ref="B189" ca="1">IFERROR(IF(OR('Raw Data'!B189="",LEN(TRIM('Raw Data'!B189))=0),_xlfn.REGEXEXTRACT(CELL("address",'Raw Data'!B189),"\$([A-Z]+)\$[0-9]+"),""),"")</f>
        <v/>
      </c>
      <c r="C189" s="6" t="str" cm="1">
        <f t="array" aca="1" ref="C189" ca="1">IFERROR(IF(OR('Raw Data'!C189="",LEN(TRIM('Raw Data'!C189))=0),_xlfn.REGEXEXTRACT(CELL("address",'Raw Data'!C189),"\$([A-Z]+)\$[0-9]+"),""),"")</f>
        <v/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2:36" x14ac:dyDescent="0.25">
      <c r="B190" s="6" t="str" cm="1">
        <f t="array" aca="1" ref="B190" ca="1">IFERROR(IF(OR('Raw Data'!B190="",LEN(TRIM('Raw Data'!B190))=0),_xlfn.REGEXEXTRACT(CELL("address",'Raw Data'!B190),"\$([A-Z]+)\$[0-9]+"),""),"")</f>
        <v/>
      </c>
      <c r="C190" s="6" t="str" cm="1">
        <f t="array" aca="1" ref="C190" ca="1">IFERROR(IF(OR('Raw Data'!C190="",LEN(TRIM('Raw Data'!C190))=0),_xlfn.REGEXEXTRACT(CELL("address",'Raw Data'!C190),"\$([A-Z]+)\$[0-9]+"),""),"")</f>
        <v/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2:36" x14ac:dyDescent="0.25">
      <c r="B191" s="6" t="str" cm="1">
        <f t="array" aca="1" ref="B191" ca="1">IFERROR(IF(OR('Raw Data'!B191="",LEN(TRIM('Raw Data'!B191))=0),_xlfn.REGEXEXTRACT(CELL("address",'Raw Data'!B191),"\$([A-Z]+)\$[0-9]+"),""),"")</f>
        <v/>
      </c>
      <c r="C191" s="6" t="str" cm="1">
        <f t="array" aca="1" ref="C191" ca="1">IFERROR(IF(OR('Raw Data'!C191="",LEN(TRIM('Raw Data'!C191))=0),_xlfn.REGEXEXTRACT(CELL("address",'Raw Data'!C191),"\$([A-Z]+)\$[0-9]+"),""),"")</f>
        <v/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2:36" x14ac:dyDescent="0.25">
      <c r="B192" s="6" t="str" cm="1">
        <f t="array" aca="1" ref="B192" ca="1">IFERROR(IF(OR('Raw Data'!B192="",LEN(TRIM('Raw Data'!B192))=0),_xlfn.REGEXEXTRACT(CELL("address",'Raw Data'!B192),"\$([A-Z]+)\$[0-9]+"),""),"")</f>
        <v/>
      </c>
      <c r="C192" s="6" t="str" cm="1">
        <f t="array" aca="1" ref="C192" ca="1">IFERROR(IF(OR('Raw Data'!C192="",LEN(TRIM('Raw Data'!C192))=0),_xlfn.REGEXEXTRACT(CELL("address",'Raw Data'!C192),"\$([A-Z]+)\$[0-9]+"),""),"")</f>
        <v/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2:36" x14ac:dyDescent="0.25">
      <c r="B193" s="6" t="str" cm="1">
        <f t="array" aca="1" ref="B193" ca="1">IFERROR(IF(OR('Raw Data'!B193="",LEN(TRIM('Raw Data'!B193))=0),_xlfn.REGEXEXTRACT(CELL("address",'Raw Data'!B193),"\$([A-Z]+)\$[0-9]+"),""),"")</f>
        <v/>
      </c>
      <c r="C193" s="6" t="str" cm="1">
        <f t="array" aca="1" ref="C193" ca="1">IFERROR(IF(OR('Raw Data'!C193="",LEN(TRIM('Raw Data'!C193))=0),_xlfn.REGEXEXTRACT(CELL("address",'Raw Data'!C193),"\$([A-Z]+)\$[0-9]+"),""),"")</f>
        <v/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2:36" x14ac:dyDescent="0.25">
      <c r="B194" s="6" t="str" cm="1">
        <f t="array" aca="1" ref="B194" ca="1">IFERROR(IF(OR('Raw Data'!B194="",LEN(TRIM('Raw Data'!B194))=0),_xlfn.REGEXEXTRACT(CELL("address",'Raw Data'!B194),"\$([A-Z]+)\$[0-9]+"),""),"")</f>
        <v/>
      </c>
      <c r="C194" s="6" t="str" cm="1">
        <f t="array" aca="1" ref="C194" ca="1">IFERROR(IF(OR('Raw Data'!C194="",LEN(TRIM('Raw Data'!C194))=0),_xlfn.REGEXEXTRACT(CELL("address",'Raw Data'!C194),"\$([A-Z]+)\$[0-9]+"),""),"")</f>
        <v/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2:36" x14ac:dyDescent="0.25">
      <c r="B195" s="6" t="str" cm="1">
        <f t="array" aca="1" ref="B195" ca="1">IFERROR(IF(OR('Raw Data'!B195="",LEN(TRIM('Raw Data'!B195))=0),_xlfn.REGEXEXTRACT(CELL("address",'Raw Data'!B195),"\$([A-Z]+)\$[0-9]+"),""),"")</f>
        <v/>
      </c>
      <c r="C195" s="6" t="str" cm="1">
        <f t="array" aca="1" ref="C195" ca="1">IFERROR(IF(OR('Raw Data'!C195="",LEN(TRIM('Raw Data'!C195))=0),_xlfn.REGEXEXTRACT(CELL("address",'Raw Data'!C195),"\$([A-Z]+)\$[0-9]+"),""),"")</f>
        <v/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2:36" x14ac:dyDescent="0.25">
      <c r="B196" s="6" t="str" cm="1">
        <f t="array" aca="1" ref="B196" ca="1">IFERROR(IF(OR('Raw Data'!B196="",LEN(TRIM('Raw Data'!B196))=0),_xlfn.REGEXEXTRACT(CELL("address",'Raw Data'!B196),"\$([A-Z]+)\$[0-9]+"),""),"")</f>
        <v/>
      </c>
      <c r="C196" s="6" t="str" cm="1">
        <f t="array" aca="1" ref="C196" ca="1">IFERROR(IF(OR('Raw Data'!C196="",LEN(TRIM('Raw Data'!C196))=0),_xlfn.REGEXEXTRACT(CELL("address",'Raw Data'!C196),"\$([A-Z]+)\$[0-9]+"),""),"")</f>
        <v/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2:36" x14ac:dyDescent="0.25">
      <c r="B197" s="6" t="str" cm="1">
        <f t="array" aca="1" ref="B197" ca="1">IFERROR(IF(OR('Raw Data'!B197="",LEN(TRIM('Raw Data'!B197))=0),_xlfn.REGEXEXTRACT(CELL("address",'Raw Data'!B197),"\$([A-Z]+)\$[0-9]+"),""),"")</f>
        <v/>
      </c>
      <c r="C197" s="6" t="str" cm="1">
        <f t="array" aca="1" ref="C197" ca="1">IFERROR(IF(OR('Raw Data'!C197="",LEN(TRIM('Raw Data'!C197))=0),_xlfn.REGEXEXTRACT(CELL("address",'Raw Data'!C197),"\$([A-Z]+)\$[0-9]+"),""),"")</f>
        <v/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2:36" x14ac:dyDescent="0.25">
      <c r="B198" s="6" t="str" cm="1">
        <f t="array" aca="1" ref="B198" ca="1">IFERROR(IF(OR('Raw Data'!B198="",LEN(TRIM('Raw Data'!B198))=0),_xlfn.REGEXEXTRACT(CELL("address",'Raw Data'!B198),"\$([A-Z]+)\$[0-9]+"),""),"")</f>
        <v/>
      </c>
      <c r="C198" s="6" t="str" cm="1">
        <f t="array" aca="1" ref="C198" ca="1">IFERROR(IF(OR('Raw Data'!C198="",LEN(TRIM('Raw Data'!C198))=0),_xlfn.REGEXEXTRACT(CELL("address",'Raw Data'!C198),"\$([A-Z]+)\$[0-9]+"),""),"")</f>
        <v/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2:36" x14ac:dyDescent="0.25">
      <c r="B199" s="6" t="str" cm="1">
        <f t="array" aca="1" ref="B199" ca="1">IFERROR(IF(OR('Raw Data'!B199="",LEN(TRIM('Raw Data'!B199))=0),_xlfn.REGEXEXTRACT(CELL("address",'Raw Data'!B199),"\$([A-Z]+)\$[0-9]+"),""),"")</f>
        <v/>
      </c>
      <c r="C199" s="6" t="str" cm="1">
        <f t="array" aca="1" ref="C199" ca="1">IFERROR(IF(OR('Raw Data'!C199="",LEN(TRIM('Raw Data'!C199))=0),_xlfn.REGEXEXTRACT(CELL("address",'Raw Data'!C199),"\$([A-Z]+)\$[0-9]+"),""),"")</f>
        <v/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2:36" x14ac:dyDescent="0.25">
      <c r="B200" s="6" t="str" cm="1">
        <f t="array" aca="1" ref="B200" ca="1">IFERROR(IF(OR('Raw Data'!B200="",LEN(TRIM('Raw Data'!B200))=0),_xlfn.REGEXEXTRACT(CELL("address",'Raw Data'!B200),"\$([A-Z]+)\$[0-9]+"),""),"")</f>
        <v/>
      </c>
      <c r="C200" s="6" t="str" cm="1">
        <f t="array" aca="1" ref="C200" ca="1">IFERROR(IF(OR('Raw Data'!C200="",LEN(TRIM('Raw Data'!C200))=0),_xlfn.REGEXEXTRACT(CELL("address",'Raw Data'!C200),"\$([A-Z]+)\$[0-9]+"),""),"")</f>
        <v/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2:36" x14ac:dyDescent="0.25">
      <c r="B201" s="6" t="str" cm="1">
        <f t="array" aca="1" ref="B201" ca="1">IFERROR(IF(OR('Raw Data'!B201="",LEN(TRIM('Raw Data'!B201))=0),_xlfn.REGEXEXTRACT(CELL("address",'Raw Data'!B201),"\$([A-Z]+)\$[0-9]+"),""),"")</f>
        <v/>
      </c>
      <c r="C201" s="6" t="str" cm="1">
        <f t="array" aca="1" ref="C201" ca="1">IFERROR(IF(OR('Raw Data'!C201="",LEN(TRIM('Raw Data'!C201))=0),_xlfn.REGEXEXTRACT(CELL("address",'Raw Data'!C201),"\$([A-Z]+)\$[0-9]+"),""),"")</f>
        <v/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2:36" x14ac:dyDescent="0.25">
      <c r="B202" s="6" t="str" cm="1">
        <f t="array" aca="1" ref="B202" ca="1">IFERROR(IF(OR('Raw Data'!B202="",LEN(TRIM('Raw Data'!B202))=0),_xlfn.REGEXEXTRACT(CELL("address",'Raw Data'!B202),"\$([A-Z]+)\$[0-9]+"),""),"")</f>
        <v/>
      </c>
      <c r="C202" s="6" t="str" cm="1">
        <f t="array" aca="1" ref="C202" ca="1">IFERROR(IF(OR('Raw Data'!C202="",LEN(TRIM('Raw Data'!C202))=0),_xlfn.REGEXEXTRACT(CELL("address",'Raw Data'!C202),"\$([A-Z]+)\$[0-9]+"),""),"")</f>
        <v/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2:36" x14ac:dyDescent="0.25">
      <c r="B203" s="6" t="str" cm="1">
        <f t="array" aca="1" ref="B203" ca="1">IFERROR(IF(OR('Raw Data'!B203="",LEN(TRIM('Raw Data'!B203))=0),_xlfn.REGEXEXTRACT(CELL("address",'Raw Data'!B203),"\$([A-Z]+)\$[0-9]+"),""),"")</f>
        <v/>
      </c>
      <c r="C203" s="6" t="str" cm="1">
        <f t="array" aca="1" ref="C203" ca="1">IFERROR(IF(OR('Raw Data'!C203="",LEN(TRIM('Raw Data'!C203))=0),_xlfn.REGEXEXTRACT(CELL("address",'Raw Data'!C203),"\$([A-Z]+)\$[0-9]+"),""),"")</f>
        <v/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2:36" x14ac:dyDescent="0.25">
      <c r="B204" s="6" t="str" cm="1">
        <f t="array" aca="1" ref="B204" ca="1">IFERROR(IF(OR('Raw Data'!B204="",LEN(TRIM('Raw Data'!B204))=0),_xlfn.REGEXEXTRACT(CELL("address",'Raw Data'!B204),"\$([A-Z]+)\$[0-9]+"),""),"")</f>
        <v/>
      </c>
      <c r="C204" s="6" t="str" cm="1">
        <f t="array" aca="1" ref="C204" ca="1">IFERROR(IF(OR('Raw Data'!C204="",LEN(TRIM('Raw Data'!C204))=0),_xlfn.REGEXEXTRACT(CELL("address",'Raw Data'!C204),"\$([A-Z]+)\$[0-9]+"),""),"")</f>
        <v/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2:36" x14ac:dyDescent="0.25">
      <c r="B205" s="6" t="str" cm="1">
        <f t="array" aca="1" ref="B205" ca="1">IFERROR(IF(OR('Raw Data'!B205="",LEN(TRIM('Raw Data'!B205))=0),_xlfn.REGEXEXTRACT(CELL("address",'Raw Data'!B205),"\$([A-Z]+)\$[0-9]+"),""),"")</f>
        <v/>
      </c>
      <c r="C205" s="6" t="str" cm="1">
        <f t="array" aca="1" ref="C205" ca="1">IFERROR(IF(OR('Raw Data'!C205="",LEN(TRIM('Raw Data'!C205))=0),_xlfn.REGEXEXTRACT(CELL("address",'Raw Data'!C205),"\$([A-Z]+)\$[0-9]+"),""),"")</f>
        <v/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2:36" x14ac:dyDescent="0.25">
      <c r="B206" s="6" t="str" cm="1">
        <f t="array" aca="1" ref="B206" ca="1">IFERROR(IF(OR('Raw Data'!B206="",LEN(TRIM('Raw Data'!B206))=0),_xlfn.REGEXEXTRACT(CELL("address",'Raw Data'!B206),"\$([A-Z]+)\$[0-9]+"),""),"")</f>
        <v/>
      </c>
      <c r="C206" s="6" t="str" cm="1">
        <f t="array" aca="1" ref="C206" ca="1">IFERROR(IF(OR('Raw Data'!C206="",LEN(TRIM('Raw Data'!C206))=0),_xlfn.REGEXEXTRACT(CELL("address",'Raw Data'!C206),"\$([A-Z]+)\$[0-9]+"),""),"")</f>
        <v/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2:36" x14ac:dyDescent="0.25">
      <c r="B207" s="6" t="str" cm="1">
        <f t="array" aca="1" ref="B207" ca="1">IFERROR(IF(OR('Raw Data'!B207="",LEN(TRIM('Raw Data'!B207))=0),_xlfn.REGEXEXTRACT(CELL("address",'Raw Data'!B207),"\$([A-Z]+)\$[0-9]+"),""),"")</f>
        <v/>
      </c>
      <c r="C207" s="6" t="str" cm="1">
        <f t="array" aca="1" ref="C207" ca="1">IFERROR(IF(OR('Raw Data'!C207="",LEN(TRIM('Raw Data'!C207))=0),_xlfn.REGEXEXTRACT(CELL("address",'Raw Data'!C207),"\$([A-Z]+)\$[0-9]+"),""),"")</f>
        <v/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2:36" x14ac:dyDescent="0.25">
      <c r="B208" s="6" t="str" cm="1">
        <f t="array" aca="1" ref="B208" ca="1">IFERROR(IF(OR('Raw Data'!B208="",LEN(TRIM('Raw Data'!B208))=0),_xlfn.REGEXEXTRACT(CELL("address",'Raw Data'!B208),"\$([A-Z]+)\$[0-9]+"),""),"")</f>
        <v/>
      </c>
      <c r="C208" s="6" t="str" cm="1">
        <f t="array" aca="1" ref="C208" ca="1">IFERROR(IF(OR('Raw Data'!C208="",LEN(TRIM('Raw Data'!C208))=0),_xlfn.REGEXEXTRACT(CELL("address",'Raw Data'!C208),"\$([A-Z]+)\$[0-9]+"),""),"")</f>
        <v/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2:36" x14ac:dyDescent="0.25">
      <c r="B209" s="6" t="str" cm="1">
        <f t="array" aca="1" ref="B209" ca="1">IFERROR(IF(OR('Raw Data'!B209="",LEN(TRIM('Raw Data'!B209))=0),_xlfn.REGEXEXTRACT(CELL("address",'Raw Data'!B209),"\$([A-Z]+)\$[0-9]+"),""),"")</f>
        <v/>
      </c>
      <c r="C209" s="6" t="str" cm="1">
        <f t="array" aca="1" ref="C209" ca="1">IFERROR(IF(OR('Raw Data'!C209="",LEN(TRIM('Raw Data'!C209))=0),_xlfn.REGEXEXTRACT(CELL("address",'Raw Data'!C209),"\$([A-Z]+)\$[0-9]+"),""),"")</f>
        <v/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2:36" x14ac:dyDescent="0.25">
      <c r="B210" s="6" t="str" cm="1">
        <f t="array" aca="1" ref="B210" ca="1">IFERROR(IF(OR('Raw Data'!B210="",LEN(TRIM('Raw Data'!B210))=0),_xlfn.REGEXEXTRACT(CELL("address",'Raw Data'!B210),"\$([A-Z]+)\$[0-9]+"),""),"")</f>
        <v/>
      </c>
      <c r="C210" s="6" t="str" cm="1">
        <f t="array" aca="1" ref="C210" ca="1">IFERROR(IF(OR('Raw Data'!C210="",LEN(TRIM('Raw Data'!C210))=0),_xlfn.REGEXEXTRACT(CELL("address",'Raw Data'!C210),"\$([A-Z]+)\$[0-9]+"),""),"")</f>
        <v/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2:36" x14ac:dyDescent="0.25">
      <c r="B211" s="6" t="str" cm="1">
        <f t="array" aca="1" ref="B211" ca="1">IFERROR(IF(OR('Raw Data'!B211="",LEN(TRIM('Raw Data'!B211))=0),_xlfn.REGEXEXTRACT(CELL("address",'Raw Data'!B211),"\$([A-Z]+)\$[0-9]+"),""),"")</f>
        <v/>
      </c>
      <c r="C211" s="6" t="str" cm="1">
        <f t="array" aca="1" ref="C211" ca="1">IFERROR(IF(OR('Raw Data'!C211="",LEN(TRIM('Raw Data'!C211))=0),_xlfn.REGEXEXTRACT(CELL("address",'Raw Data'!C211),"\$([A-Z]+)\$[0-9]+"),""),"")</f>
        <v/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2:36" x14ac:dyDescent="0.25">
      <c r="B212" s="6" t="str" cm="1">
        <f t="array" aca="1" ref="B212" ca="1">IFERROR(IF(OR('Raw Data'!B212="",LEN(TRIM('Raw Data'!B212))=0),_xlfn.REGEXEXTRACT(CELL("address",'Raw Data'!B212),"\$([A-Z]+)\$[0-9]+"),""),"")</f>
        <v/>
      </c>
      <c r="C212" s="6" t="str" cm="1">
        <f t="array" aca="1" ref="C212" ca="1">IFERROR(IF(OR('Raw Data'!C212="",LEN(TRIM('Raw Data'!C212))=0),_xlfn.REGEXEXTRACT(CELL("address",'Raw Data'!C212),"\$([A-Z]+)\$[0-9]+"),""),"")</f>
        <v/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2:36" x14ac:dyDescent="0.25">
      <c r="B213" s="6" t="str" cm="1">
        <f t="array" aca="1" ref="B213" ca="1">IFERROR(IF(OR('Raw Data'!B213="",LEN(TRIM('Raw Data'!B213))=0),_xlfn.REGEXEXTRACT(CELL("address",'Raw Data'!B213),"\$([A-Z]+)\$[0-9]+"),""),"")</f>
        <v/>
      </c>
      <c r="C213" s="6" t="str" cm="1">
        <f t="array" aca="1" ref="C213" ca="1">IFERROR(IF(OR('Raw Data'!C213="",LEN(TRIM('Raw Data'!C213))=0),_xlfn.REGEXEXTRACT(CELL("address",'Raw Data'!C213),"\$([A-Z]+)\$[0-9]+"),""),"")</f>
        <v/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2:36" x14ac:dyDescent="0.25">
      <c r="B214" s="6" t="str" cm="1">
        <f t="array" aca="1" ref="B214" ca="1">IFERROR(IF(OR('Raw Data'!B214="",LEN(TRIM('Raw Data'!B214))=0),_xlfn.REGEXEXTRACT(CELL("address",'Raw Data'!B214),"\$([A-Z]+)\$[0-9]+"),""),"")</f>
        <v/>
      </c>
      <c r="C214" s="6" t="str" cm="1">
        <f t="array" aca="1" ref="C214" ca="1">IFERROR(IF(OR('Raw Data'!C214="",LEN(TRIM('Raw Data'!C214))=0),_xlfn.REGEXEXTRACT(CELL("address",'Raw Data'!C214),"\$([A-Z]+)\$[0-9]+"),""),"")</f>
        <v/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2:36" x14ac:dyDescent="0.25">
      <c r="B215" s="6" t="str" cm="1">
        <f t="array" aca="1" ref="B215" ca="1">IFERROR(IF(OR('Raw Data'!B215="",LEN(TRIM('Raw Data'!B215))=0),_xlfn.REGEXEXTRACT(CELL("address",'Raw Data'!B215),"\$([A-Z]+)\$[0-9]+"),""),"")</f>
        <v/>
      </c>
      <c r="C215" s="6" t="str" cm="1">
        <f t="array" aca="1" ref="C215" ca="1">IFERROR(IF(OR('Raw Data'!C215="",LEN(TRIM('Raw Data'!C215))=0),_xlfn.REGEXEXTRACT(CELL("address",'Raw Data'!C215),"\$([A-Z]+)\$[0-9]+"),""),"")</f>
        <v/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2:36" x14ac:dyDescent="0.25">
      <c r="B216" s="6" t="str" cm="1">
        <f t="array" aca="1" ref="B216" ca="1">IFERROR(IF(OR('Raw Data'!B216="",LEN(TRIM('Raw Data'!B216))=0),_xlfn.REGEXEXTRACT(CELL("address",'Raw Data'!B216),"\$([A-Z]+)\$[0-9]+"),""),"")</f>
        <v/>
      </c>
      <c r="C216" s="6" t="str" cm="1">
        <f t="array" aca="1" ref="C216" ca="1">IFERROR(IF(OR('Raw Data'!C216="",LEN(TRIM('Raw Data'!C216))=0),_xlfn.REGEXEXTRACT(CELL("address",'Raw Data'!C216),"\$([A-Z]+)\$[0-9]+"),""),"")</f>
        <v/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2:36" x14ac:dyDescent="0.25">
      <c r="B217" s="6" t="str" cm="1">
        <f t="array" aca="1" ref="B217" ca="1">IFERROR(IF(OR('Raw Data'!B217="",LEN(TRIM('Raw Data'!B217))=0),_xlfn.REGEXEXTRACT(CELL("address",'Raw Data'!B217),"\$([A-Z]+)\$[0-9]+"),""),"")</f>
        <v/>
      </c>
      <c r="C217" s="6" t="str" cm="1">
        <f t="array" aca="1" ref="C217" ca="1">IFERROR(IF(OR('Raw Data'!C217="",LEN(TRIM('Raw Data'!C217))=0),_xlfn.REGEXEXTRACT(CELL("address",'Raw Data'!C217),"\$([A-Z]+)\$[0-9]+"),""),"")</f>
        <v/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2:36" x14ac:dyDescent="0.25">
      <c r="B218" s="6" t="str" cm="1">
        <f t="array" aca="1" ref="B218" ca="1">IFERROR(IF(OR('Raw Data'!B218="",LEN(TRIM('Raw Data'!B218))=0),_xlfn.REGEXEXTRACT(CELL("address",'Raw Data'!B218),"\$([A-Z]+)\$[0-9]+"),""),"")</f>
        <v/>
      </c>
      <c r="C218" s="6" t="str" cm="1">
        <f t="array" aca="1" ref="C218" ca="1">IFERROR(IF(OR('Raw Data'!C218="",LEN(TRIM('Raw Data'!C218))=0),_xlfn.REGEXEXTRACT(CELL("address",'Raw Data'!C218),"\$([A-Z]+)\$[0-9]+"),""),"")</f>
        <v/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2:36" x14ac:dyDescent="0.25">
      <c r="B219" s="6" t="str" cm="1">
        <f t="array" aca="1" ref="B219" ca="1">IFERROR(IF(OR('Raw Data'!B219="",LEN(TRIM('Raw Data'!B219))=0),_xlfn.REGEXEXTRACT(CELL("address",'Raw Data'!B219),"\$([A-Z]+)\$[0-9]+"),""),"")</f>
        <v/>
      </c>
      <c r="C219" s="6" t="str" cm="1">
        <f t="array" aca="1" ref="C219" ca="1">IFERROR(IF(OR('Raw Data'!C219="",LEN(TRIM('Raw Data'!C219))=0),_xlfn.REGEXEXTRACT(CELL("address",'Raw Data'!C219),"\$([A-Z]+)\$[0-9]+"),""),"")</f>
        <v/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2:36" x14ac:dyDescent="0.25">
      <c r="B220" s="6" t="str" cm="1">
        <f t="array" aca="1" ref="B220" ca="1">IFERROR(IF(OR('Raw Data'!B220="",LEN(TRIM('Raw Data'!B220))=0),_xlfn.REGEXEXTRACT(CELL("address",'Raw Data'!B220),"\$([A-Z]+)\$[0-9]+"),""),"")</f>
        <v/>
      </c>
      <c r="C220" s="6" t="str" cm="1">
        <f t="array" aca="1" ref="C220" ca="1">IFERROR(IF(OR('Raw Data'!C220="",LEN(TRIM('Raw Data'!C220))=0),_xlfn.REGEXEXTRACT(CELL("address",'Raw Data'!C220),"\$([A-Z]+)\$[0-9]+"),""),"")</f>
        <v/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2:36" x14ac:dyDescent="0.25">
      <c r="B221" s="6" t="str" cm="1">
        <f t="array" aca="1" ref="B221" ca="1">IFERROR(IF(OR('Raw Data'!B221="",LEN(TRIM('Raw Data'!B221))=0),_xlfn.REGEXEXTRACT(CELL("address",'Raw Data'!B221),"\$([A-Z]+)\$[0-9]+"),""),"")</f>
        <v/>
      </c>
      <c r="C221" s="6" t="str" cm="1">
        <f t="array" aca="1" ref="C221" ca="1">IFERROR(IF(OR('Raw Data'!C221="",LEN(TRIM('Raw Data'!C221))=0),_xlfn.REGEXEXTRACT(CELL("address",'Raw Data'!C221),"\$([A-Z]+)\$[0-9]+"),""),"")</f>
        <v/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2:36" x14ac:dyDescent="0.25">
      <c r="B222" s="6" t="str" cm="1">
        <f t="array" aca="1" ref="B222" ca="1">IFERROR(IF(OR('Raw Data'!B222="",LEN(TRIM('Raw Data'!B222))=0),_xlfn.REGEXEXTRACT(CELL("address",'Raw Data'!B222),"\$([A-Z]+)\$[0-9]+"),""),"")</f>
        <v/>
      </c>
      <c r="C222" s="6" t="str" cm="1">
        <f t="array" aca="1" ref="C222" ca="1">IFERROR(IF(OR('Raw Data'!C222="",LEN(TRIM('Raw Data'!C222))=0),_xlfn.REGEXEXTRACT(CELL("address",'Raw Data'!C222),"\$([A-Z]+)\$[0-9]+"),""),"")</f>
        <v/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2:36" x14ac:dyDescent="0.25">
      <c r="B223" s="6" t="str" cm="1">
        <f t="array" aca="1" ref="B223" ca="1">IFERROR(IF(OR('Raw Data'!B223="",LEN(TRIM('Raw Data'!B223))=0),_xlfn.REGEXEXTRACT(CELL("address",'Raw Data'!B223),"\$([A-Z]+)\$[0-9]+"),""),"")</f>
        <v/>
      </c>
      <c r="C223" s="6" t="str" cm="1">
        <f t="array" aca="1" ref="C223" ca="1">IFERROR(IF(OR('Raw Data'!C223="",LEN(TRIM('Raw Data'!C223))=0),_xlfn.REGEXEXTRACT(CELL("address",'Raw Data'!C223),"\$([A-Z]+)\$[0-9]+"),""),"")</f>
        <v/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2:36" x14ac:dyDescent="0.25">
      <c r="B224" s="6" t="str" cm="1">
        <f t="array" aca="1" ref="B224" ca="1">IFERROR(IF(OR('Raw Data'!B224="",LEN(TRIM('Raw Data'!B224))=0),_xlfn.REGEXEXTRACT(CELL("address",'Raw Data'!B224),"\$([A-Z]+)\$[0-9]+"),""),"")</f>
        <v/>
      </c>
      <c r="C224" s="6" t="str" cm="1">
        <f t="array" aca="1" ref="C224" ca="1">IFERROR(IF(OR('Raw Data'!C224="",LEN(TRIM('Raw Data'!C224))=0),_xlfn.REGEXEXTRACT(CELL("address",'Raw Data'!C224),"\$([A-Z]+)\$[0-9]+"),""),"")</f>
        <v/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2:36" x14ac:dyDescent="0.25">
      <c r="B225" s="6" t="str" cm="1">
        <f t="array" aca="1" ref="B225" ca="1">IFERROR(IF(OR('Raw Data'!B225="",LEN(TRIM('Raw Data'!B225))=0),_xlfn.REGEXEXTRACT(CELL("address",'Raw Data'!B225),"\$([A-Z]+)\$[0-9]+"),""),"")</f>
        <v/>
      </c>
      <c r="C225" s="6" t="str" cm="1">
        <f t="array" aca="1" ref="C225" ca="1">IFERROR(IF(OR('Raw Data'!C225="",LEN(TRIM('Raw Data'!C225))=0),_xlfn.REGEXEXTRACT(CELL("address",'Raw Data'!C225),"\$([A-Z]+)\$[0-9]+"),""),"")</f>
        <v/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2:36" x14ac:dyDescent="0.25">
      <c r="B226" s="6" t="str" cm="1">
        <f t="array" aca="1" ref="B226" ca="1">IFERROR(IF(OR('Raw Data'!B226="",LEN(TRIM('Raw Data'!B226))=0),_xlfn.REGEXEXTRACT(CELL("address",'Raw Data'!B226),"\$([A-Z]+)\$[0-9]+"),""),"")</f>
        <v/>
      </c>
      <c r="C226" s="6" t="str" cm="1">
        <f t="array" aca="1" ref="C226" ca="1">IFERROR(IF(OR('Raw Data'!C226="",LEN(TRIM('Raw Data'!C226))=0),_xlfn.REGEXEXTRACT(CELL("address",'Raw Data'!C226),"\$([A-Z]+)\$[0-9]+"),""),"")</f>
        <v/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2:36" x14ac:dyDescent="0.25">
      <c r="B227" s="6" t="str" cm="1">
        <f t="array" aca="1" ref="B227" ca="1">IFERROR(IF(OR('Raw Data'!B227="",LEN(TRIM('Raw Data'!B227))=0),_xlfn.REGEXEXTRACT(CELL("address",'Raw Data'!B227),"\$([A-Z]+)\$[0-9]+"),""),"")</f>
        <v/>
      </c>
      <c r="C227" s="6" t="str" cm="1">
        <f t="array" aca="1" ref="C227" ca="1">IFERROR(IF(OR('Raw Data'!C227="",LEN(TRIM('Raw Data'!C227))=0),_xlfn.REGEXEXTRACT(CELL("address",'Raw Data'!C227),"\$([A-Z]+)\$[0-9]+"),""),"")</f>
        <v/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2:36" x14ac:dyDescent="0.25">
      <c r="B228" s="6" t="str" cm="1">
        <f t="array" aca="1" ref="B228" ca="1">IFERROR(IF(OR('Raw Data'!B228="",LEN(TRIM('Raw Data'!B228))=0),_xlfn.REGEXEXTRACT(CELL("address",'Raw Data'!B228),"\$([A-Z]+)\$[0-9]+"),""),"")</f>
        <v/>
      </c>
      <c r="C228" s="6" t="str" cm="1">
        <f t="array" aca="1" ref="C228" ca="1">IFERROR(IF(OR('Raw Data'!C228="",LEN(TRIM('Raw Data'!C228))=0),_xlfn.REGEXEXTRACT(CELL("address",'Raw Data'!C228),"\$([A-Z]+)\$[0-9]+"),""),"")</f>
        <v/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2:36" x14ac:dyDescent="0.25">
      <c r="B229" s="6" t="str" cm="1">
        <f t="array" aca="1" ref="B229" ca="1">IFERROR(IF(OR('Raw Data'!B229="",LEN(TRIM('Raw Data'!B229))=0),_xlfn.REGEXEXTRACT(CELL("address",'Raw Data'!B229),"\$([A-Z]+)\$[0-9]+"),""),"")</f>
        <v/>
      </c>
      <c r="C229" s="6" t="str" cm="1">
        <f t="array" aca="1" ref="C229" ca="1">IFERROR(IF(OR('Raw Data'!C229="",LEN(TRIM('Raw Data'!C229))=0),_xlfn.REGEXEXTRACT(CELL("address",'Raw Data'!C229),"\$([A-Z]+)\$[0-9]+"),""),"")</f>
        <v/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2:36" x14ac:dyDescent="0.25">
      <c r="B230" s="6" t="str" cm="1">
        <f t="array" aca="1" ref="B230" ca="1">IFERROR(IF(OR('Raw Data'!B230="",LEN(TRIM('Raw Data'!B230))=0),_xlfn.REGEXEXTRACT(CELL("address",'Raw Data'!B230),"\$([A-Z]+)\$[0-9]+"),""),"")</f>
        <v/>
      </c>
      <c r="C230" s="6" t="str" cm="1">
        <f t="array" aca="1" ref="C230" ca="1">IFERROR(IF(OR('Raw Data'!C230="",LEN(TRIM('Raw Data'!C230))=0),_xlfn.REGEXEXTRACT(CELL("address",'Raw Data'!C230),"\$([A-Z]+)\$[0-9]+"),""),"")</f>
        <v/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2:36" x14ac:dyDescent="0.25">
      <c r="B231" s="6" t="str" cm="1">
        <f t="array" aca="1" ref="B231" ca="1">IFERROR(IF(OR('Raw Data'!B231="",LEN(TRIM('Raw Data'!B231))=0),_xlfn.REGEXEXTRACT(CELL("address",'Raw Data'!B231),"\$([A-Z]+)\$[0-9]+"),""),"")</f>
        <v/>
      </c>
      <c r="C231" s="6" t="str" cm="1">
        <f t="array" aca="1" ref="C231" ca="1">IFERROR(IF(OR('Raw Data'!C231="",LEN(TRIM('Raw Data'!C231))=0),_xlfn.REGEXEXTRACT(CELL("address",'Raw Data'!C231),"\$([A-Z]+)\$[0-9]+"),""),"")</f>
        <v/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2:36" x14ac:dyDescent="0.25">
      <c r="B232" s="6" t="str" cm="1">
        <f t="array" aca="1" ref="B232" ca="1">IFERROR(IF(OR('Raw Data'!B232="",LEN(TRIM('Raw Data'!B232))=0),_xlfn.REGEXEXTRACT(CELL("address",'Raw Data'!B232),"\$([A-Z]+)\$[0-9]+"),""),"")</f>
        <v/>
      </c>
      <c r="C232" s="6" t="str" cm="1">
        <f t="array" aca="1" ref="C232" ca="1">IFERROR(IF(OR('Raw Data'!C232="",LEN(TRIM('Raw Data'!C232))=0),_xlfn.REGEXEXTRACT(CELL("address",'Raw Data'!C232),"\$([A-Z]+)\$[0-9]+"),""),"")</f>
        <v/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2:36" x14ac:dyDescent="0.25">
      <c r="B233" s="6" t="str" cm="1">
        <f t="array" aca="1" ref="B233" ca="1">IFERROR(IF(OR('Raw Data'!B233="",LEN(TRIM('Raw Data'!B233))=0),_xlfn.REGEXEXTRACT(CELL("address",'Raw Data'!B233),"\$([A-Z]+)\$[0-9]+"),""),"")</f>
        <v/>
      </c>
      <c r="C233" s="6" t="str" cm="1">
        <f t="array" aca="1" ref="C233" ca="1">IFERROR(IF(OR('Raw Data'!C233="",LEN(TRIM('Raw Data'!C233))=0),_xlfn.REGEXEXTRACT(CELL("address",'Raw Data'!C233),"\$([A-Z]+)\$[0-9]+"),""),"")</f>
        <v/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2:36" x14ac:dyDescent="0.25">
      <c r="B234" s="6" t="str" cm="1">
        <f t="array" aca="1" ref="B234" ca="1">IFERROR(IF(OR('Raw Data'!B234="",LEN(TRIM('Raw Data'!B234))=0),_xlfn.REGEXEXTRACT(CELL("address",'Raw Data'!B234),"\$([A-Z]+)\$[0-9]+"),""),"")</f>
        <v/>
      </c>
      <c r="C234" s="6" t="str" cm="1">
        <f t="array" aca="1" ref="C234" ca="1">IFERROR(IF(OR('Raw Data'!C234="",LEN(TRIM('Raw Data'!C234))=0),_xlfn.REGEXEXTRACT(CELL("address",'Raw Data'!C234),"\$([A-Z]+)\$[0-9]+"),""),"")</f>
        <v/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2:36" x14ac:dyDescent="0.25">
      <c r="B235" s="6" t="str" cm="1">
        <f t="array" aca="1" ref="B235" ca="1">IFERROR(IF(OR('Raw Data'!B235="",LEN(TRIM('Raw Data'!B235))=0),_xlfn.REGEXEXTRACT(CELL("address",'Raw Data'!B235),"\$([A-Z]+)\$[0-9]+"),""),"")</f>
        <v/>
      </c>
      <c r="C235" s="6" t="str" cm="1">
        <f t="array" aca="1" ref="C235" ca="1">IFERROR(IF(OR('Raw Data'!C235="",LEN(TRIM('Raw Data'!C235))=0),_xlfn.REGEXEXTRACT(CELL("address",'Raw Data'!C235),"\$([A-Z]+)\$[0-9]+"),""),"")</f>
        <v/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2:36" x14ac:dyDescent="0.25">
      <c r="B236" s="6" t="str" cm="1">
        <f t="array" aca="1" ref="B236" ca="1">IFERROR(IF(OR('Raw Data'!B236="",LEN(TRIM('Raw Data'!B236))=0),_xlfn.REGEXEXTRACT(CELL("address",'Raw Data'!B236),"\$([A-Z]+)\$[0-9]+"),""),"")</f>
        <v/>
      </c>
      <c r="C236" s="6" t="str" cm="1">
        <f t="array" aca="1" ref="C236" ca="1">IFERROR(IF(OR('Raw Data'!C236="",LEN(TRIM('Raw Data'!C236))=0),_xlfn.REGEXEXTRACT(CELL("address",'Raw Data'!C236),"\$([A-Z]+)\$[0-9]+"),""),"")</f>
        <v/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spans="2:36" x14ac:dyDescent="0.25">
      <c r="B237" s="6" t="str" cm="1">
        <f t="array" aca="1" ref="B237" ca="1">IFERROR(IF(OR('Raw Data'!B237="",LEN(TRIM('Raw Data'!B237))=0),_xlfn.REGEXEXTRACT(CELL("address",'Raw Data'!B237),"\$([A-Z]+)\$[0-9]+"),""),"")</f>
        <v/>
      </c>
      <c r="C237" s="6" t="str" cm="1">
        <f t="array" aca="1" ref="C237" ca="1">IFERROR(IF(OR('Raw Data'!C237="",LEN(TRIM('Raw Data'!C237))=0),_xlfn.REGEXEXTRACT(CELL("address",'Raw Data'!C237),"\$([A-Z]+)\$[0-9]+"),""),"")</f>
        <v/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spans="2:36" x14ac:dyDescent="0.25">
      <c r="B238" s="6" t="str" cm="1">
        <f t="array" aca="1" ref="B238" ca="1">IFERROR(IF(OR('Raw Data'!B238="",LEN(TRIM('Raw Data'!B238))=0),_xlfn.REGEXEXTRACT(CELL("address",'Raw Data'!B238),"\$([A-Z]+)\$[0-9]+"),""),"")</f>
        <v/>
      </c>
      <c r="C238" s="6" t="str" cm="1">
        <f t="array" aca="1" ref="C238" ca="1">IFERROR(IF(OR('Raw Data'!C238="",LEN(TRIM('Raw Data'!C238))=0),_xlfn.REGEXEXTRACT(CELL("address",'Raw Data'!C238),"\$([A-Z]+)\$[0-9]+"),""),"")</f>
        <v/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spans="2:36" x14ac:dyDescent="0.25">
      <c r="B239" s="6" t="str" cm="1">
        <f t="array" aca="1" ref="B239" ca="1">IFERROR(IF(OR('Raw Data'!B239="",LEN(TRIM('Raw Data'!B239))=0),_xlfn.REGEXEXTRACT(CELL("address",'Raw Data'!B239),"\$([A-Z]+)\$[0-9]+"),""),"")</f>
        <v/>
      </c>
      <c r="C239" s="6" t="str" cm="1">
        <f t="array" aca="1" ref="C239" ca="1">IFERROR(IF(OR('Raw Data'!C239="",LEN(TRIM('Raw Data'!C239))=0),_xlfn.REGEXEXTRACT(CELL("address",'Raw Data'!C239),"\$([A-Z]+)\$[0-9]+"),""),"")</f>
        <v/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spans="2:36" x14ac:dyDescent="0.25">
      <c r="B240" s="6" t="str" cm="1">
        <f t="array" aca="1" ref="B240" ca="1">IFERROR(IF(OR('Raw Data'!B240="",LEN(TRIM('Raw Data'!B240))=0),_xlfn.REGEXEXTRACT(CELL("address",'Raw Data'!B240),"\$([A-Z]+)\$[0-9]+"),""),"")</f>
        <v/>
      </c>
      <c r="C240" s="6" t="str" cm="1">
        <f t="array" aca="1" ref="C240" ca="1">IFERROR(IF(OR('Raw Data'!C240="",LEN(TRIM('Raw Data'!C240))=0),_xlfn.REGEXEXTRACT(CELL("address",'Raw Data'!C240),"\$([A-Z]+)\$[0-9]+"),""),"")</f>
        <v/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spans="2:36" x14ac:dyDescent="0.25">
      <c r="B241" s="6" t="str" cm="1">
        <f t="array" aca="1" ref="B241" ca="1">IFERROR(IF(OR('Raw Data'!B241="",LEN(TRIM('Raw Data'!B241))=0),_xlfn.REGEXEXTRACT(CELL("address",'Raw Data'!B241),"\$([A-Z]+)\$[0-9]+"),""),"")</f>
        <v/>
      </c>
      <c r="C241" s="6" t="str" cm="1">
        <f t="array" aca="1" ref="C241" ca="1">IFERROR(IF(OR('Raw Data'!C241="",LEN(TRIM('Raw Data'!C241))=0),_xlfn.REGEXEXTRACT(CELL("address",'Raw Data'!C241),"\$([A-Z]+)\$[0-9]+"),""),"")</f>
        <v/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spans="2:36" x14ac:dyDescent="0.25">
      <c r="B242" s="6" t="str" cm="1">
        <f t="array" aca="1" ref="B242" ca="1">IFERROR(IF(OR('Raw Data'!B242="",LEN(TRIM('Raw Data'!B242))=0),_xlfn.REGEXEXTRACT(CELL("address",'Raw Data'!B242),"\$([A-Z]+)\$[0-9]+"),""),"")</f>
        <v/>
      </c>
      <c r="C242" s="6" t="str" cm="1">
        <f t="array" aca="1" ref="C242" ca="1">IFERROR(IF(OR('Raw Data'!C242="",LEN(TRIM('Raw Data'!C242))=0),_xlfn.REGEXEXTRACT(CELL("address",'Raw Data'!C242),"\$([A-Z]+)\$[0-9]+"),""),"")</f>
        <v/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spans="2:36" x14ac:dyDescent="0.25">
      <c r="B243" s="6" t="str" cm="1">
        <f t="array" aca="1" ref="B243" ca="1">IFERROR(IF(OR('Raw Data'!B243="",LEN(TRIM('Raw Data'!B243))=0),_xlfn.REGEXEXTRACT(CELL("address",'Raw Data'!B243),"\$([A-Z]+)\$[0-9]+"),""),"")</f>
        <v/>
      </c>
      <c r="C243" s="6" t="str" cm="1">
        <f t="array" aca="1" ref="C243" ca="1">IFERROR(IF(OR('Raw Data'!C243="",LEN(TRIM('Raw Data'!C243))=0),_xlfn.REGEXEXTRACT(CELL("address",'Raw Data'!C243),"\$([A-Z]+)\$[0-9]+"),""),"")</f>
        <v/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spans="2:36" x14ac:dyDescent="0.25">
      <c r="B244" s="6" t="str" cm="1">
        <f t="array" aca="1" ref="B244" ca="1">IFERROR(IF(OR('Raw Data'!B244="",LEN(TRIM('Raw Data'!B244))=0),_xlfn.REGEXEXTRACT(CELL("address",'Raw Data'!B244),"\$([A-Z]+)\$[0-9]+"),""),"")</f>
        <v/>
      </c>
      <c r="C244" s="6" t="str" cm="1">
        <f t="array" aca="1" ref="C244" ca="1">IFERROR(IF(OR('Raw Data'!C244="",LEN(TRIM('Raw Data'!C244))=0),_xlfn.REGEXEXTRACT(CELL("address",'Raw Data'!C244),"\$([A-Z]+)\$[0-9]+"),""),"")</f>
        <v/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spans="2:36" x14ac:dyDescent="0.25">
      <c r="B245" s="6" t="str" cm="1">
        <f t="array" aca="1" ref="B245" ca="1">IFERROR(IF(OR('Raw Data'!B245="",LEN(TRIM('Raw Data'!B245))=0),_xlfn.REGEXEXTRACT(CELL("address",'Raw Data'!B245),"\$([A-Z]+)\$[0-9]+"),""),"")</f>
        <v/>
      </c>
      <c r="C245" s="6" t="str" cm="1">
        <f t="array" aca="1" ref="C245" ca="1">IFERROR(IF(OR('Raw Data'!C245="",LEN(TRIM('Raw Data'!C245))=0),_xlfn.REGEXEXTRACT(CELL("address",'Raw Data'!C245),"\$([A-Z]+)\$[0-9]+"),""),"")</f>
        <v/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spans="2:36" x14ac:dyDescent="0.25">
      <c r="B246" s="6" t="str" cm="1">
        <f t="array" aca="1" ref="B246" ca="1">IFERROR(IF(OR('Raw Data'!B246="",LEN(TRIM('Raw Data'!B246))=0),_xlfn.REGEXEXTRACT(CELL("address",'Raw Data'!B246),"\$([A-Z]+)\$[0-9]+"),""),"")</f>
        <v/>
      </c>
      <c r="C246" s="6" t="str" cm="1">
        <f t="array" aca="1" ref="C246" ca="1">IFERROR(IF(OR('Raw Data'!C246="",LEN(TRIM('Raw Data'!C246))=0),_xlfn.REGEXEXTRACT(CELL("address",'Raw Data'!C246),"\$([A-Z]+)\$[0-9]+"),""),"")</f>
        <v/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spans="2:36" x14ac:dyDescent="0.25">
      <c r="B247" s="6" t="str" cm="1">
        <f t="array" aca="1" ref="B247" ca="1">IFERROR(IF(OR('Raw Data'!B247="",LEN(TRIM('Raw Data'!B247))=0),_xlfn.REGEXEXTRACT(CELL("address",'Raw Data'!B247),"\$([A-Z]+)\$[0-9]+"),""),"")</f>
        <v/>
      </c>
      <c r="C247" s="6" t="str" cm="1">
        <f t="array" aca="1" ref="C247" ca="1">IFERROR(IF(OR('Raw Data'!C247="",LEN(TRIM('Raw Data'!C247))=0),_xlfn.REGEXEXTRACT(CELL("address",'Raw Data'!C247),"\$([A-Z]+)\$[0-9]+"),""),"")</f>
        <v/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spans="2:36" x14ac:dyDescent="0.25">
      <c r="B248" s="6" t="str" cm="1">
        <f t="array" aca="1" ref="B248" ca="1">IFERROR(IF(OR('Raw Data'!B248="",LEN(TRIM('Raw Data'!B248))=0),_xlfn.REGEXEXTRACT(CELL("address",'Raw Data'!B248),"\$([A-Z]+)\$[0-9]+"),""),"")</f>
        <v/>
      </c>
      <c r="C248" s="6" t="str" cm="1">
        <f t="array" aca="1" ref="C248" ca="1">IFERROR(IF(OR('Raw Data'!C248="",LEN(TRIM('Raw Data'!C248))=0),_xlfn.REGEXEXTRACT(CELL("address",'Raw Data'!C248),"\$([A-Z]+)\$[0-9]+"),""),"")</f>
        <v/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spans="2:36" x14ac:dyDescent="0.25">
      <c r="B249" s="6" t="str" cm="1">
        <f t="array" aca="1" ref="B249" ca="1">IFERROR(IF(OR('Raw Data'!B249="",LEN(TRIM('Raw Data'!B249))=0),_xlfn.REGEXEXTRACT(CELL("address",'Raw Data'!B249),"\$([A-Z]+)\$[0-9]+"),""),"")</f>
        <v/>
      </c>
      <c r="C249" s="6" t="str" cm="1">
        <f t="array" aca="1" ref="C249" ca="1">IFERROR(IF(OR('Raw Data'!C249="",LEN(TRIM('Raw Data'!C249))=0),_xlfn.REGEXEXTRACT(CELL("address",'Raw Data'!C249),"\$([A-Z]+)\$[0-9]+"),""),"")</f>
        <v/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spans="2:36" x14ac:dyDescent="0.25">
      <c r="B250" s="6" t="str" cm="1">
        <f t="array" aca="1" ref="B250" ca="1">IFERROR(IF(OR('Raw Data'!B250="",LEN(TRIM('Raw Data'!B250))=0),_xlfn.REGEXEXTRACT(CELL("address",'Raw Data'!B250),"\$([A-Z]+)\$[0-9]+"),""),"")</f>
        <v>$B$250</v>
      </c>
      <c r="C250" s="6" t="str" cm="1">
        <f t="array" aca="1" ref="C250" ca="1">IFERROR(IF(OR('Raw Data'!C250="",LEN(TRIM('Raw Data'!C250))=0),_xlfn.REGEXEXTRACT(CELL("address",'Raw Data'!C250),"\$([A-Z]+)\$[0-9]+"),""),"")</f>
        <v>$C$250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spans="2:36" x14ac:dyDescent="0.25">
      <c r="B251" s="6" t="str" cm="1">
        <f t="array" aca="1" ref="B251" ca="1">IFERROR(IF(OR('Raw Data'!B251="",LEN(TRIM('Raw Data'!B251))=0),_xlfn.REGEXEXTRACT(CELL("address",'Raw Data'!B251),"\$([A-Z]+)\$[0-9]+"),""),"")</f>
        <v>$B$251</v>
      </c>
      <c r="C251" s="6" t="str" cm="1">
        <f t="array" aca="1" ref="C251" ca="1">IFERROR(IF(OR('Raw Data'!C251="",LEN(TRIM('Raw Data'!C251))=0),_xlfn.REGEXEXTRACT(CELL("address",'Raw Data'!C251),"\$([A-Z]+)\$[0-9]+"),""),"")</f>
        <v>$C$251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spans="2:36" x14ac:dyDescent="0.25">
      <c r="B252" s="6" t="str" cm="1">
        <f t="array" aca="1" ref="B252" ca="1">IFERROR(IF(OR('Raw Data'!B252="",LEN(TRIM('Raw Data'!B252))=0),_xlfn.REGEXEXTRACT(CELL("address",'Raw Data'!B252),"\$([A-Z]+)\$[0-9]+"),""),"")</f>
        <v>$B$252</v>
      </c>
      <c r="C252" s="6" t="str" cm="1">
        <f t="array" aca="1" ref="C252" ca="1">IFERROR(IF(OR('Raw Data'!C252="",LEN(TRIM('Raw Data'!C252))=0),_xlfn.REGEXEXTRACT(CELL("address",'Raw Data'!C252),"\$([A-Z]+)\$[0-9]+"),""),"")</f>
        <v>$C$252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spans="2:36" x14ac:dyDescent="0.25">
      <c r="B253" s="6" t="str" cm="1">
        <f t="array" aca="1" ref="B253" ca="1">IFERROR(IF(OR('Raw Data'!B253="",LEN(TRIM('Raw Data'!B253))=0),_xlfn.REGEXEXTRACT(CELL("address",'Raw Data'!B253),"\$([A-Z]+)\$[0-9]+"),""),"")</f>
        <v>$B$253</v>
      </c>
      <c r="C253" s="6" t="str" cm="1">
        <f t="array" aca="1" ref="C253" ca="1">IFERROR(IF(OR('Raw Data'!C253="",LEN(TRIM('Raw Data'!C253))=0),_xlfn.REGEXEXTRACT(CELL("address",'Raw Data'!C253),"\$([A-Z]+)\$[0-9]+"),""),"")</f>
        <v>$C$253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spans="2:36" x14ac:dyDescent="0.25">
      <c r="B254" s="6" t="str" cm="1">
        <f t="array" aca="1" ref="B254" ca="1">IFERROR(IF(OR('Raw Data'!B254="",LEN(TRIM('Raw Data'!B254))=0),_xlfn.REGEXEXTRACT(CELL("address",'Raw Data'!B254),"\$([A-Z]+)\$[0-9]+"),""),"")</f>
        <v>$B$254</v>
      </c>
      <c r="C254" s="6" t="str" cm="1">
        <f t="array" aca="1" ref="C254" ca="1">IFERROR(IF(OR('Raw Data'!C254="",LEN(TRIM('Raw Data'!C254))=0),_xlfn.REGEXEXTRACT(CELL("address",'Raw Data'!C254),"\$([A-Z]+)\$[0-9]+"),""),"")</f>
        <v>$C$254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spans="2:36" x14ac:dyDescent="0.25">
      <c r="B255" s="6" t="str" cm="1">
        <f t="array" aca="1" ref="B255" ca="1">IFERROR(IF(OR('Raw Data'!B255="",LEN(TRIM('Raw Data'!B255))=0),_xlfn.REGEXEXTRACT(CELL("address",'Raw Data'!B255),"\$([A-Z]+)\$[0-9]+"),""),"")</f>
        <v>$B$255</v>
      </c>
      <c r="C255" s="6" t="str" cm="1">
        <f t="array" aca="1" ref="C255" ca="1">IFERROR(IF(OR('Raw Data'!C255="",LEN(TRIM('Raw Data'!C255))=0),_xlfn.REGEXEXTRACT(CELL("address",'Raw Data'!C255),"\$([A-Z]+)\$[0-9]+"),""),"")</f>
        <v>$C$255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spans="2:36" x14ac:dyDescent="0.25">
      <c r="B256" s="6" t="str" cm="1">
        <f t="array" aca="1" ref="B256" ca="1">IFERROR(IF(OR('Raw Data'!B256="",LEN(TRIM('Raw Data'!B256))=0),_xlfn.REGEXEXTRACT(CELL("address",'Raw Data'!B256),"\$([A-Z]+)\$[0-9]+"),""),"")</f>
        <v>$B$256</v>
      </c>
      <c r="C256" s="6" t="str" cm="1">
        <f t="array" aca="1" ref="C256" ca="1">IFERROR(IF(OR('Raw Data'!C256="",LEN(TRIM('Raw Data'!C256))=0),_xlfn.REGEXEXTRACT(CELL("address",'Raw Data'!C256),"\$([A-Z]+)\$[0-9]+"),""),"")</f>
        <v>$C$256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spans="2:36" x14ac:dyDescent="0.25">
      <c r="B257" s="6" t="str" cm="1">
        <f t="array" aca="1" ref="B257" ca="1">IFERROR(IF(OR('Raw Data'!B257="",LEN(TRIM('Raw Data'!B257))=0),_xlfn.REGEXEXTRACT(CELL("address",'Raw Data'!B257),"\$([A-Z]+)\$[0-9]+"),""),"")</f>
        <v>$B$257</v>
      </c>
      <c r="C257" s="6" t="str" cm="1">
        <f t="array" aca="1" ref="C257" ca="1">IFERROR(IF(OR('Raw Data'!C257="",LEN(TRIM('Raw Data'!C257))=0),_xlfn.REGEXEXTRACT(CELL("address",'Raw Data'!C257),"\$([A-Z]+)\$[0-9]+"),""),"")</f>
        <v>$C$257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spans="2:36" x14ac:dyDescent="0.25">
      <c r="B258" s="6" t="str" cm="1">
        <f t="array" aca="1" ref="B258" ca="1">IFERROR(IF(OR('Raw Data'!B258="",LEN(TRIM('Raw Data'!B258))=0),_xlfn.REGEXEXTRACT(CELL("address",'Raw Data'!B258),"\$([A-Z]+)\$[0-9]+"),""),"")</f>
        <v>$B$258</v>
      </c>
      <c r="C258" s="6" t="str" cm="1">
        <f t="array" aca="1" ref="C258" ca="1">IFERROR(IF(OR('Raw Data'!C258="",LEN(TRIM('Raw Data'!C258))=0),_xlfn.REGEXEXTRACT(CELL("address",'Raw Data'!C258),"\$([A-Z]+)\$[0-9]+"),""),"")</f>
        <v>$C$258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spans="2:36" x14ac:dyDescent="0.25">
      <c r="B259" s="6" t="str" cm="1">
        <f t="array" aca="1" ref="B259" ca="1">IFERROR(IF(OR('Raw Data'!B259="",LEN(TRIM('Raw Data'!B259))=0),_xlfn.REGEXEXTRACT(CELL("address",'Raw Data'!B259),"\$([A-Z]+)\$[0-9]+"),""),"")</f>
        <v>$B$259</v>
      </c>
      <c r="C259" s="6" t="str" cm="1">
        <f t="array" aca="1" ref="C259" ca="1">IFERROR(IF(OR('Raw Data'!C259="",LEN(TRIM('Raw Data'!C259))=0),_xlfn.REGEXEXTRACT(CELL("address",'Raw Data'!C259),"\$([A-Z]+)\$[0-9]+"),""),"")</f>
        <v>$C$259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2:36" x14ac:dyDescent="0.25">
      <c r="B260" s="6" t="str" cm="1">
        <f t="array" aca="1" ref="B260" ca="1">IFERROR(IF(OR('Raw Data'!B260="",LEN(TRIM('Raw Data'!B260))=0),_xlfn.REGEXEXTRACT(CELL("address",'Raw Data'!B260),"\$([A-Z]+)\$[0-9]+"),""),"")</f>
        <v>$B$260</v>
      </c>
      <c r="C260" s="6" t="str" cm="1">
        <f t="array" aca="1" ref="C260" ca="1">IFERROR(IF(OR('Raw Data'!C260="",LEN(TRIM('Raw Data'!C260))=0),_xlfn.REGEXEXTRACT(CELL("address",'Raw Data'!C260),"\$([A-Z]+)\$[0-9]+"),""),"")</f>
        <v>$C$260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spans="2:36" x14ac:dyDescent="0.25">
      <c r="B261" s="6" t="str" cm="1">
        <f t="array" aca="1" ref="B261" ca="1">IFERROR(IF(OR('Raw Data'!B261="",LEN(TRIM('Raw Data'!B261))=0),_xlfn.REGEXEXTRACT(CELL("address",'Raw Data'!B261),"\$([A-Z]+)\$[0-9]+"),""),"")</f>
        <v>$B$261</v>
      </c>
      <c r="C261" s="6" t="str" cm="1">
        <f t="array" aca="1" ref="C261" ca="1">IFERROR(IF(OR('Raw Data'!C261="",LEN(TRIM('Raw Data'!C261))=0),_xlfn.REGEXEXTRACT(CELL("address",'Raw Data'!C261),"\$([A-Z]+)\$[0-9]+"),""),"")</f>
        <v>$C$261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spans="2:36" x14ac:dyDescent="0.25">
      <c r="B262" s="6" t="str" cm="1">
        <f t="array" aca="1" ref="B262" ca="1">IFERROR(IF(OR('Raw Data'!B262="",LEN(TRIM('Raw Data'!B262))=0),_xlfn.REGEXEXTRACT(CELL("address",'Raw Data'!B262),"\$([A-Z]+)\$[0-9]+"),""),"")</f>
        <v>$B$262</v>
      </c>
      <c r="C262" s="6" t="str" cm="1">
        <f t="array" aca="1" ref="C262" ca="1">IFERROR(IF(OR('Raw Data'!C262="",LEN(TRIM('Raw Data'!C262))=0),_xlfn.REGEXEXTRACT(CELL("address",'Raw Data'!C262),"\$([A-Z]+)\$[0-9]+"),""),"")</f>
        <v>$C$262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spans="2:36" x14ac:dyDescent="0.25">
      <c r="B263" s="6" t="str" cm="1">
        <f t="array" aca="1" ref="B263" ca="1">IFERROR(IF(OR('Raw Data'!B263="",LEN(TRIM('Raw Data'!B263))=0),_xlfn.REGEXEXTRACT(CELL("address",'Raw Data'!B263),"\$([A-Z]+)\$[0-9]+"),""),"")</f>
        <v>$B$263</v>
      </c>
      <c r="C263" s="6" t="str" cm="1">
        <f t="array" aca="1" ref="C263" ca="1">IFERROR(IF(OR('Raw Data'!C263="",LEN(TRIM('Raw Data'!C263))=0),_xlfn.REGEXEXTRACT(CELL("address",'Raw Data'!C263),"\$([A-Z]+)\$[0-9]+"),""),"")</f>
        <v>$C$263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spans="2:36" x14ac:dyDescent="0.25">
      <c r="B264" s="6" t="str" cm="1">
        <f t="array" aca="1" ref="B264" ca="1">IFERROR(IF(OR('Raw Data'!B264="",LEN(TRIM('Raw Data'!B264))=0),_xlfn.REGEXEXTRACT(CELL("address",'Raw Data'!B264),"\$([A-Z]+)\$[0-9]+"),""),"")</f>
        <v>$B$264</v>
      </c>
      <c r="C264" s="6" t="str" cm="1">
        <f t="array" aca="1" ref="C264" ca="1">IFERROR(IF(OR('Raw Data'!C264="",LEN(TRIM('Raw Data'!C264))=0),_xlfn.REGEXEXTRACT(CELL("address",'Raw Data'!C264),"\$([A-Z]+)\$[0-9]+"),""),"")</f>
        <v>$C$264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2:36" x14ac:dyDescent="0.25">
      <c r="B265" s="6" t="str" cm="1">
        <f t="array" aca="1" ref="B265" ca="1">IFERROR(IF(OR('Raw Data'!B265="",LEN(TRIM('Raw Data'!B265))=0),_xlfn.REGEXEXTRACT(CELL("address",'Raw Data'!B265),"\$([A-Z]+)\$[0-9]+"),""),"")</f>
        <v>$B$265</v>
      </c>
      <c r="C265" s="6" t="str" cm="1">
        <f t="array" aca="1" ref="C265" ca="1">IFERROR(IF(OR('Raw Data'!C265="",LEN(TRIM('Raw Data'!C265))=0),_xlfn.REGEXEXTRACT(CELL("address",'Raw Data'!C265),"\$([A-Z]+)\$[0-9]+"),""),"")</f>
        <v>$C$265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spans="2:36" x14ac:dyDescent="0.25">
      <c r="B266" s="6" t="str" cm="1">
        <f t="array" aca="1" ref="B266" ca="1">IFERROR(IF(OR('Raw Data'!B266="",LEN(TRIM('Raw Data'!B266))=0),_xlfn.REGEXEXTRACT(CELL("address",'Raw Data'!B266),"\$([A-Z]+)\$[0-9]+"),""),"")</f>
        <v>$B$266</v>
      </c>
      <c r="C266" s="6" t="str" cm="1">
        <f t="array" aca="1" ref="C266" ca="1">IFERROR(IF(OR('Raw Data'!C266="",LEN(TRIM('Raw Data'!C266))=0),_xlfn.REGEXEXTRACT(CELL("address",'Raw Data'!C266),"\$([A-Z]+)\$[0-9]+"),""),"")</f>
        <v>$C$266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spans="2:36" x14ac:dyDescent="0.25">
      <c r="B267" s="6" t="str" cm="1">
        <f t="array" aca="1" ref="B267" ca="1">IFERROR(IF(OR('Raw Data'!B267="",LEN(TRIM('Raw Data'!B267))=0),_xlfn.REGEXEXTRACT(CELL("address",'Raw Data'!B267),"\$([A-Z]+)\$[0-9]+"),""),"")</f>
        <v>$B$267</v>
      </c>
      <c r="C267" s="6" t="str" cm="1">
        <f t="array" aca="1" ref="C267" ca="1">IFERROR(IF(OR('Raw Data'!C267="",LEN(TRIM('Raw Data'!C267))=0),_xlfn.REGEXEXTRACT(CELL("address",'Raw Data'!C267),"\$([A-Z]+)\$[0-9]+"),""),"")</f>
        <v>$C$267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spans="2:36" x14ac:dyDescent="0.25">
      <c r="B268" s="6" t="str" cm="1">
        <f t="array" aca="1" ref="B268" ca="1">IFERROR(IF(OR('Raw Data'!B268="",LEN(TRIM('Raw Data'!B268))=0),_xlfn.REGEXEXTRACT(CELL("address",'Raw Data'!B268),"\$([A-Z]+)\$[0-9]+"),""),"")</f>
        <v>$B$268</v>
      </c>
      <c r="C268" s="6" t="str" cm="1">
        <f t="array" aca="1" ref="C268" ca="1">IFERROR(IF(OR('Raw Data'!C268="",LEN(TRIM('Raw Data'!C268))=0),_xlfn.REGEXEXTRACT(CELL("address",'Raw Data'!C268),"\$([A-Z]+)\$[0-9]+"),""),"")</f>
        <v>$C$268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spans="2:36" x14ac:dyDescent="0.25">
      <c r="B269" s="6" t="str" cm="1">
        <f t="array" aca="1" ref="B269" ca="1">IFERROR(IF(OR('Raw Data'!B269="",LEN(TRIM('Raw Data'!B269))=0),_xlfn.REGEXEXTRACT(CELL("address",'Raw Data'!B269),"\$([A-Z]+)\$[0-9]+"),""),"")</f>
        <v>$B$269</v>
      </c>
      <c r="C269" s="6" t="str" cm="1">
        <f t="array" aca="1" ref="C269" ca="1">IFERROR(IF(OR('Raw Data'!C269="",LEN(TRIM('Raw Data'!C269))=0),_xlfn.REGEXEXTRACT(CELL("address",'Raw Data'!C269),"\$([A-Z]+)\$[0-9]+"),""),"")</f>
        <v>$C$269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spans="2:36" x14ac:dyDescent="0.25">
      <c r="B270" s="6" t="str" cm="1">
        <f t="array" aca="1" ref="B270" ca="1">IFERROR(IF(OR('Raw Data'!B270="",LEN(TRIM('Raw Data'!B270))=0),_xlfn.REGEXEXTRACT(CELL("address",'Raw Data'!B270),"\$([A-Z]+)\$[0-9]+"),""),"")</f>
        <v>$B$270</v>
      </c>
      <c r="C270" s="6" t="str" cm="1">
        <f t="array" aca="1" ref="C270" ca="1">IFERROR(IF(OR('Raw Data'!C270="",LEN(TRIM('Raw Data'!C270))=0),_xlfn.REGEXEXTRACT(CELL("address",'Raw Data'!C270),"\$([A-Z]+)\$[0-9]+"),""),"")</f>
        <v>$C$270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spans="2:36" x14ac:dyDescent="0.25">
      <c r="B271" s="6" t="str" cm="1">
        <f t="array" aca="1" ref="B271" ca="1">IFERROR(IF(OR('Raw Data'!B271="",LEN(TRIM('Raw Data'!B271))=0),_xlfn.REGEXEXTRACT(CELL("address",'Raw Data'!B271),"\$([A-Z]+)\$[0-9]+"),""),"")</f>
        <v>$B$271</v>
      </c>
      <c r="C271" s="6" t="str" cm="1">
        <f t="array" aca="1" ref="C271" ca="1">IFERROR(IF(OR('Raw Data'!C271="",LEN(TRIM('Raw Data'!C271))=0),_xlfn.REGEXEXTRACT(CELL("address",'Raw Data'!C271),"\$([A-Z]+)\$[0-9]+"),""),"")</f>
        <v>$C$271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spans="2:36" x14ac:dyDescent="0.25">
      <c r="B272" s="6" t="str" cm="1">
        <f t="array" aca="1" ref="B272" ca="1">IFERROR(IF(OR('Raw Data'!B272="",LEN(TRIM('Raw Data'!B272))=0),_xlfn.REGEXEXTRACT(CELL("address",'Raw Data'!B272),"\$([A-Z]+)\$[0-9]+"),""),"")</f>
        <v>$B$272</v>
      </c>
      <c r="C272" s="6" t="str" cm="1">
        <f t="array" aca="1" ref="C272" ca="1">IFERROR(IF(OR('Raw Data'!C272="",LEN(TRIM('Raw Data'!C272))=0),_xlfn.REGEXEXTRACT(CELL("address",'Raw Data'!C272),"\$([A-Z]+)\$[0-9]+"),""),"")</f>
        <v>$C$272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spans="2:36" x14ac:dyDescent="0.25">
      <c r="B273" s="6" t="str" cm="1">
        <f t="array" aca="1" ref="B273" ca="1">IFERROR(IF(OR('Raw Data'!B273="",LEN(TRIM('Raw Data'!B273))=0),_xlfn.REGEXEXTRACT(CELL("address",'Raw Data'!B273),"\$([A-Z]+)\$[0-9]+"),""),"")</f>
        <v>$B$273</v>
      </c>
      <c r="C273" s="6" t="str" cm="1">
        <f t="array" aca="1" ref="C273" ca="1">IFERROR(IF(OR('Raw Data'!C273="",LEN(TRIM('Raw Data'!C273))=0),_xlfn.REGEXEXTRACT(CELL("address",'Raw Data'!C273),"\$([A-Z]+)\$[0-9]+"),""),"")</f>
        <v>$C$273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spans="2:36" x14ac:dyDescent="0.25">
      <c r="B274" s="6" t="str" cm="1">
        <f t="array" aca="1" ref="B274" ca="1">IFERROR(IF(OR('Raw Data'!B274="",LEN(TRIM('Raw Data'!B274))=0),_xlfn.REGEXEXTRACT(CELL("address",'Raw Data'!B274),"\$([A-Z]+)\$[0-9]+"),""),"")</f>
        <v>$B$274</v>
      </c>
      <c r="C274" s="6" t="str" cm="1">
        <f t="array" aca="1" ref="C274" ca="1">IFERROR(IF(OR('Raw Data'!C274="",LEN(TRIM('Raw Data'!C274))=0),_xlfn.REGEXEXTRACT(CELL("address",'Raw Data'!C274),"\$([A-Z]+)\$[0-9]+"),""),"")</f>
        <v>$C$274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spans="2:36" x14ac:dyDescent="0.25">
      <c r="B275" s="6" t="str" cm="1">
        <f t="array" aca="1" ref="B275" ca="1">IFERROR(IF(OR('Raw Data'!B275="",LEN(TRIM('Raw Data'!B275))=0),_xlfn.REGEXEXTRACT(CELL("address",'Raw Data'!B275),"\$([A-Z]+)\$[0-9]+"),""),"")</f>
        <v>$B$275</v>
      </c>
      <c r="C275" s="6" t="str" cm="1">
        <f t="array" aca="1" ref="C275" ca="1">IFERROR(IF(OR('Raw Data'!C275="",LEN(TRIM('Raw Data'!C275))=0),_xlfn.REGEXEXTRACT(CELL("address",'Raw Data'!C275),"\$([A-Z]+)\$[0-9]+"),""),"")</f>
        <v>$C$275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spans="2:36" x14ac:dyDescent="0.25">
      <c r="B276" s="6" t="str" cm="1">
        <f t="array" aca="1" ref="B276" ca="1">IFERROR(IF(OR('Raw Data'!B276="",LEN(TRIM('Raw Data'!B276))=0),_xlfn.REGEXEXTRACT(CELL("address",'Raw Data'!B276),"\$([A-Z]+)\$[0-9]+"),""),"")</f>
        <v>$B$276</v>
      </c>
      <c r="C276" s="6" t="str" cm="1">
        <f t="array" aca="1" ref="C276" ca="1">IFERROR(IF(OR('Raw Data'!C276="",LEN(TRIM('Raw Data'!C276))=0),_xlfn.REGEXEXTRACT(CELL("address",'Raw Data'!C276),"\$([A-Z]+)\$[0-9]+"),""),"")</f>
        <v>$C$276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spans="2:36" x14ac:dyDescent="0.25">
      <c r="B277" s="6" t="str" cm="1">
        <f t="array" aca="1" ref="B277" ca="1">IFERROR(IF(OR('Raw Data'!B277="",LEN(TRIM('Raw Data'!B277))=0),_xlfn.REGEXEXTRACT(CELL("address",'Raw Data'!B277),"\$([A-Z]+)\$[0-9]+"),""),"")</f>
        <v>$B$277</v>
      </c>
      <c r="C277" s="6" t="str" cm="1">
        <f t="array" aca="1" ref="C277" ca="1">IFERROR(IF(OR('Raw Data'!C277="",LEN(TRIM('Raw Data'!C277))=0),_xlfn.REGEXEXTRACT(CELL("address",'Raw Data'!C277),"\$([A-Z]+)\$[0-9]+"),""),"")</f>
        <v>$C$277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spans="2:36" x14ac:dyDescent="0.25">
      <c r="B278" s="6" t="str" cm="1">
        <f t="array" aca="1" ref="B278" ca="1">IFERROR(IF(OR('Raw Data'!B278="",LEN(TRIM('Raw Data'!B278))=0),_xlfn.REGEXEXTRACT(CELL("address",'Raw Data'!B278),"\$([A-Z]+)\$[0-9]+"),""),"")</f>
        <v>$B$278</v>
      </c>
      <c r="C278" s="6" t="str" cm="1">
        <f t="array" aca="1" ref="C278" ca="1">IFERROR(IF(OR('Raw Data'!C278="",LEN(TRIM('Raw Data'!C278))=0),_xlfn.REGEXEXTRACT(CELL("address",'Raw Data'!C278),"\$([A-Z]+)\$[0-9]+"),""),"")</f>
        <v>$C$278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spans="2:36" x14ac:dyDescent="0.25">
      <c r="B279" s="6" t="str" cm="1">
        <f t="array" aca="1" ref="B279" ca="1">IFERROR(IF(OR('Raw Data'!B279="",LEN(TRIM('Raw Data'!B279))=0),_xlfn.REGEXEXTRACT(CELL("address",'Raw Data'!B279),"\$([A-Z]+)\$[0-9]+"),""),"")</f>
        <v>$B$279</v>
      </c>
      <c r="C279" s="6" t="str" cm="1">
        <f t="array" aca="1" ref="C279" ca="1">IFERROR(IF(OR('Raw Data'!C279="",LEN(TRIM('Raw Data'!C279))=0),_xlfn.REGEXEXTRACT(CELL("address",'Raw Data'!C279),"\$([A-Z]+)\$[0-9]+"),""),"")</f>
        <v>$C$279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spans="2:36" x14ac:dyDescent="0.25">
      <c r="B280" s="6" t="str" cm="1">
        <f t="array" aca="1" ref="B280" ca="1">IFERROR(IF(OR('Raw Data'!B280="",LEN(TRIM('Raw Data'!B280))=0),_xlfn.REGEXEXTRACT(CELL("address",'Raw Data'!B280),"\$([A-Z]+)\$[0-9]+"),""),"")</f>
        <v>$B$280</v>
      </c>
      <c r="C280" s="6" t="str" cm="1">
        <f t="array" aca="1" ref="C280" ca="1">IFERROR(IF(OR('Raw Data'!C280="",LEN(TRIM('Raw Data'!C280))=0),_xlfn.REGEXEXTRACT(CELL("address",'Raw Data'!C280),"\$([A-Z]+)\$[0-9]+"),""),"")</f>
        <v>$C$280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spans="2:36" x14ac:dyDescent="0.25">
      <c r="B281" s="6" t="str" cm="1">
        <f t="array" aca="1" ref="B281" ca="1">IFERROR(IF(OR('Raw Data'!B281="",LEN(TRIM('Raw Data'!B281))=0),_xlfn.REGEXEXTRACT(CELL("address",'Raw Data'!B281),"\$([A-Z]+)\$[0-9]+"),""),"")</f>
        <v>$B$281</v>
      </c>
      <c r="C281" s="6" t="str" cm="1">
        <f t="array" aca="1" ref="C281" ca="1">IFERROR(IF(OR('Raw Data'!C281="",LEN(TRIM('Raw Data'!C281))=0),_xlfn.REGEXEXTRACT(CELL("address",'Raw Data'!C281),"\$([A-Z]+)\$[0-9]+"),""),"")</f>
        <v>$C$281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spans="2:36" x14ac:dyDescent="0.25">
      <c r="B282" s="6" t="str" cm="1">
        <f t="array" aca="1" ref="B282" ca="1">IFERROR(IF(OR('Raw Data'!B282="",LEN(TRIM('Raw Data'!B282))=0),_xlfn.REGEXEXTRACT(CELL("address",'Raw Data'!B282),"\$([A-Z]+)\$[0-9]+"),""),"")</f>
        <v>$B$282</v>
      </c>
      <c r="C282" s="6" t="str" cm="1">
        <f t="array" aca="1" ref="C282" ca="1">IFERROR(IF(OR('Raw Data'!C282="",LEN(TRIM('Raw Data'!C282))=0),_xlfn.REGEXEXTRACT(CELL("address",'Raw Data'!C282),"\$([A-Z]+)\$[0-9]+"),""),"")</f>
        <v>$C$282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spans="2:36" x14ac:dyDescent="0.25">
      <c r="B283" s="6" t="str" cm="1">
        <f t="array" aca="1" ref="B283" ca="1">IFERROR(IF(OR('Raw Data'!B283="",LEN(TRIM('Raw Data'!B283))=0),_xlfn.REGEXEXTRACT(CELL("address",'Raw Data'!B283),"\$([A-Z]+)\$[0-9]+"),""),"")</f>
        <v>$B$283</v>
      </c>
      <c r="C283" s="6" t="str" cm="1">
        <f t="array" aca="1" ref="C283" ca="1">IFERROR(IF(OR('Raw Data'!C283="",LEN(TRIM('Raw Data'!C283))=0),_xlfn.REGEXEXTRACT(CELL("address",'Raw Data'!C283),"\$([A-Z]+)\$[0-9]+"),""),"")</f>
        <v>$C$283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spans="2:36" x14ac:dyDescent="0.25">
      <c r="B284" s="6" t="str" cm="1">
        <f t="array" aca="1" ref="B284" ca="1">IFERROR(IF(OR('Raw Data'!B284="",LEN(TRIM('Raw Data'!B284))=0),_xlfn.REGEXEXTRACT(CELL("address",'Raw Data'!B284),"\$([A-Z]+)\$[0-9]+"),""),"")</f>
        <v>$B$284</v>
      </c>
      <c r="C284" s="6" t="str" cm="1">
        <f t="array" aca="1" ref="C284" ca="1">IFERROR(IF(OR('Raw Data'!C284="",LEN(TRIM('Raw Data'!C284))=0),_xlfn.REGEXEXTRACT(CELL("address",'Raw Data'!C284),"\$([A-Z]+)\$[0-9]+"),""),"")</f>
        <v>$C$284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spans="2:36" x14ac:dyDescent="0.25">
      <c r="B285" s="6" t="str" cm="1">
        <f t="array" aca="1" ref="B285" ca="1">IFERROR(IF(OR('Raw Data'!B285="",LEN(TRIM('Raw Data'!B285))=0),_xlfn.REGEXEXTRACT(CELL("address",'Raw Data'!B285),"\$([A-Z]+)\$[0-9]+"),""),"")</f>
        <v>$B$285</v>
      </c>
      <c r="C285" s="6" t="str" cm="1">
        <f t="array" aca="1" ref="C285" ca="1">IFERROR(IF(OR('Raw Data'!C285="",LEN(TRIM('Raw Data'!C285))=0),_xlfn.REGEXEXTRACT(CELL("address",'Raw Data'!C285),"\$([A-Z]+)\$[0-9]+"),""),"")</f>
        <v>$C$285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spans="2:36" x14ac:dyDescent="0.25">
      <c r="B286" s="6" t="str" cm="1">
        <f t="array" aca="1" ref="B286" ca="1">IFERROR(IF(OR('Raw Data'!B286="",LEN(TRIM('Raw Data'!B286))=0),_xlfn.REGEXEXTRACT(CELL("address",'Raw Data'!B286),"\$([A-Z]+)\$[0-9]+"),""),"")</f>
        <v>$B$286</v>
      </c>
      <c r="C286" s="6" t="str" cm="1">
        <f t="array" aca="1" ref="C286" ca="1">IFERROR(IF(OR('Raw Data'!C286="",LEN(TRIM('Raw Data'!C286))=0),_xlfn.REGEXEXTRACT(CELL("address",'Raw Data'!C286),"\$([A-Z]+)\$[0-9]+"),""),"")</f>
        <v>$C$286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spans="2:36" x14ac:dyDescent="0.25">
      <c r="B287" s="6" t="str" cm="1">
        <f t="array" aca="1" ref="B287" ca="1">IFERROR(IF(OR('Raw Data'!B287="",LEN(TRIM('Raw Data'!B287))=0),_xlfn.REGEXEXTRACT(CELL("address",'Raw Data'!B287),"\$([A-Z]+)\$[0-9]+"),""),"")</f>
        <v>$B$287</v>
      </c>
      <c r="C287" s="6" t="str" cm="1">
        <f t="array" aca="1" ref="C287" ca="1">IFERROR(IF(OR('Raw Data'!C287="",LEN(TRIM('Raw Data'!C287))=0),_xlfn.REGEXEXTRACT(CELL("address",'Raw Data'!C287),"\$([A-Z]+)\$[0-9]+"),""),"")</f>
        <v>$C$287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spans="2:36" x14ac:dyDescent="0.25">
      <c r="B288" s="6" t="str" cm="1">
        <f t="array" aca="1" ref="B288" ca="1">IFERROR(IF(OR('Raw Data'!B288="",LEN(TRIM('Raw Data'!B288))=0),_xlfn.REGEXEXTRACT(CELL("address",'Raw Data'!B288),"\$([A-Z]+)\$[0-9]+"),""),"")</f>
        <v>$B$288</v>
      </c>
      <c r="C288" s="6" t="str" cm="1">
        <f t="array" aca="1" ref="C288" ca="1">IFERROR(IF(OR('Raw Data'!C288="",LEN(TRIM('Raw Data'!C288))=0),_xlfn.REGEXEXTRACT(CELL("address",'Raw Data'!C288),"\$([A-Z]+)\$[0-9]+"),""),"")</f>
        <v>$C$288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spans="2:36" x14ac:dyDescent="0.25">
      <c r="B289" s="6" t="str" cm="1">
        <f t="array" aca="1" ref="B289" ca="1">IFERROR(IF(OR('Raw Data'!B289="",LEN(TRIM('Raw Data'!B289))=0),_xlfn.REGEXEXTRACT(CELL("address",'Raw Data'!B289),"\$([A-Z]+)\$[0-9]+"),""),"")</f>
        <v>$B$289</v>
      </c>
      <c r="C289" s="6" t="str" cm="1">
        <f t="array" aca="1" ref="C289" ca="1">IFERROR(IF(OR('Raw Data'!C289="",LEN(TRIM('Raw Data'!C289))=0),_xlfn.REGEXEXTRACT(CELL("address",'Raw Data'!C289),"\$([A-Z]+)\$[0-9]+"),""),"")</f>
        <v>$C$289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spans="2:36" x14ac:dyDescent="0.25">
      <c r="B290" s="6" t="str" cm="1">
        <f t="array" aca="1" ref="B290" ca="1">IFERROR(IF(OR('Raw Data'!B290="",LEN(TRIM('Raw Data'!B290))=0),_xlfn.REGEXEXTRACT(CELL("address",'Raw Data'!B290),"\$([A-Z]+)\$[0-9]+"),""),"")</f>
        <v>$B$290</v>
      </c>
      <c r="C290" s="6" t="str" cm="1">
        <f t="array" aca="1" ref="C290" ca="1">IFERROR(IF(OR('Raw Data'!C290="",LEN(TRIM('Raw Data'!C290))=0),_xlfn.REGEXEXTRACT(CELL("address",'Raw Data'!C290),"\$([A-Z]+)\$[0-9]+"),""),"")</f>
        <v>$C$290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spans="2:36" x14ac:dyDescent="0.25">
      <c r="B291" s="6" t="str" cm="1">
        <f t="array" aca="1" ref="B291" ca="1">IFERROR(IF(OR('Raw Data'!B291="",LEN(TRIM('Raw Data'!B291))=0),_xlfn.REGEXEXTRACT(CELL("address",'Raw Data'!B291),"\$([A-Z]+)\$[0-9]+"),""),"")</f>
        <v>$B$291</v>
      </c>
      <c r="C291" s="6" t="str" cm="1">
        <f t="array" aca="1" ref="C291" ca="1">IFERROR(IF(OR('Raw Data'!C291="",LEN(TRIM('Raw Data'!C291))=0),_xlfn.REGEXEXTRACT(CELL("address",'Raw Data'!C291),"\$([A-Z]+)\$[0-9]+"),""),"")</f>
        <v>$C$291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spans="2:36" x14ac:dyDescent="0.25">
      <c r="B292" s="6" t="str" cm="1">
        <f t="array" aca="1" ref="B292" ca="1">IFERROR(IF(OR('Raw Data'!B292="",LEN(TRIM('Raw Data'!B292))=0),_xlfn.REGEXEXTRACT(CELL("address",'Raw Data'!B292),"\$([A-Z]+)\$[0-9]+"),""),"")</f>
        <v>$B$292</v>
      </c>
      <c r="C292" s="6" t="str" cm="1">
        <f t="array" aca="1" ref="C292" ca="1">IFERROR(IF(OR('Raw Data'!C292="",LEN(TRIM('Raw Data'!C292))=0),_xlfn.REGEXEXTRACT(CELL("address",'Raw Data'!C292),"\$([A-Z]+)\$[0-9]+"),""),"")</f>
        <v>$C$292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spans="2:36" x14ac:dyDescent="0.25">
      <c r="B293" s="6" t="str" cm="1">
        <f t="array" aca="1" ref="B293" ca="1">IFERROR(IF(OR('Raw Data'!B293="",LEN(TRIM('Raw Data'!B293))=0),_xlfn.REGEXEXTRACT(CELL("address",'Raw Data'!B293),"\$([A-Z]+)\$[0-9]+"),""),"")</f>
        <v>$B$293</v>
      </c>
      <c r="C293" s="6" t="str" cm="1">
        <f t="array" aca="1" ref="C293" ca="1">IFERROR(IF(OR('Raw Data'!C293="",LEN(TRIM('Raw Data'!C293))=0),_xlfn.REGEXEXTRACT(CELL("address",'Raw Data'!C293),"\$([A-Z]+)\$[0-9]+"),""),"")</f>
        <v>$C$293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spans="2:36" x14ac:dyDescent="0.25">
      <c r="B294" s="6" t="str" cm="1">
        <f t="array" aca="1" ref="B294" ca="1">IFERROR(IF(OR('Raw Data'!B294="",LEN(TRIM('Raw Data'!B294))=0),_xlfn.REGEXEXTRACT(CELL("address",'Raw Data'!B294),"\$([A-Z]+)\$[0-9]+"),""),"")</f>
        <v>$B$294</v>
      </c>
      <c r="C294" s="6" t="str" cm="1">
        <f t="array" aca="1" ref="C294" ca="1">IFERROR(IF(OR('Raw Data'!C294="",LEN(TRIM('Raw Data'!C294))=0),_xlfn.REGEXEXTRACT(CELL("address",'Raw Data'!C294),"\$([A-Z]+)\$[0-9]+"),""),"")</f>
        <v>$C$294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spans="2:36" x14ac:dyDescent="0.25">
      <c r="B295" s="6" t="str" cm="1">
        <f t="array" aca="1" ref="B295" ca="1">IFERROR(IF(OR('Raw Data'!B295="",LEN(TRIM('Raw Data'!B295))=0),_xlfn.REGEXEXTRACT(CELL("address",'Raw Data'!B295),"\$([A-Z]+)\$[0-9]+"),""),"")</f>
        <v>$B$295</v>
      </c>
      <c r="C295" s="6" t="str" cm="1">
        <f t="array" aca="1" ref="C295" ca="1">IFERROR(IF(OR('Raw Data'!C295="",LEN(TRIM('Raw Data'!C295))=0),_xlfn.REGEXEXTRACT(CELL("address",'Raw Data'!C295),"\$([A-Z]+)\$[0-9]+"),""),"")</f>
        <v>$C$295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AJ300"/>
  <sheetViews>
    <sheetView topLeftCell="A283" zoomScale="40" zoomScaleNormal="40" workbookViewId="0">
      <selection activeCell="G314" sqref="G314"/>
    </sheetView>
  </sheetViews>
  <sheetFormatPr defaultRowHeight="15" x14ac:dyDescent="0.25"/>
  <cols>
    <col min="2" max="6" width="13.42578125" style="8" customWidth="1"/>
    <col min="7" max="36" width="13.42578125" customWidth="1"/>
  </cols>
  <sheetData>
    <row r="8" spans="2:36" s="8" customFormat="1" x14ac:dyDescent="0.25">
      <c r="B8" s="7" t="s">
        <v>35</v>
      </c>
      <c r="C8" s="7" t="s">
        <v>36</v>
      </c>
      <c r="D8" s="7" t="s">
        <v>37</v>
      </c>
      <c r="E8" s="7" t="s">
        <v>38</v>
      </c>
      <c r="F8" s="7" t="s">
        <v>38</v>
      </c>
      <c r="G8" s="7" t="s">
        <v>38</v>
      </c>
      <c r="H8" s="7" t="s">
        <v>38</v>
      </c>
      <c r="I8" s="7" t="s">
        <v>38</v>
      </c>
      <c r="J8" s="7" t="s">
        <v>38</v>
      </c>
      <c r="K8" s="7" t="s">
        <v>38</v>
      </c>
      <c r="L8" s="7" t="s">
        <v>38</v>
      </c>
      <c r="M8" s="7" t="s">
        <v>38</v>
      </c>
      <c r="N8" s="7" t="s">
        <v>38</v>
      </c>
      <c r="O8" s="7" t="s">
        <v>38</v>
      </c>
      <c r="P8" s="7" t="s">
        <v>38</v>
      </c>
      <c r="Q8" s="7" t="s">
        <v>38</v>
      </c>
      <c r="R8" s="7" t="s">
        <v>38</v>
      </c>
      <c r="S8" s="7" t="s">
        <v>38</v>
      </c>
      <c r="T8" s="7" t="s">
        <v>38</v>
      </c>
      <c r="U8" s="7" t="s">
        <v>38</v>
      </c>
      <c r="V8" s="7" t="s">
        <v>38</v>
      </c>
      <c r="W8" s="7" t="s">
        <v>38</v>
      </c>
      <c r="X8" s="7" t="s">
        <v>38</v>
      </c>
      <c r="Y8" s="7" t="s">
        <v>38</v>
      </c>
      <c r="Z8" s="7" t="s">
        <v>38</v>
      </c>
      <c r="AA8" s="7" t="s">
        <v>38</v>
      </c>
      <c r="AB8" s="7" t="s">
        <v>38</v>
      </c>
      <c r="AC8" s="7" t="s">
        <v>38</v>
      </c>
      <c r="AD8" s="7" t="s">
        <v>38</v>
      </c>
      <c r="AE8" s="7" t="s">
        <v>38</v>
      </c>
      <c r="AF8" s="7" t="s">
        <v>38</v>
      </c>
      <c r="AG8" s="7" t="s">
        <v>38</v>
      </c>
      <c r="AH8" s="7" t="s">
        <v>38</v>
      </c>
      <c r="AI8" s="7" t="s">
        <v>38</v>
      </c>
      <c r="AJ8" s="7" t="s">
        <v>38</v>
      </c>
    </row>
    <row r="9" spans="2:36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  <c r="AE9" s="11" t="s">
        <v>29</v>
      </c>
      <c r="AF9" s="1" t="s">
        <v>30</v>
      </c>
      <c r="AG9" s="1" t="s">
        <v>31</v>
      </c>
      <c r="AH9" s="11" t="s">
        <v>32</v>
      </c>
      <c r="AI9" s="1" t="s">
        <v>33</v>
      </c>
      <c r="AJ9" s="1" t="s">
        <v>34</v>
      </c>
    </row>
    <row r="10" spans="2:36" x14ac:dyDescent="0.25">
      <c r="B10" s="7" t="str" cm="1">
        <f t="array" aca="1" ref="B10" ca="1">IFERROR(IF(OR('Raw Data'!B10="",LEN(TRIM('Raw Data'!B10))=0),"",IF(AND(LEN('Raw Data'!B10) &lt;= 255,LEN('Raw Data'!B10)&gt; 0),"",_xlfn.REGEXEXTRACT(CELL("address",'Raw Data'!B10),"\$([A-Z]+)\$[0-9]+"))),_xlfn.REGEXEXTRACT(CELL("address",'Raw Data'!B10),"\$([A-Z]+)\$[0-9]+"))</f>
        <v/>
      </c>
      <c r="C10" s="7" t="str" cm="1">
        <f t="array" aca="1" ref="C10" ca="1">IFERROR(IF(OR('Raw Data'!C10="",LEN(TRIM('Raw Data'!C10))=0),"",IF(AND(LEN('Raw Data'!C10) &lt;= 20,LEN('Raw Data'!C10)&gt; 0),"",_xlfn.REGEXEXTRACT(CELL("address",'Raw Data'!C10),"\$([A-Z]+)\$[0-9]+"))),_xlfn.REGEXEXTRACT(CELL("address",'Raw Data'!C10),"\$([A-Z]+)\$[0-9]+"))</f>
        <v/>
      </c>
      <c r="D10" s="7" t="str" cm="1">
        <f t="array" aca="1" ref="D10" ca="1">IFERROR(IF(OR('Raw Data'!D10="",LEN(TRIM('Raw Data'!D10))=0),"",IF(AND(ISNUMBER('Raw Data'!D10),'Raw Data'!D10&gt;=Configuration!$D$2),"",_xlfn.REGEXEXTRACT(CELL("address",'Raw Data'!D10),"\$([A-Z]+)\$[0-9]+"))),_xlfn.REGEXEXTRACT(CELL("address",D10), "\$([A-Z]+)\$[0-9]+"))</f>
        <v/>
      </c>
      <c r="E10" s="7" t="str" cm="1">
        <f t="array" aca="1" ref="E10" ca="1">IFERROR(IF(OR('Raw Data'!E10="",LEN(TRIM('Raw Data'!E10))=0),"",IF(AND(ISNUMBER('Raw Data'!E10), IFERROR('Raw Data'!E10 = ROUND('Raw Data'!E10, 2),FALSE)),"",_xlfn.REGEXEXTRACT(CELL("address",E10), "\$([A-Z]+)\$[0-9]+"))),_xlfn.REGEXEXTRACT(CELL("address",E10), "\$([A-Z]+)\$[0-9]+"))</f>
        <v/>
      </c>
      <c r="F10" s="7" t="str" cm="1">
        <f t="array" aca="1" ref="F10" ca="1">IFERROR(IF(OR('Raw Data'!F10="",LEN(TRIM('Raw Data'!F10))=0),"",IF(AND(ISNUMBER('Raw Data'!F10), IFERROR('Raw Data'!F10 = ROUND('Raw Data'!F10, 2),FALSE)),"",_xlfn.REGEXEXTRACT(CELL("address",F10), "\$([A-Z]+)\$[0-9]+"))),_xlfn.REGEXEXTRACT(CELL("address",F10), "\$([A-Z]+)\$[0-9]+"))</f>
        <v/>
      </c>
      <c r="G10" s="7" t="str" cm="1">
        <f t="array" aca="1" ref="G10" ca="1">IFERROR(IF(OR('Raw Data'!G10="",LEN(TRIM('Raw Data'!G10))=0),"",IF(AND(ISNUMBER('Raw Data'!G10), IFERROR('Raw Data'!G10 = ROUND('Raw Data'!G10, 2),FALSE)),"",_xlfn.REGEXEXTRACT(CELL("address",G10), "\$([A-Z]+)\$[0-9]+"))),_xlfn.REGEXEXTRACT(CELL("address",G10), "\$([A-Z]+)\$[0-9]+"))</f>
        <v/>
      </c>
      <c r="H10" s="7" t="str" cm="1">
        <f t="array" aca="1" ref="H10" ca="1">IFERROR(IF(OR('Raw Data'!H10="",LEN(TRIM('Raw Data'!H10))=0),"",IF(AND(ISNUMBER('Raw Data'!H10), IFERROR('Raw Data'!H10 = ROUND('Raw Data'!H10, 2),FALSE)),"",_xlfn.REGEXEXTRACT(CELL("address",H10), "\$([A-Z]+)\$[0-9]+"))),_xlfn.REGEXEXTRACT(CELL("address",H10), "\$([A-Z]+)\$[0-9]+"))</f>
        <v/>
      </c>
      <c r="I10" s="7" t="str" cm="1">
        <f t="array" aca="1" ref="I10" ca="1">IFERROR(IF(OR('Raw Data'!I10="",LEN(TRIM('Raw Data'!I10))=0),"",IF(AND(ISNUMBER('Raw Data'!I10), IFERROR('Raw Data'!I10 = ROUND('Raw Data'!I10, 2),FALSE)),"",_xlfn.REGEXEXTRACT(CELL("address",I10), "\$([A-Z]+)\$[0-9]+"))),_xlfn.REGEXEXTRACT(CELL("address",I10), "\$([A-Z]+)\$[0-9]+"))</f>
        <v/>
      </c>
      <c r="J10" s="7" t="str" cm="1">
        <f t="array" aca="1" ref="J10" ca="1">IFERROR(IF(OR('Raw Data'!J10="",LEN(TRIM('Raw Data'!J10))=0),"",IF(AND(ISNUMBER('Raw Data'!J10), IFERROR('Raw Data'!J10 = ROUND('Raw Data'!J10, 2),FALSE)),"",_xlfn.REGEXEXTRACT(CELL("address",J10), "\$([A-Z]+)\$[0-9]+"))),_xlfn.REGEXEXTRACT(CELL("address",J10), "\$([A-Z]+)\$[0-9]+"))</f>
        <v/>
      </c>
      <c r="K10" s="7" t="str" cm="1">
        <f t="array" aca="1" ref="K10" ca="1">IFERROR(IF(OR('Raw Data'!K10="",LEN(TRIM('Raw Data'!K10))=0),"",IF(AND(ISNUMBER('Raw Data'!K10), IFERROR('Raw Data'!K10 = ROUND('Raw Data'!K10, 2),FALSE)),"",_xlfn.REGEXEXTRACT(CELL("address",K10), "\$([A-Z]+)\$[0-9]+"))),_xlfn.REGEXEXTRACT(CELL("address",K10), "\$([A-Z]+)\$[0-9]+"))</f>
        <v/>
      </c>
      <c r="L10" s="7" t="str" cm="1">
        <f t="array" aca="1" ref="L10" ca="1">IFERROR(IF(OR('Raw Data'!L10="",LEN(TRIM('Raw Data'!L10))=0),"",IF(AND(ISNUMBER('Raw Data'!L10), IFERROR('Raw Data'!L10 = ROUND('Raw Data'!L10, 2),FALSE)),"",_xlfn.REGEXEXTRACT(CELL("address",L10), "\$([A-Z]+)\$[0-9]+"))),_xlfn.REGEXEXTRACT(CELL("address",L10), "\$([A-Z]+)\$[0-9]+"))</f>
        <v/>
      </c>
      <c r="M10" s="7" t="str" cm="1">
        <f t="array" aca="1" ref="M10" ca="1">IFERROR(IF(OR('Raw Data'!M10="",LEN(TRIM('Raw Data'!M10))=0),"",IF(AND(ISNUMBER('Raw Data'!M10), IFERROR('Raw Data'!M10 = ROUND('Raw Data'!M10, 2),FALSE)),"",_xlfn.REGEXEXTRACT(CELL("address",M10), "\$([A-Z]+)\$[0-9]+"))),_xlfn.REGEXEXTRACT(CELL("address",M10), "\$([A-Z]+)\$[0-9]+"))</f>
        <v/>
      </c>
      <c r="N10" s="7" t="str" cm="1">
        <f t="array" aca="1" ref="N10" ca="1">IFERROR(IF(OR('Raw Data'!N10="",LEN(TRIM('Raw Data'!N10))=0),"",IF(AND(ISNUMBER('Raw Data'!N10), IFERROR('Raw Data'!N10 = ROUND('Raw Data'!N10, 2),FALSE)),"",_xlfn.REGEXEXTRACT(CELL("address",N10), "\$([A-Z]+)\$[0-9]+"))),_xlfn.REGEXEXTRACT(CELL("address",N10), "\$([A-Z]+)\$[0-9]+"))</f>
        <v/>
      </c>
      <c r="O10" s="7" t="str" cm="1">
        <f t="array" aca="1" ref="O10" ca="1">IFERROR(IF(OR('Raw Data'!O10="",LEN(TRIM('Raw Data'!O10))=0),"",IF(AND(ISNUMBER('Raw Data'!O10), IFERROR('Raw Data'!O10 = ROUND('Raw Data'!O10, 2),FALSE)),"",_xlfn.REGEXEXTRACT(CELL("address",O10), "\$([A-Z]+)\$[0-9]+"))),_xlfn.REGEXEXTRACT(CELL("address",O10), "\$([A-Z]+)\$[0-9]+"))</f>
        <v/>
      </c>
      <c r="P10" s="7" t="str" cm="1">
        <f t="array" aca="1" ref="P10" ca="1">IFERROR(IF(OR('Raw Data'!P10="",LEN(TRIM('Raw Data'!P10))=0),"",IF(AND(ISNUMBER('Raw Data'!P10), IFERROR('Raw Data'!P10 = ROUND('Raw Data'!P10, 2),FALSE)),"",_xlfn.REGEXEXTRACT(CELL("address",P10), "\$([A-Z]+)\$[0-9]+"))),_xlfn.REGEXEXTRACT(CELL("address",P10), "\$([A-Z]+)\$[0-9]+"))</f>
        <v/>
      </c>
      <c r="Q10" s="7" t="str" cm="1">
        <f t="array" aca="1" ref="Q10" ca="1">IFERROR(IF(OR('Raw Data'!Q10="",LEN(TRIM('Raw Data'!Q10))=0),"",IF(AND(ISNUMBER('Raw Data'!Q10), IFERROR('Raw Data'!Q10 = ROUND('Raw Data'!Q10, 2),FALSE)),"",_xlfn.REGEXEXTRACT(CELL("address",Q10), "\$([A-Z]+)\$[0-9]+"))),_xlfn.REGEXEXTRACT(CELL("address",Q10), "\$([A-Z]+)\$[0-9]+"))</f>
        <v/>
      </c>
      <c r="R10" s="7" t="str" cm="1">
        <f t="array" aca="1" ref="R10" ca="1">IFERROR(IF(OR('Raw Data'!R10="",LEN(TRIM('Raw Data'!R10))=0),"",IF(AND(ISNUMBER('Raw Data'!R10), IFERROR('Raw Data'!R10 = ROUND('Raw Data'!R10, 2),FALSE)),"",_xlfn.REGEXEXTRACT(CELL("address",R10), "\$([A-Z]+)\$[0-9]+"))),_xlfn.REGEXEXTRACT(CELL("address",R10), "\$([A-Z]+)\$[0-9]+"))</f>
        <v/>
      </c>
      <c r="S10" s="7" t="str" cm="1">
        <f t="array" aca="1" ref="S10" ca="1">IFERROR(IF(OR('Raw Data'!S10="",LEN(TRIM('Raw Data'!S10))=0),"",IF(AND(ISNUMBER('Raw Data'!S10), IFERROR('Raw Data'!S10 = ROUND('Raw Data'!S10, 2),FALSE)),"",_xlfn.REGEXEXTRACT(CELL("address",S10), "\$([A-Z]+)\$[0-9]+"))),_xlfn.REGEXEXTRACT(CELL("address",S10), "\$([A-Z]+)\$[0-9]+"))</f>
        <v/>
      </c>
      <c r="T10" s="7" t="str" cm="1">
        <f t="array" aca="1" ref="T10" ca="1">IFERROR(IF(OR('Raw Data'!T10="",LEN(TRIM('Raw Data'!T10))=0),"",IF(AND(ISNUMBER('Raw Data'!T10), IFERROR('Raw Data'!T10 = ROUND('Raw Data'!T10, 2),FALSE)),"",_xlfn.REGEXEXTRACT(CELL("address",T10), "\$([A-Z]+)\$[0-9]+"))),_xlfn.REGEXEXTRACT(CELL("address",T10), "\$([A-Z]+)\$[0-9]+"))</f>
        <v/>
      </c>
      <c r="U10" s="7" t="str" cm="1">
        <f t="array" aca="1" ref="U10" ca="1">IFERROR(IF(OR('Raw Data'!U10="",LEN(TRIM('Raw Data'!U10))=0),"",IF(AND(ISNUMBER('Raw Data'!U10), IFERROR('Raw Data'!U10 = ROUND('Raw Data'!U10, 2),FALSE)),"",_xlfn.REGEXEXTRACT(CELL("address",U10), "\$([A-Z]+)\$[0-9]+"))),_xlfn.REGEXEXTRACT(CELL("address",U10), "\$([A-Z]+)\$[0-9]+"))</f>
        <v/>
      </c>
      <c r="V10" s="7" t="str" cm="1">
        <f t="array" aca="1" ref="V10" ca="1">IFERROR(IF(OR('Raw Data'!V10="",LEN(TRIM('Raw Data'!V10))=0),"",IF(AND(ISNUMBER('Raw Data'!V10), IFERROR('Raw Data'!V10 = ROUND('Raw Data'!V10, 2),FALSE)),"",_xlfn.REGEXEXTRACT(CELL("address",V10), "\$([A-Z]+)\$[0-9]+"))),_xlfn.REGEXEXTRACT(CELL("address",V10), "\$([A-Z]+)\$[0-9]+"))</f>
        <v/>
      </c>
      <c r="W10" s="7" t="str" cm="1">
        <f t="array" aca="1" ref="W10" ca="1">IFERROR(IF(OR('Raw Data'!W10="",LEN(TRIM('Raw Data'!W10))=0),"",IF(AND(ISNUMBER('Raw Data'!W10), IFERROR('Raw Data'!W10 = ROUND('Raw Data'!W10, 2),FALSE)),"",_xlfn.REGEXEXTRACT(CELL("address",W10), "\$([A-Z]+)\$[0-9]+"))),_xlfn.REGEXEXTRACT(CELL("address",W10), "\$([A-Z]+)\$[0-9]+"))</f>
        <v/>
      </c>
      <c r="X10" s="7" t="str" cm="1">
        <f t="array" aca="1" ref="X10" ca="1">IFERROR(IF(OR('Raw Data'!X10="",LEN(TRIM('Raw Data'!X10))=0),"",IF(AND(ISNUMBER('Raw Data'!X10), IFERROR('Raw Data'!X10 = ROUND('Raw Data'!X10, 2),FALSE)),"",_xlfn.REGEXEXTRACT(CELL("address",X10), "\$([A-Z]+)\$[0-9]+"))),_xlfn.REGEXEXTRACT(CELL("address",X10), "\$([A-Z]+)\$[0-9]+"))</f>
        <v/>
      </c>
      <c r="Y10" s="7" t="str" cm="1">
        <f t="array" aca="1" ref="Y10" ca="1">IFERROR(IF(OR('Raw Data'!Y10="",LEN(TRIM('Raw Data'!Y10))=0),"",IF(AND(ISNUMBER('Raw Data'!Y10), IFERROR('Raw Data'!Y10 = ROUND('Raw Data'!Y10, 2),FALSE)),"",_xlfn.REGEXEXTRACT(CELL("address",Y10), "\$([A-Z]+)\$[0-9]+"))),_xlfn.REGEXEXTRACT(CELL("address",Y10), "\$([A-Z]+)\$[0-9]+"))</f>
        <v/>
      </c>
      <c r="Z10" s="7" t="str" cm="1">
        <f t="array" aca="1" ref="Z10" ca="1">IFERROR(IF(OR('Raw Data'!Z10="",LEN(TRIM('Raw Data'!Z10))=0),"",IF(AND(ISNUMBER('Raw Data'!Z10), IFERROR('Raw Data'!Z10 = ROUND('Raw Data'!Z10, 2),FALSE)),"",_xlfn.REGEXEXTRACT(CELL("address",Z10), "\$([A-Z]+)\$[0-9]+"))),_xlfn.REGEXEXTRACT(CELL("address",Z10), "\$([A-Z]+)\$[0-9]+"))</f>
        <v/>
      </c>
      <c r="AA10" s="7" t="str" cm="1">
        <f t="array" aca="1" ref="AA10" ca="1">IFERROR(IF(OR('Raw Data'!AA10="",LEN(TRIM('Raw Data'!AA10))=0),"",IF(AND(ISNUMBER('Raw Data'!AA10), IFERROR('Raw Data'!AA10 = ROUND('Raw Data'!AA10, 2),FALSE)),"",_xlfn.REGEXEXTRACT(CELL("address",AA10), "\$([A-Z]+)\$[0-9]+"))),_xlfn.REGEXEXTRACT(CELL("address",AA10), "\$([A-Z]+)\$[0-9]+"))</f>
        <v/>
      </c>
      <c r="AB10" s="7" t="str" cm="1">
        <f t="array" aca="1" ref="AB10" ca="1">IFERROR(IF(OR('Raw Data'!AB10="",LEN(TRIM('Raw Data'!AB10))=0),"",IF(AND(ISNUMBER('Raw Data'!AB10), IFERROR('Raw Data'!AB10 = ROUND('Raw Data'!AB10, 2),FALSE)),"",_xlfn.REGEXEXTRACT(CELL("address",AB10), "\$([A-Z]+)\$[0-9]+"))),_xlfn.REGEXEXTRACT(CELL("address",AB10), "\$([A-Z]+)\$[0-9]+"))</f>
        <v/>
      </c>
      <c r="AC10" s="7" t="str" cm="1">
        <f t="array" aca="1" ref="AC10" ca="1">IFERROR(IF(OR('Raw Data'!AC10="",LEN(TRIM('Raw Data'!AC10))=0),"",IF(AND(ISNUMBER('Raw Data'!AC10), IFERROR('Raw Data'!AC10 = ROUND('Raw Data'!AC10, 2),FALSE)),"",_xlfn.REGEXEXTRACT(CELL("address",AC10), "\$([A-Z]+)\$[0-9]+"))),_xlfn.REGEXEXTRACT(CELL("address",AC10), "\$([A-Z]+)\$[0-9]+"))</f>
        <v/>
      </c>
      <c r="AD10" s="7" t="str" cm="1">
        <f t="array" aca="1" ref="AD10" ca="1">IFERROR(IF(OR('Raw Data'!AD10="",LEN(TRIM('Raw Data'!AD10))=0),"",IF(AND(ISNUMBER('Raw Data'!AD10), IFERROR('Raw Data'!AD10 = ROUND('Raw Data'!AD10, 2),FALSE)),"",_xlfn.REGEXEXTRACT(CELL("address",AD10), "\$([A-Z]+)\$[0-9]+"))),_xlfn.REGEXEXTRACT(CELL("address",AD10), "\$([A-Z]+)\$[0-9]+"))</f>
        <v/>
      </c>
      <c r="AE10" s="7" t="str" cm="1">
        <f t="array" aca="1" ref="AE10" ca="1">IFERROR(IF(OR('Raw Data'!AE10="",LEN(TRIM('Raw Data'!AE10))=0),"",IF(AND(ISNUMBER('Raw Data'!AE10), IFERROR('Raw Data'!AE10 = ROUND('Raw Data'!AE10, 2),FALSE)),"",_xlfn.REGEXEXTRACT(CELL("address",AE10), "\$([A-Z]+)\$[0-9]+"))),_xlfn.REGEXEXTRACT(CELL("address",AE10), "\$([A-Z]+)\$[0-9]+"))</f>
        <v/>
      </c>
      <c r="AF10" s="7" t="str" cm="1">
        <f t="array" aca="1" ref="AF10" ca="1">IFERROR(IF(OR('Raw Data'!AF10="",LEN(TRIM('Raw Data'!AF10))=0),"",IF(AND(ISNUMBER('Raw Data'!AF10), IFERROR('Raw Data'!AF10 = ROUND('Raw Data'!AF10, 2),FALSE)),"",_xlfn.REGEXEXTRACT(CELL("address",AF10), "\$([A-Z]+)\$[0-9]+"))),_xlfn.REGEXEXTRACT(CELL("address",AF10), "\$([A-Z]+)\$[0-9]+"))</f>
        <v/>
      </c>
      <c r="AG10" s="7" t="str" cm="1">
        <f t="array" aca="1" ref="AG10" ca="1">IFERROR(IF(OR('Raw Data'!AG10="",LEN(TRIM('Raw Data'!AG10))=0),"",IF(AND(ISNUMBER('Raw Data'!AG10), IFERROR('Raw Data'!AG10 = ROUND('Raw Data'!AG10, 2),FALSE)),"",_xlfn.REGEXEXTRACT(CELL("address",AG10), "\$([A-Z]+)\$[0-9]+"))),_xlfn.REGEXEXTRACT(CELL("address",AG10), "\$([A-Z]+)\$[0-9]+"))</f>
        <v/>
      </c>
      <c r="AH10" s="7" t="str" cm="1">
        <f t="array" aca="1" ref="AH10" ca="1">IFERROR(IF(OR('Raw Data'!AH10="",LEN(TRIM('Raw Data'!AH10))=0),"",IF(AND(ISNUMBER('Raw Data'!AH10), IFERROR('Raw Data'!AH10 = ROUND('Raw Data'!AH10, 2),FALSE)),"",_xlfn.REGEXEXTRACT(CELL("address",AH10), "\$([A-Z]+)\$[0-9]+"))),_xlfn.REGEXEXTRACT(CELL("address",AH10), "\$([A-Z]+)\$[0-9]+"))</f>
        <v/>
      </c>
      <c r="AI10" s="7" t="str" cm="1">
        <f t="array" aca="1" ref="AI10" ca="1">IFERROR(IF(OR('Raw Data'!AI10="",LEN(TRIM('Raw Data'!AI10))=0),"",IF(AND(ISNUMBER('Raw Data'!AI10), IFERROR('Raw Data'!AI10 = ROUND('Raw Data'!AI10, 2),FALSE)),"",_xlfn.REGEXEXTRACT(CELL("address",AI10), "\$([A-Z]+)\$[0-9]+"))),_xlfn.REGEXEXTRACT(CELL("address",AI10), "\$([A-Z]+)\$[0-9]+"))</f>
        <v/>
      </c>
      <c r="AJ10" s="7" t="str" cm="1">
        <f t="array" aca="1" ref="AJ10" ca="1">IFERROR(IF(OR('Raw Data'!AJ10="",LEN(TRIM('Raw Data'!AJ10))=0),"",IF(AND(ISNUMBER('Raw Data'!AJ10), IFERROR('Raw Data'!AJ10 = ROUND('Raw Data'!AJ10, 2),FALSE)),"",_xlfn.REGEXEXTRACT(CELL("address",AJ10), "\$([A-Z]+)\$[0-9]+"))),_xlfn.REGEXEXTRACT(CELL("address",AJ10), "\$([A-Z]+)\$[0-9]+"))</f>
        <v/>
      </c>
    </row>
    <row r="11" spans="2:36" x14ac:dyDescent="0.25">
      <c r="B11" s="7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20,LEN('Raw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Data'!D11))=0),"",IF(AND(ISNUMBER('Raw Data'!D11),'Raw Data'!D11&gt;=Configuration!$D$2),"",_xlfn.REGEXEXTRACT(CELL("address",'Raw Data'!D11),"\$([A-Z]+)\$[0-9]+"))),_xlfn.REGEXEXTRACT(CELL("address",D11), "\$([A-Z]+)\$[0-9]+"))</f>
        <v/>
      </c>
      <c r="E11" s="7" t="str" cm="1">
        <f t="array" aca="1" ref="E11" ca="1">IFERROR(IF(OR('Raw Data'!E11="",LEN(TRIM('Raw Data'!E11))=0),"",IF(AND(ISNUMBER('Raw Data'!E11), IFERROR('Raw Data'!E11 = ROUND('Raw Data'!E11, 2),FALSE)),"",_xlfn.REGEXEXTRACT(CELL("address",E11), "\$([A-Z]+)\$[0-9]+"))),_xlfn.REGEXEXTRACT(CELL("address",E11), "\$([A-Z]+)\$[0-9]+"))</f>
        <v/>
      </c>
      <c r="F11" s="7" t="str" cm="1">
        <f t="array" aca="1" ref="F11" ca="1">IFERROR(IF(OR('Raw Data'!F11="",LEN(TRIM('Raw Data'!F11))=0),"",IF(AND(ISNUMBER('Raw Data'!F11), IFERROR('Raw Data'!F11 = ROUND('Raw Data'!F11, 2),FALSE)),"",_xlfn.REGEXEXTRACT(CELL("address",F11), "\$([A-Z]+)\$[0-9]+"))),_xlfn.REGEXEXTRACT(CELL("address",F11), "\$([A-Z]+)\$[0-9]+"))</f>
        <v/>
      </c>
      <c r="G11" s="7" t="str" cm="1">
        <f t="array" aca="1" ref="G11" ca="1">IFERROR(IF(OR('Raw Data'!G11="",LEN(TRIM('Raw Data'!G11))=0),"",IF(AND(ISNUMBER('Raw Data'!G11), IFERROR('Raw Data'!G11 = ROUND('Raw Data'!G11, 2),FALSE)),"",_xlfn.REGEXEXTRACT(CELL("address",G11), "\$([A-Z]+)\$[0-9]+"))),_xlfn.REGEXEXTRACT(CELL("address",G11), "\$([A-Z]+)\$[0-9]+"))</f>
        <v/>
      </c>
      <c r="H11" s="7" t="str" cm="1">
        <f t="array" aca="1" ref="H11" ca="1">IFERROR(IF(OR('Raw Data'!H11="",LEN(TRIM('Raw Data'!H11))=0),"",IF(AND(ISNUMBER('Raw Data'!H11), IFERROR('Raw Data'!H11 = ROUND('Raw Data'!H11, 2),FALSE)),"",_xlfn.REGEXEXTRACT(CELL("address",H11), "\$([A-Z]+)\$[0-9]+"))),_xlfn.REGEXEXTRACT(CELL("address",H11), "\$([A-Z]+)\$[0-9]+"))</f>
        <v/>
      </c>
      <c r="I11" s="7" t="str" cm="1">
        <f t="array" aca="1" ref="I11" ca="1">IFERROR(IF(OR('Raw Data'!I11="",LEN(TRIM('Raw Data'!I11))=0),"",IF(AND(ISNUMBER('Raw Data'!I11), IFERROR('Raw Data'!I11 = ROUND('Raw Data'!I11, 2),FALSE)),"",_xlfn.REGEXEXTRACT(CELL("address",I11), "\$([A-Z]+)\$[0-9]+"))),_xlfn.REGEXEXTRACT(CELL("address",I11), "\$([A-Z]+)\$[0-9]+"))</f>
        <v/>
      </c>
      <c r="J11" s="7" t="str" cm="1">
        <f t="array" aca="1" ref="J11" ca="1">IFERROR(IF(OR('Raw Data'!J11="",LEN(TRIM('Raw Data'!J11))=0),"",IF(AND(ISNUMBER('Raw Data'!J11), IFERROR('Raw Data'!J11 = ROUND('Raw Data'!J11, 2),FALSE)),"",_xlfn.REGEXEXTRACT(CELL("address",J11), "\$([A-Z]+)\$[0-9]+"))),_xlfn.REGEXEXTRACT(CELL("address",J11), "\$([A-Z]+)\$[0-9]+"))</f>
        <v/>
      </c>
      <c r="K11" s="7" t="str" cm="1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7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7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7" t="str" cm="1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7" t="str" cm="1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7" t="str" cm="1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7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7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7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7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7" t="str" cm="1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7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7" t="str" cm="1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7" t="str" cm="1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7" t="str" cm="1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  <c r="Z11" s="7" t="str" cm="1">
        <f t="array" aca="1" ref="Z11" ca="1">IFERROR(IF(OR('Raw Data'!Z11="",LEN(TRIM('Raw Data'!Z11))=0),"",IF(AND(ISNUMBER('Raw Data'!Z11), IFERROR('Raw Data'!Z11 = ROUND('Raw Data'!Z11, 2),FALSE)),"",_xlfn.REGEXEXTRACT(CELL("address",Z11), "\$([A-Z]+)\$[0-9]+"))),_xlfn.REGEXEXTRACT(CELL("address",Z11), "\$([A-Z]+)\$[0-9]+"))</f>
        <v/>
      </c>
      <c r="AA11" s="7" t="str" cm="1">
        <f t="array" aca="1" ref="AA11" ca="1">IFERROR(IF(OR('Raw Data'!AA11="",LEN(TRIM('Raw Data'!AA11))=0),"",IF(AND(ISNUMBER('Raw Data'!AA11), IFERROR('Raw Data'!AA11 = ROUND('Raw Data'!AA11, 2),FALSE)),"",_xlfn.REGEXEXTRACT(CELL("address",AA11), "\$([A-Z]+)\$[0-9]+"))),_xlfn.REGEXEXTRACT(CELL("address",AA11), "\$([A-Z]+)\$[0-9]+"))</f>
        <v/>
      </c>
      <c r="AB11" s="7" t="str" cm="1">
        <f t="array" aca="1" ref="AB11" ca="1">IFERROR(IF(OR('Raw Data'!AB11="",LEN(TRIM('Raw Data'!AB11))=0),"",IF(AND(ISNUMBER('Raw Data'!AB11), IFERROR('Raw Data'!AB11 = ROUND('Raw Data'!AB11, 2),FALSE)),"",_xlfn.REGEXEXTRACT(CELL("address",AB11), "\$([A-Z]+)\$[0-9]+"))),_xlfn.REGEXEXTRACT(CELL("address",AB11), "\$([A-Z]+)\$[0-9]+"))</f>
        <v/>
      </c>
      <c r="AC11" s="7" t="str" cm="1">
        <f t="array" aca="1" ref="AC11" ca="1">IFERROR(IF(OR('Raw Data'!AC11="",LEN(TRIM('Raw Data'!AC11))=0),"",IF(AND(ISNUMBER('Raw Data'!AC11), IFERROR('Raw Data'!AC11 = ROUND('Raw Data'!AC11, 2),FALSE)),"",_xlfn.REGEXEXTRACT(CELL("address",AC11), "\$([A-Z]+)\$[0-9]+"))),_xlfn.REGEXEXTRACT(CELL("address",AC11), "\$([A-Z]+)\$[0-9]+"))</f>
        <v/>
      </c>
      <c r="AD11" s="7" t="str" cm="1">
        <f t="array" aca="1" ref="AD11" ca="1">IFERROR(IF(OR('Raw Data'!AD11="",LEN(TRIM('Raw Data'!AD11))=0),"",IF(AND(ISNUMBER('Raw Data'!AD11), IFERROR('Raw Data'!AD11 = ROUND('Raw Data'!AD11, 2),FALSE)),"",_xlfn.REGEXEXTRACT(CELL("address",AD11), "\$([A-Z]+)\$[0-9]+"))),_xlfn.REGEXEXTRACT(CELL("address",AD11), "\$([A-Z]+)\$[0-9]+"))</f>
        <v/>
      </c>
      <c r="AE11" s="7" t="str" cm="1">
        <f t="array" aca="1" ref="AE11" ca="1">IFERROR(IF(OR('Raw Data'!AE11="",LEN(TRIM('Raw Data'!AE11))=0),"",IF(AND(ISNUMBER('Raw Data'!AE11), IFERROR('Raw Data'!AE11 = ROUND('Raw Data'!AE11, 2),FALSE)),"",_xlfn.REGEXEXTRACT(CELL("address",AE11), "\$([A-Z]+)\$[0-9]+"))),_xlfn.REGEXEXTRACT(CELL("address",AE11), "\$([A-Z]+)\$[0-9]+"))</f>
        <v/>
      </c>
      <c r="AF11" s="7" t="str" cm="1">
        <f t="array" aca="1" ref="AF11" ca="1">IFERROR(IF(OR('Raw Data'!AF11="",LEN(TRIM('Raw Data'!AF11))=0),"",IF(AND(ISNUMBER('Raw Data'!AF11), IFERROR('Raw Data'!AF11 = ROUND('Raw Data'!AF11, 2),FALSE)),"",_xlfn.REGEXEXTRACT(CELL("address",AF11), "\$([A-Z]+)\$[0-9]+"))),_xlfn.REGEXEXTRACT(CELL("address",AF11), "\$([A-Z]+)\$[0-9]+"))</f>
        <v/>
      </c>
      <c r="AG11" s="7" t="str" cm="1">
        <f t="array" aca="1" ref="AG11" ca="1">IFERROR(IF(OR('Raw Data'!AG11="",LEN(TRIM('Raw Data'!AG11))=0),"",IF(AND(ISNUMBER('Raw Data'!AG11), IFERROR('Raw Data'!AG11 = ROUND('Raw Data'!AG11, 2),FALSE)),"",_xlfn.REGEXEXTRACT(CELL("address",AG11), "\$([A-Z]+)\$[0-9]+"))),_xlfn.REGEXEXTRACT(CELL("address",AG11), "\$([A-Z]+)\$[0-9]+"))</f>
        <v/>
      </c>
      <c r="AH11" s="7" t="str" cm="1">
        <f t="array" aca="1" ref="AH11" ca="1">IFERROR(IF(OR('Raw Data'!AH11="",LEN(TRIM('Raw Data'!AH11))=0),"",IF(AND(ISNUMBER('Raw Data'!AH11), IFERROR('Raw Data'!AH11 = ROUND('Raw Data'!AH11, 2),FALSE)),"",_xlfn.REGEXEXTRACT(CELL("address",AH11), "\$([A-Z]+)\$[0-9]+"))),_xlfn.REGEXEXTRACT(CELL("address",AH11), "\$([A-Z]+)\$[0-9]+"))</f>
        <v/>
      </c>
      <c r="AI11" s="7" t="str" cm="1">
        <f t="array" aca="1" ref="AI11" ca="1">IFERROR(IF(OR('Raw Data'!AI11="",LEN(TRIM('Raw Data'!AI11))=0),"",IF(AND(ISNUMBER('Raw Data'!AI11), IFERROR('Raw Data'!AI11 = ROUND('Raw Data'!AI11, 2),FALSE)),"",_xlfn.REGEXEXTRACT(CELL("address",AI11), "\$([A-Z]+)\$[0-9]+"))),_xlfn.REGEXEXTRACT(CELL("address",AI11), "\$([A-Z]+)\$[0-9]+"))</f>
        <v/>
      </c>
      <c r="AJ11" s="7" t="str" cm="1">
        <f t="array" aca="1" ref="AJ11" ca="1">IFERROR(IF(OR('Raw Data'!AJ11="",LEN(TRIM('Raw Data'!AJ11))=0),"",IF(AND(ISNUMBER('Raw Data'!AJ11), IFERROR('Raw Data'!AJ11 = ROUND('Raw Data'!AJ11, 2),FALSE)),"",_xlfn.REGEXEXTRACT(CELL("address",AJ11), "\$([A-Z]+)\$[0-9]+"))),_xlfn.REGEXEXTRACT(CELL("address",AJ11), "\$([A-Z]+)\$[0-9]+"))</f>
        <v/>
      </c>
    </row>
    <row r="12" spans="2:36" x14ac:dyDescent="0.25">
      <c r="B12" s="7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20,LEN('Raw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Data'!D12))=0),"",IF(AND(ISNUMBER('Raw Data'!D12),'Raw Data'!D12&gt;=Configuration!$D$2),"",_xlfn.REGEXEXTRACT(CELL("address",'Raw Data'!D12),"\$([A-Z]+)\$[0-9]+"))),_xlfn.REGEXEXTRACT(CELL("address",D12), "\$([A-Z]+)\$[0-9]+"))</f>
        <v/>
      </c>
      <c r="E12" s="7" t="str" cm="1">
        <f t="array" aca="1" ref="E12" ca="1">IFERROR(IF(OR('Raw Data'!E12="",LEN(TRIM('Raw Data'!E12))=0),"",IF(AND(ISNUMBER('Raw Data'!E12), IFERROR('Raw Data'!E12 = ROUND('Raw Data'!E12, 2),FALSE)),"",_xlfn.REGEXEXTRACT(CELL("address",E12), "\$([A-Z]+)\$[0-9]+"))),_xlfn.REGEXEXTRACT(CELL("address",E12), "\$([A-Z]+)\$[0-9]+"))</f>
        <v/>
      </c>
      <c r="F12" s="7" t="str" cm="1">
        <f t="array" aca="1" ref="F12" ca="1">IFERROR(IF(OR('Raw Data'!F12="",LEN(TRIM('Raw Data'!F12))=0),"",IF(AND(ISNUMBER('Raw Data'!F12), IFERROR('Raw Data'!F12 = ROUND('Raw Data'!F12, 2),FALSE)),"",_xlfn.REGEXEXTRACT(CELL("address",F12), "\$([A-Z]+)\$[0-9]+"))),_xlfn.REGEXEXTRACT(CELL("address",F12), "\$([A-Z]+)\$[0-9]+"))</f>
        <v/>
      </c>
      <c r="G12" s="7" t="str" cm="1">
        <f t="array" aca="1" ref="G12" ca="1">IFERROR(IF(OR('Raw Data'!G12="",LEN(TRIM('Raw Data'!G12))=0),"",IF(AND(ISNUMBER('Raw Data'!G12), IFERROR('Raw Data'!G12 = ROUND('Raw Data'!G12, 2),FALSE)),"",_xlfn.REGEXEXTRACT(CELL("address",G12), "\$([A-Z]+)\$[0-9]+"))),_xlfn.REGEXEXTRACT(CELL("address",G12), "\$([A-Z]+)\$[0-9]+"))</f>
        <v/>
      </c>
      <c r="H12" s="7" t="str" cm="1">
        <f t="array" aca="1" ref="H12" ca="1">IFERROR(IF(OR('Raw Data'!H12="",LEN(TRIM('Raw Data'!H12))=0),"",IF(AND(ISNUMBER('Raw Data'!H12), IFERROR('Raw Data'!H12 = ROUND('Raw Data'!H12, 2),FALSE)),"",_xlfn.REGEXEXTRACT(CELL("address",H12), "\$([A-Z]+)\$[0-9]+"))),_xlfn.REGEXEXTRACT(CELL("address",H12), "\$([A-Z]+)\$[0-9]+"))</f>
        <v/>
      </c>
      <c r="I12" s="7" t="str" cm="1">
        <f t="array" aca="1" ref="I12" ca="1">IFERROR(IF(OR('Raw Data'!I12="",LEN(TRIM('Raw Data'!I12))=0),"",IF(AND(ISNUMBER('Raw Data'!I12), IFERROR('Raw Data'!I12 = ROUND('Raw Data'!I12, 2),FALSE)),"",_xlfn.REGEXEXTRACT(CELL("address",I12), "\$([A-Z]+)\$[0-9]+"))),_xlfn.REGEXEXTRACT(CELL("address",I12), "\$([A-Z]+)\$[0-9]+"))</f>
        <v/>
      </c>
      <c r="J12" s="7" t="str" cm="1">
        <f t="array" aca="1" ref="J12" ca="1">IFERROR(IF(OR('Raw Data'!J12="",LEN(TRIM('Raw Data'!J12))=0),"",IF(AND(ISNUMBER('Raw Data'!J12), IFERROR('Raw Data'!J12 = ROUND('Raw Data'!J12, 2),FALSE)),"",_xlfn.REGEXEXTRACT(CELL("address",J12), "\$([A-Z]+)\$[0-9]+"))),_xlfn.REGEXEXTRACT(CELL("address",J12), "\$([A-Z]+)\$[0-9]+"))</f>
        <v/>
      </c>
      <c r="K12" s="7" t="str" cm="1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7" t="str" cm="1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7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7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7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7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 cm="1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7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7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7" t="str" cm="1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7" t="str" cm="1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  <c r="Z12" s="7" t="str" cm="1">
        <f t="array" aca="1" ref="Z12" ca="1">IFERROR(IF(OR('Raw Data'!Z12="",LEN(TRIM('Raw Data'!Z12))=0),"",IF(AND(ISNUMBER('Raw Data'!Z12), IFERROR('Raw Data'!Z12 = ROUND('Raw Data'!Z12, 2),FALSE)),"",_xlfn.REGEXEXTRACT(CELL("address",Z12), "\$([A-Z]+)\$[0-9]+"))),_xlfn.REGEXEXTRACT(CELL("address",Z12), "\$([A-Z]+)\$[0-9]+"))</f>
        <v/>
      </c>
      <c r="AA12" s="7" t="str" cm="1">
        <f t="array" aca="1" ref="AA12" ca="1">IFERROR(IF(OR('Raw Data'!AA12="",LEN(TRIM('Raw Data'!AA12))=0),"",IF(AND(ISNUMBER('Raw Data'!AA12), IFERROR('Raw Data'!AA12 = ROUND('Raw Data'!AA12, 2),FALSE)),"",_xlfn.REGEXEXTRACT(CELL("address",AA12), "\$([A-Z]+)\$[0-9]+"))),_xlfn.REGEXEXTRACT(CELL("address",AA12), "\$([A-Z]+)\$[0-9]+"))</f>
        <v/>
      </c>
      <c r="AB12" s="7" t="str" cm="1">
        <f t="array" aca="1" ref="AB12" ca="1">IFERROR(IF(OR('Raw Data'!AB12="",LEN(TRIM('Raw Data'!AB12))=0),"",IF(AND(ISNUMBER('Raw Data'!AB12), IFERROR('Raw Data'!AB12 = ROUND('Raw Data'!AB12, 2),FALSE)),"",_xlfn.REGEXEXTRACT(CELL("address",AB12), "\$([A-Z]+)\$[0-9]+"))),_xlfn.REGEXEXTRACT(CELL("address",AB12), "\$([A-Z]+)\$[0-9]+"))</f>
        <v/>
      </c>
      <c r="AC12" s="7" t="str" cm="1">
        <f t="array" aca="1" ref="AC12" ca="1">IFERROR(IF(OR('Raw Data'!AC12="",LEN(TRIM('Raw Data'!AC12))=0),"",IF(AND(ISNUMBER('Raw Data'!AC12), IFERROR('Raw Data'!AC12 = ROUND('Raw Data'!AC12, 2),FALSE)),"",_xlfn.REGEXEXTRACT(CELL("address",AC12), "\$([A-Z]+)\$[0-9]+"))),_xlfn.REGEXEXTRACT(CELL("address",AC12), "\$([A-Z]+)\$[0-9]+"))</f>
        <v/>
      </c>
      <c r="AD12" s="7" t="str" cm="1">
        <f t="array" aca="1" ref="AD12" ca="1">IFERROR(IF(OR('Raw Data'!AD12="",LEN(TRIM('Raw Data'!AD12))=0),"",IF(AND(ISNUMBER('Raw Data'!AD12), IFERROR('Raw Data'!AD12 = ROUND('Raw Data'!AD12, 2),FALSE)),"",_xlfn.REGEXEXTRACT(CELL("address",AD12), "\$([A-Z]+)\$[0-9]+"))),_xlfn.REGEXEXTRACT(CELL("address",AD12), "\$([A-Z]+)\$[0-9]+"))</f>
        <v/>
      </c>
      <c r="AE12" s="7" t="str" cm="1">
        <f t="array" aca="1" ref="AE12" ca="1">IFERROR(IF(OR('Raw Data'!AE12="",LEN(TRIM('Raw Data'!AE12))=0),"",IF(AND(ISNUMBER('Raw Data'!AE12), IFERROR('Raw Data'!AE12 = ROUND('Raw Data'!AE12, 2),FALSE)),"",_xlfn.REGEXEXTRACT(CELL("address",AE12), "\$([A-Z]+)\$[0-9]+"))),_xlfn.REGEXEXTRACT(CELL("address",AE12), "\$([A-Z]+)\$[0-9]+"))</f>
        <v/>
      </c>
      <c r="AF12" s="7" t="str" cm="1">
        <f t="array" aca="1" ref="AF12" ca="1">IFERROR(IF(OR('Raw Data'!AF12="",LEN(TRIM('Raw Data'!AF12))=0),"",IF(AND(ISNUMBER('Raw Data'!AF12), IFERROR('Raw Data'!AF12 = ROUND('Raw Data'!AF12, 2),FALSE)),"",_xlfn.REGEXEXTRACT(CELL("address",AF12), "\$([A-Z]+)\$[0-9]+"))),_xlfn.REGEXEXTRACT(CELL("address",AF12), "\$([A-Z]+)\$[0-9]+"))</f>
        <v/>
      </c>
      <c r="AG12" s="7" t="str" cm="1">
        <f t="array" aca="1" ref="AG12" ca="1">IFERROR(IF(OR('Raw Data'!AG12="",LEN(TRIM('Raw Data'!AG12))=0),"",IF(AND(ISNUMBER('Raw Data'!AG12), IFERROR('Raw Data'!AG12 = ROUND('Raw Data'!AG12, 2),FALSE)),"",_xlfn.REGEXEXTRACT(CELL("address",AG12), "\$([A-Z]+)\$[0-9]+"))),_xlfn.REGEXEXTRACT(CELL("address",AG12), "\$([A-Z]+)\$[0-9]+"))</f>
        <v/>
      </c>
      <c r="AH12" s="7" t="str" cm="1">
        <f t="array" aca="1" ref="AH12" ca="1">IFERROR(IF(OR('Raw Data'!AH12="",LEN(TRIM('Raw Data'!AH12))=0),"",IF(AND(ISNUMBER('Raw Data'!AH12), IFERROR('Raw Data'!AH12 = ROUND('Raw Data'!AH12, 2),FALSE)),"",_xlfn.REGEXEXTRACT(CELL("address",AH12), "\$([A-Z]+)\$[0-9]+"))),_xlfn.REGEXEXTRACT(CELL("address",AH12), "\$([A-Z]+)\$[0-9]+"))</f>
        <v/>
      </c>
      <c r="AI12" s="7" t="str" cm="1">
        <f t="array" aca="1" ref="AI12" ca="1">IFERROR(IF(OR('Raw Data'!AI12="",LEN(TRIM('Raw Data'!AI12))=0),"",IF(AND(ISNUMBER('Raw Data'!AI12), IFERROR('Raw Data'!AI12 = ROUND('Raw Data'!AI12, 2),FALSE)),"",_xlfn.REGEXEXTRACT(CELL("address",AI12), "\$([A-Z]+)\$[0-9]+"))),_xlfn.REGEXEXTRACT(CELL("address",AI12), "\$([A-Z]+)\$[0-9]+"))</f>
        <v/>
      </c>
      <c r="AJ12" s="7" t="str" cm="1">
        <f t="array" aca="1" ref="AJ12" ca="1">IFERROR(IF(OR('Raw Data'!AJ12="",LEN(TRIM('Raw Data'!AJ12))=0),"",IF(AND(ISNUMBER('Raw Data'!AJ12), IFERROR('Raw Data'!AJ12 = ROUND('Raw Data'!AJ12, 2),FALSE)),"",_xlfn.REGEXEXTRACT(CELL("address",AJ12), "\$([A-Z]+)\$[0-9]+"))),_xlfn.REGEXEXTRACT(CELL("address",AJ12), "\$([A-Z]+)\$[0-9]+"))</f>
        <v/>
      </c>
    </row>
    <row r="13" spans="2:36" x14ac:dyDescent="0.25">
      <c r="B13" s="7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20,LEN('Raw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Data'!D13))=0),"",IF(AND(ISNUMBER('Raw Data'!D13),'Raw Data'!D13&gt;=Configuration!$D$2),"",_xlfn.REGEXEXTRACT(CELL("address",'Raw Data'!D13),"\$([A-Z]+)\$[0-9]+"))),_xlfn.REGEXEXTRACT(CELL("address",D13), "\$([A-Z]+)\$[0-9]+"))</f>
        <v/>
      </c>
      <c r="E13" s="7" t="str" cm="1">
        <f t="array" aca="1" ref="E13" ca="1">IFERROR(IF(OR('Raw Data'!E13="",LEN(TRIM('Raw Data'!E13))=0),"",IF(AND(ISNUMBER('Raw Data'!E13), IFERROR('Raw Data'!E13 = ROUND('Raw Data'!E13, 2),FALSE)),"",_xlfn.REGEXEXTRACT(CELL("address",E13), "\$([A-Z]+)\$[0-9]+"))),_xlfn.REGEXEXTRACT(CELL("address",E13), "\$([A-Z]+)\$[0-9]+"))</f>
        <v/>
      </c>
      <c r="F13" s="7" t="str" cm="1">
        <f t="array" aca="1" ref="F13" ca="1">IFERROR(IF(OR('Raw Data'!F13="",LEN(TRIM('Raw Data'!F13))=0),"",IF(AND(ISNUMBER('Raw Data'!F13), IFERROR('Raw Data'!F13 = ROUND('Raw Data'!F13, 2),FALSE)),"",_xlfn.REGEXEXTRACT(CELL("address",F13), "\$([A-Z]+)\$[0-9]+"))),_xlfn.REGEXEXTRACT(CELL("address",F13), "\$([A-Z]+)\$[0-9]+"))</f>
        <v/>
      </c>
      <c r="G13" s="7" t="str" cm="1">
        <f t="array" aca="1" ref="G13" ca="1">IFERROR(IF(OR('Raw Data'!G13="",LEN(TRIM('Raw Data'!G13))=0),"",IF(AND(ISNUMBER('Raw Data'!G13), IFERROR('Raw Data'!G13 = ROUND('Raw Data'!G13, 2),FALSE)),"",_xlfn.REGEXEXTRACT(CELL("address",G13), "\$([A-Z]+)\$[0-9]+"))),_xlfn.REGEXEXTRACT(CELL("address",G13), "\$([A-Z]+)\$[0-9]+"))</f>
        <v/>
      </c>
      <c r="H13" s="7" t="str" cm="1">
        <f t="array" aca="1" ref="H13" ca="1">IFERROR(IF(OR('Raw Data'!H13="",LEN(TRIM('Raw Data'!H13))=0),"",IF(AND(ISNUMBER('Raw Data'!H13), IFERROR('Raw Data'!H13 = ROUND('Raw Data'!H13, 2),FALSE)),"",_xlfn.REGEXEXTRACT(CELL("address",H13), "\$([A-Z]+)\$[0-9]+"))),_xlfn.REGEXEXTRACT(CELL("address",H13), "\$([A-Z]+)\$[0-9]+"))</f>
        <v/>
      </c>
      <c r="I13" s="7" t="str" cm="1">
        <f t="array" aca="1" ref="I13" ca="1">IFERROR(IF(OR('Raw Data'!I13="",LEN(TRIM('Raw Data'!I13))=0),"",IF(AND(ISNUMBER('Raw Data'!I13), IFERROR('Raw Data'!I13 = ROUND('Raw Data'!I13, 2),FALSE)),"",_xlfn.REGEXEXTRACT(CELL("address",I13), "\$([A-Z]+)\$[0-9]+"))),_xlfn.REGEXEXTRACT(CELL("address",I13), "\$([A-Z]+)\$[0-9]+"))</f>
        <v/>
      </c>
      <c r="J13" s="7" t="str" cm="1">
        <f t="array" aca="1" ref="J13" ca="1">IFERROR(IF(OR('Raw Data'!J13="",LEN(TRIM('Raw Data'!J13))=0),"",IF(AND(ISNUMBER('Raw Data'!J13), IFERROR('Raw Data'!J13 = ROUND('Raw Data'!J13, 2),FALSE)),"",_xlfn.REGEXEXTRACT(CELL("address",J13), "\$([A-Z]+)\$[0-9]+"))),_xlfn.REGEXEXTRACT(CELL("address",J13), "\$([A-Z]+)\$[0-9]+"))</f>
        <v/>
      </c>
      <c r="K13" s="7" t="str" cm="1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7" t="str" cm="1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7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7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7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7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 cm="1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7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7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7" t="str" cm="1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7" t="str" cm="1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  <c r="Z13" s="7" t="str" cm="1">
        <f t="array" aca="1" ref="Z13" ca="1">IFERROR(IF(OR('Raw Data'!Z13="",LEN(TRIM('Raw Data'!Z13))=0),"",IF(AND(ISNUMBER('Raw Data'!Z13), IFERROR('Raw Data'!Z13 = ROUND('Raw Data'!Z13, 2),FALSE)),"",_xlfn.REGEXEXTRACT(CELL("address",Z13), "\$([A-Z]+)\$[0-9]+"))),_xlfn.REGEXEXTRACT(CELL("address",Z13), "\$([A-Z]+)\$[0-9]+"))</f>
        <v/>
      </c>
      <c r="AA13" s="7" t="str" cm="1">
        <f t="array" aca="1" ref="AA13" ca="1">IFERROR(IF(OR('Raw Data'!AA13="",LEN(TRIM('Raw Data'!AA13))=0),"",IF(AND(ISNUMBER('Raw Data'!AA13), IFERROR('Raw Data'!AA13 = ROUND('Raw Data'!AA13, 2),FALSE)),"",_xlfn.REGEXEXTRACT(CELL("address",AA13), "\$([A-Z]+)\$[0-9]+"))),_xlfn.REGEXEXTRACT(CELL("address",AA13), "\$([A-Z]+)\$[0-9]+"))</f>
        <v/>
      </c>
      <c r="AB13" s="7" t="str" cm="1">
        <f t="array" aca="1" ref="AB13" ca="1">IFERROR(IF(OR('Raw Data'!AB13="",LEN(TRIM('Raw Data'!AB13))=0),"",IF(AND(ISNUMBER('Raw Data'!AB13), IFERROR('Raw Data'!AB13 = ROUND('Raw Data'!AB13, 2),FALSE)),"",_xlfn.REGEXEXTRACT(CELL("address",AB13), "\$([A-Z]+)\$[0-9]+"))),_xlfn.REGEXEXTRACT(CELL("address",AB13), "\$([A-Z]+)\$[0-9]+"))</f>
        <v/>
      </c>
      <c r="AC13" s="7" t="str" cm="1">
        <f t="array" aca="1" ref="AC13" ca="1">IFERROR(IF(OR('Raw Data'!AC13="",LEN(TRIM('Raw Data'!AC13))=0),"",IF(AND(ISNUMBER('Raw Data'!AC13), IFERROR('Raw Data'!AC13 = ROUND('Raw Data'!AC13, 2),FALSE)),"",_xlfn.REGEXEXTRACT(CELL("address",AC13), "\$([A-Z]+)\$[0-9]+"))),_xlfn.REGEXEXTRACT(CELL("address",AC13), "\$([A-Z]+)\$[0-9]+"))</f>
        <v/>
      </c>
      <c r="AD13" s="7" t="str" cm="1">
        <f t="array" aca="1" ref="AD13" ca="1">IFERROR(IF(OR('Raw Data'!AD13="",LEN(TRIM('Raw Data'!AD13))=0),"",IF(AND(ISNUMBER('Raw Data'!AD13), IFERROR('Raw Data'!AD13 = ROUND('Raw Data'!AD13, 2),FALSE)),"",_xlfn.REGEXEXTRACT(CELL("address",AD13), "\$([A-Z]+)\$[0-9]+"))),_xlfn.REGEXEXTRACT(CELL("address",AD13), "\$([A-Z]+)\$[0-9]+"))</f>
        <v/>
      </c>
      <c r="AE13" s="7" t="str" cm="1">
        <f t="array" aca="1" ref="AE13" ca="1">IFERROR(IF(OR('Raw Data'!AE13="",LEN(TRIM('Raw Data'!AE13))=0),"",IF(AND(ISNUMBER('Raw Data'!AE13), IFERROR('Raw Data'!AE13 = ROUND('Raw Data'!AE13, 2),FALSE)),"",_xlfn.REGEXEXTRACT(CELL("address",AE13), "\$([A-Z]+)\$[0-9]+"))),_xlfn.REGEXEXTRACT(CELL("address",AE13), "\$([A-Z]+)\$[0-9]+"))</f>
        <v/>
      </c>
      <c r="AF13" s="7" t="str" cm="1">
        <f t="array" aca="1" ref="AF13" ca="1">IFERROR(IF(OR('Raw Data'!AF13="",LEN(TRIM('Raw Data'!AF13))=0),"",IF(AND(ISNUMBER('Raw Data'!AF13), IFERROR('Raw Data'!AF13 = ROUND('Raw Data'!AF13, 2),FALSE)),"",_xlfn.REGEXEXTRACT(CELL("address",AF13), "\$([A-Z]+)\$[0-9]+"))),_xlfn.REGEXEXTRACT(CELL("address",AF13), "\$([A-Z]+)\$[0-9]+"))</f>
        <v/>
      </c>
      <c r="AG13" s="7" t="str" cm="1">
        <f t="array" aca="1" ref="AG13" ca="1">IFERROR(IF(OR('Raw Data'!AG13="",LEN(TRIM('Raw Data'!AG13))=0),"",IF(AND(ISNUMBER('Raw Data'!AG13), IFERROR('Raw Data'!AG13 = ROUND('Raw Data'!AG13, 2),FALSE)),"",_xlfn.REGEXEXTRACT(CELL("address",AG13), "\$([A-Z]+)\$[0-9]+"))),_xlfn.REGEXEXTRACT(CELL("address",AG13), "\$([A-Z]+)\$[0-9]+"))</f>
        <v/>
      </c>
      <c r="AH13" s="7" t="str" cm="1">
        <f t="array" aca="1" ref="AH13" ca="1">IFERROR(IF(OR('Raw Data'!AH13="",LEN(TRIM('Raw Data'!AH13))=0),"",IF(AND(ISNUMBER('Raw Data'!AH13), IFERROR('Raw Data'!AH13 = ROUND('Raw Data'!AH13, 2),FALSE)),"",_xlfn.REGEXEXTRACT(CELL("address",AH13), "\$([A-Z]+)\$[0-9]+"))),_xlfn.REGEXEXTRACT(CELL("address",AH13), "\$([A-Z]+)\$[0-9]+"))</f>
        <v/>
      </c>
      <c r="AI13" s="7" t="str" cm="1">
        <f t="array" aca="1" ref="AI13" ca="1">IFERROR(IF(OR('Raw Data'!AI13="",LEN(TRIM('Raw Data'!AI13))=0),"",IF(AND(ISNUMBER('Raw Data'!AI13), IFERROR('Raw Data'!AI13 = ROUND('Raw Data'!AI13, 2),FALSE)),"",_xlfn.REGEXEXTRACT(CELL("address",AI13), "\$([A-Z]+)\$[0-9]+"))),_xlfn.REGEXEXTRACT(CELL("address",AI13), "\$([A-Z]+)\$[0-9]+"))</f>
        <v/>
      </c>
      <c r="AJ13" s="7" t="str" cm="1">
        <f t="array" aca="1" ref="AJ13" ca="1">IFERROR(IF(OR('Raw Data'!AJ13="",LEN(TRIM('Raw Data'!AJ13))=0),"",IF(AND(ISNUMBER('Raw Data'!AJ13), IFERROR('Raw Data'!AJ13 = ROUND('Raw Data'!AJ13, 2),FALSE)),"",_xlfn.REGEXEXTRACT(CELL("address",AJ13), "\$([A-Z]+)\$[0-9]+"))),_xlfn.REGEXEXTRACT(CELL("address",AJ13), "\$([A-Z]+)\$[0-9]+"))</f>
        <v/>
      </c>
    </row>
    <row r="14" spans="2:36" x14ac:dyDescent="0.25">
      <c r="B14" s="7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20,LEN('Raw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Data'!D14))=0),"",IF(AND(ISNUMBER('Raw Data'!D14),'Raw Data'!D14&gt;=Configuration!$D$2),"",_xlfn.REGEXEXTRACT(CELL("address",'Raw Data'!D14),"\$([A-Z]+)\$[0-9]+"))),_xlfn.REGEXEXTRACT(CELL("address",D14), "\$([A-Z]+)\$[0-9]+"))</f>
        <v/>
      </c>
      <c r="E14" s="7" t="str" cm="1">
        <f t="array" aca="1" ref="E14" ca="1">IFERROR(IF(OR('Raw Data'!E14="",LEN(TRIM('Raw Data'!E14))=0),"",IF(AND(ISNUMBER('Raw Data'!E14), IFERROR('Raw Data'!E14 = ROUND('Raw Data'!E14, 2),FALSE)),"",_xlfn.REGEXEXTRACT(CELL("address",E14), "\$([A-Z]+)\$[0-9]+"))),_xlfn.REGEXEXTRACT(CELL("address",E14), "\$([A-Z]+)\$[0-9]+"))</f>
        <v/>
      </c>
      <c r="F14" s="7" t="str" cm="1">
        <f t="array" aca="1" ref="F14" ca="1">IFERROR(IF(OR('Raw Data'!F14="",LEN(TRIM('Raw Data'!F14))=0),"",IF(AND(ISNUMBER('Raw Data'!F14), IFERROR('Raw Data'!F14 = ROUND('Raw Data'!F14, 2),FALSE)),"",_xlfn.REGEXEXTRACT(CELL("address",F14), "\$([A-Z]+)\$[0-9]+"))),_xlfn.REGEXEXTRACT(CELL("address",F14), "\$([A-Z]+)\$[0-9]+"))</f>
        <v/>
      </c>
      <c r="G14" s="7" t="str" cm="1">
        <f t="array" aca="1" ref="G14" ca="1">IFERROR(IF(OR('Raw Data'!G14="",LEN(TRIM('Raw Data'!G14))=0),"",IF(AND(ISNUMBER('Raw Data'!G14), IFERROR('Raw Data'!G14 = ROUND('Raw Data'!G14, 2),FALSE)),"",_xlfn.REGEXEXTRACT(CELL("address",G14), "\$([A-Z]+)\$[0-9]+"))),_xlfn.REGEXEXTRACT(CELL("address",G14), "\$([A-Z]+)\$[0-9]+"))</f>
        <v/>
      </c>
      <c r="H14" s="7" t="str" cm="1">
        <f t="array" aca="1" ref="H14" ca="1">IFERROR(IF(OR('Raw Data'!H14="",LEN(TRIM('Raw Data'!H14))=0),"",IF(AND(ISNUMBER('Raw Data'!H14), IFERROR('Raw Data'!H14 = ROUND('Raw Data'!H14, 2),FALSE)),"",_xlfn.REGEXEXTRACT(CELL("address",H14), "\$([A-Z]+)\$[0-9]+"))),_xlfn.REGEXEXTRACT(CELL("address",H14), "\$([A-Z]+)\$[0-9]+"))</f>
        <v/>
      </c>
      <c r="I14" s="7" t="str" cm="1">
        <f t="array" aca="1" ref="I14" ca="1">IFERROR(IF(OR('Raw Data'!I14="",LEN(TRIM('Raw Data'!I14))=0),"",IF(AND(ISNUMBER('Raw Data'!I14), IFERROR('Raw Data'!I14 = ROUND('Raw Data'!I14, 2),FALSE)),"",_xlfn.REGEXEXTRACT(CELL("address",I14), "\$([A-Z]+)\$[0-9]+"))),_xlfn.REGEXEXTRACT(CELL("address",I14), "\$([A-Z]+)\$[0-9]+"))</f>
        <v/>
      </c>
      <c r="J14" s="7" t="str" cm="1">
        <f t="array" aca="1" ref="J14" ca="1">IFERROR(IF(OR('Raw Data'!J14="",LEN(TRIM('Raw Data'!J14))=0),"",IF(AND(ISNUMBER('Raw Data'!J14), IFERROR('Raw Data'!J14 = ROUND('Raw Data'!J14, 2),FALSE)),"",_xlfn.REGEXEXTRACT(CELL("address",J14), "\$([A-Z]+)\$[0-9]+"))),_xlfn.REGEXEXTRACT(CELL("address",J14), "\$([A-Z]+)\$[0-9]+"))</f>
        <v/>
      </c>
      <c r="K14" s="7" t="str" cm="1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7" t="str" cm="1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7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7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7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7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 cm="1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7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7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7" t="str" cm="1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7" t="str" cm="1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  <c r="Z14" s="7" t="str" cm="1">
        <f t="array" aca="1" ref="Z14" ca="1">IFERROR(IF(OR('Raw Data'!Z14="",LEN(TRIM('Raw Data'!Z14))=0),"",IF(AND(ISNUMBER('Raw Data'!Z14), IFERROR('Raw Data'!Z14 = ROUND('Raw Data'!Z14, 2),FALSE)),"",_xlfn.REGEXEXTRACT(CELL("address",Z14), "\$([A-Z]+)\$[0-9]+"))),_xlfn.REGEXEXTRACT(CELL("address",Z14), "\$([A-Z]+)\$[0-9]+"))</f>
        <v/>
      </c>
      <c r="AA14" s="7" t="str" cm="1">
        <f t="array" aca="1" ref="AA14" ca="1">IFERROR(IF(OR('Raw Data'!AA14="",LEN(TRIM('Raw Data'!AA14))=0),"",IF(AND(ISNUMBER('Raw Data'!AA14), IFERROR('Raw Data'!AA14 = ROUND('Raw Data'!AA14, 2),FALSE)),"",_xlfn.REGEXEXTRACT(CELL("address",AA14), "\$([A-Z]+)\$[0-9]+"))),_xlfn.REGEXEXTRACT(CELL("address",AA14), "\$([A-Z]+)\$[0-9]+"))</f>
        <v/>
      </c>
      <c r="AB14" s="7" t="str" cm="1">
        <f t="array" aca="1" ref="AB14" ca="1">IFERROR(IF(OR('Raw Data'!AB14="",LEN(TRIM('Raw Data'!AB14))=0),"",IF(AND(ISNUMBER('Raw Data'!AB14), IFERROR('Raw Data'!AB14 = ROUND('Raw Data'!AB14, 2),FALSE)),"",_xlfn.REGEXEXTRACT(CELL("address",AB14), "\$([A-Z]+)\$[0-9]+"))),_xlfn.REGEXEXTRACT(CELL("address",AB14), "\$([A-Z]+)\$[0-9]+"))</f>
        <v/>
      </c>
      <c r="AC14" s="7" t="str" cm="1">
        <f t="array" aca="1" ref="AC14" ca="1">IFERROR(IF(OR('Raw Data'!AC14="",LEN(TRIM('Raw Data'!AC14))=0),"",IF(AND(ISNUMBER('Raw Data'!AC14), IFERROR('Raw Data'!AC14 = ROUND('Raw Data'!AC14, 2),FALSE)),"",_xlfn.REGEXEXTRACT(CELL("address",AC14), "\$([A-Z]+)\$[0-9]+"))),_xlfn.REGEXEXTRACT(CELL("address",AC14), "\$([A-Z]+)\$[0-9]+"))</f>
        <v/>
      </c>
      <c r="AD14" s="7" t="str" cm="1">
        <f t="array" aca="1" ref="AD14" ca="1">IFERROR(IF(OR('Raw Data'!AD14="",LEN(TRIM('Raw Data'!AD14))=0),"",IF(AND(ISNUMBER('Raw Data'!AD14), IFERROR('Raw Data'!AD14 = ROUND('Raw Data'!AD14, 2),FALSE)),"",_xlfn.REGEXEXTRACT(CELL("address",AD14), "\$([A-Z]+)\$[0-9]+"))),_xlfn.REGEXEXTRACT(CELL("address",AD14), "\$([A-Z]+)\$[0-9]+"))</f>
        <v/>
      </c>
      <c r="AE14" s="7" t="str" cm="1">
        <f t="array" aca="1" ref="AE14" ca="1">IFERROR(IF(OR('Raw Data'!AE14="",LEN(TRIM('Raw Data'!AE14))=0),"",IF(AND(ISNUMBER('Raw Data'!AE14), IFERROR('Raw Data'!AE14 = ROUND('Raw Data'!AE14, 2),FALSE)),"",_xlfn.REGEXEXTRACT(CELL("address",AE14), "\$([A-Z]+)\$[0-9]+"))),_xlfn.REGEXEXTRACT(CELL("address",AE14), "\$([A-Z]+)\$[0-9]+"))</f>
        <v/>
      </c>
      <c r="AF14" s="7" t="str" cm="1">
        <f t="array" aca="1" ref="AF14" ca="1">IFERROR(IF(OR('Raw Data'!AF14="",LEN(TRIM('Raw Data'!AF14))=0),"",IF(AND(ISNUMBER('Raw Data'!AF14), IFERROR('Raw Data'!AF14 = ROUND('Raw Data'!AF14, 2),FALSE)),"",_xlfn.REGEXEXTRACT(CELL("address",AF14), "\$([A-Z]+)\$[0-9]+"))),_xlfn.REGEXEXTRACT(CELL("address",AF14), "\$([A-Z]+)\$[0-9]+"))</f>
        <v/>
      </c>
      <c r="AG14" s="7" t="str" cm="1">
        <f t="array" aca="1" ref="AG14" ca="1">IFERROR(IF(OR('Raw Data'!AG14="",LEN(TRIM('Raw Data'!AG14))=0),"",IF(AND(ISNUMBER('Raw Data'!AG14), IFERROR('Raw Data'!AG14 = ROUND('Raw Data'!AG14, 2),FALSE)),"",_xlfn.REGEXEXTRACT(CELL("address",AG14), "\$([A-Z]+)\$[0-9]+"))),_xlfn.REGEXEXTRACT(CELL("address",AG14), "\$([A-Z]+)\$[0-9]+"))</f>
        <v/>
      </c>
      <c r="AH14" s="7" t="str" cm="1">
        <f t="array" aca="1" ref="AH14" ca="1">IFERROR(IF(OR('Raw Data'!AH14="",LEN(TRIM('Raw Data'!AH14))=0),"",IF(AND(ISNUMBER('Raw Data'!AH14), IFERROR('Raw Data'!AH14 = ROUND('Raw Data'!AH14, 2),FALSE)),"",_xlfn.REGEXEXTRACT(CELL("address",AH14), "\$([A-Z]+)\$[0-9]+"))),_xlfn.REGEXEXTRACT(CELL("address",AH14), "\$([A-Z]+)\$[0-9]+"))</f>
        <v/>
      </c>
      <c r="AI14" s="7" t="str" cm="1">
        <f t="array" aca="1" ref="AI14" ca="1">IFERROR(IF(OR('Raw Data'!AI14="",LEN(TRIM('Raw Data'!AI14))=0),"",IF(AND(ISNUMBER('Raw Data'!AI14), IFERROR('Raw Data'!AI14 = ROUND('Raw Data'!AI14, 2),FALSE)),"",_xlfn.REGEXEXTRACT(CELL("address",AI14), "\$([A-Z]+)\$[0-9]+"))),_xlfn.REGEXEXTRACT(CELL("address",AI14), "\$([A-Z]+)\$[0-9]+"))</f>
        <v/>
      </c>
      <c r="AJ14" s="7" t="str" cm="1">
        <f t="array" aca="1" ref="AJ14" ca="1">IFERROR(IF(OR('Raw Data'!AJ14="",LEN(TRIM('Raw Data'!AJ14))=0),"",IF(AND(ISNUMBER('Raw Data'!AJ14), IFERROR('Raw Data'!AJ14 = ROUND('Raw Data'!AJ14, 2),FALSE)),"",_xlfn.REGEXEXTRACT(CELL("address",AJ14), "\$([A-Z]+)\$[0-9]+"))),_xlfn.REGEXEXTRACT(CELL("address",AJ14), "\$([A-Z]+)\$[0-9]+"))</f>
        <v/>
      </c>
    </row>
    <row r="15" spans="2:36" x14ac:dyDescent="0.25">
      <c r="B15" s="7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20,LEN('Raw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Data'!D15))=0),"",IF(AND(ISNUMBER('Raw Data'!D15),'Raw Data'!D15&gt;=Configuration!$D$2),"",_xlfn.REGEXEXTRACT(CELL("address",'Raw Data'!D15),"\$([A-Z]+)\$[0-9]+"))),_xlfn.REGEXEXTRACT(CELL("address",D15), "\$([A-Z]+)\$[0-9]+"))</f>
        <v/>
      </c>
      <c r="E15" s="7" t="str" cm="1">
        <f t="array" aca="1" ref="E15" ca="1">IFERROR(IF(OR('Raw Data'!E15="",LEN(TRIM('Raw Data'!E15))=0),"",IF(AND(ISNUMBER('Raw Data'!E15), IFERROR('Raw Data'!E15 = ROUND('Raw Data'!E15, 2),FALSE)),"",_xlfn.REGEXEXTRACT(CELL("address",E15), "\$([A-Z]+)\$[0-9]+"))),_xlfn.REGEXEXTRACT(CELL("address",E15), "\$([A-Z]+)\$[0-9]+"))</f>
        <v/>
      </c>
      <c r="F15" s="7" t="str" cm="1">
        <f t="array" aca="1" ref="F15" ca="1">IFERROR(IF(OR('Raw Data'!F15="",LEN(TRIM('Raw Data'!F15))=0),"",IF(AND(ISNUMBER('Raw Data'!F15), IFERROR('Raw Data'!F15 = ROUND('Raw Data'!F15, 2),FALSE)),"",_xlfn.REGEXEXTRACT(CELL("address",F15), "\$([A-Z]+)\$[0-9]+"))),_xlfn.REGEXEXTRACT(CELL("address",F15), "\$([A-Z]+)\$[0-9]+"))</f>
        <v/>
      </c>
      <c r="G15" s="7" t="str" cm="1">
        <f t="array" aca="1" ref="G15" ca="1">IFERROR(IF(OR('Raw Data'!G15="",LEN(TRIM('Raw Data'!G15))=0),"",IF(AND(ISNUMBER('Raw Data'!G15), IFERROR('Raw Data'!G15 = ROUND('Raw Data'!G15, 2),FALSE)),"",_xlfn.REGEXEXTRACT(CELL("address",G15), "\$([A-Z]+)\$[0-9]+"))),_xlfn.REGEXEXTRACT(CELL("address",G15), "\$([A-Z]+)\$[0-9]+"))</f>
        <v/>
      </c>
      <c r="H15" s="7" t="str" cm="1">
        <f t="array" aca="1" ref="H15" ca="1">IFERROR(IF(OR('Raw Data'!H15="",LEN(TRIM('Raw Data'!H15))=0),"",IF(AND(ISNUMBER('Raw Data'!H15), IFERROR('Raw Data'!H15 = ROUND('Raw Data'!H15, 2),FALSE)),"",_xlfn.REGEXEXTRACT(CELL("address",H15), "\$([A-Z]+)\$[0-9]+"))),_xlfn.REGEXEXTRACT(CELL("address",H15), "\$([A-Z]+)\$[0-9]+"))</f>
        <v/>
      </c>
      <c r="I15" s="7" t="str" cm="1">
        <f t="array" aca="1" ref="I15" ca="1">IFERROR(IF(OR('Raw Data'!I15="",LEN(TRIM('Raw Data'!I15))=0),"",IF(AND(ISNUMBER('Raw Data'!I15), IFERROR('Raw Data'!I15 = ROUND('Raw Data'!I15, 2),FALSE)),"",_xlfn.REGEXEXTRACT(CELL("address",I15), "\$([A-Z]+)\$[0-9]+"))),_xlfn.REGEXEXTRACT(CELL("address",I15), "\$([A-Z]+)\$[0-9]+"))</f>
        <v/>
      </c>
      <c r="J15" s="7" t="str" cm="1">
        <f t="array" aca="1" ref="J15" ca="1">IFERROR(IF(OR('Raw Data'!J15="",LEN(TRIM('Raw Data'!J15))=0),"",IF(AND(ISNUMBER('Raw Data'!J15), IFERROR('Raw Data'!J15 = ROUND('Raw Data'!J15, 2),FALSE)),"",_xlfn.REGEXEXTRACT(CELL("address",J15), "\$([A-Z]+)\$[0-9]+"))),_xlfn.REGEXEXTRACT(CELL("address",J15), "\$([A-Z]+)\$[0-9]+"))</f>
        <v/>
      </c>
      <c r="K15" s="7" t="str" cm="1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7" t="str" cm="1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7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7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7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7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 cm="1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7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7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7" t="str" cm="1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7" t="str" cm="1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  <c r="Z15" s="7" t="str" cm="1">
        <f t="array" aca="1" ref="Z15" ca="1">IFERROR(IF(OR('Raw Data'!Z15="",LEN(TRIM('Raw Data'!Z15))=0),"",IF(AND(ISNUMBER('Raw Data'!Z15), IFERROR('Raw Data'!Z15 = ROUND('Raw Data'!Z15, 2),FALSE)),"",_xlfn.REGEXEXTRACT(CELL("address",Z15), "\$([A-Z]+)\$[0-9]+"))),_xlfn.REGEXEXTRACT(CELL("address",Z15), "\$([A-Z]+)\$[0-9]+"))</f>
        <v/>
      </c>
      <c r="AA15" s="7" t="str" cm="1">
        <f t="array" aca="1" ref="AA15" ca="1">IFERROR(IF(OR('Raw Data'!AA15="",LEN(TRIM('Raw Data'!AA15))=0),"",IF(AND(ISNUMBER('Raw Data'!AA15), IFERROR('Raw Data'!AA15 = ROUND('Raw Data'!AA15, 2),FALSE)),"",_xlfn.REGEXEXTRACT(CELL("address",AA15), "\$([A-Z]+)\$[0-9]+"))),_xlfn.REGEXEXTRACT(CELL("address",AA15), "\$([A-Z]+)\$[0-9]+"))</f>
        <v/>
      </c>
      <c r="AB15" s="7" t="str" cm="1">
        <f t="array" aca="1" ref="AB15" ca="1">IFERROR(IF(OR('Raw Data'!AB15="",LEN(TRIM('Raw Data'!AB15))=0),"",IF(AND(ISNUMBER('Raw Data'!AB15), IFERROR('Raw Data'!AB15 = ROUND('Raw Data'!AB15, 2),FALSE)),"",_xlfn.REGEXEXTRACT(CELL("address",AB15), "\$([A-Z]+)\$[0-9]+"))),_xlfn.REGEXEXTRACT(CELL("address",AB15), "\$([A-Z]+)\$[0-9]+"))</f>
        <v/>
      </c>
      <c r="AC15" s="7" t="str" cm="1">
        <f t="array" aca="1" ref="AC15" ca="1">IFERROR(IF(OR('Raw Data'!AC15="",LEN(TRIM('Raw Data'!AC15))=0),"",IF(AND(ISNUMBER('Raw Data'!AC15), IFERROR('Raw Data'!AC15 = ROUND('Raw Data'!AC15, 2),FALSE)),"",_xlfn.REGEXEXTRACT(CELL("address",AC15), "\$([A-Z]+)\$[0-9]+"))),_xlfn.REGEXEXTRACT(CELL("address",AC15), "\$([A-Z]+)\$[0-9]+"))</f>
        <v/>
      </c>
      <c r="AD15" s="7" t="str" cm="1">
        <f t="array" aca="1" ref="AD15" ca="1">IFERROR(IF(OR('Raw Data'!AD15="",LEN(TRIM('Raw Data'!AD15))=0),"",IF(AND(ISNUMBER('Raw Data'!AD15), IFERROR('Raw Data'!AD15 = ROUND('Raw Data'!AD15, 2),FALSE)),"",_xlfn.REGEXEXTRACT(CELL("address",AD15), "\$([A-Z]+)\$[0-9]+"))),_xlfn.REGEXEXTRACT(CELL("address",AD15), "\$([A-Z]+)\$[0-9]+"))</f>
        <v/>
      </c>
      <c r="AE15" s="7" t="str" cm="1">
        <f t="array" aca="1" ref="AE15" ca="1">IFERROR(IF(OR('Raw Data'!AE15="",LEN(TRIM('Raw Data'!AE15))=0),"",IF(AND(ISNUMBER('Raw Data'!AE15), IFERROR('Raw Data'!AE15 = ROUND('Raw Data'!AE15, 2),FALSE)),"",_xlfn.REGEXEXTRACT(CELL("address",AE15), "\$([A-Z]+)\$[0-9]+"))),_xlfn.REGEXEXTRACT(CELL("address",AE15), "\$([A-Z]+)\$[0-9]+"))</f>
        <v/>
      </c>
      <c r="AF15" s="7" t="str" cm="1">
        <f t="array" aca="1" ref="AF15" ca="1">IFERROR(IF(OR('Raw Data'!AF15="",LEN(TRIM('Raw Data'!AF15))=0),"",IF(AND(ISNUMBER('Raw Data'!AF15), IFERROR('Raw Data'!AF15 = ROUND('Raw Data'!AF15, 2),FALSE)),"",_xlfn.REGEXEXTRACT(CELL("address",AF15), "\$([A-Z]+)\$[0-9]+"))),_xlfn.REGEXEXTRACT(CELL("address",AF15), "\$([A-Z]+)\$[0-9]+"))</f>
        <v/>
      </c>
      <c r="AG15" s="7" t="str" cm="1">
        <f t="array" aca="1" ref="AG15" ca="1">IFERROR(IF(OR('Raw Data'!AG15="",LEN(TRIM('Raw Data'!AG15))=0),"",IF(AND(ISNUMBER('Raw Data'!AG15), IFERROR('Raw Data'!AG15 = ROUND('Raw Data'!AG15, 2),FALSE)),"",_xlfn.REGEXEXTRACT(CELL("address",AG15), "\$([A-Z]+)\$[0-9]+"))),_xlfn.REGEXEXTRACT(CELL("address",AG15), "\$([A-Z]+)\$[0-9]+"))</f>
        <v/>
      </c>
      <c r="AH15" s="7" t="str" cm="1">
        <f t="array" aca="1" ref="AH15" ca="1">IFERROR(IF(OR('Raw Data'!AH15="",LEN(TRIM('Raw Data'!AH15))=0),"",IF(AND(ISNUMBER('Raw Data'!AH15), IFERROR('Raw Data'!AH15 = ROUND('Raw Data'!AH15, 2),FALSE)),"",_xlfn.REGEXEXTRACT(CELL("address",AH15), "\$([A-Z]+)\$[0-9]+"))),_xlfn.REGEXEXTRACT(CELL("address",AH15), "\$([A-Z]+)\$[0-9]+"))</f>
        <v/>
      </c>
      <c r="AI15" s="7" t="str" cm="1">
        <f t="array" aca="1" ref="AI15" ca="1">IFERROR(IF(OR('Raw Data'!AI15="",LEN(TRIM('Raw Data'!AI15))=0),"",IF(AND(ISNUMBER('Raw Data'!AI15), IFERROR('Raw Data'!AI15 = ROUND('Raw Data'!AI15, 2),FALSE)),"",_xlfn.REGEXEXTRACT(CELL("address",AI15), "\$([A-Z]+)\$[0-9]+"))),_xlfn.REGEXEXTRACT(CELL("address",AI15), "\$([A-Z]+)\$[0-9]+"))</f>
        <v/>
      </c>
      <c r="AJ15" s="7" t="str" cm="1">
        <f t="array" aca="1" ref="AJ15" ca="1">IFERROR(IF(OR('Raw Data'!AJ15="",LEN(TRIM('Raw Data'!AJ15))=0),"",IF(AND(ISNUMBER('Raw Data'!AJ15), IFERROR('Raw Data'!AJ15 = ROUND('Raw Data'!AJ15, 2),FALSE)),"",_xlfn.REGEXEXTRACT(CELL("address",AJ15), "\$([A-Z]+)\$[0-9]+"))),_xlfn.REGEXEXTRACT(CELL("address",AJ15), "\$([A-Z]+)\$[0-9]+"))</f>
        <v/>
      </c>
    </row>
    <row r="16" spans="2:36" x14ac:dyDescent="0.25">
      <c r="B16" s="7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20,LEN('Raw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Data'!D16))=0),"",IF(AND(ISNUMBER('Raw Data'!D16),'Raw Data'!D16&gt;=Configuration!$D$2),"",_xlfn.REGEXEXTRACT(CELL("address",'Raw Data'!D16),"\$([A-Z]+)\$[0-9]+"))),_xlfn.REGEXEXTRACT(CELL("address",D16), "\$([A-Z]+)\$[0-9]+"))</f>
        <v/>
      </c>
      <c r="E16" s="7" t="str" cm="1">
        <f t="array" aca="1" ref="E16" ca="1">IFERROR(IF(OR('Raw Data'!E16="",LEN(TRIM('Raw Data'!E16))=0),"",IF(AND(ISNUMBER('Raw Data'!E16), IFERROR('Raw Data'!E16 = ROUND('Raw Data'!E16, 2),FALSE)),"",_xlfn.REGEXEXTRACT(CELL("address",E16), "\$([A-Z]+)\$[0-9]+"))),_xlfn.REGEXEXTRACT(CELL("address",E16), "\$([A-Z]+)\$[0-9]+"))</f>
        <v/>
      </c>
      <c r="F16" s="7" t="str" cm="1">
        <f t="array" aca="1" ref="F16" ca="1">IFERROR(IF(OR('Raw Data'!F16="",LEN(TRIM('Raw Data'!F16))=0),"",IF(AND(ISNUMBER('Raw Data'!F16), IFERROR('Raw Data'!F16 = ROUND('Raw Data'!F16, 2),FALSE)),"",_xlfn.REGEXEXTRACT(CELL("address",F16), "\$([A-Z]+)\$[0-9]+"))),_xlfn.REGEXEXTRACT(CELL("address",F16), "\$([A-Z]+)\$[0-9]+"))</f>
        <v/>
      </c>
      <c r="G16" s="7" t="str" cm="1">
        <f t="array" aca="1" ref="G16" ca="1">IFERROR(IF(OR('Raw Data'!G16="",LEN(TRIM('Raw Data'!G16))=0),"",IF(AND(ISNUMBER('Raw Data'!G16), IFERROR('Raw Data'!G16 = ROUND('Raw Data'!G16, 2),FALSE)),"",_xlfn.REGEXEXTRACT(CELL("address",G16), "\$([A-Z]+)\$[0-9]+"))),_xlfn.REGEXEXTRACT(CELL("address",G16), "\$([A-Z]+)\$[0-9]+"))</f>
        <v/>
      </c>
      <c r="H16" s="7" t="str" cm="1">
        <f t="array" aca="1" ref="H16" ca="1">IFERROR(IF(OR('Raw Data'!H16="",LEN(TRIM('Raw Data'!H16))=0),"",IF(AND(ISNUMBER('Raw Data'!H16), IFERROR('Raw Data'!H16 = ROUND('Raw Data'!H16, 2),FALSE)),"",_xlfn.REGEXEXTRACT(CELL("address",H16), "\$([A-Z]+)\$[0-9]+"))),_xlfn.REGEXEXTRACT(CELL("address",H16), "\$([A-Z]+)\$[0-9]+"))</f>
        <v/>
      </c>
      <c r="I16" s="7" t="str" cm="1">
        <f t="array" aca="1" ref="I16" ca="1">IFERROR(IF(OR('Raw Data'!I16="",LEN(TRIM('Raw Data'!I16))=0),"",IF(AND(ISNUMBER('Raw Data'!I16), IFERROR('Raw Data'!I16 = ROUND('Raw Data'!I16, 2),FALSE)),"",_xlfn.REGEXEXTRACT(CELL("address",I16), "\$([A-Z]+)\$[0-9]+"))),_xlfn.REGEXEXTRACT(CELL("address",I16), "\$([A-Z]+)\$[0-9]+"))</f>
        <v/>
      </c>
      <c r="J16" s="7" t="str" cm="1">
        <f t="array" aca="1" ref="J16" ca="1">IFERROR(IF(OR('Raw Data'!J16="",LEN(TRIM('Raw Data'!J16))=0),"",IF(AND(ISNUMBER('Raw Data'!J16), IFERROR('Raw Data'!J16 = ROUND('Raw Data'!J16, 2),FALSE)),"",_xlfn.REGEXEXTRACT(CELL("address",J16), "\$([A-Z]+)\$[0-9]+"))),_xlfn.REGEXEXTRACT(CELL("address",J16), "\$([A-Z]+)\$[0-9]+"))</f>
        <v/>
      </c>
      <c r="K16" s="7" t="str" cm="1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7" t="str" cm="1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7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7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7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7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 cm="1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7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7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7" t="str" cm="1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7" t="str" cm="1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  <c r="Z16" s="7" t="str" cm="1">
        <f t="array" aca="1" ref="Z16" ca="1">IFERROR(IF(OR('Raw Data'!Z16="",LEN(TRIM('Raw Data'!Z16))=0),"",IF(AND(ISNUMBER('Raw Data'!Z16), IFERROR('Raw Data'!Z16 = ROUND('Raw Data'!Z16, 2),FALSE)),"",_xlfn.REGEXEXTRACT(CELL("address",Z16), "\$([A-Z]+)\$[0-9]+"))),_xlfn.REGEXEXTRACT(CELL("address",Z16), "\$([A-Z]+)\$[0-9]+"))</f>
        <v/>
      </c>
      <c r="AA16" s="7" t="str" cm="1">
        <f t="array" aca="1" ref="AA16" ca="1">IFERROR(IF(OR('Raw Data'!AA16="",LEN(TRIM('Raw Data'!AA16))=0),"",IF(AND(ISNUMBER('Raw Data'!AA16), IFERROR('Raw Data'!AA16 = ROUND('Raw Data'!AA16, 2),FALSE)),"",_xlfn.REGEXEXTRACT(CELL("address",AA16), "\$([A-Z]+)\$[0-9]+"))),_xlfn.REGEXEXTRACT(CELL("address",AA16), "\$([A-Z]+)\$[0-9]+"))</f>
        <v/>
      </c>
      <c r="AB16" s="7" t="str" cm="1">
        <f t="array" aca="1" ref="AB16" ca="1">IFERROR(IF(OR('Raw Data'!AB16="",LEN(TRIM('Raw Data'!AB16))=0),"",IF(AND(ISNUMBER('Raw Data'!AB16), IFERROR('Raw Data'!AB16 = ROUND('Raw Data'!AB16, 2),FALSE)),"",_xlfn.REGEXEXTRACT(CELL("address",AB16), "\$([A-Z]+)\$[0-9]+"))),_xlfn.REGEXEXTRACT(CELL("address",AB16), "\$([A-Z]+)\$[0-9]+"))</f>
        <v/>
      </c>
      <c r="AC16" s="7" t="str" cm="1">
        <f t="array" aca="1" ref="AC16" ca="1">IFERROR(IF(OR('Raw Data'!AC16="",LEN(TRIM('Raw Data'!AC16))=0),"",IF(AND(ISNUMBER('Raw Data'!AC16), IFERROR('Raw Data'!AC16 = ROUND('Raw Data'!AC16, 2),FALSE)),"",_xlfn.REGEXEXTRACT(CELL("address",AC16), "\$([A-Z]+)\$[0-9]+"))),_xlfn.REGEXEXTRACT(CELL("address",AC16), "\$([A-Z]+)\$[0-9]+"))</f>
        <v/>
      </c>
      <c r="AD16" s="7" t="str" cm="1">
        <f t="array" aca="1" ref="AD16" ca="1">IFERROR(IF(OR('Raw Data'!AD16="",LEN(TRIM('Raw Data'!AD16))=0),"",IF(AND(ISNUMBER('Raw Data'!AD16), IFERROR('Raw Data'!AD16 = ROUND('Raw Data'!AD16, 2),FALSE)),"",_xlfn.REGEXEXTRACT(CELL("address",AD16), "\$([A-Z]+)\$[0-9]+"))),_xlfn.REGEXEXTRACT(CELL("address",AD16), "\$([A-Z]+)\$[0-9]+"))</f>
        <v/>
      </c>
      <c r="AE16" s="7" t="str" cm="1">
        <f t="array" aca="1" ref="AE16" ca="1">IFERROR(IF(OR('Raw Data'!AE16="",LEN(TRIM('Raw Data'!AE16))=0),"",IF(AND(ISNUMBER('Raw Data'!AE16), IFERROR('Raw Data'!AE16 = ROUND('Raw Data'!AE16, 2),FALSE)),"",_xlfn.REGEXEXTRACT(CELL("address",AE16), "\$([A-Z]+)\$[0-9]+"))),_xlfn.REGEXEXTRACT(CELL("address",AE16), "\$([A-Z]+)\$[0-9]+"))</f>
        <v/>
      </c>
      <c r="AF16" s="7" t="str" cm="1">
        <f t="array" aca="1" ref="AF16" ca="1">IFERROR(IF(OR('Raw Data'!AF16="",LEN(TRIM('Raw Data'!AF16))=0),"",IF(AND(ISNUMBER('Raw Data'!AF16), IFERROR('Raw Data'!AF16 = ROUND('Raw Data'!AF16, 2),FALSE)),"",_xlfn.REGEXEXTRACT(CELL("address",AF16), "\$([A-Z]+)\$[0-9]+"))),_xlfn.REGEXEXTRACT(CELL("address",AF16), "\$([A-Z]+)\$[0-9]+"))</f>
        <v/>
      </c>
      <c r="AG16" s="7" t="str" cm="1">
        <f t="array" aca="1" ref="AG16" ca="1">IFERROR(IF(OR('Raw Data'!AG16="",LEN(TRIM('Raw Data'!AG16))=0),"",IF(AND(ISNUMBER('Raw Data'!AG16), IFERROR('Raw Data'!AG16 = ROUND('Raw Data'!AG16, 2),FALSE)),"",_xlfn.REGEXEXTRACT(CELL("address",AG16), "\$([A-Z]+)\$[0-9]+"))),_xlfn.REGEXEXTRACT(CELL("address",AG16), "\$([A-Z]+)\$[0-9]+"))</f>
        <v/>
      </c>
      <c r="AH16" s="7" t="str" cm="1">
        <f t="array" aca="1" ref="AH16" ca="1">IFERROR(IF(OR('Raw Data'!AH16="",LEN(TRIM('Raw Data'!AH16))=0),"",IF(AND(ISNUMBER('Raw Data'!AH16), IFERROR('Raw Data'!AH16 = ROUND('Raw Data'!AH16, 2),FALSE)),"",_xlfn.REGEXEXTRACT(CELL("address",AH16), "\$([A-Z]+)\$[0-9]+"))),_xlfn.REGEXEXTRACT(CELL("address",AH16), "\$([A-Z]+)\$[0-9]+"))</f>
        <v/>
      </c>
      <c r="AI16" s="7" t="str" cm="1">
        <f t="array" aca="1" ref="AI16" ca="1">IFERROR(IF(OR('Raw Data'!AI16="",LEN(TRIM('Raw Data'!AI16))=0),"",IF(AND(ISNUMBER('Raw Data'!AI16), IFERROR('Raw Data'!AI16 = ROUND('Raw Data'!AI16, 2),FALSE)),"",_xlfn.REGEXEXTRACT(CELL("address",AI16), "\$([A-Z]+)\$[0-9]+"))),_xlfn.REGEXEXTRACT(CELL("address",AI16), "\$([A-Z]+)\$[0-9]+"))</f>
        <v/>
      </c>
      <c r="AJ16" s="7" t="str" cm="1">
        <f t="array" aca="1" ref="AJ16" ca="1">IFERROR(IF(OR('Raw Data'!AJ16="",LEN(TRIM('Raw Data'!AJ16))=0),"",IF(AND(ISNUMBER('Raw Data'!AJ16), IFERROR('Raw Data'!AJ16 = ROUND('Raw Data'!AJ16, 2),FALSE)),"",_xlfn.REGEXEXTRACT(CELL("address",AJ16), "\$([A-Z]+)\$[0-9]+"))),_xlfn.REGEXEXTRACT(CELL("address",AJ16), "\$([A-Z]+)\$[0-9]+"))</f>
        <v/>
      </c>
    </row>
    <row r="17" spans="2:36" x14ac:dyDescent="0.25">
      <c r="B17" s="7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20,LEN('Raw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Data'!D17))=0),"",IF(AND(ISNUMBER('Raw Data'!D17),'Raw Data'!D17&gt;=Configuration!$D$2),"",_xlfn.REGEXEXTRACT(CELL("address",'Raw Data'!D17),"\$([A-Z]+)\$[0-9]+"))),_xlfn.REGEXEXTRACT(CELL("address",D17), "\$([A-Z]+)\$[0-9]+"))</f>
        <v/>
      </c>
      <c r="E17" s="7" t="str" cm="1">
        <f t="array" aca="1" ref="E17" ca="1">IFERROR(IF(OR('Raw Data'!E17="",LEN(TRIM('Raw Data'!E17))=0),"",IF(AND(ISNUMBER('Raw Data'!E17), IFERROR('Raw Data'!E17 = ROUND('Raw Data'!E17, 2),FALSE)),"",_xlfn.REGEXEXTRACT(CELL("address",E17), "\$([A-Z]+)\$[0-9]+"))),_xlfn.REGEXEXTRACT(CELL("address",E17), "\$([A-Z]+)\$[0-9]+"))</f>
        <v/>
      </c>
      <c r="F17" s="7" t="str" cm="1">
        <f t="array" aca="1" ref="F17" ca="1">IFERROR(IF(OR('Raw Data'!F17="",LEN(TRIM('Raw Data'!F17))=0),"",IF(AND(ISNUMBER('Raw Data'!F17), IFERROR('Raw Data'!F17 = ROUND('Raw Data'!F17, 2),FALSE)),"",_xlfn.REGEXEXTRACT(CELL("address",F17), "\$([A-Z]+)\$[0-9]+"))),_xlfn.REGEXEXTRACT(CELL("address",F17), "\$([A-Z]+)\$[0-9]+"))</f>
        <v/>
      </c>
      <c r="G17" s="7" t="str" cm="1">
        <f t="array" aca="1" ref="G17" ca="1">IFERROR(IF(OR('Raw Data'!G17="",LEN(TRIM('Raw Data'!G17))=0),"",IF(AND(ISNUMBER('Raw Data'!G17), IFERROR('Raw Data'!G17 = ROUND('Raw Data'!G17, 2),FALSE)),"",_xlfn.REGEXEXTRACT(CELL("address",G17), "\$([A-Z]+)\$[0-9]+"))),_xlfn.REGEXEXTRACT(CELL("address",G17), "\$([A-Z]+)\$[0-9]+"))</f>
        <v/>
      </c>
      <c r="H17" s="7" t="str" cm="1">
        <f t="array" aca="1" ref="H17" ca="1">IFERROR(IF(OR('Raw Data'!H17="",LEN(TRIM('Raw Data'!H17))=0),"",IF(AND(ISNUMBER('Raw Data'!H17), IFERROR('Raw Data'!H17 = ROUND('Raw Data'!H17, 2),FALSE)),"",_xlfn.REGEXEXTRACT(CELL("address",H17), "\$([A-Z]+)\$[0-9]+"))),_xlfn.REGEXEXTRACT(CELL("address",H17), "\$([A-Z]+)\$[0-9]+"))</f>
        <v/>
      </c>
      <c r="I17" s="7" t="str" cm="1">
        <f t="array" aca="1" ref="I17" ca="1">IFERROR(IF(OR('Raw Data'!I17="",LEN(TRIM('Raw Data'!I17))=0),"",IF(AND(ISNUMBER('Raw Data'!I17), IFERROR('Raw Data'!I17 = ROUND('Raw Data'!I17, 2),FALSE)),"",_xlfn.REGEXEXTRACT(CELL("address",I17), "\$([A-Z]+)\$[0-9]+"))),_xlfn.REGEXEXTRACT(CELL("address",I17), "\$([A-Z]+)\$[0-9]+"))</f>
        <v/>
      </c>
      <c r="J17" s="7" t="str" cm="1">
        <f t="array" aca="1" ref="J17" ca="1">IFERROR(IF(OR('Raw Data'!J17="",LEN(TRIM('Raw Data'!J17))=0),"",IF(AND(ISNUMBER('Raw Data'!J17), IFERROR('Raw Data'!J17 = ROUND('Raw Data'!J17, 2),FALSE)),"",_xlfn.REGEXEXTRACT(CELL("address",J17), "\$([A-Z]+)\$[0-9]+"))),_xlfn.REGEXEXTRACT(CELL("address",J17), "\$([A-Z]+)\$[0-9]+"))</f>
        <v/>
      </c>
      <c r="K17" s="7" t="str" cm="1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7" t="str" cm="1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7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7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7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7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 cm="1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7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7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7" t="str" cm="1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7" t="str" cm="1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  <c r="Z17" s="7" t="str" cm="1">
        <f t="array" aca="1" ref="Z17" ca="1">IFERROR(IF(OR('Raw Data'!Z17="",LEN(TRIM('Raw Data'!Z17))=0),"",IF(AND(ISNUMBER('Raw Data'!Z17), IFERROR('Raw Data'!Z17 = ROUND('Raw Data'!Z17, 2),FALSE)),"",_xlfn.REGEXEXTRACT(CELL("address",Z17), "\$([A-Z]+)\$[0-9]+"))),_xlfn.REGEXEXTRACT(CELL("address",Z17), "\$([A-Z]+)\$[0-9]+"))</f>
        <v/>
      </c>
      <c r="AA17" s="7" t="str" cm="1">
        <f t="array" aca="1" ref="AA17" ca="1">IFERROR(IF(OR('Raw Data'!AA17="",LEN(TRIM('Raw Data'!AA17))=0),"",IF(AND(ISNUMBER('Raw Data'!AA17), IFERROR('Raw Data'!AA17 = ROUND('Raw Data'!AA17, 2),FALSE)),"",_xlfn.REGEXEXTRACT(CELL("address",AA17), "\$([A-Z]+)\$[0-9]+"))),_xlfn.REGEXEXTRACT(CELL("address",AA17), "\$([A-Z]+)\$[0-9]+"))</f>
        <v/>
      </c>
      <c r="AB17" s="7" t="str" cm="1">
        <f t="array" aca="1" ref="AB17" ca="1">IFERROR(IF(OR('Raw Data'!AB17="",LEN(TRIM('Raw Data'!AB17))=0),"",IF(AND(ISNUMBER('Raw Data'!AB17), IFERROR('Raw Data'!AB17 = ROUND('Raw Data'!AB17, 2),FALSE)),"",_xlfn.REGEXEXTRACT(CELL("address",AB17), "\$([A-Z]+)\$[0-9]+"))),_xlfn.REGEXEXTRACT(CELL("address",AB17), "\$([A-Z]+)\$[0-9]+"))</f>
        <v/>
      </c>
      <c r="AC17" s="7" t="str" cm="1">
        <f t="array" aca="1" ref="AC17" ca="1">IFERROR(IF(OR('Raw Data'!AC17="",LEN(TRIM('Raw Data'!AC17))=0),"",IF(AND(ISNUMBER('Raw Data'!AC17), IFERROR('Raw Data'!AC17 = ROUND('Raw Data'!AC17, 2),FALSE)),"",_xlfn.REGEXEXTRACT(CELL("address",AC17), "\$([A-Z]+)\$[0-9]+"))),_xlfn.REGEXEXTRACT(CELL("address",AC17), "\$([A-Z]+)\$[0-9]+"))</f>
        <v/>
      </c>
      <c r="AD17" s="7" t="str" cm="1">
        <f t="array" aca="1" ref="AD17" ca="1">IFERROR(IF(OR('Raw Data'!AD17="",LEN(TRIM('Raw Data'!AD17))=0),"",IF(AND(ISNUMBER('Raw Data'!AD17), IFERROR('Raw Data'!AD17 = ROUND('Raw Data'!AD17, 2),FALSE)),"",_xlfn.REGEXEXTRACT(CELL("address",AD17), "\$([A-Z]+)\$[0-9]+"))),_xlfn.REGEXEXTRACT(CELL("address",AD17), "\$([A-Z]+)\$[0-9]+"))</f>
        <v/>
      </c>
      <c r="AE17" s="7" t="str" cm="1">
        <f t="array" aca="1" ref="AE17" ca="1">IFERROR(IF(OR('Raw Data'!AE17="",LEN(TRIM('Raw Data'!AE17))=0),"",IF(AND(ISNUMBER('Raw Data'!AE17), IFERROR('Raw Data'!AE17 = ROUND('Raw Data'!AE17, 2),FALSE)),"",_xlfn.REGEXEXTRACT(CELL("address",AE17), "\$([A-Z]+)\$[0-9]+"))),_xlfn.REGEXEXTRACT(CELL("address",AE17), "\$([A-Z]+)\$[0-9]+"))</f>
        <v/>
      </c>
      <c r="AF17" s="7" t="str" cm="1">
        <f t="array" aca="1" ref="AF17" ca="1">IFERROR(IF(OR('Raw Data'!AF17="",LEN(TRIM('Raw Data'!AF17))=0),"",IF(AND(ISNUMBER('Raw Data'!AF17), IFERROR('Raw Data'!AF17 = ROUND('Raw Data'!AF17, 2),FALSE)),"",_xlfn.REGEXEXTRACT(CELL("address",AF17), "\$([A-Z]+)\$[0-9]+"))),_xlfn.REGEXEXTRACT(CELL("address",AF17), "\$([A-Z]+)\$[0-9]+"))</f>
        <v/>
      </c>
      <c r="AG17" s="7" t="str" cm="1">
        <f t="array" aca="1" ref="AG17" ca="1">IFERROR(IF(OR('Raw Data'!AG17="",LEN(TRIM('Raw Data'!AG17))=0),"",IF(AND(ISNUMBER('Raw Data'!AG17), IFERROR('Raw Data'!AG17 = ROUND('Raw Data'!AG17, 2),FALSE)),"",_xlfn.REGEXEXTRACT(CELL("address",AG17), "\$([A-Z]+)\$[0-9]+"))),_xlfn.REGEXEXTRACT(CELL("address",AG17), "\$([A-Z]+)\$[0-9]+"))</f>
        <v/>
      </c>
      <c r="AH17" s="7" t="str" cm="1">
        <f t="array" aca="1" ref="AH17" ca="1">IFERROR(IF(OR('Raw Data'!AH17="",LEN(TRIM('Raw Data'!AH17))=0),"",IF(AND(ISNUMBER('Raw Data'!AH17), IFERROR('Raw Data'!AH17 = ROUND('Raw Data'!AH17, 2),FALSE)),"",_xlfn.REGEXEXTRACT(CELL("address",AH17), "\$([A-Z]+)\$[0-9]+"))),_xlfn.REGEXEXTRACT(CELL("address",AH17), "\$([A-Z]+)\$[0-9]+"))</f>
        <v/>
      </c>
      <c r="AI17" s="7" t="str" cm="1">
        <f t="array" aca="1" ref="AI17" ca="1">IFERROR(IF(OR('Raw Data'!AI17="",LEN(TRIM('Raw Data'!AI17))=0),"",IF(AND(ISNUMBER('Raw Data'!AI17), IFERROR('Raw Data'!AI17 = ROUND('Raw Data'!AI17, 2),FALSE)),"",_xlfn.REGEXEXTRACT(CELL("address",AI17), "\$([A-Z]+)\$[0-9]+"))),_xlfn.REGEXEXTRACT(CELL("address",AI17), "\$([A-Z]+)\$[0-9]+"))</f>
        <v/>
      </c>
      <c r="AJ17" s="7" t="str" cm="1">
        <f t="array" aca="1" ref="AJ17" ca="1">IFERROR(IF(OR('Raw Data'!AJ17="",LEN(TRIM('Raw Data'!AJ17))=0),"",IF(AND(ISNUMBER('Raw Data'!AJ17), IFERROR('Raw Data'!AJ17 = ROUND('Raw Data'!AJ17, 2),FALSE)),"",_xlfn.REGEXEXTRACT(CELL("address",AJ17), "\$([A-Z]+)\$[0-9]+"))),_xlfn.REGEXEXTRACT(CELL("address",AJ17), "\$([A-Z]+)\$[0-9]+"))</f>
        <v/>
      </c>
    </row>
    <row r="18" spans="2:36" x14ac:dyDescent="0.25">
      <c r="B18" s="7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20,LEN('Raw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Data'!D18))=0),"",IF(AND(ISNUMBER('Raw Data'!D18),'Raw Data'!D18&gt;=Configuration!$D$2),"",_xlfn.REGEXEXTRACT(CELL("address",'Raw Data'!D18),"\$([A-Z]+)\$[0-9]+"))),_xlfn.REGEXEXTRACT(CELL("address",D18), "\$([A-Z]+)\$[0-9]+"))</f>
        <v/>
      </c>
      <c r="E18" s="7" t="str" cm="1">
        <f t="array" aca="1" ref="E18" ca="1">IFERROR(IF(OR('Raw Data'!E18="",LEN(TRIM('Raw Data'!E18))=0),"",IF(AND(ISNUMBER('Raw Data'!E18), IFERROR('Raw Data'!E18 = ROUND('Raw Data'!E18, 2),FALSE)),"",_xlfn.REGEXEXTRACT(CELL("address",E18), "\$([A-Z]+)\$[0-9]+"))),_xlfn.REGEXEXTRACT(CELL("address",E18), "\$([A-Z]+)\$[0-9]+"))</f>
        <v/>
      </c>
      <c r="F18" s="7" t="str" cm="1">
        <f t="array" aca="1" ref="F18" ca="1">IFERROR(IF(OR('Raw Data'!F18="",LEN(TRIM('Raw Data'!F18))=0),"",IF(AND(ISNUMBER('Raw Data'!F18), IFERROR('Raw Data'!F18 = ROUND('Raw Data'!F18, 2),FALSE)),"",_xlfn.REGEXEXTRACT(CELL("address",F18), "\$([A-Z]+)\$[0-9]+"))),_xlfn.REGEXEXTRACT(CELL("address",F18), "\$([A-Z]+)\$[0-9]+"))</f>
        <v/>
      </c>
      <c r="G18" s="7" t="str" cm="1">
        <f t="array" aca="1" ref="G18" ca="1">IFERROR(IF(OR('Raw Data'!G18="",LEN(TRIM('Raw Data'!G18))=0),"",IF(AND(ISNUMBER('Raw Data'!G18), IFERROR('Raw Data'!G18 = ROUND('Raw Data'!G18, 2),FALSE)),"",_xlfn.REGEXEXTRACT(CELL("address",G18), "\$([A-Z]+)\$[0-9]+"))),_xlfn.REGEXEXTRACT(CELL("address",G18), "\$([A-Z]+)\$[0-9]+"))</f>
        <v/>
      </c>
      <c r="H18" s="7" t="str" cm="1">
        <f t="array" aca="1" ref="H18" ca="1">IFERROR(IF(OR('Raw Data'!H18="",LEN(TRIM('Raw Data'!H18))=0),"",IF(AND(ISNUMBER('Raw Data'!H18), IFERROR('Raw Data'!H18 = ROUND('Raw Data'!H18, 2),FALSE)),"",_xlfn.REGEXEXTRACT(CELL("address",H18), "\$([A-Z]+)\$[0-9]+"))),_xlfn.REGEXEXTRACT(CELL("address",H18), "\$([A-Z]+)\$[0-9]+"))</f>
        <v/>
      </c>
      <c r="I18" s="7" t="str" cm="1">
        <f t="array" aca="1" ref="I18" ca="1">IFERROR(IF(OR('Raw Data'!I18="",LEN(TRIM('Raw Data'!I18))=0),"",IF(AND(ISNUMBER('Raw Data'!I18), IFERROR('Raw Data'!I18 = ROUND('Raw Data'!I18, 2),FALSE)),"",_xlfn.REGEXEXTRACT(CELL("address",I18), "\$([A-Z]+)\$[0-9]+"))),_xlfn.REGEXEXTRACT(CELL("address",I18), "\$([A-Z]+)\$[0-9]+"))</f>
        <v/>
      </c>
      <c r="J18" s="7" t="str" cm="1">
        <f t="array" aca="1" ref="J18" ca="1">IFERROR(IF(OR('Raw Data'!J18="",LEN(TRIM('Raw Data'!J18))=0),"",IF(AND(ISNUMBER('Raw Data'!J18), IFERROR('Raw Data'!J18 = ROUND('Raw Data'!J18, 2),FALSE)),"",_xlfn.REGEXEXTRACT(CELL("address",J18), "\$([A-Z]+)\$[0-9]+"))),_xlfn.REGEXEXTRACT(CELL("address",J18), "\$([A-Z]+)\$[0-9]+"))</f>
        <v/>
      </c>
      <c r="K18" s="7" t="str" cm="1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7" t="str" cm="1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7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7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7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7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 cm="1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7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7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7" t="str" cm="1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7" t="str" cm="1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  <c r="Z18" s="7" t="str" cm="1">
        <f t="array" aca="1" ref="Z18" ca="1">IFERROR(IF(OR('Raw Data'!Z18="",LEN(TRIM('Raw Data'!Z18))=0),"",IF(AND(ISNUMBER('Raw Data'!Z18), IFERROR('Raw Data'!Z18 = ROUND('Raw Data'!Z18, 2),FALSE)),"",_xlfn.REGEXEXTRACT(CELL("address",Z18), "\$([A-Z]+)\$[0-9]+"))),_xlfn.REGEXEXTRACT(CELL("address",Z18), "\$([A-Z]+)\$[0-9]+"))</f>
        <v/>
      </c>
      <c r="AA18" s="7" t="str" cm="1">
        <f t="array" aca="1" ref="AA18" ca="1">IFERROR(IF(OR('Raw Data'!AA18="",LEN(TRIM('Raw Data'!AA18))=0),"",IF(AND(ISNUMBER('Raw Data'!AA18), IFERROR('Raw Data'!AA18 = ROUND('Raw Data'!AA18, 2),FALSE)),"",_xlfn.REGEXEXTRACT(CELL("address",AA18), "\$([A-Z]+)\$[0-9]+"))),_xlfn.REGEXEXTRACT(CELL("address",AA18), "\$([A-Z]+)\$[0-9]+"))</f>
        <v/>
      </c>
      <c r="AB18" s="7" t="str" cm="1">
        <f t="array" aca="1" ref="AB18" ca="1">IFERROR(IF(OR('Raw Data'!AB18="",LEN(TRIM('Raw Data'!AB18))=0),"",IF(AND(ISNUMBER('Raw Data'!AB18), IFERROR('Raw Data'!AB18 = ROUND('Raw Data'!AB18, 2),FALSE)),"",_xlfn.REGEXEXTRACT(CELL("address",AB18), "\$([A-Z]+)\$[0-9]+"))),_xlfn.REGEXEXTRACT(CELL("address",AB18), "\$([A-Z]+)\$[0-9]+"))</f>
        <v/>
      </c>
      <c r="AC18" s="7" t="str" cm="1">
        <f t="array" aca="1" ref="AC18" ca="1">IFERROR(IF(OR('Raw Data'!AC18="",LEN(TRIM('Raw Data'!AC18))=0),"",IF(AND(ISNUMBER('Raw Data'!AC18), IFERROR('Raw Data'!AC18 = ROUND('Raw Data'!AC18, 2),FALSE)),"",_xlfn.REGEXEXTRACT(CELL("address",AC18), "\$([A-Z]+)\$[0-9]+"))),_xlfn.REGEXEXTRACT(CELL("address",AC18), "\$([A-Z]+)\$[0-9]+"))</f>
        <v/>
      </c>
      <c r="AD18" s="7" t="str" cm="1">
        <f t="array" aca="1" ref="AD18" ca="1">IFERROR(IF(OR('Raw Data'!AD18="",LEN(TRIM('Raw Data'!AD18))=0),"",IF(AND(ISNUMBER('Raw Data'!AD18), IFERROR('Raw Data'!AD18 = ROUND('Raw Data'!AD18, 2),FALSE)),"",_xlfn.REGEXEXTRACT(CELL("address",AD18), "\$([A-Z]+)\$[0-9]+"))),_xlfn.REGEXEXTRACT(CELL("address",AD18), "\$([A-Z]+)\$[0-9]+"))</f>
        <v/>
      </c>
      <c r="AE18" s="7" t="str" cm="1">
        <f t="array" aca="1" ref="AE18" ca="1">IFERROR(IF(OR('Raw Data'!AE18="",LEN(TRIM('Raw Data'!AE18))=0),"",IF(AND(ISNUMBER('Raw Data'!AE18), IFERROR('Raw Data'!AE18 = ROUND('Raw Data'!AE18, 2),FALSE)),"",_xlfn.REGEXEXTRACT(CELL("address",AE18), "\$([A-Z]+)\$[0-9]+"))),_xlfn.REGEXEXTRACT(CELL("address",AE18), "\$([A-Z]+)\$[0-9]+"))</f>
        <v/>
      </c>
      <c r="AF18" s="7" t="str" cm="1">
        <f t="array" aca="1" ref="AF18" ca="1">IFERROR(IF(OR('Raw Data'!AF18="",LEN(TRIM('Raw Data'!AF18))=0),"",IF(AND(ISNUMBER('Raw Data'!AF18), IFERROR('Raw Data'!AF18 = ROUND('Raw Data'!AF18, 2),FALSE)),"",_xlfn.REGEXEXTRACT(CELL("address",AF18), "\$([A-Z]+)\$[0-9]+"))),_xlfn.REGEXEXTRACT(CELL("address",AF18), "\$([A-Z]+)\$[0-9]+"))</f>
        <v/>
      </c>
      <c r="AG18" s="7" t="str" cm="1">
        <f t="array" aca="1" ref="AG18" ca="1">IFERROR(IF(OR('Raw Data'!AG18="",LEN(TRIM('Raw Data'!AG18))=0),"",IF(AND(ISNUMBER('Raw Data'!AG18), IFERROR('Raw Data'!AG18 = ROUND('Raw Data'!AG18, 2),FALSE)),"",_xlfn.REGEXEXTRACT(CELL("address",AG18), "\$([A-Z]+)\$[0-9]+"))),_xlfn.REGEXEXTRACT(CELL("address",AG18), "\$([A-Z]+)\$[0-9]+"))</f>
        <v/>
      </c>
      <c r="AH18" s="7" t="str" cm="1">
        <f t="array" aca="1" ref="AH18" ca="1">IFERROR(IF(OR('Raw Data'!AH18="",LEN(TRIM('Raw Data'!AH18))=0),"",IF(AND(ISNUMBER('Raw Data'!AH18), IFERROR('Raw Data'!AH18 = ROUND('Raw Data'!AH18, 2),FALSE)),"",_xlfn.REGEXEXTRACT(CELL("address",AH18), "\$([A-Z]+)\$[0-9]+"))),_xlfn.REGEXEXTRACT(CELL("address",AH18), "\$([A-Z]+)\$[0-9]+"))</f>
        <v/>
      </c>
      <c r="AI18" s="7" t="str" cm="1">
        <f t="array" aca="1" ref="AI18" ca="1">IFERROR(IF(OR('Raw Data'!AI18="",LEN(TRIM('Raw Data'!AI18))=0),"",IF(AND(ISNUMBER('Raw Data'!AI18), IFERROR('Raw Data'!AI18 = ROUND('Raw Data'!AI18, 2),FALSE)),"",_xlfn.REGEXEXTRACT(CELL("address",AI18), "\$([A-Z]+)\$[0-9]+"))),_xlfn.REGEXEXTRACT(CELL("address",AI18), "\$([A-Z]+)\$[0-9]+"))</f>
        <v/>
      </c>
      <c r="AJ18" s="7" t="str" cm="1">
        <f t="array" aca="1" ref="AJ18" ca="1">IFERROR(IF(OR('Raw Data'!AJ18="",LEN(TRIM('Raw Data'!AJ18))=0),"",IF(AND(ISNUMBER('Raw Data'!AJ18), IFERROR('Raw Data'!AJ18 = ROUND('Raw Data'!AJ18, 2),FALSE)),"",_xlfn.REGEXEXTRACT(CELL("address",AJ18), "\$([A-Z]+)\$[0-9]+"))),_xlfn.REGEXEXTRACT(CELL("address",AJ18), "\$([A-Z]+)\$[0-9]+"))</f>
        <v/>
      </c>
    </row>
    <row r="19" spans="2:36" x14ac:dyDescent="0.25">
      <c r="B19" s="7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20,LEN('Raw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Data'!D19))=0),"",IF(AND(ISNUMBER('Raw Data'!D19),'Raw Data'!D19&gt;=Configuration!$D$2),"",_xlfn.REGEXEXTRACT(CELL("address",'Raw Data'!D19),"\$([A-Z]+)\$[0-9]+"))),_xlfn.REGEXEXTRACT(CELL("address",D19), "\$([A-Z]+)\$[0-9]+"))</f>
        <v/>
      </c>
      <c r="E19" s="7" t="str" cm="1">
        <f t="array" aca="1" ref="E19" ca="1">IFERROR(IF(OR('Raw Data'!E19="",LEN(TRIM('Raw Data'!E19))=0),"",IF(AND(ISNUMBER('Raw Data'!E19), IFERROR('Raw Data'!E19 = ROUND('Raw Data'!E19, 2),FALSE)),"",_xlfn.REGEXEXTRACT(CELL("address",E19), "\$([A-Z]+)\$[0-9]+"))),_xlfn.REGEXEXTRACT(CELL("address",E19), "\$([A-Z]+)\$[0-9]+"))</f>
        <v/>
      </c>
      <c r="F19" s="7" t="str" cm="1">
        <f t="array" aca="1" ref="F19" ca="1">IFERROR(IF(OR('Raw Data'!F19="",LEN(TRIM('Raw Data'!F19))=0),"",IF(AND(ISNUMBER('Raw Data'!F19), IFERROR('Raw Data'!F19 = ROUND('Raw Data'!F19, 2),FALSE)),"",_xlfn.REGEXEXTRACT(CELL("address",F19), "\$([A-Z]+)\$[0-9]+"))),_xlfn.REGEXEXTRACT(CELL("address",F19), "\$([A-Z]+)\$[0-9]+"))</f>
        <v/>
      </c>
      <c r="G19" s="7" t="str" cm="1">
        <f t="array" aca="1" ref="G19" ca="1">IFERROR(IF(OR('Raw Data'!G19="",LEN(TRIM('Raw Data'!G19))=0),"",IF(AND(ISNUMBER('Raw Data'!G19), IFERROR('Raw Data'!G19 = ROUND('Raw Data'!G19, 2),FALSE)),"",_xlfn.REGEXEXTRACT(CELL("address",G19), "\$([A-Z]+)\$[0-9]+"))),_xlfn.REGEXEXTRACT(CELL("address",G19), "\$([A-Z]+)\$[0-9]+"))</f>
        <v/>
      </c>
      <c r="H19" s="7" t="str" cm="1">
        <f t="array" aca="1" ref="H19" ca="1">IFERROR(IF(OR('Raw Data'!H19="",LEN(TRIM('Raw Data'!H19))=0),"",IF(AND(ISNUMBER('Raw Data'!H19), IFERROR('Raw Data'!H19 = ROUND('Raw Data'!H19, 2),FALSE)),"",_xlfn.REGEXEXTRACT(CELL("address",H19), "\$([A-Z]+)\$[0-9]+"))),_xlfn.REGEXEXTRACT(CELL("address",H19), "\$([A-Z]+)\$[0-9]+"))</f>
        <v/>
      </c>
      <c r="I19" s="7" t="str" cm="1">
        <f t="array" aca="1" ref="I19" ca="1">IFERROR(IF(OR('Raw Data'!I19="",LEN(TRIM('Raw Data'!I19))=0),"",IF(AND(ISNUMBER('Raw Data'!I19), IFERROR('Raw Data'!I19 = ROUND('Raw Data'!I19, 2),FALSE)),"",_xlfn.REGEXEXTRACT(CELL("address",I19), "\$([A-Z]+)\$[0-9]+"))),_xlfn.REGEXEXTRACT(CELL("address",I19), "\$([A-Z]+)\$[0-9]+"))</f>
        <v/>
      </c>
      <c r="J19" s="7" t="str" cm="1">
        <f t="array" aca="1" ref="J19" ca="1">IFERROR(IF(OR('Raw Data'!J19="",LEN(TRIM('Raw Data'!J19))=0),"",IF(AND(ISNUMBER('Raw Data'!J19), IFERROR('Raw Data'!J19 = ROUND('Raw Data'!J19, 2),FALSE)),"",_xlfn.REGEXEXTRACT(CELL("address",J19), "\$([A-Z]+)\$[0-9]+"))),_xlfn.REGEXEXTRACT(CELL("address",J19), "\$([A-Z]+)\$[0-9]+"))</f>
        <v/>
      </c>
      <c r="K19" s="7" t="str" cm="1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7" t="str" cm="1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7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7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7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7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 cm="1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7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7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7" t="str" cm="1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7" t="str" cm="1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  <c r="Z19" s="7" t="str" cm="1">
        <f t="array" aca="1" ref="Z19" ca="1">IFERROR(IF(OR('Raw Data'!Z19="",LEN(TRIM('Raw Data'!Z19))=0),"",IF(AND(ISNUMBER('Raw Data'!Z19), IFERROR('Raw Data'!Z19 = ROUND('Raw Data'!Z19, 2),FALSE)),"",_xlfn.REGEXEXTRACT(CELL("address",Z19), "\$([A-Z]+)\$[0-9]+"))),_xlfn.REGEXEXTRACT(CELL("address",Z19), "\$([A-Z]+)\$[0-9]+"))</f>
        <v/>
      </c>
      <c r="AA19" s="7" t="str" cm="1">
        <f t="array" aca="1" ref="AA19" ca="1">IFERROR(IF(OR('Raw Data'!AA19="",LEN(TRIM('Raw Data'!AA19))=0),"",IF(AND(ISNUMBER('Raw Data'!AA19), IFERROR('Raw Data'!AA19 = ROUND('Raw Data'!AA19, 2),FALSE)),"",_xlfn.REGEXEXTRACT(CELL("address",AA19), "\$([A-Z]+)\$[0-9]+"))),_xlfn.REGEXEXTRACT(CELL("address",AA19), "\$([A-Z]+)\$[0-9]+"))</f>
        <v/>
      </c>
      <c r="AB19" s="7" t="str" cm="1">
        <f t="array" aca="1" ref="AB19" ca="1">IFERROR(IF(OR('Raw Data'!AB19="",LEN(TRIM('Raw Data'!AB19))=0),"",IF(AND(ISNUMBER('Raw Data'!AB19), IFERROR('Raw Data'!AB19 = ROUND('Raw Data'!AB19, 2),FALSE)),"",_xlfn.REGEXEXTRACT(CELL("address",AB19), "\$([A-Z]+)\$[0-9]+"))),_xlfn.REGEXEXTRACT(CELL("address",AB19), "\$([A-Z]+)\$[0-9]+"))</f>
        <v/>
      </c>
      <c r="AC19" s="7" t="str" cm="1">
        <f t="array" aca="1" ref="AC19" ca="1">IFERROR(IF(OR('Raw Data'!AC19="",LEN(TRIM('Raw Data'!AC19))=0),"",IF(AND(ISNUMBER('Raw Data'!AC19), IFERROR('Raw Data'!AC19 = ROUND('Raw Data'!AC19, 2),FALSE)),"",_xlfn.REGEXEXTRACT(CELL("address",AC19), "\$([A-Z]+)\$[0-9]+"))),_xlfn.REGEXEXTRACT(CELL("address",AC19), "\$([A-Z]+)\$[0-9]+"))</f>
        <v/>
      </c>
      <c r="AD19" s="7" t="str" cm="1">
        <f t="array" aca="1" ref="AD19" ca="1">IFERROR(IF(OR('Raw Data'!AD19="",LEN(TRIM('Raw Data'!AD19))=0),"",IF(AND(ISNUMBER('Raw Data'!AD19), IFERROR('Raw Data'!AD19 = ROUND('Raw Data'!AD19, 2),FALSE)),"",_xlfn.REGEXEXTRACT(CELL("address",AD19), "\$([A-Z]+)\$[0-9]+"))),_xlfn.REGEXEXTRACT(CELL("address",AD19), "\$([A-Z]+)\$[0-9]+"))</f>
        <v/>
      </c>
      <c r="AE19" s="7" t="str" cm="1">
        <f t="array" aca="1" ref="AE19" ca="1">IFERROR(IF(OR('Raw Data'!AE19="",LEN(TRIM('Raw Data'!AE19))=0),"",IF(AND(ISNUMBER('Raw Data'!AE19), IFERROR('Raw Data'!AE19 = ROUND('Raw Data'!AE19, 2),FALSE)),"",_xlfn.REGEXEXTRACT(CELL("address",AE19), "\$([A-Z]+)\$[0-9]+"))),_xlfn.REGEXEXTRACT(CELL("address",AE19), "\$([A-Z]+)\$[0-9]+"))</f>
        <v/>
      </c>
      <c r="AF19" s="7" t="str" cm="1">
        <f t="array" aca="1" ref="AF19" ca="1">IFERROR(IF(OR('Raw Data'!AF19="",LEN(TRIM('Raw Data'!AF19))=0),"",IF(AND(ISNUMBER('Raw Data'!AF19), IFERROR('Raw Data'!AF19 = ROUND('Raw Data'!AF19, 2),FALSE)),"",_xlfn.REGEXEXTRACT(CELL("address",AF19), "\$([A-Z]+)\$[0-9]+"))),_xlfn.REGEXEXTRACT(CELL("address",AF19), "\$([A-Z]+)\$[0-9]+"))</f>
        <v/>
      </c>
      <c r="AG19" s="7" t="str" cm="1">
        <f t="array" aca="1" ref="AG19" ca="1">IFERROR(IF(OR('Raw Data'!AG19="",LEN(TRIM('Raw Data'!AG19))=0),"",IF(AND(ISNUMBER('Raw Data'!AG19), IFERROR('Raw Data'!AG19 = ROUND('Raw Data'!AG19, 2),FALSE)),"",_xlfn.REGEXEXTRACT(CELL("address",AG19), "\$([A-Z]+)\$[0-9]+"))),_xlfn.REGEXEXTRACT(CELL("address",AG19), "\$([A-Z]+)\$[0-9]+"))</f>
        <v/>
      </c>
      <c r="AH19" s="7" t="str" cm="1">
        <f t="array" aca="1" ref="AH19" ca="1">IFERROR(IF(OR('Raw Data'!AH19="",LEN(TRIM('Raw Data'!AH19))=0),"",IF(AND(ISNUMBER('Raw Data'!AH19), IFERROR('Raw Data'!AH19 = ROUND('Raw Data'!AH19, 2),FALSE)),"",_xlfn.REGEXEXTRACT(CELL("address",AH19), "\$([A-Z]+)\$[0-9]+"))),_xlfn.REGEXEXTRACT(CELL("address",AH19), "\$([A-Z]+)\$[0-9]+"))</f>
        <v/>
      </c>
      <c r="AI19" s="7" t="str" cm="1">
        <f t="array" aca="1" ref="AI19" ca="1">IFERROR(IF(OR('Raw Data'!AI19="",LEN(TRIM('Raw Data'!AI19))=0),"",IF(AND(ISNUMBER('Raw Data'!AI19), IFERROR('Raw Data'!AI19 = ROUND('Raw Data'!AI19, 2),FALSE)),"",_xlfn.REGEXEXTRACT(CELL("address",AI19), "\$([A-Z]+)\$[0-9]+"))),_xlfn.REGEXEXTRACT(CELL("address",AI19), "\$([A-Z]+)\$[0-9]+"))</f>
        <v/>
      </c>
      <c r="AJ19" s="7" t="str" cm="1">
        <f t="array" aca="1" ref="AJ19" ca="1">IFERROR(IF(OR('Raw Data'!AJ19="",LEN(TRIM('Raw Data'!AJ19))=0),"",IF(AND(ISNUMBER('Raw Data'!AJ19), IFERROR('Raw Data'!AJ19 = ROUND('Raw Data'!AJ19, 2),FALSE)),"",_xlfn.REGEXEXTRACT(CELL("address",AJ19), "\$([A-Z]+)\$[0-9]+"))),_xlfn.REGEXEXTRACT(CELL("address",AJ19), "\$([A-Z]+)\$[0-9]+"))</f>
        <v/>
      </c>
    </row>
    <row r="20" spans="2:36" x14ac:dyDescent="0.25">
      <c r="B20" s="7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20,LEN('Raw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Data'!D20))=0),"",IF(AND(ISNUMBER('Raw Data'!D20),'Raw Data'!D20&gt;=Configuration!$D$2),"",_xlfn.REGEXEXTRACT(CELL("address",'Raw Data'!D20),"\$([A-Z]+)\$[0-9]+"))),_xlfn.REGEXEXTRACT(CELL("address",D20), "\$([A-Z]+)\$[0-9]+"))</f>
        <v/>
      </c>
      <c r="E20" s="7" t="str" cm="1">
        <f t="array" aca="1" ref="E20" ca="1">IFERROR(IF(OR('Raw Data'!E20="",LEN(TRIM('Raw Data'!E20))=0),"",IF(AND(ISNUMBER('Raw Data'!E20), IFERROR('Raw Data'!E20 = ROUND('Raw Data'!E20, 2),FALSE)),"",_xlfn.REGEXEXTRACT(CELL("address",E20), "\$([A-Z]+)\$[0-9]+"))),_xlfn.REGEXEXTRACT(CELL("address",E20), "\$([A-Z]+)\$[0-9]+"))</f>
        <v/>
      </c>
      <c r="F20" s="7" t="str" cm="1">
        <f t="array" aca="1" ref="F20" ca="1">IFERROR(IF(OR('Raw Data'!F20="",LEN(TRIM('Raw Data'!F20))=0),"",IF(AND(ISNUMBER('Raw Data'!F20), IFERROR('Raw Data'!F20 = ROUND('Raw Data'!F20, 2),FALSE)),"",_xlfn.REGEXEXTRACT(CELL("address",F20), "\$([A-Z]+)\$[0-9]+"))),_xlfn.REGEXEXTRACT(CELL("address",F20), "\$([A-Z]+)\$[0-9]+"))</f>
        <v/>
      </c>
      <c r="G20" s="7" t="str" cm="1">
        <f t="array" aca="1" ref="G20" ca="1">IFERROR(IF(OR('Raw Data'!G20="",LEN(TRIM('Raw Data'!G20))=0),"",IF(AND(ISNUMBER('Raw Data'!G20), IFERROR('Raw Data'!G20 = ROUND('Raw Data'!G20, 2),FALSE)),"",_xlfn.REGEXEXTRACT(CELL("address",G20), "\$([A-Z]+)\$[0-9]+"))),_xlfn.REGEXEXTRACT(CELL("address",G20), "\$([A-Z]+)\$[0-9]+"))</f>
        <v/>
      </c>
      <c r="H20" s="7" t="str" cm="1">
        <f t="array" aca="1" ref="H20" ca="1">IFERROR(IF(OR('Raw Data'!H20="",LEN(TRIM('Raw Data'!H20))=0),"",IF(AND(ISNUMBER('Raw Data'!H20), IFERROR('Raw Data'!H20 = ROUND('Raw Data'!H20, 2),FALSE)),"",_xlfn.REGEXEXTRACT(CELL("address",H20), "\$([A-Z]+)\$[0-9]+"))),_xlfn.REGEXEXTRACT(CELL("address",H20), "\$([A-Z]+)\$[0-9]+"))</f>
        <v/>
      </c>
      <c r="I20" s="7" t="str" cm="1">
        <f t="array" aca="1" ref="I20" ca="1">IFERROR(IF(OR('Raw Data'!I20="",LEN(TRIM('Raw Data'!I20))=0),"",IF(AND(ISNUMBER('Raw Data'!I20), IFERROR('Raw Data'!I20 = ROUND('Raw Data'!I20, 2),FALSE)),"",_xlfn.REGEXEXTRACT(CELL("address",I20), "\$([A-Z]+)\$[0-9]+"))),_xlfn.REGEXEXTRACT(CELL("address",I20), "\$([A-Z]+)\$[0-9]+"))</f>
        <v/>
      </c>
      <c r="J20" s="7" t="str" cm="1">
        <f t="array" aca="1" ref="J20" ca="1">IFERROR(IF(OR('Raw Data'!J20="",LEN(TRIM('Raw Data'!J20))=0),"",IF(AND(ISNUMBER('Raw Data'!J20), IFERROR('Raw Data'!J20 = ROUND('Raw Data'!J20, 2),FALSE)),"",_xlfn.REGEXEXTRACT(CELL("address",J20), "\$([A-Z]+)\$[0-9]+"))),_xlfn.REGEXEXTRACT(CELL("address",J20), "\$([A-Z]+)\$[0-9]+"))</f>
        <v/>
      </c>
      <c r="K20" s="7" t="str" cm="1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7" t="str" cm="1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7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7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7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7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 cm="1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7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7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7" t="str" cm="1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7" t="str" cm="1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  <c r="Z20" s="7" t="str" cm="1">
        <f t="array" aca="1" ref="Z20" ca="1">IFERROR(IF(OR('Raw Data'!Z20="",LEN(TRIM('Raw Data'!Z20))=0),"",IF(AND(ISNUMBER('Raw Data'!Z20), IFERROR('Raw Data'!Z20 = ROUND('Raw Data'!Z20, 2),FALSE)),"",_xlfn.REGEXEXTRACT(CELL("address",Z20), "\$([A-Z]+)\$[0-9]+"))),_xlfn.REGEXEXTRACT(CELL("address",Z20), "\$([A-Z]+)\$[0-9]+"))</f>
        <v/>
      </c>
      <c r="AA20" s="7" t="str" cm="1">
        <f t="array" aca="1" ref="AA20" ca="1">IFERROR(IF(OR('Raw Data'!AA20="",LEN(TRIM('Raw Data'!AA20))=0),"",IF(AND(ISNUMBER('Raw Data'!AA20), IFERROR('Raw Data'!AA20 = ROUND('Raw Data'!AA20, 2),FALSE)),"",_xlfn.REGEXEXTRACT(CELL("address",AA20), "\$([A-Z]+)\$[0-9]+"))),_xlfn.REGEXEXTRACT(CELL("address",AA20), "\$([A-Z]+)\$[0-9]+"))</f>
        <v/>
      </c>
      <c r="AB20" s="7" t="str" cm="1">
        <f t="array" aca="1" ref="AB20" ca="1">IFERROR(IF(OR('Raw Data'!AB20="",LEN(TRIM('Raw Data'!AB20))=0),"",IF(AND(ISNUMBER('Raw Data'!AB20), IFERROR('Raw Data'!AB20 = ROUND('Raw Data'!AB20, 2),FALSE)),"",_xlfn.REGEXEXTRACT(CELL("address",AB20), "\$([A-Z]+)\$[0-9]+"))),_xlfn.REGEXEXTRACT(CELL("address",AB20), "\$([A-Z]+)\$[0-9]+"))</f>
        <v/>
      </c>
      <c r="AC20" s="7" t="str" cm="1">
        <f t="array" aca="1" ref="AC20" ca="1">IFERROR(IF(OR('Raw Data'!AC20="",LEN(TRIM('Raw Data'!AC20))=0),"",IF(AND(ISNUMBER('Raw Data'!AC20), IFERROR('Raw Data'!AC20 = ROUND('Raw Data'!AC20, 2),FALSE)),"",_xlfn.REGEXEXTRACT(CELL("address",AC20), "\$([A-Z]+)\$[0-9]+"))),_xlfn.REGEXEXTRACT(CELL("address",AC20), "\$([A-Z]+)\$[0-9]+"))</f>
        <v/>
      </c>
      <c r="AD20" s="7" t="str" cm="1">
        <f t="array" aca="1" ref="AD20" ca="1">IFERROR(IF(OR('Raw Data'!AD20="",LEN(TRIM('Raw Data'!AD20))=0),"",IF(AND(ISNUMBER('Raw Data'!AD20), IFERROR('Raw Data'!AD20 = ROUND('Raw Data'!AD20, 2),FALSE)),"",_xlfn.REGEXEXTRACT(CELL("address",AD20), "\$([A-Z]+)\$[0-9]+"))),_xlfn.REGEXEXTRACT(CELL("address",AD20), "\$([A-Z]+)\$[0-9]+"))</f>
        <v/>
      </c>
      <c r="AE20" s="7" t="str" cm="1">
        <f t="array" aca="1" ref="AE20" ca="1">IFERROR(IF(OR('Raw Data'!AE20="",LEN(TRIM('Raw Data'!AE20))=0),"",IF(AND(ISNUMBER('Raw Data'!AE20), IFERROR('Raw Data'!AE20 = ROUND('Raw Data'!AE20, 2),FALSE)),"",_xlfn.REGEXEXTRACT(CELL("address",AE20), "\$([A-Z]+)\$[0-9]+"))),_xlfn.REGEXEXTRACT(CELL("address",AE20), "\$([A-Z]+)\$[0-9]+"))</f>
        <v/>
      </c>
      <c r="AF20" s="7" t="str" cm="1">
        <f t="array" aca="1" ref="AF20" ca="1">IFERROR(IF(OR('Raw Data'!AF20="",LEN(TRIM('Raw Data'!AF20))=0),"",IF(AND(ISNUMBER('Raw Data'!AF20), IFERROR('Raw Data'!AF20 = ROUND('Raw Data'!AF20, 2),FALSE)),"",_xlfn.REGEXEXTRACT(CELL("address",AF20), "\$([A-Z]+)\$[0-9]+"))),_xlfn.REGEXEXTRACT(CELL("address",AF20), "\$([A-Z]+)\$[0-9]+"))</f>
        <v/>
      </c>
      <c r="AG20" s="7" t="str" cm="1">
        <f t="array" aca="1" ref="AG20" ca="1">IFERROR(IF(OR('Raw Data'!AG20="",LEN(TRIM('Raw Data'!AG20))=0),"",IF(AND(ISNUMBER('Raw Data'!AG20), IFERROR('Raw Data'!AG20 = ROUND('Raw Data'!AG20, 2),FALSE)),"",_xlfn.REGEXEXTRACT(CELL("address",AG20), "\$([A-Z]+)\$[0-9]+"))),_xlfn.REGEXEXTRACT(CELL("address",AG20), "\$([A-Z]+)\$[0-9]+"))</f>
        <v/>
      </c>
      <c r="AH20" s="7" t="str" cm="1">
        <f t="array" aca="1" ref="AH20" ca="1">IFERROR(IF(OR('Raw Data'!AH20="",LEN(TRIM('Raw Data'!AH20))=0),"",IF(AND(ISNUMBER('Raw Data'!AH20), IFERROR('Raw Data'!AH20 = ROUND('Raw Data'!AH20, 2),FALSE)),"",_xlfn.REGEXEXTRACT(CELL("address",AH20), "\$([A-Z]+)\$[0-9]+"))),_xlfn.REGEXEXTRACT(CELL("address",AH20), "\$([A-Z]+)\$[0-9]+"))</f>
        <v/>
      </c>
      <c r="AI20" s="7" t="str" cm="1">
        <f t="array" aca="1" ref="AI20" ca="1">IFERROR(IF(OR('Raw Data'!AI20="",LEN(TRIM('Raw Data'!AI20))=0),"",IF(AND(ISNUMBER('Raw Data'!AI20), IFERROR('Raw Data'!AI20 = ROUND('Raw Data'!AI20, 2),FALSE)),"",_xlfn.REGEXEXTRACT(CELL("address",AI20), "\$([A-Z]+)\$[0-9]+"))),_xlfn.REGEXEXTRACT(CELL("address",AI20), "\$([A-Z]+)\$[0-9]+"))</f>
        <v/>
      </c>
      <c r="AJ20" s="7" t="str" cm="1">
        <f t="array" aca="1" ref="AJ20" ca="1">IFERROR(IF(OR('Raw Data'!AJ20="",LEN(TRIM('Raw Data'!AJ20))=0),"",IF(AND(ISNUMBER('Raw Data'!AJ20), IFERROR('Raw Data'!AJ20 = ROUND('Raw Data'!AJ20, 2),FALSE)),"",_xlfn.REGEXEXTRACT(CELL("address",AJ20), "\$([A-Z]+)\$[0-9]+"))),_xlfn.REGEXEXTRACT(CELL("address",AJ20), "\$([A-Z]+)\$[0-9]+"))</f>
        <v/>
      </c>
    </row>
    <row r="21" spans="2:36" x14ac:dyDescent="0.25">
      <c r="B21" s="7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20,LEN('Raw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Data'!D21))=0),"",IF(AND(ISNUMBER('Raw Data'!D21),'Raw Data'!D21&gt;=Configuration!$D$2),"",_xlfn.REGEXEXTRACT(CELL("address",'Raw Data'!D21),"\$([A-Z]+)\$[0-9]+"))),_xlfn.REGEXEXTRACT(CELL("address",D21), "\$([A-Z]+)\$[0-9]+"))</f>
        <v/>
      </c>
      <c r="E21" s="7" t="str" cm="1">
        <f t="array" aca="1" ref="E21" ca="1">IFERROR(IF(OR('Raw Data'!E21="",LEN(TRIM('Raw Data'!E21))=0),"",IF(AND(ISNUMBER('Raw Data'!E21), IFERROR('Raw Data'!E21 = ROUND('Raw Data'!E21, 2),FALSE)),"",_xlfn.REGEXEXTRACT(CELL("address",E21), "\$([A-Z]+)\$[0-9]+"))),_xlfn.REGEXEXTRACT(CELL("address",E21), "\$([A-Z]+)\$[0-9]+"))</f>
        <v/>
      </c>
      <c r="F21" s="7" t="str" cm="1">
        <f t="array" aca="1" ref="F21" ca="1">IFERROR(IF(OR('Raw Data'!F21="",LEN(TRIM('Raw Data'!F21))=0),"",IF(AND(ISNUMBER('Raw Data'!F21), IFERROR('Raw Data'!F21 = ROUND('Raw Data'!F21, 2),FALSE)),"",_xlfn.REGEXEXTRACT(CELL("address",F21), "\$([A-Z]+)\$[0-9]+"))),_xlfn.REGEXEXTRACT(CELL("address",F21), "\$([A-Z]+)\$[0-9]+"))</f>
        <v/>
      </c>
      <c r="G21" s="7" t="str" cm="1">
        <f t="array" aca="1" ref="G21" ca="1">IFERROR(IF(OR('Raw Data'!G21="",LEN(TRIM('Raw Data'!G21))=0),"",IF(AND(ISNUMBER('Raw Data'!G21), IFERROR('Raw Data'!G21 = ROUND('Raw Data'!G21, 2),FALSE)),"",_xlfn.REGEXEXTRACT(CELL("address",G21), "\$([A-Z]+)\$[0-9]+"))),_xlfn.REGEXEXTRACT(CELL("address",G21), "\$([A-Z]+)\$[0-9]+"))</f>
        <v/>
      </c>
      <c r="H21" s="7" t="str" cm="1">
        <f t="array" aca="1" ref="H21" ca="1">IFERROR(IF(OR('Raw Data'!H21="",LEN(TRIM('Raw Data'!H21))=0),"",IF(AND(ISNUMBER('Raw Data'!H21), IFERROR('Raw Data'!H21 = ROUND('Raw Data'!H21, 2),FALSE)),"",_xlfn.REGEXEXTRACT(CELL("address",H21), "\$([A-Z]+)\$[0-9]+"))),_xlfn.REGEXEXTRACT(CELL("address",H21), "\$([A-Z]+)\$[0-9]+"))</f>
        <v/>
      </c>
      <c r="I21" s="7" t="str" cm="1">
        <f t="array" aca="1" ref="I21" ca="1">IFERROR(IF(OR('Raw Data'!I21="",LEN(TRIM('Raw Data'!I21))=0),"",IF(AND(ISNUMBER('Raw Data'!I21), IFERROR('Raw Data'!I21 = ROUND('Raw Data'!I21, 2),FALSE)),"",_xlfn.REGEXEXTRACT(CELL("address",I21), "\$([A-Z]+)\$[0-9]+"))),_xlfn.REGEXEXTRACT(CELL("address",I21), "\$([A-Z]+)\$[0-9]+"))</f>
        <v/>
      </c>
      <c r="J21" s="7" t="str" cm="1">
        <f t="array" aca="1" ref="J21" ca="1">IFERROR(IF(OR('Raw Data'!J21="",LEN(TRIM('Raw Data'!J21))=0),"",IF(AND(ISNUMBER('Raw Data'!J21), IFERROR('Raw Data'!J21 = ROUND('Raw Data'!J21, 2),FALSE)),"",_xlfn.REGEXEXTRACT(CELL("address",J21), "\$([A-Z]+)\$[0-9]+"))),_xlfn.REGEXEXTRACT(CELL("address",J21), "\$([A-Z]+)\$[0-9]+"))</f>
        <v/>
      </c>
      <c r="K21" s="7" t="str" cm="1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7" t="str" cm="1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7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7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7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7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 cm="1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7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7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7" t="str" cm="1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7" t="str" cm="1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  <c r="Z21" s="7" t="str" cm="1">
        <f t="array" aca="1" ref="Z21" ca="1">IFERROR(IF(OR('Raw Data'!Z21="",LEN(TRIM('Raw Data'!Z21))=0),"",IF(AND(ISNUMBER('Raw Data'!Z21), IFERROR('Raw Data'!Z21 = ROUND('Raw Data'!Z21, 2),FALSE)),"",_xlfn.REGEXEXTRACT(CELL("address",Z21), "\$([A-Z]+)\$[0-9]+"))),_xlfn.REGEXEXTRACT(CELL("address",Z21), "\$([A-Z]+)\$[0-9]+"))</f>
        <v/>
      </c>
      <c r="AA21" s="7" t="str" cm="1">
        <f t="array" aca="1" ref="AA21" ca="1">IFERROR(IF(OR('Raw Data'!AA21="",LEN(TRIM('Raw Data'!AA21))=0),"",IF(AND(ISNUMBER('Raw Data'!AA21), IFERROR('Raw Data'!AA21 = ROUND('Raw Data'!AA21, 2),FALSE)),"",_xlfn.REGEXEXTRACT(CELL("address",AA21), "\$([A-Z]+)\$[0-9]+"))),_xlfn.REGEXEXTRACT(CELL("address",AA21), "\$([A-Z]+)\$[0-9]+"))</f>
        <v/>
      </c>
      <c r="AB21" s="7" t="str" cm="1">
        <f t="array" aca="1" ref="AB21" ca="1">IFERROR(IF(OR('Raw Data'!AB21="",LEN(TRIM('Raw Data'!AB21))=0),"",IF(AND(ISNUMBER('Raw Data'!AB21), IFERROR('Raw Data'!AB21 = ROUND('Raw Data'!AB21, 2),FALSE)),"",_xlfn.REGEXEXTRACT(CELL("address",AB21), "\$([A-Z]+)\$[0-9]+"))),_xlfn.REGEXEXTRACT(CELL("address",AB21), "\$([A-Z]+)\$[0-9]+"))</f>
        <v/>
      </c>
      <c r="AC21" s="7" t="str" cm="1">
        <f t="array" aca="1" ref="AC21" ca="1">IFERROR(IF(OR('Raw Data'!AC21="",LEN(TRIM('Raw Data'!AC21))=0),"",IF(AND(ISNUMBER('Raw Data'!AC21), IFERROR('Raw Data'!AC21 = ROUND('Raw Data'!AC21, 2),FALSE)),"",_xlfn.REGEXEXTRACT(CELL("address",AC21), "\$([A-Z]+)\$[0-9]+"))),_xlfn.REGEXEXTRACT(CELL("address",AC21), "\$([A-Z]+)\$[0-9]+"))</f>
        <v/>
      </c>
      <c r="AD21" s="7" t="str" cm="1">
        <f t="array" aca="1" ref="AD21" ca="1">IFERROR(IF(OR('Raw Data'!AD21="",LEN(TRIM('Raw Data'!AD21))=0),"",IF(AND(ISNUMBER('Raw Data'!AD21), IFERROR('Raw Data'!AD21 = ROUND('Raw Data'!AD21, 2),FALSE)),"",_xlfn.REGEXEXTRACT(CELL("address",AD21), "\$([A-Z]+)\$[0-9]+"))),_xlfn.REGEXEXTRACT(CELL("address",AD21), "\$([A-Z]+)\$[0-9]+"))</f>
        <v/>
      </c>
      <c r="AE21" s="7" t="str" cm="1">
        <f t="array" aca="1" ref="AE21" ca="1">IFERROR(IF(OR('Raw Data'!AE21="",LEN(TRIM('Raw Data'!AE21))=0),"",IF(AND(ISNUMBER('Raw Data'!AE21), IFERROR('Raw Data'!AE21 = ROUND('Raw Data'!AE21, 2),FALSE)),"",_xlfn.REGEXEXTRACT(CELL("address",AE21), "\$([A-Z]+)\$[0-9]+"))),_xlfn.REGEXEXTRACT(CELL("address",AE21), "\$([A-Z]+)\$[0-9]+"))</f>
        <v/>
      </c>
      <c r="AF21" s="7" t="str" cm="1">
        <f t="array" aca="1" ref="AF21" ca="1">IFERROR(IF(OR('Raw Data'!AF21="",LEN(TRIM('Raw Data'!AF21))=0),"",IF(AND(ISNUMBER('Raw Data'!AF21), IFERROR('Raw Data'!AF21 = ROUND('Raw Data'!AF21, 2),FALSE)),"",_xlfn.REGEXEXTRACT(CELL("address",AF21), "\$([A-Z]+)\$[0-9]+"))),_xlfn.REGEXEXTRACT(CELL("address",AF21), "\$([A-Z]+)\$[0-9]+"))</f>
        <v/>
      </c>
      <c r="AG21" s="7" t="str" cm="1">
        <f t="array" aca="1" ref="AG21" ca="1">IFERROR(IF(OR('Raw Data'!AG21="",LEN(TRIM('Raw Data'!AG21))=0),"",IF(AND(ISNUMBER('Raw Data'!AG21), IFERROR('Raw Data'!AG21 = ROUND('Raw Data'!AG21, 2),FALSE)),"",_xlfn.REGEXEXTRACT(CELL("address",AG21), "\$([A-Z]+)\$[0-9]+"))),_xlfn.REGEXEXTRACT(CELL("address",AG21), "\$([A-Z]+)\$[0-9]+"))</f>
        <v/>
      </c>
      <c r="AH21" s="7" t="str" cm="1">
        <f t="array" aca="1" ref="AH21" ca="1">IFERROR(IF(OR('Raw Data'!AH21="",LEN(TRIM('Raw Data'!AH21))=0),"",IF(AND(ISNUMBER('Raw Data'!AH21), IFERROR('Raw Data'!AH21 = ROUND('Raw Data'!AH21, 2),FALSE)),"",_xlfn.REGEXEXTRACT(CELL("address",AH21), "\$([A-Z]+)\$[0-9]+"))),_xlfn.REGEXEXTRACT(CELL("address",AH21), "\$([A-Z]+)\$[0-9]+"))</f>
        <v/>
      </c>
      <c r="AI21" s="7" t="str" cm="1">
        <f t="array" aca="1" ref="AI21" ca="1">IFERROR(IF(OR('Raw Data'!AI21="",LEN(TRIM('Raw Data'!AI21))=0),"",IF(AND(ISNUMBER('Raw Data'!AI21), IFERROR('Raw Data'!AI21 = ROUND('Raw Data'!AI21, 2),FALSE)),"",_xlfn.REGEXEXTRACT(CELL("address",AI21), "\$([A-Z]+)\$[0-9]+"))),_xlfn.REGEXEXTRACT(CELL("address",AI21), "\$([A-Z]+)\$[0-9]+"))</f>
        <v/>
      </c>
      <c r="AJ21" s="7" t="str" cm="1">
        <f t="array" aca="1" ref="AJ21" ca="1">IFERROR(IF(OR('Raw Data'!AJ21="",LEN(TRIM('Raw Data'!AJ21))=0),"",IF(AND(ISNUMBER('Raw Data'!AJ21), IFERROR('Raw Data'!AJ21 = ROUND('Raw Data'!AJ21, 2),FALSE)),"",_xlfn.REGEXEXTRACT(CELL("address",AJ21), "\$([A-Z]+)\$[0-9]+"))),_xlfn.REGEXEXTRACT(CELL("address",AJ21), "\$([A-Z]+)\$[0-9]+"))</f>
        <v/>
      </c>
    </row>
    <row r="22" spans="2:36" x14ac:dyDescent="0.25">
      <c r="B22" s="7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20,LEN('Raw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Data'!D22))=0),"",IF(AND(ISNUMBER('Raw Data'!D22),'Raw Data'!D22&gt;=Configuration!$D$2),"",_xlfn.REGEXEXTRACT(CELL("address",'Raw Data'!D22),"\$([A-Z]+)\$[0-9]+"))),_xlfn.REGEXEXTRACT(CELL("address",D22), "\$([A-Z]+)\$[0-9]+"))</f>
        <v/>
      </c>
      <c r="E22" s="7" t="str" cm="1">
        <f t="array" aca="1" ref="E22" ca="1">IFERROR(IF(OR('Raw Data'!E22="",LEN(TRIM('Raw Data'!E22))=0),"",IF(AND(ISNUMBER('Raw Data'!E22), IFERROR('Raw Data'!E22 = ROUND('Raw Data'!E22, 2),FALSE)),"",_xlfn.REGEXEXTRACT(CELL("address",E22), "\$([A-Z]+)\$[0-9]+"))),_xlfn.REGEXEXTRACT(CELL("address",E22), "\$([A-Z]+)\$[0-9]+"))</f>
        <v/>
      </c>
      <c r="F22" s="7" t="str" cm="1">
        <f t="array" aca="1" ref="F22" ca="1">IFERROR(IF(OR('Raw Data'!F22="",LEN(TRIM('Raw Data'!F22))=0),"",IF(AND(ISNUMBER('Raw Data'!F22), IFERROR('Raw Data'!F22 = ROUND('Raw Data'!F22, 2),FALSE)),"",_xlfn.REGEXEXTRACT(CELL("address",F22), "\$([A-Z]+)\$[0-9]+"))),_xlfn.REGEXEXTRACT(CELL("address",F22), "\$([A-Z]+)\$[0-9]+"))</f>
        <v/>
      </c>
      <c r="G22" s="7" t="str" cm="1">
        <f t="array" aca="1" ref="G22" ca="1">IFERROR(IF(OR('Raw Data'!G22="",LEN(TRIM('Raw Data'!G22))=0),"",IF(AND(ISNUMBER('Raw Data'!G22), IFERROR('Raw Data'!G22 = ROUND('Raw Data'!G22, 2),FALSE)),"",_xlfn.REGEXEXTRACT(CELL("address",G22), "\$([A-Z]+)\$[0-9]+"))),_xlfn.REGEXEXTRACT(CELL("address",G22), "\$([A-Z]+)\$[0-9]+"))</f>
        <v/>
      </c>
      <c r="H22" s="7" t="str" cm="1">
        <f t="array" aca="1" ref="H22" ca="1">IFERROR(IF(OR('Raw Data'!H22="",LEN(TRIM('Raw Data'!H22))=0),"",IF(AND(ISNUMBER('Raw Data'!H22), IFERROR('Raw Data'!H22 = ROUND('Raw Data'!H22, 2),FALSE)),"",_xlfn.REGEXEXTRACT(CELL("address",H22), "\$([A-Z]+)\$[0-9]+"))),_xlfn.REGEXEXTRACT(CELL("address",H22), "\$([A-Z]+)\$[0-9]+"))</f>
        <v/>
      </c>
      <c r="I22" s="7" t="str" cm="1">
        <f t="array" aca="1" ref="I22" ca="1">IFERROR(IF(OR('Raw Data'!I22="",LEN(TRIM('Raw Data'!I22))=0),"",IF(AND(ISNUMBER('Raw Data'!I22), IFERROR('Raw Data'!I22 = ROUND('Raw Data'!I22, 2),FALSE)),"",_xlfn.REGEXEXTRACT(CELL("address",I22), "\$([A-Z]+)\$[0-9]+"))),_xlfn.REGEXEXTRACT(CELL("address",I22), "\$([A-Z]+)\$[0-9]+"))</f>
        <v/>
      </c>
      <c r="J22" s="7" t="str" cm="1">
        <f t="array" aca="1" ref="J22" ca="1">IFERROR(IF(OR('Raw Data'!J22="",LEN(TRIM('Raw Data'!J22))=0),"",IF(AND(ISNUMBER('Raw Data'!J22), IFERROR('Raw Data'!J22 = ROUND('Raw Data'!J22, 2),FALSE)),"",_xlfn.REGEXEXTRACT(CELL("address",J22), "\$([A-Z]+)\$[0-9]+"))),_xlfn.REGEXEXTRACT(CELL("address",J22), "\$([A-Z]+)\$[0-9]+"))</f>
        <v/>
      </c>
      <c r="K22" s="7" t="str" cm="1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7" t="str" cm="1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7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7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7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7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 cm="1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7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7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7" t="str" cm="1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7" t="str" cm="1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  <c r="Z22" s="7" t="str" cm="1">
        <f t="array" aca="1" ref="Z22" ca="1">IFERROR(IF(OR('Raw Data'!Z22="",LEN(TRIM('Raw Data'!Z22))=0),"",IF(AND(ISNUMBER('Raw Data'!Z22), IFERROR('Raw Data'!Z22 = ROUND('Raw Data'!Z22, 2),FALSE)),"",_xlfn.REGEXEXTRACT(CELL("address",Z22), "\$([A-Z]+)\$[0-9]+"))),_xlfn.REGEXEXTRACT(CELL("address",Z22), "\$([A-Z]+)\$[0-9]+"))</f>
        <v/>
      </c>
      <c r="AA22" s="7" t="str" cm="1">
        <f t="array" aca="1" ref="AA22" ca="1">IFERROR(IF(OR('Raw Data'!AA22="",LEN(TRIM('Raw Data'!AA22))=0),"",IF(AND(ISNUMBER('Raw Data'!AA22), IFERROR('Raw Data'!AA22 = ROUND('Raw Data'!AA22, 2),FALSE)),"",_xlfn.REGEXEXTRACT(CELL("address",AA22), "\$([A-Z]+)\$[0-9]+"))),_xlfn.REGEXEXTRACT(CELL("address",AA22), "\$([A-Z]+)\$[0-9]+"))</f>
        <v/>
      </c>
      <c r="AB22" s="7" t="str" cm="1">
        <f t="array" aca="1" ref="AB22" ca="1">IFERROR(IF(OR('Raw Data'!AB22="",LEN(TRIM('Raw Data'!AB22))=0),"",IF(AND(ISNUMBER('Raw Data'!AB22), IFERROR('Raw Data'!AB22 = ROUND('Raw Data'!AB22, 2),FALSE)),"",_xlfn.REGEXEXTRACT(CELL("address",AB22), "\$([A-Z]+)\$[0-9]+"))),_xlfn.REGEXEXTRACT(CELL("address",AB22), "\$([A-Z]+)\$[0-9]+"))</f>
        <v/>
      </c>
      <c r="AC22" s="7" t="str" cm="1">
        <f t="array" aca="1" ref="AC22" ca="1">IFERROR(IF(OR('Raw Data'!AC22="",LEN(TRIM('Raw Data'!AC22))=0),"",IF(AND(ISNUMBER('Raw Data'!AC22), IFERROR('Raw Data'!AC22 = ROUND('Raw Data'!AC22, 2),FALSE)),"",_xlfn.REGEXEXTRACT(CELL("address",AC22), "\$([A-Z]+)\$[0-9]+"))),_xlfn.REGEXEXTRACT(CELL("address",AC22), "\$([A-Z]+)\$[0-9]+"))</f>
        <v/>
      </c>
      <c r="AD22" s="7" t="str" cm="1">
        <f t="array" aca="1" ref="AD22" ca="1">IFERROR(IF(OR('Raw Data'!AD22="",LEN(TRIM('Raw Data'!AD22))=0),"",IF(AND(ISNUMBER('Raw Data'!AD22), IFERROR('Raw Data'!AD22 = ROUND('Raw Data'!AD22, 2),FALSE)),"",_xlfn.REGEXEXTRACT(CELL("address",AD22), "\$([A-Z]+)\$[0-9]+"))),_xlfn.REGEXEXTRACT(CELL("address",AD22), "\$([A-Z]+)\$[0-9]+"))</f>
        <v/>
      </c>
      <c r="AE22" s="7" t="str" cm="1">
        <f t="array" aca="1" ref="AE22" ca="1">IFERROR(IF(OR('Raw Data'!AE22="",LEN(TRIM('Raw Data'!AE22))=0),"",IF(AND(ISNUMBER('Raw Data'!AE22), IFERROR('Raw Data'!AE22 = ROUND('Raw Data'!AE22, 2),FALSE)),"",_xlfn.REGEXEXTRACT(CELL("address",AE22), "\$([A-Z]+)\$[0-9]+"))),_xlfn.REGEXEXTRACT(CELL("address",AE22), "\$([A-Z]+)\$[0-9]+"))</f>
        <v/>
      </c>
      <c r="AF22" s="7" t="str" cm="1">
        <f t="array" aca="1" ref="AF22" ca="1">IFERROR(IF(OR('Raw Data'!AF22="",LEN(TRIM('Raw Data'!AF22))=0),"",IF(AND(ISNUMBER('Raw Data'!AF22), IFERROR('Raw Data'!AF22 = ROUND('Raw Data'!AF22, 2),FALSE)),"",_xlfn.REGEXEXTRACT(CELL("address",AF22), "\$([A-Z]+)\$[0-9]+"))),_xlfn.REGEXEXTRACT(CELL("address",AF22), "\$([A-Z]+)\$[0-9]+"))</f>
        <v/>
      </c>
      <c r="AG22" s="7" t="str" cm="1">
        <f t="array" aca="1" ref="AG22" ca="1">IFERROR(IF(OR('Raw Data'!AG22="",LEN(TRIM('Raw Data'!AG22))=0),"",IF(AND(ISNUMBER('Raw Data'!AG22), IFERROR('Raw Data'!AG22 = ROUND('Raw Data'!AG22, 2),FALSE)),"",_xlfn.REGEXEXTRACT(CELL("address",AG22), "\$([A-Z]+)\$[0-9]+"))),_xlfn.REGEXEXTRACT(CELL("address",AG22), "\$([A-Z]+)\$[0-9]+"))</f>
        <v/>
      </c>
      <c r="AH22" s="7" t="str" cm="1">
        <f t="array" aca="1" ref="AH22" ca="1">IFERROR(IF(OR('Raw Data'!AH22="",LEN(TRIM('Raw Data'!AH22))=0),"",IF(AND(ISNUMBER('Raw Data'!AH22), IFERROR('Raw Data'!AH22 = ROUND('Raw Data'!AH22, 2),FALSE)),"",_xlfn.REGEXEXTRACT(CELL("address",AH22), "\$([A-Z]+)\$[0-9]+"))),_xlfn.REGEXEXTRACT(CELL("address",AH22), "\$([A-Z]+)\$[0-9]+"))</f>
        <v/>
      </c>
      <c r="AI22" s="7" t="str" cm="1">
        <f t="array" aca="1" ref="AI22" ca="1">IFERROR(IF(OR('Raw Data'!AI22="",LEN(TRIM('Raw Data'!AI22))=0),"",IF(AND(ISNUMBER('Raw Data'!AI22), IFERROR('Raw Data'!AI22 = ROUND('Raw Data'!AI22, 2),FALSE)),"",_xlfn.REGEXEXTRACT(CELL("address",AI22), "\$([A-Z]+)\$[0-9]+"))),_xlfn.REGEXEXTRACT(CELL("address",AI22), "\$([A-Z]+)\$[0-9]+"))</f>
        <v/>
      </c>
      <c r="AJ22" s="7" t="str" cm="1">
        <f t="array" aca="1" ref="AJ22" ca="1">IFERROR(IF(OR('Raw Data'!AJ22="",LEN(TRIM('Raw Data'!AJ22))=0),"",IF(AND(ISNUMBER('Raw Data'!AJ22), IFERROR('Raw Data'!AJ22 = ROUND('Raw Data'!AJ22, 2),FALSE)),"",_xlfn.REGEXEXTRACT(CELL("address",AJ22), "\$([A-Z]+)\$[0-9]+"))),_xlfn.REGEXEXTRACT(CELL("address",AJ22), "\$([A-Z]+)\$[0-9]+"))</f>
        <v/>
      </c>
    </row>
    <row r="23" spans="2:36" x14ac:dyDescent="0.25">
      <c r="B23" s="7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20,LEN('Raw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Data'!D23))=0),"",IF(AND(ISNUMBER('Raw Data'!D23),'Raw Data'!D23&gt;=Configuration!$D$2),"",_xlfn.REGEXEXTRACT(CELL("address",'Raw Data'!D23),"\$([A-Z]+)\$[0-9]+"))),_xlfn.REGEXEXTRACT(CELL("address",D23), "\$([A-Z]+)\$[0-9]+"))</f>
        <v/>
      </c>
      <c r="E23" s="7" t="str" cm="1">
        <f t="array" aca="1" ref="E23" ca="1">IFERROR(IF(OR('Raw Data'!E23="",LEN(TRIM('Raw Data'!E23))=0),"",IF(AND(ISNUMBER('Raw Data'!E23), IFERROR('Raw Data'!E23 = ROUND('Raw Data'!E23, 2),FALSE)),"",_xlfn.REGEXEXTRACT(CELL("address",E23), "\$([A-Z]+)\$[0-9]+"))),_xlfn.REGEXEXTRACT(CELL("address",E23), "\$([A-Z]+)\$[0-9]+"))</f>
        <v/>
      </c>
      <c r="F23" s="7" t="str" cm="1">
        <f t="array" aca="1" ref="F23" ca="1">IFERROR(IF(OR('Raw Data'!F23="",LEN(TRIM('Raw Data'!F23))=0),"",IF(AND(ISNUMBER('Raw Data'!F23), IFERROR('Raw Data'!F23 = ROUND('Raw Data'!F23, 2),FALSE)),"",_xlfn.REGEXEXTRACT(CELL("address",F23), "\$([A-Z]+)\$[0-9]+"))),_xlfn.REGEXEXTRACT(CELL("address",F23), "\$([A-Z]+)\$[0-9]+"))</f>
        <v/>
      </c>
      <c r="G23" s="7" t="str" cm="1">
        <f t="array" aca="1" ref="G23" ca="1">IFERROR(IF(OR('Raw Data'!G23="",LEN(TRIM('Raw Data'!G23))=0),"",IF(AND(ISNUMBER('Raw Data'!G23), IFERROR('Raw Data'!G23 = ROUND('Raw Data'!G23, 2),FALSE)),"",_xlfn.REGEXEXTRACT(CELL("address",G23), "\$([A-Z]+)\$[0-9]+"))),_xlfn.REGEXEXTRACT(CELL("address",G23), "\$([A-Z]+)\$[0-9]+"))</f>
        <v/>
      </c>
      <c r="H23" s="7" t="str" cm="1">
        <f t="array" aca="1" ref="H23" ca="1">IFERROR(IF(OR('Raw Data'!H23="",LEN(TRIM('Raw Data'!H23))=0),"",IF(AND(ISNUMBER('Raw Data'!H23), IFERROR('Raw Data'!H23 = ROUND('Raw Data'!H23, 2),FALSE)),"",_xlfn.REGEXEXTRACT(CELL("address",H23), "\$([A-Z]+)\$[0-9]+"))),_xlfn.REGEXEXTRACT(CELL("address",H23), "\$([A-Z]+)\$[0-9]+"))</f>
        <v/>
      </c>
      <c r="I23" s="7" t="str" cm="1">
        <f t="array" aca="1" ref="I23" ca="1">IFERROR(IF(OR('Raw Data'!I23="",LEN(TRIM('Raw Data'!I23))=0),"",IF(AND(ISNUMBER('Raw Data'!I23), IFERROR('Raw Data'!I23 = ROUND('Raw Data'!I23, 2),FALSE)),"",_xlfn.REGEXEXTRACT(CELL("address",I23), "\$([A-Z]+)\$[0-9]+"))),_xlfn.REGEXEXTRACT(CELL("address",I23), "\$([A-Z]+)\$[0-9]+"))</f>
        <v/>
      </c>
      <c r="J23" s="7" t="str" cm="1">
        <f t="array" aca="1" ref="J23" ca="1">IFERROR(IF(OR('Raw Data'!J23="",LEN(TRIM('Raw Data'!J23))=0),"",IF(AND(ISNUMBER('Raw Data'!J23), IFERROR('Raw Data'!J23 = ROUND('Raw Data'!J23, 2),FALSE)),"",_xlfn.REGEXEXTRACT(CELL("address",J23), "\$([A-Z]+)\$[0-9]+"))),_xlfn.REGEXEXTRACT(CELL("address",J23), "\$([A-Z]+)\$[0-9]+"))</f>
        <v/>
      </c>
      <c r="K23" s="7" t="str" cm="1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7" t="str" cm="1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7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7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7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7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 cm="1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7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7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7" t="str" cm="1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7" t="str" cm="1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  <c r="Z23" s="7" t="str" cm="1">
        <f t="array" aca="1" ref="Z23" ca="1">IFERROR(IF(OR('Raw Data'!Z23="",LEN(TRIM('Raw Data'!Z23))=0),"",IF(AND(ISNUMBER('Raw Data'!Z23), IFERROR('Raw Data'!Z23 = ROUND('Raw Data'!Z23, 2),FALSE)),"",_xlfn.REGEXEXTRACT(CELL("address",Z23), "\$([A-Z]+)\$[0-9]+"))),_xlfn.REGEXEXTRACT(CELL("address",Z23), "\$([A-Z]+)\$[0-9]+"))</f>
        <v/>
      </c>
      <c r="AA23" s="7" t="str" cm="1">
        <f t="array" aca="1" ref="AA23" ca="1">IFERROR(IF(OR('Raw Data'!AA23="",LEN(TRIM('Raw Data'!AA23))=0),"",IF(AND(ISNUMBER('Raw Data'!AA23), IFERROR('Raw Data'!AA23 = ROUND('Raw Data'!AA23, 2),FALSE)),"",_xlfn.REGEXEXTRACT(CELL("address",AA23), "\$([A-Z]+)\$[0-9]+"))),_xlfn.REGEXEXTRACT(CELL("address",AA23), "\$([A-Z]+)\$[0-9]+"))</f>
        <v/>
      </c>
      <c r="AB23" s="7" t="str" cm="1">
        <f t="array" aca="1" ref="AB23" ca="1">IFERROR(IF(OR('Raw Data'!AB23="",LEN(TRIM('Raw Data'!AB23))=0),"",IF(AND(ISNUMBER('Raw Data'!AB23), IFERROR('Raw Data'!AB23 = ROUND('Raw Data'!AB23, 2),FALSE)),"",_xlfn.REGEXEXTRACT(CELL("address",AB23), "\$([A-Z]+)\$[0-9]+"))),_xlfn.REGEXEXTRACT(CELL("address",AB23), "\$([A-Z]+)\$[0-9]+"))</f>
        <v/>
      </c>
      <c r="AC23" s="7" t="str" cm="1">
        <f t="array" aca="1" ref="AC23" ca="1">IFERROR(IF(OR('Raw Data'!AC23="",LEN(TRIM('Raw Data'!AC23))=0),"",IF(AND(ISNUMBER('Raw Data'!AC23), IFERROR('Raw Data'!AC23 = ROUND('Raw Data'!AC23, 2),FALSE)),"",_xlfn.REGEXEXTRACT(CELL("address",AC23), "\$([A-Z]+)\$[0-9]+"))),_xlfn.REGEXEXTRACT(CELL("address",AC23), "\$([A-Z]+)\$[0-9]+"))</f>
        <v/>
      </c>
      <c r="AD23" s="7" t="str" cm="1">
        <f t="array" aca="1" ref="AD23" ca="1">IFERROR(IF(OR('Raw Data'!AD23="",LEN(TRIM('Raw Data'!AD23))=0),"",IF(AND(ISNUMBER('Raw Data'!AD23), IFERROR('Raw Data'!AD23 = ROUND('Raw Data'!AD23, 2),FALSE)),"",_xlfn.REGEXEXTRACT(CELL("address",AD23), "\$([A-Z]+)\$[0-9]+"))),_xlfn.REGEXEXTRACT(CELL("address",AD23), "\$([A-Z]+)\$[0-9]+"))</f>
        <v/>
      </c>
      <c r="AE23" s="7" t="str" cm="1">
        <f t="array" aca="1" ref="AE23" ca="1">IFERROR(IF(OR('Raw Data'!AE23="",LEN(TRIM('Raw Data'!AE23))=0),"",IF(AND(ISNUMBER('Raw Data'!AE23), IFERROR('Raw Data'!AE23 = ROUND('Raw Data'!AE23, 2),FALSE)),"",_xlfn.REGEXEXTRACT(CELL("address",AE23), "\$([A-Z]+)\$[0-9]+"))),_xlfn.REGEXEXTRACT(CELL("address",AE23), "\$([A-Z]+)\$[0-9]+"))</f>
        <v/>
      </c>
      <c r="AF23" s="7" t="str" cm="1">
        <f t="array" aca="1" ref="AF23" ca="1">IFERROR(IF(OR('Raw Data'!AF23="",LEN(TRIM('Raw Data'!AF23))=0),"",IF(AND(ISNUMBER('Raw Data'!AF23), IFERROR('Raw Data'!AF23 = ROUND('Raw Data'!AF23, 2),FALSE)),"",_xlfn.REGEXEXTRACT(CELL("address",AF23), "\$([A-Z]+)\$[0-9]+"))),_xlfn.REGEXEXTRACT(CELL("address",AF23), "\$([A-Z]+)\$[0-9]+"))</f>
        <v/>
      </c>
      <c r="AG23" s="7" t="str" cm="1">
        <f t="array" aca="1" ref="AG23" ca="1">IFERROR(IF(OR('Raw Data'!AG23="",LEN(TRIM('Raw Data'!AG23))=0),"",IF(AND(ISNUMBER('Raw Data'!AG23), IFERROR('Raw Data'!AG23 = ROUND('Raw Data'!AG23, 2),FALSE)),"",_xlfn.REGEXEXTRACT(CELL("address",AG23), "\$([A-Z]+)\$[0-9]+"))),_xlfn.REGEXEXTRACT(CELL("address",AG23), "\$([A-Z]+)\$[0-9]+"))</f>
        <v/>
      </c>
      <c r="AH23" s="7" t="str" cm="1">
        <f t="array" aca="1" ref="AH23" ca="1">IFERROR(IF(OR('Raw Data'!AH23="",LEN(TRIM('Raw Data'!AH23))=0),"",IF(AND(ISNUMBER('Raw Data'!AH23), IFERROR('Raw Data'!AH23 = ROUND('Raw Data'!AH23, 2),FALSE)),"",_xlfn.REGEXEXTRACT(CELL("address",AH23), "\$([A-Z]+)\$[0-9]+"))),_xlfn.REGEXEXTRACT(CELL("address",AH23), "\$([A-Z]+)\$[0-9]+"))</f>
        <v/>
      </c>
      <c r="AI23" s="7" t="str" cm="1">
        <f t="array" aca="1" ref="AI23" ca="1">IFERROR(IF(OR('Raw Data'!AI23="",LEN(TRIM('Raw Data'!AI23))=0),"",IF(AND(ISNUMBER('Raw Data'!AI23), IFERROR('Raw Data'!AI23 = ROUND('Raw Data'!AI23, 2),FALSE)),"",_xlfn.REGEXEXTRACT(CELL("address",AI23), "\$([A-Z]+)\$[0-9]+"))),_xlfn.REGEXEXTRACT(CELL("address",AI23), "\$([A-Z]+)\$[0-9]+"))</f>
        <v/>
      </c>
      <c r="AJ23" s="7" t="str" cm="1">
        <f t="array" aca="1" ref="AJ23" ca="1">IFERROR(IF(OR('Raw Data'!AJ23="",LEN(TRIM('Raw Data'!AJ23))=0),"",IF(AND(ISNUMBER('Raw Data'!AJ23), IFERROR('Raw Data'!AJ23 = ROUND('Raw Data'!AJ23, 2),FALSE)),"",_xlfn.REGEXEXTRACT(CELL("address",AJ23), "\$([A-Z]+)\$[0-9]+"))),_xlfn.REGEXEXTRACT(CELL("address",AJ23), "\$([A-Z]+)\$[0-9]+"))</f>
        <v/>
      </c>
    </row>
    <row r="24" spans="2:36" x14ac:dyDescent="0.25">
      <c r="B24" s="7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20,LEN('Raw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Data'!D24))=0),"",IF(AND(ISNUMBER('Raw Data'!D24),'Raw Data'!D24&gt;=Configuration!$D$2),"",_xlfn.REGEXEXTRACT(CELL("address",'Raw Data'!D24),"\$([A-Z]+)\$[0-9]+"))),_xlfn.REGEXEXTRACT(CELL("address",D24), "\$([A-Z]+)\$[0-9]+"))</f>
        <v/>
      </c>
      <c r="E24" s="7" t="str" cm="1">
        <f t="array" aca="1" ref="E24" ca="1">IFERROR(IF(OR('Raw Data'!E24="",LEN(TRIM('Raw Data'!E24))=0),"",IF(AND(ISNUMBER('Raw Data'!E24), IFERROR('Raw Data'!E24 = ROUND('Raw Data'!E24, 2),FALSE)),"",_xlfn.REGEXEXTRACT(CELL("address",E24), "\$([A-Z]+)\$[0-9]+"))),_xlfn.REGEXEXTRACT(CELL("address",E24), "\$([A-Z]+)\$[0-9]+"))</f>
        <v/>
      </c>
      <c r="F24" s="7" t="str" cm="1">
        <f t="array" aca="1" ref="F24" ca="1">IFERROR(IF(OR('Raw Data'!F24="",LEN(TRIM('Raw Data'!F24))=0),"",IF(AND(ISNUMBER('Raw Data'!F24), IFERROR('Raw Data'!F24 = ROUND('Raw Data'!F24, 2),FALSE)),"",_xlfn.REGEXEXTRACT(CELL("address",F24), "\$([A-Z]+)\$[0-9]+"))),_xlfn.REGEXEXTRACT(CELL("address",F24), "\$([A-Z]+)\$[0-9]+"))</f>
        <v/>
      </c>
      <c r="G24" s="7" t="str" cm="1">
        <f t="array" aca="1" ref="G24" ca="1">IFERROR(IF(OR('Raw Data'!G24="",LEN(TRIM('Raw Data'!G24))=0),"",IF(AND(ISNUMBER('Raw Data'!G24), IFERROR('Raw Data'!G24 = ROUND('Raw Data'!G24, 2),FALSE)),"",_xlfn.REGEXEXTRACT(CELL("address",G24), "\$([A-Z]+)\$[0-9]+"))),_xlfn.REGEXEXTRACT(CELL("address",G24), "\$([A-Z]+)\$[0-9]+"))</f>
        <v/>
      </c>
      <c r="H24" s="7" t="str" cm="1">
        <f t="array" aca="1" ref="H24" ca="1">IFERROR(IF(OR('Raw Data'!H24="",LEN(TRIM('Raw Data'!H24))=0),"",IF(AND(ISNUMBER('Raw Data'!H24), IFERROR('Raw Data'!H24 = ROUND('Raw Data'!H24, 2),FALSE)),"",_xlfn.REGEXEXTRACT(CELL("address",H24), "\$([A-Z]+)\$[0-9]+"))),_xlfn.REGEXEXTRACT(CELL("address",H24), "\$([A-Z]+)\$[0-9]+"))</f>
        <v/>
      </c>
      <c r="I24" s="7" t="str" cm="1">
        <f t="array" aca="1" ref="I24" ca="1">IFERROR(IF(OR('Raw Data'!I24="",LEN(TRIM('Raw Data'!I24))=0),"",IF(AND(ISNUMBER('Raw Data'!I24), IFERROR('Raw Data'!I24 = ROUND('Raw Data'!I24, 2),FALSE)),"",_xlfn.REGEXEXTRACT(CELL("address",I24), "\$([A-Z]+)\$[0-9]+"))),_xlfn.REGEXEXTRACT(CELL("address",I24), "\$([A-Z]+)\$[0-9]+"))</f>
        <v/>
      </c>
      <c r="J24" s="7" t="str" cm="1">
        <f t="array" aca="1" ref="J24" ca="1">IFERROR(IF(OR('Raw Data'!J24="",LEN(TRIM('Raw Data'!J24))=0),"",IF(AND(ISNUMBER('Raw Data'!J24), IFERROR('Raw Data'!J24 = ROUND('Raw Data'!J24, 2),FALSE)),"",_xlfn.REGEXEXTRACT(CELL("address",J24), "\$([A-Z]+)\$[0-9]+"))),_xlfn.REGEXEXTRACT(CELL("address",J24), "\$([A-Z]+)\$[0-9]+"))</f>
        <v/>
      </c>
      <c r="K24" s="7" t="str" cm="1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7" t="str" cm="1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7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7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7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7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 cm="1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7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7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7" t="str" cm="1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7" t="str" cm="1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  <c r="Z24" s="7" t="str" cm="1">
        <f t="array" aca="1" ref="Z24" ca="1">IFERROR(IF(OR('Raw Data'!Z24="",LEN(TRIM('Raw Data'!Z24))=0),"",IF(AND(ISNUMBER('Raw Data'!Z24), IFERROR('Raw Data'!Z24 = ROUND('Raw Data'!Z24, 2),FALSE)),"",_xlfn.REGEXEXTRACT(CELL("address",Z24), "\$([A-Z]+)\$[0-9]+"))),_xlfn.REGEXEXTRACT(CELL("address",Z24), "\$([A-Z]+)\$[0-9]+"))</f>
        <v/>
      </c>
      <c r="AA24" s="7" t="str" cm="1">
        <f t="array" aca="1" ref="AA24" ca="1">IFERROR(IF(OR('Raw Data'!AA24="",LEN(TRIM('Raw Data'!AA24))=0),"",IF(AND(ISNUMBER('Raw Data'!AA24), IFERROR('Raw Data'!AA24 = ROUND('Raw Data'!AA24, 2),FALSE)),"",_xlfn.REGEXEXTRACT(CELL("address",AA24), "\$([A-Z]+)\$[0-9]+"))),_xlfn.REGEXEXTRACT(CELL("address",AA24), "\$([A-Z]+)\$[0-9]+"))</f>
        <v/>
      </c>
      <c r="AB24" s="7" t="str" cm="1">
        <f t="array" aca="1" ref="AB24" ca="1">IFERROR(IF(OR('Raw Data'!AB24="",LEN(TRIM('Raw Data'!AB24))=0),"",IF(AND(ISNUMBER('Raw Data'!AB24), IFERROR('Raw Data'!AB24 = ROUND('Raw Data'!AB24, 2),FALSE)),"",_xlfn.REGEXEXTRACT(CELL("address",AB24), "\$([A-Z]+)\$[0-9]+"))),_xlfn.REGEXEXTRACT(CELL("address",AB24), "\$([A-Z]+)\$[0-9]+"))</f>
        <v/>
      </c>
      <c r="AC24" s="7" t="str" cm="1">
        <f t="array" aca="1" ref="AC24" ca="1">IFERROR(IF(OR('Raw Data'!AC24="",LEN(TRIM('Raw Data'!AC24))=0),"",IF(AND(ISNUMBER('Raw Data'!AC24), IFERROR('Raw Data'!AC24 = ROUND('Raw Data'!AC24, 2),FALSE)),"",_xlfn.REGEXEXTRACT(CELL("address",AC24), "\$([A-Z]+)\$[0-9]+"))),_xlfn.REGEXEXTRACT(CELL("address",AC24), "\$([A-Z]+)\$[0-9]+"))</f>
        <v/>
      </c>
      <c r="AD24" s="7" t="str" cm="1">
        <f t="array" aca="1" ref="AD24" ca="1">IFERROR(IF(OR('Raw Data'!AD24="",LEN(TRIM('Raw Data'!AD24))=0),"",IF(AND(ISNUMBER('Raw Data'!AD24), IFERROR('Raw Data'!AD24 = ROUND('Raw Data'!AD24, 2),FALSE)),"",_xlfn.REGEXEXTRACT(CELL("address",AD24), "\$([A-Z]+)\$[0-9]+"))),_xlfn.REGEXEXTRACT(CELL("address",AD24), "\$([A-Z]+)\$[0-9]+"))</f>
        <v/>
      </c>
      <c r="AE24" s="7" t="str" cm="1">
        <f t="array" aca="1" ref="AE24" ca="1">IFERROR(IF(OR('Raw Data'!AE24="",LEN(TRIM('Raw Data'!AE24))=0),"",IF(AND(ISNUMBER('Raw Data'!AE24), IFERROR('Raw Data'!AE24 = ROUND('Raw Data'!AE24, 2),FALSE)),"",_xlfn.REGEXEXTRACT(CELL("address",AE24), "\$([A-Z]+)\$[0-9]+"))),_xlfn.REGEXEXTRACT(CELL("address",AE24), "\$([A-Z]+)\$[0-9]+"))</f>
        <v/>
      </c>
      <c r="AF24" s="7" t="str" cm="1">
        <f t="array" aca="1" ref="AF24" ca="1">IFERROR(IF(OR('Raw Data'!AF24="",LEN(TRIM('Raw Data'!AF24))=0),"",IF(AND(ISNUMBER('Raw Data'!AF24), IFERROR('Raw Data'!AF24 = ROUND('Raw Data'!AF24, 2),FALSE)),"",_xlfn.REGEXEXTRACT(CELL("address",AF24), "\$([A-Z]+)\$[0-9]+"))),_xlfn.REGEXEXTRACT(CELL("address",AF24), "\$([A-Z]+)\$[0-9]+"))</f>
        <v/>
      </c>
      <c r="AG24" s="7" t="str" cm="1">
        <f t="array" aca="1" ref="AG24" ca="1">IFERROR(IF(OR('Raw Data'!AG24="",LEN(TRIM('Raw Data'!AG24))=0),"",IF(AND(ISNUMBER('Raw Data'!AG24), IFERROR('Raw Data'!AG24 = ROUND('Raw Data'!AG24, 2),FALSE)),"",_xlfn.REGEXEXTRACT(CELL("address",AG24), "\$([A-Z]+)\$[0-9]+"))),_xlfn.REGEXEXTRACT(CELL("address",AG24), "\$([A-Z]+)\$[0-9]+"))</f>
        <v/>
      </c>
      <c r="AH24" s="7" t="str" cm="1">
        <f t="array" aca="1" ref="AH24" ca="1">IFERROR(IF(OR('Raw Data'!AH24="",LEN(TRIM('Raw Data'!AH24))=0),"",IF(AND(ISNUMBER('Raw Data'!AH24), IFERROR('Raw Data'!AH24 = ROUND('Raw Data'!AH24, 2),FALSE)),"",_xlfn.REGEXEXTRACT(CELL("address",AH24), "\$([A-Z]+)\$[0-9]+"))),_xlfn.REGEXEXTRACT(CELL("address",AH24), "\$([A-Z]+)\$[0-9]+"))</f>
        <v/>
      </c>
      <c r="AI24" s="7" t="str" cm="1">
        <f t="array" aca="1" ref="AI24" ca="1">IFERROR(IF(OR('Raw Data'!AI24="",LEN(TRIM('Raw Data'!AI24))=0),"",IF(AND(ISNUMBER('Raw Data'!AI24), IFERROR('Raw Data'!AI24 = ROUND('Raw Data'!AI24, 2),FALSE)),"",_xlfn.REGEXEXTRACT(CELL("address",AI24), "\$([A-Z]+)\$[0-9]+"))),_xlfn.REGEXEXTRACT(CELL("address",AI24), "\$([A-Z]+)\$[0-9]+"))</f>
        <v/>
      </c>
      <c r="AJ24" s="7" t="str" cm="1">
        <f t="array" aca="1" ref="AJ24" ca="1">IFERROR(IF(OR('Raw Data'!AJ24="",LEN(TRIM('Raw Data'!AJ24))=0),"",IF(AND(ISNUMBER('Raw Data'!AJ24), IFERROR('Raw Data'!AJ24 = ROUND('Raw Data'!AJ24, 2),FALSE)),"",_xlfn.REGEXEXTRACT(CELL("address",AJ24), "\$([A-Z]+)\$[0-9]+"))),_xlfn.REGEXEXTRACT(CELL("address",AJ24), "\$([A-Z]+)\$[0-9]+"))</f>
        <v/>
      </c>
    </row>
    <row r="25" spans="2:36" x14ac:dyDescent="0.25">
      <c r="B25" s="7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20,LEN('Raw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Data'!D25))=0),"",IF(AND(ISNUMBER('Raw Data'!D25),'Raw Data'!D25&gt;=Configuration!$D$2),"",_xlfn.REGEXEXTRACT(CELL("address",'Raw Data'!D25),"\$([A-Z]+)\$[0-9]+"))),_xlfn.REGEXEXTRACT(CELL("address",D25), "\$([A-Z]+)\$[0-9]+"))</f>
        <v/>
      </c>
      <c r="E25" s="7" t="str" cm="1">
        <f t="array" aca="1" ref="E25" ca="1">IFERROR(IF(OR('Raw Data'!E25="",LEN(TRIM('Raw Data'!E25))=0),"",IF(AND(ISNUMBER('Raw Data'!E25), IFERROR('Raw Data'!E25 = ROUND('Raw Data'!E25, 2),FALSE)),"",_xlfn.REGEXEXTRACT(CELL("address",E25), "\$([A-Z]+)\$[0-9]+"))),_xlfn.REGEXEXTRACT(CELL("address",E25), "\$([A-Z]+)\$[0-9]+"))</f>
        <v/>
      </c>
      <c r="F25" s="7" t="str" cm="1">
        <f t="array" aca="1" ref="F25" ca="1">IFERROR(IF(OR('Raw Data'!F25="",LEN(TRIM('Raw Data'!F25))=0),"",IF(AND(ISNUMBER('Raw Data'!F25), IFERROR('Raw Data'!F25 = ROUND('Raw Data'!F25, 2),FALSE)),"",_xlfn.REGEXEXTRACT(CELL("address",F25), "\$([A-Z]+)\$[0-9]+"))),_xlfn.REGEXEXTRACT(CELL("address",F25), "\$([A-Z]+)\$[0-9]+"))</f>
        <v/>
      </c>
      <c r="G25" s="7" t="str" cm="1">
        <f t="array" aca="1" ref="G25" ca="1">IFERROR(IF(OR('Raw Data'!G25="",LEN(TRIM('Raw Data'!G25))=0),"",IF(AND(ISNUMBER('Raw Data'!G25), IFERROR('Raw Data'!G25 = ROUND('Raw Data'!G25, 2),FALSE)),"",_xlfn.REGEXEXTRACT(CELL("address",G25), "\$([A-Z]+)\$[0-9]+"))),_xlfn.REGEXEXTRACT(CELL("address",G25), "\$([A-Z]+)\$[0-9]+"))</f>
        <v/>
      </c>
      <c r="H25" s="7" t="str" cm="1">
        <f t="array" aca="1" ref="H25" ca="1">IFERROR(IF(OR('Raw Data'!H25="",LEN(TRIM('Raw Data'!H25))=0),"",IF(AND(ISNUMBER('Raw Data'!H25), IFERROR('Raw Data'!H25 = ROUND('Raw Data'!H25, 2),FALSE)),"",_xlfn.REGEXEXTRACT(CELL("address",H25), "\$([A-Z]+)\$[0-9]+"))),_xlfn.REGEXEXTRACT(CELL("address",H25), "\$([A-Z]+)\$[0-9]+"))</f>
        <v/>
      </c>
      <c r="I25" s="7" t="str" cm="1">
        <f t="array" aca="1" ref="I25" ca="1">IFERROR(IF(OR('Raw Data'!I25="",LEN(TRIM('Raw Data'!I25))=0),"",IF(AND(ISNUMBER('Raw Data'!I25), IFERROR('Raw Data'!I25 = ROUND('Raw Data'!I25, 2),FALSE)),"",_xlfn.REGEXEXTRACT(CELL("address",I25), "\$([A-Z]+)\$[0-9]+"))),_xlfn.REGEXEXTRACT(CELL("address",I25), "\$([A-Z]+)\$[0-9]+"))</f>
        <v/>
      </c>
      <c r="J25" s="7" t="str" cm="1">
        <f t="array" aca="1" ref="J25" ca="1">IFERROR(IF(OR('Raw Data'!J25="",LEN(TRIM('Raw Data'!J25))=0),"",IF(AND(ISNUMBER('Raw Data'!J25), IFERROR('Raw Data'!J25 = ROUND('Raw Data'!J25, 2),FALSE)),"",_xlfn.REGEXEXTRACT(CELL("address",J25), "\$([A-Z]+)\$[0-9]+"))),_xlfn.REGEXEXTRACT(CELL("address",J25), "\$([A-Z]+)\$[0-9]+"))</f>
        <v/>
      </c>
      <c r="K25" s="7" t="str" cm="1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7" t="str" cm="1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7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7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7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7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 cm="1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7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7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7" t="str" cm="1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7" t="str" cm="1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  <c r="Z25" s="7" t="str" cm="1">
        <f t="array" aca="1" ref="Z25" ca="1">IFERROR(IF(OR('Raw Data'!Z25="",LEN(TRIM('Raw Data'!Z25))=0),"",IF(AND(ISNUMBER('Raw Data'!Z25), IFERROR('Raw Data'!Z25 = ROUND('Raw Data'!Z25, 2),FALSE)),"",_xlfn.REGEXEXTRACT(CELL("address",Z25), "\$([A-Z]+)\$[0-9]+"))),_xlfn.REGEXEXTRACT(CELL("address",Z25), "\$([A-Z]+)\$[0-9]+"))</f>
        <v/>
      </c>
      <c r="AA25" s="7" t="str" cm="1">
        <f t="array" aca="1" ref="AA25" ca="1">IFERROR(IF(OR('Raw Data'!AA25="",LEN(TRIM('Raw Data'!AA25))=0),"",IF(AND(ISNUMBER('Raw Data'!AA25), IFERROR('Raw Data'!AA25 = ROUND('Raw Data'!AA25, 2),FALSE)),"",_xlfn.REGEXEXTRACT(CELL("address",AA25), "\$([A-Z]+)\$[0-9]+"))),_xlfn.REGEXEXTRACT(CELL("address",AA25), "\$([A-Z]+)\$[0-9]+"))</f>
        <v/>
      </c>
      <c r="AB25" s="7" t="str" cm="1">
        <f t="array" aca="1" ref="AB25" ca="1">IFERROR(IF(OR('Raw Data'!AB25="",LEN(TRIM('Raw Data'!AB25))=0),"",IF(AND(ISNUMBER('Raw Data'!AB25), IFERROR('Raw Data'!AB25 = ROUND('Raw Data'!AB25, 2),FALSE)),"",_xlfn.REGEXEXTRACT(CELL("address",AB25), "\$([A-Z]+)\$[0-9]+"))),_xlfn.REGEXEXTRACT(CELL("address",AB25), "\$([A-Z]+)\$[0-9]+"))</f>
        <v/>
      </c>
      <c r="AC25" s="7" t="str" cm="1">
        <f t="array" aca="1" ref="AC25" ca="1">IFERROR(IF(OR('Raw Data'!AC25="",LEN(TRIM('Raw Data'!AC25))=0),"",IF(AND(ISNUMBER('Raw Data'!AC25), IFERROR('Raw Data'!AC25 = ROUND('Raw Data'!AC25, 2),FALSE)),"",_xlfn.REGEXEXTRACT(CELL("address",AC25), "\$([A-Z]+)\$[0-9]+"))),_xlfn.REGEXEXTRACT(CELL("address",AC25), "\$([A-Z]+)\$[0-9]+"))</f>
        <v/>
      </c>
      <c r="AD25" s="7" t="str" cm="1">
        <f t="array" aca="1" ref="AD25" ca="1">IFERROR(IF(OR('Raw Data'!AD25="",LEN(TRIM('Raw Data'!AD25))=0),"",IF(AND(ISNUMBER('Raw Data'!AD25), IFERROR('Raw Data'!AD25 = ROUND('Raw Data'!AD25, 2),FALSE)),"",_xlfn.REGEXEXTRACT(CELL("address",AD25), "\$([A-Z]+)\$[0-9]+"))),_xlfn.REGEXEXTRACT(CELL("address",AD25), "\$([A-Z]+)\$[0-9]+"))</f>
        <v/>
      </c>
      <c r="AE25" s="7" t="str" cm="1">
        <f t="array" aca="1" ref="AE25" ca="1">IFERROR(IF(OR('Raw Data'!AE25="",LEN(TRIM('Raw Data'!AE25))=0),"",IF(AND(ISNUMBER('Raw Data'!AE25), IFERROR('Raw Data'!AE25 = ROUND('Raw Data'!AE25, 2),FALSE)),"",_xlfn.REGEXEXTRACT(CELL("address",AE25), "\$([A-Z]+)\$[0-9]+"))),_xlfn.REGEXEXTRACT(CELL("address",AE25), "\$([A-Z]+)\$[0-9]+"))</f>
        <v/>
      </c>
      <c r="AF25" s="7" t="str" cm="1">
        <f t="array" aca="1" ref="AF25" ca="1">IFERROR(IF(OR('Raw Data'!AF25="",LEN(TRIM('Raw Data'!AF25))=0),"",IF(AND(ISNUMBER('Raw Data'!AF25), IFERROR('Raw Data'!AF25 = ROUND('Raw Data'!AF25, 2),FALSE)),"",_xlfn.REGEXEXTRACT(CELL("address",AF25), "\$([A-Z]+)\$[0-9]+"))),_xlfn.REGEXEXTRACT(CELL("address",AF25), "\$([A-Z]+)\$[0-9]+"))</f>
        <v/>
      </c>
      <c r="AG25" s="7" t="str" cm="1">
        <f t="array" aca="1" ref="AG25" ca="1">IFERROR(IF(OR('Raw Data'!AG25="",LEN(TRIM('Raw Data'!AG25))=0),"",IF(AND(ISNUMBER('Raw Data'!AG25), IFERROR('Raw Data'!AG25 = ROUND('Raw Data'!AG25, 2),FALSE)),"",_xlfn.REGEXEXTRACT(CELL("address",AG25), "\$([A-Z]+)\$[0-9]+"))),_xlfn.REGEXEXTRACT(CELL("address",AG25), "\$([A-Z]+)\$[0-9]+"))</f>
        <v/>
      </c>
      <c r="AH25" s="7" t="str" cm="1">
        <f t="array" aca="1" ref="AH25" ca="1">IFERROR(IF(OR('Raw Data'!AH25="",LEN(TRIM('Raw Data'!AH25))=0),"",IF(AND(ISNUMBER('Raw Data'!AH25), IFERROR('Raw Data'!AH25 = ROUND('Raw Data'!AH25, 2),FALSE)),"",_xlfn.REGEXEXTRACT(CELL("address",AH25), "\$([A-Z]+)\$[0-9]+"))),_xlfn.REGEXEXTRACT(CELL("address",AH25), "\$([A-Z]+)\$[0-9]+"))</f>
        <v/>
      </c>
      <c r="AI25" s="7" t="str" cm="1">
        <f t="array" aca="1" ref="AI25" ca="1">IFERROR(IF(OR('Raw Data'!AI25="",LEN(TRIM('Raw Data'!AI25))=0),"",IF(AND(ISNUMBER('Raw Data'!AI25), IFERROR('Raw Data'!AI25 = ROUND('Raw Data'!AI25, 2),FALSE)),"",_xlfn.REGEXEXTRACT(CELL("address",AI25), "\$([A-Z]+)\$[0-9]+"))),_xlfn.REGEXEXTRACT(CELL("address",AI25), "\$([A-Z]+)\$[0-9]+"))</f>
        <v/>
      </c>
      <c r="AJ25" s="7" t="str" cm="1">
        <f t="array" aca="1" ref="AJ25" ca="1">IFERROR(IF(OR('Raw Data'!AJ25="",LEN(TRIM('Raw Data'!AJ25))=0),"",IF(AND(ISNUMBER('Raw Data'!AJ25), IFERROR('Raw Data'!AJ25 = ROUND('Raw Data'!AJ25, 2),FALSE)),"",_xlfn.REGEXEXTRACT(CELL("address",AJ25), "\$([A-Z]+)\$[0-9]+"))),_xlfn.REGEXEXTRACT(CELL("address",AJ25), "\$([A-Z]+)\$[0-9]+"))</f>
        <v/>
      </c>
    </row>
    <row r="26" spans="2:36" x14ac:dyDescent="0.25">
      <c r="B26" s="7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20,LEN('Raw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Data'!D26))=0),"",IF(AND(ISNUMBER('Raw Data'!D26),'Raw Data'!D26&gt;=Configuration!$D$2),"",_xlfn.REGEXEXTRACT(CELL("address",'Raw Data'!D26),"\$([A-Z]+)\$[0-9]+"))),_xlfn.REGEXEXTRACT(CELL("address",D26), "\$([A-Z]+)\$[0-9]+"))</f>
        <v/>
      </c>
      <c r="E26" s="7" t="str" cm="1">
        <f t="array" aca="1" ref="E26" ca="1">IFERROR(IF(OR('Raw Data'!E26="",LEN(TRIM('Raw Data'!E26))=0),"",IF(AND(ISNUMBER('Raw Data'!E26), IFERROR('Raw Data'!E26 = ROUND('Raw Data'!E26, 2),FALSE)),"",_xlfn.REGEXEXTRACT(CELL("address",E26), "\$([A-Z]+)\$[0-9]+"))),_xlfn.REGEXEXTRACT(CELL("address",E26), "\$([A-Z]+)\$[0-9]+"))</f>
        <v/>
      </c>
      <c r="F26" s="7" t="str" cm="1">
        <f t="array" aca="1" ref="F26" ca="1">IFERROR(IF(OR('Raw Data'!F26="",LEN(TRIM('Raw Data'!F26))=0),"",IF(AND(ISNUMBER('Raw Data'!F26), IFERROR('Raw Data'!F26 = ROUND('Raw Data'!F26, 2),FALSE)),"",_xlfn.REGEXEXTRACT(CELL("address",F26), "\$([A-Z]+)\$[0-9]+"))),_xlfn.REGEXEXTRACT(CELL("address",F26), "\$([A-Z]+)\$[0-9]+"))</f>
        <v/>
      </c>
      <c r="G26" s="7" t="str" cm="1">
        <f t="array" aca="1" ref="G26" ca="1">IFERROR(IF(OR('Raw Data'!G26="",LEN(TRIM('Raw Data'!G26))=0),"",IF(AND(ISNUMBER('Raw Data'!G26), IFERROR('Raw Data'!G26 = ROUND('Raw Data'!G26, 2),FALSE)),"",_xlfn.REGEXEXTRACT(CELL("address",G26), "\$([A-Z]+)\$[0-9]+"))),_xlfn.REGEXEXTRACT(CELL("address",G26), "\$([A-Z]+)\$[0-9]+"))</f>
        <v/>
      </c>
      <c r="H26" s="7" t="str" cm="1">
        <f t="array" aca="1" ref="H26" ca="1">IFERROR(IF(OR('Raw Data'!H26="",LEN(TRIM('Raw Data'!H26))=0),"",IF(AND(ISNUMBER('Raw Data'!H26), IFERROR('Raw Data'!H26 = ROUND('Raw Data'!H26, 2),FALSE)),"",_xlfn.REGEXEXTRACT(CELL("address",H26), "\$([A-Z]+)\$[0-9]+"))),_xlfn.REGEXEXTRACT(CELL("address",H26), "\$([A-Z]+)\$[0-9]+"))</f>
        <v/>
      </c>
      <c r="I26" s="7" t="str" cm="1">
        <f t="array" aca="1" ref="I26" ca="1">IFERROR(IF(OR('Raw Data'!I26="",LEN(TRIM('Raw Data'!I26))=0),"",IF(AND(ISNUMBER('Raw Data'!I26), IFERROR('Raw Data'!I26 = ROUND('Raw Data'!I26, 2),FALSE)),"",_xlfn.REGEXEXTRACT(CELL("address",I26), "\$([A-Z]+)\$[0-9]+"))),_xlfn.REGEXEXTRACT(CELL("address",I26), "\$([A-Z]+)\$[0-9]+"))</f>
        <v/>
      </c>
      <c r="J26" s="7" t="str" cm="1">
        <f t="array" aca="1" ref="J26" ca="1">IFERROR(IF(OR('Raw Data'!J26="",LEN(TRIM('Raw Data'!J26))=0),"",IF(AND(ISNUMBER('Raw Data'!J26), IFERROR('Raw Data'!J26 = ROUND('Raw Data'!J26, 2),FALSE)),"",_xlfn.REGEXEXTRACT(CELL("address",J26), "\$([A-Z]+)\$[0-9]+"))),_xlfn.REGEXEXTRACT(CELL("address",J26), "\$([A-Z]+)\$[0-9]+"))</f>
        <v/>
      </c>
      <c r="K26" s="7" t="str" cm="1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7" t="str" cm="1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7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7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7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7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 cm="1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7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7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7" t="str" cm="1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7" t="str" cm="1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  <c r="Z26" s="7" t="str" cm="1">
        <f t="array" aca="1" ref="Z26" ca="1">IFERROR(IF(OR('Raw Data'!Z26="",LEN(TRIM('Raw Data'!Z26))=0),"",IF(AND(ISNUMBER('Raw Data'!Z26), IFERROR('Raw Data'!Z26 = ROUND('Raw Data'!Z26, 2),FALSE)),"",_xlfn.REGEXEXTRACT(CELL("address",Z26), "\$([A-Z]+)\$[0-9]+"))),_xlfn.REGEXEXTRACT(CELL("address",Z26), "\$([A-Z]+)\$[0-9]+"))</f>
        <v/>
      </c>
      <c r="AA26" s="7" t="str" cm="1">
        <f t="array" aca="1" ref="AA26" ca="1">IFERROR(IF(OR('Raw Data'!AA26="",LEN(TRIM('Raw Data'!AA26))=0),"",IF(AND(ISNUMBER('Raw Data'!AA26), IFERROR('Raw Data'!AA26 = ROUND('Raw Data'!AA26, 2),FALSE)),"",_xlfn.REGEXEXTRACT(CELL("address",AA26), "\$([A-Z]+)\$[0-9]+"))),_xlfn.REGEXEXTRACT(CELL("address",AA26), "\$([A-Z]+)\$[0-9]+"))</f>
        <v/>
      </c>
      <c r="AB26" s="7" t="str" cm="1">
        <f t="array" aca="1" ref="AB26" ca="1">IFERROR(IF(OR('Raw Data'!AB26="",LEN(TRIM('Raw Data'!AB26))=0),"",IF(AND(ISNUMBER('Raw Data'!AB26), IFERROR('Raw Data'!AB26 = ROUND('Raw Data'!AB26, 2),FALSE)),"",_xlfn.REGEXEXTRACT(CELL("address",AB26), "\$([A-Z]+)\$[0-9]+"))),_xlfn.REGEXEXTRACT(CELL("address",AB26), "\$([A-Z]+)\$[0-9]+"))</f>
        <v/>
      </c>
      <c r="AC26" s="7" t="str" cm="1">
        <f t="array" aca="1" ref="AC26" ca="1">IFERROR(IF(OR('Raw Data'!AC26="",LEN(TRIM('Raw Data'!AC26))=0),"",IF(AND(ISNUMBER('Raw Data'!AC26), IFERROR('Raw Data'!AC26 = ROUND('Raw Data'!AC26, 2),FALSE)),"",_xlfn.REGEXEXTRACT(CELL("address",AC26), "\$([A-Z]+)\$[0-9]+"))),_xlfn.REGEXEXTRACT(CELL("address",AC26), "\$([A-Z]+)\$[0-9]+"))</f>
        <v/>
      </c>
      <c r="AD26" s="7" t="str" cm="1">
        <f t="array" aca="1" ref="AD26" ca="1">IFERROR(IF(OR('Raw Data'!AD26="",LEN(TRIM('Raw Data'!AD26))=0),"",IF(AND(ISNUMBER('Raw Data'!AD26), IFERROR('Raw Data'!AD26 = ROUND('Raw Data'!AD26, 2),FALSE)),"",_xlfn.REGEXEXTRACT(CELL("address",AD26), "\$([A-Z]+)\$[0-9]+"))),_xlfn.REGEXEXTRACT(CELL("address",AD26), "\$([A-Z]+)\$[0-9]+"))</f>
        <v/>
      </c>
      <c r="AE26" s="7" t="str" cm="1">
        <f t="array" aca="1" ref="AE26" ca="1">IFERROR(IF(OR('Raw Data'!AE26="",LEN(TRIM('Raw Data'!AE26))=0),"",IF(AND(ISNUMBER('Raw Data'!AE26), IFERROR('Raw Data'!AE26 = ROUND('Raw Data'!AE26, 2),FALSE)),"",_xlfn.REGEXEXTRACT(CELL("address",AE26), "\$([A-Z]+)\$[0-9]+"))),_xlfn.REGEXEXTRACT(CELL("address",AE26), "\$([A-Z]+)\$[0-9]+"))</f>
        <v/>
      </c>
      <c r="AF26" s="7" t="str" cm="1">
        <f t="array" aca="1" ref="AF26" ca="1">IFERROR(IF(OR('Raw Data'!AF26="",LEN(TRIM('Raw Data'!AF26))=0),"",IF(AND(ISNUMBER('Raw Data'!AF26), IFERROR('Raw Data'!AF26 = ROUND('Raw Data'!AF26, 2),FALSE)),"",_xlfn.REGEXEXTRACT(CELL("address",AF26), "\$([A-Z]+)\$[0-9]+"))),_xlfn.REGEXEXTRACT(CELL("address",AF26), "\$([A-Z]+)\$[0-9]+"))</f>
        <v/>
      </c>
      <c r="AG26" s="7" t="str" cm="1">
        <f t="array" aca="1" ref="AG26" ca="1">IFERROR(IF(OR('Raw Data'!AG26="",LEN(TRIM('Raw Data'!AG26))=0),"",IF(AND(ISNUMBER('Raw Data'!AG26), IFERROR('Raw Data'!AG26 = ROUND('Raw Data'!AG26, 2),FALSE)),"",_xlfn.REGEXEXTRACT(CELL("address",AG26), "\$([A-Z]+)\$[0-9]+"))),_xlfn.REGEXEXTRACT(CELL("address",AG26), "\$([A-Z]+)\$[0-9]+"))</f>
        <v/>
      </c>
      <c r="AH26" s="7" t="str" cm="1">
        <f t="array" aca="1" ref="AH26" ca="1">IFERROR(IF(OR('Raw Data'!AH26="",LEN(TRIM('Raw Data'!AH26))=0),"",IF(AND(ISNUMBER('Raw Data'!AH26), IFERROR('Raw Data'!AH26 = ROUND('Raw Data'!AH26, 2),FALSE)),"",_xlfn.REGEXEXTRACT(CELL("address",AH26), "\$([A-Z]+)\$[0-9]+"))),_xlfn.REGEXEXTRACT(CELL("address",AH26), "\$([A-Z]+)\$[0-9]+"))</f>
        <v/>
      </c>
      <c r="AI26" s="7" t="str" cm="1">
        <f t="array" aca="1" ref="AI26" ca="1">IFERROR(IF(OR('Raw Data'!AI26="",LEN(TRIM('Raw Data'!AI26))=0),"",IF(AND(ISNUMBER('Raw Data'!AI26), IFERROR('Raw Data'!AI26 = ROUND('Raw Data'!AI26, 2),FALSE)),"",_xlfn.REGEXEXTRACT(CELL("address",AI26), "\$([A-Z]+)\$[0-9]+"))),_xlfn.REGEXEXTRACT(CELL("address",AI26), "\$([A-Z]+)\$[0-9]+"))</f>
        <v/>
      </c>
      <c r="AJ26" s="7" t="str" cm="1">
        <f t="array" aca="1" ref="AJ26" ca="1">IFERROR(IF(OR('Raw Data'!AJ26="",LEN(TRIM('Raw Data'!AJ26))=0),"",IF(AND(ISNUMBER('Raw Data'!AJ26), IFERROR('Raw Data'!AJ26 = ROUND('Raw Data'!AJ26, 2),FALSE)),"",_xlfn.REGEXEXTRACT(CELL("address",AJ26), "\$([A-Z]+)\$[0-9]+"))),_xlfn.REGEXEXTRACT(CELL("address",AJ26), "\$([A-Z]+)\$[0-9]+"))</f>
        <v/>
      </c>
    </row>
    <row r="27" spans="2:36" x14ac:dyDescent="0.25">
      <c r="B27" s="7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20,LEN('Raw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Data'!D27))=0),"",IF(AND(ISNUMBER('Raw Data'!D27),'Raw Data'!D27&gt;=Configuration!$D$2),"",_xlfn.REGEXEXTRACT(CELL("address",'Raw Data'!D27),"\$([A-Z]+)\$[0-9]+"))),_xlfn.REGEXEXTRACT(CELL("address",D27), "\$([A-Z]+)\$[0-9]+"))</f>
        <v/>
      </c>
      <c r="E27" s="7" t="str" cm="1">
        <f t="array" aca="1" ref="E27" ca="1">IFERROR(IF(OR('Raw Data'!E27="",LEN(TRIM('Raw Data'!E27))=0),"",IF(AND(ISNUMBER('Raw Data'!E27), IFERROR('Raw Data'!E27 = ROUND('Raw Data'!E27, 2),FALSE)),"",_xlfn.REGEXEXTRACT(CELL("address",E27), "\$([A-Z]+)\$[0-9]+"))),_xlfn.REGEXEXTRACT(CELL("address",E27), "\$([A-Z]+)\$[0-9]+"))</f>
        <v/>
      </c>
      <c r="F27" s="7" t="str" cm="1">
        <f t="array" aca="1" ref="F27" ca="1">IFERROR(IF(OR('Raw Data'!F27="",LEN(TRIM('Raw Data'!F27))=0),"",IF(AND(ISNUMBER('Raw Data'!F27), IFERROR('Raw Data'!F27 = ROUND('Raw Data'!F27, 2),FALSE)),"",_xlfn.REGEXEXTRACT(CELL("address",F27), "\$([A-Z]+)\$[0-9]+"))),_xlfn.REGEXEXTRACT(CELL("address",F27), "\$([A-Z]+)\$[0-9]+"))</f>
        <v/>
      </c>
      <c r="G27" s="7" t="str" cm="1">
        <f t="array" aca="1" ref="G27" ca="1">IFERROR(IF(OR('Raw Data'!G27="",LEN(TRIM('Raw Data'!G27))=0),"",IF(AND(ISNUMBER('Raw Data'!G27), IFERROR('Raw Data'!G27 = ROUND('Raw Data'!G27, 2),FALSE)),"",_xlfn.REGEXEXTRACT(CELL("address",G27), "\$([A-Z]+)\$[0-9]+"))),_xlfn.REGEXEXTRACT(CELL("address",G27), "\$([A-Z]+)\$[0-9]+"))</f>
        <v/>
      </c>
      <c r="H27" s="7" t="str" cm="1">
        <f t="array" aca="1" ref="H27" ca="1">IFERROR(IF(OR('Raw Data'!H27="",LEN(TRIM('Raw Data'!H27))=0),"",IF(AND(ISNUMBER('Raw Data'!H27), IFERROR('Raw Data'!H27 = ROUND('Raw Data'!H27, 2),FALSE)),"",_xlfn.REGEXEXTRACT(CELL("address",H27), "\$([A-Z]+)\$[0-9]+"))),_xlfn.REGEXEXTRACT(CELL("address",H27), "\$([A-Z]+)\$[0-9]+"))</f>
        <v/>
      </c>
      <c r="I27" s="7" t="str" cm="1">
        <f t="array" aca="1" ref="I27" ca="1">IFERROR(IF(OR('Raw Data'!I27="",LEN(TRIM('Raw Data'!I27))=0),"",IF(AND(ISNUMBER('Raw Data'!I27), IFERROR('Raw Data'!I27 = ROUND('Raw Data'!I27, 2),FALSE)),"",_xlfn.REGEXEXTRACT(CELL("address",I27), "\$([A-Z]+)\$[0-9]+"))),_xlfn.REGEXEXTRACT(CELL("address",I27), "\$([A-Z]+)\$[0-9]+"))</f>
        <v/>
      </c>
      <c r="J27" s="7" t="str" cm="1">
        <f t="array" aca="1" ref="J27" ca="1">IFERROR(IF(OR('Raw Data'!J27="",LEN(TRIM('Raw Data'!J27))=0),"",IF(AND(ISNUMBER('Raw Data'!J27), IFERROR('Raw Data'!J27 = ROUND('Raw Data'!J27, 2),FALSE)),"",_xlfn.REGEXEXTRACT(CELL("address",J27), "\$([A-Z]+)\$[0-9]+"))),_xlfn.REGEXEXTRACT(CELL("address",J27), "\$([A-Z]+)\$[0-9]+"))</f>
        <v/>
      </c>
      <c r="K27" s="7" t="str" cm="1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7" t="str" cm="1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7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7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7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7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 cm="1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7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7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7" t="str" cm="1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7" t="str" cm="1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  <c r="Z27" s="7" t="str" cm="1">
        <f t="array" aca="1" ref="Z27" ca="1">IFERROR(IF(OR('Raw Data'!Z27="",LEN(TRIM('Raw Data'!Z27))=0),"",IF(AND(ISNUMBER('Raw Data'!Z27), IFERROR('Raw Data'!Z27 = ROUND('Raw Data'!Z27, 2),FALSE)),"",_xlfn.REGEXEXTRACT(CELL("address",Z27), "\$([A-Z]+)\$[0-9]+"))),_xlfn.REGEXEXTRACT(CELL("address",Z27), "\$([A-Z]+)\$[0-9]+"))</f>
        <v/>
      </c>
      <c r="AA27" s="7" t="str" cm="1">
        <f t="array" aca="1" ref="AA27" ca="1">IFERROR(IF(OR('Raw Data'!AA27="",LEN(TRIM('Raw Data'!AA27))=0),"",IF(AND(ISNUMBER('Raw Data'!AA27), IFERROR('Raw Data'!AA27 = ROUND('Raw Data'!AA27, 2),FALSE)),"",_xlfn.REGEXEXTRACT(CELL("address",AA27), "\$([A-Z]+)\$[0-9]+"))),_xlfn.REGEXEXTRACT(CELL("address",AA27), "\$([A-Z]+)\$[0-9]+"))</f>
        <v/>
      </c>
      <c r="AB27" s="7" t="str" cm="1">
        <f t="array" aca="1" ref="AB27" ca="1">IFERROR(IF(OR('Raw Data'!AB27="",LEN(TRIM('Raw Data'!AB27))=0),"",IF(AND(ISNUMBER('Raw Data'!AB27), IFERROR('Raw Data'!AB27 = ROUND('Raw Data'!AB27, 2),FALSE)),"",_xlfn.REGEXEXTRACT(CELL("address",AB27), "\$([A-Z]+)\$[0-9]+"))),_xlfn.REGEXEXTRACT(CELL("address",AB27), "\$([A-Z]+)\$[0-9]+"))</f>
        <v/>
      </c>
      <c r="AC27" s="7" t="str" cm="1">
        <f t="array" aca="1" ref="AC27" ca="1">IFERROR(IF(OR('Raw Data'!AC27="",LEN(TRIM('Raw Data'!AC27))=0),"",IF(AND(ISNUMBER('Raw Data'!AC27), IFERROR('Raw Data'!AC27 = ROUND('Raw Data'!AC27, 2),FALSE)),"",_xlfn.REGEXEXTRACT(CELL("address",AC27), "\$([A-Z]+)\$[0-9]+"))),_xlfn.REGEXEXTRACT(CELL("address",AC27), "\$([A-Z]+)\$[0-9]+"))</f>
        <v/>
      </c>
      <c r="AD27" s="7" t="str" cm="1">
        <f t="array" aca="1" ref="AD27" ca="1">IFERROR(IF(OR('Raw Data'!AD27="",LEN(TRIM('Raw Data'!AD27))=0),"",IF(AND(ISNUMBER('Raw Data'!AD27), IFERROR('Raw Data'!AD27 = ROUND('Raw Data'!AD27, 2),FALSE)),"",_xlfn.REGEXEXTRACT(CELL("address",AD27), "\$([A-Z]+)\$[0-9]+"))),_xlfn.REGEXEXTRACT(CELL("address",AD27), "\$([A-Z]+)\$[0-9]+"))</f>
        <v/>
      </c>
      <c r="AE27" s="7" t="str" cm="1">
        <f t="array" aca="1" ref="AE27" ca="1">IFERROR(IF(OR('Raw Data'!AE27="",LEN(TRIM('Raw Data'!AE27))=0),"",IF(AND(ISNUMBER('Raw Data'!AE27), IFERROR('Raw Data'!AE27 = ROUND('Raw Data'!AE27, 2),FALSE)),"",_xlfn.REGEXEXTRACT(CELL("address",AE27), "\$([A-Z]+)\$[0-9]+"))),_xlfn.REGEXEXTRACT(CELL("address",AE27), "\$([A-Z]+)\$[0-9]+"))</f>
        <v/>
      </c>
      <c r="AF27" s="7" t="str" cm="1">
        <f t="array" aca="1" ref="AF27" ca="1">IFERROR(IF(OR('Raw Data'!AF27="",LEN(TRIM('Raw Data'!AF27))=0),"",IF(AND(ISNUMBER('Raw Data'!AF27), IFERROR('Raw Data'!AF27 = ROUND('Raw Data'!AF27, 2),FALSE)),"",_xlfn.REGEXEXTRACT(CELL("address",AF27), "\$([A-Z]+)\$[0-9]+"))),_xlfn.REGEXEXTRACT(CELL("address",AF27), "\$([A-Z]+)\$[0-9]+"))</f>
        <v/>
      </c>
      <c r="AG27" s="7" t="str" cm="1">
        <f t="array" aca="1" ref="AG27" ca="1">IFERROR(IF(OR('Raw Data'!AG27="",LEN(TRIM('Raw Data'!AG27))=0),"",IF(AND(ISNUMBER('Raw Data'!AG27), IFERROR('Raw Data'!AG27 = ROUND('Raw Data'!AG27, 2),FALSE)),"",_xlfn.REGEXEXTRACT(CELL("address",AG27), "\$([A-Z]+)\$[0-9]+"))),_xlfn.REGEXEXTRACT(CELL("address",AG27), "\$([A-Z]+)\$[0-9]+"))</f>
        <v/>
      </c>
      <c r="AH27" s="7" t="str" cm="1">
        <f t="array" aca="1" ref="AH27" ca="1">IFERROR(IF(OR('Raw Data'!AH27="",LEN(TRIM('Raw Data'!AH27))=0),"",IF(AND(ISNUMBER('Raw Data'!AH27), IFERROR('Raw Data'!AH27 = ROUND('Raw Data'!AH27, 2),FALSE)),"",_xlfn.REGEXEXTRACT(CELL("address",AH27), "\$([A-Z]+)\$[0-9]+"))),_xlfn.REGEXEXTRACT(CELL("address",AH27), "\$([A-Z]+)\$[0-9]+"))</f>
        <v/>
      </c>
      <c r="AI27" s="7" t="str" cm="1">
        <f t="array" aca="1" ref="AI27" ca="1">IFERROR(IF(OR('Raw Data'!AI27="",LEN(TRIM('Raw Data'!AI27))=0),"",IF(AND(ISNUMBER('Raw Data'!AI27), IFERROR('Raw Data'!AI27 = ROUND('Raw Data'!AI27, 2),FALSE)),"",_xlfn.REGEXEXTRACT(CELL("address",AI27), "\$([A-Z]+)\$[0-9]+"))),_xlfn.REGEXEXTRACT(CELL("address",AI27), "\$([A-Z]+)\$[0-9]+"))</f>
        <v/>
      </c>
      <c r="AJ27" s="7" t="str" cm="1">
        <f t="array" aca="1" ref="AJ27" ca="1">IFERROR(IF(OR('Raw Data'!AJ27="",LEN(TRIM('Raw Data'!AJ27))=0),"",IF(AND(ISNUMBER('Raw Data'!AJ27), IFERROR('Raw Data'!AJ27 = ROUND('Raw Data'!AJ27, 2),FALSE)),"",_xlfn.REGEXEXTRACT(CELL("address",AJ27), "\$([A-Z]+)\$[0-9]+"))),_xlfn.REGEXEXTRACT(CELL("address",AJ27), "\$([A-Z]+)\$[0-9]+"))</f>
        <v/>
      </c>
    </row>
    <row r="28" spans="2:36" x14ac:dyDescent="0.25">
      <c r="B28" s="7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20,LEN('Raw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Data'!D28))=0),"",IF(AND(ISNUMBER('Raw Data'!D28),'Raw Data'!D28&gt;=Configuration!$D$2),"",_xlfn.REGEXEXTRACT(CELL("address",'Raw Data'!D28),"\$([A-Z]+)\$[0-9]+"))),_xlfn.REGEXEXTRACT(CELL("address",D28), "\$([A-Z]+)\$[0-9]+"))</f>
        <v/>
      </c>
      <c r="E28" s="7" t="str" cm="1">
        <f t="array" aca="1" ref="E28" ca="1">IFERROR(IF(OR('Raw Data'!E28="",LEN(TRIM('Raw Data'!E28))=0),"",IF(AND(ISNUMBER('Raw Data'!E28), IFERROR('Raw Data'!E28 = ROUND('Raw Data'!E28, 2),FALSE)),"",_xlfn.REGEXEXTRACT(CELL("address",E28), "\$([A-Z]+)\$[0-9]+"))),_xlfn.REGEXEXTRACT(CELL("address",E28), "\$([A-Z]+)\$[0-9]+"))</f>
        <v/>
      </c>
      <c r="F28" s="7" t="str" cm="1">
        <f t="array" aca="1" ref="F28" ca="1">IFERROR(IF(OR('Raw Data'!F28="",LEN(TRIM('Raw Data'!F28))=0),"",IF(AND(ISNUMBER('Raw Data'!F28), IFERROR('Raw Data'!F28 = ROUND('Raw Data'!F28, 2),FALSE)),"",_xlfn.REGEXEXTRACT(CELL("address",F28), "\$([A-Z]+)\$[0-9]+"))),_xlfn.REGEXEXTRACT(CELL("address",F28), "\$([A-Z]+)\$[0-9]+"))</f>
        <v/>
      </c>
      <c r="G28" s="7" t="str" cm="1">
        <f t="array" aca="1" ref="G28" ca="1">IFERROR(IF(OR('Raw Data'!G28="",LEN(TRIM('Raw Data'!G28))=0),"",IF(AND(ISNUMBER('Raw Data'!G28), IFERROR('Raw Data'!G28 = ROUND('Raw Data'!G28, 2),FALSE)),"",_xlfn.REGEXEXTRACT(CELL("address",G28), "\$([A-Z]+)\$[0-9]+"))),_xlfn.REGEXEXTRACT(CELL("address",G28), "\$([A-Z]+)\$[0-9]+"))</f>
        <v/>
      </c>
      <c r="H28" s="7" t="str" cm="1">
        <f t="array" aca="1" ref="H28" ca="1">IFERROR(IF(OR('Raw Data'!H28="",LEN(TRIM('Raw Data'!H28))=0),"",IF(AND(ISNUMBER('Raw Data'!H28), IFERROR('Raw Data'!H28 = ROUND('Raw Data'!H28, 2),FALSE)),"",_xlfn.REGEXEXTRACT(CELL("address",H28), "\$([A-Z]+)\$[0-9]+"))),_xlfn.REGEXEXTRACT(CELL("address",H28), "\$([A-Z]+)\$[0-9]+"))</f>
        <v/>
      </c>
      <c r="I28" s="7" t="str" cm="1">
        <f t="array" aca="1" ref="I28" ca="1">IFERROR(IF(OR('Raw Data'!I28="",LEN(TRIM('Raw Data'!I28))=0),"",IF(AND(ISNUMBER('Raw Data'!I28), IFERROR('Raw Data'!I28 = ROUND('Raw Data'!I28, 2),FALSE)),"",_xlfn.REGEXEXTRACT(CELL("address",I28), "\$([A-Z]+)\$[0-9]+"))),_xlfn.REGEXEXTRACT(CELL("address",I28), "\$([A-Z]+)\$[0-9]+"))</f>
        <v/>
      </c>
      <c r="J28" s="7" t="str" cm="1">
        <f t="array" aca="1" ref="J28" ca="1">IFERROR(IF(OR('Raw Data'!J28="",LEN(TRIM('Raw Data'!J28))=0),"",IF(AND(ISNUMBER('Raw Data'!J28), IFERROR('Raw Data'!J28 = ROUND('Raw Data'!J28, 2),FALSE)),"",_xlfn.REGEXEXTRACT(CELL("address",J28), "\$([A-Z]+)\$[0-9]+"))),_xlfn.REGEXEXTRACT(CELL("address",J28), "\$([A-Z]+)\$[0-9]+"))</f>
        <v/>
      </c>
      <c r="K28" s="7" t="str" cm="1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7" t="str" cm="1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7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7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7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7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 cm="1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7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7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7" t="str" cm="1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7" t="str" cm="1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  <c r="Z28" s="7" t="str" cm="1">
        <f t="array" aca="1" ref="Z28" ca="1">IFERROR(IF(OR('Raw Data'!Z28="",LEN(TRIM('Raw Data'!Z28))=0),"",IF(AND(ISNUMBER('Raw Data'!Z28), IFERROR('Raw Data'!Z28 = ROUND('Raw Data'!Z28, 2),FALSE)),"",_xlfn.REGEXEXTRACT(CELL("address",Z28), "\$([A-Z]+)\$[0-9]+"))),_xlfn.REGEXEXTRACT(CELL("address",Z28), "\$([A-Z]+)\$[0-9]+"))</f>
        <v/>
      </c>
      <c r="AA28" s="7" t="str" cm="1">
        <f t="array" aca="1" ref="AA28" ca="1">IFERROR(IF(OR('Raw Data'!AA28="",LEN(TRIM('Raw Data'!AA28))=0),"",IF(AND(ISNUMBER('Raw Data'!AA28), IFERROR('Raw Data'!AA28 = ROUND('Raw Data'!AA28, 2),FALSE)),"",_xlfn.REGEXEXTRACT(CELL("address",AA28), "\$([A-Z]+)\$[0-9]+"))),_xlfn.REGEXEXTRACT(CELL("address",AA28), "\$([A-Z]+)\$[0-9]+"))</f>
        <v/>
      </c>
      <c r="AB28" s="7" t="str" cm="1">
        <f t="array" aca="1" ref="AB28" ca="1">IFERROR(IF(OR('Raw Data'!AB28="",LEN(TRIM('Raw Data'!AB28))=0),"",IF(AND(ISNUMBER('Raw Data'!AB28), IFERROR('Raw Data'!AB28 = ROUND('Raw Data'!AB28, 2),FALSE)),"",_xlfn.REGEXEXTRACT(CELL("address",AB28), "\$([A-Z]+)\$[0-9]+"))),_xlfn.REGEXEXTRACT(CELL("address",AB28), "\$([A-Z]+)\$[0-9]+"))</f>
        <v/>
      </c>
      <c r="AC28" s="7" t="str" cm="1">
        <f t="array" aca="1" ref="AC28" ca="1">IFERROR(IF(OR('Raw Data'!AC28="",LEN(TRIM('Raw Data'!AC28))=0),"",IF(AND(ISNUMBER('Raw Data'!AC28), IFERROR('Raw Data'!AC28 = ROUND('Raw Data'!AC28, 2),FALSE)),"",_xlfn.REGEXEXTRACT(CELL("address",AC28), "\$([A-Z]+)\$[0-9]+"))),_xlfn.REGEXEXTRACT(CELL("address",AC28), "\$([A-Z]+)\$[0-9]+"))</f>
        <v/>
      </c>
      <c r="AD28" s="7" t="str" cm="1">
        <f t="array" aca="1" ref="AD28" ca="1">IFERROR(IF(OR('Raw Data'!AD28="",LEN(TRIM('Raw Data'!AD28))=0),"",IF(AND(ISNUMBER('Raw Data'!AD28), IFERROR('Raw Data'!AD28 = ROUND('Raw Data'!AD28, 2),FALSE)),"",_xlfn.REGEXEXTRACT(CELL("address",AD28), "\$([A-Z]+)\$[0-9]+"))),_xlfn.REGEXEXTRACT(CELL("address",AD28), "\$([A-Z]+)\$[0-9]+"))</f>
        <v/>
      </c>
      <c r="AE28" s="7" t="str" cm="1">
        <f t="array" aca="1" ref="AE28" ca="1">IFERROR(IF(OR('Raw Data'!AE28="",LEN(TRIM('Raw Data'!AE28))=0),"",IF(AND(ISNUMBER('Raw Data'!AE28), IFERROR('Raw Data'!AE28 = ROUND('Raw Data'!AE28, 2),FALSE)),"",_xlfn.REGEXEXTRACT(CELL("address",AE28), "\$([A-Z]+)\$[0-9]+"))),_xlfn.REGEXEXTRACT(CELL("address",AE28), "\$([A-Z]+)\$[0-9]+"))</f>
        <v/>
      </c>
      <c r="AF28" s="7" t="str" cm="1">
        <f t="array" aca="1" ref="AF28" ca="1">IFERROR(IF(OR('Raw Data'!AF28="",LEN(TRIM('Raw Data'!AF28))=0),"",IF(AND(ISNUMBER('Raw Data'!AF28), IFERROR('Raw Data'!AF28 = ROUND('Raw Data'!AF28, 2),FALSE)),"",_xlfn.REGEXEXTRACT(CELL("address",AF28), "\$([A-Z]+)\$[0-9]+"))),_xlfn.REGEXEXTRACT(CELL("address",AF28), "\$([A-Z]+)\$[0-9]+"))</f>
        <v/>
      </c>
      <c r="AG28" s="7" t="str" cm="1">
        <f t="array" aca="1" ref="AG28" ca="1">IFERROR(IF(OR('Raw Data'!AG28="",LEN(TRIM('Raw Data'!AG28))=0),"",IF(AND(ISNUMBER('Raw Data'!AG28), IFERROR('Raw Data'!AG28 = ROUND('Raw Data'!AG28, 2),FALSE)),"",_xlfn.REGEXEXTRACT(CELL("address",AG28), "\$([A-Z]+)\$[0-9]+"))),_xlfn.REGEXEXTRACT(CELL("address",AG28), "\$([A-Z]+)\$[0-9]+"))</f>
        <v/>
      </c>
      <c r="AH28" s="7" t="str" cm="1">
        <f t="array" aca="1" ref="AH28" ca="1">IFERROR(IF(OR('Raw Data'!AH28="",LEN(TRIM('Raw Data'!AH28))=0),"",IF(AND(ISNUMBER('Raw Data'!AH28), IFERROR('Raw Data'!AH28 = ROUND('Raw Data'!AH28, 2),FALSE)),"",_xlfn.REGEXEXTRACT(CELL("address",AH28), "\$([A-Z]+)\$[0-9]+"))),_xlfn.REGEXEXTRACT(CELL("address",AH28), "\$([A-Z]+)\$[0-9]+"))</f>
        <v/>
      </c>
      <c r="AI28" s="7" t="str" cm="1">
        <f t="array" aca="1" ref="AI28" ca="1">IFERROR(IF(OR('Raw Data'!AI28="",LEN(TRIM('Raw Data'!AI28))=0),"",IF(AND(ISNUMBER('Raw Data'!AI28), IFERROR('Raw Data'!AI28 = ROUND('Raw Data'!AI28, 2),FALSE)),"",_xlfn.REGEXEXTRACT(CELL("address",AI28), "\$([A-Z]+)\$[0-9]+"))),_xlfn.REGEXEXTRACT(CELL("address",AI28), "\$([A-Z]+)\$[0-9]+"))</f>
        <v/>
      </c>
      <c r="AJ28" s="7" t="str" cm="1">
        <f t="array" aca="1" ref="AJ28" ca="1">IFERROR(IF(OR('Raw Data'!AJ28="",LEN(TRIM('Raw Data'!AJ28))=0),"",IF(AND(ISNUMBER('Raw Data'!AJ28), IFERROR('Raw Data'!AJ28 = ROUND('Raw Data'!AJ28, 2),FALSE)),"",_xlfn.REGEXEXTRACT(CELL("address",AJ28), "\$([A-Z]+)\$[0-9]+"))),_xlfn.REGEXEXTRACT(CELL("address",AJ28), "\$([A-Z]+)\$[0-9]+"))</f>
        <v/>
      </c>
    </row>
    <row r="29" spans="2:36" x14ac:dyDescent="0.25">
      <c r="B29" s="7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20,LEN('Raw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Data'!D29))=0),"",IF(AND(ISNUMBER('Raw Data'!D29),'Raw Data'!D29&gt;=Configuration!$D$2),"",_xlfn.REGEXEXTRACT(CELL("address",'Raw Data'!D29),"\$([A-Z]+)\$[0-9]+"))),_xlfn.REGEXEXTRACT(CELL("address",D29), "\$([A-Z]+)\$[0-9]+"))</f>
        <v/>
      </c>
      <c r="E29" s="7" t="str" cm="1">
        <f t="array" aca="1" ref="E29" ca="1">IFERROR(IF(OR('Raw Data'!E29="",LEN(TRIM('Raw Data'!E29))=0),"",IF(AND(ISNUMBER('Raw Data'!E29), IFERROR('Raw Data'!E29 = ROUND('Raw Data'!E29, 2),FALSE)),"",_xlfn.REGEXEXTRACT(CELL("address",E29), "\$([A-Z]+)\$[0-9]+"))),_xlfn.REGEXEXTRACT(CELL("address",E29), "\$([A-Z]+)\$[0-9]+"))</f>
        <v/>
      </c>
      <c r="F29" s="7" t="str" cm="1">
        <f t="array" aca="1" ref="F29" ca="1">IFERROR(IF(OR('Raw Data'!F29="",LEN(TRIM('Raw Data'!F29))=0),"",IF(AND(ISNUMBER('Raw Data'!F29), IFERROR('Raw Data'!F29 = ROUND('Raw Data'!F29, 2),FALSE)),"",_xlfn.REGEXEXTRACT(CELL("address",F29), "\$([A-Z]+)\$[0-9]+"))),_xlfn.REGEXEXTRACT(CELL("address",F29), "\$([A-Z]+)\$[0-9]+"))</f>
        <v/>
      </c>
      <c r="G29" s="7" t="str" cm="1">
        <f t="array" aca="1" ref="G29" ca="1">IFERROR(IF(OR('Raw Data'!G29="",LEN(TRIM('Raw Data'!G29))=0),"",IF(AND(ISNUMBER('Raw Data'!G29), IFERROR('Raw Data'!G29 = ROUND('Raw Data'!G29, 2),FALSE)),"",_xlfn.REGEXEXTRACT(CELL("address",G29), "\$([A-Z]+)\$[0-9]+"))),_xlfn.REGEXEXTRACT(CELL("address",G29), "\$([A-Z]+)\$[0-9]+"))</f>
        <v/>
      </c>
      <c r="H29" s="7" t="str" cm="1">
        <f t="array" aca="1" ref="H29" ca="1">IFERROR(IF(OR('Raw Data'!H29="",LEN(TRIM('Raw Data'!H29))=0),"",IF(AND(ISNUMBER('Raw Data'!H29), IFERROR('Raw Data'!H29 = ROUND('Raw Data'!H29, 2),FALSE)),"",_xlfn.REGEXEXTRACT(CELL("address",H29), "\$([A-Z]+)\$[0-9]+"))),_xlfn.REGEXEXTRACT(CELL("address",H29), "\$([A-Z]+)\$[0-9]+"))</f>
        <v/>
      </c>
      <c r="I29" s="7" t="str" cm="1">
        <f t="array" aca="1" ref="I29" ca="1">IFERROR(IF(OR('Raw Data'!I29="",LEN(TRIM('Raw Data'!I29))=0),"",IF(AND(ISNUMBER('Raw Data'!I29), IFERROR('Raw Data'!I29 = ROUND('Raw Data'!I29, 2),FALSE)),"",_xlfn.REGEXEXTRACT(CELL("address",I29), "\$([A-Z]+)\$[0-9]+"))),_xlfn.REGEXEXTRACT(CELL("address",I29), "\$([A-Z]+)\$[0-9]+"))</f>
        <v/>
      </c>
      <c r="J29" s="7" t="str" cm="1">
        <f t="array" aca="1" ref="J29" ca="1">IFERROR(IF(OR('Raw Data'!J29="",LEN(TRIM('Raw Data'!J29))=0),"",IF(AND(ISNUMBER('Raw Data'!J29), IFERROR('Raw Data'!J29 = ROUND('Raw Data'!J29, 2),FALSE)),"",_xlfn.REGEXEXTRACT(CELL("address",J29), "\$([A-Z]+)\$[0-9]+"))),_xlfn.REGEXEXTRACT(CELL("address",J29), "\$([A-Z]+)\$[0-9]+"))</f>
        <v/>
      </c>
      <c r="K29" s="7" t="str" cm="1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7" t="str" cm="1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7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7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7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7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 cm="1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7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7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7" t="str" cm="1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7" t="str" cm="1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  <c r="Z29" s="7" t="str" cm="1">
        <f t="array" aca="1" ref="Z29" ca="1">IFERROR(IF(OR('Raw Data'!Z29="",LEN(TRIM('Raw Data'!Z29))=0),"",IF(AND(ISNUMBER('Raw Data'!Z29), IFERROR('Raw Data'!Z29 = ROUND('Raw Data'!Z29, 2),FALSE)),"",_xlfn.REGEXEXTRACT(CELL("address",Z29), "\$([A-Z]+)\$[0-9]+"))),_xlfn.REGEXEXTRACT(CELL("address",Z29), "\$([A-Z]+)\$[0-9]+"))</f>
        <v/>
      </c>
      <c r="AA29" s="7" t="str" cm="1">
        <f t="array" aca="1" ref="AA29" ca="1">IFERROR(IF(OR('Raw Data'!AA29="",LEN(TRIM('Raw Data'!AA29))=0),"",IF(AND(ISNUMBER('Raw Data'!AA29), IFERROR('Raw Data'!AA29 = ROUND('Raw Data'!AA29, 2),FALSE)),"",_xlfn.REGEXEXTRACT(CELL("address",AA29), "\$([A-Z]+)\$[0-9]+"))),_xlfn.REGEXEXTRACT(CELL("address",AA29), "\$([A-Z]+)\$[0-9]+"))</f>
        <v/>
      </c>
      <c r="AB29" s="7" t="str" cm="1">
        <f t="array" aca="1" ref="AB29" ca="1">IFERROR(IF(OR('Raw Data'!AB29="",LEN(TRIM('Raw Data'!AB29))=0),"",IF(AND(ISNUMBER('Raw Data'!AB29), IFERROR('Raw Data'!AB29 = ROUND('Raw Data'!AB29, 2),FALSE)),"",_xlfn.REGEXEXTRACT(CELL("address",AB29), "\$([A-Z]+)\$[0-9]+"))),_xlfn.REGEXEXTRACT(CELL("address",AB29), "\$([A-Z]+)\$[0-9]+"))</f>
        <v/>
      </c>
      <c r="AC29" s="7" t="str" cm="1">
        <f t="array" aca="1" ref="AC29" ca="1">IFERROR(IF(OR('Raw Data'!AC29="",LEN(TRIM('Raw Data'!AC29))=0),"",IF(AND(ISNUMBER('Raw Data'!AC29), IFERROR('Raw Data'!AC29 = ROUND('Raw Data'!AC29, 2),FALSE)),"",_xlfn.REGEXEXTRACT(CELL("address",AC29), "\$([A-Z]+)\$[0-9]+"))),_xlfn.REGEXEXTRACT(CELL("address",AC29), "\$([A-Z]+)\$[0-9]+"))</f>
        <v/>
      </c>
      <c r="AD29" s="7" t="str" cm="1">
        <f t="array" aca="1" ref="AD29" ca="1">IFERROR(IF(OR('Raw Data'!AD29="",LEN(TRIM('Raw Data'!AD29))=0),"",IF(AND(ISNUMBER('Raw Data'!AD29), IFERROR('Raw Data'!AD29 = ROUND('Raw Data'!AD29, 2),FALSE)),"",_xlfn.REGEXEXTRACT(CELL("address",AD29), "\$([A-Z]+)\$[0-9]+"))),_xlfn.REGEXEXTRACT(CELL("address",AD29), "\$([A-Z]+)\$[0-9]+"))</f>
        <v/>
      </c>
      <c r="AE29" s="7" t="str" cm="1">
        <f t="array" aca="1" ref="AE29" ca="1">IFERROR(IF(OR('Raw Data'!AE29="",LEN(TRIM('Raw Data'!AE29))=0),"",IF(AND(ISNUMBER('Raw Data'!AE29), IFERROR('Raw Data'!AE29 = ROUND('Raw Data'!AE29, 2),FALSE)),"",_xlfn.REGEXEXTRACT(CELL("address",AE29), "\$([A-Z]+)\$[0-9]+"))),_xlfn.REGEXEXTRACT(CELL("address",AE29), "\$([A-Z]+)\$[0-9]+"))</f>
        <v/>
      </c>
      <c r="AF29" s="7" t="str" cm="1">
        <f t="array" aca="1" ref="AF29" ca="1">IFERROR(IF(OR('Raw Data'!AF29="",LEN(TRIM('Raw Data'!AF29))=0),"",IF(AND(ISNUMBER('Raw Data'!AF29), IFERROR('Raw Data'!AF29 = ROUND('Raw Data'!AF29, 2),FALSE)),"",_xlfn.REGEXEXTRACT(CELL("address",AF29), "\$([A-Z]+)\$[0-9]+"))),_xlfn.REGEXEXTRACT(CELL("address",AF29), "\$([A-Z]+)\$[0-9]+"))</f>
        <v/>
      </c>
      <c r="AG29" s="7" t="str" cm="1">
        <f t="array" aca="1" ref="AG29" ca="1">IFERROR(IF(OR('Raw Data'!AG29="",LEN(TRIM('Raw Data'!AG29))=0),"",IF(AND(ISNUMBER('Raw Data'!AG29), IFERROR('Raw Data'!AG29 = ROUND('Raw Data'!AG29, 2),FALSE)),"",_xlfn.REGEXEXTRACT(CELL("address",AG29), "\$([A-Z]+)\$[0-9]+"))),_xlfn.REGEXEXTRACT(CELL("address",AG29), "\$([A-Z]+)\$[0-9]+"))</f>
        <v/>
      </c>
      <c r="AH29" s="7" t="str" cm="1">
        <f t="array" aca="1" ref="AH29" ca="1">IFERROR(IF(OR('Raw Data'!AH29="",LEN(TRIM('Raw Data'!AH29))=0),"",IF(AND(ISNUMBER('Raw Data'!AH29), IFERROR('Raw Data'!AH29 = ROUND('Raw Data'!AH29, 2),FALSE)),"",_xlfn.REGEXEXTRACT(CELL("address",AH29), "\$([A-Z]+)\$[0-9]+"))),_xlfn.REGEXEXTRACT(CELL("address",AH29), "\$([A-Z]+)\$[0-9]+"))</f>
        <v/>
      </c>
      <c r="AI29" s="7" t="str" cm="1">
        <f t="array" aca="1" ref="AI29" ca="1">IFERROR(IF(OR('Raw Data'!AI29="",LEN(TRIM('Raw Data'!AI29))=0),"",IF(AND(ISNUMBER('Raw Data'!AI29), IFERROR('Raw Data'!AI29 = ROUND('Raw Data'!AI29, 2),FALSE)),"",_xlfn.REGEXEXTRACT(CELL("address",AI29), "\$([A-Z]+)\$[0-9]+"))),_xlfn.REGEXEXTRACT(CELL("address",AI29), "\$([A-Z]+)\$[0-9]+"))</f>
        <v/>
      </c>
      <c r="AJ29" s="7" t="str" cm="1">
        <f t="array" aca="1" ref="AJ29" ca="1">IFERROR(IF(OR('Raw Data'!AJ29="",LEN(TRIM('Raw Data'!AJ29))=0),"",IF(AND(ISNUMBER('Raw Data'!AJ29), IFERROR('Raw Data'!AJ29 = ROUND('Raw Data'!AJ29, 2),FALSE)),"",_xlfn.REGEXEXTRACT(CELL("address",AJ29), "\$([A-Z]+)\$[0-9]+"))),_xlfn.REGEXEXTRACT(CELL("address",AJ29), "\$([A-Z]+)\$[0-9]+"))</f>
        <v/>
      </c>
    </row>
    <row r="30" spans="2:36" x14ac:dyDescent="0.25">
      <c r="B30" s="7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20,LEN('Raw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Data'!D30))=0),"",IF(AND(ISNUMBER('Raw Data'!D30),'Raw Data'!D30&gt;=Configuration!$D$2),"",_xlfn.REGEXEXTRACT(CELL("address",'Raw Data'!D30),"\$([A-Z]+)\$[0-9]+"))),_xlfn.REGEXEXTRACT(CELL("address",D30), "\$([A-Z]+)\$[0-9]+"))</f>
        <v/>
      </c>
      <c r="E30" s="7" t="str" cm="1">
        <f t="array" aca="1" ref="E30" ca="1">IFERROR(IF(OR('Raw Data'!E30="",LEN(TRIM('Raw Data'!E30))=0),"",IF(AND(ISNUMBER('Raw Data'!E30), IFERROR('Raw Data'!E30 = ROUND('Raw Data'!E30, 2),FALSE)),"",_xlfn.REGEXEXTRACT(CELL("address",E30), "\$([A-Z]+)\$[0-9]+"))),_xlfn.REGEXEXTRACT(CELL("address",E30), "\$([A-Z]+)\$[0-9]+"))</f>
        <v/>
      </c>
      <c r="F30" s="7" t="str" cm="1">
        <f t="array" aca="1" ref="F30" ca="1">IFERROR(IF(OR('Raw Data'!F30="",LEN(TRIM('Raw Data'!F30))=0),"",IF(AND(ISNUMBER('Raw Data'!F30), IFERROR('Raw Data'!F30 = ROUND('Raw Data'!F30, 2),FALSE)),"",_xlfn.REGEXEXTRACT(CELL("address",F30), "\$([A-Z]+)\$[0-9]+"))),_xlfn.REGEXEXTRACT(CELL("address",F30), "\$([A-Z]+)\$[0-9]+"))</f>
        <v/>
      </c>
      <c r="G30" s="7" t="str" cm="1">
        <f t="array" aca="1" ref="G30" ca="1">IFERROR(IF(OR('Raw Data'!G30="",LEN(TRIM('Raw Data'!G30))=0),"",IF(AND(ISNUMBER('Raw Data'!G30), IFERROR('Raw Data'!G30 = ROUND('Raw Data'!G30, 2),FALSE)),"",_xlfn.REGEXEXTRACT(CELL("address",G30), "\$([A-Z]+)\$[0-9]+"))),_xlfn.REGEXEXTRACT(CELL("address",G30), "\$([A-Z]+)\$[0-9]+"))</f>
        <v/>
      </c>
      <c r="H30" s="7" t="str" cm="1">
        <f t="array" aca="1" ref="H30" ca="1">IFERROR(IF(OR('Raw Data'!H30="",LEN(TRIM('Raw Data'!H30))=0),"",IF(AND(ISNUMBER('Raw Data'!H30), IFERROR('Raw Data'!H30 = ROUND('Raw Data'!H30, 2),FALSE)),"",_xlfn.REGEXEXTRACT(CELL("address",H30), "\$([A-Z]+)\$[0-9]+"))),_xlfn.REGEXEXTRACT(CELL("address",H30), "\$([A-Z]+)\$[0-9]+"))</f>
        <v/>
      </c>
      <c r="I30" s="7" t="str" cm="1">
        <f t="array" aca="1" ref="I30" ca="1">IFERROR(IF(OR('Raw Data'!I30="",LEN(TRIM('Raw Data'!I30))=0),"",IF(AND(ISNUMBER('Raw Data'!I30), IFERROR('Raw Data'!I30 = ROUND('Raw Data'!I30, 2),FALSE)),"",_xlfn.REGEXEXTRACT(CELL("address",I30), "\$([A-Z]+)\$[0-9]+"))),_xlfn.REGEXEXTRACT(CELL("address",I30), "\$([A-Z]+)\$[0-9]+"))</f>
        <v/>
      </c>
      <c r="J30" s="7" t="str" cm="1">
        <f t="array" aca="1" ref="J30" ca="1">IFERROR(IF(OR('Raw Data'!J30="",LEN(TRIM('Raw Data'!J30))=0),"",IF(AND(ISNUMBER('Raw Data'!J30), IFERROR('Raw Data'!J30 = ROUND('Raw Data'!J30, 2),FALSE)),"",_xlfn.REGEXEXTRACT(CELL("address",J30), "\$([A-Z]+)\$[0-9]+"))),_xlfn.REGEXEXTRACT(CELL("address",J30), "\$([A-Z]+)\$[0-9]+"))</f>
        <v/>
      </c>
      <c r="K30" s="7" t="str" cm="1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7" t="str" cm="1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7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7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7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7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 cm="1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7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7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7" t="str" cm="1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7" t="str" cm="1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  <c r="Z30" s="7" t="str" cm="1">
        <f t="array" aca="1" ref="Z30" ca="1">IFERROR(IF(OR('Raw Data'!Z30="",LEN(TRIM('Raw Data'!Z30))=0),"",IF(AND(ISNUMBER('Raw Data'!Z30), IFERROR('Raw Data'!Z30 = ROUND('Raw Data'!Z30, 2),FALSE)),"",_xlfn.REGEXEXTRACT(CELL("address",Z30), "\$([A-Z]+)\$[0-9]+"))),_xlfn.REGEXEXTRACT(CELL("address",Z30), "\$([A-Z]+)\$[0-9]+"))</f>
        <v/>
      </c>
      <c r="AA30" s="7" t="str" cm="1">
        <f t="array" aca="1" ref="AA30" ca="1">IFERROR(IF(OR('Raw Data'!AA30="",LEN(TRIM('Raw Data'!AA30))=0),"",IF(AND(ISNUMBER('Raw Data'!AA30), IFERROR('Raw Data'!AA30 = ROUND('Raw Data'!AA30, 2),FALSE)),"",_xlfn.REGEXEXTRACT(CELL("address",AA30), "\$([A-Z]+)\$[0-9]+"))),_xlfn.REGEXEXTRACT(CELL("address",AA30), "\$([A-Z]+)\$[0-9]+"))</f>
        <v/>
      </c>
      <c r="AB30" s="7" t="str" cm="1">
        <f t="array" aca="1" ref="AB30" ca="1">IFERROR(IF(OR('Raw Data'!AB30="",LEN(TRIM('Raw Data'!AB30))=0),"",IF(AND(ISNUMBER('Raw Data'!AB30), IFERROR('Raw Data'!AB30 = ROUND('Raw Data'!AB30, 2),FALSE)),"",_xlfn.REGEXEXTRACT(CELL("address",AB30), "\$([A-Z]+)\$[0-9]+"))),_xlfn.REGEXEXTRACT(CELL("address",AB30), "\$([A-Z]+)\$[0-9]+"))</f>
        <v/>
      </c>
      <c r="AC30" s="7" t="str" cm="1">
        <f t="array" aca="1" ref="AC30" ca="1">IFERROR(IF(OR('Raw Data'!AC30="",LEN(TRIM('Raw Data'!AC30))=0),"",IF(AND(ISNUMBER('Raw Data'!AC30), IFERROR('Raw Data'!AC30 = ROUND('Raw Data'!AC30, 2),FALSE)),"",_xlfn.REGEXEXTRACT(CELL("address",AC30), "\$([A-Z]+)\$[0-9]+"))),_xlfn.REGEXEXTRACT(CELL("address",AC30), "\$([A-Z]+)\$[0-9]+"))</f>
        <v/>
      </c>
      <c r="AD30" s="7" t="str" cm="1">
        <f t="array" aca="1" ref="AD30" ca="1">IFERROR(IF(OR('Raw Data'!AD30="",LEN(TRIM('Raw Data'!AD30))=0),"",IF(AND(ISNUMBER('Raw Data'!AD30), IFERROR('Raw Data'!AD30 = ROUND('Raw Data'!AD30, 2),FALSE)),"",_xlfn.REGEXEXTRACT(CELL("address",AD30), "\$([A-Z]+)\$[0-9]+"))),_xlfn.REGEXEXTRACT(CELL("address",AD30), "\$([A-Z]+)\$[0-9]+"))</f>
        <v/>
      </c>
      <c r="AE30" s="7" t="str" cm="1">
        <f t="array" aca="1" ref="AE30" ca="1">IFERROR(IF(OR('Raw Data'!AE30="",LEN(TRIM('Raw Data'!AE30))=0),"",IF(AND(ISNUMBER('Raw Data'!AE30), IFERROR('Raw Data'!AE30 = ROUND('Raw Data'!AE30, 2),FALSE)),"",_xlfn.REGEXEXTRACT(CELL("address",AE30), "\$([A-Z]+)\$[0-9]+"))),_xlfn.REGEXEXTRACT(CELL("address",AE30), "\$([A-Z]+)\$[0-9]+"))</f>
        <v/>
      </c>
      <c r="AF30" s="7" t="str" cm="1">
        <f t="array" aca="1" ref="AF30" ca="1">IFERROR(IF(OR('Raw Data'!AF30="",LEN(TRIM('Raw Data'!AF30))=0),"",IF(AND(ISNUMBER('Raw Data'!AF30), IFERROR('Raw Data'!AF30 = ROUND('Raw Data'!AF30, 2),FALSE)),"",_xlfn.REGEXEXTRACT(CELL("address",AF30), "\$([A-Z]+)\$[0-9]+"))),_xlfn.REGEXEXTRACT(CELL("address",AF30), "\$([A-Z]+)\$[0-9]+"))</f>
        <v/>
      </c>
      <c r="AG30" s="7" t="str" cm="1">
        <f t="array" aca="1" ref="AG30" ca="1">IFERROR(IF(OR('Raw Data'!AG30="",LEN(TRIM('Raw Data'!AG30))=0),"",IF(AND(ISNUMBER('Raw Data'!AG30), IFERROR('Raw Data'!AG30 = ROUND('Raw Data'!AG30, 2),FALSE)),"",_xlfn.REGEXEXTRACT(CELL("address",AG30), "\$([A-Z]+)\$[0-9]+"))),_xlfn.REGEXEXTRACT(CELL("address",AG30), "\$([A-Z]+)\$[0-9]+"))</f>
        <v/>
      </c>
      <c r="AH30" s="7" t="str" cm="1">
        <f t="array" aca="1" ref="AH30" ca="1">IFERROR(IF(OR('Raw Data'!AH30="",LEN(TRIM('Raw Data'!AH30))=0),"",IF(AND(ISNUMBER('Raw Data'!AH30), IFERROR('Raw Data'!AH30 = ROUND('Raw Data'!AH30, 2),FALSE)),"",_xlfn.REGEXEXTRACT(CELL("address",AH30), "\$([A-Z]+)\$[0-9]+"))),_xlfn.REGEXEXTRACT(CELL("address",AH30), "\$([A-Z]+)\$[0-9]+"))</f>
        <v/>
      </c>
      <c r="AI30" s="7" t="str" cm="1">
        <f t="array" aca="1" ref="AI30" ca="1">IFERROR(IF(OR('Raw Data'!AI30="",LEN(TRIM('Raw Data'!AI30))=0),"",IF(AND(ISNUMBER('Raw Data'!AI30), IFERROR('Raw Data'!AI30 = ROUND('Raw Data'!AI30, 2),FALSE)),"",_xlfn.REGEXEXTRACT(CELL("address",AI30), "\$([A-Z]+)\$[0-9]+"))),_xlfn.REGEXEXTRACT(CELL("address",AI30), "\$([A-Z]+)\$[0-9]+"))</f>
        <v/>
      </c>
      <c r="AJ30" s="7" t="str" cm="1">
        <f t="array" aca="1" ref="AJ30" ca="1">IFERROR(IF(OR('Raw Data'!AJ30="",LEN(TRIM('Raw Data'!AJ30))=0),"",IF(AND(ISNUMBER('Raw Data'!AJ30), IFERROR('Raw Data'!AJ30 = ROUND('Raw Data'!AJ30, 2),FALSE)),"",_xlfn.REGEXEXTRACT(CELL("address",AJ30), "\$([A-Z]+)\$[0-9]+"))),_xlfn.REGEXEXTRACT(CELL("address",AJ30), "\$([A-Z]+)\$[0-9]+"))</f>
        <v/>
      </c>
    </row>
    <row r="31" spans="2:36" x14ac:dyDescent="0.25">
      <c r="B31" s="7" t="str" cm="1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20,LEN('Raw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Data'!D31))=0),"",IF(AND(ISNUMBER('Raw Data'!D31),'Raw Data'!D31&gt;=Configuration!$D$2),"",_xlfn.REGEXEXTRACT(CELL("address",'Raw Data'!D31),"\$([A-Z]+)\$[0-9]+"))),_xlfn.REGEXEXTRACT(CELL("address",D31), "\$([A-Z]+)\$[0-9]+"))</f>
        <v/>
      </c>
      <c r="E31" s="7" t="str" cm="1">
        <f t="array" aca="1" ref="E31" ca="1">IFERROR(IF(OR('Raw Data'!E31="",LEN(TRIM('Raw Data'!E31))=0),"",IF(AND(ISNUMBER('Raw Data'!E31), IFERROR('Raw Data'!E31 = ROUND('Raw Data'!E31, 2),FALSE)),"",_xlfn.REGEXEXTRACT(CELL("address",E31), "\$([A-Z]+)\$[0-9]+"))),_xlfn.REGEXEXTRACT(CELL("address",E31), "\$([A-Z]+)\$[0-9]+"))</f>
        <v/>
      </c>
      <c r="F31" s="7" t="str" cm="1">
        <f t="array" aca="1" ref="F31" ca="1">IFERROR(IF(OR('Raw Data'!F31="",LEN(TRIM('Raw Data'!F31))=0),"",IF(AND(ISNUMBER('Raw Data'!F31), IFERROR('Raw Data'!F31 = ROUND('Raw Data'!F31, 2),FALSE)),"",_xlfn.REGEXEXTRACT(CELL("address",F31), "\$([A-Z]+)\$[0-9]+"))),_xlfn.REGEXEXTRACT(CELL("address",F31), "\$([A-Z]+)\$[0-9]+"))</f>
        <v/>
      </c>
      <c r="G31" s="7" t="str" cm="1">
        <f t="array" aca="1" ref="G31" ca="1">IFERROR(IF(OR('Raw Data'!G31="",LEN(TRIM('Raw Data'!G31))=0),"",IF(AND(ISNUMBER('Raw Data'!G31), IFERROR('Raw Data'!G31 = ROUND('Raw Data'!G31, 2),FALSE)),"",_xlfn.REGEXEXTRACT(CELL("address",G31), "\$([A-Z]+)\$[0-9]+"))),_xlfn.REGEXEXTRACT(CELL("address",G31), "\$([A-Z]+)\$[0-9]+"))</f>
        <v/>
      </c>
      <c r="H31" s="7" t="str" cm="1">
        <f t="array" aca="1" ref="H31" ca="1">IFERROR(IF(OR('Raw Data'!H31="",LEN(TRIM('Raw Data'!H31))=0),"",IF(AND(ISNUMBER('Raw Data'!H31), IFERROR('Raw Data'!H31 = ROUND('Raw Data'!H31, 2),FALSE)),"",_xlfn.REGEXEXTRACT(CELL("address",H31), "\$([A-Z]+)\$[0-9]+"))),_xlfn.REGEXEXTRACT(CELL("address",H31), "\$([A-Z]+)\$[0-9]+"))</f>
        <v/>
      </c>
      <c r="I31" s="7" t="str" cm="1">
        <f t="array" aca="1" ref="I31" ca="1">IFERROR(IF(OR('Raw Data'!I31="",LEN(TRIM('Raw Data'!I31))=0),"",IF(AND(ISNUMBER('Raw Data'!I31), IFERROR('Raw Data'!I31 = ROUND('Raw Data'!I31, 2),FALSE)),"",_xlfn.REGEXEXTRACT(CELL("address",I31), "\$([A-Z]+)\$[0-9]+"))),_xlfn.REGEXEXTRACT(CELL("address",I31), "\$([A-Z]+)\$[0-9]+"))</f>
        <v/>
      </c>
      <c r="J31" s="7" t="str" cm="1">
        <f t="array" aca="1" ref="J31" ca="1">IFERROR(IF(OR('Raw Data'!J31="",LEN(TRIM('Raw Data'!J31))=0),"",IF(AND(ISNUMBER('Raw Data'!J31), IFERROR('Raw Data'!J31 = ROUND('Raw Data'!J31, 2),FALSE)),"",_xlfn.REGEXEXTRACT(CELL("address",J31), "\$([A-Z]+)\$[0-9]+"))),_xlfn.REGEXEXTRACT(CELL("address",J31), "\$([A-Z]+)\$[0-9]+"))</f>
        <v/>
      </c>
      <c r="K31" s="7" t="str" cm="1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7" t="str" cm="1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7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7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7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7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 cm="1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7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7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7" t="str" cm="1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7" t="str" cm="1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  <c r="Z31" s="7" t="str" cm="1">
        <f t="array" aca="1" ref="Z31" ca="1">IFERROR(IF(OR('Raw Data'!Z31="",LEN(TRIM('Raw Data'!Z31))=0),"",IF(AND(ISNUMBER('Raw Data'!Z31), IFERROR('Raw Data'!Z31 = ROUND('Raw Data'!Z31, 2),FALSE)),"",_xlfn.REGEXEXTRACT(CELL("address",Z31), "\$([A-Z]+)\$[0-9]+"))),_xlfn.REGEXEXTRACT(CELL("address",Z31), "\$([A-Z]+)\$[0-9]+"))</f>
        <v/>
      </c>
      <c r="AA31" s="7" t="str" cm="1">
        <f t="array" aca="1" ref="AA31" ca="1">IFERROR(IF(OR('Raw Data'!AA31="",LEN(TRIM('Raw Data'!AA31))=0),"",IF(AND(ISNUMBER('Raw Data'!AA31), IFERROR('Raw Data'!AA31 = ROUND('Raw Data'!AA31, 2),FALSE)),"",_xlfn.REGEXEXTRACT(CELL("address",AA31), "\$([A-Z]+)\$[0-9]+"))),_xlfn.REGEXEXTRACT(CELL("address",AA31), "\$([A-Z]+)\$[0-9]+"))</f>
        <v/>
      </c>
      <c r="AB31" s="7" t="str" cm="1">
        <f t="array" aca="1" ref="AB31" ca="1">IFERROR(IF(OR('Raw Data'!AB31="",LEN(TRIM('Raw Data'!AB31))=0),"",IF(AND(ISNUMBER('Raw Data'!AB31), IFERROR('Raw Data'!AB31 = ROUND('Raw Data'!AB31, 2),FALSE)),"",_xlfn.REGEXEXTRACT(CELL("address",AB31), "\$([A-Z]+)\$[0-9]+"))),_xlfn.REGEXEXTRACT(CELL("address",AB31), "\$([A-Z]+)\$[0-9]+"))</f>
        <v/>
      </c>
      <c r="AC31" s="7" t="str" cm="1">
        <f t="array" aca="1" ref="AC31" ca="1">IFERROR(IF(OR('Raw Data'!AC31="",LEN(TRIM('Raw Data'!AC31))=0),"",IF(AND(ISNUMBER('Raw Data'!AC31), IFERROR('Raw Data'!AC31 = ROUND('Raw Data'!AC31, 2),FALSE)),"",_xlfn.REGEXEXTRACT(CELL("address",AC31), "\$([A-Z]+)\$[0-9]+"))),_xlfn.REGEXEXTRACT(CELL("address",AC31), "\$([A-Z]+)\$[0-9]+"))</f>
        <v/>
      </c>
      <c r="AD31" s="7" t="str" cm="1">
        <f t="array" aca="1" ref="AD31" ca="1">IFERROR(IF(OR('Raw Data'!AD31="",LEN(TRIM('Raw Data'!AD31))=0),"",IF(AND(ISNUMBER('Raw Data'!AD31), IFERROR('Raw Data'!AD31 = ROUND('Raw Data'!AD31, 2),FALSE)),"",_xlfn.REGEXEXTRACT(CELL("address",AD31), "\$([A-Z]+)\$[0-9]+"))),_xlfn.REGEXEXTRACT(CELL("address",AD31), "\$([A-Z]+)\$[0-9]+"))</f>
        <v/>
      </c>
      <c r="AE31" s="7" t="str" cm="1">
        <f t="array" aca="1" ref="AE31" ca="1">IFERROR(IF(OR('Raw Data'!AE31="",LEN(TRIM('Raw Data'!AE31))=0),"",IF(AND(ISNUMBER('Raw Data'!AE31), IFERROR('Raw Data'!AE31 = ROUND('Raw Data'!AE31, 2),FALSE)),"",_xlfn.REGEXEXTRACT(CELL("address",AE31), "\$([A-Z]+)\$[0-9]+"))),_xlfn.REGEXEXTRACT(CELL("address",AE31), "\$([A-Z]+)\$[0-9]+"))</f>
        <v/>
      </c>
      <c r="AF31" s="7" t="str" cm="1">
        <f t="array" aca="1" ref="AF31" ca="1">IFERROR(IF(OR('Raw Data'!AF31="",LEN(TRIM('Raw Data'!AF31))=0),"",IF(AND(ISNUMBER('Raw Data'!AF31), IFERROR('Raw Data'!AF31 = ROUND('Raw Data'!AF31, 2),FALSE)),"",_xlfn.REGEXEXTRACT(CELL("address",AF31), "\$([A-Z]+)\$[0-9]+"))),_xlfn.REGEXEXTRACT(CELL("address",AF31), "\$([A-Z]+)\$[0-9]+"))</f>
        <v/>
      </c>
      <c r="AG31" s="7" t="str" cm="1">
        <f t="array" aca="1" ref="AG31" ca="1">IFERROR(IF(OR('Raw Data'!AG31="",LEN(TRIM('Raw Data'!AG31))=0),"",IF(AND(ISNUMBER('Raw Data'!AG31), IFERROR('Raw Data'!AG31 = ROUND('Raw Data'!AG31, 2),FALSE)),"",_xlfn.REGEXEXTRACT(CELL("address",AG31), "\$([A-Z]+)\$[0-9]+"))),_xlfn.REGEXEXTRACT(CELL("address",AG31), "\$([A-Z]+)\$[0-9]+"))</f>
        <v/>
      </c>
      <c r="AH31" s="7" t="str" cm="1">
        <f t="array" aca="1" ref="AH31" ca="1">IFERROR(IF(OR('Raw Data'!AH31="",LEN(TRIM('Raw Data'!AH31))=0),"",IF(AND(ISNUMBER('Raw Data'!AH31), IFERROR('Raw Data'!AH31 = ROUND('Raw Data'!AH31, 2),FALSE)),"",_xlfn.REGEXEXTRACT(CELL("address",AH31), "\$([A-Z]+)\$[0-9]+"))),_xlfn.REGEXEXTRACT(CELL("address",AH31), "\$([A-Z]+)\$[0-9]+"))</f>
        <v/>
      </c>
      <c r="AI31" s="7" t="str" cm="1">
        <f t="array" aca="1" ref="AI31" ca="1">IFERROR(IF(OR('Raw Data'!AI31="",LEN(TRIM('Raw Data'!AI31))=0),"",IF(AND(ISNUMBER('Raw Data'!AI31), IFERROR('Raw Data'!AI31 = ROUND('Raw Data'!AI31, 2),FALSE)),"",_xlfn.REGEXEXTRACT(CELL("address",AI31), "\$([A-Z]+)\$[0-9]+"))),_xlfn.REGEXEXTRACT(CELL("address",AI31), "\$([A-Z]+)\$[0-9]+"))</f>
        <v/>
      </c>
      <c r="AJ31" s="7" t="str" cm="1">
        <f t="array" aca="1" ref="AJ31" ca="1">IFERROR(IF(OR('Raw Data'!AJ31="",LEN(TRIM('Raw Data'!AJ31))=0),"",IF(AND(ISNUMBER('Raw Data'!AJ31), IFERROR('Raw Data'!AJ31 = ROUND('Raw Data'!AJ31, 2),FALSE)),"",_xlfn.REGEXEXTRACT(CELL("address",AJ31), "\$([A-Z]+)\$[0-9]+"))),_xlfn.REGEXEXTRACT(CELL("address",AJ31), "\$([A-Z]+)\$[0-9]+"))</f>
        <v/>
      </c>
    </row>
    <row r="32" spans="2:36" x14ac:dyDescent="0.25">
      <c r="B32" s="7" t="str" cm="1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20,LEN('Raw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Data'!D32))=0),"",IF(AND(ISNUMBER('Raw Data'!D32),'Raw Data'!D32&gt;=Configuration!$D$2),"",_xlfn.REGEXEXTRACT(CELL("address",'Raw Data'!D32),"\$([A-Z]+)\$[0-9]+"))),_xlfn.REGEXEXTRACT(CELL("address",D32), "\$([A-Z]+)\$[0-9]+"))</f>
        <v/>
      </c>
      <c r="E32" s="7" t="str" cm="1">
        <f t="array" aca="1" ref="E32" ca="1">IFERROR(IF(OR('Raw Data'!E32="",LEN(TRIM('Raw Data'!E32))=0),"",IF(AND(ISNUMBER('Raw Data'!E32), IFERROR('Raw Data'!E32 = ROUND('Raw Data'!E32, 2),FALSE)),"",_xlfn.REGEXEXTRACT(CELL("address",E32), "\$([A-Z]+)\$[0-9]+"))),_xlfn.REGEXEXTRACT(CELL("address",E32), "\$([A-Z]+)\$[0-9]+"))</f>
        <v/>
      </c>
      <c r="F32" s="7" t="str" cm="1">
        <f t="array" aca="1" ref="F32" ca="1">IFERROR(IF(OR('Raw Data'!F32="",LEN(TRIM('Raw Data'!F32))=0),"",IF(AND(ISNUMBER('Raw Data'!F32), IFERROR('Raw Data'!F32 = ROUND('Raw Data'!F32, 2),FALSE)),"",_xlfn.REGEXEXTRACT(CELL("address",F32), "\$([A-Z]+)\$[0-9]+"))),_xlfn.REGEXEXTRACT(CELL("address",F32), "\$([A-Z]+)\$[0-9]+"))</f>
        <v/>
      </c>
      <c r="G32" s="7" t="str" cm="1">
        <f t="array" aca="1" ref="G32" ca="1">IFERROR(IF(OR('Raw Data'!G32="",LEN(TRIM('Raw Data'!G32))=0),"",IF(AND(ISNUMBER('Raw Data'!G32), IFERROR('Raw Data'!G32 = ROUND('Raw Data'!G32, 2),FALSE)),"",_xlfn.REGEXEXTRACT(CELL("address",G32), "\$([A-Z]+)\$[0-9]+"))),_xlfn.REGEXEXTRACT(CELL("address",G32), "\$([A-Z]+)\$[0-9]+"))</f>
        <v/>
      </c>
      <c r="H32" s="7" t="str" cm="1">
        <f t="array" aca="1" ref="H32" ca="1">IFERROR(IF(OR('Raw Data'!H32="",LEN(TRIM('Raw Data'!H32))=0),"",IF(AND(ISNUMBER('Raw Data'!H32), IFERROR('Raw Data'!H32 = ROUND('Raw Data'!H32, 2),FALSE)),"",_xlfn.REGEXEXTRACT(CELL("address",H32), "\$([A-Z]+)\$[0-9]+"))),_xlfn.REGEXEXTRACT(CELL("address",H32), "\$([A-Z]+)\$[0-9]+"))</f>
        <v/>
      </c>
      <c r="I32" s="7" t="str" cm="1">
        <f t="array" aca="1" ref="I32" ca="1">IFERROR(IF(OR('Raw Data'!I32="",LEN(TRIM('Raw Data'!I32))=0),"",IF(AND(ISNUMBER('Raw Data'!I32), IFERROR('Raw Data'!I32 = ROUND('Raw Data'!I32, 2),FALSE)),"",_xlfn.REGEXEXTRACT(CELL("address",I32), "\$([A-Z]+)\$[0-9]+"))),_xlfn.REGEXEXTRACT(CELL("address",I32), "\$([A-Z]+)\$[0-9]+"))</f>
        <v/>
      </c>
      <c r="J32" s="7" t="str" cm="1">
        <f t="array" aca="1" ref="J32" ca="1">IFERROR(IF(OR('Raw Data'!J32="",LEN(TRIM('Raw Data'!J32))=0),"",IF(AND(ISNUMBER('Raw Data'!J32), IFERROR('Raw Data'!J32 = ROUND('Raw Data'!J32, 2),FALSE)),"",_xlfn.REGEXEXTRACT(CELL("address",J32), "\$([A-Z]+)\$[0-9]+"))),_xlfn.REGEXEXTRACT(CELL("address",J32), "\$([A-Z]+)\$[0-9]+"))</f>
        <v/>
      </c>
      <c r="K32" s="7" t="str" cm="1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7" t="str" cm="1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7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7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7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7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 cm="1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7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7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7" t="str" cm="1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7" t="str" cm="1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  <c r="Z32" s="7" t="str" cm="1">
        <f t="array" aca="1" ref="Z32" ca="1">IFERROR(IF(OR('Raw Data'!Z32="",LEN(TRIM('Raw Data'!Z32))=0),"",IF(AND(ISNUMBER('Raw Data'!Z32), IFERROR('Raw Data'!Z32 = ROUND('Raw Data'!Z32, 2),FALSE)),"",_xlfn.REGEXEXTRACT(CELL("address",Z32), "\$([A-Z]+)\$[0-9]+"))),_xlfn.REGEXEXTRACT(CELL("address",Z32), "\$([A-Z]+)\$[0-9]+"))</f>
        <v/>
      </c>
      <c r="AA32" s="7" t="str" cm="1">
        <f t="array" aca="1" ref="AA32" ca="1">IFERROR(IF(OR('Raw Data'!AA32="",LEN(TRIM('Raw Data'!AA32))=0),"",IF(AND(ISNUMBER('Raw Data'!AA32), IFERROR('Raw Data'!AA32 = ROUND('Raw Data'!AA32, 2),FALSE)),"",_xlfn.REGEXEXTRACT(CELL("address",AA32), "\$([A-Z]+)\$[0-9]+"))),_xlfn.REGEXEXTRACT(CELL("address",AA32), "\$([A-Z]+)\$[0-9]+"))</f>
        <v/>
      </c>
      <c r="AB32" s="7" t="str" cm="1">
        <f t="array" aca="1" ref="AB32" ca="1">IFERROR(IF(OR('Raw Data'!AB32="",LEN(TRIM('Raw Data'!AB32))=0),"",IF(AND(ISNUMBER('Raw Data'!AB32), IFERROR('Raw Data'!AB32 = ROUND('Raw Data'!AB32, 2),FALSE)),"",_xlfn.REGEXEXTRACT(CELL("address",AB32), "\$([A-Z]+)\$[0-9]+"))),_xlfn.REGEXEXTRACT(CELL("address",AB32), "\$([A-Z]+)\$[0-9]+"))</f>
        <v/>
      </c>
      <c r="AC32" s="7" t="str" cm="1">
        <f t="array" aca="1" ref="AC32" ca="1">IFERROR(IF(OR('Raw Data'!AC32="",LEN(TRIM('Raw Data'!AC32))=0),"",IF(AND(ISNUMBER('Raw Data'!AC32), IFERROR('Raw Data'!AC32 = ROUND('Raw Data'!AC32, 2),FALSE)),"",_xlfn.REGEXEXTRACT(CELL("address",AC32), "\$([A-Z]+)\$[0-9]+"))),_xlfn.REGEXEXTRACT(CELL("address",AC32), "\$([A-Z]+)\$[0-9]+"))</f>
        <v/>
      </c>
      <c r="AD32" s="7" t="str" cm="1">
        <f t="array" aca="1" ref="AD32" ca="1">IFERROR(IF(OR('Raw Data'!AD32="",LEN(TRIM('Raw Data'!AD32))=0),"",IF(AND(ISNUMBER('Raw Data'!AD32), IFERROR('Raw Data'!AD32 = ROUND('Raw Data'!AD32, 2),FALSE)),"",_xlfn.REGEXEXTRACT(CELL("address",AD32), "\$([A-Z]+)\$[0-9]+"))),_xlfn.REGEXEXTRACT(CELL("address",AD32), "\$([A-Z]+)\$[0-9]+"))</f>
        <v/>
      </c>
      <c r="AE32" s="7" t="str" cm="1">
        <f t="array" aca="1" ref="AE32" ca="1">IFERROR(IF(OR('Raw Data'!AE32="",LEN(TRIM('Raw Data'!AE32))=0),"",IF(AND(ISNUMBER('Raw Data'!AE32), IFERROR('Raw Data'!AE32 = ROUND('Raw Data'!AE32, 2),FALSE)),"",_xlfn.REGEXEXTRACT(CELL("address",AE32), "\$([A-Z]+)\$[0-9]+"))),_xlfn.REGEXEXTRACT(CELL("address",AE32), "\$([A-Z]+)\$[0-9]+"))</f>
        <v/>
      </c>
      <c r="AF32" s="7" t="str" cm="1">
        <f t="array" aca="1" ref="AF32" ca="1">IFERROR(IF(OR('Raw Data'!AF32="",LEN(TRIM('Raw Data'!AF32))=0),"",IF(AND(ISNUMBER('Raw Data'!AF32), IFERROR('Raw Data'!AF32 = ROUND('Raw Data'!AF32, 2),FALSE)),"",_xlfn.REGEXEXTRACT(CELL("address",AF32), "\$([A-Z]+)\$[0-9]+"))),_xlfn.REGEXEXTRACT(CELL("address",AF32), "\$([A-Z]+)\$[0-9]+"))</f>
        <v/>
      </c>
      <c r="AG32" s="7" t="str" cm="1">
        <f t="array" aca="1" ref="AG32" ca="1">IFERROR(IF(OR('Raw Data'!AG32="",LEN(TRIM('Raw Data'!AG32))=0),"",IF(AND(ISNUMBER('Raw Data'!AG32), IFERROR('Raw Data'!AG32 = ROUND('Raw Data'!AG32, 2),FALSE)),"",_xlfn.REGEXEXTRACT(CELL("address",AG32), "\$([A-Z]+)\$[0-9]+"))),_xlfn.REGEXEXTRACT(CELL("address",AG32), "\$([A-Z]+)\$[0-9]+"))</f>
        <v/>
      </c>
      <c r="AH32" s="7" t="str" cm="1">
        <f t="array" aca="1" ref="AH32" ca="1">IFERROR(IF(OR('Raw Data'!AH32="",LEN(TRIM('Raw Data'!AH32))=0),"",IF(AND(ISNUMBER('Raw Data'!AH32), IFERROR('Raw Data'!AH32 = ROUND('Raw Data'!AH32, 2),FALSE)),"",_xlfn.REGEXEXTRACT(CELL("address",AH32), "\$([A-Z]+)\$[0-9]+"))),_xlfn.REGEXEXTRACT(CELL("address",AH32), "\$([A-Z]+)\$[0-9]+"))</f>
        <v/>
      </c>
      <c r="AI32" s="7" t="str" cm="1">
        <f t="array" aca="1" ref="AI32" ca="1">IFERROR(IF(OR('Raw Data'!AI32="",LEN(TRIM('Raw Data'!AI32))=0),"",IF(AND(ISNUMBER('Raw Data'!AI32), IFERROR('Raw Data'!AI32 = ROUND('Raw Data'!AI32, 2),FALSE)),"",_xlfn.REGEXEXTRACT(CELL("address",AI32), "\$([A-Z]+)\$[0-9]+"))),_xlfn.REGEXEXTRACT(CELL("address",AI32), "\$([A-Z]+)\$[0-9]+"))</f>
        <v/>
      </c>
      <c r="AJ32" s="7" t="str" cm="1">
        <f t="array" aca="1" ref="AJ32" ca="1">IFERROR(IF(OR('Raw Data'!AJ32="",LEN(TRIM('Raw Data'!AJ32))=0),"",IF(AND(ISNUMBER('Raw Data'!AJ32), IFERROR('Raw Data'!AJ32 = ROUND('Raw Data'!AJ32, 2),FALSE)),"",_xlfn.REGEXEXTRACT(CELL("address",AJ32), "\$([A-Z]+)\$[0-9]+"))),_xlfn.REGEXEXTRACT(CELL("address",AJ32), "\$([A-Z]+)\$[0-9]+"))</f>
        <v/>
      </c>
    </row>
    <row r="33" spans="2:36" x14ac:dyDescent="0.25">
      <c r="B33" s="7" t="str" cm="1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20,LEN('Raw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Data'!D33))=0),"",IF(AND(ISNUMBER('Raw Data'!D33),'Raw Data'!D33&gt;=Configuration!$D$2),"",_xlfn.REGEXEXTRACT(CELL("address",'Raw Data'!D33),"\$([A-Z]+)\$[0-9]+"))),_xlfn.REGEXEXTRACT(CELL("address",D33), "\$([A-Z]+)\$[0-9]+"))</f>
        <v/>
      </c>
      <c r="E33" s="7" t="str" cm="1">
        <f t="array" aca="1" ref="E33" ca="1">IFERROR(IF(OR('Raw Data'!E33="",LEN(TRIM('Raw Data'!E33))=0),"",IF(AND(ISNUMBER('Raw Data'!E33), IFERROR('Raw Data'!E33 = ROUND('Raw Data'!E33, 2),FALSE)),"",_xlfn.REGEXEXTRACT(CELL("address",E33), "\$([A-Z]+)\$[0-9]+"))),_xlfn.REGEXEXTRACT(CELL("address",E33), "\$([A-Z]+)\$[0-9]+"))</f>
        <v/>
      </c>
      <c r="F33" s="7" t="str" cm="1">
        <f t="array" aca="1" ref="F33" ca="1">IFERROR(IF(OR('Raw Data'!F33="",LEN(TRIM('Raw Data'!F33))=0),"",IF(AND(ISNUMBER('Raw Data'!F33), IFERROR('Raw Data'!F33 = ROUND('Raw Data'!F33, 2),FALSE)),"",_xlfn.REGEXEXTRACT(CELL("address",F33), "\$([A-Z]+)\$[0-9]+"))),_xlfn.REGEXEXTRACT(CELL("address",F33), "\$([A-Z]+)\$[0-9]+"))</f>
        <v/>
      </c>
      <c r="G33" s="7" t="str" cm="1">
        <f t="array" aca="1" ref="G33" ca="1">IFERROR(IF(OR('Raw Data'!G33="",LEN(TRIM('Raw Data'!G33))=0),"",IF(AND(ISNUMBER('Raw Data'!G33), IFERROR('Raw Data'!G33 = ROUND('Raw Data'!G33, 2),FALSE)),"",_xlfn.REGEXEXTRACT(CELL("address",G33), "\$([A-Z]+)\$[0-9]+"))),_xlfn.REGEXEXTRACT(CELL("address",G33), "\$([A-Z]+)\$[0-9]+"))</f>
        <v/>
      </c>
      <c r="H33" s="7" t="str" cm="1">
        <f t="array" aca="1" ref="H33" ca="1">IFERROR(IF(OR('Raw Data'!H33="",LEN(TRIM('Raw Data'!H33))=0),"",IF(AND(ISNUMBER('Raw Data'!H33), IFERROR('Raw Data'!H33 = ROUND('Raw Data'!H33, 2),FALSE)),"",_xlfn.REGEXEXTRACT(CELL("address",H33), "\$([A-Z]+)\$[0-9]+"))),_xlfn.REGEXEXTRACT(CELL("address",H33), "\$([A-Z]+)\$[0-9]+"))</f>
        <v/>
      </c>
      <c r="I33" s="7" t="str" cm="1">
        <f t="array" aca="1" ref="I33" ca="1">IFERROR(IF(OR('Raw Data'!I33="",LEN(TRIM('Raw Data'!I33))=0),"",IF(AND(ISNUMBER('Raw Data'!I33), IFERROR('Raw Data'!I33 = ROUND('Raw Data'!I33, 2),FALSE)),"",_xlfn.REGEXEXTRACT(CELL("address",I33), "\$([A-Z]+)\$[0-9]+"))),_xlfn.REGEXEXTRACT(CELL("address",I33), "\$([A-Z]+)\$[0-9]+"))</f>
        <v/>
      </c>
      <c r="J33" s="7" t="str" cm="1">
        <f t="array" aca="1" ref="J33" ca="1">IFERROR(IF(OR('Raw Data'!J33="",LEN(TRIM('Raw Data'!J33))=0),"",IF(AND(ISNUMBER('Raw Data'!J33), IFERROR('Raw Data'!J33 = ROUND('Raw Data'!J33, 2),FALSE)),"",_xlfn.REGEXEXTRACT(CELL("address",J33), "\$([A-Z]+)\$[0-9]+"))),_xlfn.REGEXEXTRACT(CELL("address",J33), "\$([A-Z]+)\$[0-9]+"))</f>
        <v/>
      </c>
      <c r="K33" s="7" t="str" cm="1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7" t="str" cm="1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7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7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7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7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 cm="1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7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7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7" t="str" cm="1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7" t="str" cm="1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  <c r="Z33" s="7" t="str" cm="1">
        <f t="array" aca="1" ref="Z33" ca="1">IFERROR(IF(OR('Raw Data'!Z33="",LEN(TRIM('Raw Data'!Z33))=0),"",IF(AND(ISNUMBER('Raw Data'!Z33), IFERROR('Raw Data'!Z33 = ROUND('Raw Data'!Z33, 2),FALSE)),"",_xlfn.REGEXEXTRACT(CELL("address",Z33), "\$([A-Z]+)\$[0-9]+"))),_xlfn.REGEXEXTRACT(CELL("address",Z33), "\$([A-Z]+)\$[0-9]+"))</f>
        <v/>
      </c>
      <c r="AA33" s="7" t="str" cm="1">
        <f t="array" aca="1" ref="AA33" ca="1">IFERROR(IF(OR('Raw Data'!AA33="",LEN(TRIM('Raw Data'!AA33))=0),"",IF(AND(ISNUMBER('Raw Data'!AA33), IFERROR('Raw Data'!AA33 = ROUND('Raw Data'!AA33, 2),FALSE)),"",_xlfn.REGEXEXTRACT(CELL("address",AA33), "\$([A-Z]+)\$[0-9]+"))),_xlfn.REGEXEXTRACT(CELL("address",AA33), "\$([A-Z]+)\$[0-9]+"))</f>
        <v/>
      </c>
      <c r="AB33" s="7" t="str" cm="1">
        <f t="array" aca="1" ref="AB33" ca="1">IFERROR(IF(OR('Raw Data'!AB33="",LEN(TRIM('Raw Data'!AB33))=0),"",IF(AND(ISNUMBER('Raw Data'!AB33), IFERROR('Raw Data'!AB33 = ROUND('Raw Data'!AB33, 2),FALSE)),"",_xlfn.REGEXEXTRACT(CELL("address",AB33), "\$([A-Z]+)\$[0-9]+"))),_xlfn.REGEXEXTRACT(CELL("address",AB33), "\$([A-Z]+)\$[0-9]+"))</f>
        <v/>
      </c>
      <c r="AC33" s="7" t="str" cm="1">
        <f t="array" aca="1" ref="AC33" ca="1">IFERROR(IF(OR('Raw Data'!AC33="",LEN(TRIM('Raw Data'!AC33))=0),"",IF(AND(ISNUMBER('Raw Data'!AC33), IFERROR('Raw Data'!AC33 = ROUND('Raw Data'!AC33, 2),FALSE)),"",_xlfn.REGEXEXTRACT(CELL("address",AC33), "\$([A-Z]+)\$[0-9]+"))),_xlfn.REGEXEXTRACT(CELL("address",AC33), "\$([A-Z]+)\$[0-9]+"))</f>
        <v/>
      </c>
      <c r="AD33" s="7" t="str" cm="1">
        <f t="array" aca="1" ref="AD33" ca="1">IFERROR(IF(OR('Raw Data'!AD33="",LEN(TRIM('Raw Data'!AD33))=0),"",IF(AND(ISNUMBER('Raw Data'!AD33), IFERROR('Raw Data'!AD33 = ROUND('Raw Data'!AD33, 2),FALSE)),"",_xlfn.REGEXEXTRACT(CELL("address",AD33), "\$([A-Z]+)\$[0-9]+"))),_xlfn.REGEXEXTRACT(CELL("address",AD33), "\$([A-Z]+)\$[0-9]+"))</f>
        <v/>
      </c>
      <c r="AE33" s="7" t="str" cm="1">
        <f t="array" aca="1" ref="AE33" ca="1">IFERROR(IF(OR('Raw Data'!AE33="",LEN(TRIM('Raw Data'!AE33))=0),"",IF(AND(ISNUMBER('Raw Data'!AE33), IFERROR('Raw Data'!AE33 = ROUND('Raw Data'!AE33, 2),FALSE)),"",_xlfn.REGEXEXTRACT(CELL("address",AE33), "\$([A-Z]+)\$[0-9]+"))),_xlfn.REGEXEXTRACT(CELL("address",AE33), "\$([A-Z]+)\$[0-9]+"))</f>
        <v/>
      </c>
      <c r="AF33" s="7" t="str" cm="1">
        <f t="array" aca="1" ref="AF33" ca="1">IFERROR(IF(OR('Raw Data'!AF33="",LEN(TRIM('Raw Data'!AF33))=0),"",IF(AND(ISNUMBER('Raw Data'!AF33), IFERROR('Raw Data'!AF33 = ROUND('Raw Data'!AF33, 2),FALSE)),"",_xlfn.REGEXEXTRACT(CELL("address",AF33), "\$([A-Z]+)\$[0-9]+"))),_xlfn.REGEXEXTRACT(CELL("address",AF33), "\$([A-Z]+)\$[0-9]+"))</f>
        <v/>
      </c>
      <c r="AG33" s="7" t="str" cm="1">
        <f t="array" aca="1" ref="AG33" ca="1">IFERROR(IF(OR('Raw Data'!AG33="",LEN(TRIM('Raw Data'!AG33))=0),"",IF(AND(ISNUMBER('Raw Data'!AG33), IFERROR('Raw Data'!AG33 = ROUND('Raw Data'!AG33, 2),FALSE)),"",_xlfn.REGEXEXTRACT(CELL("address",AG33), "\$([A-Z]+)\$[0-9]+"))),_xlfn.REGEXEXTRACT(CELL("address",AG33), "\$([A-Z]+)\$[0-9]+"))</f>
        <v/>
      </c>
      <c r="AH33" s="7" t="str" cm="1">
        <f t="array" aca="1" ref="AH33" ca="1">IFERROR(IF(OR('Raw Data'!AH33="",LEN(TRIM('Raw Data'!AH33))=0),"",IF(AND(ISNUMBER('Raw Data'!AH33), IFERROR('Raw Data'!AH33 = ROUND('Raw Data'!AH33, 2),FALSE)),"",_xlfn.REGEXEXTRACT(CELL("address",AH33), "\$([A-Z]+)\$[0-9]+"))),_xlfn.REGEXEXTRACT(CELL("address",AH33), "\$([A-Z]+)\$[0-9]+"))</f>
        <v/>
      </c>
      <c r="AI33" s="7" t="str" cm="1">
        <f t="array" aca="1" ref="AI33" ca="1">IFERROR(IF(OR('Raw Data'!AI33="",LEN(TRIM('Raw Data'!AI33))=0),"",IF(AND(ISNUMBER('Raw Data'!AI33), IFERROR('Raw Data'!AI33 = ROUND('Raw Data'!AI33, 2),FALSE)),"",_xlfn.REGEXEXTRACT(CELL("address",AI33), "\$([A-Z]+)\$[0-9]+"))),_xlfn.REGEXEXTRACT(CELL("address",AI33), "\$([A-Z]+)\$[0-9]+"))</f>
        <v/>
      </c>
      <c r="AJ33" s="7" t="str" cm="1">
        <f t="array" aca="1" ref="AJ33" ca="1">IFERROR(IF(OR('Raw Data'!AJ33="",LEN(TRIM('Raw Data'!AJ33))=0),"",IF(AND(ISNUMBER('Raw Data'!AJ33), IFERROR('Raw Data'!AJ33 = ROUND('Raw Data'!AJ33, 2),FALSE)),"",_xlfn.REGEXEXTRACT(CELL("address",AJ33), "\$([A-Z]+)\$[0-9]+"))),_xlfn.REGEXEXTRACT(CELL("address",AJ33), "\$([A-Z]+)\$[0-9]+"))</f>
        <v/>
      </c>
    </row>
    <row r="34" spans="2:36" x14ac:dyDescent="0.25">
      <c r="B34" s="7" t="str" cm="1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20,LEN('Raw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Data'!D34))=0),"",IF(AND(ISNUMBER('Raw Data'!D34),'Raw Data'!D34&gt;=Configuration!$D$2),"",_xlfn.REGEXEXTRACT(CELL("address",'Raw Data'!D34),"\$([A-Z]+)\$[0-9]+"))),_xlfn.REGEXEXTRACT(CELL("address",D34), "\$([A-Z]+)\$[0-9]+"))</f>
        <v/>
      </c>
      <c r="E34" s="7" t="str" cm="1">
        <f t="array" aca="1" ref="E34" ca="1">IFERROR(IF(OR('Raw Data'!E34="",LEN(TRIM('Raw Data'!E34))=0),"",IF(AND(ISNUMBER('Raw Data'!E34), IFERROR('Raw Data'!E34 = ROUND('Raw Data'!E34, 2),FALSE)),"",_xlfn.REGEXEXTRACT(CELL("address",E34), "\$([A-Z]+)\$[0-9]+"))),_xlfn.REGEXEXTRACT(CELL("address",E34), "\$([A-Z]+)\$[0-9]+"))</f>
        <v/>
      </c>
      <c r="F34" s="7" t="str" cm="1">
        <f t="array" aca="1" ref="F34" ca="1">IFERROR(IF(OR('Raw Data'!F34="",LEN(TRIM('Raw Data'!F34))=0),"",IF(AND(ISNUMBER('Raw Data'!F34), IFERROR('Raw Data'!F34 = ROUND('Raw Data'!F34, 2),FALSE)),"",_xlfn.REGEXEXTRACT(CELL("address",F34), "\$([A-Z]+)\$[0-9]+"))),_xlfn.REGEXEXTRACT(CELL("address",F34), "\$([A-Z]+)\$[0-9]+"))</f>
        <v/>
      </c>
      <c r="G34" s="7" t="str" cm="1">
        <f t="array" aca="1" ref="G34" ca="1">IFERROR(IF(OR('Raw Data'!G34="",LEN(TRIM('Raw Data'!G34))=0),"",IF(AND(ISNUMBER('Raw Data'!G34), IFERROR('Raw Data'!G34 = ROUND('Raw Data'!G34, 2),FALSE)),"",_xlfn.REGEXEXTRACT(CELL("address",G34), "\$([A-Z]+)\$[0-9]+"))),_xlfn.REGEXEXTRACT(CELL("address",G34), "\$([A-Z]+)\$[0-9]+"))</f>
        <v/>
      </c>
      <c r="H34" s="7" t="str" cm="1">
        <f t="array" aca="1" ref="H34" ca="1">IFERROR(IF(OR('Raw Data'!H34="",LEN(TRIM('Raw Data'!H34))=0),"",IF(AND(ISNUMBER('Raw Data'!H34), IFERROR('Raw Data'!H34 = ROUND('Raw Data'!H34, 2),FALSE)),"",_xlfn.REGEXEXTRACT(CELL("address",H34), "\$([A-Z]+)\$[0-9]+"))),_xlfn.REGEXEXTRACT(CELL("address",H34), "\$([A-Z]+)\$[0-9]+"))</f>
        <v/>
      </c>
      <c r="I34" s="7" t="str" cm="1">
        <f t="array" aca="1" ref="I34" ca="1">IFERROR(IF(OR('Raw Data'!I34="",LEN(TRIM('Raw Data'!I34))=0),"",IF(AND(ISNUMBER('Raw Data'!I34), IFERROR('Raw Data'!I34 = ROUND('Raw Data'!I34, 2),FALSE)),"",_xlfn.REGEXEXTRACT(CELL("address",I34), "\$([A-Z]+)\$[0-9]+"))),_xlfn.REGEXEXTRACT(CELL("address",I34), "\$([A-Z]+)\$[0-9]+"))</f>
        <v/>
      </c>
      <c r="J34" s="7" t="str" cm="1">
        <f t="array" aca="1" ref="J34" ca="1">IFERROR(IF(OR('Raw Data'!J34="",LEN(TRIM('Raw Data'!J34))=0),"",IF(AND(ISNUMBER('Raw Data'!J34), IFERROR('Raw Data'!J34 = ROUND('Raw Data'!J34, 2),FALSE)),"",_xlfn.REGEXEXTRACT(CELL("address",J34), "\$([A-Z]+)\$[0-9]+"))),_xlfn.REGEXEXTRACT(CELL("address",J34), "\$([A-Z]+)\$[0-9]+"))</f>
        <v/>
      </c>
      <c r="K34" s="7" t="str" cm="1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7" t="str" cm="1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7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7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7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7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 cm="1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7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7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7" t="str" cm="1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7" t="str" cm="1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  <c r="Z34" s="7" t="str" cm="1">
        <f t="array" aca="1" ref="Z34" ca="1">IFERROR(IF(OR('Raw Data'!Z34="",LEN(TRIM('Raw Data'!Z34))=0),"",IF(AND(ISNUMBER('Raw Data'!Z34), IFERROR('Raw Data'!Z34 = ROUND('Raw Data'!Z34, 2),FALSE)),"",_xlfn.REGEXEXTRACT(CELL("address",Z34), "\$([A-Z]+)\$[0-9]+"))),_xlfn.REGEXEXTRACT(CELL("address",Z34), "\$([A-Z]+)\$[0-9]+"))</f>
        <v/>
      </c>
      <c r="AA34" s="7" t="str" cm="1">
        <f t="array" aca="1" ref="AA34" ca="1">IFERROR(IF(OR('Raw Data'!AA34="",LEN(TRIM('Raw Data'!AA34))=0),"",IF(AND(ISNUMBER('Raw Data'!AA34), IFERROR('Raw Data'!AA34 = ROUND('Raw Data'!AA34, 2),FALSE)),"",_xlfn.REGEXEXTRACT(CELL("address",AA34), "\$([A-Z]+)\$[0-9]+"))),_xlfn.REGEXEXTRACT(CELL("address",AA34), "\$([A-Z]+)\$[0-9]+"))</f>
        <v/>
      </c>
      <c r="AB34" s="7" t="str" cm="1">
        <f t="array" aca="1" ref="AB34" ca="1">IFERROR(IF(OR('Raw Data'!AB34="",LEN(TRIM('Raw Data'!AB34))=0),"",IF(AND(ISNUMBER('Raw Data'!AB34), IFERROR('Raw Data'!AB34 = ROUND('Raw Data'!AB34, 2),FALSE)),"",_xlfn.REGEXEXTRACT(CELL("address",AB34), "\$([A-Z]+)\$[0-9]+"))),_xlfn.REGEXEXTRACT(CELL("address",AB34), "\$([A-Z]+)\$[0-9]+"))</f>
        <v/>
      </c>
      <c r="AC34" s="7" t="str" cm="1">
        <f t="array" aca="1" ref="AC34" ca="1">IFERROR(IF(OR('Raw Data'!AC34="",LEN(TRIM('Raw Data'!AC34))=0),"",IF(AND(ISNUMBER('Raw Data'!AC34), IFERROR('Raw Data'!AC34 = ROUND('Raw Data'!AC34, 2),FALSE)),"",_xlfn.REGEXEXTRACT(CELL("address",AC34), "\$([A-Z]+)\$[0-9]+"))),_xlfn.REGEXEXTRACT(CELL("address",AC34), "\$([A-Z]+)\$[0-9]+"))</f>
        <v/>
      </c>
      <c r="AD34" s="7" t="str" cm="1">
        <f t="array" aca="1" ref="AD34" ca="1">IFERROR(IF(OR('Raw Data'!AD34="",LEN(TRIM('Raw Data'!AD34))=0),"",IF(AND(ISNUMBER('Raw Data'!AD34), IFERROR('Raw Data'!AD34 = ROUND('Raw Data'!AD34, 2),FALSE)),"",_xlfn.REGEXEXTRACT(CELL("address",AD34), "\$([A-Z]+)\$[0-9]+"))),_xlfn.REGEXEXTRACT(CELL("address",AD34), "\$([A-Z]+)\$[0-9]+"))</f>
        <v/>
      </c>
      <c r="AE34" s="7" t="str" cm="1">
        <f t="array" aca="1" ref="AE34" ca="1">IFERROR(IF(OR('Raw Data'!AE34="",LEN(TRIM('Raw Data'!AE34))=0),"",IF(AND(ISNUMBER('Raw Data'!AE34), IFERROR('Raw Data'!AE34 = ROUND('Raw Data'!AE34, 2),FALSE)),"",_xlfn.REGEXEXTRACT(CELL("address",AE34), "\$([A-Z]+)\$[0-9]+"))),_xlfn.REGEXEXTRACT(CELL("address",AE34), "\$([A-Z]+)\$[0-9]+"))</f>
        <v/>
      </c>
      <c r="AF34" s="7" t="str" cm="1">
        <f t="array" aca="1" ref="AF34" ca="1">IFERROR(IF(OR('Raw Data'!AF34="",LEN(TRIM('Raw Data'!AF34))=0),"",IF(AND(ISNUMBER('Raw Data'!AF34), IFERROR('Raw Data'!AF34 = ROUND('Raw Data'!AF34, 2),FALSE)),"",_xlfn.REGEXEXTRACT(CELL("address",AF34), "\$([A-Z]+)\$[0-9]+"))),_xlfn.REGEXEXTRACT(CELL("address",AF34), "\$([A-Z]+)\$[0-9]+"))</f>
        <v/>
      </c>
      <c r="AG34" s="7" t="str" cm="1">
        <f t="array" aca="1" ref="AG34" ca="1">IFERROR(IF(OR('Raw Data'!AG34="",LEN(TRIM('Raw Data'!AG34))=0),"",IF(AND(ISNUMBER('Raw Data'!AG34), IFERROR('Raw Data'!AG34 = ROUND('Raw Data'!AG34, 2),FALSE)),"",_xlfn.REGEXEXTRACT(CELL("address",AG34), "\$([A-Z]+)\$[0-9]+"))),_xlfn.REGEXEXTRACT(CELL("address",AG34), "\$([A-Z]+)\$[0-9]+"))</f>
        <v/>
      </c>
      <c r="AH34" s="7" t="str" cm="1">
        <f t="array" aca="1" ref="AH34" ca="1">IFERROR(IF(OR('Raw Data'!AH34="",LEN(TRIM('Raw Data'!AH34))=0),"",IF(AND(ISNUMBER('Raw Data'!AH34), IFERROR('Raw Data'!AH34 = ROUND('Raw Data'!AH34, 2),FALSE)),"",_xlfn.REGEXEXTRACT(CELL("address",AH34), "\$([A-Z]+)\$[0-9]+"))),_xlfn.REGEXEXTRACT(CELL("address",AH34), "\$([A-Z]+)\$[0-9]+"))</f>
        <v/>
      </c>
      <c r="AI34" s="7" t="str" cm="1">
        <f t="array" aca="1" ref="AI34" ca="1">IFERROR(IF(OR('Raw Data'!AI34="",LEN(TRIM('Raw Data'!AI34))=0),"",IF(AND(ISNUMBER('Raw Data'!AI34), IFERROR('Raw Data'!AI34 = ROUND('Raw Data'!AI34, 2),FALSE)),"",_xlfn.REGEXEXTRACT(CELL("address",AI34), "\$([A-Z]+)\$[0-9]+"))),_xlfn.REGEXEXTRACT(CELL("address",AI34), "\$([A-Z]+)\$[0-9]+"))</f>
        <v/>
      </c>
      <c r="AJ34" s="7" t="str" cm="1">
        <f t="array" aca="1" ref="AJ34" ca="1">IFERROR(IF(OR('Raw Data'!AJ34="",LEN(TRIM('Raw Data'!AJ34))=0),"",IF(AND(ISNUMBER('Raw Data'!AJ34), IFERROR('Raw Data'!AJ34 = ROUND('Raw Data'!AJ34, 2),FALSE)),"",_xlfn.REGEXEXTRACT(CELL("address",AJ34), "\$([A-Z]+)\$[0-9]+"))),_xlfn.REGEXEXTRACT(CELL("address",AJ34), "\$([A-Z]+)\$[0-9]+"))</f>
        <v/>
      </c>
    </row>
    <row r="35" spans="2:36" x14ac:dyDescent="0.25">
      <c r="B35" s="7" t="str" cm="1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20,LEN('Raw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Data'!D35))=0),"",IF(AND(ISNUMBER('Raw Data'!D35),'Raw Data'!D35&gt;=Configuration!$D$2),"",_xlfn.REGEXEXTRACT(CELL("address",'Raw Data'!D35),"\$([A-Z]+)\$[0-9]+"))),_xlfn.REGEXEXTRACT(CELL("address",D35), "\$([A-Z]+)\$[0-9]+"))</f>
        <v/>
      </c>
      <c r="E35" s="7" t="str" cm="1">
        <f t="array" aca="1" ref="E35" ca="1">IFERROR(IF(OR('Raw Data'!E35="",LEN(TRIM('Raw Data'!E35))=0),"",IF(AND(ISNUMBER('Raw Data'!E35), IFERROR('Raw Data'!E35 = ROUND('Raw Data'!E35, 2),FALSE)),"",_xlfn.REGEXEXTRACT(CELL("address",E35), "\$([A-Z]+)\$[0-9]+"))),_xlfn.REGEXEXTRACT(CELL("address",E35), "\$([A-Z]+)\$[0-9]+"))</f>
        <v/>
      </c>
      <c r="F35" s="7" t="str" cm="1">
        <f t="array" aca="1" ref="F35" ca="1">IFERROR(IF(OR('Raw Data'!F35="",LEN(TRIM('Raw Data'!F35))=0),"",IF(AND(ISNUMBER('Raw Data'!F35), IFERROR('Raw Data'!F35 = ROUND('Raw Data'!F35, 2),FALSE)),"",_xlfn.REGEXEXTRACT(CELL("address",F35), "\$([A-Z]+)\$[0-9]+"))),_xlfn.REGEXEXTRACT(CELL("address",F35), "\$([A-Z]+)\$[0-9]+"))</f>
        <v/>
      </c>
      <c r="G35" s="7" t="str" cm="1">
        <f t="array" aca="1" ref="G35" ca="1">IFERROR(IF(OR('Raw Data'!G35="",LEN(TRIM('Raw Data'!G35))=0),"",IF(AND(ISNUMBER('Raw Data'!G35), IFERROR('Raw Data'!G35 = ROUND('Raw Data'!G35, 2),FALSE)),"",_xlfn.REGEXEXTRACT(CELL("address",G35), "\$([A-Z]+)\$[0-9]+"))),_xlfn.REGEXEXTRACT(CELL("address",G35), "\$([A-Z]+)\$[0-9]+"))</f>
        <v/>
      </c>
      <c r="H35" s="7" t="str" cm="1">
        <f t="array" aca="1" ref="H35" ca="1">IFERROR(IF(OR('Raw Data'!H35="",LEN(TRIM('Raw Data'!H35))=0),"",IF(AND(ISNUMBER('Raw Data'!H35), IFERROR('Raw Data'!H35 = ROUND('Raw Data'!H35, 2),FALSE)),"",_xlfn.REGEXEXTRACT(CELL("address",H35), "\$([A-Z]+)\$[0-9]+"))),_xlfn.REGEXEXTRACT(CELL("address",H35), "\$([A-Z]+)\$[0-9]+"))</f>
        <v/>
      </c>
      <c r="I35" s="7" t="str" cm="1">
        <f t="array" aca="1" ref="I35" ca="1">IFERROR(IF(OR('Raw Data'!I35="",LEN(TRIM('Raw Data'!I35))=0),"",IF(AND(ISNUMBER('Raw Data'!I35), IFERROR('Raw Data'!I35 = ROUND('Raw Data'!I35, 2),FALSE)),"",_xlfn.REGEXEXTRACT(CELL("address",I35), "\$([A-Z]+)\$[0-9]+"))),_xlfn.REGEXEXTRACT(CELL("address",I35), "\$([A-Z]+)\$[0-9]+"))</f>
        <v/>
      </c>
      <c r="J35" s="7" t="str" cm="1">
        <f t="array" aca="1" ref="J35" ca="1">IFERROR(IF(OR('Raw Data'!J35="",LEN(TRIM('Raw Data'!J35))=0),"",IF(AND(ISNUMBER('Raw Data'!J35), IFERROR('Raw Data'!J35 = ROUND('Raw Data'!J35, 2),FALSE)),"",_xlfn.REGEXEXTRACT(CELL("address",J35), "\$([A-Z]+)\$[0-9]+"))),_xlfn.REGEXEXTRACT(CELL("address",J35), "\$([A-Z]+)\$[0-9]+"))</f>
        <v/>
      </c>
      <c r="K35" s="7" t="str" cm="1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7" t="str" cm="1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7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7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7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7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 cm="1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7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7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7" t="str" cm="1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7" t="str" cm="1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  <c r="Z35" s="7" t="str" cm="1">
        <f t="array" aca="1" ref="Z35" ca="1">IFERROR(IF(OR('Raw Data'!Z35="",LEN(TRIM('Raw Data'!Z35))=0),"",IF(AND(ISNUMBER('Raw Data'!Z35), IFERROR('Raw Data'!Z35 = ROUND('Raw Data'!Z35, 2),FALSE)),"",_xlfn.REGEXEXTRACT(CELL("address",Z35), "\$([A-Z]+)\$[0-9]+"))),_xlfn.REGEXEXTRACT(CELL("address",Z35), "\$([A-Z]+)\$[0-9]+"))</f>
        <v/>
      </c>
      <c r="AA35" s="7" t="str" cm="1">
        <f t="array" aca="1" ref="AA35" ca="1">IFERROR(IF(OR('Raw Data'!AA35="",LEN(TRIM('Raw Data'!AA35))=0),"",IF(AND(ISNUMBER('Raw Data'!AA35), IFERROR('Raw Data'!AA35 = ROUND('Raw Data'!AA35, 2),FALSE)),"",_xlfn.REGEXEXTRACT(CELL("address",AA35), "\$([A-Z]+)\$[0-9]+"))),_xlfn.REGEXEXTRACT(CELL("address",AA35), "\$([A-Z]+)\$[0-9]+"))</f>
        <v/>
      </c>
      <c r="AB35" s="7" t="str" cm="1">
        <f t="array" aca="1" ref="AB35" ca="1">IFERROR(IF(OR('Raw Data'!AB35="",LEN(TRIM('Raw Data'!AB35))=0),"",IF(AND(ISNUMBER('Raw Data'!AB35), IFERROR('Raw Data'!AB35 = ROUND('Raw Data'!AB35, 2),FALSE)),"",_xlfn.REGEXEXTRACT(CELL("address",AB35), "\$([A-Z]+)\$[0-9]+"))),_xlfn.REGEXEXTRACT(CELL("address",AB35), "\$([A-Z]+)\$[0-9]+"))</f>
        <v/>
      </c>
      <c r="AC35" s="7" t="str" cm="1">
        <f t="array" aca="1" ref="AC35" ca="1">IFERROR(IF(OR('Raw Data'!AC35="",LEN(TRIM('Raw Data'!AC35))=0),"",IF(AND(ISNUMBER('Raw Data'!AC35), IFERROR('Raw Data'!AC35 = ROUND('Raw Data'!AC35, 2),FALSE)),"",_xlfn.REGEXEXTRACT(CELL("address",AC35), "\$([A-Z]+)\$[0-9]+"))),_xlfn.REGEXEXTRACT(CELL("address",AC35), "\$([A-Z]+)\$[0-9]+"))</f>
        <v/>
      </c>
      <c r="AD35" s="7" t="str" cm="1">
        <f t="array" aca="1" ref="AD35" ca="1">IFERROR(IF(OR('Raw Data'!AD35="",LEN(TRIM('Raw Data'!AD35))=0),"",IF(AND(ISNUMBER('Raw Data'!AD35), IFERROR('Raw Data'!AD35 = ROUND('Raw Data'!AD35, 2),FALSE)),"",_xlfn.REGEXEXTRACT(CELL("address",AD35), "\$([A-Z]+)\$[0-9]+"))),_xlfn.REGEXEXTRACT(CELL("address",AD35), "\$([A-Z]+)\$[0-9]+"))</f>
        <v/>
      </c>
      <c r="AE35" s="7" t="str" cm="1">
        <f t="array" aca="1" ref="AE35" ca="1">IFERROR(IF(OR('Raw Data'!AE35="",LEN(TRIM('Raw Data'!AE35))=0),"",IF(AND(ISNUMBER('Raw Data'!AE35), IFERROR('Raw Data'!AE35 = ROUND('Raw Data'!AE35, 2),FALSE)),"",_xlfn.REGEXEXTRACT(CELL("address",AE35), "\$([A-Z]+)\$[0-9]+"))),_xlfn.REGEXEXTRACT(CELL("address",AE35), "\$([A-Z]+)\$[0-9]+"))</f>
        <v/>
      </c>
      <c r="AF35" s="7" t="str" cm="1">
        <f t="array" aca="1" ref="AF35" ca="1">IFERROR(IF(OR('Raw Data'!AF35="",LEN(TRIM('Raw Data'!AF35))=0),"",IF(AND(ISNUMBER('Raw Data'!AF35), IFERROR('Raw Data'!AF35 = ROUND('Raw Data'!AF35, 2),FALSE)),"",_xlfn.REGEXEXTRACT(CELL("address",AF35), "\$([A-Z]+)\$[0-9]+"))),_xlfn.REGEXEXTRACT(CELL("address",AF35), "\$([A-Z]+)\$[0-9]+"))</f>
        <v/>
      </c>
      <c r="AG35" s="7" t="str" cm="1">
        <f t="array" aca="1" ref="AG35" ca="1">IFERROR(IF(OR('Raw Data'!AG35="",LEN(TRIM('Raw Data'!AG35))=0),"",IF(AND(ISNUMBER('Raw Data'!AG35), IFERROR('Raw Data'!AG35 = ROUND('Raw Data'!AG35, 2),FALSE)),"",_xlfn.REGEXEXTRACT(CELL("address",AG35), "\$([A-Z]+)\$[0-9]+"))),_xlfn.REGEXEXTRACT(CELL("address",AG35), "\$([A-Z]+)\$[0-9]+"))</f>
        <v/>
      </c>
      <c r="AH35" s="7" t="str" cm="1">
        <f t="array" aca="1" ref="AH35" ca="1">IFERROR(IF(OR('Raw Data'!AH35="",LEN(TRIM('Raw Data'!AH35))=0),"",IF(AND(ISNUMBER('Raw Data'!AH35), IFERROR('Raw Data'!AH35 = ROUND('Raw Data'!AH35, 2),FALSE)),"",_xlfn.REGEXEXTRACT(CELL("address",AH35), "\$([A-Z]+)\$[0-9]+"))),_xlfn.REGEXEXTRACT(CELL("address",AH35), "\$([A-Z]+)\$[0-9]+"))</f>
        <v/>
      </c>
      <c r="AI35" s="7" t="str" cm="1">
        <f t="array" aca="1" ref="AI35" ca="1">IFERROR(IF(OR('Raw Data'!AI35="",LEN(TRIM('Raw Data'!AI35))=0),"",IF(AND(ISNUMBER('Raw Data'!AI35), IFERROR('Raw Data'!AI35 = ROUND('Raw Data'!AI35, 2),FALSE)),"",_xlfn.REGEXEXTRACT(CELL("address",AI35), "\$([A-Z]+)\$[0-9]+"))),_xlfn.REGEXEXTRACT(CELL("address",AI35), "\$([A-Z]+)\$[0-9]+"))</f>
        <v/>
      </c>
      <c r="AJ35" s="7" t="str" cm="1">
        <f t="array" aca="1" ref="AJ35" ca="1">IFERROR(IF(OR('Raw Data'!AJ35="",LEN(TRIM('Raw Data'!AJ35))=0),"",IF(AND(ISNUMBER('Raw Data'!AJ35), IFERROR('Raw Data'!AJ35 = ROUND('Raw Data'!AJ35, 2),FALSE)),"",_xlfn.REGEXEXTRACT(CELL("address",AJ35), "\$([A-Z]+)\$[0-9]+"))),_xlfn.REGEXEXTRACT(CELL("address",AJ35), "\$([A-Z]+)\$[0-9]+"))</f>
        <v/>
      </c>
    </row>
    <row r="36" spans="2:36" x14ac:dyDescent="0.25">
      <c r="B36" s="7" t="str" cm="1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20,LEN('Raw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Data'!D36))=0),"",IF(AND(ISNUMBER('Raw Data'!D36),'Raw Data'!D36&gt;=Configuration!$D$2),"",_xlfn.REGEXEXTRACT(CELL("address",'Raw Data'!D36),"\$([A-Z]+)\$[0-9]+"))),_xlfn.REGEXEXTRACT(CELL("address",D36), "\$([A-Z]+)\$[0-9]+"))</f>
        <v/>
      </c>
      <c r="E36" s="7" t="str" cm="1">
        <f t="array" aca="1" ref="E36" ca="1">IFERROR(IF(OR('Raw Data'!E36="",LEN(TRIM('Raw Data'!E36))=0),"",IF(AND(ISNUMBER('Raw Data'!E36), IFERROR('Raw Data'!E36 = ROUND('Raw Data'!E36, 2),FALSE)),"",_xlfn.REGEXEXTRACT(CELL("address",E36), "\$([A-Z]+)\$[0-9]+"))),_xlfn.REGEXEXTRACT(CELL("address",E36), "\$([A-Z]+)\$[0-9]+"))</f>
        <v/>
      </c>
      <c r="F36" s="7" t="str" cm="1">
        <f t="array" aca="1" ref="F36" ca="1">IFERROR(IF(OR('Raw Data'!F36="",LEN(TRIM('Raw Data'!F36))=0),"",IF(AND(ISNUMBER('Raw Data'!F36), IFERROR('Raw Data'!F36 = ROUND('Raw Data'!F36, 2),FALSE)),"",_xlfn.REGEXEXTRACT(CELL("address",F36), "\$([A-Z]+)\$[0-9]+"))),_xlfn.REGEXEXTRACT(CELL("address",F36), "\$([A-Z]+)\$[0-9]+"))</f>
        <v/>
      </c>
      <c r="G36" s="7" t="str" cm="1">
        <f t="array" aca="1" ref="G36" ca="1">IFERROR(IF(OR('Raw Data'!G36="",LEN(TRIM('Raw Data'!G36))=0),"",IF(AND(ISNUMBER('Raw Data'!G36), IFERROR('Raw Data'!G36 = ROUND('Raw Data'!G36, 2),FALSE)),"",_xlfn.REGEXEXTRACT(CELL("address",G36), "\$([A-Z]+)\$[0-9]+"))),_xlfn.REGEXEXTRACT(CELL("address",G36), "\$([A-Z]+)\$[0-9]+"))</f>
        <v/>
      </c>
      <c r="H36" s="7" t="str" cm="1">
        <f t="array" aca="1" ref="H36" ca="1">IFERROR(IF(OR('Raw Data'!H36="",LEN(TRIM('Raw Data'!H36))=0),"",IF(AND(ISNUMBER('Raw Data'!H36), IFERROR('Raw Data'!H36 = ROUND('Raw Data'!H36, 2),FALSE)),"",_xlfn.REGEXEXTRACT(CELL("address",H36), "\$([A-Z]+)\$[0-9]+"))),_xlfn.REGEXEXTRACT(CELL("address",H36), "\$([A-Z]+)\$[0-9]+"))</f>
        <v/>
      </c>
      <c r="I36" s="7" t="str" cm="1">
        <f t="array" aca="1" ref="I36" ca="1">IFERROR(IF(OR('Raw Data'!I36="",LEN(TRIM('Raw Data'!I36))=0),"",IF(AND(ISNUMBER('Raw Data'!I36), IFERROR('Raw Data'!I36 = ROUND('Raw Data'!I36, 2),FALSE)),"",_xlfn.REGEXEXTRACT(CELL("address",I36), "\$([A-Z]+)\$[0-9]+"))),_xlfn.REGEXEXTRACT(CELL("address",I36), "\$([A-Z]+)\$[0-9]+"))</f>
        <v/>
      </c>
      <c r="J36" s="7" t="str" cm="1">
        <f t="array" aca="1" ref="J36" ca="1">IFERROR(IF(OR('Raw Data'!J36="",LEN(TRIM('Raw Data'!J36))=0),"",IF(AND(ISNUMBER('Raw Data'!J36), IFERROR('Raw Data'!J36 = ROUND('Raw Data'!J36, 2),FALSE)),"",_xlfn.REGEXEXTRACT(CELL("address",J36), "\$([A-Z]+)\$[0-9]+"))),_xlfn.REGEXEXTRACT(CELL("address",J36), "\$([A-Z]+)\$[0-9]+"))</f>
        <v/>
      </c>
      <c r="K36" s="7" t="str" cm="1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7" t="str" cm="1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7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7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7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7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 cm="1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7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7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7" t="str" cm="1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7" t="str" cm="1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  <c r="Z36" s="7" t="str" cm="1">
        <f t="array" aca="1" ref="Z36" ca="1">IFERROR(IF(OR('Raw Data'!Z36="",LEN(TRIM('Raw Data'!Z36))=0),"",IF(AND(ISNUMBER('Raw Data'!Z36), IFERROR('Raw Data'!Z36 = ROUND('Raw Data'!Z36, 2),FALSE)),"",_xlfn.REGEXEXTRACT(CELL("address",Z36), "\$([A-Z]+)\$[0-9]+"))),_xlfn.REGEXEXTRACT(CELL("address",Z36), "\$([A-Z]+)\$[0-9]+"))</f>
        <v/>
      </c>
      <c r="AA36" s="7" t="str" cm="1">
        <f t="array" aca="1" ref="AA36" ca="1">IFERROR(IF(OR('Raw Data'!AA36="",LEN(TRIM('Raw Data'!AA36))=0),"",IF(AND(ISNUMBER('Raw Data'!AA36), IFERROR('Raw Data'!AA36 = ROUND('Raw Data'!AA36, 2),FALSE)),"",_xlfn.REGEXEXTRACT(CELL("address",AA36), "\$([A-Z]+)\$[0-9]+"))),_xlfn.REGEXEXTRACT(CELL("address",AA36), "\$([A-Z]+)\$[0-9]+"))</f>
        <v/>
      </c>
      <c r="AB36" s="7" t="str" cm="1">
        <f t="array" aca="1" ref="AB36" ca="1">IFERROR(IF(OR('Raw Data'!AB36="",LEN(TRIM('Raw Data'!AB36))=0),"",IF(AND(ISNUMBER('Raw Data'!AB36), IFERROR('Raw Data'!AB36 = ROUND('Raw Data'!AB36, 2),FALSE)),"",_xlfn.REGEXEXTRACT(CELL("address",AB36), "\$([A-Z]+)\$[0-9]+"))),_xlfn.REGEXEXTRACT(CELL("address",AB36), "\$([A-Z]+)\$[0-9]+"))</f>
        <v/>
      </c>
      <c r="AC36" s="7" t="str" cm="1">
        <f t="array" aca="1" ref="AC36" ca="1">IFERROR(IF(OR('Raw Data'!AC36="",LEN(TRIM('Raw Data'!AC36))=0),"",IF(AND(ISNUMBER('Raw Data'!AC36), IFERROR('Raw Data'!AC36 = ROUND('Raw Data'!AC36, 2),FALSE)),"",_xlfn.REGEXEXTRACT(CELL("address",AC36), "\$([A-Z]+)\$[0-9]+"))),_xlfn.REGEXEXTRACT(CELL("address",AC36), "\$([A-Z]+)\$[0-9]+"))</f>
        <v/>
      </c>
      <c r="AD36" s="7" t="str" cm="1">
        <f t="array" aca="1" ref="AD36" ca="1">IFERROR(IF(OR('Raw Data'!AD36="",LEN(TRIM('Raw Data'!AD36))=0),"",IF(AND(ISNUMBER('Raw Data'!AD36), IFERROR('Raw Data'!AD36 = ROUND('Raw Data'!AD36, 2),FALSE)),"",_xlfn.REGEXEXTRACT(CELL("address",AD36), "\$([A-Z]+)\$[0-9]+"))),_xlfn.REGEXEXTRACT(CELL("address",AD36), "\$([A-Z]+)\$[0-9]+"))</f>
        <v/>
      </c>
      <c r="AE36" s="7" t="str" cm="1">
        <f t="array" aca="1" ref="AE36" ca="1">IFERROR(IF(OR('Raw Data'!AE36="",LEN(TRIM('Raw Data'!AE36))=0),"",IF(AND(ISNUMBER('Raw Data'!AE36), IFERROR('Raw Data'!AE36 = ROUND('Raw Data'!AE36, 2),FALSE)),"",_xlfn.REGEXEXTRACT(CELL("address",AE36), "\$([A-Z]+)\$[0-9]+"))),_xlfn.REGEXEXTRACT(CELL("address",AE36), "\$([A-Z]+)\$[0-9]+"))</f>
        <v/>
      </c>
      <c r="AF36" s="7" t="str" cm="1">
        <f t="array" aca="1" ref="AF36" ca="1">IFERROR(IF(OR('Raw Data'!AF36="",LEN(TRIM('Raw Data'!AF36))=0),"",IF(AND(ISNUMBER('Raw Data'!AF36), IFERROR('Raw Data'!AF36 = ROUND('Raw Data'!AF36, 2),FALSE)),"",_xlfn.REGEXEXTRACT(CELL("address",AF36), "\$([A-Z]+)\$[0-9]+"))),_xlfn.REGEXEXTRACT(CELL("address",AF36), "\$([A-Z]+)\$[0-9]+"))</f>
        <v/>
      </c>
      <c r="AG36" s="7" t="str" cm="1">
        <f t="array" aca="1" ref="AG36" ca="1">IFERROR(IF(OR('Raw Data'!AG36="",LEN(TRIM('Raw Data'!AG36))=0),"",IF(AND(ISNUMBER('Raw Data'!AG36), IFERROR('Raw Data'!AG36 = ROUND('Raw Data'!AG36, 2),FALSE)),"",_xlfn.REGEXEXTRACT(CELL("address",AG36), "\$([A-Z]+)\$[0-9]+"))),_xlfn.REGEXEXTRACT(CELL("address",AG36), "\$([A-Z]+)\$[0-9]+"))</f>
        <v/>
      </c>
      <c r="AH36" s="7" t="str" cm="1">
        <f t="array" aca="1" ref="AH36" ca="1">IFERROR(IF(OR('Raw Data'!AH36="",LEN(TRIM('Raw Data'!AH36))=0),"",IF(AND(ISNUMBER('Raw Data'!AH36), IFERROR('Raw Data'!AH36 = ROUND('Raw Data'!AH36, 2),FALSE)),"",_xlfn.REGEXEXTRACT(CELL("address",AH36), "\$([A-Z]+)\$[0-9]+"))),_xlfn.REGEXEXTRACT(CELL("address",AH36), "\$([A-Z]+)\$[0-9]+"))</f>
        <v/>
      </c>
      <c r="AI36" s="7" t="str" cm="1">
        <f t="array" aca="1" ref="AI36" ca="1">IFERROR(IF(OR('Raw Data'!AI36="",LEN(TRIM('Raw Data'!AI36))=0),"",IF(AND(ISNUMBER('Raw Data'!AI36), IFERROR('Raw Data'!AI36 = ROUND('Raw Data'!AI36, 2),FALSE)),"",_xlfn.REGEXEXTRACT(CELL("address",AI36), "\$([A-Z]+)\$[0-9]+"))),_xlfn.REGEXEXTRACT(CELL("address",AI36), "\$([A-Z]+)\$[0-9]+"))</f>
        <v/>
      </c>
      <c r="AJ36" s="7" t="str" cm="1">
        <f t="array" aca="1" ref="AJ36" ca="1">IFERROR(IF(OR('Raw Data'!AJ36="",LEN(TRIM('Raw Data'!AJ36))=0),"",IF(AND(ISNUMBER('Raw Data'!AJ36), IFERROR('Raw Data'!AJ36 = ROUND('Raw Data'!AJ36, 2),FALSE)),"",_xlfn.REGEXEXTRACT(CELL("address",AJ36), "\$([A-Z]+)\$[0-9]+"))),_xlfn.REGEXEXTRACT(CELL("address",AJ36), "\$([A-Z]+)\$[0-9]+"))</f>
        <v/>
      </c>
    </row>
    <row r="37" spans="2:36" x14ac:dyDescent="0.25">
      <c r="B37" s="7" t="str" cm="1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20,LEN('Raw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Data'!D37))=0),"",IF(AND(ISNUMBER('Raw Data'!D37),'Raw Data'!D37&gt;=Configuration!$D$2),"",_xlfn.REGEXEXTRACT(CELL("address",'Raw Data'!D37),"\$([A-Z]+)\$[0-9]+"))),_xlfn.REGEXEXTRACT(CELL("address",D37), "\$([A-Z]+)\$[0-9]+"))</f>
        <v/>
      </c>
      <c r="E37" s="7" t="str" cm="1">
        <f t="array" aca="1" ref="E37" ca="1">IFERROR(IF(OR('Raw Data'!E37="",LEN(TRIM('Raw Data'!E37))=0),"",IF(AND(ISNUMBER('Raw Data'!E37), IFERROR('Raw Data'!E37 = ROUND('Raw Data'!E37, 2),FALSE)),"",_xlfn.REGEXEXTRACT(CELL("address",E37), "\$([A-Z]+)\$[0-9]+"))),_xlfn.REGEXEXTRACT(CELL("address",E37), "\$([A-Z]+)\$[0-9]+"))</f>
        <v/>
      </c>
      <c r="F37" s="7" t="str" cm="1">
        <f t="array" aca="1" ref="F37" ca="1">IFERROR(IF(OR('Raw Data'!F37="",LEN(TRIM('Raw Data'!F37))=0),"",IF(AND(ISNUMBER('Raw Data'!F37), IFERROR('Raw Data'!F37 = ROUND('Raw Data'!F37, 2),FALSE)),"",_xlfn.REGEXEXTRACT(CELL("address",F37), "\$([A-Z]+)\$[0-9]+"))),_xlfn.REGEXEXTRACT(CELL("address",F37), "\$([A-Z]+)\$[0-9]+"))</f>
        <v/>
      </c>
      <c r="G37" s="7" t="str" cm="1">
        <f t="array" aca="1" ref="G37" ca="1">IFERROR(IF(OR('Raw Data'!G37="",LEN(TRIM('Raw Data'!G37))=0),"",IF(AND(ISNUMBER('Raw Data'!G37), IFERROR('Raw Data'!G37 = ROUND('Raw Data'!G37, 2),FALSE)),"",_xlfn.REGEXEXTRACT(CELL("address",G37), "\$([A-Z]+)\$[0-9]+"))),_xlfn.REGEXEXTRACT(CELL("address",G37), "\$([A-Z]+)\$[0-9]+"))</f>
        <v/>
      </c>
      <c r="H37" s="7" t="str" cm="1">
        <f t="array" aca="1" ref="H37" ca="1">IFERROR(IF(OR('Raw Data'!H37="",LEN(TRIM('Raw Data'!H37))=0),"",IF(AND(ISNUMBER('Raw Data'!H37), IFERROR('Raw Data'!H37 = ROUND('Raw Data'!H37, 2),FALSE)),"",_xlfn.REGEXEXTRACT(CELL("address",H37), "\$([A-Z]+)\$[0-9]+"))),_xlfn.REGEXEXTRACT(CELL("address",H37), "\$([A-Z]+)\$[0-9]+"))</f>
        <v/>
      </c>
      <c r="I37" s="7" t="str" cm="1">
        <f t="array" aca="1" ref="I37" ca="1">IFERROR(IF(OR('Raw Data'!I37="",LEN(TRIM('Raw Data'!I37))=0),"",IF(AND(ISNUMBER('Raw Data'!I37), IFERROR('Raw Data'!I37 = ROUND('Raw Data'!I37, 2),FALSE)),"",_xlfn.REGEXEXTRACT(CELL("address",I37), "\$([A-Z]+)\$[0-9]+"))),_xlfn.REGEXEXTRACT(CELL("address",I37), "\$([A-Z]+)\$[0-9]+"))</f>
        <v/>
      </c>
      <c r="J37" s="7" t="str" cm="1">
        <f t="array" aca="1" ref="J37" ca="1">IFERROR(IF(OR('Raw Data'!J37="",LEN(TRIM('Raw Data'!J37))=0),"",IF(AND(ISNUMBER('Raw Data'!J37), IFERROR('Raw Data'!J37 = ROUND('Raw Data'!J37, 2),FALSE)),"",_xlfn.REGEXEXTRACT(CELL("address",J37), "\$([A-Z]+)\$[0-9]+"))),_xlfn.REGEXEXTRACT(CELL("address",J37), "\$([A-Z]+)\$[0-9]+"))</f>
        <v/>
      </c>
      <c r="K37" s="7" t="str" cm="1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7" t="str" cm="1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7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7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7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7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 cm="1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7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7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7" t="str" cm="1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7" t="str" cm="1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  <c r="Z37" s="7" t="str" cm="1">
        <f t="array" aca="1" ref="Z37" ca="1">IFERROR(IF(OR('Raw Data'!Z37="",LEN(TRIM('Raw Data'!Z37))=0),"",IF(AND(ISNUMBER('Raw Data'!Z37), IFERROR('Raw Data'!Z37 = ROUND('Raw Data'!Z37, 2),FALSE)),"",_xlfn.REGEXEXTRACT(CELL("address",Z37), "\$([A-Z]+)\$[0-9]+"))),_xlfn.REGEXEXTRACT(CELL("address",Z37), "\$([A-Z]+)\$[0-9]+"))</f>
        <v/>
      </c>
      <c r="AA37" s="7" t="str" cm="1">
        <f t="array" aca="1" ref="AA37" ca="1">IFERROR(IF(OR('Raw Data'!AA37="",LEN(TRIM('Raw Data'!AA37))=0),"",IF(AND(ISNUMBER('Raw Data'!AA37), IFERROR('Raw Data'!AA37 = ROUND('Raw Data'!AA37, 2),FALSE)),"",_xlfn.REGEXEXTRACT(CELL("address",AA37), "\$([A-Z]+)\$[0-9]+"))),_xlfn.REGEXEXTRACT(CELL("address",AA37), "\$([A-Z]+)\$[0-9]+"))</f>
        <v/>
      </c>
      <c r="AB37" s="7" t="str" cm="1">
        <f t="array" aca="1" ref="AB37" ca="1">IFERROR(IF(OR('Raw Data'!AB37="",LEN(TRIM('Raw Data'!AB37))=0),"",IF(AND(ISNUMBER('Raw Data'!AB37), IFERROR('Raw Data'!AB37 = ROUND('Raw Data'!AB37, 2),FALSE)),"",_xlfn.REGEXEXTRACT(CELL("address",AB37), "\$([A-Z]+)\$[0-9]+"))),_xlfn.REGEXEXTRACT(CELL("address",AB37), "\$([A-Z]+)\$[0-9]+"))</f>
        <v/>
      </c>
      <c r="AC37" s="7" t="str" cm="1">
        <f t="array" aca="1" ref="AC37" ca="1">IFERROR(IF(OR('Raw Data'!AC37="",LEN(TRIM('Raw Data'!AC37))=0),"",IF(AND(ISNUMBER('Raw Data'!AC37), IFERROR('Raw Data'!AC37 = ROUND('Raw Data'!AC37, 2),FALSE)),"",_xlfn.REGEXEXTRACT(CELL("address",AC37), "\$([A-Z]+)\$[0-9]+"))),_xlfn.REGEXEXTRACT(CELL("address",AC37), "\$([A-Z]+)\$[0-9]+"))</f>
        <v/>
      </c>
      <c r="AD37" s="7" t="str" cm="1">
        <f t="array" aca="1" ref="AD37" ca="1">IFERROR(IF(OR('Raw Data'!AD37="",LEN(TRIM('Raw Data'!AD37))=0),"",IF(AND(ISNUMBER('Raw Data'!AD37), IFERROR('Raw Data'!AD37 = ROUND('Raw Data'!AD37, 2),FALSE)),"",_xlfn.REGEXEXTRACT(CELL("address",AD37), "\$([A-Z]+)\$[0-9]+"))),_xlfn.REGEXEXTRACT(CELL("address",AD37), "\$([A-Z]+)\$[0-9]+"))</f>
        <v/>
      </c>
      <c r="AE37" s="7" t="str" cm="1">
        <f t="array" aca="1" ref="AE37" ca="1">IFERROR(IF(OR('Raw Data'!AE37="",LEN(TRIM('Raw Data'!AE37))=0),"",IF(AND(ISNUMBER('Raw Data'!AE37), IFERROR('Raw Data'!AE37 = ROUND('Raw Data'!AE37, 2),FALSE)),"",_xlfn.REGEXEXTRACT(CELL("address",AE37), "\$([A-Z]+)\$[0-9]+"))),_xlfn.REGEXEXTRACT(CELL("address",AE37), "\$([A-Z]+)\$[0-9]+"))</f>
        <v/>
      </c>
      <c r="AF37" s="7" t="str" cm="1">
        <f t="array" aca="1" ref="AF37" ca="1">IFERROR(IF(OR('Raw Data'!AF37="",LEN(TRIM('Raw Data'!AF37))=0),"",IF(AND(ISNUMBER('Raw Data'!AF37), IFERROR('Raw Data'!AF37 = ROUND('Raw Data'!AF37, 2),FALSE)),"",_xlfn.REGEXEXTRACT(CELL("address",AF37), "\$([A-Z]+)\$[0-9]+"))),_xlfn.REGEXEXTRACT(CELL("address",AF37), "\$([A-Z]+)\$[0-9]+"))</f>
        <v/>
      </c>
      <c r="AG37" s="7" t="str" cm="1">
        <f t="array" aca="1" ref="AG37" ca="1">IFERROR(IF(OR('Raw Data'!AG37="",LEN(TRIM('Raw Data'!AG37))=0),"",IF(AND(ISNUMBER('Raw Data'!AG37), IFERROR('Raw Data'!AG37 = ROUND('Raw Data'!AG37, 2),FALSE)),"",_xlfn.REGEXEXTRACT(CELL("address",AG37), "\$([A-Z]+)\$[0-9]+"))),_xlfn.REGEXEXTRACT(CELL("address",AG37), "\$([A-Z]+)\$[0-9]+"))</f>
        <v/>
      </c>
      <c r="AH37" s="7" t="str" cm="1">
        <f t="array" aca="1" ref="AH37" ca="1">IFERROR(IF(OR('Raw Data'!AH37="",LEN(TRIM('Raw Data'!AH37))=0),"",IF(AND(ISNUMBER('Raw Data'!AH37), IFERROR('Raw Data'!AH37 = ROUND('Raw Data'!AH37, 2),FALSE)),"",_xlfn.REGEXEXTRACT(CELL("address",AH37), "\$([A-Z]+)\$[0-9]+"))),_xlfn.REGEXEXTRACT(CELL("address",AH37), "\$([A-Z]+)\$[0-9]+"))</f>
        <v/>
      </c>
      <c r="AI37" s="7" t="str" cm="1">
        <f t="array" aca="1" ref="AI37" ca="1">IFERROR(IF(OR('Raw Data'!AI37="",LEN(TRIM('Raw Data'!AI37))=0),"",IF(AND(ISNUMBER('Raw Data'!AI37), IFERROR('Raw Data'!AI37 = ROUND('Raw Data'!AI37, 2),FALSE)),"",_xlfn.REGEXEXTRACT(CELL("address",AI37), "\$([A-Z]+)\$[0-9]+"))),_xlfn.REGEXEXTRACT(CELL("address",AI37), "\$([A-Z]+)\$[0-9]+"))</f>
        <v/>
      </c>
      <c r="AJ37" s="7" t="str" cm="1">
        <f t="array" aca="1" ref="AJ37" ca="1">IFERROR(IF(OR('Raw Data'!AJ37="",LEN(TRIM('Raw Data'!AJ37))=0),"",IF(AND(ISNUMBER('Raw Data'!AJ37), IFERROR('Raw Data'!AJ37 = ROUND('Raw Data'!AJ37, 2),FALSE)),"",_xlfn.REGEXEXTRACT(CELL("address",AJ37), "\$([A-Z]+)\$[0-9]+"))),_xlfn.REGEXEXTRACT(CELL("address",AJ37), "\$([A-Z]+)\$[0-9]+"))</f>
        <v/>
      </c>
    </row>
    <row r="38" spans="2:36" x14ac:dyDescent="0.25">
      <c r="B38" s="7" t="str" cm="1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20,LEN('Raw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Data'!D38))=0),"",IF(AND(ISNUMBER('Raw Data'!D38),'Raw Data'!D38&gt;=Configuration!$D$2),"",_xlfn.REGEXEXTRACT(CELL("address",'Raw Data'!D38),"\$([A-Z]+)\$[0-9]+"))),_xlfn.REGEXEXTRACT(CELL("address",D38), "\$([A-Z]+)\$[0-9]+"))</f>
        <v/>
      </c>
      <c r="E38" s="7" t="str" cm="1">
        <f t="array" aca="1" ref="E38" ca="1">IFERROR(IF(OR('Raw Data'!E38="",LEN(TRIM('Raw Data'!E38))=0),"",IF(AND(ISNUMBER('Raw Data'!E38), IFERROR('Raw Data'!E38 = ROUND('Raw Data'!E38, 2),FALSE)),"",_xlfn.REGEXEXTRACT(CELL("address",E38), "\$([A-Z]+)\$[0-9]+"))),_xlfn.REGEXEXTRACT(CELL("address",E38), "\$([A-Z]+)\$[0-9]+"))</f>
        <v/>
      </c>
      <c r="F38" s="7" t="str" cm="1">
        <f t="array" aca="1" ref="F38" ca="1">IFERROR(IF(OR('Raw Data'!F38="",LEN(TRIM('Raw Data'!F38))=0),"",IF(AND(ISNUMBER('Raw Data'!F38), IFERROR('Raw Data'!F38 = ROUND('Raw Data'!F38, 2),FALSE)),"",_xlfn.REGEXEXTRACT(CELL("address",F38), "\$([A-Z]+)\$[0-9]+"))),_xlfn.REGEXEXTRACT(CELL("address",F38), "\$([A-Z]+)\$[0-9]+"))</f>
        <v/>
      </c>
      <c r="G38" s="7" t="str" cm="1">
        <f t="array" aca="1" ref="G38" ca="1">IFERROR(IF(OR('Raw Data'!G38="",LEN(TRIM('Raw Data'!G38))=0),"",IF(AND(ISNUMBER('Raw Data'!G38), IFERROR('Raw Data'!G38 = ROUND('Raw Data'!G38, 2),FALSE)),"",_xlfn.REGEXEXTRACT(CELL("address",G38), "\$([A-Z]+)\$[0-9]+"))),_xlfn.REGEXEXTRACT(CELL("address",G38), "\$([A-Z]+)\$[0-9]+"))</f>
        <v/>
      </c>
      <c r="H38" s="7" t="str" cm="1">
        <f t="array" aca="1" ref="H38" ca="1">IFERROR(IF(OR('Raw Data'!H38="",LEN(TRIM('Raw Data'!H38))=0),"",IF(AND(ISNUMBER('Raw Data'!H38), IFERROR('Raw Data'!H38 = ROUND('Raw Data'!H38, 2),FALSE)),"",_xlfn.REGEXEXTRACT(CELL("address",H38), "\$([A-Z]+)\$[0-9]+"))),_xlfn.REGEXEXTRACT(CELL("address",H38), "\$([A-Z]+)\$[0-9]+"))</f>
        <v/>
      </c>
      <c r="I38" s="7" t="str" cm="1">
        <f t="array" aca="1" ref="I38" ca="1">IFERROR(IF(OR('Raw Data'!I38="",LEN(TRIM('Raw Data'!I38))=0),"",IF(AND(ISNUMBER('Raw Data'!I38), IFERROR('Raw Data'!I38 = ROUND('Raw Data'!I38, 2),FALSE)),"",_xlfn.REGEXEXTRACT(CELL("address",I38), "\$([A-Z]+)\$[0-9]+"))),_xlfn.REGEXEXTRACT(CELL("address",I38), "\$([A-Z]+)\$[0-9]+"))</f>
        <v/>
      </c>
      <c r="J38" s="7" t="str" cm="1">
        <f t="array" aca="1" ref="J38" ca="1">IFERROR(IF(OR('Raw Data'!J38="",LEN(TRIM('Raw Data'!J38))=0),"",IF(AND(ISNUMBER('Raw Data'!J38), IFERROR('Raw Data'!J38 = ROUND('Raw Data'!J38, 2),FALSE)),"",_xlfn.REGEXEXTRACT(CELL("address",J38), "\$([A-Z]+)\$[0-9]+"))),_xlfn.REGEXEXTRACT(CELL("address",J38), "\$([A-Z]+)\$[0-9]+"))</f>
        <v/>
      </c>
      <c r="K38" s="7" t="str" cm="1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7" t="str" cm="1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7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7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7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7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 cm="1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7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7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7" t="str" cm="1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7" t="str" cm="1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  <c r="Z38" s="7" t="str" cm="1">
        <f t="array" aca="1" ref="Z38" ca="1">IFERROR(IF(OR('Raw Data'!Z38="",LEN(TRIM('Raw Data'!Z38))=0),"",IF(AND(ISNUMBER('Raw Data'!Z38), IFERROR('Raw Data'!Z38 = ROUND('Raw Data'!Z38, 2),FALSE)),"",_xlfn.REGEXEXTRACT(CELL("address",Z38), "\$([A-Z]+)\$[0-9]+"))),_xlfn.REGEXEXTRACT(CELL("address",Z38), "\$([A-Z]+)\$[0-9]+"))</f>
        <v/>
      </c>
      <c r="AA38" s="7" t="str" cm="1">
        <f t="array" aca="1" ref="AA38" ca="1">IFERROR(IF(OR('Raw Data'!AA38="",LEN(TRIM('Raw Data'!AA38))=0),"",IF(AND(ISNUMBER('Raw Data'!AA38), IFERROR('Raw Data'!AA38 = ROUND('Raw Data'!AA38, 2),FALSE)),"",_xlfn.REGEXEXTRACT(CELL("address",AA38), "\$([A-Z]+)\$[0-9]+"))),_xlfn.REGEXEXTRACT(CELL("address",AA38), "\$([A-Z]+)\$[0-9]+"))</f>
        <v/>
      </c>
      <c r="AB38" s="7" t="str" cm="1">
        <f t="array" aca="1" ref="AB38" ca="1">IFERROR(IF(OR('Raw Data'!AB38="",LEN(TRIM('Raw Data'!AB38))=0),"",IF(AND(ISNUMBER('Raw Data'!AB38), IFERROR('Raw Data'!AB38 = ROUND('Raw Data'!AB38, 2),FALSE)),"",_xlfn.REGEXEXTRACT(CELL("address",AB38), "\$([A-Z]+)\$[0-9]+"))),_xlfn.REGEXEXTRACT(CELL("address",AB38), "\$([A-Z]+)\$[0-9]+"))</f>
        <v/>
      </c>
      <c r="AC38" s="7" t="str" cm="1">
        <f t="array" aca="1" ref="AC38" ca="1">IFERROR(IF(OR('Raw Data'!AC38="",LEN(TRIM('Raw Data'!AC38))=0),"",IF(AND(ISNUMBER('Raw Data'!AC38), IFERROR('Raw Data'!AC38 = ROUND('Raw Data'!AC38, 2),FALSE)),"",_xlfn.REGEXEXTRACT(CELL("address",AC38), "\$([A-Z]+)\$[0-9]+"))),_xlfn.REGEXEXTRACT(CELL("address",AC38), "\$([A-Z]+)\$[0-9]+"))</f>
        <v/>
      </c>
      <c r="AD38" s="7" t="str" cm="1">
        <f t="array" aca="1" ref="AD38" ca="1">IFERROR(IF(OR('Raw Data'!AD38="",LEN(TRIM('Raw Data'!AD38))=0),"",IF(AND(ISNUMBER('Raw Data'!AD38), IFERROR('Raw Data'!AD38 = ROUND('Raw Data'!AD38, 2),FALSE)),"",_xlfn.REGEXEXTRACT(CELL("address",AD38), "\$([A-Z]+)\$[0-9]+"))),_xlfn.REGEXEXTRACT(CELL("address",AD38), "\$([A-Z]+)\$[0-9]+"))</f>
        <v/>
      </c>
      <c r="AE38" s="7" t="str" cm="1">
        <f t="array" aca="1" ref="AE38" ca="1">IFERROR(IF(OR('Raw Data'!AE38="",LEN(TRIM('Raw Data'!AE38))=0),"",IF(AND(ISNUMBER('Raw Data'!AE38), IFERROR('Raw Data'!AE38 = ROUND('Raw Data'!AE38, 2),FALSE)),"",_xlfn.REGEXEXTRACT(CELL("address",AE38), "\$([A-Z]+)\$[0-9]+"))),_xlfn.REGEXEXTRACT(CELL("address",AE38), "\$([A-Z]+)\$[0-9]+"))</f>
        <v/>
      </c>
      <c r="AF38" s="7" t="str" cm="1">
        <f t="array" aca="1" ref="AF38" ca="1">IFERROR(IF(OR('Raw Data'!AF38="",LEN(TRIM('Raw Data'!AF38))=0),"",IF(AND(ISNUMBER('Raw Data'!AF38), IFERROR('Raw Data'!AF38 = ROUND('Raw Data'!AF38, 2),FALSE)),"",_xlfn.REGEXEXTRACT(CELL("address",AF38), "\$([A-Z]+)\$[0-9]+"))),_xlfn.REGEXEXTRACT(CELL("address",AF38), "\$([A-Z]+)\$[0-9]+"))</f>
        <v/>
      </c>
      <c r="AG38" s="7" t="str" cm="1">
        <f t="array" aca="1" ref="AG38" ca="1">IFERROR(IF(OR('Raw Data'!AG38="",LEN(TRIM('Raw Data'!AG38))=0),"",IF(AND(ISNUMBER('Raw Data'!AG38), IFERROR('Raw Data'!AG38 = ROUND('Raw Data'!AG38, 2),FALSE)),"",_xlfn.REGEXEXTRACT(CELL("address",AG38), "\$([A-Z]+)\$[0-9]+"))),_xlfn.REGEXEXTRACT(CELL("address",AG38), "\$([A-Z]+)\$[0-9]+"))</f>
        <v/>
      </c>
      <c r="AH38" s="7" t="str" cm="1">
        <f t="array" aca="1" ref="AH38" ca="1">IFERROR(IF(OR('Raw Data'!AH38="",LEN(TRIM('Raw Data'!AH38))=0),"",IF(AND(ISNUMBER('Raw Data'!AH38), IFERROR('Raw Data'!AH38 = ROUND('Raw Data'!AH38, 2),FALSE)),"",_xlfn.REGEXEXTRACT(CELL("address",AH38), "\$([A-Z]+)\$[0-9]+"))),_xlfn.REGEXEXTRACT(CELL("address",AH38), "\$([A-Z]+)\$[0-9]+"))</f>
        <v/>
      </c>
      <c r="AI38" s="7" t="str" cm="1">
        <f t="array" aca="1" ref="AI38" ca="1">IFERROR(IF(OR('Raw Data'!AI38="",LEN(TRIM('Raw Data'!AI38))=0),"",IF(AND(ISNUMBER('Raw Data'!AI38), IFERROR('Raw Data'!AI38 = ROUND('Raw Data'!AI38, 2),FALSE)),"",_xlfn.REGEXEXTRACT(CELL("address",AI38), "\$([A-Z]+)\$[0-9]+"))),_xlfn.REGEXEXTRACT(CELL("address",AI38), "\$([A-Z]+)\$[0-9]+"))</f>
        <v/>
      </c>
      <c r="AJ38" s="7" t="str" cm="1">
        <f t="array" aca="1" ref="AJ38" ca="1">IFERROR(IF(OR('Raw Data'!AJ38="",LEN(TRIM('Raw Data'!AJ38))=0),"",IF(AND(ISNUMBER('Raw Data'!AJ38), IFERROR('Raw Data'!AJ38 = ROUND('Raw Data'!AJ38, 2),FALSE)),"",_xlfn.REGEXEXTRACT(CELL("address",AJ38), "\$([A-Z]+)\$[0-9]+"))),_xlfn.REGEXEXTRACT(CELL("address",AJ38), "\$([A-Z]+)\$[0-9]+"))</f>
        <v/>
      </c>
    </row>
    <row r="39" spans="2:36" x14ac:dyDescent="0.25">
      <c r="B39" s="7" t="str" cm="1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20,LEN('Raw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Data'!D39))=0),"",IF(AND(ISNUMBER('Raw Data'!D39),'Raw Data'!D39&gt;=Configuration!$D$2),"",_xlfn.REGEXEXTRACT(CELL("address",'Raw Data'!D39),"\$([A-Z]+)\$[0-9]+"))),_xlfn.REGEXEXTRACT(CELL("address",D39), "\$([A-Z]+)\$[0-9]+"))</f>
        <v/>
      </c>
      <c r="E39" s="7" t="str" cm="1">
        <f t="array" aca="1" ref="E39" ca="1">IFERROR(IF(OR('Raw Data'!E39="",LEN(TRIM('Raw Data'!E39))=0),"",IF(AND(ISNUMBER('Raw Data'!E39), IFERROR('Raw Data'!E39 = ROUND('Raw Data'!E39, 2),FALSE)),"",_xlfn.REGEXEXTRACT(CELL("address",E39), "\$([A-Z]+)\$[0-9]+"))),_xlfn.REGEXEXTRACT(CELL("address",E39), "\$([A-Z]+)\$[0-9]+"))</f>
        <v/>
      </c>
      <c r="F39" s="7" t="str" cm="1">
        <f t="array" aca="1" ref="F39" ca="1">IFERROR(IF(OR('Raw Data'!F39="",LEN(TRIM('Raw Data'!F39))=0),"",IF(AND(ISNUMBER('Raw Data'!F39), IFERROR('Raw Data'!F39 = ROUND('Raw Data'!F39, 2),FALSE)),"",_xlfn.REGEXEXTRACT(CELL("address",F39), "\$([A-Z]+)\$[0-9]+"))),_xlfn.REGEXEXTRACT(CELL("address",F39), "\$([A-Z]+)\$[0-9]+"))</f>
        <v/>
      </c>
      <c r="G39" s="7" t="str" cm="1">
        <f t="array" aca="1" ref="G39" ca="1">IFERROR(IF(OR('Raw Data'!G39="",LEN(TRIM('Raw Data'!G39))=0),"",IF(AND(ISNUMBER('Raw Data'!G39), IFERROR('Raw Data'!G39 = ROUND('Raw Data'!G39, 2),FALSE)),"",_xlfn.REGEXEXTRACT(CELL("address",G39), "\$([A-Z]+)\$[0-9]+"))),_xlfn.REGEXEXTRACT(CELL("address",G39), "\$([A-Z]+)\$[0-9]+"))</f>
        <v/>
      </c>
      <c r="H39" s="7" t="str" cm="1">
        <f t="array" aca="1" ref="H39" ca="1">IFERROR(IF(OR('Raw Data'!H39="",LEN(TRIM('Raw Data'!H39))=0),"",IF(AND(ISNUMBER('Raw Data'!H39), IFERROR('Raw Data'!H39 = ROUND('Raw Data'!H39, 2),FALSE)),"",_xlfn.REGEXEXTRACT(CELL("address",H39), "\$([A-Z]+)\$[0-9]+"))),_xlfn.REGEXEXTRACT(CELL("address",H39), "\$([A-Z]+)\$[0-9]+"))</f>
        <v/>
      </c>
      <c r="I39" s="7" t="str" cm="1">
        <f t="array" aca="1" ref="I39" ca="1">IFERROR(IF(OR('Raw Data'!I39="",LEN(TRIM('Raw Data'!I39))=0),"",IF(AND(ISNUMBER('Raw Data'!I39), IFERROR('Raw Data'!I39 = ROUND('Raw Data'!I39, 2),FALSE)),"",_xlfn.REGEXEXTRACT(CELL("address",I39), "\$([A-Z]+)\$[0-9]+"))),_xlfn.REGEXEXTRACT(CELL("address",I39), "\$([A-Z]+)\$[0-9]+"))</f>
        <v/>
      </c>
      <c r="J39" s="7" t="str" cm="1">
        <f t="array" aca="1" ref="J39" ca="1">IFERROR(IF(OR('Raw Data'!J39="",LEN(TRIM('Raw Data'!J39))=0),"",IF(AND(ISNUMBER('Raw Data'!J39), IFERROR('Raw Data'!J39 = ROUND('Raw Data'!J39, 2),FALSE)),"",_xlfn.REGEXEXTRACT(CELL("address",J39), "\$([A-Z]+)\$[0-9]+"))),_xlfn.REGEXEXTRACT(CELL("address",J39), "\$([A-Z]+)\$[0-9]+"))</f>
        <v/>
      </c>
      <c r="K39" s="7" t="str" cm="1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7" t="str" cm="1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7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7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7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7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 cm="1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7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7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7" t="str" cm="1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7" t="str" cm="1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  <c r="Z39" s="7" t="str" cm="1">
        <f t="array" aca="1" ref="Z39" ca="1">IFERROR(IF(OR('Raw Data'!Z39="",LEN(TRIM('Raw Data'!Z39))=0),"",IF(AND(ISNUMBER('Raw Data'!Z39), IFERROR('Raw Data'!Z39 = ROUND('Raw Data'!Z39, 2),FALSE)),"",_xlfn.REGEXEXTRACT(CELL("address",Z39), "\$([A-Z]+)\$[0-9]+"))),_xlfn.REGEXEXTRACT(CELL("address",Z39), "\$([A-Z]+)\$[0-9]+"))</f>
        <v/>
      </c>
      <c r="AA39" s="7" t="str" cm="1">
        <f t="array" aca="1" ref="AA39" ca="1">IFERROR(IF(OR('Raw Data'!AA39="",LEN(TRIM('Raw Data'!AA39))=0),"",IF(AND(ISNUMBER('Raw Data'!AA39), IFERROR('Raw Data'!AA39 = ROUND('Raw Data'!AA39, 2),FALSE)),"",_xlfn.REGEXEXTRACT(CELL("address",AA39), "\$([A-Z]+)\$[0-9]+"))),_xlfn.REGEXEXTRACT(CELL("address",AA39), "\$([A-Z]+)\$[0-9]+"))</f>
        <v/>
      </c>
      <c r="AB39" s="7" t="str" cm="1">
        <f t="array" aca="1" ref="AB39" ca="1">IFERROR(IF(OR('Raw Data'!AB39="",LEN(TRIM('Raw Data'!AB39))=0),"",IF(AND(ISNUMBER('Raw Data'!AB39), IFERROR('Raw Data'!AB39 = ROUND('Raw Data'!AB39, 2),FALSE)),"",_xlfn.REGEXEXTRACT(CELL("address",AB39), "\$([A-Z]+)\$[0-9]+"))),_xlfn.REGEXEXTRACT(CELL("address",AB39), "\$([A-Z]+)\$[0-9]+"))</f>
        <v/>
      </c>
      <c r="AC39" s="7" t="str" cm="1">
        <f t="array" aca="1" ref="AC39" ca="1">IFERROR(IF(OR('Raw Data'!AC39="",LEN(TRIM('Raw Data'!AC39))=0),"",IF(AND(ISNUMBER('Raw Data'!AC39), IFERROR('Raw Data'!AC39 = ROUND('Raw Data'!AC39, 2),FALSE)),"",_xlfn.REGEXEXTRACT(CELL("address",AC39), "\$([A-Z]+)\$[0-9]+"))),_xlfn.REGEXEXTRACT(CELL("address",AC39), "\$([A-Z]+)\$[0-9]+"))</f>
        <v/>
      </c>
      <c r="AD39" s="7" t="str" cm="1">
        <f t="array" aca="1" ref="AD39" ca="1">IFERROR(IF(OR('Raw Data'!AD39="",LEN(TRIM('Raw Data'!AD39))=0),"",IF(AND(ISNUMBER('Raw Data'!AD39), IFERROR('Raw Data'!AD39 = ROUND('Raw Data'!AD39, 2),FALSE)),"",_xlfn.REGEXEXTRACT(CELL("address",AD39), "\$([A-Z]+)\$[0-9]+"))),_xlfn.REGEXEXTRACT(CELL("address",AD39), "\$([A-Z]+)\$[0-9]+"))</f>
        <v/>
      </c>
      <c r="AE39" s="7" t="str" cm="1">
        <f t="array" aca="1" ref="AE39" ca="1">IFERROR(IF(OR('Raw Data'!AE39="",LEN(TRIM('Raw Data'!AE39))=0),"",IF(AND(ISNUMBER('Raw Data'!AE39), IFERROR('Raw Data'!AE39 = ROUND('Raw Data'!AE39, 2),FALSE)),"",_xlfn.REGEXEXTRACT(CELL("address",AE39), "\$([A-Z]+)\$[0-9]+"))),_xlfn.REGEXEXTRACT(CELL("address",AE39), "\$([A-Z]+)\$[0-9]+"))</f>
        <v/>
      </c>
      <c r="AF39" s="7" t="str" cm="1">
        <f t="array" aca="1" ref="AF39" ca="1">IFERROR(IF(OR('Raw Data'!AF39="",LEN(TRIM('Raw Data'!AF39))=0),"",IF(AND(ISNUMBER('Raw Data'!AF39), IFERROR('Raw Data'!AF39 = ROUND('Raw Data'!AF39, 2),FALSE)),"",_xlfn.REGEXEXTRACT(CELL("address",AF39), "\$([A-Z]+)\$[0-9]+"))),_xlfn.REGEXEXTRACT(CELL("address",AF39), "\$([A-Z]+)\$[0-9]+"))</f>
        <v/>
      </c>
      <c r="AG39" s="7" t="str" cm="1">
        <f t="array" aca="1" ref="AG39" ca="1">IFERROR(IF(OR('Raw Data'!AG39="",LEN(TRIM('Raw Data'!AG39))=0),"",IF(AND(ISNUMBER('Raw Data'!AG39), IFERROR('Raw Data'!AG39 = ROUND('Raw Data'!AG39, 2),FALSE)),"",_xlfn.REGEXEXTRACT(CELL("address",AG39), "\$([A-Z]+)\$[0-9]+"))),_xlfn.REGEXEXTRACT(CELL("address",AG39), "\$([A-Z]+)\$[0-9]+"))</f>
        <v/>
      </c>
      <c r="AH39" s="7" t="str" cm="1">
        <f t="array" aca="1" ref="AH39" ca="1">IFERROR(IF(OR('Raw Data'!AH39="",LEN(TRIM('Raw Data'!AH39))=0),"",IF(AND(ISNUMBER('Raw Data'!AH39), IFERROR('Raw Data'!AH39 = ROUND('Raw Data'!AH39, 2),FALSE)),"",_xlfn.REGEXEXTRACT(CELL("address",AH39), "\$([A-Z]+)\$[0-9]+"))),_xlfn.REGEXEXTRACT(CELL("address",AH39), "\$([A-Z]+)\$[0-9]+"))</f>
        <v/>
      </c>
      <c r="AI39" s="7" t="str" cm="1">
        <f t="array" aca="1" ref="AI39" ca="1">IFERROR(IF(OR('Raw Data'!AI39="",LEN(TRIM('Raw Data'!AI39))=0),"",IF(AND(ISNUMBER('Raw Data'!AI39), IFERROR('Raw Data'!AI39 = ROUND('Raw Data'!AI39, 2),FALSE)),"",_xlfn.REGEXEXTRACT(CELL("address",AI39), "\$([A-Z]+)\$[0-9]+"))),_xlfn.REGEXEXTRACT(CELL("address",AI39), "\$([A-Z]+)\$[0-9]+"))</f>
        <v/>
      </c>
      <c r="AJ39" s="7" t="str" cm="1">
        <f t="array" aca="1" ref="AJ39" ca="1">IFERROR(IF(OR('Raw Data'!AJ39="",LEN(TRIM('Raw Data'!AJ39))=0),"",IF(AND(ISNUMBER('Raw Data'!AJ39), IFERROR('Raw Data'!AJ39 = ROUND('Raw Data'!AJ39, 2),FALSE)),"",_xlfn.REGEXEXTRACT(CELL("address",AJ39), "\$([A-Z]+)\$[0-9]+"))),_xlfn.REGEXEXTRACT(CELL("address",AJ39), "\$([A-Z]+)\$[0-9]+"))</f>
        <v/>
      </c>
    </row>
    <row r="40" spans="2:36" x14ac:dyDescent="0.25">
      <c r="B40" s="7" t="str" cm="1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20,LEN('Raw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Data'!D40))=0),"",IF(AND(ISNUMBER('Raw Data'!D40),'Raw Data'!D40&gt;=Configuration!$D$2),"",_xlfn.REGEXEXTRACT(CELL("address",'Raw Data'!D40),"\$([A-Z]+)\$[0-9]+"))),_xlfn.REGEXEXTRACT(CELL("address",D40), "\$([A-Z]+)\$[0-9]+"))</f>
        <v/>
      </c>
      <c r="E40" s="7" t="str" cm="1">
        <f t="array" aca="1" ref="E40" ca="1">IFERROR(IF(OR('Raw Data'!E40="",LEN(TRIM('Raw Data'!E40))=0),"",IF(AND(ISNUMBER('Raw Data'!E40), IFERROR('Raw Data'!E40 = ROUND('Raw Data'!E40, 2),FALSE)),"",_xlfn.REGEXEXTRACT(CELL("address",E40), "\$([A-Z]+)\$[0-9]+"))),_xlfn.REGEXEXTRACT(CELL("address",E40), "\$([A-Z]+)\$[0-9]+"))</f>
        <v/>
      </c>
      <c r="F40" s="7" t="str" cm="1">
        <f t="array" aca="1" ref="F40" ca="1">IFERROR(IF(OR('Raw Data'!F40="",LEN(TRIM('Raw Data'!F40))=0),"",IF(AND(ISNUMBER('Raw Data'!F40), IFERROR('Raw Data'!F40 = ROUND('Raw Data'!F40, 2),FALSE)),"",_xlfn.REGEXEXTRACT(CELL("address",F40), "\$([A-Z]+)\$[0-9]+"))),_xlfn.REGEXEXTRACT(CELL("address",F40), "\$([A-Z]+)\$[0-9]+"))</f>
        <v/>
      </c>
      <c r="G40" s="7" t="str" cm="1">
        <f t="array" aca="1" ref="G40" ca="1">IFERROR(IF(OR('Raw Data'!G40="",LEN(TRIM('Raw Data'!G40))=0),"",IF(AND(ISNUMBER('Raw Data'!G40), IFERROR('Raw Data'!G40 = ROUND('Raw Data'!G40, 2),FALSE)),"",_xlfn.REGEXEXTRACT(CELL("address",G40), "\$([A-Z]+)\$[0-9]+"))),_xlfn.REGEXEXTRACT(CELL("address",G40), "\$([A-Z]+)\$[0-9]+"))</f>
        <v/>
      </c>
      <c r="H40" s="7" t="str" cm="1">
        <f t="array" aca="1" ref="H40" ca="1">IFERROR(IF(OR('Raw Data'!H40="",LEN(TRIM('Raw Data'!H40))=0),"",IF(AND(ISNUMBER('Raw Data'!H40), IFERROR('Raw Data'!H40 = ROUND('Raw Data'!H40, 2),FALSE)),"",_xlfn.REGEXEXTRACT(CELL("address",H40), "\$([A-Z]+)\$[0-9]+"))),_xlfn.REGEXEXTRACT(CELL("address",H40), "\$([A-Z]+)\$[0-9]+"))</f>
        <v/>
      </c>
      <c r="I40" s="7" t="str" cm="1">
        <f t="array" aca="1" ref="I40" ca="1">IFERROR(IF(OR('Raw Data'!I40="",LEN(TRIM('Raw Data'!I40))=0),"",IF(AND(ISNUMBER('Raw Data'!I40), IFERROR('Raw Data'!I40 = ROUND('Raw Data'!I40, 2),FALSE)),"",_xlfn.REGEXEXTRACT(CELL("address",I40), "\$([A-Z]+)\$[0-9]+"))),_xlfn.REGEXEXTRACT(CELL("address",I40), "\$([A-Z]+)\$[0-9]+"))</f>
        <v/>
      </c>
      <c r="J40" s="7" t="str" cm="1">
        <f t="array" aca="1" ref="J40" ca="1">IFERROR(IF(OR('Raw Data'!J40="",LEN(TRIM('Raw Data'!J40))=0),"",IF(AND(ISNUMBER('Raw Data'!J40), IFERROR('Raw Data'!J40 = ROUND('Raw Data'!J40, 2),FALSE)),"",_xlfn.REGEXEXTRACT(CELL("address",J40), "\$([A-Z]+)\$[0-9]+"))),_xlfn.REGEXEXTRACT(CELL("address",J40), "\$([A-Z]+)\$[0-9]+"))</f>
        <v/>
      </c>
      <c r="K40" s="7" t="str" cm="1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7" t="str" cm="1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7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7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7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7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 cm="1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7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7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7" t="str" cm="1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7" t="str" cm="1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  <c r="Z40" s="7" t="str" cm="1">
        <f t="array" aca="1" ref="Z40" ca="1">IFERROR(IF(OR('Raw Data'!Z40="",LEN(TRIM('Raw Data'!Z40))=0),"",IF(AND(ISNUMBER('Raw Data'!Z40), IFERROR('Raw Data'!Z40 = ROUND('Raw Data'!Z40, 2),FALSE)),"",_xlfn.REGEXEXTRACT(CELL("address",Z40), "\$([A-Z]+)\$[0-9]+"))),_xlfn.REGEXEXTRACT(CELL("address",Z40), "\$([A-Z]+)\$[0-9]+"))</f>
        <v/>
      </c>
      <c r="AA40" s="7" t="str" cm="1">
        <f t="array" aca="1" ref="AA40" ca="1">IFERROR(IF(OR('Raw Data'!AA40="",LEN(TRIM('Raw Data'!AA40))=0),"",IF(AND(ISNUMBER('Raw Data'!AA40), IFERROR('Raw Data'!AA40 = ROUND('Raw Data'!AA40, 2),FALSE)),"",_xlfn.REGEXEXTRACT(CELL("address",AA40), "\$([A-Z]+)\$[0-9]+"))),_xlfn.REGEXEXTRACT(CELL("address",AA40), "\$([A-Z]+)\$[0-9]+"))</f>
        <v/>
      </c>
      <c r="AB40" s="7" t="str" cm="1">
        <f t="array" aca="1" ref="AB40" ca="1">IFERROR(IF(OR('Raw Data'!AB40="",LEN(TRIM('Raw Data'!AB40))=0),"",IF(AND(ISNUMBER('Raw Data'!AB40), IFERROR('Raw Data'!AB40 = ROUND('Raw Data'!AB40, 2),FALSE)),"",_xlfn.REGEXEXTRACT(CELL("address",AB40), "\$([A-Z]+)\$[0-9]+"))),_xlfn.REGEXEXTRACT(CELL("address",AB40), "\$([A-Z]+)\$[0-9]+"))</f>
        <v/>
      </c>
      <c r="AC40" s="7" t="str" cm="1">
        <f t="array" aca="1" ref="AC40" ca="1">IFERROR(IF(OR('Raw Data'!AC40="",LEN(TRIM('Raw Data'!AC40))=0),"",IF(AND(ISNUMBER('Raw Data'!AC40), IFERROR('Raw Data'!AC40 = ROUND('Raw Data'!AC40, 2),FALSE)),"",_xlfn.REGEXEXTRACT(CELL("address",AC40), "\$([A-Z]+)\$[0-9]+"))),_xlfn.REGEXEXTRACT(CELL("address",AC40), "\$([A-Z]+)\$[0-9]+"))</f>
        <v/>
      </c>
      <c r="AD40" s="7" t="str" cm="1">
        <f t="array" aca="1" ref="AD40" ca="1">IFERROR(IF(OR('Raw Data'!AD40="",LEN(TRIM('Raw Data'!AD40))=0),"",IF(AND(ISNUMBER('Raw Data'!AD40), IFERROR('Raw Data'!AD40 = ROUND('Raw Data'!AD40, 2),FALSE)),"",_xlfn.REGEXEXTRACT(CELL("address",AD40), "\$([A-Z]+)\$[0-9]+"))),_xlfn.REGEXEXTRACT(CELL("address",AD40), "\$([A-Z]+)\$[0-9]+"))</f>
        <v/>
      </c>
      <c r="AE40" s="7" t="str" cm="1">
        <f t="array" aca="1" ref="AE40" ca="1">IFERROR(IF(OR('Raw Data'!AE40="",LEN(TRIM('Raw Data'!AE40))=0),"",IF(AND(ISNUMBER('Raw Data'!AE40), IFERROR('Raw Data'!AE40 = ROUND('Raw Data'!AE40, 2),FALSE)),"",_xlfn.REGEXEXTRACT(CELL("address",AE40), "\$([A-Z]+)\$[0-9]+"))),_xlfn.REGEXEXTRACT(CELL("address",AE40), "\$([A-Z]+)\$[0-9]+"))</f>
        <v/>
      </c>
      <c r="AF40" s="7" t="str" cm="1">
        <f t="array" aca="1" ref="AF40" ca="1">IFERROR(IF(OR('Raw Data'!AF40="",LEN(TRIM('Raw Data'!AF40))=0),"",IF(AND(ISNUMBER('Raw Data'!AF40), IFERROR('Raw Data'!AF40 = ROUND('Raw Data'!AF40, 2),FALSE)),"",_xlfn.REGEXEXTRACT(CELL("address",AF40), "\$([A-Z]+)\$[0-9]+"))),_xlfn.REGEXEXTRACT(CELL("address",AF40), "\$([A-Z]+)\$[0-9]+"))</f>
        <v/>
      </c>
      <c r="AG40" s="7" t="str" cm="1">
        <f t="array" aca="1" ref="AG40" ca="1">IFERROR(IF(OR('Raw Data'!AG40="",LEN(TRIM('Raw Data'!AG40))=0),"",IF(AND(ISNUMBER('Raw Data'!AG40), IFERROR('Raw Data'!AG40 = ROUND('Raw Data'!AG40, 2),FALSE)),"",_xlfn.REGEXEXTRACT(CELL("address",AG40), "\$([A-Z]+)\$[0-9]+"))),_xlfn.REGEXEXTRACT(CELL("address",AG40), "\$([A-Z]+)\$[0-9]+"))</f>
        <v/>
      </c>
      <c r="AH40" s="7" t="str" cm="1">
        <f t="array" aca="1" ref="AH40" ca="1">IFERROR(IF(OR('Raw Data'!AH40="",LEN(TRIM('Raw Data'!AH40))=0),"",IF(AND(ISNUMBER('Raw Data'!AH40), IFERROR('Raw Data'!AH40 = ROUND('Raw Data'!AH40, 2),FALSE)),"",_xlfn.REGEXEXTRACT(CELL("address",AH40), "\$([A-Z]+)\$[0-9]+"))),_xlfn.REGEXEXTRACT(CELL("address",AH40), "\$([A-Z]+)\$[0-9]+"))</f>
        <v/>
      </c>
      <c r="AI40" s="7" t="str" cm="1">
        <f t="array" aca="1" ref="AI40" ca="1">IFERROR(IF(OR('Raw Data'!AI40="",LEN(TRIM('Raw Data'!AI40))=0),"",IF(AND(ISNUMBER('Raw Data'!AI40), IFERROR('Raw Data'!AI40 = ROUND('Raw Data'!AI40, 2),FALSE)),"",_xlfn.REGEXEXTRACT(CELL("address",AI40), "\$([A-Z]+)\$[0-9]+"))),_xlfn.REGEXEXTRACT(CELL("address",AI40), "\$([A-Z]+)\$[0-9]+"))</f>
        <v/>
      </c>
      <c r="AJ40" s="7" t="str" cm="1">
        <f t="array" aca="1" ref="AJ40" ca="1">IFERROR(IF(OR('Raw Data'!AJ40="",LEN(TRIM('Raw Data'!AJ40))=0),"",IF(AND(ISNUMBER('Raw Data'!AJ40), IFERROR('Raw Data'!AJ40 = ROUND('Raw Data'!AJ40, 2),FALSE)),"",_xlfn.REGEXEXTRACT(CELL("address",AJ40), "\$([A-Z]+)\$[0-9]+"))),_xlfn.REGEXEXTRACT(CELL("address",AJ40), "\$([A-Z]+)\$[0-9]+"))</f>
        <v/>
      </c>
    </row>
    <row r="41" spans="2:36" x14ac:dyDescent="0.25">
      <c r="B41" s="7" t="str" cm="1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20,LEN('Raw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Data'!D41))=0),"",IF(AND(ISNUMBER('Raw Data'!D41),'Raw Data'!D41&gt;=Configuration!$D$2),"",_xlfn.REGEXEXTRACT(CELL("address",'Raw Data'!D41),"\$([A-Z]+)\$[0-9]+"))),_xlfn.REGEXEXTRACT(CELL("address",D41), "\$([A-Z]+)\$[0-9]+"))</f>
        <v/>
      </c>
      <c r="E41" s="7" t="str" cm="1">
        <f t="array" aca="1" ref="E41" ca="1">IFERROR(IF(OR('Raw Data'!E41="",LEN(TRIM('Raw Data'!E41))=0),"",IF(AND(ISNUMBER('Raw Data'!E41), IFERROR('Raw Data'!E41 = ROUND('Raw Data'!E41, 2),FALSE)),"",_xlfn.REGEXEXTRACT(CELL("address",E41), "\$([A-Z]+)\$[0-9]+"))),_xlfn.REGEXEXTRACT(CELL("address",E41), "\$([A-Z]+)\$[0-9]+"))</f>
        <v/>
      </c>
      <c r="F41" s="7" t="str" cm="1">
        <f t="array" aca="1" ref="F41" ca="1">IFERROR(IF(OR('Raw Data'!F41="",LEN(TRIM('Raw Data'!F41))=0),"",IF(AND(ISNUMBER('Raw Data'!F41), IFERROR('Raw Data'!F41 = ROUND('Raw Data'!F41, 2),FALSE)),"",_xlfn.REGEXEXTRACT(CELL("address",F41), "\$([A-Z]+)\$[0-9]+"))),_xlfn.REGEXEXTRACT(CELL("address",F41), "\$([A-Z]+)\$[0-9]+"))</f>
        <v/>
      </c>
      <c r="G41" s="7" t="str" cm="1">
        <f t="array" aca="1" ref="G41" ca="1">IFERROR(IF(OR('Raw Data'!G41="",LEN(TRIM('Raw Data'!G41))=0),"",IF(AND(ISNUMBER('Raw Data'!G41), IFERROR('Raw Data'!G41 = ROUND('Raw Data'!G41, 2),FALSE)),"",_xlfn.REGEXEXTRACT(CELL("address",G41), "\$([A-Z]+)\$[0-9]+"))),_xlfn.REGEXEXTRACT(CELL("address",G41), "\$([A-Z]+)\$[0-9]+"))</f>
        <v/>
      </c>
      <c r="H41" s="7" t="str" cm="1">
        <f t="array" aca="1" ref="H41" ca="1">IFERROR(IF(OR('Raw Data'!H41="",LEN(TRIM('Raw Data'!H41))=0),"",IF(AND(ISNUMBER('Raw Data'!H41), IFERROR('Raw Data'!H41 = ROUND('Raw Data'!H41, 2),FALSE)),"",_xlfn.REGEXEXTRACT(CELL("address",H41), "\$([A-Z]+)\$[0-9]+"))),_xlfn.REGEXEXTRACT(CELL("address",H41), "\$([A-Z]+)\$[0-9]+"))</f>
        <v/>
      </c>
      <c r="I41" s="7" t="str" cm="1">
        <f t="array" aca="1" ref="I41" ca="1">IFERROR(IF(OR('Raw Data'!I41="",LEN(TRIM('Raw Data'!I41))=0),"",IF(AND(ISNUMBER('Raw Data'!I41), IFERROR('Raw Data'!I41 = ROUND('Raw Data'!I41, 2),FALSE)),"",_xlfn.REGEXEXTRACT(CELL("address",I41), "\$([A-Z]+)\$[0-9]+"))),_xlfn.REGEXEXTRACT(CELL("address",I41), "\$([A-Z]+)\$[0-9]+"))</f>
        <v/>
      </c>
      <c r="J41" s="7" t="str" cm="1">
        <f t="array" aca="1" ref="J41" ca="1">IFERROR(IF(OR('Raw Data'!J41="",LEN(TRIM('Raw Data'!J41))=0),"",IF(AND(ISNUMBER('Raw Data'!J41), IFERROR('Raw Data'!J41 = ROUND('Raw Data'!J41, 2),FALSE)),"",_xlfn.REGEXEXTRACT(CELL("address",J41), "\$([A-Z]+)\$[0-9]+"))),_xlfn.REGEXEXTRACT(CELL("address",J41), "\$([A-Z]+)\$[0-9]+"))</f>
        <v/>
      </c>
      <c r="K41" s="7" t="str" cm="1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7" t="str" cm="1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7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7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7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7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 cm="1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7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7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7" t="str" cm="1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7" t="str" cm="1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  <c r="Z41" s="7" t="str" cm="1">
        <f t="array" aca="1" ref="Z41" ca="1">IFERROR(IF(OR('Raw Data'!Z41="",LEN(TRIM('Raw Data'!Z41))=0),"",IF(AND(ISNUMBER('Raw Data'!Z41), IFERROR('Raw Data'!Z41 = ROUND('Raw Data'!Z41, 2),FALSE)),"",_xlfn.REGEXEXTRACT(CELL("address",Z41), "\$([A-Z]+)\$[0-9]+"))),_xlfn.REGEXEXTRACT(CELL("address",Z41), "\$([A-Z]+)\$[0-9]+"))</f>
        <v/>
      </c>
      <c r="AA41" s="7" t="str" cm="1">
        <f t="array" aca="1" ref="AA41" ca="1">IFERROR(IF(OR('Raw Data'!AA41="",LEN(TRIM('Raw Data'!AA41))=0),"",IF(AND(ISNUMBER('Raw Data'!AA41), IFERROR('Raw Data'!AA41 = ROUND('Raw Data'!AA41, 2),FALSE)),"",_xlfn.REGEXEXTRACT(CELL("address",AA41), "\$([A-Z]+)\$[0-9]+"))),_xlfn.REGEXEXTRACT(CELL("address",AA41), "\$([A-Z]+)\$[0-9]+"))</f>
        <v/>
      </c>
      <c r="AB41" s="7" t="str" cm="1">
        <f t="array" aca="1" ref="AB41" ca="1">IFERROR(IF(OR('Raw Data'!AB41="",LEN(TRIM('Raw Data'!AB41))=0),"",IF(AND(ISNUMBER('Raw Data'!AB41), IFERROR('Raw Data'!AB41 = ROUND('Raw Data'!AB41, 2),FALSE)),"",_xlfn.REGEXEXTRACT(CELL("address",AB41), "\$([A-Z]+)\$[0-9]+"))),_xlfn.REGEXEXTRACT(CELL("address",AB41), "\$([A-Z]+)\$[0-9]+"))</f>
        <v/>
      </c>
      <c r="AC41" s="7" t="str" cm="1">
        <f t="array" aca="1" ref="AC41" ca="1">IFERROR(IF(OR('Raw Data'!AC41="",LEN(TRIM('Raw Data'!AC41))=0),"",IF(AND(ISNUMBER('Raw Data'!AC41), IFERROR('Raw Data'!AC41 = ROUND('Raw Data'!AC41, 2),FALSE)),"",_xlfn.REGEXEXTRACT(CELL("address",AC41), "\$([A-Z]+)\$[0-9]+"))),_xlfn.REGEXEXTRACT(CELL("address",AC41), "\$([A-Z]+)\$[0-9]+"))</f>
        <v/>
      </c>
      <c r="AD41" s="7" t="str" cm="1">
        <f t="array" aca="1" ref="AD41" ca="1">IFERROR(IF(OR('Raw Data'!AD41="",LEN(TRIM('Raw Data'!AD41))=0),"",IF(AND(ISNUMBER('Raw Data'!AD41), IFERROR('Raw Data'!AD41 = ROUND('Raw Data'!AD41, 2),FALSE)),"",_xlfn.REGEXEXTRACT(CELL("address",AD41), "\$([A-Z]+)\$[0-9]+"))),_xlfn.REGEXEXTRACT(CELL("address",AD41), "\$([A-Z]+)\$[0-9]+"))</f>
        <v/>
      </c>
      <c r="AE41" s="7" t="str" cm="1">
        <f t="array" aca="1" ref="AE41" ca="1">IFERROR(IF(OR('Raw Data'!AE41="",LEN(TRIM('Raw Data'!AE41))=0),"",IF(AND(ISNUMBER('Raw Data'!AE41), IFERROR('Raw Data'!AE41 = ROUND('Raw Data'!AE41, 2),FALSE)),"",_xlfn.REGEXEXTRACT(CELL("address",AE41), "\$([A-Z]+)\$[0-9]+"))),_xlfn.REGEXEXTRACT(CELL("address",AE41), "\$([A-Z]+)\$[0-9]+"))</f>
        <v/>
      </c>
      <c r="AF41" s="7" t="str" cm="1">
        <f t="array" aca="1" ref="AF41" ca="1">IFERROR(IF(OR('Raw Data'!AF41="",LEN(TRIM('Raw Data'!AF41))=0),"",IF(AND(ISNUMBER('Raw Data'!AF41), IFERROR('Raw Data'!AF41 = ROUND('Raw Data'!AF41, 2),FALSE)),"",_xlfn.REGEXEXTRACT(CELL("address",AF41), "\$([A-Z]+)\$[0-9]+"))),_xlfn.REGEXEXTRACT(CELL("address",AF41), "\$([A-Z]+)\$[0-9]+"))</f>
        <v/>
      </c>
      <c r="AG41" s="7" t="str" cm="1">
        <f t="array" aca="1" ref="AG41" ca="1">IFERROR(IF(OR('Raw Data'!AG41="",LEN(TRIM('Raw Data'!AG41))=0),"",IF(AND(ISNUMBER('Raw Data'!AG41), IFERROR('Raw Data'!AG41 = ROUND('Raw Data'!AG41, 2),FALSE)),"",_xlfn.REGEXEXTRACT(CELL("address",AG41), "\$([A-Z]+)\$[0-9]+"))),_xlfn.REGEXEXTRACT(CELL("address",AG41), "\$([A-Z]+)\$[0-9]+"))</f>
        <v/>
      </c>
      <c r="AH41" s="7" t="str" cm="1">
        <f t="array" aca="1" ref="AH41" ca="1">IFERROR(IF(OR('Raw Data'!AH41="",LEN(TRIM('Raw Data'!AH41))=0),"",IF(AND(ISNUMBER('Raw Data'!AH41), IFERROR('Raw Data'!AH41 = ROUND('Raw Data'!AH41, 2),FALSE)),"",_xlfn.REGEXEXTRACT(CELL("address",AH41), "\$([A-Z]+)\$[0-9]+"))),_xlfn.REGEXEXTRACT(CELL("address",AH41), "\$([A-Z]+)\$[0-9]+"))</f>
        <v/>
      </c>
      <c r="AI41" s="7" t="str" cm="1">
        <f t="array" aca="1" ref="AI41" ca="1">IFERROR(IF(OR('Raw Data'!AI41="",LEN(TRIM('Raw Data'!AI41))=0),"",IF(AND(ISNUMBER('Raw Data'!AI41), IFERROR('Raw Data'!AI41 = ROUND('Raw Data'!AI41, 2),FALSE)),"",_xlfn.REGEXEXTRACT(CELL("address",AI41), "\$([A-Z]+)\$[0-9]+"))),_xlfn.REGEXEXTRACT(CELL("address",AI41), "\$([A-Z]+)\$[0-9]+"))</f>
        <v/>
      </c>
      <c r="AJ41" s="7" t="str" cm="1">
        <f t="array" aca="1" ref="AJ41" ca="1">IFERROR(IF(OR('Raw Data'!AJ41="",LEN(TRIM('Raw Data'!AJ41))=0),"",IF(AND(ISNUMBER('Raw Data'!AJ41), IFERROR('Raw Data'!AJ41 = ROUND('Raw Data'!AJ41, 2),FALSE)),"",_xlfn.REGEXEXTRACT(CELL("address",AJ41), "\$([A-Z]+)\$[0-9]+"))),_xlfn.REGEXEXTRACT(CELL("address",AJ41), "\$([A-Z]+)\$[0-9]+"))</f>
        <v/>
      </c>
    </row>
    <row r="42" spans="2:36" x14ac:dyDescent="0.25">
      <c r="B42" s="7" t="str" cm="1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20,LEN('Raw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Data'!D42))=0),"",IF(AND(ISNUMBER('Raw Data'!D42),'Raw Data'!D42&gt;=Configuration!$D$2),"",_xlfn.REGEXEXTRACT(CELL("address",'Raw Data'!D42),"\$([A-Z]+)\$[0-9]+"))),_xlfn.REGEXEXTRACT(CELL("address",D42), "\$([A-Z]+)\$[0-9]+"))</f>
        <v/>
      </c>
      <c r="E42" s="7" t="str" cm="1">
        <f t="array" aca="1" ref="E42" ca="1">IFERROR(IF(OR('Raw Data'!E42="",LEN(TRIM('Raw Data'!E42))=0),"",IF(AND(ISNUMBER('Raw Data'!E42), IFERROR('Raw Data'!E42 = ROUND('Raw Data'!E42, 2),FALSE)),"",_xlfn.REGEXEXTRACT(CELL("address",E42), "\$([A-Z]+)\$[0-9]+"))),_xlfn.REGEXEXTRACT(CELL("address",E42), "\$([A-Z]+)\$[0-9]+"))</f>
        <v/>
      </c>
      <c r="F42" s="7" t="str" cm="1">
        <f t="array" aca="1" ref="F42" ca="1">IFERROR(IF(OR('Raw Data'!F42="",LEN(TRIM('Raw Data'!F42))=0),"",IF(AND(ISNUMBER('Raw Data'!F42), IFERROR('Raw Data'!F42 = ROUND('Raw Data'!F42, 2),FALSE)),"",_xlfn.REGEXEXTRACT(CELL("address",F42), "\$([A-Z]+)\$[0-9]+"))),_xlfn.REGEXEXTRACT(CELL("address",F42), "\$([A-Z]+)\$[0-9]+"))</f>
        <v/>
      </c>
      <c r="G42" s="7" t="str" cm="1">
        <f t="array" aca="1" ref="G42" ca="1">IFERROR(IF(OR('Raw Data'!G42="",LEN(TRIM('Raw Data'!G42))=0),"",IF(AND(ISNUMBER('Raw Data'!G42), IFERROR('Raw Data'!G42 = ROUND('Raw Data'!G42, 2),FALSE)),"",_xlfn.REGEXEXTRACT(CELL("address",G42), "\$([A-Z]+)\$[0-9]+"))),_xlfn.REGEXEXTRACT(CELL("address",G42), "\$([A-Z]+)\$[0-9]+"))</f>
        <v/>
      </c>
      <c r="H42" s="7" t="str" cm="1">
        <f t="array" aca="1" ref="H42" ca="1">IFERROR(IF(OR('Raw Data'!H42="",LEN(TRIM('Raw Data'!H42))=0),"",IF(AND(ISNUMBER('Raw Data'!H42), IFERROR('Raw Data'!H42 = ROUND('Raw Data'!H42, 2),FALSE)),"",_xlfn.REGEXEXTRACT(CELL("address",H42), "\$([A-Z]+)\$[0-9]+"))),_xlfn.REGEXEXTRACT(CELL("address",H42), "\$([A-Z]+)\$[0-9]+"))</f>
        <v/>
      </c>
      <c r="I42" s="7" t="str" cm="1">
        <f t="array" aca="1" ref="I42" ca="1">IFERROR(IF(OR('Raw Data'!I42="",LEN(TRIM('Raw Data'!I42))=0),"",IF(AND(ISNUMBER('Raw Data'!I42), IFERROR('Raw Data'!I42 = ROUND('Raw Data'!I42, 2),FALSE)),"",_xlfn.REGEXEXTRACT(CELL("address",I42), "\$([A-Z]+)\$[0-9]+"))),_xlfn.REGEXEXTRACT(CELL("address",I42), "\$([A-Z]+)\$[0-9]+"))</f>
        <v/>
      </c>
      <c r="J42" s="7" t="str" cm="1">
        <f t="array" aca="1" ref="J42" ca="1">IFERROR(IF(OR('Raw Data'!J42="",LEN(TRIM('Raw Data'!J42))=0),"",IF(AND(ISNUMBER('Raw Data'!J42), IFERROR('Raw Data'!J42 = ROUND('Raw Data'!J42, 2),FALSE)),"",_xlfn.REGEXEXTRACT(CELL("address",J42), "\$([A-Z]+)\$[0-9]+"))),_xlfn.REGEXEXTRACT(CELL("address",J42), "\$([A-Z]+)\$[0-9]+"))</f>
        <v/>
      </c>
      <c r="K42" s="7" t="str" cm="1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7" t="str" cm="1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7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7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7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7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 cm="1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7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7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7" t="str" cm="1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7" t="str" cm="1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  <c r="Z42" s="7" t="str" cm="1">
        <f t="array" aca="1" ref="Z42" ca="1">IFERROR(IF(OR('Raw Data'!Z42="",LEN(TRIM('Raw Data'!Z42))=0),"",IF(AND(ISNUMBER('Raw Data'!Z42), IFERROR('Raw Data'!Z42 = ROUND('Raw Data'!Z42, 2),FALSE)),"",_xlfn.REGEXEXTRACT(CELL("address",Z42), "\$([A-Z]+)\$[0-9]+"))),_xlfn.REGEXEXTRACT(CELL("address",Z42), "\$([A-Z]+)\$[0-9]+"))</f>
        <v/>
      </c>
      <c r="AA42" s="7" t="str" cm="1">
        <f t="array" aca="1" ref="AA42" ca="1">IFERROR(IF(OR('Raw Data'!AA42="",LEN(TRIM('Raw Data'!AA42))=0),"",IF(AND(ISNUMBER('Raw Data'!AA42), IFERROR('Raw Data'!AA42 = ROUND('Raw Data'!AA42, 2),FALSE)),"",_xlfn.REGEXEXTRACT(CELL("address",AA42), "\$([A-Z]+)\$[0-9]+"))),_xlfn.REGEXEXTRACT(CELL("address",AA42), "\$([A-Z]+)\$[0-9]+"))</f>
        <v/>
      </c>
      <c r="AB42" s="7" t="str" cm="1">
        <f t="array" aca="1" ref="AB42" ca="1">IFERROR(IF(OR('Raw Data'!AB42="",LEN(TRIM('Raw Data'!AB42))=0),"",IF(AND(ISNUMBER('Raw Data'!AB42), IFERROR('Raw Data'!AB42 = ROUND('Raw Data'!AB42, 2),FALSE)),"",_xlfn.REGEXEXTRACT(CELL("address",AB42), "\$([A-Z]+)\$[0-9]+"))),_xlfn.REGEXEXTRACT(CELL("address",AB42), "\$([A-Z]+)\$[0-9]+"))</f>
        <v/>
      </c>
      <c r="AC42" s="7" t="str" cm="1">
        <f t="array" aca="1" ref="AC42" ca="1">IFERROR(IF(OR('Raw Data'!AC42="",LEN(TRIM('Raw Data'!AC42))=0),"",IF(AND(ISNUMBER('Raw Data'!AC42), IFERROR('Raw Data'!AC42 = ROUND('Raw Data'!AC42, 2),FALSE)),"",_xlfn.REGEXEXTRACT(CELL("address",AC42), "\$([A-Z]+)\$[0-9]+"))),_xlfn.REGEXEXTRACT(CELL("address",AC42), "\$([A-Z]+)\$[0-9]+"))</f>
        <v/>
      </c>
      <c r="AD42" s="7" t="str" cm="1">
        <f t="array" aca="1" ref="AD42" ca="1">IFERROR(IF(OR('Raw Data'!AD42="",LEN(TRIM('Raw Data'!AD42))=0),"",IF(AND(ISNUMBER('Raw Data'!AD42), IFERROR('Raw Data'!AD42 = ROUND('Raw Data'!AD42, 2),FALSE)),"",_xlfn.REGEXEXTRACT(CELL("address",AD42), "\$([A-Z]+)\$[0-9]+"))),_xlfn.REGEXEXTRACT(CELL("address",AD42), "\$([A-Z]+)\$[0-9]+"))</f>
        <v/>
      </c>
      <c r="AE42" s="7" t="str" cm="1">
        <f t="array" aca="1" ref="AE42" ca="1">IFERROR(IF(OR('Raw Data'!AE42="",LEN(TRIM('Raw Data'!AE42))=0),"",IF(AND(ISNUMBER('Raw Data'!AE42), IFERROR('Raw Data'!AE42 = ROUND('Raw Data'!AE42, 2),FALSE)),"",_xlfn.REGEXEXTRACT(CELL("address",AE42), "\$([A-Z]+)\$[0-9]+"))),_xlfn.REGEXEXTRACT(CELL("address",AE42), "\$([A-Z]+)\$[0-9]+"))</f>
        <v/>
      </c>
      <c r="AF42" s="7" t="str" cm="1">
        <f t="array" aca="1" ref="AF42" ca="1">IFERROR(IF(OR('Raw Data'!AF42="",LEN(TRIM('Raw Data'!AF42))=0),"",IF(AND(ISNUMBER('Raw Data'!AF42), IFERROR('Raw Data'!AF42 = ROUND('Raw Data'!AF42, 2),FALSE)),"",_xlfn.REGEXEXTRACT(CELL("address",AF42), "\$([A-Z]+)\$[0-9]+"))),_xlfn.REGEXEXTRACT(CELL("address",AF42), "\$([A-Z]+)\$[0-9]+"))</f>
        <v/>
      </c>
      <c r="AG42" s="7" t="str" cm="1">
        <f t="array" aca="1" ref="AG42" ca="1">IFERROR(IF(OR('Raw Data'!AG42="",LEN(TRIM('Raw Data'!AG42))=0),"",IF(AND(ISNUMBER('Raw Data'!AG42), IFERROR('Raw Data'!AG42 = ROUND('Raw Data'!AG42, 2),FALSE)),"",_xlfn.REGEXEXTRACT(CELL("address",AG42), "\$([A-Z]+)\$[0-9]+"))),_xlfn.REGEXEXTRACT(CELL("address",AG42), "\$([A-Z]+)\$[0-9]+"))</f>
        <v/>
      </c>
      <c r="AH42" s="7" t="str" cm="1">
        <f t="array" aca="1" ref="AH42" ca="1">IFERROR(IF(OR('Raw Data'!AH42="",LEN(TRIM('Raw Data'!AH42))=0),"",IF(AND(ISNUMBER('Raw Data'!AH42), IFERROR('Raw Data'!AH42 = ROUND('Raw Data'!AH42, 2),FALSE)),"",_xlfn.REGEXEXTRACT(CELL("address",AH42), "\$([A-Z]+)\$[0-9]+"))),_xlfn.REGEXEXTRACT(CELL("address",AH42), "\$([A-Z]+)\$[0-9]+"))</f>
        <v/>
      </c>
      <c r="AI42" s="7" t="str" cm="1">
        <f t="array" aca="1" ref="AI42" ca="1">IFERROR(IF(OR('Raw Data'!AI42="",LEN(TRIM('Raw Data'!AI42))=0),"",IF(AND(ISNUMBER('Raw Data'!AI42), IFERROR('Raw Data'!AI42 = ROUND('Raw Data'!AI42, 2),FALSE)),"",_xlfn.REGEXEXTRACT(CELL("address",AI42), "\$([A-Z]+)\$[0-9]+"))),_xlfn.REGEXEXTRACT(CELL("address",AI42), "\$([A-Z]+)\$[0-9]+"))</f>
        <v/>
      </c>
      <c r="AJ42" s="7" t="str" cm="1">
        <f t="array" aca="1" ref="AJ42" ca="1">IFERROR(IF(OR('Raw Data'!AJ42="",LEN(TRIM('Raw Data'!AJ42))=0),"",IF(AND(ISNUMBER('Raw Data'!AJ42), IFERROR('Raw Data'!AJ42 = ROUND('Raw Data'!AJ42, 2),FALSE)),"",_xlfn.REGEXEXTRACT(CELL("address",AJ42), "\$([A-Z]+)\$[0-9]+"))),_xlfn.REGEXEXTRACT(CELL("address",AJ42), "\$([A-Z]+)\$[0-9]+"))</f>
        <v/>
      </c>
    </row>
    <row r="43" spans="2:36" x14ac:dyDescent="0.25">
      <c r="B43" s="7" t="str" cm="1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20,LEN('Raw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Data'!D43))=0),"",IF(AND(ISNUMBER('Raw Data'!D43),'Raw Data'!D43&gt;=Configuration!$D$2),"",_xlfn.REGEXEXTRACT(CELL("address",'Raw Data'!D43),"\$([A-Z]+)\$[0-9]+"))),_xlfn.REGEXEXTRACT(CELL("address",D43), "\$([A-Z]+)\$[0-9]+"))</f>
        <v/>
      </c>
      <c r="E43" s="7" t="str" cm="1">
        <f t="array" aca="1" ref="E43" ca="1">IFERROR(IF(OR('Raw Data'!E43="",LEN(TRIM('Raw Data'!E43))=0),"",IF(AND(ISNUMBER('Raw Data'!E43), IFERROR('Raw Data'!E43 = ROUND('Raw Data'!E43, 2),FALSE)),"",_xlfn.REGEXEXTRACT(CELL("address",E43), "\$([A-Z]+)\$[0-9]+"))),_xlfn.REGEXEXTRACT(CELL("address",E43), "\$([A-Z]+)\$[0-9]+"))</f>
        <v/>
      </c>
      <c r="F43" s="7" t="str" cm="1">
        <f t="array" aca="1" ref="F43" ca="1">IFERROR(IF(OR('Raw Data'!F43="",LEN(TRIM('Raw Data'!F43))=0),"",IF(AND(ISNUMBER('Raw Data'!F43), IFERROR('Raw Data'!F43 = ROUND('Raw Data'!F43, 2),FALSE)),"",_xlfn.REGEXEXTRACT(CELL("address",F43), "\$([A-Z]+)\$[0-9]+"))),_xlfn.REGEXEXTRACT(CELL("address",F43), "\$([A-Z]+)\$[0-9]+"))</f>
        <v/>
      </c>
      <c r="G43" s="7" t="str" cm="1">
        <f t="array" aca="1" ref="G43" ca="1">IFERROR(IF(OR('Raw Data'!G43="",LEN(TRIM('Raw Data'!G43))=0),"",IF(AND(ISNUMBER('Raw Data'!G43), IFERROR('Raw Data'!G43 = ROUND('Raw Data'!G43, 2),FALSE)),"",_xlfn.REGEXEXTRACT(CELL("address",G43), "\$([A-Z]+)\$[0-9]+"))),_xlfn.REGEXEXTRACT(CELL("address",G43), "\$([A-Z]+)\$[0-9]+"))</f>
        <v/>
      </c>
      <c r="H43" s="7" t="str" cm="1">
        <f t="array" aca="1" ref="H43" ca="1">IFERROR(IF(OR('Raw Data'!H43="",LEN(TRIM('Raw Data'!H43))=0),"",IF(AND(ISNUMBER('Raw Data'!H43), IFERROR('Raw Data'!H43 = ROUND('Raw Data'!H43, 2),FALSE)),"",_xlfn.REGEXEXTRACT(CELL("address",H43), "\$([A-Z]+)\$[0-9]+"))),_xlfn.REGEXEXTRACT(CELL("address",H43), "\$([A-Z]+)\$[0-9]+"))</f>
        <v/>
      </c>
      <c r="I43" s="7" t="str" cm="1">
        <f t="array" aca="1" ref="I43" ca="1">IFERROR(IF(OR('Raw Data'!I43="",LEN(TRIM('Raw Data'!I43))=0),"",IF(AND(ISNUMBER('Raw Data'!I43), IFERROR('Raw Data'!I43 = ROUND('Raw Data'!I43, 2),FALSE)),"",_xlfn.REGEXEXTRACT(CELL("address",I43), "\$([A-Z]+)\$[0-9]+"))),_xlfn.REGEXEXTRACT(CELL("address",I43), "\$([A-Z]+)\$[0-9]+"))</f>
        <v/>
      </c>
      <c r="J43" s="7" t="str" cm="1">
        <f t="array" aca="1" ref="J43" ca="1">IFERROR(IF(OR('Raw Data'!J43="",LEN(TRIM('Raw Data'!J43))=0),"",IF(AND(ISNUMBER('Raw Data'!J43), IFERROR('Raw Data'!J43 = ROUND('Raw Data'!J43, 2),FALSE)),"",_xlfn.REGEXEXTRACT(CELL("address",J43), "\$([A-Z]+)\$[0-9]+"))),_xlfn.REGEXEXTRACT(CELL("address",J43), "\$([A-Z]+)\$[0-9]+"))</f>
        <v/>
      </c>
      <c r="K43" s="7" t="str" cm="1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7" t="str" cm="1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7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7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7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7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 cm="1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7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7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7" t="str" cm="1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7" t="str" cm="1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  <c r="Z43" s="7" t="str" cm="1">
        <f t="array" aca="1" ref="Z43" ca="1">IFERROR(IF(OR('Raw Data'!Z43="",LEN(TRIM('Raw Data'!Z43))=0),"",IF(AND(ISNUMBER('Raw Data'!Z43), IFERROR('Raw Data'!Z43 = ROUND('Raw Data'!Z43, 2),FALSE)),"",_xlfn.REGEXEXTRACT(CELL("address",Z43), "\$([A-Z]+)\$[0-9]+"))),_xlfn.REGEXEXTRACT(CELL("address",Z43), "\$([A-Z]+)\$[0-9]+"))</f>
        <v/>
      </c>
      <c r="AA43" s="7" t="str" cm="1">
        <f t="array" aca="1" ref="AA43" ca="1">IFERROR(IF(OR('Raw Data'!AA43="",LEN(TRIM('Raw Data'!AA43))=0),"",IF(AND(ISNUMBER('Raw Data'!AA43), IFERROR('Raw Data'!AA43 = ROUND('Raw Data'!AA43, 2),FALSE)),"",_xlfn.REGEXEXTRACT(CELL("address",AA43), "\$([A-Z]+)\$[0-9]+"))),_xlfn.REGEXEXTRACT(CELL("address",AA43), "\$([A-Z]+)\$[0-9]+"))</f>
        <v/>
      </c>
      <c r="AB43" s="7" t="str" cm="1">
        <f t="array" aca="1" ref="AB43" ca="1">IFERROR(IF(OR('Raw Data'!AB43="",LEN(TRIM('Raw Data'!AB43))=0),"",IF(AND(ISNUMBER('Raw Data'!AB43), IFERROR('Raw Data'!AB43 = ROUND('Raw Data'!AB43, 2),FALSE)),"",_xlfn.REGEXEXTRACT(CELL("address",AB43), "\$([A-Z]+)\$[0-9]+"))),_xlfn.REGEXEXTRACT(CELL("address",AB43), "\$([A-Z]+)\$[0-9]+"))</f>
        <v/>
      </c>
      <c r="AC43" s="7" t="str" cm="1">
        <f t="array" aca="1" ref="AC43" ca="1">IFERROR(IF(OR('Raw Data'!AC43="",LEN(TRIM('Raw Data'!AC43))=0),"",IF(AND(ISNUMBER('Raw Data'!AC43), IFERROR('Raw Data'!AC43 = ROUND('Raw Data'!AC43, 2),FALSE)),"",_xlfn.REGEXEXTRACT(CELL("address",AC43), "\$([A-Z]+)\$[0-9]+"))),_xlfn.REGEXEXTRACT(CELL("address",AC43), "\$([A-Z]+)\$[0-9]+"))</f>
        <v/>
      </c>
      <c r="AD43" s="7" t="str" cm="1">
        <f t="array" aca="1" ref="AD43" ca="1">IFERROR(IF(OR('Raw Data'!AD43="",LEN(TRIM('Raw Data'!AD43))=0),"",IF(AND(ISNUMBER('Raw Data'!AD43), IFERROR('Raw Data'!AD43 = ROUND('Raw Data'!AD43, 2),FALSE)),"",_xlfn.REGEXEXTRACT(CELL("address",AD43), "\$([A-Z]+)\$[0-9]+"))),_xlfn.REGEXEXTRACT(CELL("address",AD43), "\$([A-Z]+)\$[0-9]+"))</f>
        <v/>
      </c>
      <c r="AE43" s="7" t="str" cm="1">
        <f t="array" aca="1" ref="AE43" ca="1">IFERROR(IF(OR('Raw Data'!AE43="",LEN(TRIM('Raw Data'!AE43))=0),"",IF(AND(ISNUMBER('Raw Data'!AE43), IFERROR('Raw Data'!AE43 = ROUND('Raw Data'!AE43, 2),FALSE)),"",_xlfn.REGEXEXTRACT(CELL("address",AE43), "\$([A-Z]+)\$[0-9]+"))),_xlfn.REGEXEXTRACT(CELL("address",AE43), "\$([A-Z]+)\$[0-9]+"))</f>
        <v/>
      </c>
      <c r="AF43" s="7" t="str" cm="1">
        <f t="array" aca="1" ref="AF43" ca="1">IFERROR(IF(OR('Raw Data'!AF43="",LEN(TRIM('Raw Data'!AF43))=0),"",IF(AND(ISNUMBER('Raw Data'!AF43), IFERROR('Raw Data'!AF43 = ROUND('Raw Data'!AF43, 2),FALSE)),"",_xlfn.REGEXEXTRACT(CELL("address",AF43), "\$([A-Z]+)\$[0-9]+"))),_xlfn.REGEXEXTRACT(CELL("address",AF43), "\$([A-Z]+)\$[0-9]+"))</f>
        <v/>
      </c>
      <c r="AG43" s="7" t="str" cm="1">
        <f t="array" aca="1" ref="AG43" ca="1">IFERROR(IF(OR('Raw Data'!AG43="",LEN(TRIM('Raw Data'!AG43))=0),"",IF(AND(ISNUMBER('Raw Data'!AG43), IFERROR('Raw Data'!AG43 = ROUND('Raw Data'!AG43, 2),FALSE)),"",_xlfn.REGEXEXTRACT(CELL("address",AG43), "\$([A-Z]+)\$[0-9]+"))),_xlfn.REGEXEXTRACT(CELL("address",AG43), "\$([A-Z]+)\$[0-9]+"))</f>
        <v/>
      </c>
      <c r="AH43" s="7" t="str" cm="1">
        <f t="array" aca="1" ref="AH43" ca="1">IFERROR(IF(OR('Raw Data'!AH43="",LEN(TRIM('Raw Data'!AH43))=0),"",IF(AND(ISNUMBER('Raw Data'!AH43), IFERROR('Raw Data'!AH43 = ROUND('Raw Data'!AH43, 2),FALSE)),"",_xlfn.REGEXEXTRACT(CELL("address",AH43), "\$([A-Z]+)\$[0-9]+"))),_xlfn.REGEXEXTRACT(CELL("address",AH43), "\$([A-Z]+)\$[0-9]+"))</f>
        <v/>
      </c>
      <c r="AI43" s="7" t="str" cm="1">
        <f t="array" aca="1" ref="AI43" ca="1">IFERROR(IF(OR('Raw Data'!AI43="",LEN(TRIM('Raw Data'!AI43))=0),"",IF(AND(ISNUMBER('Raw Data'!AI43), IFERROR('Raw Data'!AI43 = ROUND('Raw Data'!AI43, 2),FALSE)),"",_xlfn.REGEXEXTRACT(CELL("address",AI43), "\$([A-Z]+)\$[0-9]+"))),_xlfn.REGEXEXTRACT(CELL("address",AI43), "\$([A-Z]+)\$[0-9]+"))</f>
        <v/>
      </c>
      <c r="AJ43" s="7" t="str" cm="1">
        <f t="array" aca="1" ref="AJ43" ca="1">IFERROR(IF(OR('Raw Data'!AJ43="",LEN(TRIM('Raw Data'!AJ43))=0),"",IF(AND(ISNUMBER('Raw Data'!AJ43), IFERROR('Raw Data'!AJ43 = ROUND('Raw Data'!AJ43, 2),FALSE)),"",_xlfn.REGEXEXTRACT(CELL("address",AJ43), "\$([A-Z]+)\$[0-9]+"))),_xlfn.REGEXEXTRACT(CELL("address",AJ43), "\$([A-Z]+)\$[0-9]+"))</f>
        <v/>
      </c>
    </row>
    <row r="44" spans="2:36" x14ac:dyDescent="0.25">
      <c r="B44" s="7" t="str" cm="1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20,LEN('Raw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Data'!D44))=0),"",IF(AND(ISNUMBER('Raw Data'!D44),'Raw Data'!D44&gt;=Configuration!$D$2),"",_xlfn.REGEXEXTRACT(CELL("address",'Raw Data'!D44),"\$([A-Z]+)\$[0-9]+"))),_xlfn.REGEXEXTRACT(CELL("address",D44), "\$([A-Z]+)\$[0-9]+"))</f>
        <v/>
      </c>
      <c r="E44" s="7" t="str" cm="1">
        <f t="array" aca="1" ref="E44" ca="1">IFERROR(IF(OR('Raw Data'!E44="",LEN(TRIM('Raw Data'!E44))=0),"",IF(AND(ISNUMBER('Raw Data'!E44), IFERROR('Raw Data'!E44 = ROUND('Raw Data'!E44, 2),FALSE)),"",_xlfn.REGEXEXTRACT(CELL("address",E44), "\$([A-Z]+)\$[0-9]+"))),_xlfn.REGEXEXTRACT(CELL("address",E44), "\$([A-Z]+)\$[0-9]+"))</f>
        <v/>
      </c>
      <c r="F44" s="7" t="str" cm="1">
        <f t="array" aca="1" ref="F44" ca="1">IFERROR(IF(OR('Raw Data'!F44="",LEN(TRIM('Raw Data'!F44))=0),"",IF(AND(ISNUMBER('Raw Data'!F44), IFERROR('Raw Data'!F44 = ROUND('Raw Data'!F44, 2),FALSE)),"",_xlfn.REGEXEXTRACT(CELL("address",F44), "\$([A-Z]+)\$[0-9]+"))),_xlfn.REGEXEXTRACT(CELL("address",F44), "\$([A-Z]+)\$[0-9]+"))</f>
        <v/>
      </c>
      <c r="G44" s="7" t="str" cm="1">
        <f t="array" aca="1" ref="G44" ca="1">IFERROR(IF(OR('Raw Data'!G44="",LEN(TRIM('Raw Data'!G44))=0),"",IF(AND(ISNUMBER('Raw Data'!G44), IFERROR('Raw Data'!G44 = ROUND('Raw Data'!G44, 2),FALSE)),"",_xlfn.REGEXEXTRACT(CELL("address",G44), "\$([A-Z]+)\$[0-9]+"))),_xlfn.REGEXEXTRACT(CELL("address",G44), "\$([A-Z]+)\$[0-9]+"))</f>
        <v/>
      </c>
      <c r="H44" s="7" t="str" cm="1">
        <f t="array" aca="1" ref="H44" ca="1">IFERROR(IF(OR('Raw Data'!H44="",LEN(TRIM('Raw Data'!H44))=0),"",IF(AND(ISNUMBER('Raw Data'!H44), IFERROR('Raw Data'!H44 = ROUND('Raw Data'!H44, 2),FALSE)),"",_xlfn.REGEXEXTRACT(CELL("address",H44), "\$([A-Z]+)\$[0-9]+"))),_xlfn.REGEXEXTRACT(CELL("address",H44), "\$([A-Z]+)\$[0-9]+"))</f>
        <v/>
      </c>
      <c r="I44" s="7" t="str" cm="1">
        <f t="array" aca="1" ref="I44" ca="1">IFERROR(IF(OR('Raw Data'!I44="",LEN(TRIM('Raw Data'!I44))=0),"",IF(AND(ISNUMBER('Raw Data'!I44), IFERROR('Raw Data'!I44 = ROUND('Raw Data'!I44, 2),FALSE)),"",_xlfn.REGEXEXTRACT(CELL("address",I44), "\$([A-Z]+)\$[0-9]+"))),_xlfn.REGEXEXTRACT(CELL("address",I44), "\$([A-Z]+)\$[0-9]+"))</f>
        <v/>
      </c>
      <c r="J44" s="7" t="str" cm="1">
        <f t="array" aca="1" ref="J44" ca="1">IFERROR(IF(OR('Raw Data'!J44="",LEN(TRIM('Raw Data'!J44))=0),"",IF(AND(ISNUMBER('Raw Data'!J44), IFERROR('Raw Data'!J44 = ROUND('Raw Data'!J44, 2),FALSE)),"",_xlfn.REGEXEXTRACT(CELL("address",J44), "\$([A-Z]+)\$[0-9]+"))),_xlfn.REGEXEXTRACT(CELL("address",J44), "\$([A-Z]+)\$[0-9]+"))</f>
        <v/>
      </c>
      <c r="K44" s="7" t="str" cm="1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7" t="str" cm="1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7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7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7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7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 cm="1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7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7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7" t="str" cm="1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7" t="str" cm="1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  <c r="Z44" s="7" t="str" cm="1">
        <f t="array" aca="1" ref="Z44" ca="1">IFERROR(IF(OR('Raw Data'!Z44="",LEN(TRIM('Raw Data'!Z44))=0),"",IF(AND(ISNUMBER('Raw Data'!Z44), IFERROR('Raw Data'!Z44 = ROUND('Raw Data'!Z44, 2),FALSE)),"",_xlfn.REGEXEXTRACT(CELL("address",Z44), "\$([A-Z]+)\$[0-9]+"))),_xlfn.REGEXEXTRACT(CELL("address",Z44), "\$([A-Z]+)\$[0-9]+"))</f>
        <v/>
      </c>
      <c r="AA44" s="7" t="str" cm="1">
        <f t="array" aca="1" ref="AA44" ca="1">IFERROR(IF(OR('Raw Data'!AA44="",LEN(TRIM('Raw Data'!AA44))=0),"",IF(AND(ISNUMBER('Raw Data'!AA44), IFERROR('Raw Data'!AA44 = ROUND('Raw Data'!AA44, 2),FALSE)),"",_xlfn.REGEXEXTRACT(CELL("address",AA44), "\$([A-Z]+)\$[0-9]+"))),_xlfn.REGEXEXTRACT(CELL("address",AA44), "\$([A-Z]+)\$[0-9]+"))</f>
        <v/>
      </c>
      <c r="AB44" s="7" t="str" cm="1">
        <f t="array" aca="1" ref="AB44" ca="1">IFERROR(IF(OR('Raw Data'!AB44="",LEN(TRIM('Raw Data'!AB44))=0),"",IF(AND(ISNUMBER('Raw Data'!AB44), IFERROR('Raw Data'!AB44 = ROUND('Raw Data'!AB44, 2),FALSE)),"",_xlfn.REGEXEXTRACT(CELL("address",AB44), "\$([A-Z]+)\$[0-9]+"))),_xlfn.REGEXEXTRACT(CELL("address",AB44), "\$([A-Z]+)\$[0-9]+"))</f>
        <v/>
      </c>
      <c r="AC44" s="7" t="str" cm="1">
        <f t="array" aca="1" ref="AC44" ca="1">IFERROR(IF(OR('Raw Data'!AC44="",LEN(TRIM('Raw Data'!AC44))=0),"",IF(AND(ISNUMBER('Raw Data'!AC44), IFERROR('Raw Data'!AC44 = ROUND('Raw Data'!AC44, 2),FALSE)),"",_xlfn.REGEXEXTRACT(CELL("address",AC44), "\$([A-Z]+)\$[0-9]+"))),_xlfn.REGEXEXTRACT(CELL("address",AC44), "\$([A-Z]+)\$[0-9]+"))</f>
        <v/>
      </c>
      <c r="AD44" s="7" t="str" cm="1">
        <f t="array" aca="1" ref="AD44" ca="1">IFERROR(IF(OR('Raw Data'!AD44="",LEN(TRIM('Raw Data'!AD44))=0),"",IF(AND(ISNUMBER('Raw Data'!AD44), IFERROR('Raw Data'!AD44 = ROUND('Raw Data'!AD44, 2),FALSE)),"",_xlfn.REGEXEXTRACT(CELL("address",AD44), "\$([A-Z]+)\$[0-9]+"))),_xlfn.REGEXEXTRACT(CELL("address",AD44), "\$([A-Z]+)\$[0-9]+"))</f>
        <v/>
      </c>
      <c r="AE44" s="7" t="str" cm="1">
        <f t="array" aca="1" ref="AE44" ca="1">IFERROR(IF(OR('Raw Data'!AE44="",LEN(TRIM('Raw Data'!AE44))=0),"",IF(AND(ISNUMBER('Raw Data'!AE44), IFERROR('Raw Data'!AE44 = ROUND('Raw Data'!AE44, 2),FALSE)),"",_xlfn.REGEXEXTRACT(CELL("address",AE44), "\$([A-Z]+)\$[0-9]+"))),_xlfn.REGEXEXTRACT(CELL("address",AE44), "\$([A-Z]+)\$[0-9]+"))</f>
        <v/>
      </c>
      <c r="AF44" s="7" t="str" cm="1">
        <f t="array" aca="1" ref="AF44" ca="1">IFERROR(IF(OR('Raw Data'!AF44="",LEN(TRIM('Raw Data'!AF44))=0),"",IF(AND(ISNUMBER('Raw Data'!AF44), IFERROR('Raw Data'!AF44 = ROUND('Raw Data'!AF44, 2),FALSE)),"",_xlfn.REGEXEXTRACT(CELL("address",AF44), "\$([A-Z]+)\$[0-9]+"))),_xlfn.REGEXEXTRACT(CELL("address",AF44), "\$([A-Z]+)\$[0-9]+"))</f>
        <v/>
      </c>
      <c r="AG44" s="7" t="str" cm="1">
        <f t="array" aca="1" ref="AG44" ca="1">IFERROR(IF(OR('Raw Data'!AG44="",LEN(TRIM('Raw Data'!AG44))=0),"",IF(AND(ISNUMBER('Raw Data'!AG44), IFERROR('Raw Data'!AG44 = ROUND('Raw Data'!AG44, 2),FALSE)),"",_xlfn.REGEXEXTRACT(CELL("address",AG44), "\$([A-Z]+)\$[0-9]+"))),_xlfn.REGEXEXTRACT(CELL("address",AG44), "\$([A-Z]+)\$[0-9]+"))</f>
        <v/>
      </c>
      <c r="AH44" s="7" t="str" cm="1">
        <f t="array" aca="1" ref="AH44" ca="1">IFERROR(IF(OR('Raw Data'!AH44="",LEN(TRIM('Raw Data'!AH44))=0),"",IF(AND(ISNUMBER('Raw Data'!AH44), IFERROR('Raw Data'!AH44 = ROUND('Raw Data'!AH44, 2),FALSE)),"",_xlfn.REGEXEXTRACT(CELL("address",AH44), "\$([A-Z]+)\$[0-9]+"))),_xlfn.REGEXEXTRACT(CELL("address",AH44), "\$([A-Z]+)\$[0-9]+"))</f>
        <v/>
      </c>
      <c r="AI44" s="7" t="str" cm="1">
        <f t="array" aca="1" ref="AI44" ca="1">IFERROR(IF(OR('Raw Data'!AI44="",LEN(TRIM('Raw Data'!AI44))=0),"",IF(AND(ISNUMBER('Raw Data'!AI44), IFERROR('Raw Data'!AI44 = ROUND('Raw Data'!AI44, 2),FALSE)),"",_xlfn.REGEXEXTRACT(CELL("address",AI44), "\$([A-Z]+)\$[0-9]+"))),_xlfn.REGEXEXTRACT(CELL("address",AI44), "\$([A-Z]+)\$[0-9]+"))</f>
        <v/>
      </c>
      <c r="AJ44" s="7" t="str" cm="1">
        <f t="array" aca="1" ref="AJ44" ca="1">IFERROR(IF(OR('Raw Data'!AJ44="",LEN(TRIM('Raw Data'!AJ44))=0),"",IF(AND(ISNUMBER('Raw Data'!AJ44), IFERROR('Raw Data'!AJ44 = ROUND('Raw Data'!AJ44, 2),FALSE)),"",_xlfn.REGEXEXTRACT(CELL("address",AJ44), "\$([A-Z]+)\$[0-9]+"))),_xlfn.REGEXEXTRACT(CELL("address",AJ44), "\$([A-Z]+)\$[0-9]+"))</f>
        <v/>
      </c>
    </row>
    <row r="45" spans="2:36" x14ac:dyDescent="0.25">
      <c r="B45" s="7" t="str" cm="1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20,LEN('Raw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Data'!D45))=0),"",IF(AND(ISNUMBER('Raw Data'!D45),'Raw Data'!D45&gt;=Configuration!$D$2),"",_xlfn.REGEXEXTRACT(CELL("address",'Raw Data'!D45),"\$([A-Z]+)\$[0-9]+"))),_xlfn.REGEXEXTRACT(CELL("address",D45), "\$([A-Z]+)\$[0-9]+"))</f>
        <v/>
      </c>
      <c r="E45" s="7" t="str" cm="1">
        <f t="array" aca="1" ref="E45" ca="1">IFERROR(IF(OR('Raw Data'!E45="",LEN(TRIM('Raw Data'!E45))=0),"",IF(AND(ISNUMBER('Raw Data'!E45), IFERROR('Raw Data'!E45 = ROUND('Raw Data'!E45, 2),FALSE)),"",_xlfn.REGEXEXTRACT(CELL("address",E45), "\$([A-Z]+)\$[0-9]+"))),_xlfn.REGEXEXTRACT(CELL("address",E45), "\$([A-Z]+)\$[0-9]+"))</f>
        <v/>
      </c>
      <c r="F45" s="7" t="str" cm="1">
        <f t="array" aca="1" ref="F45" ca="1">IFERROR(IF(OR('Raw Data'!F45="",LEN(TRIM('Raw Data'!F45))=0),"",IF(AND(ISNUMBER('Raw Data'!F45), IFERROR('Raw Data'!F45 = ROUND('Raw Data'!F45, 2),FALSE)),"",_xlfn.REGEXEXTRACT(CELL("address",F45), "\$([A-Z]+)\$[0-9]+"))),_xlfn.REGEXEXTRACT(CELL("address",F45), "\$([A-Z]+)\$[0-9]+"))</f>
        <v/>
      </c>
      <c r="G45" s="7" t="str" cm="1">
        <f t="array" aca="1" ref="G45" ca="1">IFERROR(IF(OR('Raw Data'!G45="",LEN(TRIM('Raw Data'!G45))=0),"",IF(AND(ISNUMBER('Raw Data'!G45), IFERROR('Raw Data'!G45 = ROUND('Raw Data'!G45, 2),FALSE)),"",_xlfn.REGEXEXTRACT(CELL("address",G45), "\$([A-Z]+)\$[0-9]+"))),_xlfn.REGEXEXTRACT(CELL("address",G45), "\$([A-Z]+)\$[0-9]+"))</f>
        <v/>
      </c>
      <c r="H45" s="7" t="str" cm="1">
        <f t="array" aca="1" ref="H45" ca="1">IFERROR(IF(OR('Raw Data'!H45="",LEN(TRIM('Raw Data'!H45))=0),"",IF(AND(ISNUMBER('Raw Data'!H45), IFERROR('Raw Data'!H45 = ROUND('Raw Data'!H45, 2),FALSE)),"",_xlfn.REGEXEXTRACT(CELL("address",H45), "\$([A-Z]+)\$[0-9]+"))),_xlfn.REGEXEXTRACT(CELL("address",H45), "\$([A-Z]+)\$[0-9]+"))</f>
        <v/>
      </c>
      <c r="I45" s="7" t="str" cm="1">
        <f t="array" aca="1" ref="I45" ca="1">IFERROR(IF(OR('Raw Data'!I45="",LEN(TRIM('Raw Data'!I45))=0),"",IF(AND(ISNUMBER('Raw Data'!I45), IFERROR('Raw Data'!I45 = ROUND('Raw Data'!I45, 2),FALSE)),"",_xlfn.REGEXEXTRACT(CELL("address",I45), "\$([A-Z]+)\$[0-9]+"))),_xlfn.REGEXEXTRACT(CELL("address",I45), "\$([A-Z]+)\$[0-9]+"))</f>
        <v/>
      </c>
      <c r="J45" s="7" t="str" cm="1">
        <f t="array" aca="1" ref="J45" ca="1">IFERROR(IF(OR('Raw Data'!J45="",LEN(TRIM('Raw Data'!J45))=0),"",IF(AND(ISNUMBER('Raw Data'!J45), IFERROR('Raw Data'!J45 = ROUND('Raw Data'!J45, 2),FALSE)),"",_xlfn.REGEXEXTRACT(CELL("address",J45), "\$([A-Z]+)\$[0-9]+"))),_xlfn.REGEXEXTRACT(CELL("address",J45), "\$([A-Z]+)\$[0-9]+"))</f>
        <v/>
      </c>
      <c r="K45" s="7" t="str" cm="1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7" t="str" cm="1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7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7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7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7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 cm="1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7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7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7" t="str" cm="1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7" t="str" cm="1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  <c r="Z45" s="7" t="str" cm="1">
        <f t="array" aca="1" ref="Z45" ca="1">IFERROR(IF(OR('Raw Data'!Z45="",LEN(TRIM('Raw Data'!Z45))=0),"",IF(AND(ISNUMBER('Raw Data'!Z45), IFERROR('Raw Data'!Z45 = ROUND('Raw Data'!Z45, 2),FALSE)),"",_xlfn.REGEXEXTRACT(CELL("address",Z45), "\$([A-Z]+)\$[0-9]+"))),_xlfn.REGEXEXTRACT(CELL("address",Z45), "\$([A-Z]+)\$[0-9]+"))</f>
        <v/>
      </c>
      <c r="AA45" s="7" t="str" cm="1">
        <f t="array" aca="1" ref="AA45" ca="1">IFERROR(IF(OR('Raw Data'!AA45="",LEN(TRIM('Raw Data'!AA45))=0),"",IF(AND(ISNUMBER('Raw Data'!AA45), IFERROR('Raw Data'!AA45 = ROUND('Raw Data'!AA45, 2),FALSE)),"",_xlfn.REGEXEXTRACT(CELL("address",AA45), "\$([A-Z]+)\$[0-9]+"))),_xlfn.REGEXEXTRACT(CELL("address",AA45), "\$([A-Z]+)\$[0-9]+"))</f>
        <v/>
      </c>
      <c r="AB45" s="7" t="str" cm="1">
        <f t="array" aca="1" ref="AB45" ca="1">IFERROR(IF(OR('Raw Data'!AB45="",LEN(TRIM('Raw Data'!AB45))=0),"",IF(AND(ISNUMBER('Raw Data'!AB45), IFERROR('Raw Data'!AB45 = ROUND('Raw Data'!AB45, 2),FALSE)),"",_xlfn.REGEXEXTRACT(CELL("address",AB45), "\$([A-Z]+)\$[0-9]+"))),_xlfn.REGEXEXTRACT(CELL("address",AB45), "\$([A-Z]+)\$[0-9]+"))</f>
        <v/>
      </c>
      <c r="AC45" s="7" t="str" cm="1">
        <f t="array" aca="1" ref="AC45" ca="1">IFERROR(IF(OR('Raw Data'!AC45="",LEN(TRIM('Raw Data'!AC45))=0),"",IF(AND(ISNUMBER('Raw Data'!AC45), IFERROR('Raw Data'!AC45 = ROUND('Raw Data'!AC45, 2),FALSE)),"",_xlfn.REGEXEXTRACT(CELL("address",AC45), "\$([A-Z]+)\$[0-9]+"))),_xlfn.REGEXEXTRACT(CELL("address",AC45), "\$([A-Z]+)\$[0-9]+"))</f>
        <v/>
      </c>
      <c r="AD45" s="7" t="str" cm="1">
        <f t="array" aca="1" ref="AD45" ca="1">IFERROR(IF(OR('Raw Data'!AD45="",LEN(TRIM('Raw Data'!AD45))=0),"",IF(AND(ISNUMBER('Raw Data'!AD45), IFERROR('Raw Data'!AD45 = ROUND('Raw Data'!AD45, 2),FALSE)),"",_xlfn.REGEXEXTRACT(CELL("address",AD45), "\$([A-Z]+)\$[0-9]+"))),_xlfn.REGEXEXTRACT(CELL("address",AD45), "\$([A-Z]+)\$[0-9]+"))</f>
        <v/>
      </c>
      <c r="AE45" s="7" t="str" cm="1">
        <f t="array" aca="1" ref="AE45" ca="1">IFERROR(IF(OR('Raw Data'!AE45="",LEN(TRIM('Raw Data'!AE45))=0),"",IF(AND(ISNUMBER('Raw Data'!AE45), IFERROR('Raw Data'!AE45 = ROUND('Raw Data'!AE45, 2),FALSE)),"",_xlfn.REGEXEXTRACT(CELL("address",AE45), "\$([A-Z]+)\$[0-9]+"))),_xlfn.REGEXEXTRACT(CELL("address",AE45), "\$([A-Z]+)\$[0-9]+"))</f>
        <v/>
      </c>
      <c r="AF45" s="7" t="str" cm="1">
        <f t="array" aca="1" ref="AF45" ca="1">IFERROR(IF(OR('Raw Data'!AF45="",LEN(TRIM('Raw Data'!AF45))=0),"",IF(AND(ISNUMBER('Raw Data'!AF45), IFERROR('Raw Data'!AF45 = ROUND('Raw Data'!AF45, 2),FALSE)),"",_xlfn.REGEXEXTRACT(CELL("address",AF45), "\$([A-Z]+)\$[0-9]+"))),_xlfn.REGEXEXTRACT(CELL("address",AF45), "\$([A-Z]+)\$[0-9]+"))</f>
        <v/>
      </c>
      <c r="AG45" s="7" t="str" cm="1">
        <f t="array" aca="1" ref="AG45" ca="1">IFERROR(IF(OR('Raw Data'!AG45="",LEN(TRIM('Raw Data'!AG45))=0),"",IF(AND(ISNUMBER('Raw Data'!AG45), IFERROR('Raw Data'!AG45 = ROUND('Raw Data'!AG45, 2),FALSE)),"",_xlfn.REGEXEXTRACT(CELL("address",AG45), "\$([A-Z]+)\$[0-9]+"))),_xlfn.REGEXEXTRACT(CELL("address",AG45), "\$([A-Z]+)\$[0-9]+"))</f>
        <v/>
      </c>
      <c r="AH45" s="7" t="str" cm="1">
        <f t="array" aca="1" ref="AH45" ca="1">IFERROR(IF(OR('Raw Data'!AH45="",LEN(TRIM('Raw Data'!AH45))=0),"",IF(AND(ISNUMBER('Raw Data'!AH45), IFERROR('Raw Data'!AH45 = ROUND('Raw Data'!AH45, 2),FALSE)),"",_xlfn.REGEXEXTRACT(CELL("address",AH45), "\$([A-Z]+)\$[0-9]+"))),_xlfn.REGEXEXTRACT(CELL("address",AH45), "\$([A-Z]+)\$[0-9]+"))</f>
        <v/>
      </c>
      <c r="AI45" s="7" t="str" cm="1">
        <f t="array" aca="1" ref="AI45" ca="1">IFERROR(IF(OR('Raw Data'!AI45="",LEN(TRIM('Raw Data'!AI45))=0),"",IF(AND(ISNUMBER('Raw Data'!AI45), IFERROR('Raw Data'!AI45 = ROUND('Raw Data'!AI45, 2),FALSE)),"",_xlfn.REGEXEXTRACT(CELL("address",AI45), "\$([A-Z]+)\$[0-9]+"))),_xlfn.REGEXEXTRACT(CELL("address",AI45), "\$([A-Z]+)\$[0-9]+"))</f>
        <v/>
      </c>
      <c r="AJ45" s="7" t="str" cm="1">
        <f t="array" aca="1" ref="AJ45" ca="1">IFERROR(IF(OR('Raw Data'!AJ45="",LEN(TRIM('Raw Data'!AJ45))=0),"",IF(AND(ISNUMBER('Raw Data'!AJ45), IFERROR('Raw Data'!AJ45 = ROUND('Raw Data'!AJ45, 2),FALSE)),"",_xlfn.REGEXEXTRACT(CELL("address",AJ45), "\$([A-Z]+)\$[0-9]+"))),_xlfn.REGEXEXTRACT(CELL("address",AJ45), "\$([A-Z]+)\$[0-9]+"))</f>
        <v/>
      </c>
    </row>
    <row r="46" spans="2:36" x14ac:dyDescent="0.25">
      <c r="B46" s="7" t="str" cm="1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20,LEN('Raw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Data'!D46))=0),"",IF(AND(ISNUMBER('Raw Data'!D46),'Raw Data'!D46&gt;=Configuration!$D$2),"",_xlfn.REGEXEXTRACT(CELL("address",'Raw Data'!D46),"\$([A-Z]+)\$[0-9]+"))),_xlfn.REGEXEXTRACT(CELL("address",D46), "\$([A-Z]+)\$[0-9]+"))</f>
        <v/>
      </c>
      <c r="E46" s="7" t="str" cm="1">
        <f t="array" aca="1" ref="E46" ca="1">IFERROR(IF(OR('Raw Data'!E46="",LEN(TRIM('Raw Data'!E46))=0),"",IF(AND(ISNUMBER('Raw Data'!E46), IFERROR('Raw Data'!E46 = ROUND('Raw Data'!E46, 2),FALSE)),"",_xlfn.REGEXEXTRACT(CELL("address",E46), "\$([A-Z]+)\$[0-9]+"))),_xlfn.REGEXEXTRACT(CELL("address",E46), "\$([A-Z]+)\$[0-9]+"))</f>
        <v/>
      </c>
      <c r="F46" s="7" t="str" cm="1">
        <f t="array" aca="1" ref="F46" ca="1">IFERROR(IF(OR('Raw Data'!F46="",LEN(TRIM('Raw Data'!F46))=0),"",IF(AND(ISNUMBER('Raw Data'!F46), IFERROR('Raw Data'!F46 = ROUND('Raw Data'!F46, 2),FALSE)),"",_xlfn.REGEXEXTRACT(CELL("address",F46), "\$([A-Z]+)\$[0-9]+"))),_xlfn.REGEXEXTRACT(CELL("address",F46), "\$([A-Z]+)\$[0-9]+"))</f>
        <v/>
      </c>
      <c r="G46" s="7" t="str" cm="1">
        <f t="array" aca="1" ref="G46" ca="1">IFERROR(IF(OR('Raw Data'!G46="",LEN(TRIM('Raw Data'!G46))=0),"",IF(AND(ISNUMBER('Raw Data'!G46), IFERROR('Raw Data'!G46 = ROUND('Raw Data'!G46, 2),FALSE)),"",_xlfn.REGEXEXTRACT(CELL("address",G46), "\$([A-Z]+)\$[0-9]+"))),_xlfn.REGEXEXTRACT(CELL("address",G46), "\$([A-Z]+)\$[0-9]+"))</f>
        <v/>
      </c>
      <c r="H46" s="7" t="str" cm="1">
        <f t="array" aca="1" ref="H46" ca="1">IFERROR(IF(OR('Raw Data'!H46="",LEN(TRIM('Raw Data'!H46))=0),"",IF(AND(ISNUMBER('Raw Data'!H46), IFERROR('Raw Data'!H46 = ROUND('Raw Data'!H46, 2),FALSE)),"",_xlfn.REGEXEXTRACT(CELL("address",H46), "\$([A-Z]+)\$[0-9]+"))),_xlfn.REGEXEXTRACT(CELL("address",H46), "\$([A-Z]+)\$[0-9]+"))</f>
        <v/>
      </c>
      <c r="I46" s="7" t="str" cm="1">
        <f t="array" aca="1" ref="I46" ca="1">IFERROR(IF(OR('Raw Data'!I46="",LEN(TRIM('Raw Data'!I46))=0),"",IF(AND(ISNUMBER('Raw Data'!I46), IFERROR('Raw Data'!I46 = ROUND('Raw Data'!I46, 2),FALSE)),"",_xlfn.REGEXEXTRACT(CELL("address",I46), "\$([A-Z]+)\$[0-9]+"))),_xlfn.REGEXEXTRACT(CELL("address",I46), "\$([A-Z]+)\$[0-9]+"))</f>
        <v/>
      </c>
      <c r="J46" s="7" t="str" cm="1">
        <f t="array" aca="1" ref="J46" ca="1">IFERROR(IF(OR('Raw Data'!J46="",LEN(TRIM('Raw Data'!J46))=0),"",IF(AND(ISNUMBER('Raw Data'!J46), IFERROR('Raw Data'!J46 = ROUND('Raw Data'!J46, 2),FALSE)),"",_xlfn.REGEXEXTRACT(CELL("address",J46), "\$([A-Z]+)\$[0-9]+"))),_xlfn.REGEXEXTRACT(CELL("address",J46), "\$([A-Z]+)\$[0-9]+"))</f>
        <v/>
      </c>
      <c r="K46" s="7" t="str" cm="1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7" t="str" cm="1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7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7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7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7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 cm="1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7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7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7" t="str" cm="1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7" t="str" cm="1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  <c r="Z46" s="7" t="str" cm="1">
        <f t="array" aca="1" ref="Z46" ca="1">IFERROR(IF(OR('Raw Data'!Z46="",LEN(TRIM('Raw Data'!Z46))=0),"",IF(AND(ISNUMBER('Raw Data'!Z46), IFERROR('Raw Data'!Z46 = ROUND('Raw Data'!Z46, 2),FALSE)),"",_xlfn.REGEXEXTRACT(CELL("address",Z46), "\$([A-Z]+)\$[0-9]+"))),_xlfn.REGEXEXTRACT(CELL("address",Z46), "\$([A-Z]+)\$[0-9]+"))</f>
        <v/>
      </c>
      <c r="AA46" s="7" t="str" cm="1">
        <f t="array" aca="1" ref="AA46" ca="1">IFERROR(IF(OR('Raw Data'!AA46="",LEN(TRIM('Raw Data'!AA46))=0),"",IF(AND(ISNUMBER('Raw Data'!AA46), IFERROR('Raw Data'!AA46 = ROUND('Raw Data'!AA46, 2),FALSE)),"",_xlfn.REGEXEXTRACT(CELL("address",AA46), "\$([A-Z]+)\$[0-9]+"))),_xlfn.REGEXEXTRACT(CELL("address",AA46), "\$([A-Z]+)\$[0-9]+"))</f>
        <v/>
      </c>
      <c r="AB46" s="7" t="str" cm="1">
        <f t="array" aca="1" ref="AB46" ca="1">IFERROR(IF(OR('Raw Data'!AB46="",LEN(TRIM('Raw Data'!AB46))=0),"",IF(AND(ISNUMBER('Raw Data'!AB46), IFERROR('Raw Data'!AB46 = ROUND('Raw Data'!AB46, 2),FALSE)),"",_xlfn.REGEXEXTRACT(CELL("address",AB46), "\$([A-Z]+)\$[0-9]+"))),_xlfn.REGEXEXTRACT(CELL("address",AB46), "\$([A-Z]+)\$[0-9]+"))</f>
        <v/>
      </c>
      <c r="AC46" s="7" t="str" cm="1">
        <f t="array" aca="1" ref="AC46" ca="1">IFERROR(IF(OR('Raw Data'!AC46="",LEN(TRIM('Raw Data'!AC46))=0),"",IF(AND(ISNUMBER('Raw Data'!AC46), IFERROR('Raw Data'!AC46 = ROUND('Raw Data'!AC46, 2),FALSE)),"",_xlfn.REGEXEXTRACT(CELL("address",AC46), "\$([A-Z]+)\$[0-9]+"))),_xlfn.REGEXEXTRACT(CELL("address",AC46), "\$([A-Z]+)\$[0-9]+"))</f>
        <v/>
      </c>
      <c r="AD46" s="7" t="str" cm="1">
        <f t="array" aca="1" ref="AD46" ca="1">IFERROR(IF(OR('Raw Data'!AD46="",LEN(TRIM('Raw Data'!AD46))=0),"",IF(AND(ISNUMBER('Raw Data'!AD46), IFERROR('Raw Data'!AD46 = ROUND('Raw Data'!AD46, 2),FALSE)),"",_xlfn.REGEXEXTRACT(CELL("address",AD46), "\$([A-Z]+)\$[0-9]+"))),_xlfn.REGEXEXTRACT(CELL("address",AD46), "\$([A-Z]+)\$[0-9]+"))</f>
        <v/>
      </c>
      <c r="AE46" s="7" t="str" cm="1">
        <f t="array" aca="1" ref="AE46" ca="1">IFERROR(IF(OR('Raw Data'!AE46="",LEN(TRIM('Raw Data'!AE46))=0),"",IF(AND(ISNUMBER('Raw Data'!AE46), IFERROR('Raw Data'!AE46 = ROUND('Raw Data'!AE46, 2),FALSE)),"",_xlfn.REGEXEXTRACT(CELL("address",AE46), "\$([A-Z]+)\$[0-9]+"))),_xlfn.REGEXEXTRACT(CELL("address",AE46), "\$([A-Z]+)\$[0-9]+"))</f>
        <v/>
      </c>
      <c r="AF46" s="7" t="str" cm="1">
        <f t="array" aca="1" ref="AF46" ca="1">IFERROR(IF(OR('Raw Data'!AF46="",LEN(TRIM('Raw Data'!AF46))=0),"",IF(AND(ISNUMBER('Raw Data'!AF46), IFERROR('Raw Data'!AF46 = ROUND('Raw Data'!AF46, 2),FALSE)),"",_xlfn.REGEXEXTRACT(CELL("address",AF46), "\$([A-Z]+)\$[0-9]+"))),_xlfn.REGEXEXTRACT(CELL("address",AF46), "\$([A-Z]+)\$[0-9]+"))</f>
        <v/>
      </c>
      <c r="AG46" s="7" t="str" cm="1">
        <f t="array" aca="1" ref="AG46" ca="1">IFERROR(IF(OR('Raw Data'!AG46="",LEN(TRIM('Raw Data'!AG46))=0),"",IF(AND(ISNUMBER('Raw Data'!AG46), IFERROR('Raw Data'!AG46 = ROUND('Raw Data'!AG46, 2),FALSE)),"",_xlfn.REGEXEXTRACT(CELL("address",AG46), "\$([A-Z]+)\$[0-9]+"))),_xlfn.REGEXEXTRACT(CELL("address",AG46), "\$([A-Z]+)\$[0-9]+"))</f>
        <v/>
      </c>
      <c r="AH46" s="7" t="str" cm="1">
        <f t="array" aca="1" ref="AH46" ca="1">IFERROR(IF(OR('Raw Data'!AH46="",LEN(TRIM('Raw Data'!AH46))=0),"",IF(AND(ISNUMBER('Raw Data'!AH46), IFERROR('Raw Data'!AH46 = ROUND('Raw Data'!AH46, 2),FALSE)),"",_xlfn.REGEXEXTRACT(CELL("address",AH46), "\$([A-Z]+)\$[0-9]+"))),_xlfn.REGEXEXTRACT(CELL("address",AH46), "\$([A-Z]+)\$[0-9]+"))</f>
        <v/>
      </c>
      <c r="AI46" s="7" t="str" cm="1">
        <f t="array" aca="1" ref="AI46" ca="1">IFERROR(IF(OR('Raw Data'!AI46="",LEN(TRIM('Raw Data'!AI46))=0),"",IF(AND(ISNUMBER('Raw Data'!AI46), IFERROR('Raw Data'!AI46 = ROUND('Raw Data'!AI46, 2),FALSE)),"",_xlfn.REGEXEXTRACT(CELL("address",AI46), "\$([A-Z]+)\$[0-9]+"))),_xlfn.REGEXEXTRACT(CELL("address",AI46), "\$([A-Z]+)\$[0-9]+"))</f>
        <v/>
      </c>
      <c r="AJ46" s="7" t="str" cm="1">
        <f t="array" aca="1" ref="AJ46" ca="1">IFERROR(IF(OR('Raw Data'!AJ46="",LEN(TRIM('Raw Data'!AJ46))=0),"",IF(AND(ISNUMBER('Raw Data'!AJ46), IFERROR('Raw Data'!AJ46 = ROUND('Raw Data'!AJ46, 2),FALSE)),"",_xlfn.REGEXEXTRACT(CELL("address",AJ46), "\$([A-Z]+)\$[0-9]+"))),_xlfn.REGEXEXTRACT(CELL("address",AJ46), "\$([A-Z]+)\$[0-9]+"))</f>
        <v/>
      </c>
    </row>
    <row r="47" spans="2:36" x14ac:dyDescent="0.25">
      <c r="B47" s="7" t="str" cm="1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20,LEN('Raw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Data'!D47))=0),"",IF(AND(ISNUMBER('Raw Data'!D47),'Raw Data'!D47&gt;=Configuration!$D$2),"",_xlfn.REGEXEXTRACT(CELL("address",'Raw Data'!D47),"\$([A-Z]+)\$[0-9]+"))),_xlfn.REGEXEXTRACT(CELL("address",D47), "\$([A-Z]+)\$[0-9]+"))</f>
        <v/>
      </c>
      <c r="E47" s="7" t="str" cm="1">
        <f t="array" aca="1" ref="E47" ca="1">IFERROR(IF(OR('Raw Data'!E47="",LEN(TRIM('Raw Data'!E47))=0),"",IF(AND(ISNUMBER('Raw Data'!E47), IFERROR('Raw Data'!E47 = ROUND('Raw Data'!E47, 2),FALSE)),"",_xlfn.REGEXEXTRACT(CELL("address",E47), "\$([A-Z]+)\$[0-9]+"))),_xlfn.REGEXEXTRACT(CELL("address",E47), "\$([A-Z]+)\$[0-9]+"))</f>
        <v/>
      </c>
      <c r="F47" s="7" t="str" cm="1">
        <f t="array" aca="1" ref="F47" ca="1">IFERROR(IF(OR('Raw Data'!F47="",LEN(TRIM('Raw Data'!F47))=0),"",IF(AND(ISNUMBER('Raw Data'!F47), IFERROR('Raw Data'!F47 = ROUND('Raw Data'!F47, 2),FALSE)),"",_xlfn.REGEXEXTRACT(CELL("address",F47), "\$([A-Z]+)\$[0-9]+"))),_xlfn.REGEXEXTRACT(CELL("address",F47), "\$([A-Z]+)\$[0-9]+"))</f>
        <v/>
      </c>
      <c r="G47" s="7" t="str" cm="1">
        <f t="array" aca="1" ref="G47" ca="1">IFERROR(IF(OR('Raw Data'!G47="",LEN(TRIM('Raw Data'!G47))=0),"",IF(AND(ISNUMBER('Raw Data'!G47), IFERROR('Raw Data'!G47 = ROUND('Raw Data'!G47, 2),FALSE)),"",_xlfn.REGEXEXTRACT(CELL("address",G47), "\$([A-Z]+)\$[0-9]+"))),_xlfn.REGEXEXTRACT(CELL("address",G47), "\$([A-Z]+)\$[0-9]+"))</f>
        <v/>
      </c>
      <c r="H47" s="7" t="str" cm="1">
        <f t="array" aca="1" ref="H47" ca="1">IFERROR(IF(OR('Raw Data'!H47="",LEN(TRIM('Raw Data'!H47))=0),"",IF(AND(ISNUMBER('Raw Data'!H47), IFERROR('Raw Data'!H47 = ROUND('Raw Data'!H47, 2),FALSE)),"",_xlfn.REGEXEXTRACT(CELL("address",H47), "\$([A-Z]+)\$[0-9]+"))),_xlfn.REGEXEXTRACT(CELL("address",H47), "\$([A-Z]+)\$[0-9]+"))</f>
        <v/>
      </c>
      <c r="I47" s="7" t="str" cm="1">
        <f t="array" aca="1" ref="I47" ca="1">IFERROR(IF(OR('Raw Data'!I47="",LEN(TRIM('Raw Data'!I47))=0),"",IF(AND(ISNUMBER('Raw Data'!I47), IFERROR('Raw Data'!I47 = ROUND('Raw Data'!I47, 2),FALSE)),"",_xlfn.REGEXEXTRACT(CELL("address",I47), "\$([A-Z]+)\$[0-9]+"))),_xlfn.REGEXEXTRACT(CELL("address",I47), "\$([A-Z]+)\$[0-9]+"))</f>
        <v/>
      </c>
      <c r="J47" s="7" t="str" cm="1">
        <f t="array" aca="1" ref="J47" ca="1">IFERROR(IF(OR('Raw Data'!J47="",LEN(TRIM('Raw Data'!J47))=0),"",IF(AND(ISNUMBER('Raw Data'!J47), IFERROR('Raw Data'!J47 = ROUND('Raw Data'!J47, 2),FALSE)),"",_xlfn.REGEXEXTRACT(CELL("address",J47), "\$([A-Z]+)\$[0-9]+"))),_xlfn.REGEXEXTRACT(CELL("address",J47), "\$([A-Z]+)\$[0-9]+"))</f>
        <v/>
      </c>
      <c r="K47" s="7" t="str" cm="1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7" t="str" cm="1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7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7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7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7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 cm="1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7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7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7" t="str" cm="1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7" t="str" cm="1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  <c r="Z47" s="7" t="str" cm="1">
        <f t="array" aca="1" ref="Z47" ca="1">IFERROR(IF(OR('Raw Data'!Z47="",LEN(TRIM('Raw Data'!Z47))=0),"",IF(AND(ISNUMBER('Raw Data'!Z47), IFERROR('Raw Data'!Z47 = ROUND('Raw Data'!Z47, 2),FALSE)),"",_xlfn.REGEXEXTRACT(CELL("address",Z47), "\$([A-Z]+)\$[0-9]+"))),_xlfn.REGEXEXTRACT(CELL("address",Z47), "\$([A-Z]+)\$[0-9]+"))</f>
        <v/>
      </c>
      <c r="AA47" s="7" t="str" cm="1">
        <f t="array" aca="1" ref="AA47" ca="1">IFERROR(IF(OR('Raw Data'!AA47="",LEN(TRIM('Raw Data'!AA47))=0),"",IF(AND(ISNUMBER('Raw Data'!AA47), IFERROR('Raw Data'!AA47 = ROUND('Raw Data'!AA47, 2),FALSE)),"",_xlfn.REGEXEXTRACT(CELL("address",AA47), "\$([A-Z]+)\$[0-9]+"))),_xlfn.REGEXEXTRACT(CELL("address",AA47), "\$([A-Z]+)\$[0-9]+"))</f>
        <v/>
      </c>
      <c r="AB47" s="7" t="str" cm="1">
        <f t="array" aca="1" ref="AB47" ca="1">IFERROR(IF(OR('Raw Data'!AB47="",LEN(TRIM('Raw Data'!AB47))=0),"",IF(AND(ISNUMBER('Raw Data'!AB47), IFERROR('Raw Data'!AB47 = ROUND('Raw Data'!AB47, 2),FALSE)),"",_xlfn.REGEXEXTRACT(CELL("address",AB47), "\$([A-Z]+)\$[0-9]+"))),_xlfn.REGEXEXTRACT(CELL("address",AB47), "\$([A-Z]+)\$[0-9]+"))</f>
        <v/>
      </c>
      <c r="AC47" s="7" t="str" cm="1">
        <f t="array" aca="1" ref="AC47" ca="1">IFERROR(IF(OR('Raw Data'!AC47="",LEN(TRIM('Raw Data'!AC47))=0),"",IF(AND(ISNUMBER('Raw Data'!AC47), IFERROR('Raw Data'!AC47 = ROUND('Raw Data'!AC47, 2),FALSE)),"",_xlfn.REGEXEXTRACT(CELL("address",AC47), "\$([A-Z]+)\$[0-9]+"))),_xlfn.REGEXEXTRACT(CELL("address",AC47), "\$([A-Z]+)\$[0-9]+"))</f>
        <v/>
      </c>
      <c r="AD47" s="7" t="str" cm="1">
        <f t="array" aca="1" ref="AD47" ca="1">IFERROR(IF(OR('Raw Data'!AD47="",LEN(TRIM('Raw Data'!AD47))=0),"",IF(AND(ISNUMBER('Raw Data'!AD47), IFERROR('Raw Data'!AD47 = ROUND('Raw Data'!AD47, 2),FALSE)),"",_xlfn.REGEXEXTRACT(CELL("address",AD47), "\$([A-Z]+)\$[0-9]+"))),_xlfn.REGEXEXTRACT(CELL("address",AD47), "\$([A-Z]+)\$[0-9]+"))</f>
        <v/>
      </c>
      <c r="AE47" s="7" t="str" cm="1">
        <f t="array" aca="1" ref="AE47" ca="1">IFERROR(IF(OR('Raw Data'!AE47="",LEN(TRIM('Raw Data'!AE47))=0),"",IF(AND(ISNUMBER('Raw Data'!AE47), IFERROR('Raw Data'!AE47 = ROUND('Raw Data'!AE47, 2),FALSE)),"",_xlfn.REGEXEXTRACT(CELL("address",AE47), "\$([A-Z]+)\$[0-9]+"))),_xlfn.REGEXEXTRACT(CELL("address",AE47), "\$([A-Z]+)\$[0-9]+"))</f>
        <v/>
      </c>
      <c r="AF47" s="7" t="str" cm="1">
        <f t="array" aca="1" ref="AF47" ca="1">IFERROR(IF(OR('Raw Data'!AF47="",LEN(TRIM('Raw Data'!AF47))=0),"",IF(AND(ISNUMBER('Raw Data'!AF47), IFERROR('Raw Data'!AF47 = ROUND('Raw Data'!AF47, 2),FALSE)),"",_xlfn.REGEXEXTRACT(CELL("address",AF47), "\$([A-Z]+)\$[0-9]+"))),_xlfn.REGEXEXTRACT(CELL("address",AF47), "\$([A-Z]+)\$[0-9]+"))</f>
        <v/>
      </c>
      <c r="AG47" s="7" t="str" cm="1">
        <f t="array" aca="1" ref="AG47" ca="1">IFERROR(IF(OR('Raw Data'!AG47="",LEN(TRIM('Raw Data'!AG47))=0),"",IF(AND(ISNUMBER('Raw Data'!AG47), IFERROR('Raw Data'!AG47 = ROUND('Raw Data'!AG47, 2),FALSE)),"",_xlfn.REGEXEXTRACT(CELL("address",AG47), "\$([A-Z]+)\$[0-9]+"))),_xlfn.REGEXEXTRACT(CELL("address",AG47), "\$([A-Z]+)\$[0-9]+"))</f>
        <v/>
      </c>
      <c r="AH47" s="7" t="str" cm="1">
        <f t="array" aca="1" ref="AH47" ca="1">IFERROR(IF(OR('Raw Data'!AH47="",LEN(TRIM('Raw Data'!AH47))=0),"",IF(AND(ISNUMBER('Raw Data'!AH47), IFERROR('Raw Data'!AH47 = ROUND('Raw Data'!AH47, 2),FALSE)),"",_xlfn.REGEXEXTRACT(CELL("address",AH47), "\$([A-Z]+)\$[0-9]+"))),_xlfn.REGEXEXTRACT(CELL("address",AH47), "\$([A-Z]+)\$[0-9]+"))</f>
        <v/>
      </c>
      <c r="AI47" s="7" t="str" cm="1">
        <f t="array" aca="1" ref="AI47" ca="1">IFERROR(IF(OR('Raw Data'!AI47="",LEN(TRIM('Raw Data'!AI47))=0),"",IF(AND(ISNUMBER('Raw Data'!AI47), IFERROR('Raw Data'!AI47 = ROUND('Raw Data'!AI47, 2),FALSE)),"",_xlfn.REGEXEXTRACT(CELL("address",AI47), "\$([A-Z]+)\$[0-9]+"))),_xlfn.REGEXEXTRACT(CELL("address",AI47), "\$([A-Z]+)\$[0-9]+"))</f>
        <v/>
      </c>
      <c r="AJ47" s="7" t="str" cm="1">
        <f t="array" aca="1" ref="AJ47" ca="1">IFERROR(IF(OR('Raw Data'!AJ47="",LEN(TRIM('Raw Data'!AJ47))=0),"",IF(AND(ISNUMBER('Raw Data'!AJ47), IFERROR('Raw Data'!AJ47 = ROUND('Raw Data'!AJ47, 2),FALSE)),"",_xlfn.REGEXEXTRACT(CELL("address",AJ47), "\$([A-Z]+)\$[0-9]+"))),_xlfn.REGEXEXTRACT(CELL("address",AJ47), "\$([A-Z]+)\$[0-9]+"))</f>
        <v/>
      </c>
    </row>
    <row r="48" spans="2:36" x14ac:dyDescent="0.25">
      <c r="B48" s="7" t="str" cm="1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20,LEN('Raw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Data'!D48))=0),"",IF(AND(ISNUMBER('Raw Data'!D48),'Raw Data'!D48&gt;=Configuration!$D$2),"",_xlfn.REGEXEXTRACT(CELL("address",'Raw Data'!D48),"\$([A-Z]+)\$[0-9]+"))),_xlfn.REGEXEXTRACT(CELL("address",D48), "\$([A-Z]+)\$[0-9]+"))</f>
        <v/>
      </c>
      <c r="E48" s="7" t="str" cm="1">
        <f t="array" aca="1" ref="E48" ca="1">IFERROR(IF(OR('Raw Data'!E48="",LEN(TRIM('Raw Data'!E48))=0),"",IF(AND(ISNUMBER('Raw Data'!E48), IFERROR('Raw Data'!E48 = ROUND('Raw Data'!E48, 2),FALSE)),"",_xlfn.REGEXEXTRACT(CELL("address",E48), "\$([A-Z]+)\$[0-9]+"))),_xlfn.REGEXEXTRACT(CELL("address",E48), "\$([A-Z]+)\$[0-9]+"))</f>
        <v/>
      </c>
      <c r="F48" s="7" t="str" cm="1">
        <f t="array" aca="1" ref="F48" ca="1">IFERROR(IF(OR('Raw Data'!F48="",LEN(TRIM('Raw Data'!F48))=0),"",IF(AND(ISNUMBER('Raw Data'!F48), IFERROR('Raw Data'!F48 = ROUND('Raw Data'!F48, 2),FALSE)),"",_xlfn.REGEXEXTRACT(CELL("address",F48), "\$([A-Z]+)\$[0-9]+"))),_xlfn.REGEXEXTRACT(CELL("address",F48), "\$([A-Z]+)\$[0-9]+"))</f>
        <v/>
      </c>
      <c r="G48" s="7" t="str" cm="1">
        <f t="array" aca="1" ref="G48" ca="1">IFERROR(IF(OR('Raw Data'!G48="",LEN(TRIM('Raw Data'!G48))=0),"",IF(AND(ISNUMBER('Raw Data'!G48), IFERROR('Raw Data'!G48 = ROUND('Raw Data'!G48, 2),FALSE)),"",_xlfn.REGEXEXTRACT(CELL("address",G48), "\$([A-Z]+)\$[0-9]+"))),_xlfn.REGEXEXTRACT(CELL("address",G48), "\$([A-Z]+)\$[0-9]+"))</f>
        <v/>
      </c>
      <c r="H48" s="7" t="str" cm="1">
        <f t="array" aca="1" ref="H48" ca="1">IFERROR(IF(OR('Raw Data'!H48="",LEN(TRIM('Raw Data'!H48))=0),"",IF(AND(ISNUMBER('Raw Data'!H48), IFERROR('Raw Data'!H48 = ROUND('Raw Data'!H48, 2),FALSE)),"",_xlfn.REGEXEXTRACT(CELL("address",H48), "\$([A-Z]+)\$[0-9]+"))),_xlfn.REGEXEXTRACT(CELL("address",H48), "\$([A-Z]+)\$[0-9]+"))</f>
        <v/>
      </c>
      <c r="I48" s="7" t="str" cm="1">
        <f t="array" aca="1" ref="I48" ca="1">IFERROR(IF(OR('Raw Data'!I48="",LEN(TRIM('Raw Data'!I48))=0),"",IF(AND(ISNUMBER('Raw Data'!I48), IFERROR('Raw Data'!I48 = ROUND('Raw Data'!I48, 2),FALSE)),"",_xlfn.REGEXEXTRACT(CELL("address",I48), "\$([A-Z]+)\$[0-9]+"))),_xlfn.REGEXEXTRACT(CELL("address",I48), "\$([A-Z]+)\$[0-9]+"))</f>
        <v/>
      </c>
      <c r="J48" s="7" t="str" cm="1">
        <f t="array" aca="1" ref="J48" ca="1">IFERROR(IF(OR('Raw Data'!J48="",LEN(TRIM('Raw Data'!J48))=0),"",IF(AND(ISNUMBER('Raw Data'!J48), IFERROR('Raw Data'!J48 = ROUND('Raw Data'!J48, 2),FALSE)),"",_xlfn.REGEXEXTRACT(CELL("address",J48), "\$([A-Z]+)\$[0-9]+"))),_xlfn.REGEXEXTRACT(CELL("address",J48), "\$([A-Z]+)\$[0-9]+"))</f>
        <v/>
      </c>
      <c r="K48" s="7" t="str" cm="1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7" t="str" cm="1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7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7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7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7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 cm="1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7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7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7" t="str" cm="1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7" t="str" cm="1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  <c r="Z48" s="7" t="str" cm="1">
        <f t="array" aca="1" ref="Z48" ca="1">IFERROR(IF(OR('Raw Data'!Z48="",LEN(TRIM('Raw Data'!Z48))=0),"",IF(AND(ISNUMBER('Raw Data'!Z48), IFERROR('Raw Data'!Z48 = ROUND('Raw Data'!Z48, 2),FALSE)),"",_xlfn.REGEXEXTRACT(CELL("address",Z48), "\$([A-Z]+)\$[0-9]+"))),_xlfn.REGEXEXTRACT(CELL("address",Z48), "\$([A-Z]+)\$[0-9]+"))</f>
        <v/>
      </c>
      <c r="AA48" s="7" t="str" cm="1">
        <f t="array" aca="1" ref="AA48" ca="1">IFERROR(IF(OR('Raw Data'!AA48="",LEN(TRIM('Raw Data'!AA48))=0),"",IF(AND(ISNUMBER('Raw Data'!AA48), IFERROR('Raw Data'!AA48 = ROUND('Raw Data'!AA48, 2),FALSE)),"",_xlfn.REGEXEXTRACT(CELL("address",AA48), "\$([A-Z]+)\$[0-9]+"))),_xlfn.REGEXEXTRACT(CELL("address",AA48), "\$([A-Z]+)\$[0-9]+"))</f>
        <v/>
      </c>
      <c r="AB48" s="7" t="str" cm="1">
        <f t="array" aca="1" ref="AB48" ca="1">IFERROR(IF(OR('Raw Data'!AB48="",LEN(TRIM('Raw Data'!AB48))=0),"",IF(AND(ISNUMBER('Raw Data'!AB48), IFERROR('Raw Data'!AB48 = ROUND('Raw Data'!AB48, 2),FALSE)),"",_xlfn.REGEXEXTRACT(CELL("address",AB48), "\$([A-Z]+)\$[0-9]+"))),_xlfn.REGEXEXTRACT(CELL("address",AB48), "\$([A-Z]+)\$[0-9]+"))</f>
        <v/>
      </c>
      <c r="AC48" s="7" t="str" cm="1">
        <f t="array" aca="1" ref="AC48" ca="1">IFERROR(IF(OR('Raw Data'!AC48="",LEN(TRIM('Raw Data'!AC48))=0),"",IF(AND(ISNUMBER('Raw Data'!AC48), IFERROR('Raw Data'!AC48 = ROUND('Raw Data'!AC48, 2),FALSE)),"",_xlfn.REGEXEXTRACT(CELL("address",AC48), "\$([A-Z]+)\$[0-9]+"))),_xlfn.REGEXEXTRACT(CELL("address",AC48), "\$([A-Z]+)\$[0-9]+"))</f>
        <v/>
      </c>
      <c r="AD48" s="7" t="str" cm="1">
        <f t="array" aca="1" ref="AD48" ca="1">IFERROR(IF(OR('Raw Data'!AD48="",LEN(TRIM('Raw Data'!AD48))=0),"",IF(AND(ISNUMBER('Raw Data'!AD48), IFERROR('Raw Data'!AD48 = ROUND('Raw Data'!AD48, 2),FALSE)),"",_xlfn.REGEXEXTRACT(CELL("address",AD48), "\$([A-Z]+)\$[0-9]+"))),_xlfn.REGEXEXTRACT(CELL("address",AD48), "\$([A-Z]+)\$[0-9]+"))</f>
        <v/>
      </c>
      <c r="AE48" s="7" t="str" cm="1">
        <f t="array" aca="1" ref="AE48" ca="1">IFERROR(IF(OR('Raw Data'!AE48="",LEN(TRIM('Raw Data'!AE48))=0),"",IF(AND(ISNUMBER('Raw Data'!AE48), IFERROR('Raw Data'!AE48 = ROUND('Raw Data'!AE48, 2),FALSE)),"",_xlfn.REGEXEXTRACT(CELL("address",AE48), "\$([A-Z]+)\$[0-9]+"))),_xlfn.REGEXEXTRACT(CELL("address",AE48), "\$([A-Z]+)\$[0-9]+"))</f>
        <v/>
      </c>
      <c r="AF48" s="7" t="str" cm="1">
        <f t="array" aca="1" ref="AF48" ca="1">IFERROR(IF(OR('Raw Data'!AF48="",LEN(TRIM('Raw Data'!AF48))=0),"",IF(AND(ISNUMBER('Raw Data'!AF48), IFERROR('Raw Data'!AF48 = ROUND('Raw Data'!AF48, 2),FALSE)),"",_xlfn.REGEXEXTRACT(CELL("address",AF48), "\$([A-Z]+)\$[0-9]+"))),_xlfn.REGEXEXTRACT(CELL("address",AF48), "\$([A-Z]+)\$[0-9]+"))</f>
        <v/>
      </c>
      <c r="AG48" s="7" t="str" cm="1">
        <f t="array" aca="1" ref="AG48" ca="1">IFERROR(IF(OR('Raw Data'!AG48="",LEN(TRIM('Raw Data'!AG48))=0),"",IF(AND(ISNUMBER('Raw Data'!AG48), IFERROR('Raw Data'!AG48 = ROUND('Raw Data'!AG48, 2),FALSE)),"",_xlfn.REGEXEXTRACT(CELL("address",AG48), "\$([A-Z]+)\$[0-9]+"))),_xlfn.REGEXEXTRACT(CELL("address",AG48), "\$([A-Z]+)\$[0-9]+"))</f>
        <v/>
      </c>
      <c r="AH48" s="7" t="str" cm="1">
        <f t="array" aca="1" ref="AH48" ca="1">IFERROR(IF(OR('Raw Data'!AH48="",LEN(TRIM('Raw Data'!AH48))=0),"",IF(AND(ISNUMBER('Raw Data'!AH48), IFERROR('Raw Data'!AH48 = ROUND('Raw Data'!AH48, 2),FALSE)),"",_xlfn.REGEXEXTRACT(CELL("address",AH48), "\$([A-Z]+)\$[0-9]+"))),_xlfn.REGEXEXTRACT(CELL("address",AH48), "\$([A-Z]+)\$[0-9]+"))</f>
        <v/>
      </c>
      <c r="AI48" s="7" t="str" cm="1">
        <f t="array" aca="1" ref="AI48" ca="1">IFERROR(IF(OR('Raw Data'!AI48="",LEN(TRIM('Raw Data'!AI48))=0),"",IF(AND(ISNUMBER('Raw Data'!AI48), IFERROR('Raw Data'!AI48 = ROUND('Raw Data'!AI48, 2),FALSE)),"",_xlfn.REGEXEXTRACT(CELL("address",AI48), "\$([A-Z]+)\$[0-9]+"))),_xlfn.REGEXEXTRACT(CELL("address",AI48), "\$([A-Z]+)\$[0-9]+"))</f>
        <v/>
      </c>
      <c r="AJ48" s="7" t="str" cm="1">
        <f t="array" aca="1" ref="AJ48" ca="1">IFERROR(IF(OR('Raw Data'!AJ48="",LEN(TRIM('Raw Data'!AJ48))=0),"",IF(AND(ISNUMBER('Raw Data'!AJ48), IFERROR('Raw Data'!AJ48 = ROUND('Raw Data'!AJ48, 2),FALSE)),"",_xlfn.REGEXEXTRACT(CELL("address",AJ48), "\$([A-Z]+)\$[0-9]+"))),_xlfn.REGEXEXTRACT(CELL("address",AJ48), "\$([A-Z]+)\$[0-9]+"))</f>
        <v/>
      </c>
    </row>
    <row r="49" spans="2:36" x14ac:dyDescent="0.25">
      <c r="B49" s="7" t="str" cm="1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20,LEN('Raw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Data'!D49))=0),"",IF(AND(ISNUMBER('Raw Data'!D49),'Raw Data'!D49&gt;=Configuration!$D$2),"",_xlfn.REGEXEXTRACT(CELL("address",'Raw Data'!D49),"\$([A-Z]+)\$[0-9]+"))),_xlfn.REGEXEXTRACT(CELL("address",D49), "\$([A-Z]+)\$[0-9]+"))</f>
        <v/>
      </c>
      <c r="E49" s="7" t="str" cm="1">
        <f t="array" aca="1" ref="E49" ca="1">IFERROR(IF(OR('Raw Data'!E49="",LEN(TRIM('Raw Data'!E49))=0),"",IF(AND(ISNUMBER('Raw Data'!E49), IFERROR('Raw Data'!E49 = ROUND('Raw Data'!E49, 2),FALSE)),"",_xlfn.REGEXEXTRACT(CELL("address",E49), "\$([A-Z]+)\$[0-9]+"))),_xlfn.REGEXEXTRACT(CELL("address",E49), "\$([A-Z]+)\$[0-9]+"))</f>
        <v/>
      </c>
      <c r="F49" s="7" t="str" cm="1">
        <f t="array" aca="1" ref="F49" ca="1">IFERROR(IF(OR('Raw Data'!F49="",LEN(TRIM('Raw Data'!F49))=0),"",IF(AND(ISNUMBER('Raw Data'!F49), IFERROR('Raw Data'!F49 = ROUND('Raw Data'!F49, 2),FALSE)),"",_xlfn.REGEXEXTRACT(CELL("address",F49), "\$([A-Z]+)\$[0-9]+"))),_xlfn.REGEXEXTRACT(CELL("address",F49), "\$([A-Z]+)\$[0-9]+"))</f>
        <v/>
      </c>
      <c r="G49" s="7" t="str" cm="1">
        <f t="array" aca="1" ref="G49" ca="1">IFERROR(IF(OR('Raw Data'!G49="",LEN(TRIM('Raw Data'!G49))=0),"",IF(AND(ISNUMBER('Raw Data'!G49), IFERROR('Raw Data'!G49 = ROUND('Raw Data'!G49, 2),FALSE)),"",_xlfn.REGEXEXTRACT(CELL("address",G49), "\$([A-Z]+)\$[0-9]+"))),_xlfn.REGEXEXTRACT(CELL("address",G49), "\$([A-Z]+)\$[0-9]+"))</f>
        <v/>
      </c>
      <c r="H49" s="7" t="str" cm="1">
        <f t="array" aca="1" ref="H49" ca="1">IFERROR(IF(OR('Raw Data'!H49="",LEN(TRIM('Raw Data'!H49))=0),"",IF(AND(ISNUMBER('Raw Data'!H49), IFERROR('Raw Data'!H49 = ROUND('Raw Data'!H49, 2),FALSE)),"",_xlfn.REGEXEXTRACT(CELL("address",H49), "\$([A-Z]+)\$[0-9]+"))),_xlfn.REGEXEXTRACT(CELL("address",H49), "\$([A-Z]+)\$[0-9]+"))</f>
        <v/>
      </c>
      <c r="I49" s="7" t="str" cm="1">
        <f t="array" aca="1" ref="I49" ca="1">IFERROR(IF(OR('Raw Data'!I49="",LEN(TRIM('Raw Data'!I49))=0),"",IF(AND(ISNUMBER('Raw Data'!I49), IFERROR('Raw Data'!I49 = ROUND('Raw Data'!I49, 2),FALSE)),"",_xlfn.REGEXEXTRACT(CELL("address",I49), "\$([A-Z]+)\$[0-9]+"))),_xlfn.REGEXEXTRACT(CELL("address",I49), "\$([A-Z]+)\$[0-9]+"))</f>
        <v/>
      </c>
      <c r="J49" s="7" t="str" cm="1">
        <f t="array" aca="1" ref="J49" ca="1">IFERROR(IF(OR('Raw Data'!J49="",LEN(TRIM('Raw Data'!J49))=0),"",IF(AND(ISNUMBER('Raw Data'!J49), IFERROR('Raw Data'!J49 = ROUND('Raw Data'!J49, 2),FALSE)),"",_xlfn.REGEXEXTRACT(CELL("address",J49), "\$([A-Z]+)\$[0-9]+"))),_xlfn.REGEXEXTRACT(CELL("address",J49), "\$([A-Z]+)\$[0-9]+"))</f>
        <v/>
      </c>
      <c r="K49" s="7" t="str" cm="1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7" t="str" cm="1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7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7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7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7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 cm="1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7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7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7" t="str" cm="1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7" t="str" cm="1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  <c r="Z49" s="7" t="str" cm="1">
        <f t="array" aca="1" ref="Z49" ca="1">IFERROR(IF(OR('Raw Data'!Z49="",LEN(TRIM('Raw Data'!Z49))=0),"",IF(AND(ISNUMBER('Raw Data'!Z49), IFERROR('Raw Data'!Z49 = ROUND('Raw Data'!Z49, 2),FALSE)),"",_xlfn.REGEXEXTRACT(CELL("address",Z49), "\$([A-Z]+)\$[0-9]+"))),_xlfn.REGEXEXTRACT(CELL("address",Z49), "\$([A-Z]+)\$[0-9]+"))</f>
        <v/>
      </c>
      <c r="AA49" s="7" t="str" cm="1">
        <f t="array" aca="1" ref="AA49" ca="1">IFERROR(IF(OR('Raw Data'!AA49="",LEN(TRIM('Raw Data'!AA49))=0),"",IF(AND(ISNUMBER('Raw Data'!AA49), IFERROR('Raw Data'!AA49 = ROUND('Raw Data'!AA49, 2),FALSE)),"",_xlfn.REGEXEXTRACT(CELL("address",AA49), "\$([A-Z]+)\$[0-9]+"))),_xlfn.REGEXEXTRACT(CELL("address",AA49), "\$([A-Z]+)\$[0-9]+"))</f>
        <v/>
      </c>
      <c r="AB49" s="7" t="str" cm="1">
        <f t="array" aca="1" ref="AB49" ca="1">IFERROR(IF(OR('Raw Data'!AB49="",LEN(TRIM('Raw Data'!AB49))=0),"",IF(AND(ISNUMBER('Raw Data'!AB49), IFERROR('Raw Data'!AB49 = ROUND('Raw Data'!AB49, 2),FALSE)),"",_xlfn.REGEXEXTRACT(CELL("address",AB49), "\$([A-Z]+)\$[0-9]+"))),_xlfn.REGEXEXTRACT(CELL("address",AB49), "\$([A-Z]+)\$[0-9]+"))</f>
        <v/>
      </c>
      <c r="AC49" s="7" t="str" cm="1">
        <f t="array" aca="1" ref="AC49" ca="1">IFERROR(IF(OR('Raw Data'!AC49="",LEN(TRIM('Raw Data'!AC49))=0),"",IF(AND(ISNUMBER('Raw Data'!AC49), IFERROR('Raw Data'!AC49 = ROUND('Raw Data'!AC49, 2),FALSE)),"",_xlfn.REGEXEXTRACT(CELL("address",AC49), "\$([A-Z]+)\$[0-9]+"))),_xlfn.REGEXEXTRACT(CELL("address",AC49), "\$([A-Z]+)\$[0-9]+"))</f>
        <v/>
      </c>
      <c r="AD49" s="7" t="str" cm="1">
        <f t="array" aca="1" ref="AD49" ca="1">IFERROR(IF(OR('Raw Data'!AD49="",LEN(TRIM('Raw Data'!AD49))=0),"",IF(AND(ISNUMBER('Raw Data'!AD49), IFERROR('Raw Data'!AD49 = ROUND('Raw Data'!AD49, 2),FALSE)),"",_xlfn.REGEXEXTRACT(CELL("address",AD49), "\$([A-Z]+)\$[0-9]+"))),_xlfn.REGEXEXTRACT(CELL("address",AD49), "\$([A-Z]+)\$[0-9]+"))</f>
        <v/>
      </c>
      <c r="AE49" s="7" t="str" cm="1">
        <f t="array" aca="1" ref="AE49" ca="1">IFERROR(IF(OR('Raw Data'!AE49="",LEN(TRIM('Raw Data'!AE49))=0),"",IF(AND(ISNUMBER('Raw Data'!AE49), IFERROR('Raw Data'!AE49 = ROUND('Raw Data'!AE49, 2),FALSE)),"",_xlfn.REGEXEXTRACT(CELL("address",AE49), "\$([A-Z]+)\$[0-9]+"))),_xlfn.REGEXEXTRACT(CELL("address",AE49), "\$([A-Z]+)\$[0-9]+"))</f>
        <v/>
      </c>
      <c r="AF49" s="7" t="str" cm="1">
        <f t="array" aca="1" ref="AF49" ca="1">IFERROR(IF(OR('Raw Data'!AF49="",LEN(TRIM('Raw Data'!AF49))=0),"",IF(AND(ISNUMBER('Raw Data'!AF49), IFERROR('Raw Data'!AF49 = ROUND('Raw Data'!AF49, 2),FALSE)),"",_xlfn.REGEXEXTRACT(CELL("address",AF49), "\$([A-Z]+)\$[0-9]+"))),_xlfn.REGEXEXTRACT(CELL("address",AF49), "\$([A-Z]+)\$[0-9]+"))</f>
        <v/>
      </c>
      <c r="AG49" s="7" t="str" cm="1">
        <f t="array" aca="1" ref="AG49" ca="1">IFERROR(IF(OR('Raw Data'!AG49="",LEN(TRIM('Raw Data'!AG49))=0),"",IF(AND(ISNUMBER('Raw Data'!AG49), IFERROR('Raw Data'!AG49 = ROUND('Raw Data'!AG49, 2),FALSE)),"",_xlfn.REGEXEXTRACT(CELL("address",AG49), "\$([A-Z]+)\$[0-9]+"))),_xlfn.REGEXEXTRACT(CELL("address",AG49), "\$([A-Z]+)\$[0-9]+"))</f>
        <v/>
      </c>
      <c r="AH49" s="7" t="str" cm="1">
        <f t="array" aca="1" ref="AH49" ca="1">IFERROR(IF(OR('Raw Data'!AH49="",LEN(TRIM('Raw Data'!AH49))=0),"",IF(AND(ISNUMBER('Raw Data'!AH49), IFERROR('Raw Data'!AH49 = ROUND('Raw Data'!AH49, 2),FALSE)),"",_xlfn.REGEXEXTRACT(CELL("address",AH49), "\$([A-Z]+)\$[0-9]+"))),_xlfn.REGEXEXTRACT(CELL("address",AH49), "\$([A-Z]+)\$[0-9]+"))</f>
        <v/>
      </c>
      <c r="AI49" s="7" t="str" cm="1">
        <f t="array" aca="1" ref="AI49" ca="1">IFERROR(IF(OR('Raw Data'!AI49="",LEN(TRIM('Raw Data'!AI49))=0),"",IF(AND(ISNUMBER('Raw Data'!AI49), IFERROR('Raw Data'!AI49 = ROUND('Raw Data'!AI49, 2),FALSE)),"",_xlfn.REGEXEXTRACT(CELL("address",AI49), "\$([A-Z]+)\$[0-9]+"))),_xlfn.REGEXEXTRACT(CELL("address",AI49), "\$([A-Z]+)\$[0-9]+"))</f>
        <v/>
      </c>
      <c r="AJ49" s="7" t="str" cm="1">
        <f t="array" aca="1" ref="AJ49" ca="1">IFERROR(IF(OR('Raw Data'!AJ49="",LEN(TRIM('Raw Data'!AJ49))=0),"",IF(AND(ISNUMBER('Raw Data'!AJ49), IFERROR('Raw Data'!AJ49 = ROUND('Raw Data'!AJ49, 2),FALSE)),"",_xlfn.REGEXEXTRACT(CELL("address",AJ49), "\$([A-Z]+)\$[0-9]+"))),_xlfn.REGEXEXTRACT(CELL("address",AJ49), "\$([A-Z]+)\$[0-9]+"))</f>
        <v/>
      </c>
    </row>
    <row r="50" spans="2:36" x14ac:dyDescent="0.25">
      <c r="B50" s="7" t="str" cm="1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20,LEN('Raw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Data'!D50))=0),"",IF(AND(ISNUMBER('Raw Data'!D50),'Raw Data'!D50&gt;=Configuration!$D$2),"",_xlfn.REGEXEXTRACT(CELL("address",'Raw Data'!D50),"\$([A-Z]+)\$[0-9]+"))),_xlfn.REGEXEXTRACT(CELL("address",D50), "\$([A-Z]+)\$[0-9]+"))</f>
        <v/>
      </c>
      <c r="E50" s="7" t="str" cm="1">
        <f t="array" aca="1" ref="E50" ca="1">IFERROR(IF(OR('Raw Data'!E50="",LEN(TRIM('Raw Data'!E50))=0),"",IF(AND(ISNUMBER('Raw Data'!E50), IFERROR('Raw Data'!E50 = ROUND('Raw Data'!E50, 2),FALSE)),"",_xlfn.REGEXEXTRACT(CELL("address",E50), "\$([A-Z]+)\$[0-9]+"))),_xlfn.REGEXEXTRACT(CELL("address",E50), "\$([A-Z]+)\$[0-9]+"))</f>
        <v/>
      </c>
      <c r="F50" s="7" t="str" cm="1">
        <f t="array" aca="1" ref="F50" ca="1">IFERROR(IF(OR('Raw Data'!F50="",LEN(TRIM('Raw Data'!F50))=0),"",IF(AND(ISNUMBER('Raw Data'!F50), IFERROR('Raw Data'!F50 = ROUND('Raw Data'!F50, 2),FALSE)),"",_xlfn.REGEXEXTRACT(CELL("address",F50), "\$([A-Z]+)\$[0-9]+"))),_xlfn.REGEXEXTRACT(CELL("address",F50), "\$([A-Z]+)\$[0-9]+"))</f>
        <v/>
      </c>
      <c r="G50" s="7" t="str" cm="1">
        <f t="array" aca="1" ref="G50" ca="1">IFERROR(IF(OR('Raw Data'!G50="",LEN(TRIM('Raw Data'!G50))=0),"",IF(AND(ISNUMBER('Raw Data'!G50), IFERROR('Raw Data'!G50 = ROUND('Raw Data'!G50, 2),FALSE)),"",_xlfn.REGEXEXTRACT(CELL("address",G50), "\$([A-Z]+)\$[0-9]+"))),_xlfn.REGEXEXTRACT(CELL("address",G50), "\$([A-Z]+)\$[0-9]+"))</f>
        <v/>
      </c>
      <c r="H50" s="7" t="str" cm="1">
        <f t="array" aca="1" ref="H50" ca="1">IFERROR(IF(OR('Raw Data'!H50="",LEN(TRIM('Raw Data'!H50))=0),"",IF(AND(ISNUMBER('Raw Data'!H50), IFERROR('Raw Data'!H50 = ROUND('Raw Data'!H50, 2),FALSE)),"",_xlfn.REGEXEXTRACT(CELL("address",H50), "\$([A-Z]+)\$[0-9]+"))),_xlfn.REGEXEXTRACT(CELL("address",H50), "\$([A-Z]+)\$[0-9]+"))</f>
        <v/>
      </c>
      <c r="I50" s="7" t="str" cm="1">
        <f t="array" aca="1" ref="I50" ca="1">IFERROR(IF(OR('Raw Data'!I50="",LEN(TRIM('Raw Data'!I50))=0),"",IF(AND(ISNUMBER('Raw Data'!I50), IFERROR('Raw Data'!I50 = ROUND('Raw Data'!I50, 2),FALSE)),"",_xlfn.REGEXEXTRACT(CELL("address",I50), "\$([A-Z]+)\$[0-9]+"))),_xlfn.REGEXEXTRACT(CELL("address",I50), "\$([A-Z]+)\$[0-9]+"))</f>
        <v/>
      </c>
      <c r="J50" s="7" t="str" cm="1">
        <f t="array" aca="1" ref="J50" ca="1">IFERROR(IF(OR('Raw Data'!J50="",LEN(TRIM('Raw Data'!J50))=0),"",IF(AND(ISNUMBER('Raw Data'!J50), IFERROR('Raw Data'!J50 = ROUND('Raw Data'!J50, 2),FALSE)),"",_xlfn.REGEXEXTRACT(CELL("address",J50), "\$([A-Z]+)\$[0-9]+"))),_xlfn.REGEXEXTRACT(CELL("address",J50), "\$([A-Z]+)\$[0-9]+"))</f>
        <v/>
      </c>
      <c r="K50" s="7" t="str" cm="1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7" t="str" cm="1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7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7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7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7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 cm="1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7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7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7" t="str" cm="1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7" t="str" cm="1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  <c r="Z50" s="7" t="str" cm="1">
        <f t="array" aca="1" ref="Z50" ca="1">IFERROR(IF(OR('Raw Data'!Z50="",LEN(TRIM('Raw Data'!Z50))=0),"",IF(AND(ISNUMBER('Raw Data'!Z50), IFERROR('Raw Data'!Z50 = ROUND('Raw Data'!Z50, 2),FALSE)),"",_xlfn.REGEXEXTRACT(CELL("address",Z50), "\$([A-Z]+)\$[0-9]+"))),_xlfn.REGEXEXTRACT(CELL("address",Z50), "\$([A-Z]+)\$[0-9]+"))</f>
        <v/>
      </c>
      <c r="AA50" s="7" t="str" cm="1">
        <f t="array" aca="1" ref="AA50" ca="1">IFERROR(IF(OR('Raw Data'!AA50="",LEN(TRIM('Raw Data'!AA50))=0),"",IF(AND(ISNUMBER('Raw Data'!AA50), IFERROR('Raw Data'!AA50 = ROUND('Raw Data'!AA50, 2),FALSE)),"",_xlfn.REGEXEXTRACT(CELL("address",AA50), "\$([A-Z]+)\$[0-9]+"))),_xlfn.REGEXEXTRACT(CELL("address",AA50), "\$([A-Z]+)\$[0-9]+"))</f>
        <v/>
      </c>
      <c r="AB50" s="7" t="str" cm="1">
        <f t="array" aca="1" ref="AB50" ca="1">IFERROR(IF(OR('Raw Data'!AB50="",LEN(TRIM('Raw Data'!AB50))=0),"",IF(AND(ISNUMBER('Raw Data'!AB50), IFERROR('Raw Data'!AB50 = ROUND('Raw Data'!AB50, 2),FALSE)),"",_xlfn.REGEXEXTRACT(CELL("address",AB50), "\$([A-Z]+)\$[0-9]+"))),_xlfn.REGEXEXTRACT(CELL("address",AB50), "\$([A-Z]+)\$[0-9]+"))</f>
        <v/>
      </c>
      <c r="AC50" s="7" t="str" cm="1">
        <f t="array" aca="1" ref="AC50" ca="1">IFERROR(IF(OR('Raw Data'!AC50="",LEN(TRIM('Raw Data'!AC50))=0),"",IF(AND(ISNUMBER('Raw Data'!AC50), IFERROR('Raw Data'!AC50 = ROUND('Raw Data'!AC50, 2),FALSE)),"",_xlfn.REGEXEXTRACT(CELL("address",AC50), "\$([A-Z]+)\$[0-9]+"))),_xlfn.REGEXEXTRACT(CELL("address",AC50), "\$([A-Z]+)\$[0-9]+"))</f>
        <v/>
      </c>
      <c r="AD50" s="7" t="str" cm="1">
        <f t="array" aca="1" ref="AD50" ca="1">IFERROR(IF(OR('Raw Data'!AD50="",LEN(TRIM('Raw Data'!AD50))=0),"",IF(AND(ISNUMBER('Raw Data'!AD50), IFERROR('Raw Data'!AD50 = ROUND('Raw Data'!AD50, 2),FALSE)),"",_xlfn.REGEXEXTRACT(CELL("address",AD50), "\$([A-Z]+)\$[0-9]+"))),_xlfn.REGEXEXTRACT(CELL("address",AD50), "\$([A-Z]+)\$[0-9]+"))</f>
        <v/>
      </c>
      <c r="AE50" s="7" t="str" cm="1">
        <f t="array" aca="1" ref="AE50" ca="1">IFERROR(IF(OR('Raw Data'!AE50="",LEN(TRIM('Raw Data'!AE50))=0),"",IF(AND(ISNUMBER('Raw Data'!AE50), IFERROR('Raw Data'!AE50 = ROUND('Raw Data'!AE50, 2),FALSE)),"",_xlfn.REGEXEXTRACT(CELL("address",AE50), "\$([A-Z]+)\$[0-9]+"))),_xlfn.REGEXEXTRACT(CELL("address",AE50), "\$([A-Z]+)\$[0-9]+"))</f>
        <v/>
      </c>
      <c r="AF50" s="7" t="str" cm="1">
        <f t="array" aca="1" ref="AF50" ca="1">IFERROR(IF(OR('Raw Data'!AF50="",LEN(TRIM('Raw Data'!AF50))=0),"",IF(AND(ISNUMBER('Raw Data'!AF50), IFERROR('Raw Data'!AF50 = ROUND('Raw Data'!AF50, 2),FALSE)),"",_xlfn.REGEXEXTRACT(CELL("address",AF50), "\$([A-Z]+)\$[0-9]+"))),_xlfn.REGEXEXTRACT(CELL("address",AF50), "\$([A-Z]+)\$[0-9]+"))</f>
        <v/>
      </c>
      <c r="AG50" s="7" t="str" cm="1">
        <f t="array" aca="1" ref="AG50" ca="1">IFERROR(IF(OR('Raw Data'!AG50="",LEN(TRIM('Raw Data'!AG50))=0),"",IF(AND(ISNUMBER('Raw Data'!AG50), IFERROR('Raw Data'!AG50 = ROUND('Raw Data'!AG50, 2),FALSE)),"",_xlfn.REGEXEXTRACT(CELL("address",AG50), "\$([A-Z]+)\$[0-9]+"))),_xlfn.REGEXEXTRACT(CELL("address",AG50), "\$([A-Z]+)\$[0-9]+"))</f>
        <v/>
      </c>
      <c r="AH50" s="7" t="str" cm="1">
        <f t="array" aca="1" ref="AH50" ca="1">IFERROR(IF(OR('Raw Data'!AH50="",LEN(TRIM('Raw Data'!AH50))=0),"",IF(AND(ISNUMBER('Raw Data'!AH50), IFERROR('Raw Data'!AH50 = ROUND('Raw Data'!AH50, 2),FALSE)),"",_xlfn.REGEXEXTRACT(CELL("address",AH50), "\$([A-Z]+)\$[0-9]+"))),_xlfn.REGEXEXTRACT(CELL("address",AH50), "\$([A-Z]+)\$[0-9]+"))</f>
        <v/>
      </c>
      <c r="AI50" s="7" t="str" cm="1">
        <f t="array" aca="1" ref="AI50" ca="1">IFERROR(IF(OR('Raw Data'!AI50="",LEN(TRIM('Raw Data'!AI50))=0),"",IF(AND(ISNUMBER('Raw Data'!AI50), IFERROR('Raw Data'!AI50 = ROUND('Raw Data'!AI50, 2),FALSE)),"",_xlfn.REGEXEXTRACT(CELL("address",AI50), "\$([A-Z]+)\$[0-9]+"))),_xlfn.REGEXEXTRACT(CELL("address",AI50), "\$([A-Z]+)\$[0-9]+"))</f>
        <v/>
      </c>
      <c r="AJ50" s="7" t="str" cm="1">
        <f t="array" aca="1" ref="AJ50" ca="1">IFERROR(IF(OR('Raw Data'!AJ50="",LEN(TRIM('Raw Data'!AJ50))=0),"",IF(AND(ISNUMBER('Raw Data'!AJ50), IFERROR('Raw Data'!AJ50 = ROUND('Raw Data'!AJ50, 2),FALSE)),"",_xlfn.REGEXEXTRACT(CELL("address",AJ50), "\$([A-Z]+)\$[0-9]+"))),_xlfn.REGEXEXTRACT(CELL("address",AJ50), "\$([A-Z]+)\$[0-9]+"))</f>
        <v/>
      </c>
    </row>
    <row r="51" spans="2:36" x14ac:dyDescent="0.25">
      <c r="B51" s="7" t="str" cm="1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20,LEN('Raw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Data'!D51))=0),"",IF(AND(ISNUMBER('Raw Data'!D51),'Raw Data'!D51&gt;=Configuration!$D$2),"",_xlfn.REGEXEXTRACT(CELL("address",'Raw Data'!D51),"\$([A-Z]+)\$[0-9]+"))),_xlfn.REGEXEXTRACT(CELL("address",D51), "\$([A-Z]+)\$[0-9]+"))</f>
        <v/>
      </c>
      <c r="E51" s="7" t="str" cm="1">
        <f t="array" aca="1" ref="E51" ca="1">IFERROR(IF(OR('Raw Data'!E51="",LEN(TRIM('Raw Data'!E51))=0),"",IF(AND(ISNUMBER('Raw Data'!E51), IFERROR('Raw Data'!E51 = ROUND('Raw Data'!E51, 2),FALSE)),"",_xlfn.REGEXEXTRACT(CELL("address",E51), "\$([A-Z]+)\$[0-9]+"))),_xlfn.REGEXEXTRACT(CELL("address",E51), "\$([A-Z]+)\$[0-9]+"))</f>
        <v/>
      </c>
      <c r="F51" s="7" t="str" cm="1">
        <f t="array" aca="1" ref="F51" ca="1">IFERROR(IF(OR('Raw Data'!F51="",LEN(TRIM('Raw Data'!F51))=0),"",IF(AND(ISNUMBER('Raw Data'!F51), IFERROR('Raw Data'!F51 = ROUND('Raw Data'!F51, 2),FALSE)),"",_xlfn.REGEXEXTRACT(CELL("address",F51), "\$([A-Z]+)\$[0-9]+"))),_xlfn.REGEXEXTRACT(CELL("address",F51), "\$([A-Z]+)\$[0-9]+"))</f>
        <v/>
      </c>
      <c r="G51" s="7" t="str" cm="1">
        <f t="array" aca="1" ref="G51" ca="1">IFERROR(IF(OR('Raw Data'!G51="",LEN(TRIM('Raw Data'!G51))=0),"",IF(AND(ISNUMBER('Raw Data'!G51), IFERROR('Raw Data'!G51 = ROUND('Raw Data'!G51, 2),FALSE)),"",_xlfn.REGEXEXTRACT(CELL("address",G51), "\$([A-Z]+)\$[0-9]+"))),_xlfn.REGEXEXTRACT(CELL("address",G51), "\$([A-Z]+)\$[0-9]+"))</f>
        <v/>
      </c>
      <c r="H51" s="7" t="str" cm="1">
        <f t="array" aca="1" ref="H51" ca="1">IFERROR(IF(OR('Raw Data'!H51="",LEN(TRIM('Raw Data'!H51))=0),"",IF(AND(ISNUMBER('Raw Data'!H51), IFERROR('Raw Data'!H51 = ROUND('Raw Data'!H51, 2),FALSE)),"",_xlfn.REGEXEXTRACT(CELL("address",H51), "\$([A-Z]+)\$[0-9]+"))),_xlfn.REGEXEXTRACT(CELL("address",H51), "\$([A-Z]+)\$[0-9]+"))</f>
        <v/>
      </c>
      <c r="I51" s="7" t="str" cm="1">
        <f t="array" aca="1" ref="I51" ca="1">IFERROR(IF(OR('Raw Data'!I51="",LEN(TRIM('Raw Data'!I51))=0),"",IF(AND(ISNUMBER('Raw Data'!I51), IFERROR('Raw Data'!I51 = ROUND('Raw Data'!I51, 2),FALSE)),"",_xlfn.REGEXEXTRACT(CELL("address",I51), "\$([A-Z]+)\$[0-9]+"))),_xlfn.REGEXEXTRACT(CELL("address",I51), "\$([A-Z]+)\$[0-9]+"))</f>
        <v/>
      </c>
      <c r="J51" s="7" t="str" cm="1">
        <f t="array" aca="1" ref="J51" ca="1">IFERROR(IF(OR('Raw Data'!J51="",LEN(TRIM('Raw Data'!J51))=0),"",IF(AND(ISNUMBER('Raw Data'!J51), IFERROR('Raw Data'!J51 = ROUND('Raw Data'!J51, 2),FALSE)),"",_xlfn.REGEXEXTRACT(CELL("address",J51), "\$([A-Z]+)\$[0-9]+"))),_xlfn.REGEXEXTRACT(CELL("address",J51), "\$([A-Z]+)\$[0-9]+"))</f>
        <v/>
      </c>
      <c r="K51" s="7" t="str" cm="1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7" t="str" cm="1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7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7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7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7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 cm="1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7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7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7" t="str" cm="1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7" t="str" cm="1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  <c r="Z51" s="7" t="str" cm="1">
        <f t="array" aca="1" ref="Z51" ca="1">IFERROR(IF(OR('Raw Data'!Z51="",LEN(TRIM('Raw Data'!Z51))=0),"",IF(AND(ISNUMBER('Raw Data'!Z51), IFERROR('Raw Data'!Z51 = ROUND('Raw Data'!Z51, 2),FALSE)),"",_xlfn.REGEXEXTRACT(CELL("address",Z51), "\$([A-Z]+)\$[0-9]+"))),_xlfn.REGEXEXTRACT(CELL("address",Z51), "\$([A-Z]+)\$[0-9]+"))</f>
        <v/>
      </c>
      <c r="AA51" s="7" t="str" cm="1">
        <f t="array" aca="1" ref="AA51" ca="1">IFERROR(IF(OR('Raw Data'!AA51="",LEN(TRIM('Raw Data'!AA51))=0),"",IF(AND(ISNUMBER('Raw Data'!AA51), IFERROR('Raw Data'!AA51 = ROUND('Raw Data'!AA51, 2),FALSE)),"",_xlfn.REGEXEXTRACT(CELL("address",AA51), "\$([A-Z]+)\$[0-9]+"))),_xlfn.REGEXEXTRACT(CELL("address",AA51), "\$([A-Z]+)\$[0-9]+"))</f>
        <v/>
      </c>
      <c r="AB51" s="7" t="str" cm="1">
        <f t="array" aca="1" ref="AB51" ca="1">IFERROR(IF(OR('Raw Data'!AB51="",LEN(TRIM('Raw Data'!AB51))=0),"",IF(AND(ISNUMBER('Raw Data'!AB51), IFERROR('Raw Data'!AB51 = ROUND('Raw Data'!AB51, 2),FALSE)),"",_xlfn.REGEXEXTRACT(CELL("address",AB51), "\$([A-Z]+)\$[0-9]+"))),_xlfn.REGEXEXTRACT(CELL("address",AB51), "\$([A-Z]+)\$[0-9]+"))</f>
        <v/>
      </c>
      <c r="AC51" s="7" t="str" cm="1">
        <f t="array" aca="1" ref="AC51" ca="1">IFERROR(IF(OR('Raw Data'!AC51="",LEN(TRIM('Raw Data'!AC51))=0),"",IF(AND(ISNUMBER('Raw Data'!AC51), IFERROR('Raw Data'!AC51 = ROUND('Raw Data'!AC51, 2),FALSE)),"",_xlfn.REGEXEXTRACT(CELL("address",AC51), "\$([A-Z]+)\$[0-9]+"))),_xlfn.REGEXEXTRACT(CELL("address",AC51), "\$([A-Z]+)\$[0-9]+"))</f>
        <v/>
      </c>
      <c r="AD51" s="7" t="str" cm="1">
        <f t="array" aca="1" ref="AD51" ca="1">IFERROR(IF(OR('Raw Data'!AD51="",LEN(TRIM('Raw Data'!AD51))=0),"",IF(AND(ISNUMBER('Raw Data'!AD51), IFERROR('Raw Data'!AD51 = ROUND('Raw Data'!AD51, 2),FALSE)),"",_xlfn.REGEXEXTRACT(CELL("address",AD51), "\$([A-Z]+)\$[0-9]+"))),_xlfn.REGEXEXTRACT(CELL("address",AD51), "\$([A-Z]+)\$[0-9]+"))</f>
        <v/>
      </c>
      <c r="AE51" s="7" t="str" cm="1">
        <f t="array" aca="1" ref="AE51" ca="1">IFERROR(IF(OR('Raw Data'!AE51="",LEN(TRIM('Raw Data'!AE51))=0),"",IF(AND(ISNUMBER('Raw Data'!AE51), IFERROR('Raw Data'!AE51 = ROUND('Raw Data'!AE51, 2),FALSE)),"",_xlfn.REGEXEXTRACT(CELL("address",AE51), "\$([A-Z]+)\$[0-9]+"))),_xlfn.REGEXEXTRACT(CELL("address",AE51), "\$([A-Z]+)\$[0-9]+"))</f>
        <v/>
      </c>
      <c r="AF51" s="7" t="str" cm="1">
        <f t="array" aca="1" ref="AF51" ca="1">IFERROR(IF(OR('Raw Data'!AF51="",LEN(TRIM('Raw Data'!AF51))=0),"",IF(AND(ISNUMBER('Raw Data'!AF51), IFERROR('Raw Data'!AF51 = ROUND('Raw Data'!AF51, 2),FALSE)),"",_xlfn.REGEXEXTRACT(CELL("address",AF51), "\$([A-Z]+)\$[0-9]+"))),_xlfn.REGEXEXTRACT(CELL("address",AF51), "\$([A-Z]+)\$[0-9]+"))</f>
        <v/>
      </c>
      <c r="AG51" s="7" t="str" cm="1">
        <f t="array" aca="1" ref="AG51" ca="1">IFERROR(IF(OR('Raw Data'!AG51="",LEN(TRIM('Raw Data'!AG51))=0),"",IF(AND(ISNUMBER('Raw Data'!AG51), IFERROR('Raw Data'!AG51 = ROUND('Raw Data'!AG51, 2),FALSE)),"",_xlfn.REGEXEXTRACT(CELL("address",AG51), "\$([A-Z]+)\$[0-9]+"))),_xlfn.REGEXEXTRACT(CELL("address",AG51), "\$([A-Z]+)\$[0-9]+"))</f>
        <v/>
      </c>
      <c r="AH51" s="7" t="str" cm="1">
        <f t="array" aca="1" ref="AH51" ca="1">IFERROR(IF(OR('Raw Data'!AH51="",LEN(TRIM('Raw Data'!AH51))=0),"",IF(AND(ISNUMBER('Raw Data'!AH51), IFERROR('Raw Data'!AH51 = ROUND('Raw Data'!AH51, 2),FALSE)),"",_xlfn.REGEXEXTRACT(CELL("address",AH51), "\$([A-Z]+)\$[0-9]+"))),_xlfn.REGEXEXTRACT(CELL("address",AH51), "\$([A-Z]+)\$[0-9]+"))</f>
        <v/>
      </c>
      <c r="AI51" s="7" t="str" cm="1">
        <f t="array" aca="1" ref="AI51" ca="1">IFERROR(IF(OR('Raw Data'!AI51="",LEN(TRIM('Raw Data'!AI51))=0),"",IF(AND(ISNUMBER('Raw Data'!AI51), IFERROR('Raw Data'!AI51 = ROUND('Raw Data'!AI51, 2),FALSE)),"",_xlfn.REGEXEXTRACT(CELL("address",AI51), "\$([A-Z]+)\$[0-9]+"))),_xlfn.REGEXEXTRACT(CELL("address",AI51), "\$([A-Z]+)\$[0-9]+"))</f>
        <v/>
      </c>
      <c r="AJ51" s="7" t="str" cm="1">
        <f t="array" aca="1" ref="AJ51" ca="1">IFERROR(IF(OR('Raw Data'!AJ51="",LEN(TRIM('Raw Data'!AJ51))=0),"",IF(AND(ISNUMBER('Raw Data'!AJ51), IFERROR('Raw Data'!AJ51 = ROUND('Raw Data'!AJ51, 2),FALSE)),"",_xlfn.REGEXEXTRACT(CELL("address",AJ51), "\$([A-Z]+)\$[0-9]+"))),_xlfn.REGEXEXTRACT(CELL("address",AJ51), "\$([A-Z]+)\$[0-9]+"))</f>
        <v/>
      </c>
    </row>
    <row r="52" spans="2:36" x14ac:dyDescent="0.25">
      <c r="B52" s="7" t="str" cm="1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20,LEN('Raw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Data'!D52))=0),"",IF(AND(ISNUMBER('Raw Data'!D52),'Raw Data'!D52&gt;=Configuration!$D$2),"",_xlfn.REGEXEXTRACT(CELL("address",'Raw Data'!D52),"\$([A-Z]+)\$[0-9]+"))),_xlfn.REGEXEXTRACT(CELL("address",D52), "\$([A-Z]+)\$[0-9]+"))</f>
        <v/>
      </c>
      <c r="E52" s="7" t="str" cm="1">
        <f t="array" aca="1" ref="E52" ca="1">IFERROR(IF(OR('Raw Data'!E52="",LEN(TRIM('Raw Data'!E52))=0),"",IF(AND(ISNUMBER('Raw Data'!E52), IFERROR('Raw Data'!E52 = ROUND('Raw Data'!E52, 2),FALSE)),"",_xlfn.REGEXEXTRACT(CELL("address",E52), "\$([A-Z]+)\$[0-9]+"))),_xlfn.REGEXEXTRACT(CELL("address",E52), "\$([A-Z]+)\$[0-9]+"))</f>
        <v/>
      </c>
      <c r="F52" s="7" t="str" cm="1">
        <f t="array" aca="1" ref="F52" ca="1">IFERROR(IF(OR('Raw Data'!F52="",LEN(TRIM('Raw Data'!F52))=0),"",IF(AND(ISNUMBER('Raw Data'!F52), IFERROR('Raw Data'!F52 = ROUND('Raw Data'!F52, 2),FALSE)),"",_xlfn.REGEXEXTRACT(CELL("address",F52), "\$([A-Z]+)\$[0-9]+"))),_xlfn.REGEXEXTRACT(CELL("address",F52), "\$([A-Z]+)\$[0-9]+"))</f>
        <v/>
      </c>
      <c r="G52" s="7" t="str" cm="1">
        <f t="array" aca="1" ref="G52" ca="1">IFERROR(IF(OR('Raw Data'!G52="",LEN(TRIM('Raw Data'!G52))=0),"",IF(AND(ISNUMBER('Raw Data'!G52), IFERROR('Raw Data'!G52 = ROUND('Raw Data'!G52, 2),FALSE)),"",_xlfn.REGEXEXTRACT(CELL("address",G52), "\$([A-Z]+)\$[0-9]+"))),_xlfn.REGEXEXTRACT(CELL("address",G52), "\$([A-Z]+)\$[0-9]+"))</f>
        <v/>
      </c>
      <c r="H52" s="7" t="str" cm="1">
        <f t="array" aca="1" ref="H52" ca="1">IFERROR(IF(OR('Raw Data'!H52="",LEN(TRIM('Raw Data'!H52))=0),"",IF(AND(ISNUMBER('Raw Data'!H52), IFERROR('Raw Data'!H52 = ROUND('Raw Data'!H52, 2),FALSE)),"",_xlfn.REGEXEXTRACT(CELL("address",H52), "\$([A-Z]+)\$[0-9]+"))),_xlfn.REGEXEXTRACT(CELL("address",H52), "\$([A-Z]+)\$[0-9]+"))</f>
        <v/>
      </c>
      <c r="I52" s="7" t="str" cm="1">
        <f t="array" aca="1" ref="I52" ca="1">IFERROR(IF(OR('Raw Data'!I52="",LEN(TRIM('Raw Data'!I52))=0),"",IF(AND(ISNUMBER('Raw Data'!I52), IFERROR('Raw Data'!I52 = ROUND('Raw Data'!I52, 2),FALSE)),"",_xlfn.REGEXEXTRACT(CELL("address",I52), "\$([A-Z]+)\$[0-9]+"))),_xlfn.REGEXEXTRACT(CELL("address",I52), "\$([A-Z]+)\$[0-9]+"))</f>
        <v/>
      </c>
      <c r="J52" s="7" t="str" cm="1">
        <f t="array" aca="1" ref="J52" ca="1">IFERROR(IF(OR('Raw Data'!J52="",LEN(TRIM('Raw Data'!J52))=0),"",IF(AND(ISNUMBER('Raw Data'!J52), IFERROR('Raw Data'!J52 = ROUND('Raw Data'!J52, 2),FALSE)),"",_xlfn.REGEXEXTRACT(CELL("address",J52), "\$([A-Z]+)\$[0-9]+"))),_xlfn.REGEXEXTRACT(CELL("address",J52), "\$([A-Z]+)\$[0-9]+"))</f>
        <v/>
      </c>
      <c r="K52" s="7" t="str" cm="1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7" t="str" cm="1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7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7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7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7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 cm="1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7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7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7" t="str" cm="1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7" t="str" cm="1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  <c r="Z52" s="7" t="str" cm="1">
        <f t="array" aca="1" ref="Z52" ca="1">IFERROR(IF(OR('Raw Data'!Z52="",LEN(TRIM('Raw Data'!Z52))=0),"",IF(AND(ISNUMBER('Raw Data'!Z52), IFERROR('Raw Data'!Z52 = ROUND('Raw Data'!Z52, 2),FALSE)),"",_xlfn.REGEXEXTRACT(CELL("address",Z52), "\$([A-Z]+)\$[0-9]+"))),_xlfn.REGEXEXTRACT(CELL("address",Z52), "\$([A-Z]+)\$[0-9]+"))</f>
        <v/>
      </c>
      <c r="AA52" s="7" t="str" cm="1">
        <f t="array" aca="1" ref="AA52" ca="1">IFERROR(IF(OR('Raw Data'!AA52="",LEN(TRIM('Raw Data'!AA52))=0),"",IF(AND(ISNUMBER('Raw Data'!AA52), IFERROR('Raw Data'!AA52 = ROUND('Raw Data'!AA52, 2),FALSE)),"",_xlfn.REGEXEXTRACT(CELL("address",AA52), "\$([A-Z]+)\$[0-9]+"))),_xlfn.REGEXEXTRACT(CELL("address",AA52), "\$([A-Z]+)\$[0-9]+"))</f>
        <v/>
      </c>
      <c r="AB52" s="7" t="str" cm="1">
        <f t="array" aca="1" ref="AB52" ca="1">IFERROR(IF(OR('Raw Data'!AB52="",LEN(TRIM('Raw Data'!AB52))=0),"",IF(AND(ISNUMBER('Raw Data'!AB52), IFERROR('Raw Data'!AB52 = ROUND('Raw Data'!AB52, 2),FALSE)),"",_xlfn.REGEXEXTRACT(CELL("address",AB52), "\$([A-Z]+)\$[0-9]+"))),_xlfn.REGEXEXTRACT(CELL("address",AB52), "\$([A-Z]+)\$[0-9]+"))</f>
        <v/>
      </c>
      <c r="AC52" s="7" t="str" cm="1">
        <f t="array" aca="1" ref="AC52" ca="1">IFERROR(IF(OR('Raw Data'!AC52="",LEN(TRIM('Raw Data'!AC52))=0),"",IF(AND(ISNUMBER('Raw Data'!AC52), IFERROR('Raw Data'!AC52 = ROUND('Raw Data'!AC52, 2),FALSE)),"",_xlfn.REGEXEXTRACT(CELL("address",AC52), "\$([A-Z]+)\$[0-9]+"))),_xlfn.REGEXEXTRACT(CELL("address",AC52), "\$([A-Z]+)\$[0-9]+"))</f>
        <v/>
      </c>
      <c r="AD52" s="7" t="str" cm="1">
        <f t="array" aca="1" ref="AD52" ca="1">IFERROR(IF(OR('Raw Data'!AD52="",LEN(TRIM('Raw Data'!AD52))=0),"",IF(AND(ISNUMBER('Raw Data'!AD52), IFERROR('Raw Data'!AD52 = ROUND('Raw Data'!AD52, 2),FALSE)),"",_xlfn.REGEXEXTRACT(CELL("address",AD52), "\$([A-Z]+)\$[0-9]+"))),_xlfn.REGEXEXTRACT(CELL("address",AD52), "\$([A-Z]+)\$[0-9]+"))</f>
        <v/>
      </c>
      <c r="AE52" s="7" t="str" cm="1">
        <f t="array" aca="1" ref="AE52" ca="1">IFERROR(IF(OR('Raw Data'!AE52="",LEN(TRIM('Raw Data'!AE52))=0),"",IF(AND(ISNUMBER('Raw Data'!AE52), IFERROR('Raw Data'!AE52 = ROUND('Raw Data'!AE52, 2),FALSE)),"",_xlfn.REGEXEXTRACT(CELL("address",AE52), "\$([A-Z]+)\$[0-9]+"))),_xlfn.REGEXEXTRACT(CELL("address",AE52), "\$([A-Z]+)\$[0-9]+"))</f>
        <v/>
      </c>
      <c r="AF52" s="7" t="str" cm="1">
        <f t="array" aca="1" ref="AF52" ca="1">IFERROR(IF(OR('Raw Data'!AF52="",LEN(TRIM('Raw Data'!AF52))=0),"",IF(AND(ISNUMBER('Raw Data'!AF52), IFERROR('Raw Data'!AF52 = ROUND('Raw Data'!AF52, 2),FALSE)),"",_xlfn.REGEXEXTRACT(CELL("address",AF52), "\$([A-Z]+)\$[0-9]+"))),_xlfn.REGEXEXTRACT(CELL("address",AF52), "\$([A-Z]+)\$[0-9]+"))</f>
        <v/>
      </c>
      <c r="AG52" s="7" t="str" cm="1">
        <f t="array" aca="1" ref="AG52" ca="1">IFERROR(IF(OR('Raw Data'!AG52="",LEN(TRIM('Raw Data'!AG52))=0),"",IF(AND(ISNUMBER('Raw Data'!AG52), IFERROR('Raw Data'!AG52 = ROUND('Raw Data'!AG52, 2),FALSE)),"",_xlfn.REGEXEXTRACT(CELL("address",AG52), "\$([A-Z]+)\$[0-9]+"))),_xlfn.REGEXEXTRACT(CELL("address",AG52), "\$([A-Z]+)\$[0-9]+"))</f>
        <v/>
      </c>
      <c r="AH52" s="7" t="str" cm="1">
        <f t="array" aca="1" ref="AH52" ca="1">IFERROR(IF(OR('Raw Data'!AH52="",LEN(TRIM('Raw Data'!AH52))=0),"",IF(AND(ISNUMBER('Raw Data'!AH52), IFERROR('Raw Data'!AH52 = ROUND('Raw Data'!AH52, 2),FALSE)),"",_xlfn.REGEXEXTRACT(CELL("address",AH52), "\$([A-Z]+)\$[0-9]+"))),_xlfn.REGEXEXTRACT(CELL("address",AH52), "\$([A-Z]+)\$[0-9]+"))</f>
        <v/>
      </c>
      <c r="AI52" s="7" t="str" cm="1">
        <f t="array" aca="1" ref="AI52" ca="1">IFERROR(IF(OR('Raw Data'!AI52="",LEN(TRIM('Raw Data'!AI52))=0),"",IF(AND(ISNUMBER('Raw Data'!AI52), IFERROR('Raw Data'!AI52 = ROUND('Raw Data'!AI52, 2),FALSE)),"",_xlfn.REGEXEXTRACT(CELL("address",AI52), "\$([A-Z]+)\$[0-9]+"))),_xlfn.REGEXEXTRACT(CELL("address",AI52), "\$([A-Z]+)\$[0-9]+"))</f>
        <v/>
      </c>
      <c r="AJ52" s="7" t="str" cm="1">
        <f t="array" aca="1" ref="AJ52" ca="1">IFERROR(IF(OR('Raw Data'!AJ52="",LEN(TRIM('Raw Data'!AJ52))=0),"",IF(AND(ISNUMBER('Raw Data'!AJ52), IFERROR('Raw Data'!AJ52 = ROUND('Raw Data'!AJ52, 2),FALSE)),"",_xlfn.REGEXEXTRACT(CELL("address",AJ52), "\$([A-Z]+)\$[0-9]+"))),_xlfn.REGEXEXTRACT(CELL("address",AJ52), "\$([A-Z]+)\$[0-9]+"))</f>
        <v/>
      </c>
    </row>
    <row r="53" spans="2:36" x14ac:dyDescent="0.25">
      <c r="B53" s="7" t="str" cm="1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20,LEN('Raw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Data'!D53))=0),"",IF(AND(ISNUMBER('Raw Data'!D53),'Raw Data'!D53&gt;=Configuration!$D$2),"",_xlfn.REGEXEXTRACT(CELL("address",'Raw Data'!D53),"\$([A-Z]+)\$[0-9]+"))),_xlfn.REGEXEXTRACT(CELL("address",D53), "\$([A-Z]+)\$[0-9]+"))</f>
        <v/>
      </c>
      <c r="E53" s="7" t="str" cm="1">
        <f t="array" aca="1" ref="E53" ca="1">IFERROR(IF(OR('Raw Data'!E53="",LEN(TRIM('Raw Data'!E53))=0),"",IF(AND(ISNUMBER('Raw Data'!E53), IFERROR('Raw Data'!E53 = ROUND('Raw Data'!E53, 2),FALSE)),"",_xlfn.REGEXEXTRACT(CELL("address",E53), "\$([A-Z]+)\$[0-9]+"))),_xlfn.REGEXEXTRACT(CELL("address",E53), "\$([A-Z]+)\$[0-9]+"))</f>
        <v/>
      </c>
      <c r="F53" s="7" t="str" cm="1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"\$([A-Z]+)\$[0-9]+"))),_xlfn.REGEXEXTRACT(CELL("address",F53), "\$([A-Z]+)\$[0-9]+"))</f>
        <v/>
      </c>
      <c r="G53" s="7" t="str" cm="1">
        <f t="array" aca="1" ref="G53" ca="1">IFERROR(IF(OR('Raw Data'!G53="",LEN(TRIM('Raw Data'!G53))=0),"",IF(AND(ISNUMBER('Raw Data'!G53), IFERROR('Raw Data'!G53 = ROUND('Raw Data'!G53, 2),FALSE)),"",_xlfn.REGEXEXTRACT(CELL("address",G53), "\$([A-Z]+)\$[0-9]+"))),_xlfn.REGEXEXTRACT(CELL("address",G53), "\$([A-Z]+)\$[0-9]+"))</f>
        <v/>
      </c>
      <c r="H53" s="7" t="str" cm="1">
        <f t="array" aca="1" ref="H53" ca="1">IFERROR(IF(OR('Raw Data'!H53="",LEN(TRIM('Raw Data'!H53))=0),"",IF(AND(ISNUMBER('Raw Data'!H53), IFERROR('Raw Data'!H53 = ROUND('Raw Data'!H53, 2),FALSE)),"",_xlfn.REGEXEXTRACT(CELL("address",H53), "\$([A-Z]+)\$[0-9]+"))),_xlfn.REGEXEXTRACT(CELL("address",H53), "\$([A-Z]+)\$[0-9]+"))</f>
        <v/>
      </c>
      <c r="I53" s="7" t="str" cm="1">
        <f t="array" aca="1" ref="I53" ca="1">IFERROR(IF(OR('Raw Data'!I53="",LEN(TRIM('Raw Data'!I53))=0),"",IF(AND(ISNUMBER('Raw Data'!I53), IFERROR('Raw Data'!I53 = ROUND('Raw Data'!I53, 2),FALSE)),"",_xlfn.REGEXEXTRACT(CELL("address",I53), "\$([A-Z]+)\$[0-9]+"))),_xlfn.REGEXEXTRACT(CELL("address",I53), "\$([A-Z]+)\$[0-9]+"))</f>
        <v/>
      </c>
      <c r="J53" s="7" t="str" cm="1">
        <f t="array" aca="1" ref="J53" ca="1">IFERROR(IF(OR('Raw Data'!J53="",LEN(TRIM('Raw Data'!J53))=0),"",IF(AND(ISNUMBER('Raw Data'!J53), IFERROR('Raw Data'!J53 = ROUND('Raw Data'!J53, 2),FALSE)),"",_xlfn.REGEXEXTRACT(CELL("address",J53), "\$([A-Z]+)\$[0-9]+"))),_xlfn.REGEXEXTRACT(CELL("address",J53), "\$([A-Z]+)\$[0-9]+"))</f>
        <v/>
      </c>
      <c r="K53" s="7" t="str" cm="1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7" t="str" cm="1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7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7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7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7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 cm="1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7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7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7" t="str" cm="1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7" t="str" cm="1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  <c r="Z53" s="7" t="str" cm="1">
        <f t="array" aca="1" ref="Z53" ca="1">IFERROR(IF(OR('Raw Data'!Z53="",LEN(TRIM('Raw Data'!Z53))=0),"",IF(AND(ISNUMBER('Raw Data'!Z53), IFERROR('Raw Data'!Z53 = ROUND('Raw Data'!Z53, 2),FALSE)),"",_xlfn.REGEXEXTRACT(CELL("address",Z53), "\$([A-Z]+)\$[0-9]+"))),_xlfn.REGEXEXTRACT(CELL("address",Z53), "\$([A-Z]+)\$[0-9]+"))</f>
        <v/>
      </c>
      <c r="AA53" s="7" t="str" cm="1">
        <f t="array" aca="1" ref="AA53" ca="1">IFERROR(IF(OR('Raw Data'!AA53="",LEN(TRIM('Raw Data'!AA53))=0),"",IF(AND(ISNUMBER('Raw Data'!AA53), IFERROR('Raw Data'!AA53 = ROUND('Raw Data'!AA53, 2),FALSE)),"",_xlfn.REGEXEXTRACT(CELL("address",AA53), "\$([A-Z]+)\$[0-9]+"))),_xlfn.REGEXEXTRACT(CELL("address",AA53), "\$([A-Z]+)\$[0-9]+"))</f>
        <v/>
      </c>
      <c r="AB53" s="7" t="str" cm="1">
        <f t="array" aca="1" ref="AB53" ca="1">IFERROR(IF(OR('Raw Data'!AB53="",LEN(TRIM('Raw Data'!AB53))=0),"",IF(AND(ISNUMBER('Raw Data'!AB53), IFERROR('Raw Data'!AB53 = ROUND('Raw Data'!AB53, 2),FALSE)),"",_xlfn.REGEXEXTRACT(CELL("address",AB53), "\$([A-Z]+)\$[0-9]+"))),_xlfn.REGEXEXTRACT(CELL("address",AB53), "\$([A-Z]+)\$[0-9]+"))</f>
        <v/>
      </c>
      <c r="AC53" s="7" t="str" cm="1">
        <f t="array" aca="1" ref="AC53" ca="1">IFERROR(IF(OR('Raw Data'!AC53="",LEN(TRIM('Raw Data'!AC53))=0),"",IF(AND(ISNUMBER('Raw Data'!AC53), IFERROR('Raw Data'!AC53 = ROUND('Raw Data'!AC53, 2),FALSE)),"",_xlfn.REGEXEXTRACT(CELL("address",AC53), "\$([A-Z]+)\$[0-9]+"))),_xlfn.REGEXEXTRACT(CELL("address",AC53), "\$([A-Z]+)\$[0-9]+"))</f>
        <v/>
      </c>
      <c r="AD53" s="7" t="str" cm="1">
        <f t="array" aca="1" ref="AD53" ca="1">IFERROR(IF(OR('Raw Data'!AD53="",LEN(TRIM('Raw Data'!AD53))=0),"",IF(AND(ISNUMBER('Raw Data'!AD53), IFERROR('Raw Data'!AD53 = ROUND('Raw Data'!AD53, 2),FALSE)),"",_xlfn.REGEXEXTRACT(CELL("address",AD53), "\$([A-Z]+)\$[0-9]+"))),_xlfn.REGEXEXTRACT(CELL("address",AD53), "\$([A-Z]+)\$[0-9]+"))</f>
        <v/>
      </c>
      <c r="AE53" s="7" t="str" cm="1">
        <f t="array" aca="1" ref="AE53" ca="1">IFERROR(IF(OR('Raw Data'!AE53="",LEN(TRIM('Raw Data'!AE53))=0),"",IF(AND(ISNUMBER('Raw Data'!AE53), IFERROR('Raw Data'!AE53 = ROUND('Raw Data'!AE53, 2),FALSE)),"",_xlfn.REGEXEXTRACT(CELL("address",AE53), "\$([A-Z]+)\$[0-9]+"))),_xlfn.REGEXEXTRACT(CELL("address",AE53), "\$([A-Z]+)\$[0-9]+"))</f>
        <v/>
      </c>
      <c r="AF53" s="7" t="str" cm="1">
        <f t="array" aca="1" ref="AF53" ca="1">IFERROR(IF(OR('Raw Data'!AF53="",LEN(TRIM('Raw Data'!AF53))=0),"",IF(AND(ISNUMBER('Raw Data'!AF53), IFERROR('Raw Data'!AF53 = ROUND('Raw Data'!AF53, 2),FALSE)),"",_xlfn.REGEXEXTRACT(CELL("address",AF53), "\$([A-Z]+)\$[0-9]+"))),_xlfn.REGEXEXTRACT(CELL("address",AF53), "\$([A-Z]+)\$[0-9]+"))</f>
        <v/>
      </c>
      <c r="AG53" s="7" t="str" cm="1">
        <f t="array" aca="1" ref="AG53" ca="1">IFERROR(IF(OR('Raw Data'!AG53="",LEN(TRIM('Raw Data'!AG53))=0),"",IF(AND(ISNUMBER('Raw Data'!AG53), IFERROR('Raw Data'!AG53 = ROUND('Raw Data'!AG53, 2),FALSE)),"",_xlfn.REGEXEXTRACT(CELL("address",AG53), "\$([A-Z]+)\$[0-9]+"))),_xlfn.REGEXEXTRACT(CELL("address",AG53), "\$([A-Z]+)\$[0-9]+"))</f>
        <v/>
      </c>
      <c r="AH53" s="7" t="str" cm="1">
        <f t="array" aca="1" ref="AH53" ca="1">IFERROR(IF(OR('Raw Data'!AH53="",LEN(TRIM('Raw Data'!AH53))=0),"",IF(AND(ISNUMBER('Raw Data'!AH53), IFERROR('Raw Data'!AH53 = ROUND('Raw Data'!AH53, 2),FALSE)),"",_xlfn.REGEXEXTRACT(CELL("address",AH53), "\$([A-Z]+)\$[0-9]+"))),_xlfn.REGEXEXTRACT(CELL("address",AH53), "\$([A-Z]+)\$[0-9]+"))</f>
        <v/>
      </c>
      <c r="AI53" s="7" t="str" cm="1">
        <f t="array" aca="1" ref="AI53" ca="1">IFERROR(IF(OR('Raw Data'!AI53="",LEN(TRIM('Raw Data'!AI53))=0),"",IF(AND(ISNUMBER('Raw Data'!AI53), IFERROR('Raw Data'!AI53 = ROUND('Raw Data'!AI53, 2),FALSE)),"",_xlfn.REGEXEXTRACT(CELL("address",AI53), "\$([A-Z]+)\$[0-9]+"))),_xlfn.REGEXEXTRACT(CELL("address",AI53), "\$([A-Z]+)\$[0-9]+"))</f>
        <v/>
      </c>
      <c r="AJ53" s="7" t="str" cm="1">
        <f t="array" aca="1" ref="AJ53" ca="1">IFERROR(IF(OR('Raw Data'!AJ53="",LEN(TRIM('Raw Data'!AJ53))=0),"",IF(AND(ISNUMBER('Raw Data'!AJ53), IFERROR('Raw Data'!AJ53 = ROUND('Raw Data'!AJ53, 2),FALSE)),"",_xlfn.REGEXEXTRACT(CELL("address",AJ53), "\$([A-Z]+)\$[0-9]+"))),_xlfn.REGEXEXTRACT(CELL("address",AJ53), "\$([A-Z]+)\$[0-9]+"))</f>
        <v/>
      </c>
    </row>
    <row r="54" spans="2:36" x14ac:dyDescent="0.25">
      <c r="B54" s="7" t="str" cm="1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20,LEN('Raw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Data'!D54))=0),"",IF(AND(ISNUMBER('Raw Data'!D54),'Raw Data'!D54&gt;=Configuration!$D$2),"",_xlfn.REGEXEXTRACT(CELL("address",'Raw Data'!D54),"\$([A-Z]+)\$[0-9]+"))),_xlfn.REGEXEXTRACT(CELL("address",D54), "\$([A-Z]+)\$[0-9]+"))</f>
        <v/>
      </c>
      <c r="E54" s="7" t="str" cm="1">
        <f t="array" aca="1" ref="E54" ca="1">IFERROR(IF(OR('Raw Data'!E54="",LEN(TRIM('Raw Data'!E54))=0),"",IF(AND(ISNUMBER('Raw Data'!E54), IFERROR('Raw Data'!E54 = ROUND('Raw Data'!E54, 2),FALSE)),"",_xlfn.REGEXEXTRACT(CELL("address",E54), "\$([A-Z]+)\$[0-9]+"))),_xlfn.REGEXEXTRACT(CELL("address",E54), "\$([A-Z]+)\$[0-9]+"))</f>
        <v/>
      </c>
      <c r="F54" s="7" t="str" cm="1">
        <f t="array" aca="1" ref="F54" ca="1">IFERROR(IF(OR('Raw Data'!F54="",LEN(TRIM('Raw Data'!F54))=0),"",IF(AND(ISNUMBER('Raw Data'!F54), IFERROR('Raw Data'!F54 = ROUND('Raw Data'!F54, 2),FALSE)),"",_xlfn.REGEXEXTRACT(CELL("address",F54), "\$([A-Z]+)\$[0-9]+"))),_xlfn.REGEXEXTRACT(CELL("address",F54), "\$([A-Z]+)\$[0-9]+"))</f>
        <v/>
      </c>
      <c r="G54" s="7" t="str" cm="1">
        <f t="array" aca="1" ref="G54" ca="1">IFERROR(IF(OR('Raw Data'!G54="",LEN(TRIM('Raw Data'!G54))=0),"",IF(AND(ISNUMBER('Raw Data'!G54), IFERROR('Raw Data'!G54 = ROUND('Raw Data'!G54, 2),FALSE)),"",_xlfn.REGEXEXTRACT(CELL("address",G54), "\$([A-Z]+)\$[0-9]+"))),_xlfn.REGEXEXTRACT(CELL("address",G54), "\$([A-Z]+)\$[0-9]+"))</f>
        <v/>
      </c>
      <c r="H54" s="7" t="str" cm="1">
        <f t="array" aca="1" ref="H54" ca="1">IFERROR(IF(OR('Raw Data'!H54="",LEN(TRIM('Raw Data'!H54))=0),"",IF(AND(ISNUMBER('Raw Data'!H54), IFERROR('Raw Data'!H54 = ROUND('Raw Data'!H54, 2),FALSE)),"",_xlfn.REGEXEXTRACT(CELL("address",H54), "\$([A-Z]+)\$[0-9]+"))),_xlfn.REGEXEXTRACT(CELL("address",H54), "\$([A-Z]+)\$[0-9]+"))</f>
        <v/>
      </c>
      <c r="I54" s="7" t="str" cm="1">
        <f t="array" aca="1" ref="I54" ca="1">IFERROR(IF(OR('Raw Data'!I54="",LEN(TRIM('Raw Data'!I54))=0),"",IF(AND(ISNUMBER('Raw Data'!I54), IFERROR('Raw Data'!I54 = ROUND('Raw Data'!I54, 2),FALSE)),"",_xlfn.REGEXEXTRACT(CELL("address",I54), "\$([A-Z]+)\$[0-9]+"))),_xlfn.REGEXEXTRACT(CELL("address",I54), "\$([A-Z]+)\$[0-9]+"))</f>
        <v/>
      </c>
      <c r="J54" s="7" t="str" cm="1">
        <f t="array" aca="1" ref="J54" ca="1">IFERROR(IF(OR('Raw Data'!J54="",LEN(TRIM('Raw Data'!J54))=0),"",IF(AND(ISNUMBER('Raw Data'!J54), IFERROR('Raw Data'!J54 = ROUND('Raw Data'!J54, 2),FALSE)),"",_xlfn.REGEXEXTRACT(CELL("address",J54), "\$([A-Z]+)\$[0-9]+"))),_xlfn.REGEXEXTRACT(CELL("address",J54), "\$([A-Z]+)\$[0-9]+"))</f>
        <v/>
      </c>
      <c r="K54" s="7" t="str" cm="1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7" t="str" cm="1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7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7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7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7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 cm="1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7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7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7" t="str" cm="1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7" t="str" cm="1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  <c r="Z54" s="7" t="str" cm="1">
        <f t="array" aca="1" ref="Z54" ca="1">IFERROR(IF(OR('Raw Data'!Z54="",LEN(TRIM('Raw Data'!Z54))=0),"",IF(AND(ISNUMBER('Raw Data'!Z54), IFERROR('Raw Data'!Z54 = ROUND('Raw Data'!Z54, 2),FALSE)),"",_xlfn.REGEXEXTRACT(CELL("address",Z54), "\$([A-Z]+)\$[0-9]+"))),_xlfn.REGEXEXTRACT(CELL("address",Z54), "\$([A-Z]+)\$[0-9]+"))</f>
        <v/>
      </c>
      <c r="AA54" s="7" t="str" cm="1">
        <f t="array" aca="1" ref="AA54" ca="1">IFERROR(IF(OR('Raw Data'!AA54="",LEN(TRIM('Raw Data'!AA54))=0),"",IF(AND(ISNUMBER('Raw Data'!AA54), IFERROR('Raw Data'!AA54 = ROUND('Raw Data'!AA54, 2),FALSE)),"",_xlfn.REGEXEXTRACT(CELL("address",AA54), "\$([A-Z]+)\$[0-9]+"))),_xlfn.REGEXEXTRACT(CELL("address",AA54), "\$([A-Z]+)\$[0-9]+"))</f>
        <v/>
      </c>
      <c r="AB54" s="7" t="str" cm="1">
        <f t="array" aca="1" ref="AB54" ca="1">IFERROR(IF(OR('Raw Data'!AB54="",LEN(TRIM('Raw Data'!AB54))=0),"",IF(AND(ISNUMBER('Raw Data'!AB54), IFERROR('Raw Data'!AB54 = ROUND('Raw Data'!AB54, 2),FALSE)),"",_xlfn.REGEXEXTRACT(CELL("address",AB54), "\$([A-Z]+)\$[0-9]+"))),_xlfn.REGEXEXTRACT(CELL("address",AB54), "\$([A-Z]+)\$[0-9]+"))</f>
        <v/>
      </c>
      <c r="AC54" s="7" t="str" cm="1">
        <f t="array" aca="1" ref="AC54" ca="1">IFERROR(IF(OR('Raw Data'!AC54="",LEN(TRIM('Raw Data'!AC54))=0),"",IF(AND(ISNUMBER('Raw Data'!AC54), IFERROR('Raw Data'!AC54 = ROUND('Raw Data'!AC54, 2),FALSE)),"",_xlfn.REGEXEXTRACT(CELL("address",AC54), "\$([A-Z]+)\$[0-9]+"))),_xlfn.REGEXEXTRACT(CELL("address",AC54), "\$([A-Z]+)\$[0-9]+"))</f>
        <v/>
      </c>
      <c r="AD54" s="7" t="str" cm="1">
        <f t="array" aca="1" ref="AD54" ca="1">IFERROR(IF(OR('Raw Data'!AD54="",LEN(TRIM('Raw Data'!AD54))=0),"",IF(AND(ISNUMBER('Raw Data'!AD54), IFERROR('Raw Data'!AD54 = ROUND('Raw Data'!AD54, 2),FALSE)),"",_xlfn.REGEXEXTRACT(CELL("address",AD54), "\$([A-Z]+)\$[0-9]+"))),_xlfn.REGEXEXTRACT(CELL("address",AD54), "\$([A-Z]+)\$[0-9]+"))</f>
        <v/>
      </c>
      <c r="AE54" s="7" t="str" cm="1">
        <f t="array" aca="1" ref="AE54" ca="1">IFERROR(IF(OR('Raw Data'!AE54="",LEN(TRIM('Raw Data'!AE54))=0),"",IF(AND(ISNUMBER('Raw Data'!AE54), IFERROR('Raw Data'!AE54 = ROUND('Raw Data'!AE54, 2),FALSE)),"",_xlfn.REGEXEXTRACT(CELL("address",AE54), "\$([A-Z]+)\$[0-9]+"))),_xlfn.REGEXEXTRACT(CELL("address",AE54), "\$([A-Z]+)\$[0-9]+"))</f>
        <v/>
      </c>
      <c r="AF54" s="7" t="str" cm="1">
        <f t="array" aca="1" ref="AF54" ca="1">IFERROR(IF(OR('Raw Data'!AF54="",LEN(TRIM('Raw Data'!AF54))=0),"",IF(AND(ISNUMBER('Raw Data'!AF54), IFERROR('Raw Data'!AF54 = ROUND('Raw Data'!AF54, 2),FALSE)),"",_xlfn.REGEXEXTRACT(CELL("address",AF54), "\$([A-Z]+)\$[0-9]+"))),_xlfn.REGEXEXTRACT(CELL("address",AF54), "\$([A-Z]+)\$[0-9]+"))</f>
        <v/>
      </c>
      <c r="AG54" s="7" t="str" cm="1">
        <f t="array" aca="1" ref="AG54" ca="1">IFERROR(IF(OR('Raw Data'!AG54="",LEN(TRIM('Raw Data'!AG54))=0),"",IF(AND(ISNUMBER('Raw Data'!AG54), IFERROR('Raw Data'!AG54 = ROUND('Raw Data'!AG54, 2),FALSE)),"",_xlfn.REGEXEXTRACT(CELL("address",AG54), "\$([A-Z]+)\$[0-9]+"))),_xlfn.REGEXEXTRACT(CELL("address",AG54), "\$([A-Z]+)\$[0-9]+"))</f>
        <v/>
      </c>
      <c r="AH54" s="7" t="str" cm="1">
        <f t="array" aca="1" ref="AH54" ca="1">IFERROR(IF(OR('Raw Data'!AH54="",LEN(TRIM('Raw Data'!AH54))=0),"",IF(AND(ISNUMBER('Raw Data'!AH54), IFERROR('Raw Data'!AH54 = ROUND('Raw Data'!AH54, 2),FALSE)),"",_xlfn.REGEXEXTRACT(CELL("address",AH54), "\$([A-Z]+)\$[0-9]+"))),_xlfn.REGEXEXTRACT(CELL("address",AH54), "\$([A-Z]+)\$[0-9]+"))</f>
        <v/>
      </c>
      <c r="AI54" s="7" t="str" cm="1">
        <f t="array" aca="1" ref="AI54" ca="1">IFERROR(IF(OR('Raw Data'!AI54="",LEN(TRIM('Raw Data'!AI54))=0),"",IF(AND(ISNUMBER('Raw Data'!AI54), IFERROR('Raw Data'!AI54 = ROUND('Raw Data'!AI54, 2),FALSE)),"",_xlfn.REGEXEXTRACT(CELL("address",AI54), "\$([A-Z]+)\$[0-9]+"))),_xlfn.REGEXEXTRACT(CELL("address",AI54), "\$([A-Z]+)\$[0-9]+"))</f>
        <v/>
      </c>
      <c r="AJ54" s="7" t="str" cm="1">
        <f t="array" aca="1" ref="AJ54" ca="1">IFERROR(IF(OR('Raw Data'!AJ54="",LEN(TRIM('Raw Data'!AJ54))=0),"",IF(AND(ISNUMBER('Raw Data'!AJ54), IFERROR('Raw Data'!AJ54 = ROUND('Raw Data'!AJ54, 2),FALSE)),"",_xlfn.REGEXEXTRACT(CELL("address",AJ54), "\$([A-Z]+)\$[0-9]+"))),_xlfn.REGEXEXTRACT(CELL("address",AJ54), "\$([A-Z]+)\$[0-9]+"))</f>
        <v/>
      </c>
    </row>
    <row r="55" spans="2:36" x14ac:dyDescent="0.25">
      <c r="B55" s="7" t="str" cm="1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20,LEN('Raw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Data'!D55))=0),"",IF(AND(ISNUMBER('Raw Data'!D55),'Raw Data'!D55&gt;=Configuration!$D$2),"",_xlfn.REGEXEXTRACT(CELL("address",'Raw Data'!D55),"\$([A-Z]+)\$[0-9]+"))),_xlfn.REGEXEXTRACT(CELL("address",D55), "\$([A-Z]+)\$[0-9]+"))</f>
        <v/>
      </c>
      <c r="E55" s="7" t="str" cm="1">
        <f t="array" aca="1" ref="E55" ca="1">IFERROR(IF(OR('Raw Data'!E55="",LEN(TRIM('Raw Data'!E55))=0),"",IF(AND(ISNUMBER('Raw Data'!E55), IFERROR('Raw Data'!E55 = ROUND('Raw Data'!E55, 2),FALSE)),"",_xlfn.REGEXEXTRACT(CELL("address",E55), "\$([A-Z]+)\$[0-9]+"))),_xlfn.REGEXEXTRACT(CELL("address",E55), "\$([A-Z]+)\$[0-9]+"))</f>
        <v/>
      </c>
      <c r="F55" s="7" t="str" cm="1">
        <f t="array" aca="1" ref="F55" ca="1">IFERROR(IF(OR('Raw Data'!F55="",LEN(TRIM('Raw Data'!F55))=0),"",IF(AND(ISNUMBER('Raw Data'!F55), IFERROR('Raw Data'!F55 = ROUND('Raw Data'!F55, 2),FALSE)),"",_xlfn.REGEXEXTRACT(CELL("address",F55), "\$([A-Z]+)\$[0-9]+"))),_xlfn.REGEXEXTRACT(CELL("address",F55), "\$([A-Z]+)\$[0-9]+"))</f>
        <v/>
      </c>
      <c r="G55" s="7" t="str" cm="1">
        <f t="array" aca="1" ref="G55" ca="1">IFERROR(IF(OR('Raw Data'!G55="",LEN(TRIM('Raw Data'!G55))=0),"",IF(AND(ISNUMBER('Raw Data'!G55), IFERROR('Raw Data'!G55 = ROUND('Raw Data'!G55, 2),FALSE)),"",_xlfn.REGEXEXTRACT(CELL("address",G55), "\$([A-Z]+)\$[0-9]+"))),_xlfn.REGEXEXTRACT(CELL("address",G55), "\$([A-Z]+)\$[0-9]+"))</f>
        <v/>
      </c>
      <c r="H55" s="7" t="str" cm="1">
        <f t="array" aca="1" ref="H55" ca="1">IFERROR(IF(OR('Raw Data'!H55="",LEN(TRIM('Raw Data'!H55))=0),"",IF(AND(ISNUMBER('Raw Data'!H55), IFERROR('Raw Data'!H55 = ROUND('Raw Data'!H55, 2),FALSE)),"",_xlfn.REGEXEXTRACT(CELL("address",H55), "\$([A-Z]+)\$[0-9]+"))),_xlfn.REGEXEXTRACT(CELL("address",H55), "\$([A-Z]+)\$[0-9]+"))</f>
        <v/>
      </c>
      <c r="I55" s="7" t="str" cm="1">
        <f t="array" aca="1" ref="I55" ca="1">IFERROR(IF(OR('Raw Data'!I55="",LEN(TRIM('Raw Data'!I55))=0),"",IF(AND(ISNUMBER('Raw Data'!I55), IFERROR('Raw Data'!I55 = ROUND('Raw Data'!I55, 2),FALSE)),"",_xlfn.REGEXEXTRACT(CELL("address",I55), "\$([A-Z]+)\$[0-9]+"))),_xlfn.REGEXEXTRACT(CELL("address",I55), "\$([A-Z]+)\$[0-9]+"))</f>
        <v/>
      </c>
      <c r="J55" s="7" t="str" cm="1">
        <f t="array" aca="1" ref="J55" ca="1">IFERROR(IF(OR('Raw Data'!J55="",LEN(TRIM('Raw Data'!J55))=0),"",IF(AND(ISNUMBER('Raw Data'!J55), IFERROR('Raw Data'!J55 = ROUND('Raw Data'!J55, 2),FALSE)),"",_xlfn.REGEXEXTRACT(CELL("address",J55), "\$([A-Z]+)\$[0-9]+"))),_xlfn.REGEXEXTRACT(CELL("address",J55), "\$([A-Z]+)\$[0-9]+"))</f>
        <v/>
      </c>
      <c r="K55" s="7" t="str" cm="1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7" t="str" cm="1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7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7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7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7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 cm="1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7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7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7" t="str" cm="1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7" t="str" cm="1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  <c r="Z55" s="7" t="str" cm="1">
        <f t="array" aca="1" ref="Z55" ca="1">IFERROR(IF(OR('Raw Data'!Z55="",LEN(TRIM('Raw Data'!Z55))=0),"",IF(AND(ISNUMBER('Raw Data'!Z55), IFERROR('Raw Data'!Z55 = ROUND('Raw Data'!Z55, 2),FALSE)),"",_xlfn.REGEXEXTRACT(CELL("address",Z55), "\$([A-Z]+)\$[0-9]+"))),_xlfn.REGEXEXTRACT(CELL("address",Z55), "\$([A-Z]+)\$[0-9]+"))</f>
        <v/>
      </c>
      <c r="AA55" s="7" t="str" cm="1">
        <f t="array" aca="1" ref="AA55" ca="1">IFERROR(IF(OR('Raw Data'!AA55="",LEN(TRIM('Raw Data'!AA55))=0),"",IF(AND(ISNUMBER('Raw Data'!AA55), IFERROR('Raw Data'!AA55 = ROUND('Raw Data'!AA55, 2),FALSE)),"",_xlfn.REGEXEXTRACT(CELL("address",AA55), "\$([A-Z]+)\$[0-9]+"))),_xlfn.REGEXEXTRACT(CELL("address",AA55), "\$([A-Z]+)\$[0-9]+"))</f>
        <v/>
      </c>
      <c r="AB55" s="7" t="str" cm="1">
        <f t="array" aca="1" ref="AB55" ca="1">IFERROR(IF(OR('Raw Data'!AB55="",LEN(TRIM('Raw Data'!AB55))=0),"",IF(AND(ISNUMBER('Raw Data'!AB55), IFERROR('Raw Data'!AB55 = ROUND('Raw Data'!AB55, 2),FALSE)),"",_xlfn.REGEXEXTRACT(CELL("address",AB55), "\$([A-Z]+)\$[0-9]+"))),_xlfn.REGEXEXTRACT(CELL("address",AB55), "\$([A-Z]+)\$[0-9]+"))</f>
        <v/>
      </c>
      <c r="AC55" s="7" t="str" cm="1">
        <f t="array" aca="1" ref="AC55" ca="1">IFERROR(IF(OR('Raw Data'!AC55="",LEN(TRIM('Raw Data'!AC55))=0),"",IF(AND(ISNUMBER('Raw Data'!AC55), IFERROR('Raw Data'!AC55 = ROUND('Raw Data'!AC55, 2),FALSE)),"",_xlfn.REGEXEXTRACT(CELL("address",AC55), "\$([A-Z]+)\$[0-9]+"))),_xlfn.REGEXEXTRACT(CELL("address",AC55), "\$([A-Z]+)\$[0-9]+"))</f>
        <v/>
      </c>
      <c r="AD55" s="7" t="str" cm="1">
        <f t="array" aca="1" ref="AD55" ca="1">IFERROR(IF(OR('Raw Data'!AD55="",LEN(TRIM('Raw Data'!AD55))=0),"",IF(AND(ISNUMBER('Raw Data'!AD55), IFERROR('Raw Data'!AD55 = ROUND('Raw Data'!AD55, 2),FALSE)),"",_xlfn.REGEXEXTRACT(CELL("address",AD55), "\$([A-Z]+)\$[0-9]+"))),_xlfn.REGEXEXTRACT(CELL("address",AD55), "\$([A-Z]+)\$[0-9]+"))</f>
        <v/>
      </c>
      <c r="AE55" s="7" t="str" cm="1">
        <f t="array" aca="1" ref="AE55" ca="1">IFERROR(IF(OR('Raw Data'!AE55="",LEN(TRIM('Raw Data'!AE55))=0),"",IF(AND(ISNUMBER('Raw Data'!AE55), IFERROR('Raw Data'!AE55 = ROUND('Raw Data'!AE55, 2),FALSE)),"",_xlfn.REGEXEXTRACT(CELL("address",AE55), "\$([A-Z]+)\$[0-9]+"))),_xlfn.REGEXEXTRACT(CELL("address",AE55), "\$([A-Z]+)\$[0-9]+"))</f>
        <v/>
      </c>
      <c r="AF55" s="7" t="str" cm="1">
        <f t="array" aca="1" ref="AF55" ca="1">IFERROR(IF(OR('Raw Data'!AF55="",LEN(TRIM('Raw Data'!AF55))=0),"",IF(AND(ISNUMBER('Raw Data'!AF55), IFERROR('Raw Data'!AF55 = ROUND('Raw Data'!AF55, 2),FALSE)),"",_xlfn.REGEXEXTRACT(CELL("address",AF55), "\$([A-Z]+)\$[0-9]+"))),_xlfn.REGEXEXTRACT(CELL("address",AF55), "\$([A-Z]+)\$[0-9]+"))</f>
        <v/>
      </c>
      <c r="AG55" s="7" t="str" cm="1">
        <f t="array" aca="1" ref="AG55" ca="1">IFERROR(IF(OR('Raw Data'!AG55="",LEN(TRIM('Raw Data'!AG55))=0),"",IF(AND(ISNUMBER('Raw Data'!AG55), IFERROR('Raw Data'!AG55 = ROUND('Raw Data'!AG55, 2),FALSE)),"",_xlfn.REGEXEXTRACT(CELL("address",AG55), "\$([A-Z]+)\$[0-9]+"))),_xlfn.REGEXEXTRACT(CELL("address",AG55), "\$([A-Z]+)\$[0-9]+"))</f>
        <v/>
      </c>
      <c r="AH55" s="7" t="str" cm="1">
        <f t="array" aca="1" ref="AH55" ca="1">IFERROR(IF(OR('Raw Data'!AH55="",LEN(TRIM('Raw Data'!AH55))=0),"",IF(AND(ISNUMBER('Raw Data'!AH55), IFERROR('Raw Data'!AH55 = ROUND('Raw Data'!AH55, 2),FALSE)),"",_xlfn.REGEXEXTRACT(CELL("address",AH55), "\$([A-Z]+)\$[0-9]+"))),_xlfn.REGEXEXTRACT(CELL("address",AH55), "\$([A-Z]+)\$[0-9]+"))</f>
        <v/>
      </c>
      <c r="AI55" s="7" t="str" cm="1">
        <f t="array" aca="1" ref="AI55" ca="1">IFERROR(IF(OR('Raw Data'!AI55="",LEN(TRIM('Raw Data'!AI55))=0),"",IF(AND(ISNUMBER('Raw Data'!AI55), IFERROR('Raw Data'!AI55 = ROUND('Raw Data'!AI55, 2),FALSE)),"",_xlfn.REGEXEXTRACT(CELL("address",AI55), "\$([A-Z]+)\$[0-9]+"))),_xlfn.REGEXEXTRACT(CELL("address",AI55), "\$([A-Z]+)\$[0-9]+"))</f>
        <v/>
      </c>
      <c r="AJ55" s="7" t="str" cm="1">
        <f t="array" aca="1" ref="AJ55" ca="1">IFERROR(IF(OR('Raw Data'!AJ55="",LEN(TRIM('Raw Data'!AJ55))=0),"",IF(AND(ISNUMBER('Raw Data'!AJ55), IFERROR('Raw Data'!AJ55 = ROUND('Raw Data'!AJ55, 2),FALSE)),"",_xlfn.REGEXEXTRACT(CELL("address",AJ55), "\$([A-Z]+)\$[0-9]+"))),_xlfn.REGEXEXTRACT(CELL("address",AJ55), "\$([A-Z]+)\$[0-9]+"))</f>
        <v/>
      </c>
    </row>
    <row r="56" spans="2:36" x14ac:dyDescent="0.25">
      <c r="B56" s="7" t="str" cm="1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20,LEN('Raw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Data'!D56))=0),"",IF(AND(ISNUMBER('Raw Data'!D56),'Raw Data'!D56&gt;=Configuration!$D$2),"",_xlfn.REGEXEXTRACT(CELL("address",'Raw Data'!D56),"\$([A-Z]+)\$[0-9]+"))),_xlfn.REGEXEXTRACT(CELL("address",D56), "\$([A-Z]+)\$[0-9]+"))</f>
        <v/>
      </c>
      <c r="E56" s="7" t="str" cm="1">
        <f t="array" aca="1" ref="E56" ca="1">IFERROR(IF(OR('Raw Data'!E56="",LEN(TRIM('Raw Data'!E56))=0),"",IF(AND(ISNUMBER('Raw Data'!E56), IFERROR('Raw Data'!E56 = ROUND('Raw Data'!E56, 2),FALSE)),"",_xlfn.REGEXEXTRACT(CELL("address",E56), "\$([A-Z]+)\$[0-9]+"))),_xlfn.REGEXEXTRACT(CELL("address",E56), "\$([A-Z]+)\$[0-9]+"))</f>
        <v/>
      </c>
      <c r="F56" s="7" t="str" cm="1">
        <f t="array" aca="1" ref="F56" ca="1">IFERROR(IF(OR('Raw Data'!F56="",LEN(TRIM('Raw Data'!F56))=0),"",IF(AND(ISNUMBER('Raw Data'!F56), IFERROR('Raw Data'!F56 = ROUND('Raw Data'!F56, 2),FALSE)),"",_xlfn.REGEXEXTRACT(CELL("address",F56), "\$([A-Z]+)\$[0-9]+"))),_xlfn.REGEXEXTRACT(CELL("address",F56), "\$([A-Z]+)\$[0-9]+"))</f>
        <v/>
      </c>
      <c r="G56" s="7" t="str" cm="1">
        <f t="array" aca="1" ref="G56" ca="1">IFERROR(IF(OR('Raw Data'!G56="",LEN(TRIM('Raw Data'!G56))=0),"",IF(AND(ISNUMBER('Raw Data'!G56), IFERROR('Raw Data'!G56 = ROUND('Raw Data'!G56, 2),FALSE)),"",_xlfn.REGEXEXTRACT(CELL("address",G56), "\$([A-Z]+)\$[0-9]+"))),_xlfn.REGEXEXTRACT(CELL("address",G56), "\$([A-Z]+)\$[0-9]+"))</f>
        <v/>
      </c>
      <c r="H56" s="7" t="str" cm="1">
        <f t="array" aca="1" ref="H56" ca="1">IFERROR(IF(OR('Raw Data'!H56="",LEN(TRIM('Raw Data'!H56))=0),"",IF(AND(ISNUMBER('Raw Data'!H56), IFERROR('Raw Data'!H56 = ROUND('Raw Data'!H56, 2),FALSE)),"",_xlfn.REGEXEXTRACT(CELL("address",H56), "\$([A-Z]+)\$[0-9]+"))),_xlfn.REGEXEXTRACT(CELL("address",H56), "\$([A-Z]+)\$[0-9]+"))</f>
        <v/>
      </c>
      <c r="I56" s="7" t="str" cm="1">
        <f t="array" aca="1" ref="I56" ca="1">IFERROR(IF(OR('Raw Data'!I56="",LEN(TRIM('Raw Data'!I56))=0),"",IF(AND(ISNUMBER('Raw Data'!I56), IFERROR('Raw Data'!I56 = ROUND('Raw Data'!I56, 2),FALSE)),"",_xlfn.REGEXEXTRACT(CELL("address",I56), "\$([A-Z]+)\$[0-9]+"))),_xlfn.REGEXEXTRACT(CELL("address",I56), "\$([A-Z]+)\$[0-9]+"))</f>
        <v/>
      </c>
      <c r="J56" s="7" t="str" cm="1">
        <f t="array" aca="1" ref="J56" ca="1">IFERROR(IF(OR('Raw Data'!J56="",LEN(TRIM('Raw Data'!J56))=0),"",IF(AND(ISNUMBER('Raw Data'!J56), IFERROR('Raw Data'!J56 = ROUND('Raw Data'!J56, 2),FALSE)),"",_xlfn.REGEXEXTRACT(CELL("address",J56), "\$([A-Z]+)\$[0-9]+"))),_xlfn.REGEXEXTRACT(CELL("address",J56), "\$([A-Z]+)\$[0-9]+"))</f>
        <v/>
      </c>
      <c r="K56" s="7" t="str" cm="1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7" t="str" cm="1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7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7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7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7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 cm="1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7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7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7" t="str" cm="1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7" t="str" cm="1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  <c r="Z56" s="7" t="str" cm="1">
        <f t="array" aca="1" ref="Z56" ca="1">IFERROR(IF(OR('Raw Data'!Z56="",LEN(TRIM('Raw Data'!Z56))=0),"",IF(AND(ISNUMBER('Raw Data'!Z56), IFERROR('Raw Data'!Z56 = ROUND('Raw Data'!Z56, 2),FALSE)),"",_xlfn.REGEXEXTRACT(CELL("address",Z56), "\$([A-Z]+)\$[0-9]+"))),_xlfn.REGEXEXTRACT(CELL("address",Z56), "\$([A-Z]+)\$[0-9]+"))</f>
        <v/>
      </c>
      <c r="AA56" s="7" t="str" cm="1">
        <f t="array" aca="1" ref="AA56" ca="1">IFERROR(IF(OR('Raw Data'!AA56="",LEN(TRIM('Raw Data'!AA56))=0),"",IF(AND(ISNUMBER('Raw Data'!AA56), IFERROR('Raw Data'!AA56 = ROUND('Raw Data'!AA56, 2),FALSE)),"",_xlfn.REGEXEXTRACT(CELL("address",AA56), "\$([A-Z]+)\$[0-9]+"))),_xlfn.REGEXEXTRACT(CELL("address",AA56), "\$([A-Z]+)\$[0-9]+"))</f>
        <v/>
      </c>
      <c r="AB56" s="7" t="str" cm="1">
        <f t="array" aca="1" ref="AB56" ca="1">IFERROR(IF(OR('Raw Data'!AB56="",LEN(TRIM('Raw Data'!AB56))=0),"",IF(AND(ISNUMBER('Raw Data'!AB56), IFERROR('Raw Data'!AB56 = ROUND('Raw Data'!AB56, 2),FALSE)),"",_xlfn.REGEXEXTRACT(CELL("address",AB56), "\$([A-Z]+)\$[0-9]+"))),_xlfn.REGEXEXTRACT(CELL("address",AB56), "\$([A-Z]+)\$[0-9]+"))</f>
        <v/>
      </c>
      <c r="AC56" s="7" t="str" cm="1">
        <f t="array" aca="1" ref="AC56" ca="1">IFERROR(IF(OR('Raw Data'!AC56="",LEN(TRIM('Raw Data'!AC56))=0),"",IF(AND(ISNUMBER('Raw Data'!AC56), IFERROR('Raw Data'!AC56 = ROUND('Raw Data'!AC56, 2),FALSE)),"",_xlfn.REGEXEXTRACT(CELL("address",AC56), "\$([A-Z]+)\$[0-9]+"))),_xlfn.REGEXEXTRACT(CELL("address",AC56), "\$([A-Z]+)\$[0-9]+"))</f>
        <v/>
      </c>
      <c r="AD56" s="7" t="str" cm="1">
        <f t="array" aca="1" ref="AD56" ca="1">IFERROR(IF(OR('Raw Data'!AD56="",LEN(TRIM('Raw Data'!AD56))=0),"",IF(AND(ISNUMBER('Raw Data'!AD56), IFERROR('Raw Data'!AD56 = ROUND('Raw Data'!AD56, 2),FALSE)),"",_xlfn.REGEXEXTRACT(CELL("address",AD56), "\$([A-Z]+)\$[0-9]+"))),_xlfn.REGEXEXTRACT(CELL("address",AD56), "\$([A-Z]+)\$[0-9]+"))</f>
        <v/>
      </c>
      <c r="AE56" s="7" t="str" cm="1">
        <f t="array" aca="1" ref="AE56" ca="1">IFERROR(IF(OR('Raw Data'!AE56="",LEN(TRIM('Raw Data'!AE56))=0),"",IF(AND(ISNUMBER('Raw Data'!AE56), IFERROR('Raw Data'!AE56 = ROUND('Raw Data'!AE56, 2),FALSE)),"",_xlfn.REGEXEXTRACT(CELL("address",AE56), "\$([A-Z]+)\$[0-9]+"))),_xlfn.REGEXEXTRACT(CELL("address",AE56), "\$([A-Z]+)\$[0-9]+"))</f>
        <v/>
      </c>
      <c r="AF56" s="7" t="str" cm="1">
        <f t="array" aca="1" ref="AF56" ca="1">IFERROR(IF(OR('Raw Data'!AF56="",LEN(TRIM('Raw Data'!AF56))=0),"",IF(AND(ISNUMBER('Raw Data'!AF56), IFERROR('Raw Data'!AF56 = ROUND('Raw Data'!AF56, 2),FALSE)),"",_xlfn.REGEXEXTRACT(CELL("address",AF56), "\$([A-Z]+)\$[0-9]+"))),_xlfn.REGEXEXTRACT(CELL("address",AF56), "\$([A-Z]+)\$[0-9]+"))</f>
        <v/>
      </c>
      <c r="AG56" s="7" t="str" cm="1">
        <f t="array" aca="1" ref="AG56" ca="1">IFERROR(IF(OR('Raw Data'!AG56="",LEN(TRIM('Raw Data'!AG56))=0),"",IF(AND(ISNUMBER('Raw Data'!AG56), IFERROR('Raw Data'!AG56 = ROUND('Raw Data'!AG56, 2),FALSE)),"",_xlfn.REGEXEXTRACT(CELL("address",AG56), "\$([A-Z]+)\$[0-9]+"))),_xlfn.REGEXEXTRACT(CELL("address",AG56), "\$([A-Z]+)\$[0-9]+"))</f>
        <v/>
      </c>
      <c r="AH56" s="7" t="str" cm="1">
        <f t="array" aca="1" ref="AH56" ca="1">IFERROR(IF(OR('Raw Data'!AH56="",LEN(TRIM('Raw Data'!AH56))=0),"",IF(AND(ISNUMBER('Raw Data'!AH56), IFERROR('Raw Data'!AH56 = ROUND('Raw Data'!AH56, 2),FALSE)),"",_xlfn.REGEXEXTRACT(CELL("address",AH56), "\$([A-Z]+)\$[0-9]+"))),_xlfn.REGEXEXTRACT(CELL("address",AH56), "\$([A-Z]+)\$[0-9]+"))</f>
        <v/>
      </c>
      <c r="AI56" s="7" t="str" cm="1">
        <f t="array" aca="1" ref="AI56" ca="1">IFERROR(IF(OR('Raw Data'!AI56="",LEN(TRIM('Raw Data'!AI56))=0),"",IF(AND(ISNUMBER('Raw Data'!AI56), IFERROR('Raw Data'!AI56 = ROUND('Raw Data'!AI56, 2),FALSE)),"",_xlfn.REGEXEXTRACT(CELL("address",AI56), "\$([A-Z]+)\$[0-9]+"))),_xlfn.REGEXEXTRACT(CELL("address",AI56), "\$([A-Z]+)\$[0-9]+"))</f>
        <v/>
      </c>
      <c r="AJ56" s="7" t="str" cm="1">
        <f t="array" aca="1" ref="AJ56" ca="1">IFERROR(IF(OR('Raw Data'!AJ56="",LEN(TRIM('Raw Data'!AJ56))=0),"",IF(AND(ISNUMBER('Raw Data'!AJ56), IFERROR('Raw Data'!AJ56 = ROUND('Raw Data'!AJ56, 2),FALSE)),"",_xlfn.REGEXEXTRACT(CELL("address",AJ56), "\$([A-Z]+)\$[0-9]+"))),_xlfn.REGEXEXTRACT(CELL("address",AJ56), "\$([A-Z]+)\$[0-9]+"))</f>
        <v/>
      </c>
    </row>
    <row r="57" spans="2:36" x14ac:dyDescent="0.25">
      <c r="B57" s="7" t="str" cm="1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20,LEN('Raw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Data'!D57))=0),"",IF(AND(ISNUMBER('Raw Data'!D57),'Raw Data'!D57&gt;=Configuration!$D$2),"",_xlfn.REGEXEXTRACT(CELL("address",'Raw Data'!D57),"\$([A-Z]+)\$[0-9]+"))),_xlfn.REGEXEXTRACT(CELL("address",D57), "\$([A-Z]+)\$[0-9]+"))</f>
        <v/>
      </c>
      <c r="E57" s="7" t="str" cm="1">
        <f t="array" aca="1" ref="E57" ca="1">IFERROR(IF(OR('Raw Data'!E57="",LEN(TRIM('Raw Data'!E57))=0),"",IF(AND(ISNUMBER('Raw Data'!E57), IFERROR('Raw Data'!E57 = ROUND('Raw Data'!E57, 2),FALSE)),"",_xlfn.REGEXEXTRACT(CELL("address",E57), "\$([A-Z]+)\$[0-9]+"))),_xlfn.REGEXEXTRACT(CELL("address",E57), "\$([A-Z]+)\$[0-9]+"))</f>
        <v/>
      </c>
      <c r="F57" s="7" t="str" cm="1">
        <f t="array" aca="1" ref="F57" ca="1">IFERROR(IF(OR('Raw Data'!F57="",LEN(TRIM('Raw Data'!F57))=0),"",IF(AND(ISNUMBER('Raw Data'!F57), IFERROR('Raw Data'!F57 = ROUND('Raw Data'!F57, 2),FALSE)),"",_xlfn.REGEXEXTRACT(CELL("address",F57), "\$([A-Z]+)\$[0-9]+"))),_xlfn.REGEXEXTRACT(CELL("address",F57), "\$([A-Z]+)\$[0-9]+"))</f>
        <v/>
      </c>
      <c r="G57" s="7" t="str" cm="1">
        <f t="array" aca="1" ref="G57" ca="1">IFERROR(IF(OR('Raw Data'!G57="",LEN(TRIM('Raw Data'!G57))=0),"",IF(AND(ISNUMBER('Raw Data'!G57), IFERROR('Raw Data'!G57 = ROUND('Raw Data'!G57, 2),FALSE)),"",_xlfn.REGEXEXTRACT(CELL("address",G57), "\$([A-Z]+)\$[0-9]+"))),_xlfn.REGEXEXTRACT(CELL("address",G57), "\$([A-Z]+)\$[0-9]+"))</f>
        <v/>
      </c>
      <c r="H57" s="7" t="str" cm="1">
        <f t="array" aca="1" ref="H57" ca="1">IFERROR(IF(OR('Raw Data'!H57="",LEN(TRIM('Raw Data'!H57))=0),"",IF(AND(ISNUMBER('Raw Data'!H57), IFERROR('Raw Data'!H57 = ROUND('Raw Data'!H57, 2),FALSE)),"",_xlfn.REGEXEXTRACT(CELL("address",H57), "\$([A-Z]+)\$[0-9]+"))),_xlfn.REGEXEXTRACT(CELL("address",H57), "\$([A-Z]+)\$[0-9]+"))</f>
        <v/>
      </c>
      <c r="I57" s="7" t="str" cm="1">
        <f t="array" aca="1" ref="I57" ca="1">IFERROR(IF(OR('Raw Data'!I57="",LEN(TRIM('Raw Data'!I57))=0),"",IF(AND(ISNUMBER('Raw Data'!I57), IFERROR('Raw Data'!I57 = ROUND('Raw Data'!I57, 2),FALSE)),"",_xlfn.REGEXEXTRACT(CELL("address",I57), "\$([A-Z]+)\$[0-9]+"))),_xlfn.REGEXEXTRACT(CELL("address",I57), "\$([A-Z]+)\$[0-9]+"))</f>
        <v/>
      </c>
      <c r="J57" s="7" t="str" cm="1">
        <f t="array" aca="1" ref="J57" ca="1">IFERROR(IF(OR('Raw Data'!J57="",LEN(TRIM('Raw Data'!J57))=0),"",IF(AND(ISNUMBER('Raw Data'!J57), IFERROR('Raw Data'!J57 = ROUND('Raw Data'!J57, 2),FALSE)),"",_xlfn.REGEXEXTRACT(CELL("address",J57), "\$([A-Z]+)\$[0-9]+"))),_xlfn.REGEXEXTRACT(CELL("address",J57), "\$([A-Z]+)\$[0-9]+"))</f>
        <v/>
      </c>
      <c r="K57" s="7" t="str" cm="1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7" t="str" cm="1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7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7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7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7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 cm="1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7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7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7" t="str" cm="1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7" t="str" cm="1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  <c r="Z57" s="7" t="str" cm="1">
        <f t="array" aca="1" ref="Z57" ca="1">IFERROR(IF(OR('Raw Data'!Z57="",LEN(TRIM('Raw Data'!Z57))=0),"",IF(AND(ISNUMBER('Raw Data'!Z57), IFERROR('Raw Data'!Z57 = ROUND('Raw Data'!Z57, 2),FALSE)),"",_xlfn.REGEXEXTRACT(CELL("address",Z57), "\$([A-Z]+)\$[0-9]+"))),_xlfn.REGEXEXTRACT(CELL("address",Z57), "\$([A-Z]+)\$[0-9]+"))</f>
        <v/>
      </c>
      <c r="AA57" s="7" t="str" cm="1">
        <f t="array" aca="1" ref="AA57" ca="1">IFERROR(IF(OR('Raw Data'!AA57="",LEN(TRIM('Raw Data'!AA57))=0),"",IF(AND(ISNUMBER('Raw Data'!AA57), IFERROR('Raw Data'!AA57 = ROUND('Raw Data'!AA57, 2),FALSE)),"",_xlfn.REGEXEXTRACT(CELL("address",AA57), "\$([A-Z]+)\$[0-9]+"))),_xlfn.REGEXEXTRACT(CELL("address",AA57), "\$([A-Z]+)\$[0-9]+"))</f>
        <v/>
      </c>
      <c r="AB57" s="7" t="str" cm="1">
        <f t="array" aca="1" ref="AB57" ca="1">IFERROR(IF(OR('Raw Data'!AB57="",LEN(TRIM('Raw Data'!AB57))=0),"",IF(AND(ISNUMBER('Raw Data'!AB57), IFERROR('Raw Data'!AB57 = ROUND('Raw Data'!AB57, 2),FALSE)),"",_xlfn.REGEXEXTRACT(CELL("address",AB57), "\$([A-Z]+)\$[0-9]+"))),_xlfn.REGEXEXTRACT(CELL("address",AB57), "\$([A-Z]+)\$[0-9]+"))</f>
        <v/>
      </c>
      <c r="AC57" s="7" t="str" cm="1">
        <f t="array" aca="1" ref="AC57" ca="1">IFERROR(IF(OR('Raw Data'!AC57="",LEN(TRIM('Raw Data'!AC57))=0),"",IF(AND(ISNUMBER('Raw Data'!AC57), IFERROR('Raw Data'!AC57 = ROUND('Raw Data'!AC57, 2),FALSE)),"",_xlfn.REGEXEXTRACT(CELL("address",AC57), "\$([A-Z]+)\$[0-9]+"))),_xlfn.REGEXEXTRACT(CELL("address",AC57), "\$([A-Z]+)\$[0-9]+"))</f>
        <v/>
      </c>
      <c r="AD57" s="7" t="str" cm="1">
        <f t="array" aca="1" ref="AD57" ca="1">IFERROR(IF(OR('Raw Data'!AD57="",LEN(TRIM('Raw Data'!AD57))=0),"",IF(AND(ISNUMBER('Raw Data'!AD57), IFERROR('Raw Data'!AD57 = ROUND('Raw Data'!AD57, 2),FALSE)),"",_xlfn.REGEXEXTRACT(CELL("address",AD57), "\$([A-Z]+)\$[0-9]+"))),_xlfn.REGEXEXTRACT(CELL("address",AD57), "\$([A-Z]+)\$[0-9]+"))</f>
        <v/>
      </c>
      <c r="AE57" s="7" t="str" cm="1">
        <f t="array" aca="1" ref="AE57" ca="1">IFERROR(IF(OR('Raw Data'!AE57="",LEN(TRIM('Raw Data'!AE57))=0),"",IF(AND(ISNUMBER('Raw Data'!AE57), IFERROR('Raw Data'!AE57 = ROUND('Raw Data'!AE57, 2),FALSE)),"",_xlfn.REGEXEXTRACT(CELL("address",AE57), "\$([A-Z]+)\$[0-9]+"))),_xlfn.REGEXEXTRACT(CELL("address",AE57), "\$([A-Z]+)\$[0-9]+"))</f>
        <v/>
      </c>
      <c r="AF57" s="7" t="str" cm="1">
        <f t="array" aca="1" ref="AF57" ca="1">IFERROR(IF(OR('Raw Data'!AF57="",LEN(TRIM('Raw Data'!AF57))=0),"",IF(AND(ISNUMBER('Raw Data'!AF57), IFERROR('Raw Data'!AF57 = ROUND('Raw Data'!AF57, 2),FALSE)),"",_xlfn.REGEXEXTRACT(CELL("address",AF57), "\$([A-Z]+)\$[0-9]+"))),_xlfn.REGEXEXTRACT(CELL("address",AF57), "\$([A-Z]+)\$[0-9]+"))</f>
        <v/>
      </c>
      <c r="AG57" s="7" t="str" cm="1">
        <f t="array" aca="1" ref="AG57" ca="1">IFERROR(IF(OR('Raw Data'!AG57="",LEN(TRIM('Raw Data'!AG57))=0),"",IF(AND(ISNUMBER('Raw Data'!AG57), IFERROR('Raw Data'!AG57 = ROUND('Raw Data'!AG57, 2),FALSE)),"",_xlfn.REGEXEXTRACT(CELL("address",AG57), "\$([A-Z]+)\$[0-9]+"))),_xlfn.REGEXEXTRACT(CELL("address",AG57), "\$([A-Z]+)\$[0-9]+"))</f>
        <v/>
      </c>
      <c r="AH57" s="7" t="str" cm="1">
        <f t="array" aca="1" ref="AH57" ca="1">IFERROR(IF(OR('Raw Data'!AH57="",LEN(TRIM('Raw Data'!AH57))=0),"",IF(AND(ISNUMBER('Raw Data'!AH57), IFERROR('Raw Data'!AH57 = ROUND('Raw Data'!AH57, 2),FALSE)),"",_xlfn.REGEXEXTRACT(CELL("address",AH57), "\$([A-Z]+)\$[0-9]+"))),_xlfn.REGEXEXTRACT(CELL("address",AH57), "\$([A-Z]+)\$[0-9]+"))</f>
        <v/>
      </c>
      <c r="AI57" s="7" t="str" cm="1">
        <f t="array" aca="1" ref="AI57" ca="1">IFERROR(IF(OR('Raw Data'!AI57="",LEN(TRIM('Raw Data'!AI57))=0),"",IF(AND(ISNUMBER('Raw Data'!AI57), IFERROR('Raw Data'!AI57 = ROUND('Raw Data'!AI57, 2),FALSE)),"",_xlfn.REGEXEXTRACT(CELL("address",AI57), "\$([A-Z]+)\$[0-9]+"))),_xlfn.REGEXEXTRACT(CELL("address",AI57), "\$([A-Z]+)\$[0-9]+"))</f>
        <v/>
      </c>
      <c r="AJ57" s="7" t="str" cm="1">
        <f t="array" aca="1" ref="AJ57" ca="1">IFERROR(IF(OR('Raw Data'!AJ57="",LEN(TRIM('Raw Data'!AJ57))=0),"",IF(AND(ISNUMBER('Raw Data'!AJ57), IFERROR('Raw Data'!AJ57 = ROUND('Raw Data'!AJ57, 2),FALSE)),"",_xlfn.REGEXEXTRACT(CELL("address",AJ57), "\$([A-Z]+)\$[0-9]+"))),_xlfn.REGEXEXTRACT(CELL("address",AJ57), "\$([A-Z]+)\$[0-9]+"))</f>
        <v/>
      </c>
    </row>
    <row r="58" spans="2:36" x14ac:dyDescent="0.25">
      <c r="B58" s="7" t="str" cm="1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20,LEN('Raw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Data'!D58))=0),"",IF(AND(ISNUMBER('Raw Data'!D58),'Raw Data'!D58&gt;=Configuration!$D$2),"",_xlfn.REGEXEXTRACT(CELL("address",'Raw Data'!D58),"\$([A-Z]+)\$[0-9]+"))),_xlfn.REGEXEXTRACT(CELL("address",D58), "\$([A-Z]+)\$[0-9]+"))</f>
        <v/>
      </c>
      <c r="E58" s="7" t="str" cm="1">
        <f t="array" aca="1" ref="E58" ca="1">IFERROR(IF(OR('Raw Data'!E58="",LEN(TRIM('Raw Data'!E58))=0),"",IF(AND(ISNUMBER('Raw Data'!E58), IFERROR('Raw Data'!E58 = ROUND('Raw Data'!E58, 2),FALSE)),"",_xlfn.REGEXEXTRACT(CELL("address",E58), "\$([A-Z]+)\$[0-9]+"))),_xlfn.REGEXEXTRACT(CELL("address",E58), "\$([A-Z]+)\$[0-9]+"))</f>
        <v/>
      </c>
      <c r="F58" s="7" t="str" cm="1">
        <f t="array" aca="1" ref="F58" ca="1">IFERROR(IF(OR('Raw Data'!F58="",LEN(TRIM('Raw Data'!F58))=0),"",IF(AND(ISNUMBER('Raw Data'!F58), IFERROR('Raw Data'!F58 = ROUND('Raw Data'!F58, 2),FALSE)),"",_xlfn.REGEXEXTRACT(CELL("address",F58), "\$([A-Z]+)\$[0-9]+"))),_xlfn.REGEXEXTRACT(CELL("address",F58), "\$([A-Z]+)\$[0-9]+"))</f>
        <v/>
      </c>
      <c r="G58" s="7" t="str" cm="1">
        <f t="array" aca="1" ref="G58" ca="1">IFERROR(IF(OR('Raw Data'!G58="",LEN(TRIM('Raw Data'!G58))=0),"",IF(AND(ISNUMBER('Raw Data'!G58), IFERROR('Raw Data'!G58 = ROUND('Raw Data'!G58, 2),FALSE)),"",_xlfn.REGEXEXTRACT(CELL("address",G58), "\$([A-Z]+)\$[0-9]+"))),_xlfn.REGEXEXTRACT(CELL("address",G58), "\$([A-Z]+)\$[0-9]+"))</f>
        <v/>
      </c>
      <c r="H58" s="7" t="str" cm="1">
        <f t="array" aca="1" ref="H58" ca="1">IFERROR(IF(OR('Raw Data'!H58="",LEN(TRIM('Raw Data'!H58))=0),"",IF(AND(ISNUMBER('Raw Data'!H58), IFERROR('Raw Data'!H58 = ROUND('Raw Data'!H58, 2),FALSE)),"",_xlfn.REGEXEXTRACT(CELL("address",H58), "\$([A-Z]+)\$[0-9]+"))),_xlfn.REGEXEXTRACT(CELL("address",H58), "\$([A-Z]+)\$[0-9]+"))</f>
        <v/>
      </c>
      <c r="I58" s="7" t="str" cm="1">
        <f t="array" aca="1" ref="I58" ca="1">IFERROR(IF(OR('Raw Data'!I58="",LEN(TRIM('Raw Data'!I58))=0),"",IF(AND(ISNUMBER('Raw Data'!I58), IFERROR('Raw Data'!I58 = ROUND('Raw Data'!I58, 2),FALSE)),"",_xlfn.REGEXEXTRACT(CELL("address",I58), "\$([A-Z]+)\$[0-9]+"))),_xlfn.REGEXEXTRACT(CELL("address",I58), "\$([A-Z]+)\$[0-9]+"))</f>
        <v/>
      </c>
      <c r="J58" s="7" t="str" cm="1">
        <f t="array" aca="1" ref="J58" ca="1">IFERROR(IF(OR('Raw Data'!J58="",LEN(TRIM('Raw Data'!J58))=0),"",IF(AND(ISNUMBER('Raw Data'!J58), IFERROR('Raw Data'!J58 = ROUND('Raw Data'!J58, 2),FALSE)),"",_xlfn.REGEXEXTRACT(CELL("address",J58), "\$([A-Z]+)\$[0-9]+"))),_xlfn.REGEXEXTRACT(CELL("address",J58), "\$([A-Z]+)\$[0-9]+"))</f>
        <v/>
      </c>
      <c r="K58" s="7" t="str" cm="1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7" t="str" cm="1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7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7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7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7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 cm="1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7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7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7" t="str" cm="1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7" t="str" cm="1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  <c r="Z58" s="7" t="str" cm="1">
        <f t="array" aca="1" ref="Z58" ca="1">IFERROR(IF(OR('Raw Data'!Z58="",LEN(TRIM('Raw Data'!Z58))=0),"",IF(AND(ISNUMBER('Raw Data'!Z58), IFERROR('Raw Data'!Z58 = ROUND('Raw Data'!Z58, 2),FALSE)),"",_xlfn.REGEXEXTRACT(CELL("address",Z58), "\$([A-Z]+)\$[0-9]+"))),_xlfn.REGEXEXTRACT(CELL("address",Z58), "\$([A-Z]+)\$[0-9]+"))</f>
        <v/>
      </c>
      <c r="AA58" s="7" t="str" cm="1">
        <f t="array" aca="1" ref="AA58" ca="1">IFERROR(IF(OR('Raw Data'!AA58="",LEN(TRIM('Raw Data'!AA58))=0),"",IF(AND(ISNUMBER('Raw Data'!AA58), IFERROR('Raw Data'!AA58 = ROUND('Raw Data'!AA58, 2),FALSE)),"",_xlfn.REGEXEXTRACT(CELL("address",AA58), "\$([A-Z]+)\$[0-9]+"))),_xlfn.REGEXEXTRACT(CELL("address",AA58), "\$([A-Z]+)\$[0-9]+"))</f>
        <v/>
      </c>
      <c r="AB58" s="7" t="str" cm="1">
        <f t="array" aca="1" ref="AB58" ca="1">IFERROR(IF(OR('Raw Data'!AB58="",LEN(TRIM('Raw Data'!AB58))=0),"",IF(AND(ISNUMBER('Raw Data'!AB58), IFERROR('Raw Data'!AB58 = ROUND('Raw Data'!AB58, 2),FALSE)),"",_xlfn.REGEXEXTRACT(CELL("address",AB58), "\$([A-Z]+)\$[0-9]+"))),_xlfn.REGEXEXTRACT(CELL("address",AB58), "\$([A-Z]+)\$[0-9]+"))</f>
        <v/>
      </c>
      <c r="AC58" s="7" t="str" cm="1">
        <f t="array" aca="1" ref="AC58" ca="1">IFERROR(IF(OR('Raw Data'!AC58="",LEN(TRIM('Raw Data'!AC58))=0),"",IF(AND(ISNUMBER('Raw Data'!AC58), IFERROR('Raw Data'!AC58 = ROUND('Raw Data'!AC58, 2),FALSE)),"",_xlfn.REGEXEXTRACT(CELL("address",AC58), "\$([A-Z]+)\$[0-9]+"))),_xlfn.REGEXEXTRACT(CELL("address",AC58), "\$([A-Z]+)\$[0-9]+"))</f>
        <v/>
      </c>
      <c r="AD58" s="7" t="str" cm="1">
        <f t="array" aca="1" ref="AD58" ca="1">IFERROR(IF(OR('Raw Data'!AD58="",LEN(TRIM('Raw Data'!AD58))=0),"",IF(AND(ISNUMBER('Raw Data'!AD58), IFERROR('Raw Data'!AD58 = ROUND('Raw Data'!AD58, 2),FALSE)),"",_xlfn.REGEXEXTRACT(CELL("address",AD58), "\$([A-Z]+)\$[0-9]+"))),_xlfn.REGEXEXTRACT(CELL("address",AD58), "\$([A-Z]+)\$[0-9]+"))</f>
        <v/>
      </c>
      <c r="AE58" s="7" t="str" cm="1">
        <f t="array" aca="1" ref="AE58" ca="1">IFERROR(IF(OR('Raw Data'!AE58="",LEN(TRIM('Raw Data'!AE58))=0),"",IF(AND(ISNUMBER('Raw Data'!AE58), IFERROR('Raw Data'!AE58 = ROUND('Raw Data'!AE58, 2),FALSE)),"",_xlfn.REGEXEXTRACT(CELL("address",AE58), "\$([A-Z]+)\$[0-9]+"))),_xlfn.REGEXEXTRACT(CELL("address",AE58), "\$([A-Z]+)\$[0-9]+"))</f>
        <v/>
      </c>
      <c r="AF58" s="7" t="str" cm="1">
        <f t="array" aca="1" ref="AF58" ca="1">IFERROR(IF(OR('Raw Data'!AF58="",LEN(TRIM('Raw Data'!AF58))=0),"",IF(AND(ISNUMBER('Raw Data'!AF58), IFERROR('Raw Data'!AF58 = ROUND('Raw Data'!AF58, 2),FALSE)),"",_xlfn.REGEXEXTRACT(CELL("address",AF58), "\$([A-Z]+)\$[0-9]+"))),_xlfn.REGEXEXTRACT(CELL("address",AF58), "\$([A-Z]+)\$[0-9]+"))</f>
        <v/>
      </c>
      <c r="AG58" s="7" t="str" cm="1">
        <f t="array" aca="1" ref="AG58" ca="1">IFERROR(IF(OR('Raw Data'!AG58="",LEN(TRIM('Raw Data'!AG58))=0),"",IF(AND(ISNUMBER('Raw Data'!AG58), IFERROR('Raw Data'!AG58 = ROUND('Raw Data'!AG58, 2),FALSE)),"",_xlfn.REGEXEXTRACT(CELL("address",AG58), "\$([A-Z]+)\$[0-9]+"))),_xlfn.REGEXEXTRACT(CELL("address",AG58), "\$([A-Z]+)\$[0-9]+"))</f>
        <v/>
      </c>
      <c r="AH58" s="7" t="str" cm="1">
        <f t="array" aca="1" ref="AH58" ca="1">IFERROR(IF(OR('Raw Data'!AH58="",LEN(TRIM('Raw Data'!AH58))=0),"",IF(AND(ISNUMBER('Raw Data'!AH58), IFERROR('Raw Data'!AH58 = ROUND('Raw Data'!AH58, 2),FALSE)),"",_xlfn.REGEXEXTRACT(CELL("address",AH58), "\$([A-Z]+)\$[0-9]+"))),_xlfn.REGEXEXTRACT(CELL("address",AH58), "\$([A-Z]+)\$[0-9]+"))</f>
        <v/>
      </c>
      <c r="AI58" s="7" t="str" cm="1">
        <f t="array" aca="1" ref="AI58" ca="1">IFERROR(IF(OR('Raw Data'!AI58="",LEN(TRIM('Raw Data'!AI58))=0),"",IF(AND(ISNUMBER('Raw Data'!AI58), IFERROR('Raw Data'!AI58 = ROUND('Raw Data'!AI58, 2),FALSE)),"",_xlfn.REGEXEXTRACT(CELL("address",AI58), "\$([A-Z]+)\$[0-9]+"))),_xlfn.REGEXEXTRACT(CELL("address",AI58), "\$([A-Z]+)\$[0-9]+"))</f>
        <v/>
      </c>
      <c r="AJ58" s="7" t="str" cm="1">
        <f t="array" aca="1" ref="AJ58" ca="1">IFERROR(IF(OR('Raw Data'!AJ58="",LEN(TRIM('Raw Data'!AJ58))=0),"",IF(AND(ISNUMBER('Raw Data'!AJ58), IFERROR('Raw Data'!AJ58 = ROUND('Raw Data'!AJ58, 2),FALSE)),"",_xlfn.REGEXEXTRACT(CELL("address",AJ58), "\$([A-Z]+)\$[0-9]+"))),_xlfn.REGEXEXTRACT(CELL("address",AJ58), "\$([A-Z]+)\$[0-9]+"))</f>
        <v/>
      </c>
    </row>
    <row r="59" spans="2:36" x14ac:dyDescent="0.25">
      <c r="B59" s="7" t="str" cm="1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20,LEN('Raw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Data'!D59))=0),"",IF(AND(ISNUMBER('Raw Data'!D59),'Raw Data'!D59&gt;=Configuration!$D$2),"",_xlfn.REGEXEXTRACT(CELL("address",'Raw Data'!D59),"\$([A-Z]+)\$[0-9]+"))),_xlfn.REGEXEXTRACT(CELL("address",D59), "\$([A-Z]+)\$[0-9]+"))</f>
        <v/>
      </c>
      <c r="E59" s="7" t="str" cm="1">
        <f t="array" aca="1" ref="E59" ca="1">IFERROR(IF(OR('Raw Data'!E59="",LEN(TRIM('Raw Data'!E59))=0),"",IF(AND(ISNUMBER('Raw Data'!E59), IFERROR('Raw Data'!E59 = ROUND('Raw Data'!E59, 2),FALSE)),"",_xlfn.REGEXEXTRACT(CELL("address",E59), "\$([A-Z]+)\$[0-9]+"))),_xlfn.REGEXEXTRACT(CELL("address",E59), "\$([A-Z]+)\$[0-9]+"))</f>
        <v/>
      </c>
      <c r="F59" s="7" t="str" cm="1">
        <f t="array" aca="1" ref="F59" ca="1">IFERROR(IF(OR('Raw Data'!F59="",LEN(TRIM('Raw Data'!F59))=0),"",IF(AND(ISNUMBER('Raw Data'!F59), IFERROR('Raw Data'!F59 = ROUND('Raw Data'!F59, 2),FALSE)),"",_xlfn.REGEXEXTRACT(CELL("address",F59), "\$([A-Z]+)\$[0-9]+"))),_xlfn.REGEXEXTRACT(CELL("address",F59), "\$([A-Z]+)\$[0-9]+"))</f>
        <v/>
      </c>
      <c r="G59" s="7" t="str" cm="1">
        <f t="array" aca="1" ref="G59" ca="1">IFERROR(IF(OR('Raw Data'!G59="",LEN(TRIM('Raw Data'!G59))=0),"",IF(AND(ISNUMBER('Raw Data'!G59), IFERROR('Raw Data'!G59 = ROUND('Raw Data'!G59, 2),FALSE)),"",_xlfn.REGEXEXTRACT(CELL("address",G59), "\$([A-Z]+)\$[0-9]+"))),_xlfn.REGEXEXTRACT(CELL("address",G59), "\$([A-Z]+)\$[0-9]+"))</f>
        <v/>
      </c>
      <c r="H59" s="7" t="str" cm="1">
        <f t="array" aca="1" ref="H59" ca="1">IFERROR(IF(OR('Raw Data'!H59="",LEN(TRIM('Raw Data'!H59))=0),"",IF(AND(ISNUMBER('Raw Data'!H59), IFERROR('Raw Data'!H59 = ROUND('Raw Data'!H59, 2),FALSE)),"",_xlfn.REGEXEXTRACT(CELL("address",H59), "\$([A-Z]+)\$[0-9]+"))),_xlfn.REGEXEXTRACT(CELL("address",H59), "\$([A-Z]+)\$[0-9]+"))</f>
        <v/>
      </c>
      <c r="I59" s="7" t="str" cm="1">
        <f t="array" aca="1" ref="I59" ca="1">IFERROR(IF(OR('Raw Data'!I59="",LEN(TRIM('Raw Data'!I59))=0),"",IF(AND(ISNUMBER('Raw Data'!I59), IFERROR('Raw Data'!I59 = ROUND('Raw Data'!I59, 2),FALSE)),"",_xlfn.REGEXEXTRACT(CELL("address",I59), "\$([A-Z]+)\$[0-9]+"))),_xlfn.REGEXEXTRACT(CELL("address",I59), "\$([A-Z]+)\$[0-9]+"))</f>
        <v/>
      </c>
      <c r="J59" s="7" t="str" cm="1">
        <f t="array" aca="1" ref="J59" ca="1">IFERROR(IF(OR('Raw Data'!J59="",LEN(TRIM('Raw Data'!J59))=0),"",IF(AND(ISNUMBER('Raw Data'!J59), IFERROR('Raw Data'!J59 = ROUND('Raw Data'!J59, 2),FALSE)),"",_xlfn.REGEXEXTRACT(CELL("address",J59), "\$([A-Z]+)\$[0-9]+"))),_xlfn.REGEXEXTRACT(CELL("address",J59), "\$([A-Z]+)\$[0-9]+"))</f>
        <v/>
      </c>
      <c r="K59" s="7" t="str" cm="1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7" t="str" cm="1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7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7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7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7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 cm="1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7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7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7" t="str" cm="1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7" t="str" cm="1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  <c r="Z59" s="7" t="str" cm="1">
        <f t="array" aca="1" ref="Z59" ca="1">IFERROR(IF(OR('Raw Data'!Z59="",LEN(TRIM('Raw Data'!Z59))=0),"",IF(AND(ISNUMBER('Raw Data'!Z59), IFERROR('Raw Data'!Z59 = ROUND('Raw Data'!Z59, 2),FALSE)),"",_xlfn.REGEXEXTRACT(CELL("address",Z59), "\$([A-Z]+)\$[0-9]+"))),_xlfn.REGEXEXTRACT(CELL("address",Z59), "\$([A-Z]+)\$[0-9]+"))</f>
        <v/>
      </c>
      <c r="AA59" s="7" t="str" cm="1">
        <f t="array" aca="1" ref="AA59" ca="1">IFERROR(IF(OR('Raw Data'!AA59="",LEN(TRIM('Raw Data'!AA59))=0),"",IF(AND(ISNUMBER('Raw Data'!AA59), IFERROR('Raw Data'!AA59 = ROUND('Raw Data'!AA59, 2),FALSE)),"",_xlfn.REGEXEXTRACT(CELL("address",AA59), "\$([A-Z]+)\$[0-9]+"))),_xlfn.REGEXEXTRACT(CELL("address",AA59), "\$([A-Z]+)\$[0-9]+"))</f>
        <v/>
      </c>
      <c r="AB59" s="7" t="str" cm="1">
        <f t="array" aca="1" ref="AB59" ca="1">IFERROR(IF(OR('Raw Data'!AB59="",LEN(TRIM('Raw Data'!AB59))=0),"",IF(AND(ISNUMBER('Raw Data'!AB59), IFERROR('Raw Data'!AB59 = ROUND('Raw Data'!AB59, 2),FALSE)),"",_xlfn.REGEXEXTRACT(CELL("address",AB59), "\$([A-Z]+)\$[0-9]+"))),_xlfn.REGEXEXTRACT(CELL("address",AB59), "\$([A-Z]+)\$[0-9]+"))</f>
        <v/>
      </c>
      <c r="AC59" s="7" t="str" cm="1">
        <f t="array" aca="1" ref="AC59" ca="1">IFERROR(IF(OR('Raw Data'!AC59="",LEN(TRIM('Raw Data'!AC59))=0),"",IF(AND(ISNUMBER('Raw Data'!AC59), IFERROR('Raw Data'!AC59 = ROUND('Raw Data'!AC59, 2),FALSE)),"",_xlfn.REGEXEXTRACT(CELL("address",AC59), "\$([A-Z]+)\$[0-9]+"))),_xlfn.REGEXEXTRACT(CELL("address",AC59), "\$([A-Z]+)\$[0-9]+"))</f>
        <v/>
      </c>
      <c r="AD59" s="7" t="str" cm="1">
        <f t="array" aca="1" ref="AD59" ca="1">IFERROR(IF(OR('Raw Data'!AD59="",LEN(TRIM('Raw Data'!AD59))=0),"",IF(AND(ISNUMBER('Raw Data'!AD59), IFERROR('Raw Data'!AD59 = ROUND('Raw Data'!AD59, 2),FALSE)),"",_xlfn.REGEXEXTRACT(CELL("address",AD59), "\$([A-Z]+)\$[0-9]+"))),_xlfn.REGEXEXTRACT(CELL("address",AD59), "\$([A-Z]+)\$[0-9]+"))</f>
        <v/>
      </c>
      <c r="AE59" s="7" t="str" cm="1">
        <f t="array" aca="1" ref="AE59" ca="1">IFERROR(IF(OR('Raw Data'!AE59="",LEN(TRIM('Raw Data'!AE59))=0),"",IF(AND(ISNUMBER('Raw Data'!AE59), IFERROR('Raw Data'!AE59 = ROUND('Raw Data'!AE59, 2),FALSE)),"",_xlfn.REGEXEXTRACT(CELL("address",AE59), "\$([A-Z]+)\$[0-9]+"))),_xlfn.REGEXEXTRACT(CELL("address",AE59), "\$([A-Z]+)\$[0-9]+"))</f>
        <v/>
      </c>
      <c r="AF59" s="7" t="str" cm="1">
        <f t="array" aca="1" ref="AF59" ca="1">IFERROR(IF(OR('Raw Data'!AF59="",LEN(TRIM('Raw Data'!AF59))=0),"",IF(AND(ISNUMBER('Raw Data'!AF59), IFERROR('Raw Data'!AF59 = ROUND('Raw Data'!AF59, 2),FALSE)),"",_xlfn.REGEXEXTRACT(CELL("address",AF59), "\$([A-Z]+)\$[0-9]+"))),_xlfn.REGEXEXTRACT(CELL("address",AF59), "\$([A-Z]+)\$[0-9]+"))</f>
        <v/>
      </c>
      <c r="AG59" s="7" t="str" cm="1">
        <f t="array" aca="1" ref="AG59" ca="1">IFERROR(IF(OR('Raw Data'!AG59="",LEN(TRIM('Raw Data'!AG59))=0),"",IF(AND(ISNUMBER('Raw Data'!AG59), IFERROR('Raw Data'!AG59 = ROUND('Raw Data'!AG59, 2),FALSE)),"",_xlfn.REGEXEXTRACT(CELL("address",AG59), "\$([A-Z]+)\$[0-9]+"))),_xlfn.REGEXEXTRACT(CELL("address",AG59), "\$([A-Z]+)\$[0-9]+"))</f>
        <v/>
      </c>
      <c r="AH59" s="7" t="str" cm="1">
        <f t="array" aca="1" ref="AH59" ca="1">IFERROR(IF(OR('Raw Data'!AH59="",LEN(TRIM('Raw Data'!AH59))=0),"",IF(AND(ISNUMBER('Raw Data'!AH59), IFERROR('Raw Data'!AH59 = ROUND('Raw Data'!AH59, 2),FALSE)),"",_xlfn.REGEXEXTRACT(CELL("address",AH59), "\$([A-Z]+)\$[0-9]+"))),_xlfn.REGEXEXTRACT(CELL("address",AH59), "\$([A-Z]+)\$[0-9]+"))</f>
        <v/>
      </c>
      <c r="AI59" s="7" t="str" cm="1">
        <f t="array" aca="1" ref="AI59" ca="1">IFERROR(IF(OR('Raw Data'!AI59="",LEN(TRIM('Raw Data'!AI59))=0),"",IF(AND(ISNUMBER('Raw Data'!AI59), IFERROR('Raw Data'!AI59 = ROUND('Raw Data'!AI59, 2),FALSE)),"",_xlfn.REGEXEXTRACT(CELL("address",AI59), "\$([A-Z]+)\$[0-9]+"))),_xlfn.REGEXEXTRACT(CELL("address",AI59), "\$([A-Z]+)\$[0-9]+"))</f>
        <v/>
      </c>
      <c r="AJ59" s="7" t="str" cm="1">
        <f t="array" aca="1" ref="AJ59" ca="1">IFERROR(IF(OR('Raw Data'!AJ59="",LEN(TRIM('Raw Data'!AJ59))=0),"",IF(AND(ISNUMBER('Raw Data'!AJ59), IFERROR('Raw Data'!AJ59 = ROUND('Raw Data'!AJ59, 2),FALSE)),"",_xlfn.REGEXEXTRACT(CELL("address",AJ59), "\$([A-Z]+)\$[0-9]+"))),_xlfn.REGEXEXTRACT(CELL("address",AJ59), "\$([A-Z]+)\$[0-9]+"))</f>
        <v/>
      </c>
    </row>
    <row r="60" spans="2:36" x14ac:dyDescent="0.25">
      <c r="B60" s="7" t="str" cm="1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20,LEN('Raw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Data'!D60))=0),"",IF(AND(ISNUMBER('Raw Data'!D60),'Raw Data'!D60&gt;=Configuration!$D$2),"",_xlfn.REGEXEXTRACT(CELL("address",'Raw Data'!D60),"\$([A-Z]+)\$[0-9]+"))),_xlfn.REGEXEXTRACT(CELL("address",D60), "\$([A-Z]+)\$[0-9]+"))</f>
        <v/>
      </c>
      <c r="E60" s="7" t="str" cm="1">
        <f t="array" aca="1" ref="E60" ca="1">IFERROR(IF(OR('Raw Data'!E60="",LEN(TRIM('Raw Data'!E60))=0),"",IF(AND(ISNUMBER('Raw Data'!E60), IFERROR('Raw Data'!E60 = ROUND('Raw Data'!E60, 2),FALSE)),"",_xlfn.REGEXEXTRACT(CELL("address",E60), "\$([A-Z]+)\$[0-9]+"))),_xlfn.REGEXEXTRACT(CELL("address",E60), "\$([A-Z]+)\$[0-9]+"))</f>
        <v/>
      </c>
      <c r="F60" s="7" t="str" cm="1">
        <f t="array" aca="1" ref="F60" ca="1">IFERROR(IF(OR('Raw Data'!F60="",LEN(TRIM('Raw Data'!F60))=0),"",IF(AND(ISNUMBER('Raw Data'!F60), IFERROR('Raw Data'!F60 = ROUND('Raw Data'!F60, 2),FALSE)),"",_xlfn.REGEXEXTRACT(CELL("address",F60), "\$([A-Z]+)\$[0-9]+"))),_xlfn.REGEXEXTRACT(CELL("address",F60), "\$([A-Z]+)\$[0-9]+"))</f>
        <v/>
      </c>
      <c r="G60" s="7" t="str" cm="1">
        <f t="array" aca="1" ref="G60" ca="1">IFERROR(IF(OR('Raw Data'!G60="",LEN(TRIM('Raw Data'!G60))=0),"",IF(AND(ISNUMBER('Raw Data'!G60), IFERROR('Raw Data'!G60 = ROUND('Raw Data'!G60, 2),FALSE)),"",_xlfn.REGEXEXTRACT(CELL("address",G60), "\$([A-Z]+)\$[0-9]+"))),_xlfn.REGEXEXTRACT(CELL("address",G60), "\$([A-Z]+)\$[0-9]+"))</f>
        <v/>
      </c>
      <c r="H60" s="7" t="str" cm="1">
        <f t="array" aca="1" ref="H60" ca="1">IFERROR(IF(OR('Raw Data'!H60="",LEN(TRIM('Raw Data'!H60))=0),"",IF(AND(ISNUMBER('Raw Data'!H60), IFERROR('Raw Data'!H60 = ROUND('Raw Data'!H60, 2),FALSE)),"",_xlfn.REGEXEXTRACT(CELL("address",H60), "\$([A-Z]+)\$[0-9]+"))),_xlfn.REGEXEXTRACT(CELL("address",H60), "\$([A-Z]+)\$[0-9]+"))</f>
        <v/>
      </c>
      <c r="I60" s="7" t="str" cm="1">
        <f t="array" aca="1" ref="I60" ca="1">IFERROR(IF(OR('Raw Data'!I60="",LEN(TRIM('Raw Data'!I60))=0),"",IF(AND(ISNUMBER('Raw Data'!I60), IFERROR('Raw Data'!I60 = ROUND('Raw Data'!I60, 2),FALSE)),"",_xlfn.REGEXEXTRACT(CELL("address",I60), "\$([A-Z]+)\$[0-9]+"))),_xlfn.REGEXEXTRACT(CELL("address",I60), "\$([A-Z]+)\$[0-9]+"))</f>
        <v/>
      </c>
      <c r="J60" s="7" t="str" cm="1">
        <f t="array" aca="1" ref="J60" ca="1">IFERROR(IF(OR('Raw Data'!J60="",LEN(TRIM('Raw Data'!J60))=0),"",IF(AND(ISNUMBER('Raw Data'!J60), IFERROR('Raw Data'!J60 = ROUND('Raw Data'!J60, 2),FALSE)),"",_xlfn.REGEXEXTRACT(CELL("address",J60), "\$([A-Z]+)\$[0-9]+"))),_xlfn.REGEXEXTRACT(CELL("address",J60), "\$([A-Z]+)\$[0-9]+"))</f>
        <v/>
      </c>
      <c r="K60" s="7" t="str" cm="1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7" t="str" cm="1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7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7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7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7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 cm="1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7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7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7" t="str" cm="1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7" t="str" cm="1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  <c r="Z60" s="7" t="str" cm="1">
        <f t="array" aca="1" ref="Z60" ca="1">IFERROR(IF(OR('Raw Data'!Z60="",LEN(TRIM('Raw Data'!Z60))=0),"",IF(AND(ISNUMBER('Raw Data'!Z60), IFERROR('Raw Data'!Z60 = ROUND('Raw Data'!Z60, 2),FALSE)),"",_xlfn.REGEXEXTRACT(CELL("address",Z60), "\$([A-Z]+)\$[0-9]+"))),_xlfn.REGEXEXTRACT(CELL("address",Z60), "\$([A-Z]+)\$[0-9]+"))</f>
        <v/>
      </c>
      <c r="AA60" s="7" t="str" cm="1">
        <f t="array" aca="1" ref="AA60" ca="1">IFERROR(IF(OR('Raw Data'!AA60="",LEN(TRIM('Raw Data'!AA60))=0),"",IF(AND(ISNUMBER('Raw Data'!AA60), IFERROR('Raw Data'!AA60 = ROUND('Raw Data'!AA60, 2),FALSE)),"",_xlfn.REGEXEXTRACT(CELL("address",AA60), "\$([A-Z]+)\$[0-9]+"))),_xlfn.REGEXEXTRACT(CELL("address",AA60), "\$([A-Z]+)\$[0-9]+"))</f>
        <v/>
      </c>
      <c r="AB60" s="7" t="str" cm="1">
        <f t="array" aca="1" ref="AB60" ca="1">IFERROR(IF(OR('Raw Data'!AB60="",LEN(TRIM('Raw Data'!AB60))=0),"",IF(AND(ISNUMBER('Raw Data'!AB60), IFERROR('Raw Data'!AB60 = ROUND('Raw Data'!AB60, 2),FALSE)),"",_xlfn.REGEXEXTRACT(CELL("address",AB60), "\$([A-Z]+)\$[0-9]+"))),_xlfn.REGEXEXTRACT(CELL("address",AB60), "\$([A-Z]+)\$[0-9]+"))</f>
        <v/>
      </c>
      <c r="AC60" s="7" t="str" cm="1">
        <f t="array" aca="1" ref="AC60" ca="1">IFERROR(IF(OR('Raw Data'!AC60="",LEN(TRIM('Raw Data'!AC60))=0),"",IF(AND(ISNUMBER('Raw Data'!AC60), IFERROR('Raw Data'!AC60 = ROUND('Raw Data'!AC60, 2),FALSE)),"",_xlfn.REGEXEXTRACT(CELL("address",AC60), "\$([A-Z]+)\$[0-9]+"))),_xlfn.REGEXEXTRACT(CELL("address",AC60), "\$([A-Z]+)\$[0-9]+"))</f>
        <v/>
      </c>
      <c r="AD60" s="7" t="str" cm="1">
        <f t="array" aca="1" ref="AD60" ca="1">IFERROR(IF(OR('Raw Data'!AD60="",LEN(TRIM('Raw Data'!AD60))=0),"",IF(AND(ISNUMBER('Raw Data'!AD60), IFERROR('Raw Data'!AD60 = ROUND('Raw Data'!AD60, 2),FALSE)),"",_xlfn.REGEXEXTRACT(CELL("address",AD60), "\$([A-Z]+)\$[0-9]+"))),_xlfn.REGEXEXTRACT(CELL("address",AD60), "\$([A-Z]+)\$[0-9]+"))</f>
        <v/>
      </c>
      <c r="AE60" s="7" t="str" cm="1">
        <f t="array" aca="1" ref="AE60" ca="1">IFERROR(IF(OR('Raw Data'!AE60="",LEN(TRIM('Raw Data'!AE60))=0),"",IF(AND(ISNUMBER('Raw Data'!AE60), IFERROR('Raw Data'!AE60 = ROUND('Raw Data'!AE60, 2),FALSE)),"",_xlfn.REGEXEXTRACT(CELL("address",AE60), "\$([A-Z]+)\$[0-9]+"))),_xlfn.REGEXEXTRACT(CELL("address",AE60), "\$([A-Z]+)\$[0-9]+"))</f>
        <v/>
      </c>
      <c r="AF60" s="7" t="str" cm="1">
        <f t="array" aca="1" ref="AF60" ca="1">IFERROR(IF(OR('Raw Data'!AF60="",LEN(TRIM('Raw Data'!AF60))=0),"",IF(AND(ISNUMBER('Raw Data'!AF60), IFERROR('Raw Data'!AF60 = ROUND('Raw Data'!AF60, 2),FALSE)),"",_xlfn.REGEXEXTRACT(CELL("address",AF60), "\$([A-Z]+)\$[0-9]+"))),_xlfn.REGEXEXTRACT(CELL("address",AF60), "\$([A-Z]+)\$[0-9]+"))</f>
        <v/>
      </c>
      <c r="AG60" s="7" t="str" cm="1">
        <f t="array" aca="1" ref="AG60" ca="1">IFERROR(IF(OR('Raw Data'!AG60="",LEN(TRIM('Raw Data'!AG60))=0),"",IF(AND(ISNUMBER('Raw Data'!AG60), IFERROR('Raw Data'!AG60 = ROUND('Raw Data'!AG60, 2),FALSE)),"",_xlfn.REGEXEXTRACT(CELL("address",AG60), "\$([A-Z]+)\$[0-9]+"))),_xlfn.REGEXEXTRACT(CELL("address",AG60), "\$([A-Z]+)\$[0-9]+"))</f>
        <v/>
      </c>
      <c r="AH60" s="7" t="str" cm="1">
        <f t="array" aca="1" ref="AH60" ca="1">IFERROR(IF(OR('Raw Data'!AH60="",LEN(TRIM('Raw Data'!AH60))=0),"",IF(AND(ISNUMBER('Raw Data'!AH60), IFERROR('Raw Data'!AH60 = ROUND('Raw Data'!AH60, 2),FALSE)),"",_xlfn.REGEXEXTRACT(CELL("address",AH60), "\$([A-Z]+)\$[0-9]+"))),_xlfn.REGEXEXTRACT(CELL("address",AH60), "\$([A-Z]+)\$[0-9]+"))</f>
        <v/>
      </c>
      <c r="AI60" s="7" t="str" cm="1">
        <f t="array" aca="1" ref="AI60" ca="1">IFERROR(IF(OR('Raw Data'!AI60="",LEN(TRIM('Raw Data'!AI60))=0),"",IF(AND(ISNUMBER('Raw Data'!AI60), IFERROR('Raw Data'!AI60 = ROUND('Raw Data'!AI60, 2),FALSE)),"",_xlfn.REGEXEXTRACT(CELL("address",AI60), "\$([A-Z]+)\$[0-9]+"))),_xlfn.REGEXEXTRACT(CELL("address",AI60), "\$([A-Z]+)\$[0-9]+"))</f>
        <v/>
      </c>
      <c r="AJ60" s="7" t="str" cm="1">
        <f t="array" aca="1" ref="AJ60" ca="1">IFERROR(IF(OR('Raw Data'!AJ60="",LEN(TRIM('Raw Data'!AJ60))=0),"",IF(AND(ISNUMBER('Raw Data'!AJ60), IFERROR('Raw Data'!AJ60 = ROUND('Raw Data'!AJ60, 2),FALSE)),"",_xlfn.REGEXEXTRACT(CELL("address",AJ60), "\$([A-Z]+)\$[0-9]+"))),_xlfn.REGEXEXTRACT(CELL("address",AJ60), "\$([A-Z]+)\$[0-9]+"))</f>
        <v/>
      </c>
    </row>
    <row r="61" spans="2:36" x14ac:dyDescent="0.25">
      <c r="B61" s="7" t="str" cm="1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20,LEN('Raw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Data'!D61))=0),"",IF(AND(ISNUMBER('Raw Data'!D61),'Raw Data'!D61&gt;=Configuration!$D$2),"",_xlfn.REGEXEXTRACT(CELL("address",'Raw Data'!D61),"\$([A-Z]+)\$[0-9]+"))),_xlfn.REGEXEXTRACT(CELL("address",D61), "\$([A-Z]+)\$[0-9]+"))</f>
        <v/>
      </c>
      <c r="E61" s="7" t="str" cm="1">
        <f t="array" aca="1" ref="E61" ca="1">IFERROR(IF(OR('Raw Data'!E61="",LEN(TRIM('Raw Data'!E61))=0),"",IF(AND(ISNUMBER('Raw Data'!E61), IFERROR('Raw Data'!E61 = ROUND('Raw Data'!E61, 2),FALSE)),"",_xlfn.REGEXEXTRACT(CELL("address",E61), "\$([A-Z]+)\$[0-9]+"))),_xlfn.REGEXEXTRACT(CELL("address",E61), "\$([A-Z]+)\$[0-9]+"))</f>
        <v/>
      </c>
      <c r="F61" s="7" t="str" cm="1">
        <f t="array" aca="1" ref="F61" ca="1">IFERROR(IF(OR('Raw Data'!F61="",LEN(TRIM('Raw Data'!F61))=0),"",IF(AND(ISNUMBER('Raw Data'!F61), IFERROR('Raw Data'!F61 = ROUND('Raw Data'!F61, 2),FALSE)),"",_xlfn.REGEXEXTRACT(CELL("address",F61), "\$([A-Z]+)\$[0-9]+"))),_xlfn.REGEXEXTRACT(CELL("address",F61), "\$([A-Z]+)\$[0-9]+"))</f>
        <v/>
      </c>
      <c r="G61" s="7" t="str" cm="1">
        <f t="array" aca="1" ref="G61" ca="1">IFERROR(IF(OR('Raw Data'!G61="",LEN(TRIM('Raw Data'!G61))=0),"",IF(AND(ISNUMBER('Raw Data'!G61), IFERROR('Raw Data'!G61 = ROUND('Raw Data'!G61, 2),FALSE)),"",_xlfn.REGEXEXTRACT(CELL("address",G61), "\$([A-Z]+)\$[0-9]+"))),_xlfn.REGEXEXTRACT(CELL("address",G61), "\$([A-Z]+)\$[0-9]+"))</f>
        <v/>
      </c>
      <c r="H61" s="7" t="str" cm="1">
        <f t="array" aca="1" ref="H61" ca="1">IFERROR(IF(OR('Raw Data'!H61="",LEN(TRIM('Raw Data'!H61))=0),"",IF(AND(ISNUMBER('Raw Data'!H61), IFERROR('Raw Data'!H61 = ROUND('Raw Data'!H61, 2),FALSE)),"",_xlfn.REGEXEXTRACT(CELL("address",H61), "\$([A-Z]+)\$[0-9]+"))),_xlfn.REGEXEXTRACT(CELL("address",H61), "\$([A-Z]+)\$[0-9]+"))</f>
        <v/>
      </c>
      <c r="I61" s="7" t="str" cm="1">
        <f t="array" aca="1" ref="I61" ca="1">IFERROR(IF(OR('Raw Data'!I61="",LEN(TRIM('Raw Data'!I61))=0),"",IF(AND(ISNUMBER('Raw Data'!I61), IFERROR('Raw Data'!I61 = ROUND('Raw Data'!I61, 2),FALSE)),"",_xlfn.REGEXEXTRACT(CELL("address",I61), "\$([A-Z]+)\$[0-9]+"))),_xlfn.REGEXEXTRACT(CELL("address",I61), "\$([A-Z]+)\$[0-9]+"))</f>
        <v/>
      </c>
      <c r="J61" s="7" t="str" cm="1">
        <f t="array" aca="1" ref="J61" ca="1">IFERROR(IF(OR('Raw Data'!J61="",LEN(TRIM('Raw Data'!J61))=0),"",IF(AND(ISNUMBER('Raw Data'!J61), IFERROR('Raw Data'!J61 = ROUND('Raw Data'!J61, 2),FALSE)),"",_xlfn.REGEXEXTRACT(CELL("address",J61), "\$([A-Z]+)\$[0-9]+"))),_xlfn.REGEXEXTRACT(CELL("address",J61), "\$([A-Z]+)\$[0-9]+"))</f>
        <v/>
      </c>
      <c r="K61" s="7" t="str" cm="1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7" t="str" cm="1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7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7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7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7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 cm="1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7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7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7" t="str" cm="1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7" t="str" cm="1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  <c r="Z61" s="7" t="str" cm="1">
        <f t="array" aca="1" ref="Z61" ca="1">IFERROR(IF(OR('Raw Data'!Z61="",LEN(TRIM('Raw Data'!Z61))=0),"",IF(AND(ISNUMBER('Raw Data'!Z61), IFERROR('Raw Data'!Z61 = ROUND('Raw Data'!Z61, 2),FALSE)),"",_xlfn.REGEXEXTRACT(CELL("address",Z61), "\$([A-Z]+)\$[0-9]+"))),_xlfn.REGEXEXTRACT(CELL("address",Z61), "\$([A-Z]+)\$[0-9]+"))</f>
        <v/>
      </c>
      <c r="AA61" s="7" t="str" cm="1">
        <f t="array" aca="1" ref="AA61" ca="1">IFERROR(IF(OR('Raw Data'!AA61="",LEN(TRIM('Raw Data'!AA61))=0),"",IF(AND(ISNUMBER('Raw Data'!AA61), IFERROR('Raw Data'!AA61 = ROUND('Raw Data'!AA61, 2),FALSE)),"",_xlfn.REGEXEXTRACT(CELL("address",AA61), "\$([A-Z]+)\$[0-9]+"))),_xlfn.REGEXEXTRACT(CELL("address",AA61), "\$([A-Z]+)\$[0-9]+"))</f>
        <v/>
      </c>
      <c r="AB61" s="7" t="str" cm="1">
        <f t="array" aca="1" ref="AB61" ca="1">IFERROR(IF(OR('Raw Data'!AB61="",LEN(TRIM('Raw Data'!AB61))=0),"",IF(AND(ISNUMBER('Raw Data'!AB61), IFERROR('Raw Data'!AB61 = ROUND('Raw Data'!AB61, 2),FALSE)),"",_xlfn.REGEXEXTRACT(CELL("address",AB61), "\$([A-Z]+)\$[0-9]+"))),_xlfn.REGEXEXTRACT(CELL("address",AB61), "\$([A-Z]+)\$[0-9]+"))</f>
        <v/>
      </c>
      <c r="AC61" s="7" t="str" cm="1">
        <f t="array" aca="1" ref="AC61" ca="1">IFERROR(IF(OR('Raw Data'!AC61="",LEN(TRIM('Raw Data'!AC61))=0),"",IF(AND(ISNUMBER('Raw Data'!AC61), IFERROR('Raw Data'!AC61 = ROUND('Raw Data'!AC61, 2),FALSE)),"",_xlfn.REGEXEXTRACT(CELL("address",AC61), "\$([A-Z]+)\$[0-9]+"))),_xlfn.REGEXEXTRACT(CELL("address",AC61), "\$([A-Z]+)\$[0-9]+"))</f>
        <v/>
      </c>
      <c r="AD61" s="7" t="str" cm="1">
        <f t="array" aca="1" ref="AD61" ca="1">IFERROR(IF(OR('Raw Data'!AD61="",LEN(TRIM('Raw Data'!AD61))=0),"",IF(AND(ISNUMBER('Raw Data'!AD61), IFERROR('Raw Data'!AD61 = ROUND('Raw Data'!AD61, 2),FALSE)),"",_xlfn.REGEXEXTRACT(CELL("address",AD61), "\$([A-Z]+)\$[0-9]+"))),_xlfn.REGEXEXTRACT(CELL("address",AD61), "\$([A-Z]+)\$[0-9]+"))</f>
        <v/>
      </c>
      <c r="AE61" s="7" t="str" cm="1">
        <f t="array" aca="1" ref="AE61" ca="1">IFERROR(IF(OR('Raw Data'!AE61="",LEN(TRIM('Raw Data'!AE61))=0),"",IF(AND(ISNUMBER('Raw Data'!AE61), IFERROR('Raw Data'!AE61 = ROUND('Raw Data'!AE61, 2),FALSE)),"",_xlfn.REGEXEXTRACT(CELL("address",AE61), "\$([A-Z]+)\$[0-9]+"))),_xlfn.REGEXEXTRACT(CELL("address",AE61), "\$([A-Z]+)\$[0-9]+"))</f>
        <v/>
      </c>
      <c r="AF61" s="7" t="str" cm="1">
        <f t="array" aca="1" ref="AF61" ca="1">IFERROR(IF(OR('Raw Data'!AF61="",LEN(TRIM('Raw Data'!AF61))=0),"",IF(AND(ISNUMBER('Raw Data'!AF61), IFERROR('Raw Data'!AF61 = ROUND('Raw Data'!AF61, 2),FALSE)),"",_xlfn.REGEXEXTRACT(CELL("address",AF61), "\$([A-Z]+)\$[0-9]+"))),_xlfn.REGEXEXTRACT(CELL("address",AF61), "\$([A-Z]+)\$[0-9]+"))</f>
        <v/>
      </c>
      <c r="AG61" s="7" t="str" cm="1">
        <f t="array" aca="1" ref="AG61" ca="1">IFERROR(IF(OR('Raw Data'!AG61="",LEN(TRIM('Raw Data'!AG61))=0),"",IF(AND(ISNUMBER('Raw Data'!AG61), IFERROR('Raw Data'!AG61 = ROUND('Raw Data'!AG61, 2),FALSE)),"",_xlfn.REGEXEXTRACT(CELL("address",AG61), "\$([A-Z]+)\$[0-9]+"))),_xlfn.REGEXEXTRACT(CELL("address",AG61), "\$([A-Z]+)\$[0-9]+"))</f>
        <v/>
      </c>
      <c r="AH61" s="7" t="str" cm="1">
        <f t="array" aca="1" ref="AH61" ca="1">IFERROR(IF(OR('Raw Data'!AH61="",LEN(TRIM('Raw Data'!AH61))=0),"",IF(AND(ISNUMBER('Raw Data'!AH61), IFERROR('Raw Data'!AH61 = ROUND('Raw Data'!AH61, 2),FALSE)),"",_xlfn.REGEXEXTRACT(CELL("address",AH61), "\$([A-Z]+)\$[0-9]+"))),_xlfn.REGEXEXTRACT(CELL("address",AH61), "\$([A-Z]+)\$[0-9]+"))</f>
        <v/>
      </c>
      <c r="AI61" s="7" t="str" cm="1">
        <f t="array" aca="1" ref="AI61" ca="1">IFERROR(IF(OR('Raw Data'!AI61="",LEN(TRIM('Raw Data'!AI61))=0),"",IF(AND(ISNUMBER('Raw Data'!AI61), IFERROR('Raw Data'!AI61 = ROUND('Raw Data'!AI61, 2),FALSE)),"",_xlfn.REGEXEXTRACT(CELL("address",AI61), "\$([A-Z]+)\$[0-9]+"))),_xlfn.REGEXEXTRACT(CELL("address",AI61), "\$([A-Z]+)\$[0-9]+"))</f>
        <v/>
      </c>
      <c r="AJ61" s="7" t="str" cm="1">
        <f t="array" aca="1" ref="AJ61" ca="1">IFERROR(IF(OR('Raw Data'!AJ61="",LEN(TRIM('Raw Data'!AJ61))=0),"",IF(AND(ISNUMBER('Raw Data'!AJ61), IFERROR('Raw Data'!AJ61 = ROUND('Raw Data'!AJ61, 2),FALSE)),"",_xlfn.REGEXEXTRACT(CELL("address",AJ61), "\$([A-Z]+)\$[0-9]+"))),_xlfn.REGEXEXTRACT(CELL("address",AJ61), "\$([A-Z]+)\$[0-9]+"))</f>
        <v/>
      </c>
    </row>
    <row r="62" spans="2:36" x14ac:dyDescent="0.25">
      <c r="B62" s="7" t="str" cm="1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20,LEN('Raw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Data'!D62))=0),"",IF(AND(ISNUMBER('Raw Data'!D62),'Raw Data'!D62&gt;=Configuration!$D$2),"",_xlfn.REGEXEXTRACT(CELL("address",'Raw Data'!D62),"\$([A-Z]+)\$[0-9]+"))),_xlfn.REGEXEXTRACT(CELL("address",D62), "\$([A-Z]+)\$[0-9]+"))</f>
        <v/>
      </c>
      <c r="E62" s="7" t="str" cm="1">
        <f t="array" aca="1" ref="E62" ca="1">IFERROR(IF(OR('Raw Data'!E62="",LEN(TRIM('Raw Data'!E62))=0),"",IF(AND(ISNUMBER('Raw Data'!E62), IFERROR('Raw Data'!E62 = ROUND('Raw Data'!E62, 2),FALSE)),"",_xlfn.REGEXEXTRACT(CELL("address",E62), "\$([A-Z]+)\$[0-9]+"))),_xlfn.REGEXEXTRACT(CELL("address",E62), "\$([A-Z]+)\$[0-9]+"))</f>
        <v/>
      </c>
      <c r="F62" s="7" t="str" cm="1">
        <f t="array" aca="1" ref="F62" ca="1">IFERROR(IF(OR('Raw Data'!F62="",LEN(TRIM('Raw Data'!F62))=0),"",IF(AND(ISNUMBER('Raw Data'!F62), IFERROR('Raw Data'!F62 = ROUND('Raw Data'!F62, 2),FALSE)),"",_xlfn.REGEXEXTRACT(CELL("address",F62), "\$([A-Z]+)\$[0-9]+"))),_xlfn.REGEXEXTRACT(CELL("address",F62), "\$([A-Z]+)\$[0-9]+"))</f>
        <v/>
      </c>
      <c r="G62" s="7" t="str" cm="1">
        <f t="array" aca="1" ref="G62" ca="1">IFERROR(IF(OR('Raw Data'!G62="",LEN(TRIM('Raw Data'!G62))=0),"",IF(AND(ISNUMBER('Raw Data'!G62), IFERROR('Raw Data'!G62 = ROUND('Raw Data'!G62, 2),FALSE)),"",_xlfn.REGEXEXTRACT(CELL("address",G62), "\$([A-Z]+)\$[0-9]+"))),_xlfn.REGEXEXTRACT(CELL("address",G62), "\$([A-Z]+)\$[0-9]+"))</f>
        <v/>
      </c>
      <c r="H62" s="7" t="str" cm="1">
        <f t="array" aca="1" ref="H62" ca="1">IFERROR(IF(OR('Raw Data'!H62="",LEN(TRIM('Raw Data'!H62))=0),"",IF(AND(ISNUMBER('Raw Data'!H62), IFERROR('Raw Data'!H62 = ROUND('Raw Data'!H62, 2),FALSE)),"",_xlfn.REGEXEXTRACT(CELL("address",H62), "\$([A-Z]+)\$[0-9]+"))),_xlfn.REGEXEXTRACT(CELL("address",H62), "\$([A-Z]+)\$[0-9]+"))</f>
        <v/>
      </c>
      <c r="I62" s="7" t="str" cm="1">
        <f t="array" aca="1" ref="I62" ca="1">IFERROR(IF(OR('Raw Data'!I62="",LEN(TRIM('Raw Data'!I62))=0),"",IF(AND(ISNUMBER('Raw Data'!I62), IFERROR('Raw Data'!I62 = ROUND('Raw Data'!I62, 2),FALSE)),"",_xlfn.REGEXEXTRACT(CELL("address",I62), "\$([A-Z]+)\$[0-9]+"))),_xlfn.REGEXEXTRACT(CELL("address",I62), "\$([A-Z]+)\$[0-9]+"))</f>
        <v/>
      </c>
      <c r="J62" s="7" t="str" cm="1">
        <f t="array" aca="1" ref="J62" ca="1">IFERROR(IF(OR('Raw Data'!J62="",LEN(TRIM('Raw Data'!J62))=0),"",IF(AND(ISNUMBER('Raw Data'!J62), IFERROR('Raw Data'!J62 = ROUND('Raw Data'!J62, 2),FALSE)),"",_xlfn.REGEXEXTRACT(CELL("address",J62), "\$([A-Z]+)\$[0-9]+"))),_xlfn.REGEXEXTRACT(CELL("address",J62), "\$([A-Z]+)\$[0-9]+"))</f>
        <v/>
      </c>
      <c r="K62" s="7" t="str" cm="1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7" t="str" cm="1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7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7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7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7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 cm="1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7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7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7" t="str" cm="1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7" t="str" cm="1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  <c r="Z62" s="7" t="str" cm="1">
        <f t="array" aca="1" ref="Z62" ca="1">IFERROR(IF(OR('Raw Data'!Z62="",LEN(TRIM('Raw Data'!Z62))=0),"",IF(AND(ISNUMBER('Raw Data'!Z62), IFERROR('Raw Data'!Z62 = ROUND('Raw Data'!Z62, 2),FALSE)),"",_xlfn.REGEXEXTRACT(CELL("address",Z62), "\$([A-Z]+)\$[0-9]+"))),_xlfn.REGEXEXTRACT(CELL("address",Z62), "\$([A-Z]+)\$[0-9]+"))</f>
        <v/>
      </c>
      <c r="AA62" s="7" t="str" cm="1">
        <f t="array" aca="1" ref="AA62" ca="1">IFERROR(IF(OR('Raw Data'!AA62="",LEN(TRIM('Raw Data'!AA62))=0),"",IF(AND(ISNUMBER('Raw Data'!AA62), IFERROR('Raw Data'!AA62 = ROUND('Raw Data'!AA62, 2),FALSE)),"",_xlfn.REGEXEXTRACT(CELL("address",AA62), "\$([A-Z]+)\$[0-9]+"))),_xlfn.REGEXEXTRACT(CELL("address",AA62), "\$([A-Z]+)\$[0-9]+"))</f>
        <v/>
      </c>
      <c r="AB62" s="7" t="str" cm="1">
        <f t="array" aca="1" ref="AB62" ca="1">IFERROR(IF(OR('Raw Data'!AB62="",LEN(TRIM('Raw Data'!AB62))=0),"",IF(AND(ISNUMBER('Raw Data'!AB62), IFERROR('Raw Data'!AB62 = ROUND('Raw Data'!AB62, 2),FALSE)),"",_xlfn.REGEXEXTRACT(CELL("address",AB62), "\$([A-Z]+)\$[0-9]+"))),_xlfn.REGEXEXTRACT(CELL("address",AB62), "\$([A-Z]+)\$[0-9]+"))</f>
        <v/>
      </c>
      <c r="AC62" s="7" t="str" cm="1">
        <f t="array" aca="1" ref="AC62" ca="1">IFERROR(IF(OR('Raw Data'!AC62="",LEN(TRIM('Raw Data'!AC62))=0),"",IF(AND(ISNUMBER('Raw Data'!AC62), IFERROR('Raw Data'!AC62 = ROUND('Raw Data'!AC62, 2),FALSE)),"",_xlfn.REGEXEXTRACT(CELL("address",AC62), "\$([A-Z]+)\$[0-9]+"))),_xlfn.REGEXEXTRACT(CELL("address",AC62), "\$([A-Z]+)\$[0-9]+"))</f>
        <v/>
      </c>
      <c r="AD62" s="7" t="str" cm="1">
        <f t="array" aca="1" ref="AD62" ca="1">IFERROR(IF(OR('Raw Data'!AD62="",LEN(TRIM('Raw Data'!AD62))=0),"",IF(AND(ISNUMBER('Raw Data'!AD62), IFERROR('Raw Data'!AD62 = ROUND('Raw Data'!AD62, 2),FALSE)),"",_xlfn.REGEXEXTRACT(CELL("address",AD62), "\$([A-Z]+)\$[0-9]+"))),_xlfn.REGEXEXTRACT(CELL("address",AD62), "\$([A-Z]+)\$[0-9]+"))</f>
        <v/>
      </c>
      <c r="AE62" s="7" t="str" cm="1">
        <f t="array" aca="1" ref="AE62" ca="1">IFERROR(IF(OR('Raw Data'!AE62="",LEN(TRIM('Raw Data'!AE62))=0),"",IF(AND(ISNUMBER('Raw Data'!AE62), IFERROR('Raw Data'!AE62 = ROUND('Raw Data'!AE62, 2),FALSE)),"",_xlfn.REGEXEXTRACT(CELL("address",AE62), "\$([A-Z]+)\$[0-9]+"))),_xlfn.REGEXEXTRACT(CELL("address",AE62), "\$([A-Z]+)\$[0-9]+"))</f>
        <v/>
      </c>
      <c r="AF62" s="7" t="str" cm="1">
        <f t="array" aca="1" ref="AF62" ca="1">IFERROR(IF(OR('Raw Data'!AF62="",LEN(TRIM('Raw Data'!AF62))=0),"",IF(AND(ISNUMBER('Raw Data'!AF62), IFERROR('Raw Data'!AF62 = ROUND('Raw Data'!AF62, 2),FALSE)),"",_xlfn.REGEXEXTRACT(CELL("address",AF62), "\$([A-Z]+)\$[0-9]+"))),_xlfn.REGEXEXTRACT(CELL("address",AF62), "\$([A-Z]+)\$[0-9]+"))</f>
        <v/>
      </c>
      <c r="AG62" s="7" t="str" cm="1">
        <f t="array" aca="1" ref="AG62" ca="1">IFERROR(IF(OR('Raw Data'!AG62="",LEN(TRIM('Raw Data'!AG62))=0),"",IF(AND(ISNUMBER('Raw Data'!AG62), IFERROR('Raw Data'!AG62 = ROUND('Raw Data'!AG62, 2),FALSE)),"",_xlfn.REGEXEXTRACT(CELL("address",AG62), "\$([A-Z]+)\$[0-9]+"))),_xlfn.REGEXEXTRACT(CELL("address",AG62), "\$([A-Z]+)\$[0-9]+"))</f>
        <v/>
      </c>
      <c r="AH62" s="7" t="str" cm="1">
        <f t="array" aca="1" ref="AH62" ca="1">IFERROR(IF(OR('Raw Data'!AH62="",LEN(TRIM('Raw Data'!AH62))=0),"",IF(AND(ISNUMBER('Raw Data'!AH62), IFERROR('Raw Data'!AH62 = ROUND('Raw Data'!AH62, 2),FALSE)),"",_xlfn.REGEXEXTRACT(CELL("address",AH62), "\$([A-Z]+)\$[0-9]+"))),_xlfn.REGEXEXTRACT(CELL("address",AH62), "\$([A-Z]+)\$[0-9]+"))</f>
        <v/>
      </c>
      <c r="AI62" s="7" t="str" cm="1">
        <f t="array" aca="1" ref="AI62" ca="1">IFERROR(IF(OR('Raw Data'!AI62="",LEN(TRIM('Raw Data'!AI62))=0),"",IF(AND(ISNUMBER('Raw Data'!AI62), IFERROR('Raw Data'!AI62 = ROUND('Raw Data'!AI62, 2),FALSE)),"",_xlfn.REGEXEXTRACT(CELL("address",AI62), "\$([A-Z]+)\$[0-9]+"))),_xlfn.REGEXEXTRACT(CELL("address",AI62), "\$([A-Z]+)\$[0-9]+"))</f>
        <v/>
      </c>
      <c r="AJ62" s="7" t="str" cm="1">
        <f t="array" aca="1" ref="AJ62" ca="1">IFERROR(IF(OR('Raw Data'!AJ62="",LEN(TRIM('Raw Data'!AJ62))=0),"",IF(AND(ISNUMBER('Raw Data'!AJ62), IFERROR('Raw Data'!AJ62 = ROUND('Raw Data'!AJ62, 2),FALSE)),"",_xlfn.REGEXEXTRACT(CELL("address",AJ62), "\$([A-Z]+)\$[0-9]+"))),_xlfn.REGEXEXTRACT(CELL("address",AJ62), "\$([A-Z]+)\$[0-9]+"))</f>
        <v/>
      </c>
    </row>
    <row r="63" spans="2:36" x14ac:dyDescent="0.25">
      <c r="B63" s="7" t="str" cm="1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20,LEN('Raw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Data'!D63))=0),"",IF(AND(ISNUMBER('Raw Data'!D63),'Raw Data'!D63&gt;=Configuration!$D$2),"",_xlfn.REGEXEXTRACT(CELL("address",'Raw Data'!D63),"\$([A-Z]+)\$[0-9]+"))),_xlfn.REGEXEXTRACT(CELL("address",D63), "\$([A-Z]+)\$[0-9]+"))</f>
        <v/>
      </c>
      <c r="E63" s="7" t="str" cm="1">
        <f t="array" aca="1" ref="E63" ca="1">IFERROR(IF(OR('Raw Data'!E63="",LEN(TRIM('Raw Data'!E63))=0),"",IF(AND(ISNUMBER('Raw Data'!E63), IFERROR('Raw Data'!E63 = ROUND('Raw Data'!E63, 2),FALSE)),"",_xlfn.REGEXEXTRACT(CELL("address",E63), "\$([A-Z]+)\$[0-9]+"))),_xlfn.REGEXEXTRACT(CELL("address",E63), "\$([A-Z]+)\$[0-9]+"))</f>
        <v/>
      </c>
      <c r="F63" s="7" t="str" cm="1">
        <f t="array" aca="1" ref="F63" ca="1">IFERROR(IF(OR('Raw Data'!F63="",LEN(TRIM('Raw Data'!F63))=0),"",IF(AND(ISNUMBER('Raw Data'!F63), IFERROR('Raw Data'!F63 = ROUND('Raw Data'!F63, 2),FALSE)),"",_xlfn.REGEXEXTRACT(CELL("address",F63), "\$([A-Z]+)\$[0-9]+"))),_xlfn.REGEXEXTRACT(CELL("address",F63), "\$([A-Z]+)\$[0-9]+"))</f>
        <v/>
      </c>
      <c r="G63" s="7" t="str" cm="1">
        <f t="array" aca="1" ref="G63" ca="1">IFERROR(IF(OR('Raw Data'!G63="",LEN(TRIM('Raw Data'!G63))=0),"",IF(AND(ISNUMBER('Raw Data'!G63), IFERROR('Raw Data'!G63 = ROUND('Raw Data'!G63, 2),FALSE)),"",_xlfn.REGEXEXTRACT(CELL("address",G63), "\$([A-Z]+)\$[0-9]+"))),_xlfn.REGEXEXTRACT(CELL("address",G63), "\$([A-Z]+)\$[0-9]+"))</f>
        <v/>
      </c>
      <c r="H63" s="7" t="str" cm="1">
        <f t="array" aca="1" ref="H63" ca="1">IFERROR(IF(OR('Raw Data'!H63="",LEN(TRIM('Raw Data'!H63))=0),"",IF(AND(ISNUMBER('Raw Data'!H63), IFERROR('Raw Data'!H63 = ROUND('Raw Data'!H63, 2),FALSE)),"",_xlfn.REGEXEXTRACT(CELL("address",H63), "\$([A-Z]+)\$[0-9]+"))),_xlfn.REGEXEXTRACT(CELL("address",H63), "\$([A-Z]+)\$[0-9]+"))</f>
        <v/>
      </c>
      <c r="I63" s="7" t="str" cm="1">
        <f t="array" aca="1" ref="I63" ca="1">IFERROR(IF(OR('Raw Data'!I63="",LEN(TRIM('Raw Data'!I63))=0),"",IF(AND(ISNUMBER('Raw Data'!I63), IFERROR('Raw Data'!I63 = ROUND('Raw Data'!I63, 2),FALSE)),"",_xlfn.REGEXEXTRACT(CELL("address",I63), "\$([A-Z]+)\$[0-9]+"))),_xlfn.REGEXEXTRACT(CELL("address",I63), "\$([A-Z]+)\$[0-9]+"))</f>
        <v/>
      </c>
      <c r="J63" s="7" t="str" cm="1">
        <f t="array" aca="1" ref="J63" ca="1">IFERROR(IF(OR('Raw Data'!J63="",LEN(TRIM('Raw Data'!J63))=0),"",IF(AND(ISNUMBER('Raw Data'!J63), IFERROR('Raw Data'!J63 = ROUND('Raw Data'!J63, 2),FALSE)),"",_xlfn.REGEXEXTRACT(CELL("address",J63), "\$([A-Z]+)\$[0-9]+"))),_xlfn.REGEXEXTRACT(CELL("address",J63), "\$([A-Z]+)\$[0-9]+"))</f>
        <v/>
      </c>
      <c r="K63" s="7" t="str" cm="1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7" t="str" cm="1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7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7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7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7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 cm="1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7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7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7" t="str" cm="1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7" t="str" cm="1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  <c r="Z63" s="7" t="str" cm="1">
        <f t="array" aca="1" ref="Z63" ca="1">IFERROR(IF(OR('Raw Data'!Z63="",LEN(TRIM('Raw Data'!Z63))=0),"",IF(AND(ISNUMBER('Raw Data'!Z63), IFERROR('Raw Data'!Z63 = ROUND('Raw Data'!Z63, 2),FALSE)),"",_xlfn.REGEXEXTRACT(CELL("address",Z63), "\$([A-Z]+)\$[0-9]+"))),_xlfn.REGEXEXTRACT(CELL("address",Z63), "\$([A-Z]+)\$[0-9]+"))</f>
        <v/>
      </c>
      <c r="AA63" s="7" t="str" cm="1">
        <f t="array" aca="1" ref="AA63" ca="1">IFERROR(IF(OR('Raw Data'!AA63="",LEN(TRIM('Raw Data'!AA63))=0),"",IF(AND(ISNUMBER('Raw Data'!AA63), IFERROR('Raw Data'!AA63 = ROUND('Raw Data'!AA63, 2),FALSE)),"",_xlfn.REGEXEXTRACT(CELL("address",AA63), "\$([A-Z]+)\$[0-9]+"))),_xlfn.REGEXEXTRACT(CELL("address",AA63), "\$([A-Z]+)\$[0-9]+"))</f>
        <v/>
      </c>
      <c r="AB63" s="7" t="str" cm="1">
        <f t="array" aca="1" ref="AB63" ca="1">IFERROR(IF(OR('Raw Data'!AB63="",LEN(TRIM('Raw Data'!AB63))=0),"",IF(AND(ISNUMBER('Raw Data'!AB63), IFERROR('Raw Data'!AB63 = ROUND('Raw Data'!AB63, 2),FALSE)),"",_xlfn.REGEXEXTRACT(CELL("address",AB63), "\$([A-Z]+)\$[0-9]+"))),_xlfn.REGEXEXTRACT(CELL("address",AB63), "\$([A-Z]+)\$[0-9]+"))</f>
        <v/>
      </c>
      <c r="AC63" s="7" t="str" cm="1">
        <f t="array" aca="1" ref="AC63" ca="1">IFERROR(IF(OR('Raw Data'!AC63="",LEN(TRIM('Raw Data'!AC63))=0),"",IF(AND(ISNUMBER('Raw Data'!AC63), IFERROR('Raw Data'!AC63 = ROUND('Raw Data'!AC63, 2),FALSE)),"",_xlfn.REGEXEXTRACT(CELL("address",AC63), "\$([A-Z]+)\$[0-9]+"))),_xlfn.REGEXEXTRACT(CELL("address",AC63), "\$([A-Z]+)\$[0-9]+"))</f>
        <v/>
      </c>
      <c r="AD63" s="7" t="str" cm="1">
        <f t="array" aca="1" ref="AD63" ca="1">IFERROR(IF(OR('Raw Data'!AD63="",LEN(TRIM('Raw Data'!AD63))=0),"",IF(AND(ISNUMBER('Raw Data'!AD63), IFERROR('Raw Data'!AD63 = ROUND('Raw Data'!AD63, 2),FALSE)),"",_xlfn.REGEXEXTRACT(CELL("address",AD63), "\$([A-Z]+)\$[0-9]+"))),_xlfn.REGEXEXTRACT(CELL("address",AD63), "\$([A-Z]+)\$[0-9]+"))</f>
        <v/>
      </c>
      <c r="AE63" s="7" t="str" cm="1">
        <f t="array" aca="1" ref="AE63" ca="1">IFERROR(IF(OR('Raw Data'!AE63="",LEN(TRIM('Raw Data'!AE63))=0),"",IF(AND(ISNUMBER('Raw Data'!AE63), IFERROR('Raw Data'!AE63 = ROUND('Raw Data'!AE63, 2),FALSE)),"",_xlfn.REGEXEXTRACT(CELL("address",AE63), "\$([A-Z]+)\$[0-9]+"))),_xlfn.REGEXEXTRACT(CELL("address",AE63), "\$([A-Z]+)\$[0-9]+"))</f>
        <v/>
      </c>
      <c r="AF63" s="7" t="str" cm="1">
        <f t="array" aca="1" ref="AF63" ca="1">IFERROR(IF(OR('Raw Data'!AF63="",LEN(TRIM('Raw Data'!AF63))=0),"",IF(AND(ISNUMBER('Raw Data'!AF63), IFERROR('Raw Data'!AF63 = ROUND('Raw Data'!AF63, 2),FALSE)),"",_xlfn.REGEXEXTRACT(CELL("address",AF63), "\$([A-Z]+)\$[0-9]+"))),_xlfn.REGEXEXTRACT(CELL("address",AF63), "\$([A-Z]+)\$[0-9]+"))</f>
        <v/>
      </c>
      <c r="AG63" s="7" t="str" cm="1">
        <f t="array" aca="1" ref="AG63" ca="1">IFERROR(IF(OR('Raw Data'!AG63="",LEN(TRIM('Raw Data'!AG63))=0),"",IF(AND(ISNUMBER('Raw Data'!AG63), IFERROR('Raw Data'!AG63 = ROUND('Raw Data'!AG63, 2),FALSE)),"",_xlfn.REGEXEXTRACT(CELL("address",AG63), "\$([A-Z]+)\$[0-9]+"))),_xlfn.REGEXEXTRACT(CELL("address",AG63), "\$([A-Z]+)\$[0-9]+"))</f>
        <v/>
      </c>
      <c r="AH63" s="7" t="str" cm="1">
        <f t="array" aca="1" ref="AH63" ca="1">IFERROR(IF(OR('Raw Data'!AH63="",LEN(TRIM('Raw Data'!AH63))=0),"",IF(AND(ISNUMBER('Raw Data'!AH63), IFERROR('Raw Data'!AH63 = ROUND('Raw Data'!AH63, 2),FALSE)),"",_xlfn.REGEXEXTRACT(CELL("address",AH63), "\$([A-Z]+)\$[0-9]+"))),_xlfn.REGEXEXTRACT(CELL("address",AH63), "\$([A-Z]+)\$[0-9]+"))</f>
        <v/>
      </c>
      <c r="AI63" s="7" t="str" cm="1">
        <f t="array" aca="1" ref="AI63" ca="1">IFERROR(IF(OR('Raw Data'!AI63="",LEN(TRIM('Raw Data'!AI63))=0),"",IF(AND(ISNUMBER('Raw Data'!AI63), IFERROR('Raw Data'!AI63 = ROUND('Raw Data'!AI63, 2),FALSE)),"",_xlfn.REGEXEXTRACT(CELL("address",AI63), "\$([A-Z]+)\$[0-9]+"))),_xlfn.REGEXEXTRACT(CELL("address",AI63), "\$([A-Z]+)\$[0-9]+"))</f>
        <v/>
      </c>
      <c r="AJ63" s="7" t="str" cm="1">
        <f t="array" aca="1" ref="AJ63" ca="1">IFERROR(IF(OR('Raw Data'!AJ63="",LEN(TRIM('Raw Data'!AJ63))=0),"",IF(AND(ISNUMBER('Raw Data'!AJ63), IFERROR('Raw Data'!AJ63 = ROUND('Raw Data'!AJ63, 2),FALSE)),"",_xlfn.REGEXEXTRACT(CELL("address",AJ63), "\$([A-Z]+)\$[0-9]+"))),_xlfn.REGEXEXTRACT(CELL("address",AJ63), "\$([A-Z]+)\$[0-9]+"))</f>
        <v/>
      </c>
    </row>
    <row r="64" spans="2:36" x14ac:dyDescent="0.25">
      <c r="B64" s="7" t="str" cm="1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20,LEN('Raw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Data'!D64))=0),"",IF(AND(ISNUMBER('Raw Data'!D64),'Raw Data'!D64&gt;=Configuration!$D$2),"",_xlfn.REGEXEXTRACT(CELL("address",'Raw Data'!D64),"\$([A-Z]+)\$[0-9]+"))),_xlfn.REGEXEXTRACT(CELL("address",D64), "\$([A-Z]+)\$[0-9]+"))</f>
        <v/>
      </c>
      <c r="E64" s="7" t="str" cm="1">
        <f t="array" aca="1" ref="E64" ca="1">IFERROR(IF(OR('Raw Data'!E64="",LEN(TRIM('Raw Data'!E64))=0),"",IF(AND(ISNUMBER('Raw Data'!E64), IFERROR('Raw Data'!E64 = ROUND('Raw Data'!E64, 2),FALSE)),"",_xlfn.REGEXEXTRACT(CELL("address",E64), "\$([A-Z]+)\$[0-9]+"))),_xlfn.REGEXEXTRACT(CELL("address",E64), "\$([A-Z]+)\$[0-9]+"))</f>
        <v/>
      </c>
      <c r="F64" s="7" t="str" cm="1">
        <f t="array" aca="1" ref="F64" ca="1">IFERROR(IF(OR('Raw Data'!F64="",LEN(TRIM('Raw Data'!F64))=0),"",IF(AND(ISNUMBER('Raw Data'!F64), IFERROR('Raw Data'!F64 = ROUND('Raw Data'!F64, 2),FALSE)),"",_xlfn.REGEXEXTRACT(CELL("address",F64), "\$([A-Z]+)\$[0-9]+"))),_xlfn.REGEXEXTRACT(CELL("address",F64), "\$([A-Z]+)\$[0-9]+"))</f>
        <v/>
      </c>
      <c r="G64" s="7" t="str" cm="1">
        <f t="array" aca="1" ref="G64" ca="1">IFERROR(IF(OR('Raw Data'!G64="",LEN(TRIM('Raw Data'!G64))=0),"",IF(AND(ISNUMBER('Raw Data'!G64), IFERROR('Raw Data'!G64 = ROUND('Raw Data'!G64, 2),FALSE)),"",_xlfn.REGEXEXTRACT(CELL("address",G64), "\$([A-Z]+)\$[0-9]+"))),_xlfn.REGEXEXTRACT(CELL("address",G64), "\$([A-Z]+)\$[0-9]+"))</f>
        <v/>
      </c>
      <c r="H64" s="7" t="str" cm="1">
        <f t="array" aca="1" ref="H64" ca="1">IFERROR(IF(OR('Raw Data'!H64="",LEN(TRIM('Raw Data'!H64))=0),"",IF(AND(ISNUMBER('Raw Data'!H64), IFERROR('Raw Data'!H64 = ROUND('Raw Data'!H64, 2),FALSE)),"",_xlfn.REGEXEXTRACT(CELL("address",H64), "\$([A-Z]+)\$[0-9]+"))),_xlfn.REGEXEXTRACT(CELL("address",H64), "\$([A-Z]+)\$[0-9]+"))</f>
        <v/>
      </c>
      <c r="I64" s="7" t="str" cm="1">
        <f t="array" aca="1" ref="I64" ca="1">IFERROR(IF(OR('Raw Data'!I64="",LEN(TRIM('Raw Data'!I64))=0),"",IF(AND(ISNUMBER('Raw Data'!I64), IFERROR('Raw Data'!I64 = ROUND('Raw Data'!I64, 2),FALSE)),"",_xlfn.REGEXEXTRACT(CELL("address",I64), "\$([A-Z]+)\$[0-9]+"))),_xlfn.REGEXEXTRACT(CELL("address",I64), "\$([A-Z]+)\$[0-9]+"))</f>
        <v/>
      </c>
      <c r="J64" s="7" t="str" cm="1">
        <f t="array" aca="1" ref="J64" ca="1">IFERROR(IF(OR('Raw Data'!J64="",LEN(TRIM('Raw Data'!J64))=0),"",IF(AND(ISNUMBER('Raw Data'!J64), IFERROR('Raw Data'!J64 = ROUND('Raw Data'!J64, 2),FALSE)),"",_xlfn.REGEXEXTRACT(CELL("address",J64), "\$([A-Z]+)\$[0-9]+"))),_xlfn.REGEXEXTRACT(CELL("address",J64), "\$([A-Z]+)\$[0-9]+"))</f>
        <v/>
      </c>
      <c r="K64" s="7" t="str" cm="1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7" t="str" cm="1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7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7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7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7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 cm="1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7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7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7" t="str" cm="1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7" t="str" cm="1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  <c r="Z64" s="7" t="str" cm="1">
        <f t="array" aca="1" ref="Z64" ca="1">IFERROR(IF(OR('Raw Data'!Z64="",LEN(TRIM('Raw Data'!Z64))=0),"",IF(AND(ISNUMBER('Raw Data'!Z64), IFERROR('Raw Data'!Z64 = ROUND('Raw Data'!Z64, 2),FALSE)),"",_xlfn.REGEXEXTRACT(CELL("address",Z64), "\$([A-Z]+)\$[0-9]+"))),_xlfn.REGEXEXTRACT(CELL("address",Z64), "\$([A-Z]+)\$[0-9]+"))</f>
        <v/>
      </c>
      <c r="AA64" s="7" t="str" cm="1">
        <f t="array" aca="1" ref="AA64" ca="1">IFERROR(IF(OR('Raw Data'!AA64="",LEN(TRIM('Raw Data'!AA64))=0),"",IF(AND(ISNUMBER('Raw Data'!AA64), IFERROR('Raw Data'!AA64 = ROUND('Raw Data'!AA64, 2),FALSE)),"",_xlfn.REGEXEXTRACT(CELL("address",AA64), "\$([A-Z]+)\$[0-9]+"))),_xlfn.REGEXEXTRACT(CELL("address",AA64), "\$([A-Z]+)\$[0-9]+"))</f>
        <v/>
      </c>
      <c r="AB64" s="7" t="str" cm="1">
        <f t="array" aca="1" ref="AB64" ca="1">IFERROR(IF(OR('Raw Data'!AB64="",LEN(TRIM('Raw Data'!AB64))=0),"",IF(AND(ISNUMBER('Raw Data'!AB64), IFERROR('Raw Data'!AB64 = ROUND('Raw Data'!AB64, 2),FALSE)),"",_xlfn.REGEXEXTRACT(CELL("address",AB64), "\$([A-Z]+)\$[0-9]+"))),_xlfn.REGEXEXTRACT(CELL("address",AB64), "\$([A-Z]+)\$[0-9]+"))</f>
        <v/>
      </c>
      <c r="AC64" s="7" t="str" cm="1">
        <f t="array" aca="1" ref="AC64" ca="1">IFERROR(IF(OR('Raw Data'!AC64="",LEN(TRIM('Raw Data'!AC64))=0),"",IF(AND(ISNUMBER('Raw Data'!AC64), IFERROR('Raw Data'!AC64 = ROUND('Raw Data'!AC64, 2),FALSE)),"",_xlfn.REGEXEXTRACT(CELL("address",AC64), "\$([A-Z]+)\$[0-9]+"))),_xlfn.REGEXEXTRACT(CELL("address",AC64), "\$([A-Z]+)\$[0-9]+"))</f>
        <v/>
      </c>
      <c r="AD64" s="7" t="str" cm="1">
        <f t="array" aca="1" ref="AD64" ca="1">IFERROR(IF(OR('Raw Data'!AD64="",LEN(TRIM('Raw Data'!AD64))=0),"",IF(AND(ISNUMBER('Raw Data'!AD64), IFERROR('Raw Data'!AD64 = ROUND('Raw Data'!AD64, 2),FALSE)),"",_xlfn.REGEXEXTRACT(CELL("address",AD64), "\$([A-Z]+)\$[0-9]+"))),_xlfn.REGEXEXTRACT(CELL("address",AD64), "\$([A-Z]+)\$[0-9]+"))</f>
        <v/>
      </c>
      <c r="AE64" s="7" t="str" cm="1">
        <f t="array" aca="1" ref="AE64" ca="1">IFERROR(IF(OR('Raw Data'!AE64="",LEN(TRIM('Raw Data'!AE64))=0),"",IF(AND(ISNUMBER('Raw Data'!AE64), IFERROR('Raw Data'!AE64 = ROUND('Raw Data'!AE64, 2),FALSE)),"",_xlfn.REGEXEXTRACT(CELL("address",AE64), "\$([A-Z]+)\$[0-9]+"))),_xlfn.REGEXEXTRACT(CELL("address",AE64), "\$([A-Z]+)\$[0-9]+"))</f>
        <v/>
      </c>
      <c r="AF64" s="7" t="str" cm="1">
        <f t="array" aca="1" ref="AF64" ca="1">IFERROR(IF(OR('Raw Data'!AF64="",LEN(TRIM('Raw Data'!AF64))=0),"",IF(AND(ISNUMBER('Raw Data'!AF64), IFERROR('Raw Data'!AF64 = ROUND('Raw Data'!AF64, 2),FALSE)),"",_xlfn.REGEXEXTRACT(CELL("address",AF64), "\$([A-Z]+)\$[0-9]+"))),_xlfn.REGEXEXTRACT(CELL("address",AF64), "\$([A-Z]+)\$[0-9]+"))</f>
        <v/>
      </c>
      <c r="AG64" s="7" t="str" cm="1">
        <f t="array" aca="1" ref="AG64" ca="1">IFERROR(IF(OR('Raw Data'!AG64="",LEN(TRIM('Raw Data'!AG64))=0),"",IF(AND(ISNUMBER('Raw Data'!AG64), IFERROR('Raw Data'!AG64 = ROUND('Raw Data'!AG64, 2),FALSE)),"",_xlfn.REGEXEXTRACT(CELL("address",AG64), "\$([A-Z]+)\$[0-9]+"))),_xlfn.REGEXEXTRACT(CELL("address",AG64), "\$([A-Z]+)\$[0-9]+"))</f>
        <v/>
      </c>
      <c r="AH64" s="7" t="str" cm="1">
        <f t="array" aca="1" ref="AH64" ca="1">IFERROR(IF(OR('Raw Data'!AH64="",LEN(TRIM('Raw Data'!AH64))=0),"",IF(AND(ISNUMBER('Raw Data'!AH64), IFERROR('Raw Data'!AH64 = ROUND('Raw Data'!AH64, 2),FALSE)),"",_xlfn.REGEXEXTRACT(CELL("address",AH64), "\$([A-Z]+)\$[0-9]+"))),_xlfn.REGEXEXTRACT(CELL("address",AH64), "\$([A-Z]+)\$[0-9]+"))</f>
        <v/>
      </c>
      <c r="AI64" s="7" t="str" cm="1">
        <f t="array" aca="1" ref="AI64" ca="1">IFERROR(IF(OR('Raw Data'!AI64="",LEN(TRIM('Raw Data'!AI64))=0),"",IF(AND(ISNUMBER('Raw Data'!AI64), IFERROR('Raw Data'!AI64 = ROUND('Raw Data'!AI64, 2),FALSE)),"",_xlfn.REGEXEXTRACT(CELL("address",AI64), "\$([A-Z]+)\$[0-9]+"))),_xlfn.REGEXEXTRACT(CELL("address",AI64), "\$([A-Z]+)\$[0-9]+"))</f>
        <v/>
      </c>
      <c r="AJ64" s="7" t="str" cm="1">
        <f t="array" aca="1" ref="AJ64" ca="1">IFERROR(IF(OR('Raw Data'!AJ64="",LEN(TRIM('Raw Data'!AJ64))=0),"",IF(AND(ISNUMBER('Raw Data'!AJ64), IFERROR('Raw Data'!AJ64 = ROUND('Raw Data'!AJ64, 2),FALSE)),"",_xlfn.REGEXEXTRACT(CELL("address",AJ64), "\$([A-Z]+)\$[0-9]+"))),_xlfn.REGEXEXTRACT(CELL("address",AJ64), "\$([A-Z]+)\$[0-9]+"))</f>
        <v/>
      </c>
    </row>
    <row r="65" spans="2:36" x14ac:dyDescent="0.25">
      <c r="B65" s="7" t="str" cm="1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20,LEN('Raw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Data'!D65))=0),"",IF(AND(ISNUMBER('Raw Data'!D65),'Raw Data'!D65&gt;=Configuration!$D$2),"",_xlfn.REGEXEXTRACT(CELL("address",'Raw Data'!D65),"\$([A-Z]+)\$[0-9]+"))),_xlfn.REGEXEXTRACT(CELL("address",D65), "\$([A-Z]+)\$[0-9]+"))</f>
        <v/>
      </c>
      <c r="E65" s="7" t="str" cm="1">
        <f t="array" aca="1" ref="E65" ca="1">IFERROR(IF(OR('Raw Data'!E65="",LEN(TRIM('Raw Data'!E65))=0),"",IF(AND(ISNUMBER('Raw Data'!E65), IFERROR('Raw Data'!E65 = ROUND('Raw Data'!E65, 2),FALSE)),"",_xlfn.REGEXEXTRACT(CELL("address",E65), "\$([A-Z]+)\$[0-9]+"))),_xlfn.REGEXEXTRACT(CELL("address",E65), "\$([A-Z]+)\$[0-9]+"))</f>
        <v/>
      </c>
      <c r="F65" s="7" t="str" cm="1">
        <f t="array" aca="1" ref="F65" ca="1">IFERROR(IF(OR('Raw Data'!F65="",LEN(TRIM('Raw Data'!F65))=0),"",IF(AND(ISNUMBER('Raw Data'!F65), IFERROR('Raw Data'!F65 = ROUND('Raw Data'!F65, 2),FALSE)),"",_xlfn.REGEXEXTRACT(CELL("address",F65), "\$([A-Z]+)\$[0-9]+"))),_xlfn.REGEXEXTRACT(CELL("address",F65), "\$([A-Z]+)\$[0-9]+"))</f>
        <v/>
      </c>
      <c r="G65" s="7" t="str" cm="1">
        <f t="array" aca="1" ref="G65" ca="1">IFERROR(IF(OR('Raw Data'!G65="",LEN(TRIM('Raw Data'!G65))=0),"",IF(AND(ISNUMBER('Raw Data'!G65), IFERROR('Raw Data'!G65 = ROUND('Raw Data'!G65, 2),FALSE)),"",_xlfn.REGEXEXTRACT(CELL("address",G65), "\$([A-Z]+)\$[0-9]+"))),_xlfn.REGEXEXTRACT(CELL("address",G65), "\$([A-Z]+)\$[0-9]+"))</f>
        <v/>
      </c>
      <c r="H65" s="7" t="str" cm="1">
        <f t="array" aca="1" ref="H65" ca="1">IFERROR(IF(OR('Raw Data'!H65="",LEN(TRIM('Raw Data'!H65))=0),"",IF(AND(ISNUMBER('Raw Data'!H65), IFERROR('Raw Data'!H65 = ROUND('Raw Data'!H65, 2),FALSE)),"",_xlfn.REGEXEXTRACT(CELL("address",H65), "\$([A-Z]+)\$[0-9]+"))),_xlfn.REGEXEXTRACT(CELL("address",H65), "\$([A-Z]+)\$[0-9]+"))</f>
        <v/>
      </c>
      <c r="I65" s="7" t="str" cm="1">
        <f t="array" aca="1" ref="I65" ca="1">IFERROR(IF(OR('Raw Data'!I65="",LEN(TRIM('Raw Data'!I65))=0),"",IF(AND(ISNUMBER('Raw Data'!I65), IFERROR('Raw Data'!I65 = ROUND('Raw Data'!I65, 2),FALSE)),"",_xlfn.REGEXEXTRACT(CELL("address",I65), "\$([A-Z]+)\$[0-9]+"))),_xlfn.REGEXEXTRACT(CELL("address",I65), "\$([A-Z]+)\$[0-9]+"))</f>
        <v/>
      </c>
      <c r="J65" s="7" t="str" cm="1">
        <f t="array" aca="1" ref="J65" ca="1">IFERROR(IF(OR('Raw Data'!J65="",LEN(TRIM('Raw Data'!J65))=0),"",IF(AND(ISNUMBER('Raw Data'!J65), IFERROR('Raw Data'!J65 = ROUND('Raw Data'!J65, 2),FALSE)),"",_xlfn.REGEXEXTRACT(CELL("address",J65), "\$([A-Z]+)\$[0-9]+"))),_xlfn.REGEXEXTRACT(CELL("address",J65), "\$([A-Z]+)\$[0-9]+"))</f>
        <v/>
      </c>
      <c r="K65" s="7" t="str" cm="1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7" t="str" cm="1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7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7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7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7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 cm="1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7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7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7" t="str" cm="1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7" t="str" cm="1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  <c r="Z65" s="7" t="str" cm="1">
        <f t="array" aca="1" ref="Z65" ca="1">IFERROR(IF(OR('Raw Data'!Z65="",LEN(TRIM('Raw Data'!Z65))=0),"",IF(AND(ISNUMBER('Raw Data'!Z65), IFERROR('Raw Data'!Z65 = ROUND('Raw Data'!Z65, 2),FALSE)),"",_xlfn.REGEXEXTRACT(CELL("address",Z65), "\$([A-Z]+)\$[0-9]+"))),_xlfn.REGEXEXTRACT(CELL("address",Z65), "\$([A-Z]+)\$[0-9]+"))</f>
        <v/>
      </c>
      <c r="AA65" s="7" t="str" cm="1">
        <f t="array" aca="1" ref="AA65" ca="1">IFERROR(IF(OR('Raw Data'!AA65="",LEN(TRIM('Raw Data'!AA65))=0),"",IF(AND(ISNUMBER('Raw Data'!AA65), IFERROR('Raw Data'!AA65 = ROUND('Raw Data'!AA65, 2),FALSE)),"",_xlfn.REGEXEXTRACT(CELL("address",AA65), "\$([A-Z]+)\$[0-9]+"))),_xlfn.REGEXEXTRACT(CELL("address",AA65), "\$([A-Z]+)\$[0-9]+"))</f>
        <v/>
      </c>
      <c r="AB65" s="7" t="str" cm="1">
        <f t="array" aca="1" ref="AB65" ca="1">IFERROR(IF(OR('Raw Data'!AB65="",LEN(TRIM('Raw Data'!AB65))=0),"",IF(AND(ISNUMBER('Raw Data'!AB65), IFERROR('Raw Data'!AB65 = ROUND('Raw Data'!AB65, 2),FALSE)),"",_xlfn.REGEXEXTRACT(CELL("address",AB65), "\$([A-Z]+)\$[0-9]+"))),_xlfn.REGEXEXTRACT(CELL("address",AB65), "\$([A-Z]+)\$[0-9]+"))</f>
        <v/>
      </c>
      <c r="AC65" s="7" t="str" cm="1">
        <f t="array" aca="1" ref="AC65" ca="1">IFERROR(IF(OR('Raw Data'!AC65="",LEN(TRIM('Raw Data'!AC65))=0),"",IF(AND(ISNUMBER('Raw Data'!AC65), IFERROR('Raw Data'!AC65 = ROUND('Raw Data'!AC65, 2),FALSE)),"",_xlfn.REGEXEXTRACT(CELL("address",AC65), "\$([A-Z]+)\$[0-9]+"))),_xlfn.REGEXEXTRACT(CELL("address",AC65), "\$([A-Z]+)\$[0-9]+"))</f>
        <v/>
      </c>
      <c r="AD65" s="7" t="str" cm="1">
        <f t="array" aca="1" ref="AD65" ca="1">IFERROR(IF(OR('Raw Data'!AD65="",LEN(TRIM('Raw Data'!AD65))=0),"",IF(AND(ISNUMBER('Raw Data'!AD65), IFERROR('Raw Data'!AD65 = ROUND('Raw Data'!AD65, 2),FALSE)),"",_xlfn.REGEXEXTRACT(CELL("address",AD65), "\$([A-Z]+)\$[0-9]+"))),_xlfn.REGEXEXTRACT(CELL("address",AD65), "\$([A-Z]+)\$[0-9]+"))</f>
        <v/>
      </c>
      <c r="AE65" s="7" t="str" cm="1">
        <f t="array" aca="1" ref="AE65" ca="1">IFERROR(IF(OR('Raw Data'!AE65="",LEN(TRIM('Raw Data'!AE65))=0),"",IF(AND(ISNUMBER('Raw Data'!AE65), IFERROR('Raw Data'!AE65 = ROUND('Raw Data'!AE65, 2),FALSE)),"",_xlfn.REGEXEXTRACT(CELL("address",AE65), "\$([A-Z]+)\$[0-9]+"))),_xlfn.REGEXEXTRACT(CELL("address",AE65), "\$([A-Z]+)\$[0-9]+"))</f>
        <v/>
      </c>
      <c r="AF65" s="7" t="str" cm="1">
        <f t="array" aca="1" ref="AF65" ca="1">IFERROR(IF(OR('Raw Data'!AF65="",LEN(TRIM('Raw Data'!AF65))=0),"",IF(AND(ISNUMBER('Raw Data'!AF65), IFERROR('Raw Data'!AF65 = ROUND('Raw Data'!AF65, 2),FALSE)),"",_xlfn.REGEXEXTRACT(CELL("address",AF65), "\$([A-Z]+)\$[0-9]+"))),_xlfn.REGEXEXTRACT(CELL("address",AF65), "\$([A-Z]+)\$[0-9]+"))</f>
        <v/>
      </c>
      <c r="AG65" s="7" t="str" cm="1">
        <f t="array" aca="1" ref="AG65" ca="1">IFERROR(IF(OR('Raw Data'!AG65="",LEN(TRIM('Raw Data'!AG65))=0),"",IF(AND(ISNUMBER('Raw Data'!AG65), IFERROR('Raw Data'!AG65 = ROUND('Raw Data'!AG65, 2),FALSE)),"",_xlfn.REGEXEXTRACT(CELL("address",AG65), "\$([A-Z]+)\$[0-9]+"))),_xlfn.REGEXEXTRACT(CELL("address",AG65), "\$([A-Z]+)\$[0-9]+"))</f>
        <v/>
      </c>
      <c r="AH65" s="7" t="str" cm="1">
        <f t="array" aca="1" ref="AH65" ca="1">IFERROR(IF(OR('Raw Data'!AH65="",LEN(TRIM('Raw Data'!AH65))=0),"",IF(AND(ISNUMBER('Raw Data'!AH65), IFERROR('Raw Data'!AH65 = ROUND('Raw Data'!AH65, 2),FALSE)),"",_xlfn.REGEXEXTRACT(CELL("address",AH65), "\$([A-Z]+)\$[0-9]+"))),_xlfn.REGEXEXTRACT(CELL("address",AH65), "\$([A-Z]+)\$[0-9]+"))</f>
        <v/>
      </c>
      <c r="AI65" s="7" t="str" cm="1">
        <f t="array" aca="1" ref="AI65" ca="1">IFERROR(IF(OR('Raw Data'!AI65="",LEN(TRIM('Raw Data'!AI65))=0),"",IF(AND(ISNUMBER('Raw Data'!AI65), IFERROR('Raw Data'!AI65 = ROUND('Raw Data'!AI65, 2),FALSE)),"",_xlfn.REGEXEXTRACT(CELL("address",AI65), "\$([A-Z]+)\$[0-9]+"))),_xlfn.REGEXEXTRACT(CELL("address",AI65), "\$([A-Z]+)\$[0-9]+"))</f>
        <v/>
      </c>
      <c r="AJ65" s="7" t="str" cm="1">
        <f t="array" aca="1" ref="AJ65" ca="1">IFERROR(IF(OR('Raw Data'!AJ65="",LEN(TRIM('Raw Data'!AJ65))=0),"",IF(AND(ISNUMBER('Raw Data'!AJ65), IFERROR('Raw Data'!AJ65 = ROUND('Raw Data'!AJ65, 2),FALSE)),"",_xlfn.REGEXEXTRACT(CELL("address",AJ65), "\$([A-Z]+)\$[0-9]+"))),_xlfn.REGEXEXTRACT(CELL("address",AJ65), "\$([A-Z]+)\$[0-9]+"))</f>
        <v/>
      </c>
    </row>
    <row r="66" spans="2:36" x14ac:dyDescent="0.25">
      <c r="B66" s="7" t="str" cm="1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20,LEN('Raw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Data'!D66))=0),"",IF(AND(ISNUMBER('Raw Data'!D66),'Raw Data'!D66&gt;=Configuration!$D$2),"",_xlfn.REGEXEXTRACT(CELL("address",'Raw Data'!D66),"\$([A-Z]+)\$[0-9]+"))),_xlfn.REGEXEXTRACT(CELL("address",D66), "\$([A-Z]+)\$[0-9]+"))</f>
        <v/>
      </c>
      <c r="E66" s="7" t="str" cm="1">
        <f t="array" aca="1" ref="E66" ca="1">IFERROR(IF(OR('Raw Data'!E66="",LEN(TRIM('Raw Data'!E66))=0),"",IF(AND(ISNUMBER('Raw Data'!E66), IFERROR('Raw Data'!E66 = ROUND('Raw Data'!E66, 2),FALSE)),"",_xlfn.REGEXEXTRACT(CELL("address",E66), "\$([A-Z]+)\$[0-9]+"))),_xlfn.REGEXEXTRACT(CELL("address",E66), "\$([A-Z]+)\$[0-9]+"))</f>
        <v/>
      </c>
      <c r="F66" s="7" t="str" cm="1">
        <f t="array" aca="1" ref="F66" ca="1">IFERROR(IF(OR('Raw Data'!F66="",LEN(TRIM('Raw Data'!F66))=0),"",IF(AND(ISNUMBER('Raw Data'!F66), IFERROR('Raw Data'!F66 = ROUND('Raw Data'!F66, 2),FALSE)),"",_xlfn.REGEXEXTRACT(CELL("address",F66), "\$([A-Z]+)\$[0-9]+"))),_xlfn.REGEXEXTRACT(CELL("address",F66), "\$([A-Z]+)\$[0-9]+"))</f>
        <v/>
      </c>
      <c r="G66" s="7" t="str" cm="1">
        <f t="array" aca="1" ref="G66" ca="1">IFERROR(IF(OR('Raw Data'!G66="",LEN(TRIM('Raw Data'!G66))=0),"",IF(AND(ISNUMBER('Raw Data'!G66), IFERROR('Raw Data'!G66 = ROUND('Raw Data'!G66, 2),FALSE)),"",_xlfn.REGEXEXTRACT(CELL("address",G66), "\$([A-Z]+)\$[0-9]+"))),_xlfn.REGEXEXTRACT(CELL("address",G66), "\$([A-Z]+)\$[0-9]+"))</f>
        <v/>
      </c>
      <c r="H66" s="7" t="str" cm="1">
        <f t="array" aca="1" ref="H66" ca="1">IFERROR(IF(OR('Raw Data'!H66="",LEN(TRIM('Raw Data'!H66))=0),"",IF(AND(ISNUMBER('Raw Data'!H66), IFERROR('Raw Data'!H66 = ROUND('Raw Data'!H66, 2),FALSE)),"",_xlfn.REGEXEXTRACT(CELL("address",H66), "\$([A-Z]+)\$[0-9]+"))),_xlfn.REGEXEXTRACT(CELL("address",H66), "\$([A-Z]+)\$[0-9]+"))</f>
        <v/>
      </c>
      <c r="I66" s="7" t="str" cm="1">
        <f t="array" aca="1" ref="I66" ca="1">IFERROR(IF(OR('Raw Data'!I66="",LEN(TRIM('Raw Data'!I66))=0),"",IF(AND(ISNUMBER('Raw Data'!I66), IFERROR('Raw Data'!I66 = ROUND('Raw Data'!I66, 2),FALSE)),"",_xlfn.REGEXEXTRACT(CELL("address",I66), "\$([A-Z]+)\$[0-9]+"))),_xlfn.REGEXEXTRACT(CELL("address",I66), "\$([A-Z]+)\$[0-9]+"))</f>
        <v/>
      </c>
      <c r="J66" s="7" t="str" cm="1">
        <f t="array" aca="1" ref="J66" ca="1">IFERROR(IF(OR('Raw Data'!J66="",LEN(TRIM('Raw Data'!J66))=0),"",IF(AND(ISNUMBER('Raw Data'!J66), IFERROR('Raw Data'!J66 = ROUND('Raw Data'!J66, 2),FALSE)),"",_xlfn.REGEXEXTRACT(CELL("address",J66), "\$([A-Z]+)\$[0-9]+"))),_xlfn.REGEXEXTRACT(CELL("address",J66), "\$([A-Z]+)\$[0-9]+"))</f>
        <v/>
      </c>
      <c r="K66" s="7" t="str" cm="1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7" t="str" cm="1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7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7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7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7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 cm="1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7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7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7" t="str" cm="1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7" t="str" cm="1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  <c r="Z66" s="7" t="str" cm="1">
        <f t="array" aca="1" ref="Z66" ca="1">IFERROR(IF(OR('Raw Data'!Z66="",LEN(TRIM('Raw Data'!Z66))=0),"",IF(AND(ISNUMBER('Raw Data'!Z66), IFERROR('Raw Data'!Z66 = ROUND('Raw Data'!Z66, 2),FALSE)),"",_xlfn.REGEXEXTRACT(CELL("address",Z66), "\$([A-Z]+)\$[0-9]+"))),_xlfn.REGEXEXTRACT(CELL("address",Z66), "\$([A-Z]+)\$[0-9]+"))</f>
        <v/>
      </c>
      <c r="AA66" s="7" t="str" cm="1">
        <f t="array" aca="1" ref="AA66" ca="1">IFERROR(IF(OR('Raw Data'!AA66="",LEN(TRIM('Raw Data'!AA66))=0),"",IF(AND(ISNUMBER('Raw Data'!AA66), IFERROR('Raw Data'!AA66 = ROUND('Raw Data'!AA66, 2),FALSE)),"",_xlfn.REGEXEXTRACT(CELL("address",AA66), "\$([A-Z]+)\$[0-9]+"))),_xlfn.REGEXEXTRACT(CELL("address",AA66), "\$([A-Z]+)\$[0-9]+"))</f>
        <v/>
      </c>
      <c r="AB66" s="7" t="str" cm="1">
        <f t="array" aca="1" ref="AB66" ca="1">IFERROR(IF(OR('Raw Data'!AB66="",LEN(TRIM('Raw Data'!AB66))=0),"",IF(AND(ISNUMBER('Raw Data'!AB66), IFERROR('Raw Data'!AB66 = ROUND('Raw Data'!AB66, 2),FALSE)),"",_xlfn.REGEXEXTRACT(CELL("address",AB66), "\$([A-Z]+)\$[0-9]+"))),_xlfn.REGEXEXTRACT(CELL("address",AB66), "\$([A-Z]+)\$[0-9]+"))</f>
        <v/>
      </c>
      <c r="AC66" s="7" t="str" cm="1">
        <f t="array" aca="1" ref="AC66" ca="1">IFERROR(IF(OR('Raw Data'!AC66="",LEN(TRIM('Raw Data'!AC66))=0),"",IF(AND(ISNUMBER('Raw Data'!AC66), IFERROR('Raw Data'!AC66 = ROUND('Raw Data'!AC66, 2),FALSE)),"",_xlfn.REGEXEXTRACT(CELL("address",AC66), "\$([A-Z]+)\$[0-9]+"))),_xlfn.REGEXEXTRACT(CELL("address",AC66), "\$([A-Z]+)\$[0-9]+"))</f>
        <v/>
      </c>
      <c r="AD66" s="7" t="str" cm="1">
        <f t="array" aca="1" ref="AD66" ca="1">IFERROR(IF(OR('Raw Data'!AD66="",LEN(TRIM('Raw Data'!AD66))=0),"",IF(AND(ISNUMBER('Raw Data'!AD66), IFERROR('Raw Data'!AD66 = ROUND('Raw Data'!AD66, 2),FALSE)),"",_xlfn.REGEXEXTRACT(CELL("address",AD66), "\$([A-Z]+)\$[0-9]+"))),_xlfn.REGEXEXTRACT(CELL("address",AD66), "\$([A-Z]+)\$[0-9]+"))</f>
        <v/>
      </c>
      <c r="AE66" s="7" t="str" cm="1">
        <f t="array" aca="1" ref="AE66" ca="1">IFERROR(IF(OR('Raw Data'!AE66="",LEN(TRIM('Raw Data'!AE66))=0),"",IF(AND(ISNUMBER('Raw Data'!AE66), IFERROR('Raw Data'!AE66 = ROUND('Raw Data'!AE66, 2),FALSE)),"",_xlfn.REGEXEXTRACT(CELL("address",AE66), "\$([A-Z]+)\$[0-9]+"))),_xlfn.REGEXEXTRACT(CELL("address",AE66), "\$([A-Z]+)\$[0-9]+"))</f>
        <v/>
      </c>
      <c r="AF66" s="7" t="str" cm="1">
        <f t="array" aca="1" ref="AF66" ca="1">IFERROR(IF(OR('Raw Data'!AF66="",LEN(TRIM('Raw Data'!AF66))=0),"",IF(AND(ISNUMBER('Raw Data'!AF66), IFERROR('Raw Data'!AF66 = ROUND('Raw Data'!AF66, 2),FALSE)),"",_xlfn.REGEXEXTRACT(CELL("address",AF66), "\$([A-Z]+)\$[0-9]+"))),_xlfn.REGEXEXTRACT(CELL("address",AF66), "\$([A-Z]+)\$[0-9]+"))</f>
        <v/>
      </c>
      <c r="AG66" s="7" t="str" cm="1">
        <f t="array" aca="1" ref="AG66" ca="1">IFERROR(IF(OR('Raw Data'!AG66="",LEN(TRIM('Raw Data'!AG66))=0),"",IF(AND(ISNUMBER('Raw Data'!AG66), IFERROR('Raw Data'!AG66 = ROUND('Raw Data'!AG66, 2),FALSE)),"",_xlfn.REGEXEXTRACT(CELL("address",AG66), "\$([A-Z]+)\$[0-9]+"))),_xlfn.REGEXEXTRACT(CELL("address",AG66), "\$([A-Z]+)\$[0-9]+"))</f>
        <v/>
      </c>
      <c r="AH66" s="7" t="str" cm="1">
        <f t="array" aca="1" ref="AH66" ca="1">IFERROR(IF(OR('Raw Data'!AH66="",LEN(TRIM('Raw Data'!AH66))=0),"",IF(AND(ISNUMBER('Raw Data'!AH66), IFERROR('Raw Data'!AH66 = ROUND('Raw Data'!AH66, 2),FALSE)),"",_xlfn.REGEXEXTRACT(CELL("address",AH66), "\$([A-Z]+)\$[0-9]+"))),_xlfn.REGEXEXTRACT(CELL("address",AH66), "\$([A-Z]+)\$[0-9]+"))</f>
        <v/>
      </c>
      <c r="AI66" s="7" t="str" cm="1">
        <f t="array" aca="1" ref="AI66" ca="1">IFERROR(IF(OR('Raw Data'!AI66="",LEN(TRIM('Raw Data'!AI66))=0),"",IF(AND(ISNUMBER('Raw Data'!AI66), IFERROR('Raw Data'!AI66 = ROUND('Raw Data'!AI66, 2),FALSE)),"",_xlfn.REGEXEXTRACT(CELL("address",AI66), "\$([A-Z]+)\$[0-9]+"))),_xlfn.REGEXEXTRACT(CELL("address",AI66), "\$([A-Z]+)\$[0-9]+"))</f>
        <v/>
      </c>
      <c r="AJ66" s="7" t="str" cm="1">
        <f t="array" aca="1" ref="AJ66" ca="1">IFERROR(IF(OR('Raw Data'!AJ66="",LEN(TRIM('Raw Data'!AJ66))=0),"",IF(AND(ISNUMBER('Raw Data'!AJ66), IFERROR('Raw Data'!AJ66 = ROUND('Raw Data'!AJ66, 2),FALSE)),"",_xlfn.REGEXEXTRACT(CELL("address",AJ66), "\$([A-Z]+)\$[0-9]+"))),_xlfn.REGEXEXTRACT(CELL("address",AJ66), "\$([A-Z]+)\$[0-9]+"))</f>
        <v/>
      </c>
    </row>
    <row r="67" spans="2:36" x14ac:dyDescent="0.25">
      <c r="B67" s="7" t="str" cm="1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20,LEN('Raw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Data'!D67))=0),"",IF(AND(ISNUMBER('Raw Data'!D67),'Raw Data'!D67&gt;=Configuration!$D$2),"",_xlfn.REGEXEXTRACT(CELL("address",'Raw Data'!D67),"\$([A-Z]+)\$[0-9]+"))),_xlfn.REGEXEXTRACT(CELL("address",D67), "\$([A-Z]+)\$[0-9]+"))</f>
        <v/>
      </c>
      <c r="E67" s="7" t="str" cm="1">
        <f t="array" aca="1" ref="E67" ca="1">IFERROR(IF(OR('Raw Data'!E67="",LEN(TRIM('Raw Data'!E67))=0),"",IF(AND(ISNUMBER('Raw Data'!E67), IFERROR('Raw Data'!E67 = ROUND('Raw Data'!E67, 2),FALSE)),"",_xlfn.REGEXEXTRACT(CELL("address",E67), "\$([A-Z]+)\$[0-9]+"))),_xlfn.REGEXEXTRACT(CELL("address",E67), "\$([A-Z]+)\$[0-9]+"))</f>
        <v/>
      </c>
      <c r="F67" s="7" t="str" cm="1">
        <f t="array" aca="1" ref="F67" ca="1">IFERROR(IF(OR('Raw Data'!F67="",LEN(TRIM('Raw Data'!F67))=0),"",IF(AND(ISNUMBER('Raw Data'!F67), IFERROR('Raw Data'!F67 = ROUND('Raw Data'!F67, 2),FALSE)),"",_xlfn.REGEXEXTRACT(CELL("address",F67), "\$([A-Z]+)\$[0-9]+"))),_xlfn.REGEXEXTRACT(CELL("address",F67), "\$([A-Z]+)\$[0-9]+"))</f>
        <v/>
      </c>
      <c r="G67" s="7" t="str" cm="1">
        <f t="array" aca="1" ref="G67" ca="1">IFERROR(IF(OR('Raw Data'!G67="",LEN(TRIM('Raw Data'!G67))=0),"",IF(AND(ISNUMBER('Raw Data'!G67), IFERROR('Raw Data'!G67 = ROUND('Raw Data'!G67, 2),FALSE)),"",_xlfn.REGEXEXTRACT(CELL("address",G67), "\$([A-Z]+)\$[0-9]+"))),_xlfn.REGEXEXTRACT(CELL("address",G67), "\$([A-Z]+)\$[0-9]+"))</f>
        <v/>
      </c>
      <c r="H67" s="7" t="str" cm="1">
        <f t="array" aca="1" ref="H67" ca="1">IFERROR(IF(OR('Raw Data'!H67="",LEN(TRIM('Raw Data'!H67))=0),"",IF(AND(ISNUMBER('Raw Data'!H67), IFERROR('Raw Data'!H67 = ROUND('Raw Data'!H67, 2),FALSE)),"",_xlfn.REGEXEXTRACT(CELL("address",H67), "\$([A-Z]+)\$[0-9]+"))),_xlfn.REGEXEXTRACT(CELL("address",H67), "\$([A-Z]+)\$[0-9]+"))</f>
        <v/>
      </c>
      <c r="I67" s="7" t="str" cm="1">
        <f t="array" aca="1" ref="I67" ca="1">IFERROR(IF(OR('Raw Data'!I67="",LEN(TRIM('Raw Data'!I67))=0),"",IF(AND(ISNUMBER('Raw Data'!I67), IFERROR('Raw Data'!I67 = ROUND('Raw Data'!I67, 2),FALSE)),"",_xlfn.REGEXEXTRACT(CELL("address",I67), "\$([A-Z]+)\$[0-9]+"))),_xlfn.REGEXEXTRACT(CELL("address",I67), "\$([A-Z]+)\$[0-9]+"))</f>
        <v/>
      </c>
      <c r="J67" s="7" t="str" cm="1">
        <f t="array" aca="1" ref="J67" ca="1">IFERROR(IF(OR('Raw Data'!J67="",LEN(TRIM('Raw Data'!J67))=0),"",IF(AND(ISNUMBER('Raw Data'!J67), IFERROR('Raw Data'!J67 = ROUND('Raw Data'!J67, 2),FALSE)),"",_xlfn.REGEXEXTRACT(CELL("address",J67), "\$([A-Z]+)\$[0-9]+"))),_xlfn.REGEXEXTRACT(CELL("address",J67), "\$([A-Z]+)\$[0-9]+"))</f>
        <v/>
      </c>
      <c r="K67" s="7" t="str" cm="1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7" t="str" cm="1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7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7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7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7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 cm="1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7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7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7" t="str" cm="1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7" t="str" cm="1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  <c r="Z67" s="7" t="str" cm="1">
        <f t="array" aca="1" ref="Z67" ca="1">IFERROR(IF(OR('Raw Data'!Z67="",LEN(TRIM('Raw Data'!Z67))=0),"",IF(AND(ISNUMBER('Raw Data'!Z67), IFERROR('Raw Data'!Z67 = ROUND('Raw Data'!Z67, 2),FALSE)),"",_xlfn.REGEXEXTRACT(CELL("address",Z67), "\$([A-Z]+)\$[0-9]+"))),_xlfn.REGEXEXTRACT(CELL("address",Z67), "\$([A-Z]+)\$[0-9]+"))</f>
        <v/>
      </c>
      <c r="AA67" s="7" t="str" cm="1">
        <f t="array" aca="1" ref="AA67" ca="1">IFERROR(IF(OR('Raw Data'!AA67="",LEN(TRIM('Raw Data'!AA67))=0),"",IF(AND(ISNUMBER('Raw Data'!AA67), IFERROR('Raw Data'!AA67 = ROUND('Raw Data'!AA67, 2),FALSE)),"",_xlfn.REGEXEXTRACT(CELL("address",AA67), "\$([A-Z]+)\$[0-9]+"))),_xlfn.REGEXEXTRACT(CELL("address",AA67), "\$([A-Z]+)\$[0-9]+"))</f>
        <v/>
      </c>
      <c r="AB67" s="7" t="str" cm="1">
        <f t="array" aca="1" ref="AB67" ca="1">IFERROR(IF(OR('Raw Data'!AB67="",LEN(TRIM('Raw Data'!AB67))=0),"",IF(AND(ISNUMBER('Raw Data'!AB67), IFERROR('Raw Data'!AB67 = ROUND('Raw Data'!AB67, 2),FALSE)),"",_xlfn.REGEXEXTRACT(CELL("address",AB67), "\$([A-Z]+)\$[0-9]+"))),_xlfn.REGEXEXTRACT(CELL("address",AB67), "\$([A-Z]+)\$[0-9]+"))</f>
        <v/>
      </c>
      <c r="AC67" s="7" t="str" cm="1">
        <f t="array" aca="1" ref="AC67" ca="1">IFERROR(IF(OR('Raw Data'!AC67="",LEN(TRIM('Raw Data'!AC67))=0),"",IF(AND(ISNUMBER('Raw Data'!AC67), IFERROR('Raw Data'!AC67 = ROUND('Raw Data'!AC67, 2),FALSE)),"",_xlfn.REGEXEXTRACT(CELL("address",AC67), "\$([A-Z]+)\$[0-9]+"))),_xlfn.REGEXEXTRACT(CELL("address",AC67), "\$([A-Z]+)\$[0-9]+"))</f>
        <v/>
      </c>
      <c r="AD67" s="7" t="str" cm="1">
        <f t="array" aca="1" ref="AD67" ca="1">IFERROR(IF(OR('Raw Data'!AD67="",LEN(TRIM('Raw Data'!AD67))=0),"",IF(AND(ISNUMBER('Raw Data'!AD67), IFERROR('Raw Data'!AD67 = ROUND('Raw Data'!AD67, 2),FALSE)),"",_xlfn.REGEXEXTRACT(CELL("address",AD67), "\$([A-Z]+)\$[0-9]+"))),_xlfn.REGEXEXTRACT(CELL("address",AD67), "\$([A-Z]+)\$[0-9]+"))</f>
        <v/>
      </c>
      <c r="AE67" s="7" t="str" cm="1">
        <f t="array" aca="1" ref="AE67" ca="1">IFERROR(IF(OR('Raw Data'!AE67="",LEN(TRIM('Raw Data'!AE67))=0),"",IF(AND(ISNUMBER('Raw Data'!AE67), IFERROR('Raw Data'!AE67 = ROUND('Raw Data'!AE67, 2),FALSE)),"",_xlfn.REGEXEXTRACT(CELL("address",AE67), "\$([A-Z]+)\$[0-9]+"))),_xlfn.REGEXEXTRACT(CELL("address",AE67), "\$([A-Z]+)\$[0-9]+"))</f>
        <v/>
      </c>
      <c r="AF67" s="7" t="str" cm="1">
        <f t="array" aca="1" ref="AF67" ca="1">IFERROR(IF(OR('Raw Data'!AF67="",LEN(TRIM('Raw Data'!AF67))=0),"",IF(AND(ISNUMBER('Raw Data'!AF67), IFERROR('Raw Data'!AF67 = ROUND('Raw Data'!AF67, 2),FALSE)),"",_xlfn.REGEXEXTRACT(CELL("address",AF67), "\$([A-Z]+)\$[0-9]+"))),_xlfn.REGEXEXTRACT(CELL("address",AF67), "\$([A-Z]+)\$[0-9]+"))</f>
        <v/>
      </c>
      <c r="AG67" s="7" t="str" cm="1">
        <f t="array" aca="1" ref="AG67" ca="1">IFERROR(IF(OR('Raw Data'!AG67="",LEN(TRIM('Raw Data'!AG67))=0),"",IF(AND(ISNUMBER('Raw Data'!AG67), IFERROR('Raw Data'!AG67 = ROUND('Raw Data'!AG67, 2),FALSE)),"",_xlfn.REGEXEXTRACT(CELL("address",AG67), "\$([A-Z]+)\$[0-9]+"))),_xlfn.REGEXEXTRACT(CELL("address",AG67), "\$([A-Z]+)\$[0-9]+"))</f>
        <v/>
      </c>
      <c r="AH67" s="7" t="str" cm="1">
        <f t="array" aca="1" ref="AH67" ca="1">IFERROR(IF(OR('Raw Data'!AH67="",LEN(TRIM('Raw Data'!AH67))=0),"",IF(AND(ISNUMBER('Raw Data'!AH67), IFERROR('Raw Data'!AH67 = ROUND('Raw Data'!AH67, 2),FALSE)),"",_xlfn.REGEXEXTRACT(CELL("address",AH67), "\$([A-Z]+)\$[0-9]+"))),_xlfn.REGEXEXTRACT(CELL("address",AH67), "\$([A-Z]+)\$[0-9]+"))</f>
        <v/>
      </c>
      <c r="AI67" s="7" t="str" cm="1">
        <f t="array" aca="1" ref="AI67" ca="1">IFERROR(IF(OR('Raw Data'!AI67="",LEN(TRIM('Raw Data'!AI67))=0),"",IF(AND(ISNUMBER('Raw Data'!AI67), IFERROR('Raw Data'!AI67 = ROUND('Raw Data'!AI67, 2),FALSE)),"",_xlfn.REGEXEXTRACT(CELL("address",AI67), "\$([A-Z]+)\$[0-9]+"))),_xlfn.REGEXEXTRACT(CELL("address",AI67), "\$([A-Z]+)\$[0-9]+"))</f>
        <v/>
      </c>
      <c r="AJ67" s="7" t="str" cm="1">
        <f t="array" aca="1" ref="AJ67" ca="1">IFERROR(IF(OR('Raw Data'!AJ67="",LEN(TRIM('Raw Data'!AJ67))=0),"",IF(AND(ISNUMBER('Raw Data'!AJ67), IFERROR('Raw Data'!AJ67 = ROUND('Raw Data'!AJ67, 2),FALSE)),"",_xlfn.REGEXEXTRACT(CELL("address",AJ67), "\$([A-Z]+)\$[0-9]+"))),_xlfn.REGEXEXTRACT(CELL("address",AJ67), "\$([A-Z]+)\$[0-9]+"))</f>
        <v/>
      </c>
    </row>
    <row r="68" spans="2:36" x14ac:dyDescent="0.25">
      <c r="B68" s="7" t="str" cm="1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20,LEN('Raw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Data'!D68))=0),"",IF(AND(ISNUMBER('Raw Data'!D68),'Raw Data'!D68&gt;=Configuration!$D$2),"",_xlfn.REGEXEXTRACT(CELL("address",'Raw Data'!D68),"\$([A-Z]+)\$[0-9]+"))),_xlfn.REGEXEXTRACT(CELL("address",D68), "\$([A-Z]+)\$[0-9]+"))</f>
        <v/>
      </c>
      <c r="E68" s="7" t="str" cm="1">
        <f t="array" aca="1" ref="E68" ca="1">IFERROR(IF(OR('Raw Data'!E68="",LEN(TRIM('Raw Data'!E68))=0),"",IF(AND(ISNUMBER('Raw Data'!E68), IFERROR('Raw Data'!E68 = ROUND('Raw Data'!E68, 2),FALSE)),"",_xlfn.REGEXEXTRACT(CELL("address",E68), "\$([A-Z]+)\$[0-9]+"))),_xlfn.REGEXEXTRACT(CELL("address",E68), "\$([A-Z]+)\$[0-9]+"))</f>
        <v/>
      </c>
      <c r="F68" s="7" t="str" cm="1">
        <f t="array" aca="1" ref="F68" ca="1">IFERROR(IF(OR('Raw Data'!F68="",LEN(TRIM('Raw Data'!F68))=0),"",IF(AND(ISNUMBER('Raw Data'!F68), IFERROR('Raw Data'!F68 = ROUND('Raw Data'!F68, 2),FALSE)),"",_xlfn.REGEXEXTRACT(CELL("address",F68), "\$([A-Z]+)\$[0-9]+"))),_xlfn.REGEXEXTRACT(CELL("address",F68), "\$([A-Z]+)\$[0-9]+"))</f>
        <v/>
      </c>
      <c r="G68" s="7" t="str" cm="1">
        <f t="array" aca="1" ref="G68" ca="1">IFERROR(IF(OR('Raw Data'!G68="",LEN(TRIM('Raw Data'!G68))=0),"",IF(AND(ISNUMBER('Raw Data'!G68), IFERROR('Raw Data'!G68 = ROUND('Raw Data'!G68, 2),FALSE)),"",_xlfn.REGEXEXTRACT(CELL("address",G68), "\$([A-Z]+)\$[0-9]+"))),_xlfn.REGEXEXTRACT(CELL("address",G68), "\$([A-Z]+)\$[0-9]+"))</f>
        <v/>
      </c>
      <c r="H68" s="7" t="str" cm="1">
        <f t="array" aca="1" ref="H68" ca="1">IFERROR(IF(OR('Raw Data'!H68="",LEN(TRIM('Raw Data'!H68))=0),"",IF(AND(ISNUMBER('Raw Data'!H68), IFERROR('Raw Data'!H68 = ROUND('Raw Data'!H68, 2),FALSE)),"",_xlfn.REGEXEXTRACT(CELL("address",H68), "\$([A-Z]+)\$[0-9]+"))),_xlfn.REGEXEXTRACT(CELL("address",H68), "\$([A-Z]+)\$[0-9]+"))</f>
        <v/>
      </c>
      <c r="I68" s="7" t="str" cm="1">
        <f t="array" aca="1" ref="I68" ca="1">IFERROR(IF(OR('Raw Data'!I68="",LEN(TRIM('Raw Data'!I68))=0),"",IF(AND(ISNUMBER('Raw Data'!I68), IFERROR('Raw Data'!I68 = ROUND('Raw Data'!I68, 2),FALSE)),"",_xlfn.REGEXEXTRACT(CELL("address",I68), "\$([A-Z]+)\$[0-9]+"))),_xlfn.REGEXEXTRACT(CELL("address",I68), "\$([A-Z]+)\$[0-9]+"))</f>
        <v/>
      </c>
      <c r="J68" s="7" t="str" cm="1">
        <f t="array" aca="1" ref="J68" ca="1">IFERROR(IF(OR('Raw Data'!J68="",LEN(TRIM('Raw Data'!J68))=0),"",IF(AND(ISNUMBER('Raw Data'!J68), IFERROR('Raw Data'!J68 = ROUND('Raw Data'!J68, 2),FALSE)),"",_xlfn.REGEXEXTRACT(CELL("address",J68), "\$([A-Z]+)\$[0-9]+"))),_xlfn.REGEXEXTRACT(CELL("address",J68), "\$([A-Z]+)\$[0-9]+"))</f>
        <v/>
      </c>
      <c r="K68" s="7" t="str" cm="1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7" t="str" cm="1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7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7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7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7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 cm="1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7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7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7" t="str" cm="1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7" t="str" cm="1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  <c r="Z68" s="7" t="str" cm="1">
        <f t="array" aca="1" ref="Z68" ca="1">IFERROR(IF(OR('Raw Data'!Z68="",LEN(TRIM('Raw Data'!Z68))=0),"",IF(AND(ISNUMBER('Raw Data'!Z68), IFERROR('Raw Data'!Z68 = ROUND('Raw Data'!Z68, 2),FALSE)),"",_xlfn.REGEXEXTRACT(CELL("address",Z68), "\$([A-Z]+)\$[0-9]+"))),_xlfn.REGEXEXTRACT(CELL("address",Z68), "\$([A-Z]+)\$[0-9]+"))</f>
        <v/>
      </c>
      <c r="AA68" s="7" t="str" cm="1">
        <f t="array" aca="1" ref="AA68" ca="1">IFERROR(IF(OR('Raw Data'!AA68="",LEN(TRIM('Raw Data'!AA68))=0),"",IF(AND(ISNUMBER('Raw Data'!AA68), IFERROR('Raw Data'!AA68 = ROUND('Raw Data'!AA68, 2),FALSE)),"",_xlfn.REGEXEXTRACT(CELL("address",AA68), "\$([A-Z]+)\$[0-9]+"))),_xlfn.REGEXEXTRACT(CELL("address",AA68), "\$([A-Z]+)\$[0-9]+"))</f>
        <v/>
      </c>
      <c r="AB68" s="7" t="str" cm="1">
        <f t="array" aca="1" ref="AB68" ca="1">IFERROR(IF(OR('Raw Data'!AB68="",LEN(TRIM('Raw Data'!AB68))=0),"",IF(AND(ISNUMBER('Raw Data'!AB68), IFERROR('Raw Data'!AB68 = ROUND('Raw Data'!AB68, 2),FALSE)),"",_xlfn.REGEXEXTRACT(CELL("address",AB68), "\$([A-Z]+)\$[0-9]+"))),_xlfn.REGEXEXTRACT(CELL("address",AB68), "\$([A-Z]+)\$[0-9]+"))</f>
        <v/>
      </c>
      <c r="AC68" s="7" t="str" cm="1">
        <f t="array" aca="1" ref="AC68" ca="1">IFERROR(IF(OR('Raw Data'!AC68="",LEN(TRIM('Raw Data'!AC68))=0),"",IF(AND(ISNUMBER('Raw Data'!AC68), IFERROR('Raw Data'!AC68 = ROUND('Raw Data'!AC68, 2),FALSE)),"",_xlfn.REGEXEXTRACT(CELL("address",AC68), "\$([A-Z]+)\$[0-9]+"))),_xlfn.REGEXEXTRACT(CELL("address",AC68), "\$([A-Z]+)\$[0-9]+"))</f>
        <v/>
      </c>
      <c r="AD68" s="7" t="str" cm="1">
        <f t="array" aca="1" ref="AD68" ca="1">IFERROR(IF(OR('Raw Data'!AD68="",LEN(TRIM('Raw Data'!AD68))=0),"",IF(AND(ISNUMBER('Raw Data'!AD68), IFERROR('Raw Data'!AD68 = ROUND('Raw Data'!AD68, 2),FALSE)),"",_xlfn.REGEXEXTRACT(CELL("address",AD68), "\$([A-Z]+)\$[0-9]+"))),_xlfn.REGEXEXTRACT(CELL("address",AD68), "\$([A-Z]+)\$[0-9]+"))</f>
        <v/>
      </c>
      <c r="AE68" s="7" t="str" cm="1">
        <f t="array" aca="1" ref="AE68" ca="1">IFERROR(IF(OR('Raw Data'!AE68="",LEN(TRIM('Raw Data'!AE68))=0),"",IF(AND(ISNUMBER('Raw Data'!AE68), IFERROR('Raw Data'!AE68 = ROUND('Raw Data'!AE68, 2),FALSE)),"",_xlfn.REGEXEXTRACT(CELL("address",AE68), "\$([A-Z]+)\$[0-9]+"))),_xlfn.REGEXEXTRACT(CELL("address",AE68), "\$([A-Z]+)\$[0-9]+"))</f>
        <v/>
      </c>
      <c r="AF68" s="7" t="str" cm="1">
        <f t="array" aca="1" ref="AF68" ca="1">IFERROR(IF(OR('Raw Data'!AF68="",LEN(TRIM('Raw Data'!AF68))=0),"",IF(AND(ISNUMBER('Raw Data'!AF68), IFERROR('Raw Data'!AF68 = ROUND('Raw Data'!AF68, 2),FALSE)),"",_xlfn.REGEXEXTRACT(CELL("address",AF68), "\$([A-Z]+)\$[0-9]+"))),_xlfn.REGEXEXTRACT(CELL("address",AF68), "\$([A-Z]+)\$[0-9]+"))</f>
        <v/>
      </c>
      <c r="AG68" s="7" t="str" cm="1">
        <f t="array" aca="1" ref="AG68" ca="1">IFERROR(IF(OR('Raw Data'!AG68="",LEN(TRIM('Raw Data'!AG68))=0),"",IF(AND(ISNUMBER('Raw Data'!AG68), IFERROR('Raw Data'!AG68 = ROUND('Raw Data'!AG68, 2),FALSE)),"",_xlfn.REGEXEXTRACT(CELL("address",AG68), "\$([A-Z]+)\$[0-9]+"))),_xlfn.REGEXEXTRACT(CELL("address",AG68), "\$([A-Z]+)\$[0-9]+"))</f>
        <v/>
      </c>
      <c r="AH68" s="7" t="str" cm="1">
        <f t="array" aca="1" ref="AH68" ca="1">IFERROR(IF(OR('Raw Data'!AH68="",LEN(TRIM('Raw Data'!AH68))=0),"",IF(AND(ISNUMBER('Raw Data'!AH68), IFERROR('Raw Data'!AH68 = ROUND('Raw Data'!AH68, 2),FALSE)),"",_xlfn.REGEXEXTRACT(CELL("address",AH68), "\$([A-Z]+)\$[0-9]+"))),_xlfn.REGEXEXTRACT(CELL("address",AH68), "\$([A-Z]+)\$[0-9]+"))</f>
        <v/>
      </c>
      <c r="AI68" s="7" t="str" cm="1">
        <f t="array" aca="1" ref="AI68" ca="1">IFERROR(IF(OR('Raw Data'!AI68="",LEN(TRIM('Raw Data'!AI68))=0),"",IF(AND(ISNUMBER('Raw Data'!AI68), IFERROR('Raw Data'!AI68 = ROUND('Raw Data'!AI68, 2),FALSE)),"",_xlfn.REGEXEXTRACT(CELL("address",AI68), "\$([A-Z]+)\$[0-9]+"))),_xlfn.REGEXEXTRACT(CELL("address",AI68), "\$([A-Z]+)\$[0-9]+"))</f>
        <v/>
      </c>
      <c r="AJ68" s="7" t="str" cm="1">
        <f t="array" aca="1" ref="AJ68" ca="1">IFERROR(IF(OR('Raw Data'!AJ68="",LEN(TRIM('Raw Data'!AJ68))=0),"",IF(AND(ISNUMBER('Raw Data'!AJ68), IFERROR('Raw Data'!AJ68 = ROUND('Raw Data'!AJ68, 2),FALSE)),"",_xlfn.REGEXEXTRACT(CELL("address",AJ68), "\$([A-Z]+)\$[0-9]+"))),_xlfn.REGEXEXTRACT(CELL("address",AJ68), "\$([A-Z]+)\$[0-9]+"))</f>
        <v/>
      </c>
    </row>
    <row r="69" spans="2:36" x14ac:dyDescent="0.25">
      <c r="B69" s="7" t="str" cm="1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20,LEN('Raw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Data'!D69))=0),"",IF(AND(ISNUMBER('Raw Data'!D69),'Raw Data'!D69&gt;=Configuration!$D$2),"",_xlfn.REGEXEXTRACT(CELL("address",'Raw Data'!D69),"\$([A-Z]+)\$[0-9]+"))),_xlfn.REGEXEXTRACT(CELL("address",D69), "\$([A-Z]+)\$[0-9]+"))</f>
        <v/>
      </c>
      <c r="E69" s="7" t="str" cm="1">
        <f t="array" aca="1" ref="E69" ca="1">IFERROR(IF(OR('Raw Data'!E69="",LEN(TRIM('Raw Data'!E69))=0),"",IF(AND(ISNUMBER('Raw Data'!E69), IFERROR('Raw Data'!E69 = ROUND('Raw Data'!E69, 2),FALSE)),"",_xlfn.REGEXEXTRACT(CELL("address",E69), "\$([A-Z]+)\$[0-9]+"))),_xlfn.REGEXEXTRACT(CELL("address",E69), "\$([A-Z]+)\$[0-9]+"))</f>
        <v/>
      </c>
      <c r="F69" s="7" t="str" cm="1">
        <f t="array" aca="1" ref="F69" ca="1">IFERROR(IF(OR('Raw Data'!F69="",LEN(TRIM('Raw Data'!F69))=0),"",IF(AND(ISNUMBER('Raw Data'!F69), IFERROR('Raw Data'!F69 = ROUND('Raw Data'!F69, 2),FALSE)),"",_xlfn.REGEXEXTRACT(CELL("address",F69), "\$([A-Z]+)\$[0-9]+"))),_xlfn.REGEXEXTRACT(CELL("address",F69), "\$([A-Z]+)\$[0-9]+"))</f>
        <v/>
      </c>
      <c r="G69" s="7" t="str" cm="1">
        <f t="array" aca="1" ref="G69" ca="1">IFERROR(IF(OR('Raw Data'!G69="",LEN(TRIM('Raw Data'!G69))=0),"",IF(AND(ISNUMBER('Raw Data'!G69), IFERROR('Raw Data'!G69 = ROUND('Raw Data'!G69, 2),FALSE)),"",_xlfn.REGEXEXTRACT(CELL("address",G69), "\$([A-Z]+)\$[0-9]+"))),_xlfn.REGEXEXTRACT(CELL("address",G69), "\$([A-Z]+)\$[0-9]+"))</f>
        <v/>
      </c>
      <c r="H69" s="7" t="str" cm="1">
        <f t="array" aca="1" ref="H69" ca="1">IFERROR(IF(OR('Raw Data'!H69="",LEN(TRIM('Raw Data'!H69))=0),"",IF(AND(ISNUMBER('Raw Data'!H69), IFERROR('Raw Data'!H69 = ROUND('Raw Data'!H69, 2),FALSE)),"",_xlfn.REGEXEXTRACT(CELL("address",H69), "\$([A-Z]+)\$[0-9]+"))),_xlfn.REGEXEXTRACT(CELL("address",H69), "\$([A-Z]+)\$[0-9]+"))</f>
        <v/>
      </c>
      <c r="I69" s="7" t="str" cm="1">
        <f t="array" aca="1" ref="I69" ca="1">IFERROR(IF(OR('Raw Data'!I69="",LEN(TRIM('Raw Data'!I69))=0),"",IF(AND(ISNUMBER('Raw Data'!I69), IFERROR('Raw Data'!I69 = ROUND('Raw Data'!I69, 2),FALSE)),"",_xlfn.REGEXEXTRACT(CELL("address",I69), "\$([A-Z]+)\$[0-9]+"))),_xlfn.REGEXEXTRACT(CELL("address",I69), "\$([A-Z]+)\$[0-9]+"))</f>
        <v/>
      </c>
      <c r="J69" s="7" t="str" cm="1">
        <f t="array" aca="1" ref="J69" ca="1">IFERROR(IF(OR('Raw Data'!J69="",LEN(TRIM('Raw Data'!J69))=0),"",IF(AND(ISNUMBER('Raw Data'!J69), IFERROR('Raw Data'!J69 = ROUND('Raw Data'!J69, 2),FALSE)),"",_xlfn.REGEXEXTRACT(CELL("address",J69), "\$([A-Z]+)\$[0-9]+"))),_xlfn.REGEXEXTRACT(CELL("address",J69), "\$([A-Z]+)\$[0-9]+"))</f>
        <v/>
      </c>
      <c r="K69" s="7" t="str" cm="1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7" t="str" cm="1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7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7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7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7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 cm="1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7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7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7" t="str" cm="1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7" t="str" cm="1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  <c r="Z69" s="7" t="str" cm="1">
        <f t="array" aca="1" ref="Z69" ca="1">IFERROR(IF(OR('Raw Data'!Z69="",LEN(TRIM('Raw Data'!Z69))=0),"",IF(AND(ISNUMBER('Raw Data'!Z69), IFERROR('Raw Data'!Z69 = ROUND('Raw Data'!Z69, 2),FALSE)),"",_xlfn.REGEXEXTRACT(CELL("address",Z69), "\$([A-Z]+)\$[0-9]+"))),_xlfn.REGEXEXTRACT(CELL("address",Z69), "\$([A-Z]+)\$[0-9]+"))</f>
        <v/>
      </c>
      <c r="AA69" s="7" t="str" cm="1">
        <f t="array" aca="1" ref="AA69" ca="1">IFERROR(IF(OR('Raw Data'!AA69="",LEN(TRIM('Raw Data'!AA69))=0),"",IF(AND(ISNUMBER('Raw Data'!AA69), IFERROR('Raw Data'!AA69 = ROUND('Raw Data'!AA69, 2),FALSE)),"",_xlfn.REGEXEXTRACT(CELL("address",AA69), "\$([A-Z]+)\$[0-9]+"))),_xlfn.REGEXEXTRACT(CELL("address",AA69), "\$([A-Z]+)\$[0-9]+"))</f>
        <v/>
      </c>
      <c r="AB69" s="7" t="str" cm="1">
        <f t="array" aca="1" ref="AB69" ca="1">IFERROR(IF(OR('Raw Data'!AB69="",LEN(TRIM('Raw Data'!AB69))=0),"",IF(AND(ISNUMBER('Raw Data'!AB69), IFERROR('Raw Data'!AB69 = ROUND('Raw Data'!AB69, 2),FALSE)),"",_xlfn.REGEXEXTRACT(CELL("address",AB69), "\$([A-Z]+)\$[0-9]+"))),_xlfn.REGEXEXTRACT(CELL("address",AB69), "\$([A-Z]+)\$[0-9]+"))</f>
        <v/>
      </c>
      <c r="AC69" s="7" t="str" cm="1">
        <f t="array" aca="1" ref="AC69" ca="1">IFERROR(IF(OR('Raw Data'!AC69="",LEN(TRIM('Raw Data'!AC69))=0),"",IF(AND(ISNUMBER('Raw Data'!AC69), IFERROR('Raw Data'!AC69 = ROUND('Raw Data'!AC69, 2),FALSE)),"",_xlfn.REGEXEXTRACT(CELL("address",AC69), "\$([A-Z]+)\$[0-9]+"))),_xlfn.REGEXEXTRACT(CELL("address",AC69), "\$([A-Z]+)\$[0-9]+"))</f>
        <v/>
      </c>
      <c r="AD69" s="7" t="str" cm="1">
        <f t="array" aca="1" ref="AD69" ca="1">IFERROR(IF(OR('Raw Data'!AD69="",LEN(TRIM('Raw Data'!AD69))=0),"",IF(AND(ISNUMBER('Raw Data'!AD69), IFERROR('Raw Data'!AD69 = ROUND('Raw Data'!AD69, 2),FALSE)),"",_xlfn.REGEXEXTRACT(CELL("address",AD69), "\$([A-Z]+)\$[0-9]+"))),_xlfn.REGEXEXTRACT(CELL("address",AD69), "\$([A-Z]+)\$[0-9]+"))</f>
        <v/>
      </c>
      <c r="AE69" s="7" t="str" cm="1">
        <f t="array" aca="1" ref="AE69" ca="1">IFERROR(IF(OR('Raw Data'!AE69="",LEN(TRIM('Raw Data'!AE69))=0),"",IF(AND(ISNUMBER('Raw Data'!AE69), IFERROR('Raw Data'!AE69 = ROUND('Raw Data'!AE69, 2),FALSE)),"",_xlfn.REGEXEXTRACT(CELL("address",AE69), "\$([A-Z]+)\$[0-9]+"))),_xlfn.REGEXEXTRACT(CELL("address",AE69), "\$([A-Z]+)\$[0-9]+"))</f>
        <v/>
      </c>
      <c r="AF69" s="7" t="str" cm="1">
        <f t="array" aca="1" ref="AF69" ca="1">IFERROR(IF(OR('Raw Data'!AF69="",LEN(TRIM('Raw Data'!AF69))=0),"",IF(AND(ISNUMBER('Raw Data'!AF69), IFERROR('Raw Data'!AF69 = ROUND('Raw Data'!AF69, 2),FALSE)),"",_xlfn.REGEXEXTRACT(CELL("address",AF69), "\$([A-Z]+)\$[0-9]+"))),_xlfn.REGEXEXTRACT(CELL("address",AF69), "\$([A-Z]+)\$[0-9]+"))</f>
        <v/>
      </c>
      <c r="AG69" s="7" t="str" cm="1">
        <f t="array" aca="1" ref="AG69" ca="1">IFERROR(IF(OR('Raw Data'!AG69="",LEN(TRIM('Raw Data'!AG69))=0),"",IF(AND(ISNUMBER('Raw Data'!AG69), IFERROR('Raw Data'!AG69 = ROUND('Raw Data'!AG69, 2),FALSE)),"",_xlfn.REGEXEXTRACT(CELL("address",AG69), "\$([A-Z]+)\$[0-9]+"))),_xlfn.REGEXEXTRACT(CELL("address",AG69), "\$([A-Z]+)\$[0-9]+"))</f>
        <v/>
      </c>
      <c r="AH69" s="7" t="str" cm="1">
        <f t="array" aca="1" ref="AH69" ca="1">IFERROR(IF(OR('Raw Data'!AH69="",LEN(TRIM('Raw Data'!AH69))=0),"",IF(AND(ISNUMBER('Raw Data'!AH69), IFERROR('Raw Data'!AH69 = ROUND('Raw Data'!AH69, 2),FALSE)),"",_xlfn.REGEXEXTRACT(CELL("address",AH69), "\$([A-Z]+)\$[0-9]+"))),_xlfn.REGEXEXTRACT(CELL("address",AH69), "\$([A-Z]+)\$[0-9]+"))</f>
        <v/>
      </c>
      <c r="AI69" s="7" t="str" cm="1">
        <f t="array" aca="1" ref="AI69" ca="1">IFERROR(IF(OR('Raw Data'!AI69="",LEN(TRIM('Raw Data'!AI69))=0),"",IF(AND(ISNUMBER('Raw Data'!AI69), IFERROR('Raw Data'!AI69 = ROUND('Raw Data'!AI69, 2),FALSE)),"",_xlfn.REGEXEXTRACT(CELL("address",AI69), "\$([A-Z]+)\$[0-9]+"))),_xlfn.REGEXEXTRACT(CELL("address",AI69), "\$([A-Z]+)\$[0-9]+"))</f>
        <v/>
      </c>
      <c r="AJ69" s="7" t="str" cm="1">
        <f t="array" aca="1" ref="AJ69" ca="1">IFERROR(IF(OR('Raw Data'!AJ69="",LEN(TRIM('Raw Data'!AJ69))=0),"",IF(AND(ISNUMBER('Raw Data'!AJ69), IFERROR('Raw Data'!AJ69 = ROUND('Raw Data'!AJ69, 2),FALSE)),"",_xlfn.REGEXEXTRACT(CELL("address",AJ69), "\$([A-Z]+)\$[0-9]+"))),_xlfn.REGEXEXTRACT(CELL("address",AJ69), "\$([A-Z]+)\$[0-9]+"))</f>
        <v/>
      </c>
    </row>
    <row r="70" spans="2:36" x14ac:dyDescent="0.25">
      <c r="B70" s="7" t="str" cm="1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20,LEN('Raw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Data'!D70))=0),"",IF(AND(ISNUMBER('Raw Data'!D70),'Raw Data'!D70&gt;=Configuration!$D$2),"",_xlfn.REGEXEXTRACT(CELL("address",'Raw Data'!D70),"\$([A-Z]+)\$[0-9]+"))),_xlfn.REGEXEXTRACT(CELL("address",D70), "\$([A-Z]+)\$[0-9]+"))</f>
        <v/>
      </c>
      <c r="E70" s="7" t="str" cm="1">
        <f t="array" aca="1" ref="E70" ca="1">IFERROR(IF(OR('Raw Data'!E70="",LEN(TRIM('Raw Data'!E70))=0),"",IF(AND(ISNUMBER('Raw Data'!E70), IFERROR('Raw Data'!E70 = ROUND('Raw Data'!E70, 2),FALSE)),"",_xlfn.REGEXEXTRACT(CELL("address",E70), "\$([A-Z]+)\$[0-9]+"))),_xlfn.REGEXEXTRACT(CELL("address",E70), "\$([A-Z]+)\$[0-9]+"))</f>
        <v/>
      </c>
      <c r="F70" s="7" t="str" cm="1">
        <f t="array" aca="1" ref="F70" ca="1">IFERROR(IF(OR('Raw Data'!F70="",LEN(TRIM('Raw Data'!F70))=0),"",IF(AND(ISNUMBER('Raw Data'!F70), IFERROR('Raw Data'!F70 = ROUND('Raw Data'!F70, 2),FALSE)),"",_xlfn.REGEXEXTRACT(CELL("address",F70), "\$([A-Z]+)\$[0-9]+"))),_xlfn.REGEXEXTRACT(CELL("address",F70), "\$([A-Z]+)\$[0-9]+"))</f>
        <v/>
      </c>
      <c r="G70" s="7" t="str" cm="1">
        <f t="array" aca="1" ref="G70" ca="1">IFERROR(IF(OR('Raw Data'!G70="",LEN(TRIM('Raw Data'!G70))=0),"",IF(AND(ISNUMBER('Raw Data'!G70), IFERROR('Raw Data'!G70 = ROUND('Raw Data'!G70, 2),FALSE)),"",_xlfn.REGEXEXTRACT(CELL("address",G70), "\$([A-Z]+)\$[0-9]+"))),_xlfn.REGEXEXTRACT(CELL("address",G70), "\$([A-Z]+)\$[0-9]+"))</f>
        <v/>
      </c>
      <c r="H70" s="7" t="str" cm="1">
        <f t="array" aca="1" ref="H70" ca="1">IFERROR(IF(OR('Raw Data'!H70="",LEN(TRIM('Raw Data'!H70))=0),"",IF(AND(ISNUMBER('Raw Data'!H70), IFERROR('Raw Data'!H70 = ROUND('Raw Data'!H70, 2),FALSE)),"",_xlfn.REGEXEXTRACT(CELL("address",H70), "\$([A-Z]+)\$[0-9]+"))),_xlfn.REGEXEXTRACT(CELL("address",H70), "\$([A-Z]+)\$[0-9]+"))</f>
        <v/>
      </c>
      <c r="I70" s="7" t="str" cm="1">
        <f t="array" aca="1" ref="I70" ca="1">IFERROR(IF(OR('Raw Data'!I70="",LEN(TRIM('Raw Data'!I70))=0),"",IF(AND(ISNUMBER('Raw Data'!I70), IFERROR('Raw Data'!I70 = ROUND('Raw Data'!I70, 2),FALSE)),"",_xlfn.REGEXEXTRACT(CELL("address",I70), "\$([A-Z]+)\$[0-9]+"))),_xlfn.REGEXEXTRACT(CELL("address",I70), "\$([A-Z]+)\$[0-9]+"))</f>
        <v/>
      </c>
      <c r="J70" s="7" t="str" cm="1">
        <f t="array" aca="1" ref="J70" ca="1">IFERROR(IF(OR('Raw Data'!J70="",LEN(TRIM('Raw Data'!J70))=0),"",IF(AND(ISNUMBER('Raw Data'!J70), IFERROR('Raw Data'!J70 = ROUND('Raw Data'!J70, 2),FALSE)),"",_xlfn.REGEXEXTRACT(CELL("address",J70), "\$([A-Z]+)\$[0-9]+"))),_xlfn.REGEXEXTRACT(CELL("address",J70), "\$([A-Z]+)\$[0-9]+"))</f>
        <v/>
      </c>
      <c r="K70" s="7" t="str" cm="1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7" t="str" cm="1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7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7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7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7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 cm="1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7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7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7" t="str" cm="1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7" t="str" cm="1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  <c r="Z70" s="7" t="str" cm="1">
        <f t="array" aca="1" ref="Z70" ca="1">IFERROR(IF(OR('Raw Data'!Z70="",LEN(TRIM('Raw Data'!Z70))=0),"",IF(AND(ISNUMBER('Raw Data'!Z70), IFERROR('Raw Data'!Z70 = ROUND('Raw Data'!Z70, 2),FALSE)),"",_xlfn.REGEXEXTRACT(CELL("address",Z70), "\$([A-Z]+)\$[0-9]+"))),_xlfn.REGEXEXTRACT(CELL("address",Z70), "\$([A-Z]+)\$[0-9]+"))</f>
        <v/>
      </c>
      <c r="AA70" s="7" t="str" cm="1">
        <f t="array" aca="1" ref="AA70" ca="1">IFERROR(IF(OR('Raw Data'!AA70="",LEN(TRIM('Raw Data'!AA70))=0),"",IF(AND(ISNUMBER('Raw Data'!AA70), IFERROR('Raw Data'!AA70 = ROUND('Raw Data'!AA70, 2),FALSE)),"",_xlfn.REGEXEXTRACT(CELL("address",AA70), "\$([A-Z]+)\$[0-9]+"))),_xlfn.REGEXEXTRACT(CELL("address",AA70), "\$([A-Z]+)\$[0-9]+"))</f>
        <v/>
      </c>
      <c r="AB70" s="7" t="str" cm="1">
        <f t="array" aca="1" ref="AB70" ca="1">IFERROR(IF(OR('Raw Data'!AB70="",LEN(TRIM('Raw Data'!AB70))=0),"",IF(AND(ISNUMBER('Raw Data'!AB70), IFERROR('Raw Data'!AB70 = ROUND('Raw Data'!AB70, 2),FALSE)),"",_xlfn.REGEXEXTRACT(CELL("address",AB70), "\$([A-Z]+)\$[0-9]+"))),_xlfn.REGEXEXTRACT(CELL("address",AB70), "\$([A-Z]+)\$[0-9]+"))</f>
        <v/>
      </c>
      <c r="AC70" s="7" t="str" cm="1">
        <f t="array" aca="1" ref="AC70" ca="1">IFERROR(IF(OR('Raw Data'!AC70="",LEN(TRIM('Raw Data'!AC70))=0),"",IF(AND(ISNUMBER('Raw Data'!AC70), IFERROR('Raw Data'!AC70 = ROUND('Raw Data'!AC70, 2),FALSE)),"",_xlfn.REGEXEXTRACT(CELL("address",AC70), "\$([A-Z]+)\$[0-9]+"))),_xlfn.REGEXEXTRACT(CELL("address",AC70), "\$([A-Z]+)\$[0-9]+"))</f>
        <v/>
      </c>
      <c r="AD70" s="7" t="str" cm="1">
        <f t="array" aca="1" ref="AD70" ca="1">IFERROR(IF(OR('Raw Data'!AD70="",LEN(TRIM('Raw Data'!AD70))=0),"",IF(AND(ISNUMBER('Raw Data'!AD70), IFERROR('Raw Data'!AD70 = ROUND('Raw Data'!AD70, 2),FALSE)),"",_xlfn.REGEXEXTRACT(CELL("address",AD70), "\$([A-Z]+)\$[0-9]+"))),_xlfn.REGEXEXTRACT(CELL("address",AD70), "\$([A-Z]+)\$[0-9]+"))</f>
        <v/>
      </c>
      <c r="AE70" s="7" t="str" cm="1">
        <f t="array" aca="1" ref="AE70" ca="1">IFERROR(IF(OR('Raw Data'!AE70="",LEN(TRIM('Raw Data'!AE70))=0),"",IF(AND(ISNUMBER('Raw Data'!AE70), IFERROR('Raw Data'!AE70 = ROUND('Raw Data'!AE70, 2),FALSE)),"",_xlfn.REGEXEXTRACT(CELL("address",AE70), "\$([A-Z]+)\$[0-9]+"))),_xlfn.REGEXEXTRACT(CELL("address",AE70), "\$([A-Z]+)\$[0-9]+"))</f>
        <v/>
      </c>
      <c r="AF70" s="7" t="str" cm="1">
        <f t="array" aca="1" ref="AF70" ca="1">IFERROR(IF(OR('Raw Data'!AF70="",LEN(TRIM('Raw Data'!AF70))=0),"",IF(AND(ISNUMBER('Raw Data'!AF70), IFERROR('Raw Data'!AF70 = ROUND('Raw Data'!AF70, 2),FALSE)),"",_xlfn.REGEXEXTRACT(CELL("address",AF70), "\$([A-Z]+)\$[0-9]+"))),_xlfn.REGEXEXTRACT(CELL("address",AF70), "\$([A-Z]+)\$[0-9]+"))</f>
        <v/>
      </c>
      <c r="AG70" s="7" t="str" cm="1">
        <f t="array" aca="1" ref="AG70" ca="1">IFERROR(IF(OR('Raw Data'!AG70="",LEN(TRIM('Raw Data'!AG70))=0),"",IF(AND(ISNUMBER('Raw Data'!AG70), IFERROR('Raw Data'!AG70 = ROUND('Raw Data'!AG70, 2),FALSE)),"",_xlfn.REGEXEXTRACT(CELL("address",AG70), "\$([A-Z]+)\$[0-9]+"))),_xlfn.REGEXEXTRACT(CELL("address",AG70), "\$([A-Z]+)\$[0-9]+"))</f>
        <v/>
      </c>
      <c r="AH70" s="7" t="str" cm="1">
        <f t="array" aca="1" ref="AH70" ca="1">IFERROR(IF(OR('Raw Data'!AH70="",LEN(TRIM('Raw Data'!AH70))=0),"",IF(AND(ISNUMBER('Raw Data'!AH70), IFERROR('Raw Data'!AH70 = ROUND('Raw Data'!AH70, 2),FALSE)),"",_xlfn.REGEXEXTRACT(CELL("address",AH70), "\$([A-Z]+)\$[0-9]+"))),_xlfn.REGEXEXTRACT(CELL("address",AH70), "\$([A-Z]+)\$[0-9]+"))</f>
        <v/>
      </c>
      <c r="AI70" s="7" t="str" cm="1">
        <f t="array" aca="1" ref="AI70" ca="1">IFERROR(IF(OR('Raw Data'!AI70="",LEN(TRIM('Raw Data'!AI70))=0),"",IF(AND(ISNUMBER('Raw Data'!AI70), IFERROR('Raw Data'!AI70 = ROUND('Raw Data'!AI70, 2),FALSE)),"",_xlfn.REGEXEXTRACT(CELL("address",AI70), "\$([A-Z]+)\$[0-9]+"))),_xlfn.REGEXEXTRACT(CELL("address",AI70), "\$([A-Z]+)\$[0-9]+"))</f>
        <v/>
      </c>
      <c r="AJ70" s="7" t="str" cm="1">
        <f t="array" aca="1" ref="AJ70" ca="1">IFERROR(IF(OR('Raw Data'!AJ70="",LEN(TRIM('Raw Data'!AJ70))=0),"",IF(AND(ISNUMBER('Raw Data'!AJ70), IFERROR('Raw Data'!AJ70 = ROUND('Raw Data'!AJ70, 2),FALSE)),"",_xlfn.REGEXEXTRACT(CELL("address",AJ70), "\$([A-Z]+)\$[0-9]+"))),_xlfn.REGEXEXTRACT(CELL("address",AJ70), "\$([A-Z]+)\$[0-9]+"))</f>
        <v/>
      </c>
    </row>
    <row r="71" spans="2:36" x14ac:dyDescent="0.25">
      <c r="B71" s="7" t="str" cm="1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20,LEN('Raw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Data'!D71))=0),"",IF(AND(ISNUMBER('Raw Data'!D71),'Raw Data'!D71&gt;=Configuration!$D$2),"",_xlfn.REGEXEXTRACT(CELL("address",'Raw Data'!D71),"\$([A-Z]+)\$[0-9]+"))),_xlfn.REGEXEXTRACT(CELL("address",D71), "\$([A-Z]+)\$[0-9]+"))</f>
        <v/>
      </c>
      <c r="E71" s="7" t="str" cm="1">
        <f t="array" aca="1" ref="E71" ca="1">IFERROR(IF(OR('Raw Data'!E71="",LEN(TRIM('Raw Data'!E71))=0),"",IF(AND(ISNUMBER('Raw Data'!E71), IFERROR('Raw Data'!E71 = ROUND('Raw Data'!E71, 2),FALSE)),"",_xlfn.REGEXEXTRACT(CELL("address",E71), "\$([A-Z]+)\$[0-9]+"))),_xlfn.REGEXEXTRACT(CELL("address",E71), "\$([A-Z]+)\$[0-9]+"))</f>
        <v/>
      </c>
      <c r="F71" s="7" t="str" cm="1">
        <f t="array" aca="1" ref="F71" ca="1">IFERROR(IF(OR('Raw Data'!F71="",LEN(TRIM('Raw Data'!F71))=0),"",IF(AND(ISNUMBER('Raw Data'!F71), IFERROR('Raw Data'!F71 = ROUND('Raw Data'!F71, 2),FALSE)),"",_xlfn.REGEXEXTRACT(CELL("address",F71), "\$([A-Z]+)\$[0-9]+"))),_xlfn.REGEXEXTRACT(CELL("address",F71), "\$([A-Z]+)\$[0-9]+"))</f>
        <v/>
      </c>
      <c r="G71" s="7" t="str" cm="1">
        <f t="array" aca="1" ref="G71" ca="1">IFERROR(IF(OR('Raw Data'!G71="",LEN(TRIM('Raw Data'!G71))=0),"",IF(AND(ISNUMBER('Raw Data'!G71), IFERROR('Raw Data'!G71 = ROUND('Raw Data'!G71, 2),FALSE)),"",_xlfn.REGEXEXTRACT(CELL("address",G71), "\$([A-Z]+)\$[0-9]+"))),_xlfn.REGEXEXTRACT(CELL("address",G71), "\$([A-Z]+)\$[0-9]+"))</f>
        <v/>
      </c>
      <c r="H71" s="7" t="str" cm="1">
        <f t="array" aca="1" ref="H71" ca="1">IFERROR(IF(OR('Raw Data'!H71="",LEN(TRIM('Raw Data'!H71))=0),"",IF(AND(ISNUMBER('Raw Data'!H71), IFERROR('Raw Data'!H71 = ROUND('Raw Data'!H71, 2),FALSE)),"",_xlfn.REGEXEXTRACT(CELL("address",H71), "\$([A-Z]+)\$[0-9]+"))),_xlfn.REGEXEXTRACT(CELL("address",H71), "\$([A-Z]+)\$[0-9]+"))</f>
        <v/>
      </c>
      <c r="I71" s="7" t="str" cm="1">
        <f t="array" aca="1" ref="I71" ca="1">IFERROR(IF(OR('Raw Data'!I71="",LEN(TRIM('Raw Data'!I71))=0),"",IF(AND(ISNUMBER('Raw Data'!I71), IFERROR('Raw Data'!I71 = ROUND('Raw Data'!I71, 2),FALSE)),"",_xlfn.REGEXEXTRACT(CELL("address",I71), "\$([A-Z]+)\$[0-9]+"))),_xlfn.REGEXEXTRACT(CELL("address",I71), "\$([A-Z]+)\$[0-9]+"))</f>
        <v/>
      </c>
      <c r="J71" s="7" t="str" cm="1">
        <f t="array" aca="1" ref="J71" ca="1">IFERROR(IF(OR('Raw Data'!J71="",LEN(TRIM('Raw Data'!J71))=0),"",IF(AND(ISNUMBER('Raw Data'!J71), IFERROR('Raw Data'!J71 = ROUND('Raw Data'!J71, 2),FALSE)),"",_xlfn.REGEXEXTRACT(CELL("address",J71), "\$([A-Z]+)\$[0-9]+"))),_xlfn.REGEXEXTRACT(CELL("address",J71), "\$([A-Z]+)\$[0-9]+"))</f>
        <v/>
      </c>
      <c r="K71" s="7" t="str" cm="1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7" t="str" cm="1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7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7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7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7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 cm="1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7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7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7" t="str" cm="1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7" t="str" cm="1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  <c r="Z71" s="7" t="str" cm="1">
        <f t="array" aca="1" ref="Z71" ca="1">IFERROR(IF(OR('Raw Data'!Z71="",LEN(TRIM('Raw Data'!Z71))=0),"",IF(AND(ISNUMBER('Raw Data'!Z71), IFERROR('Raw Data'!Z71 = ROUND('Raw Data'!Z71, 2),FALSE)),"",_xlfn.REGEXEXTRACT(CELL("address",Z71), "\$([A-Z]+)\$[0-9]+"))),_xlfn.REGEXEXTRACT(CELL("address",Z71), "\$([A-Z]+)\$[0-9]+"))</f>
        <v/>
      </c>
      <c r="AA71" s="7" t="str" cm="1">
        <f t="array" aca="1" ref="AA71" ca="1">IFERROR(IF(OR('Raw Data'!AA71="",LEN(TRIM('Raw Data'!AA71))=0),"",IF(AND(ISNUMBER('Raw Data'!AA71), IFERROR('Raw Data'!AA71 = ROUND('Raw Data'!AA71, 2),FALSE)),"",_xlfn.REGEXEXTRACT(CELL("address",AA71), "\$([A-Z]+)\$[0-9]+"))),_xlfn.REGEXEXTRACT(CELL("address",AA71), "\$([A-Z]+)\$[0-9]+"))</f>
        <v/>
      </c>
      <c r="AB71" s="7" t="str" cm="1">
        <f t="array" aca="1" ref="AB71" ca="1">IFERROR(IF(OR('Raw Data'!AB71="",LEN(TRIM('Raw Data'!AB71))=0),"",IF(AND(ISNUMBER('Raw Data'!AB71), IFERROR('Raw Data'!AB71 = ROUND('Raw Data'!AB71, 2),FALSE)),"",_xlfn.REGEXEXTRACT(CELL("address",AB71), "\$([A-Z]+)\$[0-9]+"))),_xlfn.REGEXEXTRACT(CELL("address",AB71), "\$([A-Z]+)\$[0-9]+"))</f>
        <v/>
      </c>
      <c r="AC71" s="7" t="str" cm="1">
        <f t="array" aca="1" ref="AC71" ca="1">IFERROR(IF(OR('Raw Data'!AC71="",LEN(TRIM('Raw Data'!AC71))=0),"",IF(AND(ISNUMBER('Raw Data'!AC71), IFERROR('Raw Data'!AC71 = ROUND('Raw Data'!AC71, 2),FALSE)),"",_xlfn.REGEXEXTRACT(CELL("address",AC71), "\$([A-Z]+)\$[0-9]+"))),_xlfn.REGEXEXTRACT(CELL("address",AC71), "\$([A-Z]+)\$[0-9]+"))</f>
        <v/>
      </c>
      <c r="AD71" s="7" t="str" cm="1">
        <f t="array" aca="1" ref="AD71" ca="1">IFERROR(IF(OR('Raw Data'!AD71="",LEN(TRIM('Raw Data'!AD71))=0),"",IF(AND(ISNUMBER('Raw Data'!AD71), IFERROR('Raw Data'!AD71 = ROUND('Raw Data'!AD71, 2),FALSE)),"",_xlfn.REGEXEXTRACT(CELL("address",AD71), "\$([A-Z]+)\$[0-9]+"))),_xlfn.REGEXEXTRACT(CELL("address",AD71), "\$([A-Z]+)\$[0-9]+"))</f>
        <v/>
      </c>
      <c r="AE71" s="7" t="str" cm="1">
        <f t="array" aca="1" ref="AE71" ca="1">IFERROR(IF(OR('Raw Data'!AE71="",LEN(TRIM('Raw Data'!AE71))=0),"",IF(AND(ISNUMBER('Raw Data'!AE71), IFERROR('Raw Data'!AE71 = ROUND('Raw Data'!AE71, 2),FALSE)),"",_xlfn.REGEXEXTRACT(CELL("address",AE71), "\$([A-Z]+)\$[0-9]+"))),_xlfn.REGEXEXTRACT(CELL("address",AE71), "\$([A-Z]+)\$[0-9]+"))</f>
        <v/>
      </c>
      <c r="AF71" s="7" t="str" cm="1">
        <f t="array" aca="1" ref="AF71" ca="1">IFERROR(IF(OR('Raw Data'!AF71="",LEN(TRIM('Raw Data'!AF71))=0),"",IF(AND(ISNUMBER('Raw Data'!AF71), IFERROR('Raw Data'!AF71 = ROUND('Raw Data'!AF71, 2),FALSE)),"",_xlfn.REGEXEXTRACT(CELL("address",AF71), "\$([A-Z]+)\$[0-9]+"))),_xlfn.REGEXEXTRACT(CELL("address",AF71), "\$([A-Z]+)\$[0-9]+"))</f>
        <v/>
      </c>
      <c r="AG71" s="7" t="str" cm="1">
        <f t="array" aca="1" ref="AG71" ca="1">IFERROR(IF(OR('Raw Data'!AG71="",LEN(TRIM('Raw Data'!AG71))=0),"",IF(AND(ISNUMBER('Raw Data'!AG71), IFERROR('Raw Data'!AG71 = ROUND('Raw Data'!AG71, 2),FALSE)),"",_xlfn.REGEXEXTRACT(CELL("address",AG71), "\$([A-Z]+)\$[0-9]+"))),_xlfn.REGEXEXTRACT(CELL("address",AG71), "\$([A-Z]+)\$[0-9]+"))</f>
        <v/>
      </c>
      <c r="AH71" s="7" t="str" cm="1">
        <f t="array" aca="1" ref="AH71" ca="1">IFERROR(IF(OR('Raw Data'!AH71="",LEN(TRIM('Raw Data'!AH71))=0),"",IF(AND(ISNUMBER('Raw Data'!AH71), IFERROR('Raw Data'!AH71 = ROUND('Raw Data'!AH71, 2),FALSE)),"",_xlfn.REGEXEXTRACT(CELL("address",AH71), "\$([A-Z]+)\$[0-9]+"))),_xlfn.REGEXEXTRACT(CELL("address",AH71), "\$([A-Z]+)\$[0-9]+"))</f>
        <v/>
      </c>
      <c r="AI71" s="7" t="str" cm="1">
        <f t="array" aca="1" ref="AI71" ca="1">IFERROR(IF(OR('Raw Data'!AI71="",LEN(TRIM('Raw Data'!AI71))=0),"",IF(AND(ISNUMBER('Raw Data'!AI71), IFERROR('Raw Data'!AI71 = ROUND('Raw Data'!AI71, 2),FALSE)),"",_xlfn.REGEXEXTRACT(CELL("address",AI71), "\$([A-Z]+)\$[0-9]+"))),_xlfn.REGEXEXTRACT(CELL("address",AI71), "\$([A-Z]+)\$[0-9]+"))</f>
        <v/>
      </c>
      <c r="AJ71" s="7" t="str" cm="1">
        <f t="array" aca="1" ref="AJ71" ca="1">IFERROR(IF(OR('Raw Data'!AJ71="",LEN(TRIM('Raw Data'!AJ71))=0),"",IF(AND(ISNUMBER('Raw Data'!AJ71), IFERROR('Raw Data'!AJ71 = ROUND('Raw Data'!AJ71, 2),FALSE)),"",_xlfn.REGEXEXTRACT(CELL("address",AJ71), "\$([A-Z]+)\$[0-9]+"))),_xlfn.REGEXEXTRACT(CELL("address",AJ71), "\$([A-Z]+)\$[0-9]+"))</f>
        <v/>
      </c>
    </row>
    <row r="72" spans="2:36" x14ac:dyDescent="0.25">
      <c r="B72" s="7" t="str" cm="1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20,LEN('Raw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Data'!D72))=0),"",IF(AND(ISNUMBER('Raw Data'!D72),'Raw Data'!D72&gt;=Configuration!$D$2),"",_xlfn.REGEXEXTRACT(CELL("address",'Raw Data'!D72),"\$([A-Z]+)\$[0-9]+"))),_xlfn.REGEXEXTRACT(CELL("address",D72), "\$([A-Z]+)\$[0-9]+"))</f>
        <v/>
      </c>
      <c r="E72" s="7" t="str" cm="1">
        <f t="array" aca="1" ref="E72" ca="1">IFERROR(IF(OR('Raw Data'!E72="",LEN(TRIM('Raw Data'!E72))=0),"",IF(AND(ISNUMBER('Raw Data'!E72), IFERROR('Raw Data'!E72 = ROUND('Raw Data'!E72, 2),FALSE)),"",_xlfn.REGEXEXTRACT(CELL("address",E72), "\$([A-Z]+)\$[0-9]+"))),_xlfn.REGEXEXTRACT(CELL("address",E72), "\$([A-Z]+)\$[0-9]+"))</f>
        <v/>
      </c>
      <c r="F72" s="7" t="str" cm="1">
        <f t="array" aca="1" ref="F72" ca="1">IFERROR(IF(OR('Raw Data'!F72="",LEN(TRIM('Raw Data'!F72))=0),"",IF(AND(ISNUMBER('Raw Data'!F72), IFERROR('Raw Data'!F72 = ROUND('Raw Data'!F72, 2),FALSE)),"",_xlfn.REGEXEXTRACT(CELL("address",F72), "\$([A-Z]+)\$[0-9]+"))),_xlfn.REGEXEXTRACT(CELL("address",F72), "\$([A-Z]+)\$[0-9]+"))</f>
        <v/>
      </c>
      <c r="G72" s="7" t="str" cm="1">
        <f t="array" aca="1" ref="G72" ca="1">IFERROR(IF(OR('Raw Data'!G72="",LEN(TRIM('Raw Data'!G72))=0),"",IF(AND(ISNUMBER('Raw Data'!G72), IFERROR('Raw Data'!G72 = ROUND('Raw Data'!G72, 2),FALSE)),"",_xlfn.REGEXEXTRACT(CELL("address",G72), "\$([A-Z]+)\$[0-9]+"))),_xlfn.REGEXEXTRACT(CELL("address",G72), "\$([A-Z]+)\$[0-9]+"))</f>
        <v/>
      </c>
      <c r="H72" s="7" t="str" cm="1">
        <f t="array" aca="1" ref="H72" ca="1">IFERROR(IF(OR('Raw Data'!H72="",LEN(TRIM('Raw Data'!H72))=0),"",IF(AND(ISNUMBER('Raw Data'!H72), IFERROR('Raw Data'!H72 = ROUND('Raw Data'!H72, 2),FALSE)),"",_xlfn.REGEXEXTRACT(CELL("address",H72), "\$([A-Z]+)\$[0-9]+"))),_xlfn.REGEXEXTRACT(CELL("address",H72), "\$([A-Z]+)\$[0-9]+"))</f>
        <v/>
      </c>
      <c r="I72" s="7" t="str" cm="1">
        <f t="array" aca="1" ref="I72" ca="1">IFERROR(IF(OR('Raw Data'!I72="",LEN(TRIM('Raw Data'!I72))=0),"",IF(AND(ISNUMBER('Raw Data'!I72), IFERROR('Raw Data'!I72 = ROUND('Raw Data'!I72, 2),FALSE)),"",_xlfn.REGEXEXTRACT(CELL("address",I72), "\$([A-Z]+)\$[0-9]+"))),_xlfn.REGEXEXTRACT(CELL("address",I72), "\$([A-Z]+)\$[0-9]+"))</f>
        <v/>
      </c>
      <c r="J72" s="7" t="str" cm="1">
        <f t="array" aca="1" ref="J72" ca="1">IFERROR(IF(OR('Raw Data'!J72="",LEN(TRIM('Raw Data'!J72))=0),"",IF(AND(ISNUMBER('Raw Data'!J72), IFERROR('Raw Data'!J72 = ROUND('Raw Data'!J72, 2),FALSE)),"",_xlfn.REGEXEXTRACT(CELL("address",J72), "\$([A-Z]+)\$[0-9]+"))),_xlfn.REGEXEXTRACT(CELL("address",J72), "\$([A-Z]+)\$[0-9]+"))</f>
        <v/>
      </c>
      <c r="K72" s="7" t="str" cm="1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7" t="str" cm="1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7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7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7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7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 cm="1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7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7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7" t="str" cm="1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7" t="str" cm="1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  <c r="Z72" s="7" t="str" cm="1">
        <f t="array" aca="1" ref="Z72" ca="1">IFERROR(IF(OR('Raw Data'!Z72="",LEN(TRIM('Raw Data'!Z72))=0),"",IF(AND(ISNUMBER('Raw Data'!Z72), IFERROR('Raw Data'!Z72 = ROUND('Raw Data'!Z72, 2),FALSE)),"",_xlfn.REGEXEXTRACT(CELL("address",Z72), "\$([A-Z]+)\$[0-9]+"))),_xlfn.REGEXEXTRACT(CELL("address",Z72), "\$([A-Z]+)\$[0-9]+"))</f>
        <v/>
      </c>
      <c r="AA72" s="7" t="str" cm="1">
        <f t="array" aca="1" ref="AA72" ca="1">IFERROR(IF(OR('Raw Data'!AA72="",LEN(TRIM('Raw Data'!AA72))=0),"",IF(AND(ISNUMBER('Raw Data'!AA72), IFERROR('Raw Data'!AA72 = ROUND('Raw Data'!AA72, 2),FALSE)),"",_xlfn.REGEXEXTRACT(CELL("address",AA72), "\$([A-Z]+)\$[0-9]+"))),_xlfn.REGEXEXTRACT(CELL("address",AA72), "\$([A-Z]+)\$[0-9]+"))</f>
        <v/>
      </c>
      <c r="AB72" s="7" t="str" cm="1">
        <f t="array" aca="1" ref="AB72" ca="1">IFERROR(IF(OR('Raw Data'!AB72="",LEN(TRIM('Raw Data'!AB72))=0),"",IF(AND(ISNUMBER('Raw Data'!AB72), IFERROR('Raw Data'!AB72 = ROUND('Raw Data'!AB72, 2),FALSE)),"",_xlfn.REGEXEXTRACT(CELL("address",AB72), "\$([A-Z]+)\$[0-9]+"))),_xlfn.REGEXEXTRACT(CELL("address",AB72), "\$([A-Z]+)\$[0-9]+"))</f>
        <v/>
      </c>
      <c r="AC72" s="7" t="str" cm="1">
        <f t="array" aca="1" ref="AC72" ca="1">IFERROR(IF(OR('Raw Data'!AC72="",LEN(TRIM('Raw Data'!AC72))=0),"",IF(AND(ISNUMBER('Raw Data'!AC72), IFERROR('Raw Data'!AC72 = ROUND('Raw Data'!AC72, 2),FALSE)),"",_xlfn.REGEXEXTRACT(CELL("address",AC72), "\$([A-Z]+)\$[0-9]+"))),_xlfn.REGEXEXTRACT(CELL("address",AC72), "\$([A-Z]+)\$[0-9]+"))</f>
        <v/>
      </c>
      <c r="AD72" s="7" t="str" cm="1">
        <f t="array" aca="1" ref="AD72" ca="1">IFERROR(IF(OR('Raw Data'!AD72="",LEN(TRIM('Raw Data'!AD72))=0),"",IF(AND(ISNUMBER('Raw Data'!AD72), IFERROR('Raw Data'!AD72 = ROUND('Raw Data'!AD72, 2),FALSE)),"",_xlfn.REGEXEXTRACT(CELL("address",AD72), "\$([A-Z]+)\$[0-9]+"))),_xlfn.REGEXEXTRACT(CELL("address",AD72), "\$([A-Z]+)\$[0-9]+"))</f>
        <v/>
      </c>
      <c r="AE72" s="7" t="str" cm="1">
        <f t="array" aca="1" ref="AE72" ca="1">IFERROR(IF(OR('Raw Data'!AE72="",LEN(TRIM('Raw Data'!AE72))=0),"",IF(AND(ISNUMBER('Raw Data'!AE72), IFERROR('Raw Data'!AE72 = ROUND('Raw Data'!AE72, 2),FALSE)),"",_xlfn.REGEXEXTRACT(CELL("address",AE72), "\$([A-Z]+)\$[0-9]+"))),_xlfn.REGEXEXTRACT(CELL("address",AE72), "\$([A-Z]+)\$[0-9]+"))</f>
        <v/>
      </c>
      <c r="AF72" s="7" t="str" cm="1">
        <f t="array" aca="1" ref="AF72" ca="1">IFERROR(IF(OR('Raw Data'!AF72="",LEN(TRIM('Raw Data'!AF72))=0),"",IF(AND(ISNUMBER('Raw Data'!AF72), IFERROR('Raw Data'!AF72 = ROUND('Raw Data'!AF72, 2),FALSE)),"",_xlfn.REGEXEXTRACT(CELL("address",AF72), "\$([A-Z]+)\$[0-9]+"))),_xlfn.REGEXEXTRACT(CELL("address",AF72), "\$([A-Z]+)\$[0-9]+"))</f>
        <v/>
      </c>
      <c r="AG72" s="7" t="str" cm="1">
        <f t="array" aca="1" ref="AG72" ca="1">IFERROR(IF(OR('Raw Data'!AG72="",LEN(TRIM('Raw Data'!AG72))=0),"",IF(AND(ISNUMBER('Raw Data'!AG72), IFERROR('Raw Data'!AG72 = ROUND('Raw Data'!AG72, 2),FALSE)),"",_xlfn.REGEXEXTRACT(CELL("address",AG72), "\$([A-Z]+)\$[0-9]+"))),_xlfn.REGEXEXTRACT(CELL("address",AG72), "\$([A-Z]+)\$[0-9]+"))</f>
        <v/>
      </c>
      <c r="AH72" s="7" t="str" cm="1">
        <f t="array" aca="1" ref="AH72" ca="1">IFERROR(IF(OR('Raw Data'!AH72="",LEN(TRIM('Raw Data'!AH72))=0),"",IF(AND(ISNUMBER('Raw Data'!AH72), IFERROR('Raw Data'!AH72 = ROUND('Raw Data'!AH72, 2),FALSE)),"",_xlfn.REGEXEXTRACT(CELL("address",AH72), "\$([A-Z]+)\$[0-9]+"))),_xlfn.REGEXEXTRACT(CELL("address",AH72), "\$([A-Z]+)\$[0-9]+"))</f>
        <v/>
      </c>
      <c r="AI72" s="7" t="str" cm="1">
        <f t="array" aca="1" ref="AI72" ca="1">IFERROR(IF(OR('Raw Data'!AI72="",LEN(TRIM('Raw Data'!AI72))=0),"",IF(AND(ISNUMBER('Raw Data'!AI72), IFERROR('Raw Data'!AI72 = ROUND('Raw Data'!AI72, 2),FALSE)),"",_xlfn.REGEXEXTRACT(CELL("address",AI72), "\$([A-Z]+)\$[0-9]+"))),_xlfn.REGEXEXTRACT(CELL("address",AI72), "\$([A-Z]+)\$[0-9]+"))</f>
        <v/>
      </c>
      <c r="AJ72" s="7" t="str" cm="1">
        <f t="array" aca="1" ref="AJ72" ca="1">IFERROR(IF(OR('Raw Data'!AJ72="",LEN(TRIM('Raw Data'!AJ72))=0),"",IF(AND(ISNUMBER('Raw Data'!AJ72), IFERROR('Raw Data'!AJ72 = ROUND('Raw Data'!AJ72, 2),FALSE)),"",_xlfn.REGEXEXTRACT(CELL("address",AJ72), "\$([A-Z]+)\$[0-9]+"))),_xlfn.REGEXEXTRACT(CELL("address",AJ72), "\$([A-Z]+)\$[0-9]+"))</f>
        <v/>
      </c>
    </row>
    <row r="73" spans="2:36" x14ac:dyDescent="0.25">
      <c r="B73" s="7" t="str" cm="1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20,LEN('Raw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Data'!D73))=0),"",IF(AND(ISNUMBER('Raw Data'!D73),'Raw Data'!D73&gt;=Configuration!$D$2),"",_xlfn.REGEXEXTRACT(CELL("address",'Raw Data'!D73),"\$([A-Z]+)\$[0-9]+"))),_xlfn.REGEXEXTRACT(CELL("address",D73), "\$([A-Z]+)\$[0-9]+"))</f>
        <v/>
      </c>
      <c r="E73" s="7" t="str" cm="1">
        <f t="array" aca="1" ref="E73" ca="1">IFERROR(IF(OR('Raw Data'!E73="",LEN(TRIM('Raw Data'!E73))=0),"",IF(AND(ISNUMBER('Raw Data'!E73), IFERROR('Raw Data'!E73 = ROUND('Raw Data'!E73, 2),FALSE)),"",_xlfn.REGEXEXTRACT(CELL("address",E73), "\$([A-Z]+)\$[0-9]+"))),_xlfn.REGEXEXTRACT(CELL("address",E73), "\$([A-Z]+)\$[0-9]+"))</f>
        <v/>
      </c>
      <c r="F73" s="7" t="str" cm="1">
        <f t="array" aca="1" ref="F73" ca="1">IFERROR(IF(OR('Raw Data'!F73="",LEN(TRIM('Raw Data'!F73))=0),"",IF(AND(ISNUMBER('Raw Data'!F73), IFERROR('Raw Data'!F73 = ROUND('Raw Data'!F73, 2),FALSE)),"",_xlfn.REGEXEXTRACT(CELL("address",F73), "\$([A-Z]+)\$[0-9]+"))),_xlfn.REGEXEXTRACT(CELL("address",F73), "\$([A-Z]+)\$[0-9]+"))</f>
        <v/>
      </c>
      <c r="G73" s="7" t="str" cm="1">
        <f t="array" aca="1" ref="G73" ca="1">IFERROR(IF(OR('Raw Data'!G73="",LEN(TRIM('Raw Data'!G73))=0),"",IF(AND(ISNUMBER('Raw Data'!G73), IFERROR('Raw Data'!G73 = ROUND('Raw Data'!G73, 2),FALSE)),"",_xlfn.REGEXEXTRACT(CELL("address",G73), "\$([A-Z]+)\$[0-9]+"))),_xlfn.REGEXEXTRACT(CELL("address",G73), "\$([A-Z]+)\$[0-9]+"))</f>
        <v/>
      </c>
      <c r="H73" s="7" t="str" cm="1">
        <f t="array" aca="1" ref="H73" ca="1">IFERROR(IF(OR('Raw Data'!H73="",LEN(TRIM('Raw Data'!H73))=0),"",IF(AND(ISNUMBER('Raw Data'!H73), IFERROR('Raw Data'!H73 = ROUND('Raw Data'!H73, 2),FALSE)),"",_xlfn.REGEXEXTRACT(CELL("address",H73), "\$([A-Z]+)\$[0-9]+"))),_xlfn.REGEXEXTRACT(CELL("address",H73), "\$([A-Z]+)\$[0-9]+"))</f>
        <v/>
      </c>
      <c r="I73" s="7" t="str" cm="1">
        <f t="array" aca="1" ref="I73" ca="1">IFERROR(IF(OR('Raw Data'!I73="",LEN(TRIM('Raw Data'!I73))=0),"",IF(AND(ISNUMBER('Raw Data'!I73), IFERROR('Raw Data'!I73 = ROUND('Raw Data'!I73, 2),FALSE)),"",_xlfn.REGEXEXTRACT(CELL("address",I73), "\$([A-Z]+)\$[0-9]+"))),_xlfn.REGEXEXTRACT(CELL("address",I73), "\$([A-Z]+)\$[0-9]+"))</f>
        <v/>
      </c>
      <c r="J73" s="7" t="str" cm="1">
        <f t="array" aca="1" ref="J73" ca="1">IFERROR(IF(OR('Raw Data'!J73="",LEN(TRIM('Raw Data'!J73))=0),"",IF(AND(ISNUMBER('Raw Data'!J73), IFERROR('Raw Data'!J73 = ROUND('Raw Data'!J73, 2),FALSE)),"",_xlfn.REGEXEXTRACT(CELL("address",J73), "\$([A-Z]+)\$[0-9]+"))),_xlfn.REGEXEXTRACT(CELL("address",J73), "\$([A-Z]+)\$[0-9]+"))</f>
        <v/>
      </c>
      <c r="K73" s="7" t="str" cm="1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7" t="str" cm="1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7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7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7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7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 cm="1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7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7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7" t="str" cm="1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7" t="str" cm="1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  <c r="Z73" s="7" t="str" cm="1">
        <f t="array" aca="1" ref="Z73" ca="1">IFERROR(IF(OR('Raw Data'!Z73="",LEN(TRIM('Raw Data'!Z73))=0),"",IF(AND(ISNUMBER('Raw Data'!Z73), IFERROR('Raw Data'!Z73 = ROUND('Raw Data'!Z73, 2),FALSE)),"",_xlfn.REGEXEXTRACT(CELL("address",Z73), "\$([A-Z]+)\$[0-9]+"))),_xlfn.REGEXEXTRACT(CELL("address",Z73), "\$([A-Z]+)\$[0-9]+"))</f>
        <v/>
      </c>
      <c r="AA73" s="7" t="str" cm="1">
        <f t="array" aca="1" ref="AA73" ca="1">IFERROR(IF(OR('Raw Data'!AA73="",LEN(TRIM('Raw Data'!AA73))=0),"",IF(AND(ISNUMBER('Raw Data'!AA73), IFERROR('Raw Data'!AA73 = ROUND('Raw Data'!AA73, 2),FALSE)),"",_xlfn.REGEXEXTRACT(CELL("address",AA73), "\$([A-Z]+)\$[0-9]+"))),_xlfn.REGEXEXTRACT(CELL("address",AA73), "\$([A-Z]+)\$[0-9]+"))</f>
        <v/>
      </c>
      <c r="AB73" s="7" t="str" cm="1">
        <f t="array" aca="1" ref="AB73" ca="1">IFERROR(IF(OR('Raw Data'!AB73="",LEN(TRIM('Raw Data'!AB73))=0),"",IF(AND(ISNUMBER('Raw Data'!AB73), IFERROR('Raw Data'!AB73 = ROUND('Raw Data'!AB73, 2),FALSE)),"",_xlfn.REGEXEXTRACT(CELL("address",AB73), "\$([A-Z]+)\$[0-9]+"))),_xlfn.REGEXEXTRACT(CELL("address",AB73), "\$([A-Z]+)\$[0-9]+"))</f>
        <v/>
      </c>
      <c r="AC73" s="7" t="str" cm="1">
        <f t="array" aca="1" ref="AC73" ca="1">IFERROR(IF(OR('Raw Data'!AC73="",LEN(TRIM('Raw Data'!AC73))=0),"",IF(AND(ISNUMBER('Raw Data'!AC73), IFERROR('Raw Data'!AC73 = ROUND('Raw Data'!AC73, 2),FALSE)),"",_xlfn.REGEXEXTRACT(CELL("address",AC73), "\$([A-Z]+)\$[0-9]+"))),_xlfn.REGEXEXTRACT(CELL("address",AC73), "\$([A-Z]+)\$[0-9]+"))</f>
        <v/>
      </c>
      <c r="AD73" s="7" t="str" cm="1">
        <f t="array" aca="1" ref="AD73" ca="1">IFERROR(IF(OR('Raw Data'!AD73="",LEN(TRIM('Raw Data'!AD73))=0),"",IF(AND(ISNUMBER('Raw Data'!AD73), IFERROR('Raw Data'!AD73 = ROUND('Raw Data'!AD73, 2),FALSE)),"",_xlfn.REGEXEXTRACT(CELL("address",AD73), "\$([A-Z]+)\$[0-9]+"))),_xlfn.REGEXEXTRACT(CELL("address",AD73), "\$([A-Z]+)\$[0-9]+"))</f>
        <v/>
      </c>
      <c r="AE73" s="7" t="str" cm="1">
        <f t="array" aca="1" ref="AE73" ca="1">IFERROR(IF(OR('Raw Data'!AE73="",LEN(TRIM('Raw Data'!AE73))=0),"",IF(AND(ISNUMBER('Raw Data'!AE73), IFERROR('Raw Data'!AE73 = ROUND('Raw Data'!AE73, 2),FALSE)),"",_xlfn.REGEXEXTRACT(CELL("address",AE73), "\$([A-Z]+)\$[0-9]+"))),_xlfn.REGEXEXTRACT(CELL("address",AE73), "\$([A-Z]+)\$[0-9]+"))</f>
        <v/>
      </c>
      <c r="AF73" s="7" t="str" cm="1">
        <f t="array" aca="1" ref="AF73" ca="1">IFERROR(IF(OR('Raw Data'!AF73="",LEN(TRIM('Raw Data'!AF73))=0),"",IF(AND(ISNUMBER('Raw Data'!AF73), IFERROR('Raw Data'!AF73 = ROUND('Raw Data'!AF73, 2),FALSE)),"",_xlfn.REGEXEXTRACT(CELL("address",AF73), "\$([A-Z]+)\$[0-9]+"))),_xlfn.REGEXEXTRACT(CELL("address",AF73), "\$([A-Z]+)\$[0-9]+"))</f>
        <v/>
      </c>
      <c r="AG73" s="7" t="str" cm="1">
        <f t="array" aca="1" ref="AG73" ca="1">IFERROR(IF(OR('Raw Data'!AG73="",LEN(TRIM('Raw Data'!AG73))=0),"",IF(AND(ISNUMBER('Raw Data'!AG73), IFERROR('Raw Data'!AG73 = ROUND('Raw Data'!AG73, 2),FALSE)),"",_xlfn.REGEXEXTRACT(CELL("address",AG73), "\$([A-Z]+)\$[0-9]+"))),_xlfn.REGEXEXTRACT(CELL("address",AG73), "\$([A-Z]+)\$[0-9]+"))</f>
        <v/>
      </c>
      <c r="AH73" s="7" t="str" cm="1">
        <f t="array" aca="1" ref="AH73" ca="1">IFERROR(IF(OR('Raw Data'!AH73="",LEN(TRIM('Raw Data'!AH73))=0),"",IF(AND(ISNUMBER('Raw Data'!AH73), IFERROR('Raw Data'!AH73 = ROUND('Raw Data'!AH73, 2),FALSE)),"",_xlfn.REGEXEXTRACT(CELL("address",AH73), "\$([A-Z]+)\$[0-9]+"))),_xlfn.REGEXEXTRACT(CELL("address",AH73), "\$([A-Z]+)\$[0-9]+"))</f>
        <v/>
      </c>
      <c r="AI73" s="7" t="str" cm="1">
        <f t="array" aca="1" ref="AI73" ca="1">IFERROR(IF(OR('Raw Data'!AI73="",LEN(TRIM('Raw Data'!AI73))=0),"",IF(AND(ISNUMBER('Raw Data'!AI73), IFERROR('Raw Data'!AI73 = ROUND('Raw Data'!AI73, 2),FALSE)),"",_xlfn.REGEXEXTRACT(CELL("address",AI73), "\$([A-Z]+)\$[0-9]+"))),_xlfn.REGEXEXTRACT(CELL("address",AI73), "\$([A-Z]+)\$[0-9]+"))</f>
        <v/>
      </c>
      <c r="AJ73" s="7" t="str" cm="1">
        <f t="array" aca="1" ref="AJ73" ca="1">IFERROR(IF(OR('Raw Data'!AJ73="",LEN(TRIM('Raw Data'!AJ73))=0),"",IF(AND(ISNUMBER('Raw Data'!AJ73), IFERROR('Raw Data'!AJ73 = ROUND('Raw Data'!AJ73, 2),FALSE)),"",_xlfn.REGEXEXTRACT(CELL("address",AJ73), "\$([A-Z]+)\$[0-9]+"))),_xlfn.REGEXEXTRACT(CELL("address",AJ73), "\$([A-Z]+)\$[0-9]+"))</f>
        <v/>
      </c>
    </row>
    <row r="74" spans="2:36" x14ac:dyDescent="0.25">
      <c r="B74" s="7" t="str" cm="1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20,LEN('Raw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Data'!D74))=0),"",IF(AND(ISNUMBER('Raw Data'!D74),'Raw Data'!D74&gt;=Configuration!$D$2),"",_xlfn.REGEXEXTRACT(CELL("address",'Raw Data'!D74),"\$([A-Z]+)\$[0-9]+"))),_xlfn.REGEXEXTRACT(CELL("address",D74), "\$([A-Z]+)\$[0-9]+"))</f>
        <v/>
      </c>
      <c r="E74" s="7" t="str" cm="1">
        <f t="array" aca="1" ref="E74" ca="1">IFERROR(IF(OR('Raw Data'!E74="",LEN(TRIM('Raw Data'!E74))=0),"",IF(AND(ISNUMBER('Raw Data'!E74), IFERROR('Raw Data'!E74 = ROUND('Raw Data'!E74, 2),FALSE)),"",_xlfn.REGEXEXTRACT(CELL("address",E74), "\$([A-Z]+)\$[0-9]+"))),_xlfn.REGEXEXTRACT(CELL("address",E74), "\$([A-Z]+)\$[0-9]+"))</f>
        <v/>
      </c>
      <c r="F74" s="7" t="str" cm="1">
        <f t="array" aca="1" ref="F74" ca="1">IFERROR(IF(OR('Raw Data'!F74="",LEN(TRIM('Raw Data'!F74))=0),"",IF(AND(ISNUMBER('Raw Data'!F74), IFERROR('Raw Data'!F74 = ROUND('Raw Data'!F74, 2),FALSE)),"",_xlfn.REGEXEXTRACT(CELL("address",F74), "\$([A-Z]+)\$[0-9]+"))),_xlfn.REGEXEXTRACT(CELL("address",F74), "\$([A-Z]+)\$[0-9]+"))</f>
        <v/>
      </c>
      <c r="G74" s="7" t="str" cm="1">
        <f t="array" aca="1" ref="G74" ca="1">IFERROR(IF(OR('Raw Data'!G74="",LEN(TRIM('Raw Data'!G74))=0),"",IF(AND(ISNUMBER('Raw Data'!G74), IFERROR('Raw Data'!G74 = ROUND('Raw Data'!G74, 2),FALSE)),"",_xlfn.REGEXEXTRACT(CELL("address",G74), "\$([A-Z]+)\$[0-9]+"))),_xlfn.REGEXEXTRACT(CELL("address",G74), "\$([A-Z]+)\$[0-9]+"))</f>
        <v/>
      </c>
      <c r="H74" s="7" t="str" cm="1">
        <f t="array" aca="1" ref="H74" ca="1">IFERROR(IF(OR('Raw Data'!H74="",LEN(TRIM('Raw Data'!H74))=0),"",IF(AND(ISNUMBER('Raw Data'!H74), IFERROR('Raw Data'!H74 = ROUND('Raw Data'!H74, 2),FALSE)),"",_xlfn.REGEXEXTRACT(CELL("address",H74), "\$([A-Z]+)\$[0-9]+"))),_xlfn.REGEXEXTRACT(CELL("address",H74), "\$([A-Z]+)\$[0-9]+"))</f>
        <v/>
      </c>
      <c r="I74" s="7" t="str" cm="1">
        <f t="array" aca="1" ref="I74" ca="1">IFERROR(IF(OR('Raw Data'!I74="",LEN(TRIM('Raw Data'!I74))=0),"",IF(AND(ISNUMBER('Raw Data'!I74), IFERROR('Raw Data'!I74 = ROUND('Raw Data'!I74, 2),FALSE)),"",_xlfn.REGEXEXTRACT(CELL("address",I74), "\$([A-Z]+)\$[0-9]+"))),_xlfn.REGEXEXTRACT(CELL("address",I74), "\$([A-Z]+)\$[0-9]+"))</f>
        <v/>
      </c>
      <c r="J74" s="7" t="str" cm="1">
        <f t="array" aca="1" ref="J74" ca="1">IFERROR(IF(OR('Raw Data'!J74="",LEN(TRIM('Raw Data'!J74))=0),"",IF(AND(ISNUMBER('Raw Data'!J74), IFERROR('Raw Data'!J74 = ROUND('Raw Data'!J74, 2),FALSE)),"",_xlfn.REGEXEXTRACT(CELL("address",J74), "\$([A-Z]+)\$[0-9]+"))),_xlfn.REGEXEXTRACT(CELL("address",J74), "\$([A-Z]+)\$[0-9]+"))</f>
        <v/>
      </c>
      <c r="K74" s="7" t="str" cm="1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7" t="str" cm="1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7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7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7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7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 cm="1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7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7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7" t="str" cm="1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7" t="str" cm="1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  <c r="Z74" s="7" t="str" cm="1">
        <f t="array" aca="1" ref="Z74" ca="1">IFERROR(IF(OR('Raw Data'!Z74="",LEN(TRIM('Raw Data'!Z74))=0),"",IF(AND(ISNUMBER('Raw Data'!Z74), IFERROR('Raw Data'!Z74 = ROUND('Raw Data'!Z74, 2),FALSE)),"",_xlfn.REGEXEXTRACT(CELL("address",Z74), "\$([A-Z]+)\$[0-9]+"))),_xlfn.REGEXEXTRACT(CELL("address",Z74), "\$([A-Z]+)\$[0-9]+"))</f>
        <v/>
      </c>
      <c r="AA74" s="7" t="str" cm="1">
        <f t="array" aca="1" ref="AA74" ca="1">IFERROR(IF(OR('Raw Data'!AA74="",LEN(TRIM('Raw Data'!AA74))=0),"",IF(AND(ISNUMBER('Raw Data'!AA74), IFERROR('Raw Data'!AA74 = ROUND('Raw Data'!AA74, 2),FALSE)),"",_xlfn.REGEXEXTRACT(CELL("address",AA74), "\$([A-Z]+)\$[0-9]+"))),_xlfn.REGEXEXTRACT(CELL("address",AA74), "\$([A-Z]+)\$[0-9]+"))</f>
        <v/>
      </c>
      <c r="AB74" s="7" t="str" cm="1">
        <f t="array" aca="1" ref="AB74" ca="1">IFERROR(IF(OR('Raw Data'!AB74="",LEN(TRIM('Raw Data'!AB74))=0),"",IF(AND(ISNUMBER('Raw Data'!AB74), IFERROR('Raw Data'!AB74 = ROUND('Raw Data'!AB74, 2),FALSE)),"",_xlfn.REGEXEXTRACT(CELL("address",AB74), "\$([A-Z]+)\$[0-9]+"))),_xlfn.REGEXEXTRACT(CELL("address",AB74), "\$([A-Z]+)\$[0-9]+"))</f>
        <v/>
      </c>
      <c r="AC74" s="7" t="str" cm="1">
        <f t="array" aca="1" ref="AC74" ca="1">IFERROR(IF(OR('Raw Data'!AC74="",LEN(TRIM('Raw Data'!AC74))=0),"",IF(AND(ISNUMBER('Raw Data'!AC74), IFERROR('Raw Data'!AC74 = ROUND('Raw Data'!AC74, 2),FALSE)),"",_xlfn.REGEXEXTRACT(CELL("address",AC74), "\$([A-Z]+)\$[0-9]+"))),_xlfn.REGEXEXTRACT(CELL("address",AC74), "\$([A-Z]+)\$[0-9]+"))</f>
        <v/>
      </c>
      <c r="AD74" s="7" t="str" cm="1">
        <f t="array" aca="1" ref="AD74" ca="1">IFERROR(IF(OR('Raw Data'!AD74="",LEN(TRIM('Raw Data'!AD74))=0),"",IF(AND(ISNUMBER('Raw Data'!AD74), IFERROR('Raw Data'!AD74 = ROUND('Raw Data'!AD74, 2),FALSE)),"",_xlfn.REGEXEXTRACT(CELL("address",AD74), "\$([A-Z]+)\$[0-9]+"))),_xlfn.REGEXEXTRACT(CELL("address",AD74), "\$([A-Z]+)\$[0-9]+"))</f>
        <v/>
      </c>
      <c r="AE74" s="7" t="str" cm="1">
        <f t="array" aca="1" ref="AE74" ca="1">IFERROR(IF(OR('Raw Data'!AE74="",LEN(TRIM('Raw Data'!AE74))=0),"",IF(AND(ISNUMBER('Raw Data'!AE74), IFERROR('Raw Data'!AE74 = ROUND('Raw Data'!AE74, 2),FALSE)),"",_xlfn.REGEXEXTRACT(CELL("address",AE74), "\$([A-Z]+)\$[0-9]+"))),_xlfn.REGEXEXTRACT(CELL("address",AE74), "\$([A-Z]+)\$[0-9]+"))</f>
        <v/>
      </c>
      <c r="AF74" s="7" t="str" cm="1">
        <f t="array" aca="1" ref="AF74" ca="1">IFERROR(IF(OR('Raw Data'!AF74="",LEN(TRIM('Raw Data'!AF74))=0),"",IF(AND(ISNUMBER('Raw Data'!AF74), IFERROR('Raw Data'!AF74 = ROUND('Raw Data'!AF74, 2),FALSE)),"",_xlfn.REGEXEXTRACT(CELL("address",AF74), "\$([A-Z]+)\$[0-9]+"))),_xlfn.REGEXEXTRACT(CELL("address",AF74), "\$([A-Z]+)\$[0-9]+"))</f>
        <v/>
      </c>
      <c r="AG74" s="7" t="str" cm="1">
        <f t="array" aca="1" ref="AG74" ca="1">IFERROR(IF(OR('Raw Data'!AG74="",LEN(TRIM('Raw Data'!AG74))=0),"",IF(AND(ISNUMBER('Raw Data'!AG74), IFERROR('Raw Data'!AG74 = ROUND('Raw Data'!AG74, 2),FALSE)),"",_xlfn.REGEXEXTRACT(CELL("address",AG74), "\$([A-Z]+)\$[0-9]+"))),_xlfn.REGEXEXTRACT(CELL("address",AG74), "\$([A-Z]+)\$[0-9]+"))</f>
        <v/>
      </c>
      <c r="AH74" s="7" t="str" cm="1">
        <f t="array" aca="1" ref="AH74" ca="1">IFERROR(IF(OR('Raw Data'!AH74="",LEN(TRIM('Raw Data'!AH74))=0),"",IF(AND(ISNUMBER('Raw Data'!AH74), IFERROR('Raw Data'!AH74 = ROUND('Raw Data'!AH74, 2),FALSE)),"",_xlfn.REGEXEXTRACT(CELL("address",AH74), "\$([A-Z]+)\$[0-9]+"))),_xlfn.REGEXEXTRACT(CELL("address",AH74), "\$([A-Z]+)\$[0-9]+"))</f>
        <v/>
      </c>
      <c r="AI74" s="7" t="str" cm="1">
        <f t="array" aca="1" ref="AI74" ca="1">IFERROR(IF(OR('Raw Data'!AI74="",LEN(TRIM('Raw Data'!AI74))=0),"",IF(AND(ISNUMBER('Raw Data'!AI74), IFERROR('Raw Data'!AI74 = ROUND('Raw Data'!AI74, 2),FALSE)),"",_xlfn.REGEXEXTRACT(CELL("address",AI74), "\$([A-Z]+)\$[0-9]+"))),_xlfn.REGEXEXTRACT(CELL("address",AI74), "\$([A-Z]+)\$[0-9]+"))</f>
        <v/>
      </c>
      <c r="AJ74" s="7" t="str" cm="1">
        <f t="array" aca="1" ref="AJ74" ca="1">IFERROR(IF(OR('Raw Data'!AJ74="",LEN(TRIM('Raw Data'!AJ74))=0),"",IF(AND(ISNUMBER('Raw Data'!AJ74), IFERROR('Raw Data'!AJ74 = ROUND('Raw Data'!AJ74, 2),FALSE)),"",_xlfn.REGEXEXTRACT(CELL("address",AJ74), "\$([A-Z]+)\$[0-9]+"))),_xlfn.REGEXEXTRACT(CELL("address",AJ74), "\$([A-Z]+)\$[0-9]+"))</f>
        <v/>
      </c>
    </row>
    <row r="75" spans="2:36" x14ac:dyDescent="0.25">
      <c r="B75" s="7" t="str" cm="1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20,LEN('Raw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Data'!D75))=0),"",IF(AND(ISNUMBER('Raw Data'!D75),'Raw Data'!D75&gt;=Configuration!$D$2),"",_xlfn.REGEXEXTRACT(CELL("address",'Raw Data'!D75),"\$([A-Z]+)\$[0-9]+"))),_xlfn.REGEXEXTRACT(CELL("address",D75), "\$([A-Z]+)\$[0-9]+"))</f>
        <v/>
      </c>
      <c r="E75" s="7" t="str" cm="1">
        <f t="array" aca="1" ref="E75" ca="1">IFERROR(IF(OR('Raw Data'!E75="",LEN(TRIM('Raw Data'!E75))=0),"",IF(AND(ISNUMBER('Raw Data'!E75), IFERROR('Raw Data'!E75 = ROUND('Raw Data'!E75, 2),FALSE)),"",_xlfn.REGEXEXTRACT(CELL("address",E75), "\$([A-Z]+)\$[0-9]+"))),_xlfn.REGEXEXTRACT(CELL("address",E75), "\$([A-Z]+)\$[0-9]+"))</f>
        <v/>
      </c>
      <c r="F75" s="7" t="str" cm="1">
        <f t="array" aca="1" ref="F75" ca="1">IFERROR(IF(OR('Raw Data'!F75="",LEN(TRIM('Raw Data'!F75))=0),"",IF(AND(ISNUMBER('Raw Data'!F75), IFERROR('Raw Data'!F75 = ROUND('Raw Data'!F75, 2),FALSE)),"",_xlfn.REGEXEXTRACT(CELL("address",F75), "\$([A-Z]+)\$[0-9]+"))),_xlfn.REGEXEXTRACT(CELL("address",F75), "\$([A-Z]+)\$[0-9]+"))</f>
        <v/>
      </c>
      <c r="G75" s="7" t="str" cm="1">
        <f t="array" aca="1" ref="G75" ca="1">IFERROR(IF(OR('Raw Data'!G75="",LEN(TRIM('Raw Data'!G75))=0),"",IF(AND(ISNUMBER('Raw Data'!G75), IFERROR('Raw Data'!G75 = ROUND('Raw Data'!G75, 2),FALSE)),"",_xlfn.REGEXEXTRACT(CELL("address",G75), "\$([A-Z]+)\$[0-9]+"))),_xlfn.REGEXEXTRACT(CELL("address",G75), "\$([A-Z]+)\$[0-9]+"))</f>
        <v/>
      </c>
      <c r="H75" s="7" t="str" cm="1">
        <f t="array" aca="1" ref="H75" ca="1">IFERROR(IF(OR('Raw Data'!H75="",LEN(TRIM('Raw Data'!H75))=0),"",IF(AND(ISNUMBER('Raw Data'!H75), IFERROR('Raw Data'!H75 = ROUND('Raw Data'!H75, 2),FALSE)),"",_xlfn.REGEXEXTRACT(CELL("address",H75), "\$([A-Z]+)\$[0-9]+"))),_xlfn.REGEXEXTRACT(CELL("address",H75), "\$([A-Z]+)\$[0-9]+"))</f>
        <v/>
      </c>
      <c r="I75" s="7" t="str" cm="1">
        <f t="array" aca="1" ref="I75" ca="1">IFERROR(IF(OR('Raw Data'!I75="",LEN(TRIM('Raw Data'!I75))=0),"",IF(AND(ISNUMBER('Raw Data'!I75), IFERROR('Raw Data'!I75 = ROUND('Raw Data'!I75, 2),FALSE)),"",_xlfn.REGEXEXTRACT(CELL("address",I75), "\$([A-Z]+)\$[0-9]+"))),_xlfn.REGEXEXTRACT(CELL("address",I75), "\$([A-Z]+)\$[0-9]+"))</f>
        <v/>
      </c>
      <c r="J75" s="7" t="str" cm="1">
        <f t="array" aca="1" ref="J75" ca="1">IFERROR(IF(OR('Raw Data'!J75="",LEN(TRIM('Raw Data'!J75))=0),"",IF(AND(ISNUMBER('Raw Data'!J75), IFERROR('Raw Data'!J75 = ROUND('Raw Data'!J75, 2),FALSE)),"",_xlfn.REGEXEXTRACT(CELL("address",J75), "\$([A-Z]+)\$[0-9]+"))),_xlfn.REGEXEXTRACT(CELL("address",J75), "\$([A-Z]+)\$[0-9]+"))</f>
        <v/>
      </c>
      <c r="K75" s="7" t="str" cm="1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7" t="str" cm="1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7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7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7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7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 cm="1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7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7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7" t="str" cm="1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7" t="str" cm="1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  <c r="Z75" s="7" t="str" cm="1">
        <f t="array" aca="1" ref="Z75" ca="1">IFERROR(IF(OR('Raw Data'!Z75="",LEN(TRIM('Raw Data'!Z75))=0),"",IF(AND(ISNUMBER('Raw Data'!Z75), IFERROR('Raw Data'!Z75 = ROUND('Raw Data'!Z75, 2),FALSE)),"",_xlfn.REGEXEXTRACT(CELL("address",Z75), "\$([A-Z]+)\$[0-9]+"))),_xlfn.REGEXEXTRACT(CELL("address",Z75), "\$([A-Z]+)\$[0-9]+"))</f>
        <v/>
      </c>
      <c r="AA75" s="7" t="str" cm="1">
        <f t="array" aca="1" ref="AA75" ca="1">IFERROR(IF(OR('Raw Data'!AA75="",LEN(TRIM('Raw Data'!AA75))=0),"",IF(AND(ISNUMBER('Raw Data'!AA75), IFERROR('Raw Data'!AA75 = ROUND('Raw Data'!AA75, 2),FALSE)),"",_xlfn.REGEXEXTRACT(CELL("address",AA75), "\$([A-Z]+)\$[0-9]+"))),_xlfn.REGEXEXTRACT(CELL("address",AA75), "\$([A-Z]+)\$[0-9]+"))</f>
        <v/>
      </c>
      <c r="AB75" s="7" t="str" cm="1">
        <f t="array" aca="1" ref="AB75" ca="1">IFERROR(IF(OR('Raw Data'!AB75="",LEN(TRIM('Raw Data'!AB75))=0),"",IF(AND(ISNUMBER('Raw Data'!AB75), IFERROR('Raw Data'!AB75 = ROUND('Raw Data'!AB75, 2),FALSE)),"",_xlfn.REGEXEXTRACT(CELL("address",AB75), "\$([A-Z]+)\$[0-9]+"))),_xlfn.REGEXEXTRACT(CELL("address",AB75), "\$([A-Z]+)\$[0-9]+"))</f>
        <v/>
      </c>
      <c r="AC75" s="7" t="str" cm="1">
        <f t="array" aca="1" ref="AC75" ca="1">IFERROR(IF(OR('Raw Data'!AC75="",LEN(TRIM('Raw Data'!AC75))=0),"",IF(AND(ISNUMBER('Raw Data'!AC75), IFERROR('Raw Data'!AC75 = ROUND('Raw Data'!AC75, 2),FALSE)),"",_xlfn.REGEXEXTRACT(CELL("address",AC75), "\$([A-Z]+)\$[0-9]+"))),_xlfn.REGEXEXTRACT(CELL("address",AC75), "\$([A-Z]+)\$[0-9]+"))</f>
        <v/>
      </c>
      <c r="AD75" s="7" t="str" cm="1">
        <f t="array" aca="1" ref="AD75" ca="1">IFERROR(IF(OR('Raw Data'!AD75="",LEN(TRIM('Raw Data'!AD75))=0),"",IF(AND(ISNUMBER('Raw Data'!AD75), IFERROR('Raw Data'!AD75 = ROUND('Raw Data'!AD75, 2),FALSE)),"",_xlfn.REGEXEXTRACT(CELL("address",AD75), "\$([A-Z]+)\$[0-9]+"))),_xlfn.REGEXEXTRACT(CELL("address",AD75), "\$([A-Z]+)\$[0-9]+"))</f>
        <v/>
      </c>
      <c r="AE75" s="7" t="str" cm="1">
        <f t="array" aca="1" ref="AE75" ca="1">IFERROR(IF(OR('Raw Data'!AE75="",LEN(TRIM('Raw Data'!AE75))=0),"",IF(AND(ISNUMBER('Raw Data'!AE75), IFERROR('Raw Data'!AE75 = ROUND('Raw Data'!AE75, 2),FALSE)),"",_xlfn.REGEXEXTRACT(CELL("address",AE75), "\$([A-Z]+)\$[0-9]+"))),_xlfn.REGEXEXTRACT(CELL("address",AE75), "\$([A-Z]+)\$[0-9]+"))</f>
        <v/>
      </c>
      <c r="AF75" s="7" t="str" cm="1">
        <f t="array" aca="1" ref="AF75" ca="1">IFERROR(IF(OR('Raw Data'!AF75="",LEN(TRIM('Raw Data'!AF75))=0),"",IF(AND(ISNUMBER('Raw Data'!AF75), IFERROR('Raw Data'!AF75 = ROUND('Raw Data'!AF75, 2),FALSE)),"",_xlfn.REGEXEXTRACT(CELL("address",AF75), "\$([A-Z]+)\$[0-9]+"))),_xlfn.REGEXEXTRACT(CELL("address",AF75), "\$([A-Z]+)\$[0-9]+"))</f>
        <v/>
      </c>
      <c r="AG75" s="7" t="str" cm="1">
        <f t="array" aca="1" ref="AG75" ca="1">IFERROR(IF(OR('Raw Data'!AG75="",LEN(TRIM('Raw Data'!AG75))=0),"",IF(AND(ISNUMBER('Raw Data'!AG75), IFERROR('Raw Data'!AG75 = ROUND('Raw Data'!AG75, 2),FALSE)),"",_xlfn.REGEXEXTRACT(CELL("address",AG75), "\$([A-Z]+)\$[0-9]+"))),_xlfn.REGEXEXTRACT(CELL("address",AG75), "\$([A-Z]+)\$[0-9]+"))</f>
        <v/>
      </c>
      <c r="AH75" s="7" t="str" cm="1">
        <f t="array" aca="1" ref="AH75" ca="1">IFERROR(IF(OR('Raw Data'!AH75="",LEN(TRIM('Raw Data'!AH75))=0),"",IF(AND(ISNUMBER('Raw Data'!AH75), IFERROR('Raw Data'!AH75 = ROUND('Raw Data'!AH75, 2),FALSE)),"",_xlfn.REGEXEXTRACT(CELL("address",AH75), "\$([A-Z]+)\$[0-9]+"))),_xlfn.REGEXEXTRACT(CELL("address",AH75), "\$([A-Z]+)\$[0-9]+"))</f>
        <v/>
      </c>
      <c r="AI75" s="7" t="str" cm="1">
        <f t="array" aca="1" ref="AI75" ca="1">IFERROR(IF(OR('Raw Data'!AI75="",LEN(TRIM('Raw Data'!AI75))=0),"",IF(AND(ISNUMBER('Raw Data'!AI75), IFERROR('Raw Data'!AI75 = ROUND('Raw Data'!AI75, 2),FALSE)),"",_xlfn.REGEXEXTRACT(CELL("address",AI75), "\$([A-Z]+)\$[0-9]+"))),_xlfn.REGEXEXTRACT(CELL("address",AI75), "\$([A-Z]+)\$[0-9]+"))</f>
        <v/>
      </c>
      <c r="AJ75" s="7" t="str" cm="1">
        <f t="array" aca="1" ref="AJ75" ca="1">IFERROR(IF(OR('Raw Data'!AJ75="",LEN(TRIM('Raw Data'!AJ75))=0),"",IF(AND(ISNUMBER('Raw Data'!AJ75), IFERROR('Raw Data'!AJ75 = ROUND('Raw Data'!AJ75, 2),FALSE)),"",_xlfn.REGEXEXTRACT(CELL("address",AJ75), "\$([A-Z]+)\$[0-9]+"))),_xlfn.REGEXEXTRACT(CELL("address",AJ75), "\$([A-Z]+)\$[0-9]+"))</f>
        <v/>
      </c>
    </row>
    <row r="76" spans="2:36" x14ac:dyDescent="0.25">
      <c r="B76" s="7" t="str" cm="1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20,LEN('Raw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Data'!D76))=0),"",IF(AND(ISNUMBER('Raw Data'!D76),'Raw Data'!D76&gt;=Configuration!$D$2),"",_xlfn.REGEXEXTRACT(CELL("address",'Raw Data'!D76),"\$([A-Z]+)\$[0-9]+"))),_xlfn.REGEXEXTRACT(CELL("address",D76), "\$([A-Z]+)\$[0-9]+"))</f>
        <v/>
      </c>
      <c r="E76" s="7" t="str" cm="1">
        <f t="array" aca="1" ref="E76" ca="1">IFERROR(IF(OR('Raw Data'!E76="",LEN(TRIM('Raw Data'!E76))=0),"",IF(AND(ISNUMBER('Raw Data'!E76), IFERROR('Raw Data'!E76 = ROUND('Raw Data'!E76, 2),FALSE)),"",_xlfn.REGEXEXTRACT(CELL("address",E76), "\$([A-Z]+)\$[0-9]+"))),_xlfn.REGEXEXTRACT(CELL("address",E76), "\$([A-Z]+)\$[0-9]+"))</f>
        <v/>
      </c>
      <c r="F76" s="7" t="str" cm="1">
        <f t="array" aca="1" ref="F76" ca="1">IFERROR(IF(OR('Raw Data'!F76="",LEN(TRIM('Raw Data'!F76))=0),"",IF(AND(ISNUMBER('Raw Data'!F76), IFERROR('Raw Data'!F76 = ROUND('Raw Data'!F76, 2),FALSE)),"",_xlfn.REGEXEXTRACT(CELL("address",F76), "\$([A-Z]+)\$[0-9]+"))),_xlfn.REGEXEXTRACT(CELL("address",F76), "\$([A-Z]+)\$[0-9]+"))</f>
        <v/>
      </c>
      <c r="G76" s="7" t="str" cm="1">
        <f t="array" aca="1" ref="G76" ca="1">IFERROR(IF(OR('Raw Data'!G76="",LEN(TRIM('Raw Data'!G76))=0),"",IF(AND(ISNUMBER('Raw Data'!G76), IFERROR('Raw Data'!G76 = ROUND('Raw Data'!G76, 2),FALSE)),"",_xlfn.REGEXEXTRACT(CELL("address",G76), "\$([A-Z]+)\$[0-9]+"))),_xlfn.REGEXEXTRACT(CELL("address",G76), "\$([A-Z]+)\$[0-9]+"))</f>
        <v/>
      </c>
      <c r="H76" s="7" t="str" cm="1">
        <f t="array" aca="1" ref="H76" ca="1">IFERROR(IF(OR('Raw Data'!H76="",LEN(TRIM('Raw Data'!H76))=0),"",IF(AND(ISNUMBER('Raw Data'!H76), IFERROR('Raw Data'!H76 = ROUND('Raw Data'!H76, 2),FALSE)),"",_xlfn.REGEXEXTRACT(CELL("address",H76), "\$([A-Z]+)\$[0-9]+"))),_xlfn.REGEXEXTRACT(CELL("address",H76), "\$([A-Z]+)\$[0-9]+"))</f>
        <v/>
      </c>
      <c r="I76" s="7" t="str" cm="1">
        <f t="array" aca="1" ref="I76" ca="1">IFERROR(IF(OR('Raw Data'!I76="",LEN(TRIM('Raw Data'!I76))=0),"",IF(AND(ISNUMBER('Raw Data'!I76), IFERROR('Raw Data'!I76 = ROUND('Raw Data'!I76, 2),FALSE)),"",_xlfn.REGEXEXTRACT(CELL("address",I76), "\$([A-Z]+)\$[0-9]+"))),_xlfn.REGEXEXTRACT(CELL("address",I76), "\$([A-Z]+)\$[0-9]+"))</f>
        <v/>
      </c>
      <c r="J76" s="7" t="str" cm="1">
        <f t="array" aca="1" ref="J76" ca="1">IFERROR(IF(OR('Raw Data'!J76="",LEN(TRIM('Raw Data'!J76))=0),"",IF(AND(ISNUMBER('Raw Data'!J76), IFERROR('Raw Data'!J76 = ROUND('Raw Data'!J76, 2),FALSE)),"",_xlfn.REGEXEXTRACT(CELL("address",J76), "\$([A-Z]+)\$[0-9]+"))),_xlfn.REGEXEXTRACT(CELL("address",J76), "\$([A-Z]+)\$[0-9]+"))</f>
        <v/>
      </c>
      <c r="K76" s="7" t="str" cm="1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7" t="str" cm="1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7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7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7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7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 cm="1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7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7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7" t="str" cm="1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7" t="str" cm="1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  <c r="Z76" s="7" t="str" cm="1">
        <f t="array" aca="1" ref="Z76" ca="1">IFERROR(IF(OR('Raw Data'!Z76="",LEN(TRIM('Raw Data'!Z76))=0),"",IF(AND(ISNUMBER('Raw Data'!Z76), IFERROR('Raw Data'!Z76 = ROUND('Raw Data'!Z76, 2),FALSE)),"",_xlfn.REGEXEXTRACT(CELL("address",Z76), "\$([A-Z]+)\$[0-9]+"))),_xlfn.REGEXEXTRACT(CELL("address",Z76), "\$([A-Z]+)\$[0-9]+"))</f>
        <v/>
      </c>
      <c r="AA76" s="7" t="str" cm="1">
        <f t="array" aca="1" ref="AA76" ca="1">IFERROR(IF(OR('Raw Data'!AA76="",LEN(TRIM('Raw Data'!AA76))=0),"",IF(AND(ISNUMBER('Raw Data'!AA76), IFERROR('Raw Data'!AA76 = ROUND('Raw Data'!AA76, 2),FALSE)),"",_xlfn.REGEXEXTRACT(CELL("address",AA76), "\$([A-Z]+)\$[0-9]+"))),_xlfn.REGEXEXTRACT(CELL("address",AA76), "\$([A-Z]+)\$[0-9]+"))</f>
        <v/>
      </c>
      <c r="AB76" s="7" t="str" cm="1">
        <f t="array" aca="1" ref="AB76" ca="1">IFERROR(IF(OR('Raw Data'!AB76="",LEN(TRIM('Raw Data'!AB76))=0),"",IF(AND(ISNUMBER('Raw Data'!AB76), IFERROR('Raw Data'!AB76 = ROUND('Raw Data'!AB76, 2),FALSE)),"",_xlfn.REGEXEXTRACT(CELL("address",AB76), "\$([A-Z]+)\$[0-9]+"))),_xlfn.REGEXEXTRACT(CELL("address",AB76), "\$([A-Z]+)\$[0-9]+"))</f>
        <v/>
      </c>
      <c r="AC76" s="7" t="str" cm="1">
        <f t="array" aca="1" ref="AC76" ca="1">IFERROR(IF(OR('Raw Data'!AC76="",LEN(TRIM('Raw Data'!AC76))=0),"",IF(AND(ISNUMBER('Raw Data'!AC76), IFERROR('Raw Data'!AC76 = ROUND('Raw Data'!AC76, 2),FALSE)),"",_xlfn.REGEXEXTRACT(CELL("address",AC76), "\$([A-Z]+)\$[0-9]+"))),_xlfn.REGEXEXTRACT(CELL("address",AC76), "\$([A-Z]+)\$[0-9]+"))</f>
        <v/>
      </c>
      <c r="AD76" s="7" t="str" cm="1">
        <f t="array" aca="1" ref="AD76" ca="1">IFERROR(IF(OR('Raw Data'!AD76="",LEN(TRIM('Raw Data'!AD76))=0),"",IF(AND(ISNUMBER('Raw Data'!AD76), IFERROR('Raw Data'!AD76 = ROUND('Raw Data'!AD76, 2),FALSE)),"",_xlfn.REGEXEXTRACT(CELL("address",AD76), "\$([A-Z]+)\$[0-9]+"))),_xlfn.REGEXEXTRACT(CELL("address",AD76), "\$([A-Z]+)\$[0-9]+"))</f>
        <v/>
      </c>
      <c r="AE76" s="7" t="str" cm="1">
        <f t="array" aca="1" ref="AE76" ca="1">IFERROR(IF(OR('Raw Data'!AE76="",LEN(TRIM('Raw Data'!AE76))=0),"",IF(AND(ISNUMBER('Raw Data'!AE76), IFERROR('Raw Data'!AE76 = ROUND('Raw Data'!AE76, 2),FALSE)),"",_xlfn.REGEXEXTRACT(CELL("address",AE76), "\$([A-Z]+)\$[0-9]+"))),_xlfn.REGEXEXTRACT(CELL("address",AE76), "\$([A-Z]+)\$[0-9]+"))</f>
        <v/>
      </c>
      <c r="AF76" s="7" t="str" cm="1">
        <f t="array" aca="1" ref="AF76" ca="1">IFERROR(IF(OR('Raw Data'!AF76="",LEN(TRIM('Raw Data'!AF76))=0),"",IF(AND(ISNUMBER('Raw Data'!AF76), IFERROR('Raw Data'!AF76 = ROUND('Raw Data'!AF76, 2),FALSE)),"",_xlfn.REGEXEXTRACT(CELL("address",AF76), "\$([A-Z]+)\$[0-9]+"))),_xlfn.REGEXEXTRACT(CELL("address",AF76), "\$([A-Z]+)\$[0-9]+"))</f>
        <v/>
      </c>
      <c r="AG76" s="7" t="str" cm="1">
        <f t="array" aca="1" ref="AG76" ca="1">IFERROR(IF(OR('Raw Data'!AG76="",LEN(TRIM('Raw Data'!AG76))=0),"",IF(AND(ISNUMBER('Raw Data'!AG76), IFERROR('Raw Data'!AG76 = ROUND('Raw Data'!AG76, 2),FALSE)),"",_xlfn.REGEXEXTRACT(CELL("address",AG76), "\$([A-Z]+)\$[0-9]+"))),_xlfn.REGEXEXTRACT(CELL("address",AG76), "\$([A-Z]+)\$[0-9]+"))</f>
        <v/>
      </c>
      <c r="AH76" s="7" t="str" cm="1">
        <f t="array" aca="1" ref="AH76" ca="1">IFERROR(IF(OR('Raw Data'!AH76="",LEN(TRIM('Raw Data'!AH76))=0),"",IF(AND(ISNUMBER('Raw Data'!AH76), IFERROR('Raw Data'!AH76 = ROUND('Raw Data'!AH76, 2),FALSE)),"",_xlfn.REGEXEXTRACT(CELL("address",AH76), "\$([A-Z]+)\$[0-9]+"))),_xlfn.REGEXEXTRACT(CELL("address",AH76), "\$([A-Z]+)\$[0-9]+"))</f>
        <v/>
      </c>
      <c r="AI76" s="7" t="str" cm="1">
        <f t="array" aca="1" ref="AI76" ca="1">IFERROR(IF(OR('Raw Data'!AI76="",LEN(TRIM('Raw Data'!AI76))=0),"",IF(AND(ISNUMBER('Raw Data'!AI76), IFERROR('Raw Data'!AI76 = ROUND('Raw Data'!AI76, 2),FALSE)),"",_xlfn.REGEXEXTRACT(CELL("address",AI76), "\$([A-Z]+)\$[0-9]+"))),_xlfn.REGEXEXTRACT(CELL("address",AI76), "\$([A-Z]+)\$[0-9]+"))</f>
        <v/>
      </c>
      <c r="AJ76" s="7" t="str" cm="1">
        <f t="array" aca="1" ref="AJ76" ca="1">IFERROR(IF(OR('Raw Data'!AJ76="",LEN(TRIM('Raw Data'!AJ76))=0),"",IF(AND(ISNUMBER('Raw Data'!AJ76), IFERROR('Raw Data'!AJ76 = ROUND('Raw Data'!AJ76, 2),FALSE)),"",_xlfn.REGEXEXTRACT(CELL("address",AJ76), "\$([A-Z]+)\$[0-9]+"))),_xlfn.REGEXEXTRACT(CELL("address",AJ76), "\$([A-Z]+)\$[0-9]+"))</f>
        <v/>
      </c>
    </row>
    <row r="77" spans="2:36" x14ac:dyDescent="0.25">
      <c r="B77" s="7" t="str" cm="1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20,LEN('Raw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Data'!D77))=0),"",IF(AND(ISNUMBER('Raw Data'!D77),'Raw Data'!D77&gt;=Configuration!$D$2),"",_xlfn.REGEXEXTRACT(CELL("address",'Raw Data'!D77),"\$([A-Z]+)\$[0-9]+"))),_xlfn.REGEXEXTRACT(CELL("address",D77), "\$([A-Z]+)\$[0-9]+"))</f>
        <v/>
      </c>
      <c r="E77" s="7" t="str" cm="1">
        <f t="array" aca="1" ref="E77" ca="1">IFERROR(IF(OR('Raw Data'!E77="",LEN(TRIM('Raw Data'!E77))=0),"",IF(AND(ISNUMBER('Raw Data'!E77), IFERROR('Raw Data'!E77 = ROUND('Raw Data'!E77, 2),FALSE)),"",_xlfn.REGEXEXTRACT(CELL("address",E77), "\$([A-Z]+)\$[0-9]+"))),_xlfn.REGEXEXTRACT(CELL("address",E77), "\$([A-Z]+)\$[0-9]+"))</f>
        <v/>
      </c>
      <c r="F77" s="7" t="str" cm="1">
        <f t="array" aca="1" ref="F77" ca="1">IFERROR(IF(OR('Raw Data'!F77="",LEN(TRIM('Raw Data'!F77))=0),"",IF(AND(ISNUMBER('Raw Data'!F77), IFERROR('Raw Data'!F77 = ROUND('Raw Data'!F77, 2),FALSE)),"",_xlfn.REGEXEXTRACT(CELL("address",F77), "\$([A-Z]+)\$[0-9]+"))),_xlfn.REGEXEXTRACT(CELL("address",F77), "\$([A-Z]+)\$[0-9]+"))</f>
        <v/>
      </c>
      <c r="G77" s="7" t="str" cm="1">
        <f t="array" aca="1" ref="G77" ca="1">IFERROR(IF(OR('Raw Data'!G77="",LEN(TRIM('Raw Data'!G77))=0),"",IF(AND(ISNUMBER('Raw Data'!G77), IFERROR('Raw Data'!G77 = ROUND('Raw Data'!G77, 2),FALSE)),"",_xlfn.REGEXEXTRACT(CELL("address",G77), "\$([A-Z]+)\$[0-9]+"))),_xlfn.REGEXEXTRACT(CELL("address",G77), "\$([A-Z]+)\$[0-9]+"))</f>
        <v/>
      </c>
      <c r="H77" s="7" t="str" cm="1">
        <f t="array" aca="1" ref="H77" ca="1">IFERROR(IF(OR('Raw Data'!H77="",LEN(TRIM('Raw Data'!H77))=0),"",IF(AND(ISNUMBER('Raw Data'!H77), IFERROR('Raw Data'!H77 = ROUND('Raw Data'!H77, 2),FALSE)),"",_xlfn.REGEXEXTRACT(CELL("address",H77), "\$([A-Z]+)\$[0-9]+"))),_xlfn.REGEXEXTRACT(CELL("address",H77), "\$([A-Z]+)\$[0-9]+"))</f>
        <v/>
      </c>
      <c r="I77" s="7" t="str" cm="1">
        <f t="array" aca="1" ref="I77" ca="1">IFERROR(IF(OR('Raw Data'!I77="",LEN(TRIM('Raw Data'!I77))=0),"",IF(AND(ISNUMBER('Raw Data'!I77), IFERROR('Raw Data'!I77 = ROUND('Raw Data'!I77, 2),FALSE)),"",_xlfn.REGEXEXTRACT(CELL("address",I77), "\$([A-Z]+)\$[0-9]+"))),_xlfn.REGEXEXTRACT(CELL("address",I77), "\$([A-Z]+)\$[0-9]+"))</f>
        <v/>
      </c>
      <c r="J77" s="7" t="str" cm="1">
        <f t="array" aca="1" ref="J77" ca="1">IFERROR(IF(OR('Raw Data'!J77="",LEN(TRIM('Raw Data'!J77))=0),"",IF(AND(ISNUMBER('Raw Data'!J77), IFERROR('Raw Data'!J77 = ROUND('Raw Data'!J77, 2),FALSE)),"",_xlfn.REGEXEXTRACT(CELL("address",J77), "\$([A-Z]+)\$[0-9]+"))),_xlfn.REGEXEXTRACT(CELL("address",J77), "\$([A-Z]+)\$[0-9]+"))</f>
        <v/>
      </c>
      <c r="K77" s="7" t="str" cm="1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7" t="str" cm="1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7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7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7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7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 cm="1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7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7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7" t="str" cm="1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7" t="str" cm="1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  <c r="Z77" s="7" t="str" cm="1">
        <f t="array" aca="1" ref="Z77" ca="1">IFERROR(IF(OR('Raw Data'!Z77="",LEN(TRIM('Raw Data'!Z77))=0),"",IF(AND(ISNUMBER('Raw Data'!Z77), IFERROR('Raw Data'!Z77 = ROUND('Raw Data'!Z77, 2),FALSE)),"",_xlfn.REGEXEXTRACT(CELL("address",Z77), "\$([A-Z]+)\$[0-9]+"))),_xlfn.REGEXEXTRACT(CELL("address",Z77), "\$([A-Z]+)\$[0-9]+"))</f>
        <v/>
      </c>
      <c r="AA77" s="7" t="str" cm="1">
        <f t="array" aca="1" ref="AA77" ca="1">IFERROR(IF(OR('Raw Data'!AA77="",LEN(TRIM('Raw Data'!AA77))=0),"",IF(AND(ISNUMBER('Raw Data'!AA77), IFERROR('Raw Data'!AA77 = ROUND('Raw Data'!AA77, 2),FALSE)),"",_xlfn.REGEXEXTRACT(CELL("address",AA77), "\$([A-Z]+)\$[0-9]+"))),_xlfn.REGEXEXTRACT(CELL("address",AA77), "\$([A-Z]+)\$[0-9]+"))</f>
        <v/>
      </c>
      <c r="AB77" s="7" t="str" cm="1">
        <f t="array" aca="1" ref="AB77" ca="1">IFERROR(IF(OR('Raw Data'!AB77="",LEN(TRIM('Raw Data'!AB77))=0),"",IF(AND(ISNUMBER('Raw Data'!AB77), IFERROR('Raw Data'!AB77 = ROUND('Raw Data'!AB77, 2),FALSE)),"",_xlfn.REGEXEXTRACT(CELL("address",AB77), "\$([A-Z]+)\$[0-9]+"))),_xlfn.REGEXEXTRACT(CELL("address",AB77), "\$([A-Z]+)\$[0-9]+"))</f>
        <v/>
      </c>
      <c r="AC77" s="7" t="str" cm="1">
        <f t="array" aca="1" ref="AC77" ca="1">IFERROR(IF(OR('Raw Data'!AC77="",LEN(TRIM('Raw Data'!AC77))=0),"",IF(AND(ISNUMBER('Raw Data'!AC77), IFERROR('Raw Data'!AC77 = ROUND('Raw Data'!AC77, 2),FALSE)),"",_xlfn.REGEXEXTRACT(CELL("address",AC77), "\$([A-Z]+)\$[0-9]+"))),_xlfn.REGEXEXTRACT(CELL("address",AC77), "\$([A-Z]+)\$[0-9]+"))</f>
        <v/>
      </c>
      <c r="AD77" s="7" t="str" cm="1">
        <f t="array" aca="1" ref="AD77" ca="1">IFERROR(IF(OR('Raw Data'!AD77="",LEN(TRIM('Raw Data'!AD77))=0),"",IF(AND(ISNUMBER('Raw Data'!AD77), IFERROR('Raw Data'!AD77 = ROUND('Raw Data'!AD77, 2),FALSE)),"",_xlfn.REGEXEXTRACT(CELL("address",AD77), "\$([A-Z]+)\$[0-9]+"))),_xlfn.REGEXEXTRACT(CELL("address",AD77), "\$([A-Z]+)\$[0-9]+"))</f>
        <v/>
      </c>
      <c r="AE77" s="7" t="str" cm="1">
        <f t="array" aca="1" ref="AE77" ca="1">IFERROR(IF(OR('Raw Data'!AE77="",LEN(TRIM('Raw Data'!AE77))=0),"",IF(AND(ISNUMBER('Raw Data'!AE77), IFERROR('Raw Data'!AE77 = ROUND('Raw Data'!AE77, 2),FALSE)),"",_xlfn.REGEXEXTRACT(CELL("address",AE77), "\$([A-Z]+)\$[0-9]+"))),_xlfn.REGEXEXTRACT(CELL("address",AE77), "\$([A-Z]+)\$[0-9]+"))</f>
        <v/>
      </c>
      <c r="AF77" s="7" t="str" cm="1">
        <f t="array" aca="1" ref="AF77" ca="1">IFERROR(IF(OR('Raw Data'!AF77="",LEN(TRIM('Raw Data'!AF77))=0),"",IF(AND(ISNUMBER('Raw Data'!AF77), IFERROR('Raw Data'!AF77 = ROUND('Raw Data'!AF77, 2),FALSE)),"",_xlfn.REGEXEXTRACT(CELL("address",AF77), "\$([A-Z]+)\$[0-9]+"))),_xlfn.REGEXEXTRACT(CELL("address",AF77), "\$([A-Z]+)\$[0-9]+"))</f>
        <v/>
      </c>
      <c r="AG77" s="7" t="str" cm="1">
        <f t="array" aca="1" ref="AG77" ca="1">IFERROR(IF(OR('Raw Data'!AG77="",LEN(TRIM('Raw Data'!AG77))=0),"",IF(AND(ISNUMBER('Raw Data'!AG77), IFERROR('Raw Data'!AG77 = ROUND('Raw Data'!AG77, 2),FALSE)),"",_xlfn.REGEXEXTRACT(CELL("address",AG77), "\$([A-Z]+)\$[0-9]+"))),_xlfn.REGEXEXTRACT(CELL("address",AG77), "\$([A-Z]+)\$[0-9]+"))</f>
        <v/>
      </c>
      <c r="AH77" s="7" t="str" cm="1">
        <f t="array" aca="1" ref="AH77" ca="1">IFERROR(IF(OR('Raw Data'!AH77="",LEN(TRIM('Raw Data'!AH77))=0),"",IF(AND(ISNUMBER('Raw Data'!AH77), IFERROR('Raw Data'!AH77 = ROUND('Raw Data'!AH77, 2),FALSE)),"",_xlfn.REGEXEXTRACT(CELL("address",AH77), "\$([A-Z]+)\$[0-9]+"))),_xlfn.REGEXEXTRACT(CELL("address",AH77), "\$([A-Z]+)\$[0-9]+"))</f>
        <v/>
      </c>
      <c r="AI77" s="7" t="str" cm="1">
        <f t="array" aca="1" ref="AI77" ca="1">IFERROR(IF(OR('Raw Data'!AI77="",LEN(TRIM('Raw Data'!AI77))=0),"",IF(AND(ISNUMBER('Raw Data'!AI77), IFERROR('Raw Data'!AI77 = ROUND('Raw Data'!AI77, 2),FALSE)),"",_xlfn.REGEXEXTRACT(CELL("address",AI77), "\$([A-Z]+)\$[0-9]+"))),_xlfn.REGEXEXTRACT(CELL("address",AI77), "\$([A-Z]+)\$[0-9]+"))</f>
        <v/>
      </c>
      <c r="AJ77" s="7" t="str" cm="1">
        <f t="array" aca="1" ref="AJ77" ca="1">IFERROR(IF(OR('Raw Data'!AJ77="",LEN(TRIM('Raw Data'!AJ77))=0),"",IF(AND(ISNUMBER('Raw Data'!AJ77), IFERROR('Raw Data'!AJ77 = ROUND('Raw Data'!AJ77, 2),FALSE)),"",_xlfn.REGEXEXTRACT(CELL("address",AJ77), "\$([A-Z]+)\$[0-9]+"))),_xlfn.REGEXEXTRACT(CELL("address",AJ77), "\$([A-Z]+)\$[0-9]+"))</f>
        <v/>
      </c>
    </row>
    <row r="78" spans="2:36" x14ac:dyDescent="0.25">
      <c r="B78" s="7" t="str" cm="1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20,LEN('Raw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Data'!D78))=0),"",IF(AND(ISNUMBER('Raw Data'!D78),'Raw Data'!D78&gt;=Configuration!$D$2),"",_xlfn.REGEXEXTRACT(CELL("address",'Raw Data'!D78),"\$([A-Z]+)\$[0-9]+"))),_xlfn.REGEXEXTRACT(CELL("address",D78), "\$([A-Z]+)\$[0-9]+"))</f>
        <v/>
      </c>
      <c r="E78" s="7" t="str" cm="1">
        <f t="array" aca="1" ref="E78" ca="1">IFERROR(IF(OR('Raw Data'!E78="",LEN(TRIM('Raw Data'!E78))=0),"",IF(AND(ISNUMBER('Raw Data'!E78), IFERROR('Raw Data'!E78 = ROUND('Raw Data'!E78, 2),FALSE)),"",_xlfn.REGEXEXTRACT(CELL("address",E78), "\$([A-Z]+)\$[0-9]+"))),_xlfn.REGEXEXTRACT(CELL("address",E78), "\$([A-Z]+)\$[0-9]+"))</f>
        <v/>
      </c>
      <c r="F78" s="7" t="str" cm="1">
        <f t="array" aca="1" ref="F78" ca="1">IFERROR(IF(OR('Raw Data'!F78="",LEN(TRIM('Raw Data'!F78))=0),"",IF(AND(ISNUMBER('Raw Data'!F78), IFERROR('Raw Data'!F78 = ROUND('Raw Data'!F78, 2),FALSE)),"",_xlfn.REGEXEXTRACT(CELL("address",F78), "\$([A-Z]+)\$[0-9]+"))),_xlfn.REGEXEXTRACT(CELL("address",F78), "\$([A-Z]+)\$[0-9]+"))</f>
        <v/>
      </c>
      <c r="G78" s="7" t="str" cm="1">
        <f t="array" aca="1" ref="G78" ca="1">IFERROR(IF(OR('Raw Data'!G78="",LEN(TRIM('Raw Data'!G78))=0),"",IF(AND(ISNUMBER('Raw Data'!G78), IFERROR('Raw Data'!G78 = ROUND('Raw Data'!G78, 2),FALSE)),"",_xlfn.REGEXEXTRACT(CELL("address",G78), "\$([A-Z]+)\$[0-9]+"))),_xlfn.REGEXEXTRACT(CELL("address",G78), "\$([A-Z]+)\$[0-9]+"))</f>
        <v/>
      </c>
      <c r="H78" s="7" t="str" cm="1">
        <f t="array" aca="1" ref="H78" ca="1">IFERROR(IF(OR('Raw Data'!H78="",LEN(TRIM('Raw Data'!H78))=0),"",IF(AND(ISNUMBER('Raw Data'!H78), IFERROR('Raw Data'!H78 = ROUND('Raw Data'!H78, 2),FALSE)),"",_xlfn.REGEXEXTRACT(CELL("address",H78), "\$([A-Z]+)\$[0-9]+"))),_xlfn.REGEXEXTRACT(CELL("address",H78), "\$([A-Z]+)\$[0-9]+"))</f>
        <v/>
      </c>
      <c r="I78" s="7" t="str" cm="1">
        <f t="array" aca="1" ref="I78" ca="1">IFERROR(IF(OR('Raw Data'!I78="",LEN(TRIM('Raw Data'!I78))=0),"",IF(AND(ISNUMBER('Raw Data'!I78), IFERROR('Raw Data'!I78 = ROUND('Raw Data'!I78, 2),FALSE)),"",_xlfn.REGEXEXTRACT(CELL("address",I78), "\$([A-Z]+)\$[0-9]+"))),_xlfn.REGEXEXTRACT(CELL("address",I78), "\$([A-Z]+)\$[0-9]+"))</f>
        <v/>
      </c>
      <c r="J78" s="7" t="str" cm="1">
        <f t="array" aca="1" ref="J78" ca="1">IFERROR(IF(OR('Raw Data'!J78="",LEN(TRIM('Raw Data'!J78))=0),"",IF(AND(ISNUMBER('Raw Data'!J78), IFERROR('Raw Data'!J78 = ROUND('Raw Data'!J78, 2),FALSE)),"",_xlfn.REGEXEXTRACT(CELL("address",J78), "\$([A-Z]+)\$[0-9]+"))),_xlfn.REGEXEXTRACT(CELL("address",J78), "\$([A-Z]+)\$[0-9]+"))</f>
        <v/>
      </c>
      <c r="K78" s="7" t="str" cm="1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7" t="str" cm="1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7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7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7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7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 cm="1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7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7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7" t="str" cm="1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7" t="str" cm="1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  <c r="Z78" s="7" t="str" cm="1">
        <f t="array" aca="1" ref="Z78" ca="1">IFERROR(IF(OR('Raw Data'!Z78="",LEN(TRIM('Raw Data'!Z78))=0),"",IF(AND(ISNUMBER('Raw Data'!Z78), IFERROR('Raw Data'!Z78 = ROUND('Raw Data'!Z78, 2),FALSE)),"",_xlfn.REGEXEXTRACT(CELL("address",Z78), "\$([A-Z]+)\$[0-9]+"))),_xlfn.REGEXEXTRACT(CELL("address",Z78), "\$([A-Z]+)\$[0-9]+"))</f>
        <v/>
      </c>
      <c r="AA78" s="7" t="str" cm="1">
        <f t="array" aca="1" ref="AA78" ca="1">IFERROR(IF(OR('Raw Data'!AA78="",LEN(TRIM('Raw Data'!AA78))=0),"",IF(AND(ISNUMBER('Raw Data'!AA78), IFERROR('Raw Data'!AA78 = ROUND('Raw Data'!AA78, 2),FALSE)),"",_xlfn.REGEXEXTRACT(CELL("address",AA78), "\$([A-Z]+)\$[0-9]+"))),_xlfn.REGEXEXTRACT(CELL("address",AA78), "\$([A-Z]+)\$[0-9]+"))</f>
        <v/>
      </c>
      <c r="AB78" s="7" t="str" cm="1">
        <f t="array" aca="1" ref="AB78" ca="1">IFERROR(IF(OR('Raw Data'!AB78="",LEN(TRIM('Raw Data'!AB78))=0),"",IF(AND(ISNUMBER('Raw Data'!AB78), IFERROR('Raw Data'!AB78 = ROUND('Raw Data'!AB78, 2),FALSE)),"",_xlfn.REGEXEXTRACT(CELL("address",AB78), "\$([A-Z]+)\$[0-9]+"))),_xlfn.REGEXEXTRACT(CELL("address",AB78), "\$([A-Z]+)\$[0-9]+"))</f>
        <v/>
      </c>
      <c r="AC78" s="7" t="str" cm="1">
        <f t="array" aca="1" ref="AC78" ca="1">IFERROR(IF(OR('Raw Data'!AC78="",LEN(TRIM('Raw Data'!AC78))=0),"",IF(AND(ISNUMBER('Raw Data'!AC78), IFERROR('Raw Data'!AC78 = ROUND('Raw Data'!AC78, 2),FALSE)),"",_xlfn.REGEXEXTRACT(CELL("address",AC78), "\$([A-Z]+)\$[0-9]+"))),_xlfn.REGEXEXTRACT(CELL("address",AC78), "\$([A-Z]+)\$[0-9]+"))</f>
        <v/>
      </c>
      <c r="AD78" s="7" t="str" cm="1">
        <f t="array" aca="1" ref="AD78" ca="1">IFERROR(IF(OR('Raw Data'!AD78="",LEN(TRIM('Raw Data'!AD78))=0),"",IF(AND(ISNUMBER('Raw Data'!AD78), IFERROR('Raw Data'!AD78 = ROUND('Raw Data'!AD78, 2),FALSE)),"",_xlfn.REGEXEXTRACT(CELL("address",AD78), "\$([A-Z]+)\$[0-9]+"))),_xlfn.REGEXEXTRACT(CELL("address",AD78), "\$([A-Z]+)\$[0-9]+"))</f>
        <v/>
      </c>
      <c r="AE78" s="7" t="str" cm="1">
        <f t="array" aca="1" ref="AE78" ca="1">IFERROR(IF(OR('Raw Data'!AE78="",LEN(TRIM('Raw Data'!AE78))=0),"",IF(AND(ISNUMBER('Raw Data'!AE78), IFERROR('Raw Data'!AE78 = ROUND('Raw Data'!AE78, 2),FALSE)),"",_xlfn.REGEXEXTRACT(CELL("address",AE78), "\$([A-Z]+)\$[0-9]+"))),_xlfn.REGEXEXTRACT(CELL("address",AE78), "\$([A-Z]+)\$[0-9]+"))</f>
        <v/>
      </c>
      <c r="AF78" s="7" t="str" cm="1">
        <f t="array" aca="1" ref="AF78" ca="1">IFERROR(IF(OR('Raw Data'!AF78="",LEN(TRIM('Raw Data'!AF78))=0),"",IF(AND(ISNUMBER('Raw Data'!AF78), IFERROR('Raw Data'!AF78 = ROUND('Raw Data'!AF78, 2),FALSE)),"",_xlfn.REGEXEXTRACT(CELL("address",AF78), "\$([A-Z]+)\$[0-9]+"))),_xlfn.REGEXEXTRACT(CELL("address",AF78), "\$([A-Z]+)\$[0-9]+"))</f>
        <v/>
      </c>
      <c r="AG78" s="7" t="str" cm="1">
        <f t="array" aca="1" ref="AG78" ca="1">IFERROR(IF(OR('Raw Data'!AG78="",LEN(TRIM('Raw Data'!AG78))=0),"",IF(AND(ISNUMBER('Raw Data'!AG78), IFERROR('Raw Data'!AG78 = ROUND('Raw Data'!AG78, 2),FALSE)),"",_xlfn.REGEXEXTRACT(CELL("address",AG78), "\$([A-Z]+)\$[0-9]+"))),_xlfn.REGEXEXTRACT(CELL("address",AG78), "\$([A-Z]+)\$[0-9]+"))</f>
        <v/>
      </c>
      <c r="AH78" s="7" t="str" cm="1">
        <f t="array" aca="1" ref="AH78" ca="1">IFERROR(IF(OR('Raw Data'!AH78="",LEN(TRIM('Raw Data'!AH78))=0),"",IF(AND(ISNUMBER('Raw Data'!AH78), IFERROR('Raw Data'!AH78 = ROUND('Raw Data'!AH78, 2),FALSE)),"",_xlfn.REGEXEXTRACT(CELL("address",AH78), "\$([A-Z]+)\$[0-9]+"))),_xlfn.REGEXEXTRACT(CELL("address",AH78), "\$([A-Z]+)\$[0-9]+"))</f>
        <v/>
      </c>
      <c r="AI78" s="7" t="str" cm="1">
        <f t="array" aca="1" ref="AI78" ca="1">IFERROR(IF(OR('Raw Data'!AI78="",LEN(TRIM('Raw Data'!AI78))=0),"",IF(AND(ISNUMBER('Raw Data'!AI78), IFERROR('Raw Data'!AI78 = ROUND('Raw Data'!AI78, 2),FALSE)),"",_xlfn.REGEXEXTRACT(CELL("address",AI78), "\$([A-Z]+)\$[0-9]+"))),_xlfn.REGEXEXTRACT(CELL("address",AI78), "\$([A-Z]+)\$[0-9]+"))</f>
        <v/>
      </c>
      <c r="AJ78" s="7" t="str" cm="1">
        <f t="array" aca="1" ref="AJ78" ca="1">IFERROR(IF(OR('Raw Data'!AJ78="",LEN(TRIM('Raw Data'!AJ78))=0),"",IF(AND(ISNUMBER('Raw Data'!AJ78), IFERROR('Raw Data'!AJ78 = ROUND('Raw Data'!AJ78, 2),FALSE)),"",_xlfn.REGEXEXTRACT(CELL("address",AJ78), "\$([A-Z]+)\$[0-9]+"))),_xlfn.REGEXEXTRACT(CELL("address",AJ78), "\$([A-Z]+)\$[0-9]+"))</f>
        <v/>
      </c>
    </row>
    <row r="79" spans="2:36" x14ac:dyDescent="0.25">
      <c r="B79" s="7" t="str" cm="1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20,LEN('Raw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Data'!D79))=0),"",IF(AND(ISNUMBER('Raw Data'!D79),'Raw Data'!D79&gt;=Configuration!$D$2),"",_xlfn.REGEXEXTRACT(CELL("address",'Raw Data'!D79),"\$([A-Z]+)\$[0-9]+"))),_xlfn.REGEXEXTRACT(CELL("address",D79), "\$([A-Z]+)\$[0-9]+"))</f>
        <v/>
      </c>
      <c r="E79" s="7" t="str" cm="1">
        <f t="array" aca="1" ref="E79" ca="1">IFERROR(IF(OR('Raw Data'!E79="",LEN(TRIM('Raw Data'!E79))=0),"",IF(AND(ISNUMBER('Raw Data'!E79), IFERROR('Raw Data'!E79 = ROUND('Raw Data'!E79, 2),FALSE)),"",_xlfn.REGEXEXTRACT(CELL("address",E79), "\$([A-Z]+)\$[0-9]+"))),_xlfn.REGEXEXTRACT(CELL("address",E79), "\$([A-Z]+)\$[0-9]+"))</f>
        <v/>
      </c>
      <c r="F79" s="7" t="str" cm="1">
        <f t="array" aca="1" ref="F79" ca="1">IFERROR(IF(OR('Raw Data'!F79="",LEN(TRIM('Raw Data'!F79))=0),"",IF(AND(ISNUMBER('Raw Data'!F79), IFERROR('Raw Data'!F79 = ROUND('Raw Data'!F79, 2),FALSE)),"",_xlfn.REGEXEXTRACT(CELL("address",F79), "\$([A-Z]+)\$[0-9]+"))),_xlfn.REGEXEXTRACT(CELL("address",F79), "\$([A-Z]+)\$[0-9]+"))</f>
        <v/>
      </c>
      <c r="G79" s="7" t="str" cm="1">
        <f t="array" aca="1" ref="G79" ca="1">IFERROR(IF(OR('Raw Data'!G79="",LEN(TRIM('Raw Data'!G79))=0),"",IF(AND(ISNUMBER('Raw Data'!G79), IFERROR('Raw Data'!G79 = ROUND('Raw Data'!G79, 2),FALSE)),"",_xlfn.REGEXEXTRACT(CELL("address",G79), "\$([A-Z]+)\$[0-9]+"))),_xlfn.REGEXEXTRACT(CELL("address",G79), "\$([A-Z]+)\$[0-9]+"))</f>
        <v/>
      </c>
      <c r="H79" s="7" t="str" cm="1">
        <f t="array" aca="1" ref="H79" ca="1">IFERROR(IF(OR('Raw Data'!H79="",LEN(TRIM('Raw Data'!H79))=0),"",IF(AND(ISNUMBER('Raw Data'!H79), IFERROR('Raw Data'!H79 = ROUND('Raw Data'!H79, 2),FALSE)),"",_xlfn.REGEXEXTRACT(CELL("address",H79), "\$([A-Z]+)\$[0-9]+"))),_xlfn.REGEXEXTRACT(CELL("address",H79), "\$([A-Z]+)\$[0-9]+"))</f>
        <v/>
      </c>
      <c r="I79" s="7" t="str" cm="1">
        <f t="array" aca="1" ref="I79" ca="1">IFERROR(IF(OR('Raw Data'!I79="",LEN(TRIM('Raw Data'!I79))=0),"",IF(AND(ISNUMBER('Raw Data'!I79), IFERROR('Raw Data'!I79 = ROUND('Raw Data'!I79, 2),FALSE)),"",_xlfn.REGEXEXTRACT(CELL("address",I79), "\$([A-Z]+)\$[0-9]+"))),_xlfn.REGEXEXTRACT(CELL("address",I79), "\$([A-Z]+)\$[0-9]+"))</f>
        <v/>
      </c>
      <c r="J79" s="7" t="str" cm="1">
        <f t="array" aca="1" ref="J79" ca="1">IFERROR(IF(OR('Raw Data'!J79="",LEN(TRIM('Raw Data'!J79))=0),"",IF(AND(ISNUMBER('Raw Data'!J79), IFERROR('Raw Data'!J79 = ROUND('Raw Data'!J79, 2),FALSE)),"",_xlfn.REGEXEXTRACT(CELL("address",J79), "\$([A-Z]+)\$[0-9]+"))),_xlfn.REGEXEXTRACT(CELL("address",J79), "\$([A-Z]+)\$[0-9]+"))</f>
        <v/>
      </c>
      <c r="K79" s="7" t="str" cm="1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7" t="str" cm="1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7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7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7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7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 cm="1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7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7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7" t="str" cm="1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7" t="str" cm="1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  <c r="Z79" s="7" t="str" cm="1">
        <f t="array" aca="1" ref="Z79" ca="1">IFERROR(IF(OR('Raw Data'!Z79="",LEN(TRIM('Raw Data'!Z79))=0),"",IF(AND(ISNUMBER('Raw Data'!Z79), IFERROR('Raw Data'!Z79 = ROUND('Raw Data'!Z79, 2),FALSE)),"",_xlfn.REGEXEXTRACT(CELL("address",Z79), "\$([A-Z]+)\$[0-9]+"))),_xlfn.REGEXEXTRACT(CELL("address",Z79), "\$([A-Z]+)\$[0-9]+"))</f>
        <v/>
      </c>
      <c r="AA79" s="7" t="str" cm="1">
        <f t="array" aca="1" ref="AA79" ca="1">IFERROR(IF(OR('Raw Data'!AA79="",LEN(TRIM('Raw Data'!AA79))=0),"",IF(AND(ISNUMBER('Raw Data'!AA79), IFERROR('Raw Data'!AA79 = ROUND('Raw Data'!AA79, 2),FALSE)),"",_xlfn.REGEXEXTRACT(CELL("address",AA79), "\$([A-Z]+)\$[0-9]+"))),_xlfn.REGEXEXTRACT(CELL("address",AA79), "\$([A-Z]+)\$[0-9]+"))</f>
        <v/>
      </c>
      <c r="AB79" s="7" t="str" cm="1">
        <f t="array" aca="1" ref="AB79" ca="1">IFERROR(IF(OR('Raw Data'!AB79="",LEN(TRIM('Raw Data'!AB79))=0),"",IF(AND(ISNUMBER('Raw Data'!AB79), IFERROR('Raw Data'!AB79 = ROUND('Raw Data'!AB79, 2),FALSE)),"",_xlfn.REGEXEXTRACT(CELL("address",AB79), "\$([A-Z]+)\$[0-9]+"))),_xlfn.REGEXEXTRACT(CELL("address",AB79), "\$([A-Z]+)\$[0-9]+"))</f>
        <v/>
      </c>
      <c r="AC79" s="7" t="str" cm="1">
        <f t="array" aca="1" ref="AC79" ca="1">IFERROR(IF(OR('Raw Data'!AC79="",LEN(TRIM('Raw Data'!AC79))=0),"",IF(AND(ISNUMBER('Raw Data'!AC79), IFERROR('Raw Data'!AC79 = ROUND('Raw Data'!AC79, 2),FALSE)),"",_xlfn.REGEXEXTRACT(CELL("address",AC79), "\$([A-Z]+)\$[0-9]+"))),_xlfn.REGEXEXTRACT(CELL("address",AC79), "\$([A-Z]+)\$[0-9]+"))</f>
        <v/>
      </c>
      <c r="AD79" s="7" t="str" cm="1">
        <f t="array" aca="1" ref="AD79" ca="1">IFERROR(IF(OR('Raw Data'!AD79="",LEN(TRIM('Raw Data'!AD79))=0),"",IF(AND(ISNUMBER('Raw Data'!AD79), IFERROR('Raw Data'!AD79 = ROUND('Raw Data'!AD79, 2),FALSE)),"",_xlfn.REGEXEXTRACT(CELL("address",AD79), "\$([A-Z]+)\$[0-9]+"))),_xlfn.REGEXEXTRACT(CELL("address",AD79), "\$([A-Z]+)\$[0-9]+"))</f>
        <v/>
      </c>
      <c r="AE79" s="7" t="str" cm="1">
        <f t="array" aca="1" ref="AE79" ca="1">IFERROR(IF(OR('Raw Data'!AE79="",LEN(TRIM('Raw Data'!AE79))=0),"",IF(AND(ISNUMBER('Raw Data'!AE79), IFERROR('Raw Data'!AE79 = ROUND('Raw Data'!AE79, 2),FALSE)),"",_xlfn.REGEXEXTRACT(CELL("address",AE79), "\$([A-Z]+)\$[0-9]+"))),_xlfn.REGEXEXTRACT(CELL("address",AE79), "\$([A-Z]+)\$[0-9]+"))</f>
        <v/>
      </c>
      <c r="AF79" s="7" t="str" cm="1">
        <f t="array" aca="1" ref="AF79" ca="1">IFERROR(IF(OR('Raw Data'!AF79="",LEN(TRIM('Raw Data'!AF79))=0),"",IF(AND(ISNUMBER('Raw Data'!AF79), IFERROR('Raw Data'!AF79 = ROUND('Raw Data'!AF79, 2),FALSE)),"",_xlfn.REGEXEXTRACT(CELL("address",AF79), "\$([A-Z]+)\$[0-9]+"))),_xlfn.REGEXEXTRACT(CELL("address",AF79), "\$([A-Z]+)\$[0-9]+"))</f>
        <v/>
      </c>
      <c r="AG79" s="7" t="str" cm="1">
        <f t="array" aca="1" ref="AG79" ca="1">IFERROR(IF(OR('Raw Data'!AG79="",LEN(TRIM('Raw Data'!AG79))=0),"",IF(AND(ISNUMBER('Raw Data'!AG79), IFERROR('Raw Data'!AG79 = ROUND('Raw Data'!AG79, 2),FALSE)),"",_xlfn.REGEXEXTRACT(CELL("address",AG79), "\$([A-Z]+)\$[0-9]+"))),_xlfn.REGEXEXTRACT(CELL("address",AG79), "\$([A-Z]+)\$[0-9]+"))</f>
        <v/>
      </c>
      <c r="AH79" s="7" t="str" cm="1">
        <f t="array" aca="1" ref="AH79" ca="1">IFERROR(IF(OR('Raw Data'!AH79="",LEN(TRIM('Raw Data'!AH79))=0),"",IF(AND(ISNUMBER('Raw Data'!AH79), IFERROR('Raw Data'!AH79 = ROUND('Raw Data'!AH79, 2),FALSE)),"",_xlfn.REGEXEXTRACT(CELL("address",AH79), "\$([A-Z]+)\$[0-9]+"))),_xlfn.REGEXEXTRACT(CELL("address",AH79), "\$([A-Z]+)\$[0-9]+"))</f>
        <v/>
      </c>
      <c r="AI79" s="7" t="str" cm="1">
        <f t="array" aca="1" ref="AI79" ca="1">IFERROR(IF(OR('Raw Data'!AI79="",LEN(TRIM('Raw Data'!AI79))=0),"",IF(AND(ISNUMBER('Raw Data'!AI79), IFERROR('Raw Data'!AI79 = ROUND('Raw Data'!AI79, 2),FALSE)),"",_xlfn.REGEXEXTRACT(CELL("address",AI79), "\$([A-Z]+)\$[0-9]+"))),_xlfn.REGEXEXTRACT(CELL("address",AI79), "\$([A-Z]+)\$[0-9]+"))</f>
        <v/>
      </c>
      <c r="AJ79" s="7" t="str" cm="1">
        <f t="array" aca="1" ref="AJ79" ca="1">IFERROR(IF(OR('Raw Data'!AJ79="",LEN(TRIM('Raw Data'!AJ79))=0),"",IF(AND(ISNUMBER('Raw Data'!AJ79), IFERROR('Raw Data'!AJ79 = ROUND('Raw Data'!AJ79, 2),FALSE)),"",_xlfn.REGEXEXTRACT(CELL("address",AJ79), "\$([A-Z]+)\$[0-9]+"))),_xlfn.REGEXEXTRACT(CELL("address",AJ79), "\$([A-Z]+)\$[0-9]+"))</f>
        <v/>
      </c>
    </row>
    <row r="80" spans="2:36" x14ac:dyDescent="0.25">
      <c r="B80" s="7" t="str" cm="1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20,LEN('Raw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Data'!D80))=0),"",IF(AND(ISNUMBER('Raw Data'!D80),'Raw Data'!D80&gt;=Configuration!$D$2),"",_xlfn.REGEXEXTRACT(CELL("address",'Raw Data'!D80),"\$([A-Z]+)\$[0-9]+"))),_xlfn.REGEXEXTRACT(CELL("address",D80), "\$([A-Z]+)\$[0-9]+"))</f>
        <v/>
      </c>
      <c r="E80" s="7" t="str" cm="1">
        <f t="array" aca="1" ref="E80" ca="1">IFERROR(IF(OR('Raw Data'!E80="",LEN(TRIM('Raw Data'!E80))=0),"",IF(AND(ISNUMBER('Raw Data'!E80), IFERROR('Raw Data'!E80 = ROUND('Raw Data'!E80, 2),FALSE)),"",_xlfn.REGEXEXTRACT(CELL("address",E80), "\$([A-Z]+)\$[0-9]+"))),_xlfn.REGEXEXTRACT(CELL("address",E80), "\$([A-Z]+)\$[0-9]+"))</f>
        <v/>
      </c>
      <c r="F80" s="7" t="str" cm="1">
        <f t="array" aca="1" ref="F80" ca="1">IFERROR(IF(OR('Raw Data'!F80="",LEN(TRIM('Raw Data'!F80))=0),"",IF(AND(ISNUMBER('Raw Data'!F80), IFERROR('Raw Data'!F80 = ROUND('Raw Data'!F80, 2),FALSE)),"",_xlfn.REGEXEXTRACT(CELL("address",F80), "\$([A-Z]+)\$[0-9]+"))),_xlfn.REGEXEXTRACT(CELL("address",F80), "\$([A-Z]+)\$[0-9]+"))</f>
        <v/>
      </c>
      <c r="G80" s="7" t="str" cm="1">
        <f t="array" aca="1" ref="G80" ca="1">IFERROR(IF(OR('Raw Data'!G80="",LEN(TRIM('Raw Data'!G80))=0),"",IF(AND(ISNUMBER('Raw Data'!G80), IFERROR('Raw Data'!G80 = ROUND('Raw Data'!G80, 2),FALSE)),"",_xlfn.REGEXEXTRACT(CELL("address",G80), "\$([A-Z]+)\$[0-9]+"))),_xlfn.REGEXEXTRACT(CELL("address",G80), "\$([A-Z]+)\$[0-9]+"))</f>
        <v/>
      </c>
      <c r="H80" s="7" t="str" cm="1">
        <f t="array" aca="1" ref="H80" ca="1">IFERROR(IF(OR('Raw Data'!H80="",LEN(TRIM('Raw Data'!H80))=0),"",IF(AND(ISNUMBER('Raw Data'!H80), IFERROR('Raw Data'!H80 = ROUND('Raw Data'!H80, 2),FALSE)),"",_xlfn.REGEXEXTRACT(CELL("address",H80), "\$([A-Z]+)\$[0-9]+"))),_xlfn.REGEXEXTRACT(CELL("address",H80), "\$([A-Z]+)\$[0-9]+"))</f>
        <v/>
      </c>
      <c r="I80" s="7" t="str" cm="1">
        <f t="array" aca="1" ref="I80" ca="1">IFERROR(IF(OR('Raw Data'!I80="",LEN(TRIM('Raw Data'!I80))=0),"",IF(AND(ISNUMBER('Raw Data'!I80), IFERROR('Raw Data'!I80 = ROUND('Raw Data'!I80, 2),FALSE)),"",_xlfn.REGEXEXTRACT(CELL("address",I80), "\$([A-Z]+)\$[0-9]+"))),_xlfn.REGEXEXTRACT(CELL("address",I80), "\$([A-Z]+)\$[0-9]+"))</f>
        <v/>
      </c>
      <c r="J80" s="7" t="str" cm="1">
        <f t="array" aca="1" ref="J80" ca="1">IFERROR(IF(OR('Raw Data'!J80="",LEN(TRIM('Raw Data'!J80))=0),"",IF(AND(ISNUMBER('Raw Data'!J80), IFERROR('Raw Data'!J80 = ROUND('Raw Data'!J80, 2),FALSE)),"",_xlfn.REGEXEXTRACT(CELL("address",J80), "\$([A-Z]+)\$[0-9]+"))),_xlfn.REGEXEXTRACT(CELL("address",J80), "\$([A-Z]+)\$[0-9]+"))</f>
        <v/>
      </c>
      <c r="K80" s="7" t="str" cm="1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7" t="str" cm="1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7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7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7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7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 cm="1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7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7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7" t="str" cm="1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7" t="str" cm="1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  <c r="Z80" s="7" t="str" cm="1">
        <f t="array" aca="1" ref="Z80" ca="1">IFERROR(IF(OR('Raw Data'!Z80="",LEN(TRIM('Raw Data'!Z80))=0),"",IF(AND(ISNUMBER('Raw Data'!Z80), IFERROR('Raw Data'!Z80 = ROUND('Raw Data'!Z80, 2),FALSE)),"",_xlfn.REGEXEXTRACT(CELL("address",Z80), "\$([A-Z]+)\$[0-9]+"))),_xlfn.REGEXEXTRACT(CELL("address",Z80), "\$([A-Z]+)\$[0-9]+"))</f>
        <v/>
      </c>
      <c r="AA80" s="7" t="str" cm="1">
        <f t="array" aca="1" ref="AA80" ca="1">IFERROR(IF(OR('Raw Data'!AA80="",LEN(TRIM('Raw Data'!AA80))=0),"",IF(AND(ISNUMBER('Raw Data'!AA80), IFERROR('Raw Data'!AA80 = ROUND('Raw Data'!AA80, 2),FALSE)),"",_xlfn.REGEXEXTRACT(CELL("address",AA80), "\$([A-Z]+)\$[0-9]+"))),_xlfn.REGEXEXTRACT(CELL("address",AA80), "\$([A-Z]+)\$[0-9]+"))</f>
        <v/>
      </c>
      <c r="AB80" s="7" t="str" cm="1">
        <f t="array" aca="1" ref="AB80" ca="1">IFERROR(IF(OR('Raw Data'!AB80="",LEN(TRIM('Raw Data'!AB80))=0),"",IF(AND(ISNUMBER('Raw Data'!AB80), IFERROR('Raw Data'!AB80 = ROUND('Raw Data'!AB80, 2),FALSE)),"",_xlfn.REGEXEXTRACT(CELL("address",AB80), "\$([A-Z]+)\$[0-9]+"))),_xlfn.REGEXEXTRACT(CELL("address",AB80), "\$([A-Z]+)\$[0-9]+"))</f>
        <v/>
      </c>
      <c r="AC80" s="7" t="str" cm="1">
        <f t="array" aca="1" ref="AC80" ca="1">IFERROR(IF(OR('Raw Data'!AC80="",LEN(TRIM('Raw Data'!AC80))=0),"",IF(AND(ISNUMBER('Raw Data'!AC80), IFERROR('Raw Data'!AC80 = ROUND('Raw Data'!AC80, 2),FALSE)),"",_xlfn.REGEXEXTRACT(CELL("address",AC80), "\$([A-Z]+)\$[0-9]+"))),_xlfn.REGEXEXTRACT(CELL("address",AC80), "\$([A-Z]+)\$[0-9]+"))</f>
        <v/>
      </c>
      <c r="AD80" s="7" t="str" cm="1">
        <f t="array" aca="1" ref="AD80" ca="1">IFERROR(IF(OR('Raw Data'!AD80="",LEN(TRIM('Raw Data'!AD80))=0),"",IF(AND(ISNUMBER('Raw Data'!AD80), IFERROR('Raw Data'!AD80 = ROUND('Raw Data'!AD80, 2),FALSE)),"",_xlfn.REGEXEXTRACT(CELL("address",AD80), "\$([A-Z]+)\$[0-9]+"))),_xlfn.REGEXEXTRACT(CELL("address",AD80), "\$([A-Z]+)\$[0-9]+"))</f>
        <v/>
      </c>
      <c r="AE80" s="7" t="str" cm="1">
        <f t="array" aca="1" ref="AE80" ca="1">IFERROR(IF(OR('Raw Data'!AE80="",LEN(TRIM('Raw Data'!AE80))=0),"",IF(AND(ISNUMBER('Raw Data'!AE80), IFERROR('Raw Data'!AE80 = ROUND('Raw Data'!AE80, 2),FALSE)),"",_xlfn.REGEXEXTRACT(CELL("address",AE80), "\$([A-Z]+)\$[0-9]+"))),_xlfn.REGEXEXTRACT(CELL("address",AE80), "\$([A-Z]+)\$[0-9]+"))</f>
        <v/>
      </c>
      <c r="AF80" s="7" t="str" cm="1">
        <f t="array" aca="1" ref="AF80" ca="1">IFERROR(IF(OR('Raw Data'!AF80="",LEN(TRIM('Raw Data'!AF80))=0),"",IF(AND(ISNUMBER('Raw Data'!AF80), IFERROR('Raw Data'!AF80 = ROUND('Raw Data'!AF80, 2),FALSE)),"",_xlfn.REGEXEXTRACT(CELL("address",AF80), "\$([A-Z]+)\$[0-9]+"))),_xlfn.REGEXEXTRACT(CELL("address",AF80), "\$([A-Z]+)\$[0-9]+"))</f>
        <v/>
      </c>
      <c r="AG80" s="7" t="str" cm="1">
        <f t="array" aca="1" ref="AG80" ca="1">IFERROR(IF(OR('Raw Data'!AG80="",LEN(TRIM('Raw Data'!AG80))=0),"",IF(AND(ISNUMBER('Raw Data'!AG80), IFERROR('Raw Data'!AG80 = ROUND('Raw Data'!AG80, 2),FALSE)),"",_xlfn.REGEXEXTRACT(CELL("address",AG80), "\$([A-Z]+)\$[0-9]+"))),_xlfn.REGEXEXTRACT(CELL("address",AG80), "\$([A-Z]+)\$[0-9]+"))</f>
        <v/>
      </c>
      <c r="AH80" s="7" t="str" cm="1">
        <f t="array" aca="1" ref="AH80" ca="1">IFERROR(IF(OR('Raw Data'!AH80="",LEN(TRIM('Raw Data'!AH80))=0),"",IF(AND(ISNUMBER('Raw Data'!AH80), IFERROR('Raw Data'!AH80 = ROUND('Raw Data'!AH80, 2),FALSE)),"",_xlfn.REGEXEXTRACT(CELL("address",AH80), "\$([A-Z]+)\$[0-9]+"))),_xlfn.REGEXEXTRACT(CELL("address",AH80), "\$([A-Z]+)\$[0-9]+"))</f>
        <v/>
      </c>
      <c r="AI80" s="7" t="str" cm="1">
        <f t="array" aca="1" ref="AI80" ca="1">IFERROR(IF(OR('Raw Data'!AI80="",LEN(TRIM('Raw Data'!AI80))=0),"",IF(AND(ISNUMBER('Raw Data'!AI80), IFERROR('Raw Data'!AI80 = ROUND('Raw Data'!AI80, 2),FALSE)),"",_xlfn.REGEXEXTRACT(CELL("address",AI80), "\$([A-Z]+)\$[0-9]+"))),_xlfn.REGEXEXTRACT(CELL("address",AI80), "\$([A-Z]+)\$[0-9]+"))</f>
        <v/>
      </c>
      <c r="AJ80" s="7" t="str" cm="1">
        <f t="array" aca="1" ref="AJ80" ca="1">IFERROR(IF(OR('Raw Data'!AJ80="",LEN(TRIM('Raw Data'!AJ80))=0),"",IF(AND(ISNUMBER('Raw Data'!AJ80), IFERROR('Raw Data'!AJ80 = ROUND('Raw Data'!AJ80, 2),FALSE)),"",_xlfn.REGEXEXTRACT(CELL("address",AJ80), "\$([A-Z]+)\$[0-9]+"))),_xlfn.REGEXEXTRACT(CELL("address",AJ80), "\$([A-Z]+)\$[0-9]+"))</f>
        <v/>
      </c>
    </row>
    <row r="81" spans="2:36" x14ac:dyDescent="0.25">
      <c r="B81" s="7" t="str" cm="1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20,LEN('Raw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Data'!D81))=0),"",IF(AND(ISNUMBER('Raw Data'!D81),'Raw Data'!D81&gt;=Configuration!$D$2),"",_xlfn.REGEXEXTRACT(CELL("address",'Raw Data'!D81),"\$([A-Z]+)\$[0-9]+"))),_xlfn.REGEXEXTRACT(CELL("address",D81), "\$([A-Z]+)\$[0-9]+"))</f>
        <v/>
      </c>
      <c r="E81" s="7" t="str" cm="1">
        <f t="array" aca="1" ref="E81" ca="1">IFERROR(IF(OR('Raw Data'!E81="",LEN(TRIM('Raw Data'!E81))=0),"",IF(AND(ISNUMBER('Raw Data'!E81), IFERROR('Raw Data'!E81 = ROUND('Raw Data'!E81, 2),FALSE)),"",_xlfn.REGEXEXTRACT(CELL("address",E81), "\$([A-Z]+)\$[0-9]+"))),_xlfn.REGEXEXTRACT(CELL("address",E81), "\$([A-Z]+)\$[0-9]+"))</f>
        <v/>
      </c>
      <c r="F81" s="7" t="str" cm="1">
        <f t="array" aca="1" ref="F81" ca="1">IFERROR(IF(OR('Raw Data'!F81="",LEN(TRIM('Raw Data'!F81))=0),"",IF(AND(ISNUMBER('Raw Data'!F81), IFERROR('Raw Data'!F81 = ROUND('Raw Data'!F81, 2),FALSE)),"",_xlfn.REGEXEXTRACT(CELL("address",F81), "\$([A-Z]+)\$[0-9]+"))),_xlfn.REGEXEXTRACT(CELL("address",F81), "\$([A-Z]+)\$[0-9]+"))</f>
        <v/>
      </c>
      <c r="G81" s="7" t="str" cm="1">
        <f t="array" aca="1" ref="G81" ca="1">IFERROR(IF(OR('Raw Data'!G81="",LEN(TRIM('Raw Data'!G81))=0),"",IF(AND(ISNUMBER('Raw Data'!G81), IFERROR('Raw Data'!G81 = ROUND('Raw Data'!G81, 2),FALSE)),"",_xlfn.REGEXEXTRACT(CELL("address",G81), "\$([A-Z]+)\$[0-9]+"))),_xlfn.REGEXEXTRACT(CELL("address",G81), "\$([A-Z]+)\$[0-9]+"))</f>
        <v/>
      </c>
      <c r="H81" s="7" t="str" cm="1">
        <f t="array" aca="1" ref="H81" ca="1">IFERROR(IF(OR('Raw Data'!H81="",LEN(TRIM('Raw Data'!H81))=0),"",IF(AND(ISNUMBER('Raw Data'!H81), IFERROR('Raw Data'!H81 = ROUND('Raw Data'!H81, 2),FALSE)),"",_xlfn.REGEXEXTRACT(CELL("address",H81), "\$([A-Z]+)\$[0-9]+"))),_xlfn.REGEXEXTRACT(CELL("address",H81), "\$([A-Z]+)\$[0-9]+"))</f>
        <v/>
      </c>
      <c r="I81" s="7" t="str" cm="1">
        <f t="array" aca="1" ref="I81" ca="1">IFERROR(IF(OR('Raw Data'!I81="",LEN(TRIM('Raw Data'!I81))=0),"",IF(AND(ISNUMBER('Raw Data'!I81), IFERROR('Raw Data'!I81 = ROUND('Raw Data'!I81, 2),FALSE)),"",_xlfn.REGEXEXTRACT(CELL("address",I81), "\$([A-Z]+)\$[0-9]+"))),_xlfn.REGEXEXTRACT(CELL("address",I81), "\$([A-Z]+)\$[0-9]+"))</f>
        <v/>
      </c>
      <c r="J81" s="7" t="str" cm="1">
        <f t="array" aca="1" ref="J81" ca="1">IFERROR(IF(OR('Raw Data'!J81="",LEN(TRIM('Raw Data'!J81))=0),"",IF(AND(ISNUMBER('Raw Data'!J81), IFERROR('Raw Data'!J81 = ROUND('Raw Data'!J81, 2),FALSE)),"",_xlfn.REGEXEXTRACT(CELL("address",J81), "\$([A-Z]+)\$[0-9]+"))),_xlfn.REGEXEXTRACT(CELL("address",J81), "\$([A-Z]+)\$[0-9]+"))</f>
        <v/>
      </c>
      <c r="K81" s="7" t="str" cm="1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7" t="str" cm="1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7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7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7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7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 cm="1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7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7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7" t="str" cm="1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7" t="str" cm="1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  <c r="Z81" s="7" t="str" cm="1">
        <f t="array" aca="1" ref="Z81" ca="1">IFERROR(IF(OR('Raw Data'!Z81="",LEN(TRIM('Raw Data'!Z81))=0),"",IF(AND(ISNUMBER('Raw Data'!Z81), IFERROR('Raw Data'!Z81 = ROUND('Raw Data'!Z81, 2),FALSE)),"",_xlfn.REGEXEXTRACT(CELL("address",Z81), "\$([A-Z]+)\$[0-9]+"))),_xlfn.REGEXEXTRACT(CELL("address",Z81), "\$([A-Z]+)\$[0-9]+"))</f>
        <v/>
      </c>
      <c r="AA81" s="7" t="str" cm="1">
        <f t="array" aca="1" ref="AA81" ca="1">IFERROR(IF(OR('Raw Data'!AA81="",LEN(TRIM('Raw Data'!AA81))=0),"",IF(AND(ISNUMBER('Raw Data'!AA81), IFERROR('Raw Data'!AA81 = ROUND('Raw Data'!AA81, 2),FALSE)),"",_xlfn.REGEXEXTRACT(CELL("address",AA81), "\$([A-Z]+)\$[0-9]+"))),_xlfn.REGEXEXTRACT(CELL("address",AA81), "\$([A-Z]+)\$[0-9]+"))</f>
        <v/>
      </c>
      <c r="AB81" s="7" t="str" cm="1">
        <f t="array" aca="1" ref="AB81" ca="1">IFERROR(IF(OR('Raw Data'!AB81="",LEN(TRIM('Raw Data'!AB81))=0),"",IF(AND(ISNUMBER('Raw Data'!AB81), IFERROR('Raw Data'!AB81 = ROUND('Raw Data'!AB81, 2),FALSE)),"",_xlfn.REGEXEXTRACT(CELL("address",AB81), "\$([A-Z]+)\$[0-9]+"))),_xlfn.REGEXEXTRACT(CELL("address",AB81), "\$([A-Z]+)\$[0-9]+"))</f>
        <v/>
      </c>
      <c r="AC81" s="7" t="str" cm="1">
        <f t="array" aca="1" ref="AC81" ca="1">IFERROR(IF(OR('Raw Data'!AC81="",LEN(TRIM('Raw Data'!AC81))=0),"",IF(AND(ISNUMBER('Raw Data'!AC81), IFERROR('Raw Data'!AC81 = ROUND('Raw Data'!AC81, 2),FALSE)),"",_xlfn.REGEXEXTRACT(CELL("address",AC81), "\$([A-Z]+)\$[0-9]+"))),_xlfn.REGEXEXTRACT(CELL("address",AC81), "\$([A-Z]+)\$[0-9]+"))</f>
        <v/>
      </c>
      <c r="AD81" s="7" t="str" cm="1">
        <f t="array" aca="1" ref="AD81" ca="1">IFERROR(IF(OR('Raw Data'!AD81="",LEN(TRIM('Raw Data'!AD81))=0),"",IF(AND(ISNUMBER('Raw Data'!AD81), IFERROR('Raw Data'!AD81 = ROUND('Raw Data'!AD81, 2),FALSE)),"",_xlfn.REGEXEXTRACT(CELL("address",AD81), "\$([A-Z]+)\$[0-9]+"))),_xlfn.REGEXEXTRACT(CELL("address",AD81), "\$([A-Z]+)\$[0-9]+"))</f>
        <v/>
      </c>
      <c r="AE81" s="7" t="str" cm="1">
        <f t="array" aca="1" ref="AE81" ca="1">IFERROR(IF(OR('Raw Data'!AE81="",LEN(TRIM('Raw Data'!AE81))=0),"",IF(AND(ISNUMBER('Raw Data'!AE81), IFERROR('Raw Data'!AE81 = ROUND('Raw Data'!AE81, 2),FALSE)),"",_xlfn.REGEXEXTRACT(CELL("address",AE81), "\$([A-Z]+)\$[0-9]+"))),_xlfn.REGEXEXTRACT(CELL("address",AE81), "\$([A-Z]+)\$[0-9]+"))</f>
        <v/>
      </c>
      <c r="AF81" s="7" t="str" cm="1">
        <f t="array" aca="1" ref="AF81" ca="1">IFERROR(IF(OR('Raw Data'!AF81="",LEN(TRIM('Raw Data'!AF81))=0),"",IF(AND(ISNUMBER('Raw Data'!AF81), IFERROR('Raw Data'!AF81 = ROUND('Raw Data'!AF81, 2),FALSE)),"",_xlfn.REGEXEXTRACT(CELL("address",AF81), "\$([A-Z]+)\$[0-9]+"))),_xlfn.REGEXEXTRACT(CELL("address",AF81), "\$([A-Z]+)\$[0-9]+"))</f>
        <v/>
      </c>
      <c r="AG81" s="7" t="str" cm="1">
        <f t="array" aca="1" ref="AG81" ca="1">IFERROR(IF(OR('Raw Data'!AG81="",LEN(TRIM('Raw Data'!AG81))=0),"",IF(AND(ISNUMBER('Raw Data'!AG81), IFERROR('Raw Data'!AG81 = ROUND('Raw Data'!AG81, 2),FALSE)),"",_xlfn.REGEXEXTRACT(CELL("address",AG81), "\$([A-Z]+)\$[0-9]+"))),_xlfn.REGEXEXTRACT(CELL("address",AG81), "\$([A-Z]+)\$[0-9]+"))</f>
        <v/>
      </c>
      <c r="AH81" s="7" t="str" cm="1">
        <f t="array" aca="1" ref="AH81" ca="1">IFERROR(IF(OR('Raw Data'!AH81="",LEN(TRIM('Raw Data'!AH81))=0),"",IF(AND(ISNUMBER('Raw Data'!AH81), IFERROR('Raw Data'!AH81 = ROUND('Raw Data'!AH81, 2),FALSE)),"",_xlfn.REGEXEXTRACT(CELL("address",AH81), "\$([A-Z]+)\$[0-9]+"))),_xlfn.REGEXEXTRACT(CELL("address",AH81), "\$([A-Z]+)\$[0-9]+"))</f>
        <v/>
      </c>
      <c r="AI81" s="7" t="str" cm="1">
        <f t="array" aca="1" ref="AI81" ca="1">IFERROR(IF(OR('Raw Data'!AI81="",LEN(TRIM('Raw Data'!AI81))=0),"",IF(AND(ISNUMBER('Raw Data'!AI81), IFERROR('Raw Data'!AI81 = ROUND('Raw Data'!AI81, 2),FALSE)),"",_xlfn.REGEXEXTRACT(CELL("address",AI81), "\$([A-Z]+)\$[0-9]+"))),_xlfn.REGEXEXTRACT(CELL("address",AI81), "\$([A-Z]+)\$[0-9]+"))</f>
        <v/>
      </c>
      <c r="AJ81" s="7" t="str" cm="1">
        <f t="array" aca="1" ref="AJ81" ca="1">IFERROR(IF(OR('Raw Data'!AJ81="",LEN(TRIM('Raw Data'!AJ81))=0),"",IF(AND(ISNUMBER('Raw Data'!AJ81), IFERROR('Raw Data'!AJ81 = ROUND('Raw Data'!AJ81, 2),FALSE)),"",_xlfn.REGEXEXTRACT(CELL("address",AJ81), "\$([A-Z]+)\$[0-9]+"))),_xlfn.REGEXEXTRACT(CELL("address",AJ81), "\$([A-Z]+)\$[0-9]+"))</f>
        <v/>
      </c>
    </row>
    <row r="82" spans="2:36" x14ac:dyDescent="0.25">
      <c r="B82" s="7" t="str" cm="1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20,LEN('Raw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Data'!D82))=0),"",IF(AND(ISNUMBER('Raw Data'!D82),'Raw Data'!D82&gt;=Configuration!$D$2),"",_xlfn.REGEXEXTRACT(CELL("address",'Raw Data'!D82),"\$([A-Z]+)\$[0-9]+"))),_xlfn.REGEXEXTRACT(CELL("address",D82), "\$([A-Z]+)\$[0-9]+"))</f>
        <v/>
      </c>
      <c r="E82" s="7" t="str" cm="1">
        <f t="array" aca="1" ref="E82" ca="1">IFERROR(IF(OR('Raw Data'!E82="",LEN(TRIM('Raw Data'!E82))=0),"",IF(AND(ISNUMBER('Raw Data'!E82), IFERROR('Raw Data'!E82 = ROUND('Raw Data'!E82, 2),FALSE)),"",_xlfn.REGEXEXTRACT(CELL("address",E82), "\$([A-Z]+)\$[0-9]+"))),_xlfn.REGEXEXTRACT(CELL("address",E82), "\$([A-Z]+)\$[0-9]+"))</f>
        <v/>
      </c>
      <c r="F82" s="7" t="str" cm="1">
        <f t="array" aca="1" ref="F82" ca="1">IFERROR(IF(OR('Raw Data'!F82="",LEN(TRIM('Raw Data'!F82))=0),"",IF(AND(ISNUMBER('Raw Data'!F82), IFERROR('Raw Data'!F82 = ROUND('Raw Data'!F82, 2),FALSE)),"",_xlfn.REGEXEXTRACT(CELL("address",F82), "\$([A-Z]+)\$[0-9]+"))),_xlfn.REGEXEXTRACT(CELL("address",F82), "\$([A-Z]+)\$[0-9]+"))</f>
        <v/>
      </c>
      <c r="G82" s="7" t="str" cm="1">
        <f t="array" aca="1" ref="G82" ca="1">IFERROR(IF(OR('Raw Data'!G82="",LEN(TRIM('Raw Data'!G82))=0),"",IF(AND(ISNUMBER('Raw Data'!G82), IFERROR('Raw Data'!G82 = ROUND('Raw Data'!G82, 2),FALSE)),"",_xlfn.REGEXEXTRACT(CELL("address",G82), "\$([A-Z]+)\$[0-9]+"))),_xlfn.REGEXEXTRACT(CELL("address",G82), "\$([A-Z]+)\$[0-9]+"))</f>
        <v/>
      </c>
      <c r="H82" s="7" t="str" cm="1">
        <f t="array" aca="1" ref="H82" ca="1">IFERROR(IF(OR('Raw Data'!H82="",LEN(TRIM('Raw Data'!H82))=0),"",IF(AND(ISNUMBER('Raw Data'!H82), IFERROR('Raw Data'!H82 = ROUND('Raw Data'!H82, 2),FALSE)),"",_xlfn.REGEXEXTRACT(CELL("address",H82), "\$([A-Z]+)\$[0-9]+"))),_xlfn.REGEXEXTRACT(CELL("address",H82), "\$([A-Z]+)\$[0-9]+"))</f>
        <v/>
      </c>
      <c r="I82" s="7" t="str" cm="1">
        <f t="array" aca="1" ref="I82" ca="1">IFERROR(IF(OR('Raw Data'!I82="",LEN(TRIM('Raw Data'!I82))=0),"",IF(AND(ISNUMBER('Raw Data'!I82), IFERROR('Raw Data'!I82 = ROUND('Raw Data'!I82, 2),FALSE)),"",_xlfn.REGEXEXTRACT(CELL("address",I82), "\$([A-Z]+)\$[0-9]+"))),_xlfn.REGEXEXTRACT(CELL("address",I82), "\$([A-Z]+)\$[0-9]+"))</f>
        <v/>
      </c>
      <c r="J82" s="7" t="str" cm="1">
        <f t="array" aca="1" ref="J82" ca="1">IFERROR(IF(OR('Raw Data'!J82="",LEN(TRIM('Raw Data'!J82))=0),"",IF(AND(ISNUMBER('Raw Data'!J82), IFERROR('Raw Data'!J82 = ROUND('Raw Data'!J82, 2),FALSE)),"",_xlfn.REGEXEXTRACT(CELL("address",J82), "\$([A-Z]+)\$[0-9]+"))),_xlfn.REGEXEXTRACT(CELL("address",J82), "\$([A-Z]+)\$[0-9]+"))</f>
        <v/>
      </c>
      <c r="K82" s="7" t="str" cm="1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7" t="str" cm="1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7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7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7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7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 cm="1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7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7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7" t="str" cm="1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7" t="str" cm="1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  <c r="Z82" s="7" t="str" cm="1">
        <f t="array" aca="1" ref="Z82" ca="1">IFERROR(IF(OR('Raw Data'!Z82="",LEN(TRIM('Raw Data'!Z82))=0),"",IF(AND(ISNUMBER('Raw Data'!Z82), IFERROR('Raw Data'!Z82 = ROUND('Raw Data'!Z82, 2),FALSE)),"",_xlfn.REGEXEXTRACT(CELL("address",Z82), "\$([A-Z]+)\$[0-9]+"))),_xlfn.REGEXEXTRACT(CELL("address",Z82), "\$([A-Z]+)\$[0-9]+"))</f>
        <v/>
      </c>
      <c r="AA82" s="7" t="str" cm="1">
        <f t="array" aca="1" ref="AA82" ca="1">IFERROR(IF(OR('Raw Data'!AA82="",LEN(TRIM('Raw Data'!AA82))=0),"",IF(AND(ISNUMBER('Raw Data'!AA82), IFERROR('Raw Data'!AA82 = ROUND('Raw Data'!AA82, 2),FALSE)),"",_xlfn.REGEXEXTRACT(CELL("address",AA82), "\$([A-Z]+)\$[0-9]+"))),_xlfn.REGEXEXTRACT(CELL("address",AA82), "\$([A-Z]+)\$[0-9]+"))</f>
        <v/>
      </c>
      <c r="AB82" s="7" t="str" cm="1">
        <f t="array" aca="1" ref="AB82" ca="1">IFERROR(IF(OR('Raw Data'!AB82="",LEN(TRIM('Raw Data'!AB82))=0),"",IF(AND(ISNUMBER('Raw Data'!AB82), IFERROR('Raw Data'!AB82 = ROUND('Raw Data'!AB82, 2),FALSE)),"",_xlfn.REGEXEXTRACT(CELL("address",AB82), "\$([A-Z]+)\$[0-9]+"))),_xlfn.REGEXEXTRACT(CELL("address",AB82), "\$([A-Z]+)\$[0-9]+"))</f>
        <v/>
      </c>
      <c r="AC82" s="7" t="str" cm="1">
        <f t="array" aca="1" ref="AC82" ca="1">IFERROR(IF(OR('Raw Data'!AC82="",LEN(TRIM('Raw Data'!AC82))=0),"",IF(AND(ISNUMBER('Raw Data'!AC82), IFERROR('Raw Data'!AC82 = ROUND('Raw Data'!AC82, 2),FALSE)),"",_xlfn.REGEXEXTRACT(CELL("address",AC82), "\$([A-Z]+)\$[0-9]+"))),_xlfn.REGEXEXTRACT(CELL("address",AC82), "\$([A-Z]+)\$[0-9]+"))</f>
        <v/>
      </c>
      <c r="AD82" s="7" t="str" cm="1">
        <f t="array" aca="1" ref="AD82" ca="1">IFERROR(IF(OR('Raw Data'!AD82="",LEN(TRIM('Raw Data'!AD82))=0),"",IF(AND(ISNUMBER('Raw Data'!AD82), IFERROR('Raw Data'!AD82 = ROUND('Raw Data'!AD82, 2),FALSE)),"",_xlfn.REGEXEXTRACT(CELL("address",AD82), "\$([A-Z]+)\$[0-9]+"))),_xlfn.REGEXEXTRACT(CELL("address",AD82), "\$([A-Z]+)\$[0-9]+"))</f>
        <v/>
      </c>
      <c r="AE82" s="7" t="str" cm="1">
        <f t="array" aca="1" ref="AE82" ca="1">IFERROR(IF(OR('Raw Data'!AE82="",LEN(TRIM('Raw Data'!AE82))=0),"",IF(AND(ISNUMBER('Raw Data'!AE82), IFERROR('Raw Data'!AE82 = ROUND('Raw Data'!AE82, 2),FALSE)),"",_xlfn.REGEXEXTRACT(CELL("address",AE82), "\$([A-Z]+)\$[0-9]+"))),_xlfn.REGEXEXTRACT(CELL("address",AE82), "\$([A-Z]+)\$[0-9]+"))</f>
        <v/>
      </c>
      <c r="AF82" s="7" t="str" cm="1">
        <f t="array" aca="1" ref="AF82" ca="1">IFERROR(IF(OR('Raw Data'!AF82="",LEN(TRIM('Raw Data'!AF82))=0),"",IF(AND(ISNUMBER('Raw Data'!AF82), IFERROR('Raw Data'!AF82 = ROUND('Raw Data'!AF82, 2),FALSE)),"",_xlfn.REGEXEXTRACT(CELL("address",AF82), "\$([A-Z]+)\$[0-9]+"))),_xlfn.REGEXEXTRACT(CELL("address",AF82), "\$([A-Z]+)\$[0-9]+"))</f>
        <v/>
      </c>
      <c r="AG82" s="7" t="str" cm="1">
        <f t="array" aca="1" ref="AG82" ca="1">IFERROR(IF(OR('Raw Data'!AG82="",LEN(TRIM('Raw Data'!AG82))=0),"",IF(AND(ISNUMBER('Raw Data'!AG82), IFERROR('Raw Data'!AG82 = ROUND('Raw Data'!AG82, 2),FALSE)),"",_xlfn.REGEXEXTRACT(CELL("address",AG82), "\$([A-Z]+)\$[0-9]+"))),_xlfn.REGEXEXTRACT(CELL("address",AG82), "\$([A-Z]+)\$[0-9]+"))</f>
        <v/>
      </c>
      <c r="AH82" s="7" t="str" cm="1">
        <f t="array" aca="1" ref="AH82" ca="1">IFERROR(IF(OR('Raw Data'!AH82="",LEN(TRIM('Raw Data'!AH82))=0),"",IF(AND(ISNUMBER('Raw Data'!AH82), IFERROR('Raw Data'!AH82 = ROUND('Raw Data'!AH82, 2),FALSE)),"",_xlfn.REGEXEXTRACT(CELL("address",AH82), "\$([A-Z]+)\$[0-9]+"))),_xlfn.REGEXEXTRACT(CELL("address",AH82), "\$([A-Z]+)\$[0-9]+"))</f>
        <v/>
      </c>
      <c r="AI82" s="7" t="str" cm="1">
        <f t="array" aca="1" ref="AI82" ca="1">IFERROR(IF(OR('Raw Data'!AI82="",LEN(TRIM('Raw Data'!AI82))=0),"",IF(AND(ISNUMBER('Raw Data'!AI82), IFERROR('Raw Data'!AI82 = ROUND('Raw Data'!AI82, 2),FALSE)),"",_xlfn.REGEXEXTRACT(CELL("address",AI82), "\$([A-Z]+)\$[0-9]+"))),_xlfn.REGEXEXTRACT(CELL("address",AI82), "\$([A-Z]+)\$[0-9]+"))</f>
        <v/>
      </c>
      <c r="AJ82" s="7" t="str" cm="1">
        <f t="array" aca="1" ref="AJ82" ca="1">IFERROR(IF(OR('Raw Data'!AJ82="",LEN(TRIM('Raw Data'!AJ82))=0),"",IF(AND(ISNUMBER('Raw Data'!AJ82), IFERROR('Raw Data'!AJ82 = ROUND('Raw Data'!AJ82, 2),FALSE)),"",_xlfn.REGEXEXTRACT(CELL("address",AJ82), "\$([A-Z]+)\$[0-9]+"))),_xlfn.REGEXEXTRACT(CELL("address",AJ82), "\$([A-Z]+)\$[0-9]+"))</f>
        <v/>
      </c>
    </row>
    <row r="83" spans="2:36" x14ac:dyDescent="0.25">
      <c r="B83" s="7" t="str" cm="1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20,LEN('Raw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Data'!D83))=0),"",IF(AND(ISNUMBER('Raw Data'!D83),'Raw Data'!D83&gt;=Configuration!$D$2),"",_xlfn.REGEXEXTRACT(CELL("address",'Raw Data'!D83),"\$([A-Z]+)\$[0-9]+"))),_xlfn.REGEXEXTRACT(CELL("address",D83), "\$([A-Z]+)\$[0-9]+"))</f>
        <v/>
      </c>
      <c r="E83" s="7" t="str" cm="1">
        <f t="array" aca="1" ref="E83" ca="1">IFERROR(IF(OR('Raw Data'!E83="",LEN(TRIM('Raw Data'!E83))=0),"",IF(AND(ISNUMBER('Raw Data'!E83), IFERROR('Raw Data'!E83 = ROUND('Raw Data'!E83, 2),FALSE)),"",_xlfn.REGEXEXTRACT(CELL("address",E83), "\$([A-Z]+)\$[0-9]+"))),_xlfn.REGEXEXTRACT(CELL("address",E83), "\$([A-Z]+)\$[0-9]+"))</f>
        <v/>
      </c>
      <c r="F83" s="7" t="str" cm="1">
        <f t="array" aca="1" ref="F83" ca="1">IFERROR(IF(OR('Raw Data'!F83="",LEN(TRIM('Raw Data'!F83))=0),"",IF(AND(ISNUMBER('Raw Data'!F83), IFERROR('Raw Data'!F83 = ROUND('Raw Data'!F83, 2),FALSE)),"",_xlfn.REGEXEXTRACT(CELL("address",F83), "\$([A-Z]+)\$[0-9]+"))),_xlfn.REGEXEXTRACT(CELL("address",F83), "\$([A-Z]+)\$[0-9]+"))</f>
        <v/>
      </c>
      <c r="G83" s="7" t="str" cm="1">
        <f t="array" aca="1" ref="G83" ca="1">IFERROR(IF(OR('Raw Data'!G83="",LEN(TRIM('Raw Data'!G83))=0),"",IF(AND(ISNUMBER('Raw Data'!G83), IFERROR('Raw Data'!G83 = ROUND('Raw Data'!G83, 2),FALSE)),"",_xlfn.REGEXEXTRACT(CELL("address",G83), "\$([A-Z]+)\$[0-9]+"))),_xlfn.REGEXEXTRACT(CELL("address",G83), "\$([A-Z]+)\$[0-9]+"))</f>
        <v/>
      </c>
      <c r="H83" s="7" t="str" cm="1">
        <f t="array" aca="1" ref="H83" ca="1">IFERROR(IF(OR('Raw Data'!H83="",LEN(TRIM('Raw Data'!H83))=0),"",IF(AND(ISNUMBER('Raw Data'!H83), IFERROR('Raw Data'!H83 = ROUND('Raw Data'!H83, 2),FALSE)),"",_xlfn.REGEXEXTRACT(CELL("address",H83), "\$([A-Z]+)\$[0-9]+"))),_xlfn.REGEXEXTRACT(CELL("address",H83), "\$([A-Z]+)\$[0-9]+"))</f>
        <v/>
      </c>
      <c r="I83" s="7" t="str" cm="1">
        <f t="array" aca="1" ref="I83" ca="1">IFERROR(IF(OR('Raw Data'!I83="",LEN(TRIM('Raw Data'!I83))=0),"",IF(AND(ISNUMBER('Raw Data'!I83), IFERROR('Raw Data'!I83 = ROUND('Raw Data'!I83, 2),FALSE)),"",_xlfn.REGEXEXTRACT(CELL("address",I83), "\$([A-Z]+)\$[0-9]+"))),_xlfn.REGEXEXTRACT(CELL("address",I83), "\$([A-Z]+)\$[0-9]+"))</f>
        <v/>
      </c>
      <c r="J83" s="7" t="str" cm="1">
        <f t="array" aca="1" ref="J83" ca="1">IFERROR(IF(OR('Raw Data'!J83="",LEN(TRIM('Raw Data'!J83))=0),"",IF(AND(ISNUMBER('Raw Data'!J83), IFERROR('Raw Data'!J83 = ROUND('Raw Data'!J83, 2),FALSE)),"",_xlfn.REGEXEXTRACT(CELL("address",J83), "\$([A-Z]+)\$[0-9]+"))),_xlfn.REGEXEXTRACT(CELL("address",J83), "\$([A-Z]+)\$[0-9]+"))</f>
        <v/>
      </c>
      <c r="K83" s="7" t="str" cm="1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7" t="str" cm="1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7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7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7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7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 cm="1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7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7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7" t="str" cm="1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7" t="str" cm="1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  <c r="Z83" s="7" t="str" cm="1">
        <f t="array" aca="1" ref="Z83" ca="1">IFERROR(IF(OR('Raw Data'!Z83="",LEN(TRIM('Raw Data'!Z83))=0),"",IF(AND(ISNUMBER('Raw Data'!Z83), IFERROR('Raw Data'!Z83 = ROUND('Raw Data'!Z83, 2),FALSE)),"",_xlfn.REGEXEXTRACT(CELL("address",Z83), "\$([A-Z]+)\$[0-9]+"))),_xlfn.REGEXEXTRACT(CELL("address",Z83), "\$([A-Z]+)\$[0-9]+"))</f>
        <v/>
      </c>
      <c r="AA83" s="7" t="str" cm="1">
        <f t="array" aca="1" ref="AA83" ca="1">IFERROR(IF(OR('Raw Data'!AA83="",LEN(TRIM('Raw Data'!AA83))=0),"",IF(AND(ISNUMBER('Raw Data'!AA83), IFERROR('Raw Data'!AA83 = ROUND('Raw Data'!AA83, 2),FALSE)),"",_xlfn.REGEXEXTRACT(CELL("address",AA83), "\$([A-Z]+)\$[0-9]+"))),_xlfn.REGEXEXTRACT(CELL("address",AA83), "\$([A-Z]+)\$[0-9]+"))</f>
        <v/>
      </c>
      <c r="AB83" s="7" t="str" cm="1">
        <f t="array" aca="1" ref="AB83" ca="1">IFERROR(IF(OR('Raw Data'!AB83="",LEN(TRIM('Raw Data'!AB83))=0),"",IF(AND(ISNUMBER('Raw Data'!AB83), IFERROR('Raw Data'!AB83 = ROUND('Raw Data'!AB83, 2),FALSE)),"",_xlfn.REGEXEXTRACT(CELL("address",AB83), "\$([A-Z]+)\$[0-9]+"))),_xlfn.REGEXEXTRACT(CELL("address",AB83), "\$([A-Z]+)\$[0-9]+"))</f>
        <v/>
      </c>
      <c r="AC83" s="7" t="str" cm="1">
        <f t="array" aca="1" ref="AC83" ca="1">IFERROR(IF(OR('Raw Data'!AC83="",LEN(TRIM('Raw Data'!AC83))=0),"",IF(AND(ISNUMBER('Raw Data'!AC83), IFERROR('Raw Data'!AC83 = ROUND('Raw Data'!AC83, 2),FALSE)),"",_xlfn.REGEXEXTRACT(CELL("address",AC83), "\$([A-Z]+)\$[0-9]+"))),_xlfn.REGEXEXTRACT(CELL("address",AC83), "\$([A-Z]+)\$[0-9]+"))</f>
        <v/>
      </c>
      <c r="AD83" s="7" t="str" cm="1">
        <f t="array" aca="1" ref="AD83" ca="1">IFERROR(IF(OR('Raw Data'!AD83="",LEN(TRIM('Raw Data'!AD83))=0),"",IF(AND(ISNUMBER('Raw Data'!AD83), IFERROR('Raw Data'!AD83 = ROUND('Raw Data'!AD83, 2),FALSE)),"",_xlfn.REGEXEXTRACT(CELL("address",AD83), "\$([A-Z]+)\$[0-9]+"))),_xlfn.REGEXEXTRACT(CELL("address",AD83), "\$([A-Z]+)\$[0-9]+"))</f>
        <v/>
      </c>
      <c r="AE83" s="7" t="str" cm="1">
        <f t="array" aca="1" ref="AE83" ca="1">IFERROR(IF(OR('Raw Data'!AE83="",LEN(TRIM('Raw Data'!AE83))=0),"",IF(AND(ISNUMBER('Raw Data'!AE83), IFERROR('Raw Data'!AE83 = ROUND('Raw Data'!AE83, 2),FALSE)),"",_xlfn.REGEXEXTRACT(CELL("address",AE83), "\$([A-Z]+)\$[0-9]+"))),_xlfn.REGEXEXTRACT(CELL("address",AE83), "\$([A-Z]+)\$[0-9]+"))</f>
        <v/>
      </c>
      <c r="AF83" s="7" t="str" cm="1">
        <f t="array" aca="1" ref="AF83" ca="1">IFERROR(IF(OR('Raw Data'!AF83="",LEN(TRIM('Raw Data'!AF83))=0),"",IF(AND(ISNUMBER('Raw Data'!AF83), IFERROR('Raw Data'!AF83 = ROUND('Raw Data'!AF83, 2),FALSE)),"",_xlfn.REGEXEXTRACT(CELL("address",AF83), "\$([A-Z]+)\$[0-9]+"))),_xlfn.REGEXEXTRACT(CELL("address",AF83), "\$([A-Z]+)\$[0-9]+"))</f>
        <v/>
      </c>
      <c r="AG83" s="7" t="str" cm="1">
        <f t="array" aca="1" ref="AG83" ca="1">IFERROR(IF(OR('Raw Data'!AG83="",LEN(TRIM('Raw Data'!AG83))=0),"",IF(AND(ISNUMBER('Raw Data'!AG83), IFERROR('Raw Data'!AG83 = ROUND('Raw Data'!AG83, 2),FALSE)),"",_xlfn.REGEXEXTRACT(CELL("address",AG83), "\$([A-Z]+)\$[0-9]+"))),_xlfn.REGEXEXTRACT(CELL("address",AG83), "\$([A-Z]+)\$[0-9]+"))</f>
        <v/>
      </c>
      <c r="AH83" s="7" t="str" cm="1">
        <f t="array" aca="1" ref="AH83" ca="1">IFERROR(IF(OR('Raw Data'!AH83="",LEN(TRIM('Raw Data'!AH83))=0),"",IF(AND(ISNUMBER('Raw Data'!AH83), IFERROR('Raw Data'!AH83 = ROUND('Raw Data'!AH83, 2),FALSE)),"",_xlfn.REGEXEXTRACT(CELL("address",AH83), "\$([A-Z]+)\$[0-9]+"))),_xlfn.REGEXEXTRACT(CELL("address",AH83), "\$([A-Z]+)\$[0-9]+"))</f>
        <v/>
      </c>
      <c r="AI83" s="7" t="str" cm="1">
        <f t="array" aca="1" ref="AI83" ca="1">IFERROR(IF(OR('Raw Data'!AI83="",LEN(TRIM('Raw Data'!AI83))=0),"",IF(AND(ISNUMBER('Raw Data'!AI83), IFERROR('Raw Data'!AI83 = ROUND('Raw Data'!AI83, 2),FALSE)),"",_xlfn.REGEXEXTRACT(CELL("address",AI83), "\$([A-Z]+)\$[0-9]+"))),_xlfn.REGEXEXTRACT(CELL("address",AI83), "\$([A-Z]+)\$[0-9]+"))</f>
        <v/>
      </c>
      <c r="AJ83" s="7" t="str" cm="1">
        <f t="array" aca="1" ref="AJ83" ca="1">IFERROR(IF(OR('Raw Data'!AJ83="",LEN(TRIM('Raw Data'!AJ83))=0),"",IF(AND(ISNUMBER('Raw Data'!AJ83), IFERROR('Raw Data'!AJ83 = ROUND('Raw Data'!AJ83, 2),FALSE)),"",_xlfn.REGEXEXTRACT(CELL("address",AJ83), "\$([A-Z]+)\$[0-9]+"))),_xlfn.REGEXEXTRACT(CELL("address",AJ83), "\$([A-Z]+)\$[0-9]+"))</f>
        <v/>
      </c>
    </row>
    <row r="84" spans="2:36" x14ac:dyDescent="0.25">
      <c r="B84" s="7" t="str" cm="1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20,LEN('Raw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Data'!D84))=0),"",IF(AND(ISNUMBER('Raw Data'!D84),'Raw Data'!D84&gt;=Configuration!$D$2),"",_xlfn.REGEXEXTRACT(CELL("address",'Raw Data'!D84),"\$([A-Z]+)\$[0-9]+"))),_xlfn.REGEXEXTRACT(CELL("address",D84), "\$([A-Z]+)\$[0-9]+"))</f>
        <v/>
      </c>
      <c r="E84" s="7" t="str" cm="1">
        <f t="array" aca="1" ref="E84" ca="1">IFERROR(IF(OR('Raw Data'!E84="",LEN(TRIM('Raw Data'!E84))=0),"",IF(AND(ISNUMBER('Raw Data'!E84), IFERROR('Raw Data'!E84 = ROUND('Raw Data'!E84, 2),FALSE)),"",_xlfn.REGEXEXTRACT(CELL("address",E84), "\$([A-Z]+)\$[0-9]+"))),_xlfn.REGEXEXTRACT(CELL("address",E84), "\$([A-Z]+)\$[0-9]+"))</f>
        <v/>
      </c>
      <c r="F84" s="7" t="str" cm="1">
        <f t="array" aca="1" ref="F84" ca="1">IFERROR(IF(OR('Raw Data'!F84="",LEN(TRIM('Raw Data'!F84))=0),"",IF(AND(ISNUMBER('Raw Data'!F84), IFERROR('Raw Data'!F84 = ROUND('Raw Data'!F84, 2),FALSE)),"",_xlfn.REGEXEXTRACT(CELL("address",F84), "\$([A-Z]+)\$[0-9]+"))),_xlfn.REGEXEXTRACT(CELL("address",F84), "\$([A-Z]+)\$[0-9]+"))</f>
        <v/>
      </c>
      <c r="G84" s="7" t="str" cm="1">
        <f t="array" aca="1" ref="G84" ca="1">IFERROR(IF(OR('Raw Data'!G84="",LEN(TRIM('Raw Data'!G84))=0),"",IF(AND(ISNUMBER('Raw Data'!G84), IFERROR('Raw Data'!G84 = ROUND('Raw Data'!G84, 2),FALSE)),"",_xlfn.REGEXEXTRACT(CELL("address",G84), "\$([A-Z]+)\$[0-9]+"))),_xlfn.REGEXEXTRACT(CELL("address",G84), "\$([A-Z]+)\$[0-9]+"))</f>
        <v/>
      </c>
      <c r="H84" s="7" t="str" cm="1">
        <f t="array" aca="1" ref="H84" ca="1">IFERROR(IF(OR('Raw Data'!H84="",LEN(TRIM('Raw Data'!H84))=0),"",IF(AND(ISNUMBER('Raw Data'!H84), IFERROR('Raw Data'!H84 = ROUND('Raw Data'!H84, 2),FALSE)),"",_xlfn.REGEXEXTRACT(CELL("address",H84), "\$([A-Z]+)\$[0-9]+"))),_xlfn.REGEXEXTRACT(CELL("address",H84), "\$([A-Z]+)\$[0-9]+"))</f>
        <v/>
      </c>
      <c r="I84" s="7" t="str" cm="1">
        <f t="array" aca="1" ref="I84" ca="1">IFERROR(IF(OR('Raw Data'!I84="",LEN(TRIM('Raw Data'!I84))=0),"",IF(AND(ISNUMBER('Raw Data'!I84), IFERROR('Raw Data'!I84 = ROUND('Raw Data'!I84, 2),FALSE)),"",_xlfn.REGEXEXTRACT(CELL("address",I84), "\$([A-Z]+)\$[0-9]+"))),_xlfn.REGEXEXTRACT(CELL("address",I84), "\$([A-Z]+)\$[0-9]+"))</f>
        <v/>
      </c>
      <c r="J84" s="7" t="str" cm="1">
        <f t="array" aca="1" ref="J84" ca="1">IFERROR(IF(OR('Raw Data'!J84="",LEN(TRIM('Raw Data'!J84))=0),"",IF(AND(ISNUMBER('Raw Data'!J84), IFERROR('Raw Data'!J84 = ROUND('Raw Data'!J84, 2),FALSE)),"",_xlfn.REGEXEXTRACT(CELL("address",J84), "\$([A-Z]+)\$[0-9]+"))),_xlfn.REGEXEXTRACT(CELL("address",J84), "\$([A-Z]+)\$[0-9]+"))</f>
        <v/>
      </c>
      <c r="K84" s="7" t="str" cm="1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7" t="str" cm="1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7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7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7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7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 cm="1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7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7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7" t="str" cm="1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7" t="str" cm="1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  <c r="Z84" s="7" t="str" cm="1">
        <f t="array" aca="1" ref="Z84" ca="1">IFERROR(IF(OR('Raw Data'!Z84="",LEN(TRIM('Raw Data'!Z84))=0),"",IF(AND(ISNUMBER('Raw Data'!Z84), IFERROR('Raw Data'!Z84 = ROUND('Raw Data'!Z84, 2),FALSE)),"",_xlfn.REGEXEXTRACT(CELL("address",Z84), "\$([A-Z]+)\$[0-9]+"))),_xlfn.REGEXEXTRACT(CELL("address",Z84), "\$([A-Z]+)\$[0-9]+"))</f>
        <v/>
      </c>
      <c r="AA84" s="7" t="str" cm="1">
        <f t="array" aca="1" ref="AA84" ca="1">IFERROR(IF(OR('Raw Data'!AA84="",LEN(TRIM('Raw Data'!AA84))=0),"",IF(AND(ISNUMBER('Raw Data'!AA84), IFERROR('Raw Data'!AA84 = ROUND('Raw Data'!AA84, 2),FALSE)),"",_xlfn.REGEXEXTRACT(CELL("address",AA84), "\$([A-Z]+)\$[0-9]+"))),_xlfn.REGEXEXTRACT(CELL("address",AA84), "\$([A-Z]+)\$[0-9]+"))</f>
        <v/>
      </c>
      <c r="AB84" s="7" t="str" cm="1">
        <f t="array" aca="1" ref="AB84" ca="1">IFERROR(IF(OR('Raw Data'!AB84="",LEN(TRIM('Raw Data'!AB84))=0),"",IF(AND(ISNUMBER('Raw Data'!AB84), IFERROR('Raw Data'!AB84 = ROUND('Raw Data'!AB84, 2),FALSE)),"",_xlfn.REGEXEXTRACT(CELL("address",AB84), "\$([A-Z]+)\$[0-9]+"))),_xlfn.REGEXEXTRACT(CELL("address",AB84), "\$([A-Z]+)\$[0-9]+"))</f>
        <v/>
      </c>
      <c r="AC84" s="7" t="str" cm="1">
        <f t="array" aca="1" ref="AC84" ca="1">IFERROR(IF(OR('Raw Data'!AC84="",LEN(TRIM('Raw Data'!AC84))=0),"",IF(AND(ISNUMBER('Raw Data'!AC84), IFERROR('Raw Data'!AC84 = ROUND('Raw Data'!AC84, 2),FALSE)),"",_xlfn.REGEXEXTRACT(CELL("address",AC84), "\$([A-Z]+)\$[0-9]+"))),_xlfn.REGEXEXTRACT(CELL("address",AC84), "\$([A-Z]+)\$[0-9]+"))</f>
        <v/>
      </c>
      <c r="AD84" s="7" t="str" cm="1">
        <f t="array" aca="1" ref="AD84" ca="1">IFERROR(IF(OR('Raw Data'!AD84="",LEN(TRIM('Raw Data'!AD84))=0),"",IF(AND(ISNUMBER('Raw Data'!AD84), IFERROR('Raw Data'!AD84 = ROUND('Raw Data'!AD84, 2),FALSE)),"",_xlfn.REGEXEXTRACT(CELL("address",AD84), "\$([A-Z]+)\$[0-9]+"))),_xlfn.REGEXEXTRACT(CELL("address",AD84), "\$([A-Z]+)\$[0-9]+"))</f>
        <v/>
      </c>
      <c r="AE84" s="7" t="str" cm="1">
        <f t="array" aca="1" ref="AE84" ca="1">IFERROR(IF(OR('Raw Data'!AE84="",LEN(TRIM('Raw Data'!AE84))=0),"",IF(AND(ISNUMBER('Raw Data'!AE84), IFERROR('Raw Data'!AE84 = ROUND('Raw Data'!AE84, 2),FALSE)),"",_xlfn.REGEXEXTRACT(CELL("address",AE84), "\$([A-Z]+)\$[0-9]+"))),_xlfn.REGEXEXTRACT(CELL("address",AE84), "\$([A-Z]+)\$[0-9]+"))</f>
        <v/>
      </c>
      <c r="AF84" s="7" t="str" cm="1">
        <f t="array" aca="1" ref="AF84" ca="1">IFERROR(IF(OR('Raw Data'!AF84="",LEN(TRIM('Raw Data'!AF84))=0),"",IF(AND(ISNUMBER('Raw Data'!AF84), IFERROR('Raw Data'!AF84 = ROUND('Raw Data'!AF84, 2),FALSE)),"",_xlfn.REGEXEXTRACT(CELL("address",AF84), "\$([A-Z]+)\$[0-9]+"))),_xlfn.REGEXEXTRACT(CELL("address",AF84), "\$([A-Z]+)\$[0-9]+"))</f>
        <v/>
      </c>
      <c r="AG84" s="7" t="str" cm="1">
        <f t="array" aca="1" ref="AG84" ca="1">IFERROR(IF(OR('Raw Data'!AG84="",LEN(TRIM('Raw Data'!AG84))=0),"",IF(AND(ISNUMBER('Raw Data'!AG84), IFERROR('Raw Data'!AG84 = ROUND('Raw Data'!AG84, 2),FALSE)),"",_xlfn.REGEXEXTRACT(CELL("address",AG84), "\$([A-Z]+)\$[0-9]+"))),_xlfn.REGEXEXTRACT(CELL("address",AG84), "\$([A-Z]+)\$[0-9]+"))</f>
        <v/>
      </c>
      <c r="AH84" s="7" t="str" cm="1">
        <f t="array" aca="1" ref="AH84" ca="1">IFERROR(IF(OR('Raw Data'!AH84="",LEN(TRIM('Raw Data'!AH84))=0),"",IF(AND(ISNUMBER('Raw Data'!AH84), IFERROR('Raw Data'!AH84 = ROUND('Raw Data'!AH84, 2),FALSE)),"",_xlfn.REGEXEXTRACT(CELL("address",AH84), "\$([A-Z]+)\$[0-9]+"))),_xlfn.REGEXEXTRACT(CELL("address",AH84), "\$([A-Z]+)\$[0-9]+"))</f>
        <v/>
      </c>
      <c r="AI84" s="7" t="str" cm="1">
        <f t="array" aca="1" ref="AI84" ca="1">IFERROR(IF(OR('Raw Data'!AI84="",LEN(TRIM('Raw Data'!AI84))=0),"",IF(AND(ISNUMBER('Raw Data'!AI84), IFERROR('Raw Data'!AI84 = ROUND('Raw Data'!AI84, 2),FALSE)),"",_xlfn.REGEXEXTRACT(CELL("address",AI84), "\$([A-Z]+)\$[0-9]+"))),_xlfn.REGEXEXTRACT(CELL("address",AI84), "\$([A-Z]+)\$[0-9]+"))</f>
        <v/>
      </c>
      <c r="AJ84" s="7" t="str" cm="1">
        <f t="array" aca="1" ref="AJ84" ca="1">IFERROR(IF(OR('Raw Data'!AJ84="",LEN(TRIM('Raw Data'!AJ84))=0),"",IF(AND(ISNUMBER('Raw Data'!AJ84), IFERROR('Raw Data'!AJ84 = ROUND('Raw Data'!AJ84, 2),FALSE)),"",_xlfn.REGEXEXTRACT(CELL("address",AJ84), "\$([A-Z]+)\$[0-9]+"))),_xlfn.REGEXEXTRACT(CELL("address",AJ84), "\$([A-Z]+)\$[0-9]+"))</f>
        <v/>
      </c>
    </row>
    <row r="85" spans="2:36" x14ac:dyDescent="0.25">
      <c r="B85" s="7" t="str" cm="1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20,LEN('Raw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Data'!D85))=0),"",IF(AND(ISNUMBER('Raw Data'!D85),'Raw Data'!D85&gt;=Configuration!$D$2),"",_xlfn.REGEXEXTRACT(CELL("address",'Raw Data'!D85),"\$([A-Z]+)\$[0-9]+"))),_xlfn.REGEXEXTRACT(CELL("address",D85), "\$([A-Z]+)\$[0-9]+"))</f>
        <v/>
      </c>
      <c r="E85" s="7" t="str" cm="1">
        <f t="array" aca="1" ref="E85" ca="1">IFERROR(IF(OR('Raw Data'!E85="",LEN(TRIM('Raw Data'!E85))=0),"",IF(AND(ISNUMBER('Raw Data'!E85), IFERROR('Raw Data'!E85 = ROUND('Raw Data'!E85, 2),FALSE)),"",_xlfn.REGEXEXTRACT(CELL("address",E85), "\$([A-Z]+)\$[0-9]+"))),_xlfn.REGEXEXTRACT(CELL("address",E85), "\$([A-Z]+)\$[0-9]+"))</f>
        <v/>
      </c>
      <c r="F85" s="7" t="str" cm="1">
        <f t="array" aca="1" ref="F85" ca="1">IFERROR(IF(OR('Raw Data'!F85="",LEN(TRIM('Raw Data'!F85))=0),"",IF(AND(ISNUMBER('Raw Data'!F85), IFERROR('Raw Data'!F85 = ROUND('Raw Data'!F85, 2),FALSE)),"",_xlfn.REGEXEXTRACT(CELL("address",F85), "\$([A-Z]+)\$[0-9]+"))),_xlfn.REGEXEXTRACT(CELL("address",F85), "\$([A-Z]+)\$[0-9]+"))</f>
        <v/>
      </c>
      <c r="G85" s="7" t="str" cm="1">
        <f t="array" aca="1" ref="G85" ca="1">IFERROR(IF(OR('Raw Data'!G85="",LEN(TRIM('Raw Data'!G85))=0),"",IF(AND(ISNUMBER('Raw Data'!G85), IFERROR('Raw Data'!G85 = ROUND('Raw Data'!G85, 2),FALSE)),"",_xlfn.REGEXEXTRACT(CELL("address",G85), "\$([A-Z]+)\$[0-9]+"))),_xlfn.REGEXEXTRACT(CELL("address",G85), "\$([A-Z]+)\$[0-9]+"))</f>
        <v/>
      </c>
      <c r="H85" s="7" t="str" cm="1">
        <f t="array" aca="1" ref="H85" ca="1">IFERROR(IF(OR('Raw Data'!H85="",LEN(TRIM('Raw Data'!H85))=0),"",IF(AND(ISNUMBER('Raw Data'!H85), IFERROR('Raw Data'!H85 = ROUND('Raw Data'!H85, 2),FALSE)),"",_xlfn.REGEXEXTRACT(CELL("address",H85), "\$([A-Z]+)\$[0-9]+"))),_xlfn.REGEXEXTRACT(CELL("address",H85), "\$([A-Z]+)\$[0-9]+"))</f>
        <v/>
      </c>
      <c r="I85" s="7" t="str" cm="1">
        <f t="array" aca="1" ref="I85" ca="1">IFERROR(IF(OR('Raw Data'!I85="",LEN(TRIM('Raw Data'!I85))=0),"",IF(AND(ISNUMBER('Raw Data'!I85), IFERROR('Raw Data'!I85 = ROUND('Raw Data'!I85, 2),FALSE)),"",_xlfn.REGEXEXTRACT(CELL("address",I85), "\$([A-Z]+)\$[0-9]+"))),_xlfn.REGEXEXTRACT(CELL("address",I85), "\$([A-Z]+)\$[0-9]+"))</f>
        <v/>
      </c>
      <c r="J85" s="7" t="str" cm="1">
        <f t="array" aca="1" ref="J85" ca="1">IFERROR(IF(OR('Raw Data'!J85="",LEN(TRIM('Raw Data'!J85))=0),"",IF(AND(ISNUMBER('Raw Data'!J85), IFERROR('Raw Data'!J85 = ROUND('Raw Data'!J85, 2),FALSE)),"",_xlfn.REGEXEXTRACT(CELL("address",J85), "\$([A-Z]+)\$[0-9]+"))),_xlfn.REGEXEXTRACT(CELL("address",J85), "\$([A-Z]+)\$[0-9]+"))</f>
        <v/>
      </c>
      <c r="K85" s="7" t="str" cm="1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7" t="str" cm="1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7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7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7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7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 cm="1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7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7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7" t="str" cm="1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7" t="str" cm="1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  <c r="Z85" s="7" t="str" cm="1">
        <f t="array" aca="1" ref="Z85" ca="1">IFERROR(IF(OR('Raw Data'!Z85="",LEN(TRIM('Raw Data'!Z85))=0),"",IF(AND(ISNUMBER('Raw Data'!Z85), IFERROR('Raw Data'!Z85 = ROUND('Raw Data'!Z85, 2),FALSE)),"",_xlfn.REGEXEXTRACT(CELL("address",Z85), "\$([A-Z]+)\$[0-9]+"))),_xlfn.REGEXEXTRACT(CELL("address",Z85), "\$([A-Z]+)\$[0-9]+"))</f>
        <v/>
      </c>
      <c r="AA85" s="7" t="str" cm="1">
        <f t="array" aca="1" ref="AA85" ca="1">IFERROR(IF(OR('Raw Data'!AA85="",LEN(TRIM('Raw Data'!AA85))=0),"",IF(AND(ISNUMBER('Raw Data'!AA85), IFERROR('Raw Data'!AA85 = ROUND('Raw Data'!AA85, 2),FALSE)),"",_xlfn.REGEXEXTRACT(CELL("address",AA85), "\$([A-Z]+)\$[0-9]+"))),_xlfn.REGEXEXTRACT(CELL("address",AA85), "\$([A-Z]+)\$[0-9]+"))</f>
        <v/>
      </c>
      <c r="AB85" s="7" t="str" cm="1">
        <f t="array" aca="1" ref="AB85" ca="1">IFERROR(IF(OR('Raw Data'!AB85="",LEN(TRIM('Raw Data'!AB85))=0),"",IF(AND(ISNUMBER('Raw Data'!AB85), IFERROR('Raw Data'!AB85 = ROUND('Raw Data'!AB85, 2),FALSE)),"",_xlfn.REGEXEXTRACT(CELL("address",AB85), "\$([A-Z]+)\$[0-9]+"))),_xlfn.REGEXEXTRACT(CELL("address",AB85), "\$([A-Z]+)\$[0-9]+"))</f>
        <v/>
      </c>
      <c r="AC85" s="7" t="str" cm="1">
        <f t="array" aca="1" ref="AC85" ca="1">IFERROR(IF(OR('Raw Data'!AC85="",LEN(TRIM('Raw Data'!AC85))=0),"",IF(AND(ISNUMBER('Raw Data'!AC85), IFERROR('Raw Data'!AC85 = ROUND('Raw Data'!AC85, 2),FALSE)),"",_xlfn.REGEXEXTRACT(CELL("address",AC85), "\$([A-Z]+)\$[0-9]+"))),_xlfn.REGEXEXTRACT(CELL("address",AC85), "\$([A-Z]+)\$[0-9]+"))</f>
        <v/>
      </c>
      <c r="AD85" s="7" t="str" cm="1">
        <f t="array" aca="1" ref="AD85" ca="1">IFERROR(IF(OR('Raw Data'!AD85="",LEN(TRIM('Raw Data'!AD85))=0),"",IF(AND(ISNUMBER('Raw Data'!AD85), IFERROR('Raw Data'!AD85 = ROUND('Raw Data'!AD85, 2),FALSE)),"",_xlfn.REGEXEXTRACT(CELL("address",AD85), "\$([A-Z]+)\$[0-9]+"))),_xlfn.REGEXEXTRACT(CELL("address",AD85), "\$([A-Z]+)\$[0-9]+"))</f>
        <v/>
      </c>
      <c r="AE85" s="7" t="str" cm="1">
        <f t="array" aca="1" ref="AE85" ca="1">IFERROR(IF(OR('Raw Data'!AE85="",LEN(TRIM('Raw Data'!AE85))=0),"",IF(AND(ISNUMBER('Raw Data'!AE85), IFERROR('Raw Data'!AE85 = ROUND('Raw Data'!AE85, 2),FALSE)),"",_xlfn.REGEXEXTRACT(CELL("address",AE85), "\$([A-Z]+)\$[0-9]+"))),_xlfn.REGEXEXTRACT(CELL("address",AE85), "\$([A-Z]+)\$[0-9]+"))</f>
        <v/>
      </c>
      <c r="AF85" s="7" t="str" cm="1">
        <f t="array" aca="1" ref="AF85" ca="1">IFERROR(IF(OR('Raw Data'!AF85="",LEN(TRIM('Raw Data'!AF85))=0),"",IF(AND(ISNUMBER('Raw Data'!AF85), IFERROR('Raw Data'!AF85 = ROUND('Raw Data'!AF85, 2),FALSE)),"",_xlfn.REGEXEXTRACT(CELL("address",AF85), "\$([A-Z]+)\$[0-9]+"))),_xlfn.REGEXEXTRACT(CELL("address",AF85), "\$([A-Z]+)\$[0-9]+"))</f>
        <v/>
      </c>
      <c r="AG85" s="7" t="str" cm="1">
        <f t="array" aca="1" ref="AG85" ca="1">IFERROR(IF(OR('Raw Data'!AG85="",LEN(TRIM('Raw Data'!AG85))=0),"",IF(AND(ISNUMBER('Raw Data'!AG85), IFERROR('Raw Data'!AG85 = ROUND('Raw Data'!AG85, 2),FALSE)),"",_xlfn.REGEXEXTRACT(CELL("address",AG85), "\$([A-Z]+)\$[0-9]+"))),_xlfn.REGEXEXTRACT(CELL("address",AG85), "\$([A-Z]+)\$[0-9]+"))</f>
        <v/>
      </c>
      <c r="AH85" s="7" t="str" cm="1">
        <f t="array" aca="1" ref="AH85" ca="1">IFERROR(IF(OR('Raw Data'!AH85="",LEN(TRIM('Raw Data'!AH85))=0),"",IF(AND(ISNUMBER('Raw Data'!AH85), IFERROR('Raw Data'!AH85 = ROUND('Raw Data'!AH85, 2),FALSE)),"",_xlfn.REGEXEXTRACT(CELL("address",AH85), "\$([A-Z]+)\$[0-9]+"))),_xlfn.REGEXEXTRACT(CELL("address",AH85), "\$([A-Z]+)\$[0-9]+"))</f>
        <v/>
      </c>
      <c r="AI85" s="7" t="str" cm="1">
        <f t="array" aca="1" ref="AI85" ca="1">IFERROR(IF(OR('Raw Data'!AI85="",LEN(TRIM('Raw Data'!AI85))=0),"",IF(AND(ISNUMBER('Raw Data'!AI85), IFERROR('Raw Data'!AI85 = ROUND('Raw Data'!AI85, 2),FALSE)),"",_xlfn.REGEXEXTRACT(CELL("address",AI85), "\$([A-Z]+)\$[0-9]+"))),_xlfn.REGEXEXTRACT(CELL("address",AI85), "\$([A-Z]+)\$[0-9]+"))</f>
        <v/>
      </c>
      <c r="AJ85" s="7" t="str" cm="1">
        <f t="array" aca="1" ref="AJ85" ca="1">IFERROR(IF(OR('Raw Data'!AJ85="",LEN(TRIM('Raw Data'!AJ85))=0),"",IF(AND(ISNUMBER('Raw Data'!AJ85), IFERROR('Raw Data'!AJ85 = ROUND('Raw Data'!AJ85, 2),FALSE)),"",_xlfn.REGEXEXTRACT(CELL("address",AJ85), "\$([A-Z]+)\$[0-9]+"))),_xlfn.REGEXEXTRACT(CELL("address",AJ85), "\$([A-Z]+)\$[0-9]+"))</f>
        <v/>
      </c>
    </row>
    <row r="86" spans="2:36" x14ac:dyDescent="0.25">
      <c r="B86" s="7" t="str" cm="1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20,LEN('Raw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Data'!D86))=0),"",IF(AND(ISNUMBER('Raw Data'!D86),'Raw Data'!D86&gt;=Configuration!$D$2),"",_xlfn.REGEXEXTRACT(CELL("address",'Raw Data'!D86),"\$([A-Z]+)\$[0-9]+"))),_xlfn.REGEXEXTRACT(CELL("address",D86), "\$([A-Z]+)\$[0-9]+"))</f>
        <v/>
      </c>
      <c r="E86" s="7" t="str" cm="1">
        <f t="array" aca="1" ref="E86" ca="1">IFERROR(IF(OR('Raw Data'!E86="",LEN(TRIM('Raw Data'!E86))=0),"",IF(AND(ISNUMBER('Raw Data'!E86), IFERROR('Raw Data'!E86 = ROUND('Raw Data'!E86, 2),FALSE)),"",_xlfn.REGEXEXTRACT(CELL("address",E86), "\$([A-Z]+)\$[0-9]+"))),_xlfn.REGEXEXTRACT(CELL("address",E86), "\$([A-Z]+)\$[0-9]+"))</f>
        <v/>
      </c>
      <c r="F86" s="7" t="str" cm="1">
        <f t="array" aca="1" ref="F86" ca="1">IFERROR(IF(OR('Raw Data'!F86="",LEN(TRIM('Raw Data'!F86))=0),"",IF(AND(ISNUMBER('Raw Data'!F86), IFERROR('Raw Data'!F86 = ROUND('Raw Data'!F86, 2),FALSE)),"",_xlfn.REGEXEXTRACT(CELL("address",F86), "\$([A-Z]+)\$[0-9]+"))),_xlfn.REGEXEXTRACT(CELL("address",F86), "\$([A-Z]+)\$[0-9]+"))</f>
        <v/>
      </c>
      <c r="G86" s="7" t="str" cm="1">
        <f t="array" aca="1" ref="G86" ca="1">IFERROR(IF(OR('Raw Data'!G86="",LEN(TRIM('Raw Data'!G86))=0),"",IF(AND(ISNUMBER('Raw Data'!G86), IFERROR('Raw Data'!G86 = ROUND('Raw Data'!G86, 2),FALSE)),"",_xlfn.REGEXEXTRACT(CELL("address",G86), "\$([A-Z]+)\$[0-9]+"))),_xlfn.REGEXEXTRACT(CELL("address",G86), "\$([A-Z]+)\$[0-9]+"))</f>
        <v/>
      </c>
      <c r="H86" s="7" t="str" cm="1">
        <f t="array" aca="1" ref="H86" ca="1">IFERROR(IF(OR('Raw Data'!H86="",LEN(TRIM('Raw Data'!H86))=0),"",IF(AND(ISNUMBER('Raw Data'!H86), IFERROR('Raw Data'!H86 = ROUND('Raw Data'!H86, 2),FALSE)),"",_xlfn.REGEXEXTRACT(CELL("address",H86), "\$([A-Z]+)\$[0-9]+"))),_xlfn.REGEXEXTRACT(CELL("address",H86), "\$([A-Z]+)\$[0-9]+"))</f>
        <v/>
      </c>
      <c r="I86" s="7" t="str" cm="1">
        <f t="array" aca="1" ref="I86" ca="1">IFERROR(IF(OR('Raw Data'!I86="",LEN(TRIM('Raw Data'!I86))=0),"",IF(AND(ISNUMBER('Raw Data'!I86), IFERROR('Raw Data'!I86 = ROUND('Raw Data'!I86, 2),FALSE)),"",_xlfn.REGEXEXTRACT(CELL("address",I86), "\$([A-Z]+)\$[0-9]+"))),_xlfn.REGEXEXTRACT(CELL("address",I86), "\$([A-Z]+)\$[0-9]+"))</f>
        <v/>
      </c>
      <c r="J86" s="7" t="str" cm="1">
        <f t="array" aca="1" ref="J86" ca="1">IFERROR(IF(OR('Raw Data'!J86="",LEN(TRIM('Raw Data'!J86))=0),"",IF(AND(ISNUMBER('Raw Data'!J86), IFERROR('Raw Data'!J86 = ROUND('Raw Data'!J86, 2),FALSE)),"",_xlfn.REGEXEXTRACT(CELL("address",J86), "\$([A-Z]+)\$[0-9]+"))),_xlfn.REGEXEXTRACT(CELL("address",J86), "\$([A-Z]+)\$[0-9]+"))</f>
        <v/>
      </c>
      <c r="K86" s="7" t="str" cm="1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7" t="str" cm="1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7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7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7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7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 cm="1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7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7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7" t="str" cm="1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7" t="str" cm="1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  <c r="Z86" s="7" t="str" cm="1">
        <f t="array" aca="1" ref="Z86" ca="1">IFERROR(IF(OR('Raw Data'!Z86="",LEN(TRIM('Raw Data'!Z86))=0),"",IF(AND(ISNUMBER('Raw Data'!Z86), IFERROR('Raw Data'!Z86 = ROUND('Raw Data'!Z86, 2),FALSE)),"",_xlfn.REGEXEXTRACT(CELL("address",Z86), "\$([A-Z]+)\$[0-9]+"))),_xlfn.REGEXEXTRACT(CELL("address",Z86), "\$([A-Z]+)\$[0-9]+"))</f>
        <v/>
      </c>
      <c r="AA86" s="7" t="str" cm="1">
        <f t="array" aca="1" ref="AA86" ca="1">IFERROR(IF(OR('Raw Data'!AA86="",LEN(TRIM('Raw Data'!AA86))=0),"",IF(AND(ISNUMBER('Raw Data'!AA86), IFERROR('Raw Data'!AA86 = ROUND('Raw Data'!AA86, 2),FALSE)),"",_xlfn.REGEXEXTRACT(CELL("address",AA86), "\$([A-Z]+)\$[0-9]+"))),_xlfn.REGEXEXTRACT(CELL("address",AA86), "\$([A-Z]+)\$[0-9]+"))</f>
        <v/>
      </c>
      <c r="AB86" s="7" t="str" cm="1">
        <f t="array" aca="1" ref="AB86" ca="1">IFERROR(IF(OR('Raw Data'!AB86="",LEN(TRIM('Raw Data'!AB86))=0),"",IF(AND(ISNUMBER('Raw Data'!AB86), IFERROR('Raw Data'!AB86 = ROUND('Raw Data'!AB86, 2),FALSE)),"",_xlfn.REGEXEXTRACT(CELL("address",AB86), "\$([A-Z]+)\$[0-9]+"))),_xlfn.REGEXEXTRACT(CELL("address",AB86), "\$([A-Z]+)\$[0-9]+"))</f>
        <v/>
      </c>
      <c r="AC86" s="7" t="str" cm="1">
        <f t="array" aca="1" ref="AC86" ca="1">IFERROR(IF(OR('Raw Data'!AC86="",LEN(TRIM('Raw Data'!AC86))=0),"",IF(AND(ISNUMBER('Raw Data'!AC86), IFERROR('Raw Data'!AC86 = ROUND('Raw Data'!AC86, 2),FALSE)),"",_xlfn.REGEXEXTRACT(CELL("address",AC86), "\$([A-Z]+)\$[0-9]+"))),_xlfn.REGEXEXTRACT(CELL("address",AC86), "\$([A-Z]+)\$[0-9]+"))</f>
        <v/>
      </c>
      <c r="AD86" s="7" t="str" cm="1">
        <f t="array" aca="1" ref="AD86" ca="1">IFERROR(IF(OR('Raw Data'!AD86="",LEN(TRIM('Raw Data'!AD86))=0),"",IF(AND(ISNUMBER('Raw Data'!AD86), IFERROR('Raw Data'!AD86 = ROUND('Raw Data'!AD86, 2),FALSE)),"",_xlfn.REGEXEXTRACT(CELL("address",AD86), "\$([A-Z]+)\$[0-9]+"))),_xlfn.REGEXEXTRACT(CELL("address",AD86), "\$([A-Z]+)\$[0-9]+"))</f>
        <v/>
      </c>
      <c r="AE86" s="7" t="str" cm="1">
        <f t="array" aca="1" ref="AE86" ca="1">IFERROR(IF(OR('Raw Data'!AE86="",LEN(TRIM('Raw Data'!AE86))=0),"",IF(AND(ISNUMBER('Raw Data'!AE86), IFERROR('Raw Data'!AE86 = ROUND('Raw Data'!AE86, 2),FALSE)),"",_xlfn.REGEXEXTRACT(CELL("address",AE86), "\$([A-Z]+)\$[0-9]+"))),_xlfn.REGEXEXTRACT(CELL("address",AE86), "\$([A-Z]+)\$[0-9]+"))</f>
        <v/>
      </c>
      <c r="AF86" s="7" t="str" cm="1">
        <f t="array" aca="1" ref="AF86" ca="1">IFERROR(IF(OR('Raw Data'!AF86="",LEN(TRIM('Raw Data'!AF86))=0),"",IF(AND(ISNUMBER('Raw Data'!AF86), IFERROR('Raw Data'!AF86 = ROUND('Raw Data'!AF86, 2),FALSE)),"",_xlfn.REGEXEXTRACT(CELL("address",AF86), "\$([A-Z]+)\$[0-9]+"))),_xlfn.REGEXEXTRACT(CELL("address",AF86), "\$([A-Z]+)\$[0-9]+"))</f>
        <v/>
      </c>
      <c r="AG86" s="7" t="str" cm="1">
        <f t="array" aca="1" ref="AG86" ca="1">IFERROR(IF(OR('Raw Data'!AG86="",LEN(TRIM('Raw Data'!AG86))=0),"",IF(AND(ISNUMBER('Raw Data'!AG86), IFERROR('Raw Data'!AG86 = ROUND('Raw Data'!AG86, 2),FALSE)),"",_xlfn.REGEXEXTRACT(CELL("address",AG86), "\$([A-Z]+)\$[0-9]+"))),_xlfn.REGEXEXTRACT(CELL("address",AG86), "\$([A-Z]+)\$[0-9]+"))</f>
        <v/>
      </c>
      <c r="AH86" s="7" t="str" cm="1">
        <f t="array" aca="1" ref="AH86" ca="1">IFERROR(IF(OR('Raw Data'!AH86="",LEN(TRIM('Raw Data'!AH86))=0),"",IF(AND(ISNUMBER('Raw Data'!AH86), IFERROR('Raw Data'!AH86 = ROUND('Raw Data'!AH86, 2),FALSE)),"",_xlfn.REGEXEXTRACT(CELL("address",AH86), "\$([A-Z]+)\$[0-9]+"))),_xlfn.REGEXEXTRACT(CELL("address",AH86), "\$([A-Z]+)\$[0-9]+"))</f>
        <v/>
      </c>
      <c r="AI86" s="7" t="str" cm="1">
        <f t="array" aca="1" ref="AI86" ca="1">IFERROR(IF(OR('Raw Data'!AI86="",LEN(TRIM('Raw Data'!AI86))=0),"",IF(AND(ISNUMBER('Raw Data'!AI86), IFERROR('Raw Data'!AI86 = ROUND('Raw Data'!AI86, 2),FALSE)),"",_xlfn.REGEXEXTRACT(CELL("address",AI86), "\$([A-Z]+)\$[0-9]+"))),_xlfn.REGEXEXTRACT(CELL("address",AI86), "\$([A-Z]+)\$[0-9]+"))</f>
        <v/>
      </c>
      <c r="AJ86" s="7" t="str" cm="1">
        <f t="array" aca="1" ref="AJ86" ca="1">IFERROR(IF(OR('Raw Data'!AJ86="",LEN(TRIM('Raw Data'!AJ86))=0),"",IF(AND(ISNUMBER('Raw Data'!AJ86), IFERROR('Raw Data'!AJ86 = ROUND('Raw Data'!AJ86, 2),FALSE)),"",_xlfn.REGEXEXTRACT(CELL("address",AJ86), "\$([A-Z]+)\$[0-9]+"))),_xlfn.REGEXEXTRACT(CELL("address",AJ86), "\$([A-Z]+)\$[0-9]+"))</f>
        <v/>
      </c>
    </row>
    <row r="87" spans="2:36" x14ac:dyDescent="0.25">
      <c r="B87" s="7" t="str" cm="1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20,LEN('Raw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Data'!D87))=0),"",IF(AND(ISNUMBER('Raw Data'!D87),'Raw Data'!D87&gt;=Configuration!$D$2),"",_xlfn.REGEXEXTRACT(CELL("address",'Raw Data'!D87),"\$([A-Z]+)\$[0-9]+"))),_xlfn.REGEXEXTRACT(CELL("address",D87), "\$([A-Z]+)\$[0-9]+"))</f>
        <v/>
      </c>
      <c r="E87" s="7" t="str" cm="1">
        <f t="array" aca="1" ref="E87" ca="1">IFERROR(IF(OR('Raw Data'!E87="",LEN(TRIM('Raw Data'!E87))=0),"",IF(AND(ISNUMBER('Raw Data'!E87), IFERROR('Raw Data'!E87 = ROUND('Raw Data'!E87, 2),FALSE)),"",_xlfn.REGEXEXTRACT(CELL("address",E87), "\$([A-Z]+)\$[0-9]+"))),_xlfn.REGEXEXTRACT(CELL("address",E87), "\$([A-Z]+)\$[0-9]+"))</f>
        <v/>
      </c>
      <c r="F87" s="7" t="str" cm="1">
        <f t="array" aca="1" ref="F87" ca="1">IFERROR(IF(OR('Raw Data'!F87="",LEN(TRIM('Raw Data'!F87))=0),"",IF(AND(ISNUMBER('Raw Data'!F87), IFERROR('Raw Data'!F87 = ROUND('Raw Data'!F87, 2),FALSE)),"",_xlfn.REGEXEXTRACT(CELL("address",F87), "\$([A-Z]+)\$[0-9]+"))),_xlfn.REGEXEXTRACT(CELL("address",F87), "\$([A-Z]+)\$[0-9]+"))</f>
        <v/>
      </c>
      <c r="G87" s="7" t="str" cm="1">
        <f t="array" aca="1" ref="G87" ca="1">IFERROR(IF(OR('Raw Data'!G87="",LEN(TRIM('Raw Data'!G87))=0),"",IF(AND(ISNUMBER('Raw Data'!G87), IFERROR('Raw Data'!G87 = ROUND('Raw Data'!G87, 2),FALSE)),"",_xlfn.REGEXEXTRACT(CELL("address",G87), "\$([A-Z]+)\$[0-9]+"))),_xlfn.REGEXEXTRACT(CELL("address",G87), "\$([A-Z]+)\$[0-9]+"))</f>
        <v/>
      </c>
      <c r="H87" s="7" t="str" cm="1">
        <f t="array" aca="1" ref="H87" ca="1">IFERROR(IF(OR('Raw Data'!H87="",LEN(TRIM('Raw Data'!H87))=0),"",IF(AND(ISNUMBER('Raw Data'!H87), IFERROR('Raw Data'!H87 = ROUND('Raw Data'!H87, 2),FALSE)),"",_xlfn.REGEXEXTRACT(CELL("address",H87), "\$([A-Z]+)\$[0-9]+"))),_xlfn.REGEXEXTRACT(CELL("address",H87), "\$([A-Z]+)\$[0-9]+"))</f>
        <v/>
      </c>
      <c r="I87" s="7" t="str" cm="1">
        <f t="array" aca="1" ref="I87" ca="1">IFERROR(IF(OR('Raw Data'!I87="",LEN(TRIM('Raw Data'!I87))=0),"",IF(AND(ISNUMBER('Raw Data'!I87), IFERROR('Raw Data'!I87 = ROUND('Raw Data'!I87, 2),FALSE)),"",_xlfn.REGEXEXTRACT(CELL("address",I87), "\$([A-Z]+)\$[0-9]+"))),_xlfn.REGEXEXTRACT(CELL("address",I87), "\$([A-Z]+)\$[0-9]+"))</f>
        <v/>
      </c>
      <c r="J87" s="7" t="str" cm="1">
        <f t="array" aca="1" ref="J87" ca="1">IFERROR(IF(OR('Raw Data'!J87="",LEN(TRIM('Raw Data'!J87))=0),"",IF(AND(ISNUMBER('Raw Data'!J87), IFERROR('Raw Data'!J87 = ROUND('Raw Data'!J87, 2),FALSE)),"",_xlfn.REGEXEXTRACT(CELL("address",J87), "\$([A-Z]+)\$[0-9]+"))),_xlfn.REGEXEXTRACT(CELL("address",J87), "\$([A-Z]+)\$[0-9]+"))</f>
        <v/>
      </c>
      <c r="K87" s="7" t="str" cm="1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7" t="str" cm="1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7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7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7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7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 cm="1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7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7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7" t="str" cm="1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7" t="str" cm="1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  <c r="Z87" s="7" t="str" cm="1">
        <f t="array" aca="1" ref="Z87" ca="1">IFERROR(IF(OR('Raw Data'!Z87="",LEN(TRIM('Raw Data'!Z87))=0),"",IF(AND(ISNUMBER('Raw Data'!Z87), IFERROR('Raw Data'!Z87 = ROUND('Raw Data'!Z87, 2),FALSE)),"",_xlfn.REGEXEXTRACT(CELL("address",Z87), "\$([A-Z]+)\$[0-9]+"))),_xlfn.REGEXEXTRACT(CELL("address",Z87), "\$([A-Z]+)\$[0-9]+"))</f>
        <v/>
      </c>
      <c r="AA87" s="7" t="str" cm="1">
        <f t="array" aca="1" ref="AA87" ca="1">IFERROR(IF(OR('Raw Data'!AA87="",LEN(TRIM('Raw Data'!AA87))=0),"",IF(AND(ISNUMBER('Raw Data'!AA87), IFERROR('Raw Data'!AA87 = ROUND('Raw Data'!AA87, 2),FALSE)),"",_xlfn.REGEXEXTRACT(CELL("address",AA87), "\$([A-Z]+)\$[0-9]+"))),_xlfn.REGEXEXTRACT(CELL("address",AA87), "\$([A-Z]+)\$[0-9]+"))</f>
        <v/>
      </c>
      <c r="AB87" s="7" t="str" cm="1">
        <f t="array" aca="1" ref="AB87" ca="1">IFERROR(IF(OR('Raw Data'!AB87="",LEN(TRIM('Raw Data'!AB87))=0),"",IF(AND(ISNUMBER('Raw Data'!AB87), IFERROR('Raw Data'!AB87 = ROUND('Raw Data'!AB87, 2),FALSE)),"",_xlfn.REGEXEXTRACT(CELL("address",AB87), "\$([A-Z]+)\$[0-9]+"))),_xlfn.REGEXEXTRACT(CELL("address",AB87), "\$([A-Z]+)\$[0-9]+"))</f>
        <v/>
      </c>
      <c r="AC87" s="7" t="str" cm="1">
        <f t="array" aca="1" ref="AC87" ca="1">IFERROR(IF(OR('Raw Data'!AC87="",LEN(TRIM('Raw Data'!AC87))=0),"",IF(AND(ISNUMBER('Raw Data'!AC87), IFERROR('Raw Data'!AC87 = ROUND('Raw Data'!AC87, 2),FALSE)),"",_xlfn.REGEXEXTRACT(CELL("address",AC87), "\$([A-Z]+)\$[0-9]+"))),_xlfn.REGEXEXTRACT(CELL("address",AC87), "\$([A-Z]+)\$[0-9]+"))</f>
        <v/>
      </c>
      <c r="AD87" s="7" t="str" cm="1">
        <f t="array" aca="1" ref="AD87" ca="1">IFERROR(IF(OR('Raw Data'!AD87="",LEN(TRIM('Raw Data'!AD87))=0),"",IF(AND(ISNUMBER('Raw Data'!AD87), IFERROR('Raw Data'!AD87 = ROUND('Raw Data'!AD87, 2),FALSE)),"",_xlfn.REGEXEXTRACT(CELL("address",AD87), "\$([A-Z]+)\$[0-9]+"))),_xlfn.REGEXEXTRACT(CELL("address",AD87), "\$([A-Z]+)\$[0-9]+"))</f>
        <v/>
      </c>
      <c r="AE87" s="7" t="str" cm="1">
        <f t="array" aca="1" ref="AE87" ca="1">IFERROR(IF(OR('Raw Data'!AE87="",LEN(TRIM('Raw Data'!AE87))=0),"",IF(AND(ISNUMBER('Raw Data'!AE87), IFERROR('Raw Data'!AE87 = ROUND('Raw Data'!AE87, 2),FALSE)),"",_xlfn.REGEXEXTRACT(CELL("address",AE87), "\$([A-Z]+)\$[0-9]+"))),_xlfn.REGEXEXTRACT(CELL("address",AE87), "\$([A-Z]+)\$[0-9]+"))</f>
        <v/>
      </c>
      <c r="AF87" s="7" t="str" cm="1">
        <f t="array" aca="1" ref="AF87" ca="1">IFERROR(IF(OR('Raw Data'!AF87="",LEN(TRIM('Raw Data'!AF87))=0),"",IF(AND(ISNUMBER('Raw Data'!AF87), IFERROR('Raw Data'!AF87 = ROUND('Raw Data'!AF87, 2),FALSE)),"",_xlfn.REGEXEXTRACT(CELL("address",AF87), "\$([A-Z]+)\$[0-9]+"))),_xlfn.REGEXEXTRACT(CELL("address",AF87), "\$([A-Z]+)\$[0-9]+"))</f>
        <v/>
      </c>
      <c r="AG87" s="7" t="str" cm="1">
        <f t="array" aca="1" ref="AG87" ca="1">IFERROR(IF(OR('Raw Data'!AG87="",LEN(TRIM('Raw Data'!AG87))=0),"",IF(AND(ISNUMBER('Raw Data'!AG87), IFERROR('Raw Data'!AG87 = ROUND('Raw Data'!AG87, 2),FALSE)),"",_xlfn.REGEXEXTRACT(CELL("address",AG87), "\$([A-Z]+)\$[0-9]+"))),_xlfn.REGEXEXTRACT(CELL("address",AG87), "\$([A-Z]+)\$[0-9]+"))</f>
        <v/>
      </c>
      <c r="AH87" s="7" t="str" cm="1">
        <f t="array" aca="1" ref="AH87" ca="1">IFERROR(IF(OR('Raw Data'!AH87="",LEN(TRIM('Raw Data'!AH87))=0),"",IF(AND(ISNUMBER('Raw Data'!AH87), IFERROR('Raw Data'!AH87 = ROUND('Raw Data'!AH87, 2),FALSE)),"",_xlfn.REGEXEXTRACT(CELL("address",AH87), "\$([A-Z]+)\$[0-9]+"))),_xlfn.REGEXEXTRACT(CELL("address",AH87), "\$([A-Z]+)\$[0-9]+"))</f>
        <v/>
      </c>
      <c r="AI87" s="7" t="str" cm="1">
        <f t="array" aca="1" ref="AI87" ca="1">IFERROR(IF(OR('Raw Data'!AI87="",LEN(TRIM('Raw Data'!AI87))=0),"",IF(AND(ISNUMBER('Raw Data'!AI87), IFERROR('Raw Data'!AI87 = ROUND('Raw Data'!AI87, 2),FALSE)),"",_xlfn.REGEXEXTRACT(CELL("address",AI87), "\$([A-Z]+)\$[0-9]+"))),_xlfn.REGEXEXTRACT(CELL("address",AI87), "\$([A-Z]+)\$[0-9]+"))</f>
        <v/>
      </c>
      <c r="AJ87" s="7" t="str" cm="1">
        <f t="array" aca="1" ref="AJ87" ca="1">IFERROR(IF(OR('Raw Data'!AJ87="",LEN(TRIM('Raw Data'!AJ87))=0),"",IF(AND(ISNUMBER('Raw Data'!AJ87), IFERROR('Raw Data'!AJ87 = ROUND('Raw Data'!AJ87, 2),FALSE)),"",_xlfn.REGEXEXTRACT(CELL("address",AJ87), "\$([A-Z]+)\$[0-9]+"))),_xlfn.REGEXEXTRACT(CELL("address",AJ87), "\$([A-Z]+)\$[0-9]+"))</f>
        <v/>
      </c>
    </row>
    <row r="88" spans="2:36" x14ac:dyDescent="0.25">
      <c r="B88" s="7" t="str" cm="1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20,LEN('Raw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Data'!D88))=0),"",IF(AND(ISNUMBER('Raw Data'!D88),'Raw Data'!D88&gt;=Configuration!$D$2),"",_xlfn.REGEXEXTRACT(CELL("address",'Raw Data'!D88),"\$([A-Z]+)\$[0-9]+"))),_xlfn.REGEXEXTRACT(CELL("address",D88), "\$([A-Z]+)\$[0-9]+"))</f>
        <v/>
      </c>
      <c r="E88" s="7" t="str" cm="1">
        <f t="array" aca="1" ref="E88" ca="1">IFERROR(IF(OR('Raw Data'!E88="",LEN(TRIM('Raw Data'!E88))=0),"",IF(AND(ISNUMBER('Raw Data'!E88), IFERROR('Raw Data'!E88 = ROUND('Raw Data'!E88, 2),FALSE)),"",_xlfn.REGEXEXTRACT(CELL("address",E88), "\$([A-Z]+)\$[0-9]+"))),_xlfn.REGEXEXTRACT(CELL("address",E88), "\$([A-Z]+)\$[0-9]+"))</f>
        <v/>
      </c>
      <c r="F88" s="7" t="str" cm="1">
        <f t="array" aca="1" ref="F88" ca="1">IFERROR(IF(OR('Raw Data'!F88="",LEN(TRIM('Raw Data'!F88))=0),"",IF(AND(ISNUMBER('Raw Data'!F88), IFERROR('Raw Data'!F88 = ROUND('Raw Data'!F88, 2),FALSE)),"",_xlfn.REGEXEXTRACT(CELL("address",F88), "\$([A-Z]+)\$[0-9]+"))),_xlfn.REGEXEXTRACT(CELL("address",F88), "\$([A-Z]+)\$[0-9]+"))</f>
        <v/>
      </c>
      <c r="G88" s="7" t="str" cm="1">
        <f t="array" aca="1" ref="G88" ca="1">IFERROR(IF(OR('Raw Data'!G88="",LEN(TRIM('Raw Data'!G88))=0),"",IF(AND(ISNUMBER('Raw Data'!G88), IFERROR('Raw Data'!G88 = ROUND('Raw Data'!G88, 2),FALSE)),"",_xlfn.REGEXEXTRACT(CELL("address",G88), "\$([A-Z]+)\$[0-9]+"))),_xlfn.REGEXEXTRACT(CELL("address",G88), "\$([A-Z]+)\$[0-9]+"))</f>
        <v/>
      </c>
      <c r="H88" s="7" t="str" cm="1">
        <f t="array" aca="1" ref="H88" ca="1">IFERROR(IF(OR('Raw Data'!H88="",LEN(TRIM('Raw Data'!H88))=0),"",IF(AND(ISNUMBER('Raw Data'!H88), IFERROR('Raw Data'!H88 = ROUND('Raw Data'!H88, 2),FALSE)),"",_xlfn.REGEXEXTRACT(CELL("address",H88), "\$([A-Z]+)\$[0-9]+"))),_xlfn.REGEXEXTRACT(CELL("address",H88), "\$([A-Z]+)\$[0-9]+"))</f>
        <v/>
      </c>
      <c r="I88" s="7" t="str" cm="1">
        <f t="array" aca="1" ref="I88" ca="1">IFERROR(IF(OR('Raw Data'!I88="",LEN(TRIM('Raw Data'!I88))=0),"",IF(AND(ISNUMBER('Raw Data'!I88), IFERROR('Raw Data'!I88 = ROUND('Raw Data'!I88, 2),FALSE)),"",_xlfn.REGEXEXTRACT(CELL("address",I88), "\$([A-Z]+)\$[0-9]+"))),_xlfn.REGEXEXTRACT(CELL("address",I88), "\$([A-Z]+)\$[0-9]+"))</f>
        <v/>
      </c>
      <c r="J88" s="7" t="str" cm="1">
        <f t="array" aca="1" ref="J88" ca="1">IFERROR(IF(OR('Raw Data'!J88="",LEN(TRIM('Raw Data'!J88))=0),"",IF(AND(ISNUMBER('Raw Data'!J88), IFERROR('Raw Data'!J88 = ROUND('Raw Data'!J88, 2),FALSE)),"",_xlfn.REGEXEXTRACT(CELL("address",J88), "\$([A-Z]+)\$[0-9]+"))),_xlfn.REGEXEXTRACT(CELL("address",J88), "\$([A-Z]+)\$[0-9]+"))</f>
        <v/>
      </c>
      <c r="K88" s="7" t="str" cm="1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7" t="str" cm="1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7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7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7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7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 cm="1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7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7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7" t="str" cm="1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7" t="str" cm="1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  <c r="Z88" s="7" t="str" cm="1">
        <f t="array" aca="1" ref="Z88" ca="1">IFERROR(IF(OR('Raw Data'!Z88="",LEN(TRIM('Raw Data'!Z88))=0),"",IF(AND(ISNUMBER('Raw Data'!Z88), IFERROR('Raw Data'!Z88 = ROUND('Raw Data'!Z88, 2),FALSE)),"",_xlfn.REGEXEXTRACT(CELL("address",Z88), "\$([A-Z]+)\$[0-9]+"))),_xlfn.REGEXEXTRACT(CELL("address",Z88), "\$([A-Z]+)\$[0-9]+"))</f>
        <v/>
      </c>
      <c r="AA88" s="7" t="str" cm="1">
        <f t="array" aca="1" ref="AA88" ca="1">IFERROR(IF(OR('Raw Data'!AA88="",LEN(TRIM('Raw Data'!AA88))=0),"",IF(AND(ISNUMBER('Raw Data'!AA88), IFERROR('Raw Data'!AA88 = ROUND('Raw Data'!AA88, 2),FALSE)),"",_xlfn.REGEXEXTRACT(CELL("address",AA88), "\$([A-Z]+)\$[0-9]+"))),_xlfn.REGEXEXTRACT(CELL("address",AA88), "\$([A-Z]+)\$[0-9]+"))</f>
        <v/>
      </c>
      <c r="AB88" s="7" t="str" cm="1">
        <f t="array" aca="1" ref="AB88" ca="1">IFERROR(IF(OR('Raw Data'!AB88="",LEN(TRIM('Raw Data'!AB88))=0),"",IF(AND(ISNUMBER('Raw Data'!AB88), IFERROR('Raw Data'!AB88 = ROUND('Raw Data'!AB88, 2),FALSE)),"",_xlfn.REGEXEXTRACT(CELL("address",AB88), "\$([A-Z]+)\$[0-9]+"))),_xlfn.REGEXEXTRACT(CELL("address",AB88), "\$([A-Z]+)\$[0-9]+"))</f>
        <v/>
      </c>
      <c r="AC88" s="7" t="str" cm="1">
        <f t="array" aca="1" ref="AC88" ca="1">IFERROR(IF(OR('Raw Data'!AC88="",LEN(TRIM('Raw Data'!AC88))=0),"",IF(AND(ISNUMBER('Raw Data'!AC88), IFERROR('Raw Data'!AC88 = ROUND('Raw Data'!AC88, 2),FALSE)),"",_xlfn.REGEXEXTRACT(CELL("address",AC88), "\$([A-Z]+)\$[0-9]+"))),_xlfn.REGEXEXTRACT(CELL("address",AC88), "\$([A-Z]+)\$[0-9]+"))</f>
        <v/>
      </c>
      <c r="AD88" s="7" t="str" cm="1">
        <f t="array" aca="1" ref="AD88" ca="1">IFERROR(IF(OR('Raw Data'!AD88="",LEN(TRIM('Raw Data'!AD88))=0),"",IF(AND(ISNUMBER('Raw Data'!AD88), IFERROR('Raw Data'!AD88 = ROUND('Raw Data'!AD88, 2),FALSE)),"",_xlfn.REGEXEXTRACT(CELL("address",AD88), "\$([A-Z]+)\$[0-9]+"))),_xlfn.REGEXEXTRACT(CELL("address",AD88), "\$([A-Z]+)\$[0-9]+"))</f>
        <v/>
      </c>
      <c r="AE88" s="7" t="str" cm="1">
        <f t="array" aca="1" ref="AE88" ca="1">IFERROR(IF(OR('Raw Data'!AE88="",LEN(TRIM('Raw Data'!AE88))=0),"",IF(AND(ISNUMBER('Raw Data'!AE88), IFERROR('Raw Data'!AE88 = ROUND('Raw Data'!AE88, 2),FALSE)),"",_xlfn.REGEXEXTRACT(CELL("address",AE88), "\$([A-Z]+)\$[0-9]+"))),_xlfn.REGEXEXTRACT(CELL("address",AE88), "\$([A-Z]+)\$[0-9]+"))</f>
        <v/>
      </c>
      <c r="AF88" s="7" t="str" cm="1">
        <f t="array" aca="1" ref="AF88" ca="1">IFERROR(IF(OR('Raw Data'!AF88="",LEN(TRIM('Raw Data'!AF88))=0),"",IF(AND(ISNUMBER('Raw Data'!AF88), IFERROR('Raw Data'!AF88 = ROUND('Raw Data'!AF88, 2),FALSE)),"",_xlfn.REGEXEXTRACT(CELL("address",AF88), "\$([A-Z]+)\$[0-9]+"))),_xlfn.REGEXEXTRACT(CELL("address",AF88), "\$([A-Z]+)\$[0-9]+"))</f>
        <v/>
      </c>
      <c r="AG88" s="7" t="str" cm="1">
        <f t="array" aca="1" ref="AG88" ca="1">IFERROR(IF(OR('Raw Data'!AG88="",LEN(TRIM('Raw Data'!AG88))=0),"",IF(AND(ISNUMBER('Raw Data'!AG88), IFERROR('Raw Data'!AG88 = ROUND('Raw Data'!AG88, 2),FALSE)),"",_xlfn.REGEXEXTRACT(CELL("address",AG88), "\$([A-Z]+)\$[0-9]+"))),_xlfn.REGEXEXTRACT(CELL("address",AG88), "\$([A-Z]+)\$[0-9]+"))</f>
        <v/>
      </c>
      <c r="AH88" s="7" t="str" cm="1">
        <f t="array" aca="1" ref="AH88" ca="1">IFERROR(IF(OR('Raw Data'!AH88="",LEN(TRIM('Raw Data'!AH88))=0),"",IF(AND(ISNUMBER('Raw Data'!AH88), IFERROR('Raw Data'!AH88 = ROUND('Raw Data'!AH88, 2),FALSE)),"",_xlfn.REGEXEXTRACT(CELL("address",AH88), "\$([A-Z]+)\$[0-9]+"))),_xlfn.REGEXEXTRACT(CELL("address",AH88), "\$([A-Z]+)\$[0-9]+"))</f>
        <v/>
      </c>
      <c r="AI88" s="7" t="str" cm="1">
        <f t="array" aca="1" ref="AI88" ca="1">IFERROR(IF(OR('Raw Data'!AI88="",LEN(TRIM('Raw Data'!AI88))=0),"",IF(AND(ISNUMBER('Raw Data'!AI88), IFERROR('Raw Data'!AI88 = ROUND('Raw Data'!AI88, 2),FALSE)),"",_xlfn.REGEXEXTRACT(CELL("address",AI88), "\$([A-Z]+)\$[0-9]+"))),_xlfn.REGEXEXTRACT(CELL("address",AI88), "\$([A-Z]+)\$[0-9]+"))</f>
        <v/>
      </c>
      <c r="AJ88" s="7" t="str" cm="1">
        <f t="array" aca="1" ref="AJ88" ca="1">IFERROR(IF(OR('Raw Data'!AJ88="",LEN(TRIM('Raw Data'!AJ88))=0),"",IF(AND(ISNUMBER('Raw Data'!AJ88), IFERROR('Raw Data'!AJ88 = ROUND('Raw Data'!AJ88, 2),FALSE)),"",_xlfn.REGEXEXTRACT(CELL("address",AJ88), "\$([A-Z]+)\$[0-9]+"))),_xlfn.REGEXEXTRACT(CELL("address",AJ88), "\$([A-Z]+)\$[0-9]+"))</f>
        <v/>
      </c>
    </row>
    <row r="89" spans="2:36" x14ac:dyDescent="0.25">
      <c r="B89" s="7" t="str" cm="1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20,LEN('Raw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Data'!D89))=0),"",IF(AND(ISNUMBER('Raw Data'!D89),'Raw Data'!D89&gt;=Configuration!$D$2),"",_xlfn.REGEXEXTRACT(CELL("address",'Raw Data'!D89),"\$([A-Z]+)\$[0-9]+"))),_xlfn.REGEXEXTRACT(CELL("address",D89), "\$([A-Z]+)\$[0-9]+"))</f>
        <v/>
      </c>
      <c r="E89" s="7" t="str" cm="1">
        <f t="array" aca="1" ref="E89" ca="1">IFERROR(IF(OR('Raw Data'!E89="",LEN(TRIM('Raw Data'!E89))=0),"",IF(AND(ISNUMBER('Raw Data'!E89), IFERROR('Raw Data'!E89 = ROUND('Raw Data'!E89, 2),FALSE)),"",_xlfn.REGEXEXTRACT(CELL("address",E89), "\$([A-Z]+)\$[0-9]+"))),_xlfn.REGEXEXTRACT(CELL("address",E89), "\$([A-Z]+)\$[0-9]+"))</f>
        <v/>
      </c>
      <c r="F89" s="7" t="str" cm="1">
        <f t="array" aca="1" ref="F89" ca="1">IFERROR(IF(OR('Raw Data'!F89="",LEN(TRIM('Raw Data'!F89))=0),"",IF(AND(ISNUMBER('Raw Data'!F89), IFERROR('Raw Data'!F89 = ROUND('Raw Data'!F89, 2),FALSE)),"",_xlfn.REGEXEXTRACT(CELL("address",F89), "\$([A-Z]+)\$[0-9]+"))),_xlfn.REGEXEXTRACT(CELL("address",F89), "\$([A-Z]+)\$[0-9]+"))</f>
        <v/>
      </c>
      <c r="G89" s="7" t="str" cm="1">
        <f t="array" aca="1" ref="G89" ca="1">IFERROR(IF(OR('Raw Data'!G89="",LEN(TRIM('Raw Data'!G89))=0),"",IF(AND(ISNUMBER('Raw Data'!G89), IFERROR('Raw Data'!G89 = ROUND('Raw Data'!G89, 2),FALSE)),"",_xlfn.REGEXEXTRACT(CELL("address",G89), "\$([A-Z]+)\$[0-9]+"))),_xlfn.REGEXEXTRACT(CELL("address",G89), "\$([A-Z]+)\$[0-9]+"))</f>
        <v/>
      </c>
      <c r="H89" s="7" t="str" cm="1">
        <f t="array" aca="1" ref="H89" ca="1">IFERROR(IF(OR('Raw Data'!H89="",LEN(TRIM('Raw Data'!H89))=0),"",IF(AND(ISNUMBER('Raw Data'!H89), IFERROR('Raw Data'!H89 = ROUND('Raw Data'!H89, 2),FALSE)),"",_xlfn.REGEXEXTRACT(CELL("address",H89), "\$([A-Z]+)\$[0-9]+"))),_xlfn.REGEXEXTRACT(CELL("address",H89), "\$([A-Z]+)\$[0-9]+"))</f>
        <v/>
      </c>
      <c r="I89" s="7" t="str" cm="1">
        <f t="array" aca="1" ref="I89" ca="1">IFERROR(IF(OR('Raw Data'!I89="",LEN(TRIM('Raw Data'!I89))=0),"",IF(AND(ISNUMBER('Raw Data'!I89), IFERROR('Raw Data'!I89 = ROUND('Raw Data'!I89, 2),FALSE)),"",_xlfn.REGEXEXTRACT(CELL("address",I89), "\$([A-Z]+)\$[0-9]+"))),_xlfn.REGEXEXTRACT(CELL("address",I89), "\$([A-Z]+)\$[0-9]+"))</f>
        <v/>
      </c>
      <c r="J89" s="7" t="str" cm="1">
        <f t="array" aca="1" ref="J89" ca="1">IFERROR(IF(OR('Raw Data'!J89="",LEN(TRIM('Raw Data'!J89))=0),"",IF(AND(ISNUMBER('Raw Data'!J89), IFERROR('Raw Data'!J89 = ROUND('Raw Data'!J89, 2),FALSE)),"",_xlfn.REGEXEXTRACT(CELL("address",J89), "\$([A-Z]+)\$[0-9]+"))),_xlfn.REGEXEXTRACT(CELL("address",J89), "\$([A-Z]+)\$[0-9]+"))</f>
        <v/>
      </c>
      <c r="K89" s="7" t="str" cm="1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7" t="str" cm="1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7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7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7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7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 cm="1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7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7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7" t="str" cm="1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7" t="str" cm="1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  <c r="Z89" s="7" t="str" cm="1">
        <f t="array" aca="1" ref="Z89" ca="1">IFERROR(IF(OR('Raw Data'!Z89="",LEN(TRIM('Raw Data'!Z89))=0),"",IF(AND(ISNUMBER('Raw Data'!Z89), IFERROR('Raw Data'!Z89 = ROUND('Raw Data'!Z89, 2),FALSE)),"",_xlfn.REGEXEXTRACT(CELL("address",Z89), "\$([A-Z]+)\$[0-9]+"))),_xlfn.REGEXEXTRACT(CELL("address",Z89), "\$([A-Z]+)\$[0-9]+"))</f>
        <v/>
      </c>
      <c r="AA89" s="7" t="str" cm="1">
        <f t="array" aca="1" ref="AA89" ca="1">IFERROR(IF(OR('Raw Data'!AA89="",LEN(TRIM('Raw Data'!AA89))=0),"",IF(AND(ISNUMBER('Raw Data'!AA89), IFERROR('Raw Data'!AA89 = ROUND('Raw Data'!AA89, 2),FALSE)),"",_xlfn.REGEXEXTRACT(CELL("address",AA89), "\$([A-Z]+)\$[0-9]+"))),_xlfn.REGEXEXTRACT(CELL("address",AA89), "\$([A-Z]+)\$[0-9]+"))</f>
        <v/>
      </c>
      <c r="AB89" s="7" t="str" cm="1">
        <f t="array" aca="1" ref="AB89" ca="1">IFERROR(IF(OR('Raw Data'!AB89="",LEN(TRIM('Raw Data'!AB89))=0),"",IF(AND(ISNUMBER('Raw Data'!AB89), IFERROR('Raw Data'!AB89 = ROUND('Raw Data'!AB89, 2),FALSE)),"",_xlfn.REGEXEXTRACT(CELL("address",AB89), "\$([A-Z]+)\$[0-9]+"))),_xlfn.REGEXEXTRACT(CELL("address",AB89), "\$([A-Z]+)\$[0-9]+"))</f>
        <v/>
      </c>
      <c r="AC89" s="7" t="str" cm="1">
        <f t="array" aca="1" ref="AC89" ca="1">IFERROR(IF(OR('Raw Data'!AC89="",LEN(TRIM('Raw Data'!AC89))=0),"",IF(AND(ISNUMBER('Raw Data'!AC89), IFERROR('Raw Data'!AC89 = ROUND('Raw Data'!AC89, 2),FALSE)),"",_xlfn.REGEXEXTRACT(CELL("address",AC89), "\$([A-Z]+)\$[0-9]+"))),_xlfn.REGEXEXTRACT(CELL("address",AC89), "\$([A-Z]+)\$[0-9]+"))</f>
        <v/>
      </c>
      <c r="AD89" s="7" t="str" cm="1">
        <f t="array" aca="1" ref="AD89" ca="1">IFERROR(IF(OR('Raw Data'!AD89="",LEN(TRIM('Raw Data'!AD89))=0),"",IF(AND(ISNUMBER('Raw Data'!AD89), IFERROR('Raw Data'!AD89 = ROUND('Raw Data'!AD89, 2),FALSE)),"",_xlfn.REGEXEXTRACT(CELL("address",AD89), "\$([A-Z]+)\$[0-9]+"))),_xlfn.REGEXEXTRACT(CELL("address",AD89), "\$([A-Z]+)\$[0-9]+"))</f>
        <v/>
      </c>
      <c r="AE89" s="7" t="str" cm="1">
        <f t="array" aca="1" ref="AE89" ca="1">IFERROR(IF(OR('Raw Data'!AE89="",LEN(TRIM('Raw Data'!AE89))=0),"",IF(AND(ISNUMBER('Raw Data'!AE89), IFERROR('Raw Data'!AE89 = ROUND('Raw Data'!AE89, 2),FALSE)),"",_xlfn.REGEXEXTRACT(CELL("address",AE89), "\$([A-Z]+)\$[0-9]+"))),_xlfn.REGEXEXTRACT(CELL("address",AE89), "\$([A-Z]+)\$[0-9]+"))</f>
        <v/>
      </c>
      <c r="AF89" s="7" t="str" cm="1">
        <f t="array" aca="1" ref="AF89" ca="1">IFERROR(IF(OR('Raw Data'!AF89="",LEN(TRIM('Raw Data'!AF89))=0),"",IF(AND(ISNUMBER('Raw Data'!AF89), IFERROR('Raw Data'!AF89 = ROUND('Raw Data'!AF89, 2),FALSE)),"",_xlfn.REGEXEXTRACT(CELL("address",AF89), "\$([A-Z]+)\$[0-9]+"))),_xlfn.REGEXEXTRACT(CELL("address",AF89), "\$([A-Z]+)\$[0-9]+"))</f>
        <v/>
      </c>
      <c r="AG89" s="7" t="str" cm="1">
        <f t="array" aca="1" ref="AG89" ca="1">IFERROR(IF(OR('Raw Data'!AG89="",LEN(TRIM('Raw Data'!AG89))=0),"",IF(AND(ISNUMBER('Raw Data'!AG89), IFERROR('Raw Data'!AG89 = ROUND('Raw Data'!AG89, 2),FALSE)),"",_xlfn.REGEXEXTRACT(CELL("address",AG89), "\$([A-Z]+)\$[0-9]+"))),_xlfn.REGEXEXTRACT(CELL("address",AG89), "\$([A-Z]+)\$[0-9]+"))</f>
        <v/>
      </c>
      <c r="AH89" s="7" t="str" cm="1">
        <f t="array" aca="1" ref="AH89" ca="1">IFERROR(IF(OR('Raw Data'!AH89="",LEN(TRIM('Raw Data'!AH89))=0),"",IF(AND(ISNUMBER('Raw Data'!AH89), IFERROR('Raw Data'!AH89 = ROUND('Raw Data'!AH89, 2),FALSE)),"",_xlfn.REGEXEXTRACT(CELL("address",AH89), "\$([A-Z]+)\$[0-9]+"))),_xlfn.REGEXEXTRACT(CELL("address",AH89), "\$([A-Z]+)\$[0-9]+"))</f>
        <v/>
      </c>
      <c r="AI89" s="7" t="str" cm="1">
        <f t="array" aca="1" ref="AI89" ca="1">IFERROR(IF(OR('Raw Data'!AI89="",LEN(TRIM('Raw Data'!AI89))=0),"",IF(AND(ISNUMBER('Raw Data'!AI89), IFERROR('Raw Data'!AI89 = ROUND('Raw Data'!AI89, 2),FALSE)),"",_xlfn.REGEXEXTRACT(CELL("address",AI89), "\$([A-Z]+)\$[0-9]+"))),_xlfn.REGEXEXTRACT(CELL("address",AI89), "\$([A-Z]+)\$[0-9]+"))</f>
        <v/>
      </c>
      <c r="AJ89" s="7" t="str" cm="1">
        <f t="array" aca="1" ref="AJ89" ca="1">IFERROR(IF(OR('Raw Data'!AJ89="",LEN(TRIM('Raw Data'!AJ89))=0),"",IF(AND(ISNUMBER('Raw Data'!AJ89), IFERROR('Raw Data'!AJ89 = ROUND('Raw Data'!AJ89, 2),FALSE)),"",_xlfn.REGEXEXTRACT(CELL("address",AJ89), "\$([A-Z]+)\$[0-9]+"))),_xlfn.REGEXEXTRACT(CELL("address",AJ89), "\$([A-Z]+)\$[0-9]+"))</f>
        <v/>
      </c>
    </row>
    <row r="90" spans="2:36" x14ac:dyDescent="0.25">
      <c r="B90" s="7" t="str" cm="1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20,LEN('Raw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Data'!D90))=0),"",IF(AND(ISNUMBER('Raw Data'!D90),'Raw Data'!D90&gt;=Configuration!$D$2),"",_xlfn.REGEXEXTRACT(CELL("address",'Raw Data'!D90),"\$([A-Z]+)\$[0-9]+"))),_xlfn.REGEXEXTRACT(CELL("address",D90), "\$([A-Z]+)\$[0-9]+"))</f>
        <v/>
      </c>
      <c r="E90" s="7" t="str" cm="1">
        <f t="array" aca="1" ref="E90" ca="1">IFERROR(IF(OR('Raw Data'!E90="",LEN(TRIM('Raw Data'!E90))=0),"",IF(AND(ISNUMBER('Raw Data'!E90), IFERROR('Raw Data'!E90 = ROUND('Raw Data'!E90, 2),FALSE)),"",_xlfn.REGEXEXTRACT(CELL("address",E90), "\$([A-Z]+)\$[0-9]+"))),_xlfn.REGEXEXTRACT(CELL("address",E90), "\$([A-Z]+)\$[0-9]+"))</f>
        <v/>
      </c>
      <c r="F90" s="7" t="str" cm="1">
        <f t="array" aca="1" ref="F90" ca="1">IFERROR(IF(OR('Raw Data'!F90="",LEN(TRIM('Raw Data'!F90))=0),"",IF(AND(ISNUMBER('Raw Data'!F90), IFERROR('Raw Data'!F90 = ROUND('Raw Data'!F90, 2),FALSE)),"",_xlfn.REGEXEXTRACT(CELL("address",F90), "\$([A-Z]+)\$[0-9]+"))),_xlfn.REGEXEXTRACT(CELL("address",F90), "\$([A-Z]+)\$[0-9]+"))</f>
        <v/>
      </c>
      <c r="G90" s="7" t="str" cm="1">
        <f t="array" aca="1" ref="G90" ca="1">IFERROR(IF(OR('Raw Data'!G90="",LEN(TRIM('Raw Data'!G90))=0),"",IF(AND(ISNUMBER('Raw Data'!G90), IFERROR('Raw Data'!G90 = ROUND('Raw Data'!G90, 2),FALSE)),"",_xlfn.REGEXEXTRACT(CELL("address",G90), "\$([A-Z]+)\$[0-9]+"))),_xlfn.REGEXEXTRACT(CELL("address",G90), "\$([A-Z]+)\$[0-9]+"))</f>
        <v/>
      </c>
      <c r="H90" s="7" t="str" cm="1">
        <f t="array" aca="1" ref="H90" ca="1">IFERROR(IF(OR('Raw Data'!H90="",LEN(TRIM('Raw Data'!H90))=0),"",IF(AND(ISNUMBER('Raw Data'!H90), IFERROR('Raw Data'!H90 = ROUND('Raw Data'!H90, 2),FALSE)),"",_xlfn.REGEXEXTRACT(CELL("address",H90), "\$([A-Z]+)\$[0-9]+"))),_xlfn.REGEXEXTRACT(CELL("address",H90), "\$([A-Z]+)\$[0-9]+"))</f>
        <v/>
      </c>
      <c r="I90" s="7" t="str" cm="1">
        <f t="array" aca="1" ref="I90" ca="1">IFERROR(IF(OR('Raw Data'!I90="",LEN(TRIM('Raw Data'!I90))=0),"",IF(AND(ISNUMBER('Raw Data'!I90), IFERROR('Raw Data'!I90 = ROUND('Raw Data'!I90, 2),FALSE)),"",_xlfn.REGEXEXTRACT(CELL("address",I90), "\$([A-Z]+)\$[0-9]+"))),_xlfn.REGEXEXTRACT(CELL("address",I90), "\$([A-Z]+)\$[0-9]+"))</f>
        <v/>
      </c>
      <c r="J90" s="7" t="str" cm="1">
        <f t="array" aca="1" ref="J90" ca="1">IFERROR(IF(OR('Raw Data'!J90="",LEN(TRIM('Raw Data'!J90))=0),"",IF(AND(ISNUMBER('Raw Data'!J90), IFERROR('Raw Data'!J90 = ROUND('Raw Data'!J90, 2),FALSE)),"",_xlfn.REGEXEXTRACT(CELL("address",J90), "\$([A-Z]+)\$[0-9]+"))),_xlfn.REGEXEXTRACT(CELL("address",J90), "\$([A-Z]+)\$[0-9]+"))</f>
        <v/>
      </c>
      <c r="K90" s="7" t="str" cm="1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7" t="str" cm="1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7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7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7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7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 cm="1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7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7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7" t="str" cm="1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7" t="str" cm="1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  <c r="Z90" s="7" t="str" cm="1">
        <f t="array" aca="1" ref="Z90" ca="1">IFERROR(IF(OR('Raw Data'!Z90="",LEN(TRIM('Raw Data'!Z90))=0),"",IF(AND(ISNUMBER('Raw Data'!Z90), IFERROR('Raw Data'!Z90 = ROUND('Raw Data'!Z90, 2),FALSE)),"",_xlfn.REGEXEXTRACT(CELL("address",Z90), "\$([A-Z]+)\$[0-9]+"))),_xlfn.REGEXEXTRACT(CELL("address",Z90), "\$([A-Z]+)\$[0-9]+"))</f>
        <v/>
      </c>
      <c r="AA90" s="7" t="str" cm="1">
        <f t="array" aca="1" ref="AA90" ca="1">IFERROR(IF(OR('Raw Data'!AA90="",LEN(TRIM('Raw Data'!AA90))=0),"",IF(AND(ISNUMBER('Raw Data'!AA90), IFERROR('Raw Data'!AA90 = ROUND('Raw Data'!AA90, 2),FALSE)),"",_xlfn.REGEXEXTRACT(CELL("address",AA90), "\$([A-Z]+)\$[0-9]+"))),_xlfn.REGEXEXTRACT(CELL("address",AA90), "\$([A-Z]+)\$[0-9]+"))</f>
        <v/>
      </c>
      <c r="AB90" s="7" t="str" cm="1">
        <f t="array" aca="1" ref="AB90" ca="1">IFERROR(IF(OR('Raw Data'!AB90="",LEN(TRIM('Raw Data'!AB90))=0),"",IF(AND(ISNUMBER('Raw Data'!AB90), IFERROR('Raw Data'!AB90 = ROUND('Raw Data'!AB90, 2),FALSE)),"",_xlfn.REGEXEXTRACT(CELL("address",AB90), "\$([A-Z]+)\$[0-9]+"))),_xlfn.REGEXEXTRACT(CELL("address",AB90), "\$([A-Z]+)\$[0-9]+"))</f>
        <v/>
      </c>
      <c r="AC90" s="7" t="str" cm="1">
        <f t="array" aca="1" ref="AC90" ca="1">IFERROR(IF(OR('Raw Data'!AC90="",LEN(TRIM('Raw Data'!AC90))=0),"",IF(AND(ISNUMBER('Raw Data'!AC90), IFERROR('Raw Data'!AC90 = ROUND('Raw Data'!AC90, 2),FALSE)),"",_xlfn.REGEXEXTRACT(CELL("address",AC90), "\$([A-Z]+)\$[0-9]+"))),_xlfn.REGEXEXTRACT(CELL("address",AC90), "\$([A-Z]+)\$[0-9]+"))</f>
        <v/>
      </c>
      <c r="AD90" s="7" t="str" cm="1">
        <f t="array" aca="1" ref="AD90" ca="1">IFERROR(IF(OR('Raw Data'!AD90="",LEN(TRIM('Raw Data'!AD90))=0),"",IF(AND(ISNUMBER('Raw Data'!AD90), IFERROR('Raw Data'!AD90 = ROUND('Raw Data'!AD90, 2),FALSE)),"",_xlfn.REGEXEXTRACT(CELL("address",AD90), "\$([A-Z]+)\$[0-9]+"))),_xlfn.REGEXEXTRACT(CELL("address",AD90), "\$([A-Z]+)\$[0-9]+"))</f>
        <v/>
      </c>
      <c r="AE90" s="7" t="str" cm="1">
        <f t="array" aca="1" ref="AE90" ca="1">IFERROR(IF(OR('Raw Data'!AE90="",LEN(TRIM('Raw Data'!AE90))=0),"",IF(AND(ISNUMBER('Raw Data'!AE90), IFERROR('Raw Data'!AE90 = ROUND('Raw Data'!AE90, 2),FALSE)),"",_xlfn.REGEXEXTRACT(CELL("address",AE90), "\$([A-Z]+)\$[0-9]+"))),_xlfn.REGEXEXTRACT(CELL("address",AE90), "\$([A-Z]+)\$[0-9]+"))</f>
        <v/>
      </c>
      <c r="AF90" s="7" t="str" cm="1">
        <f t="array" aca="1" ref="AF90" ca="1">IFERROR(IF(OR('Raw Data'!AF90="",LEN(TRIM('Raw Data'!AF90))=0),"",IF(AND(ISNUMBER('Raw Data'!AF90), IFERROR('Raw Data'!AF90 = ROUND('Raw Data'!AF90, 2),FALSE)),"",_xlfn.REGEXEXTRACT(CELL("address",AF90), "\$([A-Z]+)\$[0-9]+"))),_xlfn.REGEXEXTRACT(CELL("address",AF90), "\$([A-Z]+)\$[0-9]+"))</f>
        <v/>
      </c>
      <c r="AG90" s="7" t="str" cm="1">
        <f t="array" aca="1" ref="AG90" ca="1">IFERROR(IF(OR('Raw Data'!AG90="",LEN(TRIM('Raw Data'!AG90))=0),"",IF(AND(ISNUMBER('Raw Data'!AG90), IFERROR('Raw Data'!AG90 = ROUND('Raw Data'!AG90, 2),FALSE)),"",_xlfn.REGEXEXTRACT(CELL("address",AG90), "\$([A-Z]+)\$[0-9]+"))),_xlfn.REGEXEXTRACT(CELL("address",AG90), "\$([A-Z]+)\$[0-9]+"))</f>
        <v/>
      </c>
      <c r="AH90" s="7" t="str" cm="1">
        <f t="array" aca="1" ref="AH90" ca="1">IFERROR(IF(OR('Raw Data'!AH90="",LEN(TRIM('Raw Data'!AH90))=0),"",IF(AND(ISNUMBER('Raw Data'!AH90), IFERROR('Raw Data'!AH90 = ROUND('Raw Data'!AH90, 2),FALSE)),"",_xlfn.REGEXEXTRACT(CELL("address",AH90), "\$([A-Z]+)\$[0-9]+"))),_xlfn.REGEXEXTRACT(CELL("address",AH90), "\$([A-Z]+)\$[0-9]+"))</f>
        <v/>
      </c>
      <c r="AI90" s="7" t="str" cm="1">
        <f t="array" aca="1" ref="AI90" ca="1">IFERROR(IF(OR('Raw Data'!AI90="",LEN(TRIM('Raw Data'!AI90))=0),"",IF(AND(ISNUMBER('Raw Data'!AI90), IFERROR('Raw Data'!AI90 = ROUND('Raw Data'!AI90, 2),FALSE)),"",_xlfn.REGEXEXTRACT(CELL("address",AI90), "\$([A-Z]+)\$[0-9]+"))),_xlfn.REGEXEXTRACT(CELL("address",AI90), "\$([A-Z]+)\$[0-9]+"))</f>
        <v/>
      </c>
      <c r="AJ90" s="7" t="str" cm="1">
        <f t="array" aca="1" ref="AJ90" ca="1">IFERROR(IF(OR('Raw Data'!AJ90="",LEN(TRIM('Raw Data'!AJ90))=0),"",IF(AND(ISNUMBER('Raw Data'!AJ90), IFERROR('Raw Data'!AJ90 = ROUND('Raw Data'!AJ90, 2),FALSE)),"",_xlfn.REGEXEXTRACT(CELL("address",AJ90), "\$([A-Z]+)\$[0-9]+"))),_xlfn.REGEXEXTRACT(CELL("address",AJ90), "\$([A-Z]+)\$[0-9]+"))</f>
        <v/>
      </c>
    </row>
    <row r="91" spans="2:36" x14ac:dyDescent="0.25">
      <c r="B91" s="7" t="str" cm="1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20,LEN('Raw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Data'!D91))=0),"",IF(AND(ISNUMBER('Raw Data'!D91),'Raw Data'!D91&gt;=Configuration!$D$2),"",_xlfn.REGEXEXTRACT(CELL("address",'Raw Data'!D91),"\$([A-Z]+)\$[0-9]+"))),_xlfn.REGEXEXTRACT(CELL("address",D91), "\$([A-Z]+)\$[0-9]+"))</f>
        <v/>
      </c>
      <c r="E91" s="7" t="str" cm="1">
        <f t="array" aca="1" ref="E91" ca="1">IFERROR(IF(OR('Raw Data'!E91="",LEN(TRIM('Raw Data'!E91))=0),"",IF(AND(ISNUMBER('Raw Data'!E91), IFERROR('Raw Data'!E91 = ROUND('Raw Data'!E91, 2),FALSE)),"",_xlfn.REGEXEXTRACT(CELL("address",E91), "\$([A-Z]+)\$[0-9]+"))),_xlfn.REGEXEXTRACT(CELL("address",E91), "\$([A-Z]+)\$[0-9]+"))</f>
        <v/>
      </c>
      <c r="F91" s="7" t="str" cm="1">
        <f t="array" aca="1" ref="F91" ca="1">IFERROR(IF(OR('Raw Data'!F91="",LEN(TRIM('Raw Data'!F91))=0),"",IF(AND(ISNUMBER('Raw Data'!F91), IFERROR('Raw Data'!F91 = ROUND('Raw Data'!F91, 2),FALSE)),"",_xlfn.REGEXEXTRACT(CELL("address",F91), "\$([A-Z]+)\$[0-9]+"))),_xlfn.REGEXEXTRACT(CELL("address",F91), "\$([A-Z]+)\$[0-9]+"))</f>
        <v/>
      </c>
      <c r="G91" s="7" t="str" cm="1">
        <f t="array" aca="1" ref="G91" ca="1">IFERROR(IF(OR('Raw Data'!G91="",LEN(TRIM('Raw Data'!G91))=0),"",IF(AND(ISNUMBER('Raw Data'!G91), IFERROR('Raw Data'!G91 = ROUND('Raw Data'!G91, 2),FALSE)),"",_xlfn.REGEXEXTRACT(CELL("address",G91), "\$([A-Z]+)\$[0-9]+"))),_xlfn.REGEXEXTRACT(CELL("address",G91), "\$([A-Z]+)\$[0-9]+"))</f>
        <v/>
      </c>
      <c r="H91" s="7" t="str" cm="1">
        <f t="array" aca="1" ref="H91" ca="1">IFERROR(IF(OR('Raw Data'!H91="",LEN(TRIM('Raw Data'!H91))=0),"",IF(AND(ISNUMBER('Raw Data'!H91), IFERROR('Raw Data'!H91 = ROUND('Raw Data'!H91, 2),FALSE)),"",_xlfn.REGEXEXTRACT(CELL("address",H91), "\$([A-Z]+)\$[0-9]+"))),_xlfn.REGEXEXTRACT(CELL("address",H91), "\$([A-Z]+)\$[0-9]+"))</f>
        <v/>
      </c>
      <c r="I91" s="7" t="str" cm="1">
        <f t="array" aca="1" ref="I91" ca="1">IFERROR(IF(OR('Raw Data'!I91="",LEN(TRIM('Raw Data'!I91))=0),"",IF(AND(ISNUMBER('Raw Data'!I91), IFERROR('Raw Data'!I91 = ROUND('Raw Data'!I91, 2),FALSE)),"",_xlfn.REGEXEXTRACT(CELL("address",I91), "\$([A-Z]+)\$[0-9]+"))),_xlfn.REGEXEXTRACT(CELL("address",I91), "\$([A-Z]+)\$[0-9]+"))</f>
        <v/>
      </c>
      <c r="J91" s="7" t="str" cm="1">
        <f t="array" aca="1" ref="J91" ca="1">IFERROR(IF(OR('Raw Data'!J91="",LEN(TRIM('Raw Data'!J91))=0),"",IF(AND(ISNUMBER('Raw Data'!J91), IFERROR('Raw Data'!J91 = ROUND('Raw Data'!J91, 2),FALSE)),"",_xlfn.REGEXEXTRACT(CELL("address",J91), "\$([A-Z]+)\$[0-9]+"))),_xlfn.REGEXEXTRACT(CELL("address",J91), "\$([A-Z]+)\$[0-9]+"))</f>
        <v/>
      </c>
      <c r="K91" s="7" t="str" cm="1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7" t="str" cm="1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7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7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7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7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 cm="1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7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7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7" t="str" cm="1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7" t="str" cm="1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  <c r="Z91" s="7" t="str" cm="1">
        <f t="array" aca="1" ref="Z91" ca="1">IFERROR(IF(OR('Raw Data'!Z91="",LEN(TRIM('Raw Data'!Z91))=0),"",IF(AND(ISNUMBER('Raw Data'!Z91), IFERROR('Raw Data'!Z91 = ROUND('Raw Data'!Z91, 2),FALSE)),"",_xlfn.REGEXEXTRACT(CELL("address",Z91), "\$([A-Z]+)\$[0-9]+"))),_xlfn.REGEXEXTRACT(CELL("address",Z91), "\$([A-Z]+)\$[0-9]+"))</f>
        <v/>
      </c>
      <c r="AA91" s="7" t="str" cm="1">
        <f t="array" aca="1" ref="AA91" ca="1">IFERROR(IF(OR('Raw Data'!AA91="",LEN(TRIM('Raw Data'!AA91))=0),"",IF(AND(ISNUMBER('Raw Data'!AA91), IFERROR('Raw Data'!AA91 = ROUND('Raw Data'!AA91, 2),FALSE)),"",_xlfn.REGEXEXTRACT(CELL("address",AA91), "\$([A-Z]+)\$[0-9]+"))),_xlfn.REGEXEXTRACT(CELL("address",AA91), "\$([A-Z]+)\$[0-9]+"))</f>
        <v/>
      </c>
      <c r="AB91" s="7" t="str" cm="1">
        <f t="array" aca="1" ref="AB91" ca="1">IFERROR(IF(OR('Raw Data'!AB91="",LEN(TRIM('Raw Data'!AB91))=0),"",IF(AND(ISNUMBER('Raw Data'!AB91), IFERROR('Raw Data'!AB91 = ROUND('Raw Data'!AB91, 2),FALSE)),"",_xlfn.REGEXEXTRACT(CELL("address",AB91), "\$([A-Z]+)\$[0-9]+"))),_xlfn.REGEXEXTRACT(CELL("address",AB91), "\$([A-Z]+)\$[0-9]+"))</f>
        <v/>
      </c>
      <c r="AC91" s="7" t="str" cm="1">
        <f t="array" aca="1" ref="AC91" ca="1">IFERROR(IF(OR('Raw Data'!AC91="",LEN(TRIM('Raw Data'!AC91))=0),"",IF(AND(ISNUMBER('Raw Data'!AC91), IFERROR('Raw Data'!AC91 = ROUND('Raw Data'!AC91, 2),FALSE)),"",_xlfn.REGEXEXTRACT(CELL("address",AC91), "\$([A-Z]+)\$[0-9]+"))),_xlfn.REGEXEXTRACT(CELL("address",AC91), "\$([A-Z]+)\$[0-9]+"))</f>
        <v/>
      </c>
      <c r="AD91" s="7" t="str" cm="1">
        <f t="array" aca="1" ref="AD91" ca="1">IFERROR(IF(OR('Raw Data'!AD91="",LEN(TRIM('Raw Data'!AD91))=0),"",IF(AND(ISNUMBER('Raw Data'!AD91), IFERROR('Raw Data'!AD91 = ROUND('Raw Data'!AD91, 2),FALSE)),"",_xlfn.REGEXEXTRACT(CELL("address",AD91), "\$([A-Z]+)\$[0-9]+"))),_xlfn.REGEXEXTRACT(CELL("address",AD91), "\$([A-Z]+)\$[0-9]+"))</f>
        <v/>
      </c>
      <c r="AE91" s="7" t="str" cm="1">
        <f t="array" aca="1" ref="AE91" ca="1">IFERROR(IF(OR('Raw Data'!AE91="",LEN(TRIM('Raw Data'!AE91))=0),"",IF(AND(ISNUMBER('Raw Data'!AE91), IFERROR('Raw Data'!AE91 = ROUND('Raw Data'!AE91, 2),FALSE)),"",_xlfn.REGEXEXTRACT(CELL("address",AE91), "\$([A-Z]+)\$[0-9]+"))),_xlfn.REGEXEXTRACT(CELL("address",AE91), "\$([A-Z]+)\$[0-9]+"))</f>
        <v/>
      </c>
      <c r="AF91" s="7" t="str" cm="1">
        <f t="array" aca="1" ref="AF91" ca="1">IFERROR(IF(OR('Raw Data'!AF91="",LEN(TRIM('Raw Data'!AF91))=0),"",IF(AND(ISNUMBER('Raw Data'!AF91), IFERROR('Raw Data'!AF91 = ROUND('Raw Data'!AF91, 2),FALSE)),"",_xlfn.REGEXEXTRACT(CELL("address",AF91), "\$([A-Z]+)\$[0-9]+"))),_xlfn.REGEXEXTRACT(CELL("address",AF91), "\$([A-Z]+)\$[0-9]+"))</f>
        <v/>
      </c>
      <c r="AG91" s="7" t="str" cm="1">
        <f t="array" aca="1" ref="AG91" ca="1">IFERROR(IF(OR('Raw Data'!AG91="",LEN(TRIM('Raw Data'!AG91))=0),"",IF(AND(ISNUMBER('Raw Data'!AG91), IFERROR('Raw Data'!AG91 = ROUND('Raw Data'!AG91, 2),FALSE)),"",_xlfn.REGEXEXTRACT(CELL("address",AG91), "\$([A-Z]+)\$[0-9]+"))),_xlfn.REGEXEXTRACT(CELL("address",AG91), "\$([A-Z]+)\$[0-9]+"))</f>
        <v/>
      </c>
      <c r="AH91" s="7" t="str" cm="1">
        <f t="array" aca="1" ref="AH91" ca="1">IFERROR(IF(OR('Raw Data'!AH91="",LEN(TRIM('Raw Data'!AH91))=0),"",IF(AND(ISNUMBER('Raw Data'!AH91), IFERROR('Raw Data'!AH91 = ROUND('Raw Data'!AH91, 2),FALSE)),"",_xlfn.REGEXEXTRACT(CELL("address",AH91), "\$([A-Z]+)\$[0-9]+"))),_xlfn.REGEXEXTRACT(CELL("address",AH91), "\$([A-Z]+)\$[0-9]+"))</f>
        <v/>
      </c>
      <c r="AI91" s="7" t="str" cm="1">
        <f t="array" aca="1" ref="AI91" ca="1">IFERROR(IF(OR('Raw Data'!AI91="",LEN(TRIM('Raw Data'!AI91))=0),"",IF(AND(ISNUMBER('Raw Data'!AI91), IFERROR('Raw Data'!AI91 = ROUND('Raw Data'!AI91, 2),FALSE)),"",_xlfn.REGEXEXTRACT(CELL("address",AI91), "\$([A-Z]+)\$[0-9]+"))),_xlfn.REGEXEXTRACT(CELL("address",AI91), "\$([A-Z]+)\$[0-9]+"))</f>
        <v/>
      </c>
      <c r="AJ91" s="7" t="str" cm="1">
        <f t="array" aca="1" ref="AJ91" ca="1">IFERROR(IF(OR('Raw Data'!AJ91="",LEN(TRIM('Raw Data'!AJ91))=0),"",IF(AND(ISNUMBER('Raw Data'!AJ91), IFERROR('Raw Data'!AJ91 = ROUND('Raw Data'!AJ91, 2),FALSE)),"",_xlfn.REGEXEXTRACT(CELL("address",AJ91), "\$([A-Z]+)\$[0-9]+"))),_xlfn.REGEXEXTRACT(CELL("address",AJ91), "\$([A-Z]+)\$[0-9]+"))</f>
        <v/>
      </c>
    </row>
    <row r="92" spans="2:36" x14ac:dyDescent="0.25">
      <c r="B92" s="7" t="str" cm="1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20,LEN('Raw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Data'!D92))=0),"",IF(AND(ISNUMBER('Raw Data'!D92),'Raw Data'!D92&gt;=Configuration!$D$2),"",_xlfn.REGEXEXTRACT(CELL("address",'Raw Data'!D92),"\$([A-Z]+)\$[0-9]+"))),_xlfn.REGEXEXTRACT(CELL("address",D92), "\$([A-Z]+)\$[0-9]+"))</f>
        <v/>
      </c>
      <c r="E92" s="7" t="str" cm="1">
        <f t="array" aca="1" ref="E92" ca="1">IFERROR(IF(OR('Raw Data'!E92="",LEN(TRIM('Raw Data'!E92))=0),"",IF(AND(ISNUMBER('Raw Data'!E92), IFERROR('Raw Data'!E92 = ROUND('Raw Data'!E92, 2),FALSE)),"",_xlfn.REGEXEXTRACT(CELL("address",E92), "\$([A-Z]+)\$[0-9]+"))),_xlfn.REGEXEXTRACT(CELL("address",E92), "\$([A-Z]+)\$[0-9]+"))</f>
        <v/>
      </c>
      <c r="F92" s="7" t="str" cm="1">
        <f t="array" aca="1" ref="F92" ca="1">IFERROR(IF(OR('Raw Data'!F92="",LEN(TRIM('Raw Data'!F92))=0),"",IF(AND(ISNUMBER('Raw Data'!F92), IFERROR('Raw Data'!F92 = ROUND('Raw Data'!F92, 2),FALSE)),"",_xlfn.REGEXEXTRACT(CELL("address",F92), "\$([A-Z]+)\$[0-9]+"))),_xlfn.REGEXEXTRACT(CELL("address",F92), "\$([A-Z]+)\$[0-9]+"))</f>
        <v/>
      </c>
      <c r="G92" s="7" t="str" cm="1">
        <f t="array" aca="1" ref="G92" ca="1">IFERROR(IF(OR('Raw Data'!G92="",LEN(TRIM('Raw Data'!G92))=0),"",IF(AND(ISNUMBER('Raw Data'!G92), IFERROR('Raw Data'!G92 = ROUND('Raw Data'!G92, 2),FALSE)),"",_xlfn.REGEXEXTRACT(CELL("address",G92), "\$([A-Z]+)\$[0-9]+"))),_xlfn.REGEXEXTRACT(CELL("address",G92), "\$([A-Z]+)\$[0-9]+"))</f>
        <v/>
      </c>
      <c r="H92" s="7" t="str" cm="1">
        <f t="array" aca="1" ref="H92" ca="1">IFERROR(IF(OR('Raw Data'!H92="",LEN(TRIM('Raw Data'!H92))=0),"",IF(AND(ISNUMBER('Raw Data'!H92), IFERROR('Raw Data'!H92 = ROUND('Raw Data'!H92, 2),FALSE)),"",_xlfn.REGEXEXTRACT(CELL("address",H92), "\$([A-Z]+)\$[0-9]+"))),_xlfn.REGEXEXTRACT(CELL("address",H92), "\$([A-Z]+)\$[0-9]+"))</f>
        <v/>
      </c>
      <c r="I92" s="7" t="str" cm="1">
        <f t="array" aca="1" ref="I92" ca="1">IFERROR(IF(OR('Raw Data'!I92="",LEN(TRIM('Raw Data'!I92))=0),"",IF(AND(ISNUMBER('Raw Data'!I92), IFERROR('Raw Data'!I92 = ROUND('Raw Data'!I92, 2),FALSE)),"",_xlfn.REGEXEXTRACT(CELL("address",I92), "\$([A-Z]+)\$[0-9]+"))),_xlfn.REGEXEXTRACT(CELL("address",I92), "\$([A-Z]+)\$[0-9]+"))</f>
        <v/>
      </c>
      <c r="J92" s="7" t="str" cm="1">
        <f t="array" aca="1" ref="J92" ca="1">IFERROR(IF(OR('Raw Data'!J92="",LEN(TRIM('Raw Data'!J92))=0),"",IF(AND(ISNUMBER('Raw Data'!J92), IFERROR('Raw Data'!J92 = ROUND('Raw Data'!J92, 2),FALSE)),"",_xlfn.REGEXEXTRACT(CELL("address",J92), "\$([A-Z]+)\$[0-9]+"))),_xlfn.REGEXEXTRACT(CELL("address",J92), "\$([A-Z]+)\$[0-9]+"))</f>
        <v/>
      </c>
      <c r="K92" s="7" t="str" cm="1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7" t="str" cm="1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7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7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7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7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 cm="1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7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7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7" t="str" cm="1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7" t="str" cm="1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  <c r="Z92" s="7" t="str" cm="1">
        <f t="array" aca="1" ref="Z92" ca="1">IFERROR(IF(OR('Raw Data'!Z92="",LEN(TRIM('Raw Data'!Z92))=0),"",IF(AND(ISNUMBER('Raw Data'!Z92), IFERROR('Raw Data'!Z92 = ROUND('Raw Data'!Z92, 2),FALSE)),"",_xlfn.REGEXEXTRACT(CELL("address",Z92), "\$([A-Z]+)\$[0-9]+"))),_xlfn.REGEXEXTRACT(CELL("address",Z92), "\$([A-Z]+)\$[0-9]+"))</f>
        <v/>
      </c>
      <c r="AA92" s="7" t="str" cm="1">
        <f t="array" aca="1" ref="AA92" ca="1">IFERROR(IF(OR('Raw Data'!AA92="",LEN(TRIM('Raw Data'!AA92))=0),"",IF(AND(ISNUMBER('Raw Data'!AA92), IFERROR('Raw Data'!AA92 = ROUND('Raw Data'!AA92, 2),FALSE)),"",_xlfn.REGEXEXTRACT(CELL("address",AA92), "\$([A-Z]+)\$[0-9]+"))),_xlfn.REGEXEXTRACT(CELL("address",AA92), "\$([A-Z]+)\$[0-9]+"))</f>
        <v/>
      </c>
      <c r="AB92" s="7" t="str" cm="1">
        <f t="array" aca="1" ref="AB92" ca="1">IFERROR(IF(OR('Raw Data'!AB92="",LEN(TRIM('Raw Data'!AB92))=0),"",IF(AND(ISNUMBER('Raw Data'!AB92), IFERROR('Raw Data'!AB92 = ROUND('Raw Data'!AB92, 2),FALSE)),"",_xlfn.REGEXEXTRACT(CELL("address",AB92), "\$([A-Z]+)\$[0-9]+"))),_xlfn.REGEXEXTRACT(CELL("address",AB92), "\$([A-Z]+)\$[0-9]+"))</f>
        <v/>
      </c>
      <c r="AC92" s="7" t="str" cm="1">
        <f t="array" aca="1" ref="AC92" ca="1">IFERROR(IF(OR('Raw Data'!AC92="",LEN(TRIM('Raw Data'!AC92))=0),"",IF(AND(ISNUMBER('Raw Data'!AC92), IFERROR('Raw Data'!AC92 = ROUND('Raw Data'!AC92, 2),FALSE)),"",_xlfn.REGEXEXTRACT(CELL("address",AC92), "\$([A-Z]+)\$[0-9]+"))),_xlfn.REGEXEXTRACT(CELL("address",AC92), "\$([A-Z]+)\$[0-9]+"))</f>
        <v/>
      </c>
      <c r="AD92" s="7" t="str" cm="1">
        <f t="array" aca="1" ref="AD92" ca="1">IFERROR(IF(OR('Raw Data'!AD92="",LEN(TRIM('Raw Data'!AD92))=0),"",IF(AND(ISNUMBER('Raw Data'!AD92), IFERROR('Raw Data'!AD92 = ROUND('Raw Data'!AD92, 2),FALSE)),"",_xlfn.REGEXEXTRACT(CELL("address",AD92), "\$([A-Z]+)\$[0-9]+"))),_xlfn.REGEXEXTRACT(CELL("address",AD92), "\$([A-Z]+)\$[0-9]+"))</f>
        <v/>
      </c>
      <c r="AE92" s="7" t="str" cm="1">
        <f t="array" aca="1" ref="AE92" ca="1">IFERROR(IF(OR('Raw Data'!AE92="",LEN(TRIM('Raw Data'!AE92))=0),"",IF(AND(ISNUMBER('Raw Data'!AE92), IFERROR('Raw Data'!AE92 = ROUND('Raw Data'!AE92, 2),FALSE)),"",_xlfn.REGEXEXTRACT(CELL("address",AE92), "\$([A-Z]+)\$[0-9]+"))),_xlfn.REGEXEXTRACT(CELL("address",AE92), "\$([A-Z]+)\$[0-9]+"))</f>
        <v/>
      </c>
      <c r="AF92" s="7" t="str" cm="1">
        <f t="array" aca="1" ref="AF92" ca="1">IFERROR(IF(OR('Raw Data'!AF92="",LEN(TRIM('Raw Data'!AF92))=0),"",IF(AND(ISNUMBER('Raw Data'!AF92), IFERROR('Raw Data'!AF92 = ROUND('Raw Data'!AF92, 2),FALSE)),"",_xlfn.REGEXEXTRACT(CELL("address",AF92), "\$([A-Z]+)\$[0-9]+"))),_xlfn.REGEXEXTRACT(CELL("address",AF92), "\$([A-Z]+)\$[0-9]+"))</f>
        <v/>
      </c>
      <c r="AG92" s="7" t="str" cm="1">
        <f t="array" aca="1" ref="AG92" ca="1">IFERROR(IF(OR('Raw Data'!AG92="",LEN(TRIM('Raw Data'!AG92))=0),"",IF(AND(ISNUMBER('Raw Data'!AG92), IFERROR('Raw Data'!AG92 = ROUND('Raw Data'!AG92, 2),FALSE)),"",_xlfn.REGEXEXTRACT(CELL("address",AG92), "\$([A-Z]+)\$[0-9]+"))),_xlfn.REGEXEXTRACT(CELL("address",AG92), "\$([A-Z]+)\$[0-9]+"))</f>
        <v/>
      </c>
      <c r="AH92" s="7" t="str" cm="1">
        <f t="array" aca="1" ref="AH92" ca="1">IFERROR(IF(OR('Raw Data'!AH92="",LEN(TRIM('Raw Data'!AH92))=0),"",IF(AND(ISNUMBER('Raw Data'!AH92), IFERROR('Raw Data'!AH92 = ROUND('Raw Data'!AH92, 2),FALSE)),"",_xlfn.REGEXEXTRACT(CELL("address",AH92), "\$([A-Z]+)\$[0-9]+"))),_xlfn.REGEXEXTRACT(CELL("address",AH92), "\$([A-Z]+)\$[0-9]+"))</f>
        <v/>
      </c>
      <c r="AI92" s="7" t="str" cm="1">
        <f t="array" aca="1" ref="AI92" ca="1">IFERROR(IF(OR('Raw Data'!AI92="",LEN(TRIM('Raw Data'!AI92))=0),"",IF(AND(ISNUMBER('Raw Data'!AI92), IFERROR('Raw Data'!AI92 = ROUND('Raw Data'!AI92, 2),FALSE)),"",_xlfn.REGEXEXTRACT(CELL("address",AI92), "\$([A-Z]+)\$[0-9]+"))),_xlfn.REGEXEXTRACT(CELL("address",AI92), "\$([A-Z]+)\$[0-9]+"))</f>
        <v/>
      </c>
      <c r="AJ92" s="7" t="str" cm="1">
        <f t="array" aca="1" ref="AJ92" ca="1">IFERROR(IF(OR('Raw Data'!AJ92="",LEN(TRIM('Raw Data'!AJ92))=0),"",IF(AND(ISNUMBER('Raw Data'!AJ92), IFERROR('Raw Data'!AJ92 = ROUND('Raw Data'!AJ92, 2),FALSE)),"",_xlfn.REGEXEXTRACT(CELL("address",AJ92), "\$([A-Z]+)\$[0-9]+"))),_xlfn.REGEXEXTRACT(CELL("address",AJ92), "\$([A-Z]+)\$[0-9]+"))</f>
        <v/>
      </c>
    </row>
    <row r="93" spans="2:36" x14ac:dyDescent="0.25">
      <c r="B93" s="7" t="str" cm="1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20,LEN('Raw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Data'!D93))=0),"",IF(AND(ISNUMBER('Raw Data'!D93),'Raw Data'!D93&gt;=Configuration!$D$2),"",_xlfn.REGEXEXTRACT(CELL("address",'Raw Data'!D93),"\$([A-Z]+)\$[0-9]+"))),_xlfn.REGEXEXTRACT(CELL("address",D93), "\$([A-Z]+)\$[0-9]+"))</f>
        <v/>
      </c>
      <c r="E93" s="7" t="str" cm="1">
        <f t="array" aca="1" ref="E93" ca="1">IFERROR(IF(OR('Raw Data'!E93="",LEN(TRIM('Raw Data'!E93))=0),"",IF(AND(ISNUMBER('Raw Data'!E93), IFERROR('Raw Data'!E93 = ROUND('Raw Data'!E93, 2),FALSE)),"",_xlfn.REGEXEXTRACT(CELL("address",E93), "\$([A-Z]+)\$[0-9]+"))),_xlfn.REGEXEXTRACT(CELL("address",E93), "\$([A-Z]+)\$[0-9]+"))</f>
        <v/>
      </c>
      <c r="F93" s="7" t="str" cm="1">
        <f t="array" aca="1" ref="F93" ca="1">IFERROR(IF(OR('Raw Data'!F93="",LEN(TRIM('Raw Data'!F93))=0),"",IF(AND(ISNUMBER('Raw Data'!F93), IFERROR('Raw Data'!F93 = ROUND('Raw Data'!F93, 2),FALSE)),"",_xlfn.REGEXEXTRACT(CELL("address",F93), "\$([A-Z]+)\$[0-9]+"))),_xlfn.REGEXEXTRACT(CELL("address",F93), "\$([A-Z]+)\$[0-9]+"))</f>
        <v/>
      </c>
      <c r="G93" s="7" t="str" cm="1">
        <f t="array" aca="1" ref="G93" ca="1">IFERROR(IF(OR('Raw Data'!G93="",LEN(TRIM('Raw Data'!G93))=0),"",IF(AND(ISNUMBER('Raw Data'!G93), IFERROR('Raw Data'!G93 = ROUND('Raw Data'!G93, 2),FALSE)),"",_xlfn.REGEXEXTRACT(CELL("address",G93), "\$([A-Z]+)\$[0-9]+"))),_xlfn.REGEXEXTRACT(CELL("address",G93), "\$([A-Z]+)\$[0-9]+"))</f>
        <v/>
      </c>
      <c r="H93" s="7" t="str" cm="1">
        <f t="array" aca="1" ref="H93" ca="1">IFERROR(IF(OR('Raw Data'!H93="",LEN(TRIM('Raw Data'!H93))=0),"",IF(AND(ISNUMBER('Raw Data'!H93), IFERROR('Raw Data'!H93 = ROUND('Raw Data'!H93, 2),FALSE)),"",_xlfn.REGEXEXTRACT(CELL("address",H93), "\$([A-Z]+)\$[0-9]+"))),_xlfn.REGEXEXTRACT(CELL("address",H93), "\$([A-Z]+)\$[0-9]+"))</f>
        <v/>
      </c>
      <c r="I93" s="7" t="str" cm="1">
        <f t="array" aca="1" ref="I93" ca="1">IFERROR(IF(OR('Raw Data'!I93="",LEN(TRIM('Raw Data'!I93))=0),"",IF(AND(ISNUMBER('Raw Data'!I93), IFERROR('Raw Data'!I93 = ROUND('Raw Data'!I93, 2),FALSE)),"",_xlfn.REGEXEXTRACT(CELL("address",I93), "\$([A-Z]+)\$[0-9]+"))),_xlfn.REGEXEXTRACT(CELL("address",I93), "\$([A-Z]+)\$[0-9]+"))</f>
        <v/>
      </c>
      <c r="J93" s="7" t="str" cm="1">
        <f t="array" aca="1" ref="J93" ca="1">IFERROR(IF(OR('Raw Data'!J93="",LEN(TRIM('Raw Data'!J93))=0),"",IF(AND(ISNUMBER('Raw Data'!J93), IFERROR('Raw Data'!J93 = ROUND('Raw Data'!J93, 2),FALSE)),"",_xlfn.REGEXEXTRACT(CELL("address",J93), "\$([A-Z]+)\$[0-9]+"))),_xlfn.REGEXEXTRACT(CELL("address",J93), "\$([A-Z]+)\$[0-9]+"))</f>
        <v/>
      </c>
      <c r="K93" s="7" t="str" cm="1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7" t="str" cm="1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7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7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7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7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 cm="1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7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7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7" t="str" cm="1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7" t="str" cm="1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  <c r="Z93" s="7" t="str" cm="1">
        <f t="array" aca="1" ref="Z93" ca="1">IFERROR(IF(OR('Raw Data'!Z93="",LEN(TRIM('Raw Data'!Z93))=0),"",IF(AND(ISNUMBER('Raw Data'!Z93), IFERROR('Raw Data'!Z93 = ROUND('Raw Data'!Z93, 2),FALSE)),"",_xlfn.REGEXEXTRACT(CELL("address",Z93), "\$([A-Z]+)\$[0-9]+"))),_xlfn.REGEXEXTRACT(CELL("address",Z93), "\$([A-Z]+)\$[0-9]+"))</f>
        <v/>
      </c>
      <c r="AA93" s="7" t="str" cm="1">
        <f t="array" aca="1" ref="AA93" ca="1">IFERROR(IF(OR('Raw Data'!AA93="",LEN(TRIM('Raw Data'!AA93))=0),"",IF(AND(ISNUMBER('Raw Data'!AA93), IFERROR('Raw Data'!AA93 = ROUND('Raw Data'!AA93, 2),FALSE)),"",_xlfn.REGEXEXTRACT(CELL("address",AA93), "\$([A-Z]+)\$[0-9]+"))),_xlfn.REGEXEXTRACT(CELL("address",AA93), "\$([A-Z]+)\$[0-9]+"))</f>
        <v/>
      </c>
      <c r="AB93" s="7" t="str" cm="1">
        <f t="array" aca="1" ref="AB93" ca="1">IFERROR(IF(OR('Raw Data'!AB93="",LEN(TRIM('Raw Data'!AB93))=0),"",IF(AND(ISNUMBER('Raw Data'!AB93), IFERROR('Raw Data'!AB93 = ROUND('Raw Data'!AB93, 2),FALSE)),"",_xlfn.REGEXEXTRACT(CELL("address",AB93), "\$([A-Z]+)\$[0-9]+"))),_xlfn.REGEXEXTRACT(CELL("address",AB93), "\$([A-Z]+)\$[0-9]+"))</f>
        <v/>
      </c>
      <c r="AC93" s="7" t="str" cm="1">
        <f t="array" aca="1" ref="AC93" ca="1">IFERROR(IF(OR('Raw Data'!AC93="",LEN(TRIM('Raw Data'!AC93))=0),"",IF(AND(ISNUMBER('Raw Data'!AC93), IFERROR('Raw Data'!AC93 = ROUND('Raw Data'!AC93, 2),FALSE)),"",_xlfn.REGEXEXTRACT(CELL("address",AC93), "\$([A-Z]+)\$[0-9]+"))),_xlfn.REGEXEXTRACT(CELL("address",AC93), "\$([A-Z]+)\$[0-9]+"))</f>
        <v/>
      </c>
      <c r="AD93" s="7" t="str" cm="1">
        <f t="array" aca="1" ref="AD93" ca="1">IFERROR(IF(OR('Raw Data'!AD93="",LEN(TRIM('Raw Data'!AD93))=0),"",IF(AND(ISNUMBER('Raw Data'!AD93), IFERROR('Raw Data'!AD93 = ROUND('Raw Data'!AD93, 2),FALSE)),"",_xlfn.REGEXEXTRACT(CELL("address",AD93), "\$([A-Z]+)\$[0-9]+"))),_xlfn.REGEXEXTRACT(CELL("address",AD93), "\$([A-Z]+)\$[0-9]+"))</f>
        <v/>
      </c>
      <c r="AE93" s="7" t="str" cm="1">
        <f t="array" aca="1" ref="AE93" ca="1">IFERROR(IF(OR('Raw Data'!AE93="",LEN(TRIM('Raw Data'!AE93))=0),"",IF(AND(ISNUMBER('Raw Data'!AE93), IFERROR('Raw Data'!AE93 = ROUND('Raw Data'!AE93, 2),FALSE)),"",_xlfn.REGEXEXTRACT(CELL("address",AE93), "\$([A-Z]+)\$[0-9]+"))),_xlfn.REGEXEXTRACT(CELL("address",AE93), "\$([A-Z]+)\$[0-9]+"))</f>
        <v/>
      </c>
      <c r="AF93" s="7" t="str" cm="1">
        <f t="array" aca="1" ref="AF93" ca="1">IFERROR(IF(OR('Raw Data'!AF93="",LEN(TRIM('Raw Data'!AF93))=0),"",IF(AND(ISNUMBER('Raw Data'!AF93), IFERROR('Raw Data'!AF93 = ROUND('Raw Data'!AF93, 2),FALSE)),"",_xlfn.REGEXEXTRACT(CELL("address",AF93), "\$([A-Z]+)\$[0-9]+"))),_xlfn.REGEXEXTRACT(CELL("address",AF93), "\$([A-Z]+)\$[0-9]+"))</f>
        <v/>
      </c>
      <c r="AG93" s="7" t="str" cm="1">
        <f t="array" aca="1" ref="AG93" ca="1">IFERROR(IF(OR('Raw Data'!AG93="",LEN(TRIM('Raw Data'!AG93))=0),"",IF(AND(ISNUMBER('Raw Data'!AG93), IFERROR('Raw Data'!AG93 = ROUND('Raw Data'!AG93, 2),FALSE)),"",_xlfn.REGEXEXTRACT(CELL("address",AG93), "\$([A-Z]+)\$[0-9]+"))),_xlfn.REGEXEXTRACT(CELL("address",AG93), "\$([A-Z]+)\$[0-9]+"))</f>
        <v/>
      </c>
      <c r="AH93" s="7" t="str" cm="1">
        <f t="array" aca="1" ref="AH93" ca="1">IFERROR(IF(OR('Raw Data'!AH93="",LEN(TRIM('Raw Data'!AH93))=0),"",IF(AND(ISNUMBER('Raw Data'!AH93), IFERROR('Raw Data'!AH93 = ROUND('Raw Data'!AH93, 2),FALSE)),"",_xlfn.REGEXEXTRACT(CELL("address",AH93), "\$([A-Z]+)\$[0-9]+"))),_xlfn.REGEXEXTRACT(CELL("address",AH93), "\$([A-Z]+)\$[0-9]+"))</f>
        <v/>
      </c>
      <c r="AI93" s="7" t="str" cm="1">
        <f t="array" aca="1" ref="AI93" ca="1">IFERROR(IF(OR('Raw Data'!AI93="",LEN(TRIM('Raw Data'!AI93))=0),"",IF(AND(ISNUMBER('Raw Data'!AI93), IFERROR('Raw Data'!AI93 = ROUND('Raw Data'!AI93, 2),FALSE)),"",_xlfn.REGEXEXTRACT(CELL("address",AI93), "\$([A-Z]+)\$[0-9]+"))),_xlfn.REGEXEXTRACT(CELL("address",AI93), "\$([A-Z]+)\$[0-9]+"))</f>
        <v/>
      </c>
      <c r="AJ93" s="7" t="str" cm="1">
        <f t="array" aca="1" ref="AJ93" ca="1">IFERROR(IF(OR('Raw Data'!AJ93="",LEN(TRIM('Raw Data'!AJ93))=0),"",IF(AND(ISNUMBER('Raw Data'!AJ93), IFERROR('Raw Data'!AJ93 = ROUND('Raw Data'!AJ93, 2),FALSE)),"",_xlfn.REGEXEXTRACT(CELL("address",AJ93), "\$([A-Z]+)\$[0-9]+"))),_xlfn.REGEXEXTRACT(CELL("address",AJ93), "\$([A-Z]+)\$[0-9]+"))</f>
        <v/>
      </c>
    </row>
    <row r="94" spans="2:36" x14ac:dyDescent="0.25">
      <c r="B94" s="7" t="str" cm="1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20,LEN('Raw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Data'!D94))=0),"",IF(AND(ISNUMBER('Raw Data'!D94),'Raw Data'!D94&gt;=Configuration!$D$2),"",_xlfn.REGEXEXTRACT(CELL("address",'Raw Data'!D94),"\$([A-Z]+)\$[0-9]+"))),_xlfn.REGEXEXTRACT(CELL("address",D94), "\$([A-Z]+)\$[0-9]+"))</f>
        <v/>
      </c>
      <c r="E94" s="7" t="str" cm="1">
        <f t="array" aca="1" ref="E94" ca="1">IFERROR(IF(OR('Raw Data'!E94="",LEN(TRIM('Raw Data'!E94))=0),"",IF(AND(ISNUMBER('Raw Data'!E94), IFERROR('Raw Data'!E94 = ROUND('Raw Data'!E94, 2),FALSE)),"",_xlfn.REGEXEXTRACT(CELL("address",E94), "\$([A-Z]+)\$[0-9]+"))),_xlfn.REGEXEXTRACT(CELL("address",E94), "\$([A-Z]+)\$[0-9]+"))</f>
        <v/>
      </c>
      <c r="F94" s="7" t="str" cm="1">
        <f t="array" aca="1" ref="F94" ca="1">IFERROR(IF(OR('Raw Data'!F94="",LEN(TRIM('Raw Data'!F94))=0),"",IF(AND(ISNUMBER('Raw Data'!F94), IFERROR('Raw Data'!F94 = ROUND('Raw Data'!F94, 2),FALSE)),"",_xlfn.REGEXEXTRACT(CELL("address",F94), "\$([A-Z]+)\$[0-9]+"))),_xlfn.REGEXEXTRACT(CELL("address",F94), "\$([A-Z]+)\$[0-9]+"))</f>
        <v/>
      </c>
      <c r="G94" s="7" t="str" cm="1">
        <f t="array" aca="1" ref="G94" ca="1">IFERROR(IF(OR('Raw Data'!G94="",LEN(TRIM('Raw Data'!G94))=0),"",IF(AND(ISNUMBER('Raw Data'!G94), IFERROR('Raw Data'!G94 = ROUND('Raw Data'!G94, 2),FALSE)),"",_xlfn.REGEXEXTRACT(CELL("address",G94), "\$([A-Z]+)\$[0-9]+"))),_xlfn.REGEXEXTRACT(CELL("address",G94), "\$([A-Z]+)\$[0-9]+"))</f>
        <v/>
      </c>
      <c r="H94" s="7" t="str" cm="1">
        <f t="array" aca="1" ref="H94" ca="1">IFERROR(IF(OR('Raw Data'!H94="",LEN(TRIM('Raw Data'!H94))=0),"",IF(AND(ISNUMBER('Raw Data'!H94), IFERROR('Raw Data'!H94 = ROUND('Raw Data'!H94, 2),FALSE)),"",_xlfn.REGEXEXTRACT(CELL("address",H94), "\$([A-Z]+)\$[0-9]+"))),_xlfn.REGEXEXTRACT(CELL("address",H94), "\$([A-Z]+)\$[0-9]+"))</f>
        <v/>
      </c>
      <c r="I94" s="7" t="str" cm="1">
        <f t="array" aca="1" ref="I94" ca="1">IFERROR(IF(OR('Raw Data'!I94="",LEN(TRIM('Raw Data'!I94))=0),"",IF(AND(ISNUMBER('Raw Data'!I94), IFERROR('Raw Data'!I94 = ROUND('Raw Data'!I94, 2),FALSE)),"",_xlfn.REGEXEXTRACT(CELL("address",I94), "\$([A-Z]+)\$[0-9]+"))),_xlfn.REGEXEXTRACT(CELL("address",I94), "\$([A-Z]+)\$[0-9]+"))</f>
        <v/>
      </c>
      <c r="J94" s="7" t="str" cm="1">
        <f t="array" aca="1" ref="J94" ca="1">IFERROR(IF(OR('Raw Data'!J94="",LEN(TRIM('Raw Data'!J94))=0),"",IF(AND(ISNUMBER('Raw Data'!J94), IFERROR('Raw Data'!J94 = ROUND('Raw Data'!J94, 2),FALSE)),"",_xlfn.REGEXEXTRACT(CELL("address",J94), "\$([A-Z]+)\$[0-9]+"))),_xlfn.REGEXEXTRACT(CELL("address",J94), "\$([A-Z]+)\$[0-9]+"))</f>
        <v/>
      </c>
      <c r="K94" s="7" t="str" cm="1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7" t="str" cm="1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7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7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7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7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 cm="1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7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7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7" t="str" cm="1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7" t="str" cm="1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  <c r="Z94" s="7" t="str" cm="1">
        <f t="array" aca="1" ref="Z94" ca="1">IFERROR(IF(OR('Raw Data'!Z94="",LEN(TRIM('Raw Data'!Z94))=0),"",IF(AND(ISNUMBER('Raw Data'!Z94), IFERROR('Raw Data'!Z94 = ROUND('Raw Data'!Z94, 2),FALSE)),"",_xlfn.REGEXEXTRACT(CELL("address",Z94), "\$([A-Z]+)\$[0-9]+"))),_xlfn.REGEXEXTRACT(CELL("address",Z94), "\$([A-Z]+)\$[0-9]+"))</f>
        <v/>
      </c>
      <c r="AA94" s="7" t="str" cm="1">
        <f t="array" aca="1" ref="AA94" ca="1">IFERROR(IF(OR('Raw Data'!AA94="",LEN(TRIM('Raw Data'!AA94))=0),"",IF(AND(ISNUMBER('Raw Data'!AA94), IFERROR('Raw Data'!AA94 = ROUND('Raw Data'!AA94, 2),FALSE)),"",_xlfn.REGEXEXTRACT(CELL("address",AA94), "\$([A-Z]+)\$[0-9]+"))),_xlfn.REGEXEXTRACT(CELL("address",AA94), "\$([A-Z]+)\$[0-9]+"))</f>
        <v/>
      </c>
      <c r="AB94" s="7" t="str" cm="1">
        <f t="array" aca="1" ref="AB94" ca="1">IFERROR(IF(OR('Raw Data'!AB94="",LEN(TRIM('Raw Data'!AB94))=0),"",IF(AND(ISNUMBER('Raw Data'!AB94), IFERROR('Raw Data'!AB94 = ROUND('Raw Data'!AB94, 2),FALSE)),"",_xlfn.REGEXEXTRACT(CELL("address",AB94), "\$([A-Z]+)\$[0-9]+"))),_xlfn.REGEXEXTRACT(CELL("address",AB94), "\$([A-Z]+)\$[0-9]+"))</f>
        <v/>
      </c>
      <c r="AC94" s="7" t="str" cm="1">
        <f t="array" aca="1" ref="AC94" ca="1">IFERROR(IF(OR('Raw Data'!AC94="",LEN(TRIM('Raw Data'!AC94))=0),"",IF(AND(ISNUMBER('Raw Data'!AC94), IFERROR('Raw Data'!AC94 = ROUND('Raw Data'!AC94, 2),FALSE)),"",_xlfn.REGEXEXTRACT(CELL("address",AC94), "\$([A-Z]+)\$[0-9]+"))),_xlfn.REGEXEXTRACT(CELL("address",AC94), "\$([A-Z]+)\$[0-9]+"))</f>
        <v/>
      </c>
      <c r="AD94" s="7" t="str" cm="1">
        <f t="array" aca="1" ref="AD94" ca="1">IFERROR(IF(OR('Raw Data'!AD94="",LEN(TRIM('Raw Data'!AD94))=0),"",IF(AND(ISNUMBER('Raw Data'!AD94), IFERROR('Raw Data'!AD94 = ROUND('Raw Data'!AD94, 2),FALSE)),"",_xlfn.REGEXEXTRACT(CELL("address",AD94), "\$([A-Z]+)\$[0-9]+"))),_xlfn.REGEXEXTRACT(CELL("address",AD94), "\$([A-Z]+)\$[0-9]+"))</f>
        <v/>
      </c>
      <c r="AE94" s="7" t="str" cm="1">
        <f t="array" aca="1" ref="AE94" ca="1">IFERROR(IF(OR('Raw Data'!AE94="",LEN(TRIM('Raw Data'!AE94))=0),"",IF(AND(ISNUMBER('Raw Data'!AE94), IFERROR('Raw Data'!AE94 = ROUND('Raw Data'!AE94, 2),FALSE)),"",_xlfn.REGEXEXTRACT(CELL("address",AE94), "\$([A-Z]+)\$[0-9]+"))),_xlfn.REGEXEXTRACT(CELL("address",AE94), "\$([A-Z]+)\$[0-9]+"))</f>
        <v/>
      </c>
      <c r="AF94" s="7" t="str" cm="1">
        <f t="array" aca="1" ref="AF94" ca="1">IFERROR(IF(OR('Raw Data'!AF94="",LEN(TRIM('Raw Data'!AF94))=0),"",IF(AND(ISNUMBER('Raw Data'!AF94), IFERROR('Raw Data'!AF94 = ROUND('Raw Data'!AF94, 2),FALSE)),"",_xlfn.REGEXEXTRACT(CELL("address",AF94), "\$([A-Z]+)\$[0-9]+"))),_xlfn.REGEXEXTRACT(CELL("address",AF94), "\$([A-Z]+)\$[0-9]+"))</f>
        <v/>
      </c>
      <c r="AG94" s="7" t="str" cm="1">
        <f t="array" aca="1" ref="AG94" ca="1">IFERROR(IF(OR('Raw Data'!AG94="",LEN(TRIM('Raw Data'!AG94))=0),"",IF(AND(ISNUMBER('Raw Data'!AG94), IFERROR('Raw Data'!AG94 = ROUND('Raw Data'!AG94, 2),FALSE)),"",_xlfn.REGEXEXTRACT(CELL("address",AG94), "\$([A-Z]+)\$[0-9]+"))),_xlfn.REGEXEXTRACT(CELL("address",AG94), "\$([A-Z]+)\$[0-9]+"))</f>
        <v/>
      </c>
      <c r="AH94" s="7" t="str" cm="1">
        <f t="array" aca="1" ref="AH94" ca="1">IFERROR(IF(OR('Raw Data'!AH94="",LEN(TRIM('Raw Data'!AH94))=0),"",IF(AND(ISNUMBER('Raw Data'!AH94), IFERROR('Raw Data'!AH94 = ROUND('Raw Data'!AH94, 2),FALSE)),"",_xlfn.REGEXEXTRACT(CELL("address",AH94), "\$([A-Z]+)\$[0-9]+"))),_xlfn.REGEXEXTRACT(CELL("address",AH94), "\$([A-Z]+)\$[0-9]+"))</f>
        <v/>
      </c>
      <c r="AI94" s="7" t="str" cm="1">
        <f t="array" aca="1" ref="AI94" ca="1">IFERROR(IF(OR('Raw Data'!AI94="",LEN(TRIM('Raw Data'!AI94))=0),"",IF(AND(ISNUMBER('Raw Data'!AI94), IFERROR('Raw Data'!AI94 = ROUND('Raw Data'!AI94, 2),FALSE)),"",_xlfn.REGEXEXTRACT(CELL("address",AI94), "\$([A-Z]+)\$[0-9]+"))),_xlfn.REGEXEXTRACT(CELL("address",AI94), "\$([A-Z]+)\$[0-9]+"))</f>
        <v/>
      </c>
      <c r="AJ94" s="7" t="str" cm="1">
        <f t="array" aca="1" ref="AJ94" ca="1">IFERROR(IF(OR('Raw Data'!AJ94="",LEN(TRIM('Raw Data'!AJ94))=0),"",IF(AND(ISNUMBER('Raw Data'!AJ94), IFERROR('Raw Data'!AJ94 = ROUND('Raw Data'!AJ94, 2),FALSE)),"",_xlfn.REGEXEXTRACT(CELL("address",AJ94), "\$([A-Z]+)\$[0-9]+"))),_xlfn.REGEXEXTRACT(CELL("address",AJ94), "\$([A-Z]+)\$[0-9]+"))</f>
        <v/>
      </c>
    </row>
    <row r="95" spans="2:36" x14ac:dyDescent="0.25">
      <c r="B95" s="7" t="str" cm="1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20,LEN('Raw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Data'!D95))=0),"",IF(AND(ISNUMBER('Raw Data'!D95),'Raw Data'!D95&gt;=Configuration!$D$2),"",_xlfn.REGEXEXTRACT(CELL("address",'Raw Data'!D95),"\$([A-Z]+)\$[0-9]+"))),_xlfn.REGEXEXTRACT(CELL("address",D95), "\$([A-Z]+)\$[0-9]+"))</f>
        <v/>
      </c>
      <c r="E95" s="7" t="str" cm="1">
        <f t="array" aca="1" ref="E95" ca="1">IFERROR(IF(OR('Raw Data'!E95="",LEN(TRIM('Raw Data'!E95))=0),"",IF(AND(ISNUMBER('Raw Data'!E95), IFERROR('Raw Data'!E95 = ROUND('Raw Data'!E95, 2),FALSE)),"",_xlfn.REGEXEXTRACT(CELL("address",E95), "\$([A-Z]+)\$[0-9]+"))),_xlfn.REGEXEXTRACT(CELL("address",E95), "\$([A-Z]+)\$[0-9]+"))</f>
        <v/>
      </c>
      <c r="F95" s="7" t="str" cm="1">
        <f t="array" aca="1" ref="F95" ca="1">IFERROR(IF(OR('Raw Data'!F95="",LEN(TRIM('Raw Data'!F95))=0),"",IF(AND(ISNUMBER('Raw Data'!F95), IFERROR('Raw Data'!F95 = ROUND('Raw Data'!F95, 2),FALSE)),"",_xlfn.REGEXEXTRACT(CELL("address",F95), "\$([A-Z]+)\$[0-9]+"))),_xlfn.REGEXEXTRACT(CELL("address",F95), "\$([A-Z]+)\$[0-9]+"))</f>
        <v/>
      </c>
      <c r="G95" s="7" t="str" cm="1">
        <f t="array" aca="1" ref="G95" ca="1">IFERROR(IF(OR('Raw Data'!G95="",LEN(TRIM('Raw Data'!G95))=0),"",IF(AND(ISNUMBER('Raw Data'!G95), IFERROR('Raw Data'!G95 = ROUND('Raw Data'!G95, 2),FALSE)),"",_xlfn.REGEXEXTRACT(CELL("address",G95), "\$([A-Z]+)\$[0-9]+"))),_xlfn.REGEXEXTRACT(CELL("address",G95), "\$([A-Z]+)\$[0-9]+"))</f>
        <v/>
      </c>
      <c r="H95" s="7" t="str" cm="1">
        <f t="array" aca="1" ref="H95" ca="1">IFERROR(IF(OR('Raw Data'!H95="",LEN(TRIM('Raw Data'!H95))=0),"",IF(AND(ISNUMBER('Raw Data'!H95), IFERROR('Raw Data'!H95 = ROUND('Raw Data'!H95, 2),FALSE)),"",_xlfn.REGEXEXTRACT(CELL("address",H95), "\$([A-Z]+)\$[0-9]+"))),_xlfn.REGEXEXTRACT(CELL("address",H95), "\$([A-Z]+)\$[0-9]+"))</f>
        <v/>
      </c>
      <c r="I95" s="7" t="str" cm="1">
        <f t="array" aca="1" ref="I95" ca="1">IFERROR(IF(OR('Raw Data'!I95="",LEN(TRIM('Raw Data'!I95))=0),"",IF(AND(ISNUMBER('Raw Data'!I95), IFERROR('Raw Data'!I95 = ROUND('Raw Data'!I95, 2),FALSE)),"",_xlfn.REGEXEXTRACT(CELL("address",I95), "\$([A-Z]+)\$[0-9]+"))),_xlfn.REGEXEXTRACT(CELL("address",I95), "\$([A-Z]+)\$[0-9]+"))</f>
        <v/>
      </c>
      <c r="J95" s="7" t="str" cm="1">
        <f t="array" aca="1" ref="J95" ca="1">IFERROR(IF(OR('Raw Data'!J95="",LEN(TRIM('Raw Data'!J95))=0),"",IF(AND(ISNUMBER('Raw Data'!J95), IFERROR('Raw Data'!J95 = ROUND('Raw Data'!J95, 2),FALSE)),"",_xlfn.REGEXEXTRACT(CELL("address",J95), "\$([A-Z]+)\$[0-9]+"))),_xlfn.REGEXEXTRACT(CELL("address",J95), "\$([A-Z]+)\$[0-9]+"))</f>
        <v/>
      </c>
      <c r="K95" s="7" t="str" cm="1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7" t="str" cm="1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7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7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7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7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 cm="1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7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7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7" t="str" cm="1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7" t="str" cm="1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  <c r="Z95" s="7" t="str" cm="1">
        <f t="array" aca="1" ref="Z95" ca="1">IFERROR(IF(OR('Raw Data'!Z95="",LEN(TRIM('Raw Data'!Z95))=0),"",IF(AND(ISNUMBER('Raw Data'!Z95), IFERROR('Raw Data'!Z95 = ROUND('Raw Data'!Z95, 2),FALSE)),"",_xlfn.REGEXEXTRACT(CELL("address",Z95), "\$([A-Z]+)\$[0-9]+"))),_xlfn.REGEXEXTRACT(CELL("address",Z95), "\$([A-Z]+)\$[0-9]+"))</f>
        <v/>
      </c>
      <c r="AA95" s="7" t="str" cm="1">
        <f t="array" aca="1" ref="AA95" ca="1">IFERROR(IF(OR('Raw Data'!AA95="",LEN(TRIM('Raw Data'!AA95))=0),"",IF(AND(ISNUMBER('Raw Data'!AA95), IFERROR('Raw Data'!AA95 = ROUND('Raw Data'!AA95, 2),FALSE)),"",_xlfn.REGEXEXTRACT(CELL("address",AA95), "\$([A-Z]+)\$[0-9]+"))),_xlfn.REGEXEXTRACT(CELL("address",AA95), "\$([A-Z]+)\$[0-9]+"))</f>
        <v/>
      </c>
      <c r="AB95" s="7" t="str" cm="1">
        <f t="array" aca="1" ref="AB95" ca="1">IFERROR(IF(OR('Raw Data'!AB95="",LEN(TRIM('Raw Data'!AB95))=0),"",IF(AND(ISNUMBER('Raw Data'!AB95), IFERROR('Raw Data'!AB95 = ROUND('Raw Data'!AB95, 2),FALSE)),"",_xlfn.REGEXEXTRACT(CELL("address",AB95), "\$([A-Z]+)\$[0-9]+"))),_xlfn.REGEXEXTRACT(CELL("address",AB95), "\$([A-Z]+)\$[0-9]+"))</f>
        <v/>
      </c>
      <c r="AC95" s="7" t="str" cm="1">
        <f t="array" aca="1" ref="AC95" ca="1">IFERROR(IF(OR('Raw Data'!AC95="",LEN(TRIM('Raw Data'!AC95))=0),"",IF(AND(ISNUMBER('Raw Data'!AC95), IFERROR('Raw Data'!AC95 = ROUND('Raw Data'!AC95, 2),FALSE)),"",_xlfn.REGEXEXTRACT(CELL("address",AC95), "\$([A-Z]+)\$[0-9]+"))),_xlfn.REGEXEXTRACT(CELL("address",AC95), "\$([A-Z]+)\$[0-9]+"))</f>
        <v/>
      </c>
      <c r="AD95" s="7" t="str" cm="1">
        <f t="array" aca="1" ref="AD95" ca="1">IFERROR(IF(OR('Raw Data'!AD95="",LEN(TRIM('Raw Data'!AD95))=0),"",IF(AND(ISNUMBER('Raw Data'!AD95), IFERROR('Raw Data'!AD95 = ROUND('Raw Data'!AD95, 2),FALSE)),"",_xlfn.REGEXEXTRACT(CELL("address",AD95), "\$([A-Z]+)\$[0-9]+"))),_xlfn.REGEXEXTRACT(CELL("address",AD95), "\$([A-Z]+)\$[0-9]+"))</f>
        <v/>
      </c>
      <c r="AE95" s="7" t="str" cm="1">
        <f t="array" aca="1" ref="AE95" ca="1">IFERROR(IF(OR('Raw Data'!AE95="",LEN(TRIM('Raw Data'!AE95))=0),"",IF(AND(ISNUMBER('Raw Data'!AE95), IFERROR('Raw Data'!AE95 = ROUND('Raw Data'!AE95, 2),FALSE)),"",_xlfn.REGEXEXTRACT(CELL("address",AE95), "\$([A-Z]+)\$[0-9]+"))),_xlfn.REGEXEXTRACT(CELL("address",AE95), "\$([A-Z]+)\$[0-9]+"))</f>
        <v/>
      </c>
      <c r="AF95" s="7" t="str" cm="1">
        <f t="array" aca="1" ref="AF95" ca="1">IFERROR(IF(OR('Raw Data'!AF95="",LEN(TRIM('Raw Data'!AF95))=0),"",IF(AND(ISNUMBER('Raw Data'!AF95), IFERROR('Raw Data'!AF95 = ROUND('Raw Data'!AF95, 2),FALSE)),"",_xlfn.REGEXEXTRACT(CELL("address",AF95), "\$([A-Z]+)\$[0-9]+"))),_xlfn.REGEXEXTRACT(CELL("address",AF95), "\$([A-Z]+)\$[0-9]+"))</f>
        <v/>
      </c>
      <c r="AG95" s="7" t="str" cm="1">
        <f t="array" aca="1" ref="AG95" ca="1">IFERROR(IF(OR('Raw Data'!AG95="",LEN(TRIM('Raw Data'!AG95))=0),"",IF(AND(ISNUMBER('Raw Data'!AG95), IFERROR('Raw Data'!AG95 = ROUND('Raw Data'!AG95, 2),FALSE)),"",_xlfn.REGEXEXTRACT(CELL("address",AG95), "\$([A-Z]+)\$[0-9]+"))),_xlfn.REGEXEXTRACT(CELL("address",AG95), "\$([A-Z]+)\$[0-9]+"))</f>
        <v/>
      </c>
      <c r="AH95" s="7" t="str" cm="1">
        <f t="array" aca="1" ref="AH95" ca="1">IFERROR(IF(OR('Raw Data'!AH95="",LEN(TRIM('Raw Data'!AH95))=0),"",IF(AND(ISNUMBER('Raw Data'!AH95), IFERROR('Raw Data'!AH95 = ROUND('Raw Data'!AH95, 2),FALSE)),"",_xlfn.REGEXEXTRACT(CELL("address",AH95), "\$([A-Z]+)\$[0-9]+"))),_xlfn.REGEXEXTRACT(CELL("address",AH95), "\$([A-Z]+)\$[0-9]+"))</f>
        <v/>
      </c>
      <c r="AI95" s="7" t="str" cm="1">
        <f t="array" aca="1" ref="AI95" ca="1">IFERROR(IF(OR('Raw Data'!AI95="",LEN(TRIM('Raw Data'!AI95))=0),"",IF(AND(ISNUMBER('Raw Data'!AI95), IFERROR('Raw Data'!AI95 = ROUND('Raw Data'!AI95, 2),FALSE)),"",_xlfn.REGEXEXTRACT(CELL("address",AI95), "\$([A-Z]+)\$[0-9]+"))),_xlfn.REGEXEXTRACT(CELL("address",AI95), "\$([A-Z]+)\$[0-9]+"))</f>
        <v/>
      </c>
      <c r="AJ95" s="7" t="str" cm="1">
        <f t="array" aca="1" ref="AJ95" ca="1">IFERROR(IF(OR('Raw Data'!AJ95="",LEN(TRIM('Raw Data'!AJ95))=0),"",IF(AND(ISNUMBER('Raw Data'!AJ95), IFERROR('Raw Data'!AJ95 = ROUND('Raw Data'!AJ95, 2),FALSE)),"",_xlfn.REGEXEXTRACT(CELL("address",AJ95), "\$([A-Z]+)\$[0-9]+"))),_xlfn.REGEXEXTRACT(CELL("address",AJ95), "\$([A-Z]+)\$[0-9]+"))</f>
        <v/>
      </c>
    </row>
    <row r="96" spans="2:36" x14ac:dyDescent="0.25">
      <c r="B96" s="7" t="str" cm="1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20,LEN('Raw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Data'!D96))=0),"",IF(AND(ISNUMBER('Raw Data'!D96),'Raw Data'!D96&gt;=Configuration!$D$2),"",_xlfn.REGEXEXTRACT(CELL("address",'Raw Data'!D96),"\$([A-Z]+)\$[0-9]+"))),_xlfn.REGEXEXTRACT(CELL("address",D96), "\$([A-Z]+)\$[0-9]+"))</f>
        <v/>
      </c>
      <c r="E96" s="7" t="str" cm="1">
        <f t="array" aca="1" ref="E96" ca="1">IFERROR(IF(OR('Raw Data'!E96="",LEN(TRIM('Raw Data'!E96))=0),"",IF(AND(ISNUMBER('Raw Data'!E96), IFERROR('Raw Data'!E96 = ROUND('Raw Data'!E96, 2),FALSE)),"",_xlfn.REGEXEXTRACT(CELL("address",E96), "\$([A-Z]+)\$[0-9]+"))),_xlfn.REGEXEXTRACT(CELL("address",E96), "\$([A-Z]+)\$[0-9]+"))</f>
        <v/>
      </c>
      <c r="F96" s="7" t="str" cm="1">
        <f t="array" aca="1" ref="F96" ca="1">IFERROR(IF(OR('Raw Data'!F96="",LEN(TRIM('Raw Data'!F96))=0),"",IF(AND(ISNUMBER('Raw Data'!F96), IFERROR('Raw Data'!F96 = ROUND('Raw Data'!F96, 2),FALSE)),"",_xlfn.REGEXEXTRACT(CELL("address",F96), "\$([A-Z]+)\$[0-9]+"))),_xlfn.REGEXEXTRACT(CELL("address",F96), "\$([A-Z]+)\$[0-9]+"))</f>
        <v/>
      </c>
      <c r="G96" s="7" t="str" cm="1">
        <f t="array" aca="1" ref="G96" ca="1">IFERROR(IF(OR('Raw Data'!G96="",LEN(TRIM('Raw Data'!G96))=0),"",IF(AND(ISNUMBER('Raw Data'!G96), IFERROR('Raw Data'!G96 = ROUND('Raw Data'!G96, 2),FALSE)),"",_xlfn.REGEXEXTRACT(CELL("address",G96), "\$([A-Z]+)\$[0-9]+"))),_xlfn.REGEXEXTRACT(CELL("address",G96), "\$([A-Z]+)\$[0-9]+"))</f>
        <v/>
      </c>
      <c r="H96" s="7" t="str" cm="1">
        <f t="array" aca="1" ref="H96" ca="1">IFERROR(IF(OR('Raw Data'!H96="",LEN(TRIM('Raw Data'!H96))=0),"",IF(AND(ISNUMBER('Raw Data'!H96), IFERROR('Raw Data'!H96 = ROUND('Raw Data'!H96, 2),FALSE)),"",_xlfn.REGEXEXTRACT(CELL("address",H96), "\$([A-Z]+)\$[0-9]+"))),_xlfn.REGEXEXTRACT(CELL("address",H96), "\$([A-Z]+)\$[0-9]+"))</f>
        <v/>
      </c>
      <c r="I96" s="7" t="str" cm="1">
        <f t="array" aca="1" ref="I96" ca="1">IFERROR(IF(OR('Raw Data'!I96="",LEN(TRIM('Raw Data'!I96))=0),"",IF(AND(ISNUMBER('Raw Data'!I96), IFERROR('Raw Data'!I96 = ROUND('Raw Data'!I96, 2),FALSE)),"",_xlfn.REGEXEXTRACT(CELL("address",I96), "\$([A-Z]+)\$[0-9]+"))),_xlfn.REGEXEXTRACT(CELL("address",I96), "\$([A-Z]+)\$[0-9]+"))</f>
        <v/>
      </c>
      <c r="J96" s="7" t="str" cm="1">
        <f t="array" aca="1" ref="J96" ca="1">IFERROR(IF(OR('Raw Data'!J96="",LEN(TRIM('Raw Data'!J96))=0),"",IF(AND(ISNUMBER('Raw Data'!J96), IFERROR('Raw Data'!J96 = ROUND('Raw Data'!J96, 2),FALSE)),"",_xlfn.REGEXEXTRACT(CELL("address",J96), "\$([A-Z]+)\$[0-9]+"))),_xlfn.REGEXEXTRACT(CELL("address",J96), "\$([A-Z]+)\$[0-9]+"))</f>
        <v/>
      </c>
      <c r="K96" s="7" t="str" cm="1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7" t="str" cm="1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7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7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7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7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 cm="1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7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7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7" t="str" cm="1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7" t="str" cm="1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  <c r="Z96" s="7" t="str" cm="1">
        <f t="array" aca="1" ref="Z96" ca="1">IFERROR(IF(OR('Raw Data'!Z96="",LEN(TRIM('Raw Data'!Z96))=0),"",IF(AND(ISNUMBER('Raw Data'!Z96), IFERROR('Raw Data'!Z96 = ROUND('Raw Data'!Z96, 2),FALSE)),"",_xlfn.REGEXEXTRACT(CELL("address",Z96), "\$([A-Z]+)\$[0-9]+"))),_xlfn.REGEXEXTRACT(CELL("address",Z96), "\$([A-Z]+)\$[0-9]+"))</f>
        <v/>
      </c>
      <c r="AA96" s="7" t="str" cm="1">
        <f t="array" aca="1" ref="AA96" ca="1">IFERROR(IF(OR('Raw Data'!AA96="",LEN(TRIM('Raw Data'!AA96))=0),"",IF(AND(ISNUMBER('Raw Data'!AA96), IFERROR('Raw Data'!AA96 = ROUND('Raw Data'!AA96, 2),FALSE)),"",_xlfn.REGEXEXTRACT(CELL("address",AA96), "\$([A-Z]+)\$[0-9]+"))),_xlfn.REGEXEXTRACT(CELL("address",AA96), "\$([A-Z]+)\$[0-9]+"))</f>
        <v/>
      </c>
      <c r="AB96" s="7" t="str" cm="1">
        <f t="array" aca="1" ref="AB96" ca="1">IFERROR(IF(OR('Raw Data'!AB96="",LEN(TRIM('Raw Data'!AB96))=0),"",IF(AND(ISNUMBER('Raw Data'!AB96), IFERROR('Raw Data'!AB96 = ROUND('Raw Data'!AB96, 2),FALSE)),"",_xlfn.REGEXEXTRACT(CELL("address",AB96), "\$([A-Z]+)\$[0-9]+"))),_xlfn.REGEXEXTRACT(CELL("address",AB96), "\$([A-Z]+)\$[0-9]+"))</f>
        <v/>
      </c>
      <c r="AC96" s="7" t="str" cm="1">
        <f t="array" aca="1" ref="AC96" ca="1">IFERROR(IF(OR('Raw Data'!AC96="",LEN(TRIM('Raw Data'!AC96))=0),"",IF(AND(ISNUMBER('Raw Data'!AC96), IFERROR('Raw Data'!AC96 = ROUND('Raw Data'!AC96, 2),FALSE)),"",_xlfn.REGEXEXTRACT(CELL("address",AC96), "\$([A-Z]+)\$[0-9]+"))),_xlfn.REGEXEXTRACT(CELL("address",AC96), "\$([A-Z]+)\$[0-9]+"))</f>
        <v/>
      </c>
      <c r="AD96" s="7" t="str" cm="1">
        <f t="array" aca="1" ref="AD96" ca="1">IFERROR(IF(OR('Raw Data'!AD96="",LEN(TRIM('Raw Data'!AD96))=0),"",IF(AND(ISNUMBER('Raw Data'!AD96), IFERROR('Raw Data'!AD96 = ROUND('Raw Data'!AD96, 2),FALSE)),"",_xlfn.REGEXEXTRACT(CELL("address",AD96), "\$([A-Z]+)\$[0-9]+"))),_xlfn.REGEXEXTRACT(CELL("address",AD96), "\$([A-Z]+)\$[0-9]+"))</f>
        <v/>
      </c>
      <c r="AE96" s="7" t="str" cm="1">
        <f t="array" aca="1" ref="AE96" ca="1">IFERROR(IF(OR('Raw Data'!AE96="",LEN(TRIM('Raw Data'!AE96))=0),"",IF(AND(ISNUMBER('Raw Data'!AE96), IFERROR('Raw Data'!AE96 = ROUND('Raw Data'!AE96, 2),FALSE)),"",_xlfn.REGEXEXTRACT(CELL("address",AE96), "\$([A-Z]+)\$[0-9]+"))),_xlfn.REGEXEXTRACT(CELL("address",AE96), "\$([A-Z]+)\$[0-9]+"))</f>
        <v/>
      </c>
      <c r="AF96" s="7" t="str" cm="1">
        <f t="array" aca="1" ref="AF96" ca="1">IFERROR(IF(OR('Raw Data'!AF96="",LEN(TRIM('Raw Data'!AF96))=0),"",IF(AND(ISNUMBER('Raw Data'!AF96), IFERROR('Raw Data'!AF96 = ROUND('Raw Data'!AF96, 2),FALSE)),"",_xlfn.REGEXEXTRACT(CELL("address",AF96), "\$([A-Z]+)\$[0-9]+"))),_xlfn.REGEXEXTRACT(CELL("address",AF96), "\$([A-Z]+)\$[0-9]+"))</f>
        <v/>
      </c>
      <c r="AG96" s="7" t="str" cm="1">
        <f t="array" aca="1" ref="AG96" ca="1">IFERROR(IF(OR('Raw Data'!AG96="",LEN(TRIM('Raw Data'!AG96))=0),"",IF(AND(ISNUMBER('Raw Data'!AG96), IFERROR('Raw Data'!AG96 = ROUND('Raw Data'!AG96, 2),FALSE)),"",_xlfn.REGEXEXTRACT(CELL("address",AG96), "\$([A-Z]+)\$[0-9]+"))),_xlfn.REGEXEXTRACT(CELL("address",AG96), "\$([A-Z]+)\$[0-9]+"))</f>
        <v/>
      </c>
      <c r="AH96" s="7" t="str" cm="1">
        <f t="array" aca="1" ref="AH96" ca="1">IFERROR(IF(OR('Raw Data'!AH96="",LEN(TRIM('Raw Data'!AH96))=0),"",IF(AND(ISNUMBER('Raw Data'!AH96), IFERROR('Raw Data'!AH96 = ROUND('Raw Data'!AH96, 2),FALSE)),"",_xlfn.REGEXEXTRACT(CELL("address",AH96), "\$([A-Z]+)\$[0-9]+"))),_xlfn.REGEXEXTRACT(CELL("address",AH96), "\$([A-Z]+)\$[0-9]+"))</f>
        <v/>
      </c>
      <c r="AI96" s="7" t="str" cm="1">
        <f t="array" aca="1" ref="AI96" ca="1">IFERROR(IF(OR('Raw Data'!AI96="",LEN(TRIM('Raw Data'!AI96))=0),"",IF(AND(ISNUMBER('Raw Data'!AI96), IFERROR('Raw Data'!AI96 = ROUND('Raw Data'!AI96, 2),FALSE)),"",_xlfn.REGEXEXTRACT(CELL("address",AI96), "\$([A-Z]+)\$[0-9]+"))),_xlfn.REGEXEXTRACT(CELL("address",AI96), "\$([A-Z]+)\$[0-9]+"))</f>
        <v/>
      </c>
      <c r="AJ96" s="7" t="str" cm="1">
        <f t="array" aca="1" ref="AJ96" ca="1">IFERROR(IF(OR('Raw Data'!AJ96="",LEN(TRIM('Raw Data'!AJ96))=0),"",IF(AND(ISNUMBER('Raw Data'!AJ96), IFERROR('Raw Data'!AJ96 = ROUND('Raw Data'!AJ96, 2),FALSE)),"",_xlfn.REGEXEXTRACT(CELL("address",AJ96), "\$([A-Z]+)\$[0-9]+"))),_xlfn.REGEXEXTRACT(CELL("address",AJ96), "\$([A-Z]+)\$[0-9]+"))</f>
        <v/>
      </c>
    </row>
    <row r="97" spans="2:36" x14ac:dyDescent="0.25">
      <c r="B97" s="7" t="str" cm="1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20,LEN('Raw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Data'!D97))=0),"",IF(AND(ISNUMBER('Raw Data'!D97),'Raw Data'!D97&gt;=Configuration!$D$2),"",_xlfn.REGEXEXTRACT(CELL("address",'Raw Data'!D97),"\$([A-Z]+)\$[0-9]+"))),_xlfn.REGEXEXTRACT(CELL("address",D97), "\$([A-Z]+)\$[0-9]+"))</f>
        <v/>
      </c>
      <c r="E97" s="7" t="str" cm="1">
        <f t="array" aca="1" ref="E97" ca="1">IFERROR(IF(OR('Raw Data'!E97="",LEN(TRIM('Raw Data'!E97))=0),"",IF(AND(ISNUMBER('Raw Data'!E97), IFERROR('Raw Data'!E97 = ROUND('Raw Data'!E97, 2),FALSE)),"",_xlfn.REGEXEXTRACT(CELL("address",E97), "\$([A-Z]+)\$[0-9]+"))),_xlfn.REGEXEXTRACT(CELL("address",E97), "\$([A-Z]+)\$[0-9]+"))</f>
        <v/>
      </c>
      <c r="F97" s="7" t="str" cm="1">
        <f t="array" aca="1" ref="F97" ca="1">IFERROR(IF(OR('Raw Data'!F97="",LEN(TRIM('Raw Data'!F97))=0),"",IF(AND(ISNUMBER('Raw Data'!F97), IFERROR('Raw Data'!F97 = ROUND('Raw Data'!F97, 2),FALSE)),"",_xlfn.REGEXEXTRACT(CELL("address",F97), "\$([A-Z]+)\$[0-9]+"))),_xlfn.REGEXEXTRACT(CELL("address",F97), "\$([A-Z]+)\$[0-9]+"))</f>
        <v/>
      </c>
      <c r="G97" s="7" t="str" cm="1">
        <f t="array" aca="1" ref="G97" ca="1">IFERROR(IF(OR('Raw Data'!G97="",LEN(TRIM('Raw Data'!G97))=0),"",IF(AND(ISNUMBER('Raw Data'!G97), IFERROR('Raw Data'!G97 = ROUND('Raw Data'!G97, 2),FALSE)),"",_xlfn.REGEXEXTRACT(CELL("address",G97), "\$([A-Z]+)\$[0-9]+"))),_xlfn.REGEXEXTRACT(CELL("address",G97), "\$([A-Z]+)\$[0-9]+"))</f>
        <v/>
      </c>
      <c r="H97" s="7" t="str" cm="1">
        <f t="array" aca="1" ref="H97" ca="1">IFERROR(IF(OR('Raw Data'!H97="",LEN(TRIM('Raw Data'!H97))=0),"",IF(AND(ISNUMBER('Raw Data'!H97), IFERROR('Raw Data'!H97 = ROUND('Raw Data'!H97, 2),FALSE)),"",_xlfn.REGEXEXTRACT(CELL("address",H97), "\$([A-Z]+)\$[0-9]+"))),_xlfn.REGEXEXTRACT(CELL("address",H97), "\$([A-Z]+)\$[0-9]+"))</f>
        <v/>
      </c>
      <c r="I97" s="7" t="str" cm="1">
        <f t="array" aca="1" ref="I97" ca="1">IFERROR(IF(OR('Raw Data'!I97="",LEN(TRIM('Raw Data'!I97))=0),"",IF(AND(ISNUMBER('Raw Data'!I97), IFERROR('Raw Data'!I97 = ROUND('Raw Data'!I97, 2),FALSE)),"",_xlfn.REGEXEXTRACT(CELL("address",I97), "\$([A-Z]+)\$[0-9]+"))),_xlfn.REGEXEXTRACT(CELL("address",I97), "\$([A-Z]+)\$[0-9]+"))</f>
        <v/>
      </c>
      <c r="J97" s="7" t="str" cm="1">
        <f t="array" aca="1" ref="J97" ca="1">IFERROR(IF(OR('Raw Data'!J97="",LEN(TRIM('Raw Data'!J97))=0),"",IF(AND(ISNUMBER('Raw Data'!J97), IFERROR('Raw Data'!J97 = ROUND('Raw Data'!J97, 2),FALSE)),"",_xlfn.REGEXEXTRACT(CELL("address",J97), "\$([A-Z]+)\$[0-9]+"))),_xlfn.REGEXEXTRACT(CELL("address",J97), "\$([A-Z]+)\$[0-9]+"))</f>
        <v/>
      </c>
      <c r="K97" s="7" t="str" cm="1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7" t="str" cm="1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7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7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7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7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 cm="1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7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7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7" t="str" cm="1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7" t="str" cm="1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  <c r="Z97" s="7" t="str" cm="1">
        <f t="array" aca="1" ref="Z97" ca="1">IFERROR(IF(OR('Raw Data'!Z97="",LEN(TRIM('Raw Data'!Z97))=0),"",IF(AND(ISNUMBER('Raw Data'!Z97), IFERROR('Raw Data'!Z97 = ROUND('Raw Data'!Z97, 2),FALSE)),"",_xlfn.REGEXEXTRACT(CELL("address",Z97), "\$([A-Z]+)\$[0-9]+"))),_xlfn.REGEXEXTRACT(CELL("address",Z97), "\$([A-Z]+)\$[0-9]+"))</f>
        <v/>
      </c>
      <c r="AA97" s="7" t="str" cm="1">
        <f t="array" aca="1" ref="AA97" ca="1">IFERROR(IF(OR('Raw Data'!AA97="",LEN(TRIM('Raw Data'!AA97))=0),"",IF(AND(ISNUMBER('Raw Data'!AA97), IFERROR('Raw Data'!AA97 = ROUND('Raw Data'!AA97, 2),FALSE)),"",_xlfn.REGEXEXTRACT(CELL("address",AA97), "\$([A-Z]+)\$[0-9]+"))),_xlfn.REGEXEXTRACT(CELL("address",AA97), "\$([A-Z]+)\$[0-9]+"))</f>
        <v/>
      </c>
      <c r="AB97" s="7" t="str" cm="1">
        <f t="array" aca="1" ref="AB97" ca="1">IFERROR(IF(OR('Raw Data'!AB97="",LEN(TRIM('Raw Data'!AB97))=0),"",IF(AND(ISNUMBER('Raw Data'!AB97), IFERROR('Raw Data'!AB97 = ROUND('Raw Data'!AB97, 2),FALSE)),"",_xlfn.REGEXEXTRACT(CELL("address",AB97), "\$([A-Z]+)\$[0-9]+"))),_xlfn.REGEXEXTRACT(CELL("address",AB97), "\$([A-Z]+)\$[0-9]+"))</f>
        <v/>
      </c>
      <c r="AC97" s="7" t="str" cm="1">
        <f t="array" aca="1" ref="AC97" ca="1">IFERROR(IF(OR('Raw Data'!AC97="",LEN(TRIM('Raw Data'!AC97))=0),"",IF(AND(ISNUMBER('Raw Data'!AC97), IFERROR('Raw Data'!AC97 = ROUND('Raw Data'!AC97, 2),FALSE)),"",_xlfn.REGEXEXTRACT(CELL("address",AC97), "\$([A-Z]+)\$[0-9]+"))),_xlfn.REGEXEXTRACT(CELL("address",AC97), "\$([A-Z]+)\$[0-9]+"))</f>
        <v/>
      </c>
      <c r="AD97" s="7" t="str" cm="1">
        <f t="array" aca="1" ref="AD97" ca="1">IFERROR(IF(OR('Raw Data'!AD97="",LEN(TRIM('Raw Data'!AD97))=0),"",IF(AND(ISNUMBER('Raw Data'!AD97), IFERROR('Raw Data'!AD97 = ROUND('Raw Data'!AD97, 2),FALSE)),"",_xlfn.REGEXEXTRACT(CELL("address",AD97), "\$([A-Z]+)\$[0-9]+"))),_xlfn.REGEXEXTRACT(CELL("address",AD97), "\$([A-Z]+)\$[0-9]+"))</f>
        <v/>
      </c>
      <c r="AE97" s="7" t="str" cm="1">
        <f t="array" aca="1" ref="AE97" ca="1">IFERROR(IF(OR('Raw Data'!AE97="",LEN(TRIM('Raw Data'!AE97))=0),"",IF(AND(ISNUMBER('Raw Data'!AE97), IFERROR('Raw Data'!AE97 = ROUND('Raw Data'!AE97, 2),FALSE)),"",_xlfn.REGEXEXTRACT(CELL("address",AE97), "\$([A-Z]+)\$[0-9]+"))),_xlfn.REGEXEXTRACT(CELL("address",AE97), "\$([A-Z]+)\$[0-9]+"))</f>
        <v/>
      </c>
      <c r="AF97" s="7" t="str" cm="1">
        <f t="array" aca="1" ref="AF97" ca="1">IFERROR(IF(OR('Raw Data'!AF97="",LEN(TRIM('Raw Data'!AF97))=0),"",IF(AND(ISNUMBER('Raw Data'!AF97), IFERROR('Raw Data'!AF97 = ROUND('Raw Data'!AF97, 2),FALSE)),"",_xlfn.REGEXEXTRACT(CELL("address",AF97), "\$([A-Z]+)\$[0-9]+"))),_xlfn.REGEXEXTRACT(CELL("address",AF97), "\$([A-Z]+)\$[0-9]+"))</f>
        <v/>
      </c>
      <c r="AG97" s="7" t="str" cm="1">
        <f t="array" aca="1" ref="AG97" ca="1">IFERROR(IF(OR('Raw Data'!AG97="",LEN(TRIM('Raw Data'!AG97))=0),"",IF(AND(ISNUMBER('Raw Data'!AG97), IFERROR('Raw Data'!AG97 = ROUND('Raw Data'!AG97, 2),FALSE)),"",_xlfn.REGEXEXTRACT(CELL("address",AG97), "\$([A-Z]+)\$[0-9]+"))),_xlfn.REGEXEXTRACT(CELL("address",AG97), "\$([A-Z]+)\$[0-9]+"))</f>
        <v/>
      </c>
      <c r="AH97" s="7" t="str" cm="1">
        <f t="array" aca="1" ref="AH97" ca="1">IFERROR(IF(OR('Raw Data'!AH97="",LEN(TRIM('Raw Data'!AH97))=0),"",IF(AND(ISNUMBER('Raw Data'!AH97), IFERROR('Raw Data'!AH97 = ROUND('Raw Data'!AH97, 2),FALSE)),"",_xlfn.REGEXEXTRACT(CELL("address",AH97), "\$([A-Z]+)\$[0-9]+"))),_xlfn.REGEXEXTRACT(CELL("address",AH97), "\$([A-Z]+)\$[0-9]+"))</f>
        <v/>
      </c>
      <c r="AI97" s="7" t="str" cm="1">
        <f t="array" aca="1" ref="AI97" ca="1">IFERROR(IF(OR('Raw Data'!AI97="",LEN(TRIM('Raw Data'!AI97))=0),"",IF(AND(ISNUMBER('Raw Data'!AI97), IFERROR('Raw Data'!AI97 = ROUND('Raw Data'!AI97, 2),FALSE)),"",_xlfn.REGEXEXTRACT(CELL("address",AI97), "\$([A-Z]+)\$[0-9]+"))),_xlfn.REGEXEXTRACT(CELL("address",AI97), "\$([A-Z]+)\$[0-9]+"))</f>
        <v/>
      </c>
      <c r="AJ97" s="7" t="str" cm="1">
        <f t="array" aca="1" ref="AJ97" ca="1">IFERROR(IF(OR('Raw Data'!AJ97="",LEN(TRIM('Raw Data'!AJ97))=0),"",IF(AND(ISNUMBER('Raw Data'!AJ97), IFERROR('Raw Data'!AJ97 = ROUND('Raw Data'!AJ97, 2),FALSE)),"",_xlfn.REGEXEXTRACT(CELL("address",AJ97), "\$([A-Z]+)\$[0-9]+"))),_xlfn.REGEXEXTRACT(CELL("address",AJ97), "\$([A-Z]+)\$[0-9]+"))</f>
        <v/>
      </c>
    </row>
    <row r="98" spans="2:36" x14ac:dyDescent="0.25">
      <c r="B98" s="7" t="str" cm="1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20,LEN('Raw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Data'!D98))=0),"",IF(AND(ISNUMBER('Raw Data'!D98),'Raw Data'!D98&gt;=Configuration!$D$2),"",_xlfn.REGEXEXTRACT(CELL("address",'Raw Data'!D98),"\$([A-Z]+)\$[0-9]+"))),_xlfn.REGEXEXTRACT(CELL("address",D98), "\$([A-Z]+)\$[0-9]+"))</f>
        <v/>
      </c>
      <c r="E98" s="7" t="str" cm="1">
        <f t="array" aca="1" ref="E98" ca="1">IFERROR(IF(OR('Raw Data'!E98="",LEN(TRIM('Raw Data'!E98))=0),"",IF(AND(ISNUMBER('Raw Data'!E98), IFERROR('Raw Data'!E98 = ROUND('Raw Data'!E98, 2),FALSE)),"",_xlfn.REGEXEXTRACT(CELL("address",E98), "\$([A-Z]+)\$[0-9]+"))),_xlfn.REGEXEXTRACT(CELL("address",E98), "\$([A-Z]+)\$[0-9]+"))</f>
        <v/>
      </c>
      <c r="F98" s="7" t="str" cm="1">
        <f t="array" aca="1" ref="F98" ca="1">IFERROR(IF(OR('Raw Data'!F98="",LEN(TRIM('Raw Data'!F98))=0),"",IF(AND(ISNUMBER('Raw Data'!F98), IFERROR('Raw Data'!F98 = ROUND('Raw Data'!F98, 2),FALSE)),"",_xlfn.REGEXEXTRACT(CELL("address",F98), "\$([A-Z]+)\$[0-9]+"))),_xlfn.REGEXEXTRACT(CELL("address",F98), "\$([A-Z]+)\$[0-9]+"))</f>
        <v/>
      </c>
      <c r="G98" s="7" t="str" cm="1">
        <f t="array" aca="1" ref="G98" ca="1">IFERROR(IF(OR('Raw Data'!G98="",LEN(TRIM('Raw Data'!G98))=0),"",IF(AND(ISNUMBER('Raw Data'!G98), IFERROR('Raw Data'!G98 = ROUND('Raw Data'!G98, 2),FALSE)),"",_xlfn.REGEXEXTRACT(CELL("address",G98), "\$([A-Z]+)\$[0-9]+"))),_xlfn.REGEXEXTRACT(CELL("address",G98), "\$([A-Z]+)\$[0-9]+"))</f>
        <v/>
      </c>
      <c r="H98" s="7" t="str" cm="1">
        <f t="array" aca="1" ref="H98" ca="1">IFERROR(IF(OR('Raw Data'!H98="",LEN(TRIM('Raw Data'!H98))=0),"",IF(AND(ISNUMBER('Raw Data'!H98), IFERROR('Raw Data'!H98 = ROUND('Raw Data'!H98, 2),FALSE)),"",_xlfn.REGEXEXTRACT(CELL("address",H98), "\$([A-Z]+)\$[0-9]+"))),_xlfn.REGEXEXTRACT(CELL("address",H98), "\$([A-Z]+)\$[0-9]+"))</f>
        <v/>
      </c>
      <c r="I98" s="7" t="str" cm="1">
        <f t="array" aca="1" ref="I98" ca="1">IFERROR(IF(OR('Raw Data'!I98="",LEN(TRIM('Raw Data'!I98))=0),"",IF(AND(ISNUMBER('Raw Data'!I98), IFERROR('Raw Data'!I98 = ROUND('Raw Data'!I98, 2),FALSE)),"",_xlfn.REGEXEXTRACT(CELL("address",I98), "\$([A-Z]+)\$[0-9]+"))),_xlfn.REGEXEXTRACT(CELL("address",I98), "\$([A-Z]+)\$[0-9]+"))</f>
        <v/>
      </c>
      <c r="J98" s="7" t="str" cm="1">
        <f t="array" aca="1" ref="J98" ca="1">IFERROR(IF(OR('Raw Data'!J98="",LEN(TRIM('Raw Data'!J98))=0),"",IF(AND(ISNUMBER('Raw Data'!J98), IFERROR('Raw Data'!J98 = ROUND('Raw Data'!J98, 2),FALSE)),"",_xlfn.REGEXEXTRACT(CELL("address",J98), "\$([A-Z]+)\$[0-9]+"))),_xlfn.REGEXEXTRACT(CELL("address",J98), "\$([A-Z]+)\$[0-9]+"))</f>
        <v/>
      </c>
      <c r="K98" s="7" t="str" cm="1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7" t="str" cm="1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7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7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7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7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 cm="1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7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7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7" t="str" cm="1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7" t="str" cm="1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  <c r="Z98" s="7" t="str" cm="1">
        <f t="array" aca="1" ref="Z98" ca="1">IFERROR(IF(OR('Raw Data'!Z98="",LEN(TRIM('Raw Data'!Z98))=0),"",IF(AND(ISNUMBER('Raw Data'!Z98), IFERROR('Raw Data'!Z98 = ROUND('Raw Data'!Z98, 2),FALSE)),"",_xlfn.REGEXEXTRACT(CELL("address",Z98), "\$([A-Z]+)\$[0-9]+"))),_xlfn.REGEXEXTRACT(CELL("address",Z98), "\$([A-Z]+)\$[0-9]+"))</f>
        <v/>
      </c>
      <c r="AA98" s="7" t="str" cm="1">
        <f t="array" aca="1" ref="AA98" ca="1">IFERROR(IF(OR('Raw Data'!AA98="",LEN(TRIM('Raw Data'!AA98))=0),"",IF(AND(ISNUMBER('Raw Data'!AA98), IFERROR('Raw Data'!AA98 = ROUND('Raw Data'!AA98, 2),FALSE)),"",_xlfn.REGEXEXTRACT(CELL("address",AA98), "\$([A-Z]+)\$[0-9]+"))),_xlfn.REGEXEXTRACT(CELL("address",AA98), "\$([A-Z]+)\$[0-9]+"))</f>
        <v/>
      </c>
      <c r="AB98" s="7" t="str" cm="1">
        <f t="array" aca="1" ref="AB98" ca="1">IFERROR(IF(OR('Raw Data'!AB98="",LEN(TRIM('Raw Data'!AB98))=0),"",IF(AND(ISNUMBER('Raw Data'!AB98), IFERROR('Raw Data'!AB98 = ROUND('Raw Data'!AB98, 2),FALSE)),"",_xlfn.REGEXEXTRACT(CELL("address",AB98), "\$([A-Z]+)\$[0-9]+"))),_xlfn.REGEXEXTRACT(CELL("address",AB98), "\$([A-Z]+)\$[0-9]+"))</f>
        <v/>
      </c>
      <c r="AC98" s="7" t="str" cm="1">
        <f t="array" aca="1" ref="AC98" ca="1">IFERROR(IF(OR('Raw Data'!AC98="",LEN(TRIM('Raw Data'!AC98))=0),"",IF(AND(ISNUMBER('Raw Data'!AC98), IFERROR('Raw Data'!AC98 = ROUND('Raw Data'!AC98, 2),FALSE)),"",_xlfn.REGEXEXTRACT(CELL("address",AC98), "\$([A-Z]+)\$[0-9]+"))),_xlfn.REGEXEXTRACT(CELL("address",AC98), "\$([A-Z]+)\$[0-9]+"))</f>
        <v/>
      </c>
      <c r="AD98" s="7" t="str" cm="1">
        <f t="array" aca="1" ref="AD98" ca="1">IFERROR(IF(OR('Raw Data'!AD98="",LEN(TRIM('Raw Data'!AD98))=0),"",IF(AND(ISNUMBER('Raw Data'!AD98), IFERROR('Raw Data'!AD98 = ROUND('Raw Data'!AD98, 2),FALSE)),"",_xlfn.REGEXEXTRACT(CELL("address",AD98), "\$([A-Z]+)\$[0-9]+"))),_xlfn.REGEXEXTRACT(CELL("address",AD98), "\$([A-Z]+)\$[0-9]+"))</f>
        <v/>
      </c>
      <c r="AE98" s="7" t="str" cm="1">
        <f t="array" aca="1" ref="AE98" ca="1">IFERROR(IF(OR('Raw Data'!AE98="",LEN(TRIM('Raw Data'!AE98))=0),"",IF(AND(ISNUMBER('Raw Data'!AE98), IFERROR('Raw Data'!AE98 = ROUND('Raw Data'!AE98, 2),FALSE)),"",_xlfn.REGEXEXTRACT(CELL("address",AE98), "\$([A-Z]+)\$[0-9]+"))),_xlfn.REGEXEXTRACT(CELL("address",AE98), "\$([A-Z]+)\$[0-9]+"))</f>
        <v/>
      </c>
      <c r="AF98" s="7" t="str" cm="1">
        <f t="array" aca="1" ref="AF98" ca="1">IFERROR(IF(OR('Raw Data'!AF98="",LEN(TRIM('Raw Data'!AF98))=0),"",IF(AND(ISNUMBER('Raw Data'!AF98), IFERROR('Raw Data'!AF98 = ROUND('Raw Data'!AF98, 2),FALSE)),"",_xlfn.REGEXEXTRACT(CELL("address",AF98), "\$([A-Z]+)\$[0-9]+"))),_xlfn.REGEXEXTRACT(CELL("address",AF98), "\$([A-Z]+)\$[0-9]+"))</f>
        <v/>
      </c>
      <c r="AG98" s="7" t="str" cm="1">
        <f t="array" aca="1" ref="AG98" ca="1">IFERROR(IF(OR('Raw Data'!AG98="",LEN(TRIM('Raw Data'!AG98))=0),"",IF(AND(ISNUMBER('Raw Data'!AG98), IFERROR('Raw Data'!AG98 = ROUND('Raw Data'!AG98, 2),FALSE)),"",_xlfn.REGEXEXTRACT(CELL("address",AG98), "\$([A-Z]+)\$[0-9]+"))),_xlfn.REGEXEXTRACT(CELL("address",AG98), "\$([A-Z]+)\$[0-9]+"))</f>
        <v/>
      </c>
      <c r="AH98" s="7" t="str" cm="1">
        <f t="array" aca="1" ref="AH98" ca="1">IFERROR(IF(OR('Raw Data'!AH98="",LEN(TRIM('Raw Data'!AH98))=0),"",IF(AND(ISNUMBER('Raw Data'!AH98), IFERROR('Raw Data'!AH98 = ROUND('Raw Data'!AH98, 2),FALSE)),"",_xlfn.REGEXEXTRACT(CELL("address",AH98), "\$([A-Z]+)\$[0-9]+"))),_xlfn.REGEXEXTRACT(CELL("address",AH98), "\$([A-Z]+)\$[0-9]+"))</f>
        <v/>
      </c>
      <c r="AI98" s="7" t="str" cm="1">
        <f t="array" aca="1" ref="AI98" ca="1">IFERROR(IF(OR('Raw Data'!AI98="",LEN(TRIM('Raw Data'!AI98))=0),"",IF(AND(ISNUMBER('Raw Data'!AI98), IFERROR('Raw Data'!AI98 = ROUND('Raw Data'!AI98, 2),FALSE)),"",_xlfn.REGEXEXTRACT(CELL("address",AI98), "\$([A-Z]+)\$[0-9]+"))),_xlfn.REGEXEXTRACT(CELL("address",AI98), "\$([A-Z]+)\$[0-9]+"))</f>
        <v/>
      </c>
      <c r="AJ98" s="7" t="str" cm="1">
        <f t="array" aca="1" ref="AJ98" ca="1">IFERROR(IF(OR('Raw Data'!AJ98="",LEN(TRIM('Raw Data'!AJ98))=0),"",IF(AND(ISNUMBER('Raw Data'!AJ98), IFERROR('Raw Data'!AJ98 = ROUND('Raw Data'!AJ98, 2),FALSE)),"",_xlfn.REGEXEXTRACT(CELL("address",AJ98), "\$([A-Z]+)\$[0-9]+"))),_xlfn.REGEXEXTRACT(CELL("address",AJ98), "\$([A-Z]+)\$[0-9]+"))</f>
        <v/>
      </c>
    </row>
    <row r="99" spans="2:36" x14ac:dyDescent="0.25">
      <c r="B99" s="7" t="str" cm="1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20,LEN('Raw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Data'!D99))=0),"",IF(AND(ISNUMBER('Raw Data'!D99),'Raw Data'!D99&gt;=Configuration!$D$2),"",_xlfn.REGEXEXTRACT(CELL("address",'Raw Data'!D99),"\$([A-Z]+)\$[0-9]+"))),_xlfn.REGEXEXTRACT(CELL("address",D99), "\$([A-Z]+)\$[0-9]+"))</f>
        <v/>
      </c>
      <c r="E99" s="7" t="str" cm="1">
        <f t="array" aca="1" ref="E99" ca="1">IFERROR(IF(OR('Raw Data'!E99="",LEN(TRIM('Raw Data'!E99))=0),"",IF(AND(ISNUMBER('Raw Data'!E99), IFERROR('Raw Data'!E99 = ROUND('Raw Data'!E99, 2),FALSE)),"",_xlfn.REGEXEXTRACT(CELL("address",E99), "\$([A-Z]+)\$[0-9]+"))),_xlfn.REGEXEXTRACT(CELL("address",E99), "\$([A-Z]+)\$[0-9]+"))</f>
        <v/>
      </c>
      <c r="F99" s="7" t="str" cm="1">
        <f t="array" aca="1" ref="F99" ca="1">IFERROR(IF(OR('Raw Data'!F99="",LEN(TRIM('Raw Data'!F99))=0),"",IF(AND(ISNUMBER('Raw Data'!F99), IFERROR('Raw Data'!F99 = ROUND('Raw Data'!F99, 2),FALSE)),"",_xlfn.REGEXEXTRACT(CELL("address",F99), "\$([A-Z]+)\$[0-9]+"))),_xlfn.REGEXEXTRACT(CELL("address",F99), "\$([A-Z]+)\$[0-9]+"))</f>
        <v/>
      </c>
      <c r="G99" s="7" t="str" cm="1">
        <f t="array" aca="1" ref="G99" ca="1">IFERROR(IF(OR('Raw Data'!G99="",LEN(TRIM('Raw Data'!G99))=0),"",IF(AND(ISNUMBER('Raw Data'!G99), IFERROR('Raw Data'!G99 = ROUND('Raw Data'!G99, 2),FALSE)),"",_xlfn.REGEXEXTRACT(CELL("address",G99), "\$([A-Z]+)\$[0-9]+"))),_xlfn.REGEXEXTRACT(CELL("address",G99), "\$([A-Z]+)\$[0-9]+"))</f>
        <v/>
      </c>
      <c r="H99" s="7" t="str" cm="1">
        <f t="array" aca="1" ref="H99" ca="1">IFERROR(IF(OR('Raw Data'!H99="",LEN(TRIM('Raw Data'!H99))=0),"",IF(AND(ISNUMBER('Raw Data'!H99), IFERROR('Raw Data'!H99 = ROUND('Raw Data'!H99, 2),FALSE)),"",_xlfn.REGEXEXTRACT(CELL("address",H99), "\$([A-Z]+)\$[0-9]+"))),_xlfn.REGEXEXTRACT(CELL("address",H99), "\$([A-Z]+)\$[0-9]+"))</f>
        <v/>
      </c>
      <c r="I99" s="7" t="str" cm="1">
        <f t="array" aca="1" ref="I99" ca="1">IFERROR(IF(OR('Raw Data'!I99="",LEN(TRIM('Raw Data'!I99))=0),"",IF(AND(ISNUMBER('Raw Data'!I99), IFERROR('Raw Data'!I99 = ROUND('Raw Data'!I99, 2),FALSE)),"",_xlfn.REGEXEXTRACT(CELL("address",I99), "\$([A-Z]+)\$[0-9]+"))),_xlfn.REGEXEXTRACT(CELL("address",I99), "\$([A-Z]+)\$[0-9]+"))</f>
        <v/>
      </c>
      <c r="J99" s="7" t="str" cm="1">
        <f t="array" aca="1" ref="J99" ca="1">IFERROR(IF(OR('Raw Data'!J99="",LEN(TRIM('Raw Data'!J99))=0),"",IF(AND(ISNUMBER('Raw Data'!J99), IFERROR('Raw Data'!J99 = ROUND('Raw Data'!J99, 2),FALSE)),"",_xlfn.REGEXEXTRACT(CELL("address",J99), "\$([A-Z]+)\$[0-9]+"))),_xlfn.REGEXEXTRACT(CELL("address",J99), "\$([A-Z]+)\$[0-9]+"))</f>
        <v/>
      </c>
      <c r="K99" s="7" t="str" cm="1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7" t="str" cm="1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7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7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7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7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 cm="1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7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7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7" t="str" cm="1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7" t="str" cm="1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  <c r="Z99" s="7" t="str" cm="1">
        <f t="array" aca="1" ref="Z99" ca="1">IFERROR(IF(OR('Raw Data'!Z99="",LEN(TRIM('Raw Data'!Z99))=0),"",IF(AND(ISNUMBER('Raw Data'!Z99), IFERROR('Raw Data'!Z99 = ROUND('Raw Data'!Z99, 2),FALSE)),"",_xlfn.REGEXEXTRACT(CELL("address",Z99), "\$([A-Z]+)\$[0-9]+"))),_xlfn.REGEXEXTRACT(CELL("address",Z99), "\$([A-Z]+)\$[0-9]+"))</f>
        <v/>
      </c>
      <c r="AA99" s="7" t="str" cm="1">
        <f t="array" aca="1" ref="AA99" ca="1">IFERROR(IF(OR('Raw Data'!AA99="",LEN(TRIM('Raw Data'!AA99))=0),"",IF(AND(ISNUMBER('Raw Data'!AA99), IFERROR('Raw Data'!AA99 = ROUND('Raw Data'!AA99, 2),FALSE)),"",_xlfn.REGEXEXTRACT(CELL("address",AA99), "\$([A-Z]+)\$[0-9]+"))),_xlfn.REGEXEXTRACT(CELL("address",AA99), "\$([A-Z]+)\$[0-9]+"))</f>
        <v/>
      </c>
      <c r="AB99" s="7" t="str" cm="1">
        <f t="array" aca="1" ref="AB99" ca="1">IFERROR(IF(OR('Raw Data'!AB99="",LEN(TRIM('Raw Data'!AB99))=0),"",IF(AND(ISNUMBER('Raw Data'!AB99), IFERROR('Raw Data'!AB99 = ROUND('Raw Data'!AB99, 2),FALSE)),"",_xlfn.REGEXEXTRACT(CELL("address",AB99), "\$([A-Z]+)\$[0-9]+"))),_xlfn.REGEXEXTRACT(CELL("address",AB99), "\$([A-Z]+)\$[0-9]+"))</f>
        <v/>
      </c>
      <c r="AC99" s="7" t="str" cm="1">
        <f t="array" aca="1" ref="AC99" ca="1">IFERROR(IF(OR('Raw Data'!AC99="",LEN(TRIM('Raw Data'!AC99))=0),"",IF(AND(ISNUMBER('Raw Data'!AC99), IFERROR('Raw Data'!AC99 = ROUND('Raw Data'!AC99, 2),FALSE)),"",_xlfn.REGEXEXTRACT(CELL("address",AC99), "\$([A-Z]+)\$[0-9]+"))),_xlfn.REGEXEXTRACT(CELL("address",AC99), "\$([A-Z]+)\$[0-9]+"))</f>
        <v/>
      </c>
      <c r="AD99" s="7" t="str" cm="1">
        <f t="array" aca="1" ref="AD99" ca="1">IFERROR(IF(OR('Raw Data'!AD99="",LEN(TRIM('Raw Data'!AD99))=0),"",IF(AND(ISNUMBER('Raw Data'!AD99), IFERROR('Raw Data'!AD99 = ROUND('Raw Data'!AD99, 2),FALSE)),"",_xlfn.REGEXEXTRACT(CELL("address",AD99), "\$([A-Z]+)\$[0-9]+"))),_xlfn.REGEXEXTRACT(CELL("address",AD99), "\$([A-Z]+)\$[0-9]+"))</f>
        <v/>
      </c>
      <c r="AE99" s="7" t="str" cm="1">
        <f t="array" aca="1" ref="AE99" ca="1">IFERROR(IF(OR('Raw Data'!AE99="",LEN(TRIM('Raw Data'!AE99))=0),"",IF(AND(ISNUMBER('Raw Data'!AE99), IFERROR('Raw Data'!AE99 = ROUND('Raw Data'!AE99, 2),FALSE)),"",_xlfn.REGEXEXTRACT(CELL("address",AE99), "\$([A-Z]+)\$[0-9]+"))),_xlfn.REGEXEXTRACT(CELL("address",AE99), "\$([A-Z]+)\$[0-9]+"))</f>
        <v/>
      </c>
      <c r="AF99" s="7" t="str" cm="1">
        <f t="array" aca="1" ref="AF99" ca="1">IFERROR(IF(OR('Raw Data'!AF99="",LEN(TRIM('Raw Data'!AF99))=0),"",IF(AND(ISNUMBER('Raw Data'!AF99), IFERROR('Raw Data'!AF99 = ROUND('Raw Data'!AF99, 2),FALSE)),"",_xlfn.REGEXEXTRACT(CELL("address",AF99), "\$([A-Z]+)\$[0-9]+"))),_xlfn.REGEXEXTRACT(CELL("address",AF99), "\$([A-Z]+)\$[0-9]+"))</f>
        <v/>
      </c>
      <c r="AG99" s="7" t="str" cm="1">
        <f t="array" aca="1" ref="AG99" ca="1">IFERROR(IF(OR('Raw Data'!AG99="",LEN(TRIM('Raw Data'!AG99))=0),"",IF(AND(ISNUMBER('Raw Data'!AG99), IFERROR('Raw Data'!AG99 = ROUND('Raw Data'!AG99, 2),FALSE)),"",_xlfn.REGEXEXTRACT(CELL("address",AG99), "\$([A-Z]+)\$[0-9]+"))),_xlfn.REGEXEXTRACT(CELL("address",AG99), "\$([A-Z]+)\$[0-9]+"))</f>
        <v/>
      </c>
      <c r="AH99" s="7" t="str" cm="1">
        <f t="array" aca="1" ref="AH99" ca="1">IFERROR(IF(OR('Raw Data'!AH99="",LEN(TRIM('Raw Data'!AH99))=0),"",IF(AND(ISNUMBER('Raw Data'!AH99), IFERROR('Raw Data'!AH99 = ROUND('Raw Data'!AH99, 2),FALSE)),"",_xlfn.REGEXEXTRACT(CELL("address",AH99), "\$([A-Z]+)\$[0-9]+"))),_xlfn.REGEXEXTRACT(CELL("address",AH99), "\$([A-Z]+)\$[0-9]+"))</f>
        <v/>
      </c>
      <c r="AI99" s="7" t="str" cm="1">
        <f t="array" aca="1" ref="AI99" ca="1">IFERROR(IF(OR('Raw Data'!AI99="",LEN(TRIM('Raw Data'!AI99))=0),"",IF(AND(ISNUMBER('Raw Data'!AI99), IFERROR('Raw Data'!AI99 = ROUND('Raw Data'!AI99, 2),FALSE)),"",_xlfn.REGEXEXTRACT(CELL("address",AI99), "\$([A-Z]+)\$[0-9]+"))),_xlfn.REGEXEXTRACT(CELL("address",AI99), "\$([A-Z]+)\$[0-9]+"))</f>
        <v/>
      </c>
      <c r="AJ99" s="7" t="str" cm="1">
        <f t="array" aca="1" ref="AJ99" ca="1">IFERROR(IF(OR('Raw Data'!AJ99="",LEN(TRIM('Raw Data'!AJ99))=0),"",IF(AND(ISNUMBER('Raw Data'!AJ99), IFERROR('Raw Data'!AJ99 = ROUND('Raw Data'!AJ99, 2),FALSE)),"",_xlfn.REGEXEXTRACT(CELL("address",AJ99), "\$([A-Z]+)\$[0-9]+"))),_xlfn.REGEXEXTRACT(CELL("address",AJ99), "\$([A-Z]+)\$[0-9]+"))</f>
        <v/>
      </c>
    </row>
    <row r="100" spans="2:36" x14ac:dyDescent="0.25">
      <c r="B100" s="7" t="str" cm="1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20,LEN('Raw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Data'!D100))=0),"",IF(AND(ISNUMBER('Raw Data'!D100),'Raw Data'!D100&gt;=Configuration!$D$2),"",_xlfn.REGEXEXTRACT(CELL("address",'Raw Data'!D100),"\$([A-Z]+)\$[0-9]+"))),_xlfn.REGEXEXTRACT(CELL("address",D100), "\$([A-Z]+)\$[0-9]+"))</f>
        <v/>
      </c>
      <c r="E100" s="7" t="str" cm="1">
        <f t="array" aca="1" ref="E100" ca="1">IFERROR(IF(OR('Raw Data'!E100="",LEN(TRIM('Raw Data'!E100))=0),"",IF(AND(ISNUMBER('Raw Data'!E100), IFERROR('Raw Data'!E100 = ROUND('Raw Data'!E100, 2),FALSE)),"",_xlfn.REGEXEXTRACT(CELL("address",E100), "\$([A-Z]+)\$[0-9]+"))),_xlfn.REGEXEXTRACT(CELL("address",E100), "\$([A-Z]+)\$[0-9]+"))</f>
        <v/>
      </c>
      <c r="F100" s="7" t="str" cm="1">
        <f t="array" aca="1" ref="F100" ca="1">IFERROR(IF(OR('Raw Data'!F100="",LEN(TRIM('Raw Data'!F100))=0),"",IF(AND(ISNUMBER('Raw Data'!F100), IFERROR('Raw Data'!F100 = ROUND('Raw Data'!F100, 2),FALSE)),"",_xlfn.REGEXEXTRACT(CELL("address",F100), "\$([A-Z]+)\$[0-9]+"))),_xlfn.REGEXEXTRACT(CELL("address",F100), "\$([A-Z]+)\$[0-9]+"))</f>
        <v/>
      </c>
      <c r="G100" s="7" t="str" cm="1">
        <f t="array" aca="1" ref="G100" ca="1">IFERROR(IF(OR('Raw Data'!G100="",LEN(TRIM('Raw Data'!G100))=0),"",IF(AND(ISNUMBER('Raw Data'!G100), IFERROR('Raw Data'!G100 = ROUND('Raw Data'!G100, 2),FALSE)),"",_xlfn.REGEXEXTRACT(CELL("address",G100), "\$([A-Z]+)\$[0-9]+"))),_xlfn.REGEXEXTRACT(CELL("address",G100), "\$([A-Z]+)\$[0-9]+"))</f>
        <v/>
      </c>
      <c r="H100" s="7" t="str" cm="1">
        <f t="array" aca="1" ref="H100" ca="1">IFERROR(IF(OR('Raw Data'!H100="",LEN(TRIM('Raw Data'!H100))=0),"",IF(AND(ISNUMBER('Raw Data'!H100), IFERROR('Raw Data'!H100 = ROUND('Raw Data'!H100, 2),FALSE)),"",_xlfn.REGEXEXTRACT(CELL("address",H100), "\$([A-Z]+)\$[0-9]+"))),_xlfn.REGEXEXTRACT(CELL("address",H100), "\$([A-Z]+)\$[0-9]+"))</f>
        <v/>
      </c>
      <c r="I100" s="7" t="str" cm="1">
        <f t="array" aca="1" ref="I100" ca="1">IFERROR(IF(OR('Raw Data'!I100="",LEN(TRIM('Raw Data'!I100))=0),"",IF(AND(ISNUMBER('Raw Data'!I100), IFERROR('Raw Data'!I100 = ROUND('Raw Data'!I100, 2),FALSE)),"",_xlfn.REGEXEXTRACT(CELL("address",I100), "\$([A-Z]+)\$[0-9]+"))),_xlfn.REGEXEXTRACT(CELL("address",I100), "\$([A-Z]+)\$[0-9]+"))</f>
        <v/>
      </c>
      <c r="J100" s="7" t="str" cm="1">
        <f t="array" aca="1" ref="J100" ca="1">IFERROR(IF(OR('Raw Data'!J100="",LEN(TRIM('Raw Data'!J100))=0),"",IF(AND(ISNUMBER('Raw Data'!J100), IFERROR('Raw Data'!J100 = ROUND('Raw Data'!J100, 2),FALSE)),"",_xlfn.REGEXEXTRACT(CELL("address",J100), "\$([A-Z]+)\$[0-9]+"))),_xlfn.REGEXEXTRACT(CELL("address",J100), "\$([A-Z]+)\$[0-9]+"))</f>
        <v/>
      </c>
      <c r="K100" s="7" t="str" cm="1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7" t="str" cm="1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7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7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7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7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 cm="1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7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7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7" t="str" cm="1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7" t="str" cm="1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  <c r="Z100" s="7" t="str" cm="1">
        <f t="array" aca="1" ref="Z100" ca="1">IFERROR(IF(OR('Raw Data'!Z100="",LEN(TRIM('Raw Data'!Z100))=0),"",IF(AND(ISNUMBER('Raw Data'!Z100), IFERROR('Raw Data'!Z100 = ROUND('Raw Data'!Z100, 2),FALSE)),"",_xlfn.REGEXEXTRACT(CELL("address",Z100), "\$([A-Z]+)\$[0-9]+"))),_xlfn.REGEXEXTRACT(CELL("address",Z100), "\$([A-Z]+)\$[0-9]+"))</f>
        <v/>
      </c>
      <c r="AA100" s="7" t="str" cm="1">
        <f t="array" aca="1" ref="AA100" ca="1">IFERROR(IF(OR('Raw Data'!AA100="",LEN(TRIM('Raw Data'!AA100))=0),"",IF(AND(ISNUMBER('Raw Data'!AA100), IFERROR('Raw Data'!AA100 = ROUND('Raw Data'!AA100, 2),FALSE)),"",_xlfn.REGEXEXTRACT(CELL("address",AA100), "\$([A-Z]+)\$[0-9]+"))),_xlfn.REGEXEXTRACT(CELL("address",AA100), "\$([A-Z]+)\$[0-9]+"))</f>
        <v/>
      </c>
      <c r="AB100" s="7" t="str" cm="1">
        <f t="array" aca="1" ref="AB100" ca="1">IFERROR(IF(OR('Raw Data'!AB100="",LEN(TRIM('Raw Data'!AB100))=0),"",IF(AND(ISNUMBER('Raw Data'!AB100), IFERROR('Raw Data'!AB100 = ROUND('Raw Data'!AB100, 2),FALSE)),"",_xlfn.REGEXEXTRACT(CELL("address",AB100), "\$([A-Z]+)\$[0-9]+"))),_xlfn.REGEXEXTRACT(CELL("address",AB100), "\$([A-Z]+)\$[0-9]+"))</f>
        <v/>
      </c>
      <c r="AC100" s="7" t="str" cm="1">
        <f t="array" aca="1" ref="AC100" ca="1">IFERROR(IF(OR('Raw Data'!AC100="",LEN(TRIM('Raw Data'!AC100))=0),"",IF(AND(ISNUMBER('Raw Data'!AC100), IFERROR('Raw Data'!AC100 = ROUND('Raw Data'!AC100, 2),FALSE)),"",_xlfn.REGEXEXTRACT(CELL("address",AC100), "\$([A-Z]+)\$[0-9]+"))),_xlfn.REGEXEXTRACT(CELL("address",AC100), "\$([A-Z]+)\$[0-9]+"))</f>
        <v/>
      </c>
      <c r="AD100" s="7" t="str" cm="1">
        <f t="array" aca="1" ref="AD100" ca="1">IFERROR(IF(OR('Raw Data'!AD100="",LEN(TRIM('Raw Data'!AD100))=0),"",IF(AND(ISNUMBER('Raw Data'!AD100), IFERROR('Raw Data'!AD100 = ROUND('Raw Data'!AD100, 2),FALSE)),"",_xlfn.REGEXEXTRACT(CELL("address",AD100), "\$([A-Z]+)\$[0-9]+"))),_xlfn.REGEXEXTRACT(CELL("address",AD100), "\$([A-Z]+)\$[0-9]+"))</f>
        <v/>
      </c>
      <c r="AE100" s="7" t="str" cm="1">
        <f t="array" aca="1" ref="AE100" ca="1">IFERROR(IF(OR('Raw Data'!AE100="",LEN(TRIM('Raw Data'!AE100))=0),"",IF(AND(ISNUMBER('Raw Data'!AE100), IFERROR('Raw Data'!AE100 = ROUND('Raw Data'!AE100, 2),FALSE)),"",_xlfn.REGEXEXTRACT(CELL("address",AE100), "\$([A-Z]+)\$[0-9]+"))),_xlfn.REGEXEXTRACT(CELL("address",AE100), "\$([A-Z]+)\$[0-9]+"))</f>
        <v/>
      </c>
      <c r="AF100" s="7" t="str" cm="1">
        <f t="array" aca="1" ref="AF100" ca="1">IFERROR(IF(OR('Raw Data'!AF100="",LEN(TRIM('Raw Data'!AF100))=0),"",IF(AND(ISNUMBER('Raw Data'!AF100), IFERROR('Raw Data'!AF100 = ROUND('Raw Data'!AF100, 2),FALSE)),"",_xlfn.REGEXEXTRACT(CELL("address",AF100), "\$([A-Z]+)\$[0-9]+"))),_xlfn.REGEXEXTRACT(CELL("address",AF100), "\$([A-Z]+)\$[0-9]+"))</f>
        <v/>
      </c>
      <c r="AG100" s="7" t="str" cm="1">
        <f t="array" aca="1" ref="AG100" ca="1">IFERROR(IF(OR('Raw Data'!AG100="",LEN(TRIM('Raw Data'!AG100))=0),"",IF(AND(ISNUMBER('Raw Data'!AG100), IFERROR('Raw Data'!AG100 = ROUND('Raw Data'!AG100, 2),FALSE)),"",_xlfn.REGEXEXTRACT(CELL("address",AG100), "\$([A-Z]+)\$[0-9]+"))),_xlfn.REGEXEXTRACT(CELL("address",AG100), "\$([A-Z]+)\$[0-9]+"))</f>
        <v/>
      </c>
      <c r="AH100" s="7" t="str" cm="1">
        <f t="array" aca="1" ref="AH100" ca="1">IFERROR(IF(OR('Raw Data'!AH100="",LEN(TRIM('Raw Data'!AH100))=0),"",IF(AND(ISNUMBER('Raw Data'!AH100), IFERROR('Raw Data'!AH100 = ROUND('Raw Data'!AH100, 2),FALSE)),"",_xlfn.REGEXEXTRACT(CELL("address",AH100), "\$([A-Z]+)\$[0-9]+"))),_xlfn.REGEXEXTRACT(CELL("address",AH100), "\$([A-Z]+)\$[0-9]+"))</f>
        <v/>
      </c>
      <c r="AI100" s="7" t="str" cm="1">
        <f t="array" aca="1" ref="AI100" ca="1">IFERROR(IF(OR('Raw Data'!AI100="",LEN(TRIM('Raw Data'!AI100))=0),"",IF(AND(ISNUMBER('Raw Data'!AI100), IFERROR('Raw Data'!AI100 = ROUND('Raw Data'!AI100, 2),FALSE)),"",_xlfn.REGEXEXTRACT(CELL("address",AI100), "\$([A-Z]+)\$[0-9]+"))),_xlfn.REGEXEXTRACT(CELL("address",AI100), "\$([A-Z]+)\$[0-9]+"))</f>
        <v/>
      </c>
      <c r="AJ100" s="7" t="str" cm="1">
        <f t="array" aca="1" ref="AJ100" ca="1">IFERROR(IF(OR('Raw Data'!AJ100="",LEN(TRIM('Raw Data'!AJ100))=0),"",IF(AND(ISNUMBER('Raw Data'!AJ100), IFERROR('Raw Data'!AJ100 = ROUND('Raw Data'!AJ100, 2),FALSE)),"",_xlfn.REGEXEXTRACT(CELL("address",AJ100), "\$([A-Z]+)\$[0-9]+"))),_xlfn.REGEXEXTRACT(CELL("address",AJ100), "\$([A-Z]+)\$[0-9]+"))</f>
        <v/>
      </c>
    </row>
    <row r="101" spans="2:36" x14ac:dyDescent="0.25">
      <c r="B101" s="7" t="str" cm="1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20,LEN('Raw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Data'!D101))=0),"",IF(AND(ISNUMBER('Raw Data'!D101),'Raw Data'!D101&gt;=Configuration!$D$2),"",_xlfn.REGEXEXTRACT(CELL("address",'Raw Data'!D101),"\$([A-Z]+)\$[0-9]+"))),_xlfn.REGEXEXTRACT(CELL("address",D101), "\$([A-Z]+)\$[0-9]+"))</f>
        <v/>
      </c>
      <c r="E101" s="7" t="str" cm="1">
        <f t="array" aca="1" ref="E101" ca="1">IFERROR(IF(OR('Raw Data'!E101="",LEN(TRIM('Raw Data'!E101))=0),"",IF(AND(ISNUMBER('Raw Data'!E101), IFERROR('Raw Data'!E101 = ROUND('Raw Data'!E101, 2),FALSE)),"",_xlfn.REGEXEXTRACT(CELL("address",E101), "\$([A-Z]+)\$[0-9]+"))),_xlfn.REGEXEXTRACT(CELL("address",E101), "\$([A-Z]+)\$[0-9]+"))</f>
        <v/>
      </c>
      <c r="F101" s="7" t="str" cm="1">
        <f t="array" aca="1" ref="F101" ca="1">IFERROR(IF(OR('Raw Data'!F101="",LEN(TRIM('Raw Data'!F101))=0),"",IF(AND(ISNUMBER('Raw Data'!F101), IFERROR('Raw Data'!F101 = ROUND('Raw Data'!F101, 2),FALSE)),"",_xlfn.REGEXEXTRACT(CELL("address",F101), "\$([A-Z]+)\$[0-9]+"))),_xlfn.REGEXEXTRACT(CELL("address",F101), "\$([A-Z]+)\$[0-9]+"))</f>
        <v/>
      </c>
      <c r="G101" s="7" t="str" cm="1">
        <f t="array" aca="1" ref="G101" ca="1">IFERROR(IF(OR('Raw Data'!G101="",LEN(TRIM('Raw Data'!G101))=0),"",IF(AND(ISNUMBER('Raw Data'!G101), IFERROR('Raw Data'!G101 = ROUND('Raw Data'!G101, 2),FALSE)),"",_xlfn.REGEXEXTRACT(CELL("address",G101), "\$([A-Z]+)\$[0-9]+"))),_xlfn.REGEXEXTRACT(CELL("address",G101), "\$([A-Z]+)\$[0-9]+"))</f>
        <v/>
      </c>
      <c r="H101" s="7" t="str" cm="1">
        <f t="array" aca="1" ref="H101" ca="1">IFERROR(IF(OR('Raw Data'!H101="",LEN(TRIM('Raw Data'!H101))=0),"",IF(AND(ISNUMBER('Raw Data'!H101), IFERROR('Raw Data'!H101 = ROUND('Raw Data'!H101, 2),FALSE)),"",_xlfn.REGEXEXTRACT(CELL("address",H101), "\$([A-Z]+)\$[0-9]+"))),_xlfn.REGEXEXTRACT(CELL("address",H101), "\$([A-Z]+)\$[0-9]+"))</f>
        <v/>
      </c>
      <c r="I101" s="7" t="str" cm="1">
        <f t="array" aca="1" ref="I101" ca="1">IFERROR(IF(OR('Raw Data'!I101="",LEN(TRIM('Raw Data'!I101))=0),"",IF(AND(ISNUMBER('Raw Data'!I101), IFERROR('Raw Data'!I101 = ROUND('Raw Data'!I101, 2),FALSE)),"",_xlfn.REGEXEXTRACT(CELL("address",I101), "\$([A-Z]+)\$[0-9]+"))),_xlfn.REGEXEXTRACT(CELL("address",I101), "\$([A-Z]+)\$[0-9]+"))</f>
        <v/>
      </c>
      <c r="J101" s="7" t="str" cm="1">
        <f t="array" aca="1" ref="J101" ca="1">IFERROR(IF(OR('Raw Data'!J101="",LEN(TRIM('Raw Data'!J101))=0),"",IF(AND(ISNUMBER('Raw Data'!J101), IFERROR('Raw Data'!J101 = ROUND('Raw Data'!J101, 2),FALSE)),"",_xlfn.REGEXEXTRACT(CELL("address",J101), "\$([A-Z]+)\$[0-9]+"))),_xlfn.REGEXEXTRACT(CELL("address",J101), "\$([A-Z]+)\$[0-9]+"))</f>
        <v/>
      </c>
      <c r="K101" s="7" t="str" cm="1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7" t="str" cm="1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7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7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7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7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 cm="1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7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7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7" t="str" cm="1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7" t="str" cm="1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  <c r="Z101" s="7" t="str" cm="1">
        <f t="array" aca="1" ref="Z101" ca="1">IFERROR(IF(OR('Raw Data'!Z101="",LEN(TRIM('Raw Data'!Z101))=0),"",IF(AND(ISNUMBER('Raw Data'!Z101), IFERROR('Raw Data'!Z101 = ROUND('Raw Data'!Z101, 2),FALSE)),"",_xlfn.REGEXEXTRACT(CELL("address",Z101), "\$([A-Z]+)\$[0-9]+"))),_xlfn.REGEXEXTRACT(CELL("address",Z101), "\$([A-Z]+)\$[0-9]+"))</f>
        <v/>
      </c>
      <c r="AA101" s="7" t="str" cm="1">
        <f t="array" aca="1" ref="AA101" ca="1">IFERROR(IF(OR('Raw Data'!AA101="",LEN(TRIM('Raw Data'!AA101))=0),"",IF(AND(ISNUMBER('Raw Data'!AA101), IFERROR('Raw Data'!AA101 = ROUND('Raw Data'!AA101, 2),FALSE)),"",_xlfn.REGEXEXTRACT(CELL("address",AA101), "\$([A-Z]+)\$[0-9]+"))),_xlfn.REGEXEXTRACT(CELL("address",AA101), "\$([A-Z]+)\$[0-9]+"))</f>
        <v/>
      </c>
      <c r="AB101" s="7" t="str" cm="1">
        <f t="array" aca="1" ref="AB101" ca="1">IFERROR(IF(OR('Raw Data'!AB101="",LEN(TRIM('Raw Data'!AB101))=0),"",IF(AND(ISNUMBER('Raw Data'!AB101), IFERROR('Raw Data'!AB101 = ROUND('Raw Data'!AB101, 2),FALSE)),"",_xlfn.REGEXEXTRACT(CELL("address",AB101), "\$([A-Z]+)\$[0-9]+"))),_xlfn.REGEXEXTRACT(CELL("address",AB101), "\$([A-Z]+)\$[0-9]+"))</f>
        <v/>
      </c>
      <c r="AC101" s="7" t="str" cm="1">
        <f t="array" aca="1" ref="AC101" ca="1">IFERROR(IF(OR('Raw Data'!AC101="",LEN(TRIM('Raw Data'!AC101))=0),"",IF(AND(ISNUMBER('Raw Data'!AC101), IFERROR('Raw Data'!AC101 = ROUND('Raw Data'!AC101, 2),FALSE)),"",_xlfn.REGEXEXTRACT(CELL("address",AC101), "\$([A-Z]+)\$[0-9]+"))),_xlfn.REGEXEXTRACT(CELL("address",AC101), "\$([A-Z]+)\$[0-9]+"))</f>
        <v/>
      </c>
      <c r="AD101" s="7" t="str" cm="1">
        <f t="array" aca="1" ref="AD101" ca="1">IFERROR(IF(OR('Raw Data'!AD101="",LEN(TRIM('Raw Data'!AD101))=0),"",IF(AND(ISNUMBER('Raw Data'!AD101), IFERROR('Raw Data'!AD101 = ROUND('Raw Data'!AD101, 2),FALSE)),"",_xlfn.REGEXEXTRACT(CELL("address",AD101), "\$([A-Z]+)\$[0-9]+"))),_xlfn.REGEXEXTRACT(CELL("address",AD101), "\$([A-Z]+)\$[0-9]+"))</f>
        <v/>
      </c>
      <c r="AE101" s="7" t="str" cm="1">
        <f t="array" aca="1" ref="AE101" ca="1">IFERROR(IF(OR('Raw Data'!AE101="",LEN(TRIM('Raw Data'!AE101))=0),"",IF(AND(ISNUMBER('Raw Data'!AE101), IFERROR('Raw Data'!AE101 = ROUND('Raw Data'!AE101, 2),FALSE)),"",_xlfn.REGEXEXTRACT(CELL("address",AE101), "\$([A-Z]+)\$[0-9]+"))),_xlfn.REGEXEXTRACT(CELL("address",AE101), "\$([A-Z]+)\$[0-9]+"))</f>
        <v/>
      </c>
      <c r="AF101" s="7" t="str" cm="1">
        <f t="array" aca="1" ref="AF101" ca="1">IFERROR(IF(OR('Raw Data'!AF101="",LEN(TRIM('Raw Data'!AF101))=0),"",IF(AND(ISNUMBER('Raw Data'!AF101), IFERROR('Raw Data'!AF101 = ROUND('Raw Data'!AF101, 2),FALSE)),"",_xlfn.REGEXEXTRACT(CELL("address",AF101), "\$([A-Z]+)\$[0-9]+"))),_xlfn.REGEXEXTRACT(CELL("address",AF101), "\$([A-Z]+)\$[0-9]+"))</f>
        <v/>
      </c>
      <c r="AG101" s="7" t="str" cm="1">
        <f t="array" aca="1" ref="AG101" ca="1">IFERROR(IF(OR('Raw Data'!AG101="",LEN(TRIM('Raw Data'!AG101))=0),"",IF(AND(ISNUMBER('Raw Data'!AG101), IFERROR('Raw Data'!AG101 = ROUND('Raw Data'!AG101, 2),FALSE)),"",_xlfn.REGEXEXTRACT(CELL("address",AG101), "\$([A-Z]+)\$[0-9]+"))),_xlfn.REGEXEXTRACT(CELL("address",AG101), "\$([A-Z]+)\$[0-9]+"))</f>
        <v/>
      </c>
      <c r="AH101" s="7" t="str" cm="1">
        <f t="array" aca="1" ref="AH101" ca="1">IFERROR(IF(OR('Raw Data'!AH101="",LEN(TRIM('Raw Data'!AH101))=0),"",IF(AND(ISNUMBER('Raw Data'!AH101), IFERROR('Raw Data'!AH101 = ROUND('Raw Data'!AH101, 2),FALSE)),"",_xlfn.REGEXEXTRACT(CELL("address",AH101), "\$([A-Z]+)\$[0-9]+"))),_xlfn.REGEXEXTRACT(CELL("address",AH101), "\$([A-Z]+)\$[0-9]+"))</f>
        <v/>
      </c>
      <c r="AI101" s="7" t="str" cm="1">
        <f t="array" aca="1" ref="AI101" ca="1">IFERROR(IF(OR('Raw Data'!AI101="",LEN(TRIM('Raw Data'!AI101))=0),"",IF(AND(ISNUMBER('Raw Data'!AI101), IFERROR('Raw Data'!AI101 = ROUND('Raw Data'!AI101, 2),FALSE)),"",_xlfn.REGEXEXTRACT(CELL("address",AI101), "\$([A-Z]+)\$[0-9]+"))),_xlfn.REGEXEXTRACT(CELL("address",AI101), "\$([A-Z]+)\$[0-9]+"))</f>
        <v/>
      </c>
      <c r="AJ101" s="7" t="str" cm="1">
        <f t="array" aca="1" ref="AJ101" ca="1">IFERROR(IF(OR('Raw Data'!AJ101="",LEN(TRIM('Raw Data'!AJ101))=0),"",IF(AND(ISNUMBER('Raw Data'!AJ101), IFERROR('Raw Data'!AJ101 = ROUND('Raw Data'!AJ101, 2),FALSE)),"",_xlfn.REGEXEXTRACT(CELL("address",AJ101), "\$([A-Z]+)\$[0-9]+"))),_xlfn.REGEXEXTRACT(CELL("address",AJ101), "\$([A-Z]+)\$[0-9]+"))</f>
        <v/>
      </c>
    </row>
    <row r="102" spans="2:36" x14ac:dyDescent="0.25">
      <c r="B102" s="7" t="str" cm="1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20,LEN('Raw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Data'!D102))=0),"",IF(AND(ISNUMBER('Raw Data'!D102),'Raw Data'!D102&gt;=Configuration!$D$2),"",_xlfn.REGEXEXTRACT(CELL("address",'Raw Data'!D102),"\$([A-Z]+)\$[0-9]+"))),_xlfn.REGEXEXTRACT(CELL("address",D102), "\$([A-Z]+)\$[0-9]+"))</f>
        <v/>
      </c>
      <c r="E102" s="7" t="str" cm="1">
        <f t="array" aca="1" ref="E102" ca="1">IFERROR(IF(OR('Raw Data'!E102="",LEN(TRIM('Raw Data'!E102))=0),"",IF(AND(ISNUMBER('Raw Data'!E102), IFERROR('Raw Data'!E102 = ROUND('Raw Data'!E102, 2),FALSE)),"",_xlfn.REGEXEXTRACT(CELL("address",E102), "\$([A-Z]+)\$[0-9]+"))),_xlfn.REGEXEXTRACT(CELL("address",E102), "\$([A-Z]+)\$[0-9]+"))</f>
        <v/>
      </c>
      <c r="F102" s="7" t="str" cm="1">
        <f t="array" aca="1" ref="F102" ca="1">IFERROR(IF(OR('Raw Data'!F102="",LEN(TRIM('Raw Data'!F102))=0),"",IF(AND(ISNUMBER('Raw Data'!F102), IFERROR('Raw Data'!F102 = ROUND('Raw Data'!F102, 2),FALSE)),"",_xlfn.REGEXEXTRACT(CELL("address",F102), "\$([A-Z]+)\$[0-9]+"))),_xlfn.REGEXEXTRACT(CELL("address",F102), "\$([A-Z]+)\$[0-9]+"))</f>
        <v/>
      </c>
      <c r="G102" s="7" t="str" cm="1">
        <f t="array" aca="1" ref="G102" ca="1">IFERROR(IF(OR('Raw Data'!G102="",LEN(TRIM('Raw Data'!G102))=0),"",IF(AND(ISNUMBER('Raw Data'!G102), IFERROR('Raw Data'!G102 = ROUND('Raw Data'!G102, 2),FALSE)),"",_xlfn.REGEXEXTRACT(CELL("address",G102), "\$([A-Z]+)\$[0-9]+"))),_xlfn.REGEXEXTRACT(CELL("address",G102), "\$([A-Z]+)\$[0-9]+"))</f>
        <v/>
      </c>
      <c r="H102" s="7" t="str" cm="1">
        <f t="array" aca="1" ref="H102" ca="1">IFERROR(IF(OR('Raw Data'!H102="",LEN(TRIM('Raw Data'!H102))=0),"",IF(AND(ISNUMBER('Raw Data'!H102), IFERROR('Raw Data'!H102 = ROUND('Raw Data'!H102, 2),FALSE)),"",_xlfn.REGEXEXTRACT(CELL("address",H102), "\$([A-Z]+)\$[0-9]+"))),_xlfn.REGEXEXTRACT(CELL("address",H102), "\$([A-Z]+)\$[0-9]+"))</f>
        <v/>
      </c>
      <c r="I102" s="7" t="str" cm="1">
        <f t="array" aca="1" ref="I102" ca="1">IFERROR(IF(OR('Raw Data'!I102="",LEN(TRIM('Raw Data'!I102))=0),"",IF(AND(ISNUMBER('Raw Data'!I102), IFERROR('Raw Data'!I102 = ROUND('Raw Data'!I102, 2),FALSE)),"",_xlfn.REGEXEXTRACT(CELL("address",I102), "\$([A-Z]+)\$[0-9]+"))),_xlfn.REGEXEXTRACT(CELL("address",I102), "\$([A-Z]+)\$[0-9]+"))</f>
        <v/>
      </c>
      <c r="J102" s="7" t="str" cm="1">
        <f t="array" aca="1" ref="J102" ca="1">IFERROR(IF(OR('Raw Data'!J102="",LEN(TRIM('Raw Data'!J102))=0),"",IF(AND(ISNUMBER('Raw Data'!J102), IFERROR('Raw Data'!J102 = ROUND('Raw Data'!J102, 2),FALSE)),"",_xlfn.REGEXEXTRACT(CELL("address",J102), "\$([A-Z]+)\$[0-9]+"))),_xlfn.REGEXEXTRACT(CELL("address",J102), "\$([A-Z]+)\$[0-9]+"))</f>
        <v/>
      </c>
      <c r="K102" s="7" t="str" cm="1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7" t="str" cm="1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7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7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7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7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 cm="1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7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7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7" t="str" cm="1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7" t="str" cm="1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  <c r="Z102" s="7" t="str" cm="1">
        <f t="array" aca="1" ref="Z102" ca="1">IFERROR(IF(OR('Raw Data'!Z102="",LEN(TRIM('Raw Data'!Z102))=0),"",IF(AND(ISNUMBER('Raw Data'!Z102), IFERROR('Raw Data'!Z102 = ROUND('Raw Data'!Z102, 2),FALSE)),"",_xlfn.REGEXEXTRACT(CELL("address",Z102), "\$([A-Z]+)\$[0-9]+"))),_xlfn.REGEXEXTRACT(CELL("address",Z102), "\$([A-Z]+)\$[0-9]+"))</f>
        <v/>
      </c>
      <c r="AA102" s="7" t="str" cm="1">
        <f t="array" aca="1" ref="AA102" ca="1">IFERROR(IF(OR('Raw Data'!AA102="",LEN(TRIM('Raw Data'!AA102))=0),"",IF(AND(ISNUMBER('Raw Data'!AA102), IFERROR('Raw Data'!AA102 = ROUND('Raw Data'!AA102, 2),FALSE)),"",_xlfn.REGEXEXTRACT(CELL("address",AA102), "\$([A-Z]+)\$[0-9]+"))),_xlfn.REGEXEXTRACT(CELL("address",AA102), "\$([A-Z]+)\$[0-9]+"))</f>
        <v/>
      </c>
      <c r="AB102" s="7" t="str" cm="1">
        <f t="array" aca="1" ref="AB102" ca="1">IFERROR(IF(OR('Raw Data'!AB102="",LEN(TRIM('Raw Data'!AB102))=0),"",IF(AND(ISNUMBER('Raw Data'!AB102), IFERROR('Raw Data'!AB102 = ROUND('Raw Data'!AB102, 2),FALSE)),"",_xlfn.REGEXEXTRACT(CELL("address",AB102), "\$([A-Z]+)\$[0-9]+"))),_xlfn.REGEXEXTRACT(CELL("address",AB102), "\$([A-Z]+)\$[0-9]+"))</f>
        <v/>
      </c>
      <c r="AC102" s="7" t="str" cm="1">
        <f t="array" aca="1" ref="AC102" ca="1">IFERROR(IF(OR('Raw Data'!AC102="",LEN(TRIM('Raw Data'!AC102))=0),"",IF(AND(ISNUMBER('Raw Data'!AC102), IFERROR('Raw Data'!AC102 = ROUND('Raw Data'!AC102, 2),FALSE)),"",_xlfn.REGEXEXTRACT(CELL("address",AC102), "\$([A-Z]+)\$[0-9]+"))),_xlfn.REGEXEXTRACT(CELL("address",AC102), "\$([A-Z]+)\$[0-9]+"))</f>
        <v/>
      </c>
      <c r="AD102" s="7" t="str" cm="1">
        <f t="array" aca="1" ref="AD102" ca="1">IFERROR(IF(OR('Raw Data'!AD102="",LEN(TRIM('Raw Data'!AD102))=0),"",IF(AND(ISNUMBER('Raw Data'!AD102), IFERROR('Raw Data'!AD102 = ROUND('Raw Data'!AD102, 2),FALSE)),"",_xlfn.REGEXEXTRACT(CELL("address",AD102), "\$([A-Z]+)\$[0-9]+"))),_xlfn.REGEXEXTRACT(CELL("address",AD102), "\$([A-Z]+)\$[0-9]+"))</f>
        <v/>
      </c>
      <c r="AE102" s="7" t="str" cm="1">
        <f t="array" aca="1" ref="AE102" ca="1">IFERROR(IF(OR('Raw Data'!AE102="",LEN(TRIM('Raw Data'!AE102))=0),"",IF(AND(ISNUMBER('Raw Data'!AE102), IFERROR('Raw Data'!AE102 = ROUND('Raw Data'!AE102, 2),FALSE)),"",_xlfn.REGEXEXTRACT(CELL("address",AE102), "\$([A-Z]+)\$[0-9]+"))),_xlfn.REGEXEXTRACT(CELL("address",AE102), "\$([A-Z]+)\$[0-9]+"))</f>
        <v/>
      </c>
      <c r="AF102" s="7" t="str" cm="1">
        <f t="array" aca="1" ref="AF102" ca="1">IFERROR(IF(OR('Raw Data'!AF102="",LEN(TRIM('Raw Data'!AF102))=0),"",IF(AND(ISNUMBER('Raw Data'!AF102), IFERROR('Raw Data'!AF102 = ROUND('Raw Data'!AF102, 2),FALSE)),"",_xlfn.REGEXEXTRACT(CELL("address",AF102), "\$([A-Z]+)\$[0-9]+"))),_xlfn.REGEXEXTRACT(CELL("address",AF102), "\$([A-Z]+)\$[0-9]+"))</f>
        <v/>
      </c>
      <c r="AG102" s="7" t="str" cm="1">
        <f t="array" aca="1" ref="AG102" ca="1">IFERROR(IF(OR('Raw Data'!AG102="",LEN(TRIM('Raw Data'!AG102))=0),"",IF(AND(ISNUMBER('Raw Data'!AG102), IFERROR('Raw Data'!AG102 = ROUND('Raw Data'!AG102, 2),FALSE)),"",_xlfn.REGEXEXTRACT(CELL("address",AG102), "\$([A-Z]+)\$[0-9]+"))),_xlfn.REGEXEXTRACT(CELL("address",AG102), "\$([A-Z]+)\$[0-9]+"))</f>
        <v/>
      </c>
      <c r="AH102" s="7" t="str" cm="1">
        <f t="array" aca="1" ref="AH102" ca="1">IFERROR(IF(OR('Raw Data'!AH102="",LEN(TRIM('Raw Data'!AH102))=0),"",IF(AND(ISNUMBER('Raw Data'!AH102), IFERROR('Raw Data'!AH102 = ROUND('Raw Data'!AH102, 2),FALSE)),"",_xlfn.REGEXEXTRACT(CELL("address",AH102), "\$([A-Z]+)\$[0-9]+"))),_xlfn.REGEXEXTRACT(CELL("address",AH102), "\$([A-Z]+)\$[0-9]+"))</f>
        <v/>
      </c>
      <c r="AI102" s="7" t="str" cm="1">
        <f t="array" aca="1" ref="AI102" ca="1">IFERROR(IF(OR('Raw Data'!AI102="",LEN(TRIM('Raw Data'!AI102))=0),"",IF(AND(ISNUMBER('Raw Data'!AI102), IFERROR('Raw Data'!AI102 = ROUND('Raw Data'!AI102, 2),FALSE)),"",_xlfn.REGEXEXTRACT(CELL("address",AI102), "\$([A-Z]+)\$[0-9]+"))),_xlfn.REGEXEXTRACT(CELL("address",AI102), "\$([A-Z]+)\$[0-9]+"))</f>
        <v/>
      </c>
      <c r="AJ102" s="7" t="str" cm="1">
        <f t="array" aca="1" ref="AJ102" ca="1">IFERROR(IF(OR('Raw Data'!AJ102="",LEN(TRIM('Raw Data'!AJ102))=0),"",IF(AND(ISNUMBER('Raw Data'!AJ102), IFERROR('Raw Data'!AJ102 = ROUND('Raw Data'!AJ102, 2),FALSE)),"",_xlfn.REGEXEXTRACT(CELL("address",AJ102), "\$([A-Z]+)\$[0-9]+"))),_xlfn.REGEXEXTRACT(CELL("address",AJ102), "\$([A-Z]+)\$[0-9]+"))</f>
        <v/>
      </c>
    </row>
    <row r="103" spans="2:36" x14ac:dyDescent="0.25">
      <c r="B103" s="7" t="str" cm="1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20,LEN('Raw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Data'!D103))=0),"",IF(AND(ISNUMBER('Raw Data'!D103),'Raw Data'!D103&gt;=Configuration!$D$2),"",_xlfn.REGEXEXTRACT(CELL("address",'Raw Data'!D103),"\$([A-Z]+)\$[0-9]+"))),_xlfn.REGEXEXTRACT(CELL("address",D103), "\$([A-Z]+)\$[0-9]+"))</f>
        <v/>
      </c>
      <c r="E103" s="7" t="str" cm="1">
        <f t="array" aca="1" ref="E103" ca="1">IFERROR(IF(OR('Raw Data'!E103="",LEN(TRIM('Raw Data'!E103))=0),"",IF(AND(ISNUMBER('Raw Data'!E103), IFERROR('Raw Data'!E103 = ROUND('Raw Data'!E103, 2),FALSE)),"",_xlfn.REGEXEXTRACT(CELL("address",E103), "\$([A-Z]+)\$[0-9]+"))),_xlfn.REGEXEXTRACT(CELL("address",E103), "\$([A-Z]+)\$[0-9]+"))</f>
        <v/>
      </c>
      <c r="F103" s="7" t="str" cm="1">
        <f t="array" aca="1" ref="F103" ca="1">IFERROR(IF(OR('Raw Data'!F103="",LEN(TRIM('Raw Data'!F103))=0),"",IF(AND(ISNUMBER('Raw Data'!F103), IFERROR('Raw Data'!F103 = ROUND('Raw Data'!F103, 2),FALSE)),"",_xlfn.REGEXEXTRACT(CELL("address",F103), "\$([A-Z]+)\$[0-9]+"))),_xlfn.REGEXEXTRACT(CELL("address",F103), "\$([A-Z]+)\$[0-9]+"))</f>
        <v/>
      </c>
      <c r="G103" s="7" t="str" cm="1">
        <f t="array" aca="1" ref="G103" ca="1">IFERROR(IF(OR('Raw Data'!G103="",LEN(TRIM('Raw Data'!G103))=0),"",IF(AND(ISNUMBER('Raw Data'!G103), IFERROR('Raw Data'!G103 = ROUND('Raw Data'!G103, 2),FALSE)),"",_xlfn.REGEXEXTRACT(CELL("address",G103), "\$([A-Z]+)\$[0-9]+"))),_xlfn.REGEXEXTRACT(CELL("address",G103), "\$([A-Z]+)\$[0-9]+"))</f>
        <v/>
      </c>
      <c r="H103" s="7" t="str" cm="1">
        <f t="array" aca="1" ref="H103" ca="1">IFERROR(IF(OR('Raw Data'!H103="",LEN(TRIM('Raw Data'!H103))=0),"",IF(AND(ISNUMBER('Raw Data'!H103), IFERROR('Raw Data'!H103 = ROUND('Raw Data'!H103, 2),FALSE)),"",_xlfn.REGEXEXTRACT(CELL("address",H103), "\$([A-Z]+)\$[0-9]+"))),_xlfn.REGEXEXTRACT(CELL("address",H103), "\$([A-Z]+)\$[0-9]+"))</f>
        <v/>
      </c>
      <c r="I103" s="7" t="str" cm="1">
        <f t="array" aca="1" ref="I103" ca="1">IFERROR(IF(OR('Raw Data'!I103="",LEN(TRIM('Raw Data'!I103))=0),"",IF(AND(ISNUMBER('Raw Data'!I103), IFERROR('Raw Data'!I103 = ROUND('Raw Data'!I103, 2),FALSE)),"",_xlfn.REGEXEXTRACT(CELL("address",I103), "\$([A-Z]+)\$[0-9]+"))),_xlfn.REGEXEXTRACT(CELL("address",I103), "\$([A-Z]+)\$[0-9]+"))</f>
        <v/>
      </c>
      <c r="J103" s="7" t="str" cm="1">
        <f t="array" aca="1" ref="J103" ca="1">IFERROR(IF(OR('Raw Data'!J103="",LEN(TRIM('Raw Data'!J103))=0),"",IF(AND(ISNUMBER('Raw Data'!J103), IFERROR('Raw Data'!J103 = ROUND('Raw Data'!J103, 2),FALSE)),"",_xlfn.REGEXEXTRACT(CELL("address",J103), "\$([A-Z]+)\$[0-9]+"))),_xlfn.REGEXEXTRACT(CELL("address",J103), "\$([A-Z]+)\$[0-9]+"))</f>
        <v/>
      </c>
      <c r="K103" s="7" t="str" cm="1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7" t="str" cm="1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7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7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7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7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 cm="1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7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7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7" t="str" cm="1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7" t="str" cm="1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  <c r="Z103" s="7" t="str" cm="1">
        <f t="array" aca="1" ref="Z103" ca="1">IFERROR(IF(OR('Raw Data'!Z103="",LEN(TRIM('Raw Data'!Z103))=0),"",IF(AND(ISNUMBER('Raw Data'!Z103), IFERROR('Raw Data'!Z103 = ROUND('Raw Data'!Z103, 2),FALSE)),"",_xlfn.REGEXEXTRACT(CELL("address",Z103), "\$([A-Z]+)\$[0-9]+"))),_xlfn.REGEXEXTRACT(CELL("address",Z103), "\$([A-Z]+)\$[0-9]+"))</f>
        <v/>
      </c>
      <c r="AA103" s="7" t="str" cm="1">
        <f t="array" aca="1" ref="AA103" ca="1">IFERROR(IF(OR('Raw Data'!AA103="",LEN(TRIM('Raw Data'!AA103))=0),"",IF(AND(ISNUMBER('Raw Data'!AA103), IFERROR('Raw Data'!AA103 = ROUND('Raw Data'!AA103, 2),FALSE)),"",_xlfn.REGEXEXTRACT(CELL("address",AA103), "\$([A-Z]+)\$[0-9]+"))),_xlfn.REGEXEXTRACT(CELL("address",AA103), "\$([A-Z]+)\$[0-9]+"))</f>
        <v/>
      </c>
      <c r="AB103" s="7" t="str" cm="1">
        <f t="array" aca="1" ref="AB103" ca="1">IFERROR(IF(OR('Raw Data'!AB103="",LEN(TRIM('Raw Data'!AB103))=0),"",IF(AND(ISNUMBER('Raw Data'!AB103), IFERROR('Raw Data'!AB103 = ROUND('Raw Data'!AB103, 2),FALSE)),"",_xlfn.REGEXEXTRACT(CELL("address",AB103), "\$([A-Z]+)\$[0-9]+"))),_xlfn.REGEXEXTRACT(CELL("address",AB103), "\$([A-Z]+)\$[0-9]+"))</f>
        <v/>
      </c>
      <c r="AC103" s="7" t="str" cm="1">
        <f t="array" aca="1" ref="AC103" ca="1">IFERROR(IF(OR('Raw Data'!AC103="",LEN(TRIM('Raw Data'!AC103))=0),"",IF(AND(ISNUMBER('Raw Data'!AC103), IFERROR('Raw Data'!AC103 = ROUND('Raw Data'!AC103, 2),FALSE)),"",_xlfn.REGEXEXTRACT(CELL("address",AC103), "\$([A-Z]+)\$[0-9]+"))),_xlfn.REGEXEXTRACT(CELL("address",AC103), "\$([A-Z]+)\$[0-9]+"))</f>
        <v/>
      </c>
      <c r="AD103" s="7" t="str" cm="1">
        <f t="array" aca="1" ref="AD103" ca="1">IFERROR(IF(OR('Raw Data'!AD103="",LEN(TRIM('Raw Data'!AD103))=0),"",IF(AND(ISNUMBER('Raw Data'!AD103), IFERROR('Raw Data'!AD103 = ROUND('Raw Data'!AD103, 2),FALSE)),"",_xlfn.REGEXEXTRACT(CELL("address",AD103), "\$([A-Z]+)\$[0-9]+"))),_xlfn.REGEXEXTRACT(CELL("address",AD103), "\$([A-Z]+)\$[0-9]+"))</f>
        <v/>
      </c>
      <c r="AE103" s="7" t="str" cm="1">
        <f t="array" aca="1" ref="AE103" ca="1">IFERROR(IF(OR('Raw Data'!AE103="",LEN(TRIM('Raw Data'!AE103))=0),"",IF(AND(ISNUMBER('Raw Data'!AE103), IFERROR('Raw Data'!AE103 = ROUND('Raw Data'!AE103, 2),FALSE)),"",_xlfn.REGEXEXTRACT(CELL("address",AE103), "\$([A-Z]+)\$[0-9]+"))),_xlfn.REGEXEXTRACT(CELL("address",AE103), "\$([A-Z]+)\$[0-9]+"))</f>
        <v/>
      </c>
      <c r="AF103" s="7" t="str" cm="1">
        <f t="array" aca="1" ref="AF103" ca="1">IFERROR(IF(OR('Raw Data'!AF103="",LEN(TRIM('Raw Data'!AF103))=0),"",IF(AND(ISNUMBER('Raw Data'!AF103), IFERROR('Raw Data'!AF103 = ROUND('Raw Data'!AF103, 2),FALSE)),"",_xlfn.REGEXEXTRACT(CELL("address",AF103), "\$([A-Z]+)\$[0-9]+"))),_xlfn.REGEXEXTRACT(CELL("address",AF103), "\$([A-Z]+)\$[0-9]+"))</f>
        <v/>
      </c>
      <c r="AG103" s="7" t="str" cm="1">
        <f t="array" aca="1" ref="AG103" ca="1">IFERROR(IF(OR('Raw Data'!AG103="",LEN(TRIM('Raw Data'!AG103))=0),"",IF(AND(ISNUMBER('Raw Data'!AG103), IFERROR('Raw Data'!AG103 = ROUND('Raw Data'!AG103, 2),FALSE)),"",_xlfn.REGEXEXTRACT(CELL("address",AG103), "\$([A-Z]+)\$[0-9]+"))),_xlfn.REGEXEXTRACT(CELL("address",AG103), "\$([A-Z]+)\$[0-9]+"))</f>
        <v/>
      </c>
      <c r="AH103" s="7" t="str" cm="1">
        <f t="array" aca="1" ref="AH103" ca="1">IFERROR(IF(OR('Raw Data'!AH103="",LEN(TRIM('Raw Data'!AH103))=0),"",IF(AND(ISNUMBER('Raw Data'!AH103), IFERROR('Raw Data'!AH103 = ROUND('Raw Data'!AH103, 2),FALSE)),"",_xlfn.REGEXEXTRACT(CELL("address",AH103), "\$([A-Z]+)\$[0-9]+"))),_xlfn.REGEXEXTRACT(CELL("address",AH103), "\$([A-Z]+)\$[0-9]+"))</f>
        <v/>
      </c>
      <c r="AI103" s="7" t="str" cm="1">
        <f t="array" aca="1" ref="AI103" ca="1">IFERROR(IF(OR('Raw Data'!AI103="",LEN(TRIM('Raw Data'!AI103))=0),"",IF(AND(ISNUMBER('Raw Data'!AI103), IFERROR('Raw Data'!AI103 = ROUND('Raw Data'!AI103, 2),FALSE)),"",_xlfn.REGEXEXTRACT(CELL("address",AI103), "\$([A-Z]+)\$[0-9]+"))),_xlfn.REGEXEXTRACT(CELL("address",AI103), "\$([A-Z]+)\$[0-9]+"))</f>
        <v/>
      </c>
      <c r="AJ103" s="7" t="str" cm="1">
        <f t="array" aca="1" ref="AJ103" ca="1">IFERROR(IF(OR('Raw Data'!AJ103="",LEN(TRIM('Raw Data'!AJ103))=0),"",IF(AND(ISNUMBER('Raw Data'!AJ103), IFERROR('Raw Data'!AJ103 = ROUND('Raw Data'!AJ103, 2),FALSE)),"",_xlfn.REGEXEXTRACT(CELL("address",AJ103), "\$([A-Z]+)\$[0-9]+"))),_xlfn.REGEXEXTRACT(CELL("address",AJ103), "\$([A-Z]+)\$[0-9]+"))</f>
        <v/>
      </c>
    </row>
    <row r="104" spans="2:36" x14ac:dyDescent="0.25">
      <c r="B104" s="7" t="str" cm="1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20,LEN('Raw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Data'!D104))=0),"",IF(AND(ISNUMBER('Raw Data'!D104),'Raw Data'!D104&gt;=Configuration!$D$2),"",_xlfn.REGEXEXTRACT(CELL("address",'Raw Data'!D104),"\$([A-Z]+)\$[0-9]+"))),_xlfn.REGEXEXTRACT(CELL("address",D104), "\$([A-Z]+)\$[0-9]+"))</f>
        <v/>
      </c>
      <c r="E104" s="7" t="str" cm="1">
        <f t="array" aca="1" ref="E104" ca="1">IFERROR(IF(OR('Raw Data'!E104="",LEN(TRIM('Raw Data'!E104))=0),"",IF(AND(ISNUMBER('Raw Data'!E104), IFERROR('Raw Data'!E104 = ROUND('Raw Data'!E104, 2),FALSE)),"",_xlfn.REGEXEXTRACT(CELL("address",E104), "\$([A-Z]+)\$[0-9]+"))),_xlfn.REGEXEXTRACT(CELL("address",E104), "\$([A-Z]+)\$[0-9]+"))</f>
        <v/>
      </c>
      <c r="F104" s="7" t="str" cm="1">
        <f t="array" aca="1" ref="F104" ca="1">IFERROR(IF(OR('Raw Data'!F104="",LEN(TRIM('Raw Data'!F104))=0),"",IF(AND(ISNUMBER('Raw Data'!F104), IFERROR('Raw Data'!F104 = ROUND('Raw Data'!F104, 2),FALSE)),"",_xlfn.REGEXEXTRACT(CELL("address",F104), "\$([A-Z]+)\$[0-9]+"))),_xlfn.REGEXEXTRACT(CELL("address",F104), "\$([A-Z]+)\$[0-9]+"))</f>
        <v/>
      </c>
      <c r="G104" s="7" t="str" cm="1">
        <f t="array" aca="1" ref="G104" ca="1">IFERROR(IF(OR('Raw Data'!G104="",LEN(TRIM('Raw Data'!G104))=0),"",IF(AND(ISNUMBER('Raw Data'!G104), IFERROR('Raw Data'!G104 = ROUND('Raw Data'!G104, 2),FALSE)),"",_xlfn.REGEXEXTRACT(CELL("address",G104), "\$([A-Z]+)\$[0-9]+"))),_xlfn.REGEXEXTRACT(CELL("address",G104), "\$([A-Z]+)\$[0-9]+"))</f>
        <v/>
      </c>
      <c r="H104" s="7" t="str" cm="1">
        <f t="array" aca="1" ref="H104" ca="1">IFERROR(IF(OR('Raw Data'!H104="",LEN(TRIM('Raw Data'!H104))=0),"",IF(AND(ISNUMBER('Raw Data'!H104), IFERROR('Raw Data'!H104 = ROUND('Raw Data'!H104, 2),FALSE)),"",_xlfn.REGEXEXTRACT(CELL("address",H104), "\$([A-Z]+)\$[0-9]+"))),_xlfn.REGEXEXTRACT(CELL("address",H104), "\$([A-Z]+)\$[0-9]+"))</f>
        <v/>
      </c>
      <c r="I104" s="7" t="str" cm="1">
        <f t="array" aca="1" ref="I104" ca="1">IFERROR(IF(OR('Raw Data'!I104="",LEN(TRIM('Raw Data'!I104))=0),"",IF(AND(ISNUMBER('Raw Data'!I104), IFERROR('Raw Data'!I104 = ROUND('Raw Data'!I104, 2),FALSE)),"",_xlfn.REGEXEXTRACT(CELL("address",I104), "\$([A-Z]+)\$[0-9]+"))),_xlfn.REGEXEXTRACT(CELL("address",I104), "\$([A-Z]+)\$[0-9]+"))</f>
        <v/>
      </c>
      <c r="J104" s="7" t="str" cm="1">
        <f t="array" aca="1" ref="J104" ca="1">IFERROR(IF(OR('Raw Data'!J104="",LEN(TRIM('Raw Data'!J104))=0),"",IF(AND(ISNUMBER('Raw Data'!J104), IFERROR('Raw Data'!J104 = ROUND('Raw Data'!J104, 2),FALSE)),"",_xlfn.REGEXEXTRACT(CELL("address",J104), "\$([A-Z]+)\$[0-9]+"))),_xlfn.REGEXEXTRACT(CELL("address",J104), "\$([A-Z]+)\$[0-9]+"))</f>
        <v/>
      </c>
      <c r="K104" s="7" t="str" cm="1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7" t="str" cm="1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7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7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7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7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 cm="1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7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7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7" t="str" cm="1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7" t="str" cm="1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  <c r="Z104" s="7" t="str" cm="1">
        <f t="array" aca="1" ref="Z104" ca="1">IFERROR(IF(OR('Raw Data'!Z104="",LEN(TRIM('Raw Data'!Z104))=0),"",IF(AND(ISNUMBER('Raw Data'!Z104), IFERROR('Raw Data'!Z104 = ROUND('Raw Data'!Z104, 2),FALSE)),"",_xlfn.REGEXEXTRACT(CELL("address",Z104), "\$([A-Z]+)\$[0-9]+"))),_xlfn.REGEXEXTRACT(CELL("address",Z104), "\$([A-Z]+)\$[0-9]+"))</f>
        <v/>
      </c>
      <c r="AA104" s="7" t="str" cm="1">
        <f t="array" aca="1" ref="AA104" ca="1">IFERROR(IF(OR('Raw Data'!AA104="",LEN(TRIM('Raw Data'!AA104))=0),"",IF(AND(ISNUMBER('Raw Data'!AA104), IFERROR('Raw Data'!AA104 = ROUND('Raw Data'!AA104, 2),FALSE)),"",_xlfn.REGEXEXTRACT(CELL("address",AA104), "\$([A-Z]+)\$[0-9]+"))),_xlfn.REGEXEXTRACT(CELL("address",AA104), "\$([A-Z]+)\$[0-9]+"))</f>
        <v/>
      </c>
      <c r="AB104" s="7" t="str" cm="1">
        <f t="array" aca="1" ref="AB104" ca="1">IFERROR(IF(OR('Raw Data'!AB104="",LEN(TRIM('Raw Data'!AB104))=0),"",IF(AND(ISNUMBER('Raw Data'!AB104), IFERROR('Raw Data'!AB104 = ROUND('Raw Data'!AB104, 2),FALSE)),"",_xlfn.REGEXEXTRACT(CELL("address",AB104), "\$([A-Z]+)\$[0-9]+"))),_xlfn.REGEXEXTRACT(CELL("address",AB104), "\$([A-Z]+)\$[0-9]+"))</f>
        <v/>
      </c>
      <c r="AC104" s="7" t="str" cm="1">
        <f t="array" aca="1" ref="AC104" ca="1">IFERROR(IF(OR('Raw Data'!AC104="",LEN(TRIM('Raw Data'!AC104))=0),"",IF(AND(ISNUMBER('Raw Data'!AC104), IFERROR('Raw Data'!AC104 = ROUND('Raw Data'!AC104, 2),FALSE)),"",_xlfn.REGEXEXTRACT(CELL("address",AC104), "\$([A-Z]+)\$[0-9]+"))),_xlfn.REGEXEXTRACT(CELL("address",AC104), "\$([A-Z]+)\$[0-9]+"))</f>
        <v/>
      </c>
      <c r="AD104" s="7" t="str" cm="1">
        <f t="array" aca="1" ref="AD104" ca="1">IFERROR(IF(OR('Raw Data'!AD104="",LEN(TRIM('Raw Data'!AD104))=0),"",IF(AND(ISNUMBER('Raw Data'!AD104), IFERROR('Raw Data'!AD104 = ROUND('Raw Data'!AD104, 2),FALSE)),"",_xlfn.REGEXEXTRACT(CELL("address",AD104), "\$([A-Z]+)\$[0-9]+"))),_xlfn.REGEXEXTRACT(CELL("address",AD104), "\$([A-Z]+)\$[0-9]+"))</f>
        <v/>
      </c>
      <c r="AE104" s="7" t="str" cm="1">
        <f t="array" aca="1" ref="AE104" ca="1">IFERROR(IF(OR('Raw Data'!AE104="",LEN(TRIM('Raw Data'!AE104))=0),"",IF(AND(ISNUMBER('Raw Data'!AE104), IFERROR('Raw Data'!AE104 = ROUND('Raw Data'!AE104, 2),FALSE)),"",_xlfn.REGEXEXTRACT(CELL("address",AE104), "\$([A-Z]+)\$[0-9]+"))),_xlfn.REGEXEXTRACT(CELL("address",AE104), "\$([A-Z]+)\$[0-9]+"))</f>
        <v/>
      </c>
      <c r="AF104" s="7" t="str" cm="1">
        <f t="array" aca="1" ref="AF104" ca="1">IFERROR(IF(OR('Raw Data'!AF104="",LEN(TRIM('Raw Data'!AF104))=0),"",IF(AND(ISNUMBER('Raw Data'!AF104), IFERROR('Raw Data'!AF104 = ROUND('Raw Data'!AF104, 2),FALSE)),"",_xlfn.REGEXEXTRACT(CELL("address",AF104), "\$([A-Z]+)\$[0-9]+"))),_xlfn.REGEXEXTRACT(CELL("address",AF104), "\$([A-Z]+)\$[0-9]+"))</f>
        <v/>
      </c>
      <c r="AG104" s="7" t="str" cm="1">
        <f t="array" aca="1" ref="AG104" ca="1">IFERROR(IF(OR('Raw Data'!AG104="",LEN(TRIM('Raw Data'!AG104))=0),"",IF(AND(ISNUMBER('Raw Data'!AG104), IFERROR('Raw Data'!AG104 = ROUND('Raw Data'!AG104, 2),FALSE)),"",_xlfn.REGEXEXTRACT(CELL("address",AG104), "\$([A-Z]+)\$[0-9]+"))),_xlfn.REGEXEXTRACT(CELL("address",AG104), "\$([A-Z]+)\$[0-9]+"))</f>
        <v/>
      </c>
      <c r="AH104" s="7" t="str" cm="1">
        <f t="array" aca="1" ref="AH104" ca="1">IFERROR(IF(OR('Raw Data'!AH104="",LEN(TRIM('Raw Data'!AH104))=0),"",IF(AND(ISNUMBER('Raw Data'!AH104), IFERROR('Raw Data'!AH104 = ROUND('Raw Data'!AH104, 2),FALSE)),"",_xlfn.REGEXEXTRACT(CELL("address",AH104), "\$([A-Z]+)\$[0-9]+"))),_xlfn.REGEXEXTRACT(CELL("address",AH104), "\$([A-Z]+)\$[0-9]+"))</f>
        <v/>
      </c>
      <c r="AI104" s="7" t="str" cm="1">
        <f t="array" aca="1" ref="AI104" ca="1">IFERROR(IF(OR('Raw Data'!AI104="",LEN(TRIM('Raw Data'!AI104))=0),"",IF(AND(ISNUMBER('Raw Data'!AI104), IFERROR('Raw Data'!AI104 = ROUND('Raw Data'!AI104, 2),FALSE)),"",_xlfn.REGEXEXTRACT(CELL("address",AI104), "\$([A-Z]+)\$[0-9]+"))),_xlfn.REGEXEXTRACT(CELL("address",AI104), "\$([A-Z]+)\$[0-9]+"))</f>
        <v/>
      </c>
      <c r="AJ104" s="7" t="str" cm="1">
        <f t="array" aca="1" ref="AJ104" ca="1">IFERROR(IF(OR('Raw Data'!AJ104="",LEN(TRIM('Raw Data'!AJ104))=0),"",IF(AND(ISNUMBER('Raw Data'!AJ104), IFERROR('Raw Data'!AJ104 = ROUND('Raw Data'!AJ104, 2),FALSE)),"",_xlfn.REGEXEXTRACT(CELL("address",AJ104), "\$([A-Z]+)\$[0-9]+"))),_xlfn.REGEXEXTRACT(CELL("address",AJ104), "\$([A-Z]+)\$[0-9]+"))</f>
        <v/>
      </c>
    </row>
    <row r="105" spans="2:36" x14ac:dyDescent="0.25">
      <c r="B105" s="7" t="str" cm="1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20,LEN('Raw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Data'!D105))=0),"",IF(AND(ISNUMBER('Raw Data'!D105),'Raw Data'!D105&gt;=Configuration!$D$2),"",_xlfn.REGEXEXTRACT(CELL("address",'Raw Data'!D105),"\$([A-Z]+)\$[0-9]+"))),_xlfn.REGEXEXTRACT(CELL("address",D105), "\$([A-Z]+)\$[0-9]+"))</f>
        <v/>
      </c>
      <c r="E105" s="7" t="str" cm="1">
        <f t="array" aca="1" ref="E105" ca="1">IFERROR(IF(OR('Raw Data'!E105="",LEN(TRIM('Raw Data'!E105))=0),"",IF(AND(ISNUMBER('Raw Data'!E105), IFERROR('Raw Data'!E105 = ROUND('Raw Data'!E105, 2),FALSE)),"",_xlfn.REGEXEXTRACT(CELL("address",E105), "\$([A-Z]+)\$[0-9]+"))),_xlfn.REGEXEXTRACT(CELL("address",E105), "\$([A-Z]+)\$[0-9]+"))</f>
        <v/>
      </c>
      <c r="F105" s="7" t="str" cm="1">
        <f t="array" aca="1" ref="F105" ca="1">IFERROR(IF(OR('Raw Data'!F105="",LEN(TRIM('Raw Data'!F105))=0),"",IF(AND(ISNUMBER('Raw Data'!F105), IFERROR('Raw Data'!F105 = ROUND('Raw Data'!F105, 2),FALSE)),"",_xlfn.REGEXEXTRACT(CELL("address",F105), "\$([A-Z]+)\$[0-9]+"))),_xlfn.REGEXEXTRACT(CELL("address",F105), "\$([A-Z]+)\$[0-9]+"))</f>
        <v/>
      </c>
      <c r="G105" s="7" t="str" cm="1">
        <f t="array" aca="1" ref="G105" ca="1">IFERROR(IF(OR('Raw Data'!G105="",LEN(TRIM('Raw Data'!G105))=0),"",IF(AND(ISNUMBER('Raw Data'!G105), IFERROR('Raw Data'!G105 = ROUND('Raw Data'!G105, 2),FALSE)),"",_xlfn.REGEXEXTRACT(CELL("address",G105), "\$([A-Z]+)\$[0-9]+"))),_xlfn.REGEXEXTRACT(CELL("address",G105), "\$([A-Z]+)\$[0-9]+"))</f>
        <v/>
      </c>
      <c r="H105" s="7" t="str" cm="1">
        <f t="array" aca="1" ref="H105" ca="1">IFERROR(IF(OR('Raw Data'!H105="",LEN(TRIM('Raw Data'!H105))=0),"",IF(AND(ISNUMBER('Raw Data'!H105), IFERROR('Raw Data'!H105 = ROUND('Raw Data'!H105, 2),FALSE)),"",_xlfn.REGEXEXTRACT(CELL("address",H105), "\$([A-Z]+)\$[0-9]+"))),_xlfn.REGEXEXTRACT(CELL("address",H105), "\$([A-Z]+)\$[0-9]+"))</f>
        <v/>
      </c>
      <c r="I105" s="7" t="str" cm="1">
        <f t="array" aca="1" ref="I105" ca="1">IFERROR(IF(OR('Raw Data'!I105="",LEN(TRIM('Raw Data'!I105))=0),"",IF(AND(ISNUMBER('Raw Data'!I105), IFERROR('Raw Data'!I105 = ROUND('Raw Data'!I105, 2),FALSE)),"",_xlfn.REGEXEXTRACT(CELL("address",I105), "\$([A-Z]+)\$[0-9]+"))),_xlfn.REGEXEXTRACT(CELL("address",I105), "\$([A-Z]+)\$[0-9]+"))</f>
        <v/>
      </c>
      <c r="J105" s="7" t="str" cm="1">
        <f t="array" aca="1" ref="J105" ca="1">IFERROR(IF(OR('Raw Data'!J105="",LEN(TRIM('Raw Data'!J105))=0),"",IF(AND(ISNUMBER('Raw Data'!J105), IFERROR('Raw Data'!J105 = ROUND('Raw Data'!J105, 2),FALSE)),"",_xlfn.REGEXEXTRACT(CELL("address",J105), "\$([A-Z]+)\$[0-9]+"))),_xlfn.REGEXEXTRACT(CELL("address",J105), "\$([A-Z]+)\$[0-9]+"))</f>
        <v/>
      </c>
      <c r="K105" s="7" t="str" cm="1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7" t="str" cm="1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7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7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7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7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 cm="1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7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7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7" t="str" cm="1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7" t="str" cm="1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  <c r="Z105" s="7" t="str" cm="1">
        <f t="array" aca="1" ref="Z105" ca="1">IFERROR(IF(OR('Raw Data'!Z105="",LEN(TRIM('Raw Data'!Z105))=0),"",IF(AND(ISNUMBER('Raw Data'!Z105), IFERROR('Raw Data'!Z105 = ROUND('Raw Data'!Z105, 2),FALSE)),"",_xlfn.REGEXEXTRACT(CELL("address",Z105), "\$([A-Z]+)\$[0-9]+"))),_xlfn.REGEXEXTRACT(CELL("address",Z105), "\$([A-Z]+)\$[0-9]+"))</f>
        <v/>
      </c>
      <c r="AA105" s="7" t="str" cm="1">
        <f t="array" aca="1" ref="AA105" ca="1">IFERROR(IF(OR('Raw Data'!AA105="",LEN(TRIM('Raw Data'!AA105))=0),"",IF(AND(ISNUMBER('Raw Data'!AA105), IFERROR('Raw Data'!AA105 = ROUND('Raw Data'!AA105, 2),FALSE)),"",_xlfn.REGEXEXTRACT(CELL("address",AA105), "\$([A-Z]+)\$[0-9]+"))),_xlfn.REGEXEXTRACT(CELL("address",AA105), "\$([A-Z]+)\$[0-9]+"))</f>
        <v/>
      </c>
      <c r="AB105" s="7" t="str" cm="1">
        <f t="array" aca="1" ref="AB105" ca="1">IFERROR(IF(OR('Raw Data'!AB105="",LEN(TRIM('Raw Data'!AB105))=0),"",IF(AND(ISNUMBER('Raw Data'!AB105), IFERROR('Raw Data'!AB105 = ROUND('Raw Data'!AB105, 2),FALSE)),"",_xlfn.REGEXEXTRACT(CELL("address",AB105), "\$([A-Z]+)\$[0-9]+"))),_xlfn.REGEXEXTRACT(CELL("address",AB105), "\$([A-Z]+)\$[0-9]+"))</f>
        <v/>
      </c>
      <c r="AC105" s="7" t="str" cm="1">
        <f t="array" aca="1" ref="AC105" ca="1">IFERROR(IF(OR('Raw Data'!AC105="",LEN(TRIM('Raw Data'!AC105))=0),"",IF(AND(ISNUMBER('Raw Data'!AC105), IFERROR('Raw Data'!AC105 = ROUND('Raw Data'!AC105, 2),FALSE)),"",_xlfn.REGEXEXTRACT(CELL("address",AC105), "\$([A-Z]+)\$[0-9]+"))),_xlfn.REGEXEXTRACT(CELL("address",AC105), "\$([A-Z]+)\$[0-9]+"))</f>
        <v/>
      </c>
      <c r="AD105" s="7" t="str" cm="1">
        <f t="array" aca="1" ref="AD105" ca="1">IFERROR(IF(OR('Raw Data'!AD105="",LEN(TRIM('Raw Data'!AD105))=0),"",IF(AND(ISNUMBER('Raw Data'!AD105), IFERROR('Raw Data'!AD105 = ROUND('Raw Data'!AD105, 2),FALSE)),"",_xlfn.REGEXEXTRACT(CELL("address",AD105), "\$([A-Z]+)\$[0-9]+"))),_xlfn.REGEXEXTRACT(CELL("address",AD105), "\$([A-Z]+)\$[0-9]+"))</f>
        <v/>
      </c>
      <c r="AE105" s="7" t="str" cm="1">
        <f t="array" aca="1" ref="AE105" ca="1">IFERROR(IF(OR('Raw Data'!AE105="",LEN(TRIM('Raw Data'!AE105))=0),"",IF(AND(ISNUMBER('Raw Data'!AE105), IFERROR('Raw Data'!AE105 = ROUND('Raw Data'!AE105, 2),FALSE)),"",_xlfn.REGEXEXTRACT(CELL("address",AE105), "\$([A-Z]+)\$[0-9]+"))),_xlfn.REGEXEXTRACT(CELL("address",AE105), "\$([A-Z]+)\$[0-9]+"))</f>
        <v/>
      </c>
      <c r="AF105" s="7" t="str" cm="1">
        <f t="array" aca="1" ref="AF105" ca="1">IFERROR(IF(OR('Raw Data'!AF105="",LEN(TRIM('Raw Data'!AF105))=0),"",IF(AND(ISNUMBER('Raw Data'!AF105), IFERROR('Raw Data'!AF105 = ROUND('Raw Data'!AF105, 2),FALSE)),"",_xlfn.REGEXEXTRACT(CELL("address",AF105), "\$([A-Z]+)\$[0-9]+"))),_xlfn.REGEXEXTRACT(CELL("address",AF105), "\$([A-Z]+)\$[0-9]+"))</f>
        <v/>
      </c>
      <c r="AG105" s="7" t="str" cm="1">
        <f t="array" aca="1" ref="AG105" ca="1">IFERROR(IF(OR('Raw Data'!AG105="",LEN(TRIM('Raw Data'!AG105))=0),"",IF(AND(ISNUMBER('Raw Data'!AG105), IFERROR('Raw Data'!AG105 = ROUND('Raw Data'!AG105, 2),FALSE)),"",_xlfn.REGEXEXTRACT(CELL("address",AG105), "\$([A-Z]+)\$[0-9]+"))),_xlfn.REGEXEXTRACT(CELL("address",AG105), "\$([A-Z]+)\$[0-9]+"))</f>
        <v/>
      </c>
      <c r="AH105" s="7" t="str" cm="1">
        <f t="array" aca="1" ref="AH105" ca="1">IFERROR(IF(OR('Raw Data'!AH105="",LEN(TRIM('Raw Data'!AH105))=0),"",IF(AND(ISNUMBER('Raw Data'!AH105), IFERROR('Raw Data'!AH105 = ROUND('Raw Data'!AH105, 2),FALSE)),"",_xlfn.REGEXEXTRACT(CELL("address",AH105), "\$([A-Z]+)\$[0-9]+"))),_xlfn.REGEXEXTRACT(CELL("address",AH105), "\$([A-Z]+)\$[0-9]+"))</f>
        <v/>
      </c>
      <c r="AI105" s="7" t="str" cm="1">
        <f t="array" aca="1" ref="AI105" ca="1">IFERROR(IF(OR('Raw Data'!AI105="",LEN(TRIM('Raw Data'!AI105))=0),"",IF(AND(ISNUMBER('Raw Data'!AI105), IFERROR('Raw Data'!AI105 = ROUND('Raw Data'!AI105, 2),FALSE)),"",_xlfn.REGEXEXTRACT(CELL("address",AI105), "\$([A-Z]+)\$[0-9]+"))),_xlfn.REGEXEXTRACT(CELL("address",AI105), "\$([A-Z]+)\$[0-9]+"))</f>
        <v/>
      </c>
      <c r="AJ105" s="7" t="str" cm="1">
        <f t="array" aca="1" ref="AJ105" ca="1">IFERROR(IF(OR('Raw Data'!AJ105="",LEN(TRIM('Raw Data'!AJ105))=0),"",IF(AND(ISNUMBER('Raw Data'!AJ105), IFERROR('Raw Data'!AJ105 = ROUND('Raw Data'!AJ105, 2),FALSE)),"",_xlfn.REGEXEXTRACT(CELL("address",AJ105), "\$([A-Z]+)\$[0-9]+"))),_xlfn.REGEXEXTRACT(CELL("address",AJ105), "\$([A-Z]+)\$[0-9]+"))</f>
        <v/>
      </c>
    </row>
    <row r="106" spans="2:36" x14ac:dyDescent="0.25">
      <c r="B106" s="7" t="str" cm="1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20,LEN('Raw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Data'!D106))=0),"",IF(AND(ISNUMBER('Raw Data'!D106),'Raw Data'!D106&gt;=Configuration!$D$2),"",_xlfn.REGEXEXTRACT(CELL("address",'Raw Data'!D106),"\$([A-Z]+)\$[0-9]+"))),_xlfn.REGEXEXTRACT(CELL("address",D106), "\$([A-Z]+)\$[0-9]+"))</f>
        <v/>
      </c>
      <c r="E106" s="7" t="str" cm="1">
        <f t="array" aca="1" ref="E106" ca="1">IFERROR(IF(OR('Raw Data'!E106="",LEN(TRIM('Raw Data'!E106))=0),"",IF(AND(ISNUMBER('Raw Data'!E106), IFERROR('Raw Data'!E106 = ROUND('Raw Data'!E106, 2),FALSE)),"",_xlfn.REGEXEXTRACT(CELL("address",E106), "\$([A-Z]+)\$[0-9]+"))),_xlfn.REGEXEXTRACT(CELL("address",E106), "\$([A-Z]+)\$[0-9]+"))</f>
        <v/>
      </c>
      <c r="F106" s="7" t="str" cm="1">
        <f t="array" aca="1" ref="F106" ca="1">IFERROR(IF(OR('Raw Data'!F106="",LEN(TRIM('Raw Data'!F106))=0),"",IF(AND(ISNUMBER('Raw Data'!F106), IFERROR('Raw Data'!F106 = ROUND('Raw Data'!F106, 2),FALSE)),"",_xlfn.REGEXEXTRACT(CELL("address",F106), "\$([A-Z]+)\$[0-9]+"))),_xlfn.REGEXEXTRACT(CELL("address",F106), "\$([A-Z]+)\$[0-9]+"))</f>
        <v/>
      </c>
      <c r="G106" s="7" t="str" cm="1">
        <f t="array" aca="1" ref="G106" ca="1">IFERROR(IF(OR('Raw Data'!G106="",LEN(TRIM('Raw Data'!G106))=0),"",IF(AND(ISNUMBER('Raw Data'!G106), IFERROR('Raw Data'!G106 = ROUND('Raw Data'!G106, 2),FALSE)),"",_xlfn.REGEXEXTRACT(CELL("address",G106), "\$([A-Z]+)\$[0-9]+"))),_xlfn.REGEXEXTRACT(CELL("address",G106), "\$([A-Z]+)\$[0-9]+"))</f>
        <v/>
      </c>
      <c r="H106" s="7" t="str" cm="1">
        <f t="array" aca="1" ref="H106" ca="1">IFERROR(IF(OR('Raw Data'!H106="",LEN(TRIM('Raw Data'!H106))=0),"",IF(AND(ISNUMBER('Raw Data'!H106), IFERROR('Raw Data'!H106 = ROUND('Raw Data'!H106, 2),FALSE)),"",_xlfn.REGEXEXTRACT(CELL("address",H106), "\$([A-Z]+)\$[0-9]+"))),_xlfn.REGEXEXTRACT(CELL("address",H106), "\$([A-Z]+)\$[0-9]+"))</f>
        <v/>
      </c>
      <c r="I106" s="7" t="str" cm="1">
        <f t="array" aca="1" ref="I106" ca="1">IFERROR(IF(OR('Raw Data'!I106="",LEN(TRIM('Raw Data'!I106))=0),"",IF(AND(ISNUMBER('Raw Data'!I106), IFERROR('Raw Data'!I106 = ROUND('Raw Data'!I106, 2),FALSE)),"",_xlfn.REGEXEXTRACT(CELL("address",I106), "\$([A-Z]+)\$[0-9]+"))),_xlfn.REGEXEXTRACT(CELL("address",I106), "\$([A-Z]+)\$[0-9]+"))</f>
        <v/>
      </c>
      <c r="J106" s="7" t="str" cm="1">
        <f t="array" aca="1" ref="J106" ca="1">IFERROR(IF(OR('Raw Data'!J106="",LEN(TRIM('Raw Data'!J106))=0),"",IF(AND(ISNUMBER('Raw Data'!J106), IFERROR('Raw Data'!J106 = ROUND('Raw Data'!J106, 2),FALSE)),"",_xlfn.REGEXEXTRACT(CELL("address",J106), "\$([A-Z]+)\$[0-9]+"))),_xlfn.REGEXEXTRACT(CELL("address",J106), "\$([A-Z]+)\$[0-9]+"))</f>
        <v/>
      </c>
      <c r="K106" s="7" t="str" cm="1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7" t="str" cm="1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7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7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7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7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 cm="1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7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7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7" t="str" cm="1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7" t="str" cm="1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  <c r="Z106" s="7" t="str" cm="1">
        <f t="array" aca="1" ref="Z106" ca="1">IFERROR(IF(OR('Raw Data'!Z106="",LEN(TRIM('Raw Data'!Z106))=0),"",IF(AND(ISNUMBER('Raw Data'!Z106), IFERROR('Raw Data'!Z106 = ROUND('Raw Data'!Z106, 2),FALSE)),"",_xlfn.REGEXEXTRACT(CELL("address",Z106), "\$([A-Z]+)\$[0-9]+"))),_xlfn.REGEXEXTRACT(CELL("address",Z106), "\$([A-Z]+)\$[0-9]+"))</f>
        <v/>
      </c>
      <c r="AA106" s="7" t="str" cm="1">
        <f t="array" aca="1" ref="AA106" ca="1">IFERROR(IF(OR('Raw Data'!AA106="",LEN(TRIM('Raw Data'!AA106))=0),"",IF(AND(ISNUMBER('Raw Data'!AA106), IFERROR('Raw Data'!AA106 = ROUND('Raw Data'!AA106, 2),FALSE)),"",_xlfn.REGEXEXTRACT(CELL("address",AA106), "\$([A-Z]+)\$[0-9]+"))),_xlfn.REGEXEXTRACT(CELL("address",AA106), "\$([A-Z]+)\$[0-9]+"))</f>
        <v/>
      </c>
      <c r="AB106" s="7" t="str" cm="1">
        <f t="array" aca="1" ref="AB106" ca="1">IFERROR(IF(OR('Raw Data'!AB106="",LEN(TRIM('Raw Data'!AB106))=0),"",IF(AND(ISNUMBER('Raw Data'!AB106), IFERROR('Raw Data'!AB106 = ROUND('Raw Data'!AB106, 2),FALSE)),"",_xlfn.REGEXEXTRACT(CELL("address",AB106), "\$([A-Z]+)\$[0-9]+"))),_xlfn.REGEXEXTRACT(CELL("address",AB106), "\$([A-Z]+)\$[0-9]+"))</f>
        <v/>
      </c>
      <c r="AC106" s="7" t="str" cm="1">
        <f t="array" aca="1" ref="AC106" ca="1">IFERROR(IF(OR('Raw Data'!AC106="",LEN(TRIM('Raw Data'!AC106))=0),"",IF(AND(ISNUMBER('Raw Data'!AC106), IFERROR('Raw Data'!AC106 = ROUND('Raw Data'!AC106, 2),FALSE)),"",_xlfn.REGEXEXTRACT(CELL("address",AC106), "\$([A-Z]+)\$[0-9]+"))),_xlfn.REGEXEXTRACT(CELL("address",AC106), "\$([A-Z]+)\$[0-9]+"))</f>
        <v/>
      </c>
      <c r="AD106" s="7" t="str" cm="1">
        <f t="array" aca="1" ref="AD106" ca="1">IFERROR(IF(OR('Raw Data'!AD106="",LEN(TRIM('Raw Data'!AD106))=0),"",IF(AND(ISNUMBER('Raw Data'!AD106), IFERROR('Raw Data'!AD106 = ROUND('Raw Data'!AD106, 2),FALSE)),"",_xlfn.REGEXEXTRACT(CELL("address",AD106), "\$([A-Z]+)\$[0-9]+"))),_xlfn.REGEXEXTRACT(CELL("address",AD106), "\$([A-Z]+)\$[0-9]+"))</f>
        <v/>
      </c>
      <c r="AE106" s="7" t="str" cm="1">
        <f t="array" aca="1" ref="AE106" ca="1">IFERROR(IF(OR('Raw Data'!AE106="",LEN(TRIM('Raw Data'!AE106))=0),"",IF(AND(ISNUMBER('Raw Data'!AE106), IFERROR('Raw Data'!AE106 = ROUND('Raw Data'!AE106, 2),FALSE)),"",_xlfn.REGEXEXTRACT(CELL("address",AE106), "\$([A-Z]+)\$[0-9]+"))),_xlfn.REGEXEXTRACT(CELL("address",AE106), "\$([A-Z]+)\$[0-9]+"))</f>
        <v/>
      </c>
      <c r="AF106" s="7" t="str" cm="1">
        <f t="array" aca="1" ref="AF106" ca="1">IFERROR(IF(OR('Raw Data'!AF106="",LEN(TRIM('Raw Data'!AF106))=0),"",IF(AND(ISNUMBER('Raw Data'!AF106), IFERROR('Raw Data'!AF106 = ROUND('Raw Data'!AF106, 2),FALSE)),"",_xlfn.REGEXEXTRACT(CELL("address",AF106), "\$([A-Z]+)\$[0-9]+"))),_xlfn.REGEXEXTRACT(CELL("address",AF106), "\$([A-Z]+)\$[0-9]+"))</f>
        <v/>
      </c>
      <c r="AG106" s="7" t="str" cm="1">
        <f t="array" aca="1" ref="AG106" ca="1">IFERROR(IF(OR('Raw Data'!AG106="",LEN(TRIM('Raw Data'!AG106))=0),"",IF(AND(ISNUMBER('Raw Data'!AG106), IFERROR('Raw Data'!AG106 = ROUND('Raw Data'!AG106, 2),FALSE)),"",_xlfn.REGEXEXTRACT(CELL("address",AG106), "\$([A-Z]+)\$[0-9]+"))),_xlfn.REGEXEXTRACT(CELL("address",AG106), "\$([A-Z]+)\$[0-9]+"))</f>
        <v/>
      </c>
      <c r="AH106" s="7" t="str" cm="1">
        <f t="array" aca="1" ref="AH106" ca="1">IFERROR(IF(OR('Raw Data'!AH106="",LEN(TRIM('Raw Data'!AH106))=0),"",IF(AND(ISNUMBER('Raw Data'!AH106), IFERROR('Raw Data'!AH106 = ROUND('Raw Data'!AH106, 2),FALSE)),"",_xlfn.REGEXEXTRACT(CELL("address",AH106), "\$([A-Z]+)\$[0-9]+"))),_xlfn.REGEXEXTRACT(CELL("address",AH106), "\$([A-Z]+)\$[0-9]+"))</f>
        <v/>
      </c>
      <c r="AI106" s="7" t="str" cm="1">
        <f t="array" aca="1" ref="AI106" ca="1">IFERROR(IF(OR('Raw Data'!AI106="",LEN(TRIM('Raw Data'!AI106))=0),"",IF(AND(ISNUMBER('Raw Data'!AI106), IFERROR('Raw Data'!AI106 = ROUND('Raw Data'!AI106, 2),FALSE)),"",_xlfn.REGEXEXTRACT(CELL("address",AI106), "\$([A-Z]+)\$[0-9]+"))),_xlfn.REGEXEXTRACT(CELL("address",AI106), "\$([A-Z]+)\$[0-9]+"))</f>
        <v/>
      </c>
      <c r="AJ106" s="7" t="str" cm="1">
        <f t="array" aca="1" ref="AJ106" ca="1">IFERROR(IF(OR('Raw Data'!AJ106="",LEN(TRIM('Raw Data'!AJ106))=0),"",IF(AND(ISNUMBER('Raw Data'!AJ106), IFERROR('Raw Data'!AJ106 = ROUND('Raw Data'!AJ106, 2),FALSE)),"",_xlfn.REGEXEXTRACT(CELL("address",AJ106), "\$([A-Z]+)\$[0-9]+"))),_xlfn.REGEXEXTRACT(CELL("address",AJ106), "\$([A-Z]+)\$[0-9]+"))</f>
        <v/>
      </c>
    </row>
    <row r="107" spans="2:36" x14ac:dyDescent="0.25">
      <c r="B107" s="7" t="str" cm="1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20,LEN('Raw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Data'!D107))=0),"",IF(AND(ISNUMBER('Raw Data'!D107),'Raw Data'!D107&gt;=Configuration!$D$2),"",_xlfn.REGEXEXTRACT(CELL("address",'Raw Data'!D107),"\$([A-Z]+)\$[0-9]+"))),_xlfn.REGEXEXTRACT(CELL("address",D107), "\$([A-Z]+)\$[0-9]+"))</f>
        <v/>
      </c>
      <c r="E107" s="7" t="str" cm="1">
        <f t="array" aca="1" ref="E107" ca="1">IFERROR(IF(OR('Raw Data'!E107="",LEN(TRIM('Raw Data'!E107))=0),"",IF(AND(ISNUMBER('Raw Data'!E107), IFERROR('Raw Data'!E107 = ROUND('Raw Data'!E107, 2),FALSE)),"",_xlfn.REGEXEXTRACT(CELL("address",E107), "\$([A-Z]+)\$[0-9]+"))),_xlfn.REGEXEXTRACT(CELL("address",E107), "\$([A-Z]+)\$[0-9]+"))</f>
        <v/>
      </c>
      <c r="F107" s="7" t="str" cm="1">
        <f t="array" aca="1" ref="F107" ca="1">IFERROR(IF(OR('Raw Data'!F107="",LEN(TRIM('Raw Data'!F107))=0),"",IF(AND(ISNUMBER('Raw Data'!F107), IFERROR('Raw Data'!F107 = ROUND('Raw Data'!F107, 2),FALSE)),"",_xlfn.REGEXEXTRACT(CELL("address",F107), "\$([A-Z]+)\$[0-9]+"))),_xlfn.REGEXEXTRACT(CELL("address",F107), "\$([A-Z]+)\$[0-9]+"))</f>
        <v/>
      </c>
      <c r="G107" s="7" t="str" cm="1">
        <f t="array" aca="1" ref="G107" ca="1">IFERROR(IF(OR('Raw Data'!G107="",LEN(TRIM('Raw Data'!G107))=0),"",IF(AND(ISNUMBER('Raw Data'!G107), IFERROR('Raw Data'!G107 = ROUND('Raw Data'!G107, 2),FALSE)),"",_xlfn.REGEXEXTRACT(CELL("address",G107), "\$([A-Z]+)\$[0-9]+"))),_xlfn.REGEXEXTRACT(CELL("address",G107), "\$([A-Z]+)\$[0-9]+"))</f>
        <v/>
      </c>
      <c r="H107" s="7" t="str" cm="1">
        <f t="array" aca="1" ref="H107" ca="1">IFERROR(IF(OR('Raw Data'!H107="",LEN(TRIM('Raw Data'!H107))=0),"",IF(AND(ISNUMBER('Raw Data'!H107), IFERROR('Raw Data'!H107 = ROUND('Raw Data'!H107, 2),FALSE)),"",_xlfn.REGEXEXTRACT(CELL("address",H107), "\$([A-Z]+)\$[0-9]+"))),_xlfn.REGEXEXTRACT(CELL("address",H107), "\$([A-Z]+)\$[0-9]+"))</f>
        <v/>
      </c>
      <c r="I107" s="7" t="str" cm="1">
        <f t="array" aca="1" ref="I107" ca="1">IFERROR(IF(OR('Raw Data'!I107="",LEN(TRIM('Raw Data'!I107))=0),"",IF(AND(ISNUMBER('Raw Data'!I107), IFERROR('Raw Data'!I107 = ROUND('Raw Data'!I107, 2),FALSE)),"",_xlfn.REGEXEXTRACT(CELL("address",I107), "\$([A-Z]+)\$[0-9]+"))),_xlfn.REGEXEXTRACT(CELL("address",I107), "\$([A-Z]+)\$[0-9]+"))</f>
        <v/>
      </c>
      <c r="J107" s="7" t="str" cm="1">
        <f t="array" aca="1" ref="J107" ca="1">IFERROR(IF(OR('Raw Data'!J107="",LEN(TRIM('Raw Data'!J107))=0),"",IF(AND(ISNUMBER('Raw Data'!J107), IFERROR('Raw Data'!J107 = ROUND('Raw Data'!J107, 2),FALSE)),"",_xlfn.REGEXEXTRACT(CELL("address",J107), "\$([A-Z]+)\$[0-9]+"))),_xlfn.REGEXEXTRACT(CELL("address",J107), "\$([A-Z]+)\$[0-9]+"))</f>
        <v/>
      </c>
      <c r="K107" s="7" t="str" cm="1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7" t="str" cm="1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7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7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7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7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 cm="1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7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7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7" t="str" cm="1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7" t="str" cm="1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  <c r="Z107" s="7" t="str" cm="1">
        <f t="array" aca="1" ref="Z107" ca="1">IFERROR(IF(OR('Raw Data'!Z107="",LEN(TRIM('Raw Data'!Z107))=0),"",IF(AND(ISNUMBER('Raw Data'!Z107), IFERROR('Raw Data'!Z107 = ROUND('Raw Data'!Z107, 2),FALSE)),"",_xlfn.REGEXEXTRACT(CELL("address",Z107), "\$([A-Z]+)\$[0-9]+"))),_xlfn.REGEXEXTRACT(CELL("address",Z107), "\$([A-Z]+)\$[0-9]+"))</f>
        <v/>
      </c>
      <c r="AA107" s="7" t="str" cm="1">
        <f t="array" aca="1" ref="AA107" ca="1">IFERROR(IF(OR('Raw Data'!AA107="",LEN(TRIM('Raw Data'!AA107))=0),"",IF(AND(ISNUMBER('Raw Data'!AA107), IFERROR('Raw Data'!AA107 = ROUND('Raw Data'!AA107, 2),FALSE)),"",_xlfn.REGEXEXTRACT(CELL("address",AA107), "\$([A-Z]+)\$[0-9]+"))),_xlfn.REGEXEXTRACT(CELL("address",AA107), "\$([A-Z]+)\$[0-9]+"))</f>
        <v/>
      </c>
      <c r="AB107" s="7" t="str" cm="1">
        <f t="array" aca="1" ref="AB107" ca="1">IFERROR(IF(OR('Raw Data'!AB107="",LEN(TRIM('Raw Data'!AB107))=0),"",IF(AND(ISNUMBER('Raw Data'!AB107), IFERROR('Raw Data'!AB107 = ROUND('Raw Data'!AB107, 2),FALSE)),"",_xlfn.REGEXEXTRACT(CELL("address",AB107), "\$([A-Z]+)\$[0-9]+"))),_xlfn.REGEXEXTRACT(CELL("address",AB107), "\$([A-Z]+)\$[0-9]+"))</f>
        <v/>
      </c>
      <c r="AC107" s="7" t="str" cm="1">
        <f t="array" aca="1" ref="AC107" ca="1">IFERROR(IF(OR('Raw Data'!AC107="",LEN(TRIM('Raw Data'!AC107))=0),"",IF(AND(ISNUMBER('Raw Data'!AC107), IFERROR('Raw Data'!AC107 = ROUND('Raw Data'!AC107, 2),FALSE)),"",_xlfn.REGEXEXTRACT(CELL("address",AC107), "\$([A-Z]+)\$[0-9]+"))),_xlfn.REGEXEXTRACT(CELL("address",AC107), "\$([A-Z]+)\$[0-9]+"))</f>
        <v/>
      </c>
      <c r="AD107" s="7" t="str" cm="1">
        <f t="array" aca="1" ref="AD107" ca="1">IFERROR(IF(OR('Raw Data'!AD107="",LEN(TRIM('Raw Data'!AD107))=0),"",IF(AND(ISNUMBER('Raw Data'!AD107), IFERROR('Raw Data'!AD107 = ROUND('Raw Data'!AD107, 2),FALSE)),"",_xlfn.REGEXEXTRACT(CELL("address",AD107), "\$([A-Z]+)\$[0-9]+"))),_xlfn.REGEXEXTRACT(CELL("address",AD107), "\$([A-Z]+)\$[0-9]+"))</f>
        <v/>
      </c>
      <c r="AE107" s="7" t="str" cm="1">
        <f t="array" aca="1" ref="AE107" ca="1">IFERROR(IF(OR('Raw Data'!AE107="",LEN(TRIM('Raw Data'!AE107))=0),"",IF(AND(ISNUMBER('Raw Data'!AE107), IFERROR('Raw Data'!AE107 = ROUND('Raw Data'!AE107, 2),FALSE)),"",_xlfn.REGEXEXTRACT(CELL("address",AE107), "\$([A-Z]+)\$[0-9]+"))),_xlfn.REGEXEXTRACT(CELL("address",AE107), "\$([A-Z]+)\$[0-9]+"))</f>
        <v/>
      </c>
      <c r="AF107" s="7" t="str" cm="1">
        <f t="array" aca="1" ref="AF107" ca="1">IFERROR(IF(OR('Raw Data'!AF107="",LEN(TRIM('Raw Data'!AF107))=0),"",IF(AND(ISNUMBER('Raw Data'!AF107), IFERROR('Raw Data'!AF107 = ROUND('Raw Data'!AF107, 2),FALSE)),"",_xlfn.REGEXEXTRACT(CELL("address",AF107), "\$([A-Z]+)\$[0-9]+"))),_xlfn.REGEXEXTRACT(CELL("address",AF107), "\$([A-Z]+)\$[0-9]+"))</f>
        <v/>
      </c>
      <c r="AG107" s="7" t="str" cm="1">
        <f t="array" aca="1" ref="AG107" ca="1">IFERROR(IF(OR('Raw Data'!AG107="",LEN(TRIM('Raw Data'!AG107))=0),"",IF(AND(ISNUMBER('Raw Data'!AG107), IFERROR('Raw Data'!AG107 = ROUND('Raw Data'!AG107, 2),FALSE)),"",_xlfn.REGEXEXTRACT(CELL("address",AG107), "\$([A-Z]+)\$[0-9]+"))),_xlfn.REGEXEXTRACT(CELL("address",AG107), "\$([A-Z]+)\$[0-9]+"))</f>
        <v/>
      </c>
      <c r="AH107" s="7" t="str" cm="1">
        <f t="array" aca="1" ref="AH107" ca="1">IFERROR(IF(OR('Raw Data'!AH107="",LEN(TRIM('Raw Data'!AH107))=0),"",IF(AND(ISNUMBER('Raw Data'!AH107), IFERROR('Raw Data'!AH107 = ROUND('Raw Data'!AH107, 2),FALSE)),"",_xlfn.REGEXEXTRACT(CELL("address",AH107), "\$([A-Z]+)\$[0-9]+"))),_xlfn.REGEXEXTRACT(CELL("address",AH107), "\$([A-Z]+)\$[0-9]+"))</f>
        <v/>
      </c>
      <c r="AI107" s="7" t="str" cm="1">
        <f t="array" aca="1" ref="AI107" ca="1">IFERROR(IF(OR('Raw Data'!AI107="",LEN(TRIM('Raw Data'!AI107))=0),"",IF(AND(ISNUMBER('Raw Data'!AI107), IFERROR('Raw Data'!AI107 = ROUND('Raw Data'!AI107, 2),FALSE)),"",_xlfn.REGEXEXTRACT(CELL("address",AI107), "\$([A-Z]+)\$[0-9]+"))),_xlfn.REGEXEXTRACT(CELL("address",AI107), "\$([A-Z]+)\$[0-9]+"))</f>
        <v/>
      </c>
      <c r="AJ107" s="7" t="str" cm="1">
        <f t="array" aca="1" ref="AJ107" ca="1">IFERROR(IF(OR('Raw Data'!AJ107="",LEN(TRIM('Raw Data'!AJ107))=0),"",IF(AND(ISNUMBER('Raw Data'!AJ107), IFERROR('Raw Data'!AJ107 = ROUND('Raw Data'!AJ107, 2),FALSE)),"",_xlfn.REGEXEXTRACT(CELL("address",AJ107), "\$([A-Z]+)\$[0-9]+"))),_xlfn.REGEXEXTRACT(CELL("address",AJ107), "\$([A-Z]+)\$[0-9]+"))</f>
        <v/>
      </c>
    </row>
    <row r="108" spans="2:36" x14ac:dyDescent="0.25">
      <c r="B108" s="7" t="str" cm="1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20,LEN('Raw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Data'!D108))=0),"",IF(AND(ISNUMBER('Raw Data'!D108),'Raw Data'!D108&gt;=Configuration!$D$2),"",_xlfn.REGEXEXTRACT(CELL("address",'Raw Data'!D108),"\$([A-Z]+)\$[0-9]+"))),_xlfn.REGEXEXTRACT(CELL("address",D108), "\$([A-Z]+)\$[0-9]+"))</f>
        <v/>
      </c>
      <c r="E108" s="7" t="str" cm="1">
        <f t="array" aca="1" ref="E108" ca="1">IFERROR(IF(OR('Raw Data'!E108="",LEN(TRIM('Raw Data'!E108))=0),"",IF(AND(ISNUMBER('Raw Data'!E108), IFERROR('Raw Data'!E108 = ROUND('Raw Data'!E108, 2),FALSE)),"",_xlfn.REGEXEXTRACT(CELL("address",E108), "\$([A-Z]+)\$[0-9]+"))),_xlfn.REGEXEXTRACT(CELL("address",E108), "\$([A-Z]+)\$[0-9]+"))</f>
        <v/>
      </c>
      <c r="F108" s="7" t="str" cm="1">
        <f t="array" aca="1" ref="F108" ca="1">IFERROR(IF(OR('Raw Data'!F108="",LEN(TRIM('Raw Data'!F108))=0),"",IF(AND(ISNUMBER('Raw Data'!F108), IFERROR('Raw Data'!F108 = ROUND('Raw Data'!F108, 2),FALSE)),"",_xlfn.REGEXEXTRACT(CELL("address",F108), "\$([A-Z]+)\$[0-9]+"))),_xlfn.REGEXEXTRACT(CELL("address",F108), "\$([A-Z]+)\$[0-9]+"))</f>
        <v/>
      </c>
      <c r="G108" s="7" t="str" cm="1">
        <f t="array" aca="1" ref="G108" ca="1">IFERROR(IF(OR('Raw Data'!G108="",LEN(TRIM('Raw Data'!G108))=0),"",IF(AND(ISNUMBER('Raw Data'!G108), IFERROR('Raw Data'!G108 = ROUND('Raw Data'!G108, 2),FALSE)),"",_xlfn.REGEXEXTRACT(CELL("address",G108), "\$([A-Z]+)\$[0-9]+"))),_xlfn.REGEXEXTRACT(CELL("address",G108), "\$([A-Z]+)\$[0-9]+"))</f>
        <v/>
      </c>
      <c r="H108" s="7" t="str" cm="1">
        <f t="array" aca="1" ref="H108" ca="1">IFERROR(IF(OR('Raw Data'!H108="",LEN(TRIM('Raw Data'!H108))=0),"",IF(AND(ISNUMBER('Raw Data'!H108), IFERROR('Raw Data'!H108 = ROUND('Raw Data'!H108, 2),FALSE)),"",_xlfn.REGEXEXTRACT(CELL("address",H108), "\$([A-Z]+)\$[0-9]+"))),_xlfn.REGEXEXTRACT(CELL("address",H108), "\$([A-Z]+)\$[0-9]+"))</f>
        <v/>
      </c>
      <c r="I108" s="7" t="str" cm="1">
        <f t="array" aca="1" ref="I108" ca="1">IFERROR(IF(OR('Raw Data'!I108="",LEN(TRIM('Raw Data'!I108))=0),"",IF(AND(ISNUMBER('Raw Data'!I108), IFERROR('Raw Data'!I108 = ROUND('Raw Data'!I108, 2),FALSE)),"",_xlfn.REGEXEXTRACT(CELL("address",I108), "\$([A-Z]+)\$[0-9]+"))),_xlfn.REGEXEXTRACT(CELL("address",I108), "\$([A-Z]+)\$[0-9]+"))</f>
        <v/>
      </c>
      <c r="J108" s="7" t="str" cm="1">
        <f t="array" aca="1" ref="J108" ca="1">IFERROR(IF(OR('Raw Data'!J108="",LEN(TRIM('Raw Data'!J108))=0),"",IF(AND(ISNUMBER('Raw Data'!J108), IFERROR('Raw Data'!J108 = ROUND('Raw Data'!J108, 2),FALSE)),"",_xlfn.REGEXEXTRACT(CELL("address",J108), "\$([A-Z]+)\$[0-9]+"))),_xlfn.REGEXEXTRACT(CELL("address",J108), "\$([A-Z]+)\$[0-9]+"))</f>
        <v/>
      </c>
      <c r="K108" s="7" t="str" cm="1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7" t="str" cm="1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7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7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7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7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 cm="1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7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7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7" t="str" cm="1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7" t="str" cm="1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  <c r="Z108" s="7" t="str" cm="1">
        <f t="array" aca="1" ref="Z108" ca="1">IFERROR(IF(OR('Raw Data'!Z108="",LEN(TRIM('Raw Data'!Z108))=0),"",IF(AND(ISNUMBER('Raw Data'!Z108), IFERROR('Raw Data'!Z108 = ROUND('Raw Data'!Z108, 2),FALSE)),"",_xlfn.REGEXEXTRACT(CELL("address",Z108), "\$([A-Z]+)\$[0-9]+"))),_xlfn.REGEXEXTRACT(CELL("address",Z108), "\$([A-Z]+)\$[0-9]+"))</f>
        <v/>
      </c>
      <c r="AA108" s="7" t="str" cm="1">
        <f t="array" aca="1" ref="AA108" ca="1">IFERROR(IF(OR('Raw Data'!AA108="",LEN(TRIM('Raw Data'!AA108))=0),"",IF(AND(ISNUMBER('Raw Data'!AA108), IFERROR('Raw Data'!AA108 = ROUND('Raw Data'!AA108, 2),FALSE)),"",_xlfn.REGEXEXTRACT(CELL("address",AA108), "\$([A-Z]+)\$[0-9]+"))),_xlfn.REGEXEXTRACT(CELL("address",AA108), "\$([A-Z]+)\$[0-9]+"))</f>
        <v/>
      </c>
      <c r="AB108" s="7" t="str" cm="1">
        <f t="array" aca="1" ref="AB108" ca="1">IFERROR(IF(OR('Raw Data'!AB108="",LEN(TRIM('Raw Data'!AB108))=0),"",IF(AND(ISNUMBER('Raw Data'!AB108), IFERROR('Raw Data'!AB108 = ROUND('Raw Data'!AB108, 2),FALSE)),"",_xlfn.REGEXEXTRACT(CELL("address",AB108), "\$([A-Z]+)\$[0-9]+"))),_xlfn.REGEXEXTRACT(CELL("address",AB108), "\$([A-Z]+)\$[0-9]+"))</f>
        <v/>
      </c>
      <c r="AC108" s="7" t="str" cm="1">
        <f t="array" aca="1" ref="AC108" ca="1">IFERROR(IF(OR('Raw Data'!AC108="",LEN(TRIM('Raw Data'!AC108))=0),"",IF(AND(ISNUMBER('Raw Data'!AC108), IFERROR('Raw Data'!AC108 = ROUND('Raw Data'!AC108, 2),FALSE)),"",_xlfn.REGEXEXTRACT(CELL("address",AC108), "\$([A-Z]+)\$[0-9]+"))),_xlfn.REGEXEXTRACT(CELL("address",AC108), "\$([A-Z]+)\$[0-9]+"))</f>
        <v/>
      </c>
      <c r="AD108" s="7" t="str" cm="1">
        <f t="array" aca="1" ref="AD108" ca="1">IFERROR(IF(OR('Raw Data'!AD108="",LEN(TRIM('Raw Data'!AD108))=0),"",IF(AND(ISNUMBER('Raw Data'!AD108), IFERROR('Raw Data'!AD108 = ROUND('Raw Data'!AD108, 2),FALSE)),"",_xlfn.REGEXEXTRACT(CELL("address",AD108), "\$([A-Z]+)\$[0-9]+"))),_xlfn.REGEXEXTRACT(CELL("address",AD108), "\$([A-Z]+)\$[0-9]+"))</f>
        <v/>
      </c>
      <c r="AE108" s="7" t="str" cm="1">
        <f t="array" aca="1" ref="AE108" ca="1">IFERROR(IF(OR('Raw Data'!AE108="",LEN(TRIM('Raw Data'!AE108))=0),"",IF(AND(ISNUMBER('Raw Data'!AE108), IFERROR('Raw Data'!AE108 = ROUND('Raw Data'!AE108, 2),FALSE)),"",_xlfn.REGEXEXTRACT(CELL("address",AE108), "\$([A-Z]+)\$[0-9]+"))),_xlfn.REGEXEXTRACT(CELL("address",AE108), "\$([A-Z]+)\$[0-9]+"))</f>
        <v/>
      </c>
      <c r="AF108" s="7" t="str" cm="1">
        <f t="array" aca="1" ref="AF108" ca="1">IFERROR(IF(OR('Raw Data'!AF108="",LEN(TRIM('Raw Data'!AF108))=0),"",IF(AND(ISNUMBER('Raw Data'!AF108), IFERROR('Raw Data'!AF108 = ROUND('Raw Data'!AF108, 2),FALSE)),"",_xlfn.REGEXEXTRACT(CELL("address",AF108), "\$([A-Z]+)\$[0-9]+"))),_xlfn.REGEXEXTRACT(CELL("address",AF108), "\$([A-Z]+)\$[0-9]+"))</f>
        <v/>
      </c>
      <c r="AG108" s="7" t="str" cm="1">
        <f t="array" aca="1" ref="AG108" ca="1">IFERROR(IF(OR('Raw Data'!AG108="",LEN(TRIM('Raw Data'!AG108))=0),"",IF(AND(ISNUMBER('Raw Data'!AG108), IFERROR('Raw Data'!AG108 = ROUND('Raw Data'!AG108, 2),FALSE)),"",_xlfn.REGEXEXTRACT(CELL("address",AG108), "\$([A-Z]+)\$[0-9]+"))),_xlfn.REGEXEXTRACT(CELL("address",AG108), "\$([A-Z]+)\$[0-9]+"))</f>
        <v/>
      </c>
      <c r="AH108" s="7" t="str" cm="1">
        <f t="array" aca="1" ref="AH108" ca="1">IFERROR(IF(OR('Raw Data'!AH108="",LEN(TRIM('Raw Data'!AH108))=0),"",IF(AND(ISNUMBER('Raw Data'!AH108), IFERROR('Raw Data'!AH108 = ROUND('Raw Data'!AH108, 2),FALSE)),"",_xlfn.REGEXEXTRACT(CELL("address",AH108), "\$([A-Z]+)\$[0-9]+"))),_xlfn.REGEXEXTRACT(CELL("address",AH108), "\$([A-Z]+)\$[0-9]+"))</f>
        <v/>
      </c>
      <c r="AI108" s="7" t="str" cm="1">
        <f t="array" aca="1" ref="AI108" ca="1">IFERROR(IF(OR('Raw Data'!AI108="",LEN(TRIM('Raw Data'!AI108))=0),"",IF(AND(ISNUMBER('Raw Data'!AI108), IFERROR('Raw Data'!AI108 = ROUND('Raw Data'!AI108, 2),FALSE)),"",_xlfn.REGEXEXTRACT(CELL("address",AI108), "\$([A-Z]+)\$[0-9]+"))),_xlfn.REGEXEXTRACT(CELL("address",AI108), "\$([A-Z]+)\$[0-9]+"))</f>
        <v/>
      </c>
      <c r="AJ108" s="7" t="str" cm="1">
        <f t="array" aca="1" ref="AJ108" ca="1">IFERROR(IF(OR('Raw Data'!AJ108="",LEN(TRIM('Raw Data'!AJ108))=0),"",IF(AND(ISNUMBER('Raw Data'!AJ108), IFERROR('Raw Data'!AJ108 = ROUND('Raw Data'!AJ108, 2),FALSE)),"",_xlfn.REGEXEXTRACT(CELL("address",AJ108), "\$([A-Z]+)\$[0-9]+"))),_xlfn.REGEXEXTRACT(CELL("address",AJ108), "\$([A-Z]+)\$[0-9]+"))</f>
        <v/>
      </c>
    </row>
    <row r="109" spans="2:36" x14ac:dyDescent="0.25">
      <c r="B109" s="7" t="str" cm="1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20,LEN('Raw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Data'!D109))=0),"",IF(AND(ISNUMBER('Raw Data'!D109),'Raw Data'!D109&gt;=Configuration!$D$2),"",_xlfn.REGEXEXTRACT(CELL("address",'Raw Data'!D109),"\$([A-Z]+)\$[0-9]+"))),_xlfn.REGEXEXTRACT(CELL("address",D109), "\$([A-Z]+)\$[0-9]+"))</f>
        <v/>
      </c>
      <c r="E109" s="7" t="str" cm="1">
        <f t="array" aca="1" ref="E109" ca="1">IFERROR(IF(OR('Raw Data'!E109="",LEN(TRIM('Raw Data'!E109))=0),"",IF(AND(ISNUMBER('Raw Data'!E109), IFERROR('Raw Data'!E109 = ROUND('Raw Data'!E109, 2),FALSE)),"",_xlfn.REGEXEXTRACT(CELL("address",E109), "\$([A-Z]+)\$[0-9]+"))),_xlfn.REGEXEXTRACT(CELL("address",E109), "\$([A-Z]+)\$[0-9]+"))</f>
        <v/>
      </c>
      <c r="F109" s="7" t="str" cm="1">
        <f t="array" aca="1" ref="F109" ca="1">IFERROR(IF(OR('Raw Data'!F109="",LEN(TRIM('Raw Data'!F109))=0),"",IF(AND(ISNUMBER('Raw Data'!F109), IFERROR('Raw Data'!F109 = ROUND('Raw Data'!F109, 2),FALSE)),"",_xlfn.REGEXEXTRACT(CELL("address",F109), "\$([A-Z]+)\$[0-9]+"))),_xlfn.REGEXEXTRACT(CELL("address",F109), "\$([A-Z]+)\$[0-9]+"))</f>
        <v/>
      </c>
      <c r="G109" s="7" t="str" cm="1">
        <f t="array" aca="1" ref="G109" ca="1">IFERROR(IF(OR('Raw Data'!G109="",LEN(TRIM('Raw Data'!G109))=0),"",IF(AND(ISNUMBER('Raw Data'!G109), IFERROR('Raw Data'!G109 = ROUND('Raw Data'!G109, 2),FALSE)),"",_xlfn.REGEXEXTRACT(CELL("address",G109), "\$([A-Z]+)\$[0-9]+"))),_xlfn.REGEXEXTRACT(CELL("address",G109), "\$([A-Z]+)\$[0-9]+"))</f>
        <v/>
      </c>
      <c r="H109" s="7" t="str" cm="1">
        <f t="array" aca="1" ref="H109" ca="1">IFERROR(IF(OR('Raw Data'!H109="",LEN(TRIM('Raw Data'!H109))=0),"",IF(AND(ISNUMBER('Raw Data'!H109), IFERROR('Raw Data'!H109 = ROUND('Raw Data'!H109, 2),FALSE)),"",_xlfn.REGEXEXTRACT(CELL("address",H109), "\$([A-Z]+)\$[0-9]+"))),_xlfn.REGEXEXTRACT(CELL("address",H109), "\$([A-Z]+)\$[0-9]+"))</f>
        <v/>
      </c>
      <c r="I109" s="7" t="str" cm="1">
        <f t="array" aca="1" ref="I109" ca="1">IFERROR(IF(OR('Raw Data'!I109="",LEN(TRIM('Raw Data'!I109))=0),"",IF(AND(ISNUMBER('Raw Data'!I109), IFERROR('Raw Data'!I109 = ROUND('Raw Data'!I109, 2),FALSE)),"",_xlfn.REGEXEXTRACT(CELL("address",I109), "\$([A-Z]+)\$[0-9]+"))),_xlfn.REGEXEXTRACT(CELL("address",I109), "\$([A-Z]+)\$[0-9]+"))</f>
        <v/>
      </c>
      <c r="J109" s="7" t="str" cm="1">
        <f t="array" aca="1" ref="J109" ca="1">IFERROR(IF(OR('Raw Data'!J109="",LEN(TRIM('Raw Data'!J109))=0),"",IF(AND(ISNUMBER('Raw Data'!J109), IFERROR('Raw Data'!J109 = ROUND('Raw Data'!J109, 2),FALSE)),"",_xlfn.REGEXEXTRACT(CELL("address",J109), "\$([A-Z]+)\$[0-9]+"))),_xlfn.REGEXEXTRACT(CELL("address",J109), "\$([A-Z]+)\$[0-9]+"))</f>
        <v/>
      </c>
      <c r="K109" s="7" t="str" cm="1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7" t="str" cm="1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7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7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7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7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 cm="1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7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7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7" t="str" cm="1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7" t="str" cm="1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  <c r="Z109" s="7" t="str" cm="1">
        <f t="array" aca="1" ref="Z109" ca="1">IFERROR(IF(OR('Raw Data'!Z109="",LEN(TRIM('Raw Data'!Z109))=0),"",IF(AND(ISNUMBER('Raw Data'!Z109), IFERROR('Raw Data'!Z109 = ROUND('Raw Data'!Z109, 2),FALSE)),"",_xlfn.REGEXEXTRACT(CELL("address",Z109), "\$([A-Z]+)\$[0-9]+"))),_xlfn.REGEXEXTRACT(CELL("address",Z109), "\$([A-Z]+)\$[0-9]+"))</f>
        <v/>
      </c>
      <c r="AA109" s="7" t="str" cm="1">
        <f t="array" aca="1" ref="AA109" ca="1">IFERROR(IF(OR('Raw Data'!AA109="",LEN(TRIM('Raw Data'!AA109))=0),"",IF(AND(ISNUMBER('Raw Data'!AA109), IFERROR('Raw Data'!AA109 = ROUND('Raw Data'!AA109, 2),FALSE)),"",_xlfn.REGEXEXTRACT(CELL("address",AA109), "\$([A-Z]+)\$[0-9]+"))),_xlfn.REGEXEXTRACT(CELL("address",AA109), "\$([A-Z]+)\$[0-9]+"))</f>
        <v/>
      </c>
      <c r="AB109" s="7" t="str" cm="1">
        <f t="array" aca="1" ref="AB109" ca="1">IFERROR(IF(OR('Raw Data'!AB109="",LEN(TRIM('Raw Data'!AB109))=0),"",IF(AND(ISNUMBER('Raw Data'!AB109), IFERROR('Raw Data'!AB109 = ROUND('Raw Data'!AB109, 2),FALSE)),"",_xlfn.REGEXEXTRACT(CELL("address",AB109), "\$([A-Z]+)\$[0-9]+"))),_xlfn.REGEXEXTRACT(CELL("address",AB109), "\$([A-Z]+)\$[0-9]+"))</f>
        <v/>
      </c>
      <c r="AC109" s="7" t="str" cm="1">
        <f t="array" aca="1" ref="AC109" ca="1">IFERROR(IF(OR('Raw Data'!AC109="",LEN(TRIM('Raw Data'!AC109))=0),"",IF(AND(ISNUMBER('Raw Data'!AC109), IFERROR('Raw Data'!AC109 = ROUND('Raw Data'!AC109, 2),FALSE)),"",_xlfn.REGEXEXTRACT(CELL("address",AC109), "\$([A-Z]+)\$[0-9]+"))),_xlfn.REGEXEXTRACT(CELL("address",AC109), "\$([A-Z]+)\$[0-9]+"))</f>
        <v/>
      </c>
      <c r="AD109" s="7" t="str" cm="1">
        <f t="array" aca="1" ref="AD109" ca="1">IFERROR(IF(OR('Raw Data'!AD109="",LEN(TRIM('Raw Data'!AD109))=0),"",IF(AND(ISNUMBER('Raw Data'!AD109), IFERROR('Raw Data'!AD109 = ROUND('Raw Data'!AD109, 2),FALSE)),"",_xlfn.REGEXEXTRACT(CELL("address",AD109), "\$([A-Z]+)\$[0-9]+"))),_xlfn.REGEXEXTRACT(CELL("address",AD109), "\$([A-Z]+)\$[0-9]+"))</f>
        <v/>
      </c>
      <c r="AE109" s="7" t="str" cm="1">
        <f t="array" aca="1" ref="AE109" ca="1">IFERROR(IF(OR('Raw Data'!AE109="",LEN(TRIM('Raw Data'!AE109))=0),"",IF(AND(ISNUMBER('Raw Data'!AE109), IFERROR('Raw Data'!AE109 = ROUND('Raw Data'!AE109, 2),FALSE)),"",_xlfn.REGEXEXTRACT(CELL("address",AE109), "\$([A-Z]+)\$[0-9]+"))),_xlfn.REGEXEXTRACT(CELL("address",AE109), "\$([A-Z]+)\$[0-9]+"))</f>
        <v/>
      </c>
      <c r="AF109" s="7" t="str" cm="1">
        <f t="array" aca="1" ref="AF109" ca="1">IFERROR(IF(OR('Raw Data'!AF109="",LEN(TRIM('Raw Data'!AF109))=0),"",IF(AND(ISNUMBER('Raw Data'!AF109), IFERROR('Raw Data'!AF109 = ROUND('Raw Data'!AF109, 2),FALSE)),"",_xlfn.REGEXEXTRACT(CELL("address",AF109), "\$([A-Z]+)\$[0-9]+"))),_xlfn.REGEXEXTRACT(CELL("address",AF109), "\$([A-Z]+)\$[0-9]+"))</f>
        <v/>
      </c>
      <c r="AG109" s="7" t="str" cm="1">
        <f t="array" aca="1" ref="AG109" ca="1">IFERROR(IF(OR('Raw Data'!AG109="",LEN(TRIM('Raw Data'!AG109))=0),"",IF(AND(ISNUMBER('Raw Data'!AG109), IFERROR('Raw Data'!AG109 = ROUND('Raw Data'!AG109, 2),FALSE)),"",_xlfn.REGEXEXTRACT(CELL("address",AG109), "\$([A-Z]+)\$[0-9]+"))),_xlfn.REGEXEXTRACT(CELL("address",AG109), "\$([A-Z]+)\$[0-9]+"))</f>
        <v/>
      </c>
      <c r="AH109" s="7" t="str" cm="1">
        <f t="array" aca="1" ref="AH109" ca="1">IFERROR(IF(OR('Raw Data'!AH109="",LEN(TRIM('Raw Data'!AH109))=0),"",IF(AND(ISNUMBER('Raw Data'!AH109), IFERROR('Raw Data'!AH109 = ROUND('Raw Data'!AH109, 2),FALSE)),"",_xlfn.REGEXEXTRACT(CELL("address",AH109), "\$([A-Z]+)\$[0-9]+"))),_xlfn.REGEXEXTRACT(CELL("address",AH109), "\$([A-Z]+)\$[0-9]+"))</f>
        <v/>
      </c>
      <c r="AI109" s="7" t="str" cm="1">
        <f t="array" aca="1" ref="AI109" ca="1">IFERROR(IF(OR('Raw Data'!AI109="",LEN(TRIM('Raw Data'!AI109))=0),"",IF(AND(ISNUMBER('Raw Data'!AI109), IFERROR('Raw Data'!AI109 = ROUND('Raw Data'!AI109, 2),FALSE)),"",_xlfn.REGEXEXTRACT(CELL("address",AI109), "\$([A-Z]+)\$[0-9]+"))),_xlfn.REGEXEXTRACT(CELL("address",AI109), "\$([A-Z]+)\$[0-9]+"))</f>
        <v/>
      </c>
      <c r="AJ109" s="7" t="str" cm="1">
        <f t="array" aca="1" ref="AJ109" ca="1">IFERROR(IF(OR('Raw Data'!AJ109="",LEN(TRIM('Raw Data'!AJ109))=0),"",IF(AND(ISNUMBER('Raw Data'!AJ109), IFERROR('Raw Data'!AJ109 = ROUND('Raw Data'!AJ109, 2),FALSE)),"",_xlfn.REGEXEXTRACT(CELL("address",AJ109), "\$([A-Z]+)\$[0-9]+"))),_xlfn.REGEXEXTRACT(CELL("address",AJ109), "\$([A-Z]+)\$[0-9]+"))</f>
        <v/>
      </c>
    </row>
    <row r="110" spans="2:36" x14ac:dyDescent="0.25">
      <c r="B110" s="7" t="str" cm="1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20,LEN('Raw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Data'!D110))=0),"",IF(AND(ISNUMBER('Raw Data'!D110),'Raw Data'!D110&gt;=Configuration!$D$2),"",_xlfn.REGEXEXTRACT(CELL("address",'Raw Data'!D110),"\$([A-Z]+)\$[0-9]+"))),_xlfn.REGEXEXTRACT(CELL("address",D110), "\$([A-Z]+)\$[0-9]+"))</f>
        <v/>
      </c>
      <c r="E110" s="7" t="str" cm="1">
        <f t="array" aca="1" ref="E110" ca="1">IFERROR(IF(OR('Raw Data'!E110="",LEN(TRIM('Raw Data'!E110))=0),"",IF(AND(ISNUMBER('Raw Data'!E110), IFERROR('Raw Data'!E110 = ROUND('Raw Data'!E110, 2),FALSE)),"",_xlfn.REGEXEXTRACT(CELL("address",E110), "\$([A-Z]+)\$[0-9]+"))),_xlfn.REGEXEXTRACT(CELL("address",E110), "\$([A-Z]+)\$[0-9]+"))</f>
        <v/>
      </c>
      <c r="F110" s="7" t="str" cm="1">
        <f t="array" aca="1" ref="F110" ca="1">IFERROR(IF(OR('Raw Data'!F110="",LEN(TRIM('Raw Data'!F110))=0),"",IF(AND(ISNUMBER('Raw Data'!F110), IFERROR('Raw Data'!F110 = ROUND('Raw Data'!F110, 2),FALSE)),"",_xlfn.REGEXEXTRACT(CELL("address",F110), "\$([A-Z]+)\$[0-9]+"))),_xlfn.REGEXEXTRACT(CELL("address",F110), "\$([A-Z]+)\$[0-9]+"))</f>
        <v/>
      </c>
      <c r="G110" s="7" t="str" cm="1">
        <f t="array" aca="1" ref="G110" ca="1">IFERROR(IF(OR('Raw Data'!G110="",LEN(TRIM('Raw Data'!G110))=0),"",IF(AND(ISNUMBER('Raw Data'!G110), IFERROR('Raw Data'!G110 = ROUND('Raw Data'!G110, 2),FALSE)),"",_xlfn.REGEXEXTRACT(CELL("address",G110), "\$([A-Z]+)\$[0-9]+"))),_xlfn.REGEXEXTRACT(CELL("address",G110), "\$([A-Z]+)\$[0-9]+"))</f>
        <v/>
      </c>
      <c r="H110" s="7" t="str" cm="1">
        <f t="array" aca="1" ref="H110" ca="1">IFERROR(IF(OR('Raw Data'!H110="",LEN(TRIM('Raw Data'!H110))=0),"",IF(AND(ISNUMBER('Raw Data'!H110), IFERROR('Raw Data'!H110 = ROUND('Raw Data'!H110, 2),FALSE)),"",_xlfn.REGEXEXTRACT(CELL("address",H110), "\$([A-Z]+)\$[0-9]+"))),_xlfn.REGEXEXTRACT(CELL("address",H110), "\$([A-Z]+)\$[0-9]+"))</f>
        <v/>
      </c>
      <c r="I110" s="7" t="str" cm="1">
        <f t="array" aca="1" ref="I110" ca="1">IFERROR(IF(OR('Raw Data'!I110="",LEN(TRIM('Raw Data'!I110))=0),"",IF(AND(ISNUMBER('Raw Data'!I110), IFERROR('Raw Data'!I110 = ROUND('Raw Data'!I110, 2),FALSE)),"",_xlfn.REGEXEXTRACT(CELL("address",I110), "\$([A-Z]+)\$[0-9]+"))),_xlfn.REGEXEXTRACT(CELL("address",I110), "\$([A-Z]+)\$[0-9]+"))</f>
        <v/>
      </c>
      <c r="J110" s="7" t="str" cm="1">
        <f t="array" aca="1" ref="J110" ca="1">IFERROR(IF(OR('Raw Data'!J110="",LEN(TRIM('Raw Data'!J110))=0),"",IF(AND(ISNUMBER('Raw Data'!J110), IFERROR('Raw Data'!J110 = ROUND('Raw Data'!J110, 2),FALSE)),"",_xlfn.REGEXEXTRACT(CELL("address",J110), "\$([A-Z]+)\$[0-9]+"))),_xlfn.REGEXEXTRACT(CELL("address",J110), "\$([A-Z]+)\$[0-9]+"))</f>
        <v/>
      </c>
      <c r="K110" s="7" t="str" cm="1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7" t="str" cm="1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7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7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7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7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 cm="1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7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7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7" t="str" cm="1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7" t="str" cm="1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  <c r="Z110" s="7" t="str" cm="1">
        <f t="array" aca="1" ref="Z110" ca="1">IFERROR(IF(OR('Raw Data'!Z110="",LEN(TRIM('Raw Data'!Z110))=0),"",IF(AND(ISNUMBER('Raw Data'!Z110), IFERROR('Raw Data'!Z110 = ROUND('Raw Data'!Z110, 2),FALSE)),"",_xlfn.REGEXEXTRACT(CELL("address",Z110), "\$([A-Z]+)\$[0-9]+"))),_xlfn.REGEXEXTRACT(CELL("address",Z110), "\$([A-Z]+)\$[0-9]+"))</f>
        <v/>
      </c>
      <c r="AA110" s="7" t="str" cm="1">
        <f t="array" aca="1" ref="AA110" ca="1">IFERROR(IF(OR('Raw Data'!AA110="",LEN(TRIM('Raw Data'!AA110))=0),"",IF(AND(ISNUMBER('Raw Data'!AA110), IFERROR('Raw Data'!AA110 = ROUND('Raw Data'!AA110, 2),FALSE)),"",_xlfn.REGEXEXTRACT(CELL("address",AA110), "\$([A-Z]+)\$[0-9]+"))),_xlfn.REGEXEXTRACT(CELL("address",AA110), "\$([A-Z]+)\$[0-9]+"))</f>
        <v/>
      </c>
      <c r="AB110" s="7" t="str" cm="1">
        <f t="array" aca="1" ref="AB110" ca="1">IFERROR(IF(OR('Raw Data'!AB110="",LEN(TRIM('Raw Data'!AB110))=0),"",IF(AND(ISNUMBER('Raw Data'!AB110), IFERROR('Raw Data'!AB110 = ROUND('Raw Data'!AB110, 2),FALSE)),"",_xlfn.REGEXEXTRACT(CELL("address",AB110), "\$([A-Z]+)\$[0-9]+"))),_xlfn.REGEXEXTRACT(CELL("address",AB110), "\$([A-Z]+)\$[0-9]+"))</f>
        <v/>
      </c>
      <c r="AC110" s="7" t="str" cm="1">
        <f t="array" aca="1" ref="AC110" ca="1">IFERROR(IF(OR('Raw Data'!AC110="",LEN(TRIM('Raw Data'!AC110))=0),"",IF(AND(ISNUMBER('Raw Data'!AC110), IFERROR('Raw Data'!AC110 = ROUND('Raw Data'!AC110, 2),FALSE)),"",_xlfn.REGEXEXTRACT(CELL("address",AC110), "\$([A-Z]+)\$[0-9]+"))),_xlfn.REGEXEXTRACT(CELL("address",AC110), "\$([A-Z]+)\$[0-9]+"))</f>
        <v/>
      </c>
      <c r="AD110" s="7" t="str" cm="1">
        <f t="array" aca="1" ref="AD110" ca="1">IFERROR(IF(OR('Raw Data'!AD110="",LEN(TRIM('Raw Data'!AD110))=0),"",IF(AND(ISNUMBER('Raw Data'!AD110), IFERROR('Raw Data'!AD110 = ROUND('Raw Data'!AD110, 2),FALSE)),"",_xlfn.REGEXEXTRACT(CELL("address",AD110), "\$([A-Z]+)\$[0-9]+"))),_xlfn.REGEXEXTRACT(CELL("address",AD110), "\$([A-Z]+)\$[0-9]+"))</f>
        <v/>
      </c>
      <c r="AE110" s="7" t="str" cm="1">
        <f t="array" aca="1" ref="AE110" ca="1">IFERROR(IF(OR('Raw Data'!AE110="",LEN(TRIM('Raw Data'!AE110))=0),"",IF(AND(ISNUMBER('Raw Data'!AE110), IFERROR('Raw Data'!AE110 = ROUND('Raw Data'!AE110, 2),FALSE)),"",_xlfn.REGEXEXTRACT(CELL("address",AE110), "\$([A-Z]+)\$[0-9]+"))),_xlfn.REGEXEXTRACT(CELL("address",AE110), "\$([A-Z]+)\$[0-9]+"))</f>
        <v/>
      </c>
      <c r="AF110" s="7" t="str" cm="1">
        <f t="array" aca="1" ref="AF110" ca="1">IFERROR(IF(OR('Raw Data'!AF110="",LEN(TRIM('Raw Data'!AF110))=0),"",IF(AND(ISNUMBER('Raw Data'!AF110), IFERROR('Raw Data'!AF110 = ROUND('Raw Data'!AF110, 2),FALSE)),"",_xlfn.REGEXEXTRACT(CELL("address",AF110), "\$([A-Z]+)\$[0-9]+"))),_xlfn.REGEXEXTRACT(CELL("address",AF110), "\$([A-Z]+)\$[0-9]+"))</f>
        <v/>
      </c>
      <c r="AG110" s="7" t="str" cm="1">
        <f t="array" aca="1" ref="AG110" ca="1">IFERROR(IF(OR('Raw Data'!AG110="",LEN(TRIM('Raw Data'!AG110))=0),"",IF(AND(ISNUMBER('Raw Data'!AG110), IFERROR('Raw Data'!AG110 = ROUND('Raw Data'!AG110, 2),FALSE)),"",_xlfn.REGEXEXTRACT(CELL("address",AG110), "\$([A-Z]+)\$[0-9]+"))),_xlfn.REGEXEXTRACT(CELL("address",AG110), "\$([A-Z]+)\$[0-9]+"))</f>
        <v/>
      </c>
      <c r="AH110" s="7" t="str" cm="1">
        <f t="array" aca="1" ref="AH110" ca="1">IFERROR(IF(OR('Raw Data'!AH110="",LEN(TRIM('Raw Data'!AH110))=0),"",IF(AND(ISNUMBER('Raw Data'!AH110), IFERROR('Raw Data'!AH110 = ROUND('Raw Data'!AH110, 2),FALSE)),"",_xlfn.REGEXEXTRACT(CELL("address",AH110), "\$([A-Z]+)\$[0-9]+"))),_xlfn.REGEXEXTRACT(CELL("address",AH110), "\$([A-Z]+)\$[0-9]+"))</f>
        <v/>
      </c>
      <c r="AI110" s="7" t="str" cm="1">
        <f t="array" aca="1" ref="AI110" ca="1">IFERROR(IF(OR('Raw Data'!AI110="",LEN(TRIM('Raw Data'!AI110))=0),"",IF(AND(ISNUMBER('Raw Data'!AI110), IFERROR('Raw Data'!AI110 = ROUND('Raw Data'!AI110, 2),FALSE)),"",_xlfn.REGEXEXTRACT(CELL("address",AI110), "\$([A-Z]+)\$[0-9]+"))),_xlfn.REGEXEXTRACT(CELL("address",AI110), "\$([A-Z]+)\$[0-9]+"))</f>
        <v/>
      </c>
      <c r="AJ110" s="7" t="str" cm="1">
        <f t="array" aca="1" ref="AJ110" ca="1">IFERROR(IF(OR('Raw Data'!AJ110="",LEN(TRIM('Raw Data'!AJ110))=0),"",IF(AND(ISNUMBER('Raw Data'!AJ110), IFERROR('Raw Data'!AJ110 = ROUND('Raw Data'!AJ110, 2),FALSE)),"",_xlfn.REGEXEXTRACT(CELL("address",AJ110), "\$([A-Z]+)\$[0-9]+"))),_xlfn.REGEXEXTRACT(CELL("address",AJ110), "\$([A-Z]+)\$[0-9]+"))</f>
        <v/>
      </c>
    </row>
    <row r="111" spans="2:36" x14ac:dyDescent="0.25">
      <c r="B111" s="7" t="str" cm="1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20,LEN('Raw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Data'!D111))=0),"",IF(AND(ISNUMBER('Raw Data'!D111),'Raw Data'!D111&gt;=Configuration!$D$2),"",_xlfn.REGEXEXTRACT(CELL("address",'Raw Data'!D111),"\$([A-Z]+)\$[0-9]+"))),_xlfn.REGEXEXTRACT(CELL("address",D111), "\$([A-Z]+)\$[0-9]+"))</f>
        <v/>
      </c>
      <c r="E111" s="7" t="str" cm="1">
        <f t="array" aca="1" ref="E111" ca="1">IFERROR(IF(OR('Raw Data'!E111="",LEN(TRIM('Raw Data'!E111))=0),"",IF(AND(ISNUMBER('Raw Data'!E111), IFERROR('Raw Data'!E111 = ROUND('Raw Data'!E111, 2),FALSE)),"",_xlfn.REGEXEXTRACT(CELL("address",E111), "\$([A-Z]+)\$[0-9]+"))),_xlfn.REGEXEXTRACT(CELL("address",E111), "\$([A-Z]+)\$[0-9]+"))</f>
        <v/>
      </c>
      <c r="F111" s="7" t="str" cm="1">
        <f t="array" aca="1" ref="F111" ca="1">IFERROR(IF(OR('Raw Data'!F111="",LEN(TRIM('Raw Data'!F111))=0),"",IF(AND(ISNUMBER('Raw Data'!F111), IFERROR('Raw Data'!F111 = ROUND('Raw Data'!F111, 2),FALSE)),"",_xlfn.REGEXEXTRACT(CELL("address",F111), "\$([A-Z]+)\$[0-9]+"))),_xlfn.REGEXEXTRACT(CELL("address",F111), "\$([A-Z]+)\$[0-9]+"))</f>
        <v/>
      </c>
      <c r="G111" s="7" t="str" cm="1">
        <f t="array" aca="1" ref="G111" ca="1">IFERROR(IF(OR('Raw Data'!G111="",LEN(TRIM('Raw Data'!G111))=0),"",IF(AND(ISNUMBER('Raw Data'!G111), IFERROR('Raw Data'!G111 = ROUND('Raw Data'!G111, 2),FALSE)),"",_xlfn.REGEXEXTRACT(CELL("address",G111), "\$([A-Z]+)\$[0-9]+"))),_xlfn.REGEXEXTRACT(CELL("address",G111), "\$([A-Z]+)\$[0-9]+"))</f>
        <v/>
      </c>
      <c r="H111" s="7" t="str" cm="1">
        <f t="array" aca="1" ref="H111" ca="1">IFERROR(IF(OR('Raw Data'!H111="",LEN(TRIM('Raw Data'!H111))=0),"",IF(AND(ISNUMBER('Raw Data'!H111), IFERROR('Raw Data'!H111 = ROUND('Raw Data'!H111, 2),FALSE)),"",_xlfn.REGEXEXTRACT(CELL("address",H111), "\$([A-Z]+)\$[0-9]+"))),_xlfn.REGEXEXTRACT(CELL("address",H111), "\$([A-Z]+)\$[0-9]+"))</f>
        <v/>
      </c>
      <c r="I111" s="7" t="str" cm="1">
        <f t="array" aca="1" ref="I111" ca="1">IFERROR(IF(OR('Raw Data'!I111="",LEN(TRIM('Raw Data'!I111))=0),"",IF(AND(ISNUMBER('Raw Data'!I111), IFERROR('Raw Data'!I111 = ROUND('Raw Data'!I111, 2),FALSE)),"",_xlfn.REGEXEXTRACT(CELL("address",I111), "\$([A-Z]+)\$[0-9]+"))),_xlfn.REGEXEXTRACT(CELL("address",I111), "\$([A-Z]+)\$[0-9]+"))</f>
        <v/>
      </c>
      <c r="J111" s="7" t="str" cm="1">
        <f t="array" aca="1" ref="J111" ca="1">IFERROR(IF(OR('Raw Data'!J111="",LEN(TRIM('Raw Data'!J111))=0),"",IF(AND(ISNUMBER('Raw Data'!J111), IFERROR('Raw Data'!J111 = ROUND('Raw Data'!J111, 2),FALSE)),"",_xlfn.REGEXEXTRACT(CELL("address",J111), "\$([A-Z]+)\$[0-9]+"))),_xlfn.REGEXEXTRACT(CELL("address",J111), "\$([A-Z]+)\$[0-9]+"))</f>
        <v/>
      </c>
      <c r="K111" s="7" t="str" cm="1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7" t="str" cm="1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7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7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7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7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 cm="1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7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7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7" t="str" cm="1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7" t="str" cm="1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  <c r="Z111" s="7" t="str" cm="1">
        <f t="array" aca="1" ref="Z111" ca="1">IFERROR(IF(OR('Raw Data'!Z111="",LEN(TRIM('Raw Data'!Z111))=0),"",IF(AND(ISNUMBER('Raw Data'!Z111), IFERROR('Raw Data'!Z111 = ROUND('Raw Data'!Z111, 2),FALSE)),"",_xlfn.REGEXEXTRACT(CELL("address",Z111), "\$([A-Z]+)\$[0-9]+"))),_xlfn.REGEXEXTRACT(CELL("address",Z111), "\$([A-Z]+)\$[0-9]+"))</f>
        <v/>
      </c>
      <c r="AA111" s="7" t="str" cm="1">
        <f t="array" aca="1" ref="AA111" ca="1">IFERROR(IF(OR('Raw Data'!AA111="",LEN(TRIM('Raw Data'!AA111))=0),"",IF(AND(ISNUMBER('Raw Data'!AA111), IFERROR('Raw Data'!AA111 = ROUND('Raw Data'!AA111, 2),FALSE)),"",_xlfn.REGEXEXTRACT(CELL("address",AA111), "\$([A-Z]+)\$[0-9]+"))),_xlfn.REGEXEXTRACT(CELL("address",AA111), "\$([A-Z]+)\$[0-9]+"))</f>
        <v/>
      </c>
      <c r="AB111" s="7" t="str" cm="1">
        <f t="array" aca="1" ref="AB111" ca="1">IFERROR(IF(OR('Raw Data'!AB111="",LEN(TRIM('Raw Data'!AB111))=0),"",IF(AND(ISNUMBER('Raw Data'!AB111), IFERROR('Raw Data'!AB111 = ROUND('Raw Data'!AB111, 2),FALSE)),"",_xlfn.REGEXEXTRACT(CELL("address",AB111), "\$([A-Z]+)\$[0-9]+"))),_xlfn.REGEXEXTRACT(CELL("address",AB111), "\$([A-Z]+)\$[0-9]+"))</f>
        <v/>
      </c>
      <c r="AC111" s="7" t="str" cm="1">
        <f t="array" aca="1" ref="AC111" ca="1">IFERROR(IF(OR('Raw Data'!AC111="",LEN(TRIM('Raw Data'!AC111))=0),"",IF(AND(ISNUMBER('Raw Data'!AC111), IFERROR('Raw Data'!AC111 = ROUND('Raw Data'!AC111, 2),FALSE)),"",_xlfn.REGEXEXTRACT(CELL("address",AC111), "\$([A-Z]+)\$[0-9]+"))),_xlfn.REGEXEXTRACT(CELL("address",AC111), "\$([A-Z]+)\$[0-9]+"))</f>
        <v/>
      </c>
      <c r="AD111" s="7" t="str" cm="1">
        <f t="array" aca="1" ref="AD111" ca="1">IFERROR(IF(OR('Raw Data'!AD111="",LEN(TRIM('Raw Data'!AD111))=0),"",IF(AND(ISNUMBER('Raw Data'!AD111), IFERROR('Raw Data'!AD111 = ROUND('Raw Data'!AD111, 2),FALSE)),"",_xlfn.REGEXEXTRACT(CELL("address",AD111), "\$([A-Z]+)\$[0-9]+"))),_xlfn.REGEXEXTRACT(CELL("address",AD111), "\$([A-Z]+)\$[0-9]+"))</f>
        <v/>
      </c>
      <c r="AE111" s="7" t="str" cm="1">
        <f t="array" aca="1" ref="AE111" ca="1">IFERROR(IF(OR('Raw Data'!AE111="",LEN(TRIM('Raw Data'!AE111))=0),"",IF(AND(ISNUMBER('Raw Data'!AE111), IFERROR('Raw Data'!AE111 = ROUND('Raw Data'!AE111, 2),FALSE)),"",_xlfn.REGEXEXTRACT(CELL("address",AE111), "\$([A-Z]+)\$[0-9]+"))),_xlfn.REGEXEXTRACT(CELL("address",AE111), "\$([A-Z]+)\$[0-9]+"))</f>
        <v/>
      </c>
      <c r="AF111" s="7" t="str" cm="1">
        <f t="array" aca="1" ref="AF111" ca="1">IFERROR(IF(OR('Raw Data'!AF111="",LEN(TRIM('Raw Data'!AF111))=0),"",IF(AND(ISNUMBER('Raw Data'!AF111), IFERROR('Raw Data'!AF111 = ROUND('Raw Data'!AF111, 2),FALSE)),"",_xlfn.REGEXEXTRACT(CELL("address",AF111), "\$([A-Z]+)\$[0-9]+"))),_xlfn.REGEXEXTRACT(CELL("address",AF111), "\$([A-Z]+)\$[0-9]+"))</f>
        <v/>
      </c>
      <c r="AG111" s="7" t="str" cm="1">
        <f t="array" aca="1" ref="AG111" ca="1">IFERROR(IF(OR('Raw Data'!AG111="",LEN(TRIM('Raw Data'!AG111))=0),"",IF(AND(ISNUMBER('Raw Data'!AG111), IFERROR('Raw Data'!AG111 = ROUND('Raw Data'!AG111, 2),FALSE)),"",_xlfn.REGEXEXTRACT(CELL("address",AG111), "\$([A-Z]+)\$[0-9]+"))),_xlfn.REGEXEXTRACT(CELL("address",AG111), "\$([A-Z]+)\$[0-9]+"))</f>
        <v/>
      </c>
      <c r="AH111" s="7" t="str" cm="1">
        <f t="array" aca="1" ref="AH111" ca="1">IFERROR(IF(OR('Raw Data'!AH111="",LEN(TRIM('Raw Data'!AH111))=0),"",IF(AND(ISNUMBER('Raw Data'!AH111), IFERROR('Raw Data'!AH111 = ROUND('Raw Data'!AH111, 2),FALSE)),"",_xlfn.REGEXEXTRACT(CELL("address",AH111), "\$([A-Z]+)\$[0-9]+"))),_xlfn.REGEXEXTRACT(CELL("address",AH111), "\$([A-Z]+)\$[0-9]+"))</f>
        <v/>
      </c>
      <c r="AI111" s="7" t="str" cm="1">
        <f t="array" aca="1" ref="AI111" ca="1">IFERROR(IF(OR('Raw Data'!AI111="",LEN(TRIM('Raw Data'!AI111))=0),"",IF(AND(ISNUMBER('Raw Data'!AI111), IFERROR('Raw Data'!AI111 = ROUND('Raw Data'!AI111, 2),FALSE)),"",_xlfn.REGEXEXTRACT(CELL("address",AI111), "\$([A-Z]+)\$[0-9]+"))),_xlfn.REGEXEXTRACT(CELL("address",AI111), "\$([A-Z]+)\$[0-9]+"))</f>
        <v/>
      </c>
      <c r="AJ111" s="7" t="str" cm="1">
        <f t="array" aca="1" ref="AJ111" ca="1">IFERROR(IF(OR('Raw Data'!AJ111="",LEN(TRIM('Raw Data'!AJ111))=0),"",IF(AND(ISNUMBER('Raw Data'!AJ111), IFERROR('Raw Data'!AJ111 = ROUND('Raw Data'!AJ111, 2),FALSE)),"",_xlfn.REGEXEXTRACT(CELL("address",AJ111), "\$([A-Z]+)\$[0-9]+"))),_xlfn.REGEXEXTRACT(CELL("address",AJ111), "\$([A-Z]+)\$[0-9]+"))</f>
        <v/>
      </c>
    </row>
    <row r="112" spans="2:36" x14ac:dyDescent="0.25">
      <c r="B112" s="7" t="str" cm="1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20,LEN('Raw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Data'!D112))=0),"",IF(AND(ISNUMBER('Raw Data'!D112),'Raw Data'!D112&gt;=Configuration!$D$2),"",_xlfn.REGEXEXTRACT(CELL("address",'Raw Data'!D112),"\$([A-Z]+)\$[0-9]+"))),_xlfn.REGEXEXTRACT(CELL("address",D112), "\$([A-Z]+)\$[0-9]+"))</f>
        <v/>
      </c>
      <c r="E112" s="7" t="str" cm="1">
        <f t="array" aca="1" ref="E112" ca="1">IFERROR(IF(OR('Raw Data'!E112="",LEN(TRIM('Raw Data'!E112))=0),"",IF(AND(ISNUMBER('Raw Data'!E112), IFERROR('Raw Data'!E112 = ROUND('Raw Data'!E112, 2),FALSE)),"",_xlfn.REGEXEXTRACT(CELL("address",E112), "\$([A-Z]+)\$[0-9]+"))),_xlfn.REGEXEXTRACT(CELL("address",E112), "\$([A-Z]+)\$[0-9]+"))</f>
        <v/>
      </c>
      <c r="F112" s="7" t="str" cm="1">
        <f t="array" aca="1" ref="F112" ca="1">IFERROR(IF(OR('Raw Data'!F112="",LEN(TRIM('Raw Data'!F112))=0),"",IF(AND(ISNUMBER('Raw Data'!F112), IFERROR('Raw Data'!F112 = ROUND('Raw Data'!F112, 2),FALSE)),"",_xlfn.REGEXEXTRACT(CELL("address",F112), "\$([A-Z]+)\$[0-9]+"))),_xlfn.REGEXEXTRACT(CELL("address",F112), "\$([A-Z]+)\$[0-9]+"))</f>
        <v/>
      </c>
      <c r="G112" s="7" t="str" cm="1">
        <f t="array" aca="1" ref="G112" ca="1">IFERROR(IF(OR('Raw Data'!G112="",LEN(TRIM('Raw Data'!G112))=0),"",IF(AND(ISNUMBER('Raw Data'!G112), IFERROR('Raw Data'!G112 = ROUND('Raw Data'!G112, 2),FALSE)),"",_xlfn.REGEXEXTRACT(CELL("address",G112), "\$([A-Z]+)\$[0-9]+"))),_xlfn.REGEXEXTRACT(CELL("address",G112), "\$([A-Z]+)\$[0-9]+"))</f>
        <v/>
      </c>
      <c r="H112" s="7" t="str" cm="1">
        <f t="array" aca="1" ref="H112" ca="1">IFERROR(IF(OR('Raw Data'!H112="",LEN(TRIM('Raw Data'!H112))=0),"",IF(AND(ISNUMBER('Raw Data'!H112), IFERROR('Raw Data'!H112 = ROUND('Raw Data'!H112, 2),FALSE)),"",_xlfn.REGEXEXTRACT(CELL("address",H112), "\$([A-Z]+)\$[0-9]+"))),_xlfn.REGEXEXTRACT(CELL("address",H112), "\$([A-Z]+)\$[0-9]+"))</f>
        <v/>
      </c>
      <c r="I112" s="7" t="str" cm="1">
        <f t="array" aca="1" ref="I112" ca="1">IFERROR(IF(OR('Raw Data'!I112="",LEN(TRIM('Raw Data'!I112))=0),"",IF(AND(ISNUMBER('Raw Data'!I112), IFERROR('Raw Data'!I112 = ROUND('Raw Data'!I112, 2),FALSE)),"",_xlfn.REGEXEXTRACT(CELL("address",I112), "\$([A-Z]+)\$[0-9]+"))),_xlfn.REGEXEXTRACT(CELL("address",I112), "\$([A-Z]+)\$[0-9]+"))</f>
        <v/>
      </c>
      <c r="J112" s="7" t="str" cm="1">
        <f t="array" aca="1" ref="J112" ca="1">IFERROR(IF(OR('Raw Data'!J112="",LEN(TRIM('Raw Data'!J112))=0),"",IF(AND(ISNUMBER('Raw Data'!J112), IFERROR('Raw Data'!J112 = ROUND('Raw Data'!J112, 2),FALSE)),"",_xlfn.REGEXEXTRACT(CELL("address",J112), "\$([A-Z]+)\$[0-9]+"))),_xlfn.REGEXEXTRACT(CELL("address",J112), "\$([A-Z]+)\$[0-9]+"))</f>
        <v/>
      </c>
      <c r="K112" s="7" t="str" cm="1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7" t="str" cm="1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7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7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7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7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 cm="1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7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7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7" t="str" cm="1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7" t="str" cm="1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  <c r="Z112" s="7" t="str" cm="1">
        <f t="array" aca="1" ref="Z112" ca="1">IFERROR(IF(OR('Raw Data'!Z112="",LEN(TRIM('Raw Data'!Z112))=0),"",IF(AND(ISNUMBER('Raw Data'!Z112), IFERROR('Raw Data'!Z112 = ROUND('Raw Data'!Z112, 2),FALSE)),"",_xlfn.REGEXEXTRACT(CELL("address",Z112), "\$([A-Z]+)\$[0-9]+"))),_xlfn.REGEXEXTRACT(CELL("address",Z112), "\$([A-Z]+)\$[0-9]+"))</f>
        <v/>
      </c>
      <c r="AA112" s="7" t="str" cm="1">
        <f t="array" aca="1" ref="AA112" ca="1">IFERROR(IF(OR('Raw Data'!AA112="",LEN(TRIM('Raw Data'!AA112))=0),"",IF(AND(ISNUMBER('Raw Data'!AA112), IFERROR('Raw Data'!AA112 = ROUND('Raw Data'!AA112, 2),FALSE)),"",_xlfn.REGEXEXTRACT(CELL("address",AA112), "\$([A-Z]+)\$[0-9]+"))),_xlfn.REGEXEXTRACT(CELL("address",AA112), "\$([A-Z]+)\$[0-9]+"))</f>
        <v/>
      </c>
      <c r="AB112" s="7" t="str" cm="1">
        <f t="array" aca="1" ref="AB112" ca="1">IFERROR(IF(OR('Raw Data'!AB112="",LEN(TRIM('Raw Data'!AB112))=0),"",IF(AND(ISNUMBER('Raw Data'!AB112), IFERROR('Raw Data'!AB112 = ROUND('Raw Data'!AB112, 2),FALSE)),"",_xlfn.REGEXEXTRACT(CELL("address",AB112), "\$([A-Z]+)\$[0-9]+"))),_xlfn.REGEXEXTRACT(CELL("address",AB112), "\$([A-Z]+)\$[0-9]+"))</f>
        <v/>
      </c>
      <c r="AC112" s="7" t="str" cm="1">
        <f t="array" aca="1" ref="AC112" ca="1">IFERROR(IF(OR('Raw Data'!AC112="",LEN(TRIM('Raw Data'!AC112))=0),"",IF(AND(ISNUMBER('Raw Data'!AC112), IFERROR('Raw Data'!AC112 = ROUND('Raw Data'!AC112, 2),FALSE)),"",_xlfn.REGEXEXTRACT(CELL("address",AC112), "\$([A-Z]+)\$[0-9]+"))),_xlfn.REGEXEXTRACT(CELL("address",AC112), "\$([A-Z]+)\$[0-9]+"))</f>
        <v/>
      </c>
      <c r="AD112" s="7" t="str" cm="1">
        <f t="array" aca="1" ref="AD112" ca="1">IFERROR(IF(OR('Raw Data'!AD112="",LEN(TRIM('Raw Data'!AD112))=0),"",IF(AND(ISNUMBER('Raw Data'!AD112), IFERROR('Raw Data'!AD112 = ROUND('Raw Data'!AD112, 2),FALSE)),"",_xlfn.REGEXEXTRACT(CELL("address",AD112), "\$([A-Z]+)\$[0-9]+"))),_xlfn.REGEXEXTRACT(CELL("address",AD112), "\$([A-Z]+)\$[0-9]+"))</f>
        <v/>
      </c>
      <c r="AE112" s="7" t="str" cm="1">
        <f t="array" aca="1" ref="AE112" ca="1">IFERROR(IF(OR('Raw Data'!AE112="",LEN(TRIM('Raw Data'!AE112))=0),"",IF(AND(ISNUMBER('Raw Data'!AE112), IFERROR('Raw Data'!AE112 = ROUND('Raw Data'!AE112, 2),FALSE)),"",_xlfn.REGEXEXTRACT(CELL("address",AE112), "\$([A-Z]+)\$[0-9]+"))),_xlfn.REGEXEXTRACT(CELL("address",AE112), "\$([A-Z]+)\$[0-9]+"))</f>
        <v/>
      </c>
      <c r="AF112" s="7" t="str" cm="1">
        <f t="array" aca="1" ref="AF112" ca="1">IFERROR(IF(OR('Raw Data'!AF112="",LEN(TRIM('Raw Data'!AF112))=0),"",IF(AND(ISNUMBER('Raw Data'!AF112), IFERROR('Raw Data'!AF112 = ROUND('Raw Data'!AF112, 2),FALSE)),"",_xlfn.REGEXEXTRACT(CELL("address",AF112), "\$([A-Z]+)\$[0-9]+"))),_xlfn.REGEXEXTRACT(CELL("address",AF112), "\$([A-Z]+)\$[0-9]+"))</f>
        <v/>
      </c>
      <c r="AG112" s="7" t="str" cm="1">
        <f t="array" aca="1" ref="AG112" ca="1">IFERROR(IF(OR('Raw Data'!AG112="",LEN(TRIM('Raw Data'!AG112))=0),"",IF(AND(ISNUMBER('Raw Data'!AG112), IFERROR('Raw Data'!AG112 = ROUND('Raw Data'!AG112, 2),FALSE)),"",_xlfn.REGEXEXTRACT(CELL("address",AG112), "\$([A-Z]+)\$[0-9]+"))),_xlfn.REGEXEXTRACT(CELL("address",AG112), "\$([A-Z]+)\$[0-9]+"))</f>
        <v/>
      </c>
      <c r="AH112" s="7" t="str" cm="1">
        <f t="array" aca="1" ref="AH112" ca="1">IFERROR(IF(OR('Raw Data'!AH112="",LEN(TRIM('Raw Data'!AH112))=0),"",IF(AND(ISNUMBER('Raw Data'!AH112), IFERROR('Raw Data'!AH112 = ROUND('Raw Data'!AH112, 2),FALSE)),"",_xlfn.REGEXEXTRACT(CELL("address",AH112), "\$([A-Z]+)\$[0-9]+"))),_xlfn.REGEXEXTRACT(CELL("address",AH112), "\$([A-Z]+)\$[0-9]+"))</f>
        <v/>
      </c>
      <c r="AI112" s="7" t="str" cm="1">
        <f t="array" aca="1" ref="AI112" ca="1">IFERROR(IF(OR('Raw Data'!AI112="",LEN(TRIM('Raw Data'!AI112))=0),"",IF(AND(ISNUMBER('Raw Data'!AI112), IFERROR('Raw Data'!AI112 = ROUND('Raw Data'!AI112, 2),FALSE)),"",_xlfn.REGEXEXTRACT(CELL("address",AI112), "\$([A-Z]+)\$[0-9]+"))),_xlfn.REGEXEXTRACT(CELL("address",AI112), "\$([A-Z]+)\$[0-9]+"))</f>
        <v/>
      </c>
      <c r="AJ112" s="7" t="str" cm="1">
        <f t="array" aca="1" ref="AJ112" ca="1">IFERROR(IF(OR('Raw Data'!AJ112="",LEN(TRIM('Raw Data'!AJ112))=0),"",IF(AND(ISNUMBER('Raw Data'!AJ112), IFERROR('Raw Data'!AJ112 = ROUND('Raw Data'!AJ112, 2),FALSE)),"",_xlfn.REGEXEXTRACT(CELL("address",AJ112), "\$([A-Z]+)\$[0-9]+"))),_xlfn.REGEXEXTRACT(CELL("address",AJ112), "\$([A-Z]+)\$[0-9]+"))</f>
        <v/>
      </c>
    </row>
    <row r="113" spans="2:36" x14ac:dyDescent="0.25">
      <c r="B113" s="7" t="str" cm="1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20,LEN('Raw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Data'!D113))=0),"",IF(AND(ISNUMBER('Raw Data'!D113),'Raw Data'!D113&gt;=Configuration!$D$2),"",_xlfn.REGEXEXTRACT(CELL("address",'Raw Data'!D113),"\$([A-Z]+)\$[0-9]+"))),_xlfn.REGEXEXTRACT(CELL("address",D113), "\$([A-Z]+)\$[0-9]+"))</f>
        <v/>
      </c>
      <c r="E113" s="7" t="str" cm="1">
        <f t="array" aca="1" ref="E113" ca="1">IFERROR(IF(OR('Raw Data'!E113="",LEN(TRIM('Raw Data'!E113))=0),"",IF(AND(ISNUMBER('Raw Data'!E113), IFERROR('Raw Data'!E113 = ROUND('Raw Data'!E113, 2),FALSE)),"",_xlfn.REGEXEXTRACT(CELL("address",E113), "\$([A-Z]+)\$[0-9]+"))),_xlfn.REGEXEXTRACT(CELL("address",E113), "\$([A-Z]+)\$[0-9]+"))</f>
        <v/>
      </c>
      <c r="F113" s="7" t="str" cm="1">
        <f t="array" aca="1" ref="F113" ca="1">IFERROR(IF(OR('Raw Data'!F113="",LEN(TRIM('Raw Data'!F113))=0),"",IF(AND(ISNUMBER('Raw Data'!F113), IFERROR('Raw Data'!F113 = ROUND('Raw Data'!F113, 2),FALSE)),"",_xlfn.REGEXEXTRACT(CELL("address",F113), "\$([A-Z]+)\$[0-9]+"))),_xlfn.REGEXEXTRACT(CELL("address",F113), "\$([A-Z]+)\$[0-9]+"))</f>
        <v/>
      </c>
      <c r="G113" s="7" t="str" cm="1">
        <f t="array" aca="1" ref="G113" ca="1">IFERROR(IF(OR('Raw Data'!G113="",LEN(TRIM('Raw Data'!G113))=0),"",IF(AND(ISNUMBER('Raw Data'!G113), IFERROR('Raw Data'!G113 = ROUND('Raw Data'!G113, 2),FALSE)),"",_xlfn.REGEXEXTRACT(CELL("address",G113), "\$([A-Z]+)\$[0-9]+"))),_xlfn.REGEXEXTRACT(CELL("address",G113), "\$([A-Z]+)\$[0-9]+"))</f>
        <v/>
      </c>
      <c r="H113" s="7" t="str" cm="1">
        <f t="array" aca="1" ref="H113" ca="1">IFERROR(IF(OR('Raw Data'!H113="",LEN(TRIM('Raw Data'!H113))=0),"",IF(AND(ISNUMBER('Raw Data'!H113), IFERROR('Raw Data'!H113 = ROUND('Raw Data'!H113, 2),FALSE)),"",_xlfn.REGEXEXTRACT(CELL("address",H113), "\$([A-Z]+)\$[0-9]+"))),_xlfn.REGEXEXTRACT(CELL("address",H113), "\$([A-Z]+)\$[0-9]+"))</f>
        <v/>
      </c>
      <c r="I113" s="7" t="str" cm="1">
        <f t="array" aca="1" ref="I113" ca="1">IFERROR(IF(OR('Raw Data'!I113="",LEN(TRIM('Raw Data'!I113))=0),"",IF(AND(ISNUMBER('Raw Data'!I113), IFERROR('Raw Data'!I113 = ROUND('Raw Data'!I113, 2),FALSE)),"",_xlfn.REGEXEXTRACT(CELL("address",I113), "\$([A-Z]+)\$[0-9]+"))),_xlfn.REGEXEXTRACT(CELL("address",I113), "\$([A-Z]+)\$[0-9]+"))</f>
        <v/>
      </c>
      <c r="J113" s="7" t="str" cm="1">
        <f t="array" aca="1" ref="J113" ca="1">IFERROR(IF(OR('Raw Data'!J113="",LEN(TRIM('Raw Data'!J113))=0),"",IF(AND(ISNUMBER('Raw Data'!J113), IFERROR('Raw Data'!J113 = ROUND('Raw Data'!J113, 2),FALSE)),"",_xlfn.REGEXEXTRACT(CELL("address",J113), "\$([A-Z]+)\$[0-9]+"))),_xlfn.REGEXEXTRACT(CELL("address",J113), "\$([A-Z]+)\$[0-9]+"))</f>
        <v/>
      </c>
      <c r="K113" s="7" t="str" cm="1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7" t="str" cm="1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7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7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7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7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 cm="1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7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7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7" t="str" cm="1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7" t="str" cm="1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  <c r="Z113" s="7" t="str" cm="1">
        <f t="array" aca="1" ref="Z113" ca="1">IFERROR(IF(OR('Raw Data'!Z113="",LEN(TRIM('Raw Data'!Z113))=0),"",IF(AND(ISNUMBER('Raw Data'!Z113), IFERROR('Raw Data'!Z113 = ROUND('Raw Data'!Z113, 2),FALSE)),"",_xlfn.REGEXEXTRACT(CELL("address",Z113), "\$([A-Z]+)\$[0-9]+"))),_xlfn.REGEXEXTRACT(CELL("address",Z113), "\$([A-Z]+)\$[0-9]+"))</f>
        <v/>
      </c>
      <c r="AA113" s="7" t="str" cm="1">
        <f t="array" aca="1" ref="AA113" ca="1">IFERROR(IF(OR('Raw Data'!AA113="",LEN(TRIM('Raw Data'!AA113))=0),"",IF(AND(ISNUMBER('Raw Data'!AA113), IFERROR('Raw Data'!AA113 = ROUND('Raw Data'!AA113, 2),FALSE)),"",_xlfn.REGEXEXTRACT(CELL("address",AA113), "\$([A-Z]+)\$[0-9]+"))),_xlfn.REGEXEXTRACT(CELL("address",AA113), "\$([A-Z]+)\$[0-9]+"))</f>
        <v/>
      </c>
      <c r="AB113" s="7" t="str" cm="1">
        <f t="array" aca="1" ref="AB113" ca="1">IFERROR(IF(OR('Raw Data'!AB113="",LEN(TRIM('Raw Data'!AB113))=0),"",IF(AND(ISNUMBER('Raw Data'!AB113), IFERROR('Raw Data'!AB113 = ROUND('Raw Data'!AB113, 2),FALSE)),"",_xlfn.REGEXEXTRACT(CELL("address",AB113), "\$([A-Z]+)\$[0-9]+"))),_xlfn.REGEXEXTRACT(CELL("address",AB113), "\$([A-Z]+)\$[0-9]+"))</f>
        <v/>
      </c>
      <c r="AC113" s="7" t="str" cm="1">
        <f t="array" aca="1" ref="AC113" ca="1">IFERROR(IF(OR('Raw Data'!AC113="",LEN(TRIM('Raw Data'!AC113))=0),"",IF(AND(ISNUMBER('Raw Data'!AC113), IFERROR('Raw Data'!AC113 = ROUND('Raw Data'!AC113, 2),FALSE)),"",_xlfn.REGEXEXTRACT(CELL("address",AC113), "\$([A-Z]+)\$[0-9]+"))),_xlfn.REGEXEXTRACT(CELL("address",AC113), "\$([A-Z]+)\$[0-9]+"))</f>
        <v/>
      </c>
      <c r="AD113" s="7" t="str" cm="1">
        <f t="array" aca="1" ref="AD113" ca="1">IFERROR(IF(OR('Raw Data'!AD113="",LEN(TRIM('Raw Data'!AD113))=0),"",IF(AND(ISNUMBER('Raw Data'!AD113), IFERROR('Raw Data'!AD113 = ROUND('Raw Data'!AD113, 2),FALSE)),"",_xlfn.REGEXEXTRACT(CELL("address",AD113), "\$([A-Z]+)\$[0-9]+"))),_xlfn.REGEXEXTRACT(CELL("address",AD113), "\$([A-Z]+)\$[0-9]+"))</f>
        <v/>
      </c>
      <c r="AE113" s="7" t="str" cm="1">
        <f t="array" aca="1" ref="AE113" ca="1">IFERROR(IF(OR('Raw Data'!AE113="",LEN(TRIM('Raw Data'!AE113))=0),"",IF(AND(ISNUMBER('Raw Data'!AE113), IFERROR('Raw Data'!AE113 = ROUND('Raw Data'!AE113, 2),FALSE)),"",_xlfn.REGEXEXTRACT(CELL("address",AE113), "\$([A-Z]+)\$[0-9]+"))),_xlfn.REGEXEXTRACT(CELL("address",AE113), "\$([A-Z]+)\$[0-9]+"))</f>
        <v/>
      </c>
      <c r="AF113" s="7" t="str" cm="1">
        <f t="array" aca="1" ref="AF113" ca="1">IFERROR(IF(OR('Raw Data'!AF113="",LEN(TRIM('Raw Data'!AF113))=0),"",IF(AND(ISNUMBER('Raw Data'!AF113), IFERROR('Raw Data'!AF113 = ROUND('Raw Data'!AF113, 2),FALSE)),"",_xlfn.REGEXEXTRACT(CELL("address",AF113), "\$([A-Z]+)\$[0-9]+"))),_xlfn.REGEXEXTRACT(CELL("address",AF113), "\$([A-Z]+)\$[0-9]+"))</f>
        <v/>
      </c>
      <c r="AG113" s="7" t="str" cm="1">
        <f t="array" aca="1" ref="AG113" ca="1">IFERROR(IF(OR('Raw Data'!AG113="",LEN(TRIM('Raw Data'!AG113))=0),"",IF(AND(ISNUMBER('Raw Data'!AG113), IFERROR('Raw Data'!AG113 = ROUND('Raw Data'!AG113, 2),FALSE)),"",_xlfn.REGEXEXTRACT(CELL("address",AG113), "\$([A-Z]+)\$[0-9]+"))),_xlfn.REGEXEXTRACT(CELL("address",AG113), "\$([A-Z]+)\$[0-9]+"))</f>
        <v/>
      </c>
      <c r="AH113" s="7" t="str" cm="1">
        <f t="array" aca="1" ref="AH113" ca="1">IFERROR(IF(OR('Raw Data'!AH113="",LEN(TRIM('Raw Data'!AH113))=0),"",IF(AND(ISNUMBER('Raw Data'!AH113), IFERROR('Raw Data'!AH113 = ROUND('Raw Data'!AH113, 2),FALSE)),"",_xlfn.REGEXEXTRACT(CELL("address",AH113), "\$([A-Z]+)\$[0-9]+"))),_xlfn.REGEXEXTRACT(CELL("address",AH113), "\$([A-Z]+)\$[0-9]+"))</f>
        <v/>
      </c>
      <c r="AI113" s="7" t="str" cm="1">
        <f t="array" aca="1" ref="AI113" ca="1">IFERROR(IF(OR('Raw Data'!AI113="",LEN(TRIM('Raw Data'!AI113))=0),"",IF(AND(ISNUMBER('Raw Data'!AI113), IFERROR('Raw Data'!AI113 = ROUND('Raw Data'!AI113, 2),FALSE)),"",_xlfn.REGEXEXTRACT(CELL("address",AI113), "\$([A-Z]+)\$[0-9]+"))),_xlfn.REGEXEXTRACT(CELL("address",AI113), "\$([A-Z]+)\$[0-9]+"))</f>
        <v/>
      </c>
      <c r="AJ113" s="7" t="str" cm="1">
        <f t="array" aca="1" ref="AJ113" ca="1">IFERROR(IF(OR('Raw Data'!AJ113="",LEN(TRIM('Raw Data'!AJ113))=0),"",IF(AND(ISNUMBER('Raw Data'!AJ113), IFERROR('Raw Data'!AJ113 = ROUND('Raw Data'!AJ113, 2),FALSE)),"",_xlfn.REGEXEXTRACT(CELL("address",AJ113), "\$([A-Z]+)\$[0-9]+"))),_xlfn.REGEXEXTRACT(CELL("address",AJ113), "\$([A-Z]+)\$[0-9]+"))</f>
        <v/>
      </c>
    </row>
    <row r="114" spans="2:36" x14ac:dyDescent="0.25">
      <c r="B114" s="7" t="str" cm="1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20,LEN('Raw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Data'!D114))=0),"",IF(AND(ISNUMBER('Raw Data'!D114),'Raw Data'!D114&gt;=Configuration!$D$2),"",_xlfn.REGEXEXTRACT(CELL("address",'Raw Data'!D114),"\$([A-Z]+)\$[0-9]+"))),_xlfn.REGEXEXTRACT(CELL("address",D114), "\$([A-Z]+)\$[0-9]+"))</f>
        <v/>
      </c>
      <c r="E114" s="7" t="str" cm="1">
        <f t="array" aca="1" ref="E114" ca="1">IFERROR(IF(OR('Raw Data'!E114="",LEN(TRIM('Raw Data'!E114))=0),"",IF(AND(ISNUMBER('Raw Data'!E114), IFERROR('Raw Data'!E114 = ROUND('Raw Data'!E114, 2),FALSE)),"",_xlfn.REGEXEXTRACT(CELL("address",E114), "\$([A-Z]+)\$[0-9]+"))),_xlfn.REGEXEXTRACT(CELL("address",E114), "\$([A-Z]+)\$[0-9]+"))</f>
        <v/>
      </c>
      <c r="F114" s="7" t="str" cm="1">
        <f t="array" aca="1" ref="F114" ca="1">IFERROR(IF(OR('Raw Data'!F114="",LEN(TRIM('Raw Data'!F114))=0),"",IF(AND(ISNUMBER('Raw Data'!F114), IFERROR('Raw Data'!F114 = ROUND('Raw Data'!F114, 2),FALSE)),"",_xlfn.REGEXEXTRACT(CELL("address",F114), "\$([A-Z]+)\$[0-9]+"))),_xlfn.REGEXEXTRACT(CELL("address",F114), "\$([A-Z]+)\$[0-9]+"))</f>
        <v/>
      </c>
      <c r="G114" s="7" t="str" cm="1">
        <f t="array" aca="1" ref="G114" ca="1">IFERROR(IF(OR('Raw Data'!G114="",LEN(TRIM('Raw Data'!G114))=0),"",IF(AND(ISNUMBER('Raw Data'!G114), IFERROR('Raw Data'!G114 = ROUND('Raw Data'!G114, 2),FALSE)),"",_xlfn.REGEXEXTRACT(CELL("address",G114), "\$([A-Z]+)\$[0-9]+"))),_xlfn.REGEXEXTRACT(CELL("address",G114), "\$([A-Z]+)\$[0-9]+"))</f>
        <v/>
      </c>
      <c r="H114" s="7" t="str" cm="1">
        <f t="array" aca="1" ref="H114" ca="1">IFERROR(IF(OR('Raw Data'!H114="",LEN(TRIM('Raw Data'!H114))=0),"",IF(AND(ISNUMBER('Raw Data'!H114), IFERROR('Raw Data'!H114 = ROUND('Raw Data'!H114, 2),FALSE)),"",_xlfn.REGEXEXTRACT(CELL("address",H114), "\$([A-Z]+)\$[0-9]+"))),_xlfn.REGEXEXTRACT(CELL("address",H114), "\$([A-Z]+)\$[0-9]+"))</f>
        <v/>
      </c>
      <c r="I114" s="7" t="str" cm="1">
        <f t="array" aca="1" ref="I114" ca="1">IFERROR(IF(OR('Raw Data'!I114="",LEN(TRIM('Raw Data'!I114))=0),"",IF(AND(ISNUMBER('Raw Data'!I114), IFERROR('Raw Data'!I114 = ROUND('Raw Data'!I114, 2),FALSE)),"",_xlfn.REGEXEXTRACT(CELL("address",I114), "\$([A-Z]+)\$[0-9]+"))),_xlfn.REGEXEXTRACT(CELL("address",I114), "\$([A-Z]+)\$[0-9]+"))</f>
        <v/>
      </c>
      <c r="J114" s="7" t="str" cm="1">
        <f t="array" aca="1" ref="J114" ca="1">IFERROR(IF(OR('Raw Data'!J114="",LEN(TRIM('Raw Data'!J114))=0),"",IF(AND(ISNUMBER('Raw Data'!J114), IFERROR('Raw Data'!J114 = ROUND('Raw Data'!J114, 2),FALSE)),"",_xlfn.REGEXEXTRACT(CELL("address",J114), "\$([A-Z]+)\$[0-9]+"))),_xlfn.REGEXEXTRACT(CELL("address",J114), "\$([A-Z]+)\$[0-9]+"))</f>
        <v/>
      </c>
      <c r="K114" s="7" t="str" cm="1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7" t="str" cm="1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7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7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7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7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 cm="1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7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7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7" t="str" cm="1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7" t="str" cm="1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  <c r="Z114" s="7" t="str" cm="1">
        <f t="array" aca="1" ref="Z114" ca="1">IFERROR(IF(OR('Raw Data'!Z114="",LEN(TRIM('Raw Data'!Z114))=0),"",IF(AND(ISNUMBER('Raw Data'!Z114), IFERROR('Raw Data'!Z114 = ROUND('Raw Data'!Z114, 2),FALSE)),"",_xlfn.REGEXEXTRACT(CELL("address",Z114), "\$([A-Z]+)\$[0-9]+"))),_xlfn.REGEXEXTRACT(CELL("address",Z114), "\$([A-Z]+)\$[0-9]+"))</f>
        <v/>
      </c>
      <c r="AA114" s="7" t="str" cm="1">
        <f t="array" aca="1" ref="AA114" ca="1">IFERROR(IF(OR('Raw Data'!AA114="",LEN(TRIM('Raw Data'!AA114))=0),"",IF(AND(ISNUMBER('Raw Data'!AA114), IFERROR('Raw Data'!AA114 = ROUND('Raw Data'!AA114, 2),FALSE)),"",_xlfn.REGEXEXTRACT(CELL("address",AA114), "\$([A-Z]+)\$[0-9]+"))),_xlfn.REGEXEXTRACT(CELL("address",AA114), "\$([A-Z]+)\$[0-9]+"))</f>
        <v/>
      </c>
      <c r="AB114" s="7" t="str" cm="1">
        <f t="array" aca="1" ref="AB114" ca="1">IFERROR(IF(OR('Raw Data'!AB114="",LEN(TRIM('Raw Data'!AB114))=0),"",IF(AND(ISNUMBER('Raw Data'!AB114), IFERROR('Raw Data'!AB114 = ROUND('Raw Data'!AB114, 2),FALSE)),"",_xlfn.REGEXEXTRACT(CELL("address",AB114), "\$([A-Z]+)\$[0-9]+"))),_xlfn.REGEXEXTRACT(CELL("address",AB114), "\$([A-Z]+)\$[0-9]+"))</f>
        <v/>
      </c>
      <c r="AC114" s="7" t="str" cm="1">
        <f t="array" aca="1" ref="AC114" ca="1">IFERROR(IF(OR('Raw Data'!AC114="",LEN(TRIM('Raw Data'!AC114))=0),"",IF(AND(ISNUMBER('Raw Data'!AC114), IFERROR('Raw Data'!AC114 = ROUND('Raw Data'!AC114, 2),FALSE)),"",_xlfn.REGEXEXTRACT(CELL("address",AC114), "\$([A-Z]+)\$[0-9]+"))),_xlfn.REGEXEXTRACT(CELL("address",AC114), "\$([A-Z]+)\$[0-9]+"))</f>
        <v/>
      </c>
      <c r="AD114" s="7" t="str" cm="1">
        <f t="array" aca="1" ref="AD114" ca="1">IFERROR(IF(OR('Raw Data'!AD114="",LEN(TRIM('Raw Data'!AD114))=0),"",IF(AND(ISNUMBER('Raw Data'!AD114), IFERROR('Raw Data'!AD114 = ROUND('Raw Data'!AD114, 2),FALSE)),"",_xlfn.REGEXEXTRACT(CELL("address",AD114), "\$([A-Z]+)\$[0-9]+"))),_xlfn.REGEXEXTRACT(CELL("address",AD114), "\$([A-Z]+)\$[0-9]+"))</f>
        <v/>
      </c>
      <c r="AE114" s="7" t="str" cm="1">
        <f t="array" aca="1" ref="AE114" ca="1">IFERROR(IF(OR('Raw Data'!AE114="",LEN(TRIM('Raw Data'!AE114))=0),"",IF(AND(ISNUMBER('Raw Data'!AE114), IFERROR('Raw Data'!AE114 = ROUND('Raw Data'!AE114, 2),FALSE)),"",_xlfn.REGEXEXTRACT(CELL("address",AE114), "\$([A-Z]+)\$[0-9]+"))),_xlfn.REGEXEXTRACT(CELL("address",AE114), "\$([A-Z]+)\$[0-9]+"))</f>
        <v/>
      </c>
      <c r="AF114" s="7" t="str" cm="1">
        <f t="array" aca="1" ref="AF114" ca="1">IFERROR(IF(OR('Raw Data'!AF114="",LEN(TRIM('Raw Data'!AF114))=0),"",IF(AND(ISNUMBER('Raw Data'!AF114), IFERROR('Raw Data'!AF114 = ROUND('Raw Data'!AF114, 2),FALSE)),"",_xlfn.REGEXEXTRACT(CELL("address",AF114), "\$([A-Z]+)\$[0-9]+"))),_xlfn.REGEXEXTRACT(CELL("address",AF114), "\$([A-Z]+)\$[0-9]+"))</f>
        <v/>
      </c>
      <c r="AG114" s="7" t="str" cm="1">
        <f t="array" aca="1" ref="AG114" ca="1">IFERROR(IF(OR('Raw Data'!AG114="",LEN(TRIM('Raw Data'!AG114))=0),"",IF(AND(ISNUMBER('Raw Data'!AG114), IFERROR('Raw Data'!AG114 = ROUND('Raw Data'!AG114, 2),FALSE)),"",_xlfn.REGEXEXTRACT(CELL("address",AG114), "\$([A-Z]+)\$[0-9]+"))),_xlfn.REGEXEXTRACT(CELL("address",AG114), "\$([A-Z]+)\$[0-9]+"))</f>
        <v/>
      </c>
      <c r="AH114" s="7" t="str" cm="1">
        <f t="array" aca="1" ref="AH114" ca="1">IFERROR(IF(OR('Raw Data'!AH114="",LEN(TRIM('Raw Data'!AH114))=0),"",IF(AND(ISNUMBER('Raw Data'!AH114), IFERROR('Raw Data'!AH114 = ROUND('Raw Data'!AH114, 2),FALSE)),"",_xlfn.REGEXEXTRACT(CELL("address",AH114), "\$([A-Z]+)\$[0-9]+"))),_xlfn.REGEXEXTRACT(CELL("address",AH114), "\$([A-Z]+)\$[0-9]+"))</f>
        <v/>
      </c>
      <c r="AI114" s="7" t="str" cm="1">
        <f t="array" aca="1" ref="AI114" ca="1">IFERROR(IF(OR('Raw Data'!AI114="",LEN(TRIM('Raw Data'!AI114))=0),"",IF(AND(ISNUMBER('Raw Data'!AI114), IFERROR('Raw Data'!AI114 = ROUND('Raw Data'!AI114, 2),FALSE)),"",_xlfn.REGEXEXTRACT(CELL("address",AI114), "\$([A-Z]+)\$[0-9]+"))),_xlfn.REGEXEXTRACT(CELL("address",AI114), "\$([A-Z]+)\$[0-9]+"))</f>
        <v/>
      </c>
      <c r="AJ114" s="7" t="str" cm="1">
        <f t="array" aca="1" ref="AJ114" ca="1">IFERROR(IF(OR('Raw Data'!AJ114="",LEN(TRIM('Raw Data'!AJ114))=0),"",IF(AND(ISNUMBER('Raw Data'!AJ114), IFERROR('Raw Data'!AJ114 = ROUND('Raw Data'!AJ114, 2),FALSE)),"",_xlfn.REGEXEXTRACT(CELL("address",AJ114), "\$([A-Z]+)\$[0-9]+"))),_xlfn.REGEXEXTRACT(CELL("address",AJ114), "\$([A-Z]+)\$[0-9]+"))</f>
        <v/>
      </c>
    </row>
    <row r="115" spans="2:36" x14ac:dyDescent="0.25">
      <c r="B115" s="7" t="str" cm="1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20,LEN('Raw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Data'!D115))=0),"",IF(AND(ISNUMBER('Raw Data'!D115),'Raw Data'!D115&gt;=Configuration!$D$2),"",_xlfn.REGEXEXTRACT(CELL("address",'Raw Data'!D115),"\$([A-Z]+)\$[0-9]+"))),_xlfn.REGEXEXTRACT(CELL("address",D115), "\$([A-Z]+)\$[0-9]+"))</f>
        <v/>
      </c>
      <c r="E115" s="7" t="str" cm="1">
        <f t="array" aca="1" ref="E115" ca="1">IFERROR(IF(OR('Raw Data'!E115="",LEN(TRIM('Raw Data'!E115))=0),"",IF(AND(ISNUMBER('Raw Data'!E115), IFERROR('Raw Data'!E115 = ROUND('Raw Data'!E115, 2),FALSE)),"",_xlfn.REGEXEXTRACT(CELL("address",E115), "\$([A-Z]+)\$[0-9]+"))),_xlfn.REGEXEXTRACT(CELL("address",E115), "\$([A-Z]+)\$[0-9]+"))</f>
        <v/>
      </c>
      <c r="F115" s="7" t="str" cm="1">
        <f t="array" aca="1" ref="F115" ca="1">IFERROR(IF(OR('Raw Data'!F115="",LEN(TRIM('Raw Data'!F115))=0),"",IF(AND(ISNUMBER('Raw Data'!F115), IFERROR('Raw Data'!F115 = ROUND('Raw Data'!F115, 2),FALSE)),"",_xlfn.REGEXEXTRACT(CELL("address",F115), "\$([A-Z]+)\$[0-9]+"))),_xlfn.REGEXEXTRACT(CELL("address",F115), "\$([A-Z]+)\$[0-9]+"))</f>
        <v/>
      </c>
      <c r="G115" s="7" t="str" cm="1">
        <f t="array" aca="1" ref="G115" ca="1">IFERROR(IF(OR('Raw Data'!G115="",LEN(TRIM('Raw Data'!G115))=0),"",IF(AND(ISNUMBER('Raw Data'!G115), IFERROR('Raw Data'!G115 = ROUND('Raw Data'!G115, 2),FALSE)),"",_xlfn.REGEXEXTRACT(CELL("address",G115), "\$([A-Z]+)\$[0-9]+"))),_xlfn.REGEXEXTRACT(CELL("address",G115), "\$([A-Z]+)\$[0-9]+"))</f>
        <v/>
      </c>
      <c r="H115" s="7" t="str" cm="1">
        <f t="array" aca="1" ref="H115" ca="1">IFERROR(IF(OR('Raw Data'!H115="",LEN(TRIM('Raw Data'!H115))=0),"",IF(AND(ISNUMBER('Raw Data'!H115), IFERROR('Raw Data'!H115 = ROUND('Raw Data'!H115, 2),FALSE)),"",_xlfn.REGEXEXTRACT(CELL("address",H115), "\$([A-Z]+)\$[0-9]+"))),_xlfn.REGEXEXTRACT(CELL("address",H115), "\$([A-Z]+)\$[0-9]+"))</f>
        <v/>
      </c>
      <c r="I115" s="7" t="str" cm="1">
        <f t="array" aca="1" ref="I115" ca="1">IFERROR(IF(OR('Raw Data'!I115="",LEN(TRIM('Raw Data'!I115))=0),"",IF(AND(ISNUMBER('Raw Data'!I115), IFERROR('Raw Data'!I115 = ROUND('Raw Data'!I115, 2),FALSE)),"",_xlfn.REGEXEXTRACT(CELL("address",I115), "\$([A-Z]+)\$[0-9]+"))),_xlfn.REGEXEXTRACT(CELL("address",I115), "\$([A-Z]+)\$[0-9]+"))</f>
        <v/>
      </c>
      <c r="J115" s="7" t="str" cm="1">
        <f t="array" aca="1" ref="J115" ca="1">IFERROR(IF(OR('Raw Data'!J115="",LEN(TRIM('Raw Data'!J115))=0),"",IF(AND(ISNUMBER('Raw Data'!J115), IFERROR('Raw Data'!J115 = ROUND('Raw Data'!J115, 2),FALSE)),"",_xlfn.REGEXEXTRACT(CELL("address",J115), "\$([A-Z]+)\$[0-9]+"))),_xlfn.REGEXEXTRACT(CELL("address",J115), "\$([A-Z]+)\$[0-9]+"))</f>
        <v/>
      </c>
      <c r="K115" s="7" t="str" cm="1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7" t="str" cm="1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7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7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7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7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 cm="1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7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7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7" t="str" cm="1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7" t="str" cm="1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  <c r="Z115" s="7" t="str" cm="1">
        <f t="array" aca="1" ref="Z115" ca="1">IFERROR(IF(OR('Raw Data'!Z115="",LEN(TRIM('Raw Data'!Z115))=0),"",IF(AND(ISNUMBER('Raw Data'!Z115), IFERROR('Raw Data'!Z115 = ROUND('Raw Data'!Z115, 2),FALSE)),"",_xlfn.REGEXEXTRACT(CELL("address",Z115), "\$([A-Z]+)\$[0-9]+"))),_xlfn.REGEXEXTRACT(CELL("address",Z115), "\$([A-Z]+)\$[0-9]+"))</f>
        <v/>
      </c>
      <c r="AA115" s="7" t="str" cm="1">
        <f t="array" aca="1" ref="AA115" ca="1">IFERROR(IF(OR('Raw Data'!AA115="",LEN(TRIM('Raw Data'!AA115))=0),"",IF(AND(ISNUMBER('Raw Data'!AA115), IFERROR('Raw Data'!AA115 = ROUND('Raw Data'!AA115, 2),FALSE)),"",_xlfn.REGEXEXTRACT(CELL("address",AA115), "\$([A-Z]+)\$[0-9]+"))),_xlfn.REGEXEXTRACT(CELL("address",AA115), "\$([A-Z]+)\$[0-9]+"))</f>
        <v/>
      </c>
      <c r="AB115" s="7" t="str" cm="1">
        <f t="array" aca="1" ref="AB115" ca="1">IFERROR(IF(OR('Raw Data'!AB115="",LEN(TRIM('Raw Data'!AB115))=0),"",IF(AND(ISNUMBER('Raw Data'!AB115), IFERROR('Raw Data'!AB115 = ROUND('Raw Data'!AB115, 2),FALSE)),"",_xlfn.REGEXEXTRACT(CELL("address",AB115), "\$([A-Z]+)\$[0-9]+"))),_xlfn.REGEXEXTRACT(CELL("address",AB115), "\$([A-Z]+)\$[0-9]+"))</f>
        <v/>
      </c>
      <c r="AC115" s="7" t="str" cm="1">
        <f t="array" aca="1" ref="AC115" ca="1">IFERROR(IF(OR('Raw Data'!AC115="",LEN(TRIM('Raw Data'!AC115))=0),"",IF(AND(ISNUMBER('Raw Data'!AC115), IFERROR('Raw Data'!AC115 = ROUND('Raw Data'!AC115, 2),FALSE)),"",_xlfn.REGEXEXTRACT(CELL("address",AC115), "\$([A-Z]+)\$[0-9]+"))),_xlfn.REGEXEXTRACT(CELL("address",AC115), "\$([A-Z]+)\$[0-9]+"))</f>
        <v/>
      </c>
      <c r="AD115" s="7" t="str" cm="1">
        <f t="array" aca="1" ref="AD115" ca="1">IFERROR(IF(OR('Raw Data'!AD115="",LEN(TRIM('Raw Data'!AD115))=0),"",IF(AND(ISNUMBER('Raw Data'!AD115), IFERROR('Raw Data'!AD115 = ROUND('Raw Data'!AD115, 2),FALSE)),"",_xlfn.REGEXEXTRACT(CELL("address",AD115), "\$([A-Z]+)\$[0-9]+"))),_xlfn.REGEXEXTRACT(CELL("address",AD115), "\$([A-Z]+)\$[0-9]+"))</f>
        <v/>
      </c>
      <c r="AE115" s="7" t="str" cm="1">
        <f t="array" aca="1" ref="AE115" ca="1">IFERROR(IF(OR('Raw Data'!AE115="",LEN(TRIM('Raw Data'!AE115))=0),"",IF(AND(ISNUMBER('Raw Data'!AE115), IFERROR('Raw Data'!AE115 = ROUND('Raw Data'!AE115, 2),FALSE)),"",_xlfn.REGEXEXTRACT(CELL("address",AE115), "\$([A-Z]+)\$[0-9]+"))),_xlfn.REGEXEXTRACT(CELL("address",AE115), "\$([A-Z]+)\$[0-9]+"))</f>
        <v/>
      </c>
      <c r="AF115" s="7" t="str" cm="1">
        <f t="array" aca="1" ref="AF115" ca="1">IFERROR(IF(OR('Raw Data'!AF115="",LEN(TRIM('Raw Data'!AF115))=0),"",IF(AND(ISNUMBER('Raw Data'!AF115), IFERROR('Raw Data'!AF115 = ROUND('Raw Data'!AF115, 2),FALSE)),"",_xlfn.REGEXEXTRACT(CELL("address",AF115), "\$([A-Z]+)\$[0-9]+"))),_xlfn.REGEXEXTRACT(CELL("address",AF115), "\$([A-Z]+)\$[0-9]+"))</f>
        <v/>
      </c>
      <c r="AG115" s="7" t="str" cm="1">
        <f t="array" aca="1" ref="AG115" ca="1">IFERROR(IF(OR('Raw Data'!AG115="",LEN(TRIM('Raw Data'!AG115))=0),"",IF(AND(ISNUMBER('Raw Data'!AG115), IFERROR('Raw Data'!AG115 = ROUND('Raw Data'!AG115, 2),FALSE)),"",_xlfn.REGEXEXTRACT(CELL("address",AG115), "\$([A-Z]+)\$[0-9]+"))),_xlfn.REGEXEXTRACT(CELL("address",AG115), "\$([A-Z]+)\$[0-9]+"))</f>
        <v/>
      </c>
      <c r="AH115" s="7" t="str" cm="1">
        <f t="array" aca="1" ref="AH115" ca="1">IFERROR(IF(OR('Raw Data'!AH115="",LEN(TRIM('Raw Data'!AH115))=0),"",IF(AND(ISNUMBER('Raw Data'!AH115), IFERROR('Raw Data'!AH115 = ROUND('Raw Data'!AH115, 2),FALSE)),"",_xlfn.REGEXEXTRACT(CELL("address",AH115), "\$([A-Z]+)\$[0-9]+"))),_xlfn.REGEXEXTRACT(CELL("address",AH115), "\$([A-Z]+)\$[0-9]+"))</f>
        <v/>
      </c>
      <c r="AI115" s="7" t="str" cm="1">
        <f t="array" aca="1" ref="AI115" ca="1">IFERROR(IF(OR('Raw Data'!AI115="",LEN(TRIM('Raw Data'!AI115))=0),"",IF(AND(ISNUMBER('Raw Data'!AI115), IFERROR('Raw Data'!AI115 = ROUND('Raw Data'!AI115, 2),FALSE)),"",_xlfn.REGEXEXTRACT(CELL("address",AI115), "\$([A-Z]+)\$[0-9]+"))),_xlfn.REGEXEXTRACT(CELL("address",AI115), "\$([A-Z]+)\$[0-9]+"))</f>
        <v/>
      </c>
      <c r="AJ115" s="7" t="str" cm="1">
        <f t="array" aca="1" ref="AJ115" ca="1">IFERROR(IF(OR('Raw Data'!AJ115="",LEN(TRIM('Raw Data'!AJ115))=0),"",IF(AND(ISNUMBER('Raw Data'!AJ115), IFERROR('Raw Data'!AJ115 = ROUND('Raw Data'!AJ115, 2),FALSE)),"",_xlfn.REGEXEXTRACT(CELL("address",AJ115), "\$([A-Z]+)\$[0-9]+"))),_xlfn.REGEXEXTRACT(CELL("address",AJ115), "\$([A-Z]+)\$[0-9]+"))</f>
        <v/>
      </c>
    </row>
    <row r="116" spans="2:36" x14ac:dyDescent="0.25">
      <c r="B116" s="7" t="str" cm="1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20,LEN('Raw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Data'!D116))=0),"",IF(AND(ISNUMBER('Raw Data'!D116),'Raw Data'!D116&gt;=Configuration!$D$2),"",_xlfn.REGEXEXTRACT(CELL("address",'Raw Data'!D116),"\$([A-Z]+)\$[0-9]+"))),_xlfn.REGEXEXTRACT(CELL("address",D116), "\$([A-Z]+)\$[0-9]+"))</f>
        <v/>
      </c>
      <c r="E116" s="7" t="str" cm="1">
        <f t="array" aca="1" ref="E116" ca="1">IFERROR(IF(OR('Raw Data'!E116="",LEN(TRIM('Raw Data'!E116))=0),"",IF(AND(ISNUMBER('Raw Data'!E116), IFERROR('Raw Data'!E116 = ROUND('Raw Data'!E116, 2),FALSE)),"",_xlfn.REGEXEXTRACT(CELL("address",E116), "\$([A-Z]+)\$[0-9]+"))),_xlfn.REGEXEXTRACT(CELL("address",E116), "\$([A-Z]+)\$[0-9]+"))</f>
        <v/>
      </c>
      <c r="F116" s="7" t="str" cm="1">
        <f t="array" aca="1" ref="F116" ca="1">IFERROR(IF(OR('Raw Data'!F116="",LEN(TRIM('Raw Data'!F116))=0),"",IF(AND(ISNUMBER('Raw Data'!F116), IFERROR('Raw Data'!F116 = ROUND('Raw Data'!F116, 2),FALSE)),"",_xlfn.REGEXEXTRACT(CELL("address",F116), "\$([A-Z]+)\$[0-9]+"))),_xlfn.REGEXEXTRACT(CELL("address",F116), "\$([A-Z]+)\$[0-9]+"))</f>
        <v/>
      </c>
      <c r="G116" s="7" t="str" cm="1">
        <f t="array" aca="1" ref="G116" ca="1">IFERROR(IF(OR('Raw Data'!G116="",LEN(TRIM('Raw Data'!G116))=0),"",IF(AND(ISNUMBER('Raw Data'!G116), IFERROR('Raw Data'!G116 = ROUND('Raw Data'!G116, 2),FALSE)),"",_xlfn.REGEXEXTRACT(CELL("address",G116), "\$([A-Z]+)\$[0-9]+"))),_xlfn.REGEXEXTRACT(CELL("address",G116), "\$([A-Z]+)\$[0-9]+"))</f>
        <v/>
      </c>
      <c r="H116" s="7" t="str" cm="1">
        <f t="array" aca="1" ref="H116" ca="1">IFERROR(IF(OR('Raw Data'!H116="",LEN(TRIM('Raw Data'!H116))=0),"",IF(AND(ISNUMBER('Raw Data'!H116), IFERROR('Raw Data'!H116 = ROUND('Raw Data'!H116, 2),FALSE)),"",_xlfn.REGEXEXTRACT(CELL("address",H116), "\$([A-Z]+)\$[0-9]+"))),_xlfn.REGEXEXTRACT(CELL("address",H116), "\$([A-Z]+)\$[0-9]+"))</f>
        <v/>
      </c>
      <c r="I116" s="7" t="str" cm="1">
        <f t="array" aca="1" ref="I116" ca="1">IFERROR(IF(OR('Raw Data'!I116="",LEN(TRIM('Raw Data'!I116))=0),"",IF(AND(ISNUMBER('Raw Data'!I116), IFERROR('Raw Data'!I116 = ROUND('Raw Data'!I116, 2),FALSE)),"",_xlfn.REGEXEXTRACT(CELL("address",I116), "\$([A-Z]+)\$[0-9]+"))),_xlfn.REGEXEXTRACT(CELL("address",I116), "\$([A-Z]+)\$[0-9]+"))</f>
        <v/>
      </c>
      <c r="J116" s="7" t="str" cm="1">
        <f t="array" aca="1" ref="J116" ca="1">IFERROR(IF(OR('Raw Data'!J116="",LEN(TRIM('Raw Data'!J116))=0),"",IF(AND(ISNUMBER('Raw Data'!J116), IFERROR('Raw Data'!J116 = ROUND('Raw Data'!J116, 2),FALSE)),"",_xlfn.REGEXEXTRACT(CELL("address",J116), "\$([A-Z]+)\$[0-9]+"))),_xlfn.REGEXEXTRACT(CELL("address",J116), "\$([A-Z]+)\$[0-9]+"))</f>
        <v/>
      </c>
      <c r="K116" s="7" t="str" cm="1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7" t="str" cm="1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7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7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7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7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 cm="1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7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7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7" t="str" cm="1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7" t="str" cm="1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  <c r="Z116" s="7" t="str" cm="1">
        <f t="array" aca="1" ref="Z116" ca="1">IFERROR(IF(OR('Raw Data'!Z116="",LEN(TRIM('Raw Data'!Z116))=0),"",IF(AND(ISNUMBER('Raw Data'!Z116), IFERROR('Raw Data'!Z116 = ROUND('Raw Data'!Z116, 2),FALSE)),"",_xlfn.REGEXEXTRACT(CELL("address",Z116), "\$([A-Z]+)\$[0-9]+"))),_xlfn.REGEXEXTRACT(CELL("address",Z116), "\$([A-Z]+)\$[0-9]+"))</f>
        <v/>
      </c>
      <c r="AA116" s="7" t="str" cm="1">
        <f t="array" aca="1" ref="AA116" ca="1">IFERROR(IF(OR('Raw Data'!AA116="",LEN(TRIM('Raw Data'!AA116))=0),"",IF(AND(ISNUMBER('Raw Data'!AA116), IFERROR('Raw Data'!AA116 = ROUND('Raw Data'!AA116, 2),FALSE)),"",_xlfn.REGEXEXTRACT(CELL("address",AA116), "\$([A-Z]+)\$[0-9]+"))),_xlfn.REGEXEXTRACT(CELL("address",AA116), "\$([A-Z]+)\$[0-9]+"))</f>
        <v/>
      </c>
      <c r="AB116" s="7" t="str" cm="1">
        <f t="array" aca="1" ref="AB116" ca="1">IFERROR(IF(OR('Raw Data'!AB116="",LEN(TRIM('Raw Data'!AB116))=0),"",IF(AND(ISNUMBER('Raw Data'!AB116), IFERROR('Raw Data'!AB116 = ROUND('Raw Data'!AB116, 2),FALSE)),"",_xlfn.REGEXEXTRACT(CELL("address",AB116), "\$([A-Z]+)\$[0-9]+"))),_xlfn.REGEXEXTRACT(CELL("address",AB116), "\$([A-Z]+)\$[0-9]+"))</f>
        <v/>
      </c>
      <c r="AC116" s="7" t="str" cm="1">
        <f t="array" aca="1" ref="AC116" ca="1">IFERROR(IF(OR('Raw Data'!AC116="",LEN(TRIM('Raw Data'!AC116))=0),"",IF(AND(ISNUMBER('Raw Data'!AC116), IFERROR('Raw Data'!AC116 = ROUND('Raw Data'!AC116, 2),FALSE)),"",_xlfn.REGEXEXTRACT(CELL("address",AC116), "\$([A-Z]+)\$[0-9]+"))),_xlfn.REGEXEXTRACT(CELL("address",AC116), "\$([A-Z]+)\$[0-9]+"))</f>
        <v/>
      </c>
      <c r="AD116" s="7" t="str" cm="1">
        <f t="array" aca="1" ref="AD116" ca="1">IFERROR(IF(OR('Raw Data'!AD116="",LEN(TRIM('Raw Data'!AD116))=0),"",IF(AND(ISNUMBER('Raw Data'!AD116), IFERROR('Raw Data'!AD116 = ROUND('Raw Data'!AD116, 2),FALSE)),"",_xlfn.REGEXEXTRACT(CELL("address",AD116), "\$([A-Z]+)\$[0-9]+"))),_xlfn.REGEXEXTRACT(CELL("address",AD116), "\$([A-Z]+)\$[0-9]+"))</f>
        <v/>
      </c>
      <c r="AE116" s="7" t="str" cm="1">
        <f t="array" aca="1" ref="AE116" ca="1">IFERROR(IF(OR('Raw Data'!AE116="",LEN(TRIM('Raw Data'!AE116))=0),"",IF(AND(ISNUMBER('Raw Data'!AE116), IFERROR('Raw Data'!AE116 = ROUND('Raw Data'!AE116, 2),FALSE)),"",_xlfn.REGEXEXTRACT(CELL("address",AE116), "\$([A-Z]+)\$[0-9]+"))),_xlfn.REGEXEXTRACT(CELL("address",AE116), "\$([A-Z]+)\$[0-9]+"))</f>
        <v/>
      </c>
      <c r="AF116" s="7" t="str" cm="1">
        <f t="array" aca="1" ref="AF116" ca="1">IFERROR(IF(OR('Raw Data'!AF116="",LEN(TRIM('Raw Data'!AF116))=0),"",IF(AND(ISNUMBER('Raw Data'!AF116), IFERROR('Raw Data'!AF116 = ROUND('Raw Data'!AF116, 2),FALSE)),"",_xlfn.REGEXEXTRACT(CELL("address",AF116), "\$([A-Z]+)\$[0-9]+"))),_xlfn.REGEXEXTRACT(CELL("address",AF116), "\$([A-Z]+)\$[0-9]+"))</f>
        <v/>
      </c>
      <c r="AG116" s="7" t="str" cm="1">
        <f t="array" aca="1" ref="AG116" ca="1">IFERROR(IF(OR('Raw Data'!AG116="",LEN(TRIM('Raw Data'!AG116))=0),"",IF(AND(ISNUMBER('Raw Data'!AG116), IFERROR('Raw Data'!AG116 = ROUND('Raw Data'!AG116, 2),FALSE)),"",_xlfn.REGEXEXTRACT(CELL("address",AG116), "\$([A-Z]+)\$[0-9]+"))),_xlfn.REGEXEXTRACT(CELL("address",AG116), "\$([A-Z]+)\$[0-9]+"))</f>
        <v/>
      </c>
      <c r="AH116" s="7" t="str" cm="1">
        <f t="array" aca="1" ref="AH116" ca="1">IFERROR(IF(OR('Raw Data'!AH116="",LEN(TRIM('Raw Data'!AH116))=0),"",IF(AND(ISNUMBER('Raw Data'!AH116), IFERROR('Raw Data'!AH116 = ROUND('Raw Data'!AH116, 2),FALSE)),"",_xlfn.REGEXEXTRACT(CELL("address",AH116), "\$([A-Z]+)\$[0-9]+"))),_xlfn.REGEXEXTRACT(CELL("address",AH116), "\$([A-Z]+)\$[0-9]+"))</f>
        <v/>
      </c>
      <c r="AI116" s="7" t="str" cm="1">
        <f t="array" aca="1" ref="AI116" ca="1">IFERROR(IF(OR('Raw Data'!AI116="",LEN(TRIM('Raw Data'!AI116))=0),"",IF(AND(ISNUMBER('Raw Data'!AI116), IFERROR('Raw Data'!AI116 = ROUND('Raw Data'!AI116, 2),FALSE)),"",_xlfn.REGEXEXTRACT(CELL("address",AI116), "\$([A-Z]+)\$[0-9]+"))),_xlfn.REGEXEXTRACT(CELL("address",AI116), "\$([A-Z]+)\$[0-9]+"))</f>
        <v/>
      </c>
      <c r="AJ116" s="7" t="str" cm="1">
        <f t="array" aca="1" ref="AJ116" ca="1">IFERROR(IF(OR('Raw Data'!AJ116="",LEN(TRIM('Raw Data'!AJ116))=0),"",IF(AND(ISNUMBER('Raw Data'!AJ116), IFERROR('Raw Data'!AJ116 = ROUND('Raw Data'!AJ116, 2),FALSE)),"",_xlfn.REGEXEXTRACT(CELL("address",AJ116), "\$([A-Z]+)\$[0-9]+"))),_xlfn.REGEXEXTRACT(CELL("address",AJ116), "\$([A-Z]+)\$[0-9]+"))</f>
        <v/>
      </c>
    </row>
    <row r="117" spans="2:36" x14ac:dyDescent="0.25">
      <c r="B117" s="7" t="str" cm="1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20,LEN('Raw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Data'!D117))=0),"",IF(AND(ISNUMBER('Raw Data'!D117),'Raw Data'!D117&gt;=Configuration!$D$2),"",_xlfn.REGEXEXTRACT(CELL("address",'Raw Data'!D117),"\$([A-Z]+)\$[0-9]+"))),_xlfn.REGEXEXTRACT(CELL("address",D117), "\$([A-Z]+)\$[0-9]+"))</f>
        <v/>
      </c>
      <c r="E117" s="7" t="str" cm="1">
        <f t="array" aca="1" ref="E117" ca="1">IFERROR(IF(OR('Raw Data'!E117="",LEN(TRIM('Raw Data'!E117))=0),"",IF(AND(ISNUMBER('Raw Data'!E117), IFERROR('Raw Data'!E117 = ROUND('Raw Data'!E117, 2),FALSE)),"",_xlfn.REGEXEXTRACT(CELL("address",E117), "\$([A-Z]+)\$[0-9]+"))),_xlfn.REGEXEXTRACT(CELL("address",E117), "\$([A-Z]+)\$[0-9]+"))</f>
        <v/>
      </c>
      <c r="F117" s="7" t="str" cm="1">
        <f t="array" aca="1" ref="F117" ca="1">IFERROR(IF(OR('Raw Data'!F117="",LEN(TRIM('Raw Data'!F117))=0),"",IF(AND(ISNUMBER('Raw Data'!F117), IFERROR('Raw Data'!F117 = ROUND('Raw Data'!F117, 2),FALSE)),"",_xlfn.REGEXEXTRACT(CELL("address",F117), "\$([A-Z]+)\$[0-9]+"))),_xlfn.REGEXEXTRACT(CELL("address",F117), "\$([A-Z]+)\$[0-9]+"))</f>
        <v/>
      </c>
      <c r="G117" s="7" t="str" cm="1">
        <f t="array" aca="1" ref="G117" ca="1">IFERROR(IF(OR('Raw Data'!G117="",LEN(TRIM('Raw Data'!G117))=0),"",IF(AND(ISNUMBER('Raw Data'!G117), IFERROR('Raw Data'!G117 = ROUND('Raw Data'!G117, 2),FALSE)),"",_xlfn.REGEXEXTRACT(CELL("address",G117), "\$([A-Z]+)\$[0-9]+"))),_xlfn.REGEXEXTRACT(CELL("address",G117), "\$([A-Z]+)\$[0-9]+"))</f>
        <v/>
      </c>
      <c r="H117" s="7" t="str" cm="1">
        <f t="array" aca="1" ref="H117" ca="1">IFERROR(IF(OR('Raw Data'!H117="",LEN(TRIM('Raw Data'!H117))=0),"",IF(AND(ISNUMBER('Raw Data'!H117), IFERROR('Raw Data'!H117 = ROUND('Raw Data'!H117, 2),FALSE)),"",_xlfn.REGEXEXTRACT(CELL("address",H117), "\$([A-Z]+)\$[0-9]+"))),_xlfn.REGEXEXTRACT(CELL("address",H117), "\$([A-Z]+)\$[0-9]+"))</f>
        <v/>
      </c>
      <c r="I117" s="7" t="str" cm="1">
        <f t="array" aca="1" ref="I117" ca="1">IFERROR(IF(OR('Raw Data'!I117="",LEN(TRIM('Raw Data'!I117))=0),"",IF(AND(ISNUMBER('Raw Data'!I117), IFERROR('Raw Data'!I117 = ROUND('Raw Data'!I117, 2),FALSE)),"",_xlfn.REGEXEXTRACT(CELL("address",I117), "\$([A-Z]+)\$[0-9]+"))),_xlfn.REGEXEXTRACT(CELL("address",I117), "\$([A-Z]+)\$[0-9]+"))</f>
        <v/>
      </c>
      <c r="J117" s="7" t="str" cm="1">
        <f t="array" aca="1" ref="J117" ca="1">IFERROR(IF(OR('Raw Data'!J117="",LEN(TRIM('Raw Data'!J117))=0),"",IF(AND(ISNUMBER('Raw Data'!J117), IFERROR('Raw Data'!J117 = ROUND('Raw Data'!J117, 2),FALSE)),"",_xlfn.REGEXEXTRACT(CELL("address",J117), "\$([A-Z]+)\$[0-9]+"))),_xlfn.REGEXEXTRACT(CELL("address",J117), "\$([A-Z]+)\$[0-9]+"))</f>
        <v/>
      </c>
      <c r="K117" s="7" t="str" cm="1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7" t="str" cm="1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7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7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7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7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 cm="1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7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7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7" t="str" cm="1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7" t="str" cm="1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  <c r="Z117" s="7" t="str" cm="1">
        <f t="array" aca="1" ref="Z117" ca="1">IFERROR(IF(OR('Raw Data'!Z117="",LEN(TRIM('Raw Data'!Z117))=0),"",IF(AND(ISNUMBER('Raw Data'!Z117), IFERROR('Raw Data'!Z117 = ROUND('Raw Data'!Z117, 2),FALSE)),"",_xlfn.REGEXEXTRACT(CELL("address",Z117), "\$([A-Z]+)\$[0-9]+"))),_xlfn.REGEXEXTRACT(CELL("address",Z117), "\$([A-Z]+)\$[0-9]+"))</f>
        <v/>
      </c>
      <c r="AA117" s="7" t="str" cm="1">
        <f t="array" aca="1" ref="AA117" ca="1">IFERROR(IF(OR('Raw Data'!AA117="",LEN(TRIM('Raw Data'!AA117))=0),"",IF(AND(ISNUMBER('Raw Data'!AA117), IFERROR('Raw Data'!AA117 = ROUND('Raw Data'!AA117, 2),FALSE)),"",_xlfn.REGEXEXTRACT(CELL("address",AA117), "\$([A-Z]+)\$[0-9]+"))),_xlfn.REGEXEXTRACT(CELL("address",AA117), "\$([A-Z]+)\$[0-9]+"))</f>
        <v/>
      </c>
      <c r="AB117" s="7" t="str" cm="1">
        <f t="array" aca="1" ref="AB117" ca="1">IFERROR(IF(OR('Raw Data'!AB117="",LEN(TRIM('Raw Data'!AB117))=0),"",IF(AND(ISNUMBER('Raw Data'!AB117), IFERROR('Raw Data'!AB117 = ROUND('Raw Data'!AB117, 2),FALSE)),"",_xlfn.REGEXEXTRACT(CELL("address",AB117), "\$([A-Z]+)\$[0-9]+"))),_xlfn.REGEXEXTRACT(CELL("address",AB117), "\$([A-Z]+)\$[0-9]+"))</f>
        <v/>
      </c>
      <c r="AC117" s="7" t="str" cm="1">
        <f t="array" aca="1" ref="AC117" ca="1">IFERROR(IF(OR('Raw Data'!AC117="",LEN(TRIM('Raw Data'!AC117))=0),"",IF(AND(ISNUMBER('Raw Data'!AC117), IFERROR('Raw Data'!AC117 = ROUND('Raw Data'!AC117, 2),FALSE)),"",_xlfn.REGEXEXTRACT(CELL("address",AC117), "\$([A-Z]+)\$[0-9]+"))),_xlfn.REGEXEXTRACT(CELL("address",AC117), "\$([A-Z]+)\$[0-9]+"))</f>
        <v/>
      </c>
      <c r="AD117" s="7" t="str" cm="1">
        <f t="array" aca="1" ref="AD117" ca="1">IFERROR(IF(OR('Raw Data'!AD117="",LEN(TRIM('Raw Data'!AD117))=0),"",IF(AND(ISNUMBER('Raw Data'!AD117), IFERROR('Raw Data'!AD117 = ROUND('Raw Data'!AD117, 2),FALSE)),"",_xlfn.REGEXEXTRACT(CELL("address",AD117), "\$([A-Z]+)\$[0-9]+"))),_xlfn.REGEXEXTRACT(CELL("address",AD117), "\$([A-Z]+)\$[0-9]+"))</f>
        <v/>
      </c>
      <c r="AE117" s="7" t="str" cm="1">
        <f t="array" aca="1" ref="AE117" ca="1">IFERROR(IF(OR('Raw Data'!AE117="",LEN(TRIM('Raw Data'!AE117))=0),"",IF(AND(ISNUMBER('Raw Data'!AE117), IFERROR('Raw Data'!AE117 = ROUND('Raw Data'!AE117, 2),FALSE)),"",_xlfn.REGEXEXTRACT(CELL("address",AE117), "\$([A-Z]+)\$[0-9]+"))),_xlfn.REGEXEXTRACT(CELL("address",AE117), "\$([A-Z]+)\$[0-9]+"))</f>
        <v/>
      </c>
      <c r="AF117" s="7" t="str" cm="1">
        <f t="array" aca="1" ref="AF117" ca="1">IFERROR(IF(OR('Raw Data'!AF117="",LEN(TRIM('Raw Data'!AF117))=0),"",IF(AND(ISNUMBER('Raw Data'!AF117), IFERROR('Raw Data'!AF117 = ROUND('Raw Data'!AF117, 2),FALSE)),"",_xlfn.REGEXEXTRACT(CELL("address",AF117), "\$([A-Z]+)\$[0-9]+"))),_xlfn.REGEXEXTRACT(CELL("address",AF117), "\$([A-Z]+)\$[0-9]+"))</f>
        <v/>
      </c>
      <c r="AG117" s="7" t="str" cm="1">
        <f t="array" aca="1" ref="AG117" ca="1">IFERROR(IF(OR('Raw Data'!AG117="",LEN(TRIM('Raw Data'!AG117))=0),"",IF(AND(ISNUMBER('Raw Data'!AG117), IFERROR('Raw Data'!AG117 = ROUND('Raw Data'!AG117, 2),FALSE)),"",_xlfn.REGEXEXTRACT(CELL("address",AG117), "\$([A-Z]+)\$[0-9]+"))),_xlfn.REGEXEXTRACT(CELL("address",AG117), "\$([A-Z]+)\$[0-9]+"))</f>
        <v/>
      </c>
      <c r="AH117" s="7" t="str" cm="1">
        <f t="array" aca="1" ref="AH117" ca="1">IFERROR(IF(OR('Raw Data'!AH117="",LEN(TRIM('Raw Data'!AH117))=0),"",IF(AND(ISNUMBER('Raw Data'!AH117), IFERROR('Raw Data'!AH117 = ROUND('Raw Data'!AH117, 2),FALSE)),"",_xlfn.REGEXEXTRACT(CELL("address",AH117), "\$([A-Z]+)\$[0-9]+"))),_xlfn.REGEXEXTRACT(CELL("address",AH117), "\$([A-Z]+)\$[0-9]+"))</f>
        <v/>
      </c>
      <c r="AI117" s="7" t="str" cm="1">
        <f t="array" aca="1" ref="AI117" ca="1">IFERROR(IF(OR('Raw Data'!AI117="",LEN(TRIM('Raw Data'!AI117))=0),"",IF(AND(ISNUMBER('Raw Data'!AI117), IFERROR('Raw Data'!AI117 = ROUND('Raw Data'!AI117, 2),FALSE)),"",_xlfn.REGEXEXTRACT(CELL("address",AI117), "\$([A-Z]+)\$[0-9]+"))),_xlfn.REGEXEXTRACT(CELL("address",AI117), "\$([A-Z]+)\$[0-9]+"))</f>
        <v/>
      </c>
      <c r="AJ117" s="7" t="str" cm="1">
        <f t="array" aca="1" ref="AJ117" ca="1">IFERROR(IF(OR('Raw Data'!AJ117="",LEN(TRIM('Raw Data'!AJ117))=0),"",IF(AND(ISNUMBER('Raw Data'!AJ117), IFERROR('Raw Data'!AJ117 = ROUND('Raw Data'!AJ117, 2),FALSE)),"",_xlfn.REGEXEXTRACT(CELL("address",AJ117), "\$([A-Z]+)\$[0-9]+"))),_xlfn.REGEXEXTRACT(CELL("address",AJ117), "\$([A-Z]+)\$[0-9]+"))</f>
        <v/>
      </c>
    </row>
    <row r="118" spans="2:36" x14ac:dyDescent="0.25">
      <c r="B118" s="7" t="str" cm="1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20,LEN('Raw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Data'!D118))=0),"",IF(AND(ISNUMBER('Raw Data'!D118),'Raw Data'!D118&gt;=Configuration!$D$2),"",_xlfn.REGEXEXTRACT(CELL("address",'Raw Data'!D118),"\$([A-Z]+)\$[0-9]+"))),_xlfn.REGEXEXTRACT(CELL("address",D118), "\$([A-Z]+)\$[0-9]+"))</f>
        <v/>
      </c>
      <c r="E118" s="7" t="str" cm="1">
        <f t="array" aca="1" ref="E118" ca="1">IFERROR(IF(OR('Raw Data'!E118="",LEN(TRIM('Raw Data'!E118))=0),"",IF(AND(ISNUMBER('Raw Data'!E118), IFERROR('Raw Data'!E118 = ROUND('Raw Data'!E118, 2),FALSE)),"",_xlfn.REGEXEXTRACT(CELL("address",E118), "\$([A-Z]+)\$[0-9]+"))),_xlfn.REGEXEXTRACT(CELL("address",E118), "\$([A-Z]+)\$[0-9]+"))</f>
        <v/>
      </c>
      <c r="F118" s="7" t="str" cm="1">
        <f t="array" aca="1" ref="F118" ca="1">IFERROR(IF(OR('Raw Data'!F118="",LEN(TRIM('Raw Data'!F118))=0),"",IF(AND(ISNUMBER('Raw Data'!F118), IFERROR('Raw Data'!F118 = ROUND('Raw Data'!F118, 2),FALSE)),"",_xlfn.REGEXEXTRACT(CELL("address",F118), "\$([A-Z]+)\$[0-9]+"))),_xlfn.REGEXEXTRACT(CELL("address",F118), "\$([A-Z]+)\$[0-9]+"))</f>
        <v/>
      </c>
      <c r="G118" s="7" t="str" cm="1">
        <f t="array" aca="1" ref="G118" ca="1">IFERROR(IF(OR('Raw Data'!G118="",LEN(TRIM('Raw Data'!G118))=0),"",IF(AND(ISNUMBER('Raw Data'!G118), IFERROR('Raw Data'!G118 = ROUND('Raw Data'!G118, 2),FALSE)),"",_xlfn.REGEXEXTRACT(CELL("address",G118), "\$([A-Z]+)\$[0-9]+"))),_xlfn.REGEXEXTRACT(CELL("address",G118), "\$([A-Z]+)\$[0-9]+"))</f>
        <v/>
      </c>
      <c r="H118" s="7" t="str" cm="1">
        <f t="array" aca="1" ref="H118" ca="1">IFERROR(IF(OR('Raw Data'!H118="",LEN(TRIM('Raw Data'!H118))=0),"",IF(AND(ISNUMBER('Raw Data'!H118), IFERROR('Raw Data'!H118 = ROUND('Raw Data'!H118, 2),FALSE)),"",_xlfn.REGEXEXTRACT(CELL("address",H118), "\$([A-Z]+)\$[0-9]+"))),_xlfn.REGEXEXTRACT(CELL("address",H118), "\$([A-Z]+)\$[0-9]+"))</f>
        <v/>
      </c>
      <c r="I118" s="7" t="str" cm="1">
        <f t="array" aca="1" ref="I118" ca="1">IFERROR(IF(OR('Raw Data'!I118="",LEN(TRIM('Raw Data'!I118))=0),"",IF(AND(ISNUMBER('Raw Data'!I118), IFERROR('Raw Data'!I118 = ROUND('Raw Data'!I118, 2),FALSE)),"",_xlfn.REGEXEXTRACT(CELL("address",I118), "\$([A-Z]+)\$[0-9]+"))),_xlfn.REGEXEXTRACT(CELL("address",I118), "\$([A-Z]+)\$[0-9]+"))</f>
        <v/>
      </c>
      <c r="J118" s="7" t="str" cm="1">
        <f t="array" aca="1" ref="J118" ca="1">IFERROR(IF(OR('Raw Data'!J118="",LEN(TRIM('Raw Data'!J118))=0),"",IF(AND(ISNUMBER('Raw Data'!J118), IFERROR('Raw Data'!J118 = ROUND('Raw Data'!J118, 2),FALSE)),"",_xlfn.REGEXEXTRACT(CELL("address",J118), "\$([A-Z]+)\$[0-9]+"))),_xlfn.REGEXEXTRACT(CELL("address",J118), "\$([A-Z]+)\$[0-9]+"))</f>
        <v/>
      </c>
      <c r="K118" s="7" t="str" cm="1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7" t="str" cm="1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7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7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7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7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 cm="1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7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7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7" t="str" cm="1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7" t="str" cm="1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  <c r="Z118" s="7" t="str" cm="1">
        <f t="array" aca="1" ref="Z118" ca="1">IFERROR(IF(OR('Raw Data'!Z118="",LEN(TRIM('Raw Data'!Z118))=0),"",IF(AND(ISNUMBER('Raw Data'!Z118), IFERROR('Raw Data'!Z118 = ROUND('Raw Data'!Z118, 2),FALSE)),"",_xlfn.REGEXEXTRACT(CELL("address",Z118), "\$([A-Z]+)\$[0-9]+"))),_xlfn.REGEXEXTRACT(CELL("address",Z118), "\$([A-Z]+)\$[0-9]+"))</f>
        <v/>
      </c>
      <c r="AA118" s="7" t="str" cm="1">
        <f t="array" aca="1" ref="AA118" ca="1">IFERROR(IF(OR('Raw Data'!AA118="",LEN(TRIM('Raw Data'!AA118))=0),"",IF(AND(ISNUMBER('Raw Data'!AA118), IFERROR('Raw Data'!AA118 = ROUND('Raw Data'!AA118, 2),FALSE)),"",_xlfn.REGEXEXTRACT(CELL("address",AA118), "\$([A-Z]+)\$[0-9]+"))),_xlfn.REGEXEXTRACT(CELL("address",AA118), "\$([A-Z]+)\$[0-9]+"))</f>
        <v/>
      </c>
      <c r="AB118" s="7" t="str" cm="1">
        <f t="array" aca="1" ref="AB118" ca="1">IFERROR(IF(OR('Raw Data'!AB118="",LEN(TRIM('Raw Data'!AB118))=0),"",IF(AND(ISNUMBER('Raw Data'!AB118), IFERROR('Raw Data'!AB118 = ROUND('Raw Data'!AB118, 2),FALSE)),"",_xlfn.REGEXEXTRACT(CELL("address",AB118), "\$([A-Z]+)\$[0-9]+"))),_xlfn.REGEXEXTRACT(CELL("address",AB118), "\$([A-Z]+)\$[0-9]+"))</f>
        <v/>
      </c>
      <c r="AC118" s="7" t="str" cm="1">
        <f t="array" aca="1" ref="AC118" ca="1">IFERROR(IF(OR('Raw Data'!AC118="",LEN(TRIM('Raw Data'!AC118))=0),"",IF(AND(ISNUMBER('Raw Data'!AC118), IFERROR('Raw Data'!AC118 = ROUND('Raw Data'!AC118, 2),FALSE)),"",_xlfn.REGEXEXTRACT(CELL("address",AC118), "\$([A-Z]+)\$[0-9]+"))),_xlfn.REGEXEXTRACT(CELL("address",AC118), "\$([A-Z]+)\$[0-9]+"))</f>
        <v/>
      </c>
      <c r="AD118" s="7" t="str" cm="1">
        <f t="array" aca="1" ref="AD118" ca="1">IFERROR(IF(OR('Raw Data'!AD118="",LEN(TRIM('Raw Data'!AD118))=0),"",IF(AND(ISNUMBER('Raw Data'!AD118), IFERROR('Raw Data'!AD118 = ROUND('Raw Data'!AD118, 2),FALSE)),"",_xlfn.REGEXEXTRACT(CELL("address",AD118), "\$([A-Z]+)\$[0-9]+"))),_xlfn.REGEXEXTRACT(CELL("address",AD118), "\$([A-Z]+)\$[0-9]+"))</f>
        <v/>
      </c>
      <c r="AE118" s="7" t="str" cm="1">
        <f t="array" aca="1" ref="AE118" ca="1">IFERROR(IF(OR('Raw Data'!AE118="",LEN(TRIM('Raw Data'!AE118))=0),"",IF(AND(ISNUMBER('Raw Data'!AE118), IFERROR('Raw Data'!AE118 = ROUND('Raw Data'!AE118, 2),FALSE)),"",_xlfn.REGEXEXTRACT(CELL("address",AE118), "\$([A-Z]+)\$[0-9]+"))),_xlfn.REGEXEXTRACT(CELL("address",AE118), "\$([A-Z]+)\$[0-9]+"))</f>
        <v/>
      </c>
      <c r="AF118" s="7" t="str" cm="1">
        <f t="array" aca="1" ref="AF118" ca="1">IFERROR(IF(OR('Raw Data'!AF118="",LEN(TRIM('Raw Data'!AF118))=0),"",IF(AND(ISNUMBER('Raw Data'!AF118), IFERROR('Raw Data'!AF118 = ROUND('Raw Data'!AF118, 2),FALSE)),"",_xlfn.REGEXEXTRACT(CELL("address",AF118), "\$([A-Z]+)\$[0-9]+"))),_xlfn.REGEXEXTRACT(CELL("address",AF118), "\$([A-Z]+)\$[0-9]+"))</f>
        <v/>
      </c>
      <c r="AG118" s="7" t="str" cm="1">
        <f t="array" aca="1" ref="AG118" ca="1">IFERROR(IF(OR('Raw Data'!AG118="",LEN(TRIM('Raw Data'!AG118))=0),"",IF(AND(ISNUMBER('Raw Data'!AG118), IFERROR('Raw Data'!AG118 = ROUND('Raw Data'!AG118, 2),FALSE)),"",_xlfn.REGEXEXTRACT(CELL("address",AG118), "\$([A-Z]+)\$[0-9]+"))),_xlfn.REGEXEXTRACT(CELL("address",AG118), "\$([A-Z]+)\$[0-9]+"))</f>
        <v/>
      </c>
      <c r="AH118" s="7" t="str" cm="1">
        <f t="array" aca="1" ref="AH118" ca="1">IFERROR(IF(OR('Raw Data'!AH118="",LEN(TRIM('Raw Data'!AH118))=0),"",IF(AND(ISNUMBER('Raw Data'!AH118), IFERROR('Raw Data'!AH118 = ROUND('Raw Data'!AH118, 2),FALSE)),"",_xlfn.REGEXEXTRACT(CELL("address",AH118), "\$([A-Z]+)\$[0-9]+"))),_xlfn.REGEXEXTRACT(CELL("address",AH118), "\$([A-Z]+)\$[0-9]+"))</f>
        <v/>
      </c>
      <c r="AI118" s="7" t="str" cm="1">
        <f t="array" aca="1" ref="AI118" ca="1">IFERROR(IF(OR('Raw Data'!AI118="",LEN(TRIM('Raw Data'!AI118))=0),"",IF(AND(ISNUMBER('Raw Data'!AI118), IFERROR('Raw Data'!AI118 = ROUND('Raw Data'!AI118, 2),FALSE)),"",_xlfn.REGEXEXTRACT(CELL("address",AI118), "\$([A-Z]+)\$[0-9]+"))),_xlfn.REGEXEXTRACT(CELL("address",AI118), "\$([A-Z]+)\$[0-9]+"))</f>
        <v/>
      </c>
      <c r="AJ118" s="7" t="str" cm="1">
        <f t="array" aca="1" ref="AJ118" ca="1">IFERROR(IF(OR('Raw Data'!AJ118="",LEN(TRIM('Raw Data'!AJ118))=0),"",IF(AND(ISNUMBER('Raw Data'!AJ118), IFERROR('Raw Data'!AJ118 = ROUND('Raw Data'!AJ118, 2),FALSE)),"",_xlfn.REGEXEXTRACT(CELL("address",AJ118), "\$([A-Z]+)\$[0-9]+"))),_xlfn.REGEXEXTRACT(CELL("address",AJ118), "\$([A-Z]+)\$[0-9]+"))</f>
        <v/>
      </c>
    </row>
    <row r="119" spans="2:36" x14ac:dyDescent="0.25">
      <c r="B119" s="7" t="str" cm="1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20,LEN('Raw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Data'!D119))=0),"",IF(AND(ISNUMBER('Raw Data'!D119),'Raw Data'!D119&gt;=Configuration!$D$2),"",_xlfn.REGEXEXTRACT(CELL("address",'Raw Data'!D119),"\$([A-Z]+)\$[0-9]+"))),_xlfn.REGEXEXTRACT(CELL("address",D119), "\$([A-Z]+)\$[0-9]+"))</f>
        <v/>
      </c>
      <c r="E119" s="7" t="str" cm="1">
        <f t="array" aca="1" ref="E119" ca="1">IFERROR(IF(OR('Raw Data'!E119="",LEN(TRIM('Raw Data'!E119))=0),"",IF(AND(ISNUMBER('Raw Data'!E119), IFERROR('Raw Data'!E119 = ROUND('Raw Data'!E119, 2),FALSE)),"",_xlfn.REGEXEXTRACT(CELL("address",E119), "\$([A-Z]+)\$[0-9]+"))),_xlfn.REGEXEXTRACT(CELL("address",E119), "\$([A-Z]+)\$[0-9]+"))</f>
        <v/>
      </c>
      <c r="F119" s="7" t="str" cm="1">
        <f t="array" aca="1" ref="F119" ca="1">IFERROR(IF(OR('Raw Data'!F119="",LEN(TRIM('Raw Data'!F119))=0),"",IF(AND(ISNUMBER('Raw Data'!F119), IFERROR('Raw Data'!F119 = ROUND('Raw Data'!F119, 2),FALSE)),"",_xlfn.REGEXEXTRACT(CELL("address",F119), "\$([A-Z]+)\$[0-9]+"))),_xlfn.REGEXEXTRACT(CELL("address",F119), "\$([A-Z]+)\$[0-9]+"))</f>
        <v/>
      </c>
      <c r="G119" s="7" t="str" cm="1">
        <f t="array" aca="1" ref="G119" ca="1">IFERROR(IF(OR('Raw Data'!G119="",LEN(TRIM('Raw Data'!G119))=0),"",IF(AND(ISNUMBER('Raw Data'!G119), IFERROR('Raw Data'!G119 = ROUND('Raw Data'!G119, 2),FALSE)),"",_xlfn.REGEXEXTRACT(CELL("address",G119), "\$([A-Z]+)\$[0-9]+"))),_xlfn.REGEXEXTRACT(CELL("address",G119), "\$([A-Z]+)\$[0-9]+"))</f>
        <v/>
      </c>
      <c r="H119" s="7" t="str" cm="1">
        <f t="array" aca="1" ref="H119" ca="1">IFERROR(IF(OR('Raw Data'!H119="",LEN(TRIM('Raw Data'!H119))=0),"",IF(AND(ISNUMBER('Raw Data'!H119), IFERROR('Raw Data'!H119 = ROUND('Raw Data'!H119, 2),FALSE)),"",_xlfn.REGEXEXTRACT(CELL("address",H119), "\$([A-Z]+)\$[0-9]+"))),_xlfn.REGEXEXTRACT(CELL("address",H119), "\$([A-Z]+)\$[0-9]+"))</f>
        <v/>
      </c>
      <c r="I119" s="7" t="str" cm="1">
        <f t="array" aca="1" ref="I119" ca="1">IFERROR(IF(OR('Raw Data'!I119="",LEN(TRIM('Raw Data'!I119))=0),"",IF(AND(ISNUMBER('Raw Data'!I119), IFERROR('Raw Data'!I119 = ROUND('Raw Data'!I119, 2),FALSE)),"",_xlfn.REGEXEXTRACT(CELL("address",I119), "\$([A-Z]+)\$[0-9]+"))),_xlfn.REGEXEXTRACT(CELL("address",I119), "\$([A-Z]+)\$[0-9]+"))</f>
        <v/>
      </c>
      <c r="J119" s="7" t="str" cm="1">
        <f t="array" aca="1" ref="J119" ca="1">IFERROR(IF(OR('Raw Data'!J119="",LEN(TRIM('Raw Data'!J119))=0),"",IF(AND(ISNUMBER('Raw Data'!J119), IFERROR('Raw Data'!J119 = ROUND('Raw Data'!J119, 2),FALSE)),"",_xlfn.REGEXEXTRACT(CELL("address",J119), "\$([A-Z]+)\$[0-9]+"))),_xlfn.REGEXEXTRACT(CELL("address",J119), "\$([A-Z]+)\$[0-9]+"))</f>
        <v/>
      </c>
      <c r="K119" s="7" t="str" cm="1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7" t="str" cm="1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7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7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7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7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 cm="1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7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7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7" t="str" cm="1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7" t="str" cm="1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  <c r="Z119" s="7" t="str" cm="1">
        <f t="array" aca="1" ref="Z119" ca="1">IFERROR(IF(OR('Raw Data'!Z119="",LEN(TRIM('Raw Data'!Z119))=0),"",IF(AND(ISNUMBER('Raw Data'!Z119), IFERROR('Raw Data'!Z119 = ROUND('Raw Data'!Z119, 2),FALSE)),"",_xlfn.REGEXEXTRACT(CELL("address",Z119), "\$([A-Z]+)\$[0-9]+"))),_xlfn.REGEXEXTRACT(CELL("address",Z119), "\$([A-Z]+)\$[0-9]+"))</f>
        <v/>
      </c>
      <c r="AA119" s="7" t="str" cm="1">
        <f t="array" aca="1" ref="AA119" ca="1">IFERROR(IF(OR('Raw Data'!AA119="",LEN(TRIM('Raw Data'!AA119))=0),"",IF(AND(ISNUMBER('Raw Data'!AA119), IFERROR('Raw Data'!AA119 = ROUND('Raw Data'!AA119, 2),FALSE)),"",_xlfn.REGEXEXTRACT(CELL("address",AA119), "\$([A-Z]+)\$[0-9]+"))),_xlfn.REGEXEXTRACT(CELL("address",AA119), "\$([A-Z]+)\$[0-9]+"))</f>
        <v/>
      </c>
      <c r="AB119" s="7" t="str" cm="1">
        <f t="array" aca="1" ref="AB119" ca="1">IFERROR(IF(OR('Raw Data'!AB119="",LEN(TRIM('Raw Data'!AB119))=0),"",IF(AND(ISNUMBER('Raw Data'!AB119), IFERROR('Raw Data'!AB119 = ROUND('Raw Data'!AB119, 2),FALSE)),"",_xlfn.REGEXEXTRACT(CELL("address",AB119), "\$([A-Z]+)\$[0-9]+"))),_xlfn.REGEXEXTRACT(CELL("address",AB119), "\$([A-Z]+)\$[0-9]+"))</f>
        <v/>
      </c>
      <c r="AC119" s="7" t="str" cm="1">
        <f t="array" aca="1" ref="AC119" ca="1">IFERROR(IF(OR('Raw Data'!AC119="",LEN(TRIM('Raw Data'!AC119))=0),"",IF(AND(ISNUMBER('Raw Data'!AC119), IFERROR('Raw Data'!AC119 = ROUND('Raw Data'!AC119, 2),FALSE)),"",_xlfn.REGEXEXTRACT(CELL("address",AC119), "\$([A-Z]+)\$[0-9]+"))),_xlfn.REGEXEXTRACT(CELL("address",AC119), "\$([A-Z]+)\$[0-9]+"))</f>
        <v/>
      </c>
      <c r="AD119" s="7" t="str" cm="1">
        <f t="array" aca="1" ref="AD119" ca="1">IFERROR(IF(OR('Raw Data'!AD119="",LEN(TRIM('Raw Data'!AD119))=0),"",IF(AND(ISNUMBER('Raw Data'!AD119), IFERROR('Raw Data'!AD119 = ROUND('Raw Data'!AD119, 2),FALSE)),"",_xlfn.REGEXEXTRACT(CELL("address",AD119), "\$([A-Z]+)\$[0-9]+"))),_xlfn.REGEXEXTRACT(CELL("address",AD119), "\$([A-Z]+)\$[0-9]+"))</f>
        <v/>
      </c>
      <c r="AE119" s="7" t="str" cm="1">
        <f t="array" aca="1" ref="AE119" ca="1">IFERROR(IF(OR('Raw Data'!AE119="",LEN(TRIM('Raw Data'!AE119))=0),"",IF(AND(ISNUMBER('Raw Data'!AE119), IFERROR('Raw Data'!AE119 = ROUND('Raw Data'!AE119, 2),FALSE)),"",_xlfn.REGEXEXTRACT(CELL("address",AE119), "\$([A-Z]+)\$[0-9]+"))),_xlfn.REGEXEXTRACT(CELL("address",AE119), "\$([A-Z]+)\$[0-9]+"))</f>
        <v/>
      </c>
      <c r="AF119" s="7" t="str" cm="1">
        <f t="array" aca="1" ref="AF119" ca="1">IFERROR(IF(OR('Raw Data'!AF119="",LEN(TRIM('Raw Data'!AF119))=0),"",IF(AND(ISNUMBER('Raw Data'!AF119), IFERROR('Raw Data'!AF119 = ROUND('Raw Data'!AF119, 2),FALSE)),"",_xlfn.REGEXEXTRACT(CELL("address",AF119), "\$([A-Z]+)\$[0-9]+"))),_xlfn.REGEXEXTRACT(CELL("address",AF119), "\$([A-Z]+)\$[0-9]+"))</f>
        <v/>
      </c>
      <c r="AG119" s="7" t="str" cm="1">
        <f t="array" aca="1" ref="AG119" ca="1">IFERROR(IF(OR('Raw Data'!AG119="",LEN(TRIM('Raw Data'!AG119))=0),"",IF(AND(ISNUMBER('Raw Data'!AG119), IFERROR('Raw Data'!AG119 = ROUND('Raw Data'!AG119, 2),FALSE)),"",_xlfn.REGEXEXTRACT(CELL("address",AG119), "\$([A-Z]+)\$[0-9]+"))),_xlfn.REGEXEXTRACT(CELL("address",AG119), "\$([A-Z]+)\$[0-9]+"))</f>
        <v/>
      </c>
      <c r="AH119" s="7" t="str" cm="1">
        <f t="array" aca="1" ref="AH119" ca="1">IFERROR(IF(OR('Raw Data'!AH119="",LEN(TRIM('Raw Data'!AH119))=0),"",IF(AND(ISNUMBER('Raw Data'!AH119), IFERROR('Raw Data'!AH119 = ROUND('Raw Data'!AH119, 2),FALSE)),"",_xlfn.REGEXEXTRACT(CELL("address",AH119), "\$([A-Z]+)\$[0-9]+"))),_xlfn.REGEXEXTRACT(CELL("address",AH119), "\$([A-Z]+)\$[0-9]+"))</f>
        <v/>
      </c>
      <c r="AI119" s="7" t="str" cm="1">
        <f t="array" aca="1" ref="AI119" ca="1">IFERROR(IF(OR('Raw Data'!AI119="",LEN(TRIM('Raw Data'!AI119))=0),"",IF(AND(ISNUMBER('Raw Data'!AI119), IFERROR('Raw Data'!AI119 = ROUND('Raw Data'!AI119, 2),FALSE)),"",_xlfn.REGEXEXTRACT(CELL("address",AI119), "\$([A-Z]+)\$[0-9]+"))),_xlfn.REGEXEXTRACT(CELL("address",AI119), "\$([A-Z]+)\$[0-9]+"))</f>
        <v/>
      </c>
      <c r="AJ119" s="7" t="str" cm="1">
        <f t="array" aca="1" ref="AJ119" ca="1">IFERROR(IF(OR('Raw Data'!AJ119="",LEN(TRIM('Raw Data'!AJ119))=0),"",IF(AND(ISNUMBER('Raw Data'!AJ119), IFERROR('Raw Data'!AJ119 = ROUND('Raw Data'!AJ119, 2),FALSE)),"",_xlfn.REGEXEXTRACT(CELL("address",AJ119), "\$([A-Z]+)\$[0-9]+"))),_xlfn.REGEXEXTRACT(CELL("address",AJ119), "\$([A-Z]+)\$[0-9]+"))</f>
        <v/>
      </c>
    </row>
    <row r="120" spans="2:36" x14ac:dyDescent="0.25">
      <c r="B120" s="7" t="str" cm="1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20,LEN('Raw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Data'!D120))=0),"",IF(AND(ISNUMBER('Raw Data'!D120),'Raw Data'!D120&gt;=Configuration!$D$2),"",_xlfn.REGEXEXTRACT(CELL("address",'Raw Data'!D120),"\$([A-Z]+)\$[0-9]+"))),_xlfn.REGEXEXTRACT(CELL("address",D120), "\$([A-Z]+)\$[0-9]+"))</f>
        <v/>
      </c>
      <c r="E120" s="7" t="str" cm="1">
        <f t="array" aca="1" ref="E120" ca="1">IFERROR(IF(OR('Raw Data'!E120="",LEN(TRIM('Raw Data'!E120))=0),"",IF(AND(ISNUMBER('Raw Data'!E120), IFERROR('Raw Data'!E120 = ROUND('Raw Data'!E120, 2),FALSE)),"",_xlfn.REGEXEXTRACT(CELL("address",E120), "\$([A-Z]+)\$[0-9]+"))),_xlfn.REGEXEXTRACT(CELL("address",E120), "\$([A-Z]+)\$[0-9]+"))</f>
        <v/>
      </c>
      <c r="F120" s="7" t="str" cm="1">
        <f t="array" aca="1" ref="F120" ca="1">IFERROR(IF(OR('Raw Data'!F120="",LEN(TRIM('Raw Data'!F120))=0),"",IF(AND(ISNUMBER('Raw Data'!F120), IFERROR('Raw Data'!F120 = ROUND('Raw Data'!F120, 2),FALSE)),"",_xlfn.REGEXEXTRACT(CELL("address",F120), "\$([A-Z]+)\$[0-9]+"))),_xlfn.REGEXEXTRACT(CELL("address",F120), "\$([A-Z]+)\$[0-9]+"))</f>
        <v/>
      </c>
      <c r="G120" s="7" t="str" cm="1">
        <f t="array" aca="1" ref="G120" ca="1">IFERROR(IF(OR('Raw Data'!G120="",LEN(TRIM('Raw Data'!G120))=0),"",IF(AND(ISNUMBER('Raw Data'!G120), IFERROR('Raw Data'!G120 = ROUND('Raw Data'!G120, 2),FALSE)),"",_xlfn.REGEXEXTRACT(CELL("address",G120), "\$([A-Z]+)\$[0-9]+"))),_xlfn.REGEXEXTRACT(CELL("address",G120), "\$([A-Z]+)\$[0-9]+"))</f>
        <v/>
      </c>
      <c r="H120" s="7" t="str" cm="1">
        <f t="array" aca="1" ref="H120" ca="1">IFERROR(IF(OR('Raw Data'!H120="",LEN(TRIM('Raw Data'!H120))=0),"",IF(AND(ISNUMBER('Raw Data'!H120), IFERROR('Raw Data'!H120 = ROUND('Raw Data'!H120, 2),FALSE)),"",_xlfn.REGEXEXTRACT(CELL("address",H120), "\$([A-Z]+)\$[0-9]+"))),_xlfn.REGEXEXTRACT(CELL("address",H120), "\$([A-Z]+)\$[0-9]+"))</f>
        <v/>
      </c>
      <c r="I120" s="7" t="str" cm="1">
        <f t="array" aca="1" ref="I120" ca="1">IFERROR(IF(OR('Raw Data'!I120="",LEN(TRIM('Raw Data'!I120))=0),"",IF(AND(ISNUMBER('Raw Data'!I120), IFERROR('Raw Data'!I120 = ROUND('Raw Data'!I120, 2),FALSE)),"",_xlfn.REGEXEXTRACT(CELL("address",I120), "\$([A-Z]+)\$[0-9]+"))),_xlfn.REGEXEXTRACT(CELL("address",I120), "\$([A-Z]+)\$[0-9]+"))</f>
        <v/>
      </c>
      <c r="J120" s="7" t="str" cm="1">
        <f t="array" aca="1" ref="J120" ca="1">IFERROR(IF(OR('Raw Data'!J120="",LEN(TRIM('Raw Data'!J120))=0),"",IF(AND(ISNUMBER('Raw Data'!J120), IFERROR('Raw Data'!J120 = ROUND('Raw Data'!J120, 2),FALSE)),"",_xlfn.REGEXEXTRACT(CELL("address",J120), "\$([A-Z]+)\$[0-9]+"))),_xlfn.REGEXEXTRACT(CELL("address",J120), "\$([A-Z]+)\$[0-9]+"))</f>
        <v/>
      </c>
      <c r="K120" s="7" t="str" cm="1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7" t="str" cm="1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7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7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7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7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 cm="1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7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7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7" t="str" cm="1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7" t="str" cm="1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  <c r="Z120" s="7" t="str" cm="1">
        <f t="array" aca="1" ref="Z120" ca="1">IFERROR(IF(OR('Raw Data'!Z120="",LEN(TRIM('Raw Data'!Z120))=0),"",IF(AND(ISNUMBER('Raw Data'!Z120), IFERROR('Raw Data'!Z120 = ROUND('Raw Data'!Z120, 2),FALSE)),"",_xlfn.REGEXEXTRACT(CELL("address",Z120), "\$([A-Z]+)\$[0-9]+"))),_xlfn.REGEXEXTRACT(CELL("address",Z120), "\$([A-Z]+)\$[0-9]+"))</f>
        <v/>
      </c>
      <c r="AA120" s="7" t="str" cm="1">
        <f t="array" aca="1" ref="AA120" ca="1">IFERROR(IF(OR('Raw Data'!AA120="",LEN(TRIM('Raw Data'!AA120))=0),"",IF(AND(ISNUMBER('Raw Data'!AA120), IFERROR('Raw Data'!AA120 = ROUND('Raw Data'!AA120, 2),FALSE)),"",_xlfn.REGEXEXTRACT(CELL("address",AA120), "\$([A-Z]+)\$[0-9]+"))),_xlfn.REGEXEXTRACT(CELL("address",AA120), "\$([A-Z]+)\$[0-9]+"))</f>
        <v/>
      </c>
      <c r="AB120" s="7" t="str" cm="1">
        <f t="array" aca="1" ref="AB120" ca="1">IFERROR(IF(OR('Raw Data'!AB120="",LEN(TRIM('Raw Data'!AB120))=0),"",IF(AND(ISNUMBER('Raw Data'!AB120), IFERROR('Raw Data'!AB120 = ROUND('Raw Data'!AB120, 2),FALSE)),"",_xlfn.REGEXEXTRACT(CELL("address",AB120), "\$([A-Z]+)\$[0-9]+"))),_xlfn.REGEXEXTRACT(CELL("address",AB120), "\$([A-Z]+)\$[0-9]+"))</f>
        <v/>
      </c>
      <c r="AC120" s="7" t="str" cm="1">
        <f t="array" aca="1" ref="AC120" ca="1">IFERROR(IF(OR('Raw Data'!AC120="",LEN(TRIM('Raw Data'!AC120))=0),"",IF(AND(ISNUMBER('Raw Data'!AC120), IFERROR('Raw Data'!AC120 = ROUND('Raw Data'!AC120, 2),FALSE)),"",_xlfn.REGEXEXTRACT(CELL("address",AC120), "\$([A-Z]+)\$[0-9]+"))),_xlfn.REGEXEXTRACT(CELL("address",AC120), "\$([A-Z]+)\$[0-9]+"))</f>
        <v/>
      </c>
      <c r="AD120" s="7" t="str" cm="1">
        <f t="array" aca="1" ref="AD120" ca="1">IFERROR(IF(OR('Raw Data'!AD120="",LEN(TRIM('Raw Data'!AD120))=0),"",IF(AND(ISNUMBER('Raw Data'!AD120), IFERROR('Raw Data'!AD120 = ROUND('Raw Data'!AD120, 2),FALSE)),"",_xlfn.REGEXEXTRACT(CELL("address",AD120), "\$([A-Z]+)\$[0-9]+"))),_xlfn.REGEXEXTRACT(CELL("address",AD120), "\$([A-Z]+)\$[0-9]+"))</f>
        <v/>
      </c>
      <c r="AE120" s="7" t="str" cm="1">
        <f t="array" aca="1" ref="AE120" ca="1">IFERROR(IF(OR('Raw Data'!AE120="",LEN(TRIM('Raw Data'!AE120))=0),"",IF(AND(ISNUMBER('Raw Data'!AE120), IFERROR('Raw Data'!AE120 = ROUND('Raw Data'!AE120, 2),FALSE)),"",_xlfn.REGEXEXTRACT(CELL("address",AE120), "\$([A-Z]+)\$[0-9]+"))),_xlfn.REGEXEXTRACT(CELL("address",AE120), "\$([A-Z]+)\$[0-9]+"))</f>
        <v/>
      </c>
      <c r="AF120" s="7" t="str" cm="1">
        <f t="array" aca="1" ref="AF120" ca="1">IFERROR(IF(OR('Raw Data'!AF120="",LEN(TRIM('Raw Data'!AF120))=0),"",IF(AND(ISNUMBER('Raw Data'!AF120), IFERROR('Raw Data'!AF120 = ROUND('Raw Data'!AF120, 2),FALSE)),"",_xlfn.REGEXEXTRACT(CELL("address",AF120), "\$([A-Z]+)\$[0-9]+"))),_xlfn.REGEXEXTRACT(CELL("address",AF120), "\$([A-Z]+)\$[0-9]+"))</f>
        <v/>
      </c>
      <c r="AG120" s="7" t="str" cm="1">
        <f t="array" aca="1" ref="AG120" ca="1">IFERROR(IF(OR('Raw Data'!AG120="",LEN(TRIM('Raw Data'!AG120))=0),"",IF(AND(ISNUMBER('Raw Data'!AG120), IFERROR('Raw Data'!AG120 = ROUND('Raw Data'!AG120, 2),FALSE)),"",_xlfn.REGEXEXTRACT(CELL("address",AG120), "\$([A-Z]+)\$[0-9]+"))),_xlfn.REGEXEXTRACT(CELL("address",AG120), "\$([A-Z]+)\$[0-9]+"))</f>
        <v/>
      </c>
      <c r="AH120" s="7" t="str" cm="1">
        <f t="array" aca="1" ref="AH120" ca="1">IFERROR(IF(OR('Raw Data'!AH120="",LEN(TRIM('Raw Data'!AH120))=0),"",IF(AND(ISNUMBER('Raw Data'!AH120), IFERROR('Raw Data'!AH120 = ROUND('Raw Data'!AH120, 2),FALSE)),"",_xlfn.REGEXEXTRACT(CELL("address",AH120), "\$([A-Z]+)\$[0-9]+"))),_xlfn.REGEXEXTRACT(CELL("address",AH120), "\$([A-Z]+)\$[0-9]+"))</f>
        <v/>
      </c>
      <c r="AI120" s="7" t="str" cm="1">
        <f t="array" aca="1" ref="AI120" ca="1">IFERROR(IF(OR('Raw Data'!AI120="",LEN(TRIM('Raw Data'!AI120))=0),"",IF(AND(ISNUMBER('Raw Data'!AI120), IFERROR('Raw Data'!AI120 = ROUND('Raw Data'!AI120, 2),FALSE)),"",_xlfn.REGEXEXTRACT(CELL("address",AI120), "\$([A-Z]+)\$[0-9]+"))),_xlfn.REGEXEXTRACT(CELL("address",AI120), "\$([A-Z]+)\$[0-9]+"))</f>
        <v/>
      </c>
      <c r="AJ120" s="7" t="str" cm="1">
        <f t="array" aca="1" ref="AJ120" ca="1">IFERROR(IF(OR('Raw Data'!AJ120="",LEN(TRIM('Raw Data'!AJ120))=0),"",IF(AND(ISNUMBER('Raw Data'!AJ120), IFERROR('Raw Data'!AJ120 = ROUND('Raw Data'!AJ120, 2),FALSE)),"",_xlfn.REGEXEXTRACT(CELL("address",AJ120), "\$([A-Z]+)\$[0-9]+"))),_xlfn.REGEXEXTRACT(CELL("address",AJ120), "\$([A-Z]+)\$[0-9]+"))</f>
        <v/>
      </c>
    </row>
    <row r="121" spans="2:36" x14ac:dyDescent="0.25">
      <c r="B121" s="7" t="str" cm="1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20,LEN('Raw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Data'!D121))=0),"",IF(AND(ISNUMBER('Raw Data'!D121),'Raw Data'!D121&gt;=Configuration!$D$2),"",_xlfn.REGEXEXTRACT(CELL("address",'Raw Data'!D121),"\$([A-Z]+)\$[0-9]+"))),_xlfn.REGEXEXTRACT(CELL("address",D121), "\$([A-Z]+)\$[0-9]+"))</f>
        <v/>
      </c>
      <c r="E121" s="7" t="str" cm="1">
        <f t="array" aca="1" ref="E121" ca="1">IFERROR(IF(OR('Raw Data'!E121="",LEN(TRIM('Raw Data'!E121))=0),"",IF(AND(ISNUMBER('Raw Data'!E121), IFERROR('Raw Data'!E121 = ROUND('Raw Data'!E121, 2),FALSE)),"",_xlfn.REGEXEXTRACT(CELL("address",E121), "\$([A-Z]+)\$[0-9]+"))),_xlfn.REGEXEXTRACT(CELL("address",E121), "\$([A-Z]+)\$[0-9]+"))</f>
        <v/>
      </c>
      <c r="F121" s="7" t="str" cm="1">
        <f t="array" aca="1" ref="F121" ca="1">IFERROR(IF(OR('Raw Data'!F121="",LEN(TRIM('Raw Data'!F121))=0),"",IF(AND(ISNUMBER('Raw Data'!F121), IFERROR('Raw Data'!F121 = ROUND('Raw Data'!F121, 2),FALSE)),"",_xlfn.REGEXEXTRACT(CELL("address",F121), "\$([A-Z]+)\$[0-9]+"))),_xlfn.REGEXEXTRACT(CELL("address",F121), "\$([A-Z]+)\$[0-9]+"))</f>
        <v/>
      </c>
      <c r="G121" s="7" t="str" cm="1">
        <f t="array" aca="1" ref="G121" ca="1">IFERROR(IF(OR('Raw Data'!G121="",LEN(TRIM('Raw Data'!G121))=0),"",IF(AND(ISNUMBER('Raw Data'!G121), IFERROR('Raw Data'!G121 = ROUND('Raw Data'!G121, 2),FALSE)),"",_xlfn.REGEXEXTRACT(CELL("address",G121), "\$([A-Z]+)\$[0-9]+"))),_xlfn.REGEXEXTRACT(CELL("address",G121), "\$([A-Z]+)\$[0-9]+"))</f>
        <v/>
      </c>
      <c r="H121" s="7" t="str" cm="1">
        <f t="array" aca="1" ref="H121" ca="1">IFERROR(IF(OR('Raw Data'!H121="",LEN(TRIM('Raw Data'!H121))=0),"",IF(AND(ISNUMBER('Raw Data'!H121), IFERROR('Raw Data'!H121 = ROUND('Raw Data'!H121, 2),FALSE)),"",_xlfn.REGEXEXTRACT(CELL("address",H121), "\$([A-Z]+)\$[0-9]+"))),_xlfn.REGEXEXTRACT(CELL("address",H121), "\$([A-Z]+)\$[0-9]+"))</f>
        <v/>
      </c>
      <c r="I121" s="7" t="str" cm="1">
        <f t="array" aca="1" ref="I121" ca="1">IFERROR(IF(OR('Raw Data'!I121="",LEN(TRIM('Raw Data'!I121))=0),"",IF(AND(ISNUMBER('Raw Data'!I121), IFERROR('Raw Data'!I121 = ROUND('Raw Data'!I121, 2),FALSE)),"",_xlfn.REGEXEXTRACT(CELL("address",I121), "\$([A-Z]+)\$[0-9]+"))),_xlfn.REGEXEXTRACT(CELL("address",I121), "\$([A-Z]+)\$[0-9]+"))</f>
        <v/>
      </c>
      <c r="J121" s="7" t="str" cm="1">
        <f t="array" aca="1" ref="J121" ca="1">IFERROR(IF(OR('Raw Data'!J121="",LEN(TRIM('Raw Data'!J121))=0),"",IF(AND(ISNUMBER('Raw Data'!J121), IFERROR('Raw Data'!J121 = ROUND('Raw Data'!J121, 2),FALSE)),"",_xlfn.REGEXEXTRACT(CELL("address",J121), "\$([A-Z]+)\$[0-9]+"))),_xlfn.REGEXEXTRACT(CELL("address",J121), "\$([A-Z]+)\$[0-9]+"))</f>
        <v/>
      </c>
      <c r="K121" s="7" t="str" cm="1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7" t="str" cm="1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7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7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7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7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 cm="1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7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7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7" t="str" cm="1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7" t="str" cm="1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  <c r="Z121" s="7" t="str" cm="1">
        <f t="array" aca="1" ref="Z121" ca="1">IFERROR(IF(OR('Raw Data'!Z121="",LEN(TRIM('Raw Data'!Z121))=0),"",IF(AND(ISNUMBER('Raw Data'!Z121), IFERROR('Raw Data'!Z121 = ROUND('Raw Data'!Z121, 2),FALSE)),"",_xlfn.REGEXEXTRACT(CELL("address",Z121), "\$([A-Z]+)\$[0-9]+"))),_xlfn.REGEXEXTRACT(CELL("address",Z121), "\$([A-Z]+)\$[0-9]+"))</f>
        <v/>
      </c>
      <c r="AA121" s="7" t="str" cm="1">
        <f t="array" aca="1" ref="AA121" ca="1">IFERROR(IF(OR('Raw Data'!AA121="",LEN(TRIM('Raw Data'!AA121))=0),"",IF(AND(ISNUMBER('Raw Data'!AA121), IFERROR('Raw Data'!AA121 = ROUND('Raw Data'!AA121, 2),FALSE)),"",_xlfn.REGEXEXTRACT(CELL("address",AA121), "\$([A-Z]+)\$[0-9]+"))),_xlfn.REGEXEXTRACT(CELL("address",AA121), "\$([A-Z]+)\$[0-9]+"))</f>
        <v/>
      </c>
      <c r="AB121" s="7" t="str" cm="1">
        <f t="array" aca="1" ref="AB121" ca="1">IFERROR(IF(OR('Raw Data'!AB121="",LEN(TRIM('Raw Data'!AB121))=0),"",IF(AND(ISNUMBER('Raw Data'!AB121), IFERROR('Raw Data'!AB121 = ROUND('Raw Data'!AB121, 2),FALSE)),"",_xlfn.REGEXEXTRACT(CELL("address",AB121), "\$([A-Z]+)\$[0-9]+"))),_xlfn.REGEXEXTRACT(CELL("address",AB121), "\$([A-Z]+)\$[0-9]+"))</f>
        <v/>
      </c>
      <c r="AC121" s="7" t="str" cm="1">
        <f t="array" aca="1" ref="AC121" ca="1">IFERROR(IF(OR('Raw Data'!AC121="",LEN(TRIM('Raw Data'!AC121))=0),"",IF(AND(ISNUMBER('Raw Data'!AC121), IFERROR('Raw Data'!AC121 = ROUND('Raw Data'!AC121, 2),FALSE)),"",_xlfn.REGEXEXTRACT(CELL("address",AC121), "\$([A-Z]+)\$[0-9]+"))),_xlfn.REGEXEXTRACT(CELL("address",AC121), "\$([A-Z]+)\$[0-9]+"))</f>
        <v/>
      </c>
      <c r="AD121" s="7" t="str" cm="1">
        <f t="array" aca="1" ref="AD121" ca="1">IFERROR(IF(OR('Raw Data'!AD121="",LEN(TRIM('Raw Data'!AD121))=0),"",IF(AND(ISNUMBER('Raw Data'!AD121), IFERROR('Raw Data'!AD121 = ROUND('Raw Data'!AD121, 2),FALSE)),"",_xlfn.REGEXEXTRACT(CELL("address",AD121), "\$([A-Z]+)\$[0-9]+"))),_xlfn.REGEXEXTRACT(CELL("address",AD121), "\$([A-Z]+)\$[0-9]+"))</f>
        <v/>
      </c>
      <c r="AE121" s="7" t="str" cm="1">
        <f t="array" aca="1" ref="AE121" ca="1">IFERROR(IF(OR('Raw Data'!AE121="",LEN(TRIM('Raw Data'!AE121))=0),"",IF(AND(ISNUMBER('Raw Data'!AE121), IFERROR('Raw Data'!AE121 = ROUND('Raw Data'!AE121, 2),FALSE)),"",_xlfn.REGEXEXTRACT(CELL("address",AE121), "\$([A-Z]+)\$[0-9]+"))),_xlfn.REGEXEXTRACT(CELL("address",AE121), "\$([A-Z]+)\$[0-9]+"))</f>
        <v/>
      </c>
      <c r="AF121" s="7" t="str" cm="1">
        <f t="array" aca="1" ref="AF121" ca="1">IFERROR(IF(OR('Raw Data'!AF121="",LEN(TRIM('Raw Data'!AF121))=0),"",IF(AND(ISNUMBER('Raw Data'!AF121), IFERROR('Raw Data'!AF121 = ROUND('Raw Data'!AF121, 2),FALSE)),"",_xlfn.REGEXEXTRACT(CELL("address",AF121), "\$([A-Z]+)\$[0-9]+"))),_xlfn.REGEXEXTRACT(CELL("address",AF121), "\$([A-Z]+)\$[0-9]+"))</f>
        <v/>
      </c>
      <c r="AG121" s="7" t="str" cm="1">
        <f t="array" aca="1" ref="AG121" ca="1">IFERROR(IF(OR('Raw Data'!AG121="",LEN(TRIM('Raw Data'!AG121))=0),"",IF(AND(ISNUMBER('Raw Data'!AG121), IFERROR('Raw Data'!AG121 = ROUND('Raw Data'!AG121, 2),FALSE)),"",_xlfn.REGEXEXTRACT(CELL("address",AG121), "\$([A-Z]+)\$[0-9]+"))),_xlfn.REGEXEXTRACT(CELL("address",AG121), "\$([A-Z]+)\$[0-9]+"))</f>
        <v/>
      </c>
      <c r="AH121" s="7" t="str" cm="1">
        <f t="array" aca="1" ref="AH121" ca="1">IFERROR(IF(OR('Raw Data'!AH121="",LEN(TRIM('Raw Data'!AH121))=0),"",IF(AND(ISNUMBER('Raw Data'!AH121), IFERROR('Raw Data'!AH121 = ROUND('Raw Data'!AH121, 2),FALSE)),"",_xlfn.REGEXEXTRACT(CELL("address",AH121), "\$([A-Z]+)\$[0-9]+"))),_xlfn.REGEXEXTRACT(CELL("address",AH121), "\$([A-Z]+)\$[0-9]+"))</f>
        <v/>
      </c>
      <c r="AI121" s="7" t="str" cm="1">
        <f t="array" aca="1" ref="AI121" ca="1">IFERROR(IF(OR('Raw Data'!AI121="",LEN(TRIM('Raw Data'!AI121))=0),"",IF(AND(ISNUMBER('Raw Data'!AI121), IFERROR('Raw Data'!AI121 = ROUND('Raw Data'!AI121, 2),FALSE)),"",_xlfn.REGEXEXTRACT(CELL("address",AI121), "\$([A-Z]+)\$[0-9]+"))),_xlfn.REGEXEXTRACT(CELL("address",AI121), "\$([A-Z]+)\$[0-9]+"))</f>
        <v/>
      </c>
      <c r="AJ121" s="7" t="str" cm="1">
        <f t="array" aca="1" ref="AJ121" ca="1">IFERROR(IF(OR('Raw Data'!AJ121="",LEN(TRIM('Raw Data'!AJ121))=0),"",IF(AND(ISNUMBER('Raw Data'!AJ121), IFERROR('Raw Data'!AJ121 = ROUND('Raw Data'!AJ121, 2),FALSE)),"",_xlfn.REGEXEXTRACT(CELL("address",AJ121), "\$([A-Z]+)\$[0-9]+"))),_xlfn.REGEXEXTRACT(CELL("address",AJ121), "\$([A-Z]+)\$[0-9]+"))</f>
        <v/>
      </c>
    </row>
    <row r="122" spans="2:36" x14ac:dyDescent="0.25">
      <c r="B122" s="7" t="str" cm="1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20,LEN('Raw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Data'!D122))=0),"",IF(AND(ISNUMBER('Raw Data'!D122),'Raw Data'!D122&gt;=Configuration!$D$2),"",_xlfn.REGEXEXTRACT(CELL("address",'Raw Data'!D122),"\$([A-Z]+)\$[0-9]+"))),_xlfn.REGEXEXTRACT(CELL("address",D122), "\$([A-Z]+)\$[0-9]+"))</f>
        <v/>
      </c>
      <c r="E122" s="7" t="str" cm="1">
        <f t="array" aca="1" ref="E122" ca="1">IFERROR(IF(OR('Raw Data'!E122="",LEN(TRIM('Raw Data'!E122))=0),"",IF(AND(ISNUMBER('Raw Data'!E122), IFERROR('Raw Data'!E122 = ROUND('Raw Data'!E122, 2),FALSE)),"",_xlfn.REGEXEXTRACT(CELL("address",E122), "\$([A-Z]+)\$[0-9]+"))),_xlfn.REGEXEXTRACT(CELL("address",E122), "\$([A-Z]+)\$[0-9]+"))</f>
        <v/>
      </c>
      <c r="F122" s="7" t="str" cm="1">
        <f t="array" aca="1" ref="F122" ca="1">IFERROR(IF(OR('Raw Data'!F122="",LEN(TRIM('Raw Data'!F122))=0),"",IF(AND(ISNUMBER('Raw Data'!F122), IFERROR('Raw Data'!F122 = ROUND('Raw Data'!F122, 2),FALSE)),"",_xlfn.REGEXEXTRACT(CELL("address",F122), "\$([A-Z]+)\$[0-9]+"))),_xlfn.REGEXEXTRACT(CELL("address",F122), "\$([A-Z]+)\$[0-9]+"))</f>
        <v/>
      </c>
      <c r="G122" s="7" t="str" cm="1">
        <f t="array" aca="1" ref="G122" ca="1">IFERROR(IF(OR('Raw Data'!G122="",LEN(TRIM('Raw Data'!G122))=0),"",IF(AND(ISNUMBER('Raw Data'!G122), IFERROR('Raw Data'!G122 = ROUND('Raw Data'!G122, 2),FALSE)),"",_xlfn.REGEXEXTRACT(CELL("address",G122), "\$([A-Z]+)\$[0-9]+"))),_xlfn.REGEXEXTRACT(CELL("address",G122), "\$([A-Z]+)\$[0-9]+"))</f>
        <v/>
      </c>
      <c r="H122" s="7" t="str" cm="1">
        <f t="array" aca="1" ref="H122" ca="1">IFERROR(IF(OR('Raw Data'!H122="",LEN(TRIM('Raw Data'!H122))=0),"",IF(AND(ISNUMBER('Raw Data'!H122), IFERROR('Raw Data'!H122 = ROUND('Raw Data'!H122, 2),FALSE)),"",_xlfn.REGEXEXTRACT(CELL("address",H122), "\$([A-Z]+)\$[0-9]+"))),_xlfn.REGEXEXTRACT(CELL("address",H122), "\$([A-Z]+)\$[0-9]+"))</f>
        <v/>
      </c>
      <c r="I122" s="7" t="str" cm="1">
        <f t="array" aca="1" ref="I122" ca="1">IFERROR(IF(OR('Raw Data'!I122="",LEN(TRIM('Raw Data'!I122))=0),"",IF(AND(ISNUMBER('Raw Data'!I122), IFERROR('Raw Data'!I122 = ROUND('Raw Data'!I122, 2),FALSE)),"",_xlfn.REGEXEXTRACT(CELL("address",I122), "\$([A-Z]+)\$[0-9]+"))),_xlfn.REGEXEXTRACT(CELL("address",I122), "\$([A-Z]+)\$[0-9]+"))</f>
        <v/>
      </c>
      <c r="J122" s="7" t="str" cm="1">
        <f t="array" aca="1" ref="J122" ca="1">IFERROR(IF(OR('Raw Data'!J122="",LEN(TRIM('Raw Data'!J122))=0),"",IF(AND(ISNUMBER('Raw Data'!J122), IFERROR('Raw Data'!J122 = ROUND('Raw Data'!J122, 2),FALSE)),"",_xlfn.REGEXEXTRACT(CELL("address",J122), "\$([A-Z]+)\$[0-9]+"))),_xlfn.REGEXEXTRACT(CELL("address",J122), "\$([A-Z]+)\$[0-9]+"))</f>
        <v/>
      </c>
      <c r="K122" s="7" t="str" cm="1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7" t="str" cm="1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7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7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7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7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 cm="1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7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7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7" t="str" cm="1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7" t="str" cm="1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  <c r="Z122" s="7" t="str" cm="1">
        <f t="array" aca="1" ref="Z122" ca="1">IFERROR(IF(OR('Raw Data'!Z122="",LEN(TRIM('Raw Data'!Z122))=0),"",IF(AND(ISNUMBER('Raw Data'!Z122), IFERROR('Raw Data'!Z122 = ROUND('Raw Data'!Z122, 2),FALSE)),"",_xlfn.REGEXEXTRACT(CELL("address",Z122), "\$([A-Z]+)\$[0-9]+"))),_xlfn.REGEXEXTRACT(CELL("address",Z122), "\$([A-Z]+)\$[0-9]+"))</f>
        <v/>
      </c>
      <c r="AA122" s="7" t="str" cm="1">
        <f t="array" aca="1" ref="AA122" ca="1">IFERROR(IF(OR('Raw Data'!AA122="",LEN(TRIM('Raw Data'!AA122))=0),"",IF(AND(ISNUMBER('Raw Data'!AA122), IFERROR('Raw Data'!AA122 = ROUND('Raw Data'!AA122, 2),FALSE)),"",_xlfn.REGEXEXTRACT(CELL("address",AA122), "\$([A-Z]+)\$[0-9]+"))),_xlfn.REGEXEXTRACT(CELL("address",AA122), "\$([A-Z]+)\$[0-9]+"))</f>
        <v/>
      </c>
      <c r="AB122" s="7" t="str" cm="1">
        <f t="array" aca="1" ref="AB122" ca="1">IFERROR(IF(OR('Raw Data'!AB122="",LEN(TRIM('Raw Data'!AB122))=0),"",IF(AND(ISNUMBER('Raw Data'!AB122), IFERROR('Raw Data'!AB122 = ROUND('Raw Data'!AB122, 2),FALSE)),"",_xlfn.REGEXEXTRACT(CELL("address",AB122), "\$([A-Z]+)\$[0-9]+"))),_xlfn.REGEXEXTRACT(CELL("address",AB122), "\$([A-Z]+)\$[0-9]+"))</f>
        <v/>
      </c>
      <c r="AC122" s="7" t="str" cm="1">
        <f t="array" aca="1" ref="AC122" ca="1">IFERROR(IF(OR('Raw Data'!AC122="",LEN(TRIM('Raw Data'!AC122))=0),"",IF(AND(ISNUMBER('Raw Data'!AC122), IFERROR('Raw Data'!AC122 = ROUND('Raw Data'!AC122, 2),FALSE)),"",_xlfn.REGEXEXTRACT(CELL("address",AC122), "\$([A-Z]+)\$[0-9]+"))),_xlfn.REGEXEXTRACT(CELL("address",AC122), "\$([A-Z]+)\$[0-9]+"))</f>
        <v/>
      </c>
      <c r="AD122" s="7" t="str" cm="1">
        <f t="array" aca="1" ref="AD122" ca="1">IFERROR(IF(OR('Raw Data'!AD122="",LEN(TRIM('Raw Data'!AD122))=0),"",IF(AND(ISNUMBER('Raw Data'!AD122), IFERROR('Raw Data'!AD122 = ROUND('Raw Data'!AD122, 2),FALSE)),"",_xlfn.REGEXEXTRACT(CELL("address",AD122), "\$([A-Z]+)\$[0-9]+"))),_xlfn.REGEXEXTRACT(CELL("address",AD122), "\$([A-Z]+)\$[0-9]+"))</f>
        <v/>
      </c>
      <c r="AE122" s="7" t="str" cm="1">
        <f t="array" aca="1" ref="AE122" ca="1">IFERROR(IF(OR('Raw Data'!AE122="",LEN(TRIM('Raw Data'!AE122))=0),"",IF(AND(ISNUMBER('Raw Data'!AE122), IFERROR('Raw Data'!AE122 = ROUND('Raw Data'!AE122, 2),FALSE)),"",_xlfn.REGEXEXTRACT(CELL("address",AE122), "\$([A-Z]+)\$[0-9]+"))),_xlfn.REGEXEXTRACT(CELL("address",AE122), "\$([A-Z]+)\$[0-9]+"))</f>
        <v/>
      </c>
      <c r="AF122" s="7" t="str" cm="1">
        <f t="array" aca="1" ref="AF122" ca="1">IFERROR(IF(OR('Raw Data'!AF122="",LEN(TRIM('Raw Data'!AF122))=0),"",IF(AND(ISNUMBER('Raw Data'!AF122), IFERROR('Raw Data'!AF122 = ROUND('Raw Data'!AF122, 2),FALSE)),"",_xlfn.REGEXEXTRACT(CELL("address",AF122), "\$([A-Z]+)\$[0-9]+"))),_xlfn.REGEXEXTRACT(CELL("address",AF122), "\$([A-Z]+)\$[0-9]+"))</f>
        <v/>
      </c>
      <c r="AG122" s="7" t="str" cm="1">
        <f t="array" aca="1" ref="AG122" ca="1">IFERROR(IF(OR('Raw Data'!AG122="",LEN(TRIM('Raw Data'!AG122))=0),"",IF(AND(ISNUMBER('Raw Data'!AG122), IFERROR('Raw Data'!AG122 = ROUND('Raw Data'!AG122, 2),FALSE)),"",_xlfn.REGEXEXTRACT(CELL("address",AG122), "\$([A-Z]+)\$[0-9]+"))),_xlfn.REGEXEXTRACT(CELL("address",AG122), "\$([A-Z]+)\$[0-9]+"))</f>
        <v/>
      </c>
      <c r="AH122" s="7" t="str" cm="1">
        <f t="array" aca="1" ref="AH122" ca="1">IFERROR(IF(OR('Raw Data'!AH122="",LEN(TRIM('Raw Data'!AH122))=0),"",IF(AND(ISNUMBER('Raw Data'!AH122), IFERROR('Raw Data'!AH122 = ROUND('Raw Data'!AH122, 2),FALSE)),"",_xlfn.REGEXEXTRACT(CELL("address",AH122), "\$([A-Z]+)\$[0-9]+"))),_xlfn.REGEXEXTRACT(CELL("address",AH122), "\$([A-Z]+)\$[0-9]+"))</f>
        <v/>
      </c>
      <c r="AI122" s="7" t="str" cm="1">
        <f t="array" aca="1" ref="AI122" ca="1">IFERROR(IF(OR('Raw Data'!AI122="",LEN(TRIM('Raw Data'!AI122))=0),"",IF(AND(ISNUMBER('Raw Data'!AI122), IFERROR('Raw Data'!AI122 = ROUND('Raw Data'!AI122, 2),FALSE)),"",_xlfn.REGEXEXTRACT(CELL("address",AI122), "\$([A-Z]+)\$[0-9]+"))),_xlfn.REGEXEXTRACT(CELL("address",AI122), "\$([A-Z]+)\$[0-9]+"))</f>
        <v/>
      </c>
      <c r="AJ122" s="7" t="str" cm="1">
        <f t="array" aca="1" ref="AJ122" ca="1">IFERROR(IF(OR('Raw Data'!AJ122="",LEN(TRIM('Raw Data'!AJ122))=0),"",IF(AND(ISNUMBER('Raw Data'!AJ122), IFERROR('Raw Data'!AJ122 = ROUND('Raw Data'!AJ122, 2),FALSE)),"",_xlfn.REGEXEXTRACT(CELL("address",AJ122), "\$([A-Z]+)\$[0-9]+"))),_xlfn.REGEXEXTRACT(CELL("address",AJ122), "\$([A-Z]+)\$[0-9]+"))</f>
        <v/>
      </c>
    </row>
    <row r="123" spans="2:36" x14ac:dyDescent="0.25">
      <c r="B123" s="7" t="str" cm="1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20,LEN('Raw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Data'!D123))=0),"",IF(AND(ISNUMBER('Raw Data'!D123),'Raw Data'!D123&gt;=Configuration!$D$2),"",_xlfn.REGEXEXTRACT(CELL("address",'Raw Data'!D123),"\$([A-Z]+)\$[0-9]+"))),_xlfn.REGEXEXTRACT(CELL("address",D123), "\$([A-Z]+)\$[0-9]+"))</f>
        <v/>
      </c>
      <c r="E123" s="7" t="str" cm="1">
        <f t="array" aca="1" ref="E123" ca="1">IFERROR(IF(OR('Raw Data'!E123="",LEN(TRIM('Raw Data'!E123))=0),"",IF(AND(ISNUMBER('Raw Data'!E123), IFERROR('Raw Data'!E123 = ROUND('Raw Data'!E123, 2),FALSE)),"",_xlfn.REGEXEXTRACT(CELL("address",E123), "\$([A-Z]+)\$[0-9]+"))),_xlfn.REGEXEXTRACT(CELL("address",E123), "\$([A-Z]+)\$[0-9]+"))</f>
        <v/>
      </c>
      <c r="F123" s="7" t="str" cm="1">
        <f t="array" aca="1" ref="F123" ca="1">IFERROR(IF(OR('Raw Data'!F123="",LEN(TRIM('Raw Data'!F123))=0),"",IF(AND(ISNUMBER('Raw Data'!F123), IFERROR('Raw Data'!F123 = ROUND('Raw Data'!F123, 2),FALSE)),"",_xlfn.REGEXEXTRACT(CELL("address",F123), "\$([A-Z]+)\$[0-9]+"))),_xlfn.REGEXEXTRACT(CELL("address",F123), "\$([A-Z]+)\$[0-9]+"))</f>
        <v/>
      </c>
      <c r="G123" s="7" t="str" cm="1">
        <f t="array" aca="1" ref="G123" ca="1">IFERROR(IF(OR('Raw Data'!G123="",LEN(TRIM('Raw Data'!G123))=0),"",IF(AND(ISNUMBER('Raw Data'!G123), IFERROR('Raw Data'!G123 = ROUND('Raw Data'!G123, 2),FALSE)),"",_xlfn.REGEXEXTRACT(CELL("address",G123), "\$([A-Z]+)\$[0-9]+"))),_xlfn.REGEXEXTRACT(CELL("address",G123), "\$([A-Z]+)\$[0-9]+"))</f>
        <v/>
      </c>
      <c r="H123" s="7" t="str" cm="1">
        <f t="array" aca="1" ref="H123" ca="1">IFERROR(IF(OR('Raw Data'!H123="",LEN(TRIM('Raw Data'!H123))=0),"",IF(AND(ISNUMBER('Raw Data'!H123), IFERROR('Raw Data'!H123 = ROUND('Raw Data'!H123, 2),FALSE)),"",_xlfn.REGEXEXTRACT(CELL("address",H123), "\$([A-Z]+)\$[0-9]+"))),_xlfn.REGEXEXTRACT(CELL("address",H123), "\$([A-Z]+)\$[0-9]+"))</f>
        <v/>
      </c>
      <c r="I123" s="7" t="str" cm="1">
        <f t="array" aca="1" ref="I123" ca="1">IFERROR(IF(OR('Raw Data'!I123="",LEN(TRIM('Raw Data'!I123))=0),"",IF(AND(ISNUMBER('Raw Data'!I123), IFERROR('Raw Data'!I123 = ROUND('Raw Data'!I123, 2),FALSE)),"",_xlfn.REGEXEXTRACT(CELL("address",I123), "\$([A-Z]+)\$[0-9]+"))),_xlfn.REGEXEXTRACT(CELL("address",I123), "\$([A-Z]+)\$[0-9]+"))</f>
        <v/>
      </c>
      <c r="J123" s="7" t="str" cm="1">
        <f t="array" aca="1" ref="J123" ca="1">IFERROR(IF(OR('Raw Data'!J123="",LEN(TRIM('Raw Data'!J123))=0),"",IF(AND(ISNUMBER('Raw Data'!J123), IFERROR('Raw Data'!J123 = ROUND('Raw Data'!J123, 2),FALSE)),"",_xlfn.REGEXEXTRACT(CELL("address",J123), "\$([A-Z]+)\$[0-9]+"))),_xlfn.REGEXEXTRACT(CELL("address",J123), "\$([A-Z]+)\$[0-9]+"))</f>
        <v/>
      </c>
      <c r="K123" s="7" t="str" cm="1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7" t="str" cm="1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7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7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7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7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 cm="1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7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7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7" t="str" cm="1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7" t="str" cm="1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  <c r="Z123" s="7" t="str" cm="1">
        <f t="array" aca="1" ref="Z123" ca="1">IFERROR(IF(OR('Raw Data'!Z123="",LEN(TRIM('Raw Data'!Z123))=0),"",IF(AND(ISNUMBER('Raw Data'!Z123), IFERROR('Raw Data'!Z123 = ROUND('Raw Data'!Z123, 2),FALSE)),"",_xlfn.REGEXEXTRACT(CELL("address",Z123), "\$([A-Z]+)\$[0-9]+"))),_xlfn.REGEXEXTRACT(CELL("address",Z123), "\$([A-Z]+)\$[0-9]+"))</f>
        <v/>
      </c>
      <c r="AA123" s="7" t="str" cm="1">
        <f t="array" aca="1" ref="AA123" ca="1">IFERROR(IF(OR('Raw Data'!AA123="",LEN(TRIM('Raw Data'!AA123))=0),"",IF(AND(ISNUMBER('Raw Data'!AA123), IFERROR('Raw Data'!AA123 = ROUND('Raw Data'!AA123, 2),FALSE)),"",_xlfn.REGEXEXTRACT(CELL("address",AA123), "\$([A-Z]+)\$[0-9]+"))),_xlfn.REGEXEXTRACT(CELL("address",AA123), "\$([A-Z]+)\$[0-9]+"))</f>
        <v/>
      </c>
      <c r="AB123" s="7" t="str" cm="1">
        <f t="array" aca="1" ref="AB123" ca="1">IFERROR(IF(OR('Raw Data'!AB123="",LEN(TRIM('Raw Data'!AB123))=0),"",IF(AND(ISNUMBER('Raw Data'!AB123), IFERROR('Raw Data'!AB123 = ROUND('Raw Data'!AB123, 2),FALSE)),"",_xlfn.REGEXEXTRACT(CELL("address",AB123), "\$([A-Z]+)\$[0-9]+"))),_xlfn.REGEXEXTRACT(CELL("address",AB123), "\$([A-Z]+)\$[0-9]+"))</f>
        <v/>
      </c>
      <c r="AC123" s="7" t="str" cm="1">
        <f t="array" aca="1" ref="AC123" ca="1">IFERROR(IF(OR('Raw Data'!AC123="",LEN(TRIM('Raw Data'!AC123))=0),"",IF(AND(ISNUMBER('Raw Data'!AC123), IFERROR('Raw Data'!AC123 = ROUND('Raw Data'!AC123, 2),FALSE)),"",_xlfn.REGEXEXTRACT(CELL("address",AC123), "\$([A-Z]+)\$[0-9]+"))),_xlfn.REGEXEXTRACT(CELL("address",AC123), "\$([A-Z]+)\$[0-9]+"))</f>
        <v/>
      </c>
      <c r="AD123" s="7" t="str" cm="1">
        <f t="array" aca="1" ref="AD123" ca="1">IFERROR(IF(OR('Raw Data'!AD123="",LEN(TRIM('Raw Data'!AD123))=0),"",IF(AND(ISNUMBER('Raw Data'!AD123), IFERROR('Raw Data'!AD123 = ROUND('Raw Data'!AD123, 2),FALSE)),"",_xlfn.REGEXEXTRACT(CELL("address",AD123), "\$([A-Z]+)\$[0-9]+"))),_xlfn.REGEXEXTRACT(CELL("address",AD123), "\$([A-Z]+)\$[0-9]+"))</f>
        <v/>
      </c>
      <c r="AE123" s="7" t="str" cm="1">
        <f t="array" aca="1" ref="AE123" ca="1">IFERROR(IF(OR('Raw Data'!AE123="",LEN(TRIM('Raw Data'!AE123))=0),"",IF(AND(ISNUMBER('Raw Data'!AE123), IFERROR('Raw Data'!AE123 = ROUND('Raw Data'!AE123, 2),FALSE)),"",_xlfn.REGEXEXTRACT(CELL("address",AE123), "\$([A-Z]+)\$[0-9]+"))),_xlfn.REGEXEXTRACT(CELL("address",AE123), "\$([A-Z]+)\$[0-9]+"))</f>
        <v/>
      </c>
      <c r="AF123" s="7" t="str" cm="1">
        <f t="array" aca="1" ref="AF123" ca="1">IFERROR(IF(OR('Raw Data'!AF123="",LEN(TRIM('Raw Data'!AF123))=0),"",IF(AND(ISNUMBER('Raw Data'!AF123), IFERROR('Raw Data'!AF123 = ROUND('Raw Data'!AF123, 2),FALSE)),"",_xlfn.REGEXEXTRACT(CELL("address",AF123), "\$([A-Z]+)\$[0-9]+"))),_xlfn.REGEXEXTRACT(CELL("address",AF123), "\$([A-Z]+)\$[0-9]+"))</f>
        <v/>
      </c>
      <c r="AG123" s="7" t="str" cm="1">
        <f t="array" aca="1" ref="AG123" ca="1">IFERROR(IF(OR('Raw Data'!AG123="",LEN(TRIM('Raw Data'!AG123))=0),"",IF(AND(ISNUMBER('Raw Data'!AG123), IFERROR('Raw Data'!AG123 = ROUND('Raw Data'!AG123, 2),FALSE)),"",_xlfn.REGEXEXTRACT(CELL("address",AG123), "\$([A-Z]+)\$[0-9]+"))),_xlfn.REGEXEXTRACT(CELL("address",AG123), "\$([A-Z]+)\$[0-9]+"))</f>
        <v/>
      </c>
      <c r="AH123" s="7" t="str" cm="1">
        <f t="array" aca="1" ref="AH123" ca="1">IFERROR(IF(OR('Raw Data'!AH123="",LEN(TRIM('Raw Data'!AH123))=0),"",IF(AND(ISNUMBER('Raw Data'!AH123), IFERROR('Raw Data'!AH123 = ROUND('Raw Data'!AH123, 2),FALSE)),"",_xlfn.REGEXEXTRACT(CELL("address",AH123), "\$([A-Z]+)\$[0-9]+"))),_xlfn.REGEXEXTRACT(CELL("address",AH123), "\$([A-Z]+)\$[0-9]+"))</f>
        <v/>
      </c>
      <c r="AI123" s="7" t="str" cm="1">
        <f t="array" aca="1" ref="AI123" ca="1">IFERROR(IF(OR('Raw Data'!AI123="",LEN(TRIM('Raw Data'!AI123))=0),"",IF(AND(ISNUMBER('Raw Data'!AI123), IFERROR('Raw Data'!AI123 = ROUND('Raw Data'!AI123, 2),FALSE)),"",_xlfn.REGEXEXTRACT(CELL("address",AI123), "\$([A-Z]+)\$[0-9]+"))),_xlfn.REGEXEXTRACT(CELL("address",AI123), "\$([A-Z]+)\$[0-9]+"))</f>
        <v/>
      </c>
      <c r="AJ123" s="7" t="str" cm="1">
        <f t="array" aca="1" ref="AJ123" ca="1">IFERROR(IF(OR('Raw Data'!AJ123="",LEN(TRIM('Raw Data'!AJ123))=0),"",IF(AND(ISNUMBER('Raw Data'!AJ123), IFERROR('Raw Data'!AJ123 = ROUND('Raw Data'!AJ123, 2),FALSE)),"",_xlfn.REGEXEXTRACT(CELL("address",AJ123), "\$([A-Z]+)\$[0-9]+"))),_xlfn.REGEXEXTRACT(CELL("address",AJ123), "\$([A-Z]+)\$[0-9]+"))</f>
        <v/>
      </c>
    </row>
    <row r="124" spans="2:36" x14ac:dyDescent="0.25">
      <c r="B124" s="7" t="str" cm="1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20,LEN('Raw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Data'!D124))=0),"",IF(AND(ISNUMBER('Raw Data'!D124),'Raw Data'!D124&gt;=Configuration!$D$2),"",_xlfn.REGEXEXTRACT(CELL("address",'Raw Data'!D124),"\$([A-Z]+)\$[0-9]+"))),_xlfn.REGEXEXTRACT(CELL("address",D124), "\$([A-Z]+)\$[0-9]+"))</f>
        <v/>
      </c>
      <c r="E124" s="7" t="str" cm="1">
        <f t="array" aca="1" ref="E124" ca="1">IFERROR(IF(OR('Raw Data'!E124="",LEN(TRIM('Raw Data'!E124))=0),"",IF(AND(ISNUMBER('Raw Data'!E124), IFERROR('Raw Data'!E124 = ROUND('Raw Data'!E124, 2),FALSE)),"",_xlfn.REGEXEXTRACT(CELL("address",E124), "\$([A-Z]+)\$[0-9]+"))),_xlfn.REGEXEXTRACT(CELL("address",E124), "\$([A-Z]+)\$[0-9]+"))</f>
        <v/>
      </c>
      <c r="F124" s="7" t="str" cm="1">
        <f t="array" aca="1" ref="F124" ca="1">IFERROR(IF(OR('Raw Data'!F124="",LEN(TRIM('Raw Data'!F124))=0),"",IF(AND(ISNUMBER('Raw Data'!F124), IFERROR('Raw Data'!F124 = ROUND('Raw Data'!F124, 2),FALSE)),"",_xlfn.REGEXEXTRACT(CELL("address",F124), "\$([A-Z]+)\$[0-9]+"))),_xlfn.REGEXEXTRACT(CELL("address",F124), "\$([A-Z]+)\$[0-9]+"))</f>
        <v/>
      </c>
      <c r="G124" s="7" t="str" cm="1">
        <f t="array" aca="1" ref="G124" ca="1">IFERROR(IF(OR('Raw Data'!G124="",LEN(TRIM('Raw Data'!G124))=0),"",IF(AND(ISNUMBER('Raw Data'!G124), IFERROR('Raw Data'!G124 = ROUND('Raw Data'!G124, 2),FALSE)),"",_xlfn.REGEXEXTRACT(CELL("address",G124), "\$([A-Z]+)\$[0-9]+"))),_xlfn.REGEXEXTRACT(CELL("address",G124), "\$([A-Z]+)\$[0-9]+"))</f>
        <v/>
      </c>
      <c r="H124" s="7" t="str" cm="1">
        <f t="array" aca="1" ref="H124" ca="1">IFERROR(IF(OR('Raw Data'!H124="",LEN(TRIM('Raw Data'!H124))=0),"",IF(AND(ISNUMBER('Raw Data'!H124), IFERROR('Raw Data'!H124 = ROUND('Raw Data'!H124, 2),FALSE)),"",_xlfn.REGEXEXTRACT(CELL("address",H124), "\$([A-Z]+)\$[0-9]+"))),_xlfn.REGEXEXTRACT(CELL("address",H124), "\$([A-Z]+)\$[0-9]+"))</f>
        <v/>
      </c>
      <c r="I124" s="7" t="str" cm="1">
        <f t="array" aca="1" ref="I124" ca="1">IFERROR(IF(OR('Raw Data'!I124="",LEN(TRIM('Raw Data'!I124))=0),"",IF(AND(ISNUMBER('Raw Data'!I124), IFERROR('Raw Data'!I124 = ROUND('Raw Data'!I124, 2),FALSE)),"",_xlfn.REGEXEXTRACT(CELL("address",I124), "\$([A-Z]+)\$[0-9]+"))),_xlfn.REGEXEXTRACT(CELL("address",I124), "\$([A-Z]+)\$[0-9]+"))</f>
        <v/>
      </c>
      <c r="J124" s="7" t="str" cm="1">
        <f t="array" aca="1" ref="J124" ca="1">IFERROR(IF(OR('Raw Data'!J124="",LEN(TRIM('Raw Data'!J124))=0),"",IF(AND(ISNUMBER('Raw Data'!J124), IFERROR('Raw Data'!J124 = ROUND('Raw Data'!J124, 2),FALSE)),"",_xlfn.REGEXEXTRACT(CELL("address",J124), "\$([A-Z]+)\$[0-9]+"))),_xlfn.REGEXEXTRACT(CELL("address",J124), "\$([A-Z]+)\$[0-9]+"))</f>
        <v/>
      </c>
      <c r="K124" s="7" t="str" cm="1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7" t="str" cm="1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7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7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7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7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 cm="1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7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7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7" t="str" cm="1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7" t="str" cm="1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  <c r="Z124" s="7" t="str" cm="1">
        <f t="array" aca="1" ref="Z124" ca="1">IFERROR(IF(OR('Raw Data'!Z124="",LEN(TRIM('Raw Data'!Z124))=0),"",IF(AND(ISNUMBER('Raw Data'!Z124), IFERROR('Raw Data'!Z124 = ROUND('Raw Data'!Z124, 2),FALSE)),"",_xlfn.REGEXEXTRACT(CELL("address",Z124), "\$([A-Z]+)\$[0-9]+"))),_xlfn.REGEXEXTRACT(CELL("address",Z124), "\$([A-Z]+)\$[0-9]+"))</f>
        <v/>
      </c>
      <c r="AA124" s="7" t="str" cm="1">
        <f t="array" aca="1" ref="AA124" ca="1">IFERROR(IF(OR('Raw Data'!AA124="",LEN(TRIM('Raw Data'!AA124))=0),"",IF(AND(ISNUMBER('Raw Data'!AA124), IFERROR('Raw Data'!AA124 = ROUND('Raw Data'!AA124, 2),FALSE)),"",_xlfn.REGEXEXTRACT(CELL("address",AA124), "\$([A-Z]+)\$[0-9]+"))),_xlfn.REGEXEXTRACT(CELL("address",AA124), "\$([A-Z]+)\$[0-9]+"))</f>
        <v/>
      </c>
      <c r="AB124" s="7" t="str" cm="1">
        <f t="array" aca="1" ref="AB124" ca="1">IFERROR(IF(OR('Raw Data'!AB124="",LEN(TRIM('Raw Data'!AB124))=0),"",IF(AND(ISNUMBER('Raw Data'!AB124), IFERROR('Raw Data'!AB124 = ROUND('Raw Data'!AB124, 2),FALSE)),"",_xlfn.REGEXEXTRACT(CELL("address",AB124), "\$([A-Z]+)\$[0-9]+"))),_xlfn.REGEXEXTRACT(CELL("address",AB124), "\$([A-Z]+)\$[0-9]+"))</f>
        <v/>
      </c>
      <c r="AC124" s="7" t="str" cm="1">
        <f t="array" aca="1" ref="AC124" ca="1">IFERROR(IF(OR('Raw Data'!AC124="",LEN(TRIM('Raw Data'!AC124))=0),"",IF(AND(ISNUMBER('Raw Data'!AC124), IFERROR('Raw Data'!AC124 = ROUND('Raw Data'!AC124, 2),FALSE)),"",_xlfn.REGEXEXTRACT(CELL("address",AC124), "\$([A-Z]+)\$[0-9]+"))),_xlfn.REGEXEXTRACT(CELL("address",AC124), "\$([A-Z]+)\$[0-9]+"))</f>
        <v/>
      </c>
      <c r="AD124" s="7" t="str" cm="1">
        <f t="array" aca="1" ref="AD124" ca="1">IFERROR(IF(OR('Raw Data'!AD124="",LEN(TRIM('Raw Data'!AD124))=0),"",IF(AND(ISNUMBER('Raw Data'!AD124), IFERROR('Raw Data'!AD124 = ROUND('Raw Data'!AD124, 2),FALSE)),"",_xlfn.REGEXEXTRACT(CELL("address",AD124), "\$([A-Z]+)\$[0-9]+"))),_xlfn.REGEXEXTRACT(CELL("address",AD124), "\$([A-Z]+)\$[0-9]+"))</f>
        <v/>
      </c>
      <c r="AE124" s="7" t="str" cm="1">
        <f t="array" aca="1" ref="AE124" ca="1">IFERROR(IF(OR('Raw Data'!AE124="",LEN(TRIM('Raw Data'!AE124))=0),"",IF(AND(ISNUMBER('Raw Data'!AE124), IFERROR('Raw Data'!AE124 = ROUND('Raw Data'!AE124, 2),FALSE)),"",_xlfn.REGEXEXTRACT(CELL("address",AE124), "\$([A-Z]+)\$[0-9]+"))),_xlfn.REGEXEXTRACT(CELL("address",AE124), "\$([A-Z]+)\$[0-9]+"))</f>
        <v/>
      </c>
      <c r="AF124" s="7" t="str" cm="1">
        <f t="array" aca="1" ref="AF124" ca="1">IFERROR(IF(OR('Raw Data'!AF124="",LEN(TRIM('Raw Data'!AF124))=0),"",IF(AND(ISNUMBER('Raw Data'!AF124), IFERROR('Raw Data'!AF124 = ROUND('Raw Data'!AF124, 2),FALSE)),"",_xlfn.REGEXEXTRACT(CELL("address",AF124), "\$([A-Z]+)\$[0-9]+"))),_xlfn.REGEXEXTRACT(CELL("address",AF124), "\$([A-Z]+)\$[0-9]+"))</f>
        <v/>
      </c>
      <c r="AG124" s="7" t="str" cm="1">
        <f t="array" aca="1" ref="AG124" ca="1">IFERROR(IF(OR('Raw Data'!AG124="",LEN(TRIM('Raw Data'!AG124))=0),"",IF(AND(ISNUMBER('Raw Data'!AG124), IFERROR('Raw Data'!AG124 = ROUND('Raw Data'!AG124, 2),FALSE)),"",_xlfn.REGEXEXTRACT(CELL("address",AG124), "\$([A-Z]+)\$[0-9]+"))),_xlfn.REGEXEXTRACT(CELL("address",AG124), "\$([A-Z]+)\$[0-9]+"))</f>
        <v/>
      </c>
      <c r="AH124" s="7" t="str" cm="1">
        <f t="array" aca="1" ref="AH124" ca="1">IFERROR(IF(OR('Raw Data'!AH124="",LEN(TRIM('Raw Data'!AH124))=0),"",IF(AND(ISNUMBER('Raw Data'!AH124), IFERROR('Raw Data'!AH124 = ROUND('Raw Data'!AH124, 2),FALSE)),"",_xlfn.REGEXEXTRACT(CELL("address",AH124), "\$([A-Z]+)\$[0-9]+"))),_xlfn.REGEXEXTRACT(CELL("address",AH124), "\$([A-Z]+)\$[0-9]+"))</f>
        <v/>
      </c>
      <c r="AI124" s="7" t="str" cm="1">
        <f t="array" aca="1" ref="AI124" ca="1">IFERROR(IF(OR('Raw Data'!AI124="",LEN(TRIM('Raw Data'!AI124))=0),"",IF(AND(ISNUMBER('Raw Data'!AI124), IFERROR('Raw Data'!AI124 = ROUND('Raw Data'!AI124, 2),FALSE)),"",_xlfn.REGEXEXTRACT(CELL("address",AI124), "\$([A-Z]+)\$[0-9]+"))),_xlfn.REGEXEXTRACT(CELL("address",AI124), "\$([A-Z]+)\$[0-9]+"))</f>
        <v/>
      </c>
      <c r="AJ124" s="7" t="str" cm="1">
        <f t="array" aca="1" ref="AJ124" ca="1">IFERROR(IF(OR('Raw Data'!AJ124="",LEN(TRIM('Raw Data'!AJ124))=0),"",IF(AND(ISNUMBER('Raw Data'!AJ124), IFERROR('Raw Data'!AJ124 = ROUND('Raw Data'!AJ124, 2),FALSE)),"",_xlfn.REGEXEXTRACT(CELL("address",AJ124), "\$([A-Z]+)\$[0-9]+"))),_xlfn.REGEXEXTRACT(CELL("address",AJ124), "\$([A-Z]+)\$[0-9]+"))</f>
        <v/>
      </c>
    </row>
    <row r="125" spans="2:36" x14ac:dyDescent="0.25">
      <c r="B125" s="7" t="str" cm="1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20,LEN('Raw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Data'!D125))=0),"",IF(AND(ISNUMBER('Raw Data'!D125),'Raw Data'!D125&gt;=Configuration!$D$2),"",_xlfn.REGEXEXTRACT(CELL("address",'Raw Data'!D125),"\$([A-Z]+)\$[0-9]+"))),_xlfn.REGEXEXTRACT(CELL("address",D125), "\$([A-Z]+)\$[0-9]+"))</f>
        <v/>
      </c>
      <c r="E125" s="7" t="str" cm="1">
        <f t="array" aca="1" ref="E125" ca="1">IFERROR(IF(OR('Raw Data'!E125="",LEN(TRIM('Raw Data'!E125))=0),"",IF(AND(ISNUMBER('Raw Data'!E125), IFERROR('Raw Data'!E125 = ROUND('Raw Data'!E125, 2),FALSE)),"",_xlfn.REGEXEXTRACT(CELL("address",E125), "\$([A-Z]+)\$[0-9]+"))),_xlfn.REGEXEXTRACT(CELL("address",E125), "\$([A-Z]+)\$[0-9]+"))</f>
        <v/>
      </c>
      <c r="F125" s="7" t="str" cm="1">
        <f t="array" aca="1" ref="F125" ca="1">IFERROR(IF(OR('Raw Data'!F125="",LEN(TRIM('Raw Data'!F125))=0),"",IF(AND(ISNUMBER('Raw Data'!F125), IFERROR('Raw Data'!F125 = ROUND('Raw Data'!F125, 2),FALSE)),"",_xlfn.REGEXEXTRACT(CELL("address",F125), "\$([A-Z]+)\$[0-9]+"))),_xlfn.REGEXEXTRACT(CELL("address",F125), "\$([A-Z]+)\$[0-9]+"))</f>
        <v/>
      </c>
      <c r="G125" s="7" t="str" cm="1">
        <f t="array" aca="1" ref="G125" ca="1">IFERROR(IF(OR('Raw Data'!G125="",LEN(TRIM('Raw Data'!G125))=0),"",IF(AND(ISNUMBER('Raw Data'!G125), IFERROR('Raw Data'!G125 = ROUND('Raw Data'!G125, 2),FALSE)),"",_xlfn.REGEXEXTRACT(CELL("address",G125), "\$([A-Z]+)\$[0-9]+"))),_xlfn.REGEXEXTRACT(CELL("address",G125), "\$([A-Z]+)\$[0-9]+"))</f>
        <v/>
      </c>
      <c r="H125" s="7" t="str" cm="1">
        <f t="array" aca="1" ref="H125" ca="1">IFERROR(IF(OR('Raw Data'!H125="",LEN(TRIM('Raw Data'!H125))=0),"",IF(AND(ISNUMBER('Raw Data'!H125), IFERROR('Raw Data'!H125 = ROUND('Raw Data'!H125, 2),FALSE)),"",_xlfn.REGEXEXTRACT(CELL("address",H125), "\$([A-Z]+)\$[0-9]+"))),_xlfn.REGEXEXTRACT(CELL("address",H125), "\$([A-Z]+)\$[0-9]+"))</f>
        <v/>
      </c>
      <c r="I125" s="7" t="str" cm="1">
        <f t="array" aca="1" ref="I125" ca="1">IFERROR(IF(OR('Raw Data'!I125="",LEN(TRIM('Raw Data'!I125))=0),"",IF(AND(ISNUMBER('Raw Data'!I125), IFERROR('Raw Data'!I125 = ROUND('Raw Data'!I125, 2),FALSE)),"",_xlfn.REGEXEXTRACT(CELL("address",I125), "\$([A-Z]+)\$[0-9]+"))),_xlfn.REGEXEXTRACT(CELL("address",I125), "\$([A-Z]+)\$[0-9]+"))</f>
        <v/>
      </c>
      <c r="J125" s="7" t="str" cm="1">
        <f t="array" aca="1" ref="J125" ca="1">IFERROR(IF(OR('Raw Data'!J125="",LEN(TRIM('Raw Data'!J125))=0),"",IF(AND(ISNUMBER('Raw Data'!J125), IFERROR('Raw Data'!J125 = ROUND('Raw Data'!J125, 2),FALSE)),"",_xlfn.REGEXEXTRACT(CELL("address",J125), "\$([A-Z]+)\$[0-9]+"))),_xlfn.REGEXEXTRACT(CELL("address",J125), "\$([A-Z]+)\$[0-9]+"))</f>
        <v/>
      </c>
      <c r="K125" s="7" t="str" cm="1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7" t="str" cm="1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7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7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7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7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 cm="1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7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7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7" t="str" cm="1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7" t="str" cm="1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  <c r="Z125" s="7" t="str" cm="1">
        <f t="array" aca="1" ref="Z125" ca="1">IFERROR(IF(OR('Raw Data'!Z125="",LEN(TRIM('Raw Data'!Z125))=0),"",IF(AND(ISNUMBER('Raw Data'!Z125), IFERROR('Raw Data'!Z125 = ROUND('Raw Data'!Z125, 2),FALSE)),"",_xlfn.REGEXEXTRACT(CELL("address",Z125), "\$([A-Z]+)\$[0-9]+"))),_xlfn.REGEXEXTRACT(CELL("address",Z125), "\$([A-Z]+)\$[0-9]+"))</f>
        <v/>
      </c>
      <c r="AA125" s="7" t="str" cm="1">
        <f t="array" aca="1" ref="AA125" ca="1">IFERROR(IF(OR('Raw Data'!AA125="",LEN(TRIM('Raw Data'!AA125))=0),"",IF(AND(ISNUMBER('Raw Data'!AA125), IFERROR('Raw Data'!AA125 = ROUND('Raw Data'!AA125, 2),FALSE)),"",_xlfn.REGEXEXTRACT(CELL("address",AA125), "\$([A-Z]+)\$[0-9]+"))),_xlfn.REGEXEXTRACT(CELL("address",AA125), "\$([A-Z]+)\$[0-9]+"))</f>
        <v/>
      </c>
      <c r="AB125" s="7" t="str" cm="1">
        <f t="array" aca="1" ref="AB125" ca="1">IFERROR(IF(OR('Raw Data'!AB125="",LEN(TRIM('Raw Data'!AB125))=0),"",IF(AND(ISNUMBER('Raw Data'!AB125), IFERROR('Raw Data'!AB125 = ROUND('Raw Data'!AB125, 2),FALSE)),"",_xlfn.REGEXEXTRACT(CELL("address",AB125), "\$([A-Z]+)\$[0-9]+"))),_xlfn.REGEXEXTRACT(CELL("address",AB125), "\$([A-Z]+)\$[0-9]+"))</f>
        <v/>
      </c>
      <c r="AC125" s="7" t="str" cm="1">
        <f t="array" aca="1" ref="AC125" ca="1">IFERROR(IF(OR('Raw Data'!AC125="",LEN(TRIM('Raw Data'!AC125))=0),"",IF(AND(ISNUMBER('Raw Data'!AC125), IFERROR('Raw Data'!AC125 = ROUND('Raw Data'!AC125, 2),FALSE)),"",_xlfn.REGEXEXTRACT(CELL("address",AC125), "\$([A-Z]+)\$[0-9]+"))),_xlfn.REGEXEXTRACT(CELL("address",AC125), "\$([A-Z]+)\$[0-9]+"))</f>
        <v/>
      </c>
      <c r="AD125" s="7" t="str" cm="1">
        <f t="array" aca="1" ref="AD125" ca="1">IFERROR(IF(OR('Raw Data'!AD125="",LEN(TRIM('Raw Data'!AD125))=0),"",IF(AND(ISNUMBER('Raw Data'!AD125), IFERROR('Raw Data'!AD125 = ROUND('Raw Data'!AD125, 2),FALSE)),"",_xlfn.REGEXEXTRACT(CELL("address",AD125), "\$([A-Z]+)\$[0-9]+"))),_xlfn.REGEXEXTRACT(CELL("address",AD125), "\$([A-Z]+)\$[0-9]+"))</f>
        <v/>
      </c>
      <c r="AE125" s="7" t="str" cm="1">
        <f t="array" aca="1" ref="AE125" ca="1">IFERROR(IF(OR('Raw Data'!AE125="",LEN(TRIM('Raw Data'!AE125))=0),"",IF(AND(ISNUMBER('Raw Data'!AE125), IFERROR('Raw Data'!AE125 = ROUND('Raw Data'!AE125, 2),FALSE)),"",_xlfn.REGEXEXTRACT(CELL("address",AE125), "\$([A-Z]+)\$[0-9]+"))),_xlfn.REGEXEXTRACT(CELL("address",AE125), "\$([A-Z]+)\$[0-9]+"))</f>
        <v/>
      </c>
      <c r="AF125" s="7" t="str" cm="1">
        <f t="array" aca="1" ref="AF125" ca="1">IFERROR(IF(OR('Raw Data'!AF125="",LEN(TRIM('Raw Data'!AF125))=0),"",IF(AND(ISNUMBER('Raw Data'!AF125), IFERROR('Raw Data'!AF125 = ROUND('Raw Data'!AF125, 2),FALSE)),"",_xlfn.REGEXEXTRACT(CELL("address",AF125), "\$([A-Z]+)\$[0-9]+"))),_xlfn.REGEXEXTRACT(CELL("address",AF125), "\$([A-Z]+)\$[0-9]+"))</f>
        <v/>
      </c>
      <c r="AG125" s="7" t="str" cm="1">
        <f t="array" aca="1" ref="AG125" ca="1">IFERROR(IF(OR('Raw Data'!AG125="",LEN(TRIM('Raw Data'!AG125))=0),"",IF(AND(ISNUMBER('Raw Data'!AG125), IFERROR('Raw Data'!AG125 = ROUND('Raw Data'!AG125, 2),FALSE)),"",_xlfn.REGEXEXTRACT(CELL("address",AG125), "\$([A-Z]+)\$[0-9]+"))),_xlfn.REGEXEXTRACT(CELL("address",AG125), "\$([A-Z]+)\$[0-9]+"))</f>
        <v/>
      </c>
      <c r="AH125" s="7" t="str" cm="1">
        <f t="array" aca="1" ref="AH125" ca="1">IFERROR(IF(OR('Raw Data'!AH125="",LEN(TRIM('Raw Data'!AH125))=0),"",IF(AND(ISNUMBER('Raw Data'!AH125), IFERROR('Raw Data'!AH125 = ROUND('Raw Data'!AH125, 2),FALSE)),"",_xlfn.REGEXEXTRACT(CELL("address",AH125), "\$([A-Z]+)\$[0-9]+"))),_xlfn.REGEXEXTRACT(CELL("address",AH125), "\$([A-Z]+)\$[0-9]+"))</f>
        <v/>
      </c>
      <c r="AI125" s="7" t="str" cm="1">
        <f t="array" aca="1" ref="AI125" ca="1">IFERROR(IF(OR('Raw Data'!AI125="",LEN(TRIM('Raw Data'!AI125))=0),"",IF(AND(ISNUMBER('Raw Data'!AI125), IFERROR('Raw Data'!AI125 = ROUND('Raw Data'!AI125, 2),FALSE)),"",_xlfn.REGEXEXTRACT(CELL("address",AI125), "\$([A-Z]+)\$[0-9]+"))),_xlfn.REGEXEXTRACT(CELL("address",AI125), "\$([A-Z]+)\$[0-9]+"))</f>
        <v/>
      </c>
      <c r="AJ125" s="7" t="str" cm="1">
        <f t="array" aca="1" ref="AJ125" ca="1">IFERROR(IF(OR('Raw Data'!AJ125="",LEN(TRIM('Raw Data'!AJ125))=0),"",IF(AND(ISNUMBER('Raw Data'!AJ125), IFERROR('Raw Data'!AJ125 = ROUND('Raw Data'!AJ125, 2),FALSE)),"",_xlfn.REGEXEXTRACT(CELL("address",AJ125), "\$([A-Z]+)\$[0-9]+"))),_xlfn.REGEXEXTRACT(CELL("address",AJ125), "\$([A-Z]+)\$[0-9]+"))</f>
        <v/>
      </c>
    </row>
    <row r="126" spans="2:36" x14ac:dyDescent="0.25">
      <c r="B126" s="7" t="str" cm="1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20,LEN('Raw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Data'!D126))=0),"",IF(AND(ISNUMBER('Raw Data'!D126),'Raw Data'!D126&gt;=Configuration!$D$2),"",_xlfn.REGEXEXTRACT(CELL("address",'Raw Data'!D126),"\$([A-Z]+)\$[0-9]+"))),_xlfn.REGEXEXTRACT(CELL("address",D126), "\$([A-Z]+)\$[0-9]+"))</f>
        <v/>
      </c>
      <c r="E126" s="7" t="str" cm="1">
        <f t="array" aca="1" ref="E126" ca="1">IFERROR(IF(OR('Raw Data'!E126="",LEN(TRIM('Raw Data'!E126))=0),"",IF(AND(ISNUMBER('Raw Data'!E126), IFERROR('Raw Data'!E126 = ROUND('Raw Data'!E126, 2),FALSE)),"",_xlfn.REGEXEXTRACT(CELL("address",E126), "\$([A-Z]+)\$[0-9]+"))),_xlfn.REGEXEXTRACT(CELL("address",E126), "\$([A-Z]+)\$[0-9]+"))</f>
        <v/>
      </c>
      <c r="F126" s="7" t="str" cm="1">
        <f t="array" aca="1" ref="F126" ca="1">IFERROR(IF(OR('Raw Data'!F126="",LEN(TRIM('Raw Data'!F126))=0),"",IF(AND(ISNUMBER('Raw Data'!F126), IFERROR('Raw Data'!F126 = ROUND('Raw Data'!F126, 2),FALSE)),"",_xlfn.REGEXEXTRACT(CELL("address",F126), "\$([A-Z]+)\$[0-9]+"))),_xlfn.REGEXEXTRACT(CELL("address",F126), "\$([A-Z]+)\$[0-9]+"))</f>
        <v/>
      </c>
      <c r="G126" s="7" t="str" cm="1">
        <f t="array" aca="1" ref="G126" ca="1">IFERROR(IF(OR('Raw Data'!G126="",LEN(TRIM('Raw Data'!G126))=0),"",IF(AND(ISNUMBER('Raw Data'!G126), IFERROR('Raw Data'!G126 = ROUND('Raw Data'!G126, 2),FALSE)),"",_xlfn.REGEXEXTRACT(CELL("address",G126), "\$([A-Z]+)\$[0-9]+"))),_xlfn.REGEXEXTRACT(CELL("address",G126), "\$([A-Z]+)\$[0-9]+"))</f>
        <v/>
      </c>
      <c r="H126" s="7" t="str" cm="1">
        <f t="array" aca="1" ref="H126" ca="1">IFERROR(IF(OR('Raw Data'!H126="",LEN(TRIM('Raw Data'!H126))=0),"",IF(AND(ISNUMBER('Raw Data'!H126), IFERROR('Raw Data'!H126 = ROUND('Raw Data'!H126, 2),FALSE)),"",_xlfn.REGEXEXTRACT(CELL("address",H126), "\$([A-Z]+)\$[0-9]+"))),_xlfn.REGEXEXTRACT(CELL("address",H126), "\$([A-Z]+)\$[0-9]+"))</f>
        <v/>
      </c>
      <c r="I126" s="7" t="str" cm="1">
        <f t="array" aca="1" ref="I126" ca="1">IFERROR(IF(OR('Raw Data'!I126="",LEN(TRIM('Raw Data'!I126))=0),"",IF(AND(ISNUMBER('Raw Data'!I126), IFERROR('Raw Data'!I126 = ROUND('Raw Data'!I126, 2),FALSE)),"",_xlfn.REGEXEXTRACT(CELL("address",I126), "\$([A-Z]+)\$[0-9]+"))),_xlfn.REGEXEXTRACT(CELL("address",I126), "\$([A-Z]+)\$[0-9]+"))</f>
        <v/>
      </c>
      <c r="J126" s="7" t="str" cm="1">
        <f t="array" aca="1" ref="J126" ca="1">IFERROR(IF(OR('Raw Data'!J126="",LEN(TRIM('Raw Data'!J126))=0),"",IF(AND(ISNUMBER('Raw Data'!J126), IFERROR('Raw Data'!J126 = ROUND('Raw Data'!J126, 2),FALSE)),"",_xlfn.REGEXEXTRACT(CELL("address",J126), "\$([A-Z]+)\$[0-9]+"))),_xlfn.REGEXEXTRACT(CELL("address",J126), "\$([A-Z]+)\$[0-9]+"))</f>
        <v/>
      </c>
      <c r="K126" s="7" t="str" cm="1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7" t="str" cm="1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7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7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7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7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 cm="1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7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7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7" t="str" cm="1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7" t="str" cm="1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  <c r="Z126" s="7" t="str" cm="1">
        <f t="array" aca="1" ref="Z126" ca="1">IFERROR(IF(OR('Raw Data'!Z126="",LEN(TRIM('Raw Data'!Z126))=0),"",IF(AND(ISNUMBER('Raw Data'!Z126), IFERROR('Raw Data'!Z126 = ROUND('Raw Data'!Z126, 2),FALSE)),"",_xlfn.REGEXEXTRACT(CELL("address",Z126), "\$([A-Z]+)\$[0-9]+"))),_xlfn.REGEXEXTRACT(CELL("address",Z126), "\$([A-Z]+)\$[0-9]+"))</f>
        <v/>
      </c>
      <c r="AA126" s="7" t="str" cm="1">
        <f t="array" aca="1" ref="AA126" ca="1">IFERROR(IF(OR('Raw Data'!AA126="",LEN(TRIM('Raw Data'!AA126))=0),"",IF(AND(ISNUMBER('Raw Data'!AA126), IFERROR('Raw Data'!AA126 = ROUND('Raw Data'!AA126, 2),FALSE)),"",_xlfn.REGEXEXTRACT(CELL("address",AA126), "\$([A-Z]+)\$[0-9]+"))),_xlfn.REGEXEXTRACT(CELL("address",AA126), "\$([A-Z]+)\$[0-9]+"))</f>
        <v/>
      </c>
      <c r="AB126" s="7" t="str" cm="1">
        <f t="array" aca="1" ref="AB126" ca="1">IFERROR(IF(OR('Raw Data'!AB126="",LEN(TRIM('Raw Data'!AB126))=0),"",IF(AND(ISNUMBER('Raw Data'!AB126), IFERROR('Raw Data'!AB126 = ROUND('Raw Data'!AB126, 2),FALSE)),"",_xlfn.REGEXEXTRACT(CELL("address",AB126), "\$([A-Z]+)\$[0-9]+"))),_xlfn.REGEXEXTRACT(CELL("address",AB126), "\$([A-Z]+)\$[0-9]+"))</f>
        <v/>
      </c>
      <c r="AC126" s="7" t="str" cm="1">
        <f t="array" aca="1" ref="AC126" ca="1">IFERROR(IF(OR('Raw Data'!AC126="",LEN(TRIM('Raw Data'!AC126))=0),"",IF(AND(ISNUMBER('Raw Data'!AC126), IFERROR('Raw Data'!AC126 = ROUND('Raw Data'!AC126, 2),FALSE)),"",_xlfn.REGEXEXTRACT(CELL("address",AC126), "\$([A-Z]+)\$[0-9]+"))),_xlfn.REGEXEXTRACT(CELL("address",AC126), "\$([A-Z]+)\$[0-9]+"))</f>
        <v/>
      </c>
      <c r="AD126" s="7" t="str" cm="1">
        <f t="array" aca="1" ref="AD126" ca="1">IFERROR(IF(OR('Raw Data'!AD126="",LEN(TRIM('Raw Data'!AD126))=0),"",IF(AND(ISNUMBER('Raw Data'!AD126), IFERROR('Raw Data'!AD126 = ROUND('Raw Data'!AD126, 2),FALSE)),"",_xlfn.REGEXEXTRACT(CELL("address",AD126), "\$([A-Z]+)\$[0-9]+"))),_xlfn.REGEXEXTRACT(CELL("address",AD126), "\$([A-Z]+)\$[0-9]+"))</f>
        <v/>
      </c>
      <c r="AE126" s="7" t="str" cm="1">
        <f t="array" aca="1" ref="AE126" ca="1">IFERROR(IF(OR('Raw Data'!AE126="",LEN(TRIM('Raw Data'!AE126))=0),"",IF(AND(ISNUMBER('Raw Data'!AE126), IFERROR('Raw Data'!AE126 = ROUND('Raw Data'!AE126, 2),FALSE)),"",_xlfn.REGEXEXTRACT(CELL("address",AE126), "\$([A-Z]+)\$[0-9]+"))),_xlfn.REGEXEXTRACT(CELL("address",AE126), "\$([A-Z]+)\$[0-9]+"))</f>
        <v/>
      </c>
      <c r="AF126" s="7" t="str" cm="1">
        <f t="array" aca="1" ref="AF126" ca="1">IFERROR(IF(OR('Raw Data'!AF126="",LEN(TRIM('Raw Data'!AF126))=0),"",IF(AND(ISNUMBER('Raw Data'!AF126), IFERROR('Raw Data'!AF126 = ROUND('Raw Data'!AF126, 2),FALSE)),"",_xlfn.REGEXEXTRACT(CELL("address",AF126), "\$([A-Z]+)\$[0-9]+"))),_xlfn.REGEXEXTRACT(CELL("address",AF126), "\$([A-Z]+)\$[0-9]+"))</f>
        <v/>
      </c>
      <c r="AG126" s="7" t="str" cm="1">
        <f t="array" aca="1" ref="AG126" ca="1">IFERROR(IF(OR('Raw Data'!AG126="",LEN(TRIM('Raw Data'!AG126))=0),"",IF(AND(ISNUMBER('Raw Data'!AG126), IFERROR('Raw Data'!AG126 = ROUND('Raw Data'!AG126, 2),FALSE)),"",_xlfn.REGEXEXTRACT(CELL("address",AG126), "\$([A-Z]+)\$[0-9]+"))),_xlfn.REGEXEXTRACT(CELL("address",AG126), "\$([A-Z]+)\$[0-9]+"))</f>
        <v/>
      </c>
      <c r="AH126" s="7" t="str" cm="1">
        <f t="array" aca="1" ref="AH126" ca="1">IFERROR(IF(OR('Raw Data'!AH126="",LEN(TRIM('Raw Data'!AH126))=0),"",IF(AND(ISNUMBER('Raw Data'!AH126), IFERROR('Raw Data'!AH126 = ROUND('Raw Data'!AH126, 2),FALSE)),"",_xlfn.REGEXEXTRACT(CELL("address",AH126), "\$([A-Z]+)\$[0-9]+"))),_xlfn.REGEXEXTRACT(CELL("address",AH126), "\$([A-Z]+)\$[0-9]+"))</f>
        <v/>
      </c>
      <c r="AI126" s="7" t="str" cm="1">
        <f t="array" aca="1" ref="AI126" ca="1">IFERROR(IF(OR('Raw Data'!AI126="",LEN(TRIM('Raw Data'!AI126))=0),"",IF(AND(ISNUMBER('Raw Data'!AI126), IFERROR('Raw Data'!AI126 = ROUND('Raw Data'!AI126, 2),FALSE)),"",_xlfn.REGEXEXTRACT(CELL("address",AI126), "\$([A-Z]+)\$[0-9]+"))),_xlfn.REGEXEXTRACT(CELL("address",AI126), "\$([A-Z]+)\$[0-9]+"))</f>
        <v/>
      </c>
      <c r="AJ126" s="7" t="str" cm="1">
        <f t="array" aca="1" ref="AJ126" ca="1">IFERROR(IF(OR('Raw Data'!AJ126="",LEN(TRIM('Raw Data'!AJ126))=0),"",IF(AND(ISNUMBER('Raw Data'!AJ126), IFERROR('Raw Data'!AJ126 = ROUND('Raw Data'!AJ126, 2),FALSE)),"",_xlfn.REGEXEXTRACT(CELL("address",AJ126), "\$([A-Z]+)\$[0-9]+"))),_xlfn.REGEXEXTRACT(CELL("address",AJ126), "\$([A-Z]+)\$[0-9]+"))</f>
        <v/>
      </c>
    </row>
    <row r="127" spans="2:36" x14ac:dyDescent="0.25">
      <c r="B127" s="7" t="str" cm="1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20,LEN('Raw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Data'!D127))=0),"",IF(AND(ISNUMBER('Raw Data'!D127),'Raw Data'!D127&gt;=Configuration!$D$2),"",_xlfn.REGEXEXTRACT(CELL("address",'Raw Data'!D127),"\$([A-Z]+)\$[0-9]+"))),_xlfn.REGEXEXTRACT(CELL("address",D127), "\$([A-Z]+)\$[0-9]+"))</f>
        <v/>
      </c>
      <c r="E127" s="7" t="str" cm="1">
        <f t="array" aca="1" ref="E127" ca="1">IFERROR(IF(OR('Raw Data'!E127="",LEN(TRIM('Raw Data'!E127))=0),"",IF(AND(ISNUMBER('Raw Data'!E127), IFERROR('Raw Data'!E127 = ROUND('Raw Data'!E127, 2),FALSE)),"",_xlfn.REGEXEXTRACT(CELL("address",E127), "\$([A-Z]+)\$[0-9]+"))),_xlfn.REGEXEXTRACT(CELL("address",E127), "\$([A-Z]+)\$[0-9]+"))</f>
        <v/>
      </c>
      <c r="F127" s="7" t="str" cm="1">
        <f t="array" aca="1" ref="F127" ca="1">IFERROR(IF(OR('Raw Data'!F127="",LEN(TRIM('Raw Data'!F127))=0),"",IF(AND(ISNUMBER('Raw Data'!F127), IFERROR('Raw Data'!F127 = ROUND('Raw Data'!F127, 2),FALSE)),"",_xlfn.REGEXEXTRACT(CELL("address",F127), "\$([A-Z]+)\$[0-9]+"))),_xlfn.REGEXEXTRACT(CELL("address",F127), "\$([A-Z]+)\$[0-9]+"))</f>
        <v/>
      </c>
      <c r="G127" s="7" t="str" cm="1">
        <f t="array" aca="1" ref="G127" ca="1">IFERROR(IF(OR('Raw Data'!G127="",LEN(TRIM('Raw Data'!G127))=0),"",IF(AND(ISNUMBER('Raw Data'!G127), IFERROR('Raw Data'!G127 = ROUND('Raw Data'!G127, 2),FALSE)),"",_xlfn.REGEXEXTRACT(CELL("address",G127), "\$([A-Z]+)\$[0-9]+"))),_xlfn.REGEXEXTRACT(CELL("address",G127), "\$([A-Z]+)\$[0-9]+"))</f>
        <v/>
      </c>
      <c r="H127" s="7" t="str" cm="1">
        <f t="array" aca="1" ref="H127" ca="1">IFERROR(IF(OR('Raw Data'!H127="",LEN(TRIM('Raw Data'!H127))=0),"",IF(AND(ISNUMBER('Raw Data'!H127), IFERROR('Raw Data'!H127 = ROUND('Raw Data'!H127, 2),FALSE)),"",_xlfn.REGEXEXTRACT(CELL("address",H127), "\$([A-Z]+)\$[0-9]+"))),_xlfn.REGEXEXTRACT(CELL("address",H127), "\$([A-Z]+)\$[0-9]+"))</f>
        <v/>
      </c>
      <c r="I127" s="7" t="str" cm="1">
        <f t="array" aca="1" ref="I127" ca="1">IFERROR(IF(OR('Raw Data'!I127="",LEN(TRIM('Raw Data'!I127))=0),"",IF(AND(ISNUMBER('Raw Data'!I127), IFERROR('Raw Data'!I127 = ROUND('Raw Data'!I127, 2),FALSE)),"",_xlfn.REGEXEXTRACT(CELL("address",I127), "\$([A-Z]+)\$[0-9]+"))),_xlfn.REGEXEXTRACT(CELL("address",I127), "\$([A-Z]+)\$[0-9]+"))</f>
        <v/>
      </c>
      <c r="J127" s="7" t="str" cm="1">
        <f t="array" aca="1" ref="J127" ca="1">IFERROR(IF(OR('Raw Data'!J127="",LEN(TRIM('Raw Data'!J127))=0),"",IF(AND(ISNUMBER('Raw Data'!J127), IFERROR('Raw Data'!J127 = ROUND('Raw Data'!J127, 2),FALSE)),"",_xlfn.REGEXEXTRACT(CELL("address",J127), "\$([A-Z]+)\$[0-9]+"))),_xlfn.REGEXEXTRACT(CELL("address",J127), "\$([A-Z]+)\$[0-9]+"))</f>
        <v/>
      </c>
      <c r="K127" s="7" t="str" cm="1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7" t="str" cm="1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7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7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7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7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 cm="1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7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7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7" t="str" cm="1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7" t="str" cm="1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  <c r="Z127" s="7" t="str" cm="1">
        <f t="array" aca="1" ref="Z127" ca="1">IFERROR(IF(OR('Raw Data'!Z127="",LEN(TRIM('Raw Data'!Z127))=0),"",IF(AND(ISNUMBER('Raw Data'!Z127), IFERROR('Raw Data'!Z127 = ROUND('Raw Data'!Z127, 2),FALSE)),"",_xlfn.REGEXEXTRACT(CELL("address",Z127), "\$([A-Z]+)\$[0-9]+"))),_xlfn.REGEXEXTRACT(CELL("address",Z127), "\$([A-Z]+)\$[0-9]+"))</f>
        <v/>
      </c>
      <c r="AA127" s="7" t="str" cm="1">
        <f t="array" aca="1" ref="AA127" ca="1">IFERROR(IF(OR('Raw Data'!AA127="",LEN(TRIM('Raw Data'!AA127))=0),"",IF(AND(ISNUMBER('Raw Data'!AA127), IFERROR('Raw Data'!AA127 = ROUND('Raw Data'!AA127, 2),FALSE)),"",_xlfn.REGEXEXTRACT(CELL("address",AA127), "\$([A-Z]+)\$[0-9]+"))),_xlfn.REGEXEXTRACT(CELL("address",AA127), "\$([A-Z]+)\$[0-9]+"))</f>
        <v/>
      </c>
      <c r="AB127" s="7" t="str" cm="1">
        <f t="array" aca="1" ref="AB127" ca="1">IFERROR(IF(OR('Raw Data'!AB127="",LEN(TRIM('Raw Data'!AB127))=0),"",IF(AND(ISNUMBER('Raw Data'!AB127), IFERROR('Raw Data'!AB127 = ROUND('Raw Data'!AB127, 2),FALSE)),"",_xlfn.REGEXEXTRACT(CELL("address",AB127), "\$([A-Z]+)\$[0-9]+"))),_xlfn.REGEXEXTRACT(CELL("address",AB127), "\$([A-Z]+)\$[0-9]+"))</f>
        <v/>
      </c>
      <c r="AC127" s="7" t="str" cm="1">
        <f t="array" aca="1" ref="AC127" ca="1">IFERROR(IF(OR('Raw Data'!AC127="",LEN(TRIM('Raw Data'!AC127))=0),"",IF(AND(ISNUMBER('Raw Data'!AC127), IFERROR('Raw Data'!AC127 = ROUND('Raw Data'!AC127, 2),FALSE)),"",_xlfn.REGEXEXTRACT(CELL("address",AC127), "\$([A-Z]+)\$[0-9]+"))),_xlfn.REGEXEXTRACT(CELL("address",AC127), "\$([A-Z]+)\$[0-9]+"))</f>
        <v/>
      </c>
      <c r="AD127" s="7" t="str" cm="1">
        <f t="array" aca="1" ref="AD127" ca="1">IFERROR(IF(OR('Raw Data'!AD127="",LEN(TRIM('Raw Data'!AD127))=0),"",IF(AND(ISNUMBER('Raw Data'!AD127), IFERROR('Raw Data'!AD127 = ROUND('Raw Data'!AD127, 2),FALSE)),"",_xlfn.REGEXEXTRACT(CELL("address",AD127), "\$([A-Z]+)\$[0-9]+"))),_xlfn.REGEXEXTRACT(CELL("address",AD127), "\$([A-Z]+)\$[0-9]+"))</f>
        <v/>
      </c>
      <c r="AE127" s="7" t="str" cm="1">
        <f t="array" aca="1" ref="AE127" ca="1">IFERROR(IF(OR('Raw Data'!AE127="",LEN(TRIM('Raw Data'!AE127))=0),"",IF(AND(ISNUMBER('Raw Data'!AE127), IFERROR('Raw Data'!AE127 = ROUND('Raw Data'!AE127, 2),FALSE)),"",_xlfn.REGEXEXTRACT(CELL("address",AE127), "\$([A-Z]+)\$[0-9]+"))),_xlfn.REGEXEXTRACT(CELL("address",AE127), "\$([A-Z]+)\$[0-9]+"))</f>
        <v/>
      </c>
      <c r="AF127" s="7" t="str" cm="1">
        <f t="array" aca="1" ref="AF127" ca="1">IFERROR(IF(OR('Raw Data'!AF127="",LEN(TRIM('Raw Data'!AF127))=0),"",IF(AND(ISNUMBER('Raw Data'!AF127), IFERROR('Raw Data'!AF127 = ROUND('Raw Data'!AF127, 2),FALSE)),"",_xlfn.REGEXEXTRACT(CELL("address",AF127), "\$([A-Z]+)\$[0-9]+"))),_xlfn.REGEXEXTRACT(CELL("address",AF127), "\$([A-Z]+)\$[0-9]+"))</f>
        <v/>
      </c>
      <c r="AG127" s="7" t="str" cm="1">
        <f t="array" aca="1" ref="AG127" ca="1">IFERROR(IF(OR('Raw Data'!AG127="",LEN(TRIM('Raw Data'!AG127))=0),"",IF(AND(ISNUMBER('Raw Data'!AG127), IFERROR('Raw Data'!AG127 = ROUND('Raw Data'!AG127, 2),FALSE)),"",_xlfn.REGEXEXTRACT(CELL("address",AG127), "\$([A-Z]+)\$[0-9]+"))),_xlfn.REGEXEXTRACT(CELL("address",AG127), "\$([A-Z]+)\$[0-9]+"))</f>
        <v/>
      </c>
      <c r="AH127" s="7" t="str" cm="1">
        <f t="array" aca="1" ref="AH127" ca="1">IFERROR(IF(OR('Raw Data'!AH127="",LEN(TRIM('Raw Data'!AH127))=0),"",IF(AND(ISNUMBER('Raw Data'!AH127), IFERROR('Raw Data'!AH127 = ROUND('Raw Data'!AH127, 2),FALSE)),"",_xlfn.REGEXEXTRACT(CELL("address",AH127), "\$([A-Z]+)\$[0-9]+"))),_xlfn.REGEXEXTRACT(CELL("address",AH127), "\$([A-Z]+)\$[0-9]+"))</f>
        <v/>
      </c>
      <c r="AI127" s="7" t="str" cm="1">
        <f t="array" aca="1" ref="AI127" ca="1">IFERROR(IF(OR('Raw Data'!AI127="",LEN(TRIM('Raw Data'!AI127))=0),"",IF(AND(ISNUMBER('Raw Data'!AI127), IFERROR('Raw Data'!AI127 = ROUND('Raw Data'!AI127, 2),FALSE)),"",_xlfn.REGEXEXTRACT(CELL("address",AI127), "\$([A-Z]+)\$[0-9]+"))),_xlfn.REGEXEXTRACT(CELL("address",AI127), "\$([A-Z]+)\$[0-9]+"))</f>
        <v/>
      </c>
      <c r="AJ127" s="7" t="str" cm="1">
        <f t="array" aca="1" ref="AJ127" ca="1">IFERROR(IF(OR('Raw Data'!AJ127="",LEN(TRIM('Raw Data'!AJ127))=0),"",IF(AND(ISNUMBER('Raw Data'!AJ127), IFERROR('Raw Data'!AJ127 = ROUND('Raw Data'!AJ127, 2),FALSE)),"",_xlfn.REGEXEXTRACT(CELL("address",AJ127), "\$([A-Z]+)\$[0-9]+"))),_xlfn.REGEXEXTRACT(CELL("address",AJ127), "\$([A-Z]+)\$[0-9]+"))</f>
        <v/>
      </c>
    </row>
    <row r="128" spans="2:36" x14ac:dyDescent="0.25">
      <c r="B128" s="7" t="str" cm="1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20,LEN('Raw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Data'!D128))=0),"",IF(AND(ISNUMBER('Raw Data'!D128),'Raw Data'!D128&gt;=Configuration!$D$2),"",_xlfn.REGEXEXTRACT(CELL("address",'Raw Data'!D128),"\$([A-Z]+)\$[0-9]+"))),_xlfn.REGEXEXTRACT(CELL("address",D128), "\$([A-Z]+)\$[0-9]+"))</f>
        <v/>
      </c>
      <c r="E128" s="7" t="str" cm="1">
        <f t="array" aca="1" ref="E128" ca="1">IFERROR(IF(OR('Raw Data'!E128="",LEN(TRIM('Raw Data'!E128))=0),"",IF(AND(ISNUMBER('Raw Data'!E128), IFERROR('Raw Data'!E128 = ROUND('Raw Data'!E128, 2),FALSE)),"",_xlfn.REGEXEXTRACT(CELL("address",E128), "\$([A-Z]+)\$[0-9]+"))),_xlfn.REGEXEXTRACT(CELL("address",E128), "\$([A-Z]+)\$[0-9]+"))</f>
        <v/>
      </c>
      <c r="F128" s="7" t="str" cm="1">
        <f t="array" aca="1" ref="F128" ca="1">IFERROR(IF(OR('Raw Data'!F128="",LEN(TRIM('Raw Data'!F128))=0),"",IF(AND(ISNUMBER('Raw Data'!F128), IFERROR('Raw Data'!F128 = ROUND('Raw Data'!F128, 2),FALSE)),"",_xlfn.REGEXEXTRACT(CELL("address",F128), "\$([A-Z]+)\$[0-9]+"))),_xlfn.REGEXEXTRACT(CELL("address",F128), "\$([A-Z]+)\$[0-9]+"))</f>
        <v/>
      </c>
      <c r="G128" s="7" t="str" cm="1">
        <f t="array" aca="1" ref="G128" ca="1">IFERROR(IF(OR('Raw Data'!G128="",LEN(TRIM('Raw Data'!G128))=0),"",IF(AND(ISNUMBER('Raw Data'!G128), IFERROR('Raw Data'!G128 = ROUND('Raw Data'!G128, 2),FALSE)),"",_xlfn.REGEXEXTRACT(CELL("address",G128), "\$([A-Z]+)\$[0-9]+"))),_xlfn.REGEXEXTRACT(CELL("address",G128), "\$([A-Z]+)\$[0-9]+"))</f>
        <v/>
      </c>
      <c r="H128" s="7" t="str" cm="1">
        <f t="array" aca="1" ref="H128" ca="1">IFERROR(IF(OR('Raw Data'!H128="",LEN(TRIM('Raw Data'!H128))=0),"",IF(AND(ISNUMBER('Raw Data'!H128), IFERROR('Raw Data'!H128 = ROUND('Raw Data'!H128, 2),FALSE)),"",_xlfn.REGEXEXTRACT(CELL("address",H128), "\$([A-Z]+)\$[0-9]+"))),_xlfn.REGEXEXTRACT(CELL("address",H128), "\$([A-Z]+)\$[0-9]+"))</f>
        <v/>
      </c>
      <c r="I128" s="7" t="str" cm="1">
        <f t="array" aca="1" ref="I128" ca="1">IFERROR(IF(OR('Raw Data'!I128="",LEN(TRIM('Raw Data'!I128))=0),"",IF(AND(ISNUMBER('Raw Data'!I128), IFERROR('Raw Data'!I128 = ROUND('Raw Data'!I128, 2),FALSE)),"",_xlfn.REGEXEXTRACT(CELL("address",I128), "\$([A-Z]+)\$[0-9]+"))),_xlfn.REGEXEXTRACT(CELL("address",I128), "\$([A-Z]+)\$[0-9]+"))</f>
        <v/>
      </c>
      <c r="J128" s="7" t="str" cm="1">
        <f t="array" aca="1" ref="J128" ca="1">IFERROR(IF(OR('Raw Data'!J128="",LEN(TRIM('Raw Data'!J128))=0),"",IF(AND(ISNUMBER('Raw Data'!J128), IFERROR('Raw Data'!J128 = ROUND('Raw Data'!J128, 2),FALSE)),"",_xlfn.REGEXEXTRACT(CELL("address",J128), "\$([A-Z]+)\$[0-9]+"))),_xlfn.REGEXEXTRACT(CELL("address",J128), "\$([A-Z]+)\$[0-9]+"))</f>
        <v/>
      </c>
      <c r="K128" s="7" t="str" cm="1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7" t="str" cm="1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7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7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7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7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 cm="1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7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7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7" t="str" cm="1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7" t="str" cm="1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  <c r="Z128" s="7" t="str" cm="1">
        <f t="array" aca="1" ref="Z128" ca="1">IFERROR(IF(OR('Raw Data'!Z128="",LEN(TRIM('Raw Data'!Z128))=0),"",IF(AND(ISNUMBER('Raw Data'!Z128), IFERROR('Raw Data'!Z128 = ROUND('Raw Data'!Z128, 2),FALSE)),"",_xlfn.REGEXEXTRACT(CELL("address",Z128), "\$([A-Z]+)\$[0-9]+"))),_xlfn.REGEXEXTRACT(CELL("address",Z128), "\$([A-Z]+)\$[0-9]+"))</f>
        <v/>
      </c>
      <c r="AA128" s="7" t="str" cm="1">
        <f t="array" aca="1" ref="AA128" ca="1">IFERROR(IF(OR('Raw Data'!AA128="",LEN(TRIM('Raw Data'!AA128))=0),"",IF(AND(ISNUMBER('Raw Data'!AA128), IFERROR('Raw Data'!AA128 = ROUND('Raw Data'!AA128, 2),FALSE)),"",_xlfn.REGEXEXTRACT(CELL("address",AA128), "\$([A-Z]+)\$[0-9]+"))),_xlfn.REGEXEXTRACT(CELL("address",AA128), "\$([A-Z]+)\$[0-9]+"))</f>
        <v/>
      </c>
      <c r="AB128" s="7" t="str" cm="1">
        <f t="array" aca="1" ref="AB128" ca="1">IFERROR(IF(OR('Raw Data'!AB128="",LEN(TRIM('Raw Data'!AB128))=0),"",IF(AND(ISNUMBER('Raw Data'!AB128), IFERROR('Raw Data'!AB128 = ROUND('Raw Data'!AB128, 2),FALSE)),"",_xlfn.REGEXEXTRACT(CELL("address",AB128), "\$([A-Z]+)\$[0-9]+"))),_xlfn.REGEXEXTRACT(CELL("address",AB128), "\$([A-Z]+)\$[0-9]+"))</f>
        <v/>
      </c>
      <c r="AC128" s="7" t="str" cm="1">
        <f t="array" aca="1" ref="AC128" ca="1">IFERROR(IF(OR('Raw Data'!AC128="",LEN(TRIM('Raw Data'!AC128))=0),"",IF(AND(ISNUMBER('Raw Data'!AC128), IFERROR('Raw Data'!AC128 = ROUND('Raw Data'!AC128, 2),FALSE)),"",_xlfn.REGEXEXTRACT(CELL("address",AC128), "\$([A-Z]+)\$[0-9]+"))),_xlfn.REGEXEXTRACT(CELL("address",AC128), "\$([A-Z]+)\$[0-9]+"))</f>
        <v/>
      </c>
      <c r="AD128" s="7" t="str" cm="1">
        <f t="array" aca="1" ref="AD128" ca="1">IFERROR(IF(OR('Raw Data'!AD128="",LEN(TRIM('Raw Data'!AD128))=0),"",IF(AND(ISNUMBER('Raw Data'!AD128), IFERROR('Raw Data'!AD128 = ROUND('Raw Data'!AD128, 2),FALSE)),"",_xlfn.REGEXEXTRACT(CELL("address",AD128), "\$([A-Z]+)\$[0-9]+"))),_xlfn.REGEXEXTRACT(CELL("address",AD128), "\$([A-Z]+)\$[0-9]+"))</f>
        <v/>
      </c>
      <c r="AE128" s="7" t="str" cm="1">
        <f t="array" aca="1" ref="AE128" ca="1">IFERROR(IF(OR('Raw Data'!AE128="",LEN(TRIM('Raw Data'!AE128))=0),"",IF(AND(ISNUMBER('Raw Data'!AE128), IFERROR('Raw Data'!AE128 = ROUND('Raw Data'!AE128, 2),FALSE)),"",_xlfn.REGEXEXTRACT(CELL("address",AE128), "\$([A-Z]+)\$[0-9]+"))),_xlfn.REGEXEXTRACT(CELL("address",AE128), "\$([A-Z]+)\$[0-9]+"))</f>
        <v/>
      </c>
      <c r="AF128" s="7" t="str" cm="1">
        <f t="array" aca="1" ref="AF128" ca="1">IFERROR(IF(OR('Raw Data'!AF128="",LEN(TRIM('Raw Data'!AF128))=0),"",IF(AND(ISNUMBER('Raw Data'!AF128), IFERROR('Raw Data'!AF128 = ROUND('Raw Data'!AF128, 2),FALSE)),"",_xlfn.REGEXEXTRACT(CELL("address",AF128), "\$([A-Z]+)\$[0-9]+"))),_xlfn.REGEXEXTRACT(CELL("address",AF128), "\$([A-Z]+)\$[0-9]+"))</f>
        <v/>
      </c>
      <c r="AG128" s="7" t="str" cm="1">
        <f t="array" aca="1" ref="AG128" ca="1">IFERROR(IF(OR('Raw Data'!AG128="",LEN(TRIM('Raw Data'!AG128))=0),"",IF(AND(ISNUMBER('Raw Data'!AG128), IFERROR('Raw Data'!AG128 = ROUND('Raw Data'!AG128, 2),FALSE)),"",_xlfn.REGEXEXTRACT(CELL("address",AG128), "\$([A-Z]+)\$[0-9]+"))),_xlfn.REGEXEXTRACT(CELL("address",AG128), "\$([A-Z]+)\$[0-9]+"))</f>
        <v/>
      </c>
      <c r="AH128" s="7" t="str" cm="1">
        <f t="array" aca="1" ref="AH128" ca="1">IFERROR(IF(OR('Raw Data'!AH128="",LEN(TRIM('Raw Data'!AH128))=0),"",IF(AND(ISNUMBER('Raw Data'!AH128), IFERROR('Raw Data'!AH128 = ROUND('Raw Data'!AH128, 2),FALSE)),"",_xlfn.REGEXEXTRACT(CELL("address",AH128), "\$([A-Z]+)\$[0-9]+"))),_xlfn.REGEXEXTRACT(CELL("address",AH128), "\$([A-Z]+)\$[0-9]+"))</f>
        <v/>
      </c>
      <c r="AI128" s="7" t="str" cm="1">
        <f t="array" aca="1" ref="AI128" ca="1">IFERROR(IF(OR('Raw Data'!AI128="",LEN(TRIM('Raw Data'!AI128))=0),"",IF(AND(ISNUMBER('Raw Data'!AI128), IFERROR('Raw Data'!AI128 = ROUND('Raw Data'!AI128, 2),FALSE)),"",_xlfn.REGEXEXTRACT(CELL("address",AI128), "\$([A-Z]+)\$[0-9]+"))),_xlfn.REGEXEXTRACT(CELL("address",AI128), "\$([A-Z]+)\$[0-9]+"))</f>
        <v/>
      </c>
      <c r="AJ128" s="7" t="str" cm="1">
        <f t="array" aca="1" ref="AJ128" ca="1">IFERROR(IF(OR('Raw Data'!AJ128="",LEN(TRIM('Raw Data'!AJ128))=0),"",IF(AND(ISNUMBER('Raw Data'!AJ128), IFERROR('Raw Data'!AJ128 = ROUND('Raw Data'!AJ128, 2),FALSE)),"",_xlfn.REGEXEXTRACT(CELL("address",AJ128), "\$([A-Z]+)\$[0-9]+"))),_xlfn.REGEXEXTRACT(CELL("address",AJ128), "\$([A-Z]+)\$[0-9]+"))</f>
        <v/>
      </c>
    </row>
    <row r="129" spans="2:36" x14ac:dyDescent="0.25">
      <c r="B129" s="7" t="str" cm="1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20,LEN('Raw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Data'!D129))=0),"",IF(AND(ISNUMBER('Raw Data'!D129),'Raw Data'!D129&gt;=Configuration!$D$2),"",_xlfn.REGEXEXTRACT(CELL("address",'Raw Data'!D129),"\$([A-Z]+)\$[0-9]+"))),_xlfn.REGEXEXTRACT(CELL("address",D129), "\$([A-Z]+)\$[0-9]+"))</f>
        <v/>
      </c>
      <c r="E129" s="7" t="str" cm="1">
        <f t="array" aca="1" ref="E129" ca="1">IFERROR(IF(OR('Raw Data'!E129="",LEN(TRIM('Raw Data'!E129))=0),"",IF(AND(ISNUMBER('Raw Data'!E129), IFERROR('Raw Data'!E129 = ROUND('Raw Data'!E129, 2),FALSE)),"",_xlfn.REGEXEXTRACT(CELL("address",E129), "\$([A-Z]+)\$[0-9]+"))),_xlfn.REGEXEXTRACT(CELL("address",E129), "\$([A-Z]+)\$[0-9]+"))</f>
        <v/>
      </c>
      <c r="F129" s="7" t="str" cm="1">
        <f t="array" aca="1" ref="F129" ca="1">IFERROR(IF(OR('Raw Data'!F129="",LEN(TRIM('Raw Data'!F129))=0),"",IF(AND(ISNUMBER('Raw Data'!F129), IFERROR('Raw Data'!F129 = ROUND('Raw Data'!F129, 2),FALSE)),"",_xlfn.REGEXEXTRACT(CELL("address",F129), "\$([A-Z]+)\$[0-9]+"))),_xlfn.REGEXEXTRACT(CELL("address",F129), "\$([A-Z]+)\$[0-9]+"))</f>
        <v/>
      </c>
      <c r="G129" s="7" t="str" cm="1">
        <f t="array" aca="1" ref="G129" ca="1">IFERROR(IF(OR('Raw Data'!G129="",LEN(TRIM('Raw Data'!G129))=0),"",IF(AND(ISNUMBER('Raw Data'!G129), IFERROR('Raw Data'!G129 = ROUND('Raw Data'!G129, 2),FALSE)),"",_xlfn.REGEXEXTRACT(CELL("address",G129), "\$([A-Z]+)\$[0-9]+"))),_xlfn.REGEXEXTRACT(CELL("address",G129), "\$([A-Z]+)\$[0-9]+"))</f>
        <v/>
      </c>
      <c r="H129" s="7" t="str" cm="1">
        <f t="array" aca="1" ref="H129" ca="1">IFERROR(IF(OR('Raw Data'!H129="",LEN(TRIM('Raw Data'!H129))=0),"",IF(AND(ISNUMBER('Raw Data'!H129), IFERROR('Raw Data'!H129 = ROUND('Raw Data'!H129, 2),FALSE)),"",_xlfn.REGEXEXTRACT(CELL("address",H129), "\$([A-Z]+)\$[0-9]+"))),_xlfn.REGEXEXTRACT(CELL("address",H129), "\$([A-Z]+)\$[0-9]+"))</f>
        <v/>
      </c>
      <c r="I129" s="7" t="str" cm="1">
        <f t="array" aca="1" ref="I129" ca="1">IFERROR(IF(OR('Raw Data'!I129="",LEN(TRIM('Raw Data'!I129))=0),"",IF(AND(ISNUMBER('Raw Data'!I129), IFERROR('Raw Data'!I129 = ROUND('Raw Data'!I129, 2),FALSE)),"",_xlfn.REGEXEXTRACT(CELL("address",I129), "\$([A-Z]+)\$[0-9]+"))),_xlfn.REGEXEXTRACT(CELL("address",I129), "\$([A-Z]+)\$[0-9]+"))</f>
        <v/>
      </c>
      <c r="J129" s="7" t="str" cm="1">
        <f t="array" aca="1" ref="J129" ca="1">IFERROR(IF(OR('Raw Data'!J129="",LEN(TRIM('Raw Data'!J129))=0),"",IF(AND(ISNUMBER('Raw Data'!J129), IFERROR('Raw Data'!J129 = ROUND('Raw Data'!J129, 2),FALSE)),"",_xlfn.REGEXEXTRACT(CELL("address",J129), "\$([A-Z]+)\$[0-9]+"))),_xlfn.REGEXEXTRACT(CELL("address",J129), "\$([A-Z]+)\$[0-9]+"))</f>
        <v/>
      </c>
      <c r="K129" s="7" t="str" cm="1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7" t="str" cm="1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7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7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7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7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 cm="1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7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7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7" t="str" cm="1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7" t="str" cm="1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  <c r="Z129" s="7" t="str" cm="1">
        <f t="array" aca="1" ref="Z129" ca="1">IFERROR(IF(OR('Raw Data'!Z129="",LEN(TRIM('Raw Data'!Z129))=0),"",IF(AND(ISNUMBER('Raw Data'!Z129), IFERROR('Raw Data'!Z129 = ROUND('Raw Data'!Z129, 2),FALSE)),"",_xlfn.REGEXEXTRACT(CELL("address",Z129), "\$([A-Z]+)\$[0-9]+"))),_xlfn.REGEXEXTRACT(CELL("address",Z129), "\$([A-Z]+)\$[0-9]+"))</f>
        <v/>
      </c>
      <c r="AA129" s="7" t="str" cm="1">
        <f t="array" aca="1" ref="AA129" ca="1">IFERROR(IF(OR('Raw Data'!AA129="",LEN(TRIM('Raw Data'!AA129))=0),"",IF(AND(ISNUMBER('Raw Data'!AA129), IFERROR('Raw Data'!AA129 = ROUND('Raw Data'!AA129, 2),FALSE)),"",_xlfn.REGEXEXTRACT(CELL("address",AA129), "\$([A-Z]+)\$[0-9]+"))),_xlfn.REGEXEXTRACT(CELL("address",AA129), "\$([A-Z]+)\$[0-9]+"))</f>
        <v/>
      </c>
      <c r="AB129" s="7" t="str" cm="1">
        <f t="array" aca="1" ref="AB129" ca="1">IFERROR(IF(OR('Raw Data'!AB129="",LEN(TRIM('Raw Data'!AB129))=0),"",IF(AND(ISNUMBER('Raw Data'!AB129), IFERROR('Raw Data'!AB129 = ROUND('Raw Data'!AB129, 2),FALSE)),"",_xlfn.REGEXEXTRACT(CELL("address",AB129), "\$([A-Z]+)\$[0-9]+"))),_xlfn.REGEXEXTRACT(CELL("address",AB129), "\$([A-Z]+)\$[0-9]+"))</f>
        <v/>
      </c>
      <c r="AC129" s="7" t="str" cm="1">
        <f t="array" aca="1" ref="AC129" ca="1">IFERROR(IF(OR('Raw Data'!AC129="",LEN(TRIM('Raw Data'!AC129))=0),"",IF(AND(ISNUMBER('Raw Data'!AC129), IFERROR('Raw Data'!AC129 = ROUND('Raw Data'!AC129, 2),FALSE)),"",_xlfn.REGEXEXTRACT(CELL("address",AC129), "\$([A-Z]+)\$[0-9]+"))),_xlfn.REGEXEXTRACT(CELL("address",AC129), "\$([A-Z]+)\$[0-9]+"))</f>
        <v/>
      </c>
      <c r="AD129" s="7" t="str" cm="1">
        <f t="array" aca="1" ref="AD129" ca="1">IFERROR(IF(OR('Raw Data'!AD129="",LEN(TRIM('Raw Data'!AD129))=0),"",IF(AND(ISNUMBER('Raw Data'!AD129), IFERROR('Raw Data'!AD129 = ROUND('Raw Data'!AD129, 2),FALSE)),"",_xlfn.REGEXEXTRACT(CELL("address",AD129), "\$([A-Z]+)\$[0-9]+"))),_xlfn.REGEXEXTRACT(CELL("address",AD129), "\$([A-Z]+)\$[0-9]+"))</f>
        <v/>
      </c>
      <c r="AE129" s="7" t="str" cm="1">
        <f t="array" aca="1" ref="AE129" ca="1">IFERROR(IF(OR('Raw Data'!AE129="",LEN(TRIM('Raw Data'!AE129))=0),"",IF(AND(ISNUMBER('Raw Data'!AE129), IFERROR('Raw Data'!AE129 = ROUND('Raw Data'!AE129, 2),FALSE)),"",_xlfn.REGEXEXTRACT(CELL("address",AE129), "\$([A-Z]+)\$[0-9]+"))),_xlfn.REGEXEXTRACT(CELL("address",AE129), "\$([A-Z]+)\$[0-9]+"))</f>
        <v/>
      </c>
      <c r="AF129" s="7" t="str" cm="1">
        <f t="array" aca="1" ref="AF129" ca="1">IFERROR(IF(OR('Raw Data'!AF129="",LEN(TRIM('Raw Data'!AF129))=0),"",IF(AND(ISNUMBER('Raw Data'!AF129), IFERROR('Raw Data'!AF129 = ROUND('Raw Data'!AF129, 2),FALSE)),"",_xlfn.REGEXEXTRACT(CELL("address",AF129), "\$([A-Z]+)\$[0-9]+"))),_xlfn.REGEXEXTRACT(CELL("address",AF129), "\$([A-Z]+)\$[0-9]+"))</f>
        <v/>
      </c>
      <c r="AG129" s="7" t="str" cm="1">
        <f t="array" aca="1" ref="AG129" ca="1">IFERROR(IF(OR('Raw Data'!AG129="",LEN(TRIM('Raw Data'!AG129))=0),"",IF(AND(ISNUMBER('Raw Data'!AG129), IFERROR('Raw Data'!AG129 = ROUND('Raw Data'!AG129, 2),FALSE)),"",_xlfn.REGEXEXTRACT(CELL("address",AG129), "\$([A-Z]+)\$[0-9]+"))),_xlfn.REGEXEXTRACT(CELL("address",AG129), "\$([A-Z]+)\$[0-9]+"))</f>
        <v/>
      </c>
      <c r="AH129" s="7" t="str" cm="1">
        <f t="array" aca="1" ref="AH129" ca="1">IFERROR(IF(OR('Raw Data'!AH129="",LEN(TRIM('Raw Data'!AH129))=0),"",IF(AND(ISNUMBER('Raw Data'!AH129), IFERROR('Raw Data'!AH129 = ROUND('Raw Data'!AH129, 2),FALSE)),"",_xlfn.REGEXEXTRACT(CELL("address",AH129), "\$([A-Z]+)\$[0-9]+"))),_xlfn.REGEXEXTRACT(CELL("address",AH129), "\$([A-Z]+)\$[0-9]+"))</f>
        <v/>
      </c>
      <c r="AI129" s="7" t="str" cm="1">
        <f t="array" aca="1" ref="AI129" ca="1">IFERROR(IF(OR('Raw Data'!AI129="",LEN(TRIM('Raw Data'!AI129))=0),"",IF(AND(ISNUMBER('Raw Data'!AI129), IFERROR('Raw Data'!AI129 = ROUND('Raw Data'!AI129, 2),FALSE)),"",_xlfn.REGEXEXTRACT(CELL("address",AI129), "\$([A-Z]+)\$[0-9]+"))),_xlfn.REGEXEXTRACT(CELL("address",AI129), "\$([A-Z]+)\$[0-9]+"))</f>
        <v/>
      </c>
      <c r="AJ129" s="7" t="str" cm="1">
        <f t="array" aca="1" ref="AJ129" ca="1">IFERROR(IF(OR('Raw Data'!AJ129="",LEN(TRIM('Raw Data'!AJ129))=0),"",IF(AND(ISNUMBER('Raw Data'!AJ129), IFERROR('Raw Data'!AJ129 = ROUND('Raw Data'!AJ129, 2),FALSE)),"",_xlfn.REGEXEXTRACT(CELL("address",AJ129), "\$([A-Z]+)\$[0-9]+"))),_xlfn.REGEXEXTRACT(CELL("address",AJ129), "\$([A-Z]+)\$[0-9]+"))</f>
        <v/>
      </c>
    </row>
    <row r="130" spans="2:36" x14ac:dyDescent="0.25">
      <c r="B130" s="7" t="str" cm="1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20,LEN('Raw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Data'!D130))=0),"",IF(AND(ISNUMBER('Raw Data'!D130),'Raw Data'!D130&gt;=Configuration!$D$2),"",_xlfn.REGEXEXTRACT(CELL("address",'Raw Data'!D130),"\$([A-Z]+)\$[0-9]+"))),_xlfn.REGEXEXTRACT(CELL("address",D130), "\$([A-Z]+)\$[0-9]+"))</f>
        <v/>
      </c>
      <c r="E130" s="7" t="str" cm="1">
        <f t="array" aca="1" ref="E130" ca="1">IFERROR(IF(OR('Raw Data'!E130="",LEN(TRIM('Raw Data'!E130))=0),"",IF(AND(ISNUMBER('Raw Data'!E130), IFERROR('Raw Data'!E130 = ROUND('Raw Data'!E130, 2),FALSE)),"",_xlfn.REGEXEXTRACT(CELL("address",E130), "\$([A-Z]+)\$[0-9]+"))),_xlfn.REGEXEXTRACT(CELL("address",E130), "\$([A-Z]+)\$[0-9]+"))</f>
        <v/>
      </c>
      <c r="F130" s="7" t="str" cm="1">
        <f t="array" aca="1" ref="F130" ca="1">IFERROR(IF(OR('Raw Data'!F130="",LEN(TRIM('Raw Data'!F130))=0),"",IF(AND(ISNUMBER('Raw Data'!F130), IFERROR('Raw Data'!F130 = ROUND('Raw Data'!F130, 2),FALSE)),"",_xlfn.REGEXEXTRACT(CELL("address",F130), "\$([A-Z]+)\$[0-9]+"))),_xlfn.REGEXEXTRACT(CELL("address",F130), "\$([A-Z]+)\$[0-9]+"))</f>
        <v/>
      </c>
      <c r="G130" s="7" t="str" cm="1">
        <f t="array" aca="1" ref="G130" ca="1">IFERROR(IF(OR('Raw Data'!G130="",LEN(TRIM('Raw Data'!G130))=0),"",IF(AND(ISNUMBER('Raw Data'!G130), IFERROR('Raw Data'!G130 = ROUND('Raw Data'!G130, 2),FALSE)),"",_xlfn.REGEXEXTRACT(CELL("address",G130), "\$([A-Z]+)\$[0-9]+"))),_xlfn.REGEXEXTRACT(CELL("address",G130), "\$([A-Z]+)\$[0-9]+"))</f>
        <v/>
      </c>
      <c r="H130" s="7" t="str" cm="1">
        <f t="array" aca="1" ref="H130" ca="1">IFERROR(IF(OR('Raw Data'!H130="",LEN(TRIM('Raw Data'!H130))=0),"",IF(AND(ISNUMBER('Raw Data'!H130), IFERROR('Raw Data'!H130 = ROUND('Raw Data'!H130, 2),FALSE)),"",_xlfn.REGEXEXTRACT(CELL("address",H130), "\$([A-Z]+)\$[0-9]+"))),_xlfn.REGEXEXTRACT(CELL("address",H130), "\$([A-Z]+)\$[0-9]+"))</f>
        <v/>
      </c>
      <c r="I130" s="7" t="str" cm="1">
        <f t="array" aca="1" ref="I130" ca="1">IFERROR(IF(OR('Raw Data'!I130="",LEN(TRIM('Raw Data'!I130))=0),"",IF(AND(ISNUMBER('Raw Data'!I130), IFERROR('Raw Data'!I130 = ROUND('Raw Data'!I130, 2),FALSE)),"",_xlfn.REGEXEXTRACT(CELL("address",I130), "\$([A-Z]+)\$[0-9]+"))),_xlfn.REGEXEXTRACT(CELL("address",I130), "\$([A-Z]+)\$[0-9]+"))</f>
        <v/>
      </c>
      <c r="J130" s="7" t="str" cm="1">
        <f t="array" aca="1" ref="J130" ca="1">IFERROR(IF(OR('Raw Data'!J130="",LEN(TRIM('Raw Data'!J130))=0),"",IF(AND(ISNUMBER('Raw Data'!J130), IFERROR('Raw Data'!J130 = ROUND('Raw Data'!J130, 2),FALSE)),"",_xlfn.REGEXEXTRACT(CELL("address",J130), "\$([A-Z]+)\$[0-9]+"))),_xlfn.REGEXEXTRACT(CELL("address",J130), "\$([A-Z]+)\$[0-9]+"))</f>
        <v/>
      </c>
      <c r="K130" s="7" t="str" cm="1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7" t="str" cm="1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7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7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7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7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 cm="1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7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7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7" t="str" cm="1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7" t="str" cm="1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  <c r="Z130" s="7" t="str" cm="1">
        <f t="array" aca="1" ref="Z130" ca="1">IFERROR(IF(OR('Raw Data'!Z130="",LEN(TRIM('Raw Data'!Z130))=0),"",IF(AND(ISNUMBER('Raw Data'!Z130), IFERROR('Raw Data'!Z130 = ROUND('Raw Data'!Z130, 2),FALSE)),"",_xlfn.REGEXEXTRACT(CELL("address",Z130), "\$([A-Z]+)\$[0-9]+"))),_xlfn.REGEXEXTRACT(CELL("address",Z130), "\$([A-Z]+)\$[0-9]+"))</f>
        <v/>
      </c>
      <c r="AA130" s="7" t="str" cm="1">
        <f t="array" aca="1" ref="AA130" ca="1">IFERROR(IF(OR('Raw Data'!AA130="",LEN(TRIM('Raw Data'!AA130))=0),"",IF(AND(ISNUMBER('Raw Data'!AA130), IFERROR('Raw Data'!AA130 = ROUND('Raw Data'!AA130, 2),FALSE)),"",_xlfn.REGEXEXTRACT(CELL("address",AA130), "\$([A-Z]+)\$[0-9]+"))),_xlfn.REGEXEXTRACT(CELL("address",AA130), "\$([A-Z]+)\$[0-9]+"))</f>
        <v/>
      </c>
      <c r="AB130" s="7" t="str" cm="1">
        <f t="array" aca="1" ref="AB130" ca="1">IFERROR(IF(OR('Raw Data'!AB130="",LEN(TRIM('Raw Data'!AB130))=0),"",IF(AND(ISNUMBER('Raw Data'!AB130), IFERROR('Raw Data'!AB130 = ROUND('Raw Data'!AB130, 2),FALSE)),"",_xlfn.REGEXEXTRACT(CELL("address",AB130), "\$([A-Z]+)\$[0-9]+"))),_xlfn.REGEXEXTRACT(CELL("address",AB130), "\$([A-Z]+)\$[0-9]+"))</f>
        <v/>
      </c>
      <c r="AC130" s="7" t="str" cm="1">
        <f t="array" aca="1" ref="AC130" ca="1">IFERROR(IF(OR('Raw Data'!AC130="",LEN(TRIM('Raw Data'!AC130))=0),"",IF(AND(ISNUMBER('Raw Data'!AC130), IFERROR('Raw Data'!AC130 = ROUND('Raw Data'!AC130, 2),FALSE)),"",_xlfn.REGEXEXTRACT(CELL("address",AC130), "\$([A-Z]+)\$[0-9]+"))),_xlfn.REGEXEXTRACT(CELL("address",AC130), "\$([A-Z]+)\$[0-9]+"))</f>
        <v/>
      </c>
      <c r="AD130" s="7" t="str" cm="1">
        <f t="array" aca="1" ref="AD130" ca="1">IFERROR(IF(OR('Raw Data'!AD130="",LEN(TRIM('Raw Data'!AD130))=0),"",IF(AND(ISNUMBER('Raw Data'!AD130), IFERROR('Raw Data'!AD130 = ROUND('Raw Data'!AD130, 2),FALSE)),"",_xlfn.REGEXEXTRACT(CELL("address",AD130), "\$([A-Z]+)\$[0-9]+"))),_xlfn.REGEXEXTRACT(CELL("address",AD130), "\$([A-Z]+)\$[0-9]+"))</f>
        <v/>
      </c>
      <c r="AE130" s="7" t="str" cm="1">
        <f t="array" aca="1" ref="AE130" ca="1">IFERROR(IF(OR('Raw Data'!AE130="",LEN(TRIM('Raw Data'!AE130))=0),"",IF(AND(ISNUMBER('Raw Data'!AE130), IFERROR('Raw Data'!AE130 = ROUND('Raw Data'!AE130, 2),FALSE)),"",_xlfn.REGEXEXTRACT(CELL("address",AE130), "\$([A-Z]+)\$[0-9]+"))),_xlfn.REGEXEXTRACT(CELL("address",AE130), "\$([A-Z]+)\$[0-9]+"))</f>
        <v/>
      </c>
      <c r="AF130" s="7" t="str" cm="1">
        <f t="array" aca="1" ref="AF130" ca="1">IFERROR(IF(OR('Raw Data'!AF130="",LEN(TRIM('Raw Data'!AF130))=0),"",IF(AND(ISNUMBER('Raw Data'!AF130), IFERROR('Raw Data'!AF130 = ROUND('Raw Data'!AF130, 2),FALSE)),"",_xlfn.REGEXEXTRACT(CELL("address",AF130), "\$([A-Z]+)\$[0-9]+"))),_xlfn.REGEXEXTRACT(CELL("address",AF130), "\$([A-Z]+)\$[0-9]+"))</f>
        <v/>
      </c>
      <c r="AG130" s="7" t="str" cm="1">
        <f t="array" aca="1" ref="AG130" ca="1">IFERROR(IF(OR('Raw Data'!AG130="",LEN(TRIM('Raw Data'!AG130))=0),"",IF(AND(ISNUMBER('Raw Data'!AG130), IFERROR('Raw Data'!AG130 = ROUND('Raw Data'!AG130, 2),FALSE)),"",_xlfn.REGEXEXTRACT(CELL("address",AG130), "\$([A-Z]+)\$[0-9]+"))),_xlfn.REGEXEXTRACT(CELL("address",AG130), "\$([A-Z]+)\$[0-9]+"))</f>
        <v/>
      </c>
      <c r="AH130" s="7" t="str" cm="1">
        <f t="array" aca="1" ref="AH130" ca="1">IFERROR(IF(OR('Raw Data'!AH130="",LEN(TRIM('Raw Data'!AH130))=0),"",IF(AND(ISNUMBER('Raw Data'!AH130), IFERROR('Raw Data'!AH130 = ROUND('Raw Data'!AH130, 2),FALSE)),"",_xlfn.REGEXEXTRACT(CELL("address",AH130), "\$([A-Z]+)\$[0-9]+"))),_xlfn.REGEXEXTRACT(CELL("address",AH130), "\$([A-Z]+)\$[0-9]+"))</f>
        <v/>
      </c>
      <c r="AI130" s="7" t="str" cm="1">
        <f t="array" aca="1" ref="AI130" ca="1">IFERROR(IF(OR('Raw Data'!AI130="",LEN(TRIM('Raw Data'!AI130))=0),"",IF(AND(ISNUMBER('Raw Data'!AI130), IFERROR('Raw Data'!AI130 = ROUND('Raw Data'!AI130, 2),FALSE)),"",_xlfn.REGEXEXTRACT(CELL("address",AI130), "\$([A-Z]+)\$[0-9]+"))),_xlfn.REGEXEXTRACT(CELL("address",AI130), "\$([A-Z]+)\$[0-9]+"))</f>
        <v/>
      </c>
      <c r="AJ130" s="7" t="str" cm="1">
        <f t="array" aca="1" ref="AJ130" ca="1">IFERROR(IF(OR('Raw Data'!AJ130="",LEN(TRIM('Raw Data'!AJ130))=0),"",IF(AND(ISNUMBER('Raw Data'!AJ130), IFERROR('Raw Data'!AJ130 = ROUND('Raw Data'!AJ130, 2),FALSE)),"",_xlfn.REGEXEXTRACT(CELL("address",AJ130), "\$([A-Z]+)\$[0-9]+"))),_xlfn.REGEXEXTRACT(CELL("address",AJ130), "\$([A-Z]+)\$[0-9]+"))</f>
        <v/>
      </c>
    </row>
    <row r="131" spans="2:36" x14ac:dyDescent="0.25">
      <c r="B131" s="7" t="str" cm="1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20,LEN('Raw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Data'!D131))=0),"",IF(AND(ISNUMBER('Raw Data'!D131),'Raw Data'!D131&gt;=Configuration!$D$2),"",_xlfn.REGEXEXTRACT(CELL("address",'Raw Data'!D131),"\$([A-Z]+)\$[0-9]+"))),_xlfn.REGEXEXTRACT(CELL("address",D131), "\$([A-Z]+)\$[0-9]+"))</f>
        <v/>
      </c>
      <c r="E131" s="7" t="str" cm="1">
        <f t="array" aca="1" ref="E131" ca="1">IFERROR(IF(OR('Raw Data'!E131="",LEN(TRIM('Raw Data'!E131))=0),"",IF(AND(ISNUMBER('Raw Data'!E131), IFERROR('Raw Data'!E131 = ROUND('Raw Data'!E131, 2),FALSE)),"",_xlfn.REGEXEXTRACT(CELL("address",E131), "\$([A-Z]+)\$[0-9]+"))),_xlfn.REGEXEXTRACT(CELL("address",E131), "\$([A-Z]+)\$[0-9]+"))</f>
        <v/>
      </c>
      <c r="F131" s="7" t="str" cm="1">
        <f t="array" aca="1" ref="F131" ca="1">IFERROR(IF(OR('Raw Data'!F131="",LEN(TRIM('Raw Data'!F131))=0),"",IF(AND(ISNUMBER('Raw Data'!F131), IFERROR('Raw Data'!F131 = ROUND('Raw Data'!F131, 2),FALSE)),"",_xlfn.REGEXEXTRACT(CELL("address",F131), "\$([A-Z]+)\$[0-9]+"))),_xlfn.REGEXEXTRACT(CELL("address",F131), "\$([A-Z]+)\$[0-9]+"))</f>
        <v/>
      </c>
      <c r="G131" s="7" t="str" cm="1">
        <f t="array" aca="1" ref="G131" ca="1">IFERROR(IF(OR('Raw Data'!G131="",LEN(TRIM('Raw Data'!G131))=0),"",IF(AND(ISNUMBER('Raw Data'!G131), IFERROR('Raw Data'!G131 = ROUND('Raw Data'!G131, 2),FALSE)),"",_xlfn.REGEXEXTRACT(CELL("address",G131), "\$([A-Z]+)\$[0-9]+"))),_xlfn.REGEXEXTRACT(CELL("address",G131), "\$([A-Z]+)\$[0-9]+"))</f>
        <v/>
      </c>
      <c r="H131" s="7" t="str" cm="1">
        <f t="array" aca="1" ref="H131" ca="1">IFERROR(IF(OR('Raw Data'!H131="",LEN(TRIM('Raw Data'!H131))=0),"",IF(AND(ISNUMBER('Raw Data'!H131), IFERROR('Raw Data'!H131 = ROUND('Raw Data'!H131, 2),FALSE)),"",_xlfn.REGEXEXTRACT(CELL("address",H131), "\$([A-Z]+)\$[0-9]+"))),_xlfn.REGEXEXTRACT(CELL("address",H131), "\$([A-Z]+)\$[0-9]+"))</f>
        <v/>
      </c>
      <c r="I131" s="7" t="str" cm="1">
        <f t="array" aca="1" ref="I131" ca="1">IFERROR(IF(OR('Raw Data'!I131="",LEN(TRIM('Raw Data'!I131))=0),"",IF(AND(ISNUMBER('Raw Data'!I131), IFERROR('Raw Data'!I131 = ROUND('Raw Data'!I131, 2),FALSE)),"",_xlfn.REGEXEXTRACT(CELL("address",I131), "\$([A-Z]+)\$[0-9]+"))),_xlfn.REGEXEXTRACT(CELL("address",I131), "\$([A-Z]+)\$[0-9]+"))</f>
        <v/>
      </c>
      <c r="J131" s="7" t="str" cm="1">
        <f t="array" aca="1" ref="J131" ca="1">IFERROR(IF(OR('Raw Data'!J131="",LEN(TRIM('Raw Data'!J131))=0),"",IF(AND(ISNUMBER('Raw Data'!J131), IFERROR('Raw Data'!J131 = ROUND('Raw Data'!J131, 2),FALSE)),"",_xlfn.REGEXEXTRACT(CELL("address",J131), "\$([A-Z]+)\$[0-9]+"))),_xlfn.REGEXEXTRACT(CELL("address",J131), "\$([A-Z]+)\$[0-9]+"))</f>
        <v/>
      </c>
      <c r="K131" s="7" t="str" cm="1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7" t="str" cm="1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7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7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7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7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 cm="1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7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7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7" t="str" cm="1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7" t="str" cm="1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  <c r="Z131" s="7" t="str" cm="1">
        <f t="array" aca="1" ref="Z131" ca="1">IFERROR(IF(OR('Raw Data'!Z131="",LEN(TRIM('Raw Data'!Z131))=0),"",IF(AND(ISNUMBER('Raw Data'!Z131), IFERROR('Raw Data'!Z131 = ROUND('Raw Data'!Z131, 2),FALSE)),"",_xlfn.REGEXEXTRACT(CELL("address",Z131), "\$([A-Z]+)\$[0-9]+"))),_xlfn.REGEXEXTRACT(CELL("address",Z131), "\$([A-Z]+)\$[0-9]+"))</f>
        <v/>
      </c>
      <c r="AA131" s="7" t="str" cm="1">
        <f t="array" aca="1" ref="AA131" ca="1">IFERROR(IF(OR('Raw Data'!AA131="",LEN(TRIM('Raw Data'!AA131))=0),"",IF(AND(ISNUMBER('Raw Data'!AA131), IFERROR('Raw Data'!AA131 = ROUND('Raw Data'!AA131, 2),FALSE)),"",_xlfn.REGEXEXTRACT(CELL("address",AA131), "\$([A-Z]+)\$[0-9]+"))),_xlfn.REGEXEXTRACT(CELL("address",AA131), "\$([A-Z]+)\$[0-9]+"))</f>
        <v/>
      </c>
      <c r="AB131" s="7" t="str" cm="1">
        <f t="array" aca="1" ref="AB131" ca="1">IFERROR(IF(OR('Raw Data'!AB131="",LEN(TRIM('Raw Data'!AB131))=0),"",IF(AND(ISNUMBER('Raw Data'!AB131), IFERROR('Raw Data'!AB131 = ROUND('Raw Data'!AB131, 2),FALSE)),"",_xlfn.REGEXEXTRACT(CELL("address",AB131), "\$([A-Z]+)\$[0-9]+"))),_xlfn.REGEXEXTRACT(CELL("address",AB131), "\$([A-Z]+)\$[0-9]+"))</f>
        <v/>
      </c>
      <c r="AC131" s="7" t="str" cm="1">
        <f t="array" aca="1" ref="AC131" ca="1">IFERROR(IF(OR('Raw Data'!AC131="",LEN(TRIM('Raw Data'!AC131))=0),"",IF(AND(ISNUMBER('Raw Data'!AC131), IFERROR('Raw Data'!AC131 = ROUND('Raw Data'!AC131, 2),FALSE)),"",_xlfn.REGEXEXTRACT(CELL("address",AC131), "\$([A-Z]+)\$[0-9]+"))),_xlfn.REGEXEXTRACT(CELL("address",AC131), "\$([A-Z]+)\$[0-9]+"))</f>
        <v/>
      </c>
      <c r="AD131" s="7" t="str" cm="1">
        <f t="array" aca="1" ref="AD131" ca="1">IFERROR(IF(OR('Raw Data'!AD131="",LEN(TRIM('Raw Data'!AD131))=0),"",IF(AND(ISNUMBER('Raw Data'!AD131), IFERROR('Raw Data'!AD131 = ROUND('Raw Data'!AD131, 2),FALSE)),"",_xlfn.REGEXEXTRACT(CELL("address",AD131), "\$([A-Z]+)\$[0-9]+"))),_xlfn.REGEXEXTRACT(CELL("address",AD131), "\$([A-Z]+)\$[0-9]+"))</f>
        <v/>
      </c>
      <c r="AE131" s="7" t="str" cm="1">
        <f t="array" aca="1" ref="AE131" ca="1">IFERROR(IF(OR('Raw Data'!AE131="",LEN(TRIM('Raw Data'!AE131))=0),"",IF(AND(ISNUMBER('Raw Data'!AE131), IFERROR('Raw Data'!AE131 = ROUND('Raw Data'!AE131, 2),FALSE)),"",_xlfn.REGEXEXTRACT(CELL("address",AE131), "\$([A-Z]+)\$[0-9]+"))),_xlfn.REGEXEXTRACT(CELL("address",AE131), "\$([A-Z]+)\$[0-9]+"))</f>
        <v/>
      </c>
      <c r="AF131" s="7" t="str" cm="1">
        <f t="array" aca="1" ref="AF131" ca="1">IFERROR(IF(OR('Raw Data'!AF131="",LEN(TRIM('Raw Data'!AF131))=0),"",IF(AND(ISNUMBER('Raw Data'!AF131), IFERROR('Raw Data'!AF131 = ROUND('Raw Data'!AF131, 2),FALSE)),"",_xlfn.REGEXEXTRACT(CELL("address",AF131), "\$([A-Z]+)\$[0-9]+"))),_xlfn.REGEXEXTRACT(CELL("address",AF131), "\$([A-Z]+)\$[0-9]+"))</f>
        <v/>
      </c>
      <c r="AG131" s="7" t="str" cm="1">
        <f t="array" aca="1" ref="AG131" ca="1">IFERROR(IF(OR('Raw Data'!AG131="",LEN(TRIM('Raw Data'!AG131))=0),"",IF(AND(ISNUMBER('Raw Data'!AG131), IFERROR('Raw Data'!AG131 = ROUND('Raw Data'!AG131, 2),FALSE)),"",_xlfn.REGEXEXTRACT(CELL("address",AG131), "\$([A-Z]+)\$[0-9]+"))),_xlfn.REGEXEXTRACT(CELL("address",AG131), "\$([A-Z]+)\$[0-9]+"))</f>
        <v/>
      </c>
      <c r="AH131" s="7" t="str" cm="1">
        <f t="array" aca="1" ref="AH131" ca="1">IFERROR(IF(OR('Raw Data'!AH131="",LEN(TRIM('Raw Data'!AH131))=0),"",IF(AND(ISNUMBER('Raw Data'!AH131), IFERROR('Raw Data'!AH131 = ROUND('Raw Data'!AH131, 2),FALSE)),"",_xlfn.REGEXEXTRACT(CELL("address",AH131), "\$([A-Z]+)\$[0-9]+"))),_xlfn.REGEXEXTRACT(CELL("address",AH131), "\$([A-Z]+)\$[0-9]+"))</f>
        <v/>
      </c>
      <c r="AI131" s="7" t="str" cm="1">
        <f t="array" aca="1" ref="AI131" ca="1">IFERROR(IF(OR('Raw Data'!AI131="",LEN(TRIM('Raw Data'!AI131))=0),"",IF(AND(ISNUMBER('Raw Data'!AI131), IFERROR('Raw Data'!AI131 = ROUND('Raw Data'!AI131, 2),FALSE)),"",_xlfn.REGEXEXTRACT(CELL("address",AI131), "\$([A-Z]+)\$[0-9]+"))),_xlfn.REGEXEXTRACT(CELL("address",AI131), "\$([A-Z]+)\$[0-9]+"))</f>
        <v/>
      </c>
      <c r="AJ131" s="7" t="str" cm="1">
        <f t="array" aca="1" ref="AJ131" ca="1">IFERROR(IF(OR('Raw Data'!AJ131="",LEN(TRIM('Raw Data'!AJ131))=0),"",IF(AND(ISNUMBER('Raw Data'!AJ131), IFERROR('Raw Data'!AJ131 = ROUND('Raw Data'!AJ131, 2),FALSE)),"",_xlfn.REGEXEXTRACT(CELL("address",AJ131), "\$([A-Z]+)\$[0-9]+"))),_xlfn.REGEXEXTRACT(CELL("address",AJ131), "\$([A-Z]+)\$[0-9]+"))</f>
        <v/>
      </c>
    </row>
    <row r="132" spans="2:36" x14ac:dyDescent="0.25">
      <c r="B132" s="7" t="str" cm="1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20,LEN('Raw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Data'!D132))=0),"",IF(AND(ISNUMBER('Raw Data'!D132),'Raw Data'!D132&gt;=Configuration!$D$2),"",_xlfn.REGEXEXTRACT(CELL("address",'Raw Data'!D132),"\$([A-Z]+)\$[0-9]+"))),_xlfn.REGEXEXTRACT(CELL("address",D132), "\$([A-Z]+)\$[0-9]+"))</f>
        <v/>
      </c>
      <c r="E132" s="7" t="str" cm="1">
        <f t="array" aca="1" ref="E132" ca="1">IFERROR(IF(OR('Raw Data'!E132="",LEN(TRIM('Raw Data'!E132))=0),"",IF(AND(ISNUMBER('Raw Data'!E132), IFERROR('Raw Data'!E132 = ROUND('Raw Data'!E132, 2),FALSE)),"",_xlfn.REGEXEXTRACT(CELL("address",E132), "\$([A-Z]+)\$[0-9]+"))),_xlfn.REGEXEXTRACT(CELL("address",E132), "\$([A-Z]+)\$[0-9]+"))</f>
        <v/>
      </c>
      <c r="F132" s="7" t="str" cm="1">
        <f t="array" aca="1" ref="F132" ca="1">IFERROR(IF(OR('Raw Data'!F132="",LEN(TRIM('Raw Data'!F132))=0),"",IF(AND(ISNUMBER('Raw Data'!F132), IFERROR('Raw Data'!F132 = ROUND('Raw Data'!F132, 2),FALSE)),"",_xlfn.REGEXEXTRACT(CELL("address",F132), "\$([A-Z]+)\$[0-9]+"))),_xlfn.REGEXEXTRACT(CELL("address",F132), "\$([A-Z]+)\$[0-9]+"))</f>
        <v/>
      </c>
      <c r="G132" s="7" t="str" cm="1">
        <f t="array" aca="1" ref="G132" ca="1">IFERROR(IF(OR('Raw Data'!G132="",LEN(TRIM('Raw Data'!G132))=0),"",IF(AND(ISNUMBER('Raw Data'!G132), IFERROR('Raw Data'!G132 = ROUND('Raw Data'!G132, 2),FALSE)),"",_xlfn.REGEXEXTRACT(CELL("address",G132), "\$([A-Z]+)\$[0-9]+"))),_xlfn.REGEXEXTRACT(CELL("address",G132), "\$([A-Z]+)\$[0-9]+"))</f>
        <v/>
      </c>
      <c r="H132" s="7" t="str" cm="1">
        <f t="array" aca="1" ref="H132" ca="1">IFERROR(IF(OR('Raw Data'!H132="",LEN(TRIM('Raw Data'!H132))=0),"",IF(AND(ISNUMBER('Raw Data'!H132), IFERROR('Raw Data'!H132 = ROUND('Raw Data'!H132, 2),FALSE)),"",_xlfn.REGEXEXTRACT(CELL("address",H132), "\$([A-Z]+)\$[0-9]+"))),_xlfn.REGEXEXTRACT(CELL("address",H132), "\$([A-Z]+)\$[0-9]+"))</f>
        <v/>
      </c>
      <c r="I132" s="7" t="str" cm="1">
        <f t="array" aca="1" ref="I132" ca="1">IFERROR(IF(OR('Raw Data'!I132="",LEN(TRIM('Raw Data'!I132))=0),"",IF(AND(ISNUMBER('Raw Data'!I132), IFERROR('Raw Data'!I132 = ROUND('Raw Data'!I132, 2),FALSE)),"",_xlfn.REGEXEXTRACT(CELL("address",I132), "\$([A-Z]+)\$[0-9]+"))),_xlfn.REGEXEXTRACT(CELL("address",I132), "\$([A-Z]+)\$[0-9]+"))</f>
        <v/>
      </c>
      <c r="J132" s="7" t="str" cm="1">
        <f t="array" aca="1" ref="J132" ca="1">IFERROR(IF(OR('Raw Data'!J132="",LEN(TRIM('Raw Data'!J132))=0),"",IF(AND(ISNUMBER('Raw Data'!J132), IFERROR('Raw Data'!J132 = ROUND('Raw Data'!J132, 2),FALSE)),"",_xlfn.REGEXEXTRACT(CELL("address",J132), "\$([A-Z]+)\$[0-9]+"))),_xlfn.REGEXEXTRACT(CELL("address",J132), "\$([A-Z]+)\$[0-9]+"))</f>
        <v/>
      </c>
      <c r="K132" s="7" t="str" cm="1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7" t="str" cm="1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7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7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7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7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 cm="1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7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7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7" t="str" cm="1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7" t="str" cm="1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  <c r="Z132" s="7" t="str" cm="1">
        <f t="array" aca="1" ref="Z132" ca="1">IFERROR(IF(OR('Raw Data'!Z132="",LEN(TRIM('Raw Data'!Z132))=0),"",IF(AND(ISNUMBER('Raw Data'!Z132), IFERROR('Raw Data'!Z132 = ROUND('Raw Data'!Z132, 2),FALSE)),"",_xlfn.REGEXEXTRACT(CELL("address",Z132), "\$([A-Z]+)\$[0-9]+"))),_xlfn.REGEXEXTRACT(CELL("address",Z132), "\$([A-Z]+)\$[0-9]+"))</f>
        <v/>
      </c>
      <c r="AA132" s="7" t="str" cm="1">
        <f t="array" aca="1" ref="AA132" ca="1">IFERROR(IF(OR('Raw Data'!AA132="",LEN(TRIM('Raw Data'!AA132))=0),"",IF(AND(ISNUMBER('Raw Data'!AA132), IFERROR('Raw Data'!AA132 = ROUND('Raw Data'!AA132, 2),FALSE)),"",_xlfn.REGEXEXTRACT(CELL("address",AA132), "\$([A-Z]+)\$[0-9]+"))),_xlfn.REGEXEXTRACT(CELL("address",AA132), "\$([A-Z]+)\$[0-9]+"))</f>
        <v/>
      </c>
      <c r="AB132" s="7" t="str" cm="1">
        <f t="array" aca="1" ref="AB132" ca="1">IFERROR(IF(OR('Raw Data'!AB132="",LEN(TRIM('Raw Data'!AB132))=0),"",IF(AND(ISNUMBER('Raw Data'!AB132), IFERROR('Raw Data'!AB132 = ROUND('Raw Data'!AB132, 2),FALSE)),"",_xlfn.REGEXEXTRACT(CELL("address",AB132), "\$([A-Z]+)\$[0-9]+"))),_xlfn.REGEXEXTRACT(CELL("address",AB132), "\$([A-Z]+)\$[0-9]+"))</f>
        <v/>
      </c>
      <c r="AC132" s="7" t="str" cm="1">
        <f t="array" aca="1" ref="AC132" ca="1">IFERROR(IF(OR('Raw Data'!AC132="",LEN(TRIM('Raw Data'!AC132))=0),"",IF(AND(ISNUMBER('Raw Data'!AC132), IFERROR('Raw Data'!AC132 = ROUND('Raw Data'!AC132, 2),FALSE)),"",_xlfn.REGEXEXTRACT(CELL("address",AC132), "\$([A-Z]+)\$[0-9]+"))),_xlfn.REGEXEXTRACT(CELL("address",AC132), "\$([A-Z]+)\$[0-9]+"))</f>
        <v/>
      </c>
      <c r="AD132" s="7" t="str" cm="1">
        <f t="array" aca="1" ref="AD132" ca="1">IFERROR(IF(OR('Raw Data'!AD132="",LEN(TRIM('Raw Data'!AD132))=0),"",IF(AND(ISNUMBER('Raw Data'!AD132), IFERROR('Raw Data'!AD132 = ROUND('Raw Data'!AD132, 2),FALSE)),"",_xlfn.REGEXEXTRACT(CELL("address",AD132), "\$([A-Z]+)\$[0-9]+"))),_xlfn.REGEXEXTRACT(CELL("address",AD132), "\$([A-Z]+)\$[0-9]+"))</f>
        <v/>
      </c>
      <c r="AE132" s="7" t="str" cm="1">
        <f t="array" aca="1" ref="AE132" ca="1">IFERROR(IF(OR('Raw Data'!AE132="",LEN(TRIM('Raw Data'!AE132))=0),"",IF(AND(ISNUMBER('Raw Data'!AE132), IFERROR('Raw Data'!AE132 = ROUND('Raw Data'!AE132, 2),FALSE)),"",_xlfn.REGEXEXTRACT(CELL("address",AE132), "\$([A-Z]+)\$[0-9]+"))),_xlfn.REGEXEXTRACT(CELL("address",AE132), "\$([A-Z]+)\$[0-9]+"))</f>
        <v/>
      </c>
      <c r="AF132" s="7" t="str" cm="1">
        <f t="array" aca="1" ref="AF132" ca="1">IFERROR(IF(OR('Raw Data'!AF132="",LEN(TRIM('Raw Data'!AF132))=0),"",IF(AND(ISNUMBER('Raw Data'!AF132), IFERROR('Raw Data'!AF132 = ROUND('Raw Data'!AF132, 2),FALSE)),"",_xlfn.REGEXEXTRACT(CELL("address",AF132), "\$([A-Z]+)\$[0-9]+"))),_xlfn.REGEXEXTRACT(CELL("address",AF132), "\$([A-Z]+)\$[0-9]+"))</f>
        <v/>
      </c>
      <c r="AG132" s="7" t="str" cm="1">
        <f t="array" aca="1" ref="AG132" ca="1">IFERROR(IF(OR('Raw Data'!AG132="",LEN(TRIM('Raw Data'!AG132))=0),"",IF(AND(ISNUMBER('Raw Data'!AG132), IFERROR('Raw Data'!AG132 = ROUND('Raw Data'!AG132, 2),FALSE)),"",_xlfn.REGEXEXTRACT(CELL("address",AG132), "\$([A-Z]+)\$[0-9]+"))),_xlfn.REGEXEXTRACT(CELL("address",AG132), "\$([A-Z]+)\$[0-9]+"))</f>
        <v/>
      </c>
      <c r="AH132" s="7" t="str" cm="1">
        <f t="array" aca="1" ref="AH132" ca="1">IFERROR(IF(OR('Raw Data'!AH132="",LEN(TRIM('Raw Data'!AH132))=0),"",IF(AND(ISNUMBER('Raw Data'!AH132), IFERROR('Raw Data'!AH132 = ROUND('Raw Data'!AH132, 2),FALSE)),"",_xlfn.REGEXEXTRACT(CELL("address",AH132), "\$([A-Z]+)\$[0-9]+"))),_xlfn.REGEXEXTRACT(CELL("address",AH132), "\$([A-Z]+)\$[0-9]+"))</f>
        <v/>
      </c>
      <c r="AI132" s="7" t="str" cm="1">
        <f t="array" aca="1" ref="AI132" ca="1">IFERROR(IF(OR('Raw Data'!AI132="",LEN(TRIM('Raw Data'!AI132))=0),"",IF(AND(ISNUMBER('Raw Data'!AI132), IFERROR('Raw Data'!AI132 = ROUND('Raw Data'!AI132, 2),FALSE)),"",_xlfn.REGEXEXTRACT(CELL("address",AI132), "\$([A-Z]+)\$[0-9]+"))),_xlfn.REGEXEXTRACT(CELL("address",AI132), "\$([A-Z]+)\$[0-9]+"))</f>
        <v/>
      </c>
      <c r="AJ132" s="7" t="str" cm="1">
        <f t="array" aca="1" ref="AJ132" ca="1">IFERROR(IF(OR('Raw Data'!AJ132="",LEN(TRIM('Raw Data'!AJ132))=0),"",IF(AND(ISNUMBER('Raw Data'!AJ132), IFERROR('Raw Data'!AJ132 = ROUND('Raw Data'!AJ132, 2),FALSE)),"",_xlfn.REGEXEXTRACT(CELL("address",AJ132), "\$([A-Z]+)\$[0-9]+"))),_xlfn.REGEXEXTRACT(CELL("address",AJ132), "\$([A-Z]+)\$[0-9]+"))</f>
        <v/>
      </c>
    </row>
    <row r="133" spans="2:36" x14ac:dyDescent="0.25">
      <c r="B133" s="7" t="str" cm="1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20,LEN('Raw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Data'!D133))=0),"",IF(AND(ISNUMBER('Raw Data'!D133),'Raw Data'!D133&gt;=Configuration!$D$2),"",_xlfn.REGEXEXTRACT(CELL("address",'Raw Data'!D133),"\$([A-Z]+)\$[0-9]+"))),_xlfn.REGEXEXTRACT(CELL("address",D133), "\$([A-Z]+)\$[0-9]+"))</f>
        <v/>
      </c>
      <c r="E133" s="7" t="str" cm="1">
        <f t="array" aca="1" ref="E133" ca="1">IFERROR(IF(OR('Raw Data'!E133="",LEN(TRIM('Raw Data'!E133))=0),"",IF(AND(ISNUMBER('Raw Data'!E133), IFERROR('Raw Data'!E133 = ROUND('Raw Data'!E133, 2),FALSE)),"",_xlfn.REGEXEXTRACT(CELL("address",E133), "\$([A-Z]+)\$[0-9]+"))),_xlfn.REGEXEXTRACT(CELL("address",E133), "\$([A-Z]+)\$[0-9]+"))</f>
        <v/>
      </c>
      <c r="F133" s="7" t="str" cm="1">
        <f t="array" aca="1" ref="F133" ca="1">IFERROR(IF(OR('Raw Data'!F133="",LEN(TRIM('Raw Data'!F133))=0),"",IF(AND(ISNUMBER('Raw Data'!F133), IFERROR('Raw Data'!F133 = ROUND('Raw Data'!F133, 2),FALSE)),"",_xlfn.REGEXEXTRACT(CELL("address",F133), "\$([A-Z]+)\$[0-9]+"))),_xlfn.REGEXEXTRACT(CELL("address",F133), "\$([A-Z]+)\$[0-9]+"))</f>
        <v/>
      </c>
      <c r="G133" s="7" t="str" cm="1">
        <f t="array" aca="1" ref="G133" ca="1">IFERROR(IF(OR('Raw Data'!G133="",LEN(TRIM('Raw Data'!G133))=0),"",IF(AND(ISNUMBER('Raw Data'!G133), IFERROR('Raw Data'!G133 = ROUND('Raw Data'!G133, 2),FALSE)),"",_xlfn.REGEXEXTRACT(CELL("address",G133), "\$([A-Z]+)\$[0-9]+"))),_xlfn.REGEXEXTRACT(CELL("address",G133), "\$([A-Z]+)\$[0-9]+"))</f>
        <v/>
      </c>
      <c r="H133" s="7" t="str" cm="1">
        <f t="array" aca="1" ref="H133" ca="1">IFERROR(IF(OR('Raw Data'!H133="",LEN(TRIM('Raw Data'!H133))=0),"",IF(AND(ISNUMBER('Raw Data'!H133), IFERROR('Raw Data'!H133 = ROUND('Raw Data'!H133, 2),FALSE)),"",_xlfn.REGEXEXTRACT(CELL("address",H133), "\$([A-Z]+)\$[0-9]+"))),_xlfn.REGEXEXTRACT(CELL("address",H133), "\$([A-Z]+)\$[0-9]+"))</f>
        <v/>
      </c>
      <c r="I133" s="7" t="str" cm="1">
        <f t="array" aca="1" ref="I133" ca="1">IFERROR(IF(OR('Raw Data'!I133="",LEN(TRIM('Raw Data'!I133))=0),"",IF(AND(ISNUMBER('Raw Data'!I133), IFERROR('Raw Data'!I133 = ROUND('Raw Data'!I133, 2),FALSE)),"",_xlfn.REGEXEXTRACT(CELL("address",I133), "\$([A-Z]+)\$[0-9]+"))),_xlfn.REGEXEXTRACT(CELL("address",I133), "\$([A-Z]+)\$[0-9]+"))</f>
        <v/>
      </c>
      <c r="J133" s="7" t="str" cm="1">
        <f t="array" aca="1" ref="J133" ca="1">IFERROR(IF(OR('Raw Data'!J133="",LEN(TRIM('Raw Data'!J133))=0),"",IF(AND(ISNUMBER('Raw Data'!J133), IFERROR('Raw Data'!J133 = ROUND('Raw Data'!J133, 2),FALSE)),"",_xlfn.REGEXEXTRACT(CELL("address",J133), "\$([A-Z]+)\$[0-9]+"))),_xlfn.REGEXEXTRACT(CELL("address",J133), "\$([A-Z]+)\$[0-9]+"))</f>
        <v/>
      </c>
      <c r="K133" s="7" t="str" cm="1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7" t="str" cm="1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7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7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7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7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 cm="1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7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7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7" t="str" cm="1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7" t="str" cm="1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  <c r="Z133" s="7" t="str" cm="1">
        <f t="array" aca="1" ref="Z133" ca="1">IFERROR(IF(OR('Raw Data'!Z133="",LEN(TRIM('Raw Data'!Z133))=0),"",IF(AND(ISNUMBER('Raw Data'!Z133), IFERROR('Raw Data'!Z133 = ROUND('Raw Data'!Z133, 2),FALSE)),"",_xlfn.REGEXEXTRACT(CELL("address",Z133), "\$([A-Z]+)\$[0-9]+"))),_xlfn.REGEXEXTRACT(CELL("address",Z133), "\$([A-Z]+)\$[0-9]+"))</f>
        <v/>
      </c>
      <c r="AA133" s="7" t="str" cm="1">
        <f t="array" aca="1" ref="AA133" ca="1">IFERROR(IF(OR('Raw Data'!AA133="",LEN(TRIM('Raw Data'!AA133))=0),"",IF(AND(ISNUMBER('Raw Data'!AA133), IFERROR('Raw Data'!AA133 = ROUND('Raw Data'!AA133, 2),FALSE)),"",_xlfn.REGEXEXTRACT(CELL("address",AA133), "\$([A-Z]+)\$[0-9]+"))),_xlfn.REGEXEXTRACT(CELL("address",AA133), "\$([A-Z]+)\$[0-9]+"))</f>
        <v/>
      </c>
      <c r="AB133" s="7" t="str" cm="1">
        <f t="array" aca="1" ref="AB133" ca="1">IFERROR(IF(OR('Raw Data'!AB133="",LEN(TRIM('Raw Data'!AB133))=0),"",IF(AND(ISNUMBER('Raw Data'!AB133), IFERROR('Raw Data'!AB133 = ROUND('Raw Data'!AB133, 2),FALSE)),"",_xlfn.REGEXEXTRACT(CELL("address",AB133), "\$([A-Z]+)\$[0-9]+"))),_xlfn.REGEXEXTRACT(CELL("address",AB133), "\$([A-Z]+)\$[0-9]+"))</f>
        <v/>
      </c>
      <c r="AC133" s="7" t="str" cm="1">
        <f t="array" aca="1" ref="AC133" ca="1">IFERROR(IF(OR('Raw Data'!AC133="",LEN(TRIM('Raw Data'!AC133))=0),"",IF(AND(ISNUMBER('Raw Data'!AC133), IFERROR('Raw Data'!AC133 = ROUND('Raw Data'!AC133, 2),FALSE)),"",_xlfn.REGEXEXTRACT(CELL("address",AC133), "\$([A-Z]+)\$[0-9]+"))),_xlfn.REGEXEXTRACT(CELL("address",AC133), "\$([A-Z]+)\$[0-9]+"))</f>
        <v/>
      </c>
      <c r="AD133" s="7" t="str" cm="1">
        <f t="array" aca="1" ref="AD133" ca="1">IFERROR(IF(OR('Raw Data'!AD133="",LEN(TRIM('Raw Data'!AD133))=0),"",IF(AND(ISNUMBER('Raw Data'!AD133), IFERROR('Raw Data'!AD133 = ROUND('Raw Data'!AD133, 2),FALSE)),"",_xlfn.REGEXEXTRACT(CELL("address",AD133), "\$([A-Z]+)\$[0-9]+"))),_xlfn.REGEXEXTRACT(CELL("address",AD133), "\$([A-Z]+)\$[0-9]+"))</f>
        <v/>
      </c>
      <c r="AE133" s="7" t="str" cm="1">
        <f t="array" aca="1" ref="AE133" ca="1">IFERROR(IF(OR('Raw Data'!AE133="",LEN(TRIM('Raw Data'!AE133))=0),"",IF(AND(ISNUMBER('Raw Data'!AE133), IFERROR('Raw Data'!AE133 = ROUND('Raw Data'!AE133, 2),FALSE)),"",_xlfn.REGEXEXTRACT(CELL("address",AE133), "\$([A-Z]+)\$[0-9]+"))),_xlfn.REGEXEXTRACT(CELL("address",AE133), "\$([A-Z]+)\$[0-9]+"))</f>
        <v/>
      </c>
      <c r="AF133" s="7" t="str" cm="1">
        <f t="array" aca="1" ref="AF133" ca="1">IFERROR(IF(OR('Raw Data'!AF133="",LEN(TRIM('Raw Data'!AF133))=0),"",IF(AND(ISNUMBER('Raw Data'!AF133), IFERROR('Raw Data'!AF133 = ROUND('Raw Data'!AF133, 2),FALSE)),"",_xlfn.REGEXEXTRACT(CELL("address",AF133), "\$([A-Z]+)\$[0-9]+"))),_xlfn.REGEXEXTRACT(CELL("address",AF133), "\$([A-Z]+)\$[0-9]+"))</f>
        <v/>
      </c>
      <c r="AG133" s="7" t="str" cm="1">
        <f t="array" aca="1" ref="AG133" ca="1">IFERROR(IF(OR('Raw Data'!AG133="",LEN(TRIM('Raw Data'!AG133))=0),"",IF(AND(ISNUMBER('Raw Data'!AG133), IFERROR('Raw Data'!AG133 = ROUND('Raw Data'!AG133, 2),FALSE)),"",_xlfn.REGEXEXTRACT(CELL("address",AG133), "\$([A-Z]+)\$[0-9]+"))),_xlfn.REGEXEXTRACT(CELL("address",AG133), "\$([A-Z]+)\$[0-9]+"))</f>
        <v/>
      </c>
      <c r="AH133" s="7" t="str" cm="1">
        <f t="array" aca="1" ref="AH133" ca="1">IFERROR(IF(OR('Raw Data'!AH133="",LEN(TRIM('Raw Data'!AH133))=0),"",IF(AND(ISNUMBER('Raw Data'!AH133), IFERROR('Raw Data'!AH133 = ROUND('Raw Data'!AH133, 2),FALSE)),"",_xlfn.REGEXEXTRACT(CELL("address",AH133), "\$([A-Z]+)\$[0-9]+"))),_xlfn.REGEXEXTRACT(CELL("address",AH133), "\$([A-Z]+)\$[0-9]+"))</f>
        <v/>
      </c>
      <c r="AI133" s="7" t="str" cm="1">
        <f t="array" aca="1" ref="AI133" ca="1">IFERROR(IF(OR('Raw Data'!AI133="",LEN(TRIM('Raw Data'!AI133))=0),"",IF(AND(ISNUMBER('Raw Data'!AI133), IFERROR('Raw Data'!AI133 = ROUND('Raw Data'!AI133, 2),FALSE)),"",_xlfn.REGEXEXTRACT(CELL("address",AI133), "\$([A-Z]+)\$[0-9]+"))),_xlfn.REGEXEXTRACT(CELL("address",AI133), "\$([A-Z]+)\$[0-9]+"))</f>
        <v/>
      </c>
      <c r="AJ133" s="7" t="str" cm="1">
        <f t="array" aca="1" ref="AJ133" ca="1">IFERROR(IF(OR('Raw Data'!AJ133="",LEN(TRIM('Raw Data'!AJ133))=0),"",IF(AND(ISNUMBER('Raw Data'!AJ133), IFERROR('Raw Data'!AJ133 = ROUND('Raw Data'!AJ133, 2),FALSE)),"",_xlfn.REGEXEXTRACT(CELL("address",AJ133), "\$([A-Z]+)\$[0-9]+"))),_xlfn.REGEXEXTRACT(CELL("address",AJ133), "\$([A-Z]+)\$[0-9]+"))</f>
        <v/>
      </c>
    </row>
    <row r="134" spans="2:36" x14ac:dyDescent="0.25">
      <c r="B134" s="7" t="str" cm="1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20,LEN('Raw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Data'!D134))=0),"",IF(AND(ISNUMBER('Raw Data'!D134),'Raw Data'!D134&gt;=Configuration!$D$2),"",_xlfn.REGEXEXTRACT(CELL("address",'Raw Data'!D134),"\$([A-Z]+)\$[0-9]+"))),_xlfn.REGEXEXTRACT(CELL("address",D134), "\$([A-Z]+)\$[0-9]+"))</f>
        <v/>
      </c>
      <c r="E134" s="7" t="str" cm="1">
        <f t="array" aca="1" ref="E134" ca="1">IFERROR(IF(OR('Raw Data'!E134="",LEN(TRIM('Raw Data'!E134))=0),"",IF(AND(ISNUMBER('Raw Data'!E134), IFERROR('Raw Data'!E134 = ROUND('Raw Data'!E134, 2),FALSE)),"",_xlfn.REGEXEXTRACT(CELL("address",E134), "\$([A-Z]+)\$[0-9]+"))),_xlfn.REGEXEXTRACT(CELL("address",E134), "\$([A-Z]+)\$[0-9]+"))</f>
        <v/>
      </c>
      <c r="F134" s="7" t="str" cm="1">
        <f t="array" aca="1" ref="F134" ca="1">IFERROR(IF(OR('Raw Data'!F134="",LEN(TRIM('Raw Data'!F134))=0),"",IF(AND(ISNUMBER('Raw Data'!F134), IFERROR('Raw Data'!F134 = ROUND('Raw Data'!F134, 2),FALSE)),"",_xlfn.REGEXEXTRACT(CELL("address",F134), "\$([A-Z]+)\$[0-9]+"))),_xlfn.REGEXEXTRACT(CELL("address",F134), "\$([A-Z]+)\$[0-9]+"))</f>
        <v/>
      </c>
      <c r="G134" s="7" t="str" cm="1">
        <f t="array" aca="1" ref="G134" ca="1">IFERROR(IF(OR('Raw Data'!G134="",LEN(TRIM('Raw Data'!G134))=0),"",IF(AND(ISNUMBER('Raw Data'!G134), IFERROR('Raw Data'!G134 = ROUND('Raw Data'!G134, 2),FALSE)),"",_xlfn.REGEXEXTRACT(CELL("address",G134), "\$([A-Z]+)\$[0-9]+"))),_xlfn.REGEXEXTRACT(CELL("address",G134), "\$([A-Z]+)\$[0-9]+"))</f>
        <v/>
      </c>
      <c r="H134" s="7" t="str" cm="1">
        <f t="array" aca="1" ref="H134" ca="1">IFERROR(IF(OR('Raw Data'!H134="",LEN(TRIM('Raw Data'!H134))=0),"",IF(AND(ISNUMBER('Raw Data'!H134), IFERROR('Raw Data'!H134 = ROUND('Raw Data'!H134, 2),FALSE)),"",_xlfn.REGEXEXTRACT(CELL("address",H134), "\$([A-Z]+)\$[0-9]+"))),_xlfn.REGEXEXTRACT(CELL("address",H134), "\$([A-Z]+)\$[0-9]+"))</f>
        <v/>
      </c>
      <c r="I134" s="7" t="str" cm="1">
        <f t="array" aca="1" ref="I134" ca="1">IFERROR(IF(OR('Raw Data'!I134="",LEN(TRIM('Raw Data'!I134))=0),"",IF(AND(ISNUMBER('Raw Data'!I134), IFERROR('Raw Data'!I134 = ROUND('Raw Data'!I134, 2),FALSE)),"",_xlfn.REGEXEXTRACT(CELL("address",I134), "\$([A-Z]+)\$[0-9]+"))),_xlfn.REGEXEXTRACT(CELL("address",I134), "\$([A-Z]+)\$[0-9]+"))</f>
        <v/>
      </c>
      <c r="J134" s="7" t="str" cm="1">
        <f t="array" aca="1" ref="J134" ca="1">IFERROR(IF(OR('Raw Data'!J134="",LEN(TRIM('Raw Data'!J134))=0),"",IF(AND(ISNUMBER('Raw Data'!J134), IFERROR('Raw Data'!J134 = ROUND('Raw Data'!J134, 2),FALSE)),"",_xlfn.REGEXEXTRACT(CELL("address",J134), "\$([A-Z]+)\$[0-9]+"))),_xlfn.REGEXEXTRACT(CELL("address",J134), "\$([A-Z]+)\$[0-9]+"))</f>
        <v/>
      </c>
      <c r="K134" s="7" t="str" cm="1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7" t="str" cm="1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7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7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7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7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 cm="1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7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7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7" t="str" cm="1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7" t="str" cm="1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  <c r="Z134" s="7" t="str" cm="1">
        <f t="array" aca="1" ref="Z134" ca="1">IFERROR(IF(OR('Raw Data'!Z134="",LEN(TRIM('Raw Data'!Z134))=0),"",IF(AND(ISNUMBER('Raw Data'!Z134), IFERROR('Raw Data'!Z134 = ROUND('Raw Data'!Z134, 2),FALSE)),"",_xlfn.REGEXEXTRACT(CELL("address",Z134), "\$([A-Z]+)\$[0-9]+"))),_xlfn.REGEXEXTRACT(CELL("address",Z134), "\$([A-Z]+)\$[0-9]+"))</f>
        <v/>
      </c>
      <c r="AA134" s="7" t="str" cm="1">
        <f t="array" aca="1" ref="AA134" ca="1">IFERROR(IF(OR('Raw Data'!AA134="",LEN(TRIM('Raw Data'!AA134))=0),"",IF(AND(ISNUMBER('Raw Data'!AA134), IFERROR('Raw Data'!AA134 = ROUND('Raw Data'!AA134, 2),FALSE)),"",_xlfn.REGEXEXTRACT(CELL("address",AA134), "\$([A-Z]+)\$[0-9]+"))),_xlfn.REGEXEXTRACT(CELL("address",AA134), "\$([A-Z]+)\$[0-9]+"))</f>
        <v/>
      </c>
      <c r="AB134" s="7" t="str" cm="1">
        <f t="array" aca="1" ref="AB134" ca="1">IFERROR(IF(OR('Raw Data'!AB134="",LEN(TRIM('Raw Data'!AB134))=0),"",IF(AND(ISNUMBER('Raw Data'!AB134), IFERROR('Raw Data'!AB134 = ROUND('Raw Data'!AB134, 2),FALSE)),"",_xlfn.REGEXEXTRACT(CELL("address",AB134), "\$([A-Z]+)\$[0-9]+"))),_xlfn.REGEXEXTRACT(CELL("address",AB134), "\$([A-Z]+)\$[0-9]+"))</f>
        <v/>
      </c>
      <c r="AC134" s="7" t="str" cm="1">
        <f t="array" aca="1" ref="AC134" ca="1">IFERROR(IF(OR('Raw Data'!AC134="",LEN(TRIM('Raw Data'!AC134))=0),"",IF(AND(ISNUMBER('Raw Data'!AC134), IFERROR('Raw Data'!AC134 = ROUND('Raw Data'!AC134, 2),FALSE)),"",_xlfn.REGEXEXTRACT(CELL("address",AC134), "\$([A-Z]+)\$[0-9]+"))),_xlfn.REGEXEXTRACT(CELL("address",AC134), "\$([A-Z]+)\$[0-9]+"))</f>
        <v/>
      </c>
      <c r="AD134" s="7" t="str" cm="1">
        <f t="array" aca="1" ref="AD134" ca="1">IFERROR(IF(OR('Raw Data'!AD134="",LEN(TRIM('Raw Data'!AD134))=0),"",IF(AND(ISNUMBER('Raw Data'!AD134), IFERROR('Raw Data'!AD134 = ROUND('Raw Data'!AD134, 2),FALSE)),"",_xlfn.REGEXEXTRACT(CELL("address",AD134), "\$([A-Z]+)\$[0-9]+"))),_xlfn.REGEXEXTRACT(CELL("address",AD134), "\$([A-Z]+)\$[0-9]+"))</f>
        <v/>
      </c>
      <c r="AE134" s="7" t="str" cm="1">
        <f t="array" aca="1" ref="AE134" ca="1">IFERROR(IF(OR('Raw Data'!AE134="",LEN(TRIM('Raw Data'!AE134))=0),"",IF(AND(ISNUMBER('Raw Data'!AE134), IFERROR('Raw Data'!AE134 = ROUND('Raw Data'!AE134, 2),FALSE)),"",_xlfn.REGEXEXTRACT(CELL("address",AE134), "\$([A-Z]+)\$[0-9]+"))),_xlfn.REGEXEXTRACT(CELL("address",AE134), "\$([A-Z]+)\$[0-9]+"))</f>
        <v/>
      </c>
      <c r="AF134" s="7" t="str" cm="1">
        <f t="array" aca="1" ref="AF134" ca="1">IFERROR(IF(OR('Raw Data'!AF134="",LEN(TRIM('Raw Data'!AF134))=0),"",IF(AND(ISNUMBER('Raw Data'!AF134), IFERROR('Raw Data'!AF134 = ROUND('Raw Data'!AF134, 2),FALSE)),"",_xlfn.REGEXEXTRACT(CELL("address",AF134), "\$([A-Z]+)\$[0-9]+"))),_xlfn.REGEXEXTRACT(CELL("address",AF134), "\$([A-Z]+)\$[0-9]+"))</f>
        <v/>
      </c>
      <c r="AG134" s="7" t="str" cm="1">
        <f t="array" aca="1" ref="AG134" ca="1">IFERROR(IF(OR('Raw Data'!AG134="",LEN(TRIM('Raw Data'!AG134))=0),"",IF(AND(ISNUMBER('Raw Data'!AG134), IFERROR('Raw Data'!AG134 = ROUND('Raw Data'!AG134, 2),FALSE)),"",_xlfn.REGEXEXTRACT(CELL("address",AG134), "\$([A-Z]+)\$[0-9]+"))),_xlfn.REGEXEXTRACT(CELL("address",AG134), "\$([A-Z]+)\$[0-9]+"))</f>
        <v/>
      </c>
      <c r="AH134" s="7" t="str" cm="1">
        <f t="array" aca="1" ref="AH134" ca="1">IFERROR(IF(OR('Raw Data'!AH134="",LEN(TRIM('Raw Data'!AH134))=0),"",IF(AND(ISNUMBER('Raw Data'!AH134), IFERROR('Raw Data'!AH134 = ROUND('Raw Data'!AH134, 2),FALSE)),"",_xlfn.REGEXEXTRACT(CELL("address",AH134), "\$([A-Z]+)\$[0-9]+"))),_xlfn.REGEXEXTRACT(CELL("address",AH134), "\$([A-Z]+)\$[0-9]+"))</f>
        <v/>
      </c>
      <c r="AI134" s="7" t="str" cm="1">
        <f t="array" aca="1" ref="AI134" ca="1">IFERROR(IF(OR('Raw Data'!AI134="",LEN(TRIM('Raw Data'!AI134))=0),"",IF(AND(ISNUMBER('Raw Data'!AI134), IFERROR('Raw Data'!AI134 = ROUND('Raw Data'!AI134, 2),FALSE)),"",_xlfn.REGEXEXTRACT(CELL("address",AI134), "\$([A-Z]+)\$[0-9]+"))),_xlfn.REGEXEXTRACT(CELL("address",AI134), "\$([A-Z]+)\$[0-9]+"))</f>
        <v/>
      </c>
      <c r="AJ134" s="7" t="str" cm="1">
        <f t="array" aca="1" ref="AJ134" ca="1">IFERROR(IF(OR('Raw Data'!AJ134="",LEN(TRIM('Raw Data'!AJ134))=0),"",IF(AND(ISNUMBER('Raw Data'!AJ134), IFERROR('Raw Data'!AJ134 = ROUND('Raw Data'!AJ134, 2),FALSE)),"",_xlfn.REGEXEXTRACT(CELL("address",AJ134), "\$([A-Z]+)\$[0-9]+"))),_xlfn.REGEXEXTRACT(CELL("address",AJ134), "\$([A-Z]+)\$[0-9]+"))</f>
        <v/>
      </c>
    </row>
    <row r="135" spans="2:36" x14ac:dyDescent="0.25">
      <c r="B135" s="7" t="str" cm="1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20,LEN('Raw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Data'!D135))=0),"",IF(AND(ISNUMBER('Raw Data'!D135),'Raw Data'!D135&gt;=Configuration!$D$2),"",_xlfn.REGEXEXTRACT(CELL("address",'Raw Data'!D135),"\$([A-Z]+)\$[0-9]+"))),_xlfn.REGEXEXTRACT(CELL("address",D135), "\$([A-Z]+)\$[0-9]+"))</f>
        <v/>
      </c>
      <c r="E135" s="7" t="str" cm="1">
        <f t="array" aca="1" ref="E135" ca="1">IFERROR(IF(OR('Raw Data'!E135="",LEN(TRIM('Raw Data'!E135))=0),"",IF(AND(ISNUMBER('Raw Data'!E135), IFERROR('Raw Data'!E135 = ROUND('Raw Data'!E135, 2),FALSE)),"",_xlfn.REGEXEXTRACT(CELL("address",E135), "\$([A-Z]+)\$[0-9]+"))),_xlfn.REGEXEXTRACT(CELL("address",E135), "\$([A-Z]+)\$[0-9]+"))</f>
        <v/>
      </c>
      <c r="F135" s="7" t="str" cm="1">
        <f t="array" aca="1" ref="F135" ca="1">IFERROR(IF(OR('Raw Data'!F135="",LEN(TRIM('Raw Data'!F135))=0),"",IF(AND(ISNUMBER('Raw Data'!F135), IFERROR('Raw Data'!F135 = ROUND('Raw Data'!F135, 2),FALSE)),"",_xlfn.REGEXEXTRACT(CELL("address",F135), "\$([A-Z]+)\$[0-9]+"))),_xlfn.REGEXEXTRACT(CELL("address",F135), "\$([A-Z]+)\$[0-9]+"))</f>
        <v/>
      </c>
      <c r="G135" s="7" t="str" cm="1">
        <f t="array" aca="1" ref="G135" ca="1">IFERROR(IF(OR('Raw Data'!G135="",LEN(TRIM('Raw Data'!G135))=0),"",IF(AND(ISNUMBER('Raw Data'!G135), IFERROR('Raw Data'!G135 = ROUND('Raw Data'!G135, 2),FALSE)),"",_xlfn.REGEXEXTRACT(CELL("address",G135), "\$([A-Z]+)\$[0-9]+"))),_xlfn.REGEXEXTRACT(CELL("address",G135), "\$([A-Z]+)\$[0-9]+"))</f>
        <v/>
      </c>
      <c r="H135" s="7" t="str" cm="1">
        <f t="array" aca="1" ref="H135" ca="1">IFERROR(IF(OR('Raw Data'!H135="",LEN(TRIM('Raw Data'!H135))=0),"",IF(AND(ISNUMBER('Raw Data'!H135), IFERROR('Raw Data'!H135 = ROUND('Raw Data'!H135, 2),FALSE)),"",_xlfn.REGEXEXTRACT(CELL("address",H135), "\$([A-Z]+)\$[0-9]+"))),_xlfn.REGEXEXTRACT(CELL("address",H135), "\$([A-Z]+)\$[0-9]+"))</f>
        <v/>
      </c>
      <c r="I135" s="7" t="str" cm="1">
        <f t="array" aca="1" ref="I135" ca="1">IFERROR(IF(OR('Raw Data'!I135="",LEN(TRIM('Raw Data'!I135))=0),"",IF(AND(ISNUMBER('Raw Data'!I135), IFERROR('Raw Data'!I135 = ROUND('Raw Data'!I135, 2),FALSE)),"",_xlfn.REGEXEXTRACT(CELL("address",I135), "\$([A-Z]+)\$[0-9]+"))),_xlfn.REGEXEXTRACT(CELL("address",I135), "\$([A-Z]+)\$[0-9]+"))</f>
        <v/>
      </c>
      <c r="J135" s="7" t="str" cm="1">
        <f t="array" aca="1" ref="J135" ca="1">IFERROR(IF(OR('Raw Data'!J135="",LEN(TRIM('Raw Data'!J135))=0),"",IF(AND(ISNUMBER('Raw Data'!J135), IFERROR('Raw Data'!J135 = ROUND('Raw Data'!J135, 2),FALSE)),"",_xlfn.REGEXEXTRACT(CELL("address",J135), "\$([A-Z]+)\$[0-9]+"))),_xlfn.REGEXEXTRACT(CELL("address",J135), "\$([A-Z]+)\$[0-9]+"))</f>
        <v/>
      </c>
      <c r="K135" s="7" t="str" cm="1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7" t="str" cm="1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7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7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7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7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 cm="1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7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7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7" t="str" cm="1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7" t="str" cm="1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  <c r="Z135" s="7" t="str" cm="1">
        <f t="array" aca="1" ref="Z135" ca="1">IFERROR(IF(OR('Raw Data'!Z135="",LEN(TRIM('Raw Data'!Z135))=0),"",IF(AND(ISNUMBER('Raw Data'!Z135), IFERROR('Raw Data'!Z135 = ROUND('Raw Data'!Z135, 2),FALSE)),"",_xlfn.REGEXEXTRACT(CELL("address",Z135), "\$([A-Z]+)\$[0-9]+"))),_xlfn.REGEXEXTRACT(CELL("address",Z135), "\$([A-Z]+)\$[0-9]+"))</f>
        <v/>
      </c>
      <c r="AA135" s="7" t="str" cm="1">
        <f t="array" aca="1" ref="AA135" ca="1">IFERROR(IF(OR('Raw Data'!AA135="",LEN(TRIM('Raw Data'!AA135))=0),"",IF(AND(ISNUMBER('Raw Data'!AA135), IFERROR('Raw Data'!AA135 = ROUND('Raw Data'!AA135, 2),FALSE)),"",_xlfn.REGEXEXTRACT(CELL("address",AA135), "\$([A-Z]+)\$[0-9]+"))),_xlfn.REGEXEXTRACT(CELL("address",AA135), "\$([A-Z]+)\$[0-9]+"))</f>
        <v/>
      </c>
      <c r="AB135" s="7" t="str" cm="1">
        <f t="array" aca="1" ref="AB135" ca="1">IFERROR(IF(OR('Raw Data'!AB135="",LEN(TRIM('Raw Data'!AB135))=0),"",IF(AND(ISNUMBER('Raw Data'!AB135), IFERROR('Raw Data'!AB135 = ROUND('Raw Data'!AB135, 2),FALSE)),"",_xlfn.REGEXEXTRACT(CELL("address",AB135), "\$([A-Z]+)\$[0-9]+"))),_xlfn.REGEXEXTRACT(CELL("address",AB135), "\$([A-Z]+)\$[0-9]+"))</f>
        <v/>
      </c>
      <c r="AC135" s="7" t="str" cm="1">
        <f t="array" aca="1" ref="AC135" ca="1">IFERROR(IF(OR('Raw Data'!AC135="",LEN(TRIM('Raw Data'!AC135))=0),"",IF(AND(ISNUMBER('Raw Data'!AC135), IFERROR('Raw Data'!AC135 = ROUND('Raw Data'!AC135, 2),FALSE)),"",_xlfn.REGEXEXTRACT(CELL("address",AC135), "\$([A-Z]+)\$[0-9]+"))),_xlfn.REGEXEXTRACT(CELL("address",AC135), "\$([A-Z]+)\$[0-9]+"))</f>
        <v/>
      </c>
      <c r="AD135" s="7" t="str" cm="1">
        <f t="array" aca="1" ref="AD135" ca="1">IFERROR(IF(OR('Raw Data'!AD135="",LEN(TRIM('Raw Data'!AD135))=0),"",IF(AND(ISNUMBER('Raw Data'!AD135), IFERROR('Raw Data'!AD135 = ROUND('Raw Data'!AD135, 2),FALSE)),"",_xlfn.REGEXEXTRACT(CELL("address",AD135), "\$([A-Z]+)\$[0-9]+"))),_xlfn.REGEXEXTRACT(CELL("address",AD135), "\$([A-Z]+)\$[0-9]+"))</f>
        <v/>
      </c>
      <c r="AE135" s="7" t="str" cm="1">
        <f t="array" aca="1" ref="AE135" ca="1">IFERROR(IF(OR('Raw Data'!AE135="",LEN(TRIM('Raw Data'!AE135))=0),"",IF(AND(ISNUMBER('Raw Data'!AE135), IFERROR('Raw Data'!AE135 = ROUND('Raw Data'!AE135, 2),FALSE)),"",_xlfn.REGEXEXTRACT(CELL("address",AE135), "\$([A-Z]+)\$[0-9]+"))),_xlfn.REGEXEXTRACT(CELL("address",AE135), "\$([A-Z]+)\$[0-9]+"))</f>
        <v/>
      </c>
      <c r="AF135" s="7" t="str" cm="1">
        <f t="array" aca="1" ref="AF135" ca="1">IFERROR(IF(OR('Raw Data'!AF135="",LEN(TRIM('Raw Data'!AF135))=0),"",IF(AND(ISNUMBER('Raw Data'!AF135), IFERROR('Raw Data'!AF135 = ROUND('Raw Data'!AF135, 2),FALSE)),"",_xlfn.REGEXEXTRACT(CELL("address",AF135), "\$([A-Z]+)\$[0-9]+"))),_xlfn.REGEXEXTRACT(CELL("address",AF135), "\$([A-Z]+)\$[0-9]+"))</f>
        <v/>
      </c>
      <c r="AG135" s="7" t="str" cm="1">
        <f t="array" aca="1" ref="AG135" ca="1">IFERROR(IF(OR('Raw Data'!AG135="",LEN(TRIM('Raw Data'!AG135))=0),"",IF(AND(ISNUMBER('Raw Data'!AG135), IFERROR('Raw Data'!AG135 = ROUND('Raw Data'!AG135, 2),FALSE)),"",_xlfn.REGEXEXTRACT(CELL("address",AG135), "\$([A-Z]+)\$[0-9]+"))),_xlfn.REGEXEXTRACT(CELL("address",AG135), "\$([A-Z]+)\$[0-9]+"))</f>
        <v/>
      </c>
      <c r="AH135" s="7" t="str" cm="1">
        <f t="array" aca="1" ref="AH135" ca="1">IFERROR(IF(OR('Raw Data'!AH135="",LEN(TRIM('Raw Data'!AH135))=0),"",IF(AND(ISNUMBER('Raw Data'!AH135), IFERROR('Raw Data'!AH135 = ROUND('Raw Data'!AH135, 2),FALSE)),"",_xlfn.REGEXEXTRACT(CELL("address",AH135), "\$([A-Z]+)\$[0-9]+"))),_xlfn.REGEXEXTRACT(CELL("address",AH135), "\$([A-Z]+)\$[0-9]+"))</f>
        <v/>
      </c>
      <c r="AI135" s="7" t="str" cm="1">
        <f t="array" aca="1" ref="AI135" ca="1">IFERROR(IF(OR('Raw Data'!AI135="",LEN(TRIM('Raw Data'!AI135))=0),"",IF(AND(ISNUMBER('Raw Data'!AI135), IFERROR('Raw Data'!AI135 = ROUND('Raw Data'!AI135, 2),FALSE)),"",_xlfn.REGEXEXTRACT(CELL("address",AI135), "\$([A-Z]+)\$[0-9]+"))),_xlfn.REGEXEXTRACT(CELL("address",AI135), "\$([A-Z]+)\$[0-9]+"))</f>
        <v/>
      </c>
      <c r="AJ135" s="7" t="str" cm="1">
        <f t="array" aca="1" ref="AJ135" ca="1">IFERROR(IF(OR('Raw Data'!AJ135="",LEN(TRIM('Raw Data'!AJ135))=0),"",IF(AND(ISNUMBER('Raw Data'!AJ135), IFERROR('Raw Data'!AJ135 = ROUND('Raw Data'!AJ135, 2),FALSE)),"",_xlfn.REGEXEXTRACT(CELL("address",AJ135), "\$([A-Z]+)\$[0-9]+"))),_xlfn.REGEXEXTRACT(CELL("address",AJ135), "\$([A-Z]+)\$[0-9]+"))</f>
        <v/>
      </c>
    </row>
    <row r="136" spans="2:36" x14ac:dyDescent="0.25">
      <c r="B136" s="7" t="str" cm="1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20,LEN('Raw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Data'!D136))=0),"",IF(AND(ISNUMBER('Raw Data'!D136),'Raw Data'!D136&gt;=Configuration!$D$2),"",_xlfn.REGEXEXTRACT(CELL("address",'Raw Data'!D136),"\$([A-Z]+)\$[0-9]+"))),_xlfn.REGEXEXTRACT(CELL("address",D136), "\$([A-Z]+)\$[0-9]+"))</f>
        <v/>
      </c>
      <c r="E136" s="7" t="str" cm="1">
        <f t="array" aca="1" ref="E136" ca="1">IFERROR(IF(OR('Raw Data'!E136="",LEN(TRIM('Raw Data'!E136))=0),"",IF(AND(ISNUMBER('Raw Data'!E136), IFERROR('Raw Data'!E136 = ROUND('Raw Data'!E136, 2),FALSE)),"",_xlfn.REGEXEXTRACT(CELL("address",E136), "\$([A-Z]+)\$[0-9]+"))),_xlfn.REGEXEXTRACT(CELL("address",E136), "\$([A-Z]+)\$[0-9]+"))</f>
        <v/>
      </c>
      <c r="F136" s="7" t="str" cm="1">
        <f t="array" aca="1" ref="F136" ca="1">IFERROR(IF(OR('Raw Data'!F136="",LEN(TRIM('Raw Data'!F136))=0),"",IF(AND(ISNUMBER('Raw Data'!F136), IFERROR('Raw Data'!F136 = ROUND('Raw Data'!F136, 2),FALSE)),"",_xlfn.REGEXEXTRACT(CELL("address",F136), "\$([A-Z]+)\$[0-9]+"))),_xlfn.REGEXEXTRACT(CELL("address",F136), "\$([A-Z]+)\$[0-9]+"))</f>
        <v/>
      </c>
      <c r="G136" s="7" t="str" cm="1">
        <f t="array" aca="1" ref="G136" ca="1">IFERROR(IF(OR('Raw Data'!G136="",LEN(TRIM('Raw Data'!G136))=0),"",IF(AND(ISNUMBER('Raw Data'!G136), IFERROR('Raw Data'!G136 = ROUND('Raw Data'!G136, 2),FALSE)),"",_xlfn.REGEXEXTRACT(CELL("address",G136), "\$([A-Z]+)\$[0-9]+"))),_xlfn.REGEXEXTRACT(CELL("address",G136), "\$([A-Z]+)\$[0-9]+"))</f>
        <v/>
      </c>
      <c r="H136" s="7" t="str" cm="1">
        <f t="array" aca="1" ref="H136" ca="1">IFERROR(IF(OR('Raw Data'!H136="",LEN(TRIM('Raw Data'!H136))=0),"",IF(AND(ISNUMBER('Raw Data'!H136), IFERROR('Raw Data'!H136 = ROUND('Raw Data'!H136, 2),FALSE)),"",_xlfn.REGEXEXTRACT(CELL("address",H136), "\$([A-Z]+)\$[0-9]+"))),_xlfn.REGEXEXTRACT(CELL("address",H136), "\$([A-Z]+)\$[0-9]+"))</f>
        <v/>
      </c>
      <c r="I136" s="7" t="str" cm="1">
        <f t="array" aca="1" ref="I136" ca="1">IFERROR(IF(OR('Raw Data'!I136="",LEN(TRIM('Raw Data'!I136))=0),"",IF(AND(ISNUMBER('Raw Data'!I136), IFERROR('Raw Data'!I136 = ROUND('Raw Data'!I136, 2),FALSE)),"",_xlfn.REGEXEXTRACT(CELL("address",I136), "\$([A-Z]+)\$[0-9]+"))),_xlfn.REGEXEXTRACT(CELL("address",I136), "\$([A-Z]+)\$[0-9]+"))</f>
        <v/>
      </c>
      <c r="J136" s="7" t="str" cm="1">
        <f t="array" aca="1" ref="J136" ca="1">IFERROR(IF(OR('Raw Data'!J136="",LEN(TRIM('Raw Data'!J136))=0),"",IF(AND(ISNUMBER('Raw Data'!J136), IFERROR('Raw Data'!J136 = ROUND('Raw Data'!J136, 2),FALSE)),"",_xlfn.REGEXEXTRACT(CELL("address",J136), "\$([A-Z]+)\$[0-9]+"))),_xlfn.REGEXEXTRACT(CELL("address",J136), "\$([A-Z]+)\$[0-9]+"))</f>
        <v/>
      </c>
      <c r="K136" s="7" t="str" cm="1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7" t="str" cm="1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7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7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7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7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 cm="1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7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7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7" t="str" cm="1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7" t="str" cm="1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  <c r="Z136" s="7" t="str" cm="1">
        <f t="array" aca="1" ref="Z136" ca="1">IFERROR(IF(OR('Raw Data'!Z136="",LEN(TRIM('Raw Data'!Z136))=0),"",IF(AND(ISNUMBER('Raw Data'!Z136), IFERROR('Raw Data'!Z136 = ROUND('Raw Data'!Z136, 2),FALSE)),"",_xlfn.REGEXEXTRACT(CELL("address",Z136), "\$([A-Z]+)\$[0-9]+"))),_xlfn.REGEXEXTRACT(CELL("address",Z136), "\$([A-Z]+)\$[0-9]+"))</f>
        <v/>
      </c>
      <c r="AA136" s="7" t="str" cm="1">
        <f t="array" aca="1" ref="AA136" ca="1">IFERROR(IF(OR('Raw Data'!AA136="",LEN(TRIM('Raw Data'!AA136))=0),"",IF(AND(ISNUMBER('Raw Data'!AA136), IFERROR('Raw Data'!AA136 = ROUND('Raw Data'!AA136, 2),FALSE)),"",_xlfn.REGEXEXTRACT(CELL("address",AA136), "\$([A-Z]+)\$[0-9]+"))),_xlfn.REGEXEXTRACT(CELL("address",AA136), "\$([A-Z]+)\$[0-9]+"))</f>
        <v/>
      </c>
      <c r="AB136" s="7" t="str" cm="1">
        <f t="array" aca="1" ref="AB136" ca="1">IFERROR(IF(OR('Raw Data'!AB136="",LEN(TRIM('Raw Data'!AB136))=0),"",IF(AND(ISNUMBER('Raw Data'!AB136), IFERROR('Raw Data'!AB136 = ROUND('Raw Data'!AB136, 2),FALSE)),"",_xlfn.REGEXEXTRACT(CELL("address",AB136), "\$([A-Z]+)\$[0-9]+"))),_xlfn.REGEXEXTRACT(CELL("address",AB136), "\$([A-Z]+)\$[0-9]+"))</f>
        <v/>
      </c>
      <c r="AC136" s="7" t="str" cm="1">
        <f t="array" aca="1" ref="AC136" ca="1">IFERROR(IF(OR('Raw Data'!AC136="",LEN(TRIM('Raw Data'!AC136))=0),"",IF(AND(ISNUMBER('Raw Data'!AC136), IFERROR('Raw Data'!AC136 = ROUND('Raw Data'!AC136, 2),FALSE)),"",_xlfn.REGEXEXTRACT(CELL("address",AC136), "\$([A-Z]+)\$[0-9]+"))),_xlfn.REGEXEXTRACT(CELL("address",AC136), "\$([A-Z]+)\$[0-9]+"))</f>
        <v/>
      </c>
      <c r="AD136" s="7" t="str" cm="1">
        <f t="array" aca="1" ref="AD136" ca="1">IFERROR(IF(OR('Raw Data'!AD136="",LEN(TRIM('Raw Data'!AD136))=0),"",IF(AND(ISNUMBER('Raw Data'!AD136), IFERROR('Raw Data'!AD136 = ROUND('Raw Data'!AD136, 2),FALSE)),"",_xlfn.REGEXEXTRACT(CELL("address",AD136), "\$([A-Z]+)\$[0-9]+"))),_xlfn.REGEXEXTRACT(CELL("address",AD136), "\$([A-Z]+)\$[0-9]+"))</f>
        <v/>
      </c>
      <c r="AE136" s="7" t="str" cm="1">
        <f t="array" aca="1" ref="AE136" ca="1">IFERROR(IF(OR('Raw Data'!AE136="",LEN(TRIM('Raw Data'!AE136))=0),"",IF(AND(ISNUMBER('Raw Data'!AE136), IFERROR('Raw Data'!AE136 = ROUND('Raw Data'!AE136, 2),FALSE)),"",_xlfn.REGEXEXTRACT(CELL("address",AE136), "\$([A-Z]+)\$[0-9]+"))),_xlfn.REGEXEXTRACT(CELL("address",AE136), "\$([A-Z]+)\$[0-9]+"))</f>
        <v/>
      </c>
      <c r="AF136" s="7" t="str" cm="1">
        <f t="array" aca="1" ref="AF136" ca="1">IFERROR(IF(OR('Raw Data'!AF136="",LEN(TRIM('Raw Data'!AF136))=0),"",IF(AND(ISNUMBER('Raw Data'!AF136), IFERROR('Raw Data'!AF136 = ROUND('Raw Data'!AF136, 2),FALSE)),"",_xlfn.REGEXEXTRACT(CELL("address",AF136), "\$([A-Z]+)\$[0-9]+"))),_xlfn.REGEXEXTRACT(CELL("address",AF136), "\$([A-Z]+)\$[0-9]+"))</f>
        <v/>
      </c>
      <c r="AG136" s="7" t="str" cm="1">
        <f t="array" aca="1" ref="AG136" ca="1">IFERROR(IF(OR('Raw Data'!AG136="",LEN(TRIM('Raw Data'!AG136))=0),"",IF(AND(ISNUMBER('Raw Data'!AG136), IFERROR('Raw Data'!AG136 = ROUND('Raw Data'!AG136, 2),FALSE)),"",_xlfn.REGEXEXTRACT(CELL("address",AG136), "\$([A-Z]+)\$[0-9]+"))),_xlfn.REGEXEXTRACT(CELL("address",AG136), "\$([A-Z]+)\$[0-9]+"))</f>
        <v/>
      </c>
      <c r="AH136" s="7" t="str" cm="1">
        <f t="array" aca="1" ref="AH136" ca="1">IFERROR(IF(OR('Raw Data'!AH136="",LEN(TRIM('Raw Data'!AH136))=0),"",IF(AND(ISNUMBER('Raw Data'!AH136), IFERROR('Raw Data'!AH136 = ROUND('Raw Data'!AH136, 2),FALSE)),"",_xlfn.REGEXEXTRACT(CELL("address",AH136), "\$([A-Z]+)\$[0-9]+"))),_xlfn.REGEXEXTRACT(CELL("address",AH136), "\$([A-Z]+)\$[0-9]+"))</f>
        <v/>
      </c>
      <c r="AI136" s="7" t="str" cm="1">
        <f t="array" aca="1" ref="AI136" ca="1">IFERROR(IF(OR('Raw Data'!AI136="",LEN(TRIM('Raw Data'!AI136))=0),"",IF(AND(ISNUMBER('Raw Data'!AI136), IFERROR('Raw Data'!AI136 = ROUND('Raw Data'!AI136, 2),FALSE)),"",_xlfn.REGEXEXTRACT(CELL("address",AI136), "\$([A-Z]+)\$[0-9]+"))),_xlfn.REGEXEXTRACT(CELL("address",AI136), "\$([A-Z]+)\$[0-9]+"))</f>
        <v/>
      </c>
      <c r="AJ136" s="7" t="str" cm="1">
        <f t="array" aca="1" ref="AJ136" ca="1">IFERROR(IF(OR('Raw Data'!AJ136="",LEN(TRIM('Raw Data'!AJ136))=0),"",IF(AND(ISNUMBER('Raw Data'!AJ136), IFERROR('Raw Data'!AJ136 = ROUND('Raw Data'!AJ136, 2),FALSE)),"",_xlfn.REGEXEXTRACT(CELL("address",AJ136), "\$([A-Z]+)\$[0-9]+"))),_xlfn.REGEXEXTRACT(CELL("address",AJ136), "\$([A-Z]+)\$[0-9]+"))</f>
        <v/>
      </c>
    </row>
    <row r="137" spans="2:36" x14ac:dyDescent="0.25">
      <c r="B137" s="7" t="str" cm="1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20,LEN('Raw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Data'!D137))=0),"",IF(AND(ISNUMBER('Raw Data'!D137),'Raw Data'!D137&gt;=Configuration!$D$2),"",_xlfn.REGEXEXTRACT(CELL("address",'Raw Data'!D137),"\$([A-Z]+)\$[0-9]+"))),_xlfn.REGEXEXTRACT(CELL("address",D137), "\$([A-Z]+)\$[0-9]+"))</f>
        <v/>
      </c>
      <c r="E137" s="7" t="str" cm="1">
        <f t="array" aca="1" ref="E137" ca="1">IFERROR(IF(OR('Raw Data'!E137="",LEN(TRIM('Raw Data'!E137))=0),"",IF(AND(ISNUMBER('Raw Data'!E137), IFERROR('Raw Data'!E137 = ROUND('Raw Data'!E137, 2),FALSE)),"",_xlfn.REGEXEXTRACT(CELL("address",E137), "\$([A-Z]+)\$[0-9]+"))),_xlfn.REGEXEXTRACT(CELL("address",E137), "\$([A-Z]+)\$[0-9]+"))</f>
        <v/>
      </c>
      <c r="F137" s="7" t="str" cm="1">
        <f t="array" aca="1" ref="F137" ca="1">IFERROR(IF(OR('Raw Data'!F137="",LEN(TRIM('Raw Data'!F137))=0),"",IF(AND(ISNUMBER('Raw Data'!F137), IFERROR('Raw Data'!F137 = ROUND('Raw Data'!F137, 2),FALSE)),"",_xlfn.REGEXEXTRACT(CELL("address",F137), "\$([A-Z]+)\$[0-9]+"))),_xlfn.REGEXEXTRACT(CELL("address",F137), "\$([A-Z]+)\$[0-9]+"))</f>
        <v/>
      </c>
      <c r="G137" s="7" t="str" cm="1">
        <f t="array" aca="1" ref="G137" ca="1">IFERROR(IF(OR('Raw Data'!G137="",LEN(TRIM('Raw Data'!G137))=0),"",IF(AND(ISNUMBER('Raw Data'!G137), IFERROR('Raw Data'!G137 = ROUND('Raw Data'!G137, 2),FALSE)),"",_xlfn.REGEXEXTRACT(CELL("address",G137), "\$([A-Z]+)\$[0-9]+"))),_xlfn.REGEXEXTRACT(CELL("address",G137), "\$([A-Z]+)\$[0-9]+"))</f>
        <v/>
      </c>
      <c r="H137" s="7" t="str" cm="1">
        <f t="array" aca="1" ref="H137" ca="1">IFERROR(IF(OR('Raw Data'!H137="",LEN(TRIM('Raw Data'!H137))=0),"",IF(AND(ISNUMBER('Raw Data'!H137), IFERROR('Raw Data'!H137 = ROUND('Raw Data'!H137, 2),FALSE)),"",_xlfn.REGEXEXTRACT(CELL("address",H137), "\$([A-Z]+)\$[0-9]+"))),_xlfn.REGEXEXTRACT(CELL("address",H137), "\$([A-Z]+)\$[0-9]+"))</f>
        <v/>
      </c>
      <c r="I137" s="7" t="str" cm="1">
        <f t="array" aca="1" ref="I137" ca="1">IFERROR(IF(OR('Raw Data'!I137="",LEN(TRIM('Raw Data'!I137))=0),"",IF(AND(ISNUMBER('Raw Data'!I137), IFERROR('Raw Data'!I137 = ROUND('Raw Data'!I137, 2),FALSE)),"",_xlfn.REGEXEXTRACT(CELL("address",I137), "\$([A-Z]+)\$[0-9]+"))),_xlfn.REGEXEXTRACT(CELL("address",I137), "\$([A-Z]+)\$[0-9]+"))</f>
        <v/>
      </c>
      <c r="J137" s="7" t="str" cm="1">
        <f t="array" aca="1" ref="J137" ca="1">IFERROR(IF(OR('Raw Data'!J137="",LEN(TRIM('Raw Data'!J137))=0),"",IF(AND(ISNUMBER('Raw Data'!J137), IFERROR('Raw Data'!J137 = ROUND('Raw Data'!J137, 2),FALSE)),"",_xlfn.REGEXEXTRACT(CELL("address",J137), "\$([A-Z]+)\$[0-9]+"))),_xlfn.REGEXEXTRACT(CELL("address",J137), "\$([A-Z]+)\$[0-9]+"))</f>
        <v/>
      </c>
      <c r="K137" s="7" t="str" cm="1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7" t="str" cm="1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7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7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7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7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 cm="1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7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7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7" t="str" cm="1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7" t="str" cm="1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  <c r="Z137" s="7" t="str" cm="1">
        <f t="array" aca="1" ref="Z137" ca="1">IFERROR(IF(OR('Raw Data'!Z137="",LEN(TRIM('Raw Data'!Z137))=0),"",IF(AND(ISNUMBER('Raw Data'!Z137), IFERROR('Raw Data'!Z137 = ROUND('Raw Data'!Z137, 2),FALSE)),"",_xlfn.REGEXEXTRACT(CELL("address",Z137), "\$([A-Z]+)\$[0-9]+"))),_xlfn.REGEXEXTRACT(CELL("address",Z137), "\$([A-Z]+)\$[0-9]+"))</f>
        <v/>
      </c>
      <c r="AA137" s="7" t="str" cm="1">
        <f t="array" aca="1" ref="AA137" ca="1">IFERROR(IF(OR('Raw Data'!AA137="",LEN(TRIM('Raw Data'!AA137))=0),"",IF(AND(ISNUMBER('Raw Data'!AA137), IFERROR('Raw Data'!AA137 = ROUND('Raw Data'!AA137, 2),FALSE)),"",_xlfn.REGEXEXTRACT(CELL("address",AA137), "\$([A-Z]+)\$[0-9]+"))),_xlfn.REGEXEXTRACT(CELL("address",AA137), "\$([A-Z]+)\$[0-9]+"))</f>
        <v/>
      </c>
      <c r="AB137" s="7" t="str" cm="1">
        <f t="array" aca="1" ref="AB137" ca="1">IFERROR(IF(OR('Raw Data'!AB137="",LEN(TRIM('Raw Data'!AB137))=0),"",IF(AND(ISNUMBER('Raw Data'!AB137), IFERROR('Raw Data'!AB137 = ROUND('Raw Data'!AB137, 2),FALSE)),"",_xlfn.REGEXEXTRACT(CELL("address",AB137), "\$([A-Z]+)\$[0-9]+"))),_xlfn.REGEXEXTRACT(CELL("address",AB137), "\$([A-Z]+)\$[0-9]+"))</f>
        <v/>
      </c>
      <c r="AC137" s="7" t="str" cm="1">
        <f t="array" aca="1" ref="AC137" ca="1">IFERROR(IF(OR('Raw Data'!AC137="",LEN(TRIM('Raw Data'!AC137))=0),"",IF(AND(ISNUMBER('Raw Data'!AC137), IFERROR('Raw Data'!AC137 = ROUND('Raw Data'!AC137, 2),FALSE)),"",_xlfn.REGEXEXTRACT(CELL("address",AC137), "\$([A-Z]+)\$[0-9]+"))),_xlfn.REGEXEXTRACT(CELL("address",AC137), "\$([A-Z]+)\$[0-9]+"))</f>
        <v/>
      </c>
      <c r="AD137" s="7" t="str" cm="1">
        <f t="array" aca="1" ref="AD137" ca="1">IFERROR(IF(OR('Raw Data'!AD137="",LEN(TRIM('Raw Data'!AD137))=0),"",IF(AND(ISNUMBER('Raw Data'!AD137), IFERROR('Raw Data'!AD137 = ROUND('Raw Data'!AD137, 2),FALSE)),"",_xlfn.REGEXEXTRACT(CELL("address",AD137), "\$([A-Z]+)\$[0-9]+"))),_xlfn.REGEXEXTRACT(CELL("address",AD137), "\$([A-Z]+)\$[0-9]+"))</f>
        <v/>
      </c>
      <c r="AE137" s="7" t="str" cm="1">
        <f t="array" aca="1" ref="AE137" ca="1">IFERROR(IF(OR('Raw Data'!AE137="",LEN(TRIM('Raw Data'!AE137))=0),"",IF(AND(ISNUMBER('Raw Data'!AE137), IFERROR('Raw Data'!AE137 = ROUND('Raw Data'!AE137, 2),FALSE)),"",_xlfn.REGEXEXTRACT(CELL("address",AE137), "\$([A-Z]+)\$[0-9]+"))),_xlfn.REGEXEXTRACT(CELL("address",AE137), "\$([A-Z]+)\$[0-9]+"))</f>
        <v/>
      </c>
      <c r="AF137" s="7" t="str" cm="1">
        <f t="array" aca="1" ref="AF137" ca="1">IFERROR(IF(OR('Raw Data'!AF137="",LEN(TRIM('Raw Data'!AF137))=0),"",IF(AND(ISNUMBER('Raw Data'!AF137), IFERROR('Raw Data'!AF137 = ROUND('Raw Data'!AF137, 2),FALSE)),"",_xlfn.REGEXEXTRACT(CELL("address",AF137), "\$([A-Z]+)\$[0-9]+"))),_xlfn.REGEXEXTRACT(CELL("address",AF137), "\$([A-Z]+)\$[0-9]+"))</f>
        <v/>
      </c>
      <c r="AG137" s="7" t="str" cm="1">
        <f t="array" aca="1" ref="AG137" ca="1">IFERROR(IF(OR('Raw Data'!AG137="",LEN(TRIM('Raw Data'!AG137))=0),"",IF(AND(ISNUMBER('Raw Data'!AG137), IFERROR('Raw Data'!AG137 = ROUND('Raw Data'!AG137, 2),FALSE)),"",_xlfn.REGEXEXTRACT(CELL("address",AG137), "\$([A-Z]+)\$[0-9]+"))),_xlfn.REGEXEXTRACT(CELL("address",AG137), "\$([A-Z]+)\$[0-9]+"))</f>
        <v/>
      </c>
      <c r="AH137" s="7" t="str" cm="1">
        <f t="array" aca="1" ref="AH137" ca="1">IFERROR(IF(OR('Raw Data'!AH137="",LEN(TRIM('Raw Data'!AH137))=0),"",IF(AND(ISNUMBER('Raw Data'!AH137), IFERROR('Raw Data'!AH137 = ROUND('Raw Data'!AH137, 2),FALSE)),"",_xlfn.REGEXEXTRACT(CELL("address",AH137), "\$([A-Z]+)\$[0-9]+"))),_xlfn.REGEXEXTRACT(CELL("address",AH137), "\$([A-Z]+)\$[0-9]+"))</f>
        <v/>
      </c>
      <c r="AI137" s="7" t="str" cm="1">
        <f t="array" aca="1" ref="AI137" ca="1">IFERROR(IF(OR('Raw Data'!AI137="",LEN(TRIM('Raw Data'!AI137))=0),"",IF(AND(ISNUMBER('Raw Data'!AI137), IFERROR('Raw Data'!AI137 = ROUND('Raw Data'!AI137, 2),FALSE)),"",_xlfn.REGEXEXTRACT(CELL("address",AI137), "\$([A-Z]+)\$[0-9]+"))),_xlfn.REGEXEXTRACT(CELL("address",AI137), "\$([A-Z]+)\$[0-9]+"))</f>
        <v/>
      </c>
      <c r="AJ137" s="7" t="str" cm="1">
        <f t="array" aca="1" ref="AJ137" ca="1">IFERROR(IF(OR('Raw Data'!AJ137="",LEN(TRIM('Raw Data'!AJ137))=0),"",IF(AND(ISNUMBER('Raw Data'!AJ137), IFERROR('Raw Data'!AJ137 = ROUND('Raw Data'!AJ137, 2),FALSE)),"",_xlfn.REGEXEXTRACT(CELL("address",AJ137), "\$([A-Z]+)\$[0-9]+"))),_xlfn.REGEXEXTRACT(CELL("address",AJ137), "\$([A-Z]+)\$[0-9]+"))</f>
        <v/>
      </c>
    </row>
    <row r="138" spans="2:36" x14ac:dyDescent="0.25">
      <c r="B138" s="7" t="str" cm="1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20,LEN('Raw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Data'!D138))=0),"",IF(AND(ISNUMBER('Raw Data'!D138),'Raw Data'!D138&gt;=Configuration!$D$2),"",_xlfn.REGEXEXTRACT(CELL("address",'Raw Data'!D138),"\$([A-Z]+)\$[0-9]+"))),_xlfn.REGEXEXTRACT(CELL("address",D138), "\$([A-Z]+)\$[0-9]+"))</f>
        <v/>
      </c>
      <c r="E138" s="7" t="str" cm="1">
        <f t="array" aca="1" ref="E138" ca="1">IFERROR(IF(OR('Raw Data'!E138="",LEN(TRIM('Raw Data'!E138))=0),"",IF(AND(ISNUMBER('Raw Data'!E138), IFERROR('Raw Data'!E138 = ROUND('Raw Data'!E138, 2),FALSE)),"",_xlfn.REGEXEXTRACT(CELL("address",E138), "\$([A-Z]+)\$[0-9]+"))),_xlfn.REGEXEXTRACT(CELL("address",E138), "\$([A-Z]+)\$[0-9]+"))</f>
        <v/>
      </c>
      <c r="F138" s="7" t="str" cm="1">
        <f t="array" aca="1" ref="F138" ca="1">IFERROR(IF(OR('Raw Data'!F138="",LEN(TRIM('Raw Data'!F138))=0),"",IF(AND(ISNUMBER('Raw Data'!F138), IFERROR('Raw Data'!F138 = ROUND('Raw Data'!F138, 2),FALSE)),"",_xlfn.REGEXEXTRACT(CELL("address",F138), "\$([A-Z]+)\$[0-9]+"))),_xlfn.REGEXEXTRACT(CELL("address",F138), "\$([A-Z]+)\$[0-9]+"))</f>
        <v/>
      </c>
      <c r="G138" s="7" t="str" cm="1">
        <f t="array" aca="1" ref="G138" ca="1">IFERROR(IF(OR('Raw Data'!G138="",LEN(TRIM('Raw Data'!G138))=0),"",IF(AND(ISNUMBER('Raw Data'!G138), IFERROR('Raw Data'!G138 = ROUND('Raw Data'!G138, 2),FALSE)),"",_xlfn.REGEXEXTRACT(CELL("address",G138), "\$([A-Z]+)\$[0-9]+"))),_xlfn.REGEXEXTRACT(CELL("address",G138), "\$([A-Z]+)\$[0-9]+"))</f>
        <v/>
      </c>
      <c r="H138" s="7" t="str" cm="1">
        <f t="array" aca="1" ref="H138" ca="1">IFERROR(IF(OR('Raw Data'!H138="",LEN(TRIM('Raw Data'!H138))=0),"",IF(AND(ISNUMBER('Raw Data'!H138), IFERROR('Raw Data'!H138 = ROUND('Raw Data'!H138, 2),FALSE)),"",_xlfn.REGEXEXTRACT(CELL("address",H138), "\$([A-Z]+)\$[0-9]+"))),_xlfn.REGEXEXTRACT(CELL("address",H138), "\$([A-Z]+)\$[0-9]+"))</f>
        <v/>
      </c>
      <c r="I138" s="7" t="str" cm="1">
        <f t="array" aca="1" ref="I138" ca="1">IFERROR(IF(OR('Raw Data'!I138="",LEN(TRIM('Raw Data'!I138))=0),"",IF(AND(ISNUMBER('Raw Data'!I138), IFERROR('Raw Data'!I138 = ROUND('Raw Data'!I138, 2),FALSE)),"",_xlfn.REGEXEXTRACT(CELL("address",I138), "\$([A-Z]+)\$[0-9]+"))),_xlfn.REGEXEXTRACT(CELL("address",I138), "\$([A-Z]+)\$[0-9]+"))</f>
        <v/>
      </c>
      <c r="J138" s="7" t="str" cm="1">
        <f t="array" aca="1" ref="J138" ca="1">IFERROR(IF(OR('Raw Data'!J138="",LEN(TRIM('Raw Data'!J138))=0),"",IF(AND(ISNUMBER('Raw Data'!J138), IFERROR('Raw Data'!J138 = ROUND('Raw Data'!J138, 2),FALSE)),"",_xlfn.REGEXEXTRACT(CELL("address",J138), "\$([A-Z]+)\$[0-9]+"))),_xlfn.REGEXEXTRACT(CELL("address",J138), "\$([A-Z]+)\$[0-9]+"))</f>
        <v/>
      </c>
      <c r="K138" s="7" t="str" cm="1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7" t="str" cm="1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7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7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7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7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 cm="1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7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7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7" t="str" cm="1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7" t="str" cm="1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  <c r="Z138" s="7" t="str" cm="1">
        <f t="array" aca="1" ref="Z138" ca="1">IFERROR(IF(OR('Raw Data'!Z138="",LEN(TRIM('Raw Data'!Z138))=0),"",IF(AND(ISNUMBER('Raw Data'!Z138), IFERROR('Raw Data'!Z138 = ROUND('Raw Data'!Z138, 2),FALSE)),"",_xlfn.REGEXEXTRACT(CELL("address",Z138), "\$([A-Z]+)\$[0-9]+"))),_xlfn.REGEXEXTRACT(CELL("address",Z138), "\$([A-Z]+)\$[0-9]+"))</f>
        <v/>
      </c>
      <c r="AA138" s="7" t="str" cm="1">
        <f t="array" aca="1" ref="AA138" ca="1">IFERROR(IF(OR('Raw Data'!AA138="",LEN(TRIM('Raw Data'!AA138))=0),"",IF(AND(ISNUMBER('Raw Data'!AA138), IFERROR('Raw Data'!AA138 = ROUND('Raw Data'!AA138, 2),FALSE)),"",_xlfn.REGEXEXTRACT(CELL("address",AA138), "\$([A-Z]+)\$[0-9]+"))),_xlfn.REGEXEXTRACT(CELL("address",AA138), "\$([A-Z]+)\$[0-9]+"))</f>
        <v/>
      </c>
      <c r="AB138" s="7" t="str" cm="1">
        <f t="array" aca="1" ref="AB138" ca="1">IFERROR(IF(OR('Raw Data'!AB138="",LEN(TRIM('Raw Data'!AB138))=0),"",IF(AND(ISNUMBER('Raw Data'!AB138), IFERROR('Raw Data'!AB138 = ROUND('Raw Data'!AB138, 2),FALSE)),"",_xlfn.REGEXEXTRACT(CELL("address",AB138), "\$([A-Z]+)\$[0-9]+"))),_xlfn.REGEXEXTRACT(CELL("address",AB138), "\$([A-Z]+)\$[0-9]+"))</f>
        <v/>
      </c>
      <c r="AC138" s="7" t="str" cm="1">
        <f t="array" aca="1" ref="AC138" ca="1">IFERROR(IF(OR('Raw Data'!AC138="",LEN(TRIM('Raw Data'!AC138))=0),"",IF(AND(ISNUMBER('Raw Data'!AC138), IFERROR('Raw Data'!AC138 = ROUND('Raw Data'!AC138, 2),FALSE)),"",_xlfn.REGEXEXTRACT(CELL("address",AC138), "\$([A-Z]+)\$[0-9]+"))),_xlfn.REGEXEXTRACT(CELL("address",AC138), "\$([A-Z]+)\$[0-9]+"))</f>
        <v/>
      </c>
      <c r="AD138" s="7" t="str" cm="1">
        <f t="array" aca="1" ref="AD138" ca="1">IFERROR(IF(OR('Raw Data'!AD138="",LEN(TRIM('Raw Data'!AD138))=0),"",IF(AND(ISNUMBER('Raw Data'!AD138), IFERROR('Raw Data'!AD138 = ROUND('Raw Data'!AD138, 2),FALSE)),"",_xlfn.REGEXEXTRACT(CELL("address",AD138), "\$([A-Z]+)\$[0-9]+"))),_xlfn.REGEXEXTRACT(CELL("address",AD138), "\$([A-Z]+)\$[0-9]+"))</f>
        <v/>
      </c>
      <c r="AE138" s="7" t="str" cm="1">
        <f t="array" aca="1" ref="AE138" ca="1">IFERROR(IF(OR('Raw Data'!AE138="",LEN(TRIM('Raw Data'!AE138))=0),"",IF(AND(ISNUMBER('Raw Data'!AE138), IFERROR('Raw Data'!AE138 = ROUND('Raw Data'!AE138, 2),FALSE)),"",_xlfn.REGEXEXTRACT(CELL("address",AE138), "\$([A-Z]+)\$[0-9]+"))),_xlfn.REGEXEXTRACT(CELL("address",AE138), "\$([A-Z]+)\$[0-9]+"))</f>
        <v/>
      </c>
      <c r="AF138" s="7" t="str" cm="1">
        <f t="array" aca="1" ref="AF138" ca="1">IFERROR(IF(OR('Raw Data'!AF138="",LEN(TRIM('Raw Data'!AF138))=0),"",IF(AND(ISNUMBER('Raw Data'!AF138), IFERROR('Raw Data'!AF138 = ROUND('Raw Data'!AF138, 2),FALSE)),"",_xlfn.REGEXEXTRACT(CELL("address",AF138), "\$([A-Z]+)\$[0-9]+"))),_xlfn.REGEXEXTRACT(CELL("address",AF138), "\$([A-Z]+)\$[0-9]+"))</f>
        <v/>
      </c>
      <c r="AG138" s="7" t="str" cm="1">
        <f t="array" aca="1" ref="AG138" ca="1">IFERROR(IF(OR('Raw Data'!AG138="",LEN(TRIM('Raw Data'!AG138))=0),"",IF(AND(ISNUMBER('Raw Data'!AG138), IFERROR('Raw Data'!AG138 = ROUND('Raw Data'!AG138, 2),FALSE)),"",_xlfn.REGEXEXTRACT(CELL("address",AG138), "\$([A-Z]+)\$[0-9]+"))),_xlfn.REGEXEXTRACT(CELL("address",AG138), "\$([A-Z]+)\$[0-9]+"))</f>
        <v/>
      </c>
      <c r="AH138" s="7" t="str" cm="1">
        <f t="array" aca="1" ref="AH138" ca="1">IFERROR(IF(OR('Raw Data'!AH138="",LEN(TRIM('Raw Data'!AH138))=0),"",IF(AND(ISNUMBER('Raw Data'!AH138), IFERROR('Raw Data'!AH138 = ROUND('Raw Data'!AH138, 2),FALSE)),"",_xlfn.REGEXEXTRACT(CELL("address",AH138), "\$([A-Z]+)\$[0-9]+"))),_xlfn.REGEXEXTRACT(CELL("address",AH138), "\$([A-Z]+)\$[0-9]+"))</f>
        <v/>
      </c>
      <c r="AI138" s="7" t="str" cm="1">
        <f t="array" aca="1" ref="AI138" ca="1">IFERROR(IF(OR('Raw Data'!AI138="",LEN(TRIM('Raw Data'!AI138))=0),"",IF(AND(ISNUMBER('Raw Data'!AI138), IFERROR('Raw Data'!AI138 = ROUND('Raw Data'!AI138, 2),FALSE)),"",_xlfn.REGEXEXTRACT(CELL("address",AI138), "\$([A-Z]+)\$[0-9]+"))),_xlfn.REGEXEXTRACT(CELL("address",AI138), "\$([A-Z]+)\$[0-9]+"))</f>
        <v/>
      </c>
      <c r="AJ138" s="7" t="str" cm="1">
        <f t="array" aca="1" ref="AJ138" ca="1">IFERROR(IF(OR('Raw Data'!AJ138="",LEN(TRIM('Raw Data'!AJ138))=0),"",IF(AND(ISNUMBER('Raw Data'!AJ138), IFERROR('Raw Data'!AJ138 = ROUND('Raw Data'!AJ138, 2),FALSE)),"",_xlfn.REGEXEXTRACT(CELL("address",AJ138), "\$([A-Z]+)\$[0-9]+"))),_xlfn.REGEXEXTRACT(CELL("address",AJ138), "\$([A-Z]+)\$[0-9]+"))</f>
        <v/>
      </c>
    </row>
    <row r="139" spans="2:36" x14ac:dyDescent="0.25">
      <c r="B139" s="7" t="str" cm="1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20,LEN('Raw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Data'!D139))=0),"",IF(AND(ISNUMBER('Raw Data'!D139),'Raw Data'!D139&gt;=Configuration!$D$2),"",_xlfn.REGEXEXTRACT(CELL("address",'Raw Data'!D139),"\$([A-Z]+)\$[0-9]+"))),_xlfn.REGEXEXTRACT(CELL("address",D139), "\$([A-Z]+)\$[0-9]+"))</f>
        <v/>
      </c>
      <c r="E139" s="7" t="str" cm="1">
        <f t="array" aca="1" ref="E139" ca="1">IFERROR(IF(OR('Raw Data'!E139="",LEN(TRIM('Raw Data'!E139))=0),"",IF(AND(ISNUMBER('Raw Data'!E139), IFERROR('Raw Data'!E139 = ROUND('Raw Data'!E139, 2),FALSE)),"",_xlfn.REGEXEXTRACT(CELL("address",E139), "\$([A-Z]+)\$[0-9]+"))),_xlfn.REGEXEXTRACT(CELL("address",E139), "\$([A-Z]+)\$[0-9]+"))</f>
        <v/>
      </c>
      <c r="F139" s="7" t="str" cm="1">
        <f t="array" aca="1" ref="F139" ca="1">IFERROR(IF(OR('Raw Data'!F139="",LEN(TRIM('Raw Data'!F139))=0),"",IF(AND(ISNUMBER('Raw Data'!F139), IFERROR('Raw Data'!F139 = ROUND('Raw Data'!F139, 2),FALSE)),"",_xlfn.REGEXEXTRACT(CELL("address",F139), "\$([A-Z]+)\$[0-9]+"))),_xlfn.REGEXEXTRACT(CELL("address",F139), "\$([A-Z]+)\$[0-9]+"))</f>
        <v/>
      </c>
      <c r="G139" s="7" t="str" cm="1">
        <f t="array" aca="1" ref="G139" ca="1">IFERROR(IF(OR('Raw Data'!G139="",LEN(TRIM('Raw Data'!G139))=0),"",IF(AND(ISNUMBER('Raw Data'!G139), IFERROR('Raw Data'!G139 = ROUND('Raw Data'!G139, 2),FALSE)),"",_xlfn.REGEXEXTRACT(CELL("address",G139), "\$([A-Z]+)\$[0-9]+"))),_xlfn.REGEXEXTRACT(CELL("address",G139), "\$([A-Z]+)\$[0-9]+"))</f>
        <v/>
      </c>
      <c r="H139" s="7" t="str" cm="1">
        <f t="array" aca="1" ref="H139" ca="1">IFERROR(IF(OR('Raw Data'!H139="",LEN(TRIM('Raw Data'!H139))=0),"",IF(AND(ISNUMBER('Raw Data'!H139), IFERROR('Raw Data'!H139 = ROUND('Raw Data'!H139, 2),FALSE)),"",_xlfn.REGEXEXTRACT(CELL("address",H139), "\$([A-Z]+)\$[0-9]+"))),_xlfn.REGEXEXTRACT(CELL("address",H139), "\$([A-Z]+)\$[0-9]+"))</f>
        <v/>
      </c>
      <c r="I139" s="7" t="str" cm="1">
        <f t="array" aca="1" ref="I139" ca="1">IFERROR(IF(OR('Raw Data'!I139="",LEN(TRIM('Raw Data'!I139))=0),"",IF(AND(ISNUMBER('Raw Data'!I139), IFERROR('Raw Data'!I139 = ROUND('Raw Data'!I139, 2),FALSE)),"",_xlfn.REGEXEXTRACT(CELL("address",I139), "\$([A-Z]+)\$[0-9]+"))),_xlfn.REGEXEXTRACT(CELL("address",I139), "\$([A-Z]+)\$[0-9]+"))</f>
        <v/>
      </c>
      <c r="J139" s="7" t="str" cm="1">
        <f t="array" aca="1" ref="J139" ca="1">IFERROR(IF(OR('Raw Data'!J139="",LEN(TRIM('Raw Data'!J139))=0),"",IF(AND(ISNUMBER('Raw Data'!J139), IFERROR('Raw Data'!J139 = ROUND('Raw Data'!J139, 2),FALSE)),"",_xlfn.REGEXEXTRACT(CELL("address",J139), "\$([A-Z]+)\$[0-9]+"))),_xlfn.REGEXEXTRACT(CELL("address",J139), "\$([A-Z]+)\$[0-9]+"))</f>
        <v/>
      </c>
      <c r="K139" s="7" t="str" cm="1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7" t="str" cm="1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7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7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7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7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 cm="1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7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7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7" t="str" cm="1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7" t="str" cm="1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  <c r="Z139" s="7" t="str" cm="1">
        <f t="array" aca="1" ref="Z139" ca="1">IFERROR(IF(OR('Raw Data'!Z139="",LEN(TRIM('Raw Data'!Z139))=0),"",IF(AND(ISNUMBER('Raw Data'!Z139), IFERROR('Raw Data'!Z139 = ROUND('Raw Data'!Z139, 2),FALSE)),"",_xlfn.REGEXEXTRACT(CELL("address",Z139), "\$([A-Z]+)\$[0-9]+"))),_xlfn.REGEXEXTRACT(CELL("address",Z139), "\$([A-Z]+)\$[0-9]+"))</f>
        <v/>
      </c>
      <c r="AA139" s="7" t="str" cm="1">
        <f t="array" aca="1" ref="AA139" ca="1">IFERROR(IF(OR('Raw Data'!AA139="",LEN(TRIM('Raw Data'!AA139))=0),"",IF(AND(ISNUMBER('Raw Data'!AA139), IFERROR('Raw Data'!AA139 = ROUND('Raw Data'!AA139, 2),FALSE)),"",_xlfn.REGEXEXTRACT(CELL("address",AA139), "\$([A-Z]+)\$[0-9]+"))),_xlfn.REGEXEXTRACT(CELL("address",AA139), "\$([A-Z]+)\$[0-9]+"))</f>
        <v/>
      </c>
      <c r="AB139" s="7" t="str" cm="1">
        <f t="array" aca="1" ref="AB139" ca="1">IFERROR(IF(OR('Raw Data'!AB139="",LEN(TRIM('Raw Data'!AB139))=0),"",IF(AND(ISNUMBER('Raw Data'!AB139), IFERROR('Raw Data'!AB139 = ROUND('Raw Data'!AB139, 2),FALSE)),"",_xlfn.REGEXEXTRACT(CELL("address",AB139), "\$([A-Z]+)\$[0-9]+"))),_xlfn.REGEXEXTRACT(CELL("address",AB139), "\$([A-Z]+)\$[0-9]+"))</f>
        <v/>
      </c>
      <c r="AC139" s="7" t="str" cm="1">
        <f t="array" aca="1" ref="AC139" ca="1">IFERROR(IF(OR('Raw Data'!AC139="",LEN(TRIM('Raw Data'!AC139))=0),"",IF(AND(ISNUMBER('Raw Data'!AC139), IFERROR('Raw Data'!AC139 = ROUND('Raw Data'!AC139, 2),FALSE)),"",_xlfn.REGEXEXTRACT(CELL("address",AC139), "\$([A-Z]+)\$[0-9]+"))),_xlfn.REGEXEXTRACT(CELL("address",AC139), "\$([A-Z]+)\$[0-9]+"))</f>
        <v/>
      </c>
      <c r="AD139" s="7" t="str" cm="1">
        <f t="array" aca="1" ref="AD139" ca="1">IFERROR(IF(OR('Raw Data'!AD139="",LEN(TRIM('Raw Data'!AD139))=0),"",IF(AND(ISNUMBER('Raw Data'!AD139), IFERROR('Raw Data'!AD139 = ROUND('Raw Data'!AD139, 2),FALSE)),"",_xlfn.REGEXEXTRACT(CELL("address",AD139), "\$([A-Z]+)\$[0-9]+"))),_xlfn.REGEXEXTRACT(CELL("address",AD139), "\$([A-Z]+)\$[0-9]+"))</f>
        <v/>
      </c>
      <c r="AE139" s="7" t="str" cm="1">
        <f t="array" aca="1" ref="AE139" ca="1">IFERROR(IF(OR('Raw Data'!AE139="",LEN(TRIM('Raw Data'!AE139))=0),"",IF(AND(ISNUMBER('Raw Data'!AE139), IFERROR('Raw Data'!AE139 = ROUND('Raw Data'!AE139, 2),FALSE)),"",_xlfn.REGEXEXTRACT(CELL("address",AE139), "\$([A-Z]+)\$[0-9]+"))),_xlfn.REGEXEXTRACT(CELL("address",AE139), "\$([A-Z]+)\$[0-9]+"))</f>
        <v/>
      </c>
      <c r="AF139" s="7" t="str" cm="1">
        <f t="array" aca="1" ref="AF139" ca="1">IFERROR(IF(OR('Raw Data'!AF139="",LEN(TRIM('Raw Data'!AF139))=0),"",IF(AND(ISNUMBER('Raw Data'!AF139), IFERROR('Raw Data'!AF139 = ROUND('Raw Data'!AF139, 2),FALSE)),"",_xlfn.REGEXEXTRACT(CELL("address",AF139), "\$([A-Z]+)\$[0-9]+"))),_xlfn.REGEXEXTRACT(CELL("address",AF139), "\$([A-Z]+)\$[0-9]+"))</f>
        <v/>
      </c>
      <c r="AG139" s="7" t="str" cm="1">
        <f t="array" aca="1" ref="AG139" ca="1">IFERROR(IF(OR('Raw Data'!AG139="",LEN(TRIM('Raw Data'!AG139))=0),"",IF(AND(ISNUMBER('Raw Data'!AG139), IFERROR('Raw Data'!AG139 = ROUND('Raw Data'!AG139, 2),FALSE)),"",_xlfn.REGEXEXTRACT(CELL("address",AG139), "\$([A-Z]+)\$[0-9]+"))),_xlfn.REGEXEXTRACT(CELL("address",AG139), "\$([A-Z]+)\$[0-9]+"))</f>
        <v/>
      </c>
      <c r="AH139" s="7" t="str" cm="1">
        <f t="array" aca="1" ref="AH139" ca="1">IFERROR(IF(OR('Raw Data'!AH139="",LEN(TRIM('Raw Data'!AH139))=0),"",IF(AND(ISNUMBER('Raw Data'!AH139), IFERROR('Raw Data'!AH139 = ROUND('Raw Data'!AH139, 2),FALSE)),"",_xlfn.REGEXEXTRACT(CELL("address",AH139), "\$([A-Z]+)\$[0-9]+"))),_xlfn.REGEXEXTRACT(CELL("address",AH139), "\$([A-Z]+)\$[0-9]+"))</f>
        <v/>
      </c>
      <c r="AI139" s="7" t="str" cm="1">
        <f t="array" aca="1" ref="AI139" ca="1">IFERROR(IF(OR('Raw Data'!AI139="",LEN(TRIM('Raw Data'!AI139))=0),"",IF(AND(ISNUMBER('Raw Data'!AI139), IFERROR('Raw Data'!AI139 = ROUND('Raw Data'!AI139, 2),FALSE)),"",_xlfn.REGEXEXTRACT(CELL("address",AI139), "\$([A-Z]+)\$[0-9]+"))),_xlfn.REGEXEXTRACT(CELL("address",AI139), "\$([A-Z]+)\$[0-9]+"))</f>
        <v/>
      </c>
      <c r="AJ139" s="7" t="str" cm="1">
        <f t="array" aca="1" ref="AJ139" ca="1">IFERROR(IF(OR('Raw Data'!AJ139="",LEN(TRIM('Raw Data'!AJ139))=0),"",IF(AND(ISNUMBER('Raw Data'!AJ139), IFERROR('Raw Data'!AJ139 = ROUND('Raw Data'!AJ139, 2),FALSE)),"",_xlfn.REGEXEXTRACT(CELL("address",AJ139), "\$([A-Z]+)\$[0-9]+"))),_xlfn.REGEXEXTRACT(CELL("address",AJ139), "\$([A-Z]+)\$[0-9]+"))</f>
        <v/>
      </c>
    </row>
    <row r="140" spans="2:36" x14ac:dyDescent="0.25">
      <c r="B140" s="7" t="str" cm="1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20,LEN('Raw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Data'!D140))=0),"",IF(AND(ISNUMBER('Raw Data'!D140),'Raw Data'!D140&gt;=Configuration!$D$2),"",_xlfn.REGEXEXTRACT(CELL("address",'Raw Data'!D140),"\$([A-Z]+)\$[0-9]+"))),_xlfn.REGEXEXTRACT(CELL("address",D140), "\$([A-Z]+)\$[0-9]+"))</f>
        <v/>
      </c>
      <c r="E140" s="7" t="str" cm="1">
        <f t="array" aca="1" ref="E140" ca="1">IFERROR(IF(OR('Raw Data'!E140="",LEN(TRIM('Raw Data'!E140))=0),"",IF(AND(ISNUMBER('Raw Data'!E140), IFERROR('Raw Data'!E140 = ROUND('Raw Data'!E140, 2),FALSE)),"",_xlfn.REGEXEXTRACT(CELL("address",E140), "\$([A-Z]+)\$[0-9]+"))),_xlfn.REGEXEXTRACT(CELL("address",E140), "\$([A-Z]+)\$[0-9]+"))</f>
        <v/>
      </c>
      <c r="F140" s="7" t="str" cm="1">
        <f t="array" aca="1" ref="F140" ca="1">IFERROR(IF(OR('Raw Data'!F140="",LEN(TRIM('Raw Data'!F140))=0),"",IF(AND(ISNUMBER('Raw Data'!F140), IFERROR('Raw Data'!F140 = ROUND('Raw Data'!F140, 2),FALSE)),"",_xlfn.REGEXEXTRACT(CELL("address",F140), "\$([A-Z]+)\$[0-9]+"))),_xlfn.REGEXEXTRACT(CELL("address",F140), "\$([A-Z]+)\$[0-9]+"))</f>
        <v/>
      </c>
      <c r="G140" s="7" t="str" cm="1">
        <f t="array" aca="1" ref="G140" ca="1">IFERROR(IF(OR('Raw Data'!G140="",LEN(TRIM('Raw Data'!G140))=0),"",IF(AND(ISNUMBER('Raw Data'!G140), IFERROR('Raw Data'!G140 = ROUND('Raw Data'!G140, 2),FALSE)),"",_xlfn.REGEXEXTRACT(CELL("address",G140), "\$([A-Z]+)\$[0-9]+"))),_xlfn.REGEXEXTRACT(CELL("address",G140), "\$([A-Z]+)\$[0-9]+"))</f>
        <v/>
      </c>
      <c r="H140" s="7" t="str" cm="1">
        <f t="array" aca="1" ref="H140" ca="1">IFERROR(IF(OR('Raw Data'!H140="",LEN(TRIM('Raw Data'!H140))=0),"",IF(AND(ISNUMBER('Raw Data'!H140), IFERROR('Raw Data'!H140 = ROUND('Raw Data'!H140, 2),FALSE)),"",_xlfn.REGEXEXTRACT(CELL("address",H140), "\$([A-Z]+)\$[0-9]+"))),_xlfn.REGEXEXTRACT(CELL("address",H140), "\$([A-Z]+)\$[0-9]+"))</f>
        <v/>
      </c>
      <c r="I140" s="7" t="str" cm="1">
        <f t="array" aca="1" ref="I140" ca="1">IFERROR(IF(OR('Raw Data'!I140="",LEN(TRIM('Raw Data'!I140))=0),"",IF(AND(ISNUMBER('Raw Data'!I140), IFERROR('Raw Data'!I140 = ROUND('Raw Data'!I140, 2),FALSE)),"",_xlfn.REGEXEXTRACT(CELL("address",I140), "\$([A-Z]+)\$[0-9]+"))),_xlfn.REGEXEXTRACT(CELL("address",I140), "\$([A-Z]+)\$[0-9]+"))</f>
        <v/>
      </c>
      <c r="J140" s="7" t="str" cm="1">
        <f t="array" aca="1" ref="J140" ca="1">IFERROR(IF(OR('Raw Data'!J140="",LEN(TRIM('Raw Data'!J140))=0),"",IF(AND(ISNUMBER('Raw Data'!J140), IFERROR('Raw Data'!J140 = ROUND('Raw Data'!J140, 2),FALSE)),"",_xlfn.REGEXEXTRACT(CELL("address",J140), "\$([A-Z]+)\$[0-9]+"))),_xlfn.REGEXEXTRACT(CELL("address",J140), "\$([A-Z]+)\$[0-9]+"))</f>
        <v/>
      </c>
      <c r="K140" s="7" t="str" cm="1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7" t="str" cm="1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7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7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7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7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 cm="1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7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7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7" t="str" cm="1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7" t="str" cm="1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  <c r="Z140" s="7" t="str" cm="1">
        <f t="array" aca="1" ref="Z140" ca="1">IFERROR(IF(OR('Raw Data'!Z140="",LEN(TRIM('Raw Data'!Z140))=0),"",IF(AND(ISNUMBER('Raw Data'!Z140), IFERROR('Raw Data'!Z140 = ROUND('Raw Data'!Z140, 2),FALSE)),"",_xlfn.REGEXEXTRACT(CELL("address",Z140), "\$([A-Z]+)\$[0-9]+"))),_xlfn.REGEXEXTRACT(CELL("address",Z140), "\$([A-Z]+)\$[0-9]+"))</f>
        <v/>
      </c>
      <c r="AA140" s="7" t="str" cm="1">
        <f t="array" aca="1" ref="AA140" ca="1">IFERROR(IF(OR('Raw Data'!AA140="",LEN(TRIM('Raw Data'!AA140))=0),"",IF(AND(ISNUMBER('Raw Data'!AA140), IFERROR('Raw Data'!AA140 = ROUND('Raw Data'!AA140, 2),FALSE)),"",_xlfn.REGEXEXTRACT(CELL("address",AA140), "\$([A-Z]+)\$[0-9]+"))),_xlfn.REGEXEXTRACT(CELL("address",AA140), "\$([A-Z]+)\$[0-9]+"))</f>
        <v/>
      </c>
      <c r="AB140" s="7" t="str" cm="1">
        <f t="array" aca="1" ref="AB140" ca="1">IFERROR(IF(OR('Raw Data'!AB140="",LEN(TRIM('Raw Data'!AB140))=0),"",IF(AND(ISNUMBER('Raw Data'!AB140), IFERROR('Raw Data'!AB140 = ROUND('Raw Data'!AB140, 2),FALSE)),"",_xlfn.REGEXEXTRACT(CELL("address",AB140), "\$([A-Z]+)\$[0-9]+"))),_xlfn.REGEXEXTRACT(CELL("address",AB140), "\$([A-Z]+)\$[0-9]+"))</f>
        <v/>
      </c>
      <c r="AC140" s="7" t="str" cm="1">
        <f t="array" aca="1" ref="AC140" ca="1">IFERROR(IF(OR('Raw Data'!AC140="",LEN(TRIM('Raw Data'!AC140))=0),"",IF(AND(ISNUMBER('Raw Data'!AC140), IFERROR('Raw Data'!AC140 = ROUND('Raw Data'!AC140, 2),FALSE)),"",_xlfn.REGEXEXTRACT(CELL("address",AC140), "\$([A-Z]+)\$[0-9]+"))),_xlfn.REGEXEXTRACT(CELL("address",AC140), "\$([A-Z]+)\$[0-9]+"))</f>
        <v/>
      </c>
      <c r="AD140" s="7" t="str" cm="1">
        <f t="array" aca="1" ref="AD140" ca="1">IFERROR(IF(OR('Raw Data'!AD140="",LEN(TRIM('Raw Data'!AD140))=0),"",IF(AND(ISNUMBER('Raw Data'!AD140), IFERROR('Raw Data'!AD140 = ROUND('Raw Data'!AD140, 2),FALSE)),"",_xlfn.REGEXEXTRACT(CELL("address",AD140), "\$([A-Z]+)\$[0-9]+"))),_xlfn.REGEXEXTRACT(CELL("address",AD140), "\$([A-Z]+)\$[0-9]+"))</f>
        <v/>
      </c>
      <c r="AE140" s="7" t="str" cm="1">
        <f t="array" aca="1" ref="AE140" ca="1">IFERROR(IF(OR('Raw Data'!AE140="",LEN(TRIM('Raw Data'!AE140))=0),"",IF(AND(ISNUMBER('Raw Data'!AE140), IFERROR('Raw Data'!AE140 = ROUND('Raw Data'!AE140, 2),FALSE)),"",_xlfn.REGEXEXTRACT(CELL("address",AE140), "\$([A-Z]+)\$[0-9]+"))),_xlfn.REGEXEXTRACT(CELL("address",AE140), "\$([A-Z]+)\$[0-9]+"))</f>
        <v/>
      </c>
      <c r="AF140" s="7" t="str" cm="1">
        <f t="array" aca="1" ref="AF140" ca="1">IFERROR(IF(OR('Raw Data'!AF140="",LEN(TRIM('Raw Data'!AF140))=0),"",IF(AND(ISNUMBER('Raw Data'!AF140), IFERROR('Raw Data'!AF140 = ROUND('Raw Data'!AF140, 2),FALSE)),"",_xlfn.REGEXEXTRACT(CELL("address",AF140), "\$([A-Z]+)\$[0-9]+"))),_xlfn.REGEXEXTRACT(CELL("address",AF140), "\$([A-Z]+)\$[0-9]+"))</f>
        <v/>
      </c>
      <c r="AG140" s="7" t="str" cm="1">
        <f t="array" aca="1" ref="AG140" ca="1">IFERROR(IF(OR('Raw Data'!AG140="",LEN(TRIM('Raw Data'!AG140))=0),"",IF(AND(ISNUMBER('Raw Data'!AG140), IFERROR('Raw Data'!AG140 = ROUND('Raw Data'!AG140, 2),FALSE)),"",_xlfn.REGEXEXTRACT(CELL("address",AG140), "\$([A-Z]+)\$[0-9]+"))),_xlfn.REGEXEXTRACT(CELL("address",AG140), "\$([A-Z]+)\$[0-9]+"))</f>
        <v/>
      </c>
      <c r="AH140" s="7" t="str" cm="1">
        <f t="array" aca="1" ref="AH140" ca="1">IFERROR(IF(OR('Raw Data'!AH140="",LEN(TRIM('Raw Data'!AH140))=0),"",IF(AND(ISNUMBER('Raw Data'!AH140), IFERROR('Raw Data'!AH140 = ROUND('Raw Data'!AH140, 2),FALSE)),"",_xlfn.REGEXEXTRACT(CELL("address",AH140), "\$([A-Z]+)\$[0-9]+"))),_xlfn.REGEXEXTRACT(CELL("address",AH140), "\$([A-Z]+)\$[0-9]+"))</f>
        <v/>
      </c>
      <c r="AI140" s="7" t="str" cm="1">
        <f t="array" aca="1" ref="AI140" ca="1">IFERROR(IF(OR('Raw Data'!AI140="",LEN(TRIM('Raw Data'!AI140))=0),"",IF(AND(ISNUMBER('Raw Data'!AI140), IFERROR('Raw Data'!AI140 = ROUND('Raw Data'!AI140, 2),FALSE)),"",_xlfn.REGEXEXTRACT(CELL("address",AI140), "\$([A-Z]+)\$[0-9]+"))),_xlfn.REGEXEXTRACT(CELL("address",AI140), "\$([A-Z]+)\$[0-9]+"))</f>
        <v/>
      </c>
      <c r="AJ140" s="7" t="str" cm="1">
        <f t="array" aca="1" ref="AJ140" ca="1">IFERROR(IF(OR('Raw Data'!AJ140="",LEN(TRIM('Raw Data'!AJ140))=0),"",IF(AND(ISNUMBER('Raw Data'!AJ140), IFERROR('Raw Data'!AJ140 = ROUND('Raw Data'!AJ140, 2),FALSE)),"",_xlfn.REGEXEXTRACT(CELL("address",AJ140), "\$([A-Z]+)\$[0-9]+"))),_xlfn.REGEXEXTRACT(CELL("address",AJ140), "\$([A-Z]+)\$[0-9]+"))</f>
        <v/>
      </c>
    </row>
    <row r="141" spans="2:36" x14ac:dyDescent="0.25">
      <c r="B141" s="7" t="str" cm="1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20,LEN('Raw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Data'!D141))=0),"",IF(AND(ISNUMBER('Raw Data'!D141),'Raw Data'!D141&gt;=Configuration!$D$2),"",_xlfn.REGEXEXTRACT(CELL("address",'Raw Data'!D141),"\$([A-Z]+)\$[0-9]+"))),_xlfn.REGEXEXTRACT(CELL("address",D141), "\$([A-Z]+)\$[0-9]+"))</f>
        <v/>
      </c>
      <c r="E141" s="7" t="str" cm="1">
        <f t="array" aca="1" ref="E141" ca="1">IFERROR(IF(OR('Raw Data'!E141="",LEN(TRIM('Raw Data'!E141))=0),"",IF(AND(ISNUMBER('Raw Data'!E141), IFERROR('Raw Data'!E141 = ROUND('Raw Data'!E141, 2),FALSE)),"",_xlfn.REGEXEXTRACT(CELL("address",E141), "\$([A-Z]+)\$[0-9]+"))),_xlfn.REGEXEXTRACT(CELL("address",E141), "\$([A-Z]+)\$[0-9]+"))</f>
        <v/>
      </c>
      <c r="F141" s="7" t="str" cm="1">
        <f t="array" aca="1" ref="F141" ca="1">IFERROR(IF(OR('Raw Data'!F141="",LEN(TRIM('Raw Data'!F141))=0),"",IF(AND(ISNUMBER('Raw Data'!F141), IFERROR('Raw Data'!F141 = ROUND('Raw Data'!F141, 2),FALSE)),"",_xlfn.REGEXEXTRACT(CELL("address",F141), "\$([A-Z]+)\$[0-9]+"))),_xlfn.REGEXEXTRACT(CELL("address",F141), "\$([A-Z]+)\$[0-9]+"))</f>
        <v/>
      </c>
      <c r="G141" s="7" t="str" cm="1">
        <f t="array" aca="1" ref="G141" ca="1">IFERROR(IF(OR('Raw Data'!G141="",LEN(TRIM('Raw Data'!G141))=0),"",IF(AND(ISNUMBER('Raw Data'!G141), IFERROR('Raw Data'!G141 = ROUND('Raw Data'!G141, 2),FALSE)),"",_xlfn.REGEXEXTRACT(CELL("address",G141), "\$([A-Z]+)\$[0-9]+"))),_xlfn.REGEXEXTRACT(CELL("address",G141), "\$([A-Z]+)\$[0-9]+"))</f>
        <v/>
      </c>
      <c r="H141" s="7" t="str" cm="1">
        <f t="array" aca="1" ref="H141" ca="1">IFERROR(IF(OR('Raw Data'!H141="",LEN(TRIM('Raw Data'!H141))=0),"",IF(AND(ISNUMBER('Raw Data'!H141), IFERROR('Raw Data'!H141 = ROUND('Raw Data'!H141, 2),FALSE)),"",_xlfn.REGEXEXTRACT(CELL("address",H141), "\$([A-Z]+)\$[0-9]+"))),_xlfn.REGEXEXTRACT(CELL("address",H141), "\$([A-Z]+)\$[0-9]+"))</f>
        <v/>
      </c>
      <c r="I141" s="7" t="str" cm="1">
        <f t="array" aca="1" ref="I141" ca="1">IFERROR(IF(OR('Raw Data'!I141="",LEN(TRIM('Raw Data'!I141))=0),"",IF(AND(ISNUMBER('Raw Data'!I141), IFERROR('Raw Data'!I141 = ROUND('Raw Data'!I141, 2),FALSE)),"",_xlfn.REGEXEXTRACT(CELL("address",I141), "\$([A-Z]+)\$[0-9]+"))),_xlfn.REGEXEXTRACT(CELL("address",I141), "\$([A-Z]+)\$[0-9]+"))</f>
        <v/>
      </c>
      <c r="J141" s="7" t="str" cm="1">
        <f t="array" aca="1" ref="J141" ca="1">IFERROR(IF(OR('Raw Data'!J141="",LEN(TRIM('Raw Data'!J141))=0),"",IF(AND(ISNUMBER('Raw Data'!J141), IFERROR('Raw Data'!J141 = ROUND('Raw Data'!J141, 2),FALSE)),"",_xlfn.REGEXEXTRACT(CELL("address",J141), "\$([A-Z]+)\$[0-9]+"))),_xlfn.REGEXEXTRACT(CELL("address",J141), "\$([A-Z]+)\$[0-9]+"))</f>
        <v/>
      </c>
      <c r="K141" s="7" t="str" cm="1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7" t="str" cm="1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7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7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7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7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 cm="1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7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7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7" t="str" cm="1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7" t="str" cm="1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  <c r="Z141" s="7" t="str" cm="1">
        <f t="array" aca="1" ref="Z141" ca="1">IFERROR(IF(OR('Raw Data'!Z141="",LEN(TRIM('Raw Data'!Z141))=0),"",IF(AND(ISNUMBER('Raw Data'!Z141), IFERROR('Raw Data'!Z141 = ROUND('Raw Data'!Z141, 2),FALSE)),"",_xlfn.REGEXEXTRACT(CELL("address",Z141), "\$([A-Z]+)\$[0-9]+"))),_xlfn.REGEXEXTRACT(CELL("address",Z141), "\$([A-Z]+)\$[0-9]+"))</f>
        <v/>
      </c>
      <c r="AA141" s="7" t="str" cm="1">
        <f t="array" aca="1" ref="AA141" ca="1">IFERROR(IF(OR('Raw Data'!AA141="",LEN(TRIM('Raw Data'!AA141))=0),"",IF(AND(ISNUMBER('Raw Data'!AA141), IFERROR('Raw Data'!AA141 = ROUND('Raw Data'!AA141, 2),FALSE)),"",_xlfn.REGEXEXTRACT(CELL("address",AA141), "\$([A-Z]+)\$[0-9]+"))),_xlfn.REGEXEXTRACT(CELL("address",AA141), "\$([A-Z]+)\$[0-9]+"))</f>
        <v/>
      </c>
      <c r="AB141" s="7" t="str" cm="1">
        <f t="array" aca="1" ref="AB141" ca="1">IFERROR(IF(OR('Raw Data'!AB141="",LEN(TRIM('Raw Data'!AB141))=0),"",IF(AND(ISNUMBER('Raw Data'!AB141), IFERROR('Raw Data'!AB141 = ROUND('Raw Data'!AB141, 2),FALSE)),"",_xlfn.REGEXEXTRACT(CELL("address",AB141), "\$([A-Z]+)\$[0-9]+"))),_xlfn.REGEXEXTRACT(CELL("address",AB141), "\$([A-Z]+)\$[0-9]+"))</f>
        <v/>
      </c>
      <c r="AC141" s="7" t="str" cm="1">
        <f t="array" aca="1" ref="AC141" ca="1">IFERROR(IF(OR('Raw Data'!AC141="",LEN(TRIM('Raw Data'!AC141))=0),"",IF(AND(ISNUMBER('Raw Data'!AC141), IFERROR('Raw Data'!AC141 = ROUND('Raw Data'!AC141, 2),FALSE)),"",_xlfn.REGEXEXTRACT(CELL("address",AC141), "\$([A-Z]+)\$[0-9]+"))),_xlfn.REGEXEXTRACT(CELL("address",AC141), "\$([A-Z]+)\$[0-9]+"))</f>
        <v/>
      </c>
      <c r="AD141" s="7" t="str" cm="1">
        <f t="array" aca="1" ref="AD141" ca="1">IFERROR(IF(OR('Raw Data'!AD141="",LEN(TRIM('Raw Data'!AD141))=0),"",IF(AND(ISNUMBER('Raw Data'!AD141), IFERROR('Raw Data'!AD141 = ROUND('Raw Data'!AD141, 2),FALSE)),"",_xlfn.REGEXEXTRACT(CELL("address",AD141), "\$([A-Z]+)\$[0-9]+"))),_xlfn.REGEXEXTRACT(CELL("address",AD141), "\$([A-Z]+)\$[0-9]+"))</f>
        <v/>
      </c>
      <c r="AE141" s="7" t="str" cm="1">
        <f t="array" aca="1" ref="AE141" ca="1">IFERROR(IF(OR('Raw Data'!AE141="",LEN(TRIM('Raw Data'!AE141))=0),"",IF(AND(ISNUMBER('Raw Data'!AE141), IFERROR('Raw Data'!AE141 = ROUND('Raw Data'!AE141, 2),FALSE)),"",_xlfn.REGEXEXTRACT(CELL("address",AE141), "\$([A-Z]+)\$[0-9]+"))),_xlfn.REGEXEXTRACT(CELL("address",AE141), "\$([A-Z]+)\$[0-9]+"))</f>
        <v/>
      </c>
      <c r="AF141" s="7" t="str" cm="1">
        <f t="array" aca="1" ref="AF141" ca="1">IFERROR(IF(OR('Raw Data'!AF141="",LEN(TRIM('Raw Data'!AF141))=0),"",IF(AND(ISNUMBER('Raw Data'!AF141), IFERROR('Raw Data'!AF141 = ROUND('Raw Data'!AF141, 2),FALSE)),"",_xlfn.REGEXEXTRACT(CELL("address",AF141), "\$([A-Z]+)\$[0-9]+"))),_xlfn.REGEXEXTRACT(CELL("address",AF141), "\$([A-Z]+)\$[0-9]+"))</f>
        <v/>
      </c>
      <c r="AG141" s="7" t="str" cm="1">
        <f t="array" aca="1" ref="AG141" ca="1">IFERROR(IF(OR('Raw Data'!AG141="",LEN(TRIM('Raw Data'!AG141))=0),"",IF(AND(ISNUMBER('Raw Data'!AG141), IFERROR('Raw Data'!AG141 = ROUND('Raw Data'!AG141, 2),FALSE)),"",_xlfn.REGEXEXTRACT(CELL("address",AG141), "\$([A-Z]+)\$[0-9]+"))),_xlfn.REGEXEXTRACT(CELL("address",AG141), "\$([A-Z]+)\$[0-9]+"))</f>
        <v/>
      </c>
      <c r="AH141" s="7" t="str" cm="1">
        <f t="array" aca="1" ref="AH141" ca="1">IFERROR(IF(OR('Raw Data'!AH141="",LEN(TRIM('Raw Data'!AH141))=0),"",IF(AND(ISNUMBER('Raw Data'!AH141), IFERROR('Raw Data'!AH141 = ROUND('Raw Data'!AH141, 2),FALSE)),"",_xlfn.REGEXEXTRACT(CELL("address",AH141), "\$([A-Z]+)\$[0-9]+"))),_xlfn.REGEXEXTRACT(CELL("address",AH141), "\$([A-Z]+)\$[0-9]+"))</f>
        <v/>
      </c>
      <c r="AI141" s="7" t="str" cm="1">
        <f t="array" aca="1" ref="AI141" ca="1">IFERROR(IF(OR('Raw Data'!AI141="",LEN(TRIM('Raw Data'!AI141))=0),"",IF(AND(ISNUMBER('Raw Data'!AI141), IFERROR('Raw Data'!AI141 = ROUND('Raw Data'!AI141, 2),FALSE)),"",_xlfn.REGEXEXTRACT(CELL("address",AI141), "\$([A-Z]+)\$[0-9]+"))),_xlfn.REGEXEXTRACT(CELL("address",AI141), "\$([A-Z]+)\$[0-9]+"))</f>
        <v/>
      </c>
      <c r="AJ141" s="7" t="str" cm="1">
        <f t="array" aca="1" ref="AJ141" ca="1">IFERROR(IF(OR('Raw Data'!AJ141="",LEN(TRIM('Raw Data'!AJ141))=0),"",IF(AND(ISNUMBER('Raw Data'!AJ141), IFERROR('Raw Data'!AJ141 = ROUND('Raw Data'!AJ141, 2),FALSE)),"",_xlfn.REGEXEXTRACT(CELL("address",AJ141), "\$([A-Z]+)\$[0-9]+"))),_xlfn.REGEXEXTRACT(CELL("address",AJ141), "\$([A-Z]+)\$[0-9]+"))</f>
        <v/>
      </c>
    </row>
    <row r="142" spans="2:36" x14ac:dyDescent="0.25">
      <c r="B142" s="7" t="str" cm="1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20,LEN('Raw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Data'!D142))=0),"",IF(AND(ISNUMBER('Raw Data'!D142),'Raw Data'!D142&gt;=Configuration!$D$2),"",_xlfn.REGEXEXTRACT(CELL("address",'Raw Data'!D142),"\$([A-Z]+)\$[0-9]+"))),_xlfn.REGEXEXTRACT(CELL("address",D142), "\$([A-Z]+)\$[0-9]+"))</f>
        <v/>
      </c>
      <c r="E142" s="7" t="str" cm="1">
        <f t="array" aca="1" ref="E142" ca="1">IFERROR(IF(OR('Raw Data'!E142="",LEN(TRIM('Raw Data'!E142))=0),"",IF(AND(ISNUMBER('Raw Data'!E142), IFERROR('Raw Data'!E142 = ROUND('Raw Data'!E142, 2),FALSE)),"",_xlfn.REGEXEXTRACT(CELL("address",E142), "\$([A-Z]+)\$[0-9]+"))),_xlfn.REGEXEXTRACT(CELL("address",E142), "\$([A-Z]+)\$[0-9]+"))</f>
        <v/>
      </c>
      <c r="F142" s="7" t="str" cm="1">
        <f t="array" aca="1" ref="F142" ca="1">IFERROR(IF(OR('Raw Data'!F142="",LEN(TRIM('Raw Data'!F142))=0),"",IF(AND(ISNUMBER('Raw Data'!F142), IFERROR('Raw Data'!F142 = ROUND('Raw Data'!F142, 2),FALSE)),"",_xlfn.REGEXEXTRACT(CELL("address",F142), "\$([A-Z]+)\$[0-9]+"))),_xlfn.REGEXEXTRACT(CELL("address",F142), "\$([A-Z]+)\$[0-9]+"))</f>
        <v/>
      </c>
      <c r="G142" s="7" t="str" cm="1">
        <f t="array" aca="1" ref="G142" ca="1">IFERROR(IF(OR('Raw Data'!G142="",LEN(TRIM('Raw Data'!G142))=0),"",IF(AND(ISNUMBER('Raw Data'!G142), IFERROR('Raw Data'!G142 = ROUND('Raw Data'!G142, 2),FALSE)),"",_xlfn.REGEXEXTRACT(CELL("address",G142), "\$([A-Z]+)\$[0-9]+"))),_xlfn.REGEXEXTRACT(CELL("address",G142), "\$([A-Z]+)\$[0-9]+"))</f>
        <v/>
      </c>
      <c r="H142" s="7" t="str" cm="1">
        <f t="array" aca="1" ref="H142" ca="1">IFERROR(IF(OR('Raw Data'!H142="",LEN(TRIM('Raw Data'!H142))=0),"",IF(AND(ISNUMBER('Raw Data'!H142), IFERROR('Raw Data'!H142 = ROUND('Raw Data'!H142, 2),FALSE)),"",_xlfn.REGEXEXTRACT(CELL("address",H142), "\$([A-Z]+)\$[0-9]+"))),_xlfn.REGEXEXTRACT(CELL("address",H142), "\$([A-Z]+)\$[0-9]+"))</f>
        <v/>
      </c>
      <c r="I142" s="7" t="str" cm="1">
        <f t="array" aca="1" ref="I142" ca="1">IFERROR(IF(OR('Raw Data'!I142="",LEN(TRIM('Raw Data'!I142))=0),"",IF(AND(ISNUMBER('Raw Data'!I142), IFERROR('Raw Data'!I142 = ROUND('Raw Data'!I142, 2),FALSE)),"",_xlfn.REGEXEXTRACT(CELL("address",I142), "\$([A-Z]+)\$[0-9]+"))),_xlfn.REGEXEXTRACT(CELL("address",I142), "\$([A-Z]+)\$[0-9]+"))</f>
        <v/>
      </c>
      <c r="J142" s="7" t="str" cm="1">
        <f t="array" aca="1" ref="J142" ca="1">IFERROR(IF(OR('Raw Data'!J142="",LEN(TRIM('Raw Data'!J142))=0),"",IF(AND(ISNUMBER('Raw Data'!J142), IFERROR('Raw Data'!J142 = ROUND('Raw Data'!J142, 2),FALSE)),"",_xlfn.REGEXEXTRACT(CELL("address",J142), "\$([A-Z]+)\$[0-9]+"))),_xlfn.REGEXEXTRACT(CELL("address",J142), "\$([A-Z]+)\$[0-9]+"))</f>
        <v/>
      </c>
      <c r="K142" s="7" t="str" cm="1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7" t="str" cm="1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7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7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7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7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 cm="1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7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7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7" t="str" cm="1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7" t="str" cm="1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  <c r="Z142" s="7" t="str" cm="1">
        <f t="array" aca="1" ref="Z142" ca="1">IFERROR(IF(OR('Raw Data'!Z142="",LEN(TRIM('Raw Data'!Z142))=0),"",IF(AND(ISNUMBER('Raw Data'!Z142), IFERROR('Raw Data'!Z142 = ROUND('Raw Data'!Z142, 2),FALSE)),"",_xlfn.REGEXEXTRACT(CELL("address",Z142), "\$([A-Z]+)\$[0-9]+"))),_xlfn.REGEXEXTRACT(CELL("address",Z142), "\$([A-Z]+)\$[0-9]+"))</f>
        <v/>
      </c>
      <c r="AA142" s="7" t="str" cm="1">
        <f t="array" aca="1" ref="AA142" ca="1">IFERROR(IF(OR('Raw Data'!AA142="",LEN(TRIM('Raw Data'!AA142))=0),"",IF(AND(ISNUMBER('Raw Data'!AA142), IFERROR('Raw Data'!AA142 = ROUND('Raw Data'!AA142, 2),FALSE)),"",_xlfn.REGEXEXTRACT(CELL("address",AA142), "\$([A-Z]+)\$[0-9]+"))),_xlfn.REGEXEXTRACT(CELL("address",AA142), "\$([A-Z]+)\$[0-9]+"))</f>
        <v/>
      </c>
      <c r="AB142" s="7" t="str" cm="1">
        <f t="array" aca="1" ref="AB142" ca="1">IFERROR(IF(OR('Raw Data'!AB142="",LEN(TRIM('Raw Data'!AB142))=0),"",IF(AND(ISNUMBER('Raw Data'!AB142), IFERROR('Raw Data'!AB142 = ROUND('Raw Data'!AB142, 2),FALSE)),"",_xlfn.REGEXEXTRACT(CELL("address",AB142), "\$([A-Z]+)\$[0-9]+"))),_xlfn.REGEXEXTRACT(CELL("address",AB142), "\$([A-Z]+)\$[0-9]+"))</f>
        <v/>
      </c>
      <c r="AC142" s="7" t="str" cm="1">
        <f t="array" aca="1" ref="AC142" ca="1">IFERROR(IF(OR('Raw Data'!AC142="",LEN(TRIM('Raw Data'!AC142))=0),"",IF(AND(ISNUMBER('Raw Data'!AC142), IFERROR('Raw Data'!AC142 = ROUND('Raw Data'!AC142, 2),FALSE)),"",_xlfn.REGEXEXTRACT(CELL("address",AC142), "\$([A-Z]+)\$[0-9]+"))),_xlfn.REGEXEXTRACT(CELL("address",AC142), "\$([A-Z]+)\$[0-9]+"))</f>
        <v/>
      </c>
      <c r="AD142" s="7" t="str" cm="1">
        <f t="array" aca="1" ref="AD142" ca="1">IFERROR(IF(OR('Raw Data'!AD142="",LEN(TRIM('Raw Data'!AD142))=0),"",IF(AND(ISNUMBER('Raw Data'!AD142), IFERROR('Raw Data'!AD142 = ROUND('Raw Data'!AD142, 2),FALSE)),"",_xlfn.REGEXEXTRACT(CELL("address",AD142), "\$([A-Z]+)\$[0-9]+"))),_xlfn.REGEXEXTRACT(CELL("address",AD142), "\$([A-Z]+)\$[0-9]+"))</f>
        <v/>
      </c>
      <c r="AE142" s="7" t="str" cm="1">
        <f t="array" aca="1" ref="AE142" ca="1">IFERROR(IF(OR('Raw Data'!AE142="",LEN(TRIM('Raw Data'!AE142))=0),"",IF(AND(ISNUMBER('Raw Data'!AE142), IFERROR('Raw Data'!AE142 = ROUND('Raw Data'!AE142, 2),FALSE)),"",_xlfn.REGEXEXTRACT(CELL("address",AE142), "\$([A-Z]+)\$[0-9]+"))),_xlfn.REGEXEXTRACT(CELL("address",AE142), "\$([A-Z]+)\$[0-9]+"))</f>
        <v/>
      </c>
      <c r="AF142" s="7" t="str" cm="1">
        <f t="array" aca="1" ref="AF142" ca="1">IFERROR(IF(OR('Raw Data'!AF142="",LEN(TRIM('Raw Data'!AF142))=0),"",IF(AND(ISNUMBER('Raw Data'!AF142), IFERROR('Raw Data'!AF142 = ROUND('Raw Data'!AF142, 2),FALSE)),"",_xlfn.REGEXEXTRACT(CELL("address",AF142), "\$([A-Z]+)\$[0-9]+"))),_xlfn.REGEXEXTRACT(CELL("address",AF142), "\$([A-Z]+)\$[0-9]+"))</f>
        <v/>
      </c>
      <c r="AG142" s="7" t="str" cm="1">
        <f t="array" aca="1" ref="AG142" ca="1">IFERROR(IF(OR('Raw Data'!AG142="",LEN(TRIM('Raw Data'!AG142))=0),"",IF(AND(ISNUMBER('Raw Data'!AG142), IFERROR('Raw Data'!AG142 = ROUND('Raw Data'!AG142, 2),FALSE)),"",_xlfn.REGEXEXTRACT(CELL("address",AG142), "\$([A-Z]+)\$[0-9]+"))),_xlfn.REGEXEXTRACT(CELL("address",AG142), "\$([A-Z]+)\$[0-9]+"))</f>
        <v/>
      </c>
      <c r="AH142" s="7" t="str" cm="1">
        <f t="array" aca="1" ref="AH142" ca="1">IFERROR(IF(OR('Raw Data'!AH142="",LEN(TRIM('Raw Data'!AH142))=0),"",IF(AND(ISNUMBER('Raw Data'!AH142), IFERROR('Raw Data'!AH142 = ROUND('Raw Data'!AH142, 2),FALSE)),"",_xlfn.REGEXEXTRACT(CELL("address",AH142), "\$([A-Z]+)\$[0-9]+"))),_xlfn.REGEXEXTRACT(CELL("address",AH142), "\$([A-Z]+)\$[0-9]+"))</f>
        <v/>
      </c>
      <c r="AI142" s="7" t="str" cm="1">
        <f t="array" aca="1" ref="AI142" ca="1">IFERROR(IF(OR('Raw Data'!AI142="",LEN(TRIM('Raw Data'!AI142))=0),"",IF(AND(ISNUMBER('Raw Data'!AI142), IFERROR('Raw Data'!AI142 = ROUND('Raw Data'!AI142, 2),FALSE)),"",_xlfn.REGEXEXTRACT(CELL("address",AI142), "\$([A-Z]+)\$[0-9]+"))),_xlfn.REGEXEXTRACT(CELL("address",AI142), "\$([A-Z]+)\$[0-9]+"))</f>
        <v/>
      </c>
      <c r="AJ142" s="7" t="str" cm="1">
        <f t="array" aca="1" ref="AJ142" ca="1">IFERROR(IF(OR('Raw Data'!AJ142="",LEN(TRIM('Raw Data'!AJ142))=0),"",IF(AND(ISNUMBER('Raw Data'!AJ142), IFERROR('Raw Data'!AJ142 = ROUND('Raw Data'!AJ142, 2),FALSE)),"",_xlfn.REGEXEXTRACT(CELL("address",AJ142), "\$([A-Z]+)\$[0-9]+"))),_xlfn.REGEXEXTRACT(CELL("address",AJ142), "\$([A-Z]+)\$[0-9]+"))</f>
        <v/>
      </c>
    </row>
    <row r="143" spans="2:36" x14ac:dyDescent="0.25">
      <c r="B143" s="7" t="str" cm="1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20,LEN('Raw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Data'!D143))=0),"",IF(AND(ISNUMBER('Raw Data'!D143),'Raw Data'!D143&gt;=Configuration!$D$2),"",_xlfn.REGEXEXTRACT(CELL("address",'Raw Data'!D143),"\$([A-Z]+)\$[0-9]+"))),_xlfn.REGEXEXTRACT(CELL("address",D143), "\$([A-Z]+)\$[0-9]+"))</f>
        <v/>
      </c>
      <c r="E143" s="7" t="str" cm="1">
        <f t="array" aca="1" ref="E143" ca="1">IFERROR(IF(OR('Raw Data'!E143="",LEN(TRIM('Raw Data'!E143))=0),"",IF(AND(ISNUMBER('Raw Data'!E143), IFERROR('Raw Data'!E143 = ROUND('Raw Data'!E143, 2),FALSE)),"",_xlfn.REGEXEXTRACT(CELL("address",E143), "\$([A-Z]+)\$[0-9]+"))),_xlfn.REGEXEXTRACT(CELL("address",E143), "\$([A-Z]+)\$[0-9]+"))</f>
        <v/>
      </c>
      <c r="F143" s="7" t="str" cm="1">
        <f t="array" aca="1" ref="F143" ca="1">IFERROR(IF(OR('Raw Data'!F143="",LEN(TRIM('Raw Data'!F143))=0),"",IF(AND(ISNUMBER('Raw Data'!F143), IFERROR('Raw Data'!F143 = ROUND('Raw Data'!F143, 2),FALSE)),"",_xlfn.REGEXEXTRACT(CELL("address",F143), "\$([A-Z]+)\$[0-9]+"))),_xlfn.REGEXEXTRACT(CELL("address",F143), "\$([A-Z]+)\$[0-9]+"))</f>
        <v/>
      </c>
      <c r="G143" s="7" t="str" cm="1">
        <f t="array" aca="1" ref="G143" ca="1">IFERROR(IF(OR('Raw Data'!G143="",LEN(TRIM('Raw Data'!G143))=0),"",IF(AND(ISNUMBER('Raw Data'!G143), IFERROR('Raw Data'!G143 = ROUND('Raw Data'!G143, 2),FALSE)),"",_xlfn.REGEXEXTRACT(CELL("address",G143), "\$([A-Z]+)\$[0-9]+"))),_xlfn.REGEXEXTRACT(CELL("address",G143), "\$([A-Z]+)\$[0-9]+"))</f>
        <v/>
      </c>
      <c r="H143" s="7" t="str" cm="1">
        <f t="array" aca="1" ref="H143" ca="1">IFERROR(IF(OR('Raw Data'!H143="",LEN(TRIM('Raw Data'!H143))=0),"",IF(AND(ISNUMBER('Raw Data'!H143), IFERROR('Raw Data'!H143 = ROUND('Raw Data'!H143, 2),FALSE)),"",_xlfn.REGEXEXTRACT(CELL("address",H143), "\$([A-Z]+)\$[0-9]+"))),_xlfn.REGEXEXTRACT(CELL("address",H143), "\$([A-Z]+)\$[0-9]+"))</f>
        <v/>
      </c>
      <c r="I143" s="7" t="str" cm="1">
        <f t="array" aca="1" ref="I143" ca="1">IFERROR(IF(OR('Raw Data'!I143="",LEN(TRIM('Raw Data'!I143))=0),"",IF(AND(ISNUMBER('Raw Data'!I143), IFERROR('Raw Data'!I143 = ROUND('Raw Data'!I143, 2),FALSE)),"",_xlfn.REGEXEXTRACT(CELL("address",I143), "\$([A-Z]+)\$[0-9]+"))),_xlfn.REGEXEXTRACT(CELL("address",I143), "\$([A-Z]+)\$[0-9]+"))</f>
        <v/>
      </c>
      <c r="J143" s="7" t="str" cm="1">
        <f t="array" aca="1" ref="J143" ca="1">IFERROR(IF(OR('Raw Data'!J143="",LEN(TRIM('Raw Data'!J143))=0),"",IF(AND(ISNUMBER('Raw Data'!J143), IFERROR('Raw Data'!J143 = ROUND('Raw Data'!J143, 2),FALSE)),"",_xlfn.REGEXEXTRACT(CELL("address",J143), "\$([A-Z]+)\$[0-9]+"))),_xlfn.REGEXEXTRACT(CELL("address",J143), "\$([A-Z]+)\$[0-9]+"))</f>
        <v/>
      </c>
      <c r="K143" s="7" t="str" cm="1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7" t="str" cm="1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7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7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7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7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 cm="1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7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7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7" t="str" cm="1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7" t="str" cm="1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  <c r="Z143" s="7" t="str" cm="1">
        <f t="array" aca="1" ref="Z143" ca="1">IFERROR(IF(OR('Raw Data'!Z143="",LEN(TRIM('Raw Data'!Z143))=0),"",IF(AND(ISNUMBER('Raw Data'!Z143), IFERROR('Raw Data'!Z143 = ROUND('Raw Data'!Z143, 2),FALSE)),"",_xlfn.REGEXEXTRACT(CELL("address",Z143), "\$([A-Z]+)\$[0-9]+"))),_xlfn.REGEXEXTRACT(CELL("address",Z143), "\$([A-Z]+)\$[0-9]+"))</f>
        <v/>
      </c>
      <c r="AA143" s="7" t="str" cm="1">
        <f t="array" aca="1" ref="AA143" ca="1">IFERROR(IF(OR('Raw Data'!AA143="",LEN(TRIM('Raw Data'!AA143))=0),"",IF(AND(ISNUMBER('Raw Data'!AA143), IFERROR('Raw Data'!AA143 = ROUND('Raw Data'!AA143, 2),FALSE)),"",_xlfn.REGEXEXTRACT(CELL("address",AA143), "\$([A-Z]+)\$[0-9]+"))),_xlfn.REGEXEXTRACT(CELL("address",AA143), "\$([A-Z]+)\$[0-9]+"))</f>
        <v/>
      </c>
      <c r="AB143" s="7" t="str" cm="1">
        <f t="array" aca="1" ref="AB143" ca="1">IFERROR(IF(OR('Raw Data'!AB143="",LEN(TRIM('Raw Data'!AB143))=0),"",IF(AND(ISNUMBER('Raw Data'!AB143), IFERROR('Raw Data'!AB143 = ROUND('Raw Data'!AB143, 2),FALSE)),"",_xlfn.REGEXEXTRACT(CELL("address",AB143), "\$([A-Z]+)\$[0-9]+"))),_xlfn.REGEXEXTRACT(CELL("address",AB143), "\$([A-Z]+)\$[0-9]+"))</f>
        <v/>
      </c>
      <c r="AC143" s="7" t="str" cm="1">
        <f t="array" aca="1" ref="AC143" ca="1">IFERROR(IF(OR('Raw Data'!AC143="",LEN(TRIM('Raw Data'!AC143))=0),"",IF(AND(ISNUMBER('Raw Data'!AC143), IFERROR('Raw Data'!AC143 = ROUND('Raw Data'!AC143, 2),FALSE)),"",_xlfn.REGEXEXTRACT(CELL("address",AC143), "\$([A-Z]+)\$[0-9]+"))),_xlfn.REGEXEXTRACT(CELL("address",AC143), "\$([A-Z]+)\$[0-9]+"))</f>
        <v/>
      </c>
      <c r="AD143" s="7" t="str" cm="1">
        <f t="array" aca="1" ref="AD143" ca="1">IFERROR(IF(OR('Raw Data'!AD143="",LEN(TRIM('Raw Data'!AD143))=0),"",IF(AND(ISNUMBER('Raw Data'!AD143), IFERROR('Raw Data'!AD143 = ROUND('Raw Data'!AD143, 2),FALSE)),"",_xlfn.REGEXEXTRACT(CELL("address",AD143), "\$([A-Z]+)\$[0-9]+"))),_xlfn.REGEXEXTRACT(CELL("address",AD143), "\$([A-Z]+)\$[0-9]+"))</f>
        <v/>
      </c>
      <c r="AE143" s="7" t="str" cm="1">
        <f t="array" aca="1" ref="AE143" ca="1">IFERROR(IF(OR('Raw Data'!AE143="",LEN(TRIM('Raw Data'!AE143))=0),"",IF(AND(ISNUMBER('Raw Data'!AE143), IFERROR('Raw Data'!AE143 = ROUND('Raw Data'!AE143, 2),FALSE)),"",_xlfn.REGEXEXTRACT(CELL("address",AE143), "\$([A-Z]+)\$[0-9]+"))),_xlfn.REGEXEXTRACT(CELL("address",AE143), "\$([A-Z]+)\$[0-9]+"))</f>
        <v/>
      </c>
      <c r="AF143" s="7" t="str" cm="1">
        <f t="array" aca="1" ref="AF143" ca="1">IFERROR(IF(OR('Raw Data'!AF143="",LEN(TRIM('Raw Data'!AF143))=0),"",IF(AND(ISNUMBER('Raw Data'!AF143), IFERROR('Raw Data'!AF143 = ROUND('Raw Data'!AF143, 2),FALSE)),"",_xlfn.REGEXEXTRACT(CELL("address",AF143), "\$([A-Z]+)\$[0-9]+"))),_xlfn.REGEXEXTRACT(CELL("address",AF143), "\$([A-Z]+)\$[0-9]+"))</f>
        <v/>
      </c>
      <c r="AG143" s="7" t="str" cm="1">
        <f t="array" aca="1" ref="AG143" ca="1">IFERROR(IF(OR('Raw Data'!AG143="",LEN(TRIM('Raw Data'!AG143))=0),"",IF(AND(ISNUMBER('Raw Data'!AG143), IFERROR('Raw Data'!AG143 = ROUND('Raw Data'!AG143, 2),FALSE)),"",_xlfn.REGEXEXTRACT(CELL("address",AG143), "\$([A-Z]+)\$[0-9]+"))),_xlfn.REGEXEXTRACT(CELL("address",AG143), "\$([A-Z]+)\$[0-9]+"))</f>
        <v/>
      </c>
      <c r="AH143" s="7" t="str" cm="1">
        <f t="array" aca="1" ref="AH143" ca="1">IFERROR(IF(OR('Raw Data'!AH143="",LEN(TRIM('Raw Data'!AH143))=0),"",IF(AND(ISNUMBER('Raw Data'!AH143), IFERROR('Raw Data'!AH143 = ROUND('Raw Data'!AH143, 2),FALSE)),"",_xlfn.REGEXEXTRACT(CELL("address",AH143), "\$([A-Z]+)\$[0-9]+"))),_xlfn.REGEXEXTRACT(CELL("address",AH143), "\$([A-Z]+)\$[0-9]+"))</f>
        <v/>
      </c>
      <c r="AI143" s="7" t="str" cm="1">
        <f t="array" aca="1" ref="AI143" ca="1">IFERROR(IF(OR('Raw Data'!AI143="",LEN(TRIM('Raw Data'!AI143))=0),"",IF(AND(ISNUMBER('Raw Data'!AI143), IFERROR('Raw Data'!AI143 = ROUND('Raw Data'!AI143, 2),FALSE)),"",_xlfn.REGEXEXTRACT(CELL("address",AI143), "\$([A-Z]+)\$[0-9]+"))),_xlfn.REGEXEXTRACT(CELL("address",AI143), "\$([A-Z]+)\$[0-9]+"))</f>
        <v/>
      </c>
      <c r="AJ143" s="7" t="str" cm="1">
        <f t="array" aca="1" ref="AJ143" ca="1">IFERROR(IF(OR('Raw Data'!AJ143="",LEN(TRIM('Raw Data'!AJ143))=0),"",IF(AND(ISNUMBER('Raw Data'!AJ143), IFERROR('Raw Data'!AJ143 = ROUND('Raw Data'!AJ143, 2),FALSE)),"",_xlfn.REGEXEXTRACT(CELL("address",AJ143), "\$([A-Z]+)\$[0-9]+"))),_xlfn.REGEXEXTRACT(CELL("address",AJ143), "\$([A-Z]+)\$[0-9]+"))</f>
        <v/>
      </c>
    </row>
    <row r="144" spans="2:36" x14ac:dyDescent="0.25">
      <c r="B144" s="7" t="str" cm="1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20,LEN('Raw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Data'!D144))=0),"",IF(AND(ISNUMBER('Raw Data'!D144),'Raw Data'!D144&gt;=Configuration!$D$2),"",_xlfn.REGEXEXTRACT(CELL("address",'Raw Data'!D144),"\$([A-Z]+)\$[0-9]+"))),_xlfn.REGEXEXTRACT(CELL("address",D144), "\$([A-Z]+)\$[0-9]+"))</f>
        <v/>
      </c>
      <c r="E144" s="7" t="str" cm="1">
        <f t="array" aca="1" ref="E144" ca="1">IFERROR(IF(OR('Raw Data'!E144="",LEN(TRIM('Raw Data'!E144))=0),"",IF(AND(ISNUMBER('Raw Data'!E144), IFERROR('Raw Data'!E144 = ROUND('Raw Data'!E144, 2),FALSE)),"",_xlfn.REGEXEXTRACT(CELL("address",E144), "\$([A-Z]+)\$[0-9]+"))),_xlfn.REGEXEXTRACT(CELL("address",E144), "\$([A-Z]+)\$[0-9]+"))</f>
        <v/>
      </c>
      <c r="F144" s="7" t="str" cm="1">
        <f t="array" aca="1" ref="F144" ca="1">IFERROR(IF(OR('Raw Data'!F144="",LEN(TRIM('Raw Data'!F144))=0),"",IF(AND(ISNUMBER('Raw Data'!F144), IFERROR('Raw Data'!F144 = ROUND('Raw Data'!F144, 2),FALSE)),"",_xlfn.REGEXEXTRACT(CELL("address",F144), "\$([A-Z]+)\$[0-9]+"))),_xlfn.REGEXEXTRACT(CELL("address",F144), "\$([A-Z]+)\$[0-9]+"))</f>
        <v/>
      </c>
      <c r="G144" s="7" t="str" cm="1">
        <f t="array" aca="1" ref="G144" ca="1">IFERROR(IF(OR('Raw Data'!G144="",LEN(TRIM('Raw Data'!G144))=0),"",IF(AND(ISNUMBER('Raw Data'!G144), IFERROR('Raw Data'!G144 = ROUND('Raw Data'!G144, 2),FALSE)),"",_xlfn.REGEXEXTRACT(CELL("address",G144), "\$([A-Z]+)\$[0-9]+"))),_xlfn.REGEXEXTRACT(CELL("address",G144), "\$([A-Z]+)\$[0-9]+"))</f>
        <v/>
      </c>
      <c r="H144" s="7" t="str" cm="1">
        <f t="array" aca="1" ref="H144" ca="1">IFERROR(IF(OR('Raw Data'!H144="",LEN(TRIM('Raw Data'!H144))=0),"",IF(AND(ISNUMBER('Raw Data'!H144), IFERROR('Raw Data'!H144 = ROUND('Raw Data'!H144, 2),FALSE)),"",_xlfn.REGEXEXTRACT(CELL("address",H144), "\$([A-Z]+)\$[0-9]+"))),_xlfn.REGEXEXTRACT(CELL("address",H144), "\$([A-Z]+)\$[0-9]+"))</f>
        <v/>
      </c>
      <c r="I144" s="7" t="str" cm="1">
        <f t="array" aca="1" ref="I144" ca="1">IFERROR(IF(OR('Raw Data'!I144="",LEN(TRIM('Raw Data'!I144))=0),"",IF(AND(ISNUMBER('Raw Data'!I144), IFERROR('Raw Data'!I144 = ROUND('Raw Data'!I144, 2),FALSE)),"",_xlfn.REGEXEXTRACT(CELL("address",I144), "\$([A-Z]+)\$[0-9]+"))),_xlfn.REGEXEXTRACT(CELL("address",I144), "\$([A-Z]+)\$[0-9]+"))</f>
        <v/>
      </c>
      <c r="J144" s="7" t="str" cm="1">
        <f t="array" aca="1" ref="J144" ca="1">IFERROR(IF(OR('Raw Data'!J144="",LEN(TRIM('Raw Data'!J144))=0),"",IF(AND(ISNUMBER('Raw Data'!J144), IFERROR('Raw Data'!J144 = ROUND('Raw Data'!J144, 2),FALSE)),"",_xlfn.REGEXEXTRACT(CELL("address",J144), "\$([A-Z]+)\$[0-9]+"))),_xlfn.REGEXEXTRACT(CELL("address",J144), "\$([A-Z]+)\$[0-9]+"))</f>
        <v/>
      </c>
      <c r="K144" s="7" t="str" cm="1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7" t="str" cm="1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7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7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7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7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 cm="1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7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7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7" t="str" cm="1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7" t="str" cm="1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  <c r="Z144" s="7" t="str" cm="1">
        <f t="array" aca="1" ref="Z144" ca="1">IFERROR(IF(OR('Raw Data'!Z144="",LEN(TRIM('Raw Data'!Z144))=0),"",IF(AND(ISNUMBER('Raw Data'!Z144), IFERROR('Raw Data'!Z144 = ROUND('Raw Data'!Z144, 2),FALSE)),"",_xlfn.REGEXEXTRACT(CELL("address",Z144), "\$([A-Z]+)\$[0-9]+"))),_xlfn.REGEXEXTRACT(CELL("address",Z144), "\$([A-Z]+)\$[0-9]+"))</f>
        <v/>
      </c>
      <c r="AA144" s="7" t="str" cm="1">
        <f t="array" aca="1" ref="AA144" ca="1">IFERROR(IF(OR('Raw Data'!AA144="",LEN(TRIM('Raw Data'!AA144))=0),"",IF(AND(ISNUMBER('Raw Data'!AA144), IFERROR('Raw Data'!AA144 = ROUND('Raw Data'!AA144, 2),FALSE)),"",_xlfn.REGEXEXTRACT(CELL("address",AA144), "\$([A-Z]+)\$[0-9]+"))),_xlfn.REGEXEXTRACT(CELL("address",AA144), "\$([A-Z]+)\$[0-9]+"))</f>
        <v/>
      </c>
      <c r="AB144" s="7" t="str" cm="1">
        <f t="array" aca="1" ref="AB144" ca="1">IFERROR(IF(OR('Raw Data'!AB144="",LEN(TRIM('Raw Data'!AB144))=0),"",IF(AND(ISNUMBER('Raw Data'!AB144), IFERROR('Raw Data'!AB144 = ROUND('Raw Data'!AB144, 2),FALSE)),"",_xlfn.REGEXEXTRACT(CELL("address",AB144), "\$([A-Z]+)\$[0-9]+"))),_xlfn.REGEXEXTRACT(CELL("address",AB144), "\$([A-Z]+)\$[0-9]+"))</f>
        <v/>
      </c>
      <c r="AC144" s="7" t="str" cm="1">
        <f t="array" aca="1" ref="AC144" ca="1">IFERROR(IF(OR('Raw Data'!AC144="",LEN(TRIM('Raw Data'!AC144))=0),"",IF(AND(ISNUMBER('Raw Data'!AC144), IFERROR('Raw Data'!AC144 = ROUND('Raw Data'!AC144, 2),FALSE)),"",_xlfn.REGEXEXTRACT(CELL("address",AC144), "\$([A-Z]+)\$[0-9]+"))),_xlfn.REGEXEXTRACT(CELL("address",AC144), "\$([A-Z]+)\$[0-9]+"))</f>
        <v/>
      </c>
      <c r="AD144" s="7" t="str" cm="1">
        <f t="array" aca="1" ref="AD144" ca="1">IFERROR(IF(OR('Raw Data'!AD144="",LEN(TRIM('Raw Data'!AD144))=0),"",IF(AND(ISNUMBER('Raw Data'!AD144), IFERROR('Raw Data'!AD144 = ROUND('Raw Data'!AD144, 2),FALSE)),"",_xlfn.REGEXEXTRACT(CELL("address",AD144), "\$([A-Z]+)\$[0-9]+"))),_xlfn.REGEXEXTRACT(CELL("address",AD144), "\$([A-Z]+)\$[0-9]+"))</f>
        <v/>
      </c>
      <c r="AE144" s="7" t="str" cm="1">
        <f t="array" aca="1" ref="AE144" ca="1">IFERROR(IF(OR('Raw Data'!AE144="",LEN(TRIM('Raw Data'!AE144))=0),"",IF(AND(ISNUMBER('Raw Data'!AE144), IFERROR('Raw Data'!AE144 = ROUND('Raw Data'!AE144, 2),FALSE)),"",_xlfn.REGEXEXTRACT(CELL("address",AE144), "\$([A-Z]+)\$[0-9]+"))),_xlfn.REGEXEXTRACT(CELL("address",AE144), "\$([A-Z]+)\$[0-9]+"))</f>
        <v/>
      </c>
      <c r="AF144" s="7" t="str" cm="1">
        <f t="array" aca="1" ref="AF144" ca="1">IFERROR(IF(OR('Raw Data'!AF144="",LEN(TRIM('Raw Data'!AF144))=0),"",IF(AND(ISNUMBER('Raw Data'!AF144), IFERROR('Raw Data'!AF144 = ROUND('Raw Data'!AF144, 2),FALSE)),"",_xlfn.REGEXEXTRACT(CELL("address",AF144), "\$([A-Z]+)\$[0-9]+"))),_xlfn.REGEXEXTRACT(CELL("address",AF144), "\$([A-Z]+)\$[0-9]+"))</f>
        <v/>
      </c>
      <c r="AG144" s="7" t="str" cm="1">
        <f t="array" aca="1" ref="AG144" ca="1">IFERROR(IF(OR('Raw Data'!AG144="",LEN(TRIM('Raw Data'!AG144))=0),"",IF(AND(ISNUMBER('Raw Data'!AG144), IFERROR('Raw Data'!AG144 = ROUND('Raw Data'!AG144, 2),FALSE)),"",_xlfn.REGEXEXTRACT(CELL("address",AG144), "\$([A-Z]+)\$[0-9]+"))),_xlfn.REGEXEXTRACT(CELL("address",AG144), "\$([A-Z]+)\$[0-9]+"))</f>
        <v/>
      </c>
      <c r="AH144" s="7" t="str" cm="1">
        <f t="array" aca="1" ref="AH144" ca="1">IFERROR(IF(OR('Raw Data'!AH144="",LEN(TRIM('Raw Data'!AH144))=0),"",IF(AND(ISNUMBER('Raw Data'!AH144), IFERROR('Raw Data'!AH144 = ROUND('Raw Data'!AH144, 2),FALSE)),"",_xlfn.REGEXEXTRACT(CELL("address",AH144), "\$([A-Z]+)\$[0-9]+"))),_xlfn.REGEXEXTRACT(CELL("address",AH144), "\$([A-Z]+)\$[0-9]+"))</f>
        <v/>
      </c>
      <c r="AI144" s="7" t="str" cm="1">
        <f t="array" aca="1" ref="AI144" ca="1">IFERROR(IF(OR('Raw Data'!AI144="",LEN(TRIM('Raw Data'!AI144))=0),"",IF(AND(ISNUMBER('Raw Data'!AI144), IFERROR('Raw Data'!AI144 = ROUND('Raw Data'!AI144, 2),FALSE)),"",_xlfn.REGEXEXTRACT(CELL("address",AI144), "\$([A-Z]+)\$[0-9]+"))),_xlfn.REGEXEXTRACT(CELL("address",AI144), "\$([A-Z]+)\$[0-9]+"))</f>
        <v/>
      </c>
      <c r="AJ144" s="7" t="str" cm="1">
        <f t="array" aca="1" ref="AJ144" ca="1">IFERROR(IF(OR('Raw Data'!AJ144="",LEN(TRIM('Raw Data'!AJ144))=0),"",IF(AND(ISNUMBER('Raw Data'!AJ144), IFERROR('Raw Data'!AJ144 = ROUND('Raw Data'!AJ144, 2),FALSE)),"",_xlfn.REGEXEXTRACT(CELL("address",AJ144), "\$([A-Z]+)\$[0-9]+"))),_xlfn.REGEXEXTRACT(CELL("address",AJ144), "\$([A-Z]+)\$[0-9]+"))</f>
        <v/>
      </c>
    </row>
    <row r="145" spans="2:36" x14ac:dyDescent="0.25">
      <c r="B145" s="7" t="str" cm="1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20,LEN('Raw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Data'!D145))=0),"",IF(AND(ISNUMBER('Raw Data'!D145),'Raw Data'!D145&gt;=Configuration!$D$2),"",_xlfn.REGEXEXTRACT(CELL("address",'Raw Data'!D145),"\$([A-Z]+)\$[0-9]+"))),_xlfn.REGEXEXTRACT(CELL("address",D145), "\$([A-Z]+)\$[0-9]+"))</f>
        <v/>
      </c>
      <c r="E145" s="7" t="str" cm="1">
        <f t="array" aca="1" ref="E145" ca="1">IFERROR(IF(OR('Raw Data'!E145="",LEN(TRIM('Raw Data'!E145))=0),"",IF(AND(ISNUMBER('Raw Data'!E145), IFERROR('Raw Data'!E145 = ROUND('Raw Data'!E145, 2),FALSE)),"",_xlfn.REGEXEXTRACT(CELL("address",E145), "\$([A-Z]+)\$[0-9]+"))),_xlfn.REGEXEXTRACT(CELL("address",E145), "\$([A-Z]+)\$[0-9]+"))</f>
        <v/>
      </c>
      <c r="F145" s="7" t="str" cm="1">
        <f t="array" aca="1" ref="F145" ca="1">IFERROR(IF(OR('Raw Data'!F145="",LEN(TRIM('Raw Data'!F145))=0),"",IF(AND(ISNUMBER('Raw Data'!F145), IFERROR('Raw Data'!F145 = ROUND('Raw Data'!F145, 2),FALSE)),"",_xlfn.REGEXEXTRACT(CELL("address",F145), "\$([A-Z]+)\$[0-9]+"))),_xlfn.REGEXEXTRACT(CELL("address",F145), "\$([A-Z]+)\$[0-9]+"))</f>
        <v/>
      </c>
      <c r="G145" s="7" t="str" cm="1">
        <f t="array" aca="1" ref="G145" ca="1">IFERROR(IF(OR('Raw Data'!G145="",LEN(TRIM('Raw Data'!G145))=0),"",IF(AND(ISNUMBER('Raw Data'!G145), IFERROR('Raw Data'!G145 = ROUND('Raw Data'!G145, 2),FALSE)),"",_xlfn.REGEXEXTRACT(CELL("address",G145), "\$([A-Z]+)\$[0-9]+"))),_xlfn.REGEXEXTRACT(CELL("address",G145), "\$([A-Z]+)\$[0-9]+"))</f>
        <v/>
      </c>
      <c r="H145" s="7" t="str" cm="1">
        <f t="array" aca="1" ref="H145" ca="1">IFERROR(IF(OR('Raw Data'!H145="",LEN(TRIM('Raw Data'!H145))=0),"",IF(AND(ISNUMBER('Raw Data'!H145), IFERROR('Raw Data'!H145 = ROUND('Raw Data'!H145, 2),FALSE)),"",_xlfn.REGEXEXTRACT(CELL("address",H145), "\$([A-Z]+)\$[0-9]+"))),_xlfn.REGEXEXTRACT(CELL("address",H145), "\$([A-Z]+)\$[0-9]+"))</f>
        <v/>
      </c>
      <c r="I145" s="7" t="str" cm="1">
        <f t="array" aca="1" ref="I145" ca="1">IFERROR(IF(OR('Raw Data'!I145="",LEN(TRIM('Raw Data'!I145))=0),"",IF(AND(ISNUMBER('Raw Data'!I145), IFERROR('Raw Data'!I145 = ROUND('Raw Data'!I145, 2),FALSE)),"",_xlfn.REGEXEXTRACT(CELL("address",I145), "\$([A-Z]+)\$[0-9]+"))),_xlfn.REGEXEXTRACT(CELL("address",I145), "\$([A-Z]+)\$[0-9]+"))</f>
        <v/>
      </c>
      <c r="J145" s="7" t="str" cm="1">
        <f t="array" aca="1" ref="J145" ca="1">IFERROR(IF(OR('Raw Data'!J145="",LEN(TRIM('Raw Data'!J145))=0),"",IF(AND(ISNUMBER('Raw Data'!J145), IFERROR('Raw Data'!J145 = ROUND('Raw Data'!J145, 2),FALSE)),"",_xlfn.REGEXEXTRACT(CELL("address",J145), "\$([A-Z]+)\$[0-9]+"))),_xlfn.REGEXEXTRACT(CELL("address",J145), "\$([A-Z]+)\$[0-9]+"))</f>
        <v/>
      </c>
      <c r="K145" s="7" t="str" cm="1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7" t="str" cm="1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7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7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7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7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 cm="1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7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7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7" t="str" cm="1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7" t="str" cm="1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  <c r="Z145" s="7" t="str" cm="1">
        <f t="array" aca="1" ref="Z145" ca="1">IFERROR(IF(OR('Raw Data'!Z145="",LEN(TRIM('Raw Data'!Z145))=0),"",IF(AND(ISNUMBER('Raw Data'!Z145), IFERROR('Raw Data'!Z145 = ROUND('Raw Data'!Z145, 2),FALSE)),"",_xlfn.REGEXEXTRACT(CELL("address",Z145), "\$([A-Z]+)\$[0-9]+"))),_xlfn.REGEXEXTRACT(CELL("address",Z145), "\$([A-Z]+)\$[0-9]+"))</f>
        <v/>
      </c>
      <c r="AA145" s="7" t="str" cm="1">
        <f t="array" aca="1" ref="AA145" ca="1">IFERROR(IF(OR('Raw Data'!AA145="",LEN(TRIM('Raw Data'!AA145))=0),"",IF(AND(ISNUMBER('Raw Data'!AA145), IFERROR('Raw Data'!AA145 = ROUND('Raw Data'!AA145, 2),FALSE)),"",_xlfn.REGEXEXTRACT(CELL("address",AA145), "\$([A-Z]+)\$[0-9]+"))),_xlfn.REGEXEXTRACT(CELL("address",AA145), "\$([A-Z]+)\$[0-9]+"))</f>
        <v/>
      </c>
      <c r="AB145" s="7" t="str" cm="1">
        <f t="array" aca="1" ref="AB145" ca="1">IFERROR(IF(OR('Raw Data'!AB145="",LEN(TRIM('Raw Data'!AB145))=0),"",IF(AND(ISNUMBER('Raw Data'!AB145), IFERROR('Raw Data'!AB145 = ROUND('Raw Data'!AB145, 2),FALSE)),"",_xlfn.REGEXEXTRACT(CELL("address",AB145), "\$([A-Z]+)\$[0-9]+"))),_xlfn.REGEXEXTRACT(CELL("address",AB145), "\$([A-Z]+)\$[0-9]+"))</f>
        <v/>
      </c>
      <c r="AC145" s="7" t="str" cm="1">
        <f t="array" aca="1" ref="AC145" ca="1">IFERROR(IF(OR('Raw Data'!AC145="",LEN(TRIM('Raw Data'!AC145))=0),"",IF(AND(ISNUMBER('Raw Data'!AC145), IFERROR('Raw Data'!AC145 = ROUND('Raw Data'!AC145, 2),FALSE)),"",_xlfn.REGEXEXTRACT(CELL("address",AC145), "\$([A-Z]+)\$[0-9]+"))),_xlfn.REGEXEXTRACT(CELL("address",AC145), "\$([A-Z]+)\$[0-9]+"))</f>
        <v/>
      </c>
      <c r="AD145" s="7" t="str" cm="1">
        <f t="array" aca="1" ref="AD145" ca="1">IFERROR(IF(OR('Raw Data'!AD145="",LEN(TRIM('Raw Data'!AD145))=0),"",IF(AND(ISNUMBER('Raw Data'!AD145), IFERROR('Raw Data'!AD145 = ROUND('Raw Data'!AD145, 2),FALSE)),"",_xlfn.REGEXEXTRACT(CELL("address",AD145), "\$([A-Z]+)\$[0-9]+"))),_xlfn.REGEXEXTRACT(CELL("address",AD145), "\$([A-Z]+)\$[0-9]+"))</f>
        <v/>
      </c>
      <c r="AE145" s="7" t="str" cm="1">
        <f t="array" aca="1" ref="AE145" ca="1">IFERROR(IF(OR('Raw Data'!AE145="",LEN(TRIM('Raw Data'!AE145))=0),"",IF(AND(ISNUMBER('Raw Data'!AE145), IFERROR('Raw Data'!AE145 = ROUND('Raw Data'!AE145, 2),FALSE)),"",_xlfn.REGEXEXTRACT(CELL("address",AE145), "\$([A-Z]+)\$[0-9]+"))),_xlfn.REGEXEXTRACT(CELL("address",AE145), "\$([A-Z]+)\$[0-9]+"))</f>
        <v/>
      </c>
      <c r="AF145" s="7" t="str" cm="1">
        <f t="array" aca="1" ref="AF145" ca="1">IFERROR(IF(OR('Raw Data'!AF145="",LEN(TRIM('Raw Data'!AF145))=0),"",IF(AND(ISNUMBER('Raw Data'!AF145), IFERROR('Raw Data'!AF145 = ROUND('Raw Data'!AF145, 2),FALSE)),"",_xlfn.REGEXEXTRACT(CELL("address",AF145), "\$([A-Z]+)\$[0-9]+"))),_xlfn.REGEXEXTRACT(CELL("address",AF145), "\$([A-Z]+)\$[0-9]+"))</f>
        <v/>
      </c>
      <c r="AG145" s="7" t="str" cm="1">
        <f t="array" aca="1" ref="AG145" ca="1">IFERROR(IF(OR('Raw Data'!AG145="",LEN(TRIM('Raw Data'!AG145))=0),"",IF(AND(ISNUMBER('Raw Data'!AG145), IFERROR('Raw Data'!AG145 = ROUND('Raw Data'!AG145, 2),FALSE)),"",_xlfn.REGEXEXTRACT(CELL("address",AG145), "\$([A-Z]+)\$[0-9]+"))),_xlfn.REGEXEXTRACT(CELL("address",AG145), "\$([A-Z]+)\$[0-9]+"))</f>
        <v/>
      </c>
      <c r="AH145" s="7" t="str" cm="1">
        <f t="array" aca="1" ref="AH145" ca="1">IFERROR(IF(OR('Raw Data'!AH145="",LEN(TRIM('Raw Data'!AH145))=0),"",IF(AND(ISNUMBER('Raw Data'!AH145), IFERROR('Raw Data'!AH145 = ROUND('Raw Data'!AH145, 2),FALSE)),"",_xlfn.REGEXEXTRACT(CELL("address",AH145), "\$([A-Z]+)\$[0-9]+"))),_xlfn.REGEXEXTRACT(CELL("address",AH145), "\$([A-Z]+)\$[0-9]+"))</f>
        <v/>
      </c>
      <c r="AI145" s="7" t="str" cm="1">
        <f t="array" aca="1" ref="AI145" ca="1">IFERROR(IF(OR('Raw Data'!AI145="",LEN(TRIM('Raw Data'!AI145))=0),"",IF(AND(ISNUMBER('Raw Data'!AI145), IFERROR('Raw Data'!AI145 = ROUND('Raw Data'!AI145, 2),FALSE)),"",_xlfn.REGEXEXTRACT(CELL("address",AI145), "\$([A-Z]+)\$[0-9]+"))),_xlfn.REGEXEXTRACT(CELL("address",AI145), "\$([A-Z]+)\$[0-9]+"))</f>
        <v/>
      </c>
      <c r="AJ145" s="7" t="str" cm="1">
        <f t="array" aca="1" ref="AJ145" ca="1">IFERROR(IF(OR('Raw Data'!AJ145="",LEN(TRIM('Raw Data'!AJ145))=0),"",IF(AND(ISNUMBER('Raw Data'!AJ145), IFERROR('Raw Data'!AJ145 = ROUND('Raw Data'!AJ145, 2),FALSE)),"",_xlfn.REGEXEXTRACT(CELL("address",AJ145), "\$([A-Z]+)\$[0-9]+"))),_xlfn.REGEXEXTRACT(CELL("address",AJ145), "\$([A-Z]+)\$[0-9]+"))</f>
        <v/>
      </c>
    </row>
    <row r="146" spans="2:36" x14ac:dyDescent="0.25">
      <c r="B146" s="7" t="str" cm="1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20,LEN('Raw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Data'!D146))=0),"",IF(AND(ISNUMBER('Raw Data'!D146),'Raw Data'!D146&gt;=Configuration!$D$2),"",_xlfn.REGEXEXTRACT(CELL("address",'Raw Data'!D146),"\$([A-Z]+)\$[0-9]+"))),_xlfn.REGEXEXTRACT(CELL("address",D146), "\$([A-Z]+)\$[0-9]+"))</f>
        <v/>
      </c>
      <c r="E146" s="7" t="str" cm="1">
        <f t="array" aca="1" ref="E146" ca="1">IFERROR(IF(OR('Raw Data'!E146="",LEN(TRIM('Raw Data'!E146))=0),"",IF(AND(ISNUMBER('Raw Data'!E146), IFERROR('Raw Data'!E146 = ROUND('Raw Data'!E146, 2),FALSE)),"",_xlfn.REGEXEXTRACT(CELL("address",E146), "\$([A-Z]+)\$[0-9]+"))),_xlfn.REGEXEXTRACT(CELL("address",E146), "\$([A-Z]+)\$[0-9]+"))</f>
        <v/>
      </c>
      <c r="F146" s="7" t="str" cm="1">
        <f t="array" aca="1" ref="F146" ca="1">IFERROR(IF(OR('Raw Data'!F146="",LEN(TRIM('Raw Data'!F146))=0),"",IF(AND(ISNUMBER('Raw Data'!F146), IFERROR('Raw Data'!F146 = ROUND('Raw Data'!F146, 2),FALSE)),"",_xlfn.REGEXEXTRACT(CELL("address",F146), "\$([A-Z]+)\$[0-9]+"))),_xlfn.REGEXEXTRACT(CELL("address",F146), "\$([A-Z]+)\$[0-9]+"))</f>
        <v/>
      </c>
      <c r="G146" s="7" t="str" cm="1">
        <f t="array" aca="1" ref="G146" ca="1">IFERROR(IF(OR('Raw Data'!G146="",LEN(TRIM('Raw Data'!G146))=0),"",IF(AND(ISNUMBER('Raw Data'!G146), IFERROR('Raw Data'!G146 = ROUND('Raw Data'!G146, 2),FALSE)),"",_xlfn.REGEXEXTRACT(CELL("address",G146), "\$([A-Z]+)\$[0-9]+"))),_xlfn.REGEXEXTRACT(CELL("address",G146), "\$([A-Z]+)\$[0-9]+"))</f>
        <v/>
      </c>
      <c r="H146" s="7" t="str" cm="1">
        <f t="array" aca="1" ref="H146" ca="1">IFERROR(IF(OR('Raw Data'!H146="",LEN(TRIM('Raw Data'!H146))=0),"",IF(AND(ISNUMBER('Raw Data'!H146), IFERROR('Raw Data'!H146 = ROUND('Raw Data'!H146, 2),FALSE)),"",_xlfn.REGEXEXTRACT(CELL("address",H146), "\$([A-Z]+)\$[0-9]+"))),_xlfn.REGEXEXTRACT(CELL("address",H146), "\$([A-Z]+)\$[0-9]+"))</f>
        <v/>
      </c>
      <c r="I146" s="7" t="str" cm="1">
        <f t="array" aca="1" ref="I146" ca="1">IFERROR(IF(OR('Raw Data'!I146="",LEN(TRIM('Raw Data'!I146))=0),"",IF(AND(ISNUMBER('Raw Data'!I146), IFERROR('Raw Data'!I146 = ROUND('Raw Data'!I146, 2),FALSE)),"",_xlfn.REGEXEXTRACT(CELL("address",I146), "\$([A-Z]+)\$[0-9]+"))),_xlfn.REGEXEXTRACT(CELL("address",I146), "\$([A-Z]+)\$[0-9]+"))</f>
        <v/>
      </c>
      <c r="J146" s="7" t="str" cm="1">
        <f t="array" aca="1" ref="J146" ca="1">IFERROR(IF(OR('Raw Data'!J146="",LEN(TRIM('Raw Data'!J146))=0),"",IF(AND(ISNUMBER('Raw Data'!J146), IFERROR('Raw Data'!J146 = ROUND('Raw Data'!J146, 2),FALSE)),"",_xlfn.REGEXEXTRACT(CELL("address",J146), "\$([A-Z]+)\$[0-9]+"))),_xlfn.REGEXEXTRACT(CELL("address",J146), "\$([A-Z]+)\$[0-9]+"))</f>
        <v/>
      </c>
      <c r="K146" s="7" t="str" cm="1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7" t="str" cm="1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7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7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7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7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 cm="1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7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7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7" t="str" cm="1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7" t="str" cm="1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  <c r="Z146" s="7" t="str" cm="1">
        <f t="array" aca="1" ref="Z146" ca="1">IFERROR(IF(OR('Raw Data'!Z146="",LEN(TRIM('Raw Data'!Z146))=0),"",IF(AND(ISNUMBER('Raw Data'!Z146), IFERROR('Raw Data'!Z146 = ROUND('Raw Data'!Z146, 2),FALSE)),"",_xlfn.REGEXEXTRACT(CELL("address",Z146), "\$([A-Z]+)\$[0-9]+"))),_xlfn.REGEXEXTRACT(CELL("address",Z146), "\$([A-Z]+)\$[0-9]+"))</f>
        <v/>
      </c>
      <c r="AA146" s="7" t="str" cm="1">
        <f t="array" aca="1" ref="AA146" ca="1">IFERROR(IF(OR('Raw Data'!AA146="",LEN(TRIM('Raw Data'!AA146))=0),"",IF(AND(ISNUMBER('Raw Data'!AA146), IFERROR('Raw Data'!AA146 = ROUND('Raw Data'!AA146, 2),FALSE)),"",_xlfn.REGEXEXTRACT(CELL("address",AA146), "\$([A-Z]+)\$[0-9]+"))),_xlfn.REGEXEXTRACT(CELL("address",AA146), "\$([A-Z]+)\$[0-9]+"))</f>
        <v/>
      </c>
      <c r="AB146" s="7" t="str" cm="1">
        <f t="array" aca="1" ref="AB146" ca="1">IFERROR(IF(OR('Raw Data'!AB146="",LEN(TRIM('Raw Data'!AB146))=0),"",IF(AND(ISNUMBER('Raw Data'!AB146), IFERROR('Raw Data'!AB146 = ROUND('Raw Data'!AB146, 2),FALSE)),"",_xlfn.REGEXEXTRACT(CELL("address",AB146), "\$([A-Z]+)\$[0-9]+"))),_xlfn.REGEXEXTRACT(CELL("address",AB146), "\$([A-Z]+)\$[0-9]+"))</f>
        <v/>
      </c>
      <c r="AC146" s="7" t="str" cm="1">
        <f t="array" aca="1" ref="AC146" ca="1">IFERROR(IF(OR('Raw Data'!AC146="",LEN(TRIM('Raw Data'!AC146))=0),"",IF(AND(ISNUMBER('Raw Data'!AC146), IFERROR('Raw Data'!AC146 = ROUND('Raw Data'!AC146, 2),FALSE)),"",_xlfn.REGEXEXTRACT(CELL("address",AC146), "\$([A-Z]+)\$[0-9]+"))),_xlfn.REGEXEXTRACT(CELL("address",AC146), "\$([A-Z]+)\$[0-9]+"))</f>
        <v/>
      </c>
      <c r="AD146" s="7" t="str" cm="1">
        <f t="array" aca="1" ref="AD146" ca="1">IFERROR(IF(OR('Raw Data'!AD146="",LEN(TRIM('Raw Data'!AD146))=0),"",IF(AND(ISNUMBER('Raw Data'!AD146), IFERROR('Raw Data'!AD146 = ROUND('Raw Data'!AD146, 2),FALSE)),"",_xlfn.REGEXEXTRACT(CELL("address",AD146), "\$([A-Z]+)\$[0-9]+"))),_xlfn.REGEXEXTRACT(CELL("address",AD146), "\$([A-Z]+)\$[0-9]+"))</f>
        <v/>
      </c>
      <c r="AE146" s="7" t="str" cm="1">
        <f t="array" aca="1" ref="AE146" ca="1">IFERROR(IF(OR('Raw Data'!AE146="",LEN(TRIM('Raw Data'!AE146))=0),"",IF(AND(ISNUMBER('Raw Data'!AE146), IFERROR('Raw Data'!AE146 = ROUND('Raw Data'!AE146, 2),FALSE)),"",_xlfn.REGEXEXTRACT(CELL("address",AE146), "\$([A-Z]+)\$[0-9]+"))),_xlfn.REGEXEXTRACT(CELL("address",AE146), "\$([A-Z]+)\$[0-9]+"))</f>
        <v/>
      </c>
      <c r="AF146" s="7" t="str" cm="1">
        <f t="array" aca="1" ref="AF146" ca="1">IFERROR(IF(OR('Raw Data'!AF146="",LEN(TRIM('Raw Data'!AF146))=0),"",IF(AND(ISNUMBER('Raw Data'!AF146), IFERROR('Raw Data'!AF146 = ROUND('Raw Data'!AF146, 2),FALSE)),"",_xlfn.REGEXEXTRACT(CELL("address",AF146), "\$([A-Z]+)\$[0-9]+"))),_xlfn.REGEXEXTRACT(CELL("address",AF146), "\$([A-Z]+)\$[0-9]+"))</f>
        <v/>
      </c>
      <c r="AG146" s="7" t="str" cm="1">
        <f t="array" aca="1" ref="AG146" ca="1">IFERROR(IF(OR('Raw Data'!AG146="",LEN(TRIM('Raw Data'!AG146))=0),"",IF(AND(ISNUMBER('Raw Data'!AG146), IFERROR('Raw Data'!AG146 = ROUND('Raw Data'!AG146, 2),FALSE)),"",_xlfn.REGEXEXTRACT(CELL("address",AG146), "\$([A-Z]+)\$[0-9]+"))),_xlfn.REGEXEXTRACT(CELL("address",AG146), "\$([A-Z]+)\$[0-9]+"))</f>
        <v/>
      </c>
      <c r="AH146" s="7" t="str" cm="1">
        <f t="array" aca="1" ref="AH146" ca="1">IFERROR(IF(OR('Raw Data'!AH146="",LEN(TRIM('Raw Data'!AH146))=0),"",IF(AND(ISNUMBER('Raw Data'!AH146), IFERROR('Raw Data'!AH146 = ROUND('Raw Data'!AH146, 2),FALSE)),"",_xlfn.REGEXEXTRACT(CELL("address",AH146), "\$([A-Z]+)\$[0-9]+"))),_xlfn.REGEXEXTRACT(CELL("address",AH146), "\$([A-Z]+)\$[0-9]+"))</f>
        <v/>
      </c>
      <c r="AI146" s="7" t="str" cm="1">
        <f t="array" aca="1" ref="AI146" ca="1">IFERROR(IF(OR('Raw Data'!AI146="",LEN(TRIM('Raw Data'!AI146))=0),"",IF(AND(ISNUMBER('Raw Data'!AI146), IFERROR('Raw Data'!AI146 = ROUND('Raw Data'!AI146, 2),FALSE)),"",_xlfn.REGEXEXTRACT(CELL("address",AI146), "\$([A-Z]+)\$[0-9]+"))),_xlfn.REGEXEXTRACT(CELL("address",AI146), "\$([A-Z]+)\$[0-9]+"))</f>
        <v/>
      </c>
      <c r="AJ146" s="7" t="str" cm="1">
        <f t="array" aca="1" ref="AJ146" ca="1">IFERROR(IF(OR('Raw Data'!AJ146="",LEN(TRIM('Raw Data'!AJ146))=0),"",IF(AND(ISNUMBER('Raw Data'!AJ146), IFERROR('Raw Data'!AJ146 = ROUND('Raw Data'!AJ146, 2),FALSE)),"",_xlfn.REGEXEXTRACT(CELL("address",AJ146), "\$([A-Z]+)\$[0-9]+"))),_xlfn.REGEXEXTRACT(CELL("address",AJ146), "\$([A-Z]+)\$[0-9]+"))</f>
        <v/>
      </c>
    </row>
    <row r="147" spans="2:36" x14ac:dyDescent="0.25">
      <c r="B147" s="7" t="str" cm="1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20,LEN('Raw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Data'!D147))=0),"",IF(AND(ISNUMBER('Raw Data'!D147),'Raw Data'!D147&gt;=Configuration!$D$2),"",_xlfn.REGEXEXTRACT(CELL("address",'Raw Data'!D147),"\$([A-Z]+)\$[0-9]+"))),_xlfn.REGEXEXTRACT(CELL("address",D147), "\$([A-Z]+)\$[0-9]+"))</f>
        <v/>
      </c>
      <c r="E147" s="7" t="str" cm="1">
        <f t="array" aca="1" ref="E147" ca="1">IFERROR(IF(OR('Raw Data'!E147="",LEN(TRIM('Raw Data'!E147))=0),"",IF(AND(ISNUMBER('Raw Data'!E147), IFERROR('Raw Data'!E147 = ROUND('Raw Data'!E147, 2),FALSE)),"",_xlfn.REGEXEXTRACT(CELL("address",E147), "\$([A-Z]+)\$[0-9]+"))),_xlfn.REGEXEXTRACT(CELL("address",E147), "\$([A-Z]+)\$[0-9]+"))</f>
        <v/>
      </c>
      <c r="F147" s="7" t="str" cm="1">
        <f t="array" aca="1" ref="F147" ca="1">IFERROR(IF(OR('Raw Data'!F147="",LEN(TRIM('Raw Data'!F147))=0),"",IF(AND(ISNUMBER('Raw Data'!F147), IFERROR('Raw Data'!F147 = ROUND('Raw Data'!F147, 2),FALSE)),"",_xlfn.REGEXEXTRACT(CELL("address",F147), "\$([A-Z]+)\$[0-9]+"))),_xlfn.REGEXEXTRACT(CELL("address",F147), "\$([A-Z]+)\$[0-9]+"))</f>
        <v/>
      </c>
      <c r="G147" s="7" t="str" cm="1">
        <f t="array" aca="1" ref="G147" ca="1">IFERROR(IF(OR('Raw Data'!G147="",LEN(TRIM('Raw Data'!G147))=0),"",IF(AND(ISNUMBER('Raw Data'!G147), IFERROR('Raw Data'!G147 = ROUND('Raw Data'!G147, 2),FALSE)),"",_xlfn.REGEXEXTRACT(CELL("address",G147), "\$([A-Z]+)\$[0-9]+"))),_xlfn.REGEXEXTRACT(CELL("address",G147), "\$([A-Z]+)\$[0-9]+"))</f>
        <v/>
      </c>
      <c r="H147" s="7" t="str" cm="1">
        <f t="array" aca="1" ref="H147" ca="1">IFERROR(IF(OR('Raw Data'!H147="",LEN(TRIM('Raw Data'!H147))=0),"",IF(AND(ISNUMBER('Raw Data'!H147), IFERROR('Raw Data'!H147 = ROUND('Raw Data'!H147, 2),FALSE)),"",_xlfn.REGEXEXTRACT(CELL("address",H147), "\$([A-Z]+)\$[0-9]+"))),_xlfn.REGEXEXTRACT(CELL("address",H147), "\$([A-Z]+)\$[0-9]+"))</f>
        <v/>
      </c>
      <c r="I147" s="7" t="str" cm="1">
        <f t="array" aca="1" ref="I147" ca="1">IFERROR(IF(OR('Raw Data'!I147="",LEN(TRIM('Raw Data'!I147))=0),"",IF(AND(ISNUMBER('Raw Data'!I147), IFERROR('Raw Data'!I147 = ROUND('Raw Data'!I147, 2),FALSE)),"",_xlfn.REGEXEXTRACT(CELL("address",I147), "\$([A-Z]+)\$[0-9]+"))),_xlfn.REGEXEXTRACT(CELL("address",I147), "\$([A-Z]+)\$[0-9]+"))</f>
        <v/>
      </c>
      <c r="J147" s="7" t="str" cm="1">
        <f t="array" aca="1" ref="J147" ca="1">IFERROR(IF(OR('Raw Data'!J147="",LEN(TRIM('Raw Data'!J147))=0),"",IF(AND(ISNUMBER('Raw Data'!J147), IFERROR('Raw Data'!J147 = ROUND('Raw Data'!J147, 2),FALSE)),"",_xlfn.REGEXEXTRACT(CELL("address",J147), "\$([A-Z]+)\$[0-9]+"))),_xlfn.REGEXEXTRACT(CELL("address",J147), "\$([A-Z]+)\$[0-9]+"))</f>
        <v/>
      </c>
      <c r="K147" s="7" t="str" cm="1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7" t="str" cm="1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7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7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7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7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 cm="1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7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7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7" t="str" cm="1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7" t="str" cm="1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  <c r="Z147" s="7" t="str" cm="1">
        <f t="array" aca="1" ref="Z147" ca="1">IFERROR(IF(OR('Raw Data'!Z147="",LEN(TRIM('Raw Data'!Z147))=0),"",IF(AND(ISNUMBER('Raw Data'!Z147), IFERROR('Raw Data'!Z147 = ROUND('Raw Data'!Z147, 2),FALSE)),"",_xlfn.REGEXEXTRACT(CELL("address",Z147), "\$([A-Z]+)\$[0-9]+"))),_xlfn.REGEXEXTRACT(CELL("address",Z147), "\$([A-Z]+)\$[0-9]+"))</f>
        <v/>
      </c>
      <c r="AA147" s="7" t="str" cm="1">
        <f t="array" aca="1" ref="AA147" ca="1">IFERROR(IF(OR('Raw Data'!AA147="",LEN(TRIM('Raw Data'!AA147))=0),"",IF(AND(ISNUMBER('Raw Data'!AA147), IFERROR('Raw Data'!AA147 = ROUND('Raw Data'!AA147, 2),FALSE)),"",_xlfn.REGEXEXTRACT(CELL("address",AA147), "\$([A-Z]+)\$[0-9]+"))),_xlfn.REGEXEXTRACT(CELL("address",AA147), "\$([A-Z]+)\$[0-9]+"))</f>
        <v/>
      </c>
      <c r="AB147" s="7" t="str" cm="1">
        <f t="array" aca="1" ref="AB147" ca="1">IFERROR(IF(OR('Raw Data'!AB147="",LEN(TRIM('Raw Data'!AB147))=0),"",IF(AND(ISNUMBER('Raw Data'!AB147), IFERROR('Raw Data'!AB147 = ROUND('Raw Data'!AB147, 2),FALSE)),"",_xlfn.REGEXEXTRACT(CELL("address",AB147), "\$([A-Z]+)\$[0-9]+"))),_xlfn.REGEXEXTRACT(CELL("address",AB147), "\$([A-Z]+)\$[0-9]+"))</f>
        <v/>
      </c>
      <c r="AC147" s="7" t="str" cm="1">
        <f t="array" aca="1" ref="AC147" ca="1">IFERROR(IF(OR('Raw Data'!AC147="",LEN(TRIM('Raw Data'!AC147))=0),"",IF(AND(ISNUMBER('Raw Data'!AC147), IFERROR('Raw Data'!AC147 = ROUND('Raw Data'!AC147, 2),FALSE)),"",_xlfn.REGEXEXTRACT(CELL("address",AC147), "\$([A-Z]+)\$[0-9]+"))),_xlfn.REGEXEXTRACT(CELL("address",AC147), "\$([A-Z]+)\$[0-9]+"))</f>
        <v/>
      </c>
      <c r="AD147" s="7" t="str" cm="1">
        <f t="array" aca="1" ref="AD147" ca="1">IFERROR(IF(OR('Raw Data'!AD147="",LEN(TRIM('Raw Data'!AD147))=0),"",IF(AND(ISNUMBER('Raw Data'!AD147), IFERROR('Raw Data'!AD147 = ROUND('Raw Data'!AD147, 2),FALSE)),"",_xlfn.REGEXEXTRACT(CELL("address",AD147), "\$([A-Z]+)\$[0-9]+"))),_xlfn.REGEXEXTRACT(CELL("address",AD147), "\$([A-Z]+)\$[0-9]+"))</f>
        <v/>
      </c>
      <c r="AE147" s="7" t="str" cm="1">
        <f t="array" aca="1" ref="AE147" ca="1">IFERROR(IF(OR('Raw Data'!AE147="",LEN(TRIM('Raw Data'!AE147))=0),"",IF(AND(ISNUMBER('Raw Data'!AE147), IFERROR('Raw Data'!AE147 = ROUND('Raw Data'!AE147, 2),FALSE)),"",_xlfn.REGEXEXTRACT(CELL("address",AE147), "\$([A-Z]+)\$[0-9]+"))),_xlfn.REGEXEXTRACT(CELL("address",AE147), "\$([A-Z]+)\$[0-9]+"))</f>
        <v/>
      </c>
      <c r="AF147" s="7" t="str" cm="1">
        <f t="array" aca="1" ref="AF147" ca="1">IFERROR(IF(OR('Raw Data'!AF147="",LEN(TRIM('Raw Data'!AF147))=0),"",IF(AND(ISNUMBER('Raw Data'!AF147), IFERROR('Raw Data'!AF147 = ROUND('Raw Data'!AF147, 2),FALSE)),"",_xlfn.REGEXEXTRACT(CELL("address",AF147), "\$([A-Z]+)\$[0-9]+"))),_xlfn.REGEXEXTRACT(CELL("address",AF147), "\$([A-Z]+)\$[0-9]+"))</f>
        <v/>
      </c>
      <c r="AG147" s="7" t="str" cm="1">
        <f t="array" aca="1" ref="AG147" ca="1">IFERROR(IF(OR('Raw Data'!AG147="",LEN(TRIM('Raw Data'!AG147))=0),"",IF(AND(ISNUMBER('Raw Data'!AG147), IFERROR('Raw Data'!AG147 = ROUND('Raw Data'!AG147, 2),FALSE)),"",_xlfn.REGEXEXTRACT(CELL("address",AG147), "\$([A-Z]+)\$[0-9]+"))),_xlfn.REGEXEXTRACT(CELL("address",AG147), "\$([A-Z]+)\$[0-9]+"))</f>
        <v/>
      </c>
      <c r="AH147" s="7" t="str" cm="1">
        <f t="array" aca="1" ref="AH147" ca="1">IFERROR(IF(OR('Raw Data'!AH147="",LEN(TRIM('Raw Data'!AH147))=0),"",IF(AND(ISNUMBER('Raw Data'!AH147), IFERROR('Raw Data'!AH147 = ROUND('Raw Data'!AH147, 2),FALSE)),"",_xlfn.REGEXEXTRACT(CELL("address",AH147), "\$([A-Z]+)\$[0-9]+"))),_xlfn.REGEXEXTRACT(CELL("address",AH147), "\$([A-Z]+)\$[0-9]+"))</f>
        <v/>
      </c>
      <c r="AI147" s="7" t="str" cm="1">
        <f t="array" aca="1" ref="AI147" ca="1">IFERROR(IF(OR('Raw Data'!AI147="",LEN(TRIM('Raw Data'!AI147))=0),"",IF(AND(ISNUMBER('Raw Data'!AI147), IFERROR('Raw Data'!AI147 = ROUND('Raw Data'!AI147, 2),FALSE)),"",_xlfn.REGEXEXTRACT(CELL("address",AI147), "\$([A-Z]+)\$[0-9]+"))),_xlfn.REGEXEXTRACT(CELL("address",AI147), "\$([A-Z]+)\$[0-9]+"))</f>
        <v/>
      </c>
      <c r="AJ147" s="7" t="str" cm="1">
        <f t="array" aca="1" ref="AJ147" ca="1">IFERROR(IF(OR('Raw Data'!AJ147="",LEN(TRIM('Raw Data'!AJ147))=0),"",IF(AND(ISNUMBER('Raw Data'!AJ147), IFERROR('Raw Data'!AJ147 = ROUND('Raw Data'!AJ147, 2),FALSE)),"",_xlfn.REGEXEXTRACT(CELL("address",AJ147), "\$([A-Z]+)\$[0-9]+"))),_xlfn.REGEXEXTRACT(CELL("address",AJ147), "\$([A-Z]+)\$[0-9]+"))</f>
        <v/>
      </c>
    </row>
    <row r="148" spans="2:36" x14ac:dyDescent="0.25">
      <c r="B148" s="7" t="str" cm="1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20,LEN('Raw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Data'!D148))=0),"",IF(AND(ISNUMBER('Raw Data'!D148),'Raw Data'!D148&gt;=Configuration!$D$2),"",_xlfn.REGEXEXTRACT(CELL("address",'Raw Data'!D148),"\$([A-Z]+)\$[0-9]+"))),_xlfn.REGEXEXTRACT(CELL("address",D148), "\$([A-Z]+)\$[0-9]+"))</f>
        <v/>
      </c>
      <c r="E148" s="7" t="str" cm="1">
        <f t="array" aca="1" ref="E148" ca="1">IFERROR(IF(OR('Raw Data'!E148="",LEN(TRIM('Raw Data'!E148))=0),"",IF(AND(ISNUMBER('Raw Data'!E148), IFERROR('Raw Data'!E148 = ROUND('Raw Data'!E148, 2),FALSE)),"",_xlfn.REGEXEXTRACT(CELL("address",E148), "\$([A-Z]+)\$[0-9]+"))),_xlfn.REGEXEXTRACT(CELL("address",E148), "\$([A-Z]+)\$[0-9]+"))</f>
        <v/>
      </c>
      <c r="F148" s="7" t="str" cm="1">
        <f t="array" aca="1" ref="F148" ca="1">IFERROR(IF(OR('Raw Data'!F148="",LEN(TRIM('Raw Data'!F148))=0),"",IF(AND(ISNUMBER('Raw Data'!F148), IFERROR('Raw Data'!F148 = ROUND('Raw Data'!F148, 2),FALSE)),"",_xlfn.REGEXEXTRACT(CELL("address",F148), "\$([A-Z]+)\$[0-9]+"))),_xlfn.REGEXEXTRACT(CELL("address",F148), "\$([A-Z]+)\$[0-9]+"))</f>
        <v/>
      </c>
      <c r="G148" s="7" t="str" cm="1">
        <f t="array" aca="1" ref="G148" ca="1">IFERROR(IF(OR('Raw Data'!G148="",LEN(TRIM('Raw Data'!G148))=0),"",IF(AND(ISNUMBER('Raw Data'!G148), IFERROR('Raw Data'!G148 = ROUND('Raw Data'!G148, 2),FALSE)),"",_xlfn.REGEXEXTRACT(CELL("address",G148), "\$([A-Z]+)\$[0-9]+"))),_xlfn.REGEXEXTRACT(CELL("address",G148), "\$([A-Z]+)\$[0-9]+"))</f>
        <v/>
      </c>
      <c r="H148" s="7" t="str" cm="1">
        <f t="array" aca="1" ref="H148" ca="1">IFERROR(IF(OR('Raw Data'!H148="",LEN(TRIM('Raw Data'!H148))=0),"",IF(AND(ISNUMBER('Raw Data'!H148), IFERROR('Raw Data'!H148 = ROUND('Raw Data'!H148, 2),FALSE)),"",_xlfn.REGEXEXTRACT(CELL("address",H148), "\$([A-Z]+)\$[0-9]+"))),_xlfn.REGEXEXTRACT(CELL("address",H148), "\$([A-Z]+)\$[0-9]+"))</f>
        <v/>
      </c>
      <c r="I148" s="7" t="str" cm="1">
        <f t="array" aca="1" ref="I148" ca="1">IFERROR(IF(OR('Raw Data'!I148="",LEN(TRIM('Raw Data'!I148))=0),"",IF(AND(ISNUMBER('Raw Data'!I148), IFERROR('Raw Data'!I148 = ROUND('Raw Data'!I148, 2),FALSE)),"",_xlfn.REGEXEXTRACT(CELL("address",I148), "\$([A-Z]+)\$[0-9]+"))),_xlfn.REGEXEXTRACT(CELL("address",I148), "\$([A-Z]+)\$[0-9]+"))</f>
        <v/>
      </c>
      <c r="J148" s="7" t="str" cm="1">
        <f t="array" aca="1" ref="J148" ca="1">IFERROR(IF(OR('Raw Data'!J148="",LEN(TRIM('Raw Data'!J148))=0),"",IF(AND(ISNUMBER('Raw Data'!J148), IFERROR('Raw Data'!J148 = ROUND('Raw Data'!J148, 2),FALSE)),"",_xlfn.REGEXEXTRACT(CELL("address",J148), "\$([A-Z]+)\$[0-9]+"))),_xlfn.REGEXEXTRACT(CELL("address",J148), "\$([A-Z]+)\$[0-9]+"))</f>
        <v/>
      </c>
      <c r="K148" s="7" t="str" cm="1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7" t="str" cm="1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7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7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7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7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 cm="1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7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7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7" t="str" cm="1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7" t="str" cm="1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  <c r="Z148" s="7" t="str" cm="1">
        <f t="array" aca="1" ref="Z148" ca="1">IFERROR(IF(OR('Raw Data'!Z148="",LEN(TRIM('Raw Data'!Z148))=0),"",IF(AND(ISNUMBER('Raw Data'!Z148), IFERROR('Raw Data'!Z148 = ROUND('Raw Data'!Z148, 2),FALSE)),"",_xlfn.REGEXEXTRACT(CELL("address",Z148), "\$([A-Z]+)\$[0-9]+"))),_xlfn.REGEXEXTRACT(CELL("address",Z148), "\$([A-Z]+)\$[0-9]+"))</f>
        <v/>
      </c>
      <c r="AA148" s="7" t="str" cm="1">
        <f t="array" aca="1" ref="AA148" ca="1">IFERROR(IF(OR('Raw Data'!AA148="",LEN(TRIM('Raw Data'!AA148))=0),"",IF(AND(ISNUMBER('Raw Data'!AA148), IFERROR('Raw Data'!AA148 = ROUND('Raw Data'!AA148, 2),FALSE)),"",_xlfn.REGEXEXTRACT(CELL("address",AA148), "\$([A-Z]+)\$[0-9]+"))),_xlfn.REGEXEXTRACT(CELL("address",AA148), "\$([A-Z]+)\$[0-9]+"))</f>
        <v/>
      </c>
      <c r="AB148" s="7" t="str" cm="1">
        <f t="array" aca="1" ref="AB148" ca="1">IFERROR(IF(OR('Raw Data'!AB148="",LEN(TRIM('Raw Data'!AB148))=0),"",IF(AND(ISNUMBER('Raw Data'!AB148), IFERROR('Raw Data'!AB148 = ROUND('Raw Data'!AB148, 2),FALSE)),"",_xlfn.REGEXEXTRACT(CELL("address",AB148), "\$([A-Z]+)\$[0-9]+"))),_xlfn.REGEXEXTRACT(CELL("address",AB148), "\$([A-Z]+)\$[0-9]+"))</f>
        <v/>
      </c>
      <c r="AC148" s="7" t="str" cm="1">
        <f t="array" aca="1" ref="AC148" ca="1">IFERROR(IF(OR('Raw Data'!AC148="",LEN(TRIM('Raw Data'!AC148))=0),"",IF(AND(ISNUMBER('Raw Data'!AC148), IFERROR('Raw Data'!AC148 = ROUND('Raw Data'!AC148, 2),FALSE)),"",_xlfn.REGEXEXTRACT(CELL("address",AC148), "\$([A-Z]+)\$[0-9]+"))),_xlfn.REGEXEXTRACT(CELL("address",AC148), "\$([A-Z]+)\$[0-9]+"))</f>
        <v/>
      </c>
      <c r="AD148" s="7" t="str" cm="1">
        <f t="array" aca="1" ref="AD148" ca="1">IFERROR(IF(OR('Raw Data'!AD148="",LEN(TRIM('Raw Data'!AD148))=0),"",IF(AND(ISNUMBER('Raw Data'!AD148), IFERROR('Raw Data'!AD148 = ROUND('Raw Data'!AD148, 2),FALSE)),"",_xlfn.REGEXEXTRACT(CELL("address",AD148), "\$([A-Z]+)\$[0-9]+"))),_xlfn.REGEXEXTRACT(CELL("address",AD148), "\$([A-Z]+)\$[0-9]+"))</f>
        <v/>
      </c>
      <c r="AE148" s="7" t="str" cm="1">
        <f t="array" aca="1" ref="AE148" ca="1">IFERROR(IF(OR('Raw Data'!AE148="",LEN(TRIM('Raw Data'!AE148))=0),"",IF(AND(ISNUMBER('Raw Data'!AE148), IFERROR('Raw Data'!AE148 = ROUND('Raw Data'!AE148, 2),FALSE)),"",_xlfn.REGEXEXTRACT(CELL("address",AE148), "\$([A-Z]+)\$[0-9]+"))),_xlfn.REGEXEXTRACT(CELL("address",AE148), "\$([A-Z]+)\$[0-9]+"))</f>
        <v/>
      </c>
      <c r="AF148" s="7" t="str" cm="1">
        <f t="array" aca="1" ref="AF148" ca="1">IFERROR(IF(OR('Raw Data'!AF148="",LEN(TRIM('Raw Data'!AF148))=0),"",IF(AND(ISNUMBER('Raw Data'!AF148), IFERROR('Raw Data'!AF148 = ROUND('Raw Data'!AF148, 2),FALSE)),"",_xlfn.REGEXEXTRACT(CELL("address",AF148), "\$([A-Z]+)\$[0-9]+"))),_xlfn.REGEXEXTRACT(CELL("address",AF148), "\$([A-Z]+)\$[0-9]+"))</f>
        <v/>
      </c>
      <c r="AG148" s="7" t="str" cm="1">
        <f t="array" aca="1" ref="AG148" ca="1">IFERROR(IF(OR('Raw Data'!AG148="",LEN(TRIM('Raw Data'!AG148))=0),"",IF(AND(ISNUMBER('Raw Data'!AG148), IFERROR('Raw Data'!AG148 = ROUND('Raw Data'!AG148, 2),FALSE)),"",_xlfn.REGEXEXTRACT(CELL("address",AG148), "\$([A-Z]+)\$[0-9]+"))),_xlfn.REGEXEXTRACT(CELL("address",AG148), "\$([A-Z]+)\$[0-9]+"))</f>
        <v/>
      </c>
      <c r="AH148" s="7" t="str" cm="1">
        <f t="array" aca="1" ref="AH148" ca="1">IFERROR(IF(OR('Raw Data'!AH148="",LEN(TRIM('Raw Data'!AH148))=0),"",IF(AND(ISNUMBER('Raw Data'!AH148), IFERROR('Raw Data'!AH148 = ROUND('Raw Data'!AH148, 2),FALSE)),"",_xlfn.REGEXEXTRACT(CELL("address",AH148), "\$([A-Z]+)\$[0-9]+"))),_xlfn.REGEXEXTRACT(CELL("address",AH148), "\$([A-Z]+)\$[0-9]+"))</f>
        <v/>
      </c>
      <c r="AI148" s="7" t="str" cm="1">
        <f t="array" aca="1" ref="AI148" ca="1">IFERROR(IF(OR('Raw Data'!AI148="",LEN(TRIM('Raw Data'!AI148))=0),"",IF(AND(ISNUMBER('Raw Data'!AI148), IFERROR('Raw Data'!AI148 = ROUND('Raw Data'!AI148, 2),FALSE)),"",_xlfn.REGEXEXTRACT(CELL("address",AI148), "\$([A-Z]+)\$[0-9]+"))),_xlfn.REGEXEXTRACT(CELL("address",AI148), "\$([A-Z]+)\$[0-9]+"))</f>
        <v/>
      </c>
      <c r="AJ148" s="7" t="str" cm="1">
        <f t="array" aca="1" ref="AJ148" ca="1">IFERROR(IF(OR('Raw Data'!AJ148="",LEN(TRIM('Raw Data'!AJ148))=0),"",IF(AND(ISNUMBER('Raw Data'!AJ148), IFERROR('Raw Data'!AJ148 = ROUND('Raw Data'!AJ148, 2),FALSE)),"",_xlfn.REGEXEXTRACT(CELL("address",AJ148), "\$([A-Z]+)\$[0-9]+"))),_xlfn.REGEXEXTRACT(CELL("address",AJ148), "\$([A-Z]+)\$[0-9]+"))</f>
        <v/>
      </c>
    </row>
    <row r="149" spans="2:36" x14ac:dyDescent="0.25">
      <c r="B149" s="7" t="str" cm="1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20,LEN('Raw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Data'!D149))=0),"",IF(AND(ISNUMBER('Raw Data'!D149),'Raw Data'!D149&gt;=Configuration!$D$2),"",_xlfn.REGEXEXTRACT(CELL("address",'Raw Data'!D149),"\$([A-Z]+)\$[0-9]+"))),_xlfn.REGEXEXTRACT(CELL("address",D149), "\$([A-Z]+)\$[0-9]+"))</f>
        <v/>
      </c>
      <c r="E149" s="7" t="str" cm="1">
        <f t="array" aca="1" ref="E149" ca="1">IFERROR(IF(OR('Raw Data'!E149="",LEN(TRIM('Raw Data'!E149))=0),"",IF(AND(ISNUMBER('Raw Data'!E149), IFERROR('Raw Data'!E149 = ROUND('Raw Data'!E149, 2),FALSE)),"",_xlfn.REGEXEXTRACT(CELL("address",E149), "\$([A-Z]+)\$[0-9]+"))),_xlfn.REGEXEXTRACT(CELL("address",E149), "\$([A-Z]+)\$[0-9]+"))</f>
        <v/>
      </c>
      <c r="F149" s="7" t="str" cm="1">
        <f t="array" aca="1" ref="F149" ca="1">IFERROR(IF(OR('Raw Data'!F149="",LEN(TRIM('Raw Data'!F149))=0),"",IF(AND(ISNUMBER('Raw Data'!F149), IFERROR('Raw Data'!F149 = ROUND('Raw Data'!F149, 2),FALSE)),"",_xlfn.REGEXEXTRACT(CELL("address",F149), "\$([A-Z]+)\$[0-9]+"))),_xlfn.REGEXEXTRACT(CELL("address",F149), "\$([A-Z]+)\$[0-9]+"))</f>
        <v/>
      </c>
      <c r="G149" s="7" t="str" cm="1">
        <f t="array" aca="1" ref="G149" ca="1">IFERROR(IF(OR('Raw Data'!G149="",LEN(TRIM('Raw Data'!G149))=0),"",IF(AND(ISNUMBER('Raw Data'!G149), IFERROR('Raw Data'!G149 = ROUND('Raw Data'!G149, 2),FALSE)),"",_xlfn.REGEXEXTRACT(CELL("address",G149), "\$([A-Z]+)\$[0-9]+"))),_xlfn.REGEXEXTRACT(CELL("address",G149), "\$([A-Z]+)\$[0-9]+"))</f>
        <v/>
      </c>
      <c r="H149" s="7" t="str" cm="1">
        <f t="array" aca="1" ref="H149" ca="1">IFERROR(IF(OR('Raw Data'!H149="",LEN(TRIM('Raw Data'!H149))=0),"",IF(AND(ISNUMBER('Raw Data'!H149), IFERROR('Raw Data'!H149 = ROUND('Raw Data'!H149, 2),FALSE)),"",_xlfn.REGEXEXTRACT(CELL("address",H149), "\$([A-Z]+)\$[0-9]+"))),_xlfn.REGEXEXTRACT(CELL("address",H149), "\$([A-Z]+)\$[0-9]+"))</f>
        <v/>
      </c>
      <c r="I149" s="7" t="str" cm="1">
        <f t="array" aca="1" ref="I149" ca="1">IFERROR(IF(OR('Raw Data'!I149="",LEN(TRIM('Raw Data'!I149))=0),"",IF(AND(ISNUMBER('Raw Data'!I149), IFERROR('Raw Data'!I149 = ROUND('Raw Data'!I149, 2),FALSE)),"",_xlfn.REGEXEXTRACT(CELL("address",I149), "\$([A-Z]+)\$[0-9]+"))),_xlfn.REGEXEXTRACT(CELL("address",I149), "\$([A-Z]+)\$[0-9]+"))</f>
        <v/>
      </c>
      <c r="J149" s="7" t="str" cm="1">
        <f t="array" aca="1" ref="J149" ca="1">IFERROR(IF(OR('Raw Data'!J149="",LEN(TRIM('Raw Data'!J149))=0),"",IF(AND(ISNUMBER('Raw Data'!J149), IFERROR('Raw Data'!J149 = ROUND('Raw Data'!J149, 2),FALSE)),"",_xlfn.REGEXEXTRACT(CELL("address",J149), "\$([A-Z]+)\$[0-9]+"))),_xlfn.REGEXEXTRACT(CELL("address",J149), "\$([A-Z]+)\$[0-9]+"))</f>
        <v/>
      </c>
      <c r="K149" s="7" t="str" cm="1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7" t="str" cm="1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7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7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7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7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 cm="1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7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7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7" t="str" cm="1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7" t="str" cm="1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  <c r="Z149" s="7" t="str" cm="1">
        <f t="array" aca="1" ref="Z149" ca="1">IFERROR(IF(OR('Raw Data'!Z149="",LEN(TRIM('Raw Data'!Z149))=0),"",IF(AND(ISNUMBER('Raw Data'!Z149), IFERROR('Raw Data'!Z149 = ROUND('Raw Data'!Z149, 2),FALSE)),"",_xlfn.REGEXEXTRACT(CELL("address",Z149), "\$([A-Z]+)\$[0-9]+"))),_xlfn.REGEXEXTRACT(CELL("address",Z149), "\$([A-Z]+)\$[0-9]+"))</f>
        <v/>
      </c>
      <c r="AA149" s="7" t="str" cm="1">
        <f t="array" aca="1" ref="AA149" ca="1">IFERROR(IF(OR('Raw Data'!AA149="",LEN(TRIM('Raw Data'!AA149))=0),"",IF(AND(ISNUMBER('Raw Data'!AA149), IFERROR('Raw Data'!AA149 = ROUND('Raw Data'!AA149, 2),FALSE)),"",_xlfn.REGEXEXTRACT(CELL("address",AA149), "\$([A-Z]+)\$[0-9]+"))),_xlfn.REGEXEXTRACT(CELL("address",AA149), "\$([A-Z]+)\$[0-9]+"))</f>
        <v/>
      </c>
      <c r="AB149" s="7" t="str" cm="1">
        <f t="array" aca="1" ref="AB149" ca="1">IFERROR(IF(OR('Raw Data'!AB149="",LEN(TRIM('Raw Data'!AB149))=0),"",IF(AND(ISNUMBER('Raw Data'!AB149), IFERROR('Raw Data'!AB149 = ROUND('Raw Data'!AB149, 2),FALSE)),"",_xlfn.REGEXEXTRACT(CELL("address",AB149), "\$([A-Z]+)\$[0-9]+"))),_xlfn.REGEXEXTRACT(CELL("address",AB149), "\$([A-Z]+)\$[0-9]+"))</f>
        <v/>
      </c>
      <c r="AC149" s="7" t="str" cm="1">
        <f t="array" aca="1" ref="AC149" ca="1">IFERROR(IF(OR('Raw Data'!AC149="",LEN(TRIM('Raw Data'!AC149))=0),"",IF(AND(ISNUMBER('Raw Data'!AC149), IFERROR('Raw Data'!AC149 = ROUND('Raw Data'!AC149, 2),FALSE)),"",_xlfn.REGEXEXTRACT(CELL("address",AC149), "\$([A-Z]+)\$[0-9]+"))),_xlfn.REGEXEXTRACT(CELL("address",AC149), "\$([A-Z]+)\$[0-9]+"))</f>
        <v/>
      </c>
      <c r="AD149" s="7" t="str" cm="1">
        <f t="array" aca="1" ref="AD149" ca="1">IFERROR(IF(OR('Raw Data'!AD149="",LEN(TRIM('Raw Data'!AD149))=0),"",IF(AND(ISNUMBER('Raw Data'!AD149), IFERROR('Raw Data'!AD149 = ROUND('Raw Data'!AD149, 2),FALSE)),"",_xlfn.REGEXEXTRACT(CELL("address",AD149), "\$([A-Z]+)\$[0-9]+"))),_xlfn.REGEXEXTRACT(CELL("address",AD149), "\$([A-Z]+)\$[0-9]+"))</f>
        <v/>
      </c>
      <c r="AE149" s="7" t="str" cm="1">
        <f t="array" aca="1" ref="AE149" ca="1">IFERROR(IF(OR('Raw Data'!AE149="",LEN(TRIM('Raw Data'!AE149))=0),"",IF(AND(ISNUMBER('Raw Data'!AE149), IFERROR('Raw Data'!AE149 = ROUND('Raw Data'!AE149, 2),FALSE)),"",_xlfn.REGEXEXTRACT(CELL("address",AE149), "\$([A-Z]+)\$[0-9]+"))),_xlfn.REGEXEXTRACT(CELL("address",AE149), "\$([A-Z]+)\$[0-9]+"))</f>
        <v/>
      </c>
      <c r="AF149" s="7" t="str" cm="1">
        <f t="array" aca="1" ref="AF149" ca="1">IFERROR(IF(OR('Raw Data'!AF149="",LEN(TRIM('Raw Data'!AF149))=0),"",IF(AND(ISNUMBER('Raw Data'!AF149), IFERROR('Raw Data'!AF149 = ROUND('Raw Data'!AF149, 2),FALSE)),"",_xlfn.REGEXEXTRACT(CELL("address",AF149), "\$([A-Z]+)\$[0-9]+"))),_xlfn.REGEXEXTRACT(CELL("address",AF149), "\$([A-Z]+)\$[0-9]+"))</f>
        <v/>
      </c>
      <c r="AG149" s="7" t="str" cm="1">
        <f t="array" aca="1" ref="AG149" ca="1">IFERROR(IF(OR('Raw Data'!AG149="",LEN(TRIM('Raw Data'!AG149))=0),"",IF(AND(ISNUMBER('Raw Data'!AG149), IFERROR('Raw Data'!AG149 = ROUND('Raw Data'!AG149, 2),FALSE)),"",_xlfn.REGEXEXTRACT(CELL("address",AG149), "\$([A-Z]+)\$[0-9]+"))),_xlfn.REGEXEXTRACT(CELL("address",AG149), "\$([A-Z]+)\$[0-9]+"))</f>
        <v/>
      </c>
      <c r="AH149" s="7" t="str" cm="1">
        <f t="array" aca="1" ref="AH149" ca="1">IFERROR(IF(OR('Raw Data'!AH149="",LEN(TRIM('Raw Data'!AH149))=0),"",IF(AND(ISNUMBER('Raw Data'!AH149), IFERROR('Raw Data'!AH149 = ROUND('Raw Data'!AH149, 2),FALSE)),"",_xlfn.REGEXEXTRACT(CELL("address",AH149), "\$([A-Z]+)\$[0-9]+"))),_xlfn.REGEXEXTRACT(CELL("address",AH149), "\$([A-Z]+)\$[0-9]+"))</f>
        <v/>
      </c>
      <c r="AI149" s="7" t="str" cm="1">
        <f t="array" aca="1" ref="AI149" ca="1">IFERROR(IF(OR('Raw Data'!AI149="",LEN(TRIM('Raw Data'!AI149))=0),"",IF(AND(ISNUMBER('Raw Data'!AI149), IFERROR('Raw Data'!AI149 = ROUND('Raw Data'!AI149, 2),FALSE)),"",_xlfn.REGEXEXTRACT(CELL("address",AI149), "\$([A-Z]+)\$[0-9]+"))),_xlfn.REGEXEXTRACT(CELL("address",AI149), "\$([A-Z]+)\$[0-9]+"))</f>
        <v/>
      </c>
      <c r="AJ149" s="7" t="str" cm="1">
        <f t="array" aca="1" ref="AJ149" ca="1">IFERROR(IF(OR('Raw Data'!AJ149="",LEN(TRIM('Raw Data'!AJ149))=0),"",IF(AND(ISNUMBER('Raw Data'!AJ149), IFERROR('Raw Data'!AJ149 = ROUND('Raw Data'!AJ149, 2),FALSE)),"",_xlfn.REGEXEXTRACT(CELL("address",AJ149), "\$([A-Z]+)\$[0-9]+"))),_xlfn.REGEXEXTRACT(CELL("address",AJ149), "\$([A-Z]+)\$[0-9]+"))</f>
        <v/>
      </c>
    </row>
    <row r="150" spans="2:36" x14ac:dyDescent="0.25">
      <c r="B150" s="7" t="str" cm="1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20,LEN('Raw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Data'!D150))=0),"",IF(AND(ISNUMBER('Raw Data'!D150),'Raw Data'!D150&gt;=Configuration!$D$2),"",_xlfn.REGEXEXTRACT(CELL("address",'Raw Data'!D150),"\$([A-Z]+)\$[0-9]+"))),_xlfn.REGEXEXTRACT(CELL("address",D150), "\$([A-Z]+)\$[0-9]+"))</f>
        <v/>
      </c>
      <c r="E150" s="7" t="str" cm="1">
        <f t="array" aca="1" ref="E150" ca="1">IFERROR(IF(OR('Raw Data'!E150="",LEN(TRIM('Raw Data'!E150))=0),"",IF(AND(ISNUMBER('Raw Data'!E150), IFERROR('Raw Data'!E150 = ROUND('Raw Data'!E150, 2),FALSE)),"",_xlfn.REGEXEXTRACT(CELL("address",E150), "\$([A-Z]+)\$[0-9]+"))),_xlfn.REGEXEXTRACT(CELL("address",E150), "\$([A-Z]+)\$[0-9]+"))</f>
        <v/>
      </c>
      <c r="F150" s="7" t="str" cm="1">
        <f t="array" aca="1" ref="F150" ca="1">IFERROR(IF(OR('Raw Data'!F150="",LEN(TRIM('Raw Data'!F150))=0),"",IF(AND(ISNUMBER('Raw Data'!F150), IFERROR('Raw Data'!F150 = ROUND('Raw Data'!F150, 2),FALSE)),"",_xlfn.REGEXEXTRACT(CELL("address",F150), "\$([A-Z]+)\$[0-9]+"))),_xlfn.REGEXEXTRACT(CELL("address",F150), "\$([A-Z]+)\$[0-9]+"))</f>
        <v/>
      </c>
      <c r="G150" s="7" t="str" cm="1">
        <f t="array" aca="1" ref="G150" ca="1">IFERROR(IF(OR('Raw Data'!G150="",LEN(TRIM('Raw Data'!G150))=0),"",IF(AND(ISNUMBER('Raw Data'!G150), IFERROR('Raw Data'!G150 = ROUND('Raw Data'!G150, 2),FALSE)),"",_xlfn.REGEXEXTRACT(CELL("address",G150), "\$([A-Z]+)\$[0-9]+"))),_xlfn.REGEXEXTRACT(CELL("address",G150), "\$([A-Z]+)\$[0-9]+"))</f>
        <v/>
      </c>
      <c r="H150" s="7" t="str" cm="1">
        <f t="array" aca="1" ref="H150" ca="1">IFERROR(IF(OR('Raw Data'!H150="",LEN(TRIM('Raw Data'!H150))=0),"",IF(AND(ISNUMBER('Raw Data'!H150), IFERROR('Raw Data'!H150 = ROUND('Raw Data'!H150, 2),FALSE)),"",_xlfn.REGEXEXTRACT(CELL("address",H150), "\$([A-Z]+)\$[0-9]+"))),_xlfn.REGEXEXTRACT(CELL("address",H150), "\$([A-Z]+)\$[0-9]+"))</f>
        <v/>
      </c>
      <c r="I150" s="7" t="str" cm="1">
        <f t="array" aca="1" ref="I150" ca="1">IFERROR(IF(OR('Raw Data'!I150="",LEN(TRIM('Raw Data'!I150))=0),"",IF(AND(ISNUMBER('Raw Data'!I150), IFERROR('Raw Data'!I150 = ROUND('Raw Data'!I150, 2),FALSE)),"",_xlfn.REGEXEXTRACT(CELL("address",I150), "\$([A-Z]+)\$[0-9]+"))),_xlfn.REGEXEXTRACT(CELL("address",I150), "\$([A-Z]+)\$[0-9]+"))</f>
        <v/>
      </c>
      <c r="J150" s="7" t="str" cm="1">
        <f t="array" aca="1" ref="J150" ca="1">IFERROR(IF(OR('Raw Data'!J150="",LEN(TRIM('Raw Data'!J150))=0),"",IF(AND(ISNUMBER('Raw Data'!J150), IFERROR('Raw Data'!J150 = ROUND('Raw Data'!J150, 2),FALSE)),"",_xlfn.REGEXEXTRACT(CELL("address",J150), "\$([A-Z]+)\$[0-9]+"))),_xlfn.REGEXEXTRACT(CELL("address",J150), "\$([A-Z]+)\$[0-9]+"))</f>
        <v/>
      </c>
      <c r="K150" s="7" t="str" cm="1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7" t="str" cm="1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7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7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7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7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 cm="1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7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7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7" t="str" cm="1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7" t="str" cm="1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  <c r="Z150" s="7" t="str" cm="1">
        <f t="array" aca="1" ref="Z150" ca="1">IFERROR(IF(OR('Raw Data'!Z150="",LEN(TRIM('Raw Data'!Z150))=0),"",IF(AND(ISNUMBER('Raw Data'!Z150), IFERROR('Raw Data'!Z150 = ROUND('Raw Data'!Z150, 2),FALSE)),"",_xlfn.REGEXEXTRACT(CELL("address",Z150), "\$([A-Z]+)\$[0-9]+"))),_xlfn.REGEXEXTRACT(CELL("address",Z150), "\$([A-Z]+)\$[0-9]+"))</f>
        <v/>
      </c>
      <c r="AA150" s="7" t="str" cm="1">
        <f t="array" aca="1" ref="AA150" ca="1">IFERROR(IF(OR('Raw Data'!AA150="",LEN(TRIM('Raw Data'!AA150))=0),"",IF(AND(ISNUMBER('Raw Data'!AA150), IFERROR('Raw Data'!AA150 = ROUND('Raw Data'!AA150, 2),FALSE)),"",_xlfn.REGEXEXTRACT(CELL("address",AA150), "\$([A-Z]+)\$[0-9]+"))),_xlfn.REGEXEXTRACT(CELL("address",AA150), "\$([A-Z]+)\$[0-9]+"))</f>
        <v/>
      </c>
      <c r="AB150" s="7" t="str" cm="1">
        <f t="array" aca="1" ref="AB150" ca="1">IFERROR(IF(OR('Raw Data'!AB150="",LEN(TRIM('Raw Data'!AB150))=0),"",IF(AND(ISNUMBER('Raw Data'!AB150), IFERROR('Raw Data'!AB150 = ROUND('Raw Data'!AB150, 2),FALSE)),"",_xlfn.REGEXEXTRACT(CELL("address",AB150), "\$([A-Z]+)\$[0-9]+"))),_xlfn.REGEXEXTRACT(CELL("address",AB150), "\$([A-Z]+)\$[0-9]+"))</f>
        <v/>
      </c>
      <c r="AC150" s="7" t="str" cm="1">
        <f t="array" aca="1" ref="AC150" ca="1">IFERROR(IF(OR('Raw Data'!AC150="",LEN(TRIM('Raw Data'!AC150))=0),"",IF(AND(ISNUMBER('Raw Data'!AC150), IFERROR('Raw Data'!AC150 = ROUND('Raw Data'!AC150, 2),FALSE)),"",_xlfn.REGEXEXTRACT(CELL("address",AC150), "\$([A-Z]+)\$[0-9]+"))),_xlfn.REGEXEXTRACT(CELL("address",AC150), "\$([A-Z]+)\$[0-9]+"))</f>
        <v/>
      </c>
      <c r="AD150" s="7" t="str" cm="1">
        <f t="array" aca="1" ref="AD150" ca="1">IFERROR(IF(OR('Raw Data'!AD150="",LEN(TRIM('Raw Data'!AD150))=0),"",IF(AND(ISNUMBER('Raw Data'!AD150), IFERROR('Raw Data'!AD150 = ROUND('Raw Data'!AD150, 2),FALSE)),"",_xlfn.REGEXEXTRACT(CELL("address",AD150), "\$([A-Z]+)\$[0-9]+"))),_xlfn.REGEXEXTRACT(CELL("address",AD150), "\$([A-Z]+)\$[0-9]+"))</f>
        <v/>
      </c>
      <c r="AE150" s="7" t="str" cm="1">
        <f t="array" aca="1" ref="AE150" ca="1">IFERROR(IF(OR('Raw Data'!AE150="",LEN(TRIM('Raw Data'!AE150))=0),"",IF(AND(ISNUMBER('Raw Data'!AE150), IFERROR('Raw Data'!AE150 = ROUND('Raw Data'!AE150, 2),FALSE)),"",_xlfn.REGEXEXTRACT(CELL("address",AE150), "\$([A-Z]+)\$[0-9]+"))),_xlfn.REGEXEXTRACT(CELL("address",AE150), "\$([A-Z]+)\$[0-9]+"))</f>
        <v/>
      </c>
      <c r="AF150" s="7" t="str" cm="1">
        <f t="array" aca="1" ref="AF150" ca="1">IFERROR(IF(OR('Raw Data'!AF150="",LEN(TRIM('Raw Data'!AF150))=0),"",IF(AND(ISNUMBER('Raw Data'!AF150), IFERROR('Raw Data'!AF150 = ROUND('Raw Data'!AF150, 2),FALSE)),"",_xlfn.REGEXEXTRACT(CELL("address",AF150), "\$([A-Z]+)\$[0-9]+"))),_xlfn.REGEXEXTRACT(CELL("address",AF150), "\$([A-Z]+)\$[0-9]+"))</f>
        <v/>
      </c>
      <c r="AG150" s="7" t="str" cm="1">
        <f t="array" aca="1" ref="AG150" ca="1">IFERROR(IF(OR('Raw Data'!AG150="",LEN(TRIM('Raw Data'!AG150))=0),"",IF(AND(ISNUMBER('Raw Data'!AG150), IFERROR('Raw Data'!AG150 = ROUND('Raw Data'!AG150, 2),FALSE)),"",_xlfn.REGEXEXTRACT(CELL("address",AG150), "\$([A-Z]+)\$[0-9]+"))),_xlfn.REGEXEXTRACT(CELL("address",AG150), "\$([A-Z]+)\$[0-9]+"))</f>
        <v/>
      </c>
      <c r="AH150" s="7" t="str" cm="1">
        <f t="array" aca="1" ref="AH150" ca="1">IFERROR(IF(OR('Raw Data'!AH150="",LEN(TRIM('Raw Data'!AH150))=0),"",IF(AND(ISNUMBER('Raw Data'!AH150), IFERROR('Raw Data'!AH150 = ROUND('Raw Data'!AH150, 2),FALSE)),"",_xlfn.REGEXEXTRACT(CELL("address",AH150), "\$([A-Z]+)\$[0-9]+"))),_xlfn.REGEXEXTRACT(CELL("address",AH150), "\$([A-Z]+)\$[0-9]+"))</f>
        <v/>
      </c>
      <c r="AI150" s="7" t="str" cm="1">
        <f t="array" aca="1" ref="AI150" ca="1">IFERROR(IF(OR('Raw Data'!AI150="",LEN(TRIM('Raw Data'!AI150))=0),"",IF(AND(ISNUMBER('Raw Data'!AI150), IFERROR('Raw Data'!AI150 = ROUND('Raw Data'!AI150, 2),FALSE)),"",_xlfn.REGEXEXTRACT(CELL("address",AI150), "\$([A-Z]+)\$[0-9]+"))),_xlfn.REGEXEXTRACT(CELL("address",AI150), "\$([A-Z]+)\$[0-9]+"))</f>
        <v/>
      </c>
      <c r="AJ150" s="7" t="str" cm="1">
        <f t="array" aca="1" ref="AJ150" ca="1">IFERROR(IF(OR('Raw Data'!AJ150="",LEN(TRIM('Raw Data'!AJ150))=0),"",IF(AND(ISNUMBER('Raw Data'!AJ150), IFERROR('Raw Data'!AJ150 = ROUND('Raw Data'!AJ150, 2),FALSE)),"",_xlfn.REGEXEXTRACT(CELL("address",AJ150), "\$([A-Z]+)\$[0-9]+"))),_xlfn.REGEXEXTRACT(CELL("address",AJ150), "\$([A-Z]+)\$[0-9]+"))</f>
        <v/>
      </c>
    </row>
    <row r="151" spans="2:36" x14ac:dyDescent="0.25">
      <c r="B151" s="7" t="str" cm="1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20,LEN('Raw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Data'!D151))=0),"",IF(AND(ISNUMBER('Raw Data'!D151),'Raw Data'!D151&gt;=Configuration!$D$2),"",_xlfn.REGEXEXTRACT(CELL("address",'Raw Data'!D151),"\$([A-Z]+)\$[0-9]+"))),_xlfn.REGEXEXTRACT(CELL("address",D151), "\$([A-Z]+)\$[0-9]+"))</f>
        <v/>
      </c>
      <c r="E151" s="7" t="str" cm="1">
        <f t="array" aca="1" ref="E151" ca="1">IFERROR(IF(OR('Raw Data'!E151="",LEN(TRIM('Raw Data'!E151))=0),"",IF(AND(ISNUMBER('Raw Data'!E151), IFERROR('Raw Data'!E151 = ROUND('Raw Data'!E151, 2),FALSE)),"",_xlfn.REGEXEXTRACT(CELL("address",E151), "\$([A-Z]+)\$[0-9]+"))),_xlfn.REGEXEXTRACT(CELL("address",E151), "\$([A-Z]+)\$[0-9]+"))</f>
        <v/>
      </c>
      <c r="F151" s="7" t="str" cm="1">
        <f t="array" aca="1" ref="F151" ca="1">IFERROR(IF(OR('Raw Data'!F151="",LEN(TRIM('Raw Data'!F151))=0),"",IF(AND(ISNUMBER('Raw Data'!F151), IFERROR('Raw Data'!F151 = ROUND('Raw Data'!F151, 2),FALSE)),"",_xlfn.REGEXEXTRACT(CELL("address",F151), "\$([A-Z]+)\$[0-9]+"))),_xlfn.REGEXEXTRACT(CELL("address",F151), "\$([A-Z]+)\$[0-9]+"))</f>
        <v/>
      </c>
      <c r="G151" s="7" t="str" cm="1">
        <f t="array" aca="1" ref="G151" ca="1">IFERROR(IF(OR('Raw Data'!G151="",LEN(TRIM('Raw Data'!G151))=0),"",IF(AND(ISNUMBER('Raw Data'!G151), IFERROR('Raw Data'!G151 = ROUND('Raw Data'!G151, 2),FALSE)),"",_xlfn.REGEXEXTRACT(CELL("address",G151), "\$([A-Z]+)\$[0-9]+"))),_xlfn.REGEXEXTRACT(CELL("address",G151), "\$([A-Z]+)\$[0-9]+"))</f>
        <v/>
      </c>
      <c r="H151" s="7" t="str" cm="1">
        <f t="array" aca="1" ref="H151" ca="1">IFERROR(IF(OR('Raw Data'!H151="",LEN(TRIM('Raw Data'!H151))=0),"",IF(AND(ISNUMBER('Raw Data'!H151), IFERROR('Raw Data'!H151 = ROUND('Raw Data'!H151, 2),FALSE)),"",_xlfn.REGEXEXTRACT(CELL("address",H151), "\$([A-Z]+)\$[0-9]+"))),_xlfn.REGEXEXTRACT(CELL("address",H151), "\$([A-Z]+)\$[0-9]+"))</f>
        <v/>
      </c>
      <c r="I151" s="7" t="str" cm="1">
        <f t="array" aca="1" ref="I151" ca="1">IFERROR(IF(OR('Raw Data'!I151="",LEN(TRIM('Raw Data'!I151))=0),"",IF(AND(ISNUMBER('Raw Data'!I151), IFERROR('Raw Data'!I151 = ROUND('Raw Data'!I151, 2),FALSE)),"",_xlfn.REGEXEXTRACT(CELL("address",I151), "\$([A-Z]+)\$[0-9]+"))),_xlfn.REGEXEXTRACT(CELL("address",I151), "\$([A-Z]+)\$[0-9]+"))</f>
        <v/>
      </c>
      <c r="J151" s="7" t="str" cm="1">
        <f t="array" aca="1" ref="J151" ca="1">IFERROR(IF(OR('Raw Data'!J151="",LEN(TRIM('Raw Data'!J151))=0),"",IF(AND(ISNUMBER('Raw Data'!J151), IFERROR('Raw Data'!J151 = ROUND('Raw Data'!J151, 2),FALSE)),"",_xlfn.REGEXEXTRACT(CELL("address",J151), "\$([A-Z]+)\$[0-9]+"))),_xlfn.REGEXEXTRACT(CELL("address",J151), "\$([A-Z]+)\$[0-9]+"))</f>
        <v/>
      </c>
      <c r="K151" s="7" t="str" cm="1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7" t="str" cm="1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7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7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7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7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 cm="1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7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7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7" t="str" cm="1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7" t="str" cm="1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  <c r="Z151" s="7" t="str" cm="1">
        <f t="array" aca="1" ref="Z151" ca="1">IFERROR(IF(OR('Raw Data'!Z151="",LEN(TRIM('Raw Data'!Z151))=0),"",IF(AND(ISNUMBER('Raw Data'!Z151), IFERROR('Raw Data'!Z151 = ROUND('Raw Data'!Z151, 2),FALSE)),"",_xlfn.REGEXEXTRACT(CELL("address",Z151), "\$([A-Z]+)\$[0-9]+"))),_xlfn.REGEXEXTRACT(CELL("address",Z151), "\$([A-Z]+)\$[0-9]+"))</f>
        <v/>
      </c>
      <c r="AA151" s="7" t="str" cm="1">
        <f t="array" aca="1" ref="AA151" ca="1">IFERROR(IF(OR('Raw Data'!AA151="",LEN(TRIM('Raw Data'!AA151))=0),"",IF(AND(ISNUMBER('Raw Data'!AA151), IFERROR('Raw Data'!AA151 = ROUND('Raw Data'!AA151, 2),FALSE)),"",_xlfn.REGEXEXTRACT(CELL("address",AA151), "\$([A-Z]+)\$[0-9]+"))),_xlfn.REGEXEXTRACT(CELL("address",AA151), "\$([A-Z]+)\$[0-9]+"))</f>
        <v/>
      </c>
      <c r="AB151" s="7" t="str" cm="1">
        <f t="array" aca="1" ref="AB151" ca="1">IFERROR(IF(OR('Raw Data'!AB151="",LEN(TRIM('Raw Data'!AB151))=0),"",IF(AND(ISNUMBER('Raw Data'!AB151), IFERROR('Raw Data'!AB151 = ROUND('Raw Data'!AB151, 2),FALSE)),"",_xlfn.REGEXEXTRACT(CELL("address",AB151), "\$([A-Z]+)\$[0-9]+"))),_xlfn.REGEXEXTRACT(CELL("address",AB151), "\$([A-Z]+)\$[0-9]+"))</f>
        <v/>
      </c>
      <c r="AC151" s="7" t="str" cm="1">
        <f t="array" aca="1" ref="AC151" ca="1">IFERROR(IF(OR('Raw Data'!AC151="",LEN(TRIM('Raw Data'!AC151))=0),"",IF(AND(ISNUMBER('Raw Data'!AC151), IFERROR('Raw Data'!AC151 = ROUND('Raw Data'!AC151, 2),FALSE)),"",_xlfn.REGEXEXTRACT(CELL("address",AC151), "\$([A-Z]+)\$[0-9]+"))),_xlfn.REGEXEXTRACT(CELL("address",AC151), "\$([A-Z]+)\$[0-9]+"))</f>
        <v/>
      </c>
      <c r="AD151" s="7" t="str" cm="1">
        <f t="array" aca="1" ref="AD151" ca="1">IFERROR(IF(OR('Raw Data'!AD151="",LEN(TRIM('Raw Data'!AD151))=0),"",IF(AND(ISNUMBER('Raw Data'!AD151), IFERROR('Raw Data'!AD151 = ROUND('Raw Data'!AD151, 2),FALSE)),"",_xlfn.REGEXEXTRACT(CELL("address",AD151), "\$([A-Z]+)\$[0-9]+"))),_xlfn.REGEXEXTRACT(CELL("address",AD151), "\$([A-Z]+)\$[0-9]+"))</f>
        <v/>
      </c>
      <c r="AE151" s="7" t="str" cm="1">
        <f t="array" aca="1" ref="AE151" ca="1">IFERROR(IF(OR('Raw Data'!AE151="",LEN(TRIM('Raw Data'!AE151))=0),"",IF(AND(ISNUMBER('Raw Data'!AE151), IFERROR('Raw Data'!AE151 = ROUND('Raw Data'!AE151, 2),FALSE)),"",_xlfn.REGEXEXTRACT(CELL("address",AE151), "\$([A-Z]+)\$[0-9]+"))),_xlfn.REGEXEXTRACT(CELL("address",AE151), "\$([A-Z]+)\$[0-9]+"))</f>
        <v/>
      </c>
      <c r="AF151" s="7" t="str" cm="1">
        <f t="array" aca="1" ref="AF151" ca="1">IFERROR(IF(OR('Raw Data'!AF151="",LEN(TRIM('Raw Data'!AF151))=0),"",IF(AND(ISNUMBER('Raw Data'!AF151), IFERROR('Raw Data'!AF151 = ROUND('Raw Data'!AF151, 2),FALSE)),"",_xlfn.REGEXEXTRACT(CELL("address",AF151), "\$([A-Z]+)\$[0-9]+"))),_xlfn.REGEXEXTRACT(CELL("address",AF151), "\$([A-Z]+)\$[0-9]+"))</f>
        <v/>
      </c>
      <c r="AG151" s="7" t="str" cm="1">
        <f t="array" aca="1" ref="AG151" ca="1">IFERROR(IF(OR('Raw Data'!AG151="",LEN(TRIM('Raw Data'!AG151))=0),"",IF(AND(ISNUMBER('Raw Data'!AG151), IFERROR('Raw Data'!AG151 = ROUND('Raw Data'!AG151, 2),FALSE)),"",_xlfn.REGEXEXTRACT(CELL("address",AG151), "\$([A-Z]+)\$[0-9]+"))),_xlfn.REGEXEXTRACT(CELL("address",AG151), "\$([A-Z]+)\$[0-9]+"))</f>
        <v/>
      </c>
      <c r="AH151" s="7" t="str" cm="1">
        <f t="array" aca="1" ref="AH151" ca="1">IFERROR(IF(OR('Raw Data'!AH151="",LEN(TRIM('Raw Data'!AH151))=0),"",IF(AND(ISNUMBER('Raw Data'!AH151), IFERROR('Raw Data'!AH151 = ROUND('Raw Data'!AH151, 2),FALSE)),"",_xlfn.REGEXEXTRACT(CELL("address",AH151), "\$([A-Z]+)\$[0-9]+"))),_xlfn.REGEXEXTRACT(CELL("address",AH151), "\$([A-Z]+)\$[0-9]+"))</f>
        <v/>
      </c>
      <c r="AI151" s="7" t="str" cm="1">
        <f t="array" aca="1" ref="AI151" ca="1">IFERROR(IF(OR('Raw Data'!AI151="",LEN(TRIM('Raw Data'!AI151))=0),"",IF(AND(ISNUMBER('Raw Data'!AI151), IFERROR('Raw Data'!AI151 = ROUND('Raw Data'!AI151, 2),FALSE)),"",_xlfn.REGEXEXTRACT(CELL("address",AI151), "\$([A-Z]+)\$[0-9]+"))),_xlfn.REGEXEXTRACT(CELL("address",AI151), "\$([A-Z]+)\$[0-9]+"))</f>
        <v/>
      </c>
      <c r="AJ151" s="7" t="str" cm="1">
        <f t="array" aca="1" ref="AJ151" ca="1">IFERROR(IF(OR('Raw Data'!AJ151="",LEN(TRIM('Raw Data'!AJ151))=0),"",IF(AND(ISNUMBER('Raw Data'!AJ151), IFERROR('Raw Data'!AJ151 = ROUND('Raw Data'!AJ151, 2),FALSE)),"",_xlfn.REGEXEXTRACT(CELL("address",AJ151), "\$([A-Z]+)\$[0-9]+"))),_xlfn.REGEXEXTRACT(CELL("address",AJ151), "\$([A-Z]+)\$[0-9]+"))</f>
        <v/>
      </c>
    </row>
    <row r="152" spans="2:36" x14ac:dyDescent="0.25">
      <c r="B152" s="7" t="str" cm="1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20,LEN('Raw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Data'!D152))=0),"",IF(AND(ISNUMBER('Raw Data'!D152),'Raw Data'!D152&gt;=Configuration!$D$2),"",_xlfn.REGEXEXTRACT(CELL("address",'Raw Data'!D152),"\$([A-Z]+)\$[0-9]+"))),_xlfn.REGEXEXTRACT(CELL("address",D152), "\$([A-Z]+)\$[0-9]+"))</f>
        <v/>
      </c>
      <c r="E152" s="7" t="str" cm="1">
        <f t="array" aca="1" ref="E152" ca="1">IFERROR(IF(OR('Raw Data'!E152="",LEN(TRIM('Raw Data'!E152))=0),"",IF(AND(ISNUMBER('Raw Data'!E152), IFERROR('Raw Data'!E152 = ROUND('Raw Data'!E152, 2),FALSE)),"",_xlfn.REGEXEXTRACT(CELL("address",E152), "\$([A-Z]+)\$[0-9]+"))),_xlfn.REGEXEXTRACT(CELL("address",E152), "\$([A-Z]+)\$[0-9]+"))</f>
        <v/>
      </c>
      <c r="F152" s="7" t="str" cm="1">
        <f t="array" aca="1" ref="F152" ca="1">IFERROR(IF(OR('Raw Data'!F152="",LEN(TRIM('Raw Data'!F152))=0),"",IF(AND(ISNUMBER('Raw Data'!F152), IFERROR('Raw Data'!F152 = ROUND('Raw Data'!F152, 2),FALSE)),"",_xlfn.REGEXEXTRACT(CELL("address",F152), "\$([A-Z]+)\$[0-9]+"))),_xlfn.REGEXEXTRACT(CELL("address",F152), "\$([A-Z]+)\$[0-9]+"))</f>
        <v/>
      </c>
      <c r="G152" s="7" t="str" cm="1">
        <f t="array" aca="1" ref="G152" ca="1">IFERROR(IF(OR('Raw Data'!G152="",LEN(TRIM('Raw Data'!G152))=0),"",IF(AND(ISNUMBER('Raw Data'!G152), IFERROR('Raw Data'!G152 = ROUND('Raw Data'!G152, 2),FALSE)),"",_xlfn.REGEXEXTRACT(CELL("address",G152), "\$([A-Z]+)\$[0-9]+"))),_xlfn.REGEXEXTRACT(CELL("address",G152), "\$([A-Z]+)\$[0-9]+"))</f>
        <v/>
      </c>
      <c r="H152" s="7" t="str" cm="1">
        <f t="array" aca="1" ref="H152" ca="1">IFERROR(IF(OR('Raw Data'!H152="",LEN(TRIM('Raw Data'!H152))=0),"",IF(AND(ISNUMBER('Raw Data'!H152), IFERROR('Raw Data'!H152 = ROUND('Raw Data'!H152, 2),FALSE)),"",_xlfn.REGEXEXTRACT(CELL("address",H152), "\$([A-Z]+)\$[0-9]+"))),_xlfn.REGEXEXTRACT(CELL("address",H152), "\$([A-Z]+)\$[0-9]+"))</f>
        <v/>
      </c>
      <c r="I152" s="7" t="str" cm="1">
        <f t="array" aca="1" ref="I152" ca="1">IFERROR(IF(OR('Raw Data'!I152="",LEN(TRIM('Raw Data'!I152))=0),"",IF(AND(ISNUMBER('Raw Data'!I152), IFERROR('Raw Data'!I152 = ROUND('Raw Data'!I152, 2),FALSE)),"",_xlfn.REGEXEXTRACT(CELL("address",I152), "\$([A-Z]+)\$[0-9]+"))),_xlfn.REGEXEXTRACT(CELL("address",I152), "\$([A-Z]+)\$[0-9]+"))</f>
        <v/>
      </c>
      <c r="J152" s="7" t="str" cm="1">
        <f t="array" aca="1" ref="J152" ca="1">IFERROR(IF(OR('Raw Data'!J152="",LEN(TRIM('Raw Data'!J152))=0),"",IF(AND(ISNUMBER('Raw Data'!J152), IFERROR('Raw Data'!J152 = ROUND('Raw Data'!J152, 2),FALSE)),"",_xlfn.REGEXEXTRACT(CELL("address",J152), "\$([A-Z]+)\$[0-9]+"))),_xlfn.REGEXEXTRACT(CELL("address",J152), "\$([A-Z]+)\$[0-9]+"))</f>
        <v/>
      </c>
      <c r="K152" s="7" t="str" cm="1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7" t="str" cm="1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7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7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7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7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 cm="1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7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7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7" t="str" cm="1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7" t="str" cm="1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  <c r="Z152" s="7" t="str" cm="1">
        <f t="array" aca="1" ref="Z152" ca="1">IFERROR(IF(OR('Raw Data'!Z152="",LEN(TRIM('Raw Data'!Z152))=0),"",IF(AND(ISNUMBER('Raw Data'!Z152), IFERROR('Raw Data'!Z152 = ROUND('Raw Data'!Z152, 2),FALSE)),"",_xlfn.REGEXEXTRACT(CELL("address",Z152), "\$([A-Z]+)\$[0-9]+"))),_xlfn.REGEXEXTRACT(CELL("address",Z152), "\$([A-Z]+)\$[0-9]+"))</f>
        <v/>
      </c>
      <c r="AA152" s="7" t="str" cm="1">
        <f t="array" aca="1" ref="AA152" ca="1">IFERROR(IF(OR('Raw Data'!AA152="",LEN(TRIM('Raw Data'!AA152))=0),"",IF(AND(ISNUMBER('Raw Data'!AA152), IFERROR('Raw Data'!AA152 = ROUND('Raw Data'!AA152, 2),FALSE)),"",_xlfn.REGEXEXTRACT(CELL("address",AA152), "\$([A-Z]+)\$[0-9]+"))),_xlfn.REGEXEXTRACT(CELL("address",AA152), "\$([A-Z]+)\$[0-9]+"))</f>
        <v/>
      </c>
      <c r="AB152" s="7" t="str" cm="1">
        <f t="array" aca="1" ref="AB152" ca="1">IFERROR(IF(OR('Raw Data'!AB152="",LEN(TRIM('Raw Data'!AB152))=0),"",IF(AND(ISNUMBER('Raw Data'!AB152), IFERROR('Raw Data'!AB152 = ROUND('Raw Data'!AB152, 2),FALSE)),"",_xlfn.REGEXEXTRACT(CELL("address",AB152), "\$([A-Z]+)\$[0-9]+"))),_xlfn.REGEXEXTRACT(CELL("address",AB152), "\$([A-Z]+)\$[0-9]+"))</f>
        <v/>
      </c>
      <c r="AC152" s="7" t="str" cm="1">
        <f t="array" aca="1" ref="AC152" ca="1">IFERROR(IF(OR('Raw Data'!AC152="",LEN(TRIM('Raw Data'!AC152))=0),"",IF(AND(ISNUMBER('Raw Data'!AC152), IFERROR('Raw Data'!AC152 = ROUND('Raw Data'!AC152, 2),FALSE)),"",_xlfn.REGEXEXTRACT(CELL("address",AC152), "\$([A-Z]+)\$[0-9]+"))),_xlfn.REGEXEXTRACT(CELL("address",AC152), "\$([A-Z]+)\$[0-9]+"))</f>
        <v/>
      </c>
      <c r="AD152" s="7" t="str" cm="1">
        <f t="array" aca="1" ref="AD152" ca="1">IFERROR(IF(OR('Raw Data'!AD152="",LEN(TRIM('Raw Data'!AD152))=0),"",IF(AND(ISNUMBER('Raw Data'!AD152), IFERROR('Raw Data'!AD152 = ROUND('Raw Data'!AD152, 2),FALSE)),"",_xlfn.REGEXEXTRACT(CELL("address",AD152), "\$([A-Z]+)\$[0-9]+"))),_xlfn.REGEXEXTRACT(CELL("address",AD152), "\$([A-Z]+)\$[0-9]+"))</f>
        <v/>
      </c>
      <c r="AE152" s="7" t="str" cm="1">
        <f t="array" aca="1" ref="AE152" ca="1">IFERROR(IF(OR('Raw Data'!AE152="",LEN(TRIM('Raw Data'!AE152))=0),"",IF(AND(ISNUMBER('Raw Data'!AE152), IFERROR('Raw Data'!AE152 = ROUND('Raw Data'!AE152, 2),FALSE)),"",_xlfn.REGEXEXTRACT(CELL("address",AE152), "\$([A-Z]+)\$[0-9]+"))),_xlfn.REGEXEXTRACT(CELL("address",AE152), "\$([A-Z]+)\$[0-9]+"))</f>
        <v/>
      </c>
      <c r="AF152" s="7" t="str" cm="1">
        <f t="array" aca="1" ref="AF152" ca="1">IFERROR(IF(OR('Raw Data'!AF152="",LEN(TRIM('Raw Data'!AF152))=0),"",IF(AND(ISNUMBER('Raw Data'!AF152), IFERROR('Raw Data'!AF152 = ROUND('Raw Data'!AF152, 2),FALSE)),"",_xlfn.REGEXEXTRACT(CELL("address",AF152), "\$([A-Z]+)\$[0-9]+"))),_xlfn.REGEXEXTRACT(CELL("address",AF152), "\$([A-Z]+)\$[0-9]+"))</f>
        <v/>
      </c>
      <c r="AG152" s="7" t="str" cm="1">
        <f t="array" aca="1" ref="AG152" ca="1">IFERROR(IF(OR('Raw Data'!AG152="",LEN(TRIM('Raw Data'!AG152))=0),"",IF(AND(ISNUMBER('Raw Data'!AG152), IFERROR('Raw Data'!AG152 = ROUND('Raw Data'!AG152, 2),FALSE)),"",_xlfn.REGEXEXTRACT(CELL("address",AG152), "\$([A-Z]+)\$[0-9]+"))),_xlfn.REGEXEXTRACT(CELL("address",AG152), "\$([A-Z]+)\$[0-9]+"))</f>
        <v/>
      </c>
      <c r="AH152" s="7" t="str" cm="1">
        <f t="array" aca="1" ref="AH152" ca="1">IFERROR(IF(OR('Raw Data'!AH152="",LEN(TRIM('Raw Data'!AH152))=0),"",IF(AND(ISNUMBER('Raw Data'!AH152), IFERROR('Raw Data'!AH152 = ROUND('Raw Data'!AH152, 2),FALSE)),"",_xlfn.REGEXEXTRACT(CELL("address",AH152), "\$([A-Z]+)\$[0-9]+"))),_xlfn.REGEXEXTRACT(CELL("address",AH152), "\$([A-Z]+)\$[0-9]+"))</f>
        <v/>
      </c>
      <c r="AI152" s="7" t="str" cm="1">
        <f t="array" aca="1" ref="AI152" ca="1">IFERROR(IF(OR('Raw Data'!AI152="",LEN(TRIM('Raw Data'!AI152))=0),"",IF(AND(ISNUMBER('Raw Data'!AI152), IFERROR('Raw Data'!AI152 = ROUND('Raw Data'!AI152, 2),FALSE)),"",_xlfn.REGEXEXTRACT(CELL("address",AI152), "\$([A-Z]+)\$[0-9]+"))),_xlfn.REGEXEXTRACT(CELL("address",AI152), "\$([A-Z]+)\$[0-9]+"))</f>
        <v/>
      </c>
      <c r="AJ152" s="7" t="str" cm="1">
        <f t="array" aca="1" ref="AJ152" ca="1">IFERROR(IF(OR('Raw Data'!AJ152="",LEN(TRIM('Raw Data'!AJ152))=0),"",IF(AND(ISNUMBER('Raw Data'!AJ152), IFERROR('Raw Data'!AJ152 = ROUND('Raw Data'!AJ152, 2),FALSE)),"",_xlfn.REGEXEXTRACT(CELL("address",AJ152), "\$([A-Z]+)\$[0-9]+"))),_xlfn.REGEXEXTRACT(CELL("address",AJ152), "\$([A-Z]+)\$[0-9]+"))</f>
        <v/>
      </c>
    </row>
    <row r="153" spans="2:36" x14ac:dyDescent="0.25">
      <c r="B153" s="7" t="str" cm="1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20,LEN('Raw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Data'!D153))=0),"",IF(AND(ISNUMBER('Raw Data'!D153),'Raw Data'!D153&gt;=Configuration!$D$2),"",_xlfn.REGEXEXTRACT(CELL("address",'Raw Data'!D153),"\$([A-Z]+)\$[0-9]+"))),_xlfn.REGEXEXTRACT(CELL("address",D153), "\$([A-Z]+)\$[0-9]+"))</f>
        <v/>
      </c>
      <c r="E153" s="7" t="str" cm="1">
        <f t="array" aca="1" ref="E153" ca="1">IFERROR(IF(OR('Raw Data'!E153="",LEN(TRIM('Raw Data'!E153))=0),"",IF(AND(ISNUMBER('Raw Data'!E153), IFERROR('Raw Data'!E153 = ROUND('Raw Data'!E153, 2),FALSE)),"",_xlfn.REGEXEXTRACT(CELL("address",E153), "\$([A-Z]+)\$[0-9]+"))),_xlfn.REGEXEXTRACT(CELL("address",E153), "\$([A-Z]+)\$[0-9]+"))</f>
        <v/>
      </c>
      <c r="F153" s="7" t="str" cm="1">
        <f t="array" aca="1" ref="F153" ca="1">IFERROR(IF(OR('Raw Data'!F153="",LEN(TRIM('Raw Data'!F153))=0),"",IF(AND(ISNUMBER('Raw Data'!F153), IFERROR('Raw Data'!F153 = ROUND('Raw Data'!F153, 2),FALSE)),"",_xlfn.REGEXEXTRACT(CELL("address",F153), "\$([A-Z]+)\$[0-9]+"))),_xlfn.REGEXEXTRACT(CELL("address",F153), "\$([A-Z]+)\$[0-9]+"))</f>
        <v/>
      </c>
      <c r="G153" s="7" t="str" cm="1">
        <f t="array" aca="1" ref="G153" ca="1">IFERROR(IF(OR('Raw Data'!G153="",LEN(TRIM('Raw Data'!G153))=0),"",IF(AND(ISNUMBER('Raw Data'!G153), IFERROR('Raw Data'!G153 = ROUND('Raw Data'!G153, 2),FALSE)),"",_xlfn.REGEXEXTRACT(CELL("address",G153), "\$([A-Z]+)\$[0-9]+"))),_xlfn.REGEXEXTRACT(CELL("address",G153), "\$([A-Z]+)\$[0-9]+"))</f>
        <v/>
      </c>
      <c r="H153" s="7" t="str" cm="1">
        <f t="array" aca="1" ref="H153" ca="1">IFERROR(IF(OR('Raw Data'!H153="",LEN(TRIM('Raw Data'!H153))=0),"",IF(AND(ISNUMBER('Raw Data'!H153), IFERROR('Raw Data'!H153 = ROUND('Raw Data'!H153, 2),FALSE)),"",_xlfn.REGEXEXTRACT(CELL("address",H153), "\$([A-Z]+)\$[0-9]+"))),_xlfn.REGEXEXTRACT(CELL("address",H153), "\$([A-Z]+)\$[0-9]+"))</f>
        <v/>
      </c>
      <c r="I153" s="7" t="str" cm="1">
        <f t="array" aca="1" ref="I153" ca="1">IFERROR(IF(OR('Raw Data'!I153="",LEN(TRIM('Raw Data'!I153))=0),"",IF(AND(ISNUMBER('Raw Data'!I153), IFERROR('Raw Data'!I153 = ROUND('Raw Data'!I153, 2),FALSE)),"",_xlfn.REGEXEXTRACT(CELL("address",I153), "\$([A-Z]+)\$[0-9]+"))),_xlfn.REGEXEXTRACT(CELL("address",I153), "\$([A-Z]+)\$[0-9]+"))</f>
        <v/>
      </c>
      <c r="J153" s="7" t="str" cm="1">
        <f t="array" aca="1" ref="J153" ca="1">IFERROR(IF(OR('Raw Data'!J153="",LEN(TRIM('Raw Data'!J153))=0),"",IF(AND(ISNUMBER('Raw Data'!J153), IFERROR('Raw Data'!J153 = ROUND('Raw Data'!J153, 2),FALSE)),"",_xlfn.REGEXEXTRACT(CELL("address",J153), "\$([A-Z]+)\$[0-9]+"))),_xlfn.REGEXEXTRACT(CELL("address",J153), "\$([A-Z]+)\$[0-9]+"))</f>
        <v/>
      </c>
      <c r="K153" s="7" t="str" cm="1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7" t="str" cm="1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7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7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7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7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 cm="1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7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7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7" t="str" cm="1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7" t="str" cm="1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  <c r="Z153" s="7" t="str" cm="1">
        <f t="array" aca="1" ref="Z153" ca="1">IFERROR(IF(OR('Raw Data'!Z153="",LEN(TRIM('Raw Data'!Z153))=0),"",IF(AND(ISNUMBER('Raw Data'!Z153), IFERROR('Raw Data'!Z153 = ROUND('Raw Data'!Z153, 2),FALSE)),"",_xlfn.REGEXEXTRACT(CELL("address",Z153), "\$([A-Z]+)\$[0-9]+"))),_xlfn.REGEXEXTRACT(CELL("address",Z153), "\$([A-Z]+)\$[0-9]+"))</f>
        <v/>
      </c>
      <c r="AA153" s="7" t="str" cm="1">
        <f t="array" aca="1" ref="AA153" ca="1">IFERROR(IF(OR('Raw Data'!AA153="",LEN(TRIM('Raw Data'!AA153))=0),"",IF(AND(ISNUMBER('Raw Data'!AA153), IFERROR('Raw Data'!AA153 = ROUND('Raw Data'!AA153, 2),FALSE)),"",_xlfn.REGEXEXTRACT(CELL("address",AA153), "\$([A-Z]+)\$[0-9]+"))),_xlfn.REGEXEXTRACT(CELL("address",AA153), "\$([A-Z]+)\$[0-9]+"))</f>
        <v/>
      </c>
      <c r="AB153" s="7" t="str" cm="1">
        <f t="array" aca="1" ref="AB153" ca="1">IFERROR(IF(OR('Raw Data'!AB153="",LEN(TRIM('Raw Data'!AB153))=0),"",IF(AND(ISNUMBER('Raw Data'!AB153), IFERROR('Raw Data'!AB153 = ROUND('Raw Data'!AB153, 2),FALSE)),"",_xlfn.REGEXEXTRACT(CELL("address",AB153), "\$([A-Z]+)\$[0-9]+"))),_xlfn.REGEXEXTRACT(CELL("address",AB153), "\$([A-Z]+)\$[0-9]+"))</f>
        <v/>
      </c>
      <c r="AC153" s="7" t="str" cm="1">
        <f t="array" aca="1" ref="AC153" ca="1">IFERROR(IF(OR('Raw Data'!AC153="",LEN(TRIM('Raw Data'!AC153))=0),"",IF(AND(ISNUMBER('Raw Data'!AC153), IFERROR('Raw Data'!AC153 = ROUND('Raw Data'!AC153, 2),FALSE)),"",_xlfn.REGEXEXTRACT(CELL("address",AC153), "\$([A-Z]+)\$[0-9]+"))),_xlfn.REGEXEXTRACT(CELL("address",AC153), "\$([A-Z]+)\$[0-9]+"))</f>
        <v/>
      </c>
      <c r="AD153" s="7" t="str" cm="1">
        <f t="array" aca="1" ref="AD153" ca="1">IFERROR(IF(OR('Raw Data'!AD153="",LEN(TRIM('Raw Data'!AD153))=0),"",IF(AND(ISNUMBER('Raw Data'!AD153), IFERROR('Raw Data'!AD153 = ROUND('Raw Data'!AD153, 2),FALSE)),"",_xlfn.REGEXEXTRACT(CELL("address",AD153), "\$([A-Z]+)\$[0-9]+"))),_xlfn.REGEXEXTRACT(CELL("address",AD153), "\$([A-Z]+)\$[0-9]+"))</f>
        <v/>
      </c>
      <c r="AE153" s="7" t="str" cm="1">
        <f t="array" aca="1" ref="AE153" ca="1">IFERROR(IF(OR('Raw Data'!AE153="",LEN(TRIM('Raw Data'!AE153))=0),"",IF(AND(ISNUMBER('Raw Data'!AE153), IFERROR('Raw Data'!AE153 = ROUND('Raw Data'!AE153, 2),FALSE)),"",_xlfn.REGEXEXTRACT(CELL("address",AE153), "\$([A-Z]+)\$[0-9]+"))),_xlfn.REGEXEXTRACT(CELL("address",AE153), "\$([A-Z]+)\$[0-9]+"))</f>
        <v/>
      </c>
      <c r="AF153" s="7" t="str" cm="1">
        <f t="array" aca="1" ref="AF153" ca="1">IFERROR(IF(OR('Raw Data'!AF153="",LEN(TRIM('Raw Data'!AF153))=0),"",IF(AND(ISNUMBER('Raw Data'!AF153), IFERROR('Raw Data'!AF153 = ROUND('Raw Data'!AF153, 2),FALSE)),"",_xlfn.REGEXEXTRACT(CELL("address",AF153), "\$([A-Z]+)\$[0-9]+"))),_xlfn.REGEXEXTRACT(CELL("address",AF153), "\$([A-Z]+)\$[0-9]+"))</f>
        <v/>
      </c>
      <c r="AG153" s="7" t="str" cm="1">
        <f t="array" aca="1" ref="AG153" ca="1">IFERROR(IF(OR('Raw Data'!AG153="",LEN(TRIM('Raw Data'!AG153))=0),"",IF(AND(ISNUMBER('Raw Data'!AG153), IFERROR('Raw Data'!AG153 = ROUND('Raw Data'!AG153, 2),FALSE)),"",_xlfn.REGEXEXTRACT(CELL("address",AG153), "\$([A-Z]+)\$[0-9]+"))),_xlfn.REGEXEXTRACT(CELL("address",AG153), "\$([A-Z]+)\$[0-9]+"))</f>
        <v/>
      </c>
      <c r="AH153" s="7" t="str" cm="1">
        <f t="array" aca="1" ref="AH153" ca="1">IFERROR(IF(OR('Raw Data'!AH153="",LEN(TRIM('Raw Data'!AH153))=0),"",IF(AND(ISNUMBER('Raw Data'!AH153), IFERROR('Raw Data'!AH153 = ROUND('Raw Data'!AH153, 2),FALSE)),"",_xlfn.REGEXEXTRACT(CELL("address",AH153), "\$([A-Z]+)\$[0-9]+"))),_xlfn.REGEXEXTRACT(CELL("address",AH153), "\$([A-Z]+)\$[0-9]+"))</f>
        <v/>
      </c>
      <c r="AI153" s="7" t="str" cm="1">
        <f t="array" aca="1" ref="AI153" ca="1">IFERROR(IF(OR('Raw Data'!AI153="",LEN(TRIM('Raw Data'!AI153))=0),"",IF(AND(ISNUMBER('Raw Data'!AI153), IFERROR('Raw Data'!AI153 = ROUND('Raw Data'!AI153, 2),FALSE)),"",_xlfn.REGEXEXTRACT(CELL("address",AI153), "\$([A-Z]+)\$[0-9]+"))),_xlfn.REGEXEXTRACT(CELL("address",AI153), "\$([A-Z]+)\$[0-9]+"))</f>
        <v/>
      </c>
      <c r="AJ153" s="7" t="str" cm="1">
        <f t="array" aca="1" ref="AJ153" ca="1">IFERROR(IF(OR('Raw Data'!AJ153="",LEN(TRIM('Raw Data'!AJ153))=0),"",IF(AND(ISNUMBER('Raw Data'!AJ153), IFERROR('Raw Data'!AJ153 = ROUND('Raw Data'!AJ153, 2),FALSE)),"",_xlfn.REGEXEXTRACT(CELL("address",AJ153), "\$([A-Z]+)\$[0-9]+"))),_xlfn.REGEXEXTRACT(CELL("address",AJ153), "\$([A-Z]+)\$[0-9]+"))</f>
        <v/>
      </c>
    </row>
    <row r="154" spans="2:36" x14ac:dyDescent="0.25">
      <c r="B154" s="7" t="str" cm="1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20,LEN('Raw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Data'!D154))=0),"",IF(AND(ISNUMBER('Raw Data'!D154),'Raw Data'!D154&gt;=Configuration!$D$2),"",_xlfn.REGEXEXTRACT(CELL("address",'Raw Data'!D154),"\$([A-Z]+)\$[0-9]+"))),_xlfn.REGEXEXTRACT(CELL("address",D154), "\$([A-Z]+)\$[0-9]+"))</f>
        <v/>
      </c>
      <c r="E154" s="7" t="str" cm="1">
        <f t="array" aca="1" ref="E154" ca="1">IFERROR(IF(OR('Raw Data'!E154="",LEN(TRIM('Raw Data'!E154))=0),"",IF(AND(ISNUMBER('Raw Data'!E154), IFERROR('Raw Data'!E154 = ROUND('Raw Data'!E154, 2),FALSE)),"",_xlfn.REGEXEXTRACT(CELL("address",E154), "\$([A-Z]+)\$[0-9]+"))),_xlfn.REGEXEXTRACT(CELL("address",E154), "\$([A-Z]+)\$[0-9]+"))</f>
        <v/>
      </c>
      <c r="F154" s="7" t="str" cm="1">
        <f t="array" aca="1" ref="F154" ca="1">IFERROR(IF(OR('Raw Data'!F154="",LEN(TRIM('Raw Data'!F154))=0),"",IF(AND(ISNUMBER('Raw Data'!F154), IFERROR('Raw Data'!F154 = ROUND('Raw Data'!F154, 2),FALSE)),"",_xlfn.REGEXEXTRACT(CELL("address",F154), "\$([A-Z]+)\$[0-9]+"))),_xlfn.REGEXEXTRACT(CELL("address",F154), "\$([A-Z]+)\$[0-9]+"))</f>
        <v/>
      </c>
      <c r="G154" s="7" t="str" cm="1">
        <f t="array" aca="1" ref="G154" ca="1">IFERROR(IF(OR('Raw Data'!G154="",LEN(TRIM('Raw Data'!G154))=0),"",IF(AND(ISNUMBER('Raw Data'!G154), IFERROR('Raw Data'!G154 = ROUND('Raw Data'!G154, 2),FALSE)),"",_xlfn.REGEXEXTRACT(CELL("address",G154), "\$([A-Z]+)\$[0-9]+"))),_xlfn.REGEXEXTRACT(CELL("address",G154), "\$([A-Z]+)\$[0-9]+"))</f>
        <v/>
      </c>
      <c r="H154" s="7" t="str" cm="1">
        <f t="array" aca="1" ref="H154" ca="1">IFERROR(IF(OR('Raw Data'!H154="",LEN(TRIM('Raw Data'!H154))=0),"",IF(AND(ISNUMBER('Raw Data'!H154), IFERROR('Raw Data'!H154 = ROUND('Raw Data'!H154, 2),FALSE)),"",_xlfn.REGEXEXTRACT(CELL("address",H154), "\$([A-Z]+)\$[0-9]+"))),_xlfn.REGEXEXTRACT(CELL("address",H154), "\$([A-Z]+)\$[0-9]+"))</f>
        <v/>
      </c>
      <c r="I154" s="7" t="str" cm="1">
        <f t="array" aca="1" ref="I154" ca="1">IFERROR(IF(OR('Raw Data'!I154="",LEN(TRIM('Raw Data'!I154))=0),"",IF(AND(ISNUMBER('Raw Data'!I154), IFERROR('Raw Data'!I154 = ROUND('Raw Data'!I154, 2),FALSE)),"",_xlfn.REGEXEXTRACT(CELL("address",I154), "\$([A-Z]+)\$[0-9]+"))),_xlfn.REGEXEXTRACT(CELL("address",I154), "\$([A-Z]+)\$[0-9]+"))</f>
        <v/>
      </c>
      <c r="J154" s="7" t="str" cm="1">
        <f t="array" aca="1" ref="J154" ca="1">IFERROR(IF(OR('Raw Data'!J154="",LEN(TRIM('Raw Data'!J154))=0),"",IF(AND(ISNUMBER('Raw Data'!J154), IFERROR('Raw Data'!J154 = ROUND('Raw Data'!J154, 2),FALSE)),"",_xlfn.REGEXEXTRACT(CELL("address",J154), "\$([A-Z]+)\$[0-9]+"))),_xlfn.REGEXEXTRACT(CELL("address",J154), "\$([A-Z]+)\$[0-9]+"))</f>
        <v/>
      </c>
      <c r="K154" s="7" t="str" cm="1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7" t="str" cm="1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7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7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7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7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 cm="1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7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7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7" t="str" cm="1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7" t="str" cm="1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  <c r="Z154" s="7" t="str" cm="1">
        <f t="array" aca="1" ref="Z154" ca="1">IFERROR(IF(OR('Raw Data'!Z154="",LEN(TRIM('Raw Data'!Z154))=0),"",IF(AND(ISNUMBER('Raw Data'!Z154), IFERROR('Raw Data'!Z154 = ROUND('Raw Data'!Z154, 2),FALSE)),"",_xlfn.REGEXEXTRACT(CELL("address",Z154), "\$([A-Z]+)\$[0-9]+"))),_xlfn.REGEXEXTRACT(CELL("address",Z154), "\$([A-Z]+)\$[0-9]+"))</f>
        <v/>
      </c>
      <c r="AA154" s="7" t="str" cm="1">
        <f t="array" aca="1" ref="AA154" ca="1">IFERROR(IF(OR('Raw Data'!AA154="",LEN(TRIM('Raw Data'!AA154))=0),"",IF(AND(ISNUMBER('Raw Data'!AA154), IFERROR('Raw Data'!AA154 = ROUND('Raw Data'!AA154, 2),FALSE)),"",_xlfn.REGEXEXTRACT(CELL("address",AA154), "\$([A-Z]+)\$[0-9]+"))),_xlfn.REGEXEXTRACT(CELL("address",AA154), "\$([A-Z]+)\$[0-9]+"))</f>
        <v/>
      </c>
      <c r="AB154" s="7" t="str" cm="1">
        <f t="array" aca="1" ref="AB154" ca="1">IFERROR(IF(OR('Raw Data'!AB154="",LEN(TRIM('Raw Data'!AB154))=0),"",IF(AND(ISNUMBER('Raw Data'!AB154), IFERROR('Raw Data'!AB154 = ROUND('Raw Data'!AB154, 2),FALSE)),"",_xlfn.REGEXEXTRACT(CELL("address",AB154), "\$([A-Z]+)\$[0-9]+"))),_xlfn.REGEXEXTRACT(CELL("address",AB154), "\$([A-Z]+)\$[0-9]+"))</f>
        <v/>
      </c>
      <c r="AC154" s="7" t="str" cm="1">
        <f t="array" aca="1" ref="AC154" ca="1">IFERROR(IF(OR('Raw Data'!AC154="",LEN(TRIM('Raw Data'!AC154))=0),"",IF(AND(ISNUMBER('Raw Data'!AC154), IFERROR('Raw Data'!AC154 = ROUND('Raw Data'!AC154, 2),FALSE)),"",_xlfn.REGEXEXTRACT(CELL("address",AC154), "\$([A-Z]+)\$[0-9]+"))),_xlfn.REGEXEXTRACT(CELL("address",AC154), "\$([A-Z]+)\$[0-9]+"))</f>
        <v/>
      </c>
      <c r="AD154" s="7" t="str" cm="1">
        <f t="array" aca="1" ref="AD154" ca="1">IFERROR(IF(OR('Raw Data'!AD154="",LEN(TRIM('Raw Data'!AD154))=0),"",IF(AND(ISNUMBER('Raw Data'!AD154), IFERROR('Raw Data'!AD154 = ROUND('Raw Data'!AD154, 2),FALSE)),"",_xlfn.REGEXEXTRACT(CELL("address",AD154), "\$([A-Z]+)\$[0-9]+"))),_xlfn.REGEXEXTRACT(CELL("address",AD154), "\$([A-Z]+)\$[0-9]+"))</f>
        <v/>
      </c>
      <c r="AE154" s="7" t="str" cm="1">
        <f t="array" aca="1" ref="AE154" ca="1">IFERROR(IF(OR('Raw Data'!AE154="",LEN(TRIM('Raw Data'!AE154))=0),"",IF(AND(ISNUMBER('Raw Data'!AE154), IFERROR('Raw Data'!AE154 = ROUND('Raw Data'!AE154, 2),FALSE)),"",_xlfn.REGEXEXTRACT(CELL("address",AE154), "\$([A-Z]+)\$[0-9]+"))),_xlfn.REGEXEXTRACT(CELL("address",AE154), "\$([A-Z]+)\$[0-9]+"))</f>
        <v/>
      </c>
      <c r="AF154" s="7" t="str" cm="1">
        <f t="array" aca="1" ref="AF154" ca="1">IFERROR(IF(OR('Raw Data'!AF154="",LEN(TRIM('Raw Data'!AF154))=0),"",IF(AND(ISNUMBER('Raw Data'!AF154), IFERROR('Raw Data'!AF154 = ROUND('Raw Data'!AF154, 2),FALSE)),"",_xlfn.REGEXEXTRACT(CELL("address",AF154), "\$([A-Z]+)\$[0-9]+"))),_xlfn.REGEXEXTRACT(CELL("address",AF154), "\$([A-Z]+)\$[0-9]+"))</f>
        <v/>
      </c>
      <c r="AG154" s="7" t="str" cm="1">
        <f t="array" aca="1" ref="AG154" ca="1">IFERROR(IF(OR('Raw Data'!AG154="",LEN(TRIM('Raw Data'!AG154))=0),"",IF(AND(ISNUMBER('Raw Data'!AG154), IFERROR('Raw Data'!AG154 = ROUND('Raw Data'!AG154, 2),FALSE)),"",_xlfn.REGEXEXTRACT(CELL("address",AG154), "\$([A-Z]+)\$[0-9]+"))),_xlfn.REGEXEXTRACT(CELL("address",AG154), "\$([A-Z]+)\$[0-9]+"))</f>
        <v/>
      </c>
      <c r="AH154" s="7" t="str" cm="1">
        <f t="array" aca="1" ref="AH154" ca="1">IFERROR(IF(OR('Raw Data'!AH154="",LEN(TRIM('Raw Data'!AH154))=0),"",IF(AND(ISNUMBER('Raw Data'!AH154), IFERROR('Raw Data'!AH154 = ROUND('Raw Data'!AH154, 2),FALSE)),"",_xlfn.REGEXEXTRACT(CELL("address",AH154), "\$([A-Z]+)\$[0-9]+"))),_xlfn.REGEXEXTRACT(CELL("address",AH154), "\$([A-Z]+)\$[0-9]+"))</f>
        <v/>
      </c>
      <c r="AI154" s="7" t="str" cm="1">
        <f t="array" aca="1" ref="AI154" ca="1">IFERROR(IF(OR('Raw Data'!AI154="",LEN(TRIM('Raw Data'!AI154))=0),"",IF(AND(ISNUMBER('Raw Data'!AI154), IFERROR('Raw Data'!AI154 = ROUND('Raw Data'!AI154, 2),FALSE)),"",_xlfn.REGEXEXTRACT(CELL("address",AI154), "\$([A-Z]+)\$[0-9]+"))),_xlfn.REGEXEXTRACT(CELL("address",AI154), "\$([A-Z]+)\$[0-9]+"))</f>
        <v/>
      </c>
      <c r="AJ154" s="7" t="str" cm="1">
        <f t="array" aca="1" ref="AJ154" ca="1">IFERROR(IF(OR('Raw Data'!AJ154="",LEN(TRIM('Raw Data'!AJ154))=0),"",IF(AND(ISNUMBER('Raw Data'!AJ154), IFERROR('Raw Data'!AJ154 = ROUND('Raw Data'!AJ154, 2),FALSE)),"",_xlfn.REGEXEXTRACT(CELL("address",AJ154), "\$([A-Z]+)\$[0-9]+"))),_xlfn.REGEXEXTRACT(CELL("address",AJ154), "\$([A-Z]+)\$[0-9]+"))</f>
        <v/>
      </c>
    </row>
    <row r="155" spans="2:36" x14ac:dyDescent="0.25">
      <c r="B155" s="7" t="str" cm="1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20,LEN('Raw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Data'!D155))=0),"",IF(AND(ISNUMBER('Raw Data'!D155),'Raw Data'!D155&gt;=Configuration!$D$2),"",_xlfn.REGEXEXTRACT(CELL("address",'Raw Data'!D155),"\$([A-Z]+)\$[0-9]+"))),_xlfn.REGEXEXTRACT(CELL("address",D155), "\$([A-Z]+)\$[0-9]+"))</f>
        <v/>
      </c>
      <c r="E155" s="7" t="str" cm="1">
        <f t="array" aca="1" ref="E155" ca="1">IFERROR(IF(OR('Raw Data'!E155="",LEN(TRIM('Raw Data'!E155))=0),"",IF(AND(ISNUMBER('Raw Data'!E155), IFERROR('Raw Data'!E155 = ROUND('Raw Data'!E155, 2),FALSE)),"",_xlfn.REGEXEXTRACT(CELL("address",E155), "\$([A-Z]+)\$[0-9]+"))),_xlfn.REGEXEXTRACT(CELL("address",E155), "\$([A-Z]+)\$[0-9]+"))</f>
        <v/>
      </c>
      <c r="F155" s="7" t="str" cm="1">
        <f t="array" aca="1" ref="F155" ca="1">IFERROR(IF(OR('Raw Data'!F155="",LEN(TRIM('Raw Data'!F155))=0),"",IF(AND(ISNUMBER('Raw Data'!F155), IFERROR('Raw Data'!F155 = ROUND('Raw Data'!F155, 2),FALSE)),"",_xlfn.REGEXEXTRACT(CELL("address",F155), "\$([A-Z]+)\$[0-9]+"))),_xlfn.REGEXEXTRACT(CELL("address",F155), "\$([A-Z]+)\$[0-9]+"))</f>
        <v/>
      </c>
      <c r="G155" s="7" t="str" cm="1">
        <f t="array" aca="1" ref="G155" ca="1">IFERROR(IF(OR('Raw Data'!G155="",LEN(TRIM('Raw Data'!G155))=0),"",IF(AND(ISNUMBER('Raw Data'!G155), IFERROR('Raw Data'!G155 = ROUND('Raw Data'!G155, 2),FALSE)),"",_xlfn.REGEXEXTRACT(CELL("address",G155), "\$([A-Z]+)\$[0-9]+"))),_xlfn.REGEXEXTRACT(CELL("address",G155), "\$([A-Z]+)\$[0-9]+"))</f>
        <v/>
      </c>
      <c r="H155" s="7" t="str" cm="1">
        <f t="array" aca="1" ref="H155" ca="1">IFERROR(IF(OR('Raw Data'!H155="",LEN(TRIM('Raw Data'!H155))=0),"",IF(AND(ISNUMBER('Raw Data'!H155), IFERROR('Raw Data'!H155 = ROUND('Raw Data'!H155, 2),FALSE)),"",_xlfn.REGEXEXTRACT(CELL("address",H155), "\$([A-Z]+)\$[0-9]+"))),_xlfn.REGEXEXTRACT(CELL("address",H155), "\$([A-Z]+)\$[0-9]+"))</f>
        <v/>
      </c>
      <c r="I155" s="7" t="str" cm="1">
        <f t="array" aca="1" ref="I155" ca="1">IFERROR(IF(OR('Raw Data'!I155="",LEN(TRIM('Raw Data'!I155))=0),"",IF(AND(ISNUMBER('Raw Data'!I155), IFERROR('Raw Data'!I155 = ROUND('Raw Data'!I155, 2),FALSE)),"",_xlfn.REGEXEXTRACT(CELL("address",I155), "\$([A-Z]+)\$[0-9]+"))),_xlfn.REGEXEXTRACT(CELL("address",I155), "\$([A-Z]+)\$[0-9]+"))</f>
        <v/>
      </c>
      <c r="J155" s="7" t="str" cm="1">
        <f t="array" aca="1" ref="J155" ca="1">IFERROR(IF(OR('Raw Data'!J155="",LEN(TRIM('Raw Data'!J155))=0),"",IF(AND(ISNUMBER('Raw Data'!J155), IFERROR('Raw Data'!J155 = ROUND('Raw Data'!J155, 2),FALSE)),"",_xlfn.REGEXEXTRACT(CELL("address",J155), "\$([A-Z]+)\$[0-9]+"))),_xlfn.REGEXEXTRACT(CELL("address",J155), "\$([A-Z]+)\$[0-9]+"))</f>
        <v/>
      </c>
      <c r="K155" s="7" t="str" cm="1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7" t="str" cm="1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7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7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7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7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 cm="1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7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7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7" t="str" cm="1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7" t="str" cm="1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  <c r="Z155" s="7" t="str" cm="1">
        <f t="array" aca="1" ref="Z155" ca="1">IFERROR(IF(OR('Raw Data'!Z155="",LEN(TRIM('Raw Data'!Z155))=0),"",IF(AND(ISNUMBER('Raw Data'!Z155), IFERROR('Raw Data'!Z155 = ROUND('Raw Data'!Z155, 2),FALSE)),"",_xlfn.REGEXEXTRACT(CELL("address",Z155), "\$([A-Z]+)\$[0-9]+"))),_xlfn.REGEXEXTRACT(CELL("address",Z155), "\$([A-Z]+)\$[0-9]+"))</f>
        <v/>
      </c>
      <c r="AA155" s="7" t="str" cm="1">
        <f t="array" aca="1" ref="AA155" ca="1">IFERROR(IF(OR('Raw Data'!AA155="",LEN(TRIM('Raw Data'!AA155))=0),"",IF(AND(ISNUMBER('Raw Data'!AA155), IFERROR('Raw Data'!AA155 = ROUND('Raw Data'!AA155, 2),FALSE)),"",_xlfn.REGEXEXTRACT(CELL("address",AA155), "\$([A-Z]+)\$[0-9]+"))),_xlfn.REGEXEXTRACT(CELL("address",AA155), "\$([A-Z]+)\$[0-9]+"))</f>
        <v/>
      </c>
      <c r="AB155" s="7" t="str" cm="1">
        <f t="array" aca="1" ref="AB155" ca="1">IFERROR(IF(OR('Raw Data'!AB155="",LEN(TRIM('Raw Data'!AB155))=0),"",IF(AND(ISNUMBER('Raw Data'!AB155), IFERROR('Raw Data'!AB155 = ROUND('Raw Data'!AB155, 2),FALSE)),"",_xlfn.REGEXEXTRACT(CELL("address",AB155), "\$([A-Z]+)\$[0-9]+"))),_xlfn.REGEXEXTRACT(CELL("address",AB155), "\$([A-Z]+)\$[0-9]+"))</f>
        <v/>
      </c>
      <c r="AC155" s="7" t="str" cm="1">
        <f t="array" aca="1" ref="AC155" ca="1">IFERROR(IF(OR('Raw Data'!AC155="",LEN(TRIM('Raw Data'!AC155))=0),"",IF(AND(ISNUMBER('Raw Data'!AC155), IFERROR('Raw Data'!AC155 = ROUND('Raw Data'!AC155, 2),FALSE)),"",_xlfn.REGEXEXTRACT(CELL("address",AC155), "\$([A-Z]+)\$[0-9]+"))),_xlfn.REGEXEXTRACT(CELL("address",AC155), "\$([A-Z]+)\$[0-9]+"))</f>
        <v/>
      </c>
      <c r="AD155" s="7" t="str" cm="1">
        <f t="array" aca="1" ref="AD155" ca="1">IFERROR(IF(OR('Raw Data'!AD155="",LEN(TRIM('Raw Data'!AD155))=0),"",IF(AND(ISNUMBER('Raw Data'!AD155), IFERROR('Raw Data'!AD155 = ROUND('Raw Data'!AD155, 2),FALSE)),"",_xlfn.REGEXEXTRACT(CELL("address",AD155), "\$([A-Z]+)\$[0-9]+"))),_xlfn.REGEXEXTRACT(CELL("address",AD155), "\$([A-Z]+)\$[0-9]+"))</f>
        <v/>
      </c>
      <c r="AE155" s="7" t="str" cm="1">
        <f t="array" aca="1" ref="AE155" ca="1">IFERROR(IF(OR('Raw Data'!AE155="",LEN(TRIM('Raw Data'!AE155))=0),"",IF(AND(ISNUMBER('Raw Data'!AE155), IFERROR('Raw Data'!AE155 = ROUND('Raw Data'!AE155, 2),FALSE)),"",_xlfn.REGEXEXTRACT(CELL("address",AE155), "\$([A-Z]+)\$[0-9]+"))),_xlfn.REGEXEXTRACT(CELL("address",AE155), "\$([A-Z]+)\$[0-9]+"))</f>
        <v/>
      </c>
      <c r="AF155" s="7" t="str" cm="1">
        <f t="array" aca="1" ref="AF155" ca="1">IFERROR(IF(OR('Raw Data'!AF155="",LEN(TRIM('Raw Data'!AF155))=0),"",IF(AND(ISNUMBER('Raw Data'!AF155), IFERROR('Raw Data'!AF155 = ROUND('Raw Data'!AF155, 2),FALSE)),"",_xlfn.REGEXEXTRACT(CELL("address",AF155), "\$([A-Z]+)\$[0-9]+"))),_xlfn.REGEXEXTRACT(CELL("address",AF155), "\$([A-Z]+)\$[0-9]+"))</f>
        <v/>
      </c>
      <c r="AG155" s="7" t="str" cm="1">
        <f t="array" aca="1" ref="AG155" ca="1">IFERROR(IF(OR('Raw Data'!AG155="",LEN(TRIM('Raw Data'!AG155))=0),"",IF(AND(ISNUMBER('Raw Data'!AG155), IFERROR('Raw Data'!AG155 = ROUND('Raw Data'!AG155, 2),FALSE)),"",_xlfn.REGEXEXTRACT(CELL("address",AG155), "\$([A-Z]+)\$[0-9]+"))),_xlfn.REGEXEXTRACT(CELL("address",AG155), "\$([A-Z]+)\$[0-9]+"))</f>
        <v/>
      </c>
      <c r="AH155" s="7" t="str" cm="1">
        <f t="array" aca="1" ref="AH155" ca="1">IFERROR(IF(OR('Raw Data'!AH155="",LEN(TRIM('Raw Data'!AH155))=0),"",IF(AND(ISNUMBER('Raw Data'!AH155), IFERROR('Raw Data'!AH155 = ROUND('Raw Data'!AH155, 2),FALSE)),"",_xlfn.REGEXEXTRACT(CELL("address",AH155), "\$([A-Z]+)\$[0-9]+"))),_xlfn.REGEXEXTRACT(CELL("address",AH155), "\$([A-Z]+)\$[0-9]+"))</f>
        <v/>
      </c>
      <c r="AI155" s="7" t="str" cm="1">
        <f t="array" aca="1" ref="AI155" ca="1">IFERROR(IF(OR('Raw Data'!AI155="",LEN(TRIM('Raw Data'!AI155))=0),"",IF(AND(ISNUMBER('Raw Data'!AI155), IFERROR('Raw Data'!AI155 = ROUND('Raw Data'!AI155, 2),FALSE)),"",_xlfn.REGEXEXTRACT(CELL("address",AI155), "\$([A-Z]+)\$[0-9]+"))),_xlfn.REGEXEXTRACT(CELL("address",AI155), "\$([A-Z]+)\$[0-9]+"))</f>
        <v/>
      </c>
      <c r="AJ155" s="7" t="str" cm="1">
        <f t="array" aca="1" ref="AJ155" ca="1">IFERROR(IF(OR('Raw Data'!AJ155="",LEN(TRIM('Raw Data'!AJ155))=0),"",IF(AND(ISNUMBER('Raw Data'!AJ155), IFERROR('Raw Data'!AJ155 = ROUND('Raw Data'!AJ155, 2),FALSE)),"",_xlfn.REGEXEXTRACT(CELL("address",AJ155), "\$([A-Z]+)\$[0-9]+"))),_xlfn.REGEXEXTRACT(CELL("address",AJ155), "\$([A-Z]+)\$[0-9]+"))</f>
        <v/>
      </c>
    </row>
    <row r="156" spans="2:36" x14ac:dyDescent="0.25">
      <c r="B156" s="7" t="str" cm="1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20,LEN('Raw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Data'!D156))=0),"",IF(AND(ISNUMBER('Raw Data'!D156),'Raw Data'!D156&gt;=Configuration!$D$2),"",_xlfn.REGEXEXTRACT(CELL("address",'Raw Data'!D156),"\$([A-Z]+)\$[0-9]+"))),_xlfn.REGEXEXTRACT(CELL("address",D156), "\$([A-Z]+)\$[0-9]+"))</f>
        <v/>
      </c>
      <c r="E156" s="7" t="str" cm="1">
        <f t="array" aca="1" ref="E156" ca="1">IFERROR(IF(OR('Raw Data'!E156="",LEN(TRIM('Raw Data'!E156))=0),"",IF(AND(ISNUMBER('Raw Data'!E156), IFERROR('Raw Data'!E156 = ROUND('Raw Data'!E156, 2),FALSE)),"",_xlfn.REGEXEXTRACT(CELL("address",E156), "\$([A-Z]+)\$[0-9]+"))),_xlfn.REGEXEXTRACT(CELL("address",E156), "\$([A-Z]+)\$[0-9]+"))</f>
        <v/>
      </c>
      <c r="F156" s="7" t="str" cm="1">
        <f t="array" aca="1" ref="F156" ca="1">IFERROR(IF(OR('Raw Data'!F156="",LEN(TRIM('Raw Data'!F156))=0),"",IF(AND(ISNUMBER('Raw Data'!F156), IFERROR('Raw Data'!F156 = ROUND('Raw Data'!F156, 2),FALSE)),"",_xlfn.REGEXEXTRACT(CELL("address",F156), "\$([A-Z]+)\$[0-9]+"))),_xlfn.REGEXEXTRACT(CELL("address",F156), "\$([A-Z]+)\$[0-9]+"))</f>
        <v/>
      </c>
      <c r="G156" s="7" t="str" cm="1">
        <f t="array" aca="1" ref="G156" ca="1">IFERROR(IF(OR('Raw Data'!G156="",LEN(TRIM('Raw Data'!G156))=0),"",IF(AND(ISNUMBER('Raw Data'!G156), IFERROR('Raw Data'!G156 = ROUND('Raw Data'!G156, 2),FALSE)),"",_xlfn.REGEXEXTRACT(CELL("address",G156), "\$([A-Z]+)\$[0-9]+"))),_xlfn.REGEXEXTRACT(CELL("address",G156), "\$([A-Z]+)\$[0-9]+"))</f>
        <v/>
      </c>
      <c r="H156" s="7" t="str" cm="1">
        <f t="array" aca="1" ref="H156" ca="1">IFERROR(IF(OR('Raw Data'!H156="",LEN(TRIM('Raw Data'!H156))=0),"",IF(AND(ISNUMBER('Raw Data'!H156), IFERROR('Raw Data'!H156 = ROUND('Raw Data'!H156, 2),FALSE)),"",_xlfn.REGEXEXTRACT(CELL("address",H156), "\$([A-Z]+)\$[0-9]+"))),_xlfn.REGEXEXTRACT(CELL("address",H156), "\$([A-Z]+)\$[0-9]+"))</f>
        <v/>
      </c>
      <c r="I156" s="7" t="str" cm="1">
        <f t="array" aca="1" ref="I156" ca="1">IFERROR(IF(OR('Raw Data'!I156="",LEN(TRIM('Raw Data'!I156))=0),"",IF(AND(ISNUMBER('Raw Data'!I156), IFERROR('Raw Data'!I156 = ROUND('Raw Data'!I156, 2),FALSE)),"",_xlfn.REGEXEXTRACT(CELL("address",I156), "\$([A-Z]+)\$[0-9]+"))),_xlfn.REGEXEXTRACT(CELL("address",I156), "\$([A-Z]+)\$[0-9]+"))</f>
        <v/>
      </c>
      <c r="J156" s="7" t="str" cm="1">
        <f t="array" aca="1" ref="J156" ca="1">IFERROR(IF(OR('Raw Data'!J156="",LEN(TRIM('Raw Data'!J156))=0),"",IF(AND(ISNUMBER('Raw Data'!J156), IFERROR('Raw Data'!J156 = ROUND('Raw Data'!J156, 2),FALSE)),"",_xlfn.REGEXEXTRACT(CELL("address",J156), "\$([A-Z]+)\$[0-9]+"))),_xlfn.REGEXEXTRACT(CELL("address",J156), "\$([A-Z]+)\$[0-9]+"))</f>
        <v/>
      </c>
      <c r="K156" s="7" t="str" cm="1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7" t="str" cm="1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7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7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7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7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 cm="1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7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7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7" t="str" cm="1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7" t="str" cm="1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  <c r="Z156" s="7" t="str" cm="1">
        <f t="array" aca="1" ref="Z156" ca="1">IFERROR(IF(OR('Raw Data'!Z156="",LEN(TRIM('Raw Data'!Z156))=0),"",IF(AND(ISNUMBER('Raw Data'!Z156), IFERROR('Raw Data'!Z156 = ROUND('Raw Data'!Z156, 2),FALSE)),"",_xlfn.REGEXEXTRACT(CELL("address",Z156), "\$([A-Z]+)\$[0-9]+"))),_xlfn.REGEXEXTRACT(CELL("address",Z156), "\$([A-Z]+)\$[0-9]+"))</f>
        <v/>
      </c>
      <c r="AA156" s="7" t="str" cm="1">
        <f t="array" aca="1" ref="AA156" ca="1">IFERROR(IF(OR('Raw Data'!AA156="",LEN(TRIM('Raw Data'!AA156))=0),"",IF(AND(ISNUMBER('Raw Data'!AA156), IFERROR('Raw Data'!AA156 = ROUND('Raw Data'!AA156, 2),FALSE)),"",_xlfn.REGEXEXTRACT(CELL("address",AA156), "\$([A-Z]+)\$[0-9]+"))),_xlfn.REGEXEXTRACT(CELL("address",AA156), "\$([A-Z]+)\$[0-9]+"))</f>
        <v/>
      </c>
      <c r="AB156" s="7" t="str" cm="1">
        <f t="array" aca="1" ref="AB156" ca="1">IFERROR(IF(OR('Raw Data'!AB156="",LEN(TRIM('Raw Data'!AB156))=0),"",IF(AND(ISNUMBER('Raw Data'!AB156), IFERROR('Raw Data'!AB156 = ROUND('Raw Data'!AB156, 2),FALSE)),"",_xlfn.REGEXEXTRACT(CELL("address",AB156), "\$([A-Z]+)\$[0-9]+"))),_xlfn.REGEXEXTRACT(CELL("address",AB156), "\$([A-Z]+)\$[0-9]+"))</f>
        <v/>
      </c>
      <c r="AC156" s="7" t="str" cm="1">
        <f t="array" aca="1" ref="AC156" ca="1">IFERROR(IF(OR('Raw Data'!AC156="",LEN(TRIM('Raw Data'!AC156))=0),"",IF(AND(ISNUMBER('Raw Data'!AC156), IFERROR('Raw Data'!AC156 = ROUND('Raw Data'!AC156, 2),FALSE)),"",_xlfn.REGEXEXTRACT(CELL("address",AC156), "\$([A-Z]+)\$[0-9]+"))),_xlfn.REGEXEXTRACT(CELL("address",AC156), "\$([A-Z]+)\$[0-9]+"))</f>
        <v/>
      </c>
      <c r="AD156" s="7" t="str" cm="1">
        <f t="array" aca="1" ref="AD156" ca="1">IFERROR(IF(OR('Raw Data'!AD156="",LEN(TRIM('Raw Data'!AD156))=0),"",IF(AND(ISNUMBER('Raw Data'!AD156), IFERROR('Raw Data'!AD156 = ROUND('Raw Data'!AD156, 2),FALSE)),"",_xlfn.REGEXEXTRACT(CELL("address",AD156), "\$([A-Z]+)\$[0-9]+"))),_xlfn.REGEXEXTRACT(CELL("address",AD156), "\$([A-Z]+)\$[0-9]+"))</f>
        <v/>
      </c>
      <c r="AE156" s="7" t="str" cm="1">
        <f t="array" aca="1" ref="AE156" ca="1">IFERROR(IF(OR('Raw Data'!AE156="",LEN(TRIM('Raw Data'!AE156))=0),"",IF(AND(ISNUMBER('Raw Data'!AE156), IFERROR('Raw Data'!AE156 = ROUND('Raw Data'!AE156, 2),FALSE)),"",_xlfn.REGEXEXTRACT(CELL("address",AE156), "\$([A-Z]+)\$[0-9]+"))),_xlfn.REGEXEXTRACT(CELL("address",AE156), "\$([A-Z]+)\$[0-9]+"))</f>
        <v/>
      </c>
      <c r="AF156" s="7" t="str" cm="1">
        <f t="array" aca="1" ref="AF156" ca="1">IFERROR(IF(OR('Raw Data'!AF156="",LEN(TRIM('Raw Data'!AF156))=0),"",IF(AND(ISNUMBER('Raw Data'!AF156), IFERROR('Raw Data'!AF156 = ROUND('Raw Data'!AF156, 2),FALSE)),"",_xlfn.REGEXEXTRACT(CELL("address",AF156), "\$([A-Z]+)\$[0-9]+"))),_xlfn.REGEXEXTRACT(CELL("address",AF156), "\$([A-Z]+)\$[0-9]+"))</f>
        <v/>
      </c>
      <c r="AG156" s="7" t="str" cm="1">
        <f t="array" aca="1" ref="AG156" ca="1">IFERROR(IF(OR('Raw Data'!AG156="",LEN(TRIM('Raw Data'!AG156))=0),"",IF(AND(ISNUMBER('Raw Data'!AG156), IFERROR('Raw Data'!AG156 = ROUND('Raw Data'!AG156, 2),FALSE)),"",_xlfn.REGEXEXTRACT(CELL("address",AG156), "\$([A-Z]+)\$[0-9]+"))),_xlfn.REGEXEXTRACT(CELL("address",AG156), "\$([A-Z]+)\$[0-9]+"))</f>
        <v/>
      </c>
      <c r="AH156" s="7" t="str" cm="1">
        <f t="array" aca="1" ref="AH156" ca="1">IFERROR(IF(OR('Raw Data'!AH156="",LEN(TRIM('Raw Data'!AH156))=0),"",IF(AND(ISNUMBER('Raw Data'!AH156), IFERROR('Raw Data'!AH156 = ROUND('Raw Data'!AH156, 2),FALSE)),"",_xlfn.REGEXEXTRACT(CELL("address",AH156), "\$([A-Z]+)\$[0-9]+"))),_xlfn.REGEXEXTRACT(CELL("address",AH156), "\$([A-Z]+)\$[0-9]+"))</f>
        <v/>
      </c>
      <c r="AI156" s="7" t="str" cm="1">
        <f t="array" aca="1" ref="AI156" ca="1">IFERROR(IF(OR('Raw Data'!AI156="",LEN(TRIM('Raw Data'!AI156))=0),"",IF(AND(ISNUMBER('Raw Data'!AI156), IFERROR('Raw Data'!AI156 = ROUND('Raw Data'!AI156, 2),FALSE)),"",_xlfn.REGEXEXTRACT(CELL("address",AI156), "\$([A-Z]+)\$[0-9]+"))),_xlfn.REGEXEXTRACT(CELL("address",AI156), "\$([A-Z]+)\$[0-9]+"))</f>
        <v/>
      </c>
      <c r="AJ156" s="7" t="str" cm="1">
        <f t="array" aca="1" ref="AJ156" ca="1">IFERROR(IF(OR('Raw Data'!AJ156="",LEN(TRIM('Raw Data'!AJ156))=0),"",IF(AND(ISNUMBER('Raw Data'!AJ156), IFERROR('Raw Data'!AJ156 = ROUND('Raw Data'!AJ156, 2),FALSE)),"",_xlfn.REGEXEXTRACT(CELL("address",AJ156), "\$([A-Z]+)\$[0-9]+"))),_xlfn.REGEXEXTRACT(CELL("address",AJ156), "\$([A-Z]+)\$[0-9]+"))</f>
        <v/>
      </c>
    </row>
    <row r="157" spans="2:36" x14ac:dyDescent="0.25">
      <c r="B157" s="7" t="str" cm="1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20,LEN('Raw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Data'!D157))=0),"",IF(AND(ISNUMBER('Raw Data'!D157),'Raw Data'!D157&gt;=Configuration!$D$2),"",_xlfn.REGEXEXTRACT(CELL("address",'Raw Data'!D157),"\$([A-Z]+)\$[0-9]+"))),_xlfn.REGEXEXTRACT(CELL("address",D157), "\$([A-Z]+)\$[0-9]+"))</f>
        <v/>
      </c>
      <c r="E157" s="7" t="str" cm="1">
        <f t="array" aca="1" ref="E157" ca="1">IFERROR(IF(OR('Raw Data'!E157="",LEN(TRIM('Raw Data'!E157))=0),"",IF(AND(ISNUMBER('Raw Data'!E157), IFERROR('Raw Data'!E157 = ROUND('Raw Data'!E157, 2),FALSE)),"",_xlfn.REGEXEXTRACT(CELL("address",E157), "\$([A-Z]+)\$[0-9]+"))),_xlfn.REGEXEXTRACT(CELL("address",E157), "\$([A-Z]+)\$[0-9]+"))</f>
        <v/>
      </c>
      <c r="F157" s="7" t="str" cm="1">
        <f t="array" aca="1" ref="F157" ca="1">IFERROR(IF(OR('Raw Data'!F157="",LEN(TRIM('Raw Data'!F157))=0),"",IF(AND(ISNUMBER('Raw Data'!F157), IFERROR('Raw Data'!F157 = ROUND('Raw Data'!F157, 2),FALSE)),"",_xlfn.REGEXEXTRACT(CELL("address",F157), "\$([A-Z]+)\$[0-9]+"))),_xlfn.REGEXEXTRACT(CELL("address",F157), "\$([A-Z]+)\$[0-9]+"))</f>
        <v/>
      </c>
      <c r="G157" s="7" t="str" cm="1">
        <f t="array" aca="1" ref="G157" ca="1">IFERROR(IF(OR('Raw Data'!G157="",LEN(TRIM('Raw Data'!G157))=0),"",IF(AND(ISNUMBER('Raw Data'!G157), IFERROR('Raw Data'!G157 = ROUND('Raw Data'!G157, 2),FALSE)),"",_xlfn.REGEXEXTRACT(CELL("address",G157), "\$([A-Z]+)\$[0-9]+"))),_xlfn.REGEXEXTRACT(CELL("address",G157), "\$([A-Z]+)\$[0-9]+"))</f>
        <v/>
      </c>
      <c r="H157" s="7" t="str" cm="1">
        <f t="array" aca="1" ref="H157" ca="1">IFERROR(IF(OR('Raw Data'!H157="",LEN(TRIM('Raw Data'!H157))=0),"",IF(AND(ISNUMBER('Raw Data'!H157), IFERROR('Raw Data'!H157 = ROUND('Raw Data'!H157, 2),FALSE)),"",_xlfn.REGEXEXTRACT(CELL("address",H157), "\$([A-Z]+)\$[0-9]+"))),_xlfn.REGEXEXTRACT(CELL("address",H157), "\$([A-Z]+)\$[0-9]+"))</f>
        <v/>
      </c>
      <c r="I157" s="7" t="str" cm="1">
        <f t="array" aca="1" ref="I157" ca="1">IFERROR(IF(OR('Raw Data'!I157="",LEN(TRIM('Raw Data'!I157))=0),"",IF(AND(ISNUMBER('Raw Data'!I157), IFERROR('Raw Data'!I157 = ROUND('Raw Data'!I157, 2),FALSE)),"",_xlfn.REGEXEXTRACT(CELL("address",I157), "\$([A-Z]+)\$[0-9]+"))),_xlfn.REGEXEXTRACT(CELL("address",I157), "\$([A-Z]+)\$[0-9]+"))</f>
        <v/>
      </c>
      <c r="J157" s="7" t="str" cm="1">
        <f t="array" aca="1" ref="J157" ca="1">IFERROR(IF(OR('Raw Data'!J157="",LEN(TRIM('Raw Data'!J157))=0),"",IF(AND(ISNUMBER('Raw Data'!J157), IFERROR('Raw Data'!J157 = ROUND('Raw Data'!J157, 2),FALSE)),"",_xlfn.REGEXEXTRACT(CELL("address",J157), "\$([A-Z]+)\$[0-9]+"))),_xlfn.REGEXEXTRACT(CELL("address",J157), "\$([A-Z]+)\$[0-9]+"))</f>
        <v/>
      </c>
      <c r="K157" s="7" t="str" cm="1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7" t="str" cm="1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7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7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7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7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 cm="1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7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7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7" t="str" cm="1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7" t="str" cm="1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  <c r="Z157" s="7" t="str" cm="1">
        <f t="array" aca="1" ref="Z157" ca="1">IFERROR(IF(OR('Raw Data'!Z157="",LEN(TRIM('Raw Data'!Z157))=0),"",IF(AND(ISNUMBER('Raw Data'!Z157), IFERROR('Raw Data'!Z157 = ROUND('Raw Data'!Z157, 2),FALSE)),"",_xlfn.REGEXEXTRACT(CELL("address",Z157), "\$([A-Z]+)\$[0-9]+"))),_xlfn.REGEXEXTRACT(CELL("address",Z157), "\$([A-Z]+)\$[0-9]+"))</f>
        <v/>
      </c>
      <c r="AA157" s="7" t="str" cm="1">
        <f t="array" aca="1" ref="AA157" ca="1">IFERROR(IF(OR('Raw Data'!AA157="",LEN(TRIM('Raw Data'!AA157))=0),"",IF(AND(ISNUMBER('Raw Data'!AA157), IFERROR('Raw Data'!AA157 = ROUND('Raw Data'!AA157, 2),FALSE)),"",_xlfn.REGEXEXTRACT(CELL("address",AA157), "\$([A-Z]+)\$[0-9]+"))),_xlfn.REGEXEXTRACT(CELL("address",AA157), "\$([A-Z]+)\$[0-9]+"))</f>
        <v/>
      </c>
      <c r="AB157" s="7" t="str" cm="1">
        <f t="array" aca="1" ref="AB157" ca="1">IFERROR(IF(OR('Raw Data'!AB157="",LEN(TRIM('Raw Data'!AB157))=0),"",IF(AND(ISNUMBER('Raw Data'!AB157), IFERROR('Raw Data'!AB157 = ROUND('Raw Data'!AB157, 2),FALSE)),"",_xlfn.REGEXEXTRACT(CELL("address",AB157), "\$([A-Z]+)\$[0-9]+"))),_xlfn.REGEXEXTRACT(CELL("address",AB157), "\$([A-Z]+)\$[0-9]+"))</f>
        <v/>
      </c>
      <c r="AC157" s="7" t="str" cm="1">
        <f t="array" aca="1" ref="AC157" ca="1">IFERROR(IF(OR('Raw Data'!AC157="",LEN(TRIM('Raw Data'!AC157))=0),"",IF(AND(ISNUMBER('Raw Data'!AC157), IFERROR('Raw Data'!AC157 = ROUND('Raw Data'!AC157, 2),FALSE)),"",_xlfn.REGEXEXTRACT(CELL("address",AC157), "\$([A-Z]+)\$[0-9]+"))),_xlfn.REGEXEXTRACT(CELL("address",AC157), "\$([A-Z]+)\$[0-9]+"))</f>
        <v/>
      </c>
      <c r="AD157" s="7" t="str" cm="1">
        <f t="array" aca="1" ref="AD157" ca="1">IFERROR(IF(OR('Raw Data'!AD157="",LEN(TRIM('Raw Data'!AD157))=0),"",IF(AND(ISNUMBER('Raw Data'!AD157), IFERROR('Raw Data'!AD157 = ROUND('Raw Data'!AD157, 2),FALSE)),"",_xlfn.REGEXEXTRACT(CELL("address",AD157), "\$([A-Z]+)\$[0-9]+"))),_xlfn.REGEXEXTRACT(CELL("address",AD157), "\$([A-Z]+)\$[0-9]+"))</f>
        <v/>
      </c>
      <c r="AE157" s="7" t="str" cm="1">
        <f t="array" aca="1" ref="AE157" ca="1">IFERROR(IF(OR('Raw Data'!AE157="",LEN(TRIM('Raw Data'!AE157))=0),"",IF(AND(ISNUMBER('Raw Data'!AE157), IFERROR('Raw Data'!AE157 = ROUND('Raw Data'!AE157, 2),FALSE)),"",_xlfn.REGEXEXTRACT(CELL("address",AE157), "\$([A-Z]+)\$[0-9]+"))),_xlfn.REGEXEXTRACT(CELL("address",AE157), "\$([A-Z]+)\$[0-9]+"))</f>
        <v/>
      </c>
      <c r="AF157" s="7" t="str" cm="1">
        <f t="array" aca="1" ref="AF157" ca="1">IFERROR(IF(OR('Raw Data'!AF157="",LEN(TRIM('Raw Data'!AF157))=0),"",IF(AND(ISNUMBER('Raw Data'!AF157), IFERROR('Raw Data'!AF157 = ROUND('Raw Data'!AF157, 2),FALSE)),"",_xlfn.REGEXEXTRACT(CELL("address",AF157), "\$([A-Z]+)\$[0-9]+"))),_xlfn.REGEXEXTRACT(CELL("address",AF157), "\$([A-Z]+)\$[0-9]+"))</f>
        <v/>
      </c>
      <c r="AG157" s="7" t="str" cm="1">
        <f t="array" aca="1" ref="AG157" ca="1">IFERROR(IF(OR('Raw Data'!AG157="",LEN(TRIM('Raw Data'!AG157))=0),"",IF(AND(ISNUMBER('Raw Data'!AG157), IFERROR('Raw Data'!AG157 = ROUND('Raw Data'!AG157, 2),FALSE)),"",_xlfn.REGEXEXTRACT(CELL("address",AG157), "\$([A-Z]+)\$[0-9]+"))),_xlfn.REGEXEXTRACT(CELL("address",AG157), "\$([A-Z]+)\$[0-9]+"))</f>
        <v/>
      </c>
      <c r="AH157" s="7" t="str" cm="1">
        <f t="array" aca="1" ref="AH157" ca="1">IFERROR(IF(OR('Raw Data'!AH157="",LEN(TRIM('Raw Data'!AH157))=0),"",IF(AND(ISNUMBER('Raw Data'!AH157), IFERROR('Raw Data'!AH157 = ROUND('Raw Data'!AH157, 2),FALSE)),"",_xlfn.REGEXEXTRACT(CELL("address",AH157), "\$([A-Z]+)\$[0-9]+"))),_xlfn.REGEXEXTRACT(CELL("address",AH157), "\$([A-Z]+)\$[0-9]+"))</f>
        <v/>
      </c>
      <c r="AI157" s="7" t="str" cm="1">
        <f t="array" aca="1" ref="AI157" ca="1">IFERROR(IF(OR('Raw Data'!AI157="",LEN(TRIM('Raw Data'!AI157))=0),"",IF(AND(ISNUMBER('Raw Data'!AI157), IFERROR('Raw Data'!AI157 = ROUND('Raw Data'!AI157, 2),FALSE)),"",_xlfn.REGEXEXTRACT(CELL("address",AI157), "\$([A-Z]+)\$[0-9]+"))),_xlfn.REGEXEXTRACT(CELL("address",AI157), "\$([A-Z]+)\$[0-9]+"))</f>
        <v/>
      </c>
      <c r="AJ157" s="7" t="str" cm="1">
        <f t="array" aca="1" ref="AJ157" ca="1">IFERROR(IF(OR('Raw Data'!AJ157="",LEN(TRIM('Raw Data'!AJ157))=0),"",IF(AND(ISNUMBER('Raw Data'!AJ157), IFERROR('Raw Data'!AJ157 = ROUND('Raw Data'!AJ157, 2),FALSE)),"",_xlfn.REGEXEXTRACT(CELL("address",AJ157), "\$([A-Z]+)\$[0-9]+"))),_xlfn.REGEXEXTRACT(CELL("address",AJ157), "\$([A-Z]+)\$[0-9]+"))</f>
        <v/>
      </c>
    </row>
    <row r="158" spans="2:36" x14ac:dyDescent="0.25">
      <c r="B158" s="7" t="str" cm="1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20,LEN('Raw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Data'!D158))=0),"",IF(AND(ISNUMBER('Raw Data'!D158),'Raw Data'!D158&gt;=Configuration!$D$2),"",_xlfn.REGEXEXTRACT(CELL("address",'Raw Data'!D158),"\$([A-Z]+)\$[0-9]+"))),_xlfn.REGEXEXTRACT(CELL("address",D158), "\$([A-Z]+)\$[0-9]+"))</f>
        <v/>
      </c>
      <c r="E158" s="7" t="str" cm="1">
        <f t="array" aca="1" ref="E158" ca="1">IFERROR(IF(OR('Raw Data'!E158="",LEN(TRIM('Raw Data'!E158))=0),"",IF(AND(ISNUMBER('Raw Data'!E158), IFERROR('Raw Data'!E158 = ROUND('Raw Data'!E158, 2),FALSE)),"",_xlfn.REGEXEXTRACT(CELL("address",E158), "\$([A-Z]+)\$[0-9]+"))),_xlfn.REGEXEXTRACT(CELL("address",E158), "\$([A-Z]+)\$[0-9]+"))</f>
        <v/>
      </c>
      <c r="F158" s="7" t="str" cm="1">
        <f t="array" aca="1" ref="F158" ca="1">IFERROR(IF(OR('Raw Data'!F158="",LEN(TRIM('Raw Data'!F158))=0),"",IF(AND(ISNUMBER('Raw Data'!F158), IFERROR('Raw Data'!F158 = ROUND('Raw Data'!F158, 2),FALSE)),"",_xlfn.REGEXEXTRACT(CELL("address",F158), "\$([A-Z]+)\$[0-9]+"))),_xlfn.REGEXEXTRACT(CELL("address",F158), "\$([A-Z]+)\$[0-9]+"))</f>
        <v/>
      </c>
      <c r="G158" s="7" t="str" cm="1">
        <f t="array" aca="1" ref="G158" ca="1">IFERROR(IF(OR('Raw Data'!G158="",LEN(TRIM('Raw Data'!G158))=0),"",IF(AND(ISNUMBER('Raw Data'!G158), IFERROR('Raw Data'!G158 = ROUND('Raw Data'!G158, 2),FALSE)),"",_xlfn.REGEXEXTRACT(CELL("address",G158), "\$([A-Z]+)\$[0-9]+"))),_xlfn.REGEXEXTRACT(CELL("address",G158), "\$([A-Z]+)\$[0-9]+"))</f>
        <v/>
      </c>
      <c r="H158" s="7" t="str" cm="1">
        <f t="array" aca="1" ref="H158" ca="1">IFERROR(IF(OR('Raw Data'!H158="",LEN(TRIM('Raw Data'!H158))=0),"",IF(AND(ISNUMBER('Raw Data'!H158), IFERROR('Raw Data'!H158 = ROUND('Raw Data'!H158, 2),FALSE)),"",_xlfn.REGEXEXTRACT(CELL("address",H158), "\$([A-Z]+)\$[0-9]+"))),_xlfn.REGEXEXTRACT(CELL("address",H158), "\$([A-Z]+)\$[0-9]+"))</f>
        <v/>
      </c>
      <c r="I158" s="7" t="str" cm="1">
        <f t="array" aca="1" ref="I158" ca="1">IFERROR(IF(OR('Raw Data'!I158="",LEN(TRIM('Raw Data'!I158))=0),"",IF(AND(ISNUMBER('Raw Data'!I158), IFERROR('Raw Data'!I158 = ROUND('Raw Data'!I158, 2),FALSE)),"",_xlfn.REGEXEXTRACT(CELL("address",I158), "\$([A-Z]+)\$[0-9]+"))),_xlfn.REGEXEXTRACT(CELL("address",I158), "\$([A-Z]+)\$[0-9]+"))</f>
        <v/>
      </c>
      <c r="J158" s="7" t="str" cm="1">
        <f t="array" aca="1" ref="J158" ca="1">IFERROR(IF(OR('Raw Data'!J158="",LEN(TRIM('Raw Data'!J158))=0),"",IF(AND(ISNUMBER('Raw Data'!J158), IFERROR('Raw Data'!J158 = ROUND('Raw Data'!J158, 2),FALSE)),"",_xlfn.REGEXEXTRACT(CELL("address",J158), "\$([A-Z]+)\$[0-9]+"))),_xlfn.REGEXEXTRACT(CELL("address",J158), "\$([A-Z]+)\$[0-9]+"))</f>
        <v/>
      </c>
      <c r="K158" s="7" t="str" cm="1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7" t="str" cm="1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7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7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7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7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 cm="1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7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7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7" t="str" cm="1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7" t="str" cm="1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  <c r="Z158" s="7" t="str" cm="1">
        <f t="array" aca="1" ref="Z158" ca="1">IFERROR(IF(OR('Raw Data'!Z158="",LEN(TRIM('Raw Data'!Z158))=0),"",IF(AND(ISNUMBER('Raw Data'!Z158), IFERROR('Raw Data'!Z158 = ROUND('Raw Data'!Z158, 2),FALSE)),"",_xlfn.REGEXEXTRACT(CELL("address",Z158), "\$([A-Z]+)\$[0-9]+"))),_xlfn.REGEXEXTRACT(CELL("address",Z158), "\$([A-Z]+)\$[0-9]+"))</f>
        <v/>
      </c>
      <c r="AA158" s="7" t="str" cm="1">
        <f t="array" aca="1" ref="AA158" ca="1">IFERROR(IF(OR('Raw Data'!AA158="",LEN(TRIM('Raw Data'!AA158))=0),"",IF(AND(ISNUMBER('Raw Data'!AA158), IFERROR('Raw Data'!AA158 = ROUND('Raw Data'!AA158, 2),FALSE)),"",_xlfn.REGEXEXTRACT(CELL("address",AA158), "\$([A-Z]+)\$[0-9]+"))),_xlfn.REGEXEXTRACT(CELL("address",AA158), "\$([A-Z]+)\$[0-9]+"))</f>
        <v/>
      </c>
      <c r="AB158" s="7" t="str" cm="1">
        <f t="array" aca="1" ref="AB158" ca="1">IFERROR(IF(OR('Raw Data'!AB158="",LEN(TRIM('Raw Data'!AB158))=0),"",IF(AND(ISNUMBER('Raw Data'!AB158), IFERROR('Raw Data'!AB158 = ROUND('Raw Data'!AB158, 2),FALSE)),"",_xlfn.REGEXEXTRACT(CELL("address",AB158), "\$([A-Z]+)\$[0-9]+"))),_xlfn.REGEXEXTRACT(CELL("address",AB158), "\$([A-Z]+)\$[0-9]+"))</f>
        <v/>
      </c>
      <c r="AC158" s="7" t="str" cm="1">
        <f t="array" aca="1" ref="AC158" ca="1">IFERROR(IF(OR('Raw Data'!AC158="",LEN(TRIM('Raw Data'!AC158))=0),"",IF(AND(ISNUMBER('Raw Data'!AC158), IFERROR('Raw Data'!AC158 = ROUND('Raw Data'!AC158, 2),FALSE)),"",_xlfn.REGEXEXTRACT(CELL("address",AC158), "\$([A-Z]+)\$[0-9]+"))),_xlfn.REGEXEXTRACT(CELL("address",AC158), "\$([A-Z]+)\$[0-9]+"))</f>
        <v/>
      </c>
      <c r="AD158" s="7" t="str" cm="1">
        <f t="array" aca="1" ref="AD158" ca="1">IFERROR(IF(OR('Raw Data'!AD158="",LEN(TRIM('Raw Data'!AD158))=0),"",IF(AND(ISNUMBER('Raw Data'!AD158), IFERROR('Raw Data'!AD158 = ROUND('Raw Data'!AD158, 2),FALSE)),"",_xlfn.REGEXEXTRACT(CELL("address",AD158), "\$([A-Z]+)\$[0-9]+"))),_xlfn.REGEXEXTRACT(CELL("address",AD158), "\$([A-Z]+)\$[0-9]+"))</f>
        <v/>
      </c>
      <c r="AE158" s="7" t="str" cm="1">
        <f t="array" aca="1" ref="AE158" ca="1">IFERROR(IF(OR('Raw Data'!AE158="",LEN(TRIM('Raw Data'!AE158))=0),"",IF(AND(ISNUMBER('Raw Data'!AE158), IFERROR('Raw Data'!AE158 = ROUND('Raw Data'!AE158, 2),FALSE)),"",_xlfn.REGEXEXTRACT(CELL("address",AE158), "\$([A-Z]+)\$[0-9]+"))),_xlfn.REGEXEXTRACT(CELL("address",AE158), "\$([A-Z]+)\$[0-9]+"))</f>
        <v/>
      </c>
      <c r="AF158" s="7" t="str" cm="1">
        <f t="array" aca="1" ref="AF158" ca="1">IFERROR(IF(OR('Raw Data'!AF158="",LEN(TRIM('Raw Data'!AF158))=0),"",IF(AND(ISNUMBER('Raw Data'!AF158), IFERROR('Raw Data'!AF158 = ROUND('Raw Data'!AF158, 2),FALSE)),"",_xlfn.REGEXEXTRACT(CELL("address",AF158), "\$([A-Z]+)\$[0-9]+"))),_xlfn.REGEXEXTRACT(CELL("address",AF158), "\$([A-Z]+)\$[0-9]+"))</f>
        <v/>
      </c>
      <c r="AG158" s="7" t="str" cm="1">
        <f t="array" aca="1" ref="AG158" ca="1">IFERROR(IF(OR('Raw Data'!AG158="",LEN(TRIM('Raw Data'!AG158))=0),"",IF(AND(ISNUMBER('Raw Data'!AG158), IFERROR('Raw Data'!AG158 = ROUND('Raw Data'!AG158, 2),FALSE)),"",_xlfn.REGEXEXTRACT(CELL("address",AG158), "\$([A-Z]+)\$[0-9]+"))),_xlfn.REGEXEXTRACT(CELL("address",AG158), "\$([A-Z]+)\$[0-9]+"))</f>
        <v/>
      </c>
      <c r="AH158" s="7" t="str" cm="1">
        <f t="array" aca="1" ref="AH158" ca="1">IFERROR(IF(OR('Raw Data'!AH158="",LEN(TRIM('Raw Data'!AH158))=0),"",IF(AND(ISNUMBER('Raw Data'!AH158), IFERROR('Raw Data'!AH158 = ROUND('Raw Data'!AH158, 2),FALSE)),"",_xlfn.REGEXEXTRACT(CELL("address",AH158), "\$([A-Z]+)\$[0-9]+"))),_xlfn.REGEXEXTRACT(CELL("address",AH158), "\$([A-Z]+)\$[0-9]+"))</f>
        <v/>
      </c>
      <c r="AI158" s="7" t="str" cm="1">
        <f t="array" aca="1" ref="AI158" ca="1">IFERROR(IF(OR('Raw Data'!AI158="",LEN(TRIM('Raw Data'!AI158))=0),"",IF(AND(ISNUMBER('Raw Data'!AI158), IFERROR('Raw Data'!AI158 = ROUND('Raw Data'!AI158, 2),FALSE)),"",_xlfn.REGEXEXTRACT(CELL("address",AI158), "\$([A-Z]+)\$[0-9]+"))),_xlfn.REGEXEXTRACT(CELL("address",AI158), "\$([A-Z]+)\$[0-9]+"))</f>
        <v/>
      </c>
      <c r="AJ158" s="7" t="str" cm="1">
        <f t="array" aca="1" ref="AJ158" ca="1">IFERROR(IF(OR('Raw Data'!AJ158="",LEN(TRIM('Raw Data'!AJ158))=0),"",IF(AND(ISNUMBER('Raw Data'!AJ158), IFERROR('Raw Data'!AJ158 = ROUND('Raw Data'!AJ158, 2),FALSE)),"",_xlfn.REGEXEXTRACT(CELL("address",AJ158), "\$([A-Z]+)\$[0-9]+"))),_xlfn.REGEXEXTRACT(CELL("address",AJ158), "\$([A-Z]+)\$[0-9]+"))</f>
        <v/>
      </c>
    </row>
    <row r="159" spans="2:36" x14ac:dyDescent="0.25">
      <c r="B159" s="7" t="str" cm="1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20,LEN('Raw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Data'!D159))=0),"",IF(AND(ISNUMBER('Raw Data'!D159),'Raw Data'!D159&gt;=Configuration!$D$2),"",_xlfn.REGEXEXTRACT(CELL("address",'Raw Data'!D159),"\$([A-Z]+)\$[0-9]+"))),_xlfn.REGEXEXTRACT(CELL("address",D159), "\$([A-Z]+)\$[0-9]+"))</f>
        <v/>
      </c>
      <c r="E159" s="7" t="str" cm="1">
        <f t="array" aca="1" ref="E159" ca="1">IFERROR(IF(OR('Raw Data'!E159="",LEN(TRIM('Raw Data'!E159))=0),"",IF(AND(ISNUMBER('Raw Data'!E159), IFERROR('Raw Data'!E159 = ROUND('Raw Data'!E159, 2),FALSE)),"",_xlfn.REGEXEXTRACT(CELL("address",E159), "\$([A-Z]+)\$[0-9]+"))),_xlfn.REGEXEXTRACT(CELL("address",E159), "\$([A-Z]+)\$[0-9]+"))</f>
        <v/>
      </c>
      <c r="F159" s="7" t="str" cm="1">
        <f t="array" aca="1" ref="F159" ca="1">IFERROR(IF(OR('Raw Data'!F159="",LEN(TRIM('Raw Data'!F159))=0),"",IF(AND(ISNUMBER('Raw Data'!F159), IFERROR('Raw Data'!F159 = ROUND('Raw Data'!F159, 2),FALSE)),"",_xlfn.REGEXEXTRACT(CELL("address",F159), "\$([A-Z]+)\$[0-9]+"))),_xlfn.REGEXEXTRACT(CELL("address",F159), "\$([A-Z]+)\$[0-9]+"))</f>
        <v/>
      </c>
      <c r="G159" s="7" t="str" cm="1">
        <f t="array" aca="1" ref="G159" ca="1">IFERROR(IF(OR('Raw Data'!G159="",LEN(TRIM('Raw Data'!G159))=0),"",IF(AND(ISNUMBER('Raw Data'!G159), IFERROR('Raw Data'!G159 = ROUND('Raw Data'!G159, 2),FALSE)),"",_xlfn.REGEXEXTRACT(CELL("address",G159), "\$([A-Z]+)\$[0-9]+"))),_xlfn.REGEXEXTRACT(CELL("address",G159), "\$([A-Z]+)\$[0-9]+"))</f>
        <v/>
      </c>
      <c r="H159" s="7" t="str" cm="1">
        <f t="array" aca="1" ref="H159" ca="1">IFERROR(IF(OR('Raw Data'!H159="",LEN(TRIM('Raw Data'!H159))=0),"",IF(AND(ISNUMBER('Raw Data'!H159), IFERROR('Raw Data'!H159 = ROUND('Raw Data'!H159, 2),FALSE)),"",_xlfn.REGEXEXTRACT(CELL("address",H159), "\$([A-Z]+)\$[0-9]+"))),_xlfn.REGEXEXTRACT(CELL("address",H159), "\$([A-Z]+)\$[0-9]+"))</f>
        <v/>
      </c>
      <c r="I159" s="7" t="str" cm="1">
        <f t="array" aca="1" ref="I159" ca="1">IFERROR(IF(OR('Raw Data'!I159="",LEN(TRIM('Raw Data'!I159))=0),"",IF(AND(ISNUMBER('Raw Data'!I159), IFERROR('Raw Data'!I159 = ROUND('Raw Data'!I159, 2),FALSE)),"",_xlfn.REGEXEXTRACT(CELL("address",I159), "\$([A-Z]+)\$[0-9]+"))),_xlfn.REGEXEXTRACT(CELL("address",I159), "\$([A-Z]+)\$[0-9]+"))</f>
        <v/>
      </c>
      <c r="J159" s="7" t="str" cm="1">
        <f t="array" aca="1" ref="J159" ca="1">IFERROR(IF(OR('Raw Data'!J159="",LEN(TRIM('Raw Data'!J159))=0),"",IF(AND(ISNUMBER('Raw Data'!J159), IFERROR('Raw Data'!J159 = ROUND('Raw Data'!J159, 2),FALSE)),"",_xlfn.REGEXEXTRACT(CELL("address",J159), "\$([A-Z]+)\$[0-9]+"))),_xlfn.REGEXEXTRACT(CELL("address",J159), "\$([A-Z]+)\$[0-9]+"))</f>
        <v/>
      </c>
      <c r="K159" s="7" t="str" cm="1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7" t="str" cm="1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7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7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7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7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 cm="1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7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7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7" t="str" cm="1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7" t="str" cm="1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  <c r="Z159" s="7" t="str" cm="1">
        <f t="array" aca="1" ref="Z159" ca="1">IFERROR(IF(OR('Raw Data'!Z159="",LEN(TRIM('Raw Data'!Z159))=0),"",IF(AND(ISNUMBER('Raw Data'!Z159), IFERROR('Raw Data'!Z159 = ROUND('Raw Data'!Z159, 2),FALSE)),"",_xlfn.REGEXEXTRACT(CELL("address",Z159), "\$([A-Z]+)\$[0-9]+"))),_xlfn.REGEXEXTRACT(CELL("address",Z159), "\$([A-Z]+)\$[0-9]+"))</f>
        <v/>
      </c>
      <c r="AA159" s="7" t="str" cm="1">
        <f t="array" aca="1" ref="AA159" ca="1">IFERROR(IF(OR('Raw Data'!AA159="",LEN(TRIM('Raw Data'!AA159))=0),"",IF(AND(ISNUMBER('Raw Data'!AA159), IFERROR('Raw Data'!AA159 = ROUND('Raw Data'!AA159, 2),FALSE)),"",_xlfn.REGEXEXTRACT(CELL("address",AA159), "\$([A-Z]+)\$[0-9]+"))),_xlfn.REGEXEXTRACT(CELL("address",AA159), "\$([A-Z]+)\$[0-9]+"))</f>
        <v/>
      </c>
      <c r="AB159" s="7" t="str" cm="1">
        <f t="array" aca="1" ref="AB159" ca="1">IFERROR(IF(OR('Raw Data'!AB159="",LEN(TRIM('Raw Data'!AB159))=0),"",IF(AND(ISNUMBER('Raw Data'!AB159), IFERROR('Raw Data'!AB159 = ROUND('Raw Data'!AB159, 2),FALSE)),"",_xlfn.REGEXEXTRACT(CELL("address",AB159), "\$([A-Z]+)\$[0-9]+"))),_xlfn.REGEXEXTRACT(CELL("address",AB159), "\$([A-Z]+)\$[0-9]+"))</f>
        <v/>
      </c>
      <c r="AC159" s="7" t="str" cm="1">
        <f t="array" aca="1" ref="AC159" ca="1">IFERROR(IF(OR('Raw Data'!AC159="",LEN(TRIM('Raw Data'!AC159))=0),"",IF(AND(ISNUMBER('Raw Data'!AC159), IFERROR('Raw Data'!AC159 = ROUND('Raw Data'!AC159, 2),FALSE)),"",_xlfn.REGEXEXTRACT(CELL("address",AC159), "\$([A-Z]+)\$[0-9]+"))),_xlfn.REGEXEXTRACT(CELL("address",AC159), "\$([A-Z]+)\$[0-9]+"))</f>
        <v/>
      </c>
      <c r="AD159" s="7" t="str" cm="1">
        <f t="array" aca="1" ref="AD159" ca="1">IFERROR(IF(OR('Raw Data'!AD159="",LEN(TRIM('Raw Data'!AD159))=0),"",IF(AND(ISNUMBER('Raw Data'!AD159), IFERROR('Raw Data'!AD159 = ROUND('Raw Data'!AD159, 2),FALSE)),"",_xlfn.REGEXEXTRACT(CELL("address",AD159), "\$([A-Z]+)\$[0-9]+"))),_xlfn.REGEXEXTRACT(CELL("address",AD159), "\$([A-Z]+)\$[0-9]+"))</f>
        <v/>
      </c>
      <c r="AE159" s="7" t="str" cm="1">
        <f t="array" aca="1" ref="AE159" ca="1">IFERROR(IF(OR('Raw Data'!AE159="",LEN(TRIM('Raw Data'!AE159))=0),"",IF(AND(ISNUMBER('Raw Data'!AE159), IFERROR('Raw Data'!AE159 = ROUND('Raw Data'!AE159, 2),FALSE)),"",_xlfn.REGEXEXTRACT(CELL("address",AE159), "\$([A-Z]+)\$[0-9]+"))),_xlfn.REGEXEXTRACT(CELL("address",AE159), "\$([A-Z]+)\$[0-9]+"))</f>
        <v/>
      </c>
      <c r="AF159" s="7" t="str" cm="1">
        <f t="array" aca="1" ref="AF159" ca="1">IFERROR(IF(OR('Raw Data'!AF159="",LEN(TRIM('Raw Data'!AF159))=0),"",IF(AND(ISNUMBER('Raw Data'!AF159), IFERROR('Raw Data'!AF159 = ROUND('Raw Data'!AF159, 2),FALSE)),"",_xlfn.REGEXEXTRACT(CELL("address",AF159), "\$([A-Z]+)\$[0-9]+"))),_xlfn.REGEXEXTRACT(CELL("address",AF159), "\$([A-Z]+)\$[0-9]+"))</f>
        <v/>
      </c>
      <c r="AG159" s="7" t="str" cm="1">
        <f t="array" aca="1" ref="AG159" ca="1">IFERROR(IF(OR('Raw Data'!AG159="",LEN(TRIM('Raw Data'!AG159))=0),"",IF(AND(ISNUMBER('Raw Data'!AG159), IFERROR('Raw Data'!AG159 = ROUND('Raw Data'!AG159, 2),FALSE)),"",_xlfn.REGEXEXTRACT(CELL("address",AG159), "\$([A-Z]+)\$[0-9]+"))),_xlfn.REGEXEXTRACT(CELL("address",AG159), "\$([A-Z]+)\$[0-9]+"))</f>
        <v/>
      </c>
      <c r="AH159" s="7" t="str" cm="1">
        <f t="array" aca="1" ref="AH159" ca="1">IFERROR(IF(OR('Raw Data'!AH159="",LEN(TRIM('Raw Data'!AH159))=0),"",IF(AND(ISNUMBER('Raw Data'!AH159), IFERROR('Raw Data'!AH159 = ROUND('Raw Data'!AH159, 2),FALSE)),"",_xlfn.REGEXEXTRACT(CELL("address",AH159), "\$([A-Z]+)\$[0-9]+"))),_xlfn.REGEXEXTRACT(CELL("address",AH159), "\$([A-Z]+)\$[0-9]+"))</f>
        <v/>
      </c>
      <c r="AI159" s="7" t="str" cm="1">
        <f t="array" aca="1" ref="AI159" ca="1">IFERROR(IF(OR('Raw Data'!AI159="",LEN(TRIM('Raw Data'!AI159))=0),"",IF(AND(ISNUMBER('Raw Data'!AI159), IFERROR('Raw Data'!AI159 = ROUND('Raw Data'!AI159, 2),FALSE)),"",_xlfn.REGEXEXTRACT(CELL("address",AI159), "\$([A-Z]+)\$[0-9]+"))),_xlfn.REGEXEXTRACT(CELL("address",AI159), "\$([A-Z]+)\$[0-9]+"))</f>
        <v/>
      </c>
      <c r="AJ159" s="7" t="str" cm="1">
        <f t="array" aca="1" ref="AJ159" ca="1">IFERROR(IF(OR('Raw Data'!AJ159="",LEN(TRIM('Raw Data'!AJ159))=0),"",IF(AND(ISNUMBER('Raw Data'!AJ159), IFERROR('Raw Data'!AJ159 = ROUND('Raw Data'!AJ159, 2),FALSE)),"",_xlfn.REGEXEXTRACT(CELL("address",AJ159), "\$([A-Z]+)\$[0-9]+"))),_xlfn.REGEXEXTRACT(CELL("address",AJ159), "\$([A-Z]+)\$[0-9]+"))</f>
        <v/>
      </c>
    </row>
    <row r="160" spans="2:36" x14ac:dyDescent="0.25">
      <c r="B160" s="7" t="str" cm="1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20,LEN('Raw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Data'!D160))=0),"",IF(AND(ISNUMBER('Raw Data'!D160),'Raw Data'!D160&gt;=Configuration!$D$2),"",_xlfn.REGEXEXTRACT(CELL("address",'Raw Data'!D160),"\$([A-Z]+)\$[0-9]+"))),_xlfn.REGEXEXTRACT(CELL("address",D160), "\$([A-Z]+)\$[0-9]+"))</f>
        <v/>
      </c>
      <c r="E160" s="7" t="str" cm="1">
        <f t="array" aca="1" ref="E160" ca="1">IFERROR(IF(OR('Raw Data'!E160="",LEN(TRIM('Raw Data'!E160))=0),"",IF(AND(ISNUMBER('Raw Data'!E160), IFERROR('Raw Data'!E160 = ROUND('Raw Data'!E160, 2),FALSE)),"",_xlfn.REGEXEXTRACT(CELL("address",E160), "\$([A-Z]+)\$[0-9]+"))),_xlfn.REGEXEXTRACT(CELL("address",E160), "\$([A-Z]+)\$[0-9]+"))</f>
        <v/>
      </c>
      <c r="F160" s="7" t="str" cm="1">
        <f t="array" aca="1" ref="F160" ca="1">IFERROR(IF(OR('Raw Data'!F160="",LEN(TRIM('Raw Data'!F160))=0),"",IF(AND(ISNUMBER('Raw Data'!F160), IFERROR('Raw Data'!F160 = ROUND('Raw Data'!F160, 2),FALSE)),"",_xlfn.REGEXEXTRACT(CELL("address",F160), "\$([A-Z]+)\$[0-9]+"))),_xlfn.REGEXEXTRACT(CELL("address",F160), "\$([A-Z]+)\$[0-9]+"))</f>
        <v/>
      </c>
      <c r="G160" s="7" t="str" cm="1">
        <f t="array" aca="1" ref="G160" ca="1">IFERROR(IF(OR('Raw Data'!G160="",LEN(TRIM('Raw Data'!G160))=0),"",IF(AND(ISNUMBER('Raw Data'!G160), IFERROR('Raw Data'!G160 = ROUND('Raw Data'!G160, 2),FALSE)),"",_xlfn.REGEXEXTRACT(CELL("address",G160), "\$([A-Z]+)\$[0-9]+"))),_xlfn.REGEXEXTRACT(CELL("address",G160), "\$([A-Z]+)\$[0-9]+"))</f>
        <v/>
      </c>
      <c r="H160" s="7" t="str" cm="1">
        <f t="array" aca="1" ref="H160" ca="1">IFERROR(IF(OR('Raw Data'!H160="",LEN(TRIM('Raw Data'!H160))=0),"",IF(AND(ISNUMBER('Raw Data'!H160), IFERROR('Raw Data'!H160 = ROUND('Raw Data'!H160, 2),FALSE)),"",_xlfn.REGEXEXTRACT(CELL("address",H160), "\$([A-Z]+)\$[0-9]+"))),_xlfn.REGEXEXTRACT(CELL("address",H160), "\$([A-Z]+)\$[0-9]+"))</f>
        <v/>
      </c>
      <c r="I160" s="7" t="str" cm="1">
        <f t="array" aca="1" ref="I160" ca="1">IFERROR(IF(OR('Raw Data'!I160="",LEN(TRIM('Raw Data'!I160))=0),"",IF(AND(ISNUMBER('Raw Data'!I160), IFERROR('Raw Data'!I160 = ROUND('Raw Data'!I160, 2),FALSE)),"",_xlfn.REGEXEXTRACT(CELL("address",I160), "\$([A-Z]+)\$[0-9]+"))),_xlfn.REGEXEXTRACT(CELL("address",I160), "\$([A-Z]+)\$[0-9]+"))</f>
        <v/>
      </c>
      <c r="J160" s="7" t="str" cm="1">
        <f t="array" aca="1" ref="J160" ca="1">IFERROR(IF(OR('Raw Data'!J160="",LEN(TRIM('Raw Data'!J160))=0),"",IF(AND(ISNUMBER('Raw Data'!J160), IFERROR('Raw Data'!J160 = ROUND('Raw Data'!J160, 2),FALSE)),"",_xlfn.REGEXEXTRACT(CELL("address",J160), "\$([A-Z]+)\$[0-9]+"))),_xlfn.REGEXEXTRACT(CELL("address",J160), "\$([A-Z]+)\$[0-9]+"))</f>
        <v/>
      </c>
      <c r="K160" s="7" t="str" cm="1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7" t="str" cm="1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7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7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7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7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 cm="1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7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7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7" t="str" cm="1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7" t="str" cm="1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  <c r="Z160" s="7" t="str" cm="1">
        <f t="array" aca="1" ref="Z160" ca="1">IFERROR(IF(OR('Raw Data'!Z160="",LEN(TRIM('Raw Data'!Z160))=0),"",IF(AND(ISNUMBER('Raw Data'!Z160), IFERROR('Raw Data'!Z160 = ROUND('Raw Data'!Z160, 2),FALSE)),"",_xlfn.REGEXEXTRACT(CELL("address",Z160), "\$([A-Z]+)\$[0-9]+"))),_xlfn.REGEXEXTRACT(CELL("address",Z160), "\$([A-Z]+)\$[0-9]+"))</f>
        <v/>
      </c>
      <c r="AA160" s="7" t="str" cm="1">
        <f t="array" aca="1" ref="AA160" ca="1">IFERROR(IF(OR('Raw Data'!AA160="",LEN(TRIM('Raw Data'!AA160))=0),"",IF(AND(ISNUMBER('Raw Data'!AA160), IFERROR('Raw Data'!AA160 = ROUND('Raw Data'!AA160, 2),FALSE)),"",_xlfn.REGEXEXTRACT(CELL("address",AA160), "\$([A-Z]+)\$[0-9]+"))),_xlfn.REGEXEXTRACT(CELL("address",AA160), "\$([A-Z]+)\$[0-9]+"))</f>
        <v/>
      </c>
      <c r="AB160" s="7" t="str" cm="1">
        <f t="array" aca="1" ref="AB160" ca="1">IFERROR(IF(OR('Raw Data'!AB160="",LEN(TRIM('Raw Data'!AB160))=0),"",IF(AND(ISNUMBER('Raw Data'!AB160), IFERROR('Raw Data'!AB160 = ROUND('Raw Data'!AB160, 2),FALSE)),"",_xlfn.REGEXEXTRACT(CELL("address",AB160), "\$([A-Z]+)\$[0-9]+"))),_xlfn.REGEXEXTRACT(CELL("address",AB160), "\$([A-Z]+)\$[0-9]+"))</f>
        <v/>
      </c>
      <c r="AC160" s="7" t="str" cm="1">
        <f t="array" aca="1" ref="AC160" ca="1">IFERROR(IF(OR('Raw Data'!AC160="",LEN(TRIM('Raw Data'!AC160))=0),"",IF(AND(ISNUMBER('Raw Data'!AC160), IFERROR('Raw Data'!AC160 = ROUND('Raw Data'!AC160, 2),FALSE)),"",_xlfn.REGEXEXTRACT(CELL("address",AC160), "\$([A-Z]+)\$[0-9]+"))),_xlfn.REGEXEXTRACT(CELL("address",AC160), "\$([A-Z]+)\$[0-9]+"))</f>
        <v/>
      </c>
      <c r="AD160" s="7" t="str" cm="1">
        <f t="array" aca="1" ref="AD160" ca="1">IFERROR(IF(OR('Raw Data'!AD160="",LEN(TRIM('Raw Data'!AD160))=0),"",IF(AND(ISNUMBER('Raw Data'!AD160), IFERROR('Raw Data'!AD160 = ROUND('Raw Data'!AD160, 2),FALSE)),"",_xlfn.REGEXEXTRACT(CELL("address",AD160), "\$([A-Z]+)\$[0-9]+"))),_xlfn.REGEXEXTRACT(CELL("address",AD160), "\$([A-Z]+)\$[0-9]+"))</f>
        <v/>
      </c>
      <c r="AE160" s="7" t="str" cm="1">
        <f t="array" aca="1" ref="AE160" ca="1">IFERROR(IF(OR('Raw Data'!AE160="",LEN(TRIM('Raw Data'!AE160))=0),"",IF(AND(ISNUMBER('Raw Data'!AE160), IFERROR('Raw Data'!AE160 = ROUND('Raw Data'!AE160, 2),FALSE)),"",_xlfn.REGEXEXTRACT(CELL("address",AE160), "\$([A-Z]+)\$[0-9]+"))),_xlfn.REGEXEXTRACT(CELL("address",AE160), "\$([A-Z]+)\$[0-9]+"))</f>
        <v/>
      </c>
      <c r="AF160" s="7" t="str" cm="1">
        <f t="array" aca="1" ref="AF160" ca="1">IFERROR(IF(OR('Raw Data'!AF160="",LEN(TRIM('Raw Data'!AF160))=0),"",IF(AND(ISNUMBER('Raw Data'!AF160), IFERROR('Raw Data'!AF160 = ROUND('Raw Data'!AF160, 2),FALSE)),"",_xlfn.REGEXEXTRACT(CELL("address",AF160), "\$([A-Z]+)\$[0-9]+"))),_xlfn.REGEXEXTRACT(CELL("address",AF160), "\$([A-Z]+)\$[0-9]+"))</f>
        <v/>
      </c>
      <c r="AG160" s="7" t="str" cm="1">
        <f t="array" aca="1" ref="AG160" ca="1">IFERROR(IF(OR('Raw Data'!AG160="",LEN(TRIM('Raw Data'!AG160))=0),"",IF(AND(ISNUMBER('Raw Data'!AG160), IFERROR('Raw Data'!AG160 = ROUND('Raw Data'!AG160, 2),FALSE)),"",_xlfn.REGEXEXTRACT(CELL("address",AG160), "\$([A-Z]+)\$[0-9]+"))),_xlfn.REGEXEXTRACT(CELL("address",AG160), "\$([A-Z]+)\$[0-9]+"))</f>
        <v/>
      </c>
      <c r="AH160" s="7" t="str" cm="1">
        <f t="array" aca="1" ref="AH160" ca="1">IFERROR(IF(OR('Raw Data'!AH160="",LEN(TRIM('Raw Data'!AH160))=0),"",IF(AND(ISNUMBER('Raw Data'!AH160), IFERROR('Raw Data'!AH160 = ROUND('Raw Data'!AH160, 2),FALSE)),"",_xlfn.REGEXEXTRACT(CELL("address",AH160), "\$([A-Z]+)\$[0-9]+"))),_xlfn.REGEXEXTRACT(CELL("address",AH160), "\$([A-Z]+)\$[0-9]+"))</f>
        <v/>
      </c>
      <c r="AI160" s="7" t="str" cm="1">
        <f t="array" aca="1" ref="AI160" ca="1">IFERROR(IF(OR('Raw Data'!AI160="",LEN(TRIM('Raw Data'!AI160))=0),"",IF(AND(ISNUMBER('Raw Data'!AI160), IFERROR('Raw Data'!AI160 = ROUND('Raw Data'!AI160, 2),FALSE)),"",_xlfn.REGEXEXTRACT(CELL("address",AI160), "\$([A-Z]+)\$[0-9]+"))),_xlfn.REGEXEXTRACT(CELL("address",AI160), "\$([A-Z]+)\$[0-9]+"))</f>
        <v/>
      </c>
      <c r="AJ160" s="7" t="str" cm="1">
        <f t="array" aca="1" ref="AJ160" ca="1">IFERROR(IF(OR('Raw Data'!AJ160="",LEN(TRIM('Raw Data'!AJ160))=0),"",IF(AND(ISNUMBER('Raw Data'!AJ160), IFERROR('Raw Data'!AJ160 = ROUND('Raw Data'!AJ160, 2),FALSE)),"",_xlfn.REGEXEXTRACT(CELL("address",AJ160), "\$([A-Z]+)\$[0-9]+"))),_xlfn.REGEXEXTRACT(CELL("address",AJ160), "\$([A-Z]+)\$[0-9]+"))</f>
        <v/>
      </c>
    </row>
    <row r="161" spans="2:36" x14ac:dyDescent="0.25">
      <c r="B161" s="7" t="str" cm="1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20,LEN('Raw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Data'!D161))=0),"",IF(AND(ISNUMBER('Raw Data'!D161),'Raw Data'!D161&gt;=Configuration!$D$2),"",_xlfn.REGEXEXTRACT(CELL("address",'Raw Data'!D161),"\$([A-Z]+)\$[0-9]+"))),_xlfn.REGEXEXTRACT(CELL("address",D161), "\$([A-Z]+)\$[0-9]+"))</f>
        <v/>
      </c>
      <c r="E161" s="7" t="str" cm="1">
        <f t="array" aca="1" ref="E161" ca="1">IFERROR(IF(OR('Raw Data'!E161="",LEN(TRIM('Raw Data'!E161))=0),"",IF(AND(ISNUMBER('Raw Data'!E161), IFERROR('Raw Data'!E161 = ROUND('Raw Data'!E161, 2),FALSE)),"",_xlfn.REGEXEXTRACT(CELL("address",E161), "\$([A-Z]+)\$[0-9]+"))),_xlfn.REGEXEXTRACT(CELL("address",E161), "\$([A-Z]+)\$[0-9]+"))</f>
        <v/>
      </c>
      <c r="F161" s="7" t="str" cm="1">
        <f t="array" aca="1" ref="F161" ca="1">IFERROR(IF(OR('Raw Data'!F161="",LEN(TRIM('Raw Data'!F161))=0),"",IF(AND(ISNUMBER('Raw Data'!F161), IFERROR('Raw Data'!F161 = ROUND('Raw Data'!F161, 2),FALSE)),"",_xlfn.REGEXEXTRACT(CELL("address",F161), "\$([A-Z]+)\$[0-9]+"))),_xlfn.REGEXEXTRACT(CELL("address",F161), "\$([A-Z]+)\$[0-9]+"))</f>
        <v/>
      </c>
      <c r="G161" s="7" t="str" cm="1">
        <f t="array" aca="1" ref="G161" ca="1">IFERROR(IF(OR('Raw Data'!G161="",LEN(TRIM('Raw Data'!G161))=0),"",IF(AND(ISNUMBER('Raw Data'!G161), IFERROR('Raw Data'!G161 = ROUND('Raw Data'!G161, 2),FALSE)),"",_xlfn.REGEXEXTRACT(CELL("address",G161), "\$([A-Z]+)\$[0-9]+"))),_xlfn.REGEXEXTRACT(CELL("address",G161), "\$([A-Z]+)\$[0-9]+"))</f>
        <v/>
      </c>
      <c r="H161" s="7" t="str" cm="1">
        <f t="array" aca="1" ref="H161" ca="1">IFERROR(IF(OR('Raw Data'!H161="",LEN(TRIM('Raw Data'!H161))=0),"",IF(AND(ISNUMBER('Raw Data'!H161), IFERROR('Raw Data'!H161 = ROUND('Raw Data'!H161, 2),FALSE)),"",_xlfn.REGEXEXTRACT(CELL("address",H161), "\$([A-Z]+)\$[0-9]+"))),_xlfn.REGEXEXTRACT(CELL("address",H161), "\$([A-Z]+)\$[0-9]+"))</f>
        <v/>
      </c>
      <c r="I161" s="7" t="str" cm="1">
        <f t="array" aca="1" ref="I161" ca="1">IFERROR(IF(OR('Raw Data'!I161="",LEN(TRIM('Raw Data'!I161))=0),"",IF(AND(ISNUMBER('Raw Data'!I161), IFERROR('Raw Data'!I161 = ROUND('Raw Data'!I161, 2),FALSE)),"",_xlfn.REGEXEXTRACT(CELL("address",I161), "\$([A-Z]+)\$[0-9]+"))),_xlfn.REGEXEXTRACT(CELL("address",I161), "\$([A-Z]+)\$[0-9]+"))</f>
        <v/>
      </c>
      <c r="J161" s="7" t="str" cm="1">
        <f t="array" aca="1" ref="J161" ca="1">IFERROR(IF(OR('Raw Data'!J161="",LEN(TRIM('Raw Data'!J161))=0),"",IF(AND(ISNUMBER('Raw Data'!J161), IFERROR('Raw Data'!J161 = ROUND('Raw Data'!J161, 2),FALSE)),"",_xlfn.REGEXEXTRACT(CELL("address",J161), "\$([A-Z]+)\$[0-9]+"))),_xlfn.REGEXEXTRACT(CELL("address",J161), "\$([A-Z]+)\$[0-9]+"))</f>
        <v/>
      </c>
      <c r="K161" s="7" t="str" cm="1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7" t="str" cm="1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7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7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7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7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 cm="1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7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7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7" t="str" cm="1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7" t="str" cm="1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  <c r="Z161" s="7" t="str" cm="1">
        <f t="array" aca="1" ref="Z161" ca="1">IFERROR(IF(OR('Raw Data'!Z161="",LEN(TRIM('Raw Data'!Z161))=0),"",IF(AND(ISNUMBER('Raw Data'!Z161), IFERROR('Raw Data'!Z161 = ROUND('Raw Data'!Z161, 2),FALSE)),"",_xlfn.REGEXEXTRACT(CELL("address",Z161), "\$([A-Z]+)\$[0-9]+"))),_xlfn.REGEXEXTRACT(CELL("address",Z161), "\$([A-Z]+)\$[0-9]+"))</f>
        <v/>
      </c>
      <c r="AA161" s="7" t="str" cm="1">
        <f t="array" aca="1" ref="AA161" ca="1">IFERROR(IF(OR('Raw Data'!AA161="",LEN(TRIM('Raw Data'!AA161))=0),"",IF(AND(ISNUMBER('Raw Data'!AA161), IFERROR('Raw Data'!AA161 = ROUND('Raw Data'!AA161, 2),FALSE)),"",_xlfn.REGEXEXTRACT(CELL("address",AA161), "\$([A-Z]+)\$[0-9]+"))),_xlfn.REGEXEXTRACT(CELL("address",AA161), "\$([A-Z]+)\$[0-9]+"))</f>
        <v/>
      </c>
      <c r="AB161" s="7" t="str" cm="1">
        <f t="array" aca="1" ref="AB161" ca="1">IFERROR(IF(OR('Raw Data'!AB161="",LEN(TRIM('Raw Data'!AB161))=0),"",IF(AND(ISNUMBER('Raw Data'!AB161), IFERROR('Raw Data'!AB161 = ROUND('Raw Data'!AB161, 2),FALSE)),"",_xlfn.REGEXEXTRACT(CELL("address",AB161), "\$([A-Z]+)\$[0-9]+"))),_xlfn.REGEXEXTRACT(CELL("address",AB161), "\$([A-Z]+)\$[0-9]+"))</f>
        <v/>
      </c>
      <c r="AC161" s="7" t="str" cm="1">
        <f t="array" aca="1" ref="AC161" ca="1">IFERROR(IF(OR('Raw Data'!AC161="",LEN(TRIM('Raw Data'!AC161))=0),"",IF(AND(ISNUMBER('Raw Data'!AC161), IFERROR('Raw Data'!AC161 = ROUND('Raw Data'!AC161, 2),FALSE)),"",_xlfn.REGEXEXTRACT(CELL("address",AC161), "\$([A-Z]+)\$[0-9]+"))),_xlfn.REGEXEXTRACT(CELL("address",AC161), "\$([A-Z]+)\$[0-9]+"))</f>
        <v/>
      </c>
      <c r="AD161" s="7" t="str" cm="1">
        <f t="array" aca="1" ref="AD161" ca="1">IFERROR(IF(OR('Raw Data'!AD161="",LEN(TRIM('Raw Data'!AD161))=0),"",IF(AND(ISNUMBER('Raw Data'!AD161), IFERROR('Raw Data'!AD161 = ROUND('Raw Data'!AD161, 2),FALSE)),"",_xlfn.REGEXEXTRACT(CELL("address",AD161), "\$([A-Z]+)\$[0-9]+"))),_xlfn.REGEXEXTRACT(CELL("address",AD161), "\$([A-Z]+)\$[0-9]+"))</f>
        <v/>
      </c>
      <c r="AE161" s="7" t="str" cm="1">
        <f t="array" aca="1" ref="AE161" ca="1">IFERROR(IF(OR('Raw Data'!AE161="",LEN(TRIM('Raw Data'!AE161))=0),"",IF(AND(ISNUMBER('Raw Data'!AE161), IFERROR('Raw Data'!AE161 = ROUND('Raw Data'!AE161, 2),FALSE)),"",_xlfn.REGEXEXTRACT(CELL("address",AE161), "\$([A-Z]+)\$[0-9]+"))),_xlfn.REGEXEXTRACT(CELL("address",AE161), "\$([A-Z]+)\$[0-9]+"))</f>
        <v/>
      </c>
      <c r="AF161" s="7" t="str" cm="1">
        <f t="array" aca="1" ref="AF161" ca="1">IFERROR(IF(OR('Raw Data'!AF161="",LEN(TRIM('Raw Data'!AF161))=0),"",IF(AND(ISNUMBER('Raw Data'!AF161), IFERROR('Raw Data'!AF161 = ROUND('Raw Data'!AF161, 2),FALSE)),"",_xlfn.REGEXEXTRACT(CELL("address",AF161), "\$([A-Z]+)\$[0-9]+"))),_xlfn.REGEXEXTRACT(CELL("address",AF161), "\$([A-Z]+)\$[0-9]+"))</f>
        <v/>
      </c>
      <c r="AG161" s="7" t="str" cm="1">
        <f t="array" aca="1" ref="AG161" ca="1">IFERROR(IF(OR('Raw Data'!AG161="",LEN(TRIM('Raw Data'!AG161))=0),"",IF(AND(ISNUMBER('Raw Data'!AG161), IFERROR('Raw Data'!AG161 = ROUND('Raw Data'!AG161, 2),FALSE)),"",_xlfn.REGEXEXTRACT(CELL("address",AG161), "\$([A-Z]+)\$[0-9]+"))),_xlfn.REGEXEXTRACT(CELL("address",AG161), "\$([A-Z]+)\$[0-9]+"))</f>
        <v/>
      </c>
      <c r="AH161" s="7" t="str" cm="1">
        <f t="array" aca="1" ref="AH161" ca="1">IFERROR(IF(OR('Raw Data'!AH161="",LEN(TRIM('Raw Data'!AH161))=0),"",IF(AND(ISNUMBER('Raw Data'!AH161), IFERROR('Raw Data'!AH161 = ROUND('Raw Data'!AH161, 2),FALSE)),"",_xlfn.REGEXEXTRACT(CELL("address",AH161), "\$([A-Z]+)\$[0-9]+"))),_xlfn.REGEXEXTRACT(CELL("address",AH161), "\$([A-Z]+)\$[0-9]+"))</f>
        <v/>
      </c>
      <c r="AI161" s="7" t="str" cm="1">
        <f t="array" aca="1" ref="AI161" ca="1">IFERROR(IF(OR('Raw Data'!AI161="",LEN(TRIM('Raw Data'!AI161))=0),"",IF(AND(ISNUMBER('Raw Data'!AI161), IFERROR('Raw Data'!AI161 = ROUND('Raw Data'!AI161, 2),FALSE)),"",_xlfn.REGEXEXTRACT(CELL("address",AI161), "\$([A-Z]+)\$[0-9]+"))),_xlfn.REGEXEXTRACT(CELL("address",AI161), "\$([A-Z]+)\$[0-9]+"))</f>
        <v/>
      </c>
      <c r="AJ161" s="7" t="str" cm="1">
        <f t="array" aca="1" ref="AJ161" ca="1">IFERROR(IF(OR('Raw Data'!AJ161="",LEN(TRIM('Raw Data'!AJ161))=0),"",IF(AND(ISNUMBER('Raw Data'!AJ161), IFERROR('Raw Data'!AJ161 = ROUND('Raw Data'!AJ161, 2),FALSE)),"",_xlfn.REGEXEXTRACT(CELL("address",AJ161), "\$([A-Z]+)\$[0-9]+"))),_xlfn.REGEXEXTRACT(CELL("address",AJ161), "\$([A-Z]+)\$[0-9]+"))</f>
        <v/>
      </c>
    </row>
    <row r="162" spans="2:36" x14ac:dyDescent="0.25">
      <c r="B162" s="7" t="str" cm="1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20,LEN('Raw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Data'!D162))=0),"",IF(AND(ISNUMBER('Raw Data'!D162),'Raw Data'!D162&gt;=Configuration!$D$2),"",_xlfn.REGEXEXTRACT(CELL("address",'Raw Data'!D162),"\$([A-Z]+)\$[0-9]+"))),_xlfn.REGEXEXTRACT(CELL("address",D162), "\$([A-Z]+)\$[0-9]+"))</f>
        <v/>
      </c>
      <c r="E162" s="7" t="str" cm="1">
        <f t="array" aca="1" ref="E162" ca="1">IFERROR(IF(OR('Raw Data'!E162="",LEN(TRIM('Raw Data'!E162))=0),"",IF(AND(ISNUMBER('Raw Data'!E162), IFERROR('Raw Data'!E162 = ROUND('Raw Data'!E162, 2),FALSE)),"",_xlfn.REGEXEXTRACT(CELL("address",E162), "\$([A-Z]+)\$[0-9]+"))),_xlfn.REGEXEXTRACT(CELL("address",E162), "\$([A-Z]+)\$[0-9]+"))</f>
        <v/>
      </c>
      <c r="F162" s="7" t="str" cm="1">
        <f t="array" aca="1" ref="F162" ca="1">IFERROR(IF(OR('Raw Data'!F162="",LEN(TRIM('Raw Data'!F162))=0),"",IF(AND(ISNUMBER('Raw Data'!F162), IFERROR('Raw Data'!F162 = ROUND('Raw Data'!F162, 2),FALSE)),"",_xlfn.REGEXEXTRACT(CELL("address",F162), "\$([A-Z]+)\$[0-9]+"))),_xlfn.REGEXEXTRACT(CELL("address",F162), "\$([A-Z]+)\$[0-9]+"))</f>
        <v/>
      </c>
      <c r="G162" s="7" t="str" cm="1">
        <f t="array" aca="1" ref="G162" ca="1">IFERROR(IF(OR('Raw Data'!G162="",LEN(TRIM('Raw Data'!G162))=0),"",IF(AND(ISNUMBER('Raw Data'!G162), IFERROR('Raw Data'!G162 = ROUND('Raw Data'!G162, 2),FALSE)),"",_xlfn.REGEXEXTRACT(CELL("address",G162), "\$([A-Z]+)\$[0-9]+"))),_xlfn.REGEXEXTRACT(CELL("address",G162), "\$([A-Z]+)\$[0-9]+"))</f>
        <v/>
      </c>
      <c r="H162" s="7" t="str" cm="1">
        <f t="array" aca="1" ref="H162" ca="1">IFERROR(IF(OR('Raw Data'!H162="",LEN(TRIM('Raw Data'!H162))=0),"",IF(AND(ISNUMBER('Raw Data'!H162), IFERROR('Raw Data'!H162 = ROUND('Raw Data'!H162, 2),FALSE)),"",_xlfn.REGEXEXTRACT(CELL("address",H162), "\$([A-Z]+)\$[0-9]+"))),_xlfn.REGEXEXTRACT(CELL("address",H162), "\$([A-Z]+)\$[0-9]+"))</f>
        <v/>
      </c>
      <c r="I162" s="7" t="str" cm="1">
        <f t="array" aca="1" ref="I162" ca="1">IFERROR(IF(OR('Raw Data'!I162="",LEN(TRIM('Raw Data'!I162))=0),"",IF(AND(ISNUMBER('Raw Data'!I162), IFERROR('Raw Data'!I162 = ROUND('Raw Data'!I162, 2),FALSE)),"",_xlfn.REGEXEXTRACT(CELL("address",I162), "\$([A-Z]+)\$[0-9]+"))),_xlfn.REGEXEXTRACT(CELL("address",I162), "\$([A-Z]+)\$[0-9]+"))</f>
        <v/>
      </c>
      <c r="J162" s="7" t="str" cm="1">
        <f t="array" aca="1" ref="J162" ca="1">IFERROR(IF(OR('Raw Data'!J162="",LEN(TRIM('Raw Data'!J162))=0),"",IF(AND(ISNUMBER('Raw Data'!J162), IFERROR('Raw Data'!J162 = ROUND('Raw Data'!J162, 2),FALSE)),"",_xlfn.REGEXEXTRACT(CELL("address",J162), "\$([A-Z]+)\$[0-9]+"))),_xlfn.REGEXEXTRACT(CELL("address",J162), "\$([A-Z]+)\$[0-9]+"))</f>
        <v/>
      </c>
      <c r="K162" s="7" t="str" cm="1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7" t="str" cm="1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7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7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7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7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 cm="1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7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7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7" t="str" cm="1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7" t="str" cm="1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  <c r="Z162" s="7" t="str" cm="1">
        <f t="array" aca="1" ref="Z162" ca="1">IFERROR(IF(OR('Raw Data'!Z162="",LEN(TRIM('Raw Data'!Z162))=0),"",IF(AND(ISNUMBER('Raw Data'!Z162), IFERROR('Raw Data'!Z162 = ROUND('Raw Data'!Z162, 2),FALSE)),"",_xlfn.REGEXEXTRACT(CELL("address",Z162), "\$([A-Z]+)\$[0-9]+"))),_xlfn.REGEXEXTRACT(CELL("address",Z162), "\$([A-Z]+)\$[0-9]+"))</f>
        <v/>
      </c>
      <c r="AA162" s="7" t="str" cm="1">
        <f t="array" aca="1" ref="AA162" ca="1">IFERROR(IF(OR('Raw Data'!AA162="",LEN(TRIM('Raw Data'!AA162))=0),"",IF(AND(ISNUMBER('Raw Data'!AA162), IFERROR('Raw Data'!AA162 = ROUND('Raw Data'!AA162, 2),FALSE)),"",_xlfn.REGEXEXTRACT(CELL("address",AA162), "\$([A-Z]+)\$[0-9]+"))),_xlfn.REGEXEXTRACT(CELL("address",AA162), "\$([A-Z]+)\$[0-9]+"))</f>
        <v/>
      </c>
      <c r="AB162" s="7" t="str" cm="1">
        <f t="array" aca="1" ref="AB162" ca="1">IFERROR(IF(OR('Raw Data'!AB162="",LEN(TRIM('Raw Data'!AB162))=0),"",IF(AND(ISNUMBER('Raw Data'!AB162), IFERROR('Raw Data'!AB162 = ROUND('Raw Data'!AB162, 2),FALSE)),"",_xlfn.REGEXEXTRACT(CELL("address",AB162), "\$([A-Z]+)\$[0-9]+"))),_xlfn.REGEXEXTRACT(CELL("address",AB162), "\$([A-Z]+)\$[0-9]+"))</f>
        <v/>
      </c>
      <c r="AC162" s="7" t="str" cm="1">
        <f t="array" aca="1" ref="AC162" ca="1">IFERROR(IF(OR('Raw Data'!AC162="",LEN(TRIM('Raw Data'!AC162))=0),"",IF(AND(ISNUMBER('Raw Data'!AC162), IFERROR('Raw Data'!AC162 = ROUND('Raw Data'!AC162, 2),FALSE)),"",_xlfn.REGEXEXTRACT(CELL("address",AC162), "\$([A-Z]+)\$[0-9]+"))),_xlfn.REGEXEXTRACT(CELL("address",AC162), "\$([A-Z]+)\$[0-9]+"))</f>
        <v/>
      </c>
      <c r="AD162" s="7" t="str" cm="1">
        <f t="array" aca="1" ref="AD162" ca="1">IFERROR(IF(OR('Raw Data'!AD162="",LEN(TRIM('Raw Data'!AD162))=0),"",IF(AND(ISNUMBER('Raw Data'!AD162), IFERROR('Raw Data'!AD162 = ROUND('Raw Data'!AD162, 2),FALSE)),"",_xlfn.REGEXEXTRACT(CELL("address",AD162), "\$([A-Z]+)\$[0-9]+"))),_xlfn.REGEXEXTRACT(CELL("address",AD162), "\$([A-Z]+)\$[0-9]+"))</f>
        <v/>
      </c>
      <c r="AE162" s="7" t="str" cm="1">
        <f t="array" aca="1" ref="AE162" ca="1">IFERROR(IF(OR('Raw Data'!AE162="",LEN(TRIM('Raw Data'!AE162))=0),"",IF(AND(ISNUMBER('Raw Data'!AE162), IFERROR('Raw Data'!AE162 = ROUND('Raw Data'!AE162, 2),FALSE)),"",_xlfn.REGEXEXTRACT(CELL("address",AE162), "\$([A-Z]+)\$[0-9]+"))),_xlfn.REGEXEXTRACT(CELL("address",AE162), "\$([A-Z]+)\$[0-9]+"))</f>
        <v/>
      </c>
      <c r="AF162" s="7" t="str" cm="1">
        <f t="array" aca="1" ref="AF162" ca="1">IFERROR(IF(OR('Raw Data'!AF162="",LEN(TRIM('Raw Data'!AF162))=0),"",IF(AND(ISNUMBER('Raw Data'!AF162), IFERROR('Raw Data'!AF162 = ROUND('Raw Data'!AF162, 2),FALSE)),"",_xlfn.REGEXEXTRACT(CELL("address",AF162), "\$([A-Z]+)\$[0-9]+"))),_xlfn.REGEXEXTRACT(CELL("address",AF162), "\$([A-Z]+)\$[0-9]+"))</f>
        <v/>
      </c>
      <c r="AG162" s="7" t="str" cm="1">
        <f t="array" aca="1" ref="AG162" ca="1">IFERROR(IF(OR('Raw Data'!AG162="",LEN(TRIM('Raw Data'!AG162))=0),"",IF(AND(ISNUMBER('Raw Data'!AG162), IFERROR('Raw Data'!AG162 = ROUND('Raw Data'!AG162, 2),FALSE)),"",_xlfn.REGEXEXTRACT(CELL("address",AG162), "\$([A-Z]+)\$[0-9]+"))),_xlfn.REGEXEXTRACT(CELL("address",AG162), "\$([A-Z]+)\$[0-9]+"))</f>
        <v/>
      </c>
      <c r="AH162" s="7" t="str" cm="1">
        <f t="array" aca="1" ref="AH162" ca="1">IFERROR(IF(OR('Raw Data'!AH162="",LEN(TRIM('Raw Data'!AH162))=0),"",IF(AND(ISNUMBER('Raw Data'!AH162), IFERROR('Raw Data'!AH162 = ROUND('Raw Data'!AH162, 2),FALSE)),"",_xlfn.REGEXEXTRACT(CELL("address",AH162), "\$([A-Z]+)\$[0-9]+"))),_xlfn.REGEXEXTRACT(CELL("address",AH162), "\$([A-Z]+)\$[0-9]+"))</f>
        <v/>
      </c>
      <c r="AI162" s="7" t="str" cm="1">
        <f t="array" aca="1" ref="AI162" ca="1">IFERROR(IF(OR('Raw Data'!AI162="",LEN(TRIM('Raw Data'!AI162))=0),"",IF(AND(ISNUMBER('Raw Data'!AI162), IFERROR('Raw Data'!AI162 = ROUND('Raw Data'!AI162, 2),FALSE)),"",_xlfn.REGEXEXTRACT(CELL("address",AI162), "\$([A-Z]+)\$[0-9]+"))),_xlfn.REGEXEXTRACT(CELL("address",AI162), "\$([A-Z]+)\$[0-9]+"))</f>
        <v/>
      </c>
      <c r="AJ162" s="7" t="str" cm="1">
        <f t="array" aca="1" ref="AJ162" ca="1">IFERROR(IF(OR('Raw Data'!AJ162="",LEN(TRIM('Raw Data'!AJ162))=0),"",IF(AND(ISNUMBER('Raw Data'!AJ162), IFERROR('Raw Data'!AJ162 = ROUND('Raw Data'!AJ162, 2),FALSE)),"",_xlfn.REGEXEXTRACT(CELL("address",AJ162), "\$([A-Z]+)\$[0-9]+"))),_xlfn.REGEXEXTRACT(CELL("address",AJ162), "\$([A-Z]+)\$[0-9]+"))</f>
        <v/>
      </c>
    </row>
    <row r="163" spans="2:36" x14ac:dyDescent="0.25">
      <c r="B163" s="7" t="str" cm="1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20,LEN('Raw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Data'!D163))=0),"",IF(AND(ISNUMBER('Raw Data'!D163),'Raw Data'!D163&gt;=Configuration!$D$2),"",_xlfn.REGEXEXTRACT(CELL("address",'Raw Data'!D163),"\$([A-Z]+)\$[0-9]+"))),_xlfn.REGEXEXTRACT(CELL("address",D163), "\$([A-Z]+)\$[0-9]+"))</f>
        <v/>
      </c>
      <c r="E163" s="7" t="str" cm="1">
        <f t="array" aca="1" ref="E163" ca="1">IFERROR(IF(OR('Raw Data'!E163="",LEN(TRIM('Raw Data'!E163))=0),"",IF(AND(ISNUMBER('Raw Data'!E163), IFERROR('Raw Data'!E163 = ROUND('Raw Data'!E163, 2),FALSE)),"",_xlfn.REGEXEXTRACT(CELL("address",E163), "\$([A-Z]+)\$[0-9]+"))),_xlfn.REGEXEXTRACT(CELL("address",E163), "\$([A-Z]+)\$[0-9]+"))</f>
        <v/>
      </c>
      <c r="F163" s="7" t="str" cm="1">
        <f t="array" aca="1" ref="F163" ca="1">IFERROR(IF(OR('Raw Data'!F163="",LEN(TRIM('Raw Data'!F163))=0),"",IF(AND(ISNUMBER('Raw Data'!F163), IFERROR('Raw Data'!F163 = ROUND('Raw Data'!F163, 2),FALSE)),"",_xlfn.REGEXEXTRACT(CELL("address",F163), "\$([A-Z]+)\$[0-9]+"))),_xlfn.REGEXEXTRACT(CELL("address",F163), "\$([A-Z]+)\$[0-9]+"))</f>
        <v/>
      </c>
      <c r="G163" s="7" t="str" cm="1">
        <f t="array" aca="1" ref="G163" ca="1">IFERROR(IF(OR('Raw Data'!G163="",LEN(TRIM('Raw Data'!G163))=0),"",IF(AND(ISNUMBER('Raw Data'!G163), IFERROR('Raw Data'!G163 = ROUND('Raw Data'!G163, 2),FALSE)),"",_xlfn.REGEXEXTRACT(CELL("address",G163), "\$([A-Z]+)\$[0-9]+"))),_xlfn.REGEXEXTRACT(CELL("address",G163), "\$([A-Z]+)\$[0-9]+"))</f>
        <v/>
      </c>
      <c r="H163" s="7" t="str" cm="1">
        <f t="array" aca="1" ref="H163" ca="1">IFERROR(IF(OR('Raw Data'!H163="",LEN(TRIM('Raw Data'!H163))=0),"",IF(AND(ISNUMBER('Raw Data'!H163), IFERROR('Raw Data'!H163 = ROUND('Raw Data'!H163, 2),FALSE)),"",_xlfn.REGEXEXTRACT(CELL("address",H163), "\$([A-Z]+)\$[0-9]+"))),_xlfn.REGEXEXTRACT(CELL("address",H163), "\$([A-Z]+)\$[0-9]+"))</f>
        <v/>
      </c>
      <c r="I163" s="7" t="str" cm="1">
        <f t="array" aca="1" ref="I163" ca="1">IFERROR(IF(OR('Raw Data'!I163="",LEN(TRIM('Raw Data'!I163))=0),"",IF(AND(ISNUMBER('Raw Data'!I163), IFERROR('Raw Data'!I163 = ROUND('Raw Data'!I163, 2),FALSE)),"",_xlfn.REGEXEXTRACT(CELL("address",I163), "\$([A-Z]+)\$[0-9]+"))),_xlfn.REGEXEXTRACT(CELL("address",I163), "\$([A-Z]+)\$[0-9]+"))</f>
        <v/>
      </c>
      <c r="J163" s="7" t="str" cm="1">
        <f t="array" aca="1" ref="J163" ca="1">IFERROR(IF(OR('Raw Data'!J163="",LEN(TRIM('Raw Data'!J163))=0),"",IF(AND(ISNUMBER('Raw Data'!J163), IFERROR('Raw Data'!J163 = ROUND('Raw Data'!J163, 2),FALSE)),"",_xlfn.REGEXEXTRACT(CELL("address",J163), "\$([A-Z]+)\$[0-9]+"))),_xlfn.REGEXEXTRACT(CELL("address",J163), "\$([A-Z]+)\$[0-9]+"))</f>
        <v/>
      </c>
      <c r="K163" s="7" t="str" cm="1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7" t="str" cm="1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7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7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7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7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 cm="1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7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7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7" t="str" cm="1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7" t="str" cm="1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  <c r="Z163" s="7" t="str" cm="1">
        <f t="array" aca="1" ref="Z163" ca="1">IFERROR(IF(OR('Raw Data'!Z163="",LEN(TRIM('Raw Data'!Z163))=0),"",IF(AND(ISNUMBER('Raw Data'!Z163), IFERROR('Raw Data'!Z163 = ROUND('Raw Data'!Z163, 2),FALSE)),"",_xlfn.REGEXEXTRACT(CELL("address",Z163), "\$([A-Z]+)\$[0-9]+"))),_xlfn.REGEXEXTRACT(CELL("address",Z163), "\$([A-Z]+)\$[0-9]+"))</f>
        <v/>
      </c>
      <c r="AA163" s="7" t="str" cm="1">
        <f t="array" aca="1" ref="AA163" ca="1">IFERROR(IF(OR('Raw Data'!AA163="",LEN(TRIM('Raw Data'!AA163))=0),"",IF(AND(ISNUMBER('Raw Data'!AA163), IFERROR('Raw Data'!AA163 = ROUND('Raw Data'!AA163, 2),FALSE)),"",_xlfn.REGEXEXTRACT(CELL("address",AA163), "\$([A-Z]+)\$[0-9]+"))),_xlfn.REGEXEXTRACT(CELL("address",AA163), "\$([A-Z]+)\$[0-9]+"))</f>
        <v/>
      </c>
      <c r="AB163" s="7" t="str" cm="1">
        <f t="array" aca="1" ref="AB163" ca="1">IFERROR(IF(OR('Raw Data'!AB163="",LEN(TRIM('Raw Data'!AB163))=0),"",IF(AND(ISNUMBER('Raw Data'!AB163), IFERROR('Raw Data'!AB163 = ROUND('Raw Data'!AB163, 2),FALSE)),"",_xlfn.REGEXEXTRACT(CELL("address",AB163), "\$([A-Z]+)\$[0-9]+"))),_xlfn.REGEXEXTRACT(CELL("address",AB163), "\$([A-Z]+)\$[0-9]+"))</f>
        <v/>
      </c>
      <c r="AC163" s="7" t="str" cm="1">
        <f t="array" aca="1" ref="AC163" ca="1">IFERROR(IF(OR('Raw Data'!AC163="",LEN(TRIM('Raw Data'!AC163))=0),"",IF(AND(ISNUMBER('Raw Data'!AC163), IFERROR('Raw Data'!AC163 = ROUND('Raw Data'!AC163, 2),FALSE)),"",_xlfn.REGEXEXTRACT(CELL("address",AC163), "\$([A-Z]+)\$[0-9]+"))),_xlfn.REGEXEXTRACT(CELL("address",AC163), "\$([A-Z]+)\$[0-9]+"))</f>
        <v/>
      </c>
      <c r="AD163" s="7" t="str" cm="1">
        <f t="array" aca="1" ref="AD163" ca="1">IFERROR(IF(OR('Raw Data'!AD163="",LEN(TRIM('Raw Data'!AD163))=0),"",IF(AND(ISNUMBER('Raw Data'!AD163), IFERROR('Raw Data'!AD163 = ROUND('Raw Data'!AD163, 2),FALSE)),"",_xlfn.REGEXEXTRACT(CELL("address",AD163), "\$([A-Z]+)\$[0-9]+"))),_xlfn.REGEXEXTRACT(CELL("address",AD163), "\$([A-Z]+)\$[0-9]+"))</f>
        <v/>
      </c>
      <c r="AE163" s="7" t="str" cm="1">
        <f t="array" aca="1" ref="AE163" ca="1">IFERROR(IF(OR('Raw Data'!AE163="",LEN(TRIM('Raw Data'!AE163))=0),"",IF(AND(ISNUMBER('Raw Data'!AE163), IFERROR('Raw Data'!AE163 = ROUND('Raw Data'!AE163, 2),FALSE)),"",_xlfn.REGEXEXTRACT(CELL("address",AE163), "\$([A-Z]+)\$[0-9]+"))),_xlfn.REGEXEXTRACT(CELL("address",AE163), "\$([A-Z]+)\$[0-9]+"))</f>
        <v/>
      </c>
      <c r="AF163" s="7" t="str" cm="1">
        <f t="array" aca="1" ref="AF163" ca="1">IFERROR(IF(OR('Raw Data'!AF163="",LEN(TRIM('Raw Data'!AF163))=0),"",IF(AND(ISNUMBER('Raw Data'!AF163), IFERROR('Raw Data'!AF163 = ROUND('Raw Data'!AF163, 2),FALSE)),"",_xlfn.REGEXEXTRACT(CELL("address",AF163), "\$([A-Z]+)\$[0-9]+"))),_xlfn.REGEXEXTRACT(CELL("address",AF163), "\$([A-Z]+)\$[0-9]+"))</f>
        <v/>
      </c>
      <c r="AG163" s="7" t="str" cm="1">
        <f t="array" aca="1" ref="AG163" ca="1">IFERROR(IF(OR('Raw Data'!AG163="",LEN(TRIM('Raw Data'!AG163))=0),"",IF(AND(ISNUMBER('Raw Data'!AG163), IFERROR('Raw Data'!AG163 = ROUND('Raw Data'!AG163, 2),FALSE)),"",_xlfn.REGEXEXTRACT(CELL("address",AG163), "\$([A-Z]+)\$[0-9]+"))),_xlfn.REGEXEXTRACT(CELL("address",AG163), "\$([A-Z]+)\$[0-9]+"))</f>
        <v/>
      </c>
      <c r="AH163" s="7" t="str" cm="1">
        <f t="array" aca="1" ref="AH163" ca="1">IFERROR(IF(OR('Raw Data'!AH163="",LEN(TRIM('Raw Data'!AH163))=0),"",IF(AND(ISNUMBER('Raw Data'!AH163), IFERROR('Raw Data'!AH163 = ROUND('Raw Data'!AH163, 2),FALSE)),"",_xlfn.REGEXEXTRACT(CELL("address",AH163), "\$([A-Z]+)\$[0-9]+"))),_xlfn.REGEXEXTRACT(CELL("address",AH163), "\$([A-Z]+)\$[0-9]+"))</f>
        <v/>
      </c>
      <c r="AI163" s="7" t="str" cm="1">
        <f t="array" aca="1" ref="AI163" ca="1">IFERROR(IF(OR('Raw Data'!AI163="",LEN(TRIM('Raw Data'!AI163))=0),"",IF(AND(ISNUMBER('Raw Data'!AI163), IFERROR('Raw Data'!AI163 = ROUND('Raw Data'!AI163, 2),FALSE)),"",_xlfn.REGEXEXTRACT(CELL("address",AI163), "\$([A-Z]+)\$[0-9]+"))),_xlfn.REGEXEXTRACT(CELL("address",AI163), "\$([A-Z]+)\$[0-9]+"))</f>
        <v/>
      </c>
      <c r="AJ163" s="7" t="str" cm="1">
        <f t="array" aca="1" ref="AJ163" ca="1">IFERROR(IF(OR('Raw Data'!AJ163="",LEN(TRIM('Raw Data'!AJ163))=0),"",IF(AND(ISNUMBER('Raw Data'!AJ163), IFERROR('Raw Data'!AJ163 = ROUND('Raw Data'!AJ163, 2),FALSE)),"",_xlfn.REGEXEXTRACT(CELL("address",AJ163), "\$([A-Z]+)\$[0-9]+"))),_xlfn.REGEXEXTRACT(CELL("address",AJ163), "\$([A-Z]+)\$[0-9]+"))</f>
        <v/>
      </c>
    </row>
    <row r="164" spans="2:36" x14ac:dyDescent="0.25">
      <c r="B164" s="7" t="str" cm="1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20,LEN('Raw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Data'!D164))=0),"",IF(AND(ISNUMBER('Raw Data'!D164),'Raw Data'!D164&gt;=Configuration!$D$2),"",_xlfn.REGEXEXTRACT(CELL("address",'Raw Data'!D164),"\$([A-Z]+)\$[0-9]+"))),_xlfn.REGEXEXTRACT(CELL("address",D164), "\$([A-Z]+)\$[0-9]+"))</f>
        <v/>
      </c>
      <c r="E164" s="7" t="str" cm="1">
        <f t="array" aca="1" ref="E164" ca="1">IFERROR(IF(OR('Raw Data'!E164="",LEN(TRIM('Raw Data'!E164))=0),"",IF(AND(ISNUMBER('Raw Data'!E164), IFERROR('Raw Data'!E164 = ROUND('Raw Data'!E164, 2),FALSE)),"",_xlfn.REGEXEXTRACT(CELL("address",E164), "\$([A-Z]+)\$[0-9]+"))),_xlfn.REGEXEXTRACT(CELL("address",E164), "\$([A-Z]+)\$[0-9]+"))</f>
        <v/>
      </c>
      <c r="F164" s="7" t="str" cm="1">
        <f t="array" aca="1" ref="F164" ca="1">IFERROR(IF(OR('Raw Data'!F164="",LEN(TRIM('Raw Data'!F164))=0),"",IF(AND(ISNUMBER('Raw Data'!F164), IFERROR('Raw Data'!F164 = ROUND('Raw Data'!F164, 2),FALSE)),"",_xlfn.REGEXEXTRACT(CELL("address",F164), "\$([A-Z]+)\$[0-9]+"))),_xlfn.REGEXEXTRACT(CELL("address",F164), "\$([A-Z]+)\$[0-9]+"))</f>
        <v/>
      </c>
      <c r="G164" s="7" t="str" cm="1">
        <f t="array" aca="1" ref="G164" ca="1">IFERROR(IF(OR('Raw Data'!G164="",LEN(TRIM('Raw Data'!G164))=0),"",IF(AND(ISNUMBER('Raw Data'!G164), IFERROR('Raw Data'!G164 = ROUND('Raw Data'!G164, 2),FALSE)),"",_xlfn.REGEXEXTRACT(CELL("address",G164), "\$([A-Z]+)\$[0-9]+"))),_xlfn.REGEXEXTRACT(CELL("address",G164), "\$([A-Z]+)\$[0-9]+"))</f>
        <v/>
      </c>
      <c r="H164" s="7" t="str" cm="1">
        <f t="array" aca="1" ref="H164" ca="1">IFERROR(IF(OR('Raw Data'!H164="",LEN(TRIM('Raw Data'!H164))=0),"",IF(AND(ISNUMBER('Raw Data'!H164), IFERROR('Raw Data'!H164 = ROUND('Raw Data'!H164, 2),FALSE)),"",_xlfn.REGEXEXTRACT(CELL("address",H164), "\$([A-Z]+)\$[0-9]+"))),_xlfn.REGEXEXTRACT(CELL("address",H164), "\$([A-Z]+)\$[0-9]+"))</f>
        <v/>
      </c>
      <c r="I164" s="7" t="str" cm="1">
        <f t="array" aca="1" ref="I164" ca="1">IFERROR(IF(OR('Raw Data'!I164="",LEN(TRIM('Raw Data'!I164))=0),"",IF(AND(ISNUMBER('Raw Data'!I164), IFERROR('Raw Data'!I164 = ROUND('Raw Data'!I164, 2),FALSE)),"",_xlfn.REGEXEXTRACT(CELL("address",I164), "\$([A-Z]+)\$[0-9]+"))),_xlfn.REGEXEXTRACT(CELL("address",I164), "\$([A-Z]+)\$[0-9]+"))</f>
        <v/>
      </c>
      <c r="J164" s="7" t="str" cm="1">
        <f t="array" aca="1" ref="J164" ca="1">IFERROR(IF(OR('Raw Data'!J164="",LEN(TRIM('Raw Data'!J164))=0),"",IF(AND(ISNUMBER('Raw Data'!J164), IFERROR('Raw Data'!J164 = ROUND('Raw Data'!J164, 2),FALSE)),"",_xlfn.REGEXEXTRACT(CELL("address",J164), "\$([A-Z]+)\$[0-9]+"))),_xlfn.REGEXEXTRACT(CELL("address",J164), "\$([A-Z]+)\$[0-9]+"))</f>
        <v/>
      </c>
      <c r="K164" s="7" t="str" cm="1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7" t="str" cm="1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7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7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7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7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 cm="1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7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7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7" t="str" cm="1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7" t="str" cm="1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  <c r="Z164" s="7" t="str" cm="1">
        <f t="array" aca="1" ref="Z164" ca="1">IFERROR(IF(OR('Raw Data'!Z164="",LEN(TRIM('Raw Data'!Z164))=0),"",IF(AND(ISNUMBER('Raw Data'!Z164), IFERROR('Raw Data'!Z164 = ROUND('Raw Data'!Z164, 2),FALSE)),"",_xlfn.REGEXEXTRACT(CELL("address",Z164), "\$([A-Z]+)\$[0-9]+"))),_xlfn.REGEXEXTRACT(CELL("address",Z164), "\$([A-Z]+)\$[0-9]+"))</f>
        <v/>
      </c>
      <c r="AA164" s="7" t="str" cm="1">
        <f t="array" aca="1" ref="AA164" ca="1">IFERROR(IF(OR('Raw Data'!AA164="",LEN(TRIM('Raw Data'!AA164))=0),"",IF(AND(ISNUMBER('Raw Data'!AA164), IFERROR('Raw Data'!AA164 = ROUND('Raw Data'!AA164, 2),FALSE)),"",_xlfn.REGEXEXTRACT(CELL("address",AA164), "\$([A-Z]+)\$[0-9]+"))),_xlfn.REGEXEXTRACT(CELL("address",AA164), "\$([A-Z]+)\$[0-9]+"))</f>
        <v/>
      </c>
      <c r="AB164" s="7" t="str" cm="1">
        <f t="array" aca="1" ref="AB164" ca="1">IFERROR(IF(OR('Raw Data'!AB164="",LEN(TRIM('Raw Data'!AB164))=0),"",IF(AND(ISNUMBER('Raw Data'!AB164), IFERROR('Raw Data'!AB164 = ROUND('Raw Data'!AB164, 2),FALSE)),"",_xlfn.REGEXEXTRACT(CELL("address",AB164), "\$([A-Z]+)\$[0-9]+"))),_xlfn.REGEXEXTRACT(CELL("address",AB164), "\$([A-Z]+)\$[0-9]+"))</f>
        <v/>
      </c>
      <c r="AC164" s="7" t="str" cm="1">
        <f t="array" aca="1" ref="AC164" ca="1">IFERROR(IF(OR('Raw Data'!AC164="",LEN(TRIM('Raw Data'!AC164))=0),"",IF(AND(ISNUMBER('Raw Data'!AC164), IFERROR('Raw Data'!AC164 = ROUND('Raw Data'!AC164, 2),FALSE)),"",_xlfn.REGEXEXTRACT(CELL("address",AC164), "\$([A-Z]+)\$[0-9]+"))),_xlfn.REGEXEXTRACT(CELL("address",AC164), "\$([A-Z]+)\$[0-9]+"))</f>
        <v/>
      </c>
      <c r="AD164" s="7" t="str" cm="1">
        <f t="array" aca="1" ref="AD164" ca="1">IFERROR(IF(OR('Raw Data'!AD164="",LEN(TRIM('Raw Data'!AD164))=0),"",IF(AND(ISNUMBER('Raw Data'!AD164), IFERROR('Raw Data'!AD164 = ROUND('Raw Data'!AD164, 2),FALSE)),"",_xlfn.REGEXEXTRACT(CELL("address",AD164), "\$([A-Z]+)\$[0-9]+"))),_xlfn.REGEXEXTRACT(CELL("address",AD164), "\$([A-Z]+)\$[0-9]+"))</f>
        <v/>
      </c>
      <c r="AE164" s="7" t="str" cm="1">
        <f t="array" aca="1" ref="AE164" ca="1">IFERROR(IF(OR('Raw Data'!AE164="",LEN(TRIM('Raw Data'!AE164))=0),"",IF(AND(ISNUMBER('Raw Data'!AE164), IFERROR('Raw Data'!AE164 = ROUND('Raw Data'!AE164, 2),FALSE)),"",_xlfn.REGEXEXTRACT(CELL("address",AE164), "\$([A-Z]+)\$[0-9]+"))),_xlfn.REGEXEXTRACT(CELL("address",AE164), "\$([A-Z]+)\$[0-9]+"))</f>
        <v/>
      </c>
      <c r="AF164" s="7" t="str" cm="1">
        <f t="array" aca="1" ref="AF164" ca="1">IFERROR(IF(OR('Raw Data'!AF164="",LEN(TRIM('Raw Data'!AF164))=0),"",IF(AND(ISNUMBER('Raw Data'!AF164), IFERROR('Raw Data'!AF164 = ROUND('Raw Data'!AF164, 2),FALSE)),"",_xlfn.REGEXEXTRACT(CELL("address",AF164), "\$([A-Z]+)\$[0-9]+"))),_xlfn.REGEXEXTRACT(CELL("address",AF164), "\$([A-Z]+)\$[0-9]+"))</f>
        <v/>
      </c>
      <c r="AG164" s="7" t="str" cm="1">
        <f t="array" aca="1" ref="AG164" ca="1">IFERROR(IF(OR('Raw Data'!AG164="",LEN(TRIM('Raw Data'!AG164))=0),"",IF(AND(ISNUMBER('Raw Data'!AG164), IFERROR('Raw Data'!AG164 = ROUND('Raw Data'!AG164, 2),FALSE)),"",_xlfn.REGEXEXTRACT(CELL("address",AG164), "\$([A-Z]+)\$[0-9]+"))),_xlfn.REGEXEXTRACT(CELL("address",AG164), "\$([A-Z]+)\$[0-9]+"))</f>
        <v/>
      </c>
      <c r="AH164" s="7" t="str" cm="1">
        <f t="array" aca="1" ref="AH164" ca="1">IFERROR(IF(OR('Raw Data'!AH164="",LEN(TRIM('Raw Data'!AH164))=0),"",IF(AND(ISNUMBER('Raw Data'!AH164), IFERROR('Raw Data'!AH164 = ROUND('Raw Data'!AH164, 2),FALSE)),"",_xlfn.REGEXEXTRACT(CELL("address",AH164), "\$([A-Z]+)\$[0-9]+"))),_xlfn.REGEXEXTRACT(CELL("address",AH164), "\$([A-Z]+)\$[0-9]+"))</f>
        <v/>
      </c>
      <c r="AI164" s="7" t="str" cm="1">
        <f t="array" aca="1" ref="AI164" ca="1">IFERROR(IF(OR('Raw Data'!AI164="",LEN(TRIM('Raw Data'!AI164))=0),"",IF(AND(ISNUMBER('Raw Data'!AI164), IFERROR('Raw Data'!AI164 = ROUND('Raw Data'!AI164, 2),FALSE)),"",_xlfn.REGEXEXTRACT(CELL("address",AI164), "\$([A-Z]+)\$[0-9]+"))),_xlfn.REGEXEXTRACT(CELL("address",AI164), "\$([A-Z]+)\$[0-9]+"))</f>
        <v/>
      </c>
      <c r="AJ164" s="7" t="str" cm="1">
        <f t="array" aca="1" ref="AJ164" ca="1">IFERROR(IF(OR('Raw Data'!AJ164="",LEN(TRIM('Raw Data'!AJ164))=0),"",IF(AND(ISNUMBER('Raw Data'!AJ164), IFERROR('Raw Data'!AJ164 = ROUND('Raw Data'!AJ164, 2),FALSE)),"",_xlfn.REGEXEXTRACT(CELL("address",AJ164), "\$([A-Z]+)\$[0-9]+"))),_xlfn.REGEXEXTRACT(CELL("address",AJ164), "\$([A-Z]+)\$[0-9]+"))</f>
        <v/>
      </c>
    </row>
    <row r="165" spans="2:36" x14ac:dyDescent="0.25">
      <c r="B165" s="7" t="str" cm="1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20,LEN('Raw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Data'!D165))=0),"",IF(AND(ISNUMBER('Raw Data'!D165),'Raw Data'!D165&gt;=Configuration!$D$2),"",_xlfn.REGEXEXTRACT(CELL("address",'Raw Data'!D165),"\$([A-Z]+)\$[0-9]+"))),_xlfn.REGEXEXTRACT(CELL("address",D165), "\$([A-Z]+)\$[0-9]+"))</f>
        <v/>
      </c>
      <c r="E165" s="7" t="str" cm="1">
        <f t="array" aca="1" ref="E165" ca="1">IFERROR(IF(OR('Raw Data'!E165="",LEN(TRIM('Raw Data'!E165))=0),"",IF(AND(ISNUMBER('Raw Data'!E165), IFERROR('Raw Data'!E165 = ROUND('Raw Data'!E165, 2),FALSE)),"",_xlfn.REGEXEXTRACT(CELL("address",E165), "\$([A-Z]+)\$[0-9]+"))),_xlfn.REGEXEXTRACT(CELL("address",E165), "\$([A-Z]+)\$[0-9]+"))</f>
        <v/>
      </c>
      <c r="F165" s="7" t="str" cm="1">
        <f t="array" aca="1" ref="F165" ca="1">IFERROR(IF(OR('Raw Data'!F165="",LEN(TRIM('Raw Data'!F165))=0),"",IF(AND(ISNUMBER('Raw Data'!F165), IFERROR('Raw Data'!F165 = ROUND('Raw Data'!F165, 2),FALSE)),"",_xlfn.REGEXEXTRACT(CELL("address",F165), "\$([A-Z]+)\$[0-9]+"))),_xlfn.REGEXEXTRACT(CELL("address",F165), "\$([A-Z]+)\$[0-9]+"))</f>
        <v/>
      </c>
      <c r="G165" s="7" t="str" cm="1">
        <f t="array" aca="1" ref="G165" ca="1">IFERROR(IF(OR('Raw Data'!G165="",LEN(TRIM('Raw Data'!G165))=0),"",IF(AND(ISNUMBER('Raw Data'!G165), IFERROR('Raw Data'!G165 = ROUND('Raw Data'!G165, 2),FALSE)),"",_xlfn.REGEXEXTRACT(CELL("address",G165), "\$([A-Z]+)\$[0-9]+"))),_xlfn.REGEXEXTRACT(CELL("address",G165), "\$([A-Z]+)\$[0-9]+"))</f>
        <v/>
      </c>
      <c r="H165" s="7" t="str" cm="1">
        <f t="array" aca="1" ref="H165" ca="1">IFERROR(IF(OR('Raw Data'!H165="",LEN(TRIM('Raw Data'!H165))=0),"",IF(AND(ISNUMBER('Raw Data'!H165), IFERROR('Raw Data'!H165 = ROUND('Raw Data'!H165, 2),FALSE)),"",_xlfn.REGEXEXTRACT(CELL("address",H165), "\$([A-Z]+)\$[0-9]+"))),_xlfn.REGEXEXTRACT(CELL("address",H165), "\$([A-Z]+)\$[0-9]+"))</f>
        <v/>
      </c>
      <c r="I165" s="7" t="str" cm="1">
        <f t="array" aca="1" ref="I165" ca="1">IFERROR(IF(OR('Raw Data'!I165="",LEN(TRIM('Raw Data'!I165))=0),"",IF(AND(ISNUMBER('Raw Data'!I165), IFERROR('Raw Data'!I165 = ROUND('Raw Data'!I165, 2),FALSE)),"",_xlfn.REGEXEXTRACT(CELL("address",I165), "\$([A-Z]+)\$[0-9]+"))),_xlfn.REGEXEXTRACT(CELL("address",I165), "\$([A-Z]+)\$[0-9]+"))</f>
        <v/>
      </c>
      <c r="J165" s="7" t="str" cm="1">
        <f t="array" aca="1" ref="J165" ca="1">IFERROR(IF(OR('Raw Data'!J165="",LEN(TRIM('Raw Data'!J165))=0),"",IF(AND(ISNUMBER('Raw Data'!J165), IFERROR('Raw Data'!J165 = ROUND('Raw Data'!J165, 2),FALSE)),"",_xlfn.REGEXEXTRACT(CELL("address",J165), "\$([A-Z]+)\$[0-9]+"))),_xlfn.REGEXEXTRACT(CELL("address",J165), "\$([A-Z]+)\$[0-9]+"))</f>
        <v/>
      </c>
      <c r="K165" s="7" t="str" cm="1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7" t="str" cm="1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7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7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 cm="1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7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7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7" t="str" cm="1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7" t="str" cm="1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  <c r="Z165" s="7" t="str" cm="1">
        <f t="array" aca="1" ref="Z165" ca="1">IFERROR(IF(OR('Raw Data'!Z165="",LEN(TRIM('Raw Data'!Z165))=0),"",IF(AND(ISNUMBER('Raw Data'!Z165), IFERROR('Raw Data'!Z165 = ROUND('Raw Data'!Z165, 2),FALSE)),"",_xlfn.REGEXEXTRACT(CELL("address",Z165), "\$([A-Z]+)\$[0-9]+"))),_xlfn.REGEXEXTRACT(CELL("address",Z165), "\$([A-Z]+)\$[0-9]+"))</f>
        <v/>
      </c>
      <c r="AA165" s="7" t="str" cm="1">
        <f t="array" aca="1" ref="AA165" ca="1">IFERROR(IF(OR('Raw Data'!AA165="",LEN(TRIM('Raw Data'!AA165))=0),"",IF(AND(ISNUMBER('Raw Data'!AA165), IFERROR('Raw Data'!AA165 = ROUND('Raw Data'!AA165, 2),FALSE)),"",_xlfn.REGEXEXTRACT(CELL("address",AA165), "\$([A-Z]+)\$[0-9]+"))),_xlfn.REGEXEXTRACT(CELL("address",AA165), "\$([A-Z]+)\$[0-9]+"))</f>
        <v/>
      </c>
      <c r="AB165" s="7" t="str" cm="1">
        <f t="array" aca="1" ref="AB165" ca="1">IFERROR(IF(OR('Raw Data'!AB165="",LEN(TRIM('Raw Data'!AB165))=0),"",IF(AND(ISNUMBER('Raw Data'!AB165), IFERROR('Raw Data'!AB165 = ROUND('Raw Data'!AB165, 2),FALSE)),"",_xlfn.REGEXEXTRACT(CELL("address",AB165), "\$([A-Z]+)\$[0-9]+"))),_xlfn.REGEXEXTRACT(CELL("address",AB165), "\$([A-Z]+)\$[0-9]+"))</f>
        <v/>
      </c>
      <c r="AC165" s="7" t="str" cm="1">
        <f t="array" aca="1" ref="AC165" ca="1">IFERROR(IF(OR('Raw Data'!AC165="",LEN(TRIM('Raw Data'!AC165))=0),"",IF(AND(ISNUMBER('Raw Data'!AC165), IFERROR('Raw Data'!AC165 = ROUND('Raw Data'!AC165, 2),FALSE)),"",_xlfn.REGEXEXTRACT(CELL("address",AC165), "\$([A-Z]+)\$[0-9]+"))),_xlfn.REGEXEXTRACT(CELL("address",AC165), "\$([A-Z]+)\$[0-9]+"))</f>
        <v/>
      </c>
      <c r="AD165" s="7" t="str" cm="1">
        <f t="array" aca="1" ref="AD165" ca="1">IFERROR(IF(OR('Raw Data'!AD165="",LEN(TRIM('Raw Data'!AD165))=0),"",IF(AND(ISNUMBER('Raw Data'!AD165), IFERROR('Raw Data'!AD165 = ROUND('Raw Data'!AD165, 2),FALSE)),"",_xlfn.REGEXEXTRACT(CELL("address",AD165), "\$([A-Z]+)\$[0-9]+"))),_xlfn.REGEXEXTRACT(CELL("address",AD165), "\$([A-Z]+)\$[0-9]+"))</f>
        <v/>
      </c>
      <c r="AE165" s="7" t="str" cm="1">
        <f t="array" aca="1" ref="AE165" ca="1">IFERROR(IF(OR('Raw Data'!AE165="",LEN(TRIM('Raw Data'!AE165))=0),"",IF(AND(ISNUMBER('Raw Data'!AE165), IFERROR('Raw Data'!AE165 = ROUND('Raw Data'!AE165, 2),FALSE)),"",_xlfn.REGEXEXTRACT(CELL("address",AE165), "\$([A-Z]+)\$[0-9]+"))),_xlfn.REGEXEXTRACT(CELL("address",AE165), "\$([A-Z]+)\$[0-9]+"))</f>
        <v/>
      </c>
      <c r="AF165" s="7" t="str" cm="1">
        <f t="array" aca="1" ref="AF165" ca="1">IFERROR(IF(OR('Raw Data'!AF165="",LEN(TRIM('Raw Data'!AF165))=0),"",IF(AND(ISNUMBER('Raw Data'!AF165), IFERROR('Raw Data'!AF165 = ROUND('Raw Data'!AF165, 2),FALSE)),"",_xlfn.REGEXEXTRACT(CELL("address",AF165), "\$([A-Z]+)\$[0-9]+"))),_xlfn.REGEXEXTRACT(CELL("address",AF165), "\$([A-Z]+)\$[0-9]+"))</f>
        <v/>
      </c>
      <c r="AG165" s="7" t="str" cm="1">
        <f t="array" aca="1" ref="AG165" ca="1">IFERROR(IF(OR('Raw Data'!AG165="",LEN(TRIM('Raw Data'!AG165))=0),"",IF(AND(ISNUMBER('Raw Data'!AG165), IFERROR('Raw Data'!AG165 = ROUND('Raw Data'!AG165, 2),FALSE)),"",_xlfn.REGEXEXTRACT(CELL("address",AG165), "\$([A-Z]+)\$[0-9]+"))),_xlfn.REGEXEXTRACT(CELL("address",AG165), "\$([A-Z]+)\$[0-9]+"))</f>
        <v/>
      </c>
      <c r="AH165" s="7" t="str" cm="1">
        <f t="array" aca="1" ref="AH165" ca="1">IFERROR(IF(OR('Raw Data'!AH165="",LEN(TRIM('Raw Data'!AH165))=0),"",IF(AND(ISNUMBER('Raw Data'!AH165), IFERROR('Raw Data'!AH165 = ROUND('Raw Data'!AH165, 2),FALSE)),"",_xlfn.REGEXEXTRACT(CELL("address",AH165), "\$([A-Z]+)\$[0-9]+"))),_xlfn.REGEXEXTRACT(CELL("address",AH165), "\$([A-Z]+)\$[0-9]+"))</f>
        <v/>
      </c>
      <c r="AI165" s="7" t="str" cm="1">
        <f t="array" aca="1" ref="AI165" ca="1">IFERROR(IF(OR('Raw Data'!AI165="",LEN(TRIM('Raw Data'!AI165))=0),"",IF(AND(ISNUMBER('Raw Data'!AI165), IFERROR('Raw Data'!AI165 = ROUND('Raw Data'!AI165, 2),FALSE)),"",_xlfn.REGEXEXTRACT(CELL("address",AI165), "\$([A-Z]+)\$[0-9]+"))),_xlfn.REGEXEXTRACT(CELL("address",AI165), "\$([A-Z]+)\$[0-9]+"))</f>
        <v/>
      </c>
      <c r="AJ165" s="7" t="str" cm="1">
        <f t="array" aca="1" ref="AJ165" ca="1">IFERROR(IF(OR('Raw Data'!AJ165="",LEN(TRIM('Raw Data'!AJ165))=0),"",IF(AND(ISNUMBER('Raw Data'!AJ165), IFERROR('Raw Data'!AJ165 = ROUND('Raw Data'!AJ165, 2),FALSE)),"",_xlfn.REGEXEXTRACT(CELL("address",AJ165), "\$([A-Z]+)\$[0-9]+"))),_xlfn.REGEXEXTRACT(CELL("address",AJ165), "\$([A-Z]+)\$[0-9]+"))</f>
        <v/>
      </c>
    </row>
    <row r="166" spans="2:36" x14ac:dyDescent="0.25">
      <c r="B166" s="7" t="str" cm="1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20,LEN('Raw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Data'!D166))=0),"",IF(AND(ISNUMBER('Raw Data'!D166),'Raw Data'!D166&gt;=Configuration!$D$2),"",_xlfn.REGEXEXTRACT(CELL("address",'Raw Data'!D166),"\$([A-Z]+)\$[0-9]+"))),_xlfn.REGEXEXTRACT(CELL("address",D166), "\$([A-Z]+)\$[0-9]+"))</f>
        <v/>
      </c>
      <c r="E166" s="7" t="str" cm="1">
        <f t="array" aca="1" ref="E166" ca="1">IFERROR(IF(OR('Raw Data'!E166="",LEN(TRIM('Raw Data'!E166))=0),"",IF(AND(ISNUMBER('Raw Data'!E166), IFERROR('Raw Data'!E166 = ROUND('Raw Data'!E166, 2),FALSE)),"",_xlfn.REGEXEXTRACT(CELL("address",E166), "\$([A-Z]+)\$[0-9]+"))),_xlfn.REGEXEXTRACT(CELL("address",E166), "\$([A-Z]+)\$[0-9]+"))</f>
        <v/>
      </c>
      <c r="F166" s="7" t="str" cm="1">
        <f t="array" aca="1" ref="F166" ca="1">IFERROR(IF(OR('Raw Data'!F166="",LEN(TRIM('Raw Data'!F166))=0),"",IF(AND(ISNUMBER('Raw Data'!F166), IFERROR('Raw Data'!F166 = ROUND('Raw Data'!F166, 2),FALSE)),"",_xlfn.REGEXEXTRACT(CELL("address",F166), "\$([A-Z]+)\$[0-9]+"))),_xlfn.REGEXEXTRACT(CELL("address",F166), "\$([A-Z]+)\$[0-9]+"))</f>
        <v/>
      </c>
      <c r="G166" s="7" t="str" cm="1">
        <f t="array" aca="1" ref="G166" ca="1">IFERROR(IF(OR('Raw Data'!G166="",LEN(TRIM('Raw Data'!G166))=0),"",IF(AND(ISNUMBER('Raw Data'!G166), IFERROR('Raw Data'!G166 = ROUND('Raw Data'!G166, 2),FALSE)),"",_xlfn.REGEXEXTRACT(CELL("address",G166), "\$([A-Z]+)\$[0-9]+"))),_xlfn.REGEXEXTRACT(CELL("address",G166), "\$([A-Z]+)\$[0-9]+"))</f>
        <v/>
      </c>
      <c r="H166" s="7" t="str" cm="1">
        <f t="array" aca="1" ref="H166" ca="1">IFERROR(IF(OR('Raw Data'!H166="",LEN(TRIM('Raw Data'!H166))=0),"",IF(AND(ISNUMBER('Raw Data'!H166), IFERROR('Raw Data'!H166 = ROUND('Raw Data'!H166, 2),FALSE)),"",_xlfn.REGEXEXTRACT(CELL("address",H166), "\$([A-Z]+)\$[0-9]+"))),_xlfn.REGEXEXTRACT(CELL("address",H166), "\$([A-Z]+)\$[0-9]+"))</f>
        <v/>
      </c>
      <c r="I166" s="7" t="str" cm="1">
        <f t="array" aca="1" ref="I166" ca="1">IFERROR(IF(OR('Raw Data'!I166="",LEN(TRIM('Raw Data'!I166))=0),"",IF(AND(ISNUMBER('Raw Data'!I166), IFERROR('Raw Data'!I166 = ROUND('Raw Data'!I166, 2),FALSE)),"",_xlfn.REGEXEXTRACT(CELL("address",I166), "\$([A-Z]+)\$[0-9]+"))),_xlfn.REGEXEXTRACT(CELL("address",I166), "\$([A-Z]+)\$[0-9]+"))</f>
        <v/>
      </c>
      <c r="J166" s="7" t="str" cm="1">
        <f t="array" aca="1" ref="J166" ca="1">IFERROR(IF(OR('Raw Data'!J166="",LEN(TRIM('Raw Data'!J166))=0),"",IF(AND(ISNUMBER('Raw Data'!J166), IFERROR('Raw Data'!J166 = ROUND('Raw Data'!J166, 2),FALSE)),"",_xlfn.REGEXEXTRACT(CELL("address",J166), "\$([A-Z]+)\$[0-9]+"))),_xlfn.REGEXEXTRACT(CELL("address",J166), "\$([A-Z]+)\$[0-9]+"))</f>
        <v/>
      </c>
      <c r="K166" s="7" t="str" cm="1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7" t="str" cm="1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7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7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7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7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 cm="1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7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7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7" t="str" cm="1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7" t="str" cm="1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  <c r="Z166" s="7" t="str" cm="1">
        <f t="array" aca="1" ref="Z166" ca="1">IFERROR(IF(OR('Raw Data'!Z166="",LEN(TRIM('Raw Data'!Z166))=0),"",IF(AND(ISNUMBER('Raw Data'!Z166), IFERROR('Raw Data'!Z166 = ROUND('Raw Data'!Z166, 2),FALSE)),"",_xlfn.REGEXEXTRACT(CELL("address",Z166), "\$([A-Z]+)\$[0-9]+"))),_xlfn.REGEXEXTRACT(CELL("address",Z166), "\$([A-Z]+)\$[0-9]+"))</f>
        <v/>
      </c>
      <c r="AA166" s="7" t="str" cm="1">
        <f t="array" aca="1" ref="AA166" ca="1">IFERROR(IF(OR('Raw Data'!AA166="",LEN(TRIM('Raw Data'!AA166))=0),"",IF(AND(ISNUMBER('Raw Data'!AA166), IFERROR('Raw Data'!AA166 = ROUND('Raw Data'!AA166, 2),FALSE)),"",_xlfn.REGEXEXTRACT(CELL("address",AA166), "\$([A-Z]+)\$[0-9]+"))),_xlfn.REGEXEXTRACT(CELL("address",AA166), "\$([A-Z]+)\$[0-9]+"))</f>
        <v/>
      </c>
      <c r="AB166" s="7" t="str" cm="1">
        <f t="array" aca="1" ref="AB166" ca="1">IFERROR(IF(OR('Raw Data'!AB166="",LEN(TRIM('Raw Data'!AB166))=0),"",IF(AND(ISNUMBER('Raw Data'!AB166), IFERROR('Raw Data'!AB166 = ROUND('Raw Data'!AB166, 2),FALSE)),"",_xlfn.REGEXEXTRACT(CELL("address",AB166), "\$([A-Z]+)\$[0-9]+"))),_xlfn.REGEXEXTRACT(CELL("address",AB166), "\$([A-Z]+)\$[0-9]+"))</f>
        <v/>
      </c>
      <c r="AC166" s="7" t="str" cm="1">
        <f t="array" aca="1" ref="AC166" ca="1">IFERROR(IF(OR('Raw Data'!AC166="",LEN(TRIM('Raw Data'!AC166))=0),"",IF(AND(ISNUMBER('Raw Data'!AC166), IFERROR('Raw Data'!AC166 = ROUND('Raw Data'!AC166, 2),FALSE)),"",_xlfn.REGEXEXTRACT(CELL("address",AC166), "\$([A-Z]+)\$[0-9]+"))),_xlfn.REGEXEXTRACT(CELL("address",AC166), "\$([A-Z]+)\$[0-9]+"))</f>
        <v/>
      </c>
      <c r="AD166" s="7" t="str" cm="1">
        <f t="array" aca="1" ref="AD166" ca="1">IFERROR(IF(OR('Raw Data'!AD166="",LEN(TRIM('Raw Data'!AD166))=0),"",IF(AND(ISNUMBER('Raw Data'!AD166), IFERROR('Raw Data'!AD166 = ROUND('Raw Data'!AD166, 2),FALSE)),"",_xlfn.REGEXEXTRACT(CELL("address",AD166), "\$([A-Z]+)\$[0-9]+"))),_xlfn.REGEXEXTRACT(CELL("address",AD166), "\$([A-Z]+)\$[0-9]+"))</f>
        <v/>
      </c>
      <c r="AE166" s="7" t="str" cm="1">
        <f t="array" aca="1" ref="AE166" ca="1">IFERROR(IF(OR('Raw Data'!AE166="",LEN(TRIM('Raw Data'!AE166))=0),"",IF(AND(ISNUMBER('Raw Data'!AE166), IFERROR('Raw Data'!AE166 = ROUND('Raw Data'!AE166, 2),FALSE)),"",_xlfn.REGEXEXTRACT(CELL("address",AE166), "\$([A-Z]+)\$[0-9]+"))),_xlfn.REGEXEXTRACT(CELL("address",AE166), "\$([A-Z]+)\$[0-9]+"))</f>
        <v/>
      </c>
      <c r="AF166" s="7" t="str" cm="1">
        <f t="array" aca="1" ref="AF166" ca="1">IFERROR(IF(OR('Raw Data'!AF166="",LEN(TRIM('Raw Data'!AF166))=0),"",IF(AND(ISNUMBER('Raw Data'!AF166), IFERROR('Raw Data'!AF166 = ROUND('Raw Data'!AF166, 2),FALSE)),"",_xlfn.REGEXEXTRACT(CELL("address",AF166), "\$([A-Z]+)\$[0-9]+"))),_xlfn.REGEXEXTRACT(CELL("address",AF166), "\$([A-Z]+)\$[0-9]+"))</f>
        <v/>
      </c>
      <c r="AG166" s="7" t="str" cm="1">
        <f t="array" aca="1" ref="AG166" ca="1">IFERROR(IF(OR('Raw Data'!AG166="",LEN(TRIM('Raw Data'!AG166))=0),"",IF(AND(ISNUMBER('Raw Data'!AG166), IFERROR('Raw Data'!AG166 = ROUND('Raw Data'!AG166, 2),FALSE)),"",_xlfn.REGEXEXTRACT(CELL("address",AG166), "\$([A-Z]+)\$[0-9]+"))),_xlfn.REGEXEXTRACT(CELL("address",AG166), "\$([A-Z]+)\$[0-9]+"))</f>
        <v/>
      </c>
      <c r="AH166" s="7" t="str" cm="1">
        <f t="array" aca="1" ref="AH166" ca="1">IFERROR(IF(OR('Raw Data'!AH166="",LEN(TRIM('Raw Data'!AH166))=0),"",IF(AND(ISNUMBER('Raw Data'!AH166), IFERROR('Raw Data'!AH166 = ROUND('Raw Data'!AH166, 2),FALSE)),"",_xlfn.REGEXEXTRACT(CELL("address",AH166), "\$([A-Z]+)\$[0-9]+"))),_xlfn.REGEXEXTRACT(CELL("address",AH166), "\$([A-Z]+)\$[0-9]+"))</f>
        <v/>
      </c>
      <c r="AI166" s="7" t="str" cm="1">
        <f t="array" aca="1" ref="AI166" ca="1">IFERROR(IF(OR('Raw Data'!AI166="",LEN(TRIM('Raw Data'!AI166))=0),"",IF(AND(ISNUMBER('Raw Data'!AI166), IFERROR('Raw Data'!AI166 = ROUND('Raw Data'!AI166, 2),FALSE)),"",_xlfn.REGEXEXTRACT(CELL("address",AI166), "\$([A-Z]+)\$[0-9]+"))),_xlfn.REGEXEXTRACT(CELL("address",AI166), "\$([A-Z]+)\$[0-9]+"))</f>
        <v/>
      </c>
      <c r="AJ166" s="7" t="str" cm="1">
        <f t="array" aca="1" ref="AJ166" ca="1">IFERROR(IF(OR('Raw Data'!AJ166="",LEN(TRIM('Raw Data'!AJ166))=0),"",IF(AND(ISNUMBER('Raw Data'!AJ166), IFERROR('Raw Data'!AJ166 = ROUND('Raw Data'!AJ166, 2),FALSE)),"",_xlfn.REGEXEXTRACT(CELL("address",AJ166), "\$([A-Z]+)\$[0-9]+"))),_xlfn.REGEXEXTRACT(CELL("address",AJ166), "\$([A-Z]+)\$[0-9]+"))</f>
        <v/>
      </c>
    </row>
    <row r="167" spans="2:36" x14ac:dyDescent="0.25">
      <c r="B167" s="7" t="str" cm="1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20,LEN('Raw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Data'!D167))=0),"",IF(AND(ISNUMBER('Raw Data'!D167),'Raw Data'!D167&gt;=Configuration!$D$2),"",_xlfn.REGEXEXTRACT(CELL("address",'Raw Data'!D167),"\$([A-Z]+)\$[0-9]+"))),_xlfn.REGEXEXTRACT(CELL("address",D167), "\$([A-Z]+)\$[0-9]+"))</f>
        <v/>
      </c>
      <c r="E167" s="7" t="str" cm="1">
        <f t="array" aca="1" ref="E167" ca="1">IFERROR(IF(OR('Raw Data'!E167="",LEN(TRIM('Raw Data'!E167))=0),"",IF(AND(ISNUMBER('Raw Data'!E167), IFERROR('Raw Data'!E167 = ROUND('Raw Data'!E167, 2),FALSE)),"",_xlfn.REGEXEXTRACT(CELL("address",E167), "\$([A-Z]+)\$[0-9]+"))),_xlfn.REGEXEXTRACT(CELL("address",E167), "\$([A-Z]+)\$[0-9]+"))</f>
        <v/>
      </c>
      <c r="F167" s="7" t="str" cm="1">
        <f t="array" aca="1" ref="F167" ca="1">IFERROR(IF(OR('Raw Data'!F167="",LEN(TRIM('Raw Data'!F167))=0),"",IF(AND(ISNUMBER('Raw Data'!F167), IFERROR('Raw Data'!F167 = ROUND('Raw Data'!F167, 2),FALSE)),"",_xlfn.REGEXEXTRACT(CELL("address",F167), "\$([A-Z]+)\$[0-9]+"))),_xlfn.REGEXEXTRACT(CELL("address",F167), "\$([A-Z]+)\$[0-9]+"))</f>
        <v/>
      </c>
      <c r="G167" s="7" t="str" cm="1">
        <f t="array" aca="1" ref="G167" ca="1">IFERROR(IF(OR('Raw Data'!G167="",LEN(TRIM('Raw Data'!G167))=0),"",IF(AND(ISNUMBER('Raw Data'!G167), IFERROR('Raw Data'!G167 = ROUND('Raw Data'!G167, 2),FALSE)),"",_xlfn.REGEXEXTRACT(CELL("address",G167), "\$([A-Z]+)\$[0-9]+"))),_xlfn.REGEXEXTRACT(CELL("address",G167), "\$([A-Z]+)\$[0-9]+"))</f>
        <v/>
      </c>
      <c r="H167" s="7" t="str" cm="1">
        <f t="array" aca="1" ref="H167" ca="1">IFERROR(IF(OR('Raw Data'!H167="",LEN(TRIM('Raw Data'!H167))=0),"",IF(AND(ISNUMBER('Raw Data'!H167), IFERROR('Raw Data'!H167 = ROUND('Raw Data'!H167, 2),FALSE)),"",_xlfn.REGEXEXTRACT(CELL("address",H167), "\$([A-Z]+)\$[0-9]+"))),_xlfn.REGEXEXTRACT(CELL("address",H167), "\$([A-Z]+)\$[0-9]+"))</f>
        <v/>
      </c>
      <c r="I167" s="7" t="str" cm="1">
        <f t="array" aca="1" ref="I167" ca="1">IFERROR(IF(OR('Raw Data'!I167="",LEN(TRIM('Raw Data'!I167))=0),"",IF(AND(ISNUMBER('Raw Data'!I167), IFERROR('Raw Data'!I167 = ROUND('Raw Data'!I167, 2),FALSE)),"",_xlfn.REGEXEXTRACT(CELL("address",I167), "\$([A-Z]+)\$[0-9]+"))),_xlfn.REGEXEXTRACT(CELL("address",I167), "\$([A-Z]+)\$[0-9]+"))</f>
        <v/>
      </c>
      <c r="J167" s="7" t="str" cm="1">
        <f t="array" aca="1" ref="J167" ca="1">IFERROR(IF(OR('Raw Data'!J167="",LEN(TRIM('Raw Data'!J167))=0),"",IF(AND(ISNUMBER('Raw Data'!J167), IFERROR('Raw Data'!J167 = ROUND('Raw Data'!J167, 2),FALSE)),"",_xlfn.REGEXEXTRACT(CELL("address",J167), "\$([A-Z]+)\$[0-9]+"))),_xlfn.REGEXEXTRACT(CELL("address",J167), "\$([A-Z]+)\$[0-9]+"))</f>
        <v/>
      </c>
      <c r="K167" s="7" t="str" cm="1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7" t="str" cm="1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7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7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7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7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 cm="1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7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7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7" t="str" cm="1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7" t="str" cm="1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  <c r="Z167" s="7" t="str" cm="1">
        <f t="array" aca="1" ref="Z167" ca="1">IFERROR(IF(OR('Raw Data'!Z167="",LEN(TRIM('Raw Data'!Z167))=0),"",IF(AND(ISNUMBER('Raw Data'!Z167), IFERROR('Raw Data'!Z167 = ROUND('Raw Data'!Z167, 2),FALSE)),"",_xlfn.REGEXEXTRACT(CELL("address",Z167), "\$([A-Z]+)\$[0-9]+"))),_xlfn.REGEXEXTRACT(CELL("address",Z167), "\$([A-Z]+)\$[0-9]+"))</f>
        <v/>
      </c>
      <c r="AA167" s="7" t="str" cm="1">
        <f t="array" aca="1" ref="AA167" ca="1">IFERROR(IF(OR('Raw Data'!AA167="",LEN(TRIM('Raw Data'!AA167))=0),"",IF(AND(ISNUMBER('Raw Data'!AA167), IFERROR('Raw Data'!AA167 = ROUND('Raw Data'!AA167, 2),FALSE)),"",_xlfn.REGEXEXTRACT(CELL("address",AA167), "\$([A-Z]+)\$[0-9]+"))),_xlfn.REGEXEXTRACT(CELL("address",AA167), "\$([A-Z]+)\$[0-9]+"))</f>
        <v/>
      </c>
      <c r="AB167" s="7" t="str" cm="1">
        <f t="array" aca="1" ref="AB167" ca="1">IFERROR(IF(OR('Raw Data'!AB167="",LEN(TRIM('Raw Data'!AB167))=0),"",IF(AND(ISNUMBER('Raw Data'!AB167), IFERROR('Raw Data'!AB167 = ROUND('Raw Data'!AB167, 2),FALSE)),"",_xlfn.REGEXEXTRACT(CELL("address",AB167), "\$([A-Z]+)\$[0-9]+"))),_xlfn.REGEXEXTRACT(CELL("address",AB167), "\$([A-Z]+)\$[0-9]+"))</f>
        <v/>
      </c>
      <c r="AC167" s="7" t="str" cm="1">
        <f t="array" aca="1" ref="AC167" ca="1">IFERROR(IF(OR('Raw Data'!AC167="",LEN(TRIM('Raw Data'!AC167))=0),"",IF(AND(ISNUMBER('Raw Data'!AC167), IFERROR('Raw Data'!AC167 = ROUND('Raw Data'!AC167, 2),FALSE)),"",_xlfn.REGEXEXTRACT(CELL("address",AC167), "\$([A-Z]+)\$[0-9]+"))),_xlfn.REGEXEXTRACT(CELL("address",AC167), "\$([A-Z]+)\$[0-9]+"))</f>
        <v/>
      </c>
      <c r="AD167" s="7" t="str" cm="1">
        <f t="array" aca="1" ref="AD167" ca="1">IFERROR(IF(OR('Raw Data'!AD167="",LEN(TRIM('Raw Data'!AD167))=0),"",IF(AND(ISNUMBER('Raw Data'!AD167), IFERROR('Raw Data'!AD167 = ROUND('Raw Data'!AD167, 2),FALSE)),"",_xlfn.REGEXEXTRACT(CELL("address",AD167), "\$([A-Z]+)\$[0-9]+"))),_xlfn.REGEXEXTRACT(CELL("address",AD167), "\$([A-Z]+)\$[0-9]+"))</f>
        <v/>
      </c>
      <c r="AE167" s="7" t="str" cm="1">
        <f t="array" aca="1" ref="AE167" ca="1">IFERROR(IF(OR('Raw Data'!AE167="",LEN(TRIM('Raw Data'!AE167))=0),"",IF(AND(ISNUMBER('Raw Data'!AE167), IFERROR('Raw Data'!AE167 = ROUND('Raw Data'!AE167, 2),FALSE)),"",_xlfn.REGEXEXTRACT(CELL("address",AE167), "\$([A-Z]+)\$[0-9]+"))),_xlfn.REGEXEXTRACT(CELL("address",AE167), "\$([A-Z]+)\$[0-9]+"))</f>
        <v/>
      </c>
      <c r="AF167" s="7" t="str" cm="1">
        <f t="array" aca="1" ref="AF167" ca="1">IFERROR(IF(OR('Raw Data'!AF167="",LEN(TRIM('Raw Data'!AF167))=0),"",IF(AND(ISNUMBER('Raw Data'!AF167), IFERROR('Raw Data'!AF167 = ROUND('Raw Data'!AF167, 2),FALSE)),"",_xlfn.REGEXEXTRACT(CELL("address",AF167), "\$([A-Z]+)\$[0-9]+"))),_xlfn.REGEXEXTRACT(CELL("address",AF167), "\$([A-Z]+)\$[0-9]+"))</f>
        <v/>
      </c>
      <c r="AG167" s="7" t="str" cm="1">
        <f t="array" aca="1" ref="AG167" ca="1">IFERROR(IF(OR('Raw Data'!AG167="",LEN(TRIM('Raw Data'!AG167))=0),"",IF(AND(ISNUMBER('Raw Data'!AG167), IFERROR('Raw Data'!AG167 = ROUND('Raw Data'!AG167, 2),FALSE)),"",_xlfn.REGEXEXTRACT(CELL("address",AG167), "\$([A-Z]+)\$[0-9]+"))),_xlfn.REGEXEXTRACT(CELL("address",AG167), "\$([A-Z]+)\$[0-9]+"))</f>
        <v/>
      </c>
      <c r="AH167" s="7" t="str" cm="1">
        <f t="array" aca="1" ref="AH167" ca="1">IFERROR(IF(OR('Raw Data'!AH167="",LEN(TRIM('Raw Data'!AH167))=0),"",IF(AND(ISNUMBER('Raw Data'!AH167), IFERROR('Raw Data'!AH167 = ROUND('Raw Data'!AH167, 2),FALSE)),"",_xlfn.REGEXEXTRACT(CELL("address",AH167), "\$([A-Z]+)\$[0-9]+"))),_xlfn.REGEXEXTRACT(CELL("address",AH167), "\$([A-Z]+)\$[0-9]+"))</f>
        <v/>
      </c>
      <c r="AI167" s="7" t="str" cm="1">
        <f t="array" aca="1" ref="AI167" ca="1">IFERROR(IF(OR('Raw Data'!AI167="",LEN(TRIM('Raw Data'!AI167))=0),"",IF(AND(ISNUMBER('Raw Data'!AI167), IFERROR('Raw Data'!AI167 = ROUND('Raw Data'!AI167, 2),FALSE)),"",_xlfn.REGEXEXTRACT(CELL("address",AI167), "\$([A-Z]+)\$[0-9]+"))),_xlfn.REGEXEXTRACT(CELL("address",AI167), "\$([A-Z]+)\$[0-9]+"))</f>
        <v/>
      </c>
      <c r="AJ167" s="7" t="str" cm="1">
        <f t="array" aca="1" ref="AJ167" ca="1">IFERROR(IF(OR('Raw Data'!AJ167="",LEN(TRIM('Raw Data'!AJ167))=0),"",IF(AND(ISNUMBER('Raw Data'!AJ167), IFERROR('Raw Data'!AJ167 = ROUND('Raw Data'!AJ167, 2),FALSE)),"",_xlfn.REGEXEXTRACT(CELL("address",AJ167), "\$([A-Z]+)\$[0-9]+"))),_xlfn.REGEXEXTRACT(CELL("address",AJ167), "\$([A-Z]+)\$[0-9]+"))</f>
        <v/>
      </c>
    </row>
    <row r="168" spans="2:36" x14ac:dyDescent="0.25">
      <c r="B168" s="7" t="str" cm="1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20,LEN('Raw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Data'!D168))=0),"",IF(AND(ISNUMBER('Raw Data'!D168),'Raw Data'!D168&gt;=Configuration!$D$2),"",_xlfn.REGEXEXTRACT(CELL("address",'Raw Data'!D168),"\$([A-Z]+)\$[0-9]+"))),_xlfn.REGEXEXTRACT(CELL("address",D168), "\$([A-Z]+)\$[0-9]+"))</f>
        <v/>
      </c>
      <c r="E168" s="7" t="str" cm="1">
        <f t="array" aca="1" ref="E168" ca="1">IFERROR(IF(OR('Raw Data'!E168="",LEN(TRIM('Raw Data'!E168))=0),"",IF(AND(ISNUMBER('Raw Data'!E168), IFERROR('Raw Data'!E168 = ROUND('Raw Data'!E168, 2),FALSE)),"",_xlfn.REGEXEXTRACT(CELL("address",E168), "\$([A-Z]+)\$[0-9]+"))),_xlfn.REGEXEXTRACT(CELL("address",E168), "\$([A-Z]+)\$[0-9]+"))</f>
        <v/>
      </c>
      <c r="F168" s="7" t="str" cm="1">
        <f t="array" aca="1" ref="F168" ca="1">IFERROR(IF(OR('Raw Data'!F168="",LEN(TRIM('Raw Data'!F168))=0),"",IF(AND(ISNUMBER('Raw Data'!F168), IFERROR('Raw Data'!F168 = ROUND('Raw Data'!F168, 2),FALSE)),"",_xlfn.REGEXEXTRACT(CELL("address",F168), "\$([A-Z]+)\$[0-9]+"))),_xlfn.REGEXEXTRACT(CELL("address",F168), "\$([A-Z]+)\$[0-9]+"))</f>
        <v/>
      </c>
      <c r="G168" s="7" t="str" cm="1">
        <f t="array" aca="1" ref="G168" ca="1">IFERROR(IF(OR('Raw Data'!G168="",LEN(TRIM('Raw Data'!G168))=0),"",IF(AND(ISNUMBER('Raw Data'!G168), IFERROR('Raw Data'!G168 = ROUND('Raw Data'!G168, 2),FALSE)),"",_xlfn.REGEXEXTRACT(CELL("address",G168), "\$([A-Z]+)\$[0-9]+"))),_xlfn.REGEXEXTRACT(CELL("address",G168), "\$([A-Z]+)\$[0-9]+"))</f>
        <v/>
      </c>
      <c r="H168" s="7" t="str" cm="1">
        <f t="array" aca="1" ref="H168" ca="1">IFERROR(IF(OR('Raw Data'!H168="",LEN(TRIM('Raw Data'!H168))=0),"",IF(AND(ISNUMBER('Raw Data'!H168), IFERROR('Raw Data'!H168 = ROUND('Raw Data'!H168, 2),FALSE)),"",_xlfn.REGEXEXTRACT(CELL("address",H168), "\$([A-Z]+)\$[0-9]+"))),_xlfn.REGEXEXTRACT(CELL("address",H168), "\$([A-Z]+)\$[0-9]+"))</f>
        <v/>
      </c>
      <c r="I168" s="7" t="str" cm="1">
        <f t="array" aca="1" ref="I168" ca="1">IFERROR(IF(OR('Raw Data'!I168="",LEN(TRIM('Raw Data'!I168))=0),"",IF(AND(ISNUMBER('Raw Data'!I168), IFERROR('Raw Data'!I168 = ROUND('Raw Data'!I168, 2),FALSE)),"",_xlfn.REGEXEXTRACT(CELL("address",I168), "\$([A-Z]+)\$[0-9]+"))),_xlfn.REGEXEXTRACT(CELL("address",I168), "\$([A-Z]+)\$[0-9]+"))</f>
        <v/>
      </c>
      <c r="J168" s="7" t="str" cm="1">
        <f t="array" aca="1" ref="J168" ca="1">IFERROR(IF(OR('Raw Data'!J168="",LEN(TRIM('Raw Data'!J168))=0),"",IF(AND(ISNUMBER('Raw Data'!J168), IFERROR('Raw Data'!J168 = ROUND('Raw Data'!J168, 2),FALSE)),"",_xlfn.REGEXEXTRACT(CELL("address",J168), "\$([A-Z]+)\$[0-9]+"))),_xlfn.REGEXEXTRACT(CELL("address",J168), "\$([A-Z]+)\$[0-9]+"))</f>
        <v/>
      </c>
      <c r="K168" s="7" t="str" cm="1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7" t="str" cm="1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7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7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7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7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 cm="1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7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7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7" t="str" cm="1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7" t="str" cm="1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  <c r="Z168" s="7" t="str" cm="1">
        <f t="array" aca="1" ref="Z168" ca="1">IFERROR(IF(OR('Raw Data'!Z168="",LEN(TRIM('Raw Data'!Z168))=0),"",IF(AND(ISNUMBER('Raw Data'!Z168), IFERROR('Raw Data'!Z168 = ROUND('Raw Data'!Z168, 2),FALSE)),"",_xlfn.REGEXEXTRACT(CELL("address",Z168), "\$([A-Z]+)\$[0-9]+"))),_xlfn.REGEXEXTRACT(CELL("address",Z168), "\$([A-Z]+)\$[0-9]+"))</f>
        <v/>
      </c>
      <c r="AA168" s="7" t="str" cm="1">
        <f t="array" aca="1" ref="AA168" ca="1">IFERROR(IF(OR('Raw Data'!AA168="",LEN(TRIM('Raw Data'!AA168))=0),"",IF(AND(ISNUMBER('Raw Data'!AA168), IFERROR('Raw Data'!AA168 = ROUND('Raw Data'!AA168, 2),FALSE)),"",_xlfn.REGEXEXTRACT(CELL("address",AA168), "\$([A-Z]+)\$[0-9]+"))),_xlfn.REGEXEXTRACT(CELL("address",AA168), "\$([A-Z]+)\$[0-9]+"))</f>
        <v/>
      </c>
      <c r="AB168" s="7" t="str" cm="1">
        <f t="array" aca="1" ref="AB168" ca="1">IFERROR(IF(OR('Raw Data'!AB168="",LEN(TRIM('Raw Data'!AB168))=0),"",IF(AND(ISNUMBER('Raw Data'!AB168), IFERROR('Raw Data'!AB168 = ROUND('Raw Data'!AB168, 2),FALSE)),"",_xlfn.REGEXEXTRACT(CELL("address",AB168), "\$([A-Z]+)\$[0-9]+"))),_xlfn.REGEXEXTRACT(CELL("address",AB168), "\$([A-Z]+)\$[0-9]+"))</f>
        <v/>
      </c>
      <c r="AC168" s="7" t="str" cm="1">
        <f t="array" aca="1" ref="AC168" ca="1">IFERROR(IF(OR('Raw Data'!AC168="",LEN(TRIM('Raw Data'!AC168))=0),"",IF(AND(ISNUMBER('Raw Data'!AC168), IFERROR('Raw Data'!AC168 = ROUND('Raw Data'!AC168, 2),FALSE)),"",_xlfn.REGEXEXTRACT(CELL("address",AC168), "\$([A-Z]+)\$[0-9]+"))),_xlfn.REGEXEXTRACT(CELL("address",AC168), "\$([A-Z]+)\$[0-9]+"))</f>
        <v/>
      </c>
      <c r="AD168" s="7" t="str" cm="1">
        <f t="array" aca="1" ref="AD168" ca="1">IFERROR(IF(OR('Raw Data'!AD168="",LEN(TRIM('Raw Data'!AD168))=0),"",IF(AND(ISNUMBER('Raw Data'!AD168), IFERROR('Raw Data'!AD168 = ROUND('Raw Data'!AD168, 2),FALSE)),"",_xlfn.REGEXEXTRACT(CELL("address",AD168), "\$([A-Z]+)\$[0-9]+"))),_xlfn.REGEXEXTRACT(CELL("address",AD168), "\$([A-Z]+)\$[0-9]+"))</f>
        <v/>
      </c>
      <c r="AE168" s="7" t="str" cm="1">
        <f t="array" aca="1" ref="AE168" ca="1">IFERROR(IF(OR('Raw Data'!AE168="",LEN(TRIM('Raw Data'!AE168))=0),"",IF(AND(ISNUMBER('Raw Data'!AE168), IFERROR('Raw Data'!AE168 = ROUND('Raw Data'!AE168, 2),FALSE)),"",_xlfn.REGEXEXTRACT(CELL("address",AE168), "\$([A-Z]+)\$[0-9]+"))),_xlfn.REGEXEXTRACT(CELL("address",AE168), "\$([A-Z]+)\$[0-9]+"))</f>
        <v/>
      </c>
      <c r="AF168" s="7" t="str" cm="1">
        <f t="array" aca="1" ref="AF168" ca="1">IFERROR(IF(OR('Raw Data'!AF168="",LEN(TRIM('Raw Data'!AF168))=0),"",IF(AND(ISNUMBER('Raw Data'!AF168), IFERROR('Raw Data'!AF168 = ROUND('Raw Data'!AF168, 2),FALSE)),"",_xlfn.REGEXEXTRACT(CELL("address",AF168), "\$([A-Z]+)\$[0-9]+"))),_xlfn.REGEXEXTRACT(CELL("address",AF168), "\$([A-Z]+)\$[0-9]+"))</f>
        <v/>
      </c>
      <c r="AG168" s="7" t="str" cm="1">
        <f t="array" aca="1" ref="AG168" ca="1">IFERROR(IF(OR('Raw Data'!AG168="",LEN(TRIM('Raw Data'!AG168))=0),"",IF(AND(ISNUMBER('Raw Data'!AG168), IFERROR('Raw Data'!AG168 = ROUND('Raw Data'!AG168, 2),FALSE)),"",_xlfn.REGEXEXTRACT(CELL("address",AG168), "\$([A-Z]+)\$[0-9]+"))),_xlfn.REGEXEXTRACT(CELL("address",AG168), "\$([A-Z]+)\$[0-9]+"))</f>
        <v/>
      </c>
      <c r="AH168" s="7" t="str" cm="1">
        <f t="array" aca="1" ref="AH168" ca="1">IFERROR(IF(OR('Raw Data'!AH168="",LEN(TRIM('Raw Data'!AH168))=0),"",IF(AND(ISNUMBER('Raw Data'!AH168), IFERROR('Raw Data'!AH168 = ROUND('Raw Data'!AH168, 2),FALSE)),"",_xlfn.REGEXEXTRACT(CELL("address",AH168), "\$([A-Z]+)\$[0-9]+"))),_xlfn.REGEXEXTRACT(CELL("address",AH168), "\$([A-Z]+)\$[0-9]+"))</f>
        <v/>
      </c>
      <c r="AI168" s="7" t="str" cm="1">
        <f t="array" aca="1" ref="AI168" ca="1">IFERROR(IF(OR('Raw Data'!AI168="",LEN(TRIM('Raw Data'!AI168))=0),"",IF(AND(ISNUMBER('Raw Data'!AI168), IFERROR('Raw Data'!AI168 = ROUND('Raw Data'!AI168, 2),FALSE)),"",_xlfn.REGEXEXTRACT(CELL("address",AI168), "\$([A-Z]+)\$[0-9]+"))),_xlfn.REGEXEXTRACT(CELL("address",AI168), "\$([A-Z]+)\$[0-9]+"))</f>
        <v/>
      </c>
      <c r="AJ168" s="7" t="str" cm="1">
        <f t="array" aca="1" ref="AJ168" ca="1">IFERROR(IF(OR('Raw Data'!AJ168="",LEN(TRIM('Raw Data'!AJ168))=0),"",IF(AND(ISNUMBER('Raw Data'!AJ168), IFERROR('Raw Data'!AJ168 = ROUND('Raw Data'!AJ168, 2),FALSE)),"",_xlfn.REGEXEXTRACT(CELL("address",AJ168), "\$([A-Z]+)\$[0-9]+"))),_xlfn.REGEXEXTRACT(CELL("address",AJ168), "\$([A-Z]+)\$[0-9]+"))</f>
        <v/>
      </c>
    </row>
    <row r="169" spans="2:36" x14ac:dyDescent="0.25">
      <c r="B169" s="7" t="str" cm="1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20,LEN('Raw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Data'!D169))=0),"",IF(AND(ISNUMBER('Raw Data'!D169),'Raw Data'!D169&gt;=Configuration!$D$2),"",_xlfn.REGEXEXTRACT(CELL("address",'Raw Data'!D169),"\$([A-Z]+)\$[0-9]+"))),_xlfn.REGEXEXTRACT(CELL("address",D169), "\$([A-Z]+)\$[0-9]+"))</f>
        <v/>
      </c>
      <c r="E169" s="7" t="str" cm="1">
        <f t="array" aca="1" ref="E169" ca="1">IFERROR(IF(OR('Raw Data'!E169="",LEN(TRIM('Raw Data'!E169))=0),"",IF(AND(ISNUMBER('Raw Data'!E169), IFERROR('Raw Data'!E169 = ROUND('Raw Data'!E169, 2),FALSE)),"",_xlfn.REGEXEXTRACT(CELL("address",E169), "\$([A-Z]+)\$[0-9]+"))),_xlfn.REGEXEXTRACT(CELL("address",E169), "\$([A-Z]+)\$[0-9]+"))</f>
        <v/>
      </c>
      <c r="F169" s="7" t="str" cm="1">
        <f t="array" aca="1" ref="F169" ca="1">IFERROR(IF(OR('Raw Data'!F169="",LEN(TRIM('Raw Data'!F169))=0),"",IF(AND(ISNUMBER('Raw Data'!F169), IFERROR('Raw Data'!F169 = ROUND('Raw Data'!F169, 2),FALSE)),"",_xlfn.REGEXEXTRACT(CELL("address",F169), "\$([A-Z]+)\$[0-9]+"))),_xlfn.REGEXEXTRACT(CELL("address",F169), "\$([A-Z]+)\$[0-9]+"))</f>
        <v/>
      </c>
      <c r="G169" s="7" t="str" cm="1">
        <f t="array" aca="1" ref="G169" ca="1">IFERROR(IF(OR('Raw Data'!G169="",LEN(TRIM('Raw Data'!G169))=0),"",IF(AND(ISNUMBER('Raw Data'!G169), IFERROR('Raw Data'!G169 = ROUND('Raw Data'!G169, 2),FALSE)),"",_xlfn.REGEXEXTRACT(CELL("address",G169), "\$([A-Z]+)\$[0-9]+"))),_xlfn.REGEXEXTRACT(CELL("address",G169), "\$([A-Z]+)\$[0-9]+"))</f>
        <v/>
      </c>
      <c r="H169" s="7" t="str" cm="1">
        <f t="array" aca="1" ref="H169" ca="1">IFERROR(IF(OR('Raw Data'!H169="",LEN(TRIM('Raw Data'!H169))=0),"",IF(AND(ISNUMBER('Raw Data'!H169), IFERROR('Raw Data'!H169 = ROUND('Raw Data'!H169, 2),FALSE)),"",_xlfn.REGEXEXTRACT(CELL("address",H169), "\$([A-Z]+)\$[0-9]+"))),_xlfn.REGEXEXTRACT(CELL("address",H169), "\$([A-Z]+)\$[0-9]+"))</f>
        <v/>
      </c>
      <c r="I169" s="7" t="str" cm="1">
        <f t="array" aca="1" ref="I169" ca="1">IFERROR(IF(OR('Raw Data'!I169="",LEN(TRIM('Raw Data'!I169))=0),"",IF(AND(ISNUMBER('Raw Data'!I169), IFERROR('Raw Data'!I169 = ROUND('Raw Data'!I169, 2),FALSE)),"",_xlfn.REGEXEXTRACT(CELL("address",I169), "\$([A-Z]+)\$[0-9]+"))),_xlfn.REGEXEXTRACT(CELL("address",I169), "\$([A-Z]+)\$[0-9]+"))</f>
        <v/>
      </c>
      <c r="J169" s="7" t="str" cm="1">
        <f t="array" aca="1" ref="J169" ca="1">IFERROR(IF(OR('Raw Data'!J169="",LEN(TRIM('Raw Data'!J169))=0),"",IF(AND(ISNUMBER('Raw Data'!J169), IFERROR('Raw Data'!J169 = ROUND('Raw Data'!J169, 2),FALSE)),"",_xlfn.REGEXEXTRACT(CELL("address",J169), "\$([A-Z]+)\$[0-9]+"))),_xlfn.REGEXEXTRACT(CELL("address",J169), "\$([A-Z]+)\$[0-9]+"))</f>
        <v/>
      </c>
      <c r="K169" s="7" t="str" cm="1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7" t="str" cm="1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7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7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7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7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 cm="1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7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7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7" t="str" cm="1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7" t="str" cm="1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  <c r="Z169" s="7" t="str" cm="1">
        <f t="array" aca="1" ref="Z169" ca="1">IFERROR(IF(OR('Raw Data'!Z169="",LEN(TRIM('Raw Data'!Z169))=0),"",IF(AND(ISNUMBER('Raw Data'!Z169), IFERROR('Raw Data'!Z169 = ROUND('Raw Data'!Z169, 2),FALSE)),"",_xlfn.REGEXEXTRACT(CELL("address",Z169), "\$([A-Z]+)\$[0-9]+"))),_xlfn.REGEXEXTRACT(CELL("address",Z169), "\$([A-Z]+)\$[0-9]+"))</f>
        <v/>
      </c>
      <c r="AA169" s="7" t="str" cm="1">
        <f t="array" aca="1" ref="AA169" ca="1">IFERROR(IF(OR('Raw Data'!AA169="",LEN(TRIM('Raw Data'!AA169))=0),"",IF(AND(ISNUMBER('Raw Data'!AA169), IFERROR('Raw Data'!AA169 = ROUND('Raw Data'!AA169, 2),FALSE)),"",_xlfn.REGEXEXTRACT(CELL("address",AA169), "\$([A-Z]+)\$[0-9]+"))),_xlfn.REGEXEXTRACT(CELL("address",AA169), "\$([A-Z]+)\$[0-9]+"))</f>
        <v/>
      </c>
      <c r="AB169" s="7" t="str" cm="1">
        <f t="array" aca="1" ref="AB169" ca="1">IFERROR(IF(OR('Raw Data'!AB169="",LEN(TRIM('Raw Data'!AB169))=0),"",IF(AND(ISNUMBER('Raw Data'!AB169), IFERROR('Raw Data'!AB169 = ROUND('Raw Data'!AB169, 2),FALSE)),"",_xlfn.REGEXEXTRACT(CELL("address",AB169), "\$([A-Z]+)\$[0-9]+"))),_xlfn.REGEXEXTRACT(CELL("address",AB169), "\$([A-Z]+)\$[0-9]+"))</f>
        <v/>
      </c>
      <c r="AC169" s="7" t="str" cm="1">
        <f t="array" aca="1" ref="AC169" ca="1">IFERROR(IF(OR('Raw Data'!AC169="",LEN(TRIM('Raw Data'!AC169))=0),"",IF(AND(ISNUMBER('Raw Data'!AC169), IFERROR('Raw Data'!AC169 = ROUND('Raw Data'!AC169, 2),FALSE)),"",_xlfn.REGEXEXTRACT(CELL("address",AC169), "\$([A-Z]+)\$[0-9]+"))),_xlfn.REGEXEXTRACT(CELL("address",AC169), "\$([A-Z]+)\$[0-9]+"))</f>
        <v/>
      </c>
      <c r="AD169" s="7" t="str" cm="1">
        <f t="array" aca="1" ref="AD169" ca="1">IFERROR(IF(OR('Raw Data'!AD169="",LEN(TRIM('Raw Data'!AD169))=0),"",IF(AND(ISNUMBER('Raw Data'!AD169), IFERROR('Raw Data'!AD169 = ROUND('Raw Data'!AD169, 2),FALSE)),"",_xlfn.REGEXEXTRACT(CELL("address",AD169), "\$([A-Z]+)\$[0-9]+"))),_xlfn.REGEXEXTRACT(CELL("address",AD169), "\$([A-Z]+)\$[0-9]+"))</f>
        <v/>
      </c>
      <c r="AE169" s="7" t="str" cm="1">
        <f t="array" aca="1" ref="AE169" ca="1">IFERROR(IF(OR('Raw Data'!AE169="",LEN(TRIM('Raw Data'!AE169))=0),"",IF(AND(ISNUMBER('Raw Data'!AE169), IFERROR('Raw Data'!AE169 = ROUND('Raw Data'!AE169, 2),FALSE)),"",_xlfn.REGEXEXTRACT(CELL("address",AE169), "\$([A-Z]+)\$[0-9]+"))),_xlfn.REGEXEXTRACT(CELL("address",AE169), "\$([A-Z]+)\$[0-9]+"))</f>
        <v/>
      </c>
      <c r="AF169" s="7" t="str" cm="1">
        <f t="array" aca="1" ref="AF169" ca="1">IFERROR(IF(OR('Raw Data'!AF169="",LEN(TRIM('Raw Data'!AF169))=0),"",IF(AND(ISNUMBER('Raw Data'!AF169), IFERROR('Raw Data'!AF169 = ROUND('Raw Data'!AF169, 2),FALSE)),"",_xlfn.REGEXEXTRACT(CELL("address",AF169), "\$([A-Z]+)\$[0-9]+"))),_xlfn.REGEXEXTRACT(CELL("address",AF169), "\$([A-Z]+)\$[0-9]+"))</f>
        <v/>
      </c>
      <c r="AG169" s="7" t="str" cm="1">
        <f t="array" aca="1" ref="AG169" ca="1">IFERROR(IF(OR('Raw Data'!AG169="",LEN(TRIM('Raw Data'!AG169))=0),"",IF(AND(ISNUMBER('Raw Data'!AG169), IFERROR('Raw Data'!AG169 = ROUND('Raw Data'!AG169, 2),FALSE)),"",_xlfn.REGEXEXTRACT(CELL("address",AG169), "\$([A-Z]+)\$[0-9]+"))),_xlfn.REGEXEXTRACT(CELL("address",AG169), "\$([A-Z]+)\$[0-9]+"))</f>
        <v/>
      </c>
      <c r="AH169" s="7" t="str" cm="1">
        <f t="array" aca="1" ref="AH169" ca="1">IFERROR(IF(OR('Raw Data'!AH169="",LEN(TRIM('Raw Data'!AH169))=0),"",IF(AND(ISNUMBER('Raw Data'!AH169), IFERROR('Raw Data'!AH169 = ROUND('Raw Data'!AH169, 2),FALSE)),"",_xlfn.REGEXEXTRACT(CELL("address",AH169), "\$([A-Z]+)\$[0-9]+"))),_xlfn.REGEXEXTRACT(CELL("address",AH169), "\$([A-Z]+)\$[0-9]+"))</f>
        <v/>
      </c>
      <c r="AI169" s="7" t="str" cm="1">
        <f t="array" aca="1" ref="AI169" ca="1">IFERROR(IF(OR('Raw Data'!AI169="",LEN(TRIM('Raw Data'!AI169))=0),"",IF(AND(ISNUMBER('Raw Data'!AI169), IFERROR('Raw Data'!AI169 = ROUND('Raw Data'!AI169, 2),FALSE)),"",_xlfn.REGEXEXTRACT(CELL("address",AI169), "\$([A-Z]+)\$[0-9]+"))),_xlfn.REGEXEXTRACT(CELL("address",AI169), "\$([A-Z]+)\$[0-9]+"))</f>
        <v/>
      </c>
      <c r="AJ169" s="7" t="str" cm="1">
        <f t="array" aca="1" ref="AJ169" ca="1">IFERROR(IF(OR('Raw Data'!AJ169="",LEN(TRIM('Raw Data'!AJ169))=0),"",IF(AND(ISNUMBER('Raw Data'!AJ169), IFERROR('Raw Data'!AJ169 = ROUND('Raw Data'!AJ169, 2),FALSE)),"",_xlfn.REGEXEXTRACT(CELL("address",AJ169), "\$([A-Z]+)\$[0-9]+"))),_xlfn.REGEXEXTRACT(CELL("address",AJ169), "\$([A-Z]+)\$[0-9]+"))</f>
        <v/>
      </c>
    </row>
    <row r="170" spans="2:36" x14ac:dyDescent="0.25">
      <c r="B170" s="7" t="str" cm="1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20,LEN('Raw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Data'!D170))=0),"",IF(AND(ISNUMBER('Raw Data'!D170),'Raw Data'!D170&gt;=Configuration!$D$2),"",_xlfn.REGEXEXTRACT(CELL("address",'Raw Data'!D170),"\$([A-Z]+)\$[0-9]+"))),_xlfn.REGEXEXTRACT(CELL("address",D170), "\$([A-Z]+)\$[0-9]+"))</f>
        <v/>
      </c>
      <c r="E170" s="7" t="str" cm="1">
        <f t="array" aca="1" ref="E170" ca="1">IFERROR(IF(OR('Raw Data'!E170="",LEN(TRIM('Raw Data'!E170))=0),"",IF(AND(ISNUMBER('Raw Data'!E170), IFERROR('Raw Data'!E170 = ROUND('Raw Data'!E170, 2),FALSE)),"",_xlfn.REGEXEXTRACT(CELL("address",E170), "\$([A-Z]+)\$[0-9]+"))),_xlfn.REGEXEXTRACT(CELL("address",E170), "\$([A-Z]+)\$[0-9]+"))</f>
        <v/>
      </c>
      <c r="F170" s="7" t="str" cm="1">
        <f t="array" aca="1" ref="F170" ca="1">IFERROR(IF(OR('Raw Data'!F170="",LEN(TRIM('Raw Data'!F170))=0),"",IF(AND(ISNUMBER('Raw Data'!F170), IFERROR('Raw Data'!F170 = ROUND('Raw Data'!F170, 2),FALSE)),"",_xlfn.REGEXEXTRACT(CELL("address",F170), "\$([A-Z]+)\$[0-9]+"))),_xlfn.REGEXEXTRACT(CELL("address",F170), "\$([A-Z]+)\$[0-9]+"))</f>
        <v/>
      </c>
      <c r="G170" s="7" t="str" cm="1">
        <f t="array" aca="1" ref="G170" ca="1">IFERROR(IF(OR('Raw Data'!G170="",LEN(TRIM('Raw Data'!G170))=0),"",IF(AND(ISNUMBER('Raw Data'!G170), IFERROR('Raw Data'!G170 = ROUND('Raw Data'!G170, 2),FALSE)),"",_xlfn.REGEXEXTRACT(CELL("address",G170), "\$([A-Z]+)\$[0-9]+"))),_xlfn.REGEXEXTRACT(CELL("address",G170), "\$([A-Z]+)\$[0-9]+"))</f>
        <v/>
      </c>
      <c r="H170" s="7" t="str" cm="1">
        <f t="array" aca="1" ref="H170" ca="1">IFERROR(IF(OR('Raw Data'!H170="",LEN(TRIM('Raw Data'!H170))=0),"",IF(AND(ISNUMBER('Raw Data'!H170), IFERROR('Raw Data'!H170 = ROUND('Raw Data'!H170, 2),FALSE)),"",_xlfn.REGEXEXTRACT(CELL("address",H170), "\$([A-Z]+)\$[0-9]+"))),_xlfn.REGEXEXTRACT(CELL("address",H170), "\$([A-Z]+)\$[0-9]+"))</f>
        <v/>
      </c>
      <c r="I170" s="7" t="str" cm="1">
        <f t="array" aca="1" ref="I170" ca="1">IFERROR(IF(OR('Raw Data'!I170="",LEN(TRIM('Raw Data'!I170))=0),"",IF(AND(ISNUMBER('Raw Data'!I170), IFERROR('Raw Data'!I170 = ROUND('Raw Data'!I170, 2),FALSE)),"",_xlfn.REGEXEXTRACT(CELL("address",I170), "\$([A-Z]+)\$[0-9]+"))),_xlfn.REGEXEXTRACT(CELL("address",I170), "\$([A-Z]+)\$[0-9]+"))</f>
        <v/>
      </c>
      <c r="J170" s="7" t="str" cm="1">
        <f t="array" aca="1" ref="J170" ca="1">IFERROR(IF(OR('Raw Data'!J170="",LEN(TRIM('Raw Data'!J170))=0),"",IF(AND(ISNUMBER('Raw Data'!J170), IFERROR('Raw Data'!J170 = ROUND('Raw Data'!J170, 2),FALSE)),"",_xlfn.REGEXEXTRACT(CELL("address",J170), "\$([A-Z]+)\$[0-9]+"))),_xlfn.REGEXEXTRACT(CELL("address",J170), "\$([A-Z]+)\$[0-9]+"))</f>
        <v/>
      </c>
      <c r="K170" s="7" t="str" cm="1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7" t="str" cm="1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7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7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7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7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 cm="1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7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7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7" t="str" cm="1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7" t="str" cm="1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  <c r="Z170" s="7" t="str" cm="1">
        <f t="array" aca="1" ref="Z170" ca="1">IFERROR(IF(OR('Raw Data'!Z170="",LEN(TRIM('Raw Data'!Z170))=0),"",IF(AND(ISNUMBER('Raw Data'!Z170), IFERROR('Raw Data'!Z170 = ROUND('Raw Data'!Z170, 2),FALSE)),"",_xlfn.REGEXEXTRACT(CELL("address",Z170), "\$([A-Z]+)\$[0-9]+"))),_xlfn.REGEXEXTRACT(CELL("address",Z170), "\$([A-Z]+)\$[0-9]+"))</f>
        <v/>
      </c>
      <c r="AA170" s="7" t="str" cm="1">
        <f t="array" aca="1" ref="AA170" ca="1">IFERROR(IF(OR('Raw Data'!AA170="",LEN(TRIM('Raw Data'!AA170))=0),"",IF(AND(ISNUMBER('Raw Data'!AA170), IFERROR('Raw Data'!AA170 = ROUND('Raw Data'!AA170, 2),FALSE)),"",_xlfn.REGEXEXTRACT(CELL("address",AA170), "\$([A-Z]+)\$[0-9]+"))),_xlfn.REGEXEXTRACT(CELL("address",AA170), "\$([A-Z]+)\$[0-9]+"))</f>
        <v/>
      </c>
      <c r="AB170" s="7" t="str" cm="1">
        <f t="array" aca="1" ref="AB170" ca="1">IFERROR(IF(OR('Raw Data'!AB170="",LEN(TRIM('Raw Data'!AB170))=0),"",IF(AND(ISNUMBER('Raw Data'!AB170), IFERROR('Raw Data'!AB170 = ROUND('Raw Data'!AB170, 2),FALSE)),"",_xlfn.REGEXEXTRACT(CELL("address",AB170), "\$([A-Z]+)\$[0-9]+"))),_xlfn.REGEXEXTRACT(CELL("address",AB170), "\$([A-Z]+)\$[0-9]+"))</f>
        <v/>
      </c>
      <c r="AC170" s="7" t="str" cm="1">
        <f t="array" aca="1" ref="AC170" ca="1">IFERROR(IF(OR('Raw Data'!AC170="",LEN(TRIM('Raw Data'!AC170))=0),"",IF(AND(ISNUMBER('Raw Data'!AC170), IFERROR('Raw Data'!AC170 = ROUND('Raw Data'!AC170, 2),FALSE)),"",_xlfn.REGEXEXTRACT(CELL("address",AC170), "\$([A-Z]+)\$[0-9]+"))),_xlfn.REGEXEXTRACT(CELL("address",AC170), "\$([A-Z]+)\$[0-9]+"))</f>
        <v/>
      </c>
      <c r="AD170" s="7" t="str" cm="1">
        <f t="array" aca="1" ref="AD170" ca="1">IFERROR(IF(OR('Raw Data'!AD170="",LEN(TRIM('Raw Data'!AD170))=0),"",IF(AND(ISNUMBER('Raw Data'!AD170), IFERROR('Raw Data'!AD170 = ROUND('Raw Data'!AD170, 2),FALSE)),"",_xlfn.REGEXEXTRACT(CELL("address",AD170), "\$([A-Z]+)\$[0-9]+"))),_xlfn.REGEXEXTRACT(CELL("address",AD170), "\$([A-Z]+)\$[0-9]+"))</f>
        <v/>
      </c>
      <c r="AE170" s="7" t="str" cm="1">
        <f t="array" aca="1" ref="AE170" ca="1">IFERROR(IF(OR('Raw Data'!AE170="",LEN(TRIM('Raw Data'!AE170))=0),"",IF(AND(ISNUMBER('Raw Data'!AE170), IFERROR('Raw Data'!AE170 = ROUND('Raw Data'!AE170, 2),FALSE)),"",_xlfn.REGEXEXTRACT(CELL("address",AE170), "\$([A-Z]+)\$[0-9]+"))),_xlfn.REGEXEXTRACT(CELL("address",AE170), "\$([A-Z]+)\$[0-9]+"))</f>
        <v/>
      </c>
      <c r="AF170" s="7" t="str" cm="1">
        <f t="array" aca="1" ref="AF170" ca="1">IFERROR(IF(OR('Raw Data'!AF170="",LEN(TRIM('Raw Data'!AF170))=0),"",IF(AND(ISNUMBER('Raw Data'!AF170), IFERROR('Raw Data'!AF170 = ROUND('Raw Data'!AF170, 2),FALSE)),"",_xlfn.REGEXEXTRACT(CELL("address",AF170), "\$([A-Z]+)\$[0-9]+"))),_xlfn.REGEXEXTRACT(CELL("address",AF170), "\$([A-Z]+)\$[0-9]+"))</f>
        <v/>
      </c>
      <c r="AG170" s="7" t="str" cm="1">
        <f t="array" aca="1" ref="AG170" ca="1">IFERROR(IF(OR('Raw Data'!AG170="",LEN(TRIM('Raw Data'!AG170))=0),"",IF(AND(ISNUMBER('Raw Data'!AG170), IFERROR('Raw Data'!AG170 = ROUND('Raw Data'!AG170, 2),FALSE)),"",_xlfn.REGEXEXTRACT(CELL("address",AG170), "\$([A-Z]+)\$[0-9]+"))),_xlfn.REGEXEXTRACT(CELL("address",AG170), "\$([A-Z]+)\$[0-9]+"))</f>
        <v/>
      </c>
      <c r="AH170" s="7" t="str" cm="1">
        <f t="array" aca="1" ref="AH170" ca="1">IFERROR(IF(OR('Raw Data'!AH170="",LEN(TRIM('Raw Data'!AH170))=0),"",IF(AND(ISNUMBER('Raw Data'!AH170), IFERROR('Raw Data'!AH170 = ROUND('Raw Data'!AH170, 2),FALSE)),"",_xlfn.REGEXEXTRACT(CELL("address",AH170), "\$([A-Z]+)\$[0-9]+"))),_xlfn.REGEXEXTRACT(CELL("address",AH170), "\$([A-Z]+)\$[0-9]+"))</f>
        <v/>
      </c>
      <c r="AI170" s="7" t="str" cm="1">
        <f t="array" aca="1" ref="AI170" ca="1">IFERROR(IF(OR('Raw Data'!AI170="",LEN(TRIM('Raw Data'!AI170))=0),"",IF(AND(ISNUMBER('Raw Data'!AI170), IFERROR('Raw Data'!AI170 = ROUND('Raw Data'!AI170, 2),FALSE)),"",_xlfn.REGEXEXTRACT(CELL("address",AI170), "\$([A-Z]+)\$[0-9]+"))),_xlfn.REGEXEXTRACT(CELL("address",AI170), "\$([A-Z]+)\$[0-9]+"))</f>
        <v/>
      </c>
      <c r="AJ170" s="7" t="str" cm="1">
        <f t="array" aca="1" ref="AJ170" ca="1">IFERROR(IF(OR('Raw Data'!AJ170="",LEN(TRIM('Raw Data'!AJ170))=0),"",IF(AND(ISNUMBER('Raw Data'!AJ170), IFERROR('Raw Data'!AJ170 = ROUND('Raw Data'!AJ170, 2),FALSE)),"",_xlfn.REGEXEXTRACT(CELL("address",AJ170), "\$([A-Z]+)\$[0-9]+"))),_xlfn.REGEXEXTRACT(CELL("address",AJ170), "\$([A-Z]+)\$[0-9]+"))</f>
        <v/>
      </c>
    </row>
    <row r="171" spans="2:36" x14ac:dyDescent="0.25">
      <c r="B171" s="7" t="str" cm="1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20,LEN('Raw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Data'!D171))=0),"",IF(AND(ISNUMBER('Raw Data'!D171),'Raw Data'!D171&gt;=Configuration!$D$2),"",_xlfn.REGEXEXTRACT(CELL("address",'Raw Data'!D171),"\$([A-Z]+)\$[0-9]+"))),_xlfn.REGEXEXTRACT(CELL("address",D171), "\$([A-Z]+)\$[0-9]+"))</f>
        <v/>
      </c>
      <c r="E171" s="7" t="str" cm="1">
        <f t="array" aca="1" ref="E171" ca="1">IFERROR(IF(OR('Raw Data'!E171="",LEN(TRIM('Raw Data'!E171))=0),"",IF(AND(ISNUMBER('Raw Data'!E171), IFERROR('Raw Data'!E171 = ROUND('Raw Data'!E171, 2),FALSE)),"",_xlfn.REGEXEXTRACT(CELL("address",E171), "\$([A-Z]+)\$[0-9]+"))),_xlfn.REGEXEXTRACT(CELL("address",E171), "\$([A-Z]+)\$[0-9]+"))</f>
        <v/>
      </c>
      <c r="F171" s="7" t="str" cm="1">
        <f t="array" aca="1" ref="F171" ca="1">IFERROR(IF(OR('Raw Data'!F171="",LEN(TRIM('Raw Data'!F171))=0),"",IF(AND(ISNUMBER('Raw Data'!F171), IFERROR('Raw Data'!F171 = ROUND('Raw Data'!F171, 2),FALSE)),"",_xlfn.REGEXEXTRACT(CELL("address",F171), "\$([A-Z]+)\$[0-9]+"))),_xlfn.REGEXEXTRACT(CELL("address",F171), "\$([A-Z]+)\$[0-9]+"))</f>
        <v/>
      </c>
      <c r="G171" s="7" t="str" cm="1">
        <f t="array" aca="1" ref="G171" ca="1">IFERROR(IF(OR('Raw Data'!G171="",LEN(TRIM('Raw Data'!G171))=0),"",IF(AND(ISNUMBER('Raw Data'!G171), IFERROR('Raw Data'!G171 = ROUND('Raw Data'!G171, 2),FALSE)),"",_xlfn.REGEXEXTRACT(CELL("address",G171), "\$([A-Z]+)\$[0-9]+"))),_xlfn.REGEXEXTRACT(CELL("address",G171), "\$([A-Z]+)\$[0-9]+"))</f>
        <v/>
      </c>
      <c r="H171" s="7" t="str" cm="1">
        <f t="array" aca="1" ref="H171" ca="1">IFERROR(IF(OR('Raw Data'!H171="",LEN(TRIM('Raw Data'!H171))=0),"",IF(AND(ISNUMBER('Raw Data'!H171), IFERROR('Raw Data'!H171 = ROUND('Raw Data'!H171, 2),FALSE)),"",_xlfn.REGEXEXTRACT(CELL("address",H171), "\$([A-Z]+)\$[0-9]+"))),_xlfn.REGEXEXTRACT(CELL("address",H171), "\$([A-Z]+)\$[0-9]+"))</f>
        <v/>
      </c>
      <c r="I171" s="7" t="str" cm="1">
        <f t="array" aca="1" ref="I171" ca="1">IFERROR(IF(OR('Raw Data'!I171="",LEN(TRIM('Raw Data'!I171))=0),"",IF(AND(ISNUMBER('Raw Data'!I171), IFERROR('Raw Data'!I171 = ROUND('Raw Data'!I171, 2),FALSE)),"",_xlfn.REGEXEXTRACT(CELL("address",I171), "\$([A-Z]+)\$[0-9]+"))),_xlfn.REGEXEXTRACT(CELL("address",I171), "\$([A-Z]+)\$[0-9]+"))</f>
        <v/>
      </c>
      <c r="J171" s="7" t="str" cm="1">
        <f t="array" aca="1" ref="J171" ca="1">IFERROR(IF(OR('Raw Data'!J171="",LEN(TRIM('Raw Data'!J171))=0),"",IF(AND(ISNUMBER('Raw Data'!J171), IFERROR('Raw Data'!J171 = ROUND('Raw Data'!J171, 2),FALSE)),"",_xlfn.REGEXEXTRACT(CELL("address",J171), "\$([A-Z]+)\$[0-9]+"))),_xlfn.REGEXEXTRACT(CELL("address",J171), "\$([A-Z]+)\$[0-9]+"))</f>
        <v/>
      </c>
      <c r="K171" s="7" t="str" cm="1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7" t="str" cm="1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7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7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7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7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 cm="1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7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7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7" t="str" cm="1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7" t="str" cm="1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  <c r="Z171" s="7" t="str" cm="1">
        <f t="array" aca="1" ref="Z171" ca="1">IFERROR(IF(OR('Raw Data'!Z171="",LEN(TRIM('Raw Data'!Z171))=0),"",IF(AND(ISNUMBER('Raw Data'!Z171), IFERROR('Raw Data'!Z171 = ROUND('Raw Data'!Z171, 2),FALSE)),"",_xlfn.REGEXEXTRACT(CELL("address",Z171), "\$([A-Z]+)\$[0-9]+"))),_xlfn.REGEXEXTRACT(CELL("address",Z171), "\$([A-Z]+)\$[0-9]+"))</f>
        <v/>
      </c>
      <c r="AA171" s="7" t="str" cm="1">
        <f t="array" aca="1" ref="AA171" ca="1">IFERROR(IF(OR('Raw Data'!AA171="",LEN(TRIM('Raw Data'!AA171))=0),"",IF(AND(ISNUMBER('Raw Data'!AA171), IFERROR('Raw Data'!AA171 = ROUND('Raw Data'!AA171, 2),FALSE)),"",_xlfn.REGEXEXTRACT(CELL("address",AA171), "\$([A-Z]+)\$[0-9]+"))),_xlfn.REGEXEXTRACT(CELL("address",AA171), "\$([A-Z]+)\$[0-9]+"))</f>
        <v/>
      </c>
      <c r="AB171" s="7" t="str" cm="1">
        <f t="array" aca="1" ref="AB171" ca="1">IFERROR(IF(OR('Raw Data'!AB171="",LEN(TRIM('Raw Data'!AB171))=0),"",IF(AND(ISNUMBER('Raw Data'!AB171), IFERROR('Raw Data'!AB171 = ROUND('Raw Data'!AB171, 2),FALSE)),"",_xlfn.REGEXEXTRACT(CELL("address",AB171), "\$([A-Z]+)\$[0-9]+"))),_xlfn.REGEXEXTRACT(CELL("address",AB171), "\$([A-Z]+)\$[0-9]+"))</f>
        <v/>
      </c>
      <c r="AC171" s="7" t="str" cm="1">
        <f t="array" aca="1" ref="AC171" ca="1">IFERROR(IF(OR('Raw Data'!AC171="",LEN(TRIM('Raw Data'!AC171))=0),"",IF(AND(ISNUMBER('Raw Data'!AC171), IFERROR('Raw Data'!AC171 = ROUND('Raw Data'!AC171, 2),FALSE)),"",_xlfn.REGEXEXTRACT(CELL("address",AC171), "\$([A-Z]+)\$[0-9]+"))),_xlfn.REGEXEXTRACT(CELL("address",AC171), "\$([A-Z]+)\$[0-9]+"))</f>
        <v/>
      </c>
      <c r="AD171" s="7" t="str" cm="1">
        <f t="array" aca="1" ref="AD171" ca="1">IFERROR(IF(OR('Raw Data'!AD171="",LEN(TRIM('Raw Data'!AD171))=0),"",IF(AND(ISNUMBER('Raw Data'!AD171), IFERROR('Raw Data'!AD171 = ROUND('Raw Data'!AD171, 2),FALSE)),"",_xlfn.REGEXEXTRACT(CELL("address",AD171), "\$([A-Z]+)\$[0-9]+"))),_xlfn.REGEXEXTRACT(CELL("address",AD171), "\$([A-Z]+)\$[0-9]+"))</f>
        <v/>
      </c>
      <c r="AE171" s="7" t="str" cm="1">
        <f t="array" aca="1" ref="AE171" ca="1">IFERROR(IF(OR('Raw Data'!AE171="",LEN(TRIM('Raw Data'!AE171))=0),"",IF(AND(ISNUMBER('Raw Data'!AE171), IFERROR('Raw Data'!AE171 = ROUND('Raw Data'!AE171, 2),FALSE)),"",_xlfn.REGEXEXTRACT(CELL("address",AE171), "\$([A-Z]+)\$[0-9]+"))),_xlfn.REGEXEXTRACT(CELL("address",AE171), "\$([A-Z]+)\$[0-9]+"))</f>
        <v/>
      </c>
      <c r="AF171" s="7" t="str" cm="1">
        <f t="array" aca="1" ref="AF171" ca="1">IFERROR(IF(OR('Raw Data'!AF171="",LEN(TRIM('Raw Data'!AF171))=0),"",IF(AND(ISNUMBER('Raw Data'!AF171), IFERROR('Raw Data'!AF171 = ROUND('Raw Data'!AF171, 2),FALSE)),"",_xlfn.REGEXEXTRACT(CELL("address",AF171), "\$([A-Z]+)\$[0-9]+"))),_xlfn.REGEXEXTRACT(CELL("address",AF171), "\$([A-Z]+)\$[0-9]+"))</f>
        <v/>
      </c>
      <c r="AG171" s="7" t="str" cm="1">
        <f t="array" aca="1" ref="AG171" ca="1">IFERROR(IF(OR('Raw Data'!AG171="",LEN(TRIM('Raw Data'!AG171))=0),"",IF(AND(ISNUMBER('Raw Data'!AG171), IFERROR('Raw Data'!AG171 = ROUND('Raw Data'!AG171, 2),FALSE)),"",_xlfn.REGEXEXTRACT(CELL("address",AG171), "\$([A-Z]+)\$[0-9]+"))),_xlfn.REGEXEXTRACT(CELL("address",AG171), "\$([A-Z]+)\$[0-9]+"))</f>
        <v/>
      </c>
      <c r="AH171" s="7" t="str" cm="1">
        <f t="array" aca="1" ref="AH171" ca="1">IFERROR(IF(OR('Raw Data'!AH171="",LEN(TRIM('Raw Data'!AH171))=0),"",IF(AND(ISNUMBER('Raw Data'!AH171), IFERROR('Raw Data'!AH171 = ROUND('Raw Data'!AH171, 2),FALSE)),"",_xlfn.REGEXEXTRACT(CELL("address",AH171), "\$([A-Z]+)\$[0-9]+"))),_xlfn.REGEXEXTRACT(CELL("address",AH171), "\$([A-Z]+)\$[0-9]+"))</f>
        <v/>
      </c>
      <c r="AI171" s="7" t="str" cm="1">
        <f t="array" aca="1" ref="AI171" ca="1">IFERROR(IF(OR('Raw Data'!AI171="",LEN(TRIM('Raw Data'!AI171))=0),"",IF(AND(ISNUMBER('Raw Data'!AI171), IFERROR('Raw Data'!AI171 = ROUND('Raw Data'!AI171, 2),FALSE)),"",_xlfn.REGEXEXTRACT(CELL("address",AI171), "\$([A-Z]+)\$[0-9]+"))),_xlfn.REGEXEXTRACT(CELL("address",AI171), "\$([A-Z]+)\$[0-9]+"))</f>
        <v/>
      </c>
      <c r="AJ171" s="7" t="str" cm="1">
        <f t="array" aca="1" ref="AJ171" ca="1">IFERROR(IF(OR('Raw Data'!AJ171="",LEN(TRIM('Raw Data'!AJ171))=0),"",IF(AND(ISNUMBER('Raw Data'!AJ171), IFERROR('Raw Data'!AJ171 = ROUND('Raw Data'!AJ171, 2),FALSE)),"",_xlfn.REGEXEXTRACT(CELL("address",AJ171), "\$([A-Z]+)\$[0-9]+"))),_xlfn.REGEXEXTRACT(CELL("address",AJ171), "\$([A-Z]+)\$[0-9]+"))</f>
        <v/>
      </c>
    </row>
    <row r="172" spans="2:36" x14ac:dyDescent="0.25">
      <c r="B172" s="7" t="str" cm="1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20,LEN('Raw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Data'!D172))=0),"",IF(AND(ISNUMBER('Raw Data'!D172),'Raw Data'!D172&gt;=Configuration!$D$2),"",_xlfn.REGEXEXTRACT(CELL("address",'Raw Data'!D172),"\$([A-Z]+)\$[0-9]+"))),_xlfn.REGEXEXTRACT(CELL("address",D172), "\$([A-Z]+)\$[0-9]+"))</f>
        <v/>
      </c>
      <c r="E172" s="7" t="str" cm="1">
        <f t="array" aca="1" ref="E172" ca="1">IFERROR(IF(OR('Raw Data'!E172="",LEN(TRIM('Raw Data'!E172))=0),"",IF(AND(ISNUMBER('Raw Data'!E172), IFERROR('Raw Data'!E172 = ROUND('Raw Data'!E172, 2),FALSE)),"",_xlfn.REGEXEXTRACT(CELL("address",E172), "\$([A-Z]+)\$[0-9]+"))),_xlfn.REGEXEXTRACT(CELL("address",E172), "\$([A-Z]+)\$[0-9]+"))</f>
        <v/>
      </c>
      <c r="F172" s="7" t="str" cm="1">
        <f t="array" aca="1" ref="F172" ca="1">IFERROR(IF(OR('Raw Data'!F172="",LEN(TRIM('Raw Data'!F172))=0),"",IF(AND(ISNUMBER('Raw Data'!F172), IFERROR('Raw Data'!F172 = ROUND('Raw Data'!F172, 2),FALSE)),"",_xlfn.REGEXEXTRACT(CELL("address",F172), "\$([A-Z]+)\$[0-9]+"))),_xlfn.REGEXEXTRACT(CELL("address",F172), "\$([A-Z]+)\$[0-9]+"))</f>
        <v/>
      </c>
      <c r="G172" s="7" t="str" cm="1">
        <f t="array" aca="1" ref="G172" ca="1">IFERROR(IF(OR('Raw Data'!G172="",LEN(TRIM('Raw Data'!G172))=0),"",IF(AND(ISNUMBER('Raw Data'!G172), IFERROR('Raw Data'!G172 = ROUND('Raw Data'!G172, 2),FALSE)),"",_xlfn.REGEXEXTRACT(CELL("address",G172), "\$([A-Z]+)\$[0-9]+"))),_xlfn.REGEXEXTRACT(CELL("address",G172), "\$([A-Z]+)\$[0-9]+"))</f>
        <v/>
      </c>
      <c r="H172" s="7" t="str" cm="1">
        <f t="array" aca="1" ref="H172" ca="1">IFERROR(IF(OR('Raw Data'!H172="",LEN(TRIM('Raw Data'!H172))=0),"",IF(AND(ISNUMBER('Raw Data'!H172), IFERROR('Raw Data'!H172 = ROUND('Raw Data'!H172, 2),FALSE)),"",_xlfn.REGEXEXTRACT(CELL("address",H172), "\$([A-Z]+)\$[0-9]+"))),_xlfn.REGEXEXTRACT(CELL("address",H172), "\$([A-Z]+)\$[0-9]+"))</f>
        <v/>
      </c>
      <c r="I172" s="7" t="str" cm="1">
        <f t="array" aca="1" ref="I172" ca="1">IFERROR(IF(OR('Raw Data'!I172="",LEN(TRIM('Raw Data'!I172))=0),"",IF(AND(ISNUMBER('Raw Data'!I172), IFERROR('Raw Data'!I172 = ROUND('Raw Data'!I172, 2),FALSE)),"",_xlfn.REGEXEXTRACT(CELL("address",I172), "\$([A-Z]+)\$[0-9]+"))),_xlfn.REGEXEXTRACT(CELL("address",I172), "\$([A-Z]+)\$[0-9]+"))</f>
        <v/>
      </c>
      <c r="J172" s="7" t="str" cm="1">
        <f t="array" aca="1" ref="J172" ca="1">IFERROR(IF(OR('Raw Data'!J172="",LEN(TRIM('Raw Data'!J172))=0),"",IF(AND(ISNUMBER('Raw Data'!J172), IFERROR('Raw Data'!J172 = ROUND('Raw Data'!J172, 2),FALSE)),"",_xlfn.REGEXEXTRACT(CELL("address",J172), "\$([A-Z]+)\$[0-9]+"))),_xlfn.REGEXEXTRACT(CELL("address",J172), "\$([A-Z]+)\$[0-9]+"))</f>
        <v/>
      </c>
      <c r="K172" s="7" t="str" cm="1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7" t="str" cm="1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7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7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7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7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 cm="1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7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7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7" t="str" cm="1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7" t="str" cm="1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  <c r="Z172" s="7" t="str" cm="1">
        <f t="array" aca="1" ref="Z172" ca="1">IFERROR(IF(OR('Raw Data'!Z172="",LEN(TRIM('Raw Data'!Z172))=0),"",IF(AND(ISNUMBER('Raw Data'!Z172), IFERROR('Raw Data'!Z172 = ROUND('Raw Data'!Z172, 2),FALSE)),"",_xlfn.REGEXEXTRACT(CELL("address",Z172), "\$([A-Z]+)\$[0-9]+"))),_xlfn.REGEXEXTRACT(CELL("address",Z172), "\$([A-Z]+)\$[0-9]+"))</f>
        <v/>
      </c>
      <c r="AA172" s="7" t="str" cm="1">
        <f t="array" aca="1" ref="AA172" ca="1">IFERROR(IF(OR('Raw Data'!AA172="",LEN(TRIM('Raw Data'!AA172))=0),"",IF(AND(ISNUMBER('Raw Data'!AA172), IFERROR('Raw Data'!AA172 = ROUND('Raw Data'!AA172, 2),FALSE)),"",_xlfn.REGEXEXTRACT(CELL("address",AA172), "\$([A-Z]+)\$[0-9]+"))),_xlfn.REGEXEXTRACT(CELL("address",AA172), "\$([A-Z]+)\$[0-9]+"))</f>
        <v/>
      </c>
      <c r="AB172" s="7" t="str" cm="1">
        <f t="array" aca="1" ref="AB172" ca="1">IFERROR(IF(OR('Raw Data'!AB172="",LEN(TRIM('Raw Data'!AB172))=0),"",IF(AND(ISNUMBER('Raw Data'!AB172), IFERROR('Raw Data'!AB172 = ROUND('Raw Data'!AB172, 2),FALSE)),"",_xlfn.REGEXEXTRACT(CELL("address",AB172), "\$([A-Z]+)\$[0-9]+"))),_xlfn.REGEXEXTRACT(CELL("address",AB172), "\$([A-Z]+)\$[0-9]+"))</f>
        <v/>
      </c>
      <c r="AC172" s="7" t="str" cm="1">
        <f t="array" aca="1" ref="AC172" ca="1">IFERROR(IF(OR('Raw Data'!AC172="",LEN(TRIM('Raw Data'!AC172))=0),"",IF(AND(ISNUMBER('Raw Data'!AC172), IFERROR('Raw Data'!AC172 = ROUND('Raw Data'!AC172, 2),FALSE)),"",_xlfn.REGEXEXTRACT(CELL("address",AC172), "\$([A-Z]+)\$[0-9]+"))),_xlfn.REGEXEXTRACT(CELL("address",AC172), "\$([A-Z]+)\$[0-9]+"))</f>
        <v/>
      </c>
      <c r="AD172" s="7" t="str" cm="1">
        <f t="array" aca="1" ref="AD172" ca="1">IFERROR(IF(OR('Raw Data'!AD172="",LEN(TRIM('Raw Data'!AD172))=0),"",IF(AND(ISNUMBER('Raw Data'!AD172), IFERROR('Raw Data'!AD172 = ROUND('Raw Data'!AD172, 2),FALSE)),"",_xlfn.REGEXEXTRACT(CELL("address",AD172), "\$([A-Z]+)\$[0-9]+"))),_xlfn.REGEXEXTRACT(CELL("address",AD172), "\$([A-Z]+)\$[0-9]+"))</f>
        <v/>
      </c>
      <c r="AE172" s="7" t="str" cm="1">
        <f t="array" aca="1" ref="AE172" ca="1">IFERROR(IF(OR('Raw Data'!AE172="",LEN(TRIM('Raw Data'!AE172))=0),"",IF(AND(ISNUMBER('Raw Data'!AE172), IFERROR('Raw Data'!AE172 = ROUND('Raw Data'!AE172, 2),FALSE)),"",_xlfn.REGEXEXTRACT(CELL("address",AE172), "\$([A-Z]+)\$[0-9]+"))),_xlfn.REGEXEXTRACT(CELL("address",AE172), "\$([A-Z]+)\$[0-9]+"))</f>
        <v/>
      </c>
      <c r="AF172" s="7" t="str" cm="1">
        <f t="array" aca="1" ref="AF172" ca="1">IFERROR(IF(OR('Raw Data'!AF172="",LEN(TRIM('Raw Data'!AF172))=0),"",IF(AND(ISNUMBER('Raw Data'!AF172), IFERROR('Raw Data'!AF172 = ROUND('Raw Data'!AF172, 2),FALSE)),"",_xlfn.REGEXEXTRACT(CELL("address",AF172), "\$([A-Z]+)\$[0-9]+"))),_xlfn.REGEXEXTRACT(CELL("address",AF172), "\$([A-Z]+)\$[0-9]+"))</f>
        <v/>
      </c>
      <c r="AG172" s="7" t="str" cm="1">
        <f t="array" aca="1" ref="AG172" ca="1">IFERROR(IF(OR('Raw Data'!AG172="",LEN(TRIM('Raw Data'!AG172))=0),"",IF(AND(ISNUMBER('Raw Data'!AG172), IFERROR('Raw Data'!AG172 = ROUND('Raw Data'!AG172, 2),FALSE)),"",_xlfn.REGEXEXTRACT(CELL("address",AG172), "\$([A-Z]+)\$[0-9]+"))),_xlfn.REGEXEXTRACT(CELL("address",AG172), "\$([A-Z]+)\$[0-9]+"))</f>
        <v/>
      </c>
      <c r="AH172" s="7" t="str" cm="1">
        <f t="array" aca="1" ref="AH172" ca="1">IFERROR(IF(OR('Raw Data'!AH172="",LEN(TRIM('Raw Data'!AH172))=0),"",IF(AND(ISNUMBER('Raw Data'!AH172), IFERROR('Raw Data'!AH172 = ROUND('Raw Data'!AH172, 2),FALSE)),"",_xlfn.REGEXEXTRACT(CELL("address",AH172), "\$([A-Z]+)\$[0-9]+"))),_xlfn.REGEXEXTRACT(CELL("address",AH172), "\$([A-Z]+)\$[0-9]+"))</f>
        <v/>
      </c>
      <c r="AI172" s="7" t="str" cm="1">
        <f t="array" aca="1" ref="AI172" ca="1">IFERROR(IF(OR('Raw Data'!AI172="",LEN(TRIM('Raw Data'!AI172))=0),"",IF(AND(ISNUMBER('Raw Data'!AI172), IFERROR('Raw Data'!AI172 = ROUND('Raw Data'!AI172, 2),FALSE)),"",_xlfn.REGEXEXTRACT(CELL("address",AI172), "\$([A-Z]+)\$[0-9]+"))),_xlfn.REGEXEXTRACT(CELL("address",AI172), "\$([A-Z]+)\$[0-9]+"))</f>
        <v/>
      </c>
      <c r="AJ172" s="7" t="str" cm="1">
        <f t="array" aca="1" ref="AJ172" ca="1">IFERROR(IF(OR('Raw Data'!AJ172="",LEN(TRIM('Raw Data'!AJ172))=0),"",IF(AND(ISNUMBER('Raw Data'!AJ172), IFERROR('Raw Data'!AJ172 = ROUND('Raw Data'!AJ172, 2),FALSE)),"",_xlfn.REGEXEXTRACT(CELL("address",AJ172), "\$([A-Z]+)\$[0-9]+"))),_xlfn.REGEXEXTRACT(CELL("address",AJ172), "\$([A-Z]+)\$[0-9]+"))</f>
        <v/>
      </c>
    </row>
    <row r="173" spans="2:36" x14ac:dyDescent="0.25">
      <c r="B173" s="7" t="str" cm="1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20,LEN('Raw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Data'!D173))=0),"",IF(AND(ISNUMBER('Raw Data'!D173),'Raw Data'!D173&gt;=Configuration!$D$2),"",_xlfn.REGEXEXTRACT(CELL("address",'Raw Data'!D173),"\$([A-Z]+)\$[0-9]+"))),_xlfn.REGEXEXTRACT(CELL("address",D173), "\$([A-Z]+)\$[0-9]+"))</f>
        <v/>
      </c>
      <c r="E173" s="7" t="str" cm="1">
        <f t="array" aca="1" ref="E173" ca="1">IFERROR(IF(OR('Raw Data'!E173="",LEN(TRIM('Raw Data'!E173))=0),"",IF(AND(ISNUMBER('Raw Data'!E173), IFERROR('Raw Data'!E173 = ROUND('Raw Data'!E173, 2),FALSE)),"",_xlfn.REGEXEXTRACT(CELL("address",E173), "\$([A-Z]+)\$[0-9]+"))),_xlfn.REGEXEXTRACT(CELL("address",E173), "\$([A-Z]+)\$[0-9]+"))</f>
        <v/>
      </c>
      <c r="F173" s="7" t="str" cm="1">
        <f t="array" aca="1" ref="F173" ca="1">IFERROR(IF(OR('Raw Data'!F173="",LEN(TRIM('Raw Data'!F173))=0),"",IF(AND(ISNUMBER('Raw Data'!F173), IFERROR('Raw Data'!F173 = ROUND('Raw Data'!F173, 2),FALSE)),"",_xlfn.REGEXEXTRACT(CELL("address",F173), "\$([A-Z]+)\$[0-9]+"))),_xlfn.REGEXEXTRACT(CELL("address",F173), "\$([A-Z]+)\$[0-9]+"))</f>
        <v/>
      </c>
      <c r="G173" s="7" t="str" cm="1">
        <f t="array" aca="1" ref="G173" ca="1">IFERROR(IF(OR('Raw Data'!G173="",LEN(TRIM('Raw Data'!G173))=0),"",IF(AND(ISNUMBER('Raw Data'!G173), IFERROR('Raw Data'!G173 = ROUND('Raw Data'!G173, 2),FALSE)),"",_xlfn.REGEXEXTRACT(CELL("address",G173), "\$([A-Z]+)\$[0-9]+"))),_xlfn.REGEXEXTRACT(CELL("address",G173), "\$([A-Z]+)\$[0-9]+"))</f>
        <v/>
      </c>
      <c r="H173" s="7" t="str" cm="1">
        <f t="array" aca="1" ref="H173" ca="1">IFERROR(IF(OR('Raw Data'!H173="",LEN(TRIM('Raw Data'!H173))=0),"",IF(AND(ISNUMBER('Raw Data'!H173), IFERROR('Raw Data'!H173 = ROUND('Raw Data'!H173, 2),FALSE)),"",_xlfn.REGEXEXTRACT(CELL("address",H173), "\$([A-Z]+)\$[0-9]+"))),_xlfn.REGEXEXTRACT(CELL("address",H173), "\$([A-Z]+)\$[0-9]+"))</f>
        <v/>
      </c>
      <c r="I173" s="7" t="str" cm="1">
        <f t="array" aca="1" ref="I173" ca="1">IFERROR(IF(OR('Raw Data'!I173="",LEN(TRIM('Raw Data'!I173))=0),"",IF(AND(ISNUMBER('Raw Data'!I173), IFERROR('Raw Data'!I173 = ROUND('Raw Data'!I173, 2),FALSE)),"",_xlfn.REGEXEXTRACT(CELL("address",I173), "\$([A-Z]+)\$[0-9]+"))),_xlfn.REGEXEXTRACT(CELL("address",I173), "\$([A-Z]+)\$[0-9]+"))</f>
        <v/>
      </c>
      <c r="J173" s="7" t="str" cm="1">
        <f t="array" aca="1" ref="J173" ca="1">IFERROR(IF(OR('Raw Data'!J173="",LEN(TRIM('Raw Data'!J173))=0),"",IF(AND(ISNUMBER('Raw Data'!J173), IFERROR('Raw Data'!J173 = ROUND('Raw Data'!J173, 2),FALSE)),"",_xlfn.REGEXEXTRACT(CELL("address",J173), "\$([A-Z]+)\$[0-9]+"))),_xlfn.REGEXEXTRACT(CELL("address",J173), "\$([A-Z]+)\$[0-9]+"))</f>
        <v/>
      </c>
      <c r="K173" s="7" t="str" cm="1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7" t="str" cm="1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7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7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7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7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 cm="1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7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7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7" t="str" cm="1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7" t="str" cm="1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  <c r="Z173" s="7" t="str" cm="1">
        <f t="array" aca="1" ref="Z173" ca="1">IFERROR(IF(OR('Raw Data'!Z173="",LEN(TRIM('Raw Data'!Z173))=0),"",IF(AND(ISNUMBER('Raw Data'!Z173), IFERROR('Raw Data'!Z173 = ROUND('Raw Data'!Z173, 2),FALSE)),"",_xlfn.REGEXEXTRACT(CELL("address",Z173), "\$([A-Z]+)\$[0-9]+"))),_xlfn.REGEXEXTRACT(CELL("address",Z173), "\$([A-Z]+)\$[0-9]+"))</f>
        <v/>
      </c>
      <c r="AA173" s="7" t="str" cm="1">
        <f t="array" aca="1" ref="AA173" ca="1">IFERROR(IF(OR('Raw Data'!AA173="",LEN(TRIM('Raw Data'!AA173))=0),"",IF(AND(ISNUMBER('Raw Data'!AA173), IFERROR('Raw Data'!AA173 = ROUND('Raw Data'!AA173, 2),FALSE)),"",_xlfn.REGEXEXTRACT(CELL("address",AA173), "\$([A-Z]+)\$[0-9]+"))),_xlfn.REGEXEXTRACT(CELL("address",AA173), "\$([A-Z]+)\$[0-9]+"))</f>
        <v/>
      </c>
      <c r="AB173" s="7" t="str" cm="1">
        <f t="array" aca="1" ref="AB173" ca="1">IFERROR(IF(OR('Raw Data'!AB173="",LEN(TRIM('Raw Data'!AB173))=0),"",IF(AND(ISNUMBER('Raw Data'!AB173), IFERROR('Raw Data'!AB173 = ROUND('Raw Data'!AB173, 2),FALSE)),"",_xlfn.REGEXEXTRACT(CELL("address",AB173), "\$([A-Z]+)\$[0-9]+"))),_xlfn.REGEXEXTRACT(CELL("address",AB173), "\$([A-Z]+)\$[0-9]+"))</f>
        <v/>
      </c>
      <c r="AC173" s="7" t="str" cm="1">
        <f t="array" aca="1" ref="AC173" ca="1">IFERROR(IF(OR('Raw Data'!AC173="",LEN(TRIM('Raw Data'!AC173))=0),"",IF(AND(ISNUMBER('Raw Data'!AC173), IFERROR('Raw Data'!AC173 = ROUND('Raw Data'!AC173, 2),FALSE)),"",_xlfn.REGEXEXTRACT(CELL("address",AC173), "\$([A-Z]+)\$[0-9]+"))),_xlfn.REGEXEXTRACT(CELL("address",AC173), "\$([A-Z]+)\$[0-9]+"))</f>
        <v/>
      </c>
      <c r="AD173" s="7" t="str" cm="1">
        <f t="array" aca="1" ref="AD173" ca="1">IFERROR(IF(OR('Raw Data'!AD173="",LEN(TRIM('Raw Data'!AD173))=0),"",IF(AND(ISNUMBER('Raw Data'!AD173), IFERROR('Raw Data'!AD173 = ROUND('Raw Data'!AD173, 2),FALSE)),"",_xlfn.REGEXEXTRACT(CELL("address",AD173), "\$([A-Z]+)\$[0-9]+"))),_xlfn.REGEXEXTRACT(CELL("address",AD173), "\$([A-Z]+)\$[0-9]+"))</f>
        <v/>
      </c>
      <c r="AE173" s="7" t="str" cm="1">
        <f t="array" aca="1" ref="AE173" ca="1">IFERROR(IF(OR('Raw Data'!AE173="",LEN(TRIM('Raw Data'!AE173))=0),"",IF(AND(ISNUMBER('Raw Data'!AE173), IFERROR('Raw Data'!AE173 = ROUND('Raw Data'!AE173, 2),FALSE)),"",_xlfn.REGEXEXTRACT(CELL("address",AE173), "\$([A-Z]+)\$[0-9]+"))),_xlfn.REGEXEXTRACT(CELL("address",AE173), "\$([A-Z]+)\$[0-9]+"))</f>
        <v/>
      </c>
      <c r="AF173" s="7" t="str" cm="1">
        <f t="array" aca="1" ref="AF173" ca="1">IFERROR(IF(OR('Raw Data'!AF173="",LEN(TRIM('Raw Data'!AF173))=0),"",IF(AND(ISNUMBER('Raw Data'!AF173), IFERROR('Raw Data'!AF173 = ROUND('Raw Data'!AF173, 2),FALSE)),"",_xlfn.REGEXEXTRACT(CELL("address",AF173), "\$([A-Z]+)\$[0-9]+"))),_xlfn.REGEXEXTRACT(CELL("address",AF173), "\$([A-Z]+)\$[0-9]+"))</f>
        <v/>
      </c>
      <c r="AG173" s="7" t="str" cm="1">
        <f t="array" aca="1" ref="AG173" ca="1">IFERROR(IF(OR('Raw Data'!AG173="",LEN(TRIM('Raw Data'!AG173))=0),"",IF(AND(ISNUMBER('Raw Data'!AG173), IFERROR('Raw Data'!AG173 = ROUND('Raw Data'!AG173, 2),FALSE)),"",_xlfn.REGEXEXTRACT(CELL("address",AG173), "\$([A-Z]+)\$[0-9]+"))),_xlfn.REGEXEXTRACT(CELL("address",AG173), "\$([A-Z]+)\$[0-9]+"))</f>
        <v/>
      </c>
      <c r="AH173" s="7" t="str" cm="1">
        <f t="array" aca="1" ref="AH173" ca="1">IFERROR(IF(OR('Raw Data'!AH173="",LEN(TRIM('Raw Data'!AH173))=0),"",IF(AND(ISNUMBER('Raw Data'!AH173), IFERROR('Raw Data'!AH173 = ROUND('Raw Data'!AH173, 2),FALSE)),"",_xlfn.REGEXEXTRACT(CELL("address",AH173), "\$([A-Z]+)\$[0-9]+"))),_xlfn.REGEXEXTRACT(CELL("address",AH173), "\$([A-Z]+)\$[0-9]+"))</f>
        <v/>
      </c>
      <c r="AI173" s="7" t="str" cm="1">
        <f t="array" aca="1" ref="AI173" ca="1">IFERROR(IF(OR('Raw Data'!AI173="",LEN(TRIM('Raw Data'!AI173))=0),"",IF(AND(ISNUMBER('Raw Data'!AI173), IFERROR('Raw Data'!AI173 = ROUND('Raw Data'!AI173, 2),FALSE)),"",_xlfn.REGEXEXTRACT(CELL("address",AI173), "\$([A-Z]+)\$[0-9]+"))),_xlfn.REGEXEXTRACT(CELL("address",AI173), "\$([A-Z]+)\$[0-9]+"))</f>
        <v/>
      </c>
      <c r="AJ173" s="7" t="str" cm="1">
        <f t="array" aca="1" ref="AJ173" ca="1">IFERROR(IF(OR('Raw Data'!AJ173="",LEN(TRIM('Raw Data'!AJ173))=0),"",IF(AND(ISNUMBER('Raw Data'!AJ173), IFERROR('Raw Data'!AJ173 = ROUND('Raw Data'!AJ173, 2),FALSE)),"",_xlfn.REGEXEXTRACT(CELL("address",AJ173), "\$([A-Z]+)\$[0-9]+"))),_xlfn.REGEXEXTRACT(CELL("address",AJ173), "\$([A-Z]+)\$[0-9]+"))</f>
        <v/>
      </c>
    </row>
    <row r="174" spans="2:36" x14ac:dyDescent="0.25">
      <c r="B174" s="7" t="str" cm="1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20,LEN('Raw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Data'!D174))=0),"",IF(AND(ISNUMBER('Raw Data'!D174),'Raw Data'!D174&gt;=Configuration!$D$2),"",_xlfn.REGEXEXTRACT(CELL("address",'Raw Data'!D174),"\$([A-Z]+)\$[0-9]+"))),_xlfn.REGEXEXTRACT(CELL("address",D174), "\$([A-Z]+)\$[0-9]+"))</f>
        <v/>
      </c>
      <c r="E174" s="7" t="str" cm="1">
        <f t="array" aca="1" ref="E174" ca="1">IFERROR(IF(OR('Raw Data'!E174="",LEN(TRIM('Raw Data'!E174))=0),"",IF(AND(ISNUMBER('Raw Data'!E174), IFERROR('Raw Data'!E174 = ROUND('Raw Data'!E174, 2),FALSE)),"",_xlfn.REGEXEXTRACT(CELL("address",E174), "\$([A-Z]+)\$[0-9]+"))),_xlfn.REGEXEXTRACT(CELL("address",E174), "\$([A-Z]+)\$[0-9]+"))</f>
        <v/>
      </c>
      <c r="F174" s="7" t="str" cm="1">
        <f t="array" aca="1" ref="F174" ca="1">IFERROR(IF(OR('Raw Data'!F174="",LEN(TRIM('Raw Data'!F174))=0),"",IF(AND(ISNUMBER('Raw Data'!F174), IFERROR('Raw Data'!F174 = ROUND('Raw Data'!F174, 2),FALSE)),"",_xlfn.REGEXEXTRACT(CELL("address",F174), "\$([A-Z]+)\$[0-9]+"))),_xlfn.REGEXEXTRACT(CELL("address",F174), "\$([A-Z]+)\$[0-9]+"))</f>
        <v/>
      </c>
      <c r="G174" s="7" t="str" cm="1">
        <f t="array" aca="1" ref="G174" ca="1">IFERROR(IF(OR('Raw Data'!G174="",LEN(TRIM('Raw Data'!G174))=0),"",IF(AND(ISNUMBER('Raw Data'!G174), IFERROR('Raw Data'!G174 = ROUND('Raw Data'!G174, 2),FALSE)),"",_xlfn.REGEXEXTRACT(CELL("address",G174), "\$([A-Z]+)\$[0-9]+"))),_xlfn.REGEXEXTRACT(CELL("address",G174), "\$([A-Z]+)\$[0-9]+"))</f>
        <v/>
      </c>
      <c r="H174" s="7" t="str" cm="1">
        <f t="array" aca="1" ref="H174" ca="1">IFERROR(IF(OR('Raw Data'!H174="",LEN(TRIM('Raw Data'!H174))=0),"",IF(AND(ISNUMBER('Raw Data'!H174), IFERROR('Raw Data'!H174 = ROUND('Raw Data'!H174, 2),FALSE)),"",_xlfn.REGEXEXTRACT(CELL("address",H174), "\$([A-Z]+)\$[0-9]+"))),_xlfn.REGEXEXTRACT(CELL("address",H174), "\$([A-Z]+)\$[0-9]+"))</f>
        <v/>
      </c>
      <c r="I174" s="7" t="str" cm="1">
        <f t="array" aca="1" ref="I174" ca="1">IFERROR(IF(OR('Raw Data'!I174="",LEN(TRIM('Raw Data'!I174))=0),"",IF(AND(ISNUMBER('Raw Data'!I174), IFERROR('Raw Data'!I174 = ROUND('Raw Data'!I174, 2),FALSE)),"",_xlfn.REGEXEXTRACT(CELL("address",I174), "\$([A-Z]+)\$[0-9]+"))),_xlfn.REGEXEXTRACT(CELL("address",I174), "\$([A-Z]+)\$[0-9]+"))</f>
        <v/>
      </c>
      <c r="J174" s="7" t="str" cm="1">
        <f t="array" aca="1" ref="J174" ca="1">IFERROR(IF(OR('Raw Data'!J174="",LEN(TRIM('Raw Data'!J174))=0),"",IF(AND(ISNUMBER('Raw Data'!J174), IFERROR('Raw Data'!J174 = ROUND('Raw Data'!J174, 2),FALSE)),"",_xlfn.REGEXEXTRACT(CELL("address",J174), "\$([A-Z]+)\$[0-9]+"))),_xlfn.REGEXEXTRACT(CELL("address",J174), "\$([A-Z]+)\$[0-9]+"))</f>
        <v/>
      </c>
      <c r="K174" s="7" t="str" cm="1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7" t="str" cm="1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7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7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7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7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 cm="1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7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7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7" t="str" cm="1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7" t="str" cm="1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  <c r="Z174" s="7" t="str" cm="1">
        <f t="array" aca="1" ref="Z174" ca="1">IFERROR(IF(OR('Raw Data'!Z174="",LEN(TRIM('Raw Data'!Z174))=0),"",IF(AND(ISNUMBER('Raw Data'!Z174), IFERROR('Raw Data'!Z174 = ROUND('Raw Data'!Z174, 2),FALSE)),"",_xlfn.REGEXEXTRACT(CELL("address",Z174), "\$([A-Z]+)\$[0-9]+"))),_xlfn.REGEXEXTRACT(CELL("address",Z174), "\$([A-Z]+)\$[0-9]+"))</f>
        <v/>
      </c>
      <c r="AA174" s="7" t="str" cm="1">
        <f t="array" aca="1" ref="AA174" ca="1">IFERROR(IF(OR('Raw Data'!AA174="",LEN(TRIM('Raw Data'!AA174))=0),"",IF(AND(ISNUMBER('Raw Data'!AA174), IFERROR('Raw Data'!AA174 = ROUND('Raw Data'!AA174, 2),FALSE)),"",_xlfn.REGEXEXTRACT(CELL("address",AA174), "\$([A-Z]+)\$[0-9]+"))),_xlfn.REGEXEXTRACT(CELL("address",AA174), "\$([A-Z]+)\$[0-9]+"))</f>
        <v/>
      </c>
      <c r="AB174" s="7" t="str" cm="1">
        <f t="array" aca="1" ref="AB174" ca="1">IFERROR(IF(OR('Raw Data'!AB174="",LEN(TRIM('Raw Data'!AB174))=0),"",IF(AND(ISNUMBER('Raw Data'!AB174), IFERROR('Raw Data'!AB174 = ROUND('Raw Data'!AB174, 2),FALSE)),"",_xlfn.REGEXEXTRACT(CELL("address",AB174), "\$([A-Z]+)\$[0-9]+"))),_xlfn.REGEXEXTRACT(CELL("address",AB174), "\$([A-Z]+)\$[0-9]+"))</f>
        <v/>
      </c>
      <c r="AC174" s="7" t="str" cm="1">
        <f t="array" aca="1" ref="AC174" ca="1">IFERROR(IF(OR('Raw Data'!AC174="",LEN(TRIM('Raw Data'!AC174))=0),"",IF(AND(ISNUMBER('Raw Data'!AC174), IFERROR('Raw Data'!AC174 = ROUND('Raw Data'!AC174, 2),FALSE)),"",_xlfn.REGEXEXTRACT(CELL("address",AC174), "\$([A-Z]+)\$[0-9]+"))),_xlfn.REGEXEXTRACT(CELL("address",AC174), "\$([A-Z]+)\$[0-9]+"))</f>
        <v/>
      </c>
      <c r="AD174" s="7" t="str" cm="1">
        <f t="array" aca="1" ref="AD174" ca="1">IFERROR(IF(OR('Raw Data'!AD174="",LEN(TRIM('Raw Data'!AD174))=0),"",IF(AND(ISNUMBER('Raw Data'!AD174), IFERROR('Raw Data'!AD174 = ROUND('Raw Data'!AD174, 2),FALSE)),"",_xlfn.REGEXEXTRACT(CELL("address",AD174), "\$([A-Z]+)\$[0-9]+"))),_xlfn.REGEXEXTRACT(CELL("address",AD174), "\$([A-Z]+)\$[0-9]+"))</f>
        <v/>
      </c>
      <c r="AE174" s="7" t="str" cm="1">
        <f t="array" aca="1" ref="AE174" ca="1">IFERROR(IF(OR('Raw Data'!AE174="",LEN(TRIM('Raw Data'!AE174))=0),"",IF(AND(ISNUMBER('Raw Data'!AE174), IFERROR('Raw Data'!AE174 = ROUND('Raw Data'!AE174, 2),FALSE)),"",_xlfn.REGEXEXTRACT(CELL("address",AE174), "\$([A-Z]+)\$[0-9]+"))),_xlfn.REGEXEXTRACT(CELL("address",AE174), "\$([A-Z]+)\$[0-9]+"))</f>
        <v/>
      </c>
      <c r="AF174" s="7" t="str" cm="1">
        <f t="array" aca="1" ref="AF174" ca="1">IFERROR(IF(OR('Raw Data'!AF174="",LEN(TRIM('Raw Data'!AF174))=0),"",IF(AND(ISNUMBER('Raw Data'!AF174), IFERROR('Raw Data'!AF174 = ROUND('Raw Data'!AF174, 2),FALSE)),"",_xlfn.REGEXEXTRACT(CELL("address",AF174), "\$([A-Z]+)\$[0-9]+"))),_xlfn.REGEXEXTRACT(CELL("address",AF174), "\$([A-Z]+)\$[0-9]+"))</f>
        <v/>
      </c>
      <c r="AG174" s="7" t="str" cm="1">
        <f t="array" aca="1" ref="AG174" ca="1">IFERROR(IF(OR('Raw Data'!AG174="",LEN(TRIM('Raw Data'!AG174))=0),"",IF(AND(ISNUMBER('Raw Data'!AG174), IFERROR('Raw Data'!AG174 = ROUND('Raw Data'!AG174, 2),FALSE)),"",_xlfn.REGEXEXTRACT(CELL("address",AG174), "\$([A-Z]+)\$[0-9]+"))),_xlfn.REGEXEXTRACT(CELL("address",AG174), "\$([A-Z]+)\$[0-9]+"))</f>
        <v/>
      </c>
      <c r="AH174" s="7" t="str" cm="1">
        <f t="array" aca="1" ref="AH174" ca="1">IFERROR(IF(OR('Raw Data'!AH174="",LEN(TRIM('Raw Data'!AH174))=0),"",IF(AND(ISNUMBER('Raw Data'!AH174), IFERROR('Raw Data'!AH174 = ROUND('Raw Data'!AH174, 2),FALSE)),"",_xlfn.REGEXEXTRACT(CELL("address",AH174), "\$([A-Z]+)\$[0-9]+"))),_xlfn.REGEXEXTRACT(CELL("address",AH174), "\$([A-Z]+)\$[0-9]+"))</f>
        <v/>
      </c>
      <c r="AI174" s="7" t="str" cm="1">
        <f t="array" aca="1" ref="AI174" ca="1">IFERROR(IF(OR('Raw Data'!AI174="",LEN(TRIM('Raw Data'!AI174))=0),"",IF(AND(ISNUMBER('Raw Data'!AI174), IFERROR('Raw Data'!AI174 = ROUND('Raw Data'!AI174, 2),FALSE)),"",_xlfn.REGEXEXTRACT(CELL("address",AI174), "\$([A-Z]+)\$[0-9]+"))),_xlfn.REGEXEXTRACT(CELL("address",AI174), "\$([A-Z]+)\$[0-9]+"))</f>
        <v/>
      </c>
      <c r="AJ174" s="7" t="str" cm="1">
        <f t="array" aca="1" ref="AJ174" ca="1">IFERROR(IF(OR('Raw Data'!AJ174="",LEN(TRIM('Raw Data'!AJ174))=0),"",IF(AND(ISNUMBER('Raw Data'!AJ174), IFERROR('Raw Data'!AJ174 = ROUND('Raw Data'!AJ174, 2),FALSE)),"",_xlfn.REGEXEXTRACT(CELL("address",AJ174), "\$([A-Z]+)\$[0-9]+"))),_xlfn.REGEXEXTRACT(CELL("address",AJ174), "\$([A-Z]+)\$[0-9]+"))</f>
        <v/>
      </c>
    </row>
    <row r="175" spans="2:36" x14ac:dyDescent="0.25">
      <c r="B175" s="7" t="str" cm="1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20,LEN('Raw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Data'!D175))=0),"",IF(AND(ISNUMBER('Raw Data'!D175),'Raw Data'!D175&gt;=Configuration!$D$2),"",_xlfn.REGEXEXTRACT(CELL("address",'Raw Data'!D175),"\$([A-Z]+)\$[0-9]+"))),_xlfn.REGEXEXTRACT(CELL("address",D175), "\$([A-Z]+)\$[0-9]+"))</f>
        <v/>
      </c>
      <c r="E175" s="7" t="str" cm="1">
        <f t="array" aca="1" ref="E175" ca="1">IFERROR(IF(OR('Raw Data'!E175="",LEN(TRIM('Raw Data'!E175))=0),"",IF(AND(ISNUMBER('Raw Data'!E175), IFERROR('Raw Data'!E175 = ROUND('Raw Data'!E175, 2),FALSE)),"",_xlfn.REGEXEXTRACT(CELL("address",E175), "\$([A-Z]+)\$[0-9]+"))),_xlfn.REGEXEXTRACT(CELL("address",E175), "\$([A-Z]+)\$[0-9]+"))</f>
        <v/>
      </c>
      <c r="F175" s="7" t="str" cm="1">
        <f t="array" aca="1" ref="F175" ca="1">IFERROR(IF(OR('Raw Data'!F175="",LEN(TRIM('Raw Data'!F175))=0),"",IF(AND(ISNUMBER('Raw Data'!F175), IFERROR('Raw Data'!F175 = ROUND('Raw Data'!F175, 2),FALSE)),"",_xlfn.REGEXEXTRACT(CELL("address",F175), "\$([A-Z]+)\$[0-9]+"))),_xlfn.REGEXEXTRACT(CELL("address",F175), "\$([A-Z]+)\$[0-9]+"))</f>
        <v/>
      </c>
      <c r="G175" s="7" t="str" cm="1">
        <f t="array" aca="1" ref="G175" ca="1">IFERROR(IF(OR('Raw Data'!G175="",LEN(TRIM('Raw Data'!G175))=0),"",IF(AND(ISNUMBER('Raw Data'!G175), IFERROR('Raw Data'!G175 = ROUND('Raw Data'!G175, 2),FALSE)),"",_xlfn.REGEXEXTRACT(CELL("address",G175), "\$([A-Z]+)\$[0-9]+"))),_xlfn.REGEXEXTRACT(CELL("address",G175), "\$([A-Z]+)\$[0-9]+"))</f>
        <v/>
      </c>
      <c r="H175" s="7" t="str" cm="1">
        <f t="array" aca="1" ref="H175" ca="1">IFERROR(IF(OR('Raw Data'!H175="",LEN(TRIM('Raw Data'!H175))=0),"",IF(AND(ISNUMBER('Raw Data'!H175), IFERROR('Raw Data'!H175 = ROUND('Raw Data'!H175, 2),FALSE)),"",_xlfn.REGEXEXTRACT(CELL("address",H175), "\$([A-Z]+)\$[0-9]+"))),_xlfn.REGEXEXTRACT(CELL("address",H175), "\$([A-Z]+)\$[0-9]+"))</f>
        <v/>
      </c>
      <c r="I175" s="7" t="str" cm="1">
        <f t="array" aca="1" ref="I175" ca="1">IFERROR(IF(OR('Raw Data'!I175="",LEN(TRIM('Raw Data'!I175))=0),"",IF(AND(ISNUMBER('Raw Data'!I175), IFERROR('Raw Data'!I175 = ROUND('Raw Data'!I175, 2),FALSE)),"",_xlfn.REGEXEXTRACT(CELL("address",I175), "\$([A-Z]+)\$[0-9]+"))),_xlfn.REGEXEXTRACT(CELL("address",I175), "\$([A-Z]+)\$[0-9]+"))</f>
        <v/>
      </c>
      <c r="J175" s="7" t="str" cm="1">
        <f t="array" aca="1" ref="J175" ca="1">IFERROR(IF(OR('Raw Data'!J175="",LEN(TRIM('Raw Data'!J175))=0),"",IF(AND(ISNUMBER('Raw Data'!J175), IFERROR('Raw Data'!J175 = ROUND('Raw Data'!J175, 2),FALSE)),"",_xlfn.REGEXEXTRACT(CELL("address",J175), "\$([A-Z]+)\$[0-9]+"))),_xlfn.REGEXEXTRACT(CELL("address",J175), "\$([A-Z]+)\$[0-9]+"))</f>
        <v/>
      </c>
      <c r="K175" s="7" t="str" cm="1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7" t="str" cm="1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7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7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7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7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 cm="1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7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7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7" t="str" cm="1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7" t="str" cm="1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  <c r="Z175" s="7" t="str" cm="1">
        <f t="array" aca="1" ref="Z175" ca="1">IFERROR(IF(OR('Raw Data'!Z175="",LEN(TRIM('Raw Data'!Z175))=0),"",IF(AND(ISNUMBER('Raw Data'!Z175), IFERROR('Raw Data'!Z175 = ROUND('Raw Data'!Z175, 2),FALSE)),"",_xlfn.REGEXEXTRACT(CELL("address",Z175), "\$([A-Z]+)\$[0-9]+"))),_xlfn.REGEXEXTRACT(CELL("address",Z175), "\$([A-Z]+)\$[0-9]+"))</f>
        <v/>
      </c>
      <c r="AA175" s="7" t="str" cm="1">
        <f t="array" aca="1" ref="AA175" ca="1">IFERROR(IF(OR('Raw Data'!AA175="",LEN(TRIM('Raw Data'!AA175))=0),"",IF(AND(ISNUMBER('Raw Data'!AA175), IFERROR('Raw Data'!AA175 = ROUND('Raw Data'!AA175, 2),FALSE)),"",_xlfn.REGEXEXTRACT(CELL("address",AA175), "\$([A-Z]+)\$[0-9]+"))),_xlfn.REGEXEXTRACT(CELL("address",AA175), "\$([A-Z]+)\$[0-9]+"))</f>
        <v/>
      </c>
      <c r="AB175" s="7" t="str" cm="1">
        <f t="array" aca="1" ref="AB175" ca="1">IFERROR(IF(OR('Raw Data'!AB175="",LEN(TRIM('Raw Data'!AB175))=0),"",IF(AND(ISNUMBER('Raw Data'!AB175), IFERROR('Raw Data'!AB175 = ROUND('Raw Data'!AB175, 2),FALSE)),"",_xlfn.REGEXEXTRACT(CELL("address",AB175), "\$([A-Z]+)\$[0-9]+"))),_xlfn.REGEXEXTRACT(CELL("address",AB175), "\$([A-Z]+)\$[0-9]+"))</f>
        <v/>
      </c>
      <c r="AC175" s="7" t="str" cm="1">
        <f t="array" aca="1" ref="AC175" ca="1">IFERROR(IF(OR('Raw Data'!AC175="",LEN(TRIM('Raw Data'!AC175))=0),"",IF(AND(ISNUMBER('Raw Data'!AC175), IFERROR('Raw Data'!AC175 = ROUND('Raw Data'!AC175, 2),FALSE)),"",_xlfn.REGEXEXTRACT(CELL("address",AC175), "\$([A-Z]+)\$[0-9]+"))),_xlfn.REGEXEXTRACT(CELL("address",AC175), "\$([A-Z]+)\$[0-9]+"))</f>
        <v/>
      </c>
      <c r="AD175" s="7" t="str" cm="1">
        <f t="array" aca="1" ref="AD175" ca="1">IFERROR(IF(OR('Raw Data'!AD175="",LEN(TRIM('Raw Data'!AD175))=0),"",IF(AND(ISNUMBER('Raw Data'!AD175), IFERROR('Raw Data'!AD175 = ROUND('Raw Data'!AD175, 2),FALSE)),"",_xlfn.REGEXEXTRACT(CELL("address",AD175), "\$([A-Z]+)\$[0-9]+"))),_xlfn.REGEXEXTRACT(CELL("address",AD175), "\$([A-Z]+)\$[0-9]+"))</f>
        <v/>
      </c>
      <c r="AE175" s="7" t="str" cm="1">
        <f t="array" aca="1" ref="AE175" ca="1">IFERROR(IF(OR('Raw Data'!AE175="",LEN(TRIM('Raw Data'!AE175))=0),"",IF(AND(ISNUMBER('Raw Data'!AE175), IFERROR('Raw Data'!AE175 = ROUND('Raw Data'!AE175, 2),FALSE)),"",_xlfn.REGEXEXTRACT(CELL("address",AE175), "\$([A-Z]+)\$[0-9]+"))),_xlfn.REGEXEXTRACT(CELL("address",AE175), "\$([A-Z]+)\$[0-9]+"))</f>
        <v/>
      </c>
      <c r="AF175" s="7" t="str" cm="1">
        <f t="array" aca="1" ref="AF175" ca="1">IFERROR(IF(OR('Raw Data'!AF175="",LEN(TRIM('Raw Data'!AF175))=0),"",IF(AND(ISNUMBER('Raw Data'!AF175), IFERROR('Raw Data'!AF175 = ROUND('Raw Data'!AF175, 2),FALSE)),"",_xlfn.REGEXEXTRACT(CELL("address",AF175), "\$([A-Z]+)\$[0-9]+"))),_xlfn.REGEXEXTRACT(CELL("address",AF175), "\$([A-Z]+)\$[0-9]+"))</f>
        <v/>
      </c>
      <c r="AG175" s="7" t="str" cm="1">
        <f t="array" aca="1" ref="AG175" ca="1">IFERROR(IF(OR('Raw Data'!AG175="",LEN(TRIM('Raw Data'!AG175))=0),"",IF(AND(ISNUMBER('Raw Data'!AG175), IFERROR('Raw Data'!AG175 = ROUND('Raw Data'!AG175, 2),FALSE)),"",_xlfn.REGEXEXTRACT(CELL("address",AG175), "\$([A-Z]+)\$[0-9]+"))),_xlfn.REGEXEXTRACT(CELL("address",AG175), "\$([A-Z]+)\$[0-9]+"))</f>
        <v/>
      </c>
      <c r="AH175" s="7" t="str" cm="1">
        <f t="array" aca="1" ref="AH175" ca="1">IFERROR(IF(OR('Raw Data'!AH175="",LEN(TRIM('Raw Data'!AH175))=0),"",IF(AND(ISNUMBER('Raw Data'!AH175), IFERROR('Raw Data'!AH175 = ROUND('Raw Data'!AH175, 2),FALSE)),"",_xlfn.REGEXEXTRACT(CELL("address",AH175), "\$([A-Z]+)\$[0-9]+"))),_xlfn.REGEXEXTRACT(CELL("address",AH175), "\$([A-Z]+)\$[0-9]+"))</f>
        <v/>
      </c>
      <c r="AI175" s="7" t="str" cm="1">
        <f t="array" aca="1" ref="AI175" ca="1">IFERROR(IF(OR('Raw Data'!AI175="",LEN(TRIM('Raw Data'!AI175))=0),"",IF(AND(ISNUMBER('Raw Data'!AI175), IFERROR('Raw Data'!AI175 = ROUND('Raw Data'!AI175, 2),FALSE)),"",_xlfn.REGEXEXTRACT(CELL("address",AI175), "\$([A-Z]+)\$[0-9]+"))),_xlfn.REGEXEXTRACT(CELL("address",AI175), "\$([A-Z]+)\$[0-9]+"))</f>
        <v/>
      </c>
      <c r="AJ175" s="7" t="str" cm="1">
        <f t="array" aca="1" ref="AJ175" ca="1">IFERROR(IF(OR('Raw Data'!AJ175="",LEN(TRIM('Raw Data'!AJ175))=0),"",IF(AND(ISNUMBER('Raw Data'!AJ175), IFERROR('Raw Data'!AJ175 = ROUND('Raw Data'!AJ175, 2),FALSE)),"",_xlfn.REGEXEXTRACT(CELL("address",AJ175), "\$([A-Z]+)\$[0-9]+"))),_xlfn.REGEXEXTRACT(CELL("address",AJ175), "\$([A-Z]+)\$[0-9]+"))</f>
        <v/>
      </c>
    </row>
    <row r="176" spans="2:36" x14ac:dyDescent="0.25">
      <c r="B176" s="7" t="str" cm="1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20,LEN('Raw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Data'!D176))=0),"",IF(AND(ISNUMBER('Raw Data'!D176),'Raw Data'!D176&gt;=Configuration!$D$2),"",_xlfn.REGEXEXTRACT(CELL("address",'Raw Data'!D176),"\$([A-Z]+)\$[0-9]+"))),_xlfn.REGEXEXTRACT(CELL("address",D176), "\$([A-Z]+)\$[0-9]+"))</f>
        <v/>
      </c>
      <c r="E176" s="7" t="str" cm="1">
        <f t="array" aca="1" ref="E176" ca="1">IFERROR(IF(OR('Raw Data'!E176="",LEN(TRIM('Raw Data'!E176))=0),"",IF(AND(ISNUMBER('Raw Data'!E176), IFERROR('Raw Data'!E176 = ROUND('Raw Data'!E176, 2),FALSE)),"",_xlfn.REGEXEXTRACT(CELL("address",E176), "\$([A-Z]+)\$[0-9]+"))),_xlfn.REGEXEXTRACT(CELL("address",E176), "\$([A-Z]+)\$[0-9]+"))</f>
        <v/>
      </c>
      <c r="F176" s="7" t="str" cm="1">
        <f t="array" aca="1" ref="F176" ca="1">IFERROR(IF(OR('Raw Data'!F176="",LEN(TRIM('Raw Data'!F176))=0),"",IF(AND(ISNUMBER('Raw Data'!F176), IFERROR('Raw Data'!F176 = ROUND('Raw Data'!F176, 2),FALSE)),"",_xlfn.REGEXEXTRACT(CELL("address",F176), "\$([A-Z]+)\$[0-9]+"))),_xlfn.REGEXEXTRACT(CELL("address",F176), "\$([A-Z]+)\$[0-9]+"))</f>
        <v/>
      </c>
      <c r="G176" s="7" t="str" cm="1">
        <f t="array" aca="1" ref="G176" ca="1">IFERROR(IF(OR('Raw Data'!G176="",LEN(TRIM('Raw Data'!G176))=0),"",IF(AND(ISNUMBER('Raw Data'!G176), IFERROR('Raw Data'!G176 = ROUND('Raw Data'!G176, 2),FALSE)),"",_xlfn.REGEXEXTRACT(CELL("address",G176), "\$([A-Z]+)\$[0-9]+"))),_xlfn.REGEXEXTRACT(CELL("address",G176), "\$([A-Z]+)\$[0-9]+"))</f>
        <v/>
      </c>
      <c r="H176" s="7" t="str" cm="1">
        <f t="array" aca="1" ref="H176" ca="1">IFERROR(IF(OR('Raw Data'!H176="",LEN(TRIM('Raw Data'!H176))=0),"",IF(AND(ISNUMBER('Raw Data'!H176), IFERROR('Raw Data'!H176 = ROUND('Raw Data'!H176, 2),FALSE)),"",_xlfn.REGEXEXTRACT(CELL("address",H176), "\$([A-Z]+)\$[0-9]+"))),_xlfn.REGEXEXTRACT(CELL("address",H176), "\$([A-Z]+)\$[0-9]+"))</f>
        <v/>
      </c>
      <c r="I176" s="7" t="str" cm="1">
        <f t="array" aca="1" ref="I176" ca="1">IFERROR(IF(OR('Raw Data'!I176="",LEN(TRIM('Raw Data'!I176))=0),"",IF(AND(ISNUMBER('Raw Data'!I176), IFERROR('Raw Data'!I176 = ROUND('Raw Data'!I176, 2),FALSE)),"",_xlfn.REGEXEXTRACT(CELL("address",I176), "\$([A-Z]+)\$[0-9]+"))),_xlfn.REGEXEXTRACT(CELL("address",I176), "\$([A-Z]+)\$[0-9]+"))</f>
        <v/>
      </c>
      <c r="J176" s="7" t="str" cm="1">
        <f t="array" aca="1" ref="J176" ca="1">IFERROR(IF(OR('Raw Data'!J176="",LEN(TRIM('Raw Data'!J176))=0),"",IF(AND(ISNUMBER('Raw Data'!J176), IFERROR('Raw Data'!J176 = ROUND('Raw Data'!J176, 2),FALSE)),"",_xlfn.REGEXEXTRACT(CELL("address",J176), "\$([A-Z]+)\$[0-9]+"))),_xlfn.REGEXEXTRACT(CELL("address",J176), "\$([A-Z]+)\$[0-9]+"))</f>
        <v/>
      </c>
      <c r="K176" s="7" t="str" cm="1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7" t="str" cm="1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7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7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7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7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 cm="1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7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7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7" t="str" cm="1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7" t="str" cm="1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  <c r="Z176" s="7" t="str" cm="1">
        <f t="array" aca="1" ref="Z176" ca="1">IFERROR(IF(OR('Raw Data'!Z176="",LEN(TRIM('Raw Data'!Z176))=0),"",IF(AND(ISNUMBER('Raw Data'!Z176), IFERROR('Raw Data'!Z176 = ROUND('Raw Data'!Z176, 2),FALSE)),"",_xlfn.REGEXEXTRACT(CELL("address",Z176), "\$([A-Z]+)\$[0-9]+"))),_xlfn.REGEXEXTRACT(CELL("address",Z176), "\$([A-Z]+)\$[0-9]+"))</f>
        <v/>
      </c>
      <c r="AA176" s="7" t="str" cm="1">
        <f t="array" aca="1" ref="AA176" ca="1">IFERROR(IF(OR('Raw Data'!AA176="",LEN(TRIM('Raw Data'!AA176))=0),"",IF(AND(ISNUMBER('Raw Data'!AA176), IFERROR('Raw Data'!AA176 = ROUND('Raw Data'!AA176, 2),FALSE)),"",_xlfn.REGEXEXTRACT(CELL("address",AA176), "\$([A-Z]+)\$[0-9]+"))),_xlfn.REGEXEXTRACT(CELL("address",AA176), "\$([A-Z]+)\$[0-9]+"))</f>
        <v/>
      </c>
      <c r="AB176" s="7" t="str" cm="1">
        <f t="array" aca="1" ref="AB176" ca="1">IFERROR(IF(OR('Raw Data'!AB176="",LEN(TRIM('Raw Data'!AB176))=0),"",IF(AND(ISNUMBER('Raw Data'!AB176), IFERROR('Raw Data'!AB176 = ROUND('Raw Data'!AB176, 2),FALSE)),"",_xlfn.REGEXEXTRACT(CELL("address",AB176), "\$([A-Z]+)\$[0-9]+"))),_xlfn.REGEXEXTRACT(CELL("address",AB176), "\$([A-Z]+)\$[0-9]+"))</f>
        <v/>
      </c>
      <c r="AC176" s="7" t="str" cm="1">
        <f t="array" aca="1" ref="AC176" ca="1">IFERROR(IF(OR('Raw Data'!AC176="",LEN(TRIM('Raw Data'!AC176))=0),"",IF(AND(ISNUMBER('Raw Data'!AC176), IFERROR('Raw Data'!AC176 = ROUND('Raw Data'!AC176, 2),FALSE)),"",_xlfn.REGEXEXTRACT(CELL("address",AC176), "\$([A-Z]+)\$[0-9]+"))),_xlfn.REGEXEXTRACT(CELL("address",AC176), "\$([A-Z]+)\$[0-9]+"))</f>
        <v/>
      </c>
      <c r="AD176" s="7" t="str" cm="1">
        <f t="array" aca="1" ref="AD176" ca="1">IFERROR(IF(OR('Raw Data'!AD176="",LEN(TRIM('Raw Data'!AD176))=0),"",IF(AND(ISNUMBER('Raw Data'!AD176), IFERROR('Raw Data'!AD176 = ROUND('Raw Data'!AD176, 2),FALSE)),"",_xlfn.REGEXEXTRACT(CELL("address",AD176), "\$([A-Z]+)\$[0-9]+"))),_xlfn.REGEXEXTRACT(CELL("address",AD176), "\$([A-Z]+)\$[0-9]+"))</f>
        <v/>
      </c>
      <c r="AE176" s="7" t="str" cm="1">
        <f t="array" aca="1" ref="AE176" ca="1">IFERROR(IF(OR('Raw Data'!AE176="",LEN(TRIM('Raw Data'!AE176))=0),"",IF(AND(ISNUMBER('Raw Data'!AE176), IFERROR('Raw Data'!AE176 = ROUND('Raw Data'!AE176, 2),FALSE)),"",_xlfn.REGEXEXTRACT(CELL("address",AE176), "\$([A-Z]+)\$[0-9]+"))),_xlfn.REGEXEXTRACT(CELL("address",AE176), "\$([A-Z]+)\$[0-9]+"))</f>
        <v/>
      </c>
      <c r="AF176" s="7" t="str" cm="1">
        <f t="array" aca="1" ref="AF176" ca="1">IFERROR(IF(OR('Raw Data'!AF176="",LEN(TRIM('Raw Data'!AF176))=0),"",IF(AND(ISNUMBER('Raw Data'!AF176), IFERROR('Raw Data'!AF176 = ROUND('Raw Data'!AF176, 2),FALSE)),"",_xlfn.REGEXEXTRACT(CELL("address",AF176), "\$([A-Z]+)\$[0-9]+"))),_xlfn.REGEXEXTRACT(CELL("address",AF176), "\$([A-Z]+)\$[0-9]+"))</f>
        <v/>
      </c>
      <c r="AG176" s="7" t="str" cm="1">
        <f t="array" aca="1" ref="AG176" ca="1">IFERROR(IF(OR('Raw Data'!AG176="",LEN(TRIM('Raw Data'!AG176))=0),"",IF(AND(ISNUMBER('Raw Data'!AG176), IFERROR('Raw Data'!AG176 = ROUND('Raw Data'!AG176, 2),FALSE)),"",_xlfn.REGEXEXTRACT(CELL("address",AG176), "\$([A-Z]+)\$[0-9]+"))),_xlfn.REGEXEXTRACT(CELL("address",AG176), "\$([A-Z]+)\$[0-9]+"))</f>
        <v/>
      </c>
      <c r="AH176" s="7" t="str" cm="1">
        <f t="array" aca="1" ref="AH176" ca="1">IFERROR(IF(OR('Raw Data'!AH176="",LEN(TRIM('Raw Data'!AH176))=0),"",IF(AND(ISNUMBER('Raw Data'!AH176), IFERROR('Raw Data'!AH176 = ROUND('Raw Data'!AH176, 2),FALSE)),"",_xlfn.REGEXEXTRACT(CELL("address",AH176), "\$([A-Z]+)\$[0-9]+"))),_xlfn.REGEXEXTRACT(CELL("address",AH176), "\$([A-Z]+)\$[0-9]+"))</f>
        <v/>
      </c>
      <c r="AI176" s="7" t="str" cm="1">
        <f t="array" aca="1" ref="AI176" ca="1">IFERROR(IF(OR('Raw Data'!AI176="",LEN(TRIM('Raw Data'!AI176))=0),"",IF(AND(ISNUMBER('Raw Data'!AI176), IFERROR('Raw Data'!AI176 = ROUND('Raw Data'!AI176, 2),FALSE)),"",_xlfn.REGEXEXTRACT(CELL("address",AI176), "\$([A-Z]+)\$[0-9]+"))),_xlfn.REGEXEXTRACT(CELL("address",AI176), "\$([A-Z]+)\$[0-9]+"))</f>
        <v/>
      </c>
      <c r="AJ176" s="7" t="str" cm="1">
        <f t="array" aca="1" ref="AJ176" ca="1">IFERROR(IF(OR('Raw Data'!AJ176="",LEN(TRIM('Raw Data'!AJ176))=0),"",IF(AND(ISNUMBER('Raw Data'!AJ176), IFERROR('Raw Data'!AJ176 = ROUND('Raw Data'!AJ176, 2),FALSE)),"",_xlfn.REGEXEXTRACT(CELL("address",AJ176), "\$([A-Z]+)\$[0-9]+"))),_xlfn.REGEXEXTRACT(CELL("address",AJ176), "\$([A-Z]+)\$[0-9]+"))</f>
        <v/>
      </c>
    </row>
    <row r="177" spans="2:36" x14ac:dyDescent="0.25">
      <c r="B177" s="7" t="str" cm="1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20,LEN('Raw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Data'!D177))=0),"",IF(AND(ISNUMBER('Raw Data'!D177),'Raw Data'!D177&gt;=Configuration!$D$2),"",_xlfn.REGEXEXTRACT(CELL("address",'Raw Data'!D177),"\$([A-Z]+)\$[0-9]+"))),_xlfn.REGEXEXTRACT(CELL("address",D177), "\$([A-Z]+)\$[0-9]+"))</f>
        <v/>
      </c>
      <c r="E177" s="7" t="str" cm="1">
        <f t="array" aca="1" ref="E177" ca="1">IFERROR(IF(OR('Raw Data'!E177="",LEN(TRIM('Raw Data'!E177))=0),"",IF(AND(ISNUMBER('Raw Data'!E177), IFERROR('Raw Data'!E177 = ROUND('Raw Data'!E177, 2),FALSE)),"",_xlfn.REGEXEXTRACT(CELL("address",E177), "\$([A-Z]+)\$[0-9]+"))),_xlfn.REGEXEXTRACT(CELL("address",E177), "\$([A-Z]+)\$[0-9]+"))</f>
        <v/>
      </c>
      <c r="F177" s="7" t="str" cm="1">
        <f t="array" aca="1" ref="F177" ca="1">IFERROR(IF(OR('Raw Data'!F177="",LEN(TRIM('Raw Data'!F177))=0),"",IF(AND(ISNUMBER('Raw Data'!F177), IFERROR('Raw Data'!F177 = ROUND('Raw Data'!F177, 2),FALSE)),"",_xlfn.REGEXEXTRACT(CELL("address",F177), "\$([A-Z]+)\$[0-9]+"))),_xlfn.REGEXEXTRACT(CELL("address",F177), "\$([A-Z]+)\$[0-9]+"))</f>
        <v/>
      </c>
      <c r="G177" s="7" t="str" cm="1">
        <f t="array" aca="1" ref="G177" ca="1">IFERROR(IF(OR('Raw Data'!G177="",LEN(TRIM('Raw Data'!G177))=0),"",IF(AND(ISNUMBER('Raw Data'!G177), IFERROR('Raw Data'!G177 = ROUND('Raw Data'!G177, 2),FALSE)),"",_xlfn.REGEXEXTRACT(CELL("address",G177), "\$([A-Z]+)\$[0-9]+"))),_xlfn.REGEXEXTRACT(CELL("address",G177), "\$([A-Z]+)\$[0-9]+"))</f>
        <v/>
      </c>
      <c r="H177" s="7" t="str" cm="1">
        <f t="array" aca="1" ref="H177" ca="1">IFERROR(IF(OR('Raw Data'!H177="",LEN(TRIM('Raw Data'!H177))=0),"",IF(AND(ISNUMBER('Raw Data'!H177), IFERROR('Raw Data'!H177 = ROUND('Raw Data'!H177, 2),FALSE)),"",_xlfn.REGEXEXTRACT(CELL("address",H177), "\$([A-Z]+)\$[0-9]+"))),_xlfn.REGEXEXTRACT(CELL("address",H177), "\$([A-Z]+)\$[0-9]+"))</f>
        <v/>
      </c>
      <c r="I177" s="7" t="str" cm="1">
        <f t="array" aca="1" ref="I177" ca="1">IFERROR(IF(OR('Raw Data'!I177="",LEN(TRIM('Raw Data'!I177))=0),"",IF(AND(ISNUMBER('Raw Data'!I177), IFERROR('Raw Data'!I177 = ROUND('Raw Data'!I177, 2),FALSE)),"",_xlfn.REGEXEXTRACT(CELL("address",I177), "\$([A-Z]+)\$[0-9]+"))),_xlfn.REGEXEXTRACT(CELL("address",I177), "\$([A-Z]+)\$[0-9]+"))</f>
        <v/>
      </c>
      <c r="J177" s="7" t="str" cm="1">
        <f t="array" aca="1" ref="J177" ca="1">IFERROR(IF(OR('Raw Data'!J177="",LEN(TRIM('Raw Data'!J177))=0),"",IF(AND(ISNUMBER('Raw Data'!J177), IFERROR('Raw Data'!J177 = ROUND('Raw Data'!J177, 2),FALSE)),"",_xlfn.REGEXEXTRACT(CELL("address",J177), "\$([A-Z]+)\$[0-9]+"))),_xlfn.REGEXEXTRACT(CELL("address",J177), "\$([A-Z]+)\$[0-9]+"))</f>
        <v/>
      </c>
      <c r="K177" s="7" t="str" cm="1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7" t="str" cm="1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7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7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7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7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 cm="1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7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7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7" t="str" cm="1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7" t="str" cm="1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  <c r="Z177" s="7" t="str" cm="1">
        <f t="array" aca="1" ref="Z177" ca="1">IFERROR(IF(OR('Raw Data'!Z177="",LEN(TRIM('Raw Data'!Z177))=0),"",IF(AND(ISNUMBER('Raw Data'!Z177), IFERROR('Raw Data'!Z177 = ROUND('Raw Data'!Z177, 2),FALSE)),"",_xlfn.REGEXEXTRACT(CELL("address",Z177), "\$([A-Z]+)\$[0-9]+"))),_xlfn.REGEXEXTRACT(CELL("address",Z177), "\$([A-Z]+)\$[0-9]+"))</f>
        <v/>
      </c>
      <c r="AA177" s="7" t="str" cm="1">
        <f t="array" aca="1" ref="AA177" ca="1">IFERROR(IF(OR('Raw Data'!AA177="",LEN(TRIM('Raw Data'!AA177))=0),"",IF(AND(ISNUMBER('Raw Data'!AA177), IFERROR('Raw Data'!AA177 = ROUND('Raw Data'!AA177, 2),FALSE)),"",_xlfn.REGEXEXTRACT(CELL("address",AA177), "\$([A-Z]+)\$[0-9]+"))),_xlfn.REGEXEXTRACT(CELL("address",AA177), "\$([A-Z]+)\$[0-9]+"))</f>
        <v/>
      </c>
      <c r="AB177" s="7" t="str" cm="1">
        <f t="array" aca="1" ref="AB177" ca="1">IFERROR(IF(OR('Raw Data'!AB177="",LEN(TRIM('Raw Data'!AB177))=0),"",IF(AND(ISNUMBER('Raw Data'!AB177), IFERROR('Raw Data'!AB177 = ROUND('Raw Data'!AB177, 2),FALSE)),"",_xlfn.REGEXEXTRACT(CELL("address",AB177), "\$([A-Z]+)\$[0-9]+"))),_xlfn.REGEXEXTRACT(CELL("address",AB177), "\$([A-Z]+)\$[0-9]+"))</f>
        <v/>
      </c>
      <c r="AC177" s="7" t="str" cm="1">
        <f t="array" aca="1" ref="AC177" ca="1">IFERROR(IF(OR('Raw Data'!AC177="",LEN(TRIM('Raw Data'!AC177))=0),"",IF(AND(ISNUMBER('Raw Data'!AC177), IFERROR('Raw Data'!AC177 = ROUND('Raw Data'!AC177, 2),FALSE)),"",_xlfn.REGEXEXTRACT(CELL("address",AC177), "\$([A-Z]+)\$[0-9]+"))),_xlfn.REGEXEXTRACT(CELL("address",AC177), "\$([A-Z]+)\$[0-9]+"))</f>
        <v/>
      </c>
      <c r="AD177" s="7" t="str" cm="1">
        <f t="array" aca="1" ref="AD177" ca="1">IFERROR(IF(OR('Raw Data'!AD177="",LEN(TRIM('Raw Data'!AD177))=0),"",IF(AND(ISNUMBER('Raw Data'!AD177), IFERROR('Raw Data'!AD177 = ROUND('Raw Data'!AD177, 2),FALSE)),"",_xlfn.REGEXEXTRACT(CELL("address",AD177), "\$([A-Z]+)\$[0-9]+"))),_xlfn.REGEXEXTRACT(CELL("address",AD177), "\$([A-Z]+)\$[0-9]+"))</f>
        <v/>
      </c>
      <c r="AE177" s="7" t="str" cm="1">
        <f t="array" aca="1" ref="AE177" ca="1">IFERROR(IF(OR('Raw Data'!AE177="",LEN(TRIM('Raw Data'!AE177))=0),"",IF(AND(ISNUMBER('Raw Data'!AE177), IFERROR('Raw Data'!AE177 = ROUND('Raw Data'!AE177, 2),FALSE)),"",_xlfn.REGEXEXTRACT(CELL("address",AE177), "\$([A-Z]+)\$[0-9]+"))),_xlfn.REGEXEXTRACT(CELL("address",AE177), "\$([A-Z]+)\$[0-9]+"))</f>
        <v/>
      </c>
      <c r="AF177" s="7" t="str" cm="1">
        <f t="array" aca="1" ref="AF177" ca="1">IFERROR(IF(OR('Raw Data'!AF177="",LEN(TRIM('Raw Data'!AF177))=0),"",IF(AND(ISNUMBER('Raw Data'!AF177), IFERROR('Raw Data'!AF177 = ROUND('Raw Data'!AF177, 2),FALSE)),"",_xlfn.REGEXEXTRACT(CELL("address",AF177), "\$([A-Z]+)\$[0-9]+"))),_xlfn.REGEXEXTRACT(CELL("address",AF177), "\$([A-Z]+)\$[0-9]+"))</f>
        <v/>
      </c>
      <c r="AG177" s="7" t="str" cm="1">
        <f t="array" aca="1" ref="AG177" ca="1">IFERROR(IF(OR('Raw Data'!AG177="",LEN(TRIM('Raw Data'!AG177))=0),"",IF(AND(ISNUMBER('Raw Data'!AG177), IFERROR('Raw Data'!AG177 = ROUND('Raw Data'!AG177, 2),FALSE)),"",_xlfn.REGEXEXTRACT(CELL("address",AG177), "\$([A-Z]+)\$[0-9]+"))),_xlfn.REGEXEXTRACT(CELL("address",AG177), "\$([A-Z]+)\$[0-9]+"))</f>
        <v/>
      </c>
      <c r="AH177" s="7" t="str" cm="1">
        <f t="array" aca="1" ref="AH177" ca="1">IFERROR(IF(OR('Raw Data'!AH177="",LEN(TRIM('Raw Data'!AH177))=0),"",IF(AND(ISNUMBER('Raw Data'!AH177), IFERROR('Raw Data'!AH177 = ROUND('Raw Data'!AH177, 2),FALSE)),"",_xlfn.REGEXEXTRACT(CELL("address",AH177), "\$([A-Z]+)\$[0-9]+"))),_xlfn.REGEXEXTRACT(CELL("address",AH177), "\$([A-Z]+)\$[0-9]+"))</f>
        <v/>
      </c>
      <c r="AI177" s="7" t="str" cm="1">
        <f t="array" aca="1" ref="AI177" ca="1">IFERROR(IF(OR('Raw Data'!AI177="",LEN(TRIM('Raw Data'!AI177))=0),"",IF(AND(ISNUMBER('Raw Data'!AI177), IFERROR('Raw Data'!AI177 = ROUND('Raw Data'!AI177, 2),FALSE)),"",_xlfn.REGEXEXTRACT(CELL("address",AI177), "\$([A-Z]+)\$[0-9]+"))),_xlfn.REGEXEXTRACT(CELL("address",AI177), "\$([A-Z]+)\$[0-9]+"))</f>
        <v/>
      </c>
      <c r="AJ177" s="7" t="str" cm="1">
        <f t="array" aca="1" ref="AJ177" ca="1">IFERROR(IF(OR('Raw Data'!AJ177="",LEN(TRIM('Raw Data'!AJ177))=0),"",IF(AND(ISNUMBER('Raw Data'!AJ177), IFERROR('Raw Data'!AJ177 = ROUND('Raw Data'!AJ177, 2),FALSE)),"",_xlfn.REGEXEXTRACT(CELL("address",AJ177), "\$([A-Z]+)\$[0-9]+"))),_xlfn.REGEXEXTRACT(CELL("address",AJ177), "\$([A-Z]+)\$[0-9]+"))</f>
        <v/>
      </c>
    </row>
    <row r="178" spans="2:36" x14ac:dyDescent="0.25">
      <c r="B178" s="7" t="str" cm="1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20,LEN('Raw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Data'!D178))=0),"",IF(AND(ISNUMBER('Raw Data'!D178),'Raw Data'!D178&gt;=Configuration!$D$2),"",_xlfn.REGEXEXTRACT(CELL("address",'Raw Data'!D178),"\$([A-Z]+)\$[0-9]+"))),_xlfn.REGEXEXTRACT(CELL("address",D178), "\$([A-Z]+)\$[0-9]+"))</f>
        <v/>
      </c>
      <c r="E178" s="7" t="str" cm="1">
        <f t="array" aca="1" ref="E178" ca="1">IFERROR(IF(OR('Raw Data'!E178="",LEN(TRIM('Raw Data'!E178))=0),"",IF(AND(ISNUMBER('Raw Data'!E178), IFERROR('Raw Data'!E178 = ROUND('Raw Data'!E178, 2),FALSE)),"",_xlfn.REGEXEXTRACT(CELL("address",E178), "\$([A-Z]+)\$[0-9]+"))),_xlfn.REGEXEXTRACT(CELL("address",E178), "\$([A-Z]+)\$[0-9]+"))</f>
        <v/>
      </c>
      <c r="F178" s="7" t="str" cm="1">
        <f t="array" aca="1" ref="F178" ca="1">IFERROR(IF(OR('Raw Data'!F178="",LEN(TRIM('Raw Data'!F178))=0),"",IF(AND(ISNUMBER('Raw Data'!F178), IFERROR('Raw Data'!F178 = ROUND('Raw Data'!F178, 2),FALSE)),"",_xlfn.REGEXEXTRACT(CELL("address",F178), "\$([A-Z]+)\$[0-9]+"))),_xlfn.REGEXEXTRACT(CELL("address",F178), "\$([A-Z]+)\$[0-9]+"))</f>
        <v/>
      </c>
      <c r="G178" s="7" t="str" cm="1">
        <f t="array" aca="1" ref="G178" ca="1">IFERROR(IF(OR('Raw Data'!G178="",LEN(TRIM('Raw Data'!G178))=0),"",IF(AND(ISNUMBER('Raw Data'!G178), IFERROR('Raw Data'!G178 = ROUND('Raw Data'!G178, 2),FALSE)),"",_xlfn.REGEXEXTRACT(CELL("address",G178), "\$([A-Z]+)\$[0-9]+"))),_xlfn.REGEXEXTRACT(CELL("address",G178), "\$([A-Z]+)\$[0-9]+"))</f>
        <v/>
      </c>
      <c r="H178" s="7" t="str" cm="1">
        <f t="array" aca="1" ref="H178" ca="1">IFERROR(IF(OR('Raw Data'!H178="",LEN(TRIM('Raw Data'!H178))=0),"",IF(AND(ISNUMBER('Raw Data'!H178), IFERROR('Raw Data'!H178 = ROUND('Raw Data'!H178, 2),FALSE)),"",_xlfn.REGEXEXTRACT(CELL("address",H178), "\$([A-Z]+)\$[0-9]+"))),_xlfn.REGEXEXTRACT(CELL("address",H178), "\$([A-Z]+)\$[0-9]+"))</f>
        <v/>
      </c>
      <c r="I178" s="7" t="str" cm="1">
        <f t="array" aca="1" ref="I178" ca="1">IFERROR(IF(OR('Raw Data'!I178="",LEN(TRIM('Raw Data'!I178))=0),"",IF(AND(ISNUMBER('Raw Data'!I178), IFERROR('Raw Data'!I178 = ROUND('Raw Data'!I178, 2),FALSE)),"",_xlfn.REGEXEXTRACT(CELL("address",I178), "\$([A-Z]+)\$[0-9]+"))),_xlfn.REGEXEXTRACT(CELL("address",I178), "\$([A-Z]+)\$[0-9]+"))</f>
        <v/>
      </c>
      <c r="J178" s="7" t="str" cm="1">
        <f t="array" aca="1" ref="J178" ca="1">IFERROR(IF(OR('Raw Data'!J178="",LEN(TRIM('Raw Data'!J178))=0),"",IF(AND(ISNUMBER('Raw Data'!J178), IFERROR('Raw Data'!J178 = ROUND('Raw Data'!J178, 2),FALSE)),"",_xlfn.REGEXEXTRACT(CELL("address",J178), "\$([A-Z]+)\$[0-9]+"))),_xlfn.REGEXEXTRACT(CELL("address",J178), "\$([A-Z]+)\$[0-9]+"))</f>
        <v/>
      </c>
      <c r="K178" s="7" t="str" cm="1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7" t="str" cm="1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7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7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7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7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 cm="1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7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7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7" t="str" cm="1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7" t="str" cm="1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  <c r="Z178" s="7" t="str" cm="1">
        <f t="array" aca="1" ref="Z178" ca="1">IFERROR(IF(OR('Raw Data'!Z178="",LEN(TRIM('Raw Data'!Z178))=0),"",IF(AND(ISNUMBER('Raw Data'!Z178), IFERROR('Raw Data'!Z178 = ROUND('Raw Data'!Z178, 2),FALSE)),"",_xlfn.REGEXEXTRACT(CELL("address",Z178), "\$([A-Z]+)\$[0-9]+"))),_xlfn.REGEXEXTRACT(CELL("address",Z178), "\$([A-Z]+)\$[0-9]+"))</f>
        <v/>
      </c>
      <c r="AA178" s="7" t="str" cm="1">
        <f t="array" aca="1" ref="AA178" ca="1">IFERROR(IF(OR('Raw Data'!AA178="",LEN(TRIM('Raw Data'!AA178))=0),"",IF(AND(ISNUMBER('Raw Data'!AA178), IFERROR('Raw Data'!AA178 = ROUND('Raw Data'!AA178, 2),FALSE)),"",_xlfn.REGEXEXTRACT(CELL("address",AA178), "\$([A-Z]+)\$[0-9]+"))),_xlfn.REGEXEXTRACT(CELL("address",AA178), "\$([A-Z]+)\$[0-9]+"))</f>
        <v/>
      </c>
      <c r="AB178" s="7" t="str" cm="1">
        <f t="array" aca="1" ref="AB178" ca="1">IFERROR(IF(OR('Raw Data'!AB178="",LEN(TRIM('Raw Data'!AB178))=0),"",IF(AND(ISNUMBER('Raw Data'!AB178), IFERROR('Raw Data'!AB178 = ROUND('Raw Data'!AB178, 2),FALSE)),"",_xlfn.REGEXEXTRACT(CELL("address",AB178), "\$([A-Z]+)\$[0-9]+"))),_xlfn.REGEXEXTRACT(CELL("address",AB178), "\$([A-Z]+)\$[0-9]+"))</f>
        <v/>
      </c>
      <c r="AC178" s="7" t="str" cm="1">
        <f t="array" aca="1" ref="AC178" ca="1">IFERROR(IF(OR('Raw Data'!AC178="",LEN(TRIM('Raw Data'!AC178))=0),"",IF(AND(ISNUMBER('Raw Data'!AC178), IFERROR('Raw Data'!AC178 = ROUND('Raw Data'!AC178, 2),FALSE)),"",_xlfn.REGEXEXTRACT(CELL("address",AC178), "\$([A-Z]+)\$[0-9]+"))),_xlfn.REGEXEXTRACT(CELL("address",AC178), "\$([A-Z]+)\$[0-9]+"))</f>
        <v/>
      </c>
      <c r="AD178" s="7" t="str" cm="1">
        <f t="array" aca="1" ref="AD178" ca="1">IFERROR(IF(OR('Raw Data'!AD178="",LEN(TRIM('Raw Data'!AD178))=0),"",IF(AND(ISNUMBER('Raw Data'!AD178), IFERROR('Raw Data'!AD178 = ROUND('Raw Data'!AD178, 2),FALSE)),"",_xlfn.REGEXEXTRACT(CELL("address",AD178), "\$([A-Z]+)\$[0-9]+"))),_xlfn.REGEXEXTRACT(CELL("address",AD178), "\$([A-Z]+)\$[0-9]+"))</f>
        <v/>
      </c>
      <c r="AE178" s="7" t="str" cm="1">
        <f t="array" aca="1" ref="AE178" ca="1">IFERROR(IF(OR('Raw Data'!AE178="",LEN(TRIM('Raw Data'!AE178))=0),"",IF(AND(ISNUMBER('Raw Data'!AE178), IFERROR('Raw Data'!AE178 = ROUND('Raw Data'!AE178, 2),FALSE)),"",_xlfn.REGEXEXTRACT(CELL("address",AE178), "\$([A-Z]+)\$[0-9]+"))),_xlfn.REGEXEXTRACT(CELL("address",AE178), "\$([A-Z]+)\$[0-9]+"))</f>
        <v/>
      </c>
      <c r="AF178" s="7" t="str" cm="1">
        <f t="array" aca="1" ref="AF178" ca="1">IFERROR(IF(OR('Raw Data'!AF178="",LEN(TRIM('Raw Data'!AF178))=0),"",IF(AND(ISNUMBER('Raw Data'!AF178), IFERROR('Raw Data'!AF178 = ROUND('Raw Data'!AF178, 2),FALSE)),"",_xlfn.REGEXEXTRACT(CELL("address",AF178), "\$([A-Z]+)\$[0-9]+"))),_xlfn.REGEXEXTRACT(CELL("address",AF178), "\$([A-Z]+)\$[0-9]+"))</f>
        <v/>
      </c>
      <c r="AG178" s="7" t="str" cm="1">
        <f t="array" aca="1" ref="AG178" ca="1">IFERROR(IF(OR('Raw Data'!AG178="",LEN(TRIM('Raw Data'!AG178))=0),"",IF(AND(ISNUMBER('Raw Data'!AG178), IFERROR('Raw Data'!AG178 = ROUND('Raw Data'!AG178, 2),FALSE)),"",_xlfn.REGEXEXTRACT(CELL("address",AG178), "\$([A-Z]+)\$[0-9]+"))),_xlfn.REGEXEXTRACT(CELL("address",AG178), "\$([A-Z]+)\$[0-9]+"))</f>
        <v/>
      </c>
      <c r="AH178" s="7" t="str" cm="1">
        <f t="array" aca="1" ref="AH178" ca="1">IFERROR(IF(OR('Raw Data'!AH178="",LEN(TRIM('Raw Data'!AH178))=0),"",IF(AND(ISNUMBER('Raw Data'!AH178), IFERROR('Raw Data'!AH178 = ROUND('Raw Data'!AH178, 2),FALSE)),"",_xlfn.REGEXEXTRACT(CELL("address",AH178), "\$([A-Z]+)\$[0-9]+"))),_xlfn.REGEXEXTRACT(CELL("address",AH178), "\$([A-Z]+)\$[0-9]+"))</f>
        <v/>
      </c>
      <c r="AI178" s="7" t="str" cm="1">
        <f t="array" aca="1" ref="AI178" ca="1">IFERROR(IF(OR('Raw Data'!AI178="",LEN(TRIM('Raw Data'!AI178))=0),"",IF(AND(ISNUMBER('Raw Data'!AI178), IFERROR('Raw Data'!AI178 = ROUND('Raw Data'!AI178, 2),FALSE)),"",_xlfn.REGEXEXTRACT(CELL("address",AI178), "\$([A-Z]+)\$[0-9]+"))),_xlfn.REGEXEXTRACT(CELL("address",AI178), "\$([A-Z]+)\$[0-9]+"))</f>
        <v/>
      </c>
      <c r="AJ178" s="7" t="str" cm="1">
        <f t="array" aca="1" ref="AJ178" ca="1">IFERROR(IF(OR('Raw Data'!AJ178="",LEN(TRIM('Raw Data'!AJ178))=0),"",IF(AND(ISNUMBER('Raw Data'!AJ178), IFERROR('Raw Data'!AJ178 = ROUND('Raw Data'!AJ178, 2),FALSE)),"",_xlfn.REGEXEXTRACT(CELL("address",AJ178), "\$([A-Z]+)\$[0-9]+"))),_xlfn.REGEXEXTRACT(CELL("address",AJ178), "\$([A-Z]+)\$[0-9]+"))</f>
        <v/>
      </c>
    </row>
    <row r="179" spans="2:36" x14ac:dyDescent="0.25">
      <c r="B179" s="7" t="str" cm="1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20,LEN('Raw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Data'!D179))=0),"",IF(AND(ISNUMBER('Raw Data'!D179),'Raw Data'!D179&gt;=Configuration!$D$2),"",_xlfn.REGEXEXTRACT(CELL("address",'Raw Data'!D179),"\$([A-Z]+)\$[0-9]+"))),_xlfn.REGEXEXTRACT(CELL("address",D179), "\$([A-Z]+)\$[0-9]+"))</f>
        <v/>
      </c>
      <c r="E179" s="7" t="str" cm="1">
        <f t="array" aca="1" ref="E179" ca="1">IFERROR(IF(OR('Raw Data'!E179="",LEN(TRIM('Raw Data'!E179))=0),"",IF(AND(ISNUMBER('Raw Data'!E179), IFERROR('Raw Data'!E179 = ROUND('Raw Data'!E179, 2),FALSE)),"",_xlfn.REGEXEXTRACT(CELL("address",E179), "\$([A-Z]+)\$[0-9]+"))),_xlfn.REGEXEXTRACT(CELL("address",E179), "\$([A-Z]+)\$[0-9]+"))</f>
        <v/>
      </c>
      <c r="F179" s="7" t="str" cm="1">
        <f t="array" aca="1" ref="F179" ca="1">IFERROR(IF(OR('Raw Data'!F179="",LEN(TRIM('Raw Data'!F179))=0),"",IF(AND(ISNUMBER('Raw Data'!F179), IFERROR('Raw Data'!F179 = ROUND('Raw Data'!F179, 2),FALSE)),"",_xlfn.REGEXEXTRACT(CELL("address",F179), "\$([A-Z]+)\$[0-9]+"))),_xlfn.REGEXEXTRACT(CELL("address",F179), "\$([A-Z]+)\$[0-9]+"))</f>
        <v/>
      </c>
      <c r="G179" s="7" t="str" cm="1">
        <f t="array" aca="1" ref="G179" ca="1">IFERROR(IF(OR('Raw Data'!G179="",LEN(TRIM('Raw Data'!G179))=0),"",IF(AND(ISNUMBER('Raw Data'!G179), IFERROR('Raw Data'!G179 = ROUND('Raw Data'!G179, 2),FALSE)),"",_xlfn.REGEXEXTRACT(CELL("address",G179), "\$([A-Z]+)\$[0-9]+"))),_xlfn.REGEXEXTRACT(CELL("address",G179), "\$([A-Z]+)\$[0-9]+"))</f>
        <v/>
      </c>
      <c r="H179" s="7" t="str" cm="1">
        <f t="array" aca="1" ref="H179" ca="1">IFERROR(IF(OR('Raw Data'!H179="",LEN(TRIM('Raw Data'!H179))=0),"",IF(AND(ISNUMBER('Raw Data'!H179), IFERROR('Raw Data'!H179 = ROUND('Raw Data'!H179, 2),FALSE)),"",_xlfn.REGEXEXTRACT(CELL("address",H179), "\$([A-Z]+)\$[0-9]+"))),_xlfn.REGEXEXTRACT(CELL("address",H179), "\$([A-Z]+)\$[0-9]+"))</f>
        <v/>
      </c>
      <c r="I179" s="7" t="str" cm="1">
        <f t="array" aca="1" ref="I179" ca="1">IFERROR(IF(OR('Raw Data'!I179="",LEN(TRIM('Raw Data'!I179))=0),"",IF(AND(ISNUMBER('Raw Data'!I179), IFERROR('Raw Data'!I179 = ROUND('Raw Data'!I179, 2),FALSE)),"",_xlfn.REGEXEXTRACT(CELL("address",I179), "\$([A-Z]+)\$[0-9]+"))),_xlfn.REGEXEXTRACT(CELL("address",I179), "\$([A-Z]+)\$[0-9]+"))</f>
        <v/>
      </c>
      <c r="J179" s="7" t="str" cm="1">
        <f t="array" aca="1" ref="J179" ca="1">IFERROR(IF(OR('Raw Data'!J179="",LEN(TRIM('Raw Data'!J179))=0),"",IF(AND(ISNUMBER('Raw Data'!J179), IFERROR('Raw Data'!J179 = ROUND('Raw Data'!J179, 2),FALSE)),"",_xlfn.REGEXEXTRACT(CELL("address",J179), "\$([A-Z]+)\$[0-9]+"))),_xlfn.REGEXEXTRACT(CELL("address",J179), "\$([A-Z]+)\$[0-9]+"))</f>
        <v/>
      </c>
      <c r="K179" s="7" t="str" cm="1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7" t="str" cm="1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7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7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7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7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 cm="1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7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7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7" t="str" cm="1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7" t="str" cm="1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  <c r="Z179" s="7" t="str" cm="1">
        <f t="array" aca="1" ref="Z179" ca="1">IFERROR(IF(OR('Raw Data'!Z179="",LEN(TRIM('Raw Data'!Z179))=0),"",IF(AND(ISNUMBER('Raw Data'!Z179), IFERROR('Raw Data'!Z179 = ROUND('Raw Data'!Z179, 2),FALSE)),"",_xlfn.REGEXEXTRACT(CELL("address",Z179), "\$([A-Z]+)\$[0-9]+"))),_xlfn.REGEXEXTRACT(CELL("address",Z179), "\$([A-Z]+)\$[0-9]+"))</f>
        <v/>
      </c>
      <c r="AA179" s="7" t="str" cm="1">
        <f t="array" aca="1" ref="AA179" ca="1">IFERROR(IF(OR('Raw Data'!AA179="",LEN(TRIM('Raw Data'!AA179))=0),"",IF(AND(ISNUMBER('Raw Data'!AA179), IFERROR('Raw Data'!AA179 = ROUND('Raw Data'!AA179, 2),FALSE)),"",_xlfn.REGEXEXTRACT(CELL("address",AA179), "\$([A-Z]+)\$[0-9]+"))),_xlfn.REGEXEXTRACT(CELL("address",AA179), "\$([A-Z]+)\$[0-9]+"))</f>
        <v/>
      </c>
      <c r="AB179" s="7" t="str" cm="1">
        <f t="array" aca="1" ref="AB179" ca="1">IFERROR(IF(OR('Raw Data'!AB179="",LEN(TRIM('Raw Data'!AB179))=0),"",IF(AND(ISNUMBER('Raw Data'!AB179), IFERROR('Raw Data'!AB179 = ROUND('Raw Data'!AB179, 2),FALSE)),"",_xlfn.REGEXEXTRACT(CELL("address",AB179), "\$([A-Z]+)\$[0-9]+"))),_xlfn.REGEXEXTRACT(CELL("address",AB179), "\$([A-Z]+)\$[0-9]+"))</f>
        <v/>
      </c>
      <c r="AC179" s="7" t="str" cm="1">
        <f t="array" aca="1" ref="AC179" ca="1">IFERROR(IF(OR('Raw Data'!AC179="",LEN(TRIM('Raw Data'!AC179))=0),"",IF(AND(ISNUMBER('Raw Data'!AC179), IFERROR('Raw Data'!AC179 = ROUND('Raw Data'!AC179, 2),FALSE)),"",_xlfn.REGEXEXTRACT(CELL("address",AC179), "\$([A-Z]+)\$[0-9]+"))),_xlfn.REGEXEXTRACT(CELL("address",AC179), "\$([A-Z]+)\$[0-9]+"))</f>
        <v/>
      </c>
      <c r="AD179" s="7" t="str" cm="1">
        <f t="array" aca="1" ref="AD179" ca="1">IFERROR(IF(OR('Raw Data'!AD179="",LEN(TRIM('Raw Data'!AD179))=0),"",IF(AND(ISNUMBER('Raw Data'!AD179), IFERROR('Raw Data'!AD179 = ROUND('Raw Data'!AD179, 2),FALSE)),"",_xlfn.REGEXEXTRACT(CELL("address",AD179), "\$([A-Z]+)\$[0-9]+"))),_xlfn.REGEXEXTRACT(CELL("address",AD179), "\$([A-Z]+)\$[0-9]+"))</f>
        <v/>
      </c>
      <c r="AE179" s="7" t="str" cm="1">
        <f t="array" aca="1" ref="AE179" ca="1">IFERROR(IF(OR('Raw Data'!AE179="",LEN(TRIM('Raw Data'!AE179))=0),"",IF(AND(ISNUMBER('Raw Data'!AE179), IFERROR('Raw Data'!AE179 = ROUND('Raw Data'!AE179, 2),FALSE)),"",_xlfn.REGEXEXTRACT(CELL("address",AE179), "\$([A-Z]+)\$[0-9]+"))),_xlfn.REGEXEXTRACT(CELL("address",AE179), "\$([A-Z]+)\$[0-9]+"))</f>
        <v/>
      </c>
      <c r="AF179" s="7" t="str" cm="1">
        <f t="array" aca="1" ref="AF179" ca="1">IFERROR(IF(OR('Raw Data'!AF179="",LEN(TRIM('Raw Data'!AF179))=0),"",IF(AND(ISNUMBER('Raw Data'!AF179), IFERROR('Raw Data'!AF179 = ROUND('Raw Data'!AF179, 2),FALSE)),"",_xlfn.REGEXEXTRACT(CELL("address",AF179), "\$([A-Z]+)\$[0-9]+"))),_xlfn.REGEXEXTRACT(CELL("address",AF179), "\$([A-Z]+)\$[0-9]+"))</f>
        <v/>
      </c>
      <c r="AG179" s="7" t="str" cm="1">
        <f t="array" aca="1" ref="AG179" ca="1">IFERROR(IF(OR('Raw Data'!AG179="",LEN(TRIM('Raw Data'!AG179))=0),"",IF(AND(ISNUMBER('Raw Data'!AG179), IFERROR('Raw Data'!AG179 = ROUND('Raw Data'!AG179, 2),FALSE)),"",_xlfn.REGEXEXTRACT(CELL("address",AG179), "\$([A-Z]+)\$[0-9]+"))),_xlfn.REGEXEXTRACT(CELL("address",AG179), "\$([A-Z]+)\$[0-9]+"))</f>
        <v/>
      </c>
      <c r="AH179" s="7" t="str" cm="1">
        <f t="array" aca="1" ref="AH179" ca="1">IFERROR(IF(OR('Raw Data'!AH179="",LEN(TRIM('Raw Data'!AH179))=0),"",IF(AND(ISNUMBER('Raw Data'!AH179), IFERROR('Raw Data'!AH179 = ROUND('Raw Data'!AH179, 2),FALSE)),"",_xlfn.REGEXEXTRACT(CELL("address",AH179), "\$([A-Z]+)\$[0-9]+"))),_xlfn.REGEXEXTRACT(CELL("address",AH179), "\$([A-Z]+)\$[0-9]+"))</f>
        <v/>
      </c>
      <c r="AI179" s="7" t="str" cm="1">
        <f t="array" aca="1" ref="AI179" ca="1">IFERROR(IF(OR('Raw Data'!AI179="",LEN(TRIM('Raw Data'!AI179))=0),"",IF(AND(ISNUMBER('Raw Data'!AI179), IFERROR('Raw Data'!AI179 = ROUND('Raw Data'!AI179, 2),FALSE)),"",_xlfn.REGEXEXTRACT(CELL("address",AI179), "\$([A-Z]+)\$[0-9]+"))),_xlfn.REGEXEXTRACT(CELL("address",AI179), "\$([A-Z]+)\$[0-9]+"))</f>
        <v/>
      </c>
      <c r="AJ179" s="7" t="str" cm="1">
        <f t="array" aca="1" ref="AJ179" ca="1">IFERROR(IF(OR('Raw Data'!AJ179="",LEN(TRIM('Raw Data'!AJ179))=0),"",IF(AND(ISNUMBER('Raw Data'!AJ179), IFERROR('Raw Data'!AJ179 = ROUND('Raw Data'!AJ179, 2),FALSE)),"",_xlfn.REGEXEXTRACT(CELL("address",AJ179), "\$([A-Z]+)\$[0-9]+"))),_xlfn.REGEXEXTRACT(CELL("address",AJ179), "\$([A-Z]+)\$[0-9]+"))</f>
        <v/>
      </c>
    </row>
    <row r="180" spans="2:36" x14ac:dyDescent="0.25">
      <c r="B180" s="7" t="str" cm="1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20,LEN('Raw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Data'!D180))=0),"",IF(AND(ISNUMBER('Raw Data'!D180),'Raw Data'!D180&gt;=Configuration!$D$2),"",_xlfn.REGEXEXTRACT(CELL("address",'Raw Data'!D180),"\$([A-Z]+)\$[0-9]+"))),_xlfn.REGEXEXTRACT(CELL("address",D180), "\$([A-Z]+)\$[0-9]+"))</f>
        <v/>
      </c>
      <c r="E180" s="7" t="str" cm="1">
        <f t="array" aca="1" ref="E180" ca="1">IFERROR(IF(OR('Raw Data'!E180="",LEN(TRIM('Raw Data'!E180))=0),"",IF(AND(ISNUMBER('Raw Data'!E180), IFERROR('Raw Data'!E180 = ROUND('Raw Data'!E180, 2),FALSE)),"",_xlfn.REGEXEXTRACT(CELL("address",E180), "\$([A-Z]+)\$[0-9]+"))),_xlfn.REGEXEXTRACT(CELL("address",E180), "\$([A-Z]+)\$[0-9]+"))</f>
        <v/>
      </c>
      <c r="F180" s="7" t="str" cm="1">
        <f t="array" aca="1" ref="F180" ca="1">IFERROR(IF(OR('Raw Data'!F180="",LEN(TRIM('Raw Data'!F180))=0),"",IF(AND(ISNUMBER('Raw Data'!F180), IFERROR('Raw Data'!F180 = ROUND('Raw Data'!F180, 2),FALSE)),"",_xlfn.REGEXEXTRACT(CELL("address",F180), "\$([A-Z]+)\$[0-9]+"))),_xlfn.REGEXEXTRACT(CELL("address",F180), "\$([A-Z]+)\$[0-9]+"))</f>
        <v/>
      </c>
      <c r="G180" s="7" t="str" cm="1">
        <f t="array" aca="1" ref="G180" ca="1">IFERROR(IF(OR('Raw Data'!G180="",LEN(TRIM('Raw Data'!G180))=0),"",IF(AND(ISNUMBER('Raw Data'!G180), IFERROR('Raw Data'!G180 = ROUND('Raw Data'!G180, 2),FALSE)),"",_xlfn.REGEXEXTRACT(CELL("address",G180), "\$([A-Z]+)\$[0-9]+"))),_xlfn.REGEXEXTRACT(CELL("address",G180), "\$([A-Z]+)\$[0-9]+"))</f>
        <v/>
      </c>
      <c r="H180" s="7" t="str" cm="1">
        <f t="array" aca="1" ref="H180" ca="1">IFERROR(IF(OR('Raw Data'!H180="",LEN(TRIM('Raw Data'!H180))=0),"",IF(AND(ISNUMBER('Raw Data'!H180), IFERROR('Raw Data'!H180 = ROUND('Raw Data'!H180, 2),FALSE)),"",_xlfn.REGEXEXTRACT(CELL("address",H180), "\$([A-Z]+)\$[0-9]+"))),_xlfn.REGEXEXTRACT(CELL("address",H180), "\$([A-Z]+)\$[0-9]+"))</f>
        <v/>
      </c>
      <c r="I180" s="7" t="str" cm="1">
        <f t="array" aca="1" ref="I180" ca="1">IFERROR(IF(OR('Raw Data'!I180="",LEN(TRIM('Raw Data'!I180))=0),"",IF(AND(ISNUMBER('Raw Data'!I180), IFERROR('Raw Data'!I180 = ROUND('Raw Data'!I180, 2),FALSE)),"",_xlfn.REGEXEXTRACT(CELL("address",I180), "\$([A-Z]+)\$[0-9]+"))),_xlfn.REGEXEXTRACT(CELL("address",I180), "\$([A-Z]+)\$[0-9]+"))</f>
        <v/>
      </c>
      <c r="J180" s="7" t="str" cm="1">
        <f t="array" aca="1" ref="J180" ca="1">IFERROR(IF(OR('Raw Data'!J180="",LEN(TRIM('Raw Data'!J180))=0),"",IF(AND(ISNUMBER('Raw Data'!J180), IFERROR('Raw Data'!J180 = ROUND('Raw Data'!J180, 2),FALSE)),"",_xlfn.REGEXEXTRACT(CELL("address",J180), "\$([A-Z]+)\$[0-9]+"))),_xlfn.REGEXEXTRACT(CELL("address",J180), "\$([A-Z]+)\$[0-9]+"))</f>
        <v/>
      </c>
      <c r="K180" s="7" t="str" cm="1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7" t="str" cm="1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7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7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7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7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 cm="1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7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7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7" t="str" cm="1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7" t="str" cm="1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  <c r="Z180" s="7" t="str" cm="1">
        <f t="array" aca="1" ref="Z180" ca="1">IFERROR(IF(OR('Raw Data'!Z180="",LEN(TRIM('Raw Data'!Z180))=0),"",IF(AND(ISNUMBER('Raw Data'!Z180), IFERROR('Raw Data'!Z180 = ROUND('Raw Data'!Z180, 2),FALSE)),"",_xlfn.REGEXEXTRACT(CELL("address",Z180), "\$([A-Z]+)\$[0-9]+"))),_xlfn.REGEXEXTRACT(CELL("address",Z180), "\$([A-Z]+)\$[0-9]+"))</f>
        <v/>
      </c>
      <c r="AA180" s="7" t="str" cm="1">
        <f t="array" aca="1" ref="AA180" ca="1">IFERROR(IF(OR('Raw Data'!AA180="",LEN(TRIM('Raw Data'!AA180))=0),"",IF(AND(ISNUMBER('Raw Data'!AA180), IFERROR('Raw Data'!AA180 = ROUND('Raw Data'!AA180, 2),FALSE)),"",_xlfn.REGEXEXTRACT(CELL("address",AA180), "\$([A-Z]+)\$[0-9]+"))),_xlfn.REGEXEXTRACT(CELL("address",AA180), "\$([A-Z]+)\$[0-9]+"))</f>
        <v/>
      </c>
      <c r="AB180" s="7" t="str" cm="1">
        <f t="array" aca="1" ref="AB180" ca="1">IFERROR(IF(OR('Raw Data'!AB180="",LEN(TRIM('Raw Data'!AB180))=0),"",IF(AND(ISNUMBER('Raw Data'!AB180), IFERROR('Raw Data'!AB180 = ROUND('Raw Data'!AB180, 2),FALSE)),"",_xlfn.REGEXEXTRACT(CELL("address",AB180), "\$([A-Z]+)\$[0-9]+"))),_xlfn.REGEXEXTRACT(CELL("address",AB180), "\$([A-Z]+)\$[0-9]+"))</f>
        <v/>
      </c>
      <c r="AC180" s="7" t="str" cm="1">
        <f t="array" aca="1" ref="AC180" ca="1">IFERROR(IF(OR('Raw Data'!AC180="",LEN(TRIM('Raw Data'!AC180))=0),"",IF(AND(ISNUMBER('Raw Data'!AC180), IFERROR('Raw Data'!AC180 = ROUND('Raw Data'!AC180, 2),FALSE)),"",_xlfn.REGEXEXTRACT(CELL("address",AC180), "\$([A-Z]+)\$[0-9]+"))),_xlfn.REGEXEXTRACT(CELL("address",AC180), "\$([A-Z]+)\$[0-9]+"))</f>
        <v/>
      </c>
      <c r="AD180" s="7" t="str" cm="1">
        <f t="array" aca="1" ref="AD180" ca="1">IFERROR(IF(OR('Raw Data'!AD180="",LEN(TRIM('Raw Data'!AD180))=0),"",IF(AND(ISNUMBER('Raw Data'!AD180), IFERROR('Raw Data'!AD180 = ROUND('Raw Data'!AD180, 2),FALSE)),"",_xlfn.REGEXEXTRACT(CELL("address",AD180), "\$([A-Z]+)\$[0-9]+"))),_xlfn.REGEXEXTRACT(CELL("address",AD180), "\$([A-Z]+)\$[0-9]+"))</f>
        <v/>
      </c>
      <c r="AE180" s="7" t="str" cm="1">
        <f t="array" aca="1" ref="AE180" ca="1">IFERROR(IF(OR('Raw Data'!AE180="",LEN(TRIM('Raw Data'!AE180))=0),"",IF(AND(ISNUMBER('Raw Data'!AE180), IFERROR('Raw Data'!AE180 = ROUND('Raw Data'!AE180, 2),FALSE)),"",_xlfn.REGEXEXTRACT(CELL("address",AE180), "\$([A-Z]+)\$[0-9]+"))),_xlfn.REGEXEXTRACT(CELL("address",AE180), "\$([A-Z]+)\$[0-9]+"))</f>
        <v/>
      </c>
      <c r="AF180" s="7" t="str" cm="1">
        <f t="array" aca="1" ref="AF180" ca="1">IFERROR(IF(OR('Raw Data'!AF180="",LEN(TRIM('Raw Data'!AF180))=0),"",IF(AND(ISNUMBER('Raw Data'!AF180), IFERROR('Raw Data'!AF180 = ROUND('Raw Data'!AF180, 2),FALSE)),"",_xlfn.REGEXEXTRACT(CELL("address",AF180), "\$([A-Z]+)\$[0-9]+"))),_xlfn.REGEXEXTRACT(CELL("address",AF180), "\$([A-Z]+)\$[0-9]+"))</f>
        <v/>
      </c>
      <c r="AG180" s="7" t="str" cm="1">
        <f t="array" aca="1" ref="AG180" ca="1">IFERROR(IF(OR('Raw Data'!AG180="",LEN(TRIM('Raw Data'!AG180))=0),"",IF(AND(ISNUMBER('Raw Data'!AG180), IFERROR('Raw Data'!AG180 = ROUND('Raw Data'!AG180, 2),FALSE)),"",_xlfn.REGEXEXTRACT(CELL("address",AG180), "\$([A-Z]+)\$[0-9]+"))),_xlfn.REGEXEXTRACT(CELL("address",AG180), "\$([A-Z]+)\$[0-9]+"))</f>
        <v/>
      </c>
      <c r="AH180" s="7" t="str" cm="1">
        <f t="array" aca="1" ref="AH180" ca="1">IFERROR(IF(OR('Raw Data'!AH180="",LEN(TRIM('Raw Data'!AH180))=0),"",IF(AND(ISNUMBER('Raw Data'!AH180), IFERROR('Raw Data'!AH180 = ROUND('Raw Data'!AH180, 2),FALSE)),"",_xlfn.REGEXEXTRACT(CELL("address",AH180), "\$([A-Z]+)\$[0-9]+"))),_xlfn.REGEXEXTRACT(CELL("address",AH180), "\$([A-Z]+)\$[0-9]+"))</f>
        <v/>
      </c>
      <c r="AI180" s="7" t="str" cm="1">
        <f t="array" aca="1" ref="AI180" ca="1">IFERROR(IF(OR('Raw Data'!AI180="",LEN(TRIM('Raw Data'!AI180))=0),"",IF(AND(ISNUMBER('Raw Data'!AI180), IFERROR('Raw Data'!AI180 = ROUND('Raw Data'!AI180, 2),FALSE)),"",_xlfn.REGEXEXTRACT(CELL("address",AI180), "\$([A-Z]+)\$[0-9]+"))),_xlfn.REGEXEXTRACT(CELL("address",AI180), "\$([A-Z]+)\$[0-9]+"))</f>
        <v/>
      </c>
      <c r="AJ180" s="7" t="str" cm="1">
        <f t="array" aca="1" ref="AJ180" ca="1">IFERROR(IF(OR('Raw Data'!AJ180="",LEN(TRIM('Raw Data'!AJ180))=0),"",IF(AND(ISNUMBER('Raw Data'!AJ180), IFERROR('Raw Data'!AJ180 = ROUND('Raw Data'!AJ180, 2),FALSE)),"",_xlfn.REGEXEXTRACT(CELL("address",AJ180), "\$([A-Z]+)\$[0-9]+"))),_xlfn.REGEXEXTRACT(CELL("address",AJ180), "\$([A-Z]+)\$[0-9]+"))</f>
        <v/>
      </c>
    </row>
    <row r="181" spans="2:36" x14ac:dyDescent="0.25">
      <c r="B181" s="7" t="str" cm="1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20,LEN('Raw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Data'!D181))=0),"",IF(AND(ISNUMBER('Raw Data'!D181),'Raw Data'!D181&gt;=Configuration!$D$2),"",_xlfn.REGEXEXTRACT(CELL("address",'Raw Data'!D181),"\$([A-Z]+)\$[0-9]+"))),_xlfn.REGEXEXTRACT(CELL("address",D181), "\$([A-Z]+)\$[0-9]+"))</f>
        <v/>
      </c>
      <c r="E181" s="7" t="str" cm="1">
        <f t="array" aca="1" ref="E181" ca="1">IFERROR(IF(OR('Raw Data'!E181="",LEN(TRIM('Raw Data'!E181))=0),"",IF(AND(ISNUMBER('Raw Data'!E181), IFERROR('Raw Data'!E181 = ROUND('Raw Data'!E181, 2),FALSE)),"",_xlfn.REGEXEXTRACT(CELL("address",E181), "\$([A-Z]+)\$[0-9]+"))),_xlfn.REGEXEXTRACT(CELL("address",E181), "\$([A-Z]+)\$[0-9]+"))</f>
        <v/>
      </c>
      <c r="F181" s="7" t="str" cm="1">
        <f t="array" aca="1" ref="F181" ca="1">IFERROR(IF(OR('Raw Data'!F181="",LEN(TRIM('Raw Data'!F181))=0),"",IF(AND(ISNUMBER('Raw Data'!F181), IFERROR('Raw Data'!F181 = ROUND('Raw Data'!F181, 2),FALSE)),"",_xlfn.REGEXEXTRACT(CELL("address",F181), "\$([A-Z]+)\$[0-9]+"))),_xlfn.REGEXEXTRACT(CELL("address",F181), "\$([A-Z]+)\$[0-9]+"))</f>
        <v/>
      </c>
      <c r="G181" s="7" t="str" cm="1">
        <f t="array" aca="1" ref="G181" ca="1">IFERROR(IF(OR('Raw Data'!G181="",LEN(TRIM('Raw Data'!G181))=0),"",IF(AND(ISNUMBER('Raw Data'!G181), IFERROR('Raw Data'!G181 = ROUND('Raw Data'!G181, 2),FALSE)),"",_xlfn.REGEXEXTRACT(CELL("address",G181), "\$([A-Z]+)\$[0-9]+"))),_xlfn.REGEXEXTRACT(CELL("address",G181), "\$([A-Z]+)\$[0-9]+"))</f>
        <v/>
      </c>
      <c r="H181" s="7" t="str" cm="1">
        <f t="array" aca="1" ref="H181" ca="1">IFERROR(IF(OR('Raw Data'!H181="",LEN(TRIM('Raw Data'!H181))=0),"",IF(AND(ISNUMBER('Raw Data'!H181), IFERROR('Raw Data'!H181 = ROUND('Raw Data'!H181, 2),FALSE)),"",_xlfn.REGEXEXTRACT(CELL("address",H181), "\$([A-Z]+)\$[0-9]+"))),_xlfn.REGEXEXTRACT(CELL("address",H181), "\$([A-Z]+)\$[0-9]+"))</f>
        <v/>
      </c>
      <c r="I181" s="7" t="str" cm="1">
        <f t="array" aca="1" ref="I181" ca="1">IFERROR(IF(OR('Raw Data'!I181="",LEN(TRIM('Raw Data'!I181))=0),"",IF(AND(ISNUMBER('Raw Data'!I181), IFERROR('Raw Data'!I181 = ROUND('Raw Data'!I181, 2),FALSE)),"",_xlfn.REGEXEXTRACT(CELL("address",I181), "\$([A-Z]+)\$[0-9]+"))),_xlfn.REGEXEXTRACT(CELL("address",I181), "\$([A-Z]+)\$[0-9]+"))</f>
        <v/>
      </c>
      <c r="J181" s="7" t="str" cm="1">
        <f t="array" aca="1" ref="J181" ca="1">IFERROR(IF(OR('Raw Data'!J181="",LEN(TRIM('Raw Data'!J181))=0),"",IF(AND(ISNUMBER('Raw Data'!J181), IFERROR('Raw Data'!J181 = ROUND('Raw Data'!J181, 2),FALSE)),"",_xlfn.REGEXEXTRACT(CELL("address",J181), "\$([A-Z]+)\$[0-9]+"))),_xlfn.REGEXEXTRACT(CELL("address",J181), "\$([A-Z]+)\$[0-9]+"))</f>
        <v/>
      </c>
      <c r="K181" s="7" t="str" cm="1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7" t="str" cm="1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7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7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7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7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 cm="1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7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7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7" t="str" cm="1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7" t="str" cm="1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  <c r="Z181" s="7" t="str" cm="1">
        <f t="array" aca="1" ref="Z181" ca="1">IFERROR(IF(OR('Raw Data'!Z181="",LEN(TRIM('Raw Data'!Z181))=0),"",IF(AND(ISNUMBER('Raw Data'!Z181), IFERROR('Raw Data'!Z181 = ROUND('Raw Data'!Z181, 2),FALSE)),"",_xlfn.REGEXEXTRACT(CELL("address",Z181), "\$([A-Z]+)\$[0-9]+"))),_xlfn.REGEXEXTRACT(CELL("address",Z181), "\$([A-Z]+)\$[0-9]+"))</f>
        <v/>
      </c>
      <c r="AA181" s="7" t="str" cm="1">
        <f t="array" aca="1" ref="AA181" ca="1">IFERROR(IF(OR('Raw Data'!AA181="",LEN(TRIM('Raw Data'!AA181))=0),"",IF(AND(ISNUMBER('Raw Data'!AA181), IFERROR('Raw Data'!AA181 = ROUND('Raw Data'!AA181, 2),FALSE)),"",_xlfn.REGEXEXTRACT(CELL("address",AA181), "\$([A-Z]+)\$[0-9]+"))),_xlfn.REGEXEXTRACT(CELL("address",AA181), "\$([A-Z]+)\$[0-9]+"))</f>
        <v/>
      </c>
      <c r="AB181" s="7" t="str" cm="1">
        <f t="array" aca="1" ref="AB181" ca="1">IFERROR(IF(OR('Raw Data'!AB181="",LEN(TRIM('Raw Data'!AB181))=0),"",IF(AND(ISNUMBER('Raw Data'!AB181), IFERROR('Raw Data'!AB181 = ROUND('Raw Data'!AB181, 2),FALSE)),"",_xlfn.REGEXEXTRACT(CELL("address",AB181), "\$([A-Z]+)\$[0-9]+"))),_xlfn.REGEXEXTRACT(CELL("address",AB181), "\$([A-Z]+)\$[0-9]+"))</f>
        <v/>
      </c>
      <c r="AC181" s="7" t="str" cm="1">
        <f t="array" aca="1" ref="AC181" ca="1">IFERROR(IF(OR('Raw Data'!AC181="",LEN(TRIM('Raw Data'!AC181))=0),"",IF(AND(ISNUMBER('Raw Data'!AC181), IFERROR('Raw Data'!AC181 = ROUND('Raw Data'!AC181, 2),FALSE)),"",_xlfn.REGEXEXTRACT(CELL("address",AC181), "\$([A-Z]+)\$[0-9]+"))),_xlfn.REGEXEXTRACT(CELL("address",AC181), "\$([A-Z]+)\$[0-9]+"))</f>
        <v/>
      </c>
      <c r="AD181" s="7" t="str" cm="1">
        <f t="array" aca="1" ref="AD181" ca="1">IFERROR(IF(OR('Raw Data'!AD181="",LEN(TRIM('Raw Data'!AD181))=0),"",IF(AND(ISNUMBER('Raw Data'!AD181), IFERROR('Raw Data'!AD181 = ROUND('Raw Data'!AD181, 2),FALSE)),"",_xlfn.REGEXEXTRACT(CELL("address",AD181), "\$([A-Z]+)\$[0-9]+"))),_xlfn.REGEXEXTRACT(CELL("address",AD181), "\$([A-Z]+)\$[0-9]+"))</f>
        <v/>
      </c>
      <c r="AE181" s="7" t="str" cm="1">
        <f t="array" aca="1" ref="AE181" ca="1">IFERROR(IF(OR('Raw Data'!AE181="",LEN(TRIM('Raw Data'!AE181))=0),"",IF(AND(ISNUMBER('Raw Data'!AE181), IFERROR('Raw Data'!AE181 = ROUND('Raw Data'!AE181, 2),FALSE)),"",_xlfn.REGEXEXTRACT(CELL("address",AE181), "\$([A-Z]+)\$[0-9]+"))),_xlfn.REGEXEXTRACT(CELL("address",AE181), "\$([A-Z]+)\$[0-9]+"))</f>
        <v/>
      </c>
      <c r="AF181" s="7" t="str" cm="1">
        <f t="array" aca="1" ref="AF181" ca="1">IFERROR(IF(OR('Raw Data'!AF181="",LEN(TRIM('Raw Data'!AF181))=0),"",IF(AND(ISNUMBER('Raw Data'!AF181), IFERROR('Raw Data'!AF181 = ROUND('Raw Data'!AF181, 2),FALSE)),"",_xlfn.REGEXEXTRACT(CELL("address",AF181), "\$([A-Z]+)\$[0-9]+"))),_xlfn.REGEXEXTRACT(CELL("address",AF181), "\$([A-Z]+)\$[0-9]+"))</f>
        <v/>
      </c>
      <c r="AG181" s="7" t="str" cm="1">
        <f t="array" aca="1" ref="AG181" ca="1">IFERROR(IF(OR('Raw Data'!AG181="",LEN(TRIM('Raw Data'!AG181))=0),"",IF(AND(ISNUMBER('Raw Data'!AG181), IFERROR('Raw Data'!AG181 = ROUND('Raw Data'!AG181, 2),FALSE)),"",_xlfn.REGEXEXTRACT(CELL("address",AG181), "\$([A-Z]+)\$[0-9]+"))),_xlfn.REGEXEXTRACT(CELL("address",AG181), "\$([A-Z]+)\$[0-9]+"))</f>
        <v/>
      </c>
      <c r="AH181" s="7" t="str" cm="1">
        <f t="array" aca="1" ref="AH181" ca="1">IFERROR(IF(OR('Raw Data'!AH181="",LEN(TRIM('Raw Data'!AH181))=0),"",IF(AND(ISNUMBER('Raw Data'!AH181), IFERROR('Raw Data'!AH181 = ROUND('Raw Data'!AH181, 2),FALSE)),"",_xlfn.REGEXEXTRACT(CELL("address",AH181), "\$([A-Z]+)\$[0-9]+"))),_xlfn.REGEXEXTRACT(CELL("address",AH181), "\$([A-Z]+)\$[0-9]+"))</f>
        <v/>
      </c>
      <c r="AI181" s="7" t="str" cm="1">
        <f t="array" aca="1" ref="AI181" ca="1">IFERROR(IF(OR('Raw Data'!AI181="",LEN(TRIM('Raw Data'!AI181))=0),"",IF(AND(ISNUMBER('Raw Data'!AI181), IFERROR('Raw Data'!AI181 = ROUND('Raw Data'!AI181, 2),FALSE)),"",_xlfn.REGEXEXTRACT(CELL("address",AI181), "\$([A-Z]+)\$[0-9]+"))),_xlfn.REGEXEXTRACT(CELL("address",AI181), "\$([A-Z]+)\$[0-9]+"))</f>
        <v/>
      </c>
      <c r="AJ181" s="7" t="str" cm="1">
        <f t="array" aca="1" ref="AJ181" ca="1">IFERROR(IF(OR('Raw Data'!AJ181="",LEN(TRIM('Raw Data'!AJ181))=0),"",IF(AND(ISNUMBER('Raw Data'!AJ181), IFERROR('Raw Data'!AJ181 = ROUND('Raw Data'!AJ181, 2),FALSE)),"",_xlfn.REGEXEXTRACT(CELL("address",AJ181), "\$([A-Z]+)\$[0-9]+"))),_xlfn.REGEXEXTRACT(CELL("address",AJ181), "\$([A-Z]+)\$[0-9]+"))</f>
        <v/>
      </c>
    </row>
    <row r="182" spans="2:36" x14ac:dyDescent="0.25">
      <c r="B182" s="7" t="str" cm="1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20,LEN('Raw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Data'!D182))=0),"",IF(AND(ISNUMBER('Raw Data'!D182),'Raw Data'!D182&gt;=Configuration!$D$2),"",_xlfn.REGEXEXTRACT(CELL("address",'Raw Data'!D182),"\$([A-Z]+)\$[0-9]+"))),_xlfn.REGEXEXTRACT(CELL("address",D182), "\$([A-Z]+)\$[0-9]+"))</f>
        <v/>
      </c>
      <c r="E182" s="7" t="str" cm="1">
        <f t="array" aca="1" ref="E182" ca="1">IFERROR(IF(OR('Raw Data'!E182="",LEN(TRIM('Raw Data'!E182))=0),"",IF(AND(ISNUMBER('Raw Data'!E182), IFERROR('Raw Data'!E182 = ROUND('Raw Data'!E182, 2),FALSE)),"",_xlfn.REGEXEXTRACT(CELL("address",E182), "\$([A-Z]+)\$[0-9]+"))),_xlfn.REGEXEXTRACT(CELL("address",E182), "\$([A-Z]+)\$[0-9]+"))</f>
        <v/>
      </c>
      <c r="F182" s="7" t="str" cm="1">
        <f t="array" aca="1" ref="F182" ca="1">IFERROR(IF(OR('Raw Data'!F182="",LEN(TRIM('Raw Data'!F182))=0),"",IF(AND(ISNUMBER('Raw Data'!F182), IFERROR('Raw Data'!F182 = ROUND('Raw Data'!F182, 2),FALSE)),"",_xlfn.REGEXEXTRACT(CELL("address",F182), "\$([A-Z]+)\$[0-9]+"))),_xlfn.REGEXEXTRACT(CELL("address",F182), "\$([A-Z]+)\$[0-9]+"))</f>
        <v/>
      </c>
      <c r="G182" s="7" t="str" cm="1">
        <f t="array" aca="1" ref="G182" ca="1">IFERROR(IF(OR('Raw Data'!G182="",LEN(TRIM('Raw Data'!G182))=0),"",IF(AND(ISNUMBER('Raw Data'!G182), IFERROR('Raw Data'!G182 = ROUND('Raw Data'!G182, 2),FALSE)),"",_xlfn.REGEXEXTRACT(CELL("address",G182), "\$([A-Z]+)\$[0-9]+"))),_xlfn.REGEXEXTRACT(CELL("address",G182), "\$([A-Z]+)\$[0-9]+"))</f>
        <v/>
      </c>
      <c r="H182" s="7" t="str" cm="1">
        <f t="array" aca="1" ref="H182" ca="1">IFERROR(IF(OR('Raw Data'!H182="",LEN(TRIM('Raw Data'!H182))=0),"",IF(AND(ISNUMBER('Raw Data'!H182), IFERROR('Raw Data'!H182 = ROUND('Raw Data'!H182, 2),FALSE)),"",_xlfn.REGEXEXTRACT(CELL("address",H182), "\$([A-Z]+)\$[0-9]+"))),_xlfn.REGEXEXTRACT(CELL("address",H182), "\$([A-Z]+)\$[0-9]+"))</f>
        <v/>
      </c>
      <c r="I182" s="7" t="str" cm="1">
        <f t="array" aca="1" ref="I182" ca="1">IFERROR(IF(OR('Raw Data'!I182="",LEN(TRIM('Raw Data'!I182))=0),"",IF(AND(ISNUMBER('Raw Data'!I182), IFERROR('Raw Data'!I182 = ROUND('Raw Data'!I182, 2),FALSE)),"",_xlfn.REGEXEXTRACT(CELL("address",I182), "\$([A-Z]+)\$[0-9]+"))),_xlfn.REGEXEXTRACT(CELL("address",I182), "\$([A-Z]+)\$[0-9]+"))</f>
        <v/>
      </c>
      <c r="J182" s="7" t="str" cm="1">
        <f t="array" aca="1" ref="J182" ca="1">IFERROR(IF(OR('Raw Data'!J182="",LEN(TRIM('Raw Data'!J182))=0),"",IF(AND(ISNUMBER('Raw Data'!J182), IFERROR('Raw Data'!J182 = ROUND('Raw Data'!J182, 2),FALSE)),"",_xlfn.REGEXEXTRACT(CELL("address",J182), "\$([A-Z]+)\$[0-9]+"))),_xlfn.REGEXEXTRACT(CELL("address",J182), "\$([A-Z]+)\$[0-9]+"))</f>
        <v/>
      </c>
      <c r="K182" s="7" t="str" cm="1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7" t="str" cm="1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7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7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7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7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 cm="1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7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7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7" t="str" cm="1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7" t="str" cm="1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  <c r="Z182" s="7" t="str" cm="1">
        <f t="array" aca="1" ref="Z182" ca="1">IFERROR(IF(OR('Raw Data'!Z182="",LEN(TRIM('Raw Data'!Z182))=0),"",IF(AND(ISNUMBER('Raw Data'!Z182), IFERROR('Raw Data'!Z182 = ROUND('Raw Data'!Z182, 2),FALSE)),"",_xlfn.REGEXEXTRACT(CELL("address",Z182), "\$([A-Z]+)\$[0-9]+"))),_xlfn.REGEXEXTRACT(CELL("address",Z182), "\$([A-Z]+)\$[0-9]+"))</f>
        <v/>
      </c>
      <c r="AA182" s="7" t="str" cm="1">
        <f t="array" aca="1" ref="AA182" ca="1">IFERROR(IF(OR('Raw Data'!AA182="",LEN(TRIM('Raw Data'!AA182))=0),"",IF(AND(ISNUMBER('Raw Data'!AA182), IFERROR('Raw Data'!AA182 = ROUND('Raw Data'!AA182, 2),FALSE)),"",_xlfn.REGEXEXTRACT(CELL("address",AA182), "\$([A-Z]+)\$[0-9]+"))),_xlfn.REGEXEXTRACT(CELL("address",AA182), "\$([A-Z]+)\$[0-9]+"))</f>
        <v/>
      </c>
      <c r="AB182" s="7" t="str" cm="1">
        <f t="array" aca="1" ref="AB182" ca="1">IFERROR(IF(OR('Raw Data'!AB182="",LEN(TRIM('Raw Data'!AB182))=0),"",IF(AND(ISNUMBER('Raw Data'!AB182), IFERROR('Raw Data'!AB182 = ROUND('Raw Data'!AB182, 2),FALSE)),"",_xlfn.REGEXEXTRACT(CELL("address",AB182), "\$([A-Z]+)\$[0-9]+"))),_xlfn.REGEXEXTRACT(CELL("address",AB182), "\$([A-Z]+)\$[0-9]+"))</f>
        <v/>
      </c>
      <c r="AC182" s="7" t="str" cm="1">
        <f t="array" aca="1" ref="AC182" ca="1">IFERROR(IF(OR('Raw Data'!AC182="",LEN(TRIM('Raw Data'!AC182))=0),"",IF(AND(ISNUMBER('Raw Data'!AC182), IFERROR('Raw Data'!AC182 = ROUND('Raw Data'!AC182, 2),FALSE)),"",_xlfn.REGEXEXTRACT(CELL("address",AC182), "\$([A-Z]+)\$[0-9]+"))),_xlfn.REGEXEXTRACT(CELL("address",AC182), "\$([A-Z]+)\$[0-9]+"))</f>
        <v/>
      </c>
      <c r="AD182" s="7" t="str" cm="1">
        <f t="array" aca="1" ref="AD182" ca="1">IFERROR(IF(OR('Raw Data'!AD182="",LEN(TRIM('Raw Data'!AD182))=0),"",IF(AND(ISNUMBER('Raw Data'!AD182), IFERROR('Raw Data'!AD182 = ROUND('Raw Data'!AD182, 2),FALSE)),"",_xlfn.REGEXEXTRACT(CELL("address",AD182), "\$([A-Z]+)\$[0-9]+"))),_xlfn.REGEXEXTRACT(CELL("address",AD182), "\$([A-Z]+)\$[0-9]+"))</f>
        <v/>
      </c>
      <c r="AE182" s="7" t="str" cm="1">
        <f t="array" aca="1" ref="AE182" ca="1">IFERROR(IF(OR('Raw Data'!AE182="",LEN(TRIM('Raw Data'!AE182))=0),"",IF(AND(ISNUMBER('Raw Data'!AE182), IFERROR('Raw Data'!AE182 = ROUND('Raw Data'!AE182, 2),FALSE)),"",_xlfn.REGEXEXTRACT(CELL("address",AE182), "\$([A-Z]+)\$[0-9]+"))),_xlfn.REGEXEXTRACT(CELL("address",AE182), "\$([A-Z]+)\$[0-9]+"))</f>
        <v/>
      </c>
      <c r="AF182" s="7" t="str" cm="1">
        <f t="array" aca="1" ref="AF182" ca="1">IFERROR(IF(OR('Raw Data'!AF182="",LEN(TRIM('Raw Data'!AF182))=0),"",IF(AND(ISNUMBER('Raw Data'!AF182), IFERROR('Raw Data'!AF182 = ROUND('Raw Data'!AF182, 2),FALSE)),"",_xlfn.REGEXEXTRACT(CELL("address",AF182), "\$([A-Z]+)\$[0-9]+"))),_xlfn.REGEXEXTRACT(CELL("address",AF182), "\$([A-Z]+)\$[0-9]+"))</f>
        <v/>
      </c>
      <c r="AG182" s="7" t="str" cm="1">
        <f t="array" aca="1" ref="AG182" ca="1">IFERROR(IF(OR('Raw Data'!AG182="",LEN(TRIM('Raw Data'!AG182))=0),"",IF(AND(ISNUMBER('Raw Data'!AG182), IFERROR('Raw Data'!AG182 = ROUND('Raw Data'!AG182, 2),FALSE)),"",_xlfn.REGEXEXTRACT(CELL("address",AG182), "\$([A-Z]+)\$[0-9]+"))),_xlfn.REGEXEXTRACT(CELL("address",AG182), "\$([A-Z]+)\$[0-9]+"))</f>
        <v/>
      </c>
      <c r="AH182" s="7" t="str" cm="1">
        <f t="array" aca="1" ref="AH182" ca="1">IFERROR(IF(OR('Raw Data'!AH182="",LEN(TRIM('Raw Data'!AH182))=0),"",IF(AND(ISNUMBER('Raw Data'!AH182), IFERROR('Raw Data'!AH182 = ROUND('Raw Data'!AH182, 2),FALSE)),"",_xlfn.REGEXEXTRACT(CELL("address",AH182), "\$([A-Z]+)\$[0-9]+"))),_xlfn.REGEXEXTRACT(CELL("address",AH182), "\$([A-Z]+)\$[0-9]+"))</f>
        <v/>
      </c>
      <c r="AI182" s="7" t="str" cm="1">
        <f t="array" aca="1" ref="AI182" ca="1">IFERROR(IF(OR('Raw Data'!AI182="",LEN(TRIM('Raw Data'!AI182))=0),"",IF(AND(ISNUMBER('Raw Data'!AI182), IFERROR('Raw Data'!AI182 = ROUND('Raw Data'!AI182, 2),FALSE)),"",_xlfn.REGEXEXTRACT(CELL("address",AI182), "\$([A-Z]+)\$[0-9]+"))),_xlfn.REGEXEXTRACT(CELL("address",AI182), "\$([A-Z]+)\$[0-9]+"))</f>
        <v/>
      </c>
      <c r="AJ182" s="7" t="str" cm="1">
        <f t="array" aca="1" ref="AJ182" ca="1">IFERROR(IF(OR('Raw Data'!AJ182="",LEN(TRIM('Raw Data'!AJ182))=0),"",IF(AND(ISNUMBER('Raw Data'!AJ182), IFERROR('Raw Data'!AJ182 = ROUND('Raw Data'!AJ182, 2),FALSE)),"",_xlfn.REGEXEXTRACT(CELL("address",AJ182), "\$([A-Z]+)\$[0-9]+"))),_xlfn.REGEXEXTRACT(CELL("address",AJ182), "\$([A-Z]+)\$[0-9]+"))</f>
        <v/>
      </c>
    </row>
    <row r="183" spans="2:36" x14ac:dyDescent="0.25">
      <c r="B183" s="7" t="str" cm="1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20,LEN('Raw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Data'!D183))=0),"",IF(AND(ISNUMBER('Raw Data'!D183),'Raw Data'!D183&gt;=Configuration!$D$2),"",_xlfn.REGEXEXTRACT(CELL("address",'Raw Data'!D183),"\$([A-Z]+)\$[0-9]+"))),_xlfn.REGEXEXTRACT(CELL("address",D183), "\$([A-Z]+)\$[0-9]+"))</f>
        <v/>
      </c>
      <c r="E183" s="7" t="str" cm="1">
        <f t="array" aca="1" ref="E183" ca="1">IFERROR(IF(OR('Raw Data'!E183="",LEN(TRIM('Raw Data'!E183))=0),"",IF(AND(ISNUMBER('Raw Data'!E183), IFERROR('Raw Data'!E183 = ROUND('Raw Data'!E183, 2),FALSE)),"",_xlfn.REGEXEXTRACT(CELL("address",E183), "\$([A-Z]+)\$[0-9]+"))),_xlfn.REGEXEXTRACT(CELL("address",E183), "\$([A-Z]+)\$[0-9]+"))</f>
        <v/>
      </c>
      <c r="F183" s="7" t="str" cm="1">
        <f t="array" aca="1" ref="F183" ca="1">IFERROR(IF(OR('Raw Data'!F183="",LEN(TRIM('Raw Data'!F183))=0),"",IF(AND(ISNUMBER('Raw Data'!F183), IFERROR('Raw Data'!F183 = ROUND('Raw Data'!F183, 2),FALSE)),"",_xlfn.REGEXEXTRACT(CELL("address",F183), "\$([A-Z]+)\$[0-9]+"))),_xlfn.REGEXEXTRACT(CELL("address",F183), "\$([A-Z]+)\$[0-9]+"))</f>
        <v/>
      </c>
      <c r="G183" s="7" t="str" cm="1">
        <f t="array" aca="1" ref="G183" ca="1">IFERROR(IF(OR('Raw Data'!G183="",LEN(TRIM('Raw Data'!G183))=0),"",IF(AND(ISNUMBER('Raw Data'!G183), IFERROR('Raw Data'!G183 = ROUND('Raw Data'!G183, 2),FALSE)),"",_xlfn.REGEXEXTRACT(CELL("address",G183), "\$([A-Z]+)\$[0-9]+"))),_xlfn.REGEXEXTRACT(CELL("address",G183), "\$([A-Z]+)\$[0-9]+"))</f>
        <v/>
      </c>
      <c r="H183" s="7" t="str" cm="1">
        <f t="array" aca="1" ref="H183" ca="1">IFERROR(IF(OR('Raw Data'!H183="",LEN(TRIM('Raw Data'!H183))=0),"",IF(AND(ISNUMBER('Raw Data'!H183), IFERROR('Raw Data'!H183 = ROUND('Raw Data'!H183, 2),FALSE)),"",_xlfn.REGEXEXTRACT(CELL("address",H183), "\$([A-Z]+)\$[0-9]+"))),_xlfn.REGEXEXTRACT(CELL("address",H183), "\$([A-Z]+)\$[0-9]+"))</f>
        <v/>
      </c>
      <c r="I183" s="7" t="str" cm="1">
        <f t="array" aca="1" ref="I183" ca="1">IFERROR(IF(OR('Raw Data'!I183="",LEN(TRIM('Raw Data'!I183))=0),"",IF(AND(ISNUMBER('Raw Data'!I183), IFERROR('Raw Data'!I183 = ROUND('Raw Data'!I183, 2),FALSE)),"",_xlfn.REGEXEXTRACT(CELL("address",I183), "\$([A-Z]+)\$[0-9]+"))),_xlfn.REGEXEXTRACT(CELL("address",I183), "\$([A-Z]+)\$[0-9]+"))</f>
        <v/>
      </c>
      <c r="J183" s="7" t="str" cm="1">
        <f t="array" aca="1" ref="J183" ca="1">IFERROR(IF(OR('Raw Data'!J183="",LEN(TRIM('Raw Data'!J183))=0),"",IF(AND(ISNUMBER('Raw Data'!J183), IFERROR('Raw Data'!J183 = ROUND('Raw Data'!J183, 2),FALSE)),"",_xlfn.REGEXEXTRACT(CELL("address",J183), "\$([A-Z]+)\$[0-9]+"))),_xlfn.REGEXEXTRACT(CELL("address",J183), "\$([A-Z]+)\$[0-9]+"))</f>
        <v/>
      </c>
      <c r="K183" s="7" t="str" cm="1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7" t="str" cm="1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7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7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7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7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 cm="1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7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7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7" t="str" cm="1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7" t="str" cm="1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  <c r="Z183" s="7" t="str" cm="1">
        <f t="array" aca="1" ref="Z183" ca="1">IFERROR(IF(OR('Raw Data'!Z183="",LEN(TRIM('Raw Data'!Z183))=0),"",IF(AND(ISNUMBER('Raw Data'!Z183), IFERROR('Raw Data'!Z183 = ROUND('Raw Data'!Z183, 2),FALSE)),"",_xlfn.REGEXEXTRACT(CELL("address",Z183), "\$([A-Z]+)\$[0-9]+"))),_xlfn.REGEXEXTRACT(CELL("address",Z183), "\$([A-Z]+)\$[0-9]+"))</f>
        <v/>
      </c>
      <c r="AA183" s="7" t="str" cm="1">
        <f t="array" aca="1" ref="AA183" ca="1">IFERROR(IF(OR('Raw Data'!AA183="",LEN(TRIM('Raw Data'!AA183))=0),"",IF(AND(ISNUMBER('Raw Data'!AA183), IFERROR('Raw Data'!AA183 = ROUND('Raw Data'!AA183, 2),FALSE)),"",_xlfn.REGEXEXTRACT(CELL("address",AA183), "\$([A-Z]+)\$[0-9]+"))),_xlfn.REGEXEXTRACT(CELL("address",AA183), "\$([A-Z]+)\$[0-9]+"))</f>
        <v/>
      </c>
      <c r="AB183" s="7" t="str" cm="1">
        <f t="array" aca="1" ref="AB183" ca="1">IFERROR(IF(OR('Raw Data'!AB183="",LEN(TRIM('Raw Data'!AB183))=0),"",IF(AND(ISNUMBER('Raw Data'!AB183), IFERROR('Raw Data'!AB183 = ROUND('Raw Data'!AB183, 2),FALSE)),"",_xlfn.REGEXEXTRACT(CELL("address",AB183), "\$([A-Z]+)\$[0-9]+"))),_xlfn.REGEXEXTRACT(CELL("address",AB183), "\$([A-Z]+)\$[0-9]+"))</f>
        <v/>
      </c>
      <c r="AC183" s="7" t="str" cm="1">
        <f t="array" aca="1" ref="AC183" ca="1">IFERROR(IF(OR('Raw Data'!AC183="",LEN(TRIM('Raw Data'!AC183))=0),"",IF(AND(ISNUMBER('Raw Data'!AC183), IFERROR('Raw Data'!AC183 = ROUND('Raw Data'!AC183, 2),FALSE)),"",_xlfn.REGEXEXTRACT(CELL("address",AC183), "\$([A-Z]+)\$[0-9]+"))),_xlfn.REGEXEXTRACT(CELL("address",AC183), "\$([A-Z]+)\$[0-9]+"))</f>
        <v/>
      </c>
      <c r="AD183" s="7" t="str" cm="1">
        <f t="array" aca="1" ref="AD183" ca="1">IFERROR(IF(OR('Raw Data'!AD183="",LEN(TRIM('Raw Data'!AD183))=0),"",IF(AND(ISNUMBER('Raw Data'!AD183), IFERROR('Raw Data'!AD183 = ROUND('Raw Data'!AD183, 2),FALSE)),"",_xlfn.REGEXEXTRACT(CELL("address",AD183), "\$([A-Z]+)\$[0-9]+"))),_xlfn.REGEXEXTRACT(CELL("address",AD183), "\$([A-Z]+)\$[0-9]+"))</f>
        <v/>
      </c>
      <c r="AE183" s="7" t="str" cm="1">
        <f t="array" aca="1" ref="AE183" ca="1">IFERROR(IF(OR('Raw Data'!AE183="",LEN(TRIM('Raw Data'!AE183))=0),"",IF(AND(ISNUMBER('Raw Data'!AE183), IFERROR('Raw Data'!AE183 = ROUND('Raw Data'!AE183, 2),FALSE)),"",_xlfn.REGEXEXTRACT(CELL("address",AE183), "\$([A-Z]+)\$[0-9]+"))),_xlfn.REGEXEXTRACT(CELL("address",AE183), "\$([A-Z]+)\$[0-9]+"))</f>
        <v/>
      </c>
      <c r="AF183" s="7" t="str" cm="1">
        <f t="array" aca="1" ref="AF183" ca="1">IFERROR(IF(OR('Raw Data'!AF183="",LEN(TRIM('Raw Data'!AF183))=0),"",IF(AND(ISNUMBER('Raw Data'!AF183), IFERROR('Raw Data'!AF183 = ROUND('Raw Data'!AF183, 2),FALSE)),"",_xlfn.REGEXEXTRACT(CELL("address",AF183), "\$([A-Z]+)\$[0-9]+"))),_xlfn.REGEXEXTRACT(CELL("address",AF183), "\$([A-Z]+)\$[0-9]+"))</f>
        <v/>
      </c>
      <c r="AG183" s="7" t="str" cm="1">
        <f t="array" aca="1" ref="AG183" ca="1">IFERROR(IF(OR('Raw Data'!AG183="",LEN(TRIM('Raw Data'!AG183))=0),"",IF(AND(ISNUMBER('Raw Data'!AG183), IFERROR('Raw Data'!AG183 = ROUND('Raw Data'!AG183, 2),FALSE)),"",_xlfn.REGEXEXTRACT(CELL("address",AG183), "\$([A-Z]+)\$[0-9]+"))),_xlfn.REGEXEXTRACT(CELL("address",AG183), "\$([A-Z]+)\$[0-9]+"))</f>
        <v/>
      </c>
      <c r="AH183" s="7" t="str" cm="1">
        <f t="array" aca="1" ref="AH183" ca="1">IFERROR(IF(OR('Raw Data'!AH183="",LEN(TRIM('Raw Data'!AH183))=0),"",IF(AND(ISNUMBER('Raw Data'!AH183), IFERROR('Raw Data'!AH183 = ROUND('Raw Data'!AH183, 2),FALSE)),"",_xlfn.REGEXEXTRACT(CELL("address",AH183), "\$([A-Z]+)\$[0-9]+"))),_xlfn.REGEXEXTRACT(CELL("address",AH183), "\$([A-Z]+)\$[0-9]+"))</f>
        <v/>
      </c>
      <c r="AI183" s="7" t="str" cm="1">
        <f t="array" aca="1" ref="AI183" ca="1">IFERROR(IF(OR('Raw Data'!AI183="",LEN(TRIM('Raw Data'!AI183))=0),"",IF(AND(ISNUMBER('Raw Data'!AI183), IFERROR('Raw Data'!AI183 = ROUND('Raw Data'!AI183, 2),FALSE)),"",_xlfn.REGEXEXTRACT(CELL("address",AI183), "\$([A-Z]+)\$[0-9]+"))),_xlfn.REGEXEXTRACT(CELL("address",AI183), "\$([A-Z]+)\$[0-9]+"))</f>
        <v/>
      </c>
      <c r="AJ183" s="7" t="str" cm="1">
        <f t="array" aca="1" ref="AJ183" ca="1">IFERROR(IF(OR('Raw Data'!AJ183="",LEN(TRIM('Raw Data'!AJ183))=0),"",IF(AND(ISNUMBER('Raw Data'!AJ183), IFERROR('Raw Data'!AJ183 = ROUND('Raw Data'!AJ183, 2),FALSE)),"",_xlfn.REGEXEXTRACT(CELL("address",AJ183), "\$([A-Z]+)\$[0-9]+"))),_xlfn.REGEXEXTRACT(CELL("address",AJ183), "\$([A-Z]+)\$[0-9]+"))</f>
        <v/>
      </c>
    </row>
    <row r="184" spans="2:36" x14ac:dyDescent="0.25">
      <c r="B184" s="7" t="str" cm="1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20,LEN('Raw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Data'!D184))=0),"",IF(AND(ISNUMBER('Raw Data'!D184),'Raw Data'!D184&gt;=Configuration!$D$2),"",_xlfn.REGEXEXTRACT(CELL("address",'Raw Data'!D184),"\$([A-Z]+)\$[0-9]+"))),_xlfn.REGEXEXTRACT(CELL("address",D184), "\$([A-Z]+)\$[0-9]+"))</f>
        <v/>
      </c>
      <c r="E184" s="7" t="str" cm="1">
        <f t="array" aca="1" ref="E184" ca="1">IFERROR(IF(OR('Raw Data'!E184="",LEN(TRIM('Raw Data'!E184))=0),"",IF(AND(ISNUMBER('Raw Data'!E184), IFERROR('Raw Data'!E184 = ROUND('Raw Data'!E184, 2),FALSE)),"",_xlfn.REGEXEXTRACT(CELL("address",E184), "\$([A-Z]+)\$[0-9]+"))),_xlfn.REGEXEXTRACT(CELL("address",E184), "\$([A-Z]+)\$[0-9]+"))</f>
        <v/>
      </c>
      <c r="F184" s="7" t="str" cm="1">
        <f t="array" aca="1" ref="F184" ca="1">IFERROR(IF(OR('Raw Data'!F184="",LEN(TRIM('Raw Data'!F184))=0),"",IF(AND(ISNUMBER('Raw Data'!F184), IFERROR('Raw Data'!F184 = ROUND('Raw Data'!F184, 2),FALSE)),"",_xlfn.REGEXEXTRACT(CELL("address",F184), "\$([A-Z]+)\$[0-9]+"))),_xlfn.REGEXEXTRACT(CELL("address",F184), "\$([A-Z]+)\$[0-9]+"))</f>
        <v/>
      </c>
      <c r="G184" s="7" t="str" cm="1">
        <f t="array" aca="1" ref="G184" ca="1">IFERROR(IF(OR('Raw Data'!G184="",LEN(TRIM('Raw Data'!G184))=0),"",IF(AND(ISNUMBER('Raw Data'!G184), IFERROR('Raw Data'!G184 = ROUND('Raw Data'!G184, 2),FALSE)),"",_xlfn.REGEXEXTRACT(CELL("address",G184), "\$([A-Z]+)\$[0-9]+"))),_xlfn.REGEXEXTRACT(CELL("address",G184), "\$([A-Z]+)\$[0-9]+"))</f>
        <v/>
      </c>
      <c r="H184" s="7" t="str" cm="1">
        <f t="array" aca="1" ref="H184" ca="1">IFERROR(IF(OR('Raw Data'!H184="",LEN(TRIM('Raw Data'!H184))=0),"",IF(AND(ISNUMBER('Raw Data'!H184), IFERROR('Raw Data'!H184 = ROUND('Raw Data'!H184, 2),FALSE)),"",_xlfn.REGEXEXTRACT(CELL("address",H184), "\$([A-Z]+)\$[0-9]+"))),_xlfn.REGEXEXTRACT(CELL("address",H184), "\$([A-Z]+)\$[0-9]+"))</f>
        <v/>
      </c>
      <c r="I184" s="7" t="str" cm="1">
        <f t="array" aca="1" ref="I184" ca="1">IFERROR(IF(OR('Raw Data'!I184="",LEN(TRIM('Raw Data'!I184))=0),"",IF(AND(ISNUMBER('Raw Data'!I184), IFERROR('Raw Data'!I184 = ROUND('Raw Data'!I184, 2),FALSE)),"",_xlfn.REGEXEXTRACT(CELL("address",I184), "\$([A-Z]+)\$[0-9]+"))),_xlfn.REGEXEXTRACT(CELL("address",I184), "\$([A-Z]+)\$[0-9]+"))</f>
        <v/>
      </c>
      <c r="J184" s="7" t="str" cm="1">
        <f t="array" aca="1" ref="J184" ca="1">IFERROR(IF(OR('Raw Data'!J184="",LEN(TRIM('Raw Data'!J184))=0),"",IF(AND(ISNUMBER('Raw Data'!J184), IFERROR('Raw Data'!J184 = ROUND('Raw Data'!J184, 2),FALSE)),"",_xlfn.REGEXEXTRACT(CELL("address",J184), "\$([A-Z]+)\$[0-9]+"))),_xlfn.REGEXEXTRACT(CELL("address",J184), "\$([A-Z]+)\$[0-9]+"))</f>
        <v/>
      </c>
      <c r="K184" s="7" t="str" cm="1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7" t="str" cm="1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7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7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7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7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 cm="1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7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7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7" t="str" cm="1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7" t="str" cm="1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  <c r="Z184" s="7" t="str" cm="1">
        <f t="array" aca="1" ref="Z184" ca="1">IFERROR(IF(OR('Raw Data'!Z184="",LEN(TRIM('Raw Data'!Z184))=0),"",IF(AND(ISNUMBER('Raw Data'!Z184), IFERROR('Raw Data'!Z184 = ROUND('Raw Data'!Z184, 2),FALSE)),"",_xlfn.REGEXEXTRACT(CELL("address",Z184), "\$([A-Z]+)\$[0-9]+"))),_xlfn.REGEXEXTRACT(CELL("address",Z184), "\$([A-Z]+)\$[0-9]+"))</f>
        <v/>
      </c>
      <c r="AA184" s="7" t="str" cm="1">
        <f t="array" aca="1" ref="AA184" ca="1">IFERROR(IF(OR('Raw Data'!AA184="",LEN(TRIM('Raw Data'!AA184))=0),"",IF(AND(ISNUMBER('Raw Data'!AA184), IFERROR('Raw Data'!AA184 = ROUND('Raw Data'!AA184, 2),FALSE)),"",_xlfn.REGEXEXTRACT(CELL("address",AA184), "\$([A-Z]+)\$[0-9]+"))),_xlfn.REGEXEXTRACT(CELL("address",AA184), "\$([A-Z]+)\$[0-9]+"))</f>
        <v/>
      </c>
      <c r="AB184" s="7" t="str" cm="1">
        <f t="array" aca="1" ref="AB184" ca="1">IFERROR(IF(OR('Raw Data'!AB184="",LEN(TRIM('Raw Data'!AB184))=0),"",IF(AND(ISNUMBER('Raw Data'!AB184), IFERROR('Raw Data'!AB184 = ROUND('Raw Data'!AB184, 2),FALSE)),"",_xlfn.REGEXEXTRACT(CELL("address",AB184), "\$([A-Z]+)\$[0-9]+"))),_xlfn.REGEXEXTRACT(CELL("address",AB184), "\$([A-Z]+)\$[0-9]+"))</f>
        <v/>
      </c>
      <c r="AC184" s="7" t="str" cm="1">
        <f t="array" aca="1" ref="AC184" ca="1">IFERROR(IF(OR('Raw Data'!AC184="",LEN(TRIM('Raw Data'!AC184))=0),"",IF(AND(ISNUMBER('Raw Data'!AC184), IFERROR('Raw Data'!AC184 = ROUND('Raw Data'!AC184, 2),FALSE)),"",_xlfn.REGEXEXTRACT(CELL("address",AC184), "\$([A-Z]+)\$[0-9]+"))),_xlfn.REGEXEXTRACT(CELL("address",AC184), "\$([A-Z]+)\$[0-9]+"))</f>
        <v/>
      </c>
      <c r="AD184" s="7" t="str" cm="1">
        <f t="array" aca="1" ref="AD184" ca="1">IFERROR(IF(OR('Raw Data'!AD184="",LEN(TRIM('Raw Data'!AD184))=0),"",IF(AND(ISNUMBER('Raw Data'!AD184), IFERROR('Raw Data'!AD184 = ROUND('Raw Data'!AD184, 2),FALSE)),"",_xlfn.REGEXEXTRACT(CELL("address",AD184), "\$([A-Z]+)\$[0-9]+"))),_xlfn.REGEXEXTRACT(CELL("address",AD184), "\$([A-Z]+)\$[0-9]+"))</f>
        <v/>
      </c>
      <c r="AE184" s="7" t="str" cm="1">
        <f t="array" aca="1" ref="AE184" ca="1">IFERROR(IF(OR('Raw Data'!AE184="",LEN(TRIM('Raw Data'!AE184))=0),"",IF(AND(ISNUMBER('Raw Data'!AE184), IFERROR('Raw Data'!AE184 = ROUND('Raw Data'!AE184, 2),FALSE)),"",_xlfn.REGEXEXTRACT(CELL("address",AE184), "\$([A-Z]+)\$[0-9]+"))),_xlfn.REGEXEXTRACT(CELL("address",AE184), "\$([A-Z]+)\$[0-9]+"))</f>
        <v/>
      </c>
      <c r="AF184" s="7" t="str" cm="1">
        <f t="array" aca="1" ref="AF184" ca="1">IFERROR(IF(OR('Raw Data'!AF184="",LEN(TRIM('Raw Data'!AF184))=0),"",IF(AND(ISNUMBER('Raw Data'!AF184), IFERROR('Raw Data'!AF184 = ROUND('Raw Data'!AF184, 2),FALSE)),"",_xlfn.REGEXEXTRACT(CELL("address",AF184), "\$([A-Z]+)\$[0-9]+"))),_xlfn.REGEXEXTRACT(CELL("address",AF184), "\$([A-Z]+)\$[0-9]+"))</f>
        <v/>
      </c>
      <c r="AG184" s="7" t="str" cm="1">
        <f t="array" aca="1" ref="AG184" ca="1">IFERROR(IF(OR('Raw Data'!AG184="",LEN(TRIM('Raw Data'!AG184))=0),"",IF(AND(ISNUMBER('Raw Data'!AG184), IFERROR('Raw Data'!AG184 = ROUND('Raw Data'!AG184, 2),FALSE)),"",_xlfn.REGEXEXTRACT(CELL("address",AG184), "\$([A-Z]+)\$[0-9]+"))),_xlfn.REGEXEXTRACT(CELL("address",AG184), "\$([A-Z]+)\$[0-9]+"))</f>
        <v/>
      </c>
      <c r="AH184" s="7" t="str" cm="1">
        <f t="array" aca="1" ref="AH184" ca="1">IFERROR(IF(OR('Raw Data'!AH184="",LEN(TRIM('Raw Data'!AH184))=0),"",IF(AND(ISNUMBER('Raw Data'!AH184), IFERROR('Raw Data'!AH184 = ROUND('Raw Data'!AH184, 2),FALSE)),"",_xlfn.REGEXEXTRACT(CELL("address",AH184), "\$([A-Z]+)\$[0-9]+"))),_xlfn.REGEXEXTRACT(CELL("address",AH184), "\$([A-Z]+)\$[0-9]+"))</f>
        <v/>
      </c>
      <c r="AI184" s="7" t="str" cm="1">
        <f t="array" aca="1" ref="AI184" ca="1">IFERROR(IF(OR('Raw Data'!AI184="",LEN(TRIM('Raw Data'!AI184))=0),"",IF(AND(ISNUMBER('Raw Data'!AI184), IFERROR('Raw Data'!AI184 = ROUND('Raw Data'!AI184, 2),FALSE)),"",_xlfn.REGEXEXTRACT(CELL("address",AI184), "\$([A-Z]+)\$[0-9]+"))),_xlfn.REGEXEXTRACT(CELL("address",AI184), "\$([A-Z]+)\$[0-9]+"))</f>
        <v/>
      </c>
      <c r="AJ184" s="7" t="str" cm="1">
        <f t="array" aca="1" ref="AJ184" ca="1">IFERROR(IF(OR('Raw Data'!AJ184="",LEN(TRIM('Raw Data'!AJ184))=0),"",IF(AND(ISNUMBER('Raw Data'!AJ184), IFERROR('Raw Data'!AJ184 = ROUND('Raw Data'!AJ184, 2),FALSE)),"",_xlfn.REGEXEXTRACT(CELL("address",AJ184), "\$([A-Z]+)\$[0-9]+"))),_xlfn.REGEXEXTRACT(CELL("address",AJ184), "\$([A-Z]+)\$[0-9]+"))</f>
        <v/>
      </c>
    </row>
    <row r="185" spans="2:36" x14ac:dyDescent="0.25">
      <c r="B185" s="7" t="str" cm="1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20,LEN('Raw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Data'!D185))=0),"",IF(AND(ISNUMBER('Raw Data'!D185),'Raw Data'!D185&gt;=Configuration!$D$2),"",_xlfn.REGEXEXTRACT(CELL("address",'Raw Data'!D185),"\$([A-Z]+)\$[0-9]+"))),_xlfn.REGEXEXTRACT(CELL("address",D185), "\$([A-Z]+)\$[0-9]+"))</f>
        <v/>
      </c>
      <c r="E185" s="7" t="str" cm="1">
        <f t="array" aca="1" ref="E185" ca="1">IFERROR(IF(OR('Raw Data'!E185="",LEN(TRIM('Raw Data'!E185))=0),"",IF(AND(ISNUMBER('Raw Data'!E185), IFERROR('Raw Data'!E185 = ROUND('Raw Data'!E185, 2),FALSE)),"",_xlfn.REGEXEXTRACT(CELL("address",E185), "\$([A-Z]+)\$[0-9]+"))),_xlfn.REGEXEXTRACT(CELL("address",E185), "\$([A-Z]+)\$[0-9]+"))</f>
        <v/>
      </c>
      <c r="F185" s="7" t="str" cm="1">
        <f t="array" aca="1" ref="F185" ca="1">IFERROR(IF(OR('Raw Data'!F185="",LEN(TRIM('Raw Data'!F185))=0),"",IF(AND(ISNUMBER('Raw Data'!F185), IFERROR('Raw Data'!F185 = ROUND('Raw Data'!F185, 2),FALSE)),"",_xlfn.REGEXEXTRACT(CELL("address",F185), "\$([A-Z]+)\$[0-9]+"))),_xlfn.REGEXEXTRACT(CELL("address",F185), "\$([A-Z]+)\$[0-9]+"))</f>
        <v/>
      </c>
      <c r="G185" s="7" t="str" cm="1">
        <f t="array" aca="1" ref="G185" ca="1">IFERROR(IF(OR('Raw Data'!G185="",LEN(TRIM('Raw Data'!G185))=0),"",IF(AND(ISNUMBER('Raw Data'!G185), IFERROR('Raw Data'!G185 = ROUND('Raw Data'!G185, 2),FALSE)),"",_xlfn.REGEXEXTRACT(CELL("address",G185), "\$([A-Z]+)\$[0-9]+"))),_xlfn.REGEXEXTRACT(CELL("address",G185), "\$([A-Z]+)\$[0-9]+"))</f>
        <v/>
      </c>
      <c r="H185" s="7" t="str" cm="1">
        <f t="array" aca="1" ref="H185" ca="1">IFERROR(IF(OR('Raw Data'!H185="",LEN(TRIM('Raw Data'!H185))=0),"",IF(AND(ISNUMBER('Raw Data'!H185), IFERROR('Raw Data'!H185 = ROUND('Raw Data'!H185, 2),FALSE)),"",_xlfn.REGEXEXTRACT(CELL("address",H185), "\$([A-Z]+)\$[0-9]+"))),_xlfn.REGEXEXTRACT(CELL("address",H185), "\$([A-Z]+)\$[0-9]+"))</f>
        <v/>
      </c>
      <c r="I185" s="7" t="str" cm="1">
        <f t="array" aca="1" ref="I185" ca="1">IFERROR(IF(OR('Raw Data'!I185="",LEN(TRIM('Raw Data'!I185))=0),"",IF(AND(ISNUMBER('Raw Data'!I185), IFERROR('Raw Data'!I185 = ROUND('Raw Data'!I185, 2),FALSE)),"",_xlfn.REGEXEXTRACT(CELL("address",I185), "\$([A-Z]+)\$[0-9]+"))),_xlfn.REGEXEXTRACT(CELL("address",I185), "\$([A-Z]+)\$[0-9]+"))</f>
        <v/>
      </c>
      <c r="J185" s="7" t="str" cm="1">
        <f t="array" aca="1" ref="J185" ca="1">IFERROR(IF(OR('Raw Data'!J185="",LEN(TRIM('Raw Data'!J185))=0),"",IF(AND(ISNUMBER('Raw Data'!J185), IFERROR('Raw Data'!J185 = ROUND('Raw Data'!J185, 2),FALSE)),"",_xlfn.REGEXEXTRACT(CELL("address",J185), "\$([A-Z]+)\$[0-9]+"))),_xlfn.REGEXEXTRACT(CELL("address",J185), "\$([A-Z]+)\$[0-9]+"))</f>
        <v/>
      </c>
      <c r="K185" s="7" t="str" cm="1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7" t="str" cm="1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7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7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7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7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 cm="1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7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7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7" t="str" cm="1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7" t="str" cm="1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  <c r="Z185" s="7" t="str" cm="1">
        <f t="array" aca="1" ref="Z185" ca="1">IFERROR(IF(OR('Raw Data'!Z185="",LEN(TRIM('Raw Data'!Z185))=0),"",IF(AND(ISNUMBER('Raw Data'!Z185), IFERROR('Raw Data'!Z185 = ROUND('Raw Data'!Z185, 2),FALSE)),"",_xlfn.REGEXEXTRACT(CELL("address",Z185), "\$([A-Z]+)\$[0-9]+"))),_xlfn.REGEXEXTRACT(CELL("address",Z185), "\$([A-Z]+)\$[0-9]+"))</f>
        <v/>
      </c>
      <c r="AA185" s="7" t="str" cm="1">
        <f t="array" aca="1" ref="AA185" ca="1">IFERROR(IF(OR('Raw Data'!AA185="",LEN(TRIM('Raw Data'!AA185))=0),"",IF(AND(ISNUMBER('Raw Data'!AA185), IFERROR('Raw Data'!AA185 = ROUND('Raw Data'!AA185, 2),FALSE)),"",_xlfn.REGEXEXTRACT(CELL("address",AA185), "\$([A-Z]+)\$[0-9]+"))),_xlfn.REGEXEXTRACT(CELL("address",AA185), "\$([A-Z]+)\$[0-9]+"))</f>
        <v/>
      </c>
      <c r="AB185" s="7" t="str" cm="1">
        <f t="array" aca="1" ref="AB185" ca="1">IFERROR(IF(OR('Raw Data'!AB185="",LEN(TRIM('Raw Data'!AB185))=0),"",IF(AND(ISNUMBER('Raw Data'!AB185), IFERROR('Raw Data'!AB185 = ROUND('Raw Data'!AB185, 2),FALSE)),"",_xlfn.REGEXEXTRACT(CELL("address",AB185), "\$([A-Z]+)\$[0-9]+"))),_xlfn.REGEXEXTRACT(CELL("address",AB185), "\$([A-Z]+)\$[0-9]+"))</f>
        <v/>
      </c>
      <c r="AC185" s="7" t="str" cm="1">
        <f t="array" aca="1" ref="AC185" ca="1">IFERROR(IF(OR('Raw Data'!AC185="",LEN(TRIM('Raw Data'!AC185))=0),"",IF(AND(ISNUMBER('Raw Data'!AC185), IFERROR('Raw Data'!AC185 = ROUND('Raw Data'!AC185, 2),FALSE)),"",_xlfn.REGEXEXTRACT(CELL("address",AC185), "\$([A-Z]+)\$[0-9]+"))),_xlfn.REGEXEXTRACT(CELL("address",AC185), "\$([A-Z]+)\$[0-9]+"))</f>
        <v/>
      </c>
      <c r="AD185" s="7" t="str" cm="1">
        <f t="array" aca="1" ref="AD185" ca="1">IFERROR(IF(OR('Raw Data'!AD185="",LEN(TRIM('Raw Data'!AD185))=0),"",IF(AND(ISNUMBER('Raw Data'!AD185), IFERROR('Raw Data'!AD185 = ROUND('Raw Data'!AD185, 2),FALSE)),"",_xlfn.REGEXEXTRACT(CELL("address",AD185), "\$([A-Z]+)\$[0-9]+"))),_xlfn.REGEXEXTRACT(CELL("address",AD185), "\$([A-Z]+)\$[0-9]+"))</f>
        <v/>
      </c>
      <c r="AE185" s="7" t="str" cm="1">
        <f t="array" aca="1" ref="AE185" ca="1">IFERROR(IF(OR('Raw Data'!AE185="",LEN(TRIM('Raw Data'!AE185))=0),"",IF(AND(ISNUMBER('Raw Data'!AE185), IFERROR('Raw Data'!AE185 = ROUND('Raw Data'!AE185, 2),FALSE)),"",_xlfn.REGEXEXTRACT(CELL("address",AE185), "\$([A-Z]+)\$[0-9]+"))),_xlfn.REGEXEXTRACT(CELL("address",AE185), "\$([A-Z]+)\$[0-9]+"))</f>
        <v/>
      </c>
      <c r="AF185" s="7" t="str" cm="1">
        <f t="array" aca="1" ref="AF185" ca="1">IFERROR(IF(OR('Raw Data'!AF185="",LEN(TRIM('Raw Data'!AF185))=0),"",IF(AND(ISNUMBER('Raw Data'!AF185), IFERROR('Raw Data'!AF185 = ROUND('Raw Data'!AF185, 2),FALSE)),"",_xlfn.REGEXEXTRACT(CELL("address",AF185), "\$([A-Z]+)\$[0-9]+"))),_xlfn.REGEXEXTRACT(CELL("address",AF185), "\$([A-Z]+)\$[0-9]+"))</f>
        <v/>
      </c>
      <c r="AG185" s="7" t="str" cm="1">
        <f t="array" aca="1" ref="AG185" ca="1">IFERROR(IF(OR('Raw Data'!AG185="",LEN(TRIM('Raw Data'!AG185))=0),"",IF(AND(ISNUMBER('Raw Data'!AG185), IFERROR('Raw Data'!AG185 = ROUND('Raw Data'!AG185, 2),FALSE)),"",_xlfn.REGEXEXTRACT(CELL("address",AG185), "\$([A-Z]+)\$[0-9]+"))),_xlfn.REGEXEXTRACT(CELL("address",AG185), "\$([A-Z]+)\$[0-9]+"))</f>
        <v/>
      </c>
      <c r="AH185" s="7" t="str" cm="1">
        <f t="array" aca="1" ref="AH185" ca="1">IFERROR(IF(OR('Raw Data'!AH185="",LEN(TRIM('Raw Data'!AH185))=0),"",IF(AND(ISNUMBER('Raw Data'!AH185), IFERROR('Raw Data'!AH185 = ROUND('Raw Data'!AH185, 2),FALSE)),"",_xlfn.REGEXEXTRACT(CELL("address",AH185), "\$([A-Z]+)\$[0-9]+"))),_xlfn.REGEXEXTRACT(CELL("address",AH185), "\$([A-Z]+)\$[0-9]+"))</f>
        <v/>
      </c>
      <c r="AI185" s="7" t="str" cm="1">
        <f t="array" aca="1" ref="AI185" ca="1">IFERROR(IF(OR('Raw Data'!AI185="",LEN(TRIM('Raw Data'!AI185))=0),"",IF(AND(ISNUMBER('Raw Data'!AI185), IFERROR('Raw Data'!AI185 = ROUND('Raw Data'!AI185, 2),FALSE)),"",_xlfn.REGEXEXTRACT(CELL("address",AI185), "\$([A-Z]+)\$[0-9]+"))),_xlfn.REGEXEXTRACT(CELL("address",AI185), "\$([A-Z]+)\$[0-9]+"))</f>
        <v/>
      </c>
      <c r="AJ185" s="7" t="str" cm="1">
        <f t="array" aca="1" ref="AJ185" ca="1">IFERROR(IF(OR('Raw Data'!AJ185="",LEN(TRIM('Raw Data'!AJ185))=0),"",IF(AND(ISNUMBER('Raw Data'!AJ185), IFERROR('Raw Data'!AJ185 = ROUND('Raw Data'!AJ185, 2),FALSE)),"",_xlfn.REGEXEXTRACT(CELL("address",AJ185), "\$([A-Z]+)\$[0-9]+"))),_xlfn.REGEXEXTRACT(CELL("address",AJ185), "\$([A-Z]+)\$[0-9]+"))</f>
        <v/>
      </c>
    </row>
    <row r="186" spans="2:36" x14ac:dyDescent="0.25">
      <c r="B186" s="7" t="str" cm="1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20,LEN('Raw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Data'!D186))=0),"",IF(AND(ISNUMBER('Raw Data'!D186),'Raw Data'!D186&gt;=Configuration!$D$2),"",_xlfn.REGEXEXTRACT(CELL("address",'Raw Data'!D186),"\$([A-Z]+)\$[0-9]+"))),_xlfn.REGEXEXTRACT(CELL("address",D186), "\$([A-Z]+)\$[0-9]+"))</f>
        <v/>
      </c>
      <c r="E186" s="7" t="str" cm="1">
        <f t="array" aca="1" ref="E186" ca="1">IFERROR(IF(OR('Raw Data'!E186="",LEN(TRIM('Raw Data'!E186))=0),"",IF(AND(ISNUMBER('Raw Data'!E186), IFERROR('Raw Data'!E186 = ROUND('Raw Data'!E186, 2),FALSE)),"",_xlfn.REGEXEXTRACT(CELL("address",E186), "\$([A-Z]+)\$[0-9]+"))),_xlfn.REGEXEXTRACT(CELL("address",E186), "\$([A-Z]+)\$[0-9]+"))</f>
        <v/>
      </c>
      <c r="F186" s="7" t="str" cm="1">
        <f t="array" aca="1" ref="F186" ca="1">IFERROR(IF(OR('Raw Data'!F186="",LEN(TRIM('Raw Data'!F186))=0),"",IF(AND(ISNUMBER('Raw Data'!F186), IFERROR('Raw Data'!F186 = ROUND('Raw Data'!F186, 2),FALSE)),"",_xlfn.REGEXEXTRACT(CELL("address",F186), "\$([A-Z]+)\$[0-9]+"))),_xlfn.REGEXEXTRACT(CELL("address",F186), "\$([A-Z]+)\$[0-9]+"))</f>
        <v/>
      </c>
      <c r="G186" s="7" t="str" cm="1">
        <f t="array" aca="1" ref="G186" ca="1">IFERROR(IF(OR('Raw Data'!G186="",LEN(TRIM('Raw Data'!G186))=0),"",IF(AND(ISNUMBER('Raw Data'!G186), IFERROR('Raw Data'!G186 = ROUND('Raw Data'!G186, 2),FALSE)),"",_xlfn.REGEXEXTRACT(CELL("address",G186), "\$([A-Z]+)\$[0-9]+"))),_xlfn.REGEXEXTRACT(CELL("address",G186), "\$([A-Z]+)\$[0-9]+"))</f>
        <v/>
      </c>
      <c r="H186" s="7" t="str" cm="1">
        <f t="array" aca="1" ref="H186" ca="1">IFERROR(IF(OR('Raw Data'!H186="",LEN(TRIM('Raw Data'!H186))=0),"",IF(AND(ISNUMBER('Raw Data'!H186), IFERROR('Raw Data'!H186 = ROUND('Raw Data'!H186, 2),FALSE)),"",_xlfn.REGEXEXTRACT(CELL("address",H186), "\$([A-Z]+)\$[0-9]+"))),_xlfn.REGEXEXTRACT(CELL("address",H186), "\$([A-Z]+)\$[0-9]+"))</f>
        <v/>
      </c>
      <c r="I186" s="7" t="str" cm="1">
        <f t="array" aca="1" ref="I186" ca="1">IFERROR(IF(OR('Raw Data'!I186="",LEN(TRIM('Raw Data'!I186))=0),"",IF(AND(ISNUMBER('Raw Data'!I186), IFERROR('Raw Data'!I186 = ROUND('Raw Data'!I186, 2),FALSE)),"",_xlfn.REGEXEXTRACT(CELL("address",I186), "\$([A-Z]+)\$[0-9]+"))),_xlfn.REGEXEXTRACT(CELL("address",I186), "\$([A-Z]+)\$[0-9]+"))</f>
        <v/>
      </c>
      <c r="J186" s="7" t="str" cm="1">
        <f t="array" aca="1" ref="J186" ca="1">IFERROR(IF(OR('Raw Data'!J186="",LEN(TRIM('Raw Data'!J186))=0),"",IF(AND(ISNUMBER('Raw Data'!J186), IFERROR('Raw Data'!J186 = ROUND('Raw Data'!J186, 2),FALSE)),"",_xlfn.REGEXEXTRACT(CELL("address",J186), "\$([A-Z]+)\$[0-9]+"))),_xlfn.REGEXEXTRACT(CELL("address",J186), "\$([A-Z]+)\$[0-9]+"))</f>
        <v/>
      </c>
      <c r="K186" s="7" t="str" cm="1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7" t="str" cm="1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7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7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7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7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 cm="1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7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7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7" t="str" cm="1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7" t="str" cm="1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  <c r="Z186" s="7" t="str" cm="1">
        <f t="array" aca="1" ref="Z186" ca="1">IFERROR(IF(OR('Raw Data'!Z186="",LEN(TRIM('Raw Data'!Z186))=0),"",IF(AND(ISNUMBER('Raw Data'!Z186), IFERROR('Raw Data'!Z186 = ROUND('Raw Data'!Z186, 2),FALSE)),"",_xlfn.REGEXEXTRACT(CELL("address",Z186), "\$([A-Z]+)\$[0-9]+"))),_xlfn.REGEXEXTRACT(CELL("address",Z186), "\$([A-Z]+)\$[0-9]+"))</f>
        <v/>
      </c>
      <c r="AA186" s="7" t="str" cm="1">
        <f t="array" aca="1" ref="AA186" ca="1">IFERROR(IF(OR('Raw Data'!AA186="",LEN(TRIM('Raw Data'!AA186))=0),"",IF(AND(ISNUMBER('Raw Data'!AA186), IFERROR('Raw Data'!AA186 = ROUND('Raw Data'!AA186, 2),FALSE)),"",_xlfn.REGEXEXTRACT(CELL("address",AA186), "\$([A-Z]+)\$[0-9]+"))),_xlfn.REGEXEXTRACT(CELL("address",AA186), "\$([A-Z]+)\$[0-9]+"))</f>
        <v/>
      </c>
      <c r="AB186" s="7" t="str" cm="1">
        <f t="array" aca="1" ref="AB186" ca="1">IFERROR(IF(OR('Raw Data'!AB186="",LEN(TRIM('Raw Data'!AB186))=0),"",IF(AND(ISNUMBER('Raw Data'!AB186), IFERROR('Raw Data'!AB186 = ROUND('Raw Data'!AB186, 2),FALSE)),"",_xlfn.REGEXEXTRACT(CELL("address",AB186), "\$([A-Z]+)\$[0-9]+"))),_xlfn.REGEXEXTRACT(CELL("address",AB186), "\$([A-Z]+)\$[0-9]+"))</f>
        <v/>
      </c>
      <c r="AC186" s="7" t="str" cm="1">
        <f t="array" aca="1" ref="AC186" ca="1">IFERROR(IF(OR('Raw Data'!AC186="",LEN(TRIM('Raw Data'!AC186))=0),"",IF(AND(ISNUMBER('Raw Data'!AC186), IFERROR('Raw Data'!AC186 = ROUND('Raw Data'!AC186, 2),FALSE)),"",_xlfn.REGEXEXTRACT(CELL("address",AC186), "\$([A-Z]+)\$[0-9]+"))),_xlfn.REGEXEXTRACT(CELL("address",AC186), "\$([A-Z]+)\$[0-9]+"))</f>
        <v/>
      </c>
      <c r="AD186" s="7" t="str" cm="1">
        <f t="array" aca="1" ref="AD186" ca="1">IFERROR(IF(OR('Raw Data'!AD186="",LEN(TRIM('Raw Data'!AD186))=0),"",IF(AND(ISNUMBER('Raw Data'!AD186), IFERROR('Raw Data'!AD186 = ROUND('Raw Data'!AD186, 2),FALSE)),"",_xlfn.REGEXEXTRACT(CELL("address",AD186), "\$([A-Z]+)\$[0-9]+"))),_xlfn.REGEXEXTRACT(CELL("address",AD186), "\$([A-Z]+)\$[0-9]+"))</f>
        <v/>
      </c>
      <c r="AE186" s="7" t="str" cm="1">
        <f t="array" aca="1" ref="AE186" ca="1">IFERROR(IF(OR('Raw Data'!AE186="",LEN(TRIM('Raw Data'!AE186))=0),"",IF(AND(ISNUMBER('Raw Data'!AE186), IFERROR('Raw Data'!AE186 = ROUND('Raw Data'!AE186, 2),FALSE)),"",_xlfn.REGEXEXTRACT(CELL("address",AE186), "\$([A-Z]+)\$[0-9]+"))),_xlfn.REGEXEXTRACT(CELL("address",AE186), "\$([A-Z]+)\$[0-9]+"))</f>
        <v/>
      </c>
      <c r="AF186" s="7" t="str" cm="1">
        <f t="array" aca="1" ref="AF186" ca="1">IFERROR(IF(OR('Raw Data'!AF186="",LEN(TRIM('Raw Data'!AF186))=0),"",IF(AND(ISNUMBER('Raw Data'!AF186), IFERROR('Raw Data'!AF186 = ROUND('Raw Data'!AF186, 2),FALSE)),"",_xlfn.REGEXEXTRACT(CELL("address",AF186), "\$([A-Z]+)\$[0-9]+"))),_xlfn.REGEXEXTRACT(CELL("address",AF186), "\$([A-Z]+)\$[0-9]+"))</f>
        <v/>
      </c>
      <c r="AG186" s="7" t="str" cm="1">
        <f t="array" aca="1" ref="AG186" ca="1">IFERROR(IF(OR('Raw Data'!AG186="",LEN(TRIM('Raw Data'!AG186))=0),"",IF(AND(ISNUMBER('Raw Data'!AG186), IFERROR('Raw Data'!AG186 = ROUND('Raw Data'!AG186, 2),FALSE)),"",_xlfn.REGEXEXTRACT(CELL("address",AG186), "\$([A-Z]+)\$[0-9]+"))),_xlfn.REGEXEXTRACT(CELL("address",AG186), "\$([A-Z]+)\$[0-9]+"))</f>
        <v/>
      </c>
      <c r="AH186" s="7" t="str" cm="1">
        <f t="array" aca="1" ref="AH186" ca="1">IFERROR(IF(OR('Raw Data'!AH186="",LEN(TRIM('Raw Data'!AH186))=0),"",IF(AND(ISNUMBER('Raw Data'!AH186), IFERROR('Raw Data'!AH186 = ROUND('Raw Data'!AH186, 2),FALSE)),"",_xlfn.REGEXEXTRACT(CELL("address",AH186), "\$([A-Z]+)\$[0-9]+"))),_xlfn.REGEXEXTRACT(CELL("address",AH186), "\$([A-Z]+)\$[0-9]+"))</f>
        <v/>
      </c>
      <c r="AI186" s="7" t="str" cm="1">
        <f t="array" aca="1" ref="AI186" ca="1">IFERROR(IF(OR('Raw Data'!AI186="",LEN(TRIM('Raw Data'!AI186))=0),"",IF(AND(ISNUMBER('Raw Data'!AI186), IFERROR('Raw Data'!AI186 = ROUND('Raw Data'!AI186, 2),FALSE)),"",_xlfn.REGEXEXTRACT(CELL("address",AI186), "\$([A-Z]+)\$[0-9]+"))),_xlfn.REGEXEXTRACT(CELL("address",AI186), "\$([A-Z]+)\$[0-9]+"))</f>
        <v/>
      </c>
      <c r="AJ186" s="7" t="str" cm="1">
        <f t="array" aca="1" ref="AJ186" ca="1">IFERROR(IF(OR('Raw Data'!AJ186="",LEN(TRIM('Raw Data'!AJ186))=0),"",IF(AND(ISNUMBER('Raw Data'!AJ186), IFERROR('Raw Data'!AJ186 = ROUND('Raw Data'!AJ186, 2),FALSE)),"",_xlfn.REGEXEXTRACT(CELL("address",AJ186), "\$([A-Z]+)\$[0-9]+"))),_xlfn.REGEXEXTRACT(CELL("address",AJ186), "\$([A-Z]+)\$[0-9]+"))</f>
        <v/>
      </c>
    </row>
    <row r="187" spans="2:36" x14ac:dyDescent="0.25">
      <c r="B187" s="7" t="str" cm="1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20,LEN('Raw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Data'!D187))=0),"",IF(AND(ISNUMBER('Raw Data'!D187),'Raw Data'!D187&gt;=Configuration!$D$2),"",_xlfn.REGEXEXTRACT(CELL("address",'Raw Data'!D187),"\$([A-Z]+)\$[0-9]+"))),_xlfn.REGEXEXTRACT(CELL("address",D187), "\$([A-Z]+)\$[0-9]+"))</f>
        <v/>
      </c>
      <c r="E187" s="7" t="str" cm="1">
        <f t="array" aca="1" ref="E187" ca="1">IFERROR(IF(OR('Raw Data'!E187="",LEN(TRIM('Raw Data'!E187))=0),"",IF(AND(ISNUMBER('Raw Data'!E187), IFERROR('Raw Data'!E187 = ROUND('Raw Data'!E187, 2),FALSE)),"",_xlfn.REGEXEXTRACT(CELL("address",E187), "\$([A-Z]+)\$[0-9]+"))),_xlfn.REGEXEXTRACT(CELL("address",E187), "\$([A-Z]+)\$[0-9]+"))</f>
        <v/>
      </c>
      <c r="F187" s="7" t="str" cm="1">
        <f t="array" aca="1" ref="F187" ca="1">IFERROR(IF(OR('Raw Data'!F187="",LEN(TRIM('Raw Data'!F187))=0),"",IF(AND(ISNUMBER('Raw Data'!F187), IFERROR('Raw Data'!F187 = ROUND('Raw Data'!F187, 2),FALSE)),"",_xlfn.REGEXEXTRACT(CELL("address",F187), "\$([A-Z]+)\$[0-9]+"))),_xlfn.REGEXEXTRACT(CELL("address",F187), "\$([A-Z]+)\$[0-9]+"))</f>
        <v/>
      </c>
      <c r="G187" s="7" t="str" cm="1">
        <f t="array" aca="1" ref="G187" ca="1">IFERROR(IF(OR('Raw Data'!G187="",LEN(TRIM('Raw Data'!G187))=0),"",IF(AND(ISNUMBER('Raw Data'!G187), IFERROR('Raw Data'!G187 = ROUND('Raw Data'!G187, 2),FALSE)),"",_xlfn.REGEXEXTRACT(CELL("address",G187), "\$([A-Z]+)\$[0-9]+"))),_xlfn.REGEXEXTRACT(CELL("address",G187), "\$([A-Z]+)\$[0-9]+"))</f>
        <v/>
      </c>
      <c r="H187" s="7" t="str" cm="1">
        <f t="array" aca="1" ref="H187" ca="1">IFERROR(IF(OR('Raw Data'!H187="",LEN(TRIM('Raw Data'!H187))=0),"",IF(AND(ISNUMBER('Raw Data'!H187), IFERROR('Raw Data'!H187 = ROUND('Raw Data'!H187, 2),FALSE)),"",_xlfn.REGEXEXTRACT(CELL("address",H187), "\$([A-Z]+)\$[0-9]+"))),_xlfn.REGEXEXTRACT(CELL("address",H187), "\$([A-Z]+)\$[0-9]+"))</f>
        <v/>
      </c>
      <c r="I187" s="7" t="str" cm="1">
        <f t="array" aca="1" ref="I187" ca="1">IFERROR(IF(OR('Raw Data'!I187="",LEN(TRIM('Raw Data'!I187))=0),"",IF(AND(ISNUMBER('Raw Data'!I187), IFERROR('Raw Data'!I187 = ROUND('Raw Data'!I187, 2),FALSE)),"",_xlfn.REGEXEXTRACT(CELL("address",I187), "\$([A-Z]+)\$[0-9]+"))),_xlfn.REGEXEXTRACT(CELL("address",I187), "\$([A-Z]+)\$[0-9]+"))</f>
        <v/>
      </c>
      <c r="J187" s="7" t="str" cm="1">
        <f t="array" aca="1" ref="J187" ca="1">IFERROR(IF(OR('Raw Data'!J187="",LEN(TRIM('Raw Data'!J187))=0),"",IF(AND(ISNUMBER('Raw Data'!J187), IFERROR('Raw Data'!J187 = ROUND('Raw Data'!J187, 2),FALSE)),"",_xlfn.REGEXEXTRACT(CELL("address",J187), "\$([A-Z]+)\$[0-9]+"))),_xlfn.REGEXEXTRACT(CELL("address",J187), "\$([A-Z]+)\$[0-9]+"))</f>
        <v/>
      </c>
      <c r="K187" s="7" t="str" cm="1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7" t="str" cm="1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7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7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7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7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 cm="1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7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7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7" t="str" cm="1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7" t="str" cm="1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  <c r="Z187" s="7" t="str" cm="1">
        <f t="array" aca="1" ref="Z187" ca="1">IFERROR(IF(OR('Raw Data'!Z187="",LEN(TRIM('Raw Data'!Z187))=0),"",IF(AND(ISNUMBER('Raw Data'!Z187), IFERROR('Raw Data'!Z187 = ROUND('Raw Data'!Z187, 2),FALSE)),"",_xlfn.REGEXEXTRACT(CELL("address",Z187), "\$([A-Z]+)\$[0-9]+"))),_xlfn.REGEXEXTRACT(CELL("address",Z187), "\$([A-Z]+)\$[0-9]+"))</f>
        <v/>
      </c>
      <c r="AA187" s="7" t="str" cm="1">
        <f t="array" aca="1" ref="AA187" ca="1">IFERROR(IF(OR('Raw Data'!AA187="",LEN(TRIM('Raw Data'!AA187))=0),"",IF(AND(ISNUMBER('Raw Data'!AA187), IFERROR('Raw Data'!AA187 = ROUND('Raw Data'!AA187, 2),FALSE)),"",_xlfn.REGEXEXTRACT(CELL("address",AA187), "\$([A-Z]+)\$[0-9]+"))),_xlfn.REGEXEXTRACT(CELL("address",AA187), "\$([A-Z]+)\$[0-9]+"))</f>
        <v/>
      </c>
      <c r="AB187" s="7" t="str" cm="1">
        <f t="array" aca="1" ref="AB187" ca="1">IFERROR(IF(OR('Raw Data'!AB187="",LEN(TRIM('Raw Data'!AB187))=0),"",IF(AND(ISNUMBER('Raw Data'!AB187), IFERROR('Raw Data'!AB187 = ROUND('Raw Data'!AB187, 2),FALSE)),"",_xlfn.REGEXEXTRACT(CELL("address",AB187), "\$([A-Z]+)\$[0-9]+"))),_xlfn.REGEXEXTRACT(CELL("address",AB187), "\$([A-Z]+)\$[0-9]+"))</f>
        <v/>
      </c>
      <c r="AC187" s="7" t="str" cm="1">
        <f t="array" aca="1" ref="AC187" ca="1">IFERROR(IF(OR('Raw Data'!AC187="",LEN(TRIM('Raw Data'!AC187))=0),"",IF(AND(ISNUMBER('Raw Data'!AC187), IFERROR('Raw Data'!AC187 = ROUND('Raw Data'!AC187, 2),FALSE)),"",_xlfn.REGEXEXTRACT(CELL("address",AC187), "\$([A-Z]+)\$[0-9]+"))),_xlfn.REGEXEXTRACT(CELL("address",AC187), "\$([A-Z]+)\$[0-9]+"))</f>
        <v/>
      </c>
      <c r="AD187" s="7" t="str" cm="1">
        <f t="array" aca="1" ref="AD187" ca="1">IFERROR(IF(OR('Raw Data'!AD187="",LEN(TRIM('Raw Data'!AD187))=0),"",IF(AND(ISNUMBER('Raw Data'!AD187), IFERROR('Raw Data'!AD187 = ROUND('Raw Data'!AD187, 2),FALSE)),"",_xlfn.REGEXEXTRACT(CELL("address",AD187), "\$([A-Z]+)\$[0-9]+"))),_xlfn.REGEXEXTRACT(CELL("address",AD187), "\$([A-Z]+)\$[0-9]+"))</f>
        <v/>
      </c>
      <c r="AE187" s="7" t="str" cm="1">
        <f t="array" aca="1" ref="AE187" ca="1">IFERROR(IF(OR('Raw Data'!AE187="",LEN(TRIM('Raw Data'!AE187))=0),"",IF(AND(ISNUMBER('Raw Data'!AE187), IFERROR('Raw Data'!AE187 = ROUND('Raw Data'!AE187, 2),FALSE)),"",_xlfn.REGEXEXTRACT(CELL("address",AE187), "\$([A-Z]+)\$[0-9]+"))),_xlfn.REGEXEXTRACT(CELL("address",AE187), "\$([A-Z]+)\$[0-9]+"))</f>
        <v/>
      </c>
      <c r="AF187" s="7" t="str" cm="1">
        <f t="array" aca="1" ref="AF187" ca="1">IFERROR(IF(OR('Raw Data'!AF187="",LEN(TRIM('Raw Data'!AF187))=0),"",IF(AND(ISNUMBER('Raw Data'!AF187), IFERROR('Raw Data'!AF187 = ROUND('Raw Data'!AF187, 2),FALSE)),"",_xlfn.REGEXEXTRACT(CELL("address",AF187), "\$([A-Z]+)\$[0-9]+"))),_xlfn.REGEXEXTRACT(CELL("address",AF187), "\$([A-Z]+)\$[0-9]+"))</f>
        <v/>
      </c>
      <c r="AG187" s="7" t="str" cm="1">
        <f t="array" aca="1" ref="AG187" ca="1">IFERROR(IF(OR('Raw Data'!AG187="",LEN(TRIM('Raw Data'!AG187))=0),"",IF(AND(ISNUMBER('Raw Data'!AG187), IFERROR('Raw Data'!AG187 = ROUND('Raw Data'!AG187, 2),FALSE)),"",_xlfn.REGEXEXTRACT(CELL("address",AG187), "\$([A-Z]+)\$[0-9]+"))),_xlfn.REGEXEXTRACT(CELL("address",AG187), "\$([A-Z]+)\$[0-9]+"))</f>
        <v/>
      </c>
      <c r="AH187" s="7" t="str" cm="1">
        <f t="array" aca="1" ref="AH187" ca="1">IFERROR(IF(OR('Raw Data'!AH187="",LEN(TRIM('Raw Data'!AH187))=0),"",IF(AND(ISNUMBER('Raw Data'!AH187), IFERROR('Raw Data'!AH187 = ROUND('Raw Data'!AH187, 2),FALSE)),"",_xlfn.REGEXEXTRACT(CELL("address",AH187), "\$([A-Z]+)\$[0-9]+"))),_xlfn.REGEXEXTRACT(CELL("address",AH187), "\$([A-Z]+)\$[0-9]+"))</f>
        <v/>
      </c>
      <c r="AI187" s="7" t="str" cm="1">
        <f t="array" aca="1" ref="AI187" ca="1">IFERROR(IF(OR('Raw Data'!AI187="",LEN(TRIM('Raw Data'!AI187))=0),"",IF(AND(ISNUMBER('Raw Data'!AI187), IFERROR('Raw Data'!AI187 = ROUND('Raw Data'!AI187, 2),FALSE)),"",_xlfn.REGEXEXTRACT(CELL("address",AI187), "\$([A-Z]+)\$[0-9]+"))),_xlfn.REGEXEXTRACT(CELL("address",AI187), "\$([A-Z]+)\$[0-9]+"))</f>
        <v/>
      </c>
      <c r="AJ187" s="7" t="str" cm="1">
        <f t="array" aca="1" ref="AJ187" ca="1">IFERROR(IF(OR('Raw Data'!AJ187="",LEN(TRIM('Raw Data'!AJ187))=0),"",IF(AND(ISNUMBER('Raw Data'!AJ187), IFERROR('Raw Data'!AJ187 = ROUND('Raw Data'!AJ187, 2),FALSE)),"",_xlfn.REGEXEXTRACT(CELL("address",AJ187), "\$([A-Z]+)\$[0-9]+"))),_xlfn.REGEXEXTRACT(CELL("address",AJ187), "\$([A-Z]+)\$[0-9]+"))</f>
        <v/>
      </c>
    </row>
    <row r="188" spans="2:36" x14ac:dyDescent="0.25">
      <c r="B188" s="7" t="str" cm="1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20,LEN('Raw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Data'!D188))=0),"",IF(AND(ISNUMBER('Raw Data'!D188),'Raw Data'!D188&gt;=Configuration!$D$2),"",_xlfn.REGEXEXTRACT(CELL("address",'Raw Data'!D188),"\$([A-Z]+)\$[0-9]+"))),_xlfn.REGEXEXTRACT(CELL("address",D188), "\$([A-Z]+)\$[0-9]+"))</f>
        <v/>
      </c>
      <c r="E188" s="7" t="str" cm="1">
        <f t="array" aca="1" ref="E188" ca="1">IFERROR(IF(OR('Raw Data'!E188="",LEN(TRIM('Raw Data'!E188))=0),"",IF(AND(ISNUMBER('Raw Data'!E188), IFERROR('Raw Data'!E188 = ROUND('Raw Data'!E188, 2),FALSE)),"",_xlfn.REGEXEXTRACT(CELL("address",E188), "\$([A-Z]+)\$[0-9]+"))),_xlfn.REGEXEXTRACT(CELL("address",E188), "\$([A-Z]+)\$[0-9]+"))</f>
        <v/>
      </c>
      <c r="F188" s="7" t="str" cm="1">
        <f t="array" aca="1" ref="F188" ca="1">IFERROR(IF(OR('Raw Data'!F188="",LEN(TRIM('Raw Data'!F188))=0),"",IF(AND(ISNUMBER('Raw Data'!F188), IFERROR('Raw Data'!F188 = ROUND('Raw Data'!F188, 2),FALSE)),"",_xlfn.REGEXEXTRACT(CELL("address",F188), "\$([A-Z]+)\$[0-9]+"))),_xlfn.REGEXEXTRACT(CELL("address",F188), "\$([A-Z]+)\$[0-9]+"))</f>
        <v/>
      </c>
      <c r="G188" s="7" t="str" cm="1">
        <f t="array" aca="1" ref="G188" ca="1">IFERROR(IF(OR('Raw Data'!G188="",LEN(TRIM('Raw Data'!G188))=0),"",IF(AND(ISNUMBER('Raw Data'!G188), IFERROR('Raw Data'!G188 = ROUND('Raw Data'!G188, 2),FALSE)),"",_xlfn.REGEXEXTRACT(CELL("address",G188), "\$([A-Z]+)\$[0-9]+"))),_xlfn.REGEXEXTRACT(CELL("address",G188), "\$([A-Z]+)\$[0-9]+"))</f>
        <v/>
      </c>
      <c r="H188" s="7" t="str" cm="1">
        <f t="array" aca="1" ref="H188" ca="1">IFERROR(IF(OR('Raw Data'!H188="",LEN(TRIM('Raw Data'!H188))=0),"",IF(AND(ISNUMBER('Raw Data'!H188), IFERROR('Raw Data'!H188 = ROUND('Raw Data'!H188, 2),FALSE)),"",_xlfn.REGEXEXTRACT(CELL("address",H188), "\$([A-Z]+)\$[0-9]+"))),_xlfn.REGEXEXTRACT(CELL("address",H188), "\$([A-Z]+)\$[0-9]+"))</f>
        <v/>
      </c>
      <c r="I188" s="7" t="str" cm="1">
        <f t="array" aca="1" ref="I188" ca="1">IFERROR(IF(OR('Raw Data'!I188="",LEN(TRIM('Raw Data'!I188))=0),"",IF(AND(ISNUMBER('Raw Data'!I188), IFERROR('Raw Data'!I188 = ROUND('Raw Data'!I188, 2),FALSE)),"",_xlfn.REGEXEXTRACT(CELL("address",I188), "\$([A-Z]+)\$[0-9]+"))),_xlfn.REGEXEXTRACT(CELL("address",I188), "\$([A-Z]+)\$[0-9]+"))</f>
        <v/>
      </c>
      <c r="J188" s="7" t="str" cm="1">
        <f t="array" aca="1" ref="J188" ca="1">IFERROR(IF(OR('Raw Data'!J188="",LEN(TRIM('Raw Data'!J188))=0),"",IF(AND(ISNUMBER('Raw Data'!J188), IFERROR('Raw Data'!J188 = ROUND('Raw Data'!J188, 2),FALSE)),"",_xlfn.REGEXEXTRACT(CELL("address",J188), "\$([A-Z]+)\$[0-9]+"))),_xlfn.REGEXEXTRACT(CELL("address",J188), "\$([A-Z]+)\$[0-9]+"))</f>
        <v/>
      </c>
      <c r="K188" s="7" t="str" cm="1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7" t="str" cm="1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7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7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7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7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 cm="1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7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7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7" t="str" cm="1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7" t="str" cm="1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  <c r="Z188" s="7" t="str" cm="1">
        <f t="array" aca="1" ref="Z188" ca="1">IFERROR(IF(OR('Raw Data'!Z188="",LEN(TRIM('Raw Data'!Z188))=0),"",IF(AND(ISNUMBER('Raw Data'!Z188), IFERROR('Raw Data'!Z188 = ROUND('Raw Data'!Z188, 2),FALSE)),"",_xlfn.REGEXEXTRACT(CELL("address",Z188), "\$([A-Z]+)\$[0-9]+"))),_xlfn.REGEXEXTRACT(CELL("address",Z188), "\$([A-Z]+)\$[0-9]+"))</f>
        <v/>
      </c>
      <c r="AA188" s="7" t="str" cm="1">
        <f t="array" aca="1" ref="AA188" ca="1">IFERROR(IF(OR('Raw Data'!AA188="",LEN(TRIM('Raw Data'!AA188))=0),"",IF(AND(ISNUMBER('Raw Data'!AA188), IFERROR('Raw Data'!AA188 = ROUND('Raw Data'!AA188, 2),FALSE)),"",_xlfn.REGEXEXTRACT(CELL("address",AA188), "\$([A-Z]+)\$[0-9]+"))),_xlfn.REGEXEXTRACT(CELL("address",AA188), "\$([A-Z]+)\$[0-9]+"))</f>
        <v/>
      </c>
      <c r="AB188" s="7" t="str" cm="1">
        <f t="array" aca="1" ref="AB188" ca="1">IFERROR(IF(OR('Raw Data'!AB188="",LEN(TRIM('Raw Data'!AB188))=0),"",IF(AND(ISNUMBER('Raw Data'!AB188), IFERROR('Raw Data'!AB188 = ROUND('Raw Data'!AB188, 2),FALSE)),"",_xlfn.REGEXEXTRACT(CELL("address",AB188), "\$([A-Z]+)\$[0-9]+"))),_xlfn.REGEXEXTRACT(CELL("address",AB188), "\$([A-Z]+)\$[0-9]+"))</f>
        <v/>
      </c>
      <c r="AC188" s="7" t="str" cm="1">
        <f t="array" aca="1" ref="AC188" ca="1">IFERROR(IF(OR('Raw Data'!AC188="",LEN(TRIM('Raw Data'!AC188))=0),"",IF(AND(ISNUMBER('Raw Data'!AC188), IFERROR('Raw Data'!AC188 = ROUND('Raw Data'!AC188, 2),FALSE)),"",_xlfn.REGEXEXTRACT(CELL("address",AC188), "\$([A-Z]+)\$[0-9]+"))),_xlfn.REGEXEXTRACT(CELL("address",AC188), "\$([A-Z]+)\$[0-9]+"))</f>
        <v/>
      </c>
      <c r="AD188" s="7" t="str" cm="1">
        <f t="array" aca="1" ref="AD188" ca="1">IFERROR(IF(OR('Raw Data'!AD188="",LEN(TRIM('Raw Data'!AD188))=0),"",IF(AND(ISNUMBER('Raw Data'!AD188), IFERROR('Raw Data'!AD188 = ROUND('Raw Data'!AD188, 2),FALSE)),"",_xlfn.REGEXEXTRACT(CELL("address",AD188), "\$([A-Z]+)\$[0-9]+"))),_xlfn.REGEXEXTRACT(CELL("address",AD188), "\$([A-Z]+)\$[0-9]+"))</f>
        <v/>
      </c>
      <c r="AE188" s="7" t="str" cm="1">
        <f t="array" aca="1" ref="AE188" ca="1">IFERROR(IF(OR('Raw Data'!AE188="",LEN(TRIM('Raw Data'!AE188))=0),"",IF(AND(ISNUMBER('Raw Data'!AE188), IFERROR('Raw Data'!AE188 = ROUND('Raw Data'!AE188, 2),FALSE)),"",_xlfn.REGEXEXTRACT(CELL("address",AE188), "\$([A-Z]+)\$[0-9]+"))),_xlfn.REGEXEXTRACT(CELL("address",AE188), "\$([A-Z]+)\$[0-9]+"))</f>
        <v/>
      </c>
      <c r="AF188" s="7" t="str" cm="1">
        <f t="array" aca="1" ref="AF188" ca="1">IFERROR(IF(OR('Raw Data'!AF188="",LEN(TRIM('Raw Data'!AF188))=0),"",IF(AND(ISNUMBER('Raw Data'!AF188), IFERROR('Raw Data'!AF188 = ROUND('Raw Data'!AF188, 2),FALSE)),"",_xlfn.REGEXEXTRACT(CELL("address",AF188), "\$([A-Z]+)\$[0-9]+"))),_xlfn.REGEXEXTRACT(CELL("address",AF188), "\$([A-Z]+)\$[0-9]+"))</f>
        <v/>
      </c>
      <c r="AG188" s="7" t="str" cm="1">
        <f t="array" aca="1" ref="AG188" ca="1">IFERROR(IF(OR('Raw Data'!AG188="",LEN(TRIM('Raw Data'!AG188))=0),"",IF(AND(ISNUMBER('Raw Data'!AG188), IFERROR('Raw Data'!AG188 = ROUND('Raw Data'!AG188, 2),FALSE)),"",_xlfn.REGEXEXTRACT(CELL("address",AG188), "\$([A-Z]+)\$[0-9]+"))),_xlfn.REGEXEXTRACT(CELL("address",AG188), "\$([A-Z]+)\$[0-9]+"))</f>
        <v/>
      </c>
      <c r="AH188" s="7" t="str" cm="1">
        <f t="array" aca="1" ref="AH188" ca="1">IFERROR(IF(OR('Raw Data'!AH188="",LEN(TRIM('Raw Data'!AH188))=0),"",IF(AND(ISNUMBER('Raw Data'!AH188), IFERROR('Raw Data'!AH188 = ROUND('Raw Data'!AH188, 2),FALSE)),"",_xlfn.REGEXEXTRACT(CELL("address",AH188), "\$([A-Z]+)\$[0-9]+"))),_xlfn.REGEXEXTRACT(CELL("address",AH188), "\$([A-Z]+)\$[0-9]+"))</f>
        <v/>
      </c>
      <c r="AI188" s="7" t="str" cm="1">
        <f t="array" aca="1" ref="AI188" ca="1">IFERROR(IF(OR('Raw Data'!AI188="",LEN(TRIM('Raw Data'!AI188))=0),"",IF(AND(ISNUMBER('Raw Data'!AI188), IFERROR('Raw Data'!AI188 = ROUND('Raw Data'!AI188, 2),FALSE)),"",_xlfn.REGEXEXTRACT(CELL("address",AI188), "\$([A-Z]+)\$[0-9]+"))),_xlfn.REGEXEXTRACT(CELL("address",AI188), "\$([A-Z]+)\$[0-9]+"))</f>
        <v/>
      </c>
      <c r="AJ188" s="7" t="str" cm="1">
        <f t="array" aca="1" ref="AJ188" ca="1">IFERROR(IF(OR('Raw Data'!AJ188="",LEN(TRIM('Raw Data'!AJ188))=0),"",IF(AND(ISNUMBER('Raw Data'!AJ188), IFERROR('Raw Data'!AJ188 = ROUND('Raw Data'!AJ188, 2),FALSE)),"",_xlfn.REGEXEXTRACT(CELL("address",AJ188), "\$([A-Z]+)\$[0-9]+"))),_xlfn.REGEXEXTRACT(CELL("address",AJ188), "\$([A-Z]+)\$[0-9]+"))</f>
        <v/>
      </c>
    </row>
    <row r="189" spans="2:36" x14ac:dyDescent="0.25">
      <c r="B189" s="7" t="str" cm="1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20,LEN('Raw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Data'!D189))=0),"",IF(AND(ISNUMBER('Raw Data'!D189),'Raw Data'!D189&gt;=Configuration!$D$2),"",_xlfn.REGEXEXTRACT(CELL("address",'Raw Data'!D189),"\$([A-Z]+)\$[0-9]+"))),_xlfn.REGEXEXTRACT(CELL("address",D189), "\$([A-Z]+)\$[0-9]+"))</f>
        <v/>
      </c>
      <c r="E189" s="7" t="str" cm="1">
        <f t="array" aca="1" ref="E189" ca="1">IFERROR(IF(OR('Raw Data'!E189="",LEN(TRIM('Raw Data'!E189))=0),"",IF(AND(ISNUMBER('Raw Data'!E189), IFERROR('Raw Data'!E189 = ROUND('Raw Data'!E189, 2),FALSE)),"",_xlfn.REGEXEXTRACT(CELL("address",E189), "\$([A-Z]+)\$[0-9]+"))),_xlfn.REGEXEXTRACT(CELL("address",E189), "\$([A-Z]+)\$[0-9]+"))</f>
        <v/>
      </c>
      <c r="F189" s="7" t="str" cm="1">
        <f t="array" aca="1" ref="F189" ca="1">IFERROR(IF(OR('Raw Data'!F189="",LEN(TRIM('Raw Data'!F189))=0),"",IF(AND(ISNUMBER('Raw Data'!F189), IFERROR('Raw Data'!F189 = ROUND('Raw Data'!F189, 2),FALSE)),"",_xlfn.REGEXEXTRACT(CELL("address",F189), "\$([A-Z]+)\$[0-9]+"))),_xlfn.REGEXEXTRACT(CELL("address",F189), "\$([A-Z]+)\$[0-9]+"))</f>
        <v/>
      </c>
      <c r="G189" s="7" t="str" cm="1">
        <f t="array" aca="1" ref="G189" ca="1">IFERROR(IF(OR('Raw Data'!G189="",LEN(TRIM('Raw Data'!G189))=0),"",IF(AND(ISNUMBER('Raw Data'!G189), IFERROR('Raw Data'!G189 = ROUND('Raw Data'!G189, 2),FALSE)),"",_xlfn.REGEXEXTRACT(CELL("address",G189), "\$([A-Z]+)\$[0-9]+"))),_xlfn.REGEXEXTRACT(CELL("address",G189), "\$([A-Z]+)\$[0-9]+"))</f>
        <v/>
      </c>
      <c r="H189" s="7" t="str" cm="1">
        <f t="array" aca="1" ref="H189" ca="1">IFERROR(IF(OR('Raw Data'!H189="",LEN(TRIM('Raw Data'!H189))=0),"",IF(AND(ISNUMBER('Raw Data'!H189), IFERROR('Raw Data'!H189 = ROUND('Raw Data'!H189, 2),FALSE)),"",_xlfn.REGEXEXTRACT(CELL("address",H189), "\$([A-Z]+)\$[0-9]+"))),_xlfn.REGEXEXTRACT(CELL("address",H189), "\$([A-Z]+)\$[0-9]+"))</f>
        <v/>
      </c>
      <c r="I189" s="7" t="str" cm="1">
        <f t="array" aca="1" ref="I189" ca="1">IFERROR(IF(OR('Raw Data'!I189="",LEN(TRIM('Raw Data'!I189))=0),"",IF(AND(ISNUMBER('Raw Data'!I189), IFERROR('Raw Data'!I189 = ROUND('Raw Data'!I189, 2),FALSE)),"",_xlfn.REGEXEXTRACT(CELL("address",I189), "\$([A-Z]+)\$[0-9]+"))),_xlfn.REGEXEXTRACT(CELL("address",I189), "\$([A-Z]+)\$[0-9]+"))</f>
        <v/>
      </c>
      <c r="J189" s="7" t="str" cm="1">
        <f t="array" aca="1" ref="J189" ca="1">IFERROR(IF(OR('Raw Data'!J189="",LEN(TRIM('Raw Data'!J189))=0),"",IF(AND(ISNUMBER('Raw Data'!J189), IFERROR('Raw Data'!J189 = ROUND('Raw Data'!J189, 2),FALSE)),"",_xlfn.REGEXEXTRACT(CELL("address",J189), "\$([A-Z]+)\$[0-9]+"))),_xlfn.REGEXEXTRACT(CELL("address",J189), "\$([A-Z]+)\$[0-9]+"))</f>
        <v/>
      </c>
      <c r="K189" s="7" t="str" cm="1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7" t="str" cm="1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7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7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7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7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 cm="1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7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7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7" t="str" cm="1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7" t="str" cm="1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  <c r="Z189" s="7" t="str" cm="1">
        <f t="array" aca="1" ref="Z189" ca="1">IFERROR(IF(OR('Raw Data'!Z189="",LEN(TRIM('Raw Data'!Z189))=0),"",IF(AND(ISNUMBER('Raw Data'!Z189), IFERROR('Raw Data'!Z189 = ROUND('Raw Data'!Z189, 2),FALSE)),"",_xlfn.REGEXEXTRACT(CELL("address",Z189), "\$([A-Z]+)\$[0-9]+"))),_xlfn.REGEXEXTRACT(CELL("address",Z189), "\$([A-Z]+)\$[0-9]+"))</f>
        <v/>
      </c>
      <c r="AA189" s="7" t="str" cm="1">
        <f t="array" aca="1" ref="AA189" ca="1">IFERROR(IF(OR('Raw Data'!AA189="",LEN(TRIM('Raw Data'!AA189))=0),"",IF(AND(ISNUMBER('Raw Data'!AA189), IFERROR('Raw Data'!AA189 = ROUND('Raw Data'!AA189, 2),FALSE)),"",_xlfn.REGEXEXTRACT(CELL("address",AA189), "\$([A-Z]+)\$[0-9]+"))),_xlfn.REGEXEXTRACT(CELL("address",AA189), "\$([A-Z]+)\$[0-9]+"))</f>
        <v/>
      </c>
      <c r="AB189" s="7" t="str" cm="1">
        <f t="array" aca="1" ref="AB189" ca="1">IFERROR(IF(OR('Raw Data'!AB189="",LEN(TRIM('Raw Data'!AB189))=0),"",IF(AND(ISNUMBER('Raw Data'!AB189), IFERROR('Raw Data'!AB189 = ROUND('Raw Data'!AB189, 2),FALSE)),"",_xlfn.REGEXEXTRACT(CELL("address",AB189), "\$([A-Z]+)\$[0-9]+"))),_xlfn.REGEXEXTRACT(CELL("address",AB189), "\$([A-Z]+)\$[0-9]+"))</f>
        <v/>
      </c>
      <c r="AC189" s="7" t="str" cm="1">
        <f t="array" aca="1" ref="AC189" ca="1">IFERROR(IF(OR('Raw Data'!AC189="",LEN(TRIM('Raw Data'!AC189))=0),"",IF(AND(ISNUMBER('Raw Data'!AC189), IFERROR('Raw Data'!AC189 = ROUND('Raw Data'!AC189, 2),FALSE)),"",_xlfn.REGEXEXTRACT(CELL("address",AC189), "\$([A-Z]+)\$[0-9]+"))),_xlfn.REGEXEXTRACT(CELL("address",AC189), "\$([A-Z]+)\$[0-9]+"))</f>
        <v/>
      </c>
      <c r="AD189" s="7" t="str" cm="1">
        <f t="array" aca="1" ref="AD189" ca="1">IFERROR(IF(OR('Raw Data'!AD189="",LEN(TRIM('Raw Data'!AD189))=0),"",IF(AND(ISNUMBER('Raw Data'!AD189), IFERROR('Raw Data'!AD189 = ROUND('Raw Data'!AD189, 2),FALSE)),"",_xlfn.REGEXEXTRACT(CELL("address",AD189), "\$([A-Z]+)\$[0-9]+"))),_xlfn.REGEXEXTRACT(CELL("address",AD189), "\$([A-Z]+)\$[0-9]+"))</f>
        <v/>
      </c>
      <c r="AE189" s="7" t="str" cm="1">
        <f t="array" aca="1" ref="AE189" ca="1">IFERROR(IF(OR('Raw Data'!AE189="",LEN(TRIM('Raw Data'!AE189))=0),"",IF(AND(ISNUMBER('Raw Data'!AE189), IFERROR('Raw Data'!AE189 = ROUND('Raw Data'!AE189, 2),FALSE)),"",_xlfn.REGEXEXTRACT(CELL("address",AE189), "\$([A-Z]+)\$[0-9]+"))),_xlfn.REGEXEXTRACT(CELL("address",AE189), "\$([A-Z]+)\$[0-9]+"))</f>
        <v/>
      </c>
      <c r="AF189" s="7" t="str" cm="1">
        <f t="array" aca="1" ref="AF189" ca="1">IFERROR(IF(OR('Raw Data'!AF189="",LEN(TRIM('Raw Data'!AF189))=0),"",IF(AND(ISNUMBER('Raw Data'!AF189), IFERROR('Raw Data'!AF189 = ROUND('Raw Data'!AF189, 2),FALSE)),"",_xlfn.REGEXEXTRACT(CELL("address",AF189), "\$([A-Z]+)\$[0-9]+"))),_xlfn.REGEXEXTRACT(CELL("address",AF189), "\$([A-Z]+)\$[0-9]+"))</f>
        <v/>
      </c>
      <c r="AG189" s="7" t="str" cm="1">
        <f t="array" aca="1" ref="AG189" ca="1">IFERROR(IF(OR('Raw Data'!AG189="",LEN(TRIM('Raw Data'!AG189))=0),"",IF(AND(ISNUMBER('Raw Data'!AG189), IFERROR('Raw Data'!AG189 = ROUND('Raw Data'!AG189, 2),FALSE)),"",_xlfn.REGEXEXTRACT(CELL("address",AG189), "\$([A-Z]+)\$[0-9]+"))),_xlfn.REGEXEXTRACT(CELL("address",AG189), "\$([A-Z]+)\$[0-9]+"))</f>
        <v/>
      </c>
      <c r="AH189" s="7" t="str" cm="1">
        <f t="array" aca="1" ref="AH189" ca="1">IFERROR(IF(OR('Raw Data'!AH189="",LEN(TRIM('Raw Data'!AH189))=0),"",IF(AND(ISNUMBER('Raw Data'!AH189), IFERROR('Raw Data'!AH189 = ROUND('Raw Data'!AH189, 2),FALSE)),"",_xlfn.REGEXEXTRACT(CELL("address",AH189), "\$([A-Z]+)\$[0-9]+"))),_xlfn.REGEXEXTRACT(CELL("address",AH189), "\$([A-Z]+)\$[0-9]+"))</f>
        <v/>
      </c>
      <c r="AI189" s="7" t="str" cm="1">
        <f t="array" aca="1" ref="AI189" ca="1">IFERROR(IF(OR('Raw Data'!AI189="",LEN(TRIM('Raw Data'!AI189))=0),"",IF(AND(ISNUMBER('Raw Data'!AI189), IFERROR('Raw Data'!AI189 = ROUND('Raw Data'!AI189, 2),FALSE)),"",_xlfn.REGEXEXTRACT(CELL("address",AI189), "\$([A-Z]+)\$[0-9]+"))),_xlfn.REGEXEXTRACT(CELL("address",AI189), "\$([A-Z]+)\$[0-9]+"))</f>
        <v/>
      </c>
      <c r="AJ189" s="7" t="str" cm="1">
        <f t="array" aca="1" ref="AJ189" ca="1">IFERROR(IF(OR('Raw Data'!AJ189="",LEN(TRIM('Raw Data'!AJ189))=0),"",IF(AND(ISNUMBER('Raw Data'!AJ189), IFERROR('Raw Data'!AJ189 = ROUND('Raw Data'!AJ189, 2),FALSE)),"",_xlfn.REGEXEXTRACT(CELL("address",AJ189), "\$([A-Z]+)\$[0-9]+"))),_xlfn.REGEXEXTRACT(CELL("address",AJ189), "\$([A-Z]+)\$[0-9]+"))</f>
        <v/>
      </c>
    </row>
    <row r="190" spans="2:36" x14ac:dyDescent="0.25">
      <c r="B190" s="7" t="str" cm="1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20,LEN('Raw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Data'!D190))=0),"",IF(AND(ISNUMBER('Raw Data'!D190),'Raw Data'!D190&gt;=Configuration!$D$2),"",_xlfn.REGEXEXTRACT(CELL("address",'Raw Data'!D190),"\$([A-Z]+)\$[0-9]+"))),_xlfn.REGEXEXTRACT(CELL("address",D190), "\$([A-Z]+)\$[0-9]+"))</f>
        <v/>
      </c>
      <c r="E190" s="7" t="str" cm="1">
        <f t="array" aca="1" ref="E190" ca="1">IFERROR(IF(OR('Raw Data'!E190="",LEN(TRIM('Raw Data'!E190))=0),"",IF(AND(ISNUMBER('Raw Data'!E190), IFERROR('Raw Data'!E190 = ROUND('Raw Data'!E190, 2),FALSE)),"",_xlfn.REGEXEXTRACT(CELL("address",E190), "\$([A-Z]+)\$[0-9]+"))),_xlfn.REGEXEXTRACT(CELL("address",E190), "\$([A-Z]+)\$[0-9]+"))</f>
        <v/>
      </c>
      <c r="F190" s="7" t="str" cm="1">
        <f t="array" aca="1" ref="F190" ca="1">IFERROR(IF(OR('Raw Data'!F190="",LEN(TRIM('Raw Data'!F190))=0),"",IF(AND(ISNUMBER('Raw Data'!F190), IFERROR('Raw Data'!F190 = ROUND('Raw Data'!F190, 2),FALSE)),"",_xlfn.REGEXEXTRACT(CELL("address",F190), "\$([A-Z]+)\$[0-9]+"))),_xlfn.REGEXEXTRACT(CELL("address",F190), "\$([A-Z]+)\$[0-9]+"))</f>
        <v/>
      </c>
      <c r="G190" s="7" t="str" cm="1">
        <f t="array" aca="1" ref="G190" ca="1">IFERROR(IF(OR('Raw Data'!G190="",LEN(TRIM('Raw Data'!G190))=0),"",IF(AND(ISNUMBER('Raw Data'!G190), IFERROR('Raw Data'!G190 = ROUND('Raw Data'!G190, 2),FALSE)),"",_xlfn.REGEXEXTRACT(CELL("address",G190), "\$([A-Z]+)\$[0-9]+"))),_xlfn.REGEXEXTRACT(CELL("address",G190), "\$([A-Z]+)\$[0-9]+"))</f>
        <v/>
      </c>
      <c r="H190" s="7" t="str" cm="1">
        <f t="array" aca="1" ref="H190" ca="1">IFERROR(IF(OR('Raw Data'!H190="",LEN(TRIM('Raw Data'!H190))=0),"",IF(AND(ISNUMBER('Raw Data'!H190), IFERROR('Raw Data'!H190 = ROUND('Raw Data'!H190, 2),FALSE)),"",_xlfn.REGEXEXTRACT(CELL("address",H190), "\$([A-Z]+)\$[0-9]+"))),_xlfn.REGEXEXTRACT(CELL("address",H190), "\$([A-Z]+)\$[0-9]+"))</f>
        <v/>
      </c>
      <c r="I190" s="7" t="str" cm="1">
        <f t="array" aca="1" ref="I190" ca="1">IFERROR(IF(OR('Raw Data'!I190="",LEN(TRIM('Raw Data'!I190))=0),"",IF(AND(ISNUMBER('Raw Data'!I190), IFERROR('Raw Data'!I190 = ROUND('Raw Data'!I190, 2),FALSE)),"",_xlfn.REGEXEXTRACT(CELL("address",I190), "\$([A-Z]+)\$[0-9]+"))),_xlfn.REGEXEXTRACT(CELL("address",I190), "\$([A-Z]+)\$[0-9]+"))</f>
        <v/>
      </c>
      <c r="J190" s="7" t="str" cm="1">
        <f t="array" aca="1" ref="J190" ca="1">IFERROR(IF(OR('Raw Data'!J190="",LEN(TRIM('Raw Data'!J190))=0),"",IF(AND(ISNUMBER('Raw Data'!J190), IFERROR('Raw Data'!J190 = ROUND('Raw Data'!J190, 2),FALSE)),"",_xlfn.REGEXEXTRACT(CELL("address",J190), "\$([A-Z]+)\$[0-9]+"))),_xlfn.REGEXEXTRACT(CELL("address",J190), "\$([A-Z]+)\$[0-9]+"))</f>
        <v/>
      </c>
      <c r="K190" s="7" t="str" cm="1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7" t="str" cm="1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7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7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7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7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 cm="1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7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7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7" t="str" cm="1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7" t="str" cm="1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  <c r="Z190" s="7" t="str" cm="1">
        <f t="array" aca="1" ref="Z190" ca="1">IFERROR(IF(OR('Raw Data'!Z190="",LEN(TRIM('Raw Data'!Z190))=0),"",IF(AND(ISNUMBER('Raw Data'!Z190), IFERROR('Raw Data'!Z190 = ROUND('Raw Data'!Z190, 2),FALSE)),"",_xlfn.REGEXEXTRACT(CELL("address",Z190), "\$([A-Z]+)\$[0-9]+"))),_xlfn.REGEXEXTRACT(CELL("address",Z190), "\$([A-Z]+)\$[0-9]+"))</f>
        <v/>
      </c>
      <c r="AA190" s="7" t="str" cm="1">
        <f t="array" aca="1" ref="AA190" ca="1">IFERROR(IF(OR('Raw Data'!AA190="",LEN(TRIM('Raw Data'!AA190))=0),"",IF(AND(ISNUMBER('Raw Data'!AA190), IFERROR('Raw Data'!AA190 = ROUND('Raw Data'!AA190, 2),FALSE)),"",_xlfn.REGEXEXTRACT(CELL("address",AA190), "\$([A-Z]+)\$[0-9]+"))),_xlfn.REGEXEXTRACT(CELL("address",AA190), "\$([A-Z]+)\$[0-9]+"))</f>
        <v/>
      </c>
      <c r="AB190" s="7" t="str" cm="1">
        <f t="array" aca="1" ref="AB190" ca="1">IFERROR(IF(OR('Raw Data'!AB190="",LEN(TRIM('Raw Data'!AB190))=0),"",IF(AND(ISNUMBER('Raw Data'!AB190), IFERROR('Raw Data'!AB190 = ROUND('Raw Data'!AB190, 2),FALSE)),"",_xlfn.REGEXEXTRACT(CELL("address",AB190), "\$([A-Z]+)\$[0-9]+"))),_xlfn.REGEXEXTRACT(CELL("address",AB190), "\$([A-Z]+)\$[0-9]+"))</f>
        <v/>
      </c>
      <c r="AC190" s="7" t="str" cm="1">
        <f t="array" aca="1" ref="AC190" ca="1">IFERROR(IF(OR('Raw Data'!AC190="",LEN(TRIM('Raw Data'!AC190))=0),"",IF(AND(ISNUMBER('Raw Data'!AC190), IFERROR('Raw Data'!AC190 = ROUND('Raw Data'!AC190, 2),FALSE)),"",_xlfn.REGEXEXTRACT(CELL("address",AC190), "\$([A-Z]+)\$[0-9]+"))),_xlfn.REGEXEXTRACT(CELL("address",AC190), "\$([A-Z]+)\$[0-9]+"))</f>
        <v/>
      </c>
      <c r="AD190" s="7" t="str" cm="1">
        <f t="array" aca="1" ref="AD190" ca="1">IFERROR(IF(OR('Raw Data'!AD190="",LEN(TRIM('Raw Data'!AD190))=0),"",IF(AND(ISNUMBER('Raw Data'!AD190), IFERROR('Raw Data'!AD190 = ROUND('Raw Data'!AD190, 2),FALSE)),"",_xlfn.REGEXEXTRACT(CELL("address",AD190), "\$([A-Z]+)\$[0-9]+"))),_xlfn.REGEXEXTRACT(CELL("address",AD190), "\$([A-Z]+)\$[0-9]+"))</f>
        <v/>
      </c>
      <c r="AE190" s="7" t="str" cm="1">
        <f t="array" aca="1" ref="AE190" ca="1">IFERROR(IF(OR('Raw Data'!AE190="",LEN(TRIM('Raw Data'!AE190))=0),"",IF(AND(ISNUMBER('Raw Data'!AE190), IFERROR('Raw Data'!AE190 = ROUND('Raw Data'!AE190, 2),FALSE)),"",_xlfn.REGEXEXTRACT(CELL("address",AE190), "\$([A-Z]+)\$[0-9]+"))),_xlfn.REGEXEXTRACT(CELL("address",AE190), "\$([A-Z]+)\$[0-9]+"))</f>
        <v/>
      </c>
      <c r="AF190" s="7" t="str" cm="1">
        <f t="array" aca="1" ref="AF190" ca="1">IFERROR(IF(OR('Raw Data'!AF190="",LEN(TRIM('Raw Data'!AF190))=0),"",IF(AND(ISNUMBER('Raw Data'!AF190), IFERROR('Raw Data'!AF190 = ROUND('Raw Data'!AF190, 2),FALSE)),"",_xlfn.REGEXEXTRACT(CELL("address",AF190), "\$([A-Z]+)\$[0-9]+"))),_xlfn.REGEXEXTRACT(CELL("address",AF190), "\$([A-Z]+)\$[0-9]+"))</f>
        <v/>
      </c>
      <c r="AG190" s="7" t="str" cm="1">
        <f t="array" aca="1" ref="AG190" ca="1">IFERROR(IF(OR('Raw Data'!AG190="",LEN(TRIM('Raw Data'!AG190))=0),"",IF(AND(ISNUMBER('Raw Data'!AG190), IFERROR('Raw Data'!AG190 = ROUND('Raw Data'!AG190, 2),FALSE)),"",_xlfn.REGEXEXTRACT(CELL("address",AG190), "\$([A-Z]+)\$[0-9]+"))),_xlfn.REGEXEXTRACT(CELL("address",AG190), "\$([A-Z]+)\$[0-9]+"))</f>
        <v/>
      </c>
      <c r="AH190" s="7" t="str" cm="1">
        <f t="array" aca="1" ref="AH190" ca="1">IFERROR(IF(OR('Raw Data'!AH190="",LEN(TRIM('Raw Data'!AH190))=0),"",IF(AND(ISNUMBER('Raw Data'!AH190), IFERROR('Raw Data'!AH190 = ROUND('Raw Data'!AH190, 2),FALSE)),"",_xlfn.REGEXEXTRACT(CELL("address",AH190), "\$([A-Z]+)\$[0-9]+"))),_xlfn.REGEXEXTRACT(CELL("address",AH190), "\$([A-Z]+)\$[0-9]+"))</f>
        <v/>
      </c>
      <c r="AI190" s="7" t="str" cm="1">
        <f t="array" aca="1" ref="AI190" ca="1">IFERROR(IF(OR('Raw Data'!AI190="",LEN(TRIM('Raw Data'!AI190))=0),"",IF(AND(ISNUMBER('Raw Data'!AI190), IFERROR('Raw Data'!AI190 = ROUND('Raw Data'!AI190, 2),FALSE)),"",_xlfn.REGEXEXTRACT(CELL("address",AI190), "\$([A-Z]+)\$[0-9]+"))),_xlfn.REGEXEXTRACT(CELL("address",AI190), "\$([A-Z]+)\$[0-9]+"))</f>
        <v/>
      </c>
      <c r="AJ190" s="7" t="str" cm="1">
        <f t="array" aca="1" ref="AJ190" ca="1">IFERROR(IF(OR('Raw Data'!AJ190="",LEN(TRIM('Raw Data'!AJ190))=0),"",IF(AND(ISNUMBER('Raw Data'!AJ190), IFERROR('Raw Data'!AJ190 = ROUND('Raw Data'!AJ190, 2),FALSE)),"",_xlfn.REGEXEXTRACT(CELL("address",AJ190), "\$([A-Z]+)\$[0-9]+"))),_xlfn.REGEXEXTRACT(CELL("address",AJ190), "\$([A-Z]+)\$[0-9]+"))</f>
        <v/>
      </c>
    </row>
    <row r="191" spans="2:36" x14ac:dyDescent="0.25">
      <c r="B191" s="7" t="str" cm="1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20,LEN('Raw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Data'!D191))=0),"",IF(AND(ISNUMBER('Raw Data'!D191),'Raw Data'!D191&gt;=Configuration!$D$2),"",_xlfn.REGEXEXTRACT(CELL("address",'Raw Data'!D191),"\$([A-Z]+)\$[0-9]+"))),_xlfn.REGEXEXTRACT(CELL("address",D191), "\$([A-Z]+)\$[0-9]+"))</f>
        <v/>
      </c>
      <c r="E191" s="7" t="str" cm="1">
        <f t="array" aca="1" ref="E191" ca="1">IFERROR(IF(OR('Raw Data'!E191="",LEN(TRIM('Raw Data'!E191))=0),"",IF(AND(ISNUMBER('Raw Data'!E191), IFERROR('Raw Data'!E191 = ROUND('Raw Data'!E191, 2),FALSE)),"",_xlfn.REGEXEXTRACT(CELL("address",E191), "\$([A-Z]+)\$[0-9]+"))),_xlfn.REGEXEXTRACT(CELL("address",E191), "\$([A-Z]+)\$[0-9]+"))</f>
        <v/>
      </c>
      <c r="F191" s="7" t="str" cm="1">
        <f t="array" aca="1" ref="F191" ca="1">IFERROR(IF(OR('Raw Data'!F191="",LEN(TRIM('Raw Data'!F191))=0),"",IF(AND(ISNUMBER('Raw Data'!F191), IFERROR('Raw Data'!F191 = ROUND('Raw Data'!F191, 2),FALSE)),"",_xlfn.REGEXEXTRACT(CELL("address",F191), "\$([A-Z]+)\$[0-9]+"))),_xlfn.REGEXEXTRACT(CELL("address",F191), "\$([A-Z]+)\$[0-9]+"))</f>
        <v/>
      </c>
      <c r="G191" s="7" t="str" cm="1">
        <f t="array" aca="1" ref="G191" ca="1">IFERROR(IF(OR('Raw Data'!G191="",LEN(TRIM('Raw Data'!G191))=0),"",IF(AND(ISNUMBER('Raw Data'!G191), IFERROR('Raw Data'!G191 = ROUND('Raw Data'!G191, 2),FALSE)),"",_xlfn.REGEXEXTRACT(CELL("address",G191), "\$([A-Z]+)\$[0-9]+"))),_xlfn.REGEXEXTRACT(CELL("address",G191), "\$([A-Z]+)\$[0-9]+"))</f>
        <v/>
      </c>
      <c r="H191" s="7" t="str" cm="1">
        <f t="array" aca="1" ref="H191" ca="1">IFERROR(IF(OR('Raw Data'!H191="",LEN(TRIM('Raw Data'!H191))=0),"",IF(AND(ISNUMBER('Raw Data'!H191), IFERROR('Raw Data'!H191 = ROUND('Raw Data'!H191, 2),FALSE)),"",_xlfn.REGEXEXTRACT(CELL("address",H191), "\$([A-Z]+)\$[0-9]+"))),_xlfn.REGEXEXTRACT(CELL("address",H191), "\$([A-Z]+)\$[0-9]+"))</f>
        <v/>
      </c>
      <c r="I191" s="7" t="str" cm="1">
        <f t="array" aca="1" ref="I191" ca="1">IFERROR(IF(OR('Raw Data'!I191="",LEN(TRIM('Raw Data'!I191))=0),"",IF(AND(ISNUMBER('Raw Data'!I191), IFERROR('Raw Data'!I191 = ROUND('Raw Data'!I191, 2),FALSE)),"",_xlfn.REGEXEXTRACT(CELL("address",I191), "\$([A-Z]+)\$[0-9]+"))),_xlfn.REGEXEXTRACT(CELL("address",I191), "\$([A-Z]+)\$[0-9]+"))</f>
        <v/>
      </c>
      <c r="J191" s="7" t="str" cm="1">
        <f t="array" aca="1" ref="J191" ca="1">IFERROR(IF(OR('Raw Data'!J191="",LEN(TRIM('Raw Data'!J191))=0),"",IF(AND(ISNUMBER('Raw Data'!J191), IFERROR('Raw Data'!J191 = ROUND('Raw Data'!J191, 2),FALSE)),"",_xlfn.REGEXEXTRACT(CELL("address",J191), "\$([A-Z]+)\$[0-9]+"))),_xlfn.REGEXEXTRACT(CELL("address",J191), "\$([A-Z]+)\$[0-9]+"))</f>
        <v/>
      </c>
      <c r="K191" s="7" t="str" cm="1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7" t="str" cm="1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7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7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7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7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 cm="1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7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7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7" t="str" cm="1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7" t="str" cm="1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  <c r="Z191" s="7" t="str" cm="1">
        <f t="array" aca="1" ref="Z191" ca="1">IFERROR(IF(OR('Raw Data'!Z191="",LEN(TRIM('Raw Data'!Z191))=0),"",IF(AND(ISNUMBER('Raw Data'!Z191), IFERROR('Raw Data'!Z191 = ROUND('Raw Data'!Z191, 2),FALSE)),"",_xlfn.REGEXEXTRACT(CELL("address",Z191), "\$([A-Z]+)\$[0-9]+"))),_xlfn.REGEXEXTRACT(CELL("address",Z191), "\$([A-Z]+)\$[0-9]+"))</f>
        <v/>
      </c>
      <c r="AA191" s="7" t="str" cm="1">
        <f t="array" aca="1" ref="AA191" ca="1">IFERROR(IF(OR('Raw Data'!AA191="",LEN(TRIM('Raw Data'!AA191))=0),"",IF(AND(ISNUMBER('Raw Data'!AA191), IFERROR('Raw Data'!AA191 = ROUND('Raw Data'!AA191, 2),FALSE)),"",_xlfn.REGEXEXTRACT(CELL("address",AA191), "\$([A-Z]+)\$[0-9]+"))),_xlfn.REGEXEXTRACT(CELL("address",AA191), "\$([A-Z]+)\$[0-9]+"))</f>
        <v/>
      </c>
      <c r="AB191" s="7" t="str" cm="1">
        <f t="array" aca="1" ref="AB191" ca="1">IFERROR(IF(OR('Raw Data'!AB191="",LEN(TRIM('Raw Data'!AB191))=0),"",IF(AND(ISNUMBER('Raw Data'!AB191), IFERROR('Raw Data'!AB191 = ROUND('Raw Data'!AB191, 2),FALSE)),"",_xlfn.REGEXEXTRACT(CELL("address",AB191), "\$([A-Z]+)\$[0-9]+"))),_xlfn.REGEXEXTRACT(CELL("address",AB191), "\$([A-Z]+)\$[0-9]+"))</f>
        <v/>
      </c>
      <c r="AC191" s="7" t="str" cm="1">
        <f t="array" aca="1" ref="AC191" ca="1">IFERROR(IF(OR('Raw Data'!AC191="",LEN(TRIM('Raw Data'!AC191))=0),"",IF(AND(ISNUMBER('Raw Data'!AC191), IFERROR('Raw Data'!AC191 = ROUND('Raw Data'!AC191, 2),FALSE)),"",_xlfn.REGEXEXTRACT(CELL("address",AC191), "\$([A-Z]+)\$[0-9]+"))),_xlfn.REGEXEXTRACT(CELL("address",AC191), "\$([A-Z]+)\$[0-9]+"))</f>
        <v/>
      </c>
      <c r="AD191" s="7" t="str" cm="1">
        <f t="array" aca="1" ref="AD191" ca="1">IFERROR(IF(OR('Raw Data'!AD191="",LEN(TRIM('Raw Data'!AD191))=0),"",IF(AND(ISNUMBER('Raw Data'!AD191), IFERROR('Raw Data'!AD191 = ROUND('Raw Data'!AD191, 2),FALSE)),"",_xlfn.REGEXEXTRACT(CELL("address",AD191), "\$([A-Z]+)\$[0-9]+"))),_xlfn.REGEXEXTRACT(CELL("address",AD191), "\$([A-Z]+)\$[0-9]+"))</f>
        <v/>
      </c>
      <c r="AE191" s="7" t="str" cm="1">
        <f t="array" aca="1" ref="AE191" ca="1">IFERROR(IF(OR('Raw Data'!AE191="",LEN(TRIM('Raw Data'!AE191))=0),"",IF(AND(ISNUMBER('Raw Data'!AE191), IFERROR('Raw Data'!AE191 = ROUND('Raw Data'!AE191, 2),FALSE)),"",_xlfn.REGEXEXTRACT(CELL("address",AE191), "\$([A-Z]+)\$[0-9]+"))),_xlfn.REGEXEXTRACT(CELL("address",AE191), "\$([A-Z]+)\$[0-9]+"))</f>
        <v/>
      </c>
      <c r="AF191" s="7" t="str" cm="1">
        <f t="array" aca="1" ref="AF191" ca="1">IFERROR(IF(OR('Raw Data'!AF191="",LEN(TRIM('Raw Data'!AF191))=0),"",IF(AND(ISNUMBER('Raw Data'!AF191), IFERROR('Raw Data'!AF191 = ROUND('Raw Data'!AF191, 2),FALSE)),"",_xlfn.REGEXEXTRACT(CELL("address",AF191), "\$([A-Z]+)\$[0-9]+"))),_xlfn.REGEXEXTRACT(CELL("address",AF191), "\$([A-Z]+)\$[0-9]+"))</f>
        <v/>
      </c>
      <c r="AG191" s="7" t="str" cm="1">
        <f t="array" aca="1" ref="AG191" ca="1">IFERROR(IF(OR('Raw Data'!AG191="",LEN(TRIM('Raw Data'!AG191))=0),"",IF(AND(ISNUMBER('Raw Data'!AG191), IFERROR('Raw Data'!AG191 = ROUND('Raw Data'!AG191, 2),FALSE)),"",_xlfn.REGEXEXTRACT(CELL("address",AG191), "\$([A-Z]+)\$[0-9]+"))),_xlfn.REGEXEXTRACT(CELL("address",AG191), "\$([A-Z]+)\$[0-9]+"))</f>
        <v/>
      </c>
      <c r="AH191" s="7" t="str" cm="1">
        <f t="array" aca="1" ref="AH191" ca="1">IFERROR(IF(OR('Raw Data'!AH191="",LEN(TRIM('Raw Data'!AH191))=0),"",IF(AND(ISNUMBER('Raw Data'!AH191), IFERROR('Raw Data'!AH191 = ROUND('Raw Data'!AH191, 2),FALSE)),"",_xlfn.REGEXEXTRACT(CELL("address",AH191), "\$([A-Z]+)\$[0-9]+"))),_xlfn.REGEXEXTRACT(CELL("address",AH191), "\$([A-Z]+)\$[0-9]+"))</f>
        <v/>
      </c>
      <c r="AI191" s="7" t="str" cm="1">
        <f t="array" aca="1" ref="AI191" ca="1">IFERROR(IF(OR('Raw Data'!AI191="",LEN(TRIM('Raw Data'!AI191))=0),"",IF(AND(ISNUMBER('Raw Data'!AI191), IFERROR('Raw Data'!AI191 = ROUND('Raw Data'!AI191, 2),FALSE)),"",_xlfn.REGEXEXTRACT(CELL("address",AI191), "\$([A-Z]+)\$[0-9]+"))),_xlfn.REGEXEXTRACT(CELL("address",AI191), "\$([A-Z]+)\$[0-9]+"))</f>
        <v/>
      </c>
      <c r="AJ191" s="7" t="str" cm="1">
        <f t="array" aca="1" ref="AJ191" ca="1">IFERROR(IF(OR('Raw Data'!AJ191="",LEN(TRIM('Raw Data'!AJ191))=0),"",IF(AND(ISNUMBER('Raw Data'!AJ191), IFERROR('Raw Data'!AJ191 = ROUND('Raw Data'!AJ191, 2),FALSE)),"",_xlfn.REGEXEXTRACT(CELL("address",AJ191), "\$([A-Z]+)\$[0-9]+"))),_xlfn.REGEXEXTRACT(CELL("address",AJ191), "\$([A-Z]+)\$[0-9]+"))</f>
        <v/>
      </c>
    </row>
    <row r="192" spans="2:36" x14ac:dyDescent="0.25">
      <c r="B192" s="7" t="str" cm="1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20,LEN('Raw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Data'!D192))=0),"",IF(AND(ISNUMBER('Raw Data'!D192),'Raw Data'!D192&gt;=Configuration!$D$2),"",_xlfn.REGEXEXTRACT(CELL("address",'Raw Data'!D192),"\$([A-Z]+)\$[0-9]+"))),_xlfn.REGEXEXTRACT(CELL("address",D192), "\$([A-Z]+)\$[0-9]+"))</f>
        <v/>
      </c>
      <c r="E192" s="7" t="str" cm="1">
        <f t="array" aca="1" ref="E192" ca="1">IFERROR(IF(OR('Raw Data'!E192="",LEN(TRIM('Raw Data'!E192))=0),"",IF(AND(ISNUMBER('Raw Data'!E192), IFERROR('Raw Data'!E192 = ROUND('Raw Data'!E192, 2),FALSE)),"",_xlfn.REGEXEXTRACT(CELL("address",E192), "\$([A-Z]+)\$[0-9]+"))),_xlfn.REGEXEXTRACT(CELL("address",E192), "\$([A-Z]+)\$[0-9]+"))</f>
        <v/>
      </c>
      <c r="F192" s="7" t="str" cm="1">
        <f t="array" aca="1" ref="F192" ca="1">IFERROR(IF(OR('Raw Data'!F192="",LEN(TRIM('Raw Data'!F192))=0),"",IF(AND(ISNUMBER('Raw Data'!F192), IFERROR('Raw Data'!F192 = ROUND('Raw Data'!F192, 2),FALSE)),"",_xlfn.REGEXEXTRACT(CELL("address",F192), "\$([A-Z]+)\$[0-9]+"))),_xlfn.REGEXEXTRACT(CELL("address",F192), "\$([A-Z]+)\$[0-9]+"))</f>
        <v/>
      </c>
      <c r="G192" s="7" t="str" cm="1">
        <f t="array" aca="1" ref="G192" ca="1">IFERROR(IF(OR('Raw Data'!G192="",LEN(TRIM('Raw Data'!G192))=0),"",IF(AND(ISNUMBER('Raw Data'!G192), IFERROR('Raw Data'!G192 = ROUND('Raw Data'!G192, 2),FALSE)),"",_xlfn.REGEXEXTRACT(CELL("address",G192), "\$([A-Z]+)\$[0-9]+"))),_xlfn.REGEXEXTRACT(CELL("address",G192), "\$([A-Z]+)\$[0-9]+"))</f>
        <v/>
      </c>
      <c r="H192" s="7" t="str" cm="1">
        <f t="array" aca="1" ref="H192" ca="1">IFERROR(IF(OR('Raw Data'!H192="",LEN(TRIM('Raw Data'!H192))=0),"",IF(AND(ISNUMBER('Raw Data'!H192), IFERROR('Raw Data'!H192 = ROUND('Raw Data'!H192, 2),FALSE)),"",_xlfn.REGEXEXTRACT(CELL("address",H192), "\$([A-Z]+)\$[0-9]+"))),_xlfn.REGEXEXTRACT(CELL("address",H192), "\$([A-Z]+)\$[0-9]+"))</f>
        <v/>
      </c>
      <c r="I192" s="7" t="str" cm="1">
        <f t="array" aca="1" ref="I192" ca="1">IFERROR(IF(OR('Raw Data'!I192="",LEN(TRIM('Raw Data'!I192))=0),"",IF(AND(ISNUMBER('Raw Data'!I192), IFERROR('Raw Data'!I192 = ROUND('Raw Data'!I192, 2),FALSE)),"",_xlfn.REGEXEXTRACT(CELL("address",I192), "\$([A-Z]+)\$[0-9]+"))),_xlfn.REGEXEXTRACT(CELL("address",I192), "\$([A-Z]+)\$[0-9]+"))</f>
        <v/>
      </c>
      <c r="J192" s="7" t="str" cm="1">
        <f t="array" aca="1" ref="J192" ca="1">IFERROR(IF(OR('Raw Data'!J192="",LEN(TRIM('Raw Data'!J192))=0),"",IF(AND(ISNUMBER('Raw Data'!J192), IFERROR('Raw Data'!J192 = ROUND('Raw Data'!J192, 2),FALSE)),"",_xlfn.REGEXEXTRACT(CELL("address",J192), "\$([A-Z]+)\$[0-9]+"))),_xlfn.REGEXEXTRACT(CELL("address",J192), "\$([A-Z]+)\$[0-9]+"))</f>
        <v/>
      </c>
      <c r="K192" s="7" t="str" cm="1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7" t="str" cm="1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7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7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7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7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 cm="1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7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7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7" t="str" cm="1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7" t="str" cm="1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  <c r="Z192" s="7" t="str" cm="1">
        <f t="array" aca="1" ref="Z192" ca="1">IFERROR(IF(OR('Raw Data'!Z192="",LEN(TRIM('Raw Data'!Z192))=0),"",IF(AND(ISNUMBER('Raw Data'!Z192), IFERROR('Raw Data'!Z192 = ROUND('Raw Data'!Z192, 2),FALSE)),"",_xlfn.REGEXEXTRACT(CELL("address",Z192), "\$([A-Z]+)\$[0-9]+"))),_xlfn.REGEXEXTRACT(CELL("address",Z192), "\$([A-Z]+)\$[0-9]+"))</f>
        <v/>
      </c>
      <c r="AA192" s="7" t="str" cm="1">
        <f t="array" aca="1" ref="AA192" ca="1">IFERROR(IF(OR('Raw Data'!AA192="",LEN(TRIM('Raw Data'!AA192))=0),"",IF(AND(ISNUMBER('Raw Data'!AA192), IFERROR('Raw Data'!AA192 = ROUND('Raw Data'!AA192, 2),FALSE)),"",_xlfn.REGEXEXTRACT(CELL("address",AA192), "\$([A-Z]+)\$[0-9]+"))),_xlfn.REGEXEXTRACT(CELL("address",AA192), "\$([A-Z]+)\$[0-9]+"))</f>
        <v/>
      </c>
      <c r="AB192" s="7" t="str" cm="1">
        <f t="array" aca="1" ref="AB192" ca="1">IFERROR(IF(OR('Raw Data'!AB192="",LEN(TRIM('Raw Data'!AB192))=0),"",IF(AND(ISNUMBER('Raw Data'!AB192), IFERROR('Raw Data'!AB192 = ROUND('Raw Data'!AB192, 2),FALSE)),"",_xlfn.REGEXEXTRACT(CELL("address",AB192), "\$([A-Z]+)\$[0-9]+"))),_xlfn.REGEXEXTRACT(CELL("address",AB192), "\$([A-Z]+)\$[0-9]+"))</f>
        <v/>
      </c>
      <c r="AC192" s="7" t="str" cm="1">
        <f t="array" aca="1" ref="AC192" ca="1">IFERROR(IF(OR('Raw Data'!AC192="",LEN(TRIM('Raw Data'!AC192))=0),"",IF(AND(ISNUMBER('Raw Data'!AC192), IFERROR('Raw Data'!AC192 = ROUND('Raw Data'!AC192, 2),FALSE)),"",_xlfn.REGEXEXTRACT(CELL("address",AC192), "\$([A-Z]+)\$[0-9]+"))),_xlfn.REGEXEXTRACT(CELL("address",AC192), "\$([A-Z]+)\$[0-9]+"))</f>
        <v/>
      </c>
      <c r="AD192" s="7" t="str" cm="1">
        <f t="array" aca="1" ref="AD192" ca="1">IFERROR(IF(OR('Raw Data'!AD192="",LEN(TRIM('Raw Data'!AD192))=0),"",IF(AND(ISNUMBER('Raw Data'!AD192), IFERROR('Raw Data'!AD192 = ROUND('Raw Data'!AD192, 2),FALSE)),"",_xlfn.REGEXEXTRACT(CELL("address",AD192), "\$([A-Z]+)\$[0-9]+"))),_xlfn.REGEXEXTRACT(CELL("address",AD192), "\$([A-Z]+)\$[0-9]+"))</f>
        <v/>
      </c>
      <c r="AE192" s="7" t="str" cm="1">
        <f t="array" aca="1" ref="AE192" ca="1">IFERROR(IF(OR('Raw Data'!AE192="",LEN(TRIM('Raw Data'!AE192))=0),"",IF(AND(ISNUMBER('Raw Data'!AE192), IFERROR('Raw Data'!AE192 = ROUND('Raw Data'!AE192, 2),FALSE)),"",_xlfn.REGEXEXTRACT(CELL("address",AE192), "\$([A-Z]+)\$[0-9]+"))),_xlfn.REGEXEXTRACT(CELL("address",AE192), "\$([A-Z]+)\$[0-9]+"))</f>
        <v/>
      </c>
      <c r="AF192" s="7" t="str" cm="1">
        <f t="array" aca="1" ref="AF192" ca="1">IFERROR(IF(OR('Raw Data'!AF192="",LEN(TRIM('Raw Data'!AF192))=0),"",IF(AND(ISNUMBER('Raw Data'!AF192), IFERROR('Raw Data'!AF192 = ROUND('Raw Data'!AF192, 2),FALSE)),"",_xlfn.REGEXEXTRACT(CELL("address",AF192), "\$([A-Z]+)\$[0-9]+"))),_xlfn.REGEXEXTRACT(CELL("address",AF192), "\$([A-Z]+)\$[0-9]+"))</f>
        <v/>
      </c>
      <c r="AG192" s="7" t="str" cm="1">
        <f t="array" aca="1" ref="AG192" ca="1">IFERROR(IF(OR('Raw Data'!AG192="",LEN(TRIM('Raw Data'!AG192))=0),"",IF(AND(ISNUMBER('Raw Data'!AG192), IFERROR('Raw Data'!AG192 = ROUND('Raw Data'!AG192, 2),FALSE)),"",_xlfn.REGEXEXTRACT(CELL("address",AG192), "\$([A-Z]+)\$[0-9]+"))),_xlfn.REGEXEXTRACT(CELL("address",AG192), "\$([A-Z]+)\$[0-9]+"))</f>
        <v/>
      </c>
      <c r="AH192" s="7" t="str" cm="1">
        <f t="array" aca="1" ref="AH192" ca="1">IFERROR(IF(OR('Raw Data'!AH192="",LEN(TRIM('Raw Data'!AH192))=0),"",IF(AND(ISNUMBER('Raw Data'!AH192), IFERROR('Raw Data'!AH192 = ROUND('Raw Data'!AH192, 2),FALSE)),"",_xlfn.REGEXEXTRACT(CELL("address",AH192), "\$([A-Z]+)\$[0-9]+"))),_xlfn.REGEXEXTRACT(CELL("address",AH192), "\$([A-Z]+)\$[0-9]+"))</f>
        <v/>
      </c>
      <c r="AI192" s="7" t="str" cm="1">
        <f t="array" aca="1" ref="AI192" ca="1">IFERROR(IF(OR('Raw Data'!AI192="",LEN(TRIM('Raw Data'!AI192))=0),"",IF(AND(ISNUMBER('Raw Data'!AI192), IFERROR('Raw Data'!AI192 = ROUND('Raw Data'!AI192, 2),FALSE)),"",_xlfn.REGEXEXTRACT(CELL("address",AI192), "\$([A-Z]+)\$[0-9]+"))),_xlfn.REGEXEXTRACT(CELL("address",AI192), "\$([A-Z]+)\$[0-9]+"))</f>
        <v/>
      </c>
      <c r="AJ192" s="7" t="str" cm="1">
        <f t="array" aca="1" ref="AJ192" ca="1">IFERROR(IF(OR('Raw Data'!AJ192="",LEN(TRIM('Raw Data'!AJ192))=0),"",IF(AND(ISNUMBER('Raw Data'!AJ192), IFERROR('Raw Data'!AJ192 = ROUND('Raw Data'!AJ192, 2),FALSE)),"",_xlfn.REGEXEXTRACT(CELL("address",AJ192), "\$([A-Z]+)\$[0-9]+"))),_xlfn.REGEXEXTRACT(CELL("address",AJ192), "\$([A-Z]+)\$[0-9]+"))</f>
        <v/>
      </c>
    </row>
    <row r="193" spans="2:36" x14ac:dyDescent="0.25">
      <c r="B193" s="7" t="str" cm="1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20,LEN('Raw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Data'!D193))=0),"",IF(AND(ISNUMBER('Raw Data'!D193),'Raw Data'!D193&gt;=Configuration!$D$2),"",_xlfn.REGEXEXTRACT(CELL("address",'Raw Data'!D193),"\$([A-Z]+)\$[0-9]+"))),_xlfn.REGEXEXTRACT(CELL("address",D193), "\$([A-Z]+)\$[0-9]+"))</f>
        <v/>
      </c>
      <c r="E193" s="7" t="str" cm="1">
        <f t="array" aca="1" ref="E193" ca="1">IFERROR(IF(OR('Raw Data'!E193="",LEN(TRIM('Raw Data'!E193))=0),"",IF(AND(ISNUMBER('Raw Data'!E193), IFERROR('Raw Data'!E193 = ROUND('Raw Data'!E193, 2),FALSE)),"",_xlfn.REGEXEXTRACT(CELL("address",E193), "\$([A-Z]+)\$[0-9]+"))),_xlfn.REGEXEXTRACT(CELL("address",E193), "\$([A-Z]+)\$[0-9]+"))</f>
        <v/>
      </c>
      <c r="F193" s="7" t="str" cm="1">
        <f t="array" aca="1" ref="F193" ca="1">IFERROR(IF(OR('Raw Data'!F193="",LEN(TRIM('Raw Data'!F193))=0),"",IF(AND(ISNUMBER('Raw Data'!F193), IFERROR('Raw Data'!F193 = ROUND('Raw Data'!F193, 2),FALSE)),"",_xlfn.REGEXEXTRACT(CELL("address",F193), "\$([A-Z]+)\$[0-9]+"))),_xlfn.REGEXEXTRACT(CELL("address",F193), "\$([A-Z]+)\$[0-9]+"))</f>
        <v/>
      </c>
      <c r="G193" s="7" t="str" cm="1">
        <f t="array" aca="1" ref="G193" ca="1">IFERROR(IF(OR('Raw Data'!G193="",LEN(TRIM('Raw Data'!G193))=0),"",IF(AND(ISNUMBER('Raw Data'!G193), IFERROR('Raw Data'!G193 = ROUND('Raw Data'!G193, 2),FALSE)),"",_xlfn.REGEXEXTRACT(CELL("address",G193), "\$([A-Z]+)\$[0-9]+"))),_xlfn.REGEXEXTRACT(CELL("address",G193), "\$([A-Z]+)\$[0-9]+"))</f>
        <v/>
      </c>
      <c r="H193" s="7" t="str" cm="1">
        <f t="array" aca="1" ref="H193" ca="1">IFERROR(IF(OR('Raw Data'!H193="",LEN(TRIM('Raw Data'!H193))=0),"",IF(AND(ISNUMBER('Raw Data'!H193), IFERROR('Raw Data'!H193 = ROUND('Raw Data'!H193, 2),FALSE)),"",_xlfn.REGEXEXTRACT(CELL("address",H193), "\$([A-Z]+)\$[0-9]+"))),_xlfn.REGEXEXTRACT(CELL("address",H193), "\$([A-Z]+)\$[0-9]+"))</f>
        <v/>
      </c>
      <c r="I193" s="7" t="str" cm="1">
        <f t="array" aca="1" ref="I193" ca="1">IFERROR(IF(OR('Raw Data'!I193="",LEN(TRIM('Raw Data'!I193))=0),"",IF(AND(ISNUMBER('Raw Data'!I193), IFERROR('Raw Data'!I193 = ROUND('Raw Data'!I193, 2),FALSE)),"",_xlfn.REGEXEXTRACT(CELL("address",I193), "\$([A-Z]+)\$[0-9]+"))),_xlfn.REGEXEXTRACT(CELL("address",I193), "\$([A-Z]+)\$[0-9]+"))</f>
        <v/>
      </c>
      <c r="J193" s="7" t="str" cm="1">
        <f t="array" aca="1" ref="J193" ca="1">IFERROR(IF(OR('Raw Data'!J193="",LEN(TRIM('Raw Data'!J193))=0),"",IF(AND(ISNUMBER('Raw Data'!J193), IFERROR('Raw Data'!J193 = ROUND('Raw Data'!J193, 2),FALSE)),"",_xlfn.REGEXEXTRACT(CELL("address",J193), "\$([A-Z]+)\$[0-9]+"))),_xlfn.REGEXEXTRACT(CELL("address",J193), "\$([A-Z]+)\$[0-9]+"))</f>
        <v/>
      </c>
      <c r="K193" s="7" t="str" cm="1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7" t="str" cm="1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7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7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7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7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 cm="1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7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7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7" t="str" cm="1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7" t="str" cm="1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  <c r="Z193" s="7" t="str" cm="1">
        <f t="array" aca="1" ref="Z193" ca="1">IFERROR(IF(OR('Raw Data'!Z193="",LEN(TRIM('Raw Data'!Z193))=0),"",IF(AND(ISNUMBER('Raw Data'!Z193), IFERROR('Raw Data'!Z193 = ROUND('Raw Data'!Z193, 2),FALSE)),"",_xlfn.REGEXEXTRACT(CELL("address",Z193), "\$([A-Z]+)\$[0-9]+"))),_xlfn.REGEXEXTRACT(CELL("address",Z193), "\$([A-Z]+)\$[0-9]+"))</f>
        <v/>
      </c>
      <c r="AA193" s="7" t="str" cm="1">
        <f t="array" aca="1" ref="AA193" ca="1">IFERROR(IF(OR('Raw Data'!AA193="",LEN(TRIM('Raw Data'!AA193))=0),"",IF(AND(ISNUMBER('Raw Data'!AA193), IFERROR('Raw Data'!AA193 = ROUND('Raw Data'!AA193, 2),FALSE)),"",_xlfn.REGEXEXTRACT(CELL("address",AA193), "\$([A-Z]+)\$[0-9]+"))),_xlfn.REGEXEXTRACT(CELL("address",AA193), "\$([A-Z]+)\$[0-9]+"))</f>
        <v/>
      </c>
      <c r="AB193" s="7" t="str" cm="1">
        <f t="array" aca="1" ref="AB193" ca="1">IFERROR(IF(OR('Raw Data'!AB193="",LEN(TRIM('Raw Data'!AB193))=0),"",IF(AND(ISNUMBER('Raw Data'!AB193), IFERROR('Raw Data'!AB193 = ROUND('Raw Data'!AB193, 2),FALSE)),"",_xlfn.REGEXEXTRACT(CELL("address",AB193), "\$([A-Z]+)\$[0-9]+"))),_xlfn.REGEXEXTRACT(CELL("address",AB193), "\$([A-Z]+)\$[0-9]+"))</f>
        <v/>
      </c>
      <c r="AC193" s="7" t="str" cm="1">
        <f t="array" aca="1" ref="AC193" ca="1">IFERROR(IF(OR('Raw Data'!AC193="",LEN(TRIM('Raw Data'!AC193))=0),"",IF(AND(ISNUMBER('Raw Data'!AC193), IFERROR('Raw Data'!AC193 = ROUND('Raw Data'!AC193, 2),FALSE)),"",_xlfn.REGEXEXTRACT(CELL("address",AC193), "\$([A-Z]+)\$[0-9]+"))),_xlfn.REGEXEXTRACT(CELL("address",AC193), "\$([A-Z]+)\$[0-9]+"))</f>
        <v/>
      </c>
      <c r="AD193" s="7" t="str" cm="1">
        <f t="array" aca="1" ref="AD193" ca="1">IFERROR(IF(OR('Raw Data'!AD193="",LEN(TRIM('Raw Data'!AD193))=0),"",IF(AND(ISNUMBER('Raw Data'!AD193), IFERROR('Raw Data'!AD193 = ROUND('Raw Data'!AD193, 2),FALSE)),"",_xlfn.REGEXEXTRACT(CELL("address",AD193), "\$([A-Z]+)\$[0-9]+"))),_xlfn.REGEXEXTRACT(CELL("address",AD193), "\$([A-Z]+)\$[0-9]+"))</f>
        <v/>
      </c>
      <c r="AE193" s="7" t="str" cm="1">
        <f t="array" aca="1" ref="AE193" ca="1">IFERROR(IF(OR('Raw Data'!AE193="",LEN(TRIM('Raw Data'!AE193))=0),"",IF(AND(ISNUMBER('Raw Data'!AE193), IFERROR('Raw Data'!AE193 = ROUND('Raw Data'!AE193, 2),FALSE)),"",_xlfn.REGEXEXTRACT(CELL("address",AE193), "\$([A-Z]+)\$[0-9]+"))),_xlfn.REGEXEXTRACT(CELL("address",AE193), "\$([A-Z]+)\$[0-9]+"))</f>
        <v/>
      </c>
      <c r="AF193" s="7" t="str" cm="1">
        <f t="array" aca="1" ref="AF193" ca="1">IFERROR(IF(OR('Raw Data'!AF193="",LEN(TRIM('Raw Data'!AF193))=0),"",IF(AND(ISNUMBER('Raw Data'!AF193), IFERROR('Raw Data'!AF193 = ROUND('Raw Data'!AF193, 2),FALSE)),"",_xlfn.REGEXEXTRACT(CELL("address",AF193), "\$([A-Z]+)\$[0-9]+"))),_xlfn.REGEXEXTRACT(CELL("address",AF193), "\$([A-Z]+)\$[0-9]+"))</f>
        <v/>
      </c>
      <c r="AG193" s="7" t="str" cm="1">
        <f t="array" aca="1" ref="AG193" ca="1">IFERROR(IF(OR('Raw Data'!AG193="",LEN(TRIM('Raw Data'!AG193))=0),"",IF(AND(ISNUMBER('Raw Data'!AG193), IFERROR('Raw Data'!AG193 = ROUND('Raw Data'!AG193, 2),FALSE)),"",_xlfn.REGEXEXTRACT(CELL("address",AG193), "\$([A-Z]+)\$[0-9]+"))),_xlfn.REGEXEXTRACT(CELL("address",AG193), "\$([A-Z]+)\$[0-9]+"))</f>
        <v/>
      </c>
      <c r="AH193" s="7" t="str" cm="1">
        <f t="array" aca="1" ref="AH193" ca="1">IFERROR(IF(OR('Raw Data'!AH193="",LEN(TRIM('Raw Data'!AH193))=0),"",IF(AND(ISNUMBER('Raw Data'!AH193), IFERROR('Raw Data'!AH193 = ROUND('Raw Data'!AH193, 2),FALSE)),"",_xlfn.REGEXEXTRACT(CELL("address",AH193), "\$([A-Z]+)\$[0-9]+"))),_xlfn.REGEXEXTRACT(CELL("address",AH193), "\$([A-Z]+)\$[0-9]+"))</f>
        <v/>
      </c>
      <c r="AI193" s="7" t="str" cm="1">
        <f t="array" aca="1" ref="AI193" ca="1">IFERROR(IF(OR('Raw Data'!AI193="",LEN(TRIM('Raw Data'!AI193))=0),"",IF(AND(ISNUMBER('Raw Data'!AI193), IFERROR('Raw Data'!AI193 = ROUND('Raw Data'!AI193, 2),FALSE)),"",_xlfn.REGEXEXTRACT(CELL("address",AI193), "\$([A-Z]+)\$[0-9]+"))),_xlfn.REGEXEXTRACT(CELL("address",AI193), "\$([A-Z]+)\$[0-9]+"))</f>
        <v/>
      </c>
      <c r="AJ193" s="7" t="str" cm="1">
        <f t="array" aca="1" ref="AJ193" ca="1">IFERROR(IF(OR('Raw Data'!AJ193="",LEN(TRIM('Raw Data'!AJ193))=0),"",IF(AND(ISNUMBER('Raw Data'!AJ193), IFERROR('Raw Data'!AJ193 = ROUND('Raw Data'!AJ193, 2),FALSE)),"",_xlfn.REGEXEXTRACT(CELL("address",AJ193), "\$([A-Z]+)\$[0-9]+"))),_xlfn.REGEXEXTRACT(CELL("address",AJ193), "\$([A-Z]+)\$[0-9]+"))</f>
        <v/>
      </c>
    </row>
    <row r="194" spans="2:36" x14ac:dyDescent="0.25">
      <c r="B194" s="7" t="str" cm="1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20,LEN('Raw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Data'!D194))=0),"",IF(AND(ISNUMBER('Raw Data'!D194),'Raw Data'!D194&gt;=Configuration!$D$2),"",_xlfn.REGEXEXTRACT(CELL("address",'Raw Data'!D194),"\$([A-Z]+)\$[0-9]+"))),_xlfn.REGEXEXTRACT(CELL("address",D194), "\$([A-Z]+)\$[0-9]+"))</f>
        <v/>
      </c>
      <c r="E194" s="7" t="str" cm="1">
        <f t="array" aca="1" ref="E194" ca="1">IFERROR(IF(OR('Raw Data'!E194="",LEN(TRIM('Raw Data'!E194))=0),"",IF(AND(ISNUMBER('Raw Data'!E194), IFERROR('Raw Data'!E194 = ROUND('Raw Data'!E194, 2),FALSE)),"",_xlfn.REGEXEXTRACT(CELL("address",E194), "\$([A-Z]+)\$[0-9]+"))),_xlfn.REGEXEXTRACT(CELL("address",E194), "\$([A-Z]+)\$[0-9]+"))</f>
        <v/>
      </c>
      <c r="F194" s="7" t="str" cm="1">
        <f t="array" aca="1" ref="F194" ca="1">IFERROR(IF(OR('Raw Data'!F194="",LEN(TRIM('Raw Data'!F194))=0),"",IF(AND(ISNUMBER('Raw Data'!F194), IFERROR('Raw Data'!F194 = ROUND('Raw Data'!F194, 2),FALSE)),"",_xlfn.REGEXEXTRACT(CELL("address",F194), "\$([A-Z]+)\$[0-9]+"))),_xlfn.REGEXEXTRACT(CELL("address",F194), "\$([A-Z]+)\$[0-9]+"))</f>
        <v/>
      </c>
      <c r="G194" s="7" t="str" cm="1">
        <f t="array" aca="1" ref="G194" ca="1">IFERROR(IF(OR('Raw Data'!G194="",LEN(TRIM('Raw Data'!G194))=0),"",IF(AND(ISNUMBER('Raw Data'!G194), IFERROR('Raw Data'!G194 = ROUND('Raw Data'!G194, 2),FALSE)),"",_xlfn.REGEXEXTRACT(CELL("address",G194), "\$([A-Z]+)\$[0-9]+"))),_xlfn.REGEXEXTRACT(CELL("address",G194), "\$([A-Z]+)\$[0-9]+"))</f>
        <v/>
      </c>
      <c r="H194" s="7" t="str" cm="1">
        <f t="array" aca="1" ref="H194" ca="1">IFERROR(IF(OR('Raw Data'!H194="",LEN(TRIM('Raw Data'!H194))=0),"",IF(AND(ISNUMBER('Raw Data'!H194), IFERROR('Raw Data'!H194 = ROUND('Raw Data'!H194, 2),FALSE)),"",_xlfn.REGEXEXTRACT(CELL("address",H194), "\$([A-Z]+)\$[0-9]+"))),_xlfn.REGEXEXTRACT(CELL("address",H194), "\$([A-Z]+)\$[0-9]+"))</f>
        <v/>
      </c>
      <c r="I194" s="7" t="str" cm="1">
        <f t="array" aca="1" ref="I194" ca="1">IFERROR(IF(OR('Raw Data'!I194="",LEN(TRIM('Raw Data'!I194))=0),"",IF(AND(ISNUMBER('Raw Data'!I194), IFERROR('Raw Data'!I194 = ROUND('Raw Data'!I194, 2),FALSE)),"",_xlfn.REGEXEXTRACT(CELL("address",I194), "\$([A-Z]+)\$[0-9]+"))),_xlfn.REGEXEXTRACT(CELL("address",I194), "\$([A-Z]+)\$[0-9]+"))</f>
        <v/>
      </c>
      <c r="J194" s="7" t="str" cm="1">
        <f t="array" aca="1" ref="J194" ca="1">IFERROR(IF(OR('Raw Data'!J194="",LEN(TRIM('Raw Data'!J194))=0),"",IF(AND(ISNUMBER('Raw Data'!J194), IFERROR('Raw Data'!J194 = ROUND('Raw Data'!J194, 2),FALSE)),"",_xlfn.REGEXEXTRACT(CELL("address",J194), "\$([A-Z]+)\$[0-9]+"))),_xlfn.REGEXEXTRACT(CELL("address",J194), "\$([A-Z]+)\$[0-9]+"))</f>
        <v/>
      </c>
      <c r="K194" s="7" t="str" cm="1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7" t="str" cm="1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7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7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7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7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 cm="1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7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7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7" t="str" cm="1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7" t="str" cm="1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  <c r="Z194" s="7" t="str" cm="1">
        <f t="array" aca="1" ref="Z194" ca="1">IFERROR(IF(OR('Raw Data'!Z194="",LEN(TRIM('Raw Data'!Z194))=0),"",IF(AND(ISNUMBER('Raw Data'!Z194), IFERROR('Raw Data'!Z194 = ROUND('Raw Data'!Z194, 2),FALSE)),"",_xlfn.REGEXEXTRACT(CELL("address",Z194), "\$([A-Z]+)\$[0-9]+"))),_xlfn.REGEXEXTRACT(CELL("address",Z194), "\$([A-Z]+)\$[0-9]+"))</f>
        <v/>
      </c>
      <c r="AA194" s="7" t="str" cm="1">
        <f t="array" aca="1" ref="AA194" ca="1">IFERROR(IF(OR('Raw Data'!AA194="",LEN(TRIM('Raw Data'!AA194))=0),"",IF(AND(ISNUMBER('Raw Data'!AA194), IFERROR('Raw Data'!AA194 = ROUND('Raw Data'!AA194, 2),FALSE)),"",_xlfn.REGEXEXTRACT(CELL("address",AA194), "\$([A-Z]+)\$[0-9]+"))),_xlfn.REGEXEXTRACT(CELL("address",AA194), "\$([A-Z]+)\$[0-9]+"))</f>
        <v/>
      </c>
      <c r="AB194" s="7" t="str" cm="1">
        <f t="array" aca="1" ref="AB194" ca="1">IFERROR(IF(OR('Raw Data'!AB194="",LEN(TRIM('Raw Data'!AB194))=0),"",IF(AND(ISNUMBER('Raw Data'!AB194), IFERROR('Raw Data'!AB194 = ROUND('Raw Data'!AB194, 2),FALSE)),"",_xlfn.REGEXEXTRACT(CELL("address",AB194), "\$([A-Z]+)\$[0-9]+"))),_xlfn.REGEXEXTRACT(CELL("address",AB194), "\$([A-Z]+)\$[0-9]+"))</f>
        <v/>
      </c>
      <c r="AC194" s="7" t="str" cm="1">
        <f t="array" aca="1" ref="AC194" ca="1">IFERROR(IF(OR('Raw Data'!AC194="",LEN(TRIM('Raw Data'!AC194))=0),"",IF(AND(ISNUMBER('Raw Data'!AC194), IFERROR('Raw Data'!AC194 = ROUND('Raw Data'!AC194, 2),FALSE)),"",_xlfn.REGEXEXTRACT(CELL("address",AC194), "\$([A-Z]+)\$[0-9]+"))),_xlfn.REGEXEXTRACT(CELL("address",AC194), "\$([A-Z]+)\$[0-9]+"))</f>
        <v/>
      </c>
      <c r="AD194" s="7" t="str" cm="1">
        <f t="array" aca="1" ref="AD194" ca="1">IFERROR(IF(OR('Raw Data'!AD194="",LEN(TRIM('Raw Data'!AD194))=0),"",IF(AND(ISNUMBER('Raw Data'!AD194), IFERROR('Raw Data'!AD194 = ROUND('Raw Data'!AD194, 2),FALSE)),"",_xlfn.REGEXEXTRACT(CELL("address",AD194), "\$([A-Z]+)\$[0-9]+"))),_xlfn.REGEXEXTRACT(CELL("address",AD194), "\$([A-Z]+)\$[0-9]+"))</f>
        <v/>
      </c>
      <c r="AE194" s="7" t="str" cm="1">
        <f t="array" aca="1" ref="AE194" ca="1">IFERROR(IF(OR('Raw Data'!AE194="",LEN(TRIM('Raw Data'!AE194))=0),"",IF(AND(ISNUMBER('Raw Data'!AE194), IFERROR('Raw Data'!AE194 = ROUND('Raw Data'!AE194, 2),FALSE)),"",_xlfn.REGEXEXTRACT(CELL("address",AE194), "\$([A-Z]+)\$[0-9]+"))),_xlfn.REGEXEXTRACT(CELL("address",AE194), "\$([A-Z]+)\$[0-9]+"))</f>
        <v/>
      </c>
      <c r="AF194" s="7" t="str" cm="1">
        <f t="array" aca="1" ref="AF194" ca="1">IFERROR(IF(OR('Raw Data'!AF194="",LEN(TRIM('Raw Data'!AF194))=0),"",IF(AND(ISNUMBER('Raw Data'!AF194), IFERROR('Raw Data'!AF194 = ROUND('Raw Data'!AF194, 2),FALSE)),"",_xlfn.REGEXEXTRACT(CELL("address",AF194), "\$([A-Z]+)\$[0-9]+"))),_xlfn.REGEXEXTRACT(CELL("address",AF194), "\$([A-Z]+)\$[0-9]+"))</f>
        <v/>
      </c>
      <c r="AG194" s="7" t="str" cm="1">
        <f t="array" aca="1" ref="AG194" ca="1">IFERROR(IF(OR('Raw Data'!AG194="",LEN(TRIM('Raw Data'!AG194))=0),"",IF(AND(ISNUMBER('Raw Data'!AG194), IFERROR('Raw Data'!AG194 = ROUND('Raw Data'!AG194, 2),FALSE)),"",_xlfn.REGEXEXTRACT(CELL("address",AG194), "\$([A-Z]+)\$[0-9]+"))),_xlfn.REGEXEXTRACT(CELL("address",AG194), "\$([A-Z]+)\$[0-9]+"))</f>
        <v/>
      </c>
      <c r="AH194" s="7" t="str" cm="1">
        <f t="array" aca="1" ref="AH194" ca="1">IFERROR(IF(OR('Raw Data'!AH194="",LEN(TRIM('Raw Data'!AH194))=0),"",IF(AND(ISNUMBER('Raw Data'!AH194), IFERROR('Raw Data'!AH194 = ROUND('Raw Data'!AH194, 2),FALSE)),"",_xlfn.REGEXEXTRACT(CELL("address",AH194), "\$([A-Z]+)\$[0-9]+"))),_xlfn.REGEXEXTRACT(CELL("address",AH194), "\$([A-Z]+)\$[0-9]+"))</f>
        <v/>
      </c>
      <c r="AI194" s="7" t="str" cm="1">
        <f t="array" aca="1" ref="AI194" ca="1">IFERROR(IF(OR('Raw Data'!AI194="",LEN(TRIM('Raw Data'!AI194))=0),"",IF(AND(ISNUMBER('Raw Data'!AI194), IFERROR('Raw Data'!AI194 = ROUND('Raw Data'!AI194, 2),FALSE)),"",_xlfn.REGEXEXTRACT(CELL("address",AI194), "\$([A-Z]+)\$[0-9]+"))),_xlfn.REGEXEXTRACT(CELL("address",AI194), "\$([A-Z]+)\$[0-9]+"))</f>
        <v/>
      </c>
      <c r="AJ194" s="7" t="str" cm="1">
        <f t="array" aca="1" ref="AJ194" ca="1">IFERROR(IF(OR('Raw Data'!AJ194="",LEN(TRIM('Raw Data'!AJ194))=0),"",IF(AND(ISNUMBER('Raw Data'!AJ194), IFERROR('Raw Data'!AJ194 = ROUND('Raw Data'!AJ194, 2),FALSE)),"",_xlfn.REGEXEXTRACT(CELL("address",AJ194), "\$([A-Z]+)\$[0-9]+"))),_xlfn.REGEXEXTRACT(CELL("address",AJ194), "\$([A-Z]+)\$[0-9]+"))</f>
        <v/>
      </c>
    </row>
    <row r="195" spans="2:36" x14ac:dyDescent="0.25">
      <c r="B195" s="7" t="str" cm="1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20,LEN('Raw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Data'!D195))=0),"",IF(AND(ISNUMBER('Raw Data'!D195),'Raw Data'!D195&gt;=Configuration!$D$2),"",_xlfn.REGEXEXTRACT(CELL("address",'Raw Data'!D195),"\$([A-Z]+)\$[0-9]+"))),_xlfn.REGEXEXTRACT(CELL("address",D195), "\$([A-Z]+)\$[0-9]+"))</f>
        <v/>
      </c>
      <c r="E195" s="7" t="str" cm="1">
        <f t="array" aca="1" ref="E195" ca="1">IFERROR(IF(OR('Raw Data'!E195="",LEN(TRIM('Raw Data'!E195))=0),"",IF(AND(ISNUMBER('Raw Data'!E195), IFERROR('Raw Data'!E195 = ROUND('Raw Data'!E195, 2),FALSE)),"",_xlfn.REGEXEXTRACT(CELL("address",E195), "\$([A-Z]+)\$[0-9]+"))),_xlfn.REGEXEXTRACT(CELL("address",E195), "\$([A-Z]+)\$[0-9]+"))</f>
        <v/>
      </c>
      <c r="F195" s="7" t="str" cm="1">
        <f t="array" aca="1" ref="F195" ca="1">IFERROR(IF(OR('Raw Data'!F195="",LEN(TRIM('Raw Data'!F195))=0),"",IF(AND(ISNUMBER('Raw Data'!F195), IFERROR('Raw Data'!F195 = ROUND('Raw Data'!F195, 2),FALSE)),"",_xlfn.REGEXEXTRACT(CELL("address",F195), "\$([A-Z]+)\$[0-9]+"))),_xlfn.REGEXEXTRACT(CELL("address",F195), "\$([A-Z]+)\$[0-9]+"))</f>
        <v/>
      </c>
      <c r="G195" s="7" t="str" cm="1">
        <f t="array" aca="1" ref="G195" ca="1">IFERROR(IF(OR('Raw Data'!G195="",LEN(TRIM('Raw Data'!G195))=0),"",IF(AND(ISNUMBER('Raw Data'!G195), IFERROR('Raw Data'!G195 = ROUND('Raw Data'!G195, 2),FALSE)),"",_xlfn.REGEXEXTRACT(CELL("address",G195), "\$([A-Z]+)\$[0-9]+"))),_xlfn.REGEXEXTRACT(CELL("address",G195), "\$([A-Z]+)\$[0-9]+"))</f>
        <v/>
      </c>
      <c r="H195" s="7" t="str" cm="1">
        <f t="array" aca="1" ref="H195" ca="1">IFERROR(IF(OR('Raw Data'!H195="",LEN(TRIM('Raw Data'!H195))=0),"",IF(AND(ISNUMBER('Raw Data'!H195), IFERROR('Raw Data'!H195 = ROUND('Raw Data'!H195, 2),FALSE)),"",_xlfn.REGEXEXTRACT(CELL("address",H195), "\$([A-Z]+)\$[0-9]+"))),_xlfn.REGEXEXTRACT(CELL("address",H195), "\$([A-Z]+)\$[0-9]+"))</f>
        <v/>
      </c>
      <c r="I195" s="7" t="str" cm="1">
        <f t="array" aca="1" ref="I195" ca="1">IFERROR(IF(OR('Raw Data'!I195="",LEN(TRIM('Raw Data'!I195))=0),"",IF(AND(ISNUMBER('Raw Data'!I195), IFERROR('Raw Data'!I195 = ROUND('Raw Data'!I195, 2),FALSE)),"",_xlfn.REGEXEXTRACT(CELL("address",I195), "\$([A-Z]+)\$[0-9]+"))),_xlfn.REGEXEXTRACT(CELL("address",I195), "\$([A-Z]+)\$[0-9]+"))</f>
        <v/>
      </c>
      <c r="J195" s="7" t="str" cm="1">
        <f t="array" aca="1" ref="J195" ca="1">IFERROR(IF(OR('Raw Data'!J195="",LEN(TRIM('Raw Data'!J195))=0),"",IF(AND(ISNUMBER('Raw Data'!J195), IFERROR('Raw Data'!J195 = ROUND('Raw Data'!J195, 2),FALSE)),"",_xlfn.REGEXEXTRACT(CELL("address",J195), "\$([A-Z]+)\$[0-9]+"))),_xlfn.REGEXEXTRACT(CELL("address",J195), "\$([A-Z]+)\$[0-9]+"))</f>
        <v/>
      </c>
      <c r="K195" s="7" t="str" cm="1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7" t="str" cm="1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7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7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7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7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 cm="1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7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7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7" t="str" cm="1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7" t="str" cm="1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  <c r="Z195" s="7" t="str" cm="1">
        <f t="array" aca="1" ref="Z195" ca="1">IFERROR(IF(OR('Raw Data'!Z195="",LEN(TRIM('Raw Data'!Z195))=0),"",IF(AND(ISNUMBER('Raw Data'!Z195), IFERROR('Raw Data'!Z195 = ROUND('Raw Data'!Z195, 2),FALSE)),"",_xlfn.REGEXEXTRACT(CELL("address",Z195), "\$([A-Z]+)\$[0-9]+"))),_xlfn.REGEXEXTRACT(CELL("address",Z195), "\$([A-Z]+)\$[0-9]+"))</f>
        <v/>
      </c>
      <c r="AA195" s="7" t="str" cm="1">
        <f t="array" aca="1" ref="AA195" ca="1">IFERROR(IF(OR('Raw Data'!AA195="",LEN(TRIM('Raw Data'!AA195))=0),"",IF(AND(ISNUMBER('Raw Data'!AA195), IFERROR('Raw Data'!AA195 = ROUND('Raw Data'!AA195, 2),FALSE)),"",_xlfn.REGEXEXTRACT(CELL("address",AA195), "\$([A-Z]+)\$[0-9]+"))),_xlfn.REGEXEXTRACT(CELL("address",AA195), "\$([A-Z]+)\$[0-9]+"))</f>
        <v/>
      </c>
      <c r="AB195" s="7" t="str" cm="1">
        <f t="array" aca="1" ref="AB195" ca="1">IFERROR(IF(OR('Raw Data'!AB195="",LEN(TRIM('Raw Data'!AB195))=0),"",IF(AND(ISNUMBER('Raw Data'!AB195), IFERROR('Raw Data'!AB195 = ROUND('Raw Data'!AB195, 2),FALSE)),"",_xlfn.REGEXEXTRACT(CELL("address",AB195), "\$([A-Z]+)\$[0-9]+"))),_xlfn.REGEXEXTRACT(CELL("address",AB195), "\$([A-Z]+)\$[0-9]+"))</f>
        <v/>
      </c>
      <c r="AC195" s="7" t="str" cm="1">
        <f t="array" aca="1" ref="AC195" ca="1">IFERROR(IF(OR('Raw Data'!AC195="",LEN(TRIM('Raw Data'!AC195))=0),"",IF(AND(ISNUMBER('Raw Data'!AC195), IFERROR('Raw Data'!AC195 = ROUND('Raw Data'!AC195, 2),FALSE)),"",_xlfn.REGEXEXTRACT(CELL("address",AC195), "\$([A-Z]+)\$[0-9]+"))),_xlfn.REGEXEXTRACT(CELL("address",AC195), "\$([A-Z]+)\$[0-9]+"))</f>
        <v/>
      </c>
      <c r="AD195" s="7" t="str" cm="1">
        <f t="array" aca="1" ref="AD195" ca="1">IFERROR(IF(OR('Raw Data'!AD195="",LEN(TRIM('Raw Data'!AD195))=0),"",IF(AND(ISNUMBER('Raw Data'!AD195), IFERROR('Raw Data'!AD195 = ROUND('Raw Data'!AD195, 2),FALSE)),"",_xlfn.REGEXEXTRACT(CELL("address",AD195), "\$([A-Z]+)\$[0-9]+"))),_xlfn.REGEXEXTRACT(CELL("address",AD195), "\$([A-Z]+)\$[0-9]+"))</f>
        <v/>
      </c>
      <c r="AE195" s="7" t="str" cm="1">
        <f t="array" aca="1" ref="AE195" ca="1">IFERROR(IF(OR('Raw Data'!AE195="",LEN(TRIM('Raw Data'!AE195))=0),"",IF(AND(ISNUMBER('Raw Data'!AE195), IFERROR('Raw Data'!AE195 = ROUND('Raw Data'!AE195, 2),FALSE)),"",_xlfn.REGEXEXTRACT(CELL("address",AE195), "\$([A-Z]+)\$[0-9]+"))),_xlfn.REGEXEXTRACT(CELL("address",AE195), "\$([A-Z]+)\$[0-9]+"))</f>
        <v/>
      </c>
      <c r="AF195" s="7" t="str" cm="1">
        <f t="array" aca="1" ref="AF195" ca="1">IFERROR(IF(OR('Raw Data'!AF195="",LEN(TRIM('Raw Data'!AF195))=0),"",IF(AND(ISNUMBER('Raw Data'!AF195), IFERROR('Raw Data'!AF195 = ROUND('Raw Data'!AF195, 2),FALSE)),"",_xlfn.REGEXEXTRACT(CELL("address",AF195), "\$([A-Z]+)\$[0-9]+"))),_xlfn.REGEXEXTRACT(CELL("address",AF195), "\$([A-Z]+)\$[0-9]+"))</f>
        <v/>
      </c>
      <c r="AG195" s="7" t="str" cm="1">
        <f t="array" aca="1" ref="AG195" ca="1">IFERROR(IF(OR('Raw Data'!AG195="",LEN(TRIM('Raw Data'!AG195))=0),"",IF(AND(ISNUMBER('Raw Data'!AG195), IFERROR('Raw Data'!AG195 = ROUND('Raw Data'!AG195, 2),FALSE)),"",_xlfn.REGEXEXTRACT(CELL("address",AG195), "\$([A-Z]+)\$[0-9]+"))),_xlfn.REGEXEXTRACT(CELL("address",AG195), "\$([A-Z]+)\$[0-9]+"))</f>
        <v/>
      </c>
      <c r="AH195" s="7" t="str" cm="1">
        <f t="array" aca="1" ref="AH195" ca="1">IFERROR(IF(OR('Raw Data'!AH195="",LEN(TRIM('Raw Data'!AH195))=0),"",IF(AND(ISNUMBER('Raw Data'!AH195), IFERROR('Raw Data'!AH195 = ROUND('Raw Data'!AH195, 2),FALSE)),"",_xlfn.REGEXEXTRACT(CELL("address",AH195), "\$([A-Z]+)\$[0-9]+"))),_xlfn.REGEXEXTRACT(CELL("address",AH195), "\$([A-Z]+)\$[0-9]+"))</f>
        <v/>
      </c>
      <c r="AI195" s="7" t="str" cm="1">
        <f t="array" aca="1" ref="AI195" ca="1">IFERROR(IF(OR('Raw Data'!AI195="",LEN(TRIM('Raw Data'!AI195))=0),"",IF(AND(ISNUMBER('Raw Data'!AI195), IFERROR('Raw Data'!AI195 = ROUND('Raw Data'!AI195, 2),FALSE)),"",_xlfn.REGEXEXTRACT(CELL("address",AI195), "\$([A-Z]+)\$[0-9]+"))),_xlfn.REGEXEXTRACT(CELL("address",AI195), "\$([A-Z]+)\$[0-9]+"))</f>
        <v/>
      </c>
      <c r="AJ195" s="7" t="str" cm="1">
        <f t="array" aca="1" ref="AJ195" ca="1">IFERROR(IF(OR('Raw Data'!AJ195="",LEN(TRIM('Raw Data'!AJ195))=0),"",IF(AND(ISNUMBER('Raw Data'!AJ195), IFERROR('Raw Data'!AJ195 = ROUND('Raw Data'!AJ195, 2),FALSE)),"",_xlfn.REGEXEXTRACT(CELL("address",AJ195), "\$([A-Z]+)\$[0-9]+"))),_xlfn.REGEXEXTRACT(CELL("address",AJ195), "\$([A-Z]+)\$[0-9]+"))</f>
        <v/>
      </c>
    </row>
    <row r="196" spans="2:36" x14ac:dyDescent="0.25">
      <c r="B196" s="7" t="str" cm="1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20,LEN('Raw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Data'!D196))=0),"",IF(AND(ISNUMBER('Raw Data'!D196),'Raw Data'!D196&gt;=Configuration!$D$2),"",_xlfn.REGEXEXTRACT(CELL("address",'Raw Data'!D196),"\$([A-Z]+)\$[0-9]+"))),_xlfn.REGEXEXTRACT(CELL("address",D196), "\$([A-Z]+)\$[0-9]+"))</f>
        <v/>
      </c>
      <c r="E196" s="7" t="str" cm="1">
        <f t="array" aca="1" ref="E196" ca="1">IFERROR(IF(OR('Raw Data'!E196="",LEN(TRIM('Raw Data'!E196))=0),"",IF(AND(ISNUMBER('Raw Data'!E196), IFERROR('Raw Data'!E196 = ROUND('Raw Data'!E196, 2),FALSE)),"",_xlfn.REGEXEXTRACT(CELL("address",E196), "\$([A-Z]+)\$[0-9]+"))),_xlfn.REGEXEXTRACT(CELL("address",E196), "\$([A-Z]+)\$[0-9]+"))</f>
        <v/>
      </c>
      <c r="F196" s="7" t="str" cm="1">
        <f t="array" aca="1" ref="F196" ca="1">IFERROR(IF(OR('Raw Data'!F196="",LEN(TRIM('Raw Data'!F196))=0),"",IF(AND(ISNUMBER('Raw Data'!F196), IFERROR('Raw Data'!F196 = ROUND('Raw Data'!F196, 2),FALSE)),"",_xlfn.REGEXEXTRACT(CELL("address",F196), "\$([A-Z]+)\$[0-9]+"))),_xlfn.REGEXEXTRACT(CELL("address",F196), "\$([A-Z]+)\$[0-9]+"))</f>
        <v/>
      </c>
      <c r="G196" s="7" t="str" cm="1">
        <f t="array" aca="1" ref="G196" ca="1">IFERROR(IF(OR('Raw Data'!G196="",LEN(TRIM('Raw Data'!G196))=0),"",IF(AND(ISNUMBER('Raw Data'!G196), IFERROR('Raw Data'!G196 = ROUND('Raw Data'!G196, 2),FALSE)),"",_xlfn.REGEXEXTRACT(CELL("address",G196), "\$([A-Z]+)\$[0-9]+"))),_xlfn.REGEXEXTRACT(CELL("address",G196), "\$([A-Z]+)\$[0-9]+"))</f>
        <v/>
      </c>
      <c r="H196" s="7" t="str" cm="1">
        <f t="array" aca="1" ref="H196" ca="1">IFERROR(IF(OR('Raw Data'!H196="",LEN(TRIM('Raw Data'!H196))=0),"",IF(AND(ISNUMBER('Raw Data'!H196), IFERROR('Raw Data'!H196 = ROUND('Raw Data'!H196, 2),FALSE)),"",_xlfn.REGEXEXTRACT(CELL("address",H196), "\$([A-Z]+)\$[0-9]+"))),_xlfn.REGEXEXTRACT(CELL("address",H196), "\$([A-Z]+)\$[0-9]+"))</f>
        <v/>
      </c>
      <c r="I196" s="7" t="str" cm="1">
        <f t="array" aca="1" ref="I196" ca="1">IFERROR(IF(OR('Raw Data'!I196="",LEN(TRIM('Raw Data'!I196))=0),"",IF(AND(ISNUMBER('Raw Data'!I196), IFERROR('Raw Data'!I196 = ROUND('Raw Data'!I196, 2),FALSE)),"",_xlfn.REGEXEXTRACT(CELL("address",I196), "\$([A-Z]+)\$[0-9]+"))),_xlfn.REGEXEXTRACT(CELL("address",I196), "\$([A-Z]+)\$[0-9]+"))</f>
        <v/>
      </c>
      <c r="J196" s="7" t="str" cm="1">
        <f t="array" aca="1" ref="J196" ca="1">IFERROR(IF(OR('Raw Data'!J196="",LEN(TRIM('Raw Data'!J196))=0),"",IF(AND(ISNUMBER('Raw Data'!J196), IFERROR('Raw Data'!J196 = ROUND('Raw Data'!J196, 2),FALSE)),"",_xlfn.REGEXEXTRACT(CELL("address",J196), "\$([A-Z]+)\$[0-9]+"))),_xlfn.REGEXEXTRACT(CELL("address",J196), "\$([A-Z]+)\$[0-9]+"))</f>
        <v/>
      </c>
      <c r="K196" s="7" t="str" cm="1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7" t="str" cm="1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7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7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7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7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 cm="1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7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7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7" t="str" cm="1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7" t="str" cm="1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  <c r="Z196" s="7" t="str" cm="1">
        <f t="array" aca="1" ref="Z196" ca="1">IFERROR(IF(OR('Raw Data'!Z196="",LEN(TRIM('Raw Data'!Z196))=0),"",IF(AND(ISNUMBER('Raw Data'!Z196), IFERROR('Raw Data'!Z196 = ROUND('Raw Data'!Z196, 2),FALSE)),"",_xlfn.REGEXEXTRACT(CELL("address",Z196), "\$([A-Z]+)\$[0-9]+"))),_xlfn.REGEXEXTRACT(CELL("address",Z196), "\$([A-Z]+)\$[0-9]+"))</f>
        <v/>
      </c>
      <c r="AA196" s="7" t="str" cm="1">
        <f t="array" aca="1" ref="AA196" ca="1">IFERROR(IF(OR('Raw Data'!AA196="",LEN(TRIM('Raw Data'!AA196))=0),"",IF(AND(ISNUMBER('Raw Data'!AA196), IFERROR('Raw Data'!AA196 = ROUND('Raw Data'!AA196, 2),FALSE)),"",_xlfn.REGEXEXTRACT(CELL("address",AA196), "\$([A-Z]+)\$[0-9]+"))),_xlfn.REGEXEXTRACT(CELL("address",AA196), "\$([A-Z]+)\$[0-9]+"))</f>
        <v/>
      </c>
      <c r="AB196" s="7" t="str" cm="1">
        <f t="array" aca="1" ref="AB196" ca="1">IFERROR(IF(OR('Raw Data'!AB196="",LEN(TRIM('Raw Data'!AB196))=0),"",IF(AND(ISNUMBER('Raw Data'!AB196), IFERROR('Raw Data'!AB196 = ROUND('Raw Data'!AB196, 2),FALSE)),"",_xlfn.REGEXEXTRACT(CELL("address",AB196), "\$([A-Z]+)\$[0-9]+"))),_xlfn.REGEXEXTRACT(CELL("address",AB196), "\$([A-Z]+)\$[0-9]+"))</f>
        <v/>
      </c>
      <c r="AC196" s="7" t="str" cm="1">
        <f t="array" aca="1" ref="AC196" ca="1">IFERROR(IF(OR('Raw Data'!AC196="",LEN(TRIM('Raw Data'!AC196))=0),"",IF(AND(ISNUMBER('Raw Data'!AC196), IFERROR('Raw Data'!AC196 = ROUND('Raw Data'!AC196, 2),FALSE)),"",_xlfn.REGEXEXTRACT(CELL("address",AC196), "\$([A-Z]+)\$[0-9]+"))),_xlfn.REGEXEXTRACT(CELL("address",AC196), "\$([A-Z]+)\$[0-9]+"))</f>
        <v/>
      </c>
      <c r="AD196" s="7" t="str" cm="1">
        <f t="array" aca="1" ref="AD196" ca="1">IFERROR(IF(OR('Raw Data'!AD196="",LEN(TRIM('Raw Data'!AD196))=0),"",IF(AND(ISNUMBER('Raw Data'!AD196), IFERROR('Raw Data'!AD196 = ROUND('Raw Data'!AD196, 2),FALSE)),"",_xlfn.REGEXEXTRACT(CELL("address",AD196), "\$([A-Z]+)\$[0-9]+"))),_xlfn.REGEXEXTRACT(CELL("address",AD196), "\$([A-Z]+)\$[0-9]+"))</f>
        <v/>
      </c>
      <c r="AE196" s="7" t="str" cm="1">
        <f t="array" aca="1" ref="AE196" ca="1">IFERROR(IF(OR('Raw Data'!AE196="",LEN(TRIM('Raw Data'!AE196))=0),"",IF(AND(ISNUMBER('Raw Data'!AE196), IFERROR('Raw Data'!AE196 = ROUND('Raw Data'!AE196, 2),FALSE)),"",_xlfn.REGEXEXTRACT(CELL("address",AE196), "\$([A-Z]+)\$[0-9]+"))),_xlfn.REGEXEXTRACT(CELL("address",AE196), "\$([A-Z]+)\$[0-9]+"))</f>
        <v/>
      </c>
      <c r="AF196" s="7" t="str" cm="1">
        <f t="array" aca="1" ref="AF196" ca="1">IFERROR(IF(OR('Raw Data'!AF196="",LEN(TRIM('Raw Data'!AF196))=0),"",IF(AND(ISNUMBER('Raw Data'!AF196), IFERROR('Raw Data'!AF196 = ROUND('Raw Data'!AF196, 2),FALSE)),"",_xlfn.REGEXEXTRACT(CELL("address",AF196), "\$([A-Z]+)\$[0-9]+"))),_xlfn.REGEXEXTRACT(CELL("address",AF196), "\$([A-Z]+)\$[0-9]+"))</f>
        <v/>
      </c>
      <c r="AG196" s="7" t="str" cm="1">
        <f t="array" aca="1" ref="AG196" ca="1">IFERROR(IF(OR('Raw Data'!AG196="",LEN(TRIM('Raw Data'!AG196))=0),"",IF(AND(ISNUMBER('Raw Data'!AG196), IFERROR('Raw Data'!AG196 = ROUND('Raw Data'!AG196, 2),FALSE)),"",_xlfn.REGEXEXTRACT(CELL("address",AG196), "\$([A-Z]+)\$[0-9]+"))),_xlfn.REGEXEXTRACT(CELL("address",AG196), "\$([A-Z]+)\$[0-9]+"))</f>
        <v/>
      </c>
      <c r="AH196" s="7" t="str" cm="1">
        <f t="array" aca="1" ref="AH196" ca="1">IFERROR(IF(OR('Raw Data'!AH196="",LEN(TRIM('Raw Data'!AH196))=0),"",IF(AND(ISNUMBER('Raw Data'!AH196), IFERROR('Raw Data'!AH196 = ROUND('Raw Data'!AH196, 2),FALSE)),"",_xlfn.REGEXEXTRACT(CELL("address",AH196), "\$([A-Z]+)\$[0-9]+"))),_xlfn.REGEXEXTRACT(CELL("address",AH196), "\$([A-Z]+)\$[0-9]+"))</f>
        <v/>
      </c>
      <c r="AI196" s="7" t="str" cm="1">
        <f t="array" aca="1" ref="AI196" ca="1">IFERROR(IF(OR('Raw Data'!AI196="",LEN(TRIM('Raw Data'!AI196))=0),"",IF(AND(ISNUMBER('Raw Data'!AI196), IFERROR('Raw Data'!AI196 = ROUND('Raw Data'!AI196, 2),FALSE)),"",_xlfn.REGEXEXTRACT(CELL("address",AI196), "\$([A-Z]+)\$[0-9]+"))),_xlfn.REGEXEXTRACT(CELL("address",AI196), "\$([A-Z]+)\$[0-9]+"))</f>
        <v/>
      </c>
      <c r="AJ196" s="7" t="str" cm="1">
        <f t="array" aca="1" ref="AJ196" ca="1">IFERROR(IF(OR('Raw Data'!AJ196="",LEN(TRIM('Raw Data'!AJ196))=0),"",IF(AND(ISNUMBER('Raw Data'!AJ196), IFERROR('Raw Data'!AJ196 = ROUND('Raw Data'!AJ196, 2),FALSE)),"",_xlfn.REGEXEXTRACT(CELL("address",AJ196), "\$([A-Z]+)\$[0-9]+"))),_xlfn.REGEXEXTRACT(CELL("address",AJ196), "\$([A-Z]+)\$[0-9]+"))</f>
        <v/>
      </c>
    </row>
    <row r="197" spans="2:36" x14ac:dyDescent="0.25">
      <c r="B197" s="7" t="str" cm="1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20,LEN('Raw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Data'!D197))=0),"",IF(AND(ISNUMBER('Raw Data'!D197),'Raw Data'!D197&gt;=Configuration!$D$2),"",_xlfn.REGEXEXTRACT(CELL("address",'Raw Data'!D197),"\$([A-Z]+)\$[0-9]+"))),_xlfn.REGEXEXTRACT(CELL("address",D197), "\$([A-Z]+)\$[0-9]+"))</f>
        <v/>
      </c>
      <c r="E197" s="7" t="str" cm="1">
        <f t="array" aca="1" ref="E197" ca="1">IFERROR(IF(OR('Raw Data'!E197="",LEN(TRIM('Raw Data'!E197))=0),"",IF(AND(ISNUMBER('Raw Data'!E197), IFERROR('Raw Data'!E197 = ROUND('Raw Data'!E197, 2),FALSE)),"",_xlfn.REGEXEXTRACT(CELL("address",E197), "\$([A-Z]+)\$[0-9]+"))),_xlfn.REGEXEXTRACT(CELL("address",E197), "\$([A-Z]+)\$[0-9]+"))</f>
        <v/>
      </c>
      <c r="F197" s="7" t="str" cm="1">
        <f t="array" aca="1" ref="F197" ca="1">IFERROR(IF(OR('Raw Data'!F197="",LEN(TRIM('Raw Data'!F197))=0),"",IF(AND(ISNUMBER('Raw Data'!F197), IFERROR('Raw Data'!F197 = ROUND('Raw Data'!F197, 2),FALSE)),"",_xlfn.REGEXEXTRACT(CELL("address",F197), "\$([A-Z]+)\$[0-9]+"))),_xlfn.REGEXEXTRACT(CELL("address",F197), "\$([A-Z]+)\$[0-9]+"))</f>
        <v/>
      </c>
      <c r="G197" s="7" t="str" cm="1">
        <f t="array" aca="1" ref="G197" ca="1">IFERROR(IF(OR('Raw Data'!G197="",LEN(TRIM('Raw Data'!G197))=0),"",IF(AND(ISNUMBER('Raw Data'!G197), IFERROR('Raw Data'!G197 = ROUND('Raw Data'!G197, 2),FALSE)),"",_xlfn.REGEXEXTRACT(CELL("address",G197), "\$([A-Z]+)\$[0-9]+"))),_xlfn.REGEXEXTRACT(CELL("address",G197), "\$([A-Z]+)\$[0-9]+"))</f>
        <v/>
      </c>
      <c r="H197" s="7" t="str" cm="1">
        <f t="array" aca="1" ref="H197" ca="1">IFERROR(IF(OR('Raw Data'!H197="",LEN(TRIM('Raw Data'!H197))=0),"",IF(AND(ISNUMBER('Raw Data'!H197), IFERROR('Raw Data'!H197 = ROUND('Raw Data'!H197, 2),FALSE)),"",_xlfn.REGEXEXTRACT(CELL("address",H197), "\$([A-Z]+)\$[0-9]+"))),_xlfn.REGEXEXTRACT(CELL("address",H197), "\$([A-Z]+)\$[0-9]+"))</f>
        <v/>
      </c>
      <c r="I197" s="7" t="str" cm="1">
        <f t="array" aca="1" ref="I197" ca="1">IFERROR(IF(OR('Raw Data'!I197="",LEN(TRIM('Raw Data'!I197))=0),"",IF(AND(ISNUMBER('Raw Data'!I197), IFERROR('Raw Data'!I197 = ROUND('Raw Data'!I197, 2),FALSE)),"",_xlfn.REGEXEXTRACT(CELL("address",I197), "\$([A-Z]+)\$[0-9]+"))),_xlfn.REGEXEXTRACT(CELL("address",I197), "\$([A-Z]+)\$[0-9]+"))</f>
        <v/>
      </c>
      <c r="J197" s="7" t="str" cm="1">
        <f t="array" aca="1" ref="J197" ca="1">IFERROR(IF(OR('Raw Data'!J197="",LEN(TRIM('Raw Data'!J197))=0),"",IF(AND(ISNUMBER('Raw Data'!J197), IFERROR('Raw Data'!J197 = ROUND('Raw Data'!J197, 2),FALSE)),"",_xlfn.REGEXEXTRACT(CELL("address",J197), "\$([A-Z]+)\$[0-9]+"))),_xlfn.REGEXEXTRACT(CELL("address",J197), "\$([A-Z]+)\$[0-9]+"))</f>
        <v/>
      </c>
      <c r="K197" s="7" t="str" cm="1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7" t="str" cm="1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7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7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7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7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 cm="1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7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7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7" t="str" cm="1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7" t="str" cm="1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  <c r="Z197" s="7" t="str" cm="1">
        <f t="array" aca="1" ref="Z197" ca="1">IFERROR(IF(OR('Raw Data'!Z197="",LEN(TRIM('Raw Data'!Z197))=0),"",IF(AND(ISNUMBER('Raw Data'!Z197), IFERROR('Raw Data'!Z197 = ROUND('Raw Data'!Z197, 2),FALSE)),"",_xlfn.REGEXEXTRACT(CELL("address",Z197), "\$([A-Z]+)\$[0-9]+"))),_xlfn.REGEXEXTRACT(CELL("address",Z197), "\$([A-Z]+)\$[0-9]+"))</f>
        <v/>
      </c>
      <c r="AA197" s="7" t="str" cm="1">
        <f t="array" aca="1" ref="AA197" ca="1">IFERROR(IF(OR('Raw Data'!AA197="",LEN(TRIM('Raw Data'!AA197))=0),"",IF(AND(ISNUMBER('Raw Data'!AA197), IFERROR('Raw Data'!AA197 = ROUND('Raw Data'!AA197, 2),FALSE)),"",_xlfn.REGEXEXTRACT(CELL("address",AA197), "\$([A-Z]+)\$[0-9]+"))),_xlfn.REGEXEXTRACT(CELL("address",AA197), "\$([A-Z]+)\$[0-9]+"))</f>
        <v/>
      </c>
      <c r="AB197" s="7" t="str" cm="1">
        <f t="array" aca="1" ref="AB197" ca="1">IFERROR(IF(OR('Raw Data'!AB197="",LEN(TRIM('Raw Data'!AB197))=0),"",IF(AND(ISNUMBER('Raw Data'!AB197), IFERROR('Raw Data'!AB197 = ROUND('Raw Data'!AB197, 2),FALSE)),"",_xlfn.REGEXEXTRACT(CELL("address",AB197), "\$([A-Z]+)\$[0-9]+"))),_xlfn.REGEXEXTRACT(CELL("address",AB197), "\$([A-Z]+)\$[0-9]+"))</f>
        <v/>
      </c>
      <c r="AC197" s="7" t="str" cm="1">
        <f t="array" aca="1" ref="AC197" ca="1">IFERROR(IF(OR('Raw Data'!AC197="",LEN(TRIM('Raw Data'!AC197))=0),"",IF(AND(ISNUMBER('Raw Data'!AC197), IFERROR('Raw Data'!AC197 = ROUND('Raw Data'!AC197, 2),FALSE)),"",_xlfn.REGEXEXTRACT(CELL("address",AC197), "\$([A-Z]+)\$[0-9]+"))),_xlfn.REGEXEXTRACT(CELL("address",AC197), "\$([A-Z]+)\$[0-9]+"))</f>
        <v/>
      </c>
      <c r="AD197" s="7" t="str" cm="1">
        <f t="array" aca="1" ref="AD197" ca="1">IFERROR(IF(OR('Raw Data'!AD197="",LEN(TRIM('Raw Data'!AD197))=0),"",IF(AND(ISNUMBER('Raw Data'!AD197), IFERROR('Raw Data'!AD197 = ROUND('Raw Data'!AD197, 2),FALSE)),"",_xlfn.REGEXEXTRACT(CELL("address",AD197), "\$([A-Z]+)\$[0-9]+"))),_xlfn.REGEXEXTRACT(CELL("address",AD197), "\$([A-Z]+)\$[0-9]+"))</f>
        <v/>
      </c>
      <c r="AE197" s="7" t="str" cm="1">
        <f t="array" aca="1" ref="AE197" ca="1">IFERROR(IF(OR('Raw Data'!AE197="",LEN(TRIM('Raw Data'!AE197))=0),"",IF(AND(ISNUMBER('Raw Data'!AE197), IFERROR('Raw Data'!AE197 = ROUND('Raw Data'!AE197, 2),FALSE)),"",_xlfn.REGEXEXTRACT(CELL("address",AE197), "\$([A-Z]+)\$[0-9]+"))),_xlfn.REGEXEXTRACT(CELL("address",AE197), "\$([A-Z]+)\$[0-9]+"))</f>
        <v/>
      </c>
      <c r="AF197" s="7" t="str" cm="1">
        <f t="array" aca="1" ref="AF197" ca="1">IFERROR(IF(OR('Raw Data'!AF197="",LEN(TRIM('Raw Data'!AF197))=0),"",IF(AND(ISNUMBER('Raw Data'!AF197), IFERROR('Raw Data'!AF197 = ROUND('Raw Data'!AF197, 2),FALSE)),"",_xlfn.REGEXEXTRACT(CELL("address",AF197), "\$([A-Z]+)\$[0-9]+"))),_xlfn.REGEXEXTRACT(CELL("address",AF197), "\$([A-Z]+)\$[0-9]+"))</f>
        <v/>
      </c>
      <c r="AG197" s="7" t="str" cm="1">
        <f t="array" aca="1" ref="AG197" ca="1">IFERROR(IF(OR('Raw Data'!AG197="",LEN(TRIM('Raw Data'!AG197))=0),"",IF(AND(ISNUMBER('Raw Data'!AG197), IFERROR('Raw Data'!AG197 = ROUND('Raw Data'!AG197, 2),FALSE)),"",_xlfn.REGEXEXTRACT(CELL("address",AG197), "\$([A-Z]+)\$[0-9]+"))),_xlfn.REGEXEXTRACT(CELL("address",AG197), "\$([A-Z]+)\$[0-9]+"))</f>
        <v/>
      </c>
      <c r="AH197" s="7" t="str" cm="1">
        <f t="array" aca="1" ref="AH197" ca="1">IFERROR(IF(OR('Raw Data'!AH197="",LEN(TRIM('Raw Data'!AH197))=0),"",IF(AND(ISNUMBER('Raw Data'!AH197), IFERROR('Raw Data'!AH197 = ROUND('Raw Data'!AH197, 2),FALSE)),"",_xlfn.REGEXEXTRACT(CELL("address",AH197), "\$([A-Z]+)\$[0-9]+"))),_xlfn.REGEXEXTRACT(CELL("address",AH197), "\$([A-Z]+)\$[0-9]+"))</f>
        <v/>
      </c>
      <c r="AI197" s="7" t="str" cm="1">
        <f t="array" aca="1" ref="AI197" ca="1">IFERROR(IF(OR('Raw Data'!AI197="",LEN(TRIM('Raw Data'!AI197))=0),"",IF(AND(ISNUMBER('Raw Data'!AI197), IFERROR('Raw Data'!AI197 = ROUND('Raw Data'!AI197, 2),FALSE)),"",_xlfn.REGEXEXTRACT(CELL("address",AI197), "\$([A-Z]+)\$[0-9]+"))),_xlfn.REGEXEXTRACT(CELL("address",AI197), "\$([A-Z]+)\$[0-9]+"))</f>
        <v/>
      </c>
      <c r="AJ197" s="7" t="str" cm="1">
        <f t="array" aca="1" ref="AJ197" ca="1">IFERROR(IF(OR('Raw Data'!AJ197="",LEN(TRIM('Raw Data'!AJ197))=0),"",IF(AND(ISNUMBER('Raw Data'!AJ197), IFERROR('Raw Data'!AJ197 = ROUND('Raw Data'!AJ197, 2),FALSE)),"",_xlfn.REGEXEXTRACT(CELL("address",AJ197), "\$([A-Z]+)\$[0-9]+"))),_xlfn.REGEXEXTRACT(CELL("address",AJ197), "\$([A-Z]+)\$[0-9]+"))</f>
        <v/>
      </c>
    </row>
    <row r="198" spans="2:36" x14ac:dyDescent="0.25">
      <c r="B198" s="7" t="str" cm="1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20,LEN('Raw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Data'!D198))=0),"",IF(AND(ISNUMBER('Raw Data'!D198),'Raw Data'!D198&gt;=Configuration!$D$2),"",_xlfn.REGEXEXTRACT(CELL("address",'Raw Data'!D198),"\$([A-Z]+)\$[0-9]+"))),_xlfn.REGEXEXTRACT(CELL("address",D198), "\$([A-Z]+)\$[0-9]+"))</f>
        <v/>
      </c>
      <c r="E198" s="7" t="str" cm="1">
        <f t="array" aca="1" ref="E198" ca="1">IFERROR(IF(OR('Raw Data'!E198="",LEN(TRIM('Raw Data'!E198))=0),"",IF(AND(ISNUMBER('Raw Data'!E198), IFERROR('Raw Data'!E198 = ROUND('Raw Data'!E198, 2),FALSE)),"",_xlfn.REGEXEXTRACT(CELL("address",E198), "\$([A-Z]+)\$[0-9]+"))),_xlfn.REGEXEXTRACT(CELL("address",E198), "\$([A-Z]+)\$[0-9]+"))</f>
        <v/>
      </c>
      <c r="F198" s="7" t="str" cm="1">
        <f t="array" aca="1" ref="F198" ca="1">IFERROR(IF(OR('Raw Data'!F198="",LEN(TRIM('Raw Data'!F198))=0),"",IF(AND(ISNUMBER('Raw Data'!F198), IFERROR('Raw Data'!F198 = ROUND('Raw Data'!F198, 2),FALSE)),"",_xlfn.REGEXEXTRACT(CELL("address",F198), "\$([A-Z]+)\$[0-9]+"))),_xlfn.REGEXEXTRACT(CELL("address",F198), "\$([A-Z]+)\$[0-9]+"))</f>
        <v/>
      </c>
      <c r="G198" s="7" t="str" cm="1">
        <f t="array" aca="1" ref="G198" ca="1">IFERROR(IF(OR('Raw Data'!G198="",LEN(TRIM('Raw Data'!G198))=0),"",IF(AND(ISNUMBER('Raw Data'!G198), IFERROR('Raw Data'!G198 = ROUND('Raw Data'!G198, 2),FALSE)),"",_xlfn.REGEXEXTRACT(CELL("address",G198), "\$([A-Z]+)\$[0-9]+"))),_xlfn.REGEXEXTRACT(CELL("address",G198), "\$([A-Z]+)\$[0-9]+"))</f>
        <v/>
      </c>
      <c r="H198" s="7" t="str" cm="1">
        <f t="array" aca="1" ref="H198" ca="1">IFERROR(IF(OR('Raw Data'!H198="",LEN(TRIM('Raw Data'!H198))=0),"",IF(AND(ISNUMBER('Raw Data'!H198), IFERROR('Raw Data'!H198 = ROUND('Raw Data'!H198, 2),FALSE)),"",_xlfn.REGEXEXTRACT(CELL("address",H198), "\$([A-Z]+)\$[0-9]+"))),_xlfn.REGEXEXTRACT(CELL("address",H198), "\$([A-Z]+)\$[0-9]+"))</f>
        <v/>
      </c>
      <c r="I198" s="7" t="str" cm="1">
        <f t="array" aca="1" ref="I198" ca="1">IFERROR(IF(OR('Raw Data'!I198="",LEN(TRIM('Raw Data'!I198))=0),"",IF(AND(ISNUMBER('Raw Data'!I198), IFERROR('Raw Data'!I198 = ROUND('Raw Data'!I198, 2),FALSE)),"",_xlfn.REGEXEXTRACT(CELL("address",I198), "\$([A-Z]+)\$[0-9]+"))),_xlfn.REGEXEXTRACT(CELL("address",I198), "\$([A-Z]+)\$[0-9]+"))</f>
        <v/>
      </c>
      <c r="J198" s="7" t="str" cm="1">
        <f t="array" aca="1" ref="J198" ca="1">IFERROR(IF(OR('Raw Data'!J198="",LEN(TRIM('Raw Data'!J198))=0),"",IF(AND(ISNUMBER('Raw Data'!J198), IFERROR('Raw Data'!J198 = ROUND('Raw Data'!J198, 2),FALSE)),"",_xlfn.REGEXEXTRACT(CELL("address",J198), "\$([A-Z]+)\$[0-9]+"))),_xlfn.REGEXEXTRACT(CELL("address",J198), "\$([A-Z]+)\$[0-9]+"))</f>
        <v/>
      </c>
      <c r="K198" s="7" t="str" cm="1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7" t="str" cm="1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7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7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7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7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 cm="1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7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7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7" t="str" cm="1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7" t="str" cm="1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  <c r="Z198" s="7" t="str" cm="1">
        <f t="array" aca="1" ref="Z198" ca="1">IFERROR(IF(OR('Raw Data'!Z198="",LEN(TRIM('Raw Data'!Z198))=0),"",IF(AND(ISNUMBER('Raw Data'!Z198), IFERROR('Raw Data'!Z198 = ROUND('Raw Data'!Z198, 2),FALSE)),"",_xlfn.REGEXEXTRACT(CELL("address",Z198), "\$([A-Z]+)\$[0-9]+"))),_xlfn.REGEXEXTRACT(CELL("address",Z198), "\$([A-Z]+)\$[0-9]+"))</f>
        <v/>
      </c>
      <c r="AA198" s="7" t="str" cm="1">
        <f t="array" aca="1" ref="AA198" ca="1">IFERROR(IF(OR('Raw Data'!AA198="",LEN(TRIM('Raw Data'!AA198))=0),"",IF(AND(ISNUMBER('Raw Data'!AA198), IFERROR('Raw Data'!AA198 = ROUND('Raw Data'!AA198, 2),FALSE)),"",_xlfn.REGEXEXTRACT(CELL("address",AA198), "\$([A-Z]+)\$[0-9]+"))),_xlfn.REGEXEXTRACT(CELL("address",AA198), "\$([A-Z]+)\$[0-9]+"))</f>
        <v/>
      </c>
      <c r="AB198" s="7" t="str" cm="1">
        <f t="array" aca="1" ref="AB198" ca="1">IFERROR(IF(OR('Raw Data'!AB198="",LEN(TRIM('Raw Data'!AB198))=0),"",IF(AND(ISNUMBER('Raw Data'!AB198), IFERROR('Raw Data'!AB198 = ROUND('Raw Data'!AB198, 2),FALSE)),"",_xlfn.REGEXEXTRACT(CELL("address",AB198), "\$([A-Z]+)\$[0-9]+"))),_xlfn.REGEXEXTRACT(CELL("address",AB198), "\$([A-Z]+)\$[0-9]+"))</f>
        <v/>
      </c>
      <c r="AC198" s="7" t="str" cm="1">
        <f t="array" aca="1" ref="AC198" ca="1">IFERROR(IF(OR('Raw Data'!AC198="",LEN(TRIM('Raw Data'!AC198))=0),"",IF(AND(ISNUMBER('Raw Data'!AC198), IFERROR('Raw Data'!AC198 = ROUND('Raw Data'!AC198, 2),FALSE)),"",_xlfn.REGEXEXTRACT(CELL("address",AC198), "\$([A-Z]+)\$[0-9]+"))),_xlfn.REGEXEXTRACT(CELL("address",AC198), "\$([A-Z]+)\$[0-9]+"))</f>
        <v/>
      </c>
      <c r="AD198" s="7" t="str" cm="1">
        <f t="array" aca="1" ref="AD198" ca="1">IFERROR(IF(OR('Raw Data'!AD198="",LEN(TRIM('Raw Data'!AD198))=0),"",IF(AND(ISNUMBER('Raw Data'!AD198), IFERROR('Raw Data'!AD198 = ROUND('Raw Data'!AD198, 2),FALSE)),"",_xlfn.REGEXEXTRACT(CELL("address",AD198), "\$([A-Z]+)\$[0-9]+"))),_xlfn.REGEXEXTRACT(CELL("address",AD198), "\$([A-Z]+)\$[0-9]+"))</f>
        <v/>
      </c>
      <c r="AE198" s="7" t="str" cm="1">
        <f t="array" aca="1" ref="AE198" ca="1">IFERROR(IF(OR('Raw Data'!AE198="",LEN(TRIM('Raw Data'!AE198))=0),"",IF(AND(ISNUMBER('Raw Data'!AE198), IFERROR('Raw Data'!AE198 = ROUND('Raw Data'!AE198, 2),FALSE)),"",_xlfn.REGEXEXTRACT(CELL("address",AE198), "\$([A-Z]+)\$[0-9]+"))),_xlfn.REGEXEXTRACT(CELL("address",AE198), "\$([A-Z]+)\$[0-9]+"))</f>
        <v/>
      </c>
      <c r="AF198" s="7" t="str" cm="1">
        <f t="array" aca="1" ref="AF198" ca="1">IFERROR(IF(OR('Raw Data'!AF198="",LEN(TRIM('Raw Data'!AF198))=0),"",IF(AND(ISNUMBER('Raw Data'!AF198), IFERROR('Raw Data'!AF198 = ROUND('Raw Data'!AF198, 2),FALSE)),"",_xlfn.REGEXEXTRACT(CELL("address",AF198), "\$([A-Z]+)\$[0-9]+"))),_xlfn.REGEXEXTRACT(CELL("address",AF198), "\$([A-Z]+)\$[0-9]+"))</f>
        <v/>
      </c>
      <c r="AG198" s="7" t="str" cm="1">
        <f t="array" aca="1" ref="AG198" ca="1">IFERROR(IF(OR('Raw Data'!AG198="",LEN(TRIM('Raw Data'!AG198))=0),"",IF(AND(ISNUMBER('Raw Data'!AG198), IFERROR('Raw Data'!AG198 = ROUND('Raw Data'!AG198, 2),FALSE)),"",_xlfn.REGEXEXTRACT(CELL("address",AG198), "\$([A-Z]+)\$[0-9]+"))),_xlfn.REGEXEXTRACT(CELL("address",AG198), "\$([A-Z]+)\$[0-9]+"))</f>
        <v/>
      </c>
      <c r="AH198" s="7" t="str" cm="1">
        <f t="array" aca="1" ref="AH198" ca="1">IFERROR(IF(OR('Raw Data'!AH198="",LEN(TRIM('Raw Data'!AH198))=0),"",IF(AND(ISNUMBER('Raw Data'!AH198), IFERROR('Raw Data'!AH198 = ROUND('Raw Data'!AH198, 2),FALSE)),"",_xlfn.REGEXEXTRACT(CELL("address",AH198), "\$([A-Z]+)\$[0-9]+"))),_xlfn.REGEXEXTRACT(CELL("address",AH198), "\$([A-Z]+)\$[0-9]+"))</f>
        <v/>
      </c>
      <c r="AI198" s="7" t="str" cm="1">
        <f t="array" aca="1" ref="AI198" ca="1">IFERROR(IF(OR('Raw Data'!AI198="",LEN(TRIM('Raw Data'!AI198))=0),"",IF(AND(ISNUMBER('Raw Data'!AI198), IFERROR('Raw Data'!AI198 = ROUND('Raw Data'!AI198, 2),FALSE)),"",_xlfn.REGEXEXTRACT(CELL("address",AI198), "\$([A-Z]+)\$[0-9]+"))),_xlfn.REGEXEXTRACT(CELL("address",AI198), "\$([A-Z]+)\$[0-9]+"))</f>
        <v/>
      </c>
      <c r="AJ198" s="7" t="str" cm="1">
        <f t="array" aca="1" ref="AJ198" ca="1">IFERROR(IF(OR('Raw Data'!AJ198="",LEN(TRIM('Raw Data'!AJ198))=0),"",IF(AND(ISNUMBER('Raw Data'!AJ198), IFERROR('Raw Data'!AJ198 = ROUND('Raw Data'!AJ198, 2),FALSE)),"",_xlfn.REGEXEXTRACT(CELL("address",AJ198), "\$([A-Z]+)\$[0-9]+"))),_xlfn.REGEXEXTRACT(CELL("address",AJ198), "\$([A-Z]+)\$[0-9]+"))</f>
        <v/>
      </c>
    </row>
    <row r="199" spans="2:36" x14ac:dyDescent="0.25">
      <c r="B199" s="7" t="str" cm="1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20,LEN('Raw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Data'!D199))=0),"",IF(AND(ISNUMBER('Raw Data'!D199),'Raw Data'!D199&gt;=Configuration!$D$2),"",_xlfn.REGEXEXTRACT(CELL("address",'Raw Data'!D199),"\$([A-Z]+)\$[0-9]+"))),_xlfn.REGEXEXTRACT(CELL("address",D199), "\$([A-Z]+)\$[0-9]+"))</f>
        <v/>
      </c>
      <c r="E199" s="7" t="str" cm="1">
        <f t="array" aca="1" ref="E199" ca="1">IFERROR(IF(OR('Raw Data'!E199="",LEN(TRIM('Raw Data'!E199))=0),"",IF(AND(ISNUMBER('Raw Data'!E199), IFERROR('Raw Data'!E199 = ROUND('Raw Data'!E199, 2),FALSE)),"",_xlfn.REGEXEXTRACT(CELL("address",E199), "\$([A-Z]+)\$[0-9]+"))),_xlfn.REGEXEXTRACT(CELL("address",E199), "\$([A-Z]+)\$[0-9]+"))</f>
        <v/>
      </c>
      <c r="F199" s="7" t="str" cm="1">
        <f t="array" aca="1" ref="F199" ca="1">IFERROR(IF(OR('Raw Data'!F199="",LEN(TRIM('Raw Data'!F199))=0),"",IF(AND(ISNUMBER('Raw Data'!F199), IFERROR('Raw Data'!F199 = ROUND('Raw Data'!F199, 2),FALSE)),"",_xlfn.REGEXEXTRACT(CELL("address",F199), "\$([A-Z]+)\$[0-9]+"))),_xlfn.REGEXEXTRACT(CELL("address",F199), "\$([A-Z]+)\$[0-9]+"))</f>
        <v/>
      </c>
      <c r="G199" s="7" t="str" cm="1">
        <f t="array" aca="1" ref="G199" ca="1">IFERROR(IF(OR('Raw Data'!G199="",LEN(TRIM('Raw Data'!G199))=0),"",IF(AND(ISNUMBER('Raw Data'!G199), IFERROR('Raw Data'!G199 = ROUND('Raw Data'!G199, 2),FALSE)),"",_xlfn.REGEXEXTRACT(CELL("address",G199), "\$([A-Z]+)\$[0-9]+"))),_xlfn.REGEXEXTRACT(CELL("address",G199), "\$([A-Z]+)\$[0-9]+"))</f>
        <v/>
      </c>
      <c r="H199" s="7" t="str" cm="1">
        <f t="array" aca="1" ref="H199" ca="1">IFERROR(IF(OR('Raw Data'!H199="",LEN(TRIM('Raw Data'!H199))=0),"",IF(AND(ISNUMBER('Raw Data'!H199), IFERROR('Raw Data'!H199 = ROUND('Raw Data'!H199, 2),FALSE)),"",_xlfn.REGEXEXTRACT(CELL("address",H199), "\$([A-Z]+)\$[0-9]+"))),_xlfn.REGEXEXTRACT(CELL("address",H199), "\$([A-Z]+)\$[0-9]+"))</f>
        <v/>
      </c>
      <c r="I199" s="7" t="str" cm="1">
        <f t="array" aca="1" ref="I199" ca="1">IFERROR(IF(OR('Raw Data'!I199="",LEN(TRIM('Raw Data'!I199))=0),"",IF(AND(ISNUMBER('Raw Data'!I199), IFERROR('Raw Data'!I199 = ROUND('Raw Data'!I199, 2),FALSE)),"",_xlfn.REGEXEXTRACT(CELL("address",I199), "\$([A-Z]+)\$[0-9]+"))),_xlfn.REGEXEXTRACT(CELL("address",I199), "\$([A-Z]+)\$[0-9]+"))</f>
        <v/>
      </c>
      <c r="J199" s="7" t="str" cm="1">
        <f t="array" aca="1" ref="J199" ca="1">IFERROR(IF(OR('Raw Data'!J199="",LEN(TRIM('Raw Data'!J199))=0),"",IF(AND(ISNUMBER('Raw Data'!J199), IFERROR('Raw Data'!J199 = ROUND('Raw Data'!J199, 2),FALSE)),"",_xlfn.REGEXEXTRACT(CELL("address",J199), "\$([A-Z]+)\$[0-9]+"))),_xlfn.REGEXEXTRACT(CELL("address",J199), "\$([A-Z]+)\$[0-9]+"))</f>
        <v/>
      </c>
      <c r="K199" s="7" t="str" cm="1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7" t="str" cm="1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7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7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7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7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 cm="1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7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7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7" t="str" cm="1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7" t="str" cm="1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  <c r="Z199" s="7" t="str" cm="1">
        <f t="array" aca="1" ref="Z199" ca="1">IFERROR(IF(OR('Raw Data'!Z199="",LEN(TRIM('Raw Data'!Z199))=0),"",IF(AND(ISNUMBER('Raw Data'!Z199), IFERROR('Raw Data'!Z199 = ROUND('Raw Data'!Z199, 2),FALSE)),"",_xlfn.REGEXEXTRACT(CELL("address",Z199), "\$([A-Z]+)\$[0-9]+"))),_xlfn.REGEXEXTRACT(CELL("address",Z199), "\$([A-Z]+)\$[0-9]+"))</f>
        <v/>
      </c>
      <c r="AA199" s="7" t="str" cm="1">
        <f t="array" aca="1" ref="AA199" ca="1">IFERROR(IF(OR('Raw Data'!AA199="",LEN(TRIM('Raw Data'!AA199))=0),"",IF(AND(ISNUMBER('Raw Data'!AA199), IFERROR('Raw Data'!AA199 = ROUND('Raw Data'!AA199, 2),FALSE)),"",_xlfn.REGEXEXTRACT(CELL("address",AA199), "\$([A-Z]+)\$[0-9]+"))),_xlfn.REGEXEXTRACT(CELL("address",AA199), "\$([A-Z]+)\$[0-9]+"))</f>
        <v/>
      </c>
      <c r="AB199" s="7" t="str" cm="1">
        <f t="array" aca="1" ref="AB199" ca="1">IFERROR(IF(OR('Raw Data'!AB199="",LEN(TRIM('Raw Data'!AB199))=0),"",IF(AND(ISNUMBER('Raw Data'!AB199), IFERROR('Raw Data'!AB199 = ROUND('Raw Data'!AB199, 2),FALSE)),"",_xlfn.REGEXEXTRACT(CELL("address",AB199), "\$([A-Z]+)\$[0-9]+"))),_xlfn.REGEXEXTRACT(CELL("address",AB199), "\$([A-Z]+)\$[0-9]+"))</f>
        <v/>
      </c>
      <c r="AC199" s="7" t="str" cm="1">
        <f t="array" aca="1" ref="AC199" ca="1">IFERROR(IF(OR('Raw Data'!AC199="",LEN(TRIM('Raw Data'!AC199))=0),"",IF(AND(ISNUMBER('Raw Data'!AC199), IFERROR('Raw Data'!AC199 = ROUND('Raw Data'!AC199, 2),FALSE)),"",_xlfn.REGEXEXTRACT(CELL("address",AC199), "\$([A-Z]+)\$[0-9]+"))),_xlfn.REGEXEXTRACT(CELL("address",AC199), "\$([A-Z]+)\$[0-9]+"))</f>
        <v/>
      </c>
      <c r="AD199" s="7" t="str" cm="1">
        <f t="array" aca="1" ref="AD199" ca="1">IFERROR(IF(OR('Raw Data'!AD199="",LEN(TRIM('Raw Data'!AD199))=0),"",IF(AND(ISNUMBER('Raw Data'!AD199), IFERROR('Raw Data'!AD199 = ROUND('Raw Data'!AD199, 2),FALSE)),"",_xlfn.REGEXEXTRACT(CELL("address",AD199), "\$([A-Z]+)\$[0-9]+"))),_xlfn.REGEXEXTRACT(CELL("address",AD199), "\$([A-Z]+)\$[0-9]+"))</f>
        <v/>
      </c>
      <c r="AE199" s="7" t="str" cm="1">
        <f t="array" aca="1" ref="AE199" ca="1">IFERROR(IF(OR('Raw Data'!AE199="",LEN(TRIM('Raw Data'!AE199))=0),"",IF(AND(ISNUMBER('Raw Data'!AE199), IFERROR('Raw Data'!AE199 = ROUND('Raw Data'!AE199, 2),FALSE)),"",_xlfn.REGEXEXTRACT(CELL("address",AE199), "\$([A-Z]+)\$[0-9]+"))),_xlfn.REGEXEXTRACT(CELL("address",AE199), "\$([A-Z]+)\$[0-9]+"))</f>
        <v/>
      </c>
      <c r="AF199" s="7" t="str" cm="1">
        <f t="array" aca="1" ref="AF199" ca="1">IFERROR(IF(OR('Raw Data'!AF199="",LEN(TRIM('Raw Data'!AF199))=0),"",IF(AND(ISNUMBER('Raw Data'!AF199), IFERROR('Raw Data'!AF199 = ROUND('Raw Data'!AF199, 2),FALSE)),"",_xlfn.REGEXEXTRACT(CELL("address",AF199), "\$([A-Z]+)\$[0-9]+"))),_xlfn.REGEXEXTRACT(CELL("address",AF199), "\$([A-Z]+)\$[0-9]+"))</f>
        <v/>
      </c>
      <c r="AG199" s="7" t="str" cm="1">
        <f t="array" aca="1" ref="AG199" ca="1">IFERROR(IF(OR('Raw Data'!AG199="",LEN(TRIM('Raw Data'!AG199))=0),"",IF(AND(ISNUMBER('Raw Data'!AG199), IFERROR('Raw Data'!AG199 = ROUND('Raw Data'!AG199, 2),FALSE)),"",_xlfn.REGEXEXTRACT(CELL("address",AG199), "\$([A-Z]+)\$[0-9]+"))),_xlfn.REGEXEXTRACT(CELL("address",AG199), "\$([A-Z]+)\$[0-9]+"))</f>
        <v/>
      </c>
      <c r="AH199" s="7" t="str" cm="1">
        <f t="array" aca="1" ref="AH199" ca="1">IFERROR(IF(OR('Raw Data'!AH199="",LEN(TRIM('Raw Data'!AH199))=0),"",IF(AND(ISNUMBER('Raw Data'!AH199), IFERROR('Raw Data'!AH199 = ROUND('Raw Data'!AH199, 2),FALSE)),"",_xlfn.REGEXEXTRACT(CELL("address",AH199), "\$([A-Z]+)\$[0-9]+"))),_xlfn.REGEXEXTRACT(CELL("address",AH199), "\$([A-Z]+)\$[0-9]+"))</f>
        <v/>
      </c>
      <c r="AI199" s="7" t="str" cm="1">
        <f t="array" aca="1" ref="AI199" ca="1">IFERROR(IF(OR('Raw Data'!AI199="",LEN(TRIM('Raw Data'!AI199))=0),"",IF(AND(ISNUMBER('Raw Data'!AI199), IFERROR('Raw Data'!AI199 = ROUND('Raw Data'!AI199, 2),FALSE)),"",_xlfn.REGEXEXTRACT(CELL("address",AI199), "\$([A-Z]+)\$[0-9]+"))),_xlfn.REGEXEXTRACT(CELL("address",AI199), "\$([A-Z]+)\$[0-9]+"))</f>
        <v/>
      </c>
      <c r="AJ199" s="7" t="str" cm="1">
        <f t="array" aca="1" ref="AJ199" ca="1">IFERROR(IF(OR('Raw Data'!AJ199="",LEN(TRIM('Raw Data'!AJ199))=0),"",IF(AND(ISNUMBER('Raw Data'!AJ199), IFERROR('Raw Data'!AJ199 = ROUND('Raw Data'!AJ199, 2),FALSE)),"",_xlfn.REGEXEXTRACT(CELL("address",AJ199), "\$([A-Z]+)\$[0-9]+"))),_xlfn.REGEXEXTRACT(CELL("address",AJ199), "\$([A-Z]+)\$[0-9]+"))</f>
        <v/>
      </c>
    </row>
    <row r="200" spans="2:36" x14ac:dyDescent="0.25">
      <c r="B200" s="7" t="str" cm="1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20,LEN('Raw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Data'!D200))=0),"",IF(AND(ISNUMBER('Raw Data'!D200),'Raw Data'!D200&gt;=Configuration!$D$2),"",_xlfn.REGEXEXTRACT(CELL("address",'Raw Data'!D200),"\$([A-Z]+)\$[0-9]+"))),_xlfn.REGEXEXTRACT(CELL("address",D200), "\$([A-Z]+)\$[0-9]+"))</f>
        <v/>
      </c>
      <c r="E200" s="7" t="str" cm="1">
        <f t="array" aca="1" ref="E200" ca="1">IFERROR(IF(OR('Raw Data'!E200="",LEN(TRIM('Raw Data'!E200))=0),"",IF(AND(ISNUMBER('Raw Data'!E200), IFERROR('Raw Data'!E200 = ROUND('Raw Data'!E200, 2),FALSE)),"",_xlfn.REGEXEXTRACT(CELL("address",E200), "\$([A-Z]+)\$[0-9]+"))),_xlfn.REGEXEXTRACT(CELL("address",E200), "\$([A-Z]+)\$[0-9]+"))</f>
        <v/>
      </c>
      <c r="F200" s="7" t="str" cm="1">
        <f t="array" aca="1" ref="F200" ca="1">IFERROR(IF(OR('Raw Data'!F200="",LEN(TRIM('Raw Data'!F200))=0),"",IF(AND(ISNUMBER('Raw Data'!F200), IFERROR('Raw Data'!F200 = ROUND('Raw Data'!F200, 2),FALSE)),"",_xlfn.REGEXEXTRACT(CELL("address",F200), "\$([A-Z]+)\$[0-9]+"))),_xlfn.REGEXEXTRACT(CELL("address",F200), "\$([A-Z]+)\$[0-9]+"))</f>
        <v/>
      </c>
      <c r="G200" s="7" t="str" cm="1">
        <f t="array" aca="1" ref="G200" ca="1">IFERROR(IF(OR('Raw Data'!G200="",LEN(TRIM('Raw Data'!G200))=0),"",IF(AND(ISNUMBER('Raw Data'!G200), IFERROR('Raw Data'!G200 = ROUND('Raw Data'!G200, 2),FALSE)),"",_xlfn.REGEXEXTRACT(CELL("address",G200), "\$([A-Z]+)\$[0-9]+"))),_xlfn.REGEXEXTRACT(CELL("address",G200), "\$([A-Z]+)\$[0-9]+"))</f>
        <v/>
      </c>
      <c r="H200" s="7" t="str" cm="1">
        <f t="array" aca="1" ref="H200" ca="1">IFERROR(IF(OR('Raw Data'!H200="",LEN(TRIM('Raw Data'!H200))=0),"",IF(AND(ISNUMBER('Raw Data'!H200), IFERROR('Raw Data'!H200 = ROUND('Raw Data'!H200, 2),FALSE)),"",_xlfn.REGEXEXTRACT(CELL("address",H200), "\$([A-Z]+)\$[0-9]+"))),_xlfn.REGEXEXTRACT(CELL("address",H200), "\$([A-Z]+)\$[0-9]+"))</f>
        <v/>
      </c>
      <c r="I200" s="7" t="str" cm="1">
        <f t="array" aca="1" ref="I200" ca="1">IFERROR(IF(OR('Raw Data'!I200="",LEN(TRIM('Raw Data'!I200))=0),"",IF(AND(ISNUMBER('Raw Data'!I200), IFERROR('Raw Data'!I200 = ROUND('Raw Data'!I200, 2),FALSE)),"",_xlfn.REGEXEXTRACT(CELL("address",I200), "\$([A-Z]+)\$[0-9]+"))),_xlfn.REGEXEXTRACT(CELL("address",I200), "\$([A-Z]+)\$[0-9]+"))</f>
        <v/>
      </c>
      <c r="J200" s="7" t="str" cm="1">
        <f t="array" aca="1" ref="J200" ca="1">IFERROR(IF(OR('Raw Data'!J200="",LEN(TRIM('Raw Data'!J200))=0),"",IF(AND(ISNUMBER('Raw Data'!J200), IFERROR('Raw Data'!J200 = ROUND('Raw Data'!J200, 2),FALSE)),"",_xlfn.REGEXEXTRACT(CELL("address",J200), "\$([A-Z]+)\$[0-9]+"))),_xlfn.REGEXEXTRACT(CELL("address",J200), "\$([A-Z]+)\$[0-9]+"))</f>
        <v/>
      </c>
      <c r="K200" s="7" t="str" cm="1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7" t="str" cm="1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7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7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7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7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 cm="1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7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7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7" t="str" cm="1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7" t="str" cm="1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  <c r="Z200" s="7" t="str" cm="1">
        <f t="array" aca="1" ref="Z200" ca="1">IFERROR(IF(OR('Raw Data'!Z200="",LEN(TRIM('Raw Data'!Z200))=0),"",IF(AND(ISNUMBER('Raw Data'!Z200), IFERROR('Raw Data'!Z200 = ROUND('Raw Data'!Z200, 2),FALSE)),"",_xlfn.REGEXEXTRACT(CELL("address",Z200), "\$([A-Z]+)\$[0-9]+"))),_xlfn.REGEXEXTRACT(CELL("address",Z200), "\$([A-Z]+)\$[0-9]+"))</f>
        <v/>
      </c>
      <c r="AA200" s="7" t="str" cm="1">
        <f t="array" aca="1" ref="AA200" ca="1">IFERROR(IF(OR('Raw Data'!AA200="",LEN(TRIM('Raw Data'!AA200))=0),"",IF(AND(ISNUMBER('Raw Data'!AA200), IFERROR('Raw Data'!AA200 = ROUND('Raw Data'!AA200, 2),FALSE)),"",_xlfn.REGEXEXTRACT(CELL("address",AA200), "\$([A-Z]+)\$[0-9]+"))),_xlfn.REGEXEXTRACT(CELL("address",AA200), "\$([A-Z]+)\$[0-9]+"))</f>
        <v/>
      </c>
      <c r="AB200" s="7" t="str" cm="1">
        <f t="array" aca="1" ref="AB200" ca="1">IFERROR(IF(OR('Raw Data'!AB200="",LEN(TRIM('Raw Data'!AB200))=0),"",IF(AND(ISNUMBER('Raw Data'!AB200), IFERROR('Raw Data'!AB200 = ROUND('Raw Data'!AB200, 2),FALSE)),"",_xlfn.REGEXEXTRACT(CELL("address",AB200), "\$([A-Z]+)\$[0-9]+"))),_xlfn.REGEXEXTRACT(CELL("address",AB200), "\$([A-Z]+)\$[0-9]+"))</f>
        <v/>
      </c>
      <c r="AC200" s="7" t="str" cm="1">
        <f t="array" aca="1" ref="AC200" ca="1">IFERROR(IF(OR('Raw Data'!AC200="",LEN(TRIM('Raw Data'!AC200))=0),"",IF(AND(ISNUMBER('Raw Data'!AC200), IFERROR('Raw Data'!AC200 = ROUND('Raw Data'!AC200, 2),FALSE)),"",_xlfn.REGEXEXTRACT(CELL("address",AC200), "\$([A-Z]+)\$[0-9]+"))),_xlfn.REGEXEXTRACT(CELL("address",AC200), "\$([A-Z]+)\$[0-9]+"))</f>
        <v/>
      </c>
      <c r="AD200" s="7" t="str" cm="1">
        <f t="array" aca="1" ref="AD200" ca="1">IFERROR(IF(OR('Raw Data'!AD200="",LEN(TRIM('Raw Data'!AD200))=0),"",IF(AND(ISNUMBER('Raw Data'!AD200), IFERROR('Raw Data'!AD200 = ROUND('Raw Data'!AD200, 2),FALSE)),"",_xlfn.REGEXEXTRACT(CELL("address",AD200), "\$([A-Z]+)\$[0-9]+"))),_xlfn.REGEXEXTRACT(CELL("address",AD200), "\$([A-Z]+)\$[0-9]+"))</f>
        <v/>
      </c>
      <c r="AE200" s="7" t="str" cm="1">
        <f t="array" aca="1" ref="AE200" ca="1">IFERROR(IF(OR('Raw Data'!AE200="",LEN(TRIM('Raw Data'!AE200))=0),"",IF(AND(ISNUMBER('Raw Data'!AE200), IFERROR('Raw Data'!AE200 = ROUND('Raw Data'!AE200, 2),FALSE)),"",_xlfn.REGEXEXTRACT(CELL("address",AE200), "\$([A-Z]+)\$[0-9]+"))),_xlfn.REGEXEXTRACT(CELL("address",AE200), "\$([A-Z]+)\$[0-9]+"))</f>
        <v/>
      </c>
      <c r="AF200" s="7" t="str" cm="1">
        <f t="array" aca="1" ref="AF200" ca="1">IFERROR(IF(OR('Raw Data'!AF200="",LEN(TRIM('Raw Data'!AF200))=0),"",IF(AND(ISNUMBER('Raw Data'!AF200), IFERROR('Raw Data'!AF200 = ROUND('Raw Data'!AF200, 2),FALSE)),"",_xlfn.REGEXEXTRACT(CELL("address",AF200), "\$([A-Z]+)\$[0-9]+"))),_xlfn.REGEXEXTRACT(CELL("address",AF200), "\$([A-Z]+)\$[0-9]+"))</f>
        <v/>
      </c>
      <c r="AG200" s="7" t="str" cm="1">
        <f t="array" aca="1" ref="AG200" ca="1">IFERROR(IF(OR('Raw Data'!AG200="",LEN(TRIM('Raw Data'!AG200))=0),"",IF(AND(ISNUMBER('Raw Data'!AG200), IFERROR('Raw Data'!AG200 = ROUND('Raw Data'!AG200, 2),FALSE)),"",_xlfn.REGEXEXTRACT(CELL("address",AG200), "\$([A-Z]+)\$[0-9]+"))),_xlfn.REGEXEXTRACT(CELL("address",AG200), "\$([A-Z]+)\$[0-9]+"))</f>
        <v/>
      </c>
      <c r="AH200" s="7" t="str" cm="1">
        <f t="array" aca="1" ref="AH200" ca="1">IFERROR(IF(OR('Raw Data'!AH200="",LEN(TRIM('Raw Data'!AH200))=0),"",IF(AND(ISNUMBER('Raw Data'!AH200), IFERROR('Raw Data'!AH200 = ROUND('Raw Data'!AH200, 2),FALSE)),"",_xlfn.REGEXEXTRACT(CELL("address",AH200), "\$([A-Z]+)\$[0-9]+"))),_xlfn.REGEXEXTRACT(CELL("address",AH200), "\$([A-Z]+)\$[0-9]+"))</f>
        <v/>
      </c>
      <c r="AI200" s="7" t="str" cm="1">
        <f t="array" aca="1" ref="AI200" ca="1">IFERROR(IF(OR('Raw Data'!AI200="",LEN(TRIM('Raw Data'!AI200))=0),"",IF(AND(ISNUMBER('Raw Data'!AI200), IFERROR('Raw Data'!AI200 = ROUND('Raw Data'!AI200, 2),FALSE)),"",_xlfn.REGEXEXTRACT(CELL("address",AI200), "\$([A-Z]+)\$[0-9]+"))),_xlfn.REGEXEXTRACT(CELL("address",AI200), "\$([A-Z]+)\$[0-9]+"))</f>
        <v/>
      </c>
      <c r="AJ200" s="7" t="str" cm="1">
        <f t="array" aca="1" ref="AJ200" ca="1">IFERROR(IF(OR('Raw Data'!AJ200="",LEN(TRIM('Raw Data'!AJ200))=0),"",IF(AND(ISNUMBER('Raw Data'!AJ200), IFERROR('Raw Data'!AJ200 = ROUND('Raw Data'!AJ200, 2),FALSE)),"",_xlfn.REGEXEXTRACT(CELL("address",AJ200), "\$([A-Z]+)\$[0-9]+"))),_xlfn.REGEXEXTRACT(CELL("address",AJ200), "\$([A-Z]+)\$[0-9]+"))</f>
        <v/>
      </c>
    </row>
    <row r="201" spans="2:36" x14ac:dyDescent="0.25">
      <c r="B201" s="7" t="str" cm="1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20,LEN('Raw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Data'!D201))=0),"",IF(AND(ISNUMBER('Raw Data'!D201),'Raw Data'!D201&gt;=Configuration!$D$2),"",_xlfn.REGEXEXTRACT(CELL("address",'Raw Data'!D201),"\$([A-Z]+)\$[0-9]+"))),_xlfn.REGEXEXTRACT(CELL("address",D201), "\$([A-Z]+)\$[0-9]+"))</f>
        <v/>
      </c>
      <c r="E201" s="7" t="str" cm="1">
        <f t="array" aca="1" ref="E201" ca="1">IFERROR(IF(OR('Raw Data'!E201="",LEN(TRIM('Raw Data'!E201))=0),"",IF(AND(ISNUMBER('Raw Data'!E201), IFERROR('Raw Data'!E201 = ROUND('Raw Data'!E201, 2),FALSE)),"",_xlfn.REGEXEXTRACT(CELL("address",E201), "\$([A-Z]+)\$[0-9]+"))),_xlfn.REGEXEXTRACT(CELL("address",E201), "\$([A-Z]+)\$[0-9]+"))</f>
        <v/>
      </c>
      <c r="F201" s="7" t="str" cm="1">
        <f t="array" aca="1" ref="F201" ca="1">IFERROR(IF(OR('Raw Data'!F201="",LEN(TRIM('Raw Data'!F201))=0),"",IF(AND(ISNUMBER('Raw Data'!F201), IFERROR('Raw Data'!F201 = ROUND('Raw Data'!F201, 2),FALSE)),"",_xlfn.REGEXEXTRACT(CELL("address",F201), "\$([A-Z]+)\$[0-9]+"))),_xlfn.REGEXEXTRACT(CELL("address",F201), "\$([A-Z]+)\$[0-9]+"))</f>
        <v/>
      </c>
      <c r="G201" s="7" t="str" cm="1">
        <f t="array" aca="1" ref="G201" ca="1">IFERROR(IF(OR('Raw Data'!G201="",LEN(TRIM('Raw Data'!G201))=0),"",IF(AND(ISNUMBER('Raw Data'!G201), IFERROR('Raw Data'!G201 = ROUND('Raw Data'!G201, 2),FALSE)),"",_xlfn.REGEXEXTRACT(CELL("address",G201), "\$([A-Z]+)\$[0-9]+"))),_xlfn.REGEXEXTRACT(CELL("address",G201), "\$([A-Z]+)\$[0-9]+"))</f>
        <v/>
      </c>
      <c r="H201" s="7" t="str" cm="1">
        <f t="array" aca="1" ref="H201" ca="1">IFERROR(IF(OR('Raw Data'!H201="",LEN(TRIM('Raw Data'!H201))=0),"",IF(AND(ISNUMBER('Raw Data'!H201), IFERROR('Raw Data'!H201 = ROUND('Raw Data'!H201, 2),FALSE)),"",_xlfn.REGEXEXTRACT(CELL("address",H201), "\$([A-Z]+)\$[0-9]+"))),_xlfn.REGEXEXTRACT(CELL("address",H201), "\$([A-Z]+)\$[0-9]+"))</f>
        <v/>
      </c>
      <c r="I201" s="7" t="str" cm="1">
        <f t="array" aca="1" ref="I201" ca="1">IFERROR(IF(OR('Raw Data'!I201="",LEN(TRIM('Raw Data'!I201))=0),"",IF(AND(ISNUMBER('Raw Data'!I201), IFERROR('Raw Data'!I201 = ROUND('Raw Data'!I201, 2),FALSE)),"",_xlfn.REGEXEXTRACT(CELL("address",I201), "\$([A-Z]+)\$[0-9]+"))),_xlfn.REGEXEXTRACT(CELL("address",I201), "\$([A-Z]+)\$[0-9]+"))</f>
        <v/>
      </c>
      <c r="J201" s="7" t="str" cm="1">
        <f t="array" aca="1" ref="J201" ca="1">IFERROR(IF(OR('Raw Data'!J201="",LEN(TRIM('Raw Data'!J201))=0),"",IF(AND(ISNUMBER('Raw Data'!J201), IFERROR('Raw Data'!J201 = ROUND('Raw Data'!J201, 2),FALSE)),"",_xlfn.REGEXEXTRACT(CELL("address",J201), "\$([A-Z]+)\$[0-9]+"))),_xlfn.REGEXEXTRACT(CELL("address",J201), "\$([A-Z]+)\$[0-9]+"))</f>
        <v/>
      </c>
      <c r="K201" s="7" t="str" cm="1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7" t="str" cm="1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7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7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7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7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 cm="1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7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7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7" t="str" cm="1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7" t="str" cm="1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  <c r="Z201" s="7" t="str" cm="1">
        <f t="array" aca="1" ref="Z201" ca="1">IFERROR(IF(OR('Raw Data'!Z201="",LEN(TRIM('Raw Data'!Z201))=0),"",IF(AND(ISNUMBER('Raw Data'!Z201), IFERROR('Raw Data'!Z201 = ROUND('Raw Data'!Z201, 2),FALSE)),"",_xlfn.REGEXEXTRACT(CELL("address",Z201), "\$([A-Z]+)\$[0-9]+"))),_xlfn.REGEXEXTRACT(CELL("address",Z201), "\$([A-Z]+)\$[0-9]+"))</f>
        <v/>
      </c>
      <c r="AA201" s="7" t="str" cm="1">
        <f t="array" aca="1" ref="AA201" ca="1">IFERROR(IF(OR('Raw Data'!AA201="",LEN(TRIM('Raw Data'!AA201))=0),"",IF(AND(ISNUMBER('Raw Data'!AA201), IFERROR('Raw Data'!AA201 = ROUND('Raw Data'!AA201, 2),FALSE)),"",_xlfn.REGEXEXTRACT(CELL("address",AA201), "\$([A-Z]+)\$[0-9]+"))),_xlfn.REGEXEXTRACT(CELL("address",AA201), "\$([A-Z]+)\$[0-9]+"))</f>
        <v/>
      </c>
      <c r="AB201" s="7" t="str" cm="1">
        <f t="array" aca="1" ref="AB201" ca="1">IFERROR(IF(OR('Raw Data'!AB201="",LEN(TRIM('Raw Data'!AB201))=0),"",IF(AND(ISNUMBER('Raw Data'!AB201), IFERROR('Raw Data'!AB201 = ROUND('Raw Data'!AB201, 2),FALSE)),"",_xlfn.REGEXEXTRACT(CELL("address",AB201), "\$([A-Z]+)\$[0-9]+"))),_xlfn.REGEXEXTRACT(CELL("address",AB201), "\$([A-Z]+)\$[0-9]+"))</f>
        <v/>
      </c>
      <c r="AC201" s="7" t="str" cm="1">
        <f t="array" aca="1" ref="AC201" ca="1">IFERROR(IF(OR('Raw Data'!AC201="",LEN(TRIM('Raw Data'!AC201))=0),"",IF(AND(ISNUMBER('Raw Data'!AC201), IFERROR('Raw Data'!AC201 = ROUND('Raw Data'!AC201, 2),FALSE)),"",_xlfn.REGEXEXTRACT(CELL("address",AC201), "\$([A-Z]+)\$[0-9]+"))),_xlfn.REGEXEXTRACT(CELL("address",AC201), "\$([A-Z]+)\$[0-9]+"))</f>
        <v/>
      </c>
      <c r="AD201" s="7" t="str" cm="1">
        <f t="array" aca="1" ref="AD201" ca="1">IFERROR(IF(OR('Raw Data'!AD201="",LEN(TRIM('Raw Data'!AD201))=0),"",IF(AND(ISNUMBER('Raw Data'!AD201), IFERROR('Raw Data'!AD201 = ROUND('Raw Data'!AD201, 2),FALSE)),"",_xlfn.REGEXEXTRACT(CELL("address",AD201), "\$([A-Z]+)\$[0-9]+"))),_xlfn.REGEXEXTRACT(CELL("address",AD201), "\$([A-Z]+)\$[0-9]+"))</f>
        <v/>
      </c>
      <c r="AE201" s="7" t="str" cm="1">
        <f t="array" aca="1" ref="AE201" ca="1">IFERROR(IF(OR('Raw Data'!AE201="",LEN(TRIM('Raw Data'!AE201))=0),"",IF(AND(ISNUMBER('Raw Data'!AE201), IFERROR('Raw Data'!AE201 = ROUND('Raw Data'!AE201, 2),FALSE)),"",_xlfn.REGEXEXTRACT(CELL("address",AE201), "\$([A-Z]+)\$[0-9]+"))),_xlfn.REGEXEXTRACT(CELL("address",AE201), "\$([A-Z]+)\$[0-9]+"))</f>
        <v/>
      </c>
      <c r="AF201" s="7" t="str" cm="1">
        <f t="array" aca="1" ref="AF201" ca="1">IFERROR(IF(OR('Raw Data'!AF201="",LEN(TRIM('Raw Data'!AF201))=0),"",IF(AND(ISNUMBER('Raw Data'!AF201), IFERROR('Raw Data'!AF201 = ROUND('Raw Data'!AF201, 2),FALSE)),"",_xlfn.REGEXEXTRACT(CELL("address",AF201), "\$([A-Z]+)\$[0-9]+"))),_xlfn.REGEXEXTRACT(CELL("address",AF201), "\$([A-Z]+)\$[0-9]+"))</f>
        <v/>
      </c>
      <c r="AG201" s="7" t="str" cm="1">
        <f t="array" aca="1" ref="AG201" ca="1">IFERROR(IF(OR('Raw Data'!AG201="",LEN(TRIM('Raw Data'!AG201))=0),"",IF(AND(ISNUMBER('Raw Data'!AG201), IFERROR('Raw Data'!AG201 = ROUND('Raw Data'!AG201, 2),FALSE)),"",_xlfn.REGEXEXTRACT(CELL("address",AG201), "\$([A-Z]+)\$[0-9]+"))),_xlfn.REGEXEXTRACT(CELL("address",AG201), "\$([A-Z]+)\$[0-9]+"))</f>
        <v/>
      </c>
      <c r="AH201" s="7" t="str" cm="1">
        <f t="array" aca="1" ref="AH201" ca="1">IFERROR(IF(OR('Raw Data'!AH201="",LEN(TRIM('Raw Data'!AH201))=0),"",IF(AND(ISNUMBER('Raw Data'!AH201), IFERROR('Raw Data'!AH201 = ROUND('Raw Data'!AH201, 2),FALSE)),"",_xlfn.REGEXEXTRACT(CELL("address",AH201), "\$([A-Z]+)\$[0-9]+"))),_xlfn.REGEXEXTRACT(CELL("address",AH201), "\$([A-Z]+)\$[0-9]+"))</f>
        <v/>
      </c>
      <c r="AI201" s="7" t="str" cm="1">
        <f t="array" aca="1" ref="AI201" ca="1">IFERROR(IF(OR('Raw Data'!AI201="",LEN(TRIM('Raw Data'!AI201))=0),"",IF(AND(ISNUMBER('Raw Data'!AI201), IFERROR('Raw Data'!AI201 = ROUND('Raw Data'!AI201, 2),FALSE)),"",_xlfn.REGEXEXTRACT(CELL("address",AI201), "\$([A-Z]+)\$[0-9]+"))),_xlfn.REGEXEXTRACT(CELL("address",AI201), "\$([A-Z]+)\$[0-9]+"))</f>
        <v/>
      </c>
      <c r="AJ201" s="7" t="str" cm="1">
        <f t="array" aca="1" ref="AJ201" ca="1">IFERROR(IF(OR('Raw Data'!AJ201="",LEN(TRIM('Raw Data'!AJ201))=0),"",IF(AND(ISNUMBER('Raw Data'!AJ201), IFERROR('Raw Data'!AJ201 = ROUND('Raw Data'!AJ201, 2),FALSE)),"",_xlfn.REGEXEXTRACT(CELL("address",AJ201), "\$([A-Z]+)\$[0-9]+"))),_xlfn.REGEXEXTRACT(CELL("address",AJ201), "\$([A-Z]+)\$[0-9]+"))</f>
        <v/>
      </c>
    </row>
    <row r="202" spans="2:36" x14ac:dyDescent="0.25">
      <c r="B202" s="7" t="str" cm="1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20,LEN('Raw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Data'!D202))=0),"",IF(AND(ISNUMBER('Raw Data'!D202),'Raw Data'!D202&gt;=Configuration!$D$2),"",_xlfn.REGEXEXTRACT(CELL("address",'Raw Data'!D202),"\$([A-Z]+)\$[0-9]+"))),_xlfn.REGEXEXTRACT(CELL("address",D202), "\$([A-Z]+)\$[0-9]+"))</f>
        <v/>
      </c>
      <c r="E202" s="7" t="str" cm="1">
        <f t="array" aca="1" ref="E202" ca="1">IFERROR(IF(OR('Raw Data'!E202="",LEN(TRIM('Raw Data'!E202))=0),"",IF(AND(ISNUMBER('Raw Data'!E202), IFERROR('Raw Data'!E202 = ROUND('Raw Data'!E202, 2),FALSE)),"",_xlfn.REGEXEXTRACT(CELL("address",E202), "\$([A-Z]+)\$[0-9]+"))),_xlfn.REGEXEXTRACT(CELL("address",E202), "\$([A-Z]+)\$[0-9]+"))</f>
        <v/>
      </c>
      <c r="F202" s="7" t="str" cm="1">
        <f t="array" aca="1" ref="F202" ca="1">IFERROR(IF(OR('Raw Data'!F202="",LEN(TRIM('Raw Data'!F202))=0),"",IF(AND(ISNUMBER('Raw Data'!F202), IFERROR('Raw Data'!F202 = ROUND('Raw Data'!F202, 2),FALSE)),"",_xlfn.REGEXEXTRACT(CELL("address",F202), "\$([A-Z]+)\$[0-9]+"))),_xlfn.REGEXEXTRACT(CELL("address",F202), "\$([A-Z]+)\$[0-9]+"))</f>
        <v/>
      </c>
      <c r="G202" s="7" t="str" cm="1">
        <f t="array" aca="1" ref="G202" ca="1">IFERROR(IF(OR('Raw Data'!G202="",LEN(TRIM('Raw Data'!G202))=0),"",IF(AND(ISNUMBER('Raw Data'!G202), IFERROR('Raw Data'!G202 = ROUND('Raw Data'!G202, 2),FALSE)),"",_xlfn.REGEXEXTRACT(CELL("address",G202), "\$([A-Z]+)\$[0-9]+"))),_xlfn.REGEXEXTRACT(CELL("address",G202), "\$([A-Z]+)\$[0-9]+"))</f>
        <v/>
      </c>
      <c r="H202" s="7" t="str" cm="1">
        <f t="array" aca="1" ref="H202" ca="1">IFERROR(IF(OR('Raw Data'!H202="",LEN(TRIM('Raw Data'!H202))=0),"",IF(AND(ISNUMBER('Raw Data'!H202), IFERROR('Raw Data'!H202 = ROUND('Raw Data'!H202, 2),FALSE)),"",_xlfn.REGEXEXTRACT(CELL("address",H202), "\$([A-Z]+)\$[0-9]+"))),_xlfn.REGEXEXTRACT(CELL("address",H202), "\$([A-Z]+)\$[0-9]+"))</f>
        <v/>
      </c>
      <c r="I202" s="7" t="str" cm="1">
        <f t="array" aca="1" ref="I202" ca="1">IFERROR(IF(OR('Raw Data'!I202="",LEN(TRIM('Raw Data'!I202))=0),"",IF(AND(ISNUMBER('Raw Data'!I202), IFERROR('Raw Data'!I202 = ROUND('Raw Data'!I202, 2),FALSE)),"",_xlfn.REGEXEXTRACT(CELL("address",I202), "\$([A-Z]+)\$[0-9]+"))),_xlfn.REGEXEXTRACT(CELL("address",I202), "\$([A-Z]+)\$[0-9]+"))</f>
        <v/>
      </c>
      <c r="J202" s="7" t="str" cm="1">
        <f t="array" aca="1" ref="J202" ca="1">IFERROR(IF(OR('Raw Data'!J202="",LEN(TRIM('Raw Data'!J202))=0),"",IF(AND(ISNUMBER('Raw Data'!J202), IFERROR('Raw Data'!J202 = ROUND('Raw Data'!J202, 2),FALSE)),"",_xlfn.REGEXEXTRACT(CELL("address",J202), "\$([A-Z]+)\$[0-9]+"))),_xlfn.REGEXEXTRACT(CELL("address",J202), "\$([A-Z]+)\$[0-9]+"))</f>
        <v/>
      </c>
      <c r="K202" s="7" t="str" cm="1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7" t="str" cm="1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7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7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7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7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 cm="1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7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7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7" t="str" cm="1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7" t="str" cm="1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  <c r="Z202" s="7" t="str" cm="1">
        <f t="array" aca="1" ref="Z202" ca="1">IFERROR(IF(OR('Raw Data'!Z202="",LEN(TRIM('Raw Data'!Z202))=0),"",IF(AND(ISNUMBER('Raw Data'!Z202), IFERROR('Raw Data'!Z202 = ROUND('Raw Data'!Z202, 2),FALSE)),"",_xlfn.REGEXEXTRACT(CELL("address",Z202), "\$([A-Z]+)\$[0-9]+"))),_xlfn.REGEXEXTRACT(CELL("address",Z202), "\$([A-Z]+)\$[0-9]+"))</f>
        <v/>
      </c>
      <c r="AA202" s="7" t="str" cm="1">
        <f t="array" aca="1" ref="AA202" ca="1">IFERROR(IF(OR('Raw Data'!AA202="",LEN(TRIM('Raw Data'!AA202))=0),"",IF(AND(ISNUMBER('Raw Data'!AA202), IFERROR('Raw Data'!AA202 = ROUND('Raw Data'!AA202, 2),FALSE)),"",_xlfn.REGEXEXTRACT(CELL("address",AA202), "\$([A-Z]+)\$[0-9]+"))),_xlfn.REGEXEXTRACT(CELL("address",AA202), "\$([A-Z]+)\$[0-9]+"))</f>
        <v/>
      </c>
      <c r="AB202" s="7" t="str" cm="1">
        <f t="array" aca="1" ref="AB202" ca="1">IFERROR(IF(OR('Raw Data'!AB202="",LEN(TRIM('Raw Data'!AB202))=0),"",IF(AND(ISNUMBER('Raw Data'!AB202), IFERROR('Raw Data'!AB202 = ROUND('Raw Data'!AB202, 2),FALSE)),"",_xlfn.REGEXEXTRACT(CELL("address",AB202), "\$([A-Z]+)\$[0-9]+"))),_xlfn.REGEXEXTRACT(CELL("address",AB202), "\$([A-Z]+)\$[0-9]+"))</f>
        <v/>
      </c>
      <c r="AC202" s="7" t="str" cm="1">
        <f t="array" aca="1" ref="AC202" ca="1">IFERROR(IF(OR('Raw Data'!AC202="",LEN(TRIM('Raw Data'!AC202))=0),"",IF(AND(ISNUMBER('Raw Data'!AC202), IFERROR('Raw Data'!AC202 = ROUND('Raw Data'!AC202, 2),FALSE)),"",_xlfn.REGEXEXTRACT(CELL("address",AC202), "\$([A-Z]+)\$[0-9]+"))),_xlfn.REGEXEXTRACT(CELL("address",AC202), "\$([A-Z]+)\$[0-9]+"))</f>
        <v/>
      </c>
      <c r="AD202" s="7" t="str" cm="1">
        <f t="array" aca="1" ref="AD202" ca="1">IFERROR(IF(OR('Raw Data'!AD202="",LEN(TRIM('Raw Data'!AD202))=0),"",IF(AND(ISNUMBER('Raw Data'!AD202), IFERROR('Raw Data'!AD202 = ROUND('Raw Data'!AD202, 2),FALSE)),"",_xlfn.REGEXEXTRACT(CELL("address",AD202), "\$([A-Z]+)\$[0-9]+"))),_xlfn.REGEXEXTRACT(CELL("address",AD202), "\$([A-Z]+)\$[0-9]+"))</f>
        <v/>
      </c>
      <c r="AE202" s="7" t="str" cm="1">
        <f t="array" aca="1" ref="AE202" ca="1">IFERROR(IF(OR('Raw Data'!AE202="",LEN(TRIM('Raw Data'!AE202))=0),"",IF(AND(ISNUMBER('Raw Data'!AE202), IFERROR('Raw Data'!AE202 = ROUND('Raw Data'!AE202, 2),FALSE)),"",_xlfn.REGEXEXTRACT(CELL("address",AE202), "\$([A-Z]+)\$[0-9]+"))),_xlfn.REGEXEXTRACT(CELL("address",AE202), "\$([A-Z]+)\$[0-9]+"))</f>
        <v/>
      </c>
      <c r="AF202" s="7" t="str" cm="1">
        <f t="array" aca="1" ref="AF202" ca="1">IFERROR(IF(OR('Raw Data'!AF202="",LEN(TRIM('Raw Data'!AF202))=0),"",IF(AND(ISNUMBER('Raw Data'!AF202), IFERROR('Raw Data'!AF202 = ROUND('Raw Data'!AF202, 2),FALSE)),"",_xlfn.REGEXEXTRACT(CELL("address",AF202), "\$([A-Z]+)\$[0-9]+"))),_xlfn.REGEXEXTRACT(CELL("address",AF202), "\$([A-Z]+)\$[0-9]+"))</f>
        <v/>
      </c>
      <c r="AG202" s="7" t="str" cm="1">
        <f t="array" aca="1" ref="AG202" ca="1">IFERROR(IF(OR('Raw Data'!AG202="",LEN(TRIM('Raw Data'!AG202))=0),"",IF(AND(ISNUMBER('Raw Data'!AG202), IFERROR('Raw Data'!AG202 = ROUND('Raw Data'!AG202, 2),FALSE)),"",_xlfn.REGEXEXTRACT(CELL("address",AG202), "\$([A-Z]+)\$[0-9]+"))),_xlfn.REGEXEXTRACT(CELL("address",AG202), "\$([A-Z]+)\$[0-9]+"))</f>
        <v/>
      </c>
      <c r="AH202" s="7" t="str" cm="1">
        <f t="array" aca="1" ref="AH202" ca="1">IFERROR(IF(OR('Raw Data'!AH202="",LEN(TRIM('Raw Data'!AH202))=0),"",IF(AND(ISNUMBER('Raw Data'!AH202), IFERROR('Raw Data'!AH202 = ROUND('Raw Data'!AH202, 2),FALSE)),"",_xlfn.REGEXEXTRACT(CELL("address",AH202), "\$([A-Z]+)\$[0-9]+"))),_xlfn.REGEXEXTRACT(CELL("address",AH202), "\$([A-Z]+)\$[0-9]+"))</f>
        <v/>
      </c>
      <c r="AI202" s="7" t="str" cm="1">
        <f t="array" aca="1" ref="AI202" ca="1">IFERROR(IF(OR('Raw Data'!AI202="",LEN(TRIM('Raw Data'!AI202))=0),"",IF(AND(ISNUMBER('Raw Data'!AI202), IFERROR('Raw Data'!AI202 = ROUND('Raw Data'!AI202, 2),FALSE)),"",_xlfn.REGEXEXTRACT(CELL("address",AI202), "\$([A-Z]+)\$[0-9]+"))),_xlfn.REGEXEXTRACT(CELL("address",AI202), "\$([A-Z]+)\$[0-9]+"))</f>
        <v/>
      </c>
      <c r="AJ202" s="7" t="str" cm="1">
        <f t="array" aca="1" ref="AJ202" ca="1">IFERROR(IF(OR('Raw Data'!AJ202="",LEN(TRIM('Raw Data'!AJ202))=0),"",IF(AND(ISNUMBER('Raw Data'!AJ202), IFERROR('Raw Data'!AJ202 = ROUND('Raw Data'!AJ202, 2),FALSE)),"",_xlfn.REGEXEXTRACT(CELL("address",AJ202), "\$([A-Z]+)\$[0-9]+"))),_xlfn.REGEXEXTRACT(CELL("address",AJ202), "\$([A-Z]+)\$[0-9]+"))</f>
        <v/>
      </c>
    </row>
    <row r="203" spans="2:36" x14ac:dyDescent="0.25">
      <c r="B203" s="7" t="str" cm="1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20,LEN('Raw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Data'!D203))=0),"",IF(AND(ISNUMBER('Raw Data'!D203),'Raw Data'!D203&gt;=Configuration!$D$2),"",_xlfn.REGEXEXTRACT(CELL("address",'Raw Data'!D203),"\$([A-Z]+)\$[0-9]+"))),_xlfn.REGEXEXTRACT(CELL("address",D203), "\$([A-Z]+)\$[0-9]+"))</f>
        <v/>
      </c>
      <c r="E203" s="7" t="str" cm="1">
        <f t="array" aca="1" ref="E203" ca="1">IFERROR(IF(OR('Raw Data'!E203="",LEN(TRIM('Raw Data'!E203))=0),"",IF(AND(ISNUMBER('Raw Data'!E203), IFERROR('Raw Data'!E203 = ROUND('Raw Data'!E203, 2),FALSE)),"",_xlfn.REGEXEXTRACT(CELL("address",E203), "\$([A-Z]+)\$[0-9]+"))),_xlfn.REGEXEXTRACT(CELL("address",E203), "\$([A-Z]+)\$[0-9]+"))</f>
        <v/>
      </c>
      <c r="F203" s="7" t="str" cm="1">
        <f t="array" aca="1" ref="F203" ca="1">IFERROR(IF(OR('Raw Data'!F203="",LEN(TRIM('Raw Data'!F203))=0),"",IF(AND(ISNUMBER('Raw Data'!F203), IFERROR('Raw Data'!F203 = ROUND('Raw Data'!F203, 2),FALSE)),"",_xlfn.REGEXEXTRACT(CELL("address",F203), "\$([A-Z]+)\$[0-9]+"))),_xlfn.REGEXEXTRACT(CELL("address",F203), "\$([A-Z]+)\$[0-9]+"))</f>
        <v/>
      </c>
      <c r="G203" s="7" t="str" cm="1">
        <f t="array" aca="1" ref="G203" ca="1">IFERROR(IF(OR('Raw Data'!G203="",LEN(TRIM('Raw Data'!G203))=0),"",IF(AND(ISNUMBER('Raw Data'!G203), IFERROR('Raw Data'!G203 = ROUND('Raw Data'!G203, 2),FALSE)),"",_xlfn.REGEXEXTRACT(CELL("address",G203), "\$([A-Z]+)\$[0-9]+"))),_xlfn.REGEXEXTRACT(CELL("address",G203), "\$([A-Z]+)\$[0-9]+"))</f>
        <v/>
      </c>
      <c r="H203" s="7" t="str" cm="1">
        <f t="array" aca="1" ref="H203" ca="1">IFERROR(IF(OR('Raw Data'!H203="",LEN(TRIM('Raw Data'!H203))=0),"",IF(AND(ISNUMBER('Raw Data'!H203), IFERROR('Raw Data'!H203 = ROUND('Raw Data'!H203, 2),FALSE)),"",_xlfn.REGEXEXTRACT(CELL("address",H203), "\$([A-Z]+)\$[0-9]+"))),_xlfn.REGEXEXTRACT(CELL("address",H203), "\$([A-Z]+)\$[0-9]+"))</f>
        <v/>
      </c>
      <c r="I203" s="7" t="str" cm="1">
        <f t="array" aca="1" ref="I203" ca="1">IFERROR(IF(OR('Raw Data'!I203="",LEN(TRIM('Raw Data'!I203))=0),"",IF(AND(ISNUMBER('Raw Data'!I203), IFERROR('Raw Data'!I203 = ROUND('Raw Data'!I203, 2),FALSE)),"",_xlfn.REGEXEXTRACT(CELL("address",I203), "\$([A-Z]+)\$[0-9]+"))),_xlfn.REGEXEXTRACT(CELL("address",I203), "\$([A-Z]+)\$[0-9]+"))</f>
        <v/>
      </c>
      <c r="J203" s="7" t="str" cm="1">
        <f t="array" aca="1" ref="J203" ca="1">IFERROR(IF(OR('Raw Data'!J203="",LEN(TRIM('Raw Data'!J203))=0),"",IF(AND(ISNUMBER('Raw Data'!J203), IFERROR('Raw Data'!J203 = ROUND('Raw Data'!J203, 2),FALSE)),"",_xlfn.REGEXEXTRACT(CELL("address",J203), "\$([A-Z]+)\$[0-9]+"))),_xlfn.REGEXEXTRACT(CELL("address",J203), "\$([A-Z]+)\$[0-9]+"))</f>
        <v/>
      </c>
      <c r="K203" s="7" t="str" cm="1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7" t="str" cm="1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7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7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7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7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 cm="1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7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7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7" t="str" cm="1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7" t="str" cm="1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  <c r="Z203" s="7" t="str" cm="1">
        <f t="array" aca="1" ref="Z203" ca="1">IFERROR(IF(OR('Raw Data'!Z203="",LEN(TRIM('Raw Data'!Z203))=0),"",IF(AND(ISNUMBER('Raw Data'!Z203), IFERROR('Raw Data'!Z203 = ROUND('Raw Data'!Z203, 2),FALSE)),"",_xlfn.REGEXEXTRACT(CELL("address",Z203), "\$([A-Z]+)\$[0-9]+"))),_xlfn.REGEXEXTRACT(CELL("address",Z203), "\$([A-Z]+)\$[0-9]+"))</f>
        <v/>
      </c>
      <c r="AA203" s="7" t="str" cm="1">
        <f t="array" aca="1" ref="AA203" ca="1">IFERROR(IF(OR('Raw Data'!AA203="",LEN(TRIM('Raw Data'!AA203))=0),"",IF(AND(ISNUMBER('Raw Data'!AA203), IFERROR('Raw Data'!AA203 = ROUND('Raw Data'!AA203, 2),FALSE)),"",_xlfn.REGEXEXTRACT(CELL("address",AA203), "\$([A-Z]+)\$[0-9]+"))),_xlfn.REGEXEXTRACT(CELL("address",AA203), "\$([A-Z]+)\$[0-9]+"))</f>
        <v/>
      </c>
      <c r="AB203" s="7" t="str" cm="1">
        <f t="array" aca="1" ref="AB203" ca="1">IFERROR(IF(OR('Raw Data'!AB203="",LEN(TRIM('Raw Data'!AB203))=0),"",IF(AND(ISNUMBER('Raw Data'!AB203), IFERROR('Raw Data'!AB203 = ROUND('Raw Data'!AB203, 2),FALSE)),"",_xlfn.REGEXEXTRACT(CELL("address",AB203), "\$([A-Z]+)\$[0-9]+"))),_xlfn.REGEXEXTRACT(CELL("address",AB203), "\$([A-Z]+)\$[0-9]+"))</f>
        <v/>
      </c>
      <c r="AC203" s="7" t="str" cm="1">
        <f t="array" aca="1" ref="AC203" ca="1">IFERROR(IF(OR('Raw Data'!AC203="",LEN(TRIM('Raw Data'!AC203))=0),"",IF(AND(ISNUMBER('Raw Data'!AC203), IFERROR('Raw Data'!AC203 = ROUND('Raw Data'!AC203, 2),FALSE)),"",_xlfn.REGEXEXTRACT(CELL("address",AC203), "\$([A-Z]+)\$[0-9]+"))),_xlfn.REGEXEXTRACT(CELL("address",AC203), "\$([A-Z]+)\$[0-9]+"))</f>
        <v/>
      </c>
      <c r="AD203" s="7" t="str" cm="1">
        <f t="array" aca="1" ref="AD203" ca="1">IFERROR(IF(OR('Raw Data'!AD203="",LEN(TRIM('Raw Data'!AD203))=0),"",IF(AND(ISNUMBER('Raw Data'!AD203), IFERROR('Raw Data'!AD203 = ROUND('Raw Data'!AD203, 2),FALSE)),"",_xlfn.REGEXEXTRACT(CELL("address",AD203), "\$([A-Z]+)\$[0-9]+"))),_xlfn.REGEXEXTRACT(CELL("address",AD203), "\$([A-Z]+)\$[0-9]+"))</f>
        <v/>
      </c>
      <c r="AE203" s="7" t="str" cm="1">
        <f t="array" aca="1" ref="AE203" ca="1">IFERROR(IF(OR('Raw Data'!AE203="",LEN(TRIM('Raw Data'!AE203))=0),"",IF(AND(ISNUMBER('Raw Data'!AE203), IFERROR('Raw Data'!AE203 = ROUND('Raw Data'!AE203, 2),FALSE)),"",_xlfn.REGEXEXTRACT(CELL("address",AE203), "\$([A-Z]+)\$[0-9]+"))),_xlfn.REGEXEXTRACT(CELL("address",AE203), "\$([A-Z]+)\$[0-9]+"))</f>
        <v/>
      </c>
      <c r="AF203" s="7" t="str" cm="1">
        <f t="array" aca="1" ref="AF203" ca="1">IFERROR(IF(OR('Raw Data'!AF203="",LEN(TRIM('Raw Data'!AF203))=0),"",IF(AND(ISNUMBER('Raw Data'!AF203), IFERROR('Raw Data'!AF203 = ROUND('Raw Data'!AF203, 2),FALSE)),"",_xlfn.REGEXEXTRACT(CELL("address",AF203), "\$([A-Z]+)\$[0-9]+"))),_xlfn.REGEXEXTRACT(CELL("address",AF203), "\$([A-Z]+)\$[0-9]+"))</f>
        <v/>
      </c>
      <c r="AG203" s="7" t="str" cm="1">
        <f t="array" aca="1" ref="AG203" ca="1">IFERROR(IF(OR('Raw Data'!AG203="",LEN(TRIM('Raw Data'!AG203))=0),"",IF(AND(ISNUMBER('Raw Data'!AG203), IFERROR('Raw Data'!AG203 = ROUND('Raw Data'!AG203, 2),FALSE)),"",_xlfn.REGEXEXTRACT(CELL("address",AG203), "\$([A-Z]+)\$[0-9]+"))),_xlfn.REGEXEXTRACT(CELL("address",AG203), "\$([A-Z]+)\$[0-9]+"))</f>
        <v/>
      </c>
      <c r="AH203" s="7" t="str" cm="1">
        <f t="array" aca="1" ref="AH203" ca="1">IFERROR(IF(OR('Raw Data'!AH203="",LEN(TRIM('Raw Data'!AH203))=0),"",IF(AND(ISNUMBER('Raw Data'!AH203), IFERROR('Raw Data'!AH203 = ROUND('Raw Data'!AH203, 2),FALSE)),"",_xlfn.REGEXEXTRACT(CELL("address",AH203), "\$([A-Z]+)\$[0-9]+"))),_xlfn.REGEXEXTRACT(CELL("address",AH203), "\$([A-Z]+)\$[0-9]+"))</f>
        <v/>
      </c>
      <c r="AI203" s="7" t="str" cm="1">
        <f t="array" aca="1" ref="AI203" ca="1">IFERROR(IF(OR('Raw Data'!AI203="",LEN(TRIM('Raw Data'!AI203))=0),"",IF(AND(ISNUMBER('Raw Data'!AI203), IFERROR('Raw Data'!AI203 = ROUND('Raw Data'!AI203, 2),FALSE)),"",_xlfn.REGEXEXTRACT(CELL("address",AI203), "\$([A-Z]+)\$[0-9]+"))),_xlfn.REGEXEXTRACT(CELL("address",AI203), "\$([A-Z]+)\$[0-9]+"))</f>
        <v/>
      </c>
      <c r="AJ203" s="7" t="str" cm="1">
        <f t="array" aca="1" ref="AJ203" ca="1">IFERROR(IF(OR('Raw Data'!AJ203="",LEN(TRIM('Raw Data'!AJ203))=0),"",IF(AND(ISNUMBER('Raw Data'!AJ203), IFERROR('Raw Data'!AJ203 = ROUND('Raw Data'!AJ203, 2),FALSE)),"",_xlfn.REGEXEXTRACT(CELL("address",AJ203), "\$([A-Z]+)\$[0-9]+"))),_xlfn.REGEXEXTRACT(CELL("address",AJ203), "\$([A-Z]+)\$[0-9]+"))</f>
        <v/>
      </c>
    </row>
    <row r="204" spans="2:36" x14ac:dyDescent="0.25">
      <c r="B204" s="7" t="str" cm="1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20,LEN('Raw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Data'!D204))=0),"",IF(AND(ISNUMBER('Raw Data'!D204),'Raw Data'!D204&gt;=Configuration!$D$2),"",_xlfn.REGEXEXTRACT(CELL("address",'Raw Data'!D204),"\$([A-Z]+)\$[0-9]+"))),_xlfn.REGEXEXTRACT(CELL("address",D204), "\$([A-Z]+)\$[0-9]+"))</f>
        <v/>
      </c>
      <c r="E204" s="7" t="str" cm="1">
        <f t="array" aca="1" ref="E204" ca="1">IFERROR(IF(OR('Raw Data'!E204="",LEN(TRIM('Raw Data'!E204))=0),"",IF(AND(ISNUMBER('Raw Data'!E204), IFERROR('Raw Data'!E204 = ROUND('Raw Data'!E204, 2),FALSE)),"",_xlfn.REGEXEXTRACT(CELL("address",E204), "\$([A-Z]+)\$[0-9]+"))),_xlfn.REGEXEXTRACT(CELL("address",E204), "\$([A-Z]+)\$[0-9]+"))</f>
        <v/>
      </c>
      <c r="F204" s="7" t="str" cm="1">
        <f t="array" aca="1" ref="F204" ca="1">IFERROR(IF(OR('Raw Data'!F204="",LEN(TRIM('Raw Data'!F204))=0),"",IF(AND(ISNUMBER('Raw Data'!F204), IFERROR('Raw Data'!F204 = ROUND('Raw Data'!F204, 2),FALSE)),"",_xlfn.REGEXEXTRACT(CELL("address",F204), "\$([A-Z]+)\$[0-9]+"))),_xlfn.REGEXEXTRACT(CELL("address",F204), "\$([A-Z]+)\$[0-9]+"))</f>
        <v/>
      </c>
      <c r="G204" s="7" t="str" cm="1">
        <f t="array" aca="1" ref="G204" ca="1">IFERROR(IF(OR('Raw Data'!G204="",LEN(TRIM('Raw Data'!G204))=0),"",IF(AND(ISNUMBER('Raw Data'!G204), IFERROR('Raw Data'!G204 = ROUND('Raw Data'!G204, 2),FALSE)),"",_xlfn.REGEXEXTRACT(CELL("address",G204), "\$([A-Z]+)\$[0-9]+"))),_xlfn.REGEXEXTRACT(CELL("address",G204), "\$([A-Z]+)\$[0-9]+"))</f>
        <v/>
      </c>
      <c r="H204" s="7" t="str" cm="1">
        <f t="array" aca="1" ref="H204" ca="1">IFERROR(IF(OR('Raw Data'!H204="",LEN(TRIM('Raw Data'!H204))=0),"",IF(AND(ISNUMBER('Raw Data'!H204), IFERROR('Raw Data'!H204 = ROUND('Raw Data'!H204, 2),FALSE)),"",_xlfn.REGEXEXTRACT(CELL("address",H204), "\$([A-Z]+)\$[0-9]+"))),_xlfn.REGEXEXTRACT(CELL("address",H204), "\$([A-Z]+)\$[0-9]+"))</f>
        <v/>
      </c>
      <c r="I204" s="7" t="str" cm="1">
        <f t="array" aca="1" ref="I204" ca="1">IFERROR(IF(OR('Raw Data'!I204="",LEN(TRIM('Raw Data'!I204))=0),"",IF(AND(ISNUMBER('Raw Data'!I204), IFERROR('Raw Data'!I204 = ROUND('Raw Data'!I204, 2),FALSE)),"",_xlfn.REGEXEXTRACT(CELL("address",I204), "\$([A-Z]+)\$[0-9]+"))),_xlfn.REGEXEXTRACT(CELL("address",I204), "\$([A-Z]+)\$[0-9]+"))</f>
        <v/>
      </c>
      <c r="J204" s="7" t="str" cm="1">
        <f t="array" aca="1" ref="J204" ca="1">IFERROR(IF(OR('Raw Data'!J204="",LEN(TRIM('Raw Data'!J204))=0),"",IF(AND(ISNUMBER('Raw Data'!J204), IFERROR('Raw Data'!J204 = ROUND('Raw Data'!J204, 2),FALSE)),"",_xlfn.REGEXEXTRACT(CELL("address",J204), "\$([A-Z]+)\$[0-9]+"))),_xlfn.REGEXEXTRACT(CELL("address",J204), "\$([A-Z]+)\$[0-9]+"))</f>
        <v/>
      </c>
      <c r="K204" s="7" t="str" cm="1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7" t="str" cm="1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7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7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7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7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 cm="1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7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7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7" t="str" cm="1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7" t="str" cm="1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  <c r="Z204" s="7" t="str" cm="1">
        <f t="array" aca="1" ref="Z204" ca="1">IFERROR(IF(OR('Raw Data'!Z204="",LEN(TRIM('Raw Data'!Z204))=0),"",IF(AND(ISNUMBER('Raw Data'!Z204), IFERROR('Raw Data'!Z204 = ROUND('Raw Data'!Z204, 2),FALSE)),"",_xlfn.REGEXEXTRACT(CELL("address",Z204), "\$([A-Z]+)\$[0-9]+"))),_xlfn.REGEXEXTRACT(CELL("address",Z204), "\$([A-Z]+)\$[0-9]+"))</f>
        <v/>
      </c>
      <c r="AA204" s="7" t="str" cm="1">
        <f t="array" aca="1" ref="AA204" ca="1">IFERROR(IF(OR('Raw Data'!AA204="",LEN(TRIM('Raw Data'!AA204))=0),"",IF(AND(ISNUMBER('Raw Data'!AA204), IFERROR('Raw Data'!AA204 = ROUND('Raw Data'!AA204, 2),FALSE)),"",_xlfn.REGEXEXTRACT(CELL("address",AA204), "\$([A-Z]+)\$[0-9]+"))),_xlfn.REGEXEXTRACT(CELL("address",AA204), "\$([A-Z]+)\$[0-9]+"))</f>
        <v/>
      </c>
      <c r="AB204" s="7" t="str" cm="1">
        <f t="array" aca="1" ref="AB204" ca="1">IFERROR(IF(OR('Raw Data'!AB204="",LEN(TRIM('Raw Data'!AB204))=0),"",IF(AND(ISNUMBER('Raw Data'!AB204), IFERROR('Raw Data'!AB204 = ROUND('Raw Data'!AB204, 2),FALSE)),"",_xlfn.REGEXEXTRACT(CELL("address",AB204), "\$([A-Z]+)\$[0-9]+"))),_xlfn.REGEXEXTRACT(CELL("address",AB204), "\$([A-Z]+)\$[0-9]+"))</f>
        <v/>
      </c>
      <c r="AC204" s="7" t="str" cm="1">
        <f t="array" aca="1" ref="AC204" ca="1">IFERROR(IF(OR('Raw Data'!AC204="",LEN(TRIM('Raw Data'!AC204))=0),"",IF(AND(ISNUMBER('Raw Data'!AC204), IFERROR('Raw Data'!AC204 = ROUND('Raw Data'!AC204, 2),FALSE)),"",_xlfn.REGEXEXTRACT(CELL("address",AC204), "\$([A-Z]+)\$[0-9]+"))),_xlfn.REGEXEXTRACT(CELL("address",AC204), "\$([A-Z]+)\$[0-9]+"))</f>
        <v/>
      </c>
      <c r="AD204" s="7" t="str" cm="1">
        <f t="array" aca="1" ref="AD204" ca="1">IFERROR(IF(OR('Raw Data'!AD204="",LEN(TRIM('Raw Data'!AD204))=0),"",IF(AND(ISNUMBER('Raw Data'!AD204), IFERROR('Raw Data'!AD204 = ROUND('Raw Data'!AD204, 2),FALSE)),"",_xlfn.REGEXEXTRACT(CELL("address",AD204), "\$([A-Z]+)\$[0-9]+"))),_xlfn.REGEXEXTRACT(CELL("address",AD204), "\$([A-Z]+)\$[0-9]+"))</f>
        <v/>
      </c>
      <c r="AE204" s="7" t="str" cm="1">
        <f t="array" aca="1" ref="AE204" ca="1">IFERROR(IF(OR('Raw Data'!AE204="",LEN(TRIM('Raw Data'!AE204))=0),"",IF(AND(ISNUMBER('Raw Data'!AE204), IFERROR('Raw Data'!AE204 = ROUND('Raw Data'!AE204, 2),FALSE)),"",_xlfn.REGEXEXTRACT(CELL("address",AE204), "\$([A-Z]+)\$[0-9]+"))),_xlfn.REGEXEXTRACT(CELL("address",AE204), "\$([A-Z]+)\$[0-9]+"))</f>
        <v/>
      </c>
      <c r="AF204" s="7" t="str" cm="1">
        <f t="array" aca="1" ref="AF204" ca="1">IFERROR(IF(OR('Raw Data'!AF204="",LEN(TRIM('Raw Data'!AF204))=0),"",IF(AND(ISNUMBER('Raw Data'!AF204), IFERROR('Raw Data'!AF204 = ROUND('Raw Data'!AF204, 2),FALSE)),"",_xlfn.REGEXEXTRACT(CELL("address",AF204), "\$([A-Z]+)\$[0-9]+"))),_xlfn.REGEXEXTRACT(CELL("address",AF204), "\$([A-Z]+)\$[0-9]+"))</f>
        <v/>
      </c>
      <c r="AG204" s="7" t="str" cm="1">
        <f t="array" aca="1" ref="AG204" ca="1">IFERROR(IF(OR('Raw Data'!AG204="",LEN(TRIM('Raw Data'!AG204))=0),"",IF(AND(ISNUMBER('Raw Data'!AG204), IFERROR('Raw Data'!AG204 = ROUND('Raw Data'!AG204, 2),FALSE)),"",_xlfn.REGEXEXTRACT(CELL("address",AG204), "\$([A-Z]+)\$[0-9]+"))),_xlfn.REGEXEXTRACT(CELL("address",AG204), "\$([A-Z]+)\$[0-9]+"))</f>
        <v/>
      </c>
      <c r="AH204" s="7" t="str" cm="1">
        <f t="array" aca="1" ref="AH204" ca="1">IFERROR(IF(OR('Raw Data'!AH204="",LEN(TRIM('Raw Data'!AH204))=0),"",IF(AND(ISNUMBER('Raw Data'!AH204), IFERROR('Raw Data'!AH204 = ROUND('Raw Data'!AH204, 2),FALSE)),"",_xlfn.REGEXEXTRACT(CELL("address",AH204), "\$([A-Z]+)\$[0-9]+"))),_xlfn.REGEXEXTRACT(CELL("address",AH204), "\$([A-Z]+)\$[0-9]+"))</f>
        <v/>
      </c>
      <c r="AI204" s="7" t="str" cm="1">
        <f t="array" aca="1" ref="AI204" ca="1">IFERROR(IF(OR('Raw Data'!AI204="",LEN(TRIM('Raw Data'!AI204))=0),"",IF(AND(ISNUMBER('Raw Data'!AI204), IFERROR('Raw Data'!AI204 = ROUND('Raw Data'!AI204, 2),FALSE)),"",_xlfn.REGEXEXTRACT(CELL("address",AI204), "\$([A-Z]+)\$[0-9]+"))),_xlfn.REGEXEXTRACT(CELL("address",AI204), "\$([A-Z]+)\$[0-9]+"))</f>
        <v/>
      </c>
      <c r="AJ204" s="7" t="str" cm="1">
        <f t="array" aca="1" ref="AJ204" ca="1">IFERROR(IF(OR('Raw Data'!AJ204="",LEN(TRIM('Raw Data'!AJ204))=0),"",IF(AND(ISNUMBER('Raw Data'!AJ204), IFERROR('Raw Data'!AJ204 = ROUND('Raw Data'!AJ204, 2),FALSE)),"",_xlfn.REGEXEXTRACT(CELL("address",AJ204), "\$([A-Z]+)\$[0-9]+"))),_xlfn.REGEXEXTRACT(CELL("address",AJ204), "\$([A-Z]+)\$[0-9]+"))</f>
        <v/>
      </c>
    </row>
    <row r="205" spans="2:36" x14ac:dyDescent="0.25">
      <c r="B205" s="7" t="str" cm="1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20,LEN('Raw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Data'!D205))=0),"",IF(AND(ISNUMBER('Raw Data'!D205),'Raw Data'!D205&gt;=Configuration!$D$2),"",_xlfn.REGEXEXTRACT(CELL("address",'Raw Data'!D205),"\$([A-Z]+)\$[0-9]+"))),_xlfn.REGEXEXTRACT(CELL("address",D205), "\$([A-Z]+)\$[0-9]+"))</f>
        <v/>
      </c>
      <c r="E205" s="7" t="str" cm="1">
        <f t="array" aca="1" ref="E205" ca="1">IFERROR(IF(OR('Raw Data'!E205="",LEN(TRIM('Raw Data'!E205))=0),"",IF(AND(ISNUMBER('Raw Data'!E205), IFERROR('Raw Data'!E205 = ROUND('Raw Data'!E205, 2),FALSE)),"",_xlfn.REGEXEXTRACT(CELL("address",E205), "\$([A-Z]+)\$[0-9]+"))),_xlfn.REGEXEXTRACT(CELL("address",E205), "\$([A-Z]+)\$[0-9]+"))</f>
        <v/>
      </c>
      <c r="F205" s="7" t="str" cm="1">
        <f t="array" aca="1" ref="F205" ca="1">IFERROR(IF(OR('Raw Data'!F205="",LEN(TRIM('Raw Data'!F205))=0),"",IF(AND(ISNUMBER('Raw Data'!F205), IFERROR('Raw Data'!F205 = ROUND('Raw Data'!F205, 2),FALSE)),"",_xlfn.REGEXEXTRACT(CELL("address",F205), "\$([A-Z]+)\$[0-9]+"))),_xlfn.REGEXEXTRACT(CELL("address",F205), "\$([A-Z]+)\$[0-9]+"))</f>
        <v/>
      </c>
      <c r="G205" s="7" t="str" cm="1">
        <f t="array" aca="1" ref="G205" ca="1">IFERROR(IF(OR('Raw Data'!G205="",LEN(TRIM('Raw Data'!G205))=0),"",IF(AND(ISNUMBER('Raw Data'!G205), IFERROR('Raw Data'!G205 = ROUND('Raw Data'!G205, 2),FALSE)),"",_xlfn.REGEXEXTRACT(CELL("address",G205), "\$([A-Z]+)\$[0-9]+"))),_xlfn.REGEXEXTRACT(CELL("address",G205), "\$([A-Z]+)\$[0-9]+"))</f>
        <v/>
      </c>
      <c r="H205" s="7" t="str" cm="1">
        <f t="array" aca="1" ref="H205" ca="1">IFERROR(IF(OR('Raw Data'!H205="",LEN(TRIM('Raw Data'!H205))=0),"",IF(AND(ISNUMBER('Raw Data'!H205), IFERROR('Raw Data'!H205 = ROUND('Raw Data'!H205, 2),FALSE)),"",_xlfn.REGEXEXTRACT(CELL("address",H205), "\$([A-Z]+)\$[0-9]+"))),_xlfn.REGEXEXTRACT(CELL("address",H205), "\$([A-Z]+)\$[0-9]+"))</f>
        <v/>
      </c>
      <c r="I205" s="7" t="str" cm="1">
        <f t="array" aca="1" ref="I205" ca="1">IFERROR(IF(OR('Raw Data'!I205="",LEN(TRIM('Raw Data'!I205))=0),"",IF(AND(ISNUMBER('Raw Data'!I205), IFERROR('Raw Data'!I205 = ROUND('Raw Data'!I205, 2),FALSE)),"",_xlfn.REGEXEXTRACT(CELL("address",I205), "\$([A-Z]+)\$[0-9]+"))),_xlfn.REGEXEXTRACT(CELL("address",I205), "\$([A-Z]+)\$[0-9]+"))</f>
        <v/>
      </c>
      <c r="J205" s="7" t="str" cm="1">
        <f t="array" aca="1" ref="J205" ca="1">IFERROR(IF(OR('Raw Data'!J205="",LEN(TRIM('Raw Data'!J205))=0),"",IF(AND(ISNUMBER('Raw Data'!J205), IFERROR('Raw Data'!J205 = ROUND('Raw Data'!J205, 2),FALSE)),"",_xlfn.REGEXEXTRACT(CELL("address",J205), "\$([A-Z]+)\$[0-9]+"))),_xlfn.REGEXEXTRACT(CELL("address",J205), "\$([A-Z]+)\$[0-9]+"))</f>
        <v/>
      </c>
      <c r="K205" s="7" t="str" cm="1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7" t="str" cm="1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7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7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7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7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 cm="1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7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7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7" t="str" cm="1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7" t="str" cm="1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  <c r="Z205" s="7" t="str" cm="1">
        <f t="array" aca="1" ref="Z205" ca="1">IFERROR(IF(OR('Raw Data'!Z205="",LEN(TRIM('Raw Data'!Z205))=0),"",IF(AND(ISNUMBER('Raw Data'!Z205), IFERROR('Raw Data'!Z205 = ROUND('Raw Data'!Z205, 2),FALSE)),"",_xlfn.REGEXEXTRACT(CELL("address",Z205), "\$([A-Z]+)\$[0-9]+"))),_xlfn.REGEXEXTRACT(CELL("address",Z205), "\$([A-Z]+)\$[0-9]+"))</f>
        <v/>
      </c>
      <c r="AA205" s="7" t="str" cm="1">
        <f t="array" aca="1" ref="AA205" ca="1">IFERROR(IF(OR('Raw Data'!AA205="",LEN(TRIM('Raw Data'!AA205))=0),"",IF(AND(ISNUMBER('Raw Data'!AA205), IFERROR('Raw Data'!AA205 = ROUND('Raw Data'!AA205, 2),FALSE)),"",_xlfn.REGEXEXTRACT(CELL("address",AA205), "\$([A-Z]+)\$[0-9]+"))),_xlfn.REGEXEXTRACT(CELL("address",AA205), "\$([A-Z]+)\$[0-9]+"))</f>
        <v/>
      </c>
      <c r="AB205" s="7" t="str" cm="1">
        <f t="array" aca="1" ref="AB205" ca="1">IFERROR(IF(OR('Raw Data'!AB205="",LEN(TRIM('Raw Data'!AB205))=0),"",IF(AND(ISNUMBER('Raw Data'!AB205), IFERROR('Raw Data'!AB205 = ROUND('Raw Data'!AB205, 2),FALSE)),"",_xlfn.REGEXEXTRACT(CELL("address",AB205), "\$([A-Z]+)\$[0-9]+"))),_xlfn.REGEXEXTRACT(CELL("address",AB205), "\$([A-Z]+)\$[0-9]+"))</f>
        <v/>
      </c>
      <c r="AC205" s="7" t="str" cm="1">
        <f t="array" aca="1" ref="AC205" ca="1">IFERROR(IF(OR('Raw Data'!AC205="",LEN(TRIM('Raw Data'!AC205))=0),"",IF(AND(ISNUMBER('Raw Data'!AC205), IFERROR('Raw Data'!AC205 = ROUND('Raw Data'!AC205, 2),FALSE)),"",_xlfn.REGEXEXTRACT(CELL("address",AC205), "\$([A-Z]+)\$[0-9]+"))),_xlfn.REGEXEXTRACT(CELL("address",AC205), "\$([A-Z]+)\$[0-9]+"))</f>
        <v/>
      </c>
      <c r="AD205" s="7" t="str" cm="1">
        <f t="array" aca="1" ref="AD205" ca="1">IFERROR(IF(OR('Raw Data'!AD205="",LEN(TRIM('Raw Data'!AD205))=0),"",IF(AND(ISNUMBER('Raw Data'!AD205), IFERROR('Raw Data'!AD205 = ROUND('Raw Data'!AD205, 2),FALSE)),"",_xlfn.REGEXEXTRACT(CELL("address",AD205), "\$([A-Z]+)\$[0-9]+"))),_xlfn.REGEXEXTRACT(CELL("address",AD205), "\$([A-Z]+)\$[0-9]+"))</f>
        <v/>
      </c>
      <c r="AE205" s="7" t="str" cm="1">
        <f t="array" aca="1" ref="AE205" ca="1">IFERROR(IF(OR('Raw Data'!AE205="",LEN(TRIM('Raw Data'!AE205))=0),"",IF(AND(ISNUMBER('Raw Data'!AE205), IFERROR('Raw Data'!AE205 = ROUND('Raw Data'!AE205, 2),FALSE)),"",_xlfn.REGEXEXTRACT(CELL("address",AE205), "\$([A-Z]+)\$[0-9]+"))),_xlfn.REGEXEXTRACT(CELL("address",AE205), "\$([A-Z]+)\$[0-9]+"))</f>
        <v/>
      </c>
      <c r="AF205" s="7" t="str" cm="1">
        <f t="array" aca="1" ref="AF205" ca="1">IFERROR(IF(OR('Raw Data'!AF205="",LEN(TRIM('Raw Data'!AF205))=0),"",IF(AND(ISNUMBER('Raw Data'!AF205), IFERROR('Raw Data'!AF205 = ROUND('Raw Data'!AF205, 2),FALSE)),"",_xlfn.REGEXEXTRACT(CELL("address",AF205), "\$([A-Z]+)\$[0-9]+"))),_xlfn.REGEXEXTRACT(CELL("address",AF205), "\$([A-Z]+)\$[0-9]+"))</f>
        <v/>
      </c>
      <c r="AG205" s="7" t="str" cm="1">
        <f t="array" aca="1" ref="AG205" ca="1">IFERROR(IF(OR('Raw Data'!AG205="",LEN(TRIM('Raw Data'!AG205))=0),"",IF(AND(ISNUMBER('Raw Data'!AG205), IFERROR('Raw Data'!AG205 = ROUND('Raw Data'!AG205, 2),FALSE)),"",_xlfn.REGEXEXTRACT(CELL("address",AG205), "\$([A-Z]+)\$[0-9]+"))),_xlfn.REGEXEXTRACT(CELL("address",AG205), "\$([A-Z]+)\$[0-9]+"))</f>
        <v/>
      </c>
      <c r="AH205" s="7" t="str" cm="1">
        <f t="array" aca="1" ref="AH205" ca="1">IFERROR(IF(OR('Raw Data'!AH205="",LEN(TRIM('Raw Data'!AH205))=0),"",IF(AND(ISNUMBER('Raw Data'!AH205), IFERROR('Raw Data'!AH205 = ROUND('Raw Data'!AH205, 2),FALSE)),"",_xlfn.REGEXEXTRACT(CELL("address",AH205), "\$([A-Z]+)\$[0-9]+"))),_xlfn.REGEXEXTRACT(CELL("address",AH205), "\$([A-Z]+)\$[0-9]+"))</f>
        <v/>
      </c>
      <c r="AI205" s="7" t="str" cm="1">
        <f t="array" aca="1" ref="AI205" ca="1">IFERROR(IF(OR('Raw Data'!AI205="",LEN(TRIM('Raw Data'!AI205))=0),"",IF(AND(ISNUMBER('Raw Data'!AI205), IFERROR('Raw Data'!AI205 = ROUND('Raw Data'!AI205, 2),FALSE)),"",_xlfn.REGEXEXTRACT(CELL("address",AI205), "\$([A-Z]+)\$[0-9]+"))),_xlfn.REGEXEXTRACT(CELL("address",AI205), "\$([A-Z]+)\$[0-9]+"))</f>
        <v/>
      </c>
      <c r="AJ205" s="7" t="str" cm="1">
        <f t="array" aca="1" ref="AJ205" ca="1">IFERROR(IF(OR('Raw Data'!AJ205="",LEN(TRIM('Raw Data'!AJ205))=0),"",IF(AND(ISNUMBER('Raw Data'!AJ205), IFERROR('Raw Data'!AJ205 = ROUND('Raw Data'!AJ205, 2),FALSE)),"",_xlfn.REGEXEXTRACT(CELL("address",AJ205), "\$([A-Z]+)\$[0-9]+"))),_xlfn.REGEXEXTRACT(CELL("address",AJ205), "\$([A-Z]+)\$[0-9]+"))</f>
        <v/>
      </c>
    </row>
    <row r="206" spans="2:36" x14ac:dyDescent="0.25">
      <c r="B206" s="7" t="str" cm="1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20,LEN('Raw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Data'!D206))=0),"",IF(AND(ISNUMBER('Raw Data'!D206),'Raw Data'!D206&gt;=Configuration!$D$2),"",_xlfn.REGEXEXTRACT(CELL("address",'Raw Data'!D206),"\$([A-Z]+)\$[0-9]+"))),_xlfn.REGEXEXTRACT(CELL("address",D206), "\$([A-Z]+)\$[0-9]+"))</f>
        <v/>
      </c>
      <c r="E206" s="7" t="str" cm="1">
        <f t="array" aca="1" ref="E206" ca="1">IFERROR(IF(OR('Raw Data'!E206="",LEN(TRIM('Raw Data'!E206))=0),"",IF(AND(ISNUMBER('Raw Data'!E206), IFERROR('Raw Data'!E206 = ROUND('Raw Data'!E206, 2),FALSE)),"",_xlfn.REGEXEXTRACT(CELL("address",E206), "\$([A-Z]+)\$[0-9]+"))),_xlfn.REGEXEXTRACT(CELL("address",E206), "\$([A-Z]+)\$[0-9]+"))</f>
        <v/>
      </c>
      <c r="F206" s="7" t="str" cm="1">
        <f t="array" aca="1" ref="F206" ca="1">IFERROR(IF(OR('Raw Data'!F206="",LEN(TRIM('Raw Data'!F206))=0),"",IF(AND(ISNUMBER('Raw Data'!F206), IFERROR('Raw Data'!F206 = ROUND('Raw Data'!F206, 2),FALSE)),"",_xlfn.REGEXEXTRACT(CELL("address",F206), "\$([A-Z]+)\$[0-9]+"))),_xlfn.REGEXEXTRACT(CELL("address",F206), "\$([A-Z]+)\$[0-9]+"))</f>
        <v/>
      </c>
      <c r="G206" s="7" t="str" cm="1">
        <f t="array" aca="1" ref="G206" ca="1">IFERROR(IF(OR('Raw Data'!G206="",LEN(TRIM('Raw Data'!G206))=0),"",IF(AND(ISNUMBER('Raw Data'!G206), IFERROR('Raw Data'!G206 = ROUND('Raw Data'!G206, 2),FALSE)),"",_xlfn.REGEXEXTRACT(CELL("address",G206), "\$([A-Z]+)\$[0-9]+"))),_xlfn.REGEXEXTRACT(CELL("address",G206), "\$([A-Z]+)\$[0-9]+"))</f>
        <v/>
      </c>
      <c r="H206" s="7" t="str" cm="1">
        <f t="array" aca="1" ref="H206" ca="1">IFERROR(IF(OR('Raw Data'!H206="",LEN(TRIM('Raw Data'!H206))=0),"",IF(AND(ISNUMBER('Raw Data'!H206), IFERROR('Raw Data'!H206 = ROUND('Raw Data'!H206, 2),FALSE)),"",_xlfn.REGEXEXTRACT(CELL("address",H206), "\$([A-Z]+)\$[0-9]+"))),_xlfn.REGEXEXTRACT(CELL("address",H206), "\$([A-Z]+)\$[0-9]+"))</f>
        <v/>
      </c>
      <c r="I206" s="7" t="str" cm="1">
        <f t="array" aca="1" ref="I206" ca="1">IFERROR(IF(OR('Raw Data'!I206="",LEN(TRIM('Raw Data'!I206))=0),"",IF(AND(ISNUMBER('Raw Data'!I206), IFERROR('Raw Data'!I206 = ROUND('Raw Data'!I206, 2),FALSE)),"",_xlfn.REGEXEXTRACT(CELL("address",I206), "\$([A-Z]+)\$[0-9]+"))),_xlfn.REGEXEXTRACT(CELL("address",I206), "\$([A-Z]+)\$[0-9]+"))</f>
        <v/>
      </c>
      <c r="J206" s="7" t="str" cm="1">
        <f t="array" aca="1" ref="J206" ca="1">IFERROR(IF(OR('Raw Data'!J206="",LEN(TRIM('Raw Data'!J206))=0),"",IF(AND(ISNUMBER('Raw Data'!J206), IFERROR('Raw Data'!J206 = ROUND('Raw Data'!J206, 2),FALSE)),"",_xlfn.REGEXEXTRACT(CELL("address",J206), "\$([A-Z]+)\$[0-9]+"))),_xlfn.REGEXEXTRACT(CELL("address",J206), "\$([A-Z]+)\$[0-9]+"))</f>
        <v/>
      </c>
      <c r="K206" s="7" t="str" cm="1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7" t="str" cm="1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7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7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7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7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 cm="1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7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7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7" t="str" cm="1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7" t="str" cm="1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  <c r="Z206" s="7" t="str" cm="1">
        <f t="array" aca="1" ref="Z206" ca="1">IFERROR(IF(OR('Raw Data'!Z206="",LEN(TRIM('Raw Data'!Z206))=0),"",IF(AND(ISNUMBER('Raw Data'!Z206), IFERROR('Raw Data'!Z206 = ROUND('Raw Data'!Z206, 2),FALSE)),"",_xlfn.REGEXEXTRACT(CELL("address",Z206), "\$([A-Z]+)\$[0-9]+"))),_xlfn.REGEXEXTRACT(CELL("address",Z206), "\$([A-Z]+)\$[0-9]+"))</f>
        <v/>
      </c>
      <c r="AA206" s="7" t="str" cm="1">
        <f t="array" aca="1" ref="AA206" ca="1">IFERROR(IF(OR('Raw Data'!AA206="",LEN(TRIM('Raw Data'!AA206))=0),"",IF(AND(ISNUMBER('Raw Data'!AA206), IFERROR('Raw Data'!AA206 = ROUND('Raw Data'!AA206, 2),FALSE)),"",_xlfn.REGEXEXTRACT(CELL("address",AA206), "\$([A-Z]+)\$[0-9]+"))),_xlfn.REGEXEXTRACT(CELL("address",AA206), "\$([A-Z]+)\$[0-9]+"))</f>
        <v/>
      </c>
      <c r="AB206" s="7" t="str" cm="1">
        <f t="array" aca="1" ref="AB206" ca="1">IFERROR(IF(OR('Raw Data'!AB206="",LEN(TRIM('Raw Data'!AB206))=0),"",IF(AND(ISNUMBER('Raw Data'!AB206), IFERROR('Raw Data'!AB206 = ROUND('Raw Data'!AB206, 2),FALSE)),"",_xlfn.REGEXEXTRACT(CELL("address",AB206), "\$([A-Z]+)\$[0-9]+"))),_xlfn.REGEXEXTRACT(CELL("address",AB206), "\$([A-Z]+)\$[0-9]+"))</f>
        <v/>
      </c>
      <c r="AC206" s="7" t="str" cm="1">
        <f t="array" aca="1" ref="AC206" ca="1">IFERROR(IF(OR('Raw Data'!AC206="",LEN(TRIM('Raw Data'!AC206))=0),"",IF(AND(ISNUMBER('Raw Data'!AC206), IFERROR('Raw Data'!AC206 = ROUND('Raw Data'!AC206, 2),FALSE)),"",_xlfn.REGEXEXTRACT(CELL("address",AC206), "\$([A-Z]+)\$[0-9]+"))),_xlfn.REGEXEXTRACT(CELL("address",AC206), "\$([A-Z]+)\$[0-9]+"))</f>
        <v/>
      </c>
      <c r="AD206" s="7" t="str" cm="1">
        <f t="array" aca="1" ref="AD206" ca="1">IFERROR(IF(OR('Raw Data'!AD206="",LEN(TRIM('Raw Data'!AD206))=0),"",IF(AND(ISNUMBER('Raw Data'!AD206), IFERROR('Raw Data'!AD206 = ROUND('Raw Data'!AD206, 2),FALSE)),"",_xlfn.REGEXEXTRACT(CELL("address",AD206), "\$([A-Z]+)\$[0-9]+"))),_xlfn.REGEXEXTRACT(CELL("address",AD206), "\$([A-Z]+)\$[0-9]+"))</f>
        <v/>
      </c>
      <c r="AE206" s="7" t="str" cm="1">
        <f t="array" aca="1" ref="AE206" ca="1">IFERROR(IF(OR('Raw Data'!AE206="",LEN(TRIM('Raw Data'!AE206))=0),"",IF(AND(ISNUMBER('Raw Data'!AE206), IFERROR('Raw Data'!AE206 = ROUND('Raw Data'!AE206, 2),FALSE)),"",_xlfn.REGEXEXTRACT(CELL("address",AE206), "\$([A-Z]+)\$[0-9]+"))),_xlfn.REGEXEXTRACT(CELL("address",AE206), "\$([A-Z]+)\$[0-9]+"))</f>
        <v/>
      </c>
      <c r="AF206" s="7" t="str" cm="1">
        <f t="array" aca="1" ref="AF206" ca="1">IFERROR(IF(OR('Raw Data'!AF206="",LEN(TRIM('Raw Data'!AF206))=0),"",IF(AND(ISNUMBER('Raw Data'!AF206), IFERROR('Raw Data'!AF206 = ROUND('Raw Data'!AF206, 2),FALSE)),"",_xlfn.REGEXEXTRACT(CELL("address",AF206), "\$([A-Z]+)\$[0-9]+"))),_xlfn.REGEXEXTRACT(CELL("address",AF206), "\$([A-Z]+)\$[0-9]+"))</f>
        <v/>
      </c>
      <c r="AG206" s="7" t="str" cm="1">
        <f t="array" aca="1" ref="AG206" ca="1">IFERROR(IF(OR('Raw Data'!AG206="",LEN(TRIM('Raw Data'!AG206))=0),"",IF(AND(ISNUMBER('Raw Data'!AG206), IFERROR('Raw Data'!AG206 = ROUND('Raw Data'!AG206, 2),FALSE)),"",_xlfn.REGEXEXTRACT(CELL("address",AG206), "\$([A-Z]+)\$[0-9]+"))),_xlfn.REGEXEXTRACT(CELL("address",AG206), "\$([A-Z]+)\$[0-9]+"))</f>
        <v/>
      </c>
      <c r="AH206" s="7" t="str" cm="1">
        <f t="array" aca="1" ref="AH206" ca="1">IFERROR(IF(OR('Raw Data'!AH206="",LEN(TRIM('Raw Data'!AH206))=0),"",IF(AND(ISNUMBER('Raw Data'!AH206), IFERROR('Raw Data'!AH206 = ROUND('Raw Data'!AH206, 2),FALSE)),"",_xlfn.REGEXEXTRACT(CELL("address",AH206), "\$([A-Z]+)\$[0-9]+"))),_xlfn.REGEXEXTRACT(CELL("address",AH206), "\$([A-Z]+)\$[0-9]+"))</f>
        <v/>
      </c>
      <c r="AI206" s="7" t="str" cm="1">
        <f t="array" aca="1" ref="AI206" ca="1">IFERROR(IF(OR('Raw Data'!AI206="",LEN(TRIM('Raw Data'!AI206))=0),"",IF(AND(ISNUMBER('Raw Data'!AI206), IFERROR('Raw Data'!AI206 = ROUND('Raw Data'!AI206, 2),FALSE)),"",_xlfn.REGEXEXTRACT(CELL("address",AI206), "\$([A-Z]+)\$[0-9]+"))),_xlfn.REGEXEXTRACT(CELL("address",AI206), "\$([A-Z]+)\$[0-9]+"))</f>
        <v/>
      </c>
      <c r="AJ206" s="7" t="str" cm="1">
        <f t="array" aca="1" ref="AJ206" ca="1">IFERROR(IF(OR('Raw Data'!AJ206="",LEN(TRIM('Raw Data'!AJ206))=0),"",IF(AND(ISNUMBER('Raw Data'!AJ206), IFERROR('Raw Data'!AJ206 = ROUND('Raw Data'!AJ206, 2),FALSE)),"",_xlfn.REGEXEXTRACT(CELL("address",AJ206), "\$([A-Z]+)\$[0-9]+"))),_xlfn.REGEXEXTRACT(CELL("address",AJ206), "\$([A-Z]+)\$[0-9]+"))</f>
        <v/>
      </c>
    </row>
    <row r="207" spans="2:36" x14ac:dyDescent="0.25">
      <c r="B207" s="7" t="str" cm="1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20,LEN('Raw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Data'!D207))=0),"",IF(AND(ISNUMBER('Raw Data'!D207),'Raw Data'!D207&gt;=Configuration!$D$2),"",_xlfn.REGEXEXTRACT(CELL("address",'Raw Data'!D207),"\$([A-Z]+)\$[0-9]+"))),_xlfn.REGEXEXTRACT(CELL("address",D207), "\$([A-Z]+)\$[0-9]+"))</f>
        <v/>
      </c>
      <c r="E207" s="7" t="str" cm="1">
        <f t="array" aca="1" ref="E207" ca="1">IFERROR(IF(OR('Raw Data'!E207="",LEN(TRIM('Raw Data'!E207))=0),"",IF(AND(ISNUMBER('Raw Data'!E207), IFERROR('Raw Data'!E207 = ROUND('Raw Data'!E207, 2),FALSE)),"",_xlfn.REGEXEXTRACT(CELL("address",E207), "\$([A-Z]+)\$[0-9]+"))),_xlfn.REGEXEXTRACT(CELL("address",E207), "\$([A-Z]+)\$[0-9]+"))</f>
        <v/>
      </c>
      <c r="F207" s="7" t="str" cm="1">
        <f t="array" aca="1" ref="F207" ca="1">IFERROR(IF(OR('Raw Data'!F207="",LEN(TRIM('Raw Data'!F207))=0),"",IF(AND(ISNUMBER('Raw Data'!F207), IFERROR('Raw Data'!F207 = ROUND('Raw Data'!F207, 2),FALSE)),"",_xlfn.REGEXEXTRACT(CELL("address",F207), "\$([A-Z]+)\$[0-9]+"))),_xlfn.REGEXEXTRACT(CELL("address",F207), "\$([A-Z]+)\$[0-9]+"))</f>
        <v/>
      </c>
      <c r="G207" s="7" t="str" cm="1">
        <f t="array" aca="1" ref="G207" ca="1">IFERROR(IF(OR('Raw Data'!G207="",LEN(TRIM('Raw Data'!G207))=0),"",IF(AND(ISNUMBER('Raw Data'!G207), IFERROR('Raw Data'!G207 = ROUND('Raw Data'!G207, 2),FALSE)),"",_xlfn.REGEXEXTRACT(CELL("address",G207), "\$([A-Z]+)\$[0-9]+"))),_xlfn.REGEXEXTRACT(CELL("address",G207), "\$([A-Z]+)\$[0-9]+"))</f>
        <v/>
      </c>
      <c r="H207" s="7" t="str" cm="1">
        <f t="array" aca="1" ref="H207" ca="1">IFERROR(IF(OR('Raw Data'!H207="",LEN(TRIM('Raw Data'!H207))=0),"",IF(AND(ISNUMBER('Raw Data'!H207), IFERROR('Raw Data'!H207 = ROUND('Raw Data'!H207, 2),FALSE)),"",_xlfn.REGEXEXTRACT(CELL("address",H207), "\$([A-Z]+)\$[0-9]+"))),_xlfn.REGEXEXTRACT(CELL("address",H207), "\$([A-Z]+)\$[0-9]+"))</f>
        <v/>
      </c>
      <c r="I207" s="7" t="str" cm="1">
        <f t="array" aca="1" ref="I207" ca="1">IFERROR(IF(OR('Raw Data'!I207="",LEN(TRIM('Raw Data'!I207))=0),"",IF(AND(ISNUMBER('Raw Data'!I207), IFERROR('Raw Data'!I207 = ROUND('Raw Data'!I207, 2),FALSE)),"",_xlfn.REGEXEXTRACT(CELL("address",I207), "\$([A-Z]+)\$[0-9]+"))),_xlfn.REGEXEXTRACT(CELL("address",I207), "\$([A-Z]+)\$[0-9]+"))</f>
        <v/>
      </c>
      <c r="J207" s="7" t="str" cm="1">
        <f t="array" aca="1" ref="J207" ca="1">IFERROR(IF(OR('Raw Data'!J207="",LEN(TRIM('Raw Data'!J207))=0),"",IF(AND(ISNUMBER('Raw Data'!J207), IFERROR('Raw Data'!J207 = ROUND('Raw Data'!J207, 2),FALSE)),"",_xlfn.REGEXEXTRACT(CELL("address",J207), "\$([A-Z]+)\$[0-9]+"))),_xlfn.REGEXEXTRACT(CELL("address",J207), "\$([A-Z]+)\$[0-9]+"))</f>
        <v/>
      </c>
      <c r="K207" s="7" t="str" cm="1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7" t="str" cm="1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7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7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7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7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 cm="1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7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7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7" t="str" cm="1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7" t="str" cm="1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  <c r="Z207" s="7" t="str" cm="1">
        <f t="array" aca="1" ref="Z207" ca="1">IFERROR(IF(OR('Raw Data'!Z207="",LEN(TRIM('Raw Data'!Z207))=0),"",IF(AND(ISNUMBER('Raw Data'!Z207), IFERROR('Raw Data'!Z207 = ROUND('Raw Data'!Z207, 2),FALSE)),"",_xlfn.REGEXEXTRACT(CELL("address",Z207), "\$([A-Z]+)\$[0-9]+"))),_xlfn.REGEXEXTRACT(CELL("address",Z207), "\$([A-Z]+)\$[0-9]+"))</f>
        <v/>
      </c>
      <c r="AA207" s="7" t="str" cm="1">
        <f t="array" aca="1" ref="AA207" ca="1">IFERROR(IF(OR('Raw Data'!AA207="",LEN(TRIM('Raw Data'!AA207))=0),"",IF(AND(ISNUMBER('Raw Data'!AA207), IFERROR('Raw Data'!AA207 = ROUND('Raw Data'!AA207, 2),FALSE)),"",_xlfn.REGEXEXTRACT(CELL("address",AA207), "\$([A-Z]+)\$[0-9]+"))),_xlfn.REGEXEXTRACT(CELL("address",AA207), "\$([A-Z]+)\$[0-9]+"))</f>
        <v/>
      </c>
      <c r="AB207" s="7" t="str" cm="1">
        <f t="array" aca="1" ref="AB207" ca="1">IFERROR(IF(OR('Raw Data'!AB207="",LEN(TRIM('Raw Data'!AB207))=0),"",IF(AND(ISNUMBER('Raw Data'!AB207), IFERROR('Raw Data'!AB207 = ROUND('Raw Data'!AB207, 2),FALSE)),"",_xlfn.REGEXEXTRACT(CELL("address",AB207), "\$([A-Z]+)\$[0-9]+"))),_xlfn.REGEXEXTRACT(CELL("address",AB207), "\$([A-Z]+)\$[0-9]+"))</f>
        <v/>
      </c>
      <c r="AC207" s="7" t="str" cm="1">
        <f t="array" aca="1" ref="AC207" ca="1">IFERROR(IF(OR('Raw Data'!AC207="",LEN(TRIM('Raw Data'!AC207))=0),"",IF(AND(ISNUMBER('Raw Data'!AC207), IFERROR('Raw Data'!AC207 = ROUND('Raw Data'!AC207, 2),FALSE)),"",_xlfn.REGEXEXTRACT(CELL("address",AC207), "\$([A-Z]+)\$[0-9]+"))),_xlfn.REGEXEXTRACT(CELL("address",AC207), "\$([A-Z]+)\$[0-9]+"))</f>
        <v/>
      </c>
      <c r="AD207" s="7" t="str" cm="1">
        <f t="array" aca="1" ref="AD207" ca="1">IFERROR(IF(OR('Raw Data'!AD207="",LEN(TRIM('Raw Data'!AD207))=0),"",IF(AND(ISNUMBER('Raw Data'!AD207), IFERROR('Raw Data'!AD207 = ROUND('Raw Data'!AD207, 2),FALSE)),"",_xlfn.REGEXEXTRACT(CELL("address",AD207), "\$([A-Z]+)\$[0-9]+"))),_xlfn.REGEXEXTRACT(CELL("address",AD207), "\$([A-Z]+)\$[0-9]+"))</f>
        <v/>
      </c>
      <c r="AE207" s="7" t="str" cm="1">
        <f t="array" aca="1" ref="AE207" ca="1">IFERROR(IF(OR('Raw Data'!AE207="",LEN(TRIM('Raw Data'!AE207))=0),"",IF(AND(ISNUMBER('Raw Data'!AE207), IFERROR('Raw Data'!AE207 = ROUND('Raw Data'!AE207, 2),FALSE)),"",_xlfn.REGEXEXTRACT(CELL("address",AE207), "\$([A-Z]+)\$[0-9]+"))),_xlfn.REGEXEXTRACT(CELL("address",AE207), "\$([A-Z]+)\$[0-9]+"))</f>
        <v/>
      </c>
      <c r="AF207" s="7" t="str" cm="1">
        <f t="array" aca="1" ref="AF207" ca="1">IFERROR(IF(OR('Raw Data'!AF207="",LEN(TRIM('Raw Data'!AF207))=0),"",IF(AND(ISNUMBER('Raw Data'!AF207), IFERROR('Raw Data'!AF207 = ROUND('Raw Data'!AF207, 2),FALSE)),"",_xlfn.REGEXEXTRACT(CELL("address",AF207), "\$([A-Z]+)\$[0-9]+"))),_xlfn.REGEXEXTRACT(CELL("address",AF207), "\$([A-Z]+)\$[0-9]+"))</f>
        <v/>
      </c>
      <c r="AG207" s="7" t="str" cm="1">
        <f t="array" aca="1" ref="AG207" ca="1">IFERROR(IF(OR('Raw Data'!AG207="",LEN(TRIM('Raw Data'!AG207))=0),"",IF(AND(ISNUMBER('Raw Data'!AG207), IFERROR('Raw Data'!AG207 = ROUND('Raw Data'!AG207, 2),FALSE)),"",_xlfn.REGEXEXTRACT(CELL("address",AG207), "\$([A-Z]+)\$[0-9]+"))),_xlfn.REGEXEXTRACT(CELL("address",AG207), "\$([A-Z]+)\$[0-9]+"))</f>
        <v/>
      </c>
      <c r="AH207" s="7" t="str" cm="1">
        <f t="array" aca="1" ref="AH207" ca="1">IFERROR(IF(OR('Raw Data'!AH207="",LEN(TRIM('Raw Data'!AH207))=0),"",IF(AND(ISNUMBER('Raw Data'!AH207), IFERROR('Raw Data'!AH207 = ROUND('Raw Data'!AH207, 2),FALSE)),"",_xlfn.REGEXEXTRACT(CELL("address",AH207), "\$([A-Z]+)\$[0-9]+"))),_xlfn.REGEXEXTRACT(CELL("address",AH207), "\$([A-Z]+)\$[0-9]+"))</f>
        <v/>
      </c>
      <c r="AI207" s="7" t="str" cm="1">
        <f t="array" aca="1" ref="AI207" ca="1">IFERROR(IF(OR('Raw Data'!AI207="",LEN(TRIM('Raw Data'!AI207))=0),"",IF(AND(ISNUMBER('Raw Data'!AI207), IFERROR('Raw Data'!AI207 = ROUND('Raw Data'!AI207, 2),FALSE)),"",_xlfn.REGEXEXTRACT(CELL("address",AI207), "\$([A-Z]+)\$[0-9]+"))),_xlfn.REGEXEXTRACT(CELL("address",AI207), "\$([A-Z]+)\$[0-9]+"))</f>
        <v/>
      </c>
      <c r="AJ207" s="7" t="str" cm="1">
        <f t="array" aca="1" ref="AJ207" ca="1">IFERROR(IF(OR('Raw Data'!AJ207="",LEN(TRIM('Raw Data'!AJ207))=0),"",IF(AND(ISNUMBER('Raw Data'!AJ207), IFERROR('Raw Data'!AJ207 = ROUND('Raw Data'!AJ207, 2),FALSE)),"",_xlfn.REGEXEXTRACT(CELL("address",AJ207), "\$([A-Z]+)\$[0-9]+"))),_xlfn.REGEXEXTRACT(CELL("address",AJ207), "\$([A-Z]+)\$[0-9]+"))</f>
        <v/>
      </c>
    </row>
    <row r="208" spans="2:36" x14ac:dyDescent="0.25">
      <c r="B208" s="7" t="str" cm="1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20,LEN('Raw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Data'!D208))=0),"",IF(AND(ISNUMBER('Raw Data'!D208),'Raw Data'!D208&gt;=Configuration!$D$2),"",_xlfn.REGEXEXTRACT(CELL("address",'Raw Data'!D208),"\$([A-Z]+)\$[0-9]+"))),_xlfn.REGEXEXTRACT(CELL("address",D208), "\$([A-Z]+)\$[0-9]+"))</f>
        <v/>
      </c>
      <c r="E208" s="7" t="str" cm="1">
        <f t="array" aca="1" ref="E208" ca="1">IFERROR(IF(OR('Raw Data'!E208="",LEN(TRIM('Raw Data'!E208))=0),"",IF(AND(ISNUMBER('Raw Data'!E208), IFERROR('Raw Data'!E208 = ROUND('Raw Data'!E208, 2),FALSE)),"",_xlfn.REGEXEXTRACT(CELL("address",E208), "\$([A-Z]+)\$[0-9]+"))),_xlfn.REGEXEXTRACT(CELL("address",E208), "\$([A-Z]+)\$[0-9]+"))</f>
        <v/>
      </c>
      <c r="F208" s="7" t="str" cm="1">
        <f t="array" aca="1" ref="F208" ca="1">IFERROR(IF(OR('Raw Data'!F208="",LEN(TRIM('Raw Data'!F208))=0),"",IF(AND(ISNUMBER('Raw Data'!F208), IFERROR('Raw Data'!F208 = ROUND('Raw Data'!F208, 2),FALSE)),"",_xlfn.REGEXEXTRACT(CELL("address",F208), "\$([A-Z]+)\$[0-9]+"))),_xlfn.REGEXEXTRACT(CELL("address",F208), "\$([A-Z]+)\$[0-9]+"))</f>
        <v/>
      </c>
      <c r="G208" s="7" t="str" cm="1">
        <f t="array" aca="1" ref="G208" ca="1">IFERROR(IF(OR('Raw Data'!G208="",LEN(TRIM('Raw Data'!G208))=0),"",IF(AND(ISNUMBER('Raw Data'!G208), IFERROR('Raw Data'!G208 = ROUND('Raw Data'!G208, 2),FALSE)),"",_xlfn.REGEXEXTRACT(CELL("address",G208), "\$([A-Z]+)\$[0-9]+"))),_xlfn.REGEXEXTRACT(CELL("address",G208), "\$([A-Z]+)\$[0-9]+"))</f>
        <v/>
      </c>
      <c r="H208" s="7" t="str" cm="1">
        <f t="array" aca="1" ref="H208" ca="1">IFERROR(IF(OR('Raw Data'!H208="",LEN(TRIM('Raw Data'!H208))=0),"",IF(AND(ISNUMBER('Raw Data'!H208), IFERROR('Raw Data'!H208 = ROUND('Raw Data'!H208, 2),FALSE)),"",_xlfn.REGEXEXTRACT(CELL("address",H208), "\$([A-Z]+)\$[0-9]+"))),_xlfn.REGEXEXTRACT(CELL("address",H208), "\$([A-Z]+)\$[0-9]+"))</f>
        <v/>
      </c>
      <c r="I208" s="7" t="str" cm="1">
        <f t="array" aca="1" ref="I208" ca="1">IFERROR(IF(OR('Raw Data'!I208="",LEN(TRIM('Raw Data'!I208))=0),"",IF(AND(ISNUMBER('Raw Data'!I208), IFERROR('Raw Data'!I208 = ROUND('Raw Data'!I208, 2),FALSE)),"",_xlfn.REGEXEXTRACT(CELL("address",I208), "\$([A-Z]+)\$[0-9]+"))),_xlfn.REGEXEXTRACT(CELL("address",I208), "\$([A-Z]+)\$[0-9]+"))</f>
        <v/>
      </c>
      <c r="J208" s="7" t="str" cm="1">
        <f t="array" aca="1" ref="J208" ca="1">IFERROR(IF(OR('Raw Data'!J208="",LEN(TRIM('Raw Data'!J208))=0),"",IF(AND(ISNUMBER('Raw Data'!J208), IFERROR('Raw Data'!J208 = ROUND('Raw Data'!J208, 2),FALSE)),"",_xlfn.REGEXEXTRACT(CELL("address",J208), "\$([A-Z]+)\$[0-9]+"))),_xlfn.REGEXEXTRACT(CELL("address",J208), "\$([A-Z]+)\$[0-9]+"))</f>
        <v/>
      </c>
      <c r="K208" s="7" t="str" cm="1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7" t="str" cm="1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7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7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7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7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 cm="1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7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7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7" t="str" cm="1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7" t="str" cm="1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  <c r="Z208" s="7" t="str" cm="1">
        <f t="array" aca="1" ref="Z208" ca="1">IFERROR(IF(OR('Raw Data'!Z208="",LEN(TRIM('Raw Data'!Z208))=0),"",IF(AND(ISNUMBER('Raw Data'!Z208), IFERROR('Raw Data'!Z208 = ROUND('Raw Data'!Z208, 2),FALSE)),"",_xlfn.REGEXEXTRACT(CELL("address",Z208), "\$([A-Z]+)\$[0-9]+"))),_xlfn.REGEXEXTRACT(CELL("address",Z208), "\$([A-Z]+)\$[0-9]+"))</f>
        <v/>
      </c>
      <c r="AA208" s="7" t="str" cm="1">
        <f t="array" aca="1" ref="AA208" ca="1">IFERROR(IF(OR('Raw Data'!AA208="",LEN(TRIM('Raw Data'!AA208))=0),"",IF(AND(ISNUMBER('Raw Data'!AA208), IFERROR('Raw Data'!AA208 = ROUND('Raw Data'!AA208, 2),FALSE)),"",_xlfn.REGEXEXTRACT(CELL("address",AA208), "\$([A-Z]+)\$[0-9]+"))),_xlfn.REGEXEXTRACT(CELL("address",AA208), "\$([A-Z]+)\$[0-9]+"))</f>
        <v/>
      </c>
      <c r="AB208" s="7" t="str" cm="1">
        <f t="array" aca="1" ref="AB208" ca="1">IFERROR(IF(OR('Raw Data'!AB208="",LEN(TRIM('Raw Data'!AB208))=0),"",IF(AND(ISNUMBER('Raw Data'!AB208), IFERROR('Raw Data'!AB208 = ROUND('Raw Data'!AB208, 2),FALSE)),"",_xlfn.REGEXEXTRACT(CELL("address",AB208), "\$([A-Z]+)\$[0-9]+"))),_xlfn.REGEXEXTRACT(CELL("address",AB208), "\$([A-Z]+)\$[0-9]+"))</f>
        <v/>
      </c>
      <c r="AC208" s="7" t="str" cm="1">
        <f t="array" aca="1" ref="AC208" ca="1">IFERROR(IF(OR('Raw Data'!AC208="",LEN(TRIM('Raw Data'!AC208))=0),"",IF(AND(ISNUMBER('Raw Data'!AC208), IFERROR('Raw Data'!AC208 = ROUND('Raw Data'!AC208, 2),FALSE)),"",_xlfn.REGEXEXTRACT(CELL("address",AC208), "\$([A-Z]+)\$[0-9]+"))),_xlfn.REGEXEXTRACT(CELL("address",AC208), "\$([A-Z]+)\$[0-9]+"))</f>
        <v/>
      </c>
      <c r="AD208" s="7" t="str" cm="1">
        <f t="array" aca="1" ref="AD208" ca="1">IFERROR(IF(OR('Raw Data'!AD208="",LEN(TRIM('Raw Data'!AD208))=0),"",IF(AND(ISNUMBER('Raw Data'!AD208), IFERROR('Raw Data'!AD208 = ROUND('Raw Data'!AD208, 2),FALSE)),"",_xlfn.REGEXEXTRACT(CELL("address",AD208), "\$([A-Z]+)\$[0-9]+"))),_xlfn.REGEXEXTRACT(CELL("address",AD208), "\$([A-Z]+)\$[0-9]+"))</f>
        <v/>
      </c>
      <c r="AE208" s="7" t="str" cm="1">
        <f t="array" aca="1" ref="AE208" ca="1">IFERROR(IF(OR('Raw Data'!AE208="",LEN(TRIM('Raw Data'!AE208))=0),"",IF(AND(ISNUMBER('Raw Data'!AE208), IFERROR('Raw Data'!AE208 = ROUND('Raw Data'!AE208, 2),FALSE)),"",_xlfn.REGEXEXTRACT(CELL("address",AE208), "\$([A-Z]+)\$[0-9]+"))),_xlfn.REGEXEXTRACT(CELL("address",AE208), "\$([A-Z]+)\$[0-9]+"))</f>
        <v/>
      </c>
      <c r="AF208" s="7" t="str" cm="1">
        <f t="array" aca="1" ref="AF208" ca="1">IFERROR(IF(OR('Raw Data'!AF208="",LEN(TRIM('Raw Data'!AF208))=0),"",IF(AND(ISNUMBER('Raw Data'!AF208), IFERROR('Raw Data'!AF208 = ROUND('Raw Data'!AF208, 2),FALSE)),"",_xlfn.REGEXEXTRACT(CELL("address",AF208), "\$([A-Z]+)\$[0-9]+"))),_xlfn.REGEXEXTRACT(CELL("address",AF208), "\$([A-Z]+)\$[0-9]+"))</f>
        <v/>
      </c>
      <c r="AG208" s="7" t="str" cm="1">
        <f t="array" aca="1" ref="AG208" ca="1">IFERROR(IF(OR('Raw Data'!AG208="",LEN(TRIM('Raw Data'!AG208))=0),"",IF(AND(ISNUMBER('Raw Data'!AG208), IFERROR('Raw Data'!AG208 = ROUND('Raw Data'!AG208, 2),FALSE)),"",_xlfn.REGEXEXTRACT(CELL("address",AG208), "\$([A-Z]+)\$[0-9]+"))),_xlfn.REGEXEXTRACT(CELL("address",AG208), "\$([A-Z]+)\$[0-9]+"))</f>
        <v/>
      </c>
      <c r="AH208" s="7" t="str" cm="1">
        <f t="array" aca="1" ref="AH208" ca="1">IFERROR(IF(OR('Raw Data'!AH208="",LEN(TRIM('Raw Data'!AH208))=0),"",IF(AND(ISNUMBER('Raw Data'!AH208), IFERROR('Raw Data'!AH208 = ROUND('Raw Data'!AH208, 2),FALSE)),"",_xlfn.REGEXEXTRACT(CELL("address",AH208), "\$([A-Z]+)\$[0-9]+"))),_xlfn.REGEXEXTRACT(CELL("address",AH208), "\$([A-Z]+)\$[0-9]+"))</f>
        <v/>
      </c>
      <c r="AI208" s="7" t="str" cm="1">
        <f t="array" aca="1" ref="AI208" ca="1">IFERROR(IF(OR('Raw Data'!AI208="",LEN(TRIM('Raw Data'!AI208))=0),"",IF(AND(ISNUMBER('Raw Data'!AI208), IFERROR('Raw Data'!AI208 = ROUND('Raw Data'!AI208, 2),FALSE)),"",_xlfn.REGEXEXTRACT(CELL("address",AI208), "\$([A-Z]+)\$[0-9]+"))),_xlfn.REGEXEXTRACT(CELL("address",AI208), "\$([A-Z]+)\$[0-9]+"))</f>
        <v/>
      </c>
      <c r="AJ208" s="7" t="str" cm="1">
        <f t="array" aca="1" ref="AJ208" ca="1">IFERROR(IF(OR('Raw Data'!AJ208="",LEN(TRIM('Raw Data'!AJ208))=0),"",IF(AND(ISNUMBER('Raw Data'!AJ208), IFERROR('Raw Data'!AJ208 = ROUND('Raw Data'!AJ208, 2),FALSE)),"",_xlfn.REGEXEXTRACT(CELL("address",AJ208), "\$([A-Z]+)\$[0-9]+"))),_xlfn.REGEXEXTRACT(CELL("address",AJ208), "\$([A-Z]+)\$[0-9]+"))</f>
        <v/>
      </c>
    </row>
    <row r="209" spans="2:36" x14ac:dyDescent="0.25">
      <c r="B209" s="7" t="str" cm="1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20,LEN('Raw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Data'!D209))=0),"",IF(AND(ISNUMBER('Raw Data'!D209),'Raw Data'!D209&gt;=Configuration!$D$2),"",_xlfn.REGEXEXTRACT(CELL("address",'Raw Data'!D209),"\$([A-Z]+)\$[0-9]+"))),_xlfn.REGEXEXTRACT(CELL("address",D209), "\$([A-Z]+)\$[0-9]+"))</f>
        <v/>
      </c>
      <c r="E209" s="7" t="str" cm="1">
        <f t="array" aca="1" ref="E209" ca="1">IFERROR(IF(OR('Raw Data'!E209="",LEN(TRIM('Raw Data'!E209))=0),"",IF(AND(ISNUMBER('Raw Data'!E209), IFERROR('Raw Data'!E209 = ROUND('Raw Data'!E209, 2),FALSE)),"",_xlfn.REGEXEXTRACT(CELL("address",E209), "\$([A-Z]+)\$[0-9]+"))),_xlfn.REGEXEXTRACT(CELL("address",E209), "\$([A-Z]+)\$[0-9]+"))</f>
        <v/>
      </c>
      <c r="F209" s="7" t="str" cm="1">
        <f t="array" aca="1" ref="F209" ca="1">IFERROR(IF(OR('Raw Data'!F209="",LEN(TRIM('Raw Data'!F209))=0),"",IF(AND(ISNUMBER('Raw Data'!F209), IFERROR('Raw Data'!F209 = ROUND('Raw Data'!F209, 2),FALSE)),"",_xlfn.REGEXEXTRACT(CELL("address",F209), "\$([A-Z]+)\$[0-9]+"))),_xlfn.REGEXEXTRACT(CELL("address",F209), "\$([A-Z]+)\$[0-9]+"))</f>
        <v/>
      </c>
      <c r="G209" s="7" t="str" cm="1">
        <f t="array" aca="1" ref="G209" ca="1">IFERROR(IF(OR('Raw Data'!G209="",LEN(TRIM('Raw Data'!G209))=0),"",IF(AND(ISNUMBER('Raw Data'!G209), IFERROR('Raw Data'!G209 = ROUND('Raw Data'!G209, 2),FALSE)),"",_xlfn.REGEXEXTRACT(CELL("address",G209), "\$([A-Z]+)\$[0-9]+"))),_xlfn.REGEXEXTRACT(CELL("address",G209), "\$([A-Z]+)\$[0-9]+"))</f>
        <v/>
      </c>
      <c r="H209" s="7" t="str" cm="1">
        <f t="array" aca="1" ref="H209" ca="1">IFERROR(IF(OR('Raw Data'!H209="",LEN(TRIM('Raw Data'!H209))=0),"",IF(AND(ISNUMBER('Raw Data'!H209), IFERROR('Raw Data'!H209 = ROUND('Raw Data'!H209, 2),FALSE)),"",_xlfn.REGEXEXTRACT(CELL("address",H209), "\$([A-Z]+)\$[0-9]+"))),_xlfn.REGEXEXTRACT(CELL("address",H209), "\$([A-Z]+)\$[0-9]+"))</f>
        <v/>
      </c>
      <c r="I209" s="7" t="str" cm="1">
        <f t="array" aca="1" ref="I209" ca="1">IFERROR(IF(OR('Raw Data'!I209="",LEN(TRIM('Raw Data'!I209))=0),"",IF(AND(ISNUMBER('Raw Data'!I209), IFERROR('Raw Data'!I209 = ROUND('Raw Data'!I209, 2),FALSE)),"",_xlfn.REGEXEXTRACT(CELL("address",I209), "\$([A-Z]+)\$[0-9]+"))),_xlfn.REGEXEXTRACT(CELL("address",I209), "\$([A-Z]+)\$[0-9]+"))</f>
        <v/>
      </c>
      <c r="J209" s="7" t="str" cm="1">
        <f t="array" aca="1" ref="J209" ca="1">IFERROR(IF(OR('Raw Data'!J209="",LEN(TRIM('Raw Data'!J209))=0),"",IF(AND(ISNUMBER('Raw Data'!J209), IFERROR('Raw Data'!J209 = ROUND('Raw Data'!J209, 2),FALSE)),"",_xlfn.REGEXEXTRACT(CELL("address",J209), "\$([A-Z]+)\$[0-9]+"))),_xlfn.REGEXEXTRACT(CELL("address",J209), "\$([A-Z]+)\$[0-9]+"))</f>
        <v/>
      </c>
      <c r="K209" s="7" t="str" cm="1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7" t="str" cm="1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7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7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7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7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 cm="1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7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7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7" t="str" cm="1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7" t="str" cm="1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  <c r="Z209" s="7" t="str" cm="1">
        <f t="array" aca="1" ref="Z209" ca="1">IFERROR(IF(OR('Raw Data'!Z209="",LEN(TRIM('Raw Data'!Z209))=0),"",IF(AND(ISNUMBER('Raw Data'!Z209), IFERROR('Raw Data'!Z209 = ROUND('Raw Data'!Z209, 2),FALSE)),"",_xlfn.REGEXEXTRACT(CELL("address",Z209), "\$([A-Z]+)\$[0-9]+"))),_xlfn.REGEXEXTRACT(CELL("address",Z209), "\$([A-Z]+)\$[0-9]+"))</f>
        <v/>
      </c>
      <c r="AA209" s="7" t="str" cm="1">
        <f t="array" aca="1" ref="AA209" ca="1">IFERROR(IF(OR('Raw Data'!AA209="",LEN(TRIM('Raw Data'!AA209))=0),"",IF(AND(ISNUMBER('Raw Data'!AA209), IFERROR('Raw Data'!AA209 = ROUND('Raw Data'!AA209, 2),FALSE)),"",_xlfn.REGEXEXTRACT(CELL("address",AA209), "\$([A-Z]+)\$[0-9]+"))),_xlfn.REGEXEXTRACT(CELL("address",AA209), "\$([A-Z]+)\$[0-9]+"))</f>
        <v/>
      </c>
      <c r="AB209" s="7" t="str" cm="1">
        <f t="array" aca="1" ref="AB209" ca="1">IFERROR(IF(OR('Raw Data'!AB209="",LEN(TRIM('Raw Data'!AB209))=0),"",IF(AND(ISNUMBER('Raw Data'!AB209), IFERROR('Raw Data'!AB209 = ROUND('Raw Data'!AB209, 2),FALSE)),"",_xlfn.REGEXEXTRACT(CELL("address",AB209), "\$([A-Z]+)\$[0-9]+"))),_xlfn.REGEXEXTRACT(CELL("address",AB209), "\$([A-Z]+)\$[0-9]+"))</f>
        <v/>
      </c>
      <c r="AC209" s="7" t="str" cm="1">
        <f t="array" aca="1" ref="AC209" ca="1">IFERROR(IF(OR('Raw Data'!AC209="",LEN(TRIM('Raw Data'!AC209))=0),"",IF(AND(ISNUMBER('Raw Data'!AC209), IFERROR('Raw Data'!AC209 = ROUND('Raw Data'!AC209, 2),FALSE)),"",_xlfn.REGEXEXTRACT(CELL("address",AC209), "\$([A-Z]+)\$[0-9]+"))),_xlfn.REGEXEXTRACT(CELL("address",AC209), "\$([A-Z]+)\$[0-9]+"))</f>
        <v/>
      </c>
      <c r="AD209" s="7" t="str" cm="1">
        <f t="array" aca="1" ref="AD209" ca="1">IFERROR(IF(OR('Raw Data'!AD209="",LEN(TRIM('Raw Data'!AD209))=0),"",IF(AND(ISNUMBER('Raw Data'!AD209), IFERROR('Raw Data'!AD209 = ROUND('Raw Data'!AD209, 2),FALSE)),"",_xlfn.REGEXEXTRACT(CELL("address",AD209), "\$([A-Z]+)\$[0-9]+"))),_xlfn.REGEXEXTRACT(CELL("address",AD209), "\$([A-Z]+)\$[0-9]+"))</f>
        <v/>
      </c>
      <c r="AE209" s="7" t="str" cm="1">
        <f t="array" aca="1" ref="AE209" ca="1">IFERROR(IF(OR('Raw Data'!AE209="",LEN(TRIM('Raw Data'!AE209))=0),"",IF(AND(ISNUMBER('Raw Data'!AE209), IFERROR('Raw Data'!AE209 = ROUND('Raw Data'!AE209, 2),FALSE)),"",_xlfn.REGEXEXTRACT(CELL("address",AE209), "\$([A-Z]+)\$[0-9]+"))),_xlfn.REGEXEXTRACT(CELL("address",AE209), "\$([A-Z]+)\$[0-9]+"))</f>
        <v/>
      </c>
      <c r="AF209" s="7" t="str" cm="1">
        <f t="array" aca="1" ref="AF209" ca="1">IFERROR(IF(OR('Raw Data'!AF209="",LEN(TRIM('Raw Data'!AF209))=0),"",IF(AND(ISNUMBER('Raw Data'!AF209), IFERROR('Raw Data'!AF209 = ROUND('Raw Data'!AF209, 2),FALSE)),"",_xlfn.REGEXEXTRACT(CELL("address",AF209), "\$([A-Z]+)\$[0-9]+"))),_xlfn.REGEXEXTRACT(CELL("address",AF209), "\$([A-Z]+)\$[0-9]+"))</f>
        <v/>
      </c>
      <c r="AG209" s="7" t="str" cm="1">
        <f t="array" aca="1" ref="AG209" ca="1">IFERROR(IF(OR('Raw Data'!AG209="",LEN(TRIM('Raw Data'!AG209))=0),"",IF(AND(ISNUMBER('Raw Data'!AG209), IFERROR('Raw Data'!AG209 = ROUND('Raw Data'!AG209, 2),FALSE)),"",_xlfn.REGEXEXTRACT(CELL("address",AG209), "\$([A-Z]+)\$[0-9]+"))),_xlfn.REGEXEXTRACT(CELL("address",AG209), "\$([A-Z]+)\$[0-9]+"))</f>
        <v/>
      </c>
      <c r="AH209" s="7" t="str" cm="1">
        <f t="array" aca="1" ref="AH209" ca="1">IFERROR(IF(OR('Raw Data'!AH209="",LEN(TRIM('Raw Data'!AH209))=0),"",IF(AND(ISNUMBER('Raw Data'!AH209), IFERROR('Raw Data'!AH209 = ROUND('Raw Data'!AH209, 2),FALSE)),"",_xlfn.REGEXEXTRACT(CELL("address",AH209), "\$([A-Z]+)\$[0-9]+"))),_xlfn.REGEXEXTRACT(CELL("address",AH209), "\$([A-Z]+)\$[0-9]+"))</f>
        <v/>
      </c>
      <c r="AI209" s="7" t="str" cm="1">
        <f t="array" aca="1" ref="AI209" ca="1">IFERROR(IF(OR('Raw Data'!AI209="",LEN(TRIM('Raw Data'!AI209))=0),"",IF(AND(ISNUMBER('Raw Data'!AI209), IFERROR('Raw Data'!AI209 = ROUND('Raw Data'!AI209, 2),FALSE)),"",_xlfn.REGEXEXTRACT(CELL("address",AI209), "\$([A-Z]+)\$[0-9]+"))),_xlfn.REGEXEXTRACT(CELL("address",AI209), "\$([A-Z]+)\$[0-9]+"))</f>
        <v/>
      </c>
      <c r="AJ209" s="7" t="str" cm="1">
        <f t="array" aca="1" ref="AJ209" ca="1">IFERROR(IF(OR('Raw Data'!AJ209="",LEN(TRIM('Raw Data'!AJ209))=0),"",IF(AND(ISNUMBER('Raw Data'!AJ209), IFERROR('Raw Data'!AJ209 = ROUND('Raw Data'!AJ209, 2),FALSE)),"",_xlfn.REGEXEXTRACT(CELL("address",AJ209), "\$([A-Z]+)\$[0-9]+"))),_xlfn.REGEXEXTRACT(CELL("address",AJ209), "\$([A-Z]+)\$[0-9]+"))</f>
        <v/>
      </c>
    </row>
    <row r="210" spans="2:36" x14ac:dyDescent="0.25">
      <c r="B210" s="7" t="str" cm="1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20,LEN('Raw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Data'!D210))=0),"",IF(AND(ISNUMBER('Raw Data'!D210),'Raw Data'!D210&gt;=Configuration!$D$2),"",_xlfn.REGEXEXTRACT(CELL("address",'Raw Data'!D210),"\$([A-Z]+)\$[0-9]+"))),_xlfn.REGEXEXTRACT(CELL("address",D210), "\$([A-Z]+)\$[0-9]+"))</f>
        <v/>
      </c>
      <c r="E210" s="7" t="str" cm="1">
        <f t="array" aca="1" ref="E210" ca="1">IFERROR(IF(OR('Raw Data'!E210="",LEN(TRIM('Raw Data'!E210))=0),"",IF(AND(ISNUMBER('Raw Data'!E210), IFERROR('Raw Data'!E210 = ROUND('Raw Data'!E210, 2),FALSE)),"",_xlfn.REGEXEXTRACT(CELL("address",E210), "\$([A-Z]+)\$[0-9]+"))),_xlfn.REGEXEXTRACT(CELL("address",E210), "\$([A-Z]+)\$[0-9]+"))</f>
        <v/>
      </c>
      <c r="F210" s="7" t="str" cm="1">
        <f t="array" aca="1" ref="F210" ca="1">IFERROR(IF(OR('Raw Data'!F210="",LEN(TRIM('Raw Data'!F210))=0),"",IF(AND(ISNUMBER('Raw Data'!F210), IFERROR('Raw Data'!F210 = ROUND('Raw Data'!F210, 2),FALSE)),"",_xlfn.REGEXEXTRACT(CELL("address",F210), "\$([A-Z]+)\$[0-9]+"))),_xlfn.REGEXEXTRACT(CELL("address",F210), "\$([A-Z]+)\$[0-9]+"))</f>
        <v/>
      </c>
      <c r="G210" s="7" t="str" cm="1">
        <f t="array" aca="1" ref="G210" ca="1">IFERROR(IF(OR('Raw Data'!G210="",LEN(TRIM('Raw Data'!G210))=0),"",IF(AND(ISNUMBER('Raw Data'!G210), IFERROR('Raw Data'!G210 = ROUND('Raw Data'!G210, 2),FALSE)),"",_xlfn.REGEXEXTRACT(CELL("address",G210), "\$([A-Z]+)\$[0-9]+"))),_xlfn.REGEXEXTRACT(CELL("address",G210), "\$([A-Z]+)\$[0-9]+"))</f>
        <v/>
      </c>
      <c r="H210" s="7" t="str" cm="1">
        <f t="array" aca="1" ref="H210" ca="1">IFERROR(IF(OR('Raw Data'!H210="",LEN(TRIM('Raw Data'!H210))=0),"",IF(AND(ISNUMBER('Raw Data'!H210), IFERROR('Raw Data'!H210 = ROUND('Raw Data'!H210, 2),FALSE)),"",_xlfn.REGEXEXTRACT(CELL("address",H210), "\$([A-Z]+)\$[0-9]+"))),_xlfn.REGEXEXTRACT(CELL("address",H210), "\$([A-Z]+)\$[0-9]+"))</f>
        <v/>
      </c>
      <c r="I210" s="7" t="str" cm="1">
        <f t="array" aca="1" ref="I210" ca="1">IFERROR(IF(OR('Raw Data'!I210="",LEN(TRIM('Raw Data'!I210))=0),"",IF(AND(ISNUMBER('Raw Data'!I210), IFERROR('Raw Data'!I210 = ROUND('Raw Data'!I210, 2),FALSE)),"",_xlfn.REGEXEXTRACT(CELL("address",I210), "\$([A-Z]+)\$[0-9]+"))),_xlfn.REGEXEXTRACT(CELL("address",I210), "\$([A-Z]+)\$[0-9]+"))</f>
        <v/>
      </c>
      <c r="J210" s="7" t="str" cm="1">
        <f t="array" aca="1" ref="J210" ca="1">IFERROR(IF(OR('Raw Data'!J210="",LEN(TRIM('Raw Data'!J210))=0),"",IF(AND(ISNUMBER('Raw Data'!J210), IFERROR('Raw Data'!J210 = ROUND('Raw Data'!J210, 2),FALSE)),"",_xlfn.REGEXEXTRACT(CELL("address",J210), "\$([A-Z]+)\$[0-9]+"))),_xlfn.REGEXEXTRACT(CELL("address",J210), "\$([A-Z]+)\$[0-9]+"))</f>
        <v/>
      </c>
      <c r="K210" s="7" t="str" cm="1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7" t="str" cm="1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7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7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7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7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 cm="1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7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7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7" t="str" cm="1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7" t="str" cm="1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  <c r="Z210" s="7" t="str" cm="1">
        <f t="array" aca="1" ref="Z210" ca="1">IFERROR(IF(OR('Raw Data'!Z210="",LEN(TRIM('Raw Data'!Z210))=0),"",IF(AND(ISNUMBER('Raw Data'!Z210), IFERROR('Raw Data'!Z210 = ROUND('Raw Data'!Z210, 2),FALSE)),"",_xlfn.REGEXEXTRACT(CELL("address",Z210), "\$([A-Z]+)\$[0-9]+"))),_xlfn.REGEXEXTRACT(CELL("address",Z210), "\$([A-Z]+)\$[0-9]+"))</f>
        <v/>
      </c>
      <c r="AA210" s="7" t="str" cm="1">
        <f t="array" aca="1" ref="AA210" ca="1">IFERROR(IF(OR('Raw Data'!AA210="",LEN(TRIM('Raw Data'!AA210))=0),"",IF(AND(ISNUMBER('Raw Data'!AA210), IFERROR('Raw Data'!AA210 = ROUND('Raw Data'!AA210, 2),FALSE)),"",_xlfn.REGEXEXTRACT(CELL("address",AA210), "\$([A-Z]+)\$[0-9]+"))),_xlfn.REGEXEXTRACT(CELL("address",AA210), "\$([A-Z]+)\$[0-9]+"))</f>
        <v/>
      </c>
      <c r="AB210" s="7" t="str" cm="1">
        <f t="array" aca="1" ref="AB210" ca="1">IFERROR(IF(OR('Raw Data'!AB210="",LEN(TRIM('Raw Data'!AB210))=0),"",IF(AND(ISNUMBER('Raw Data'!AB210), IFERROR('Raw Data'!AB210 = ROUND('Raw Data'!AB210, 2),FALSE)),"",_xlfn.REGEXEXTRACT(CELL("address",AB210), "\$([A-Z]+)\$[0-9]+"))),_xlfn.REGEXEXTRACT(CELL("address",AB210), "\$([A-Z]+)\$[0-9]+"))</f>
        <v/>
      </c>
      <c r="AC210" s="7" t="str" cm="1">
        <f t="array" aca="1" ref="AC210" ca="1">IFERROR(IF(OR('Raw Data'!AC210="",LEN(TRIM('Raw Data'!AC210))=0),"",IF(AND(ISNUMBER('Raw Data'!AC210), IFERROR('Raw Data'!AC210 = ROUND('Raw Data'!AC210, 2),FALSE)),"",_xlfn.REGEXEXTRACT(CELL("address",AC210), "\$([A-Z]+)\$[0-9]+"))),_xlfn.REGEXEXTRACT(CELL("address",AC210), "\$([A-Z]+)\$[0-9]+"))</f>
        <v/>
      </c>
      <c r="AD210" s="7" t="str" cm="1">
        <f t="array" aca="1" ref="AD210" ca="1">IFERROR(IF(OR('Raw Data'!AD210="",LEN(TRIM('Raw Data'!AD210))=0),"",IF(AND(ISNUMBER('Raw Data'!AD210), IFERROR('Raw Data'!AD210 = ROUND('Raw Data'!AD210, 2),FALSE)),"",_xlfn.REGEXEXTRACT(CELL("address",AD210), "\$([A-Z]+)\$[0-9]+"))),_xlfn.REGEXEXTRACT(CELL("address",AD210), "\$([A-Z]+)\$[0-9]+"))</f>
        <v/>
      </c>
      <c r="AE210" s="7" t="str" cm="1">
        <f t="array" aca="1" ref="AE210" ca="1">IFERROR(IF(OR('Raw Data'!AE210="",LEN(TRIM('Raw Data'!AE210))=0),"",IF(AND(ISNUMBER('Raw Data'!AE210), IFERROR('Raw Data'!AE210 = ROUND('Raw Data'!AE210, 2),FALSE)),"",_xlfn.REGEXEXTRACT(CELL("address",AE210), "\$([A-Z]+)\$[0-9]+"))),_xlfn.REGEXEXTRACT(CELL("address",AE210), "\$([A-Z]+)\$[0-9]+"))</f>
        <v/>
      </c>
      <c r="AF210" s="7" t="str" cm="1">
        <f t="array" aca="1" ref="AF210" ca="1">IFERROR(IF(OR('Raw Data'!AF210="",LEN(TRIM('Raw Data'!AF210))=0),"",IF(AND(ISNUMBER('Raw Data'!AF210), IFERROR('Raw Data'!AF210 = ROUND('Raw Data'!AF210, 2),FALSE)),"",_xlfn.REGEXEXTRACT(CELL("address",AF210), "\$([A-Z]+)\$[0-9]+"))),_xlfn.REGEXEXTRACT(CELL("address",AF210), "\$([A-Z]+)\$[0-9]+"))</f>
        <v/>
      </c>
      <c r="AG210" s="7" t="str" cm="1">
        <f t="array" aca="1" ref="AG210" ca="1">IFERROR(IF(OR('Raw Data'!AG210="",LEN(TRIM('Raw Data'!AG210))=0),"",IF(AND(ISNUMBER('Raw Data'!AG210), IFERROR('Raw Data'!AG210 = ROUND('Raw Data'!AG210, 2),FALSE)),"",_xlfn.REGEXEXTRACT(CELL("address",AG210), "\$([A-Z]+)\$[0-9]+"))),_xlfn.REGEXEXTRACT(CELL("address",AG210), "\$([A-Z]+)\$[0-9]+"))</f>
        <v/>
      </c>
      <c r="AH210" s="7" t="str" cm="1">
        <f t="array" aca="1" ref="AH210" ca="1">IFERROR(IF(OR('Raw Data'!AH210="",LEN(TRIM('Raw Data'!AH210))=0),"",IF(AND(ISNUMBER('Raw Data'!AH210), IFERROR('Raw Data'!AH210 = ROUND('Raw Data'!AH210, 2),FALSE)),"",_xlfn.REGEXEXTRACT(CELL("address",AH210), "\$([A-Z]+)\$[0-9]+"))),_xlfn.REGEXEXTRACT(CELL("address",AH210), "\$([A-Z]+)\$[0-9]+"))</f>
        <v/>
      </c>
      <c r="AI210" s="7" t="str" cm="1">
        <f t="array" aca="1" ref="AI210" ca="1">IFERROR(IF(OR('Raw Data'!AI210="",LEN(TRIM('Raw Data'!AI210))=0),"",IF(AND(ISNUMBER('Raw Data'!AI210), IFERROR('Raw Data'!AI210 = ROUND('Raw Data'!AI210, 2),FALSE)),"",_xlfn.REGEXEXTRACT(CELL("address",AI210), "\$([A-Z]+)\$[0-9]+"))),_xlfn.REGEXEXTRACT(CELL("address",AI210), "\$([A-Z]+)\$[0-9]+"))</f>
        <v/>
      </c>
      <c r="AJ210" s="7" t="str" cm="1">
        <f t="array" aca="1" ref="AJ210" ca="1">IFERROR(IF(OR('Raw Data'!AJ210="",LEN(TRIM('Raw Data'!AJ210))=0),"",IF(AND(ISNUMBER('Raw Data'!AJ210), IFERROR('Raw Data'!AJ210 = ROUND('Raw Data'!AJ210, 2),FALSE)),"",_xlfn.REGEXEXTRACT(CELL("address",AJ210), "\$([A-Z]+)\$[0-9]+"))),_xlfn.REGEXEXTRACT(CELL("address",AJ210), "\$([A-Z]+)\$[0-9]+"))</f>
        <v/>
      </c>
    </row>
    <row r="211" spans="2:36" x14ac:dyDescent="0.25">
      <c r="B211" s="7" t="str" cm="1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20,LEN('Raw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Data'!D211))=0),"",IF(AND(ISNUMBER('Raw Data'!D211),'Raw Data'!D211&gt;=Configuration!$D$2),"",_xlfn.REGEXEXTRACT(CELL("address",'Raw Data'!D211),"\$([A-Z]+)\$[0-9]+"))),_xlfn.REGEXEXTRACT(CELL("address",D211), "\$([A-Z]+)\$[0-9]+"))</f>
        <v/>
      </c>
      <c r="E211" s="7" t="str" cm="1">
        <f t="array" aca="1" ref="E211" ca="1">IFERROR(IF(OR('Raw Data'!E211="",LEN(TRIM('Raw Data'!E211))=0),"",IF(AND(ISNUMBER('Raw Data'!E211), IFERROR('Raw Data'!E211 = ROUND('Raw Data'!E211, 2),FALSE)),"",_xlfn.REGEXEXTRACT(CELL("address",E211), "\$([A-Z]+)\$[0-9]+"))),_xlfn.REGEXEXTRACT(CELL("address",E211), "\$([A-Z]+)\$[0-9]+"))</f>
        <v/>
      </c>
      <c r="F211" s="7" t="str" cm="1">
        <f t="array" aca="1" ref="F211" ca="1">IFERROR(IF(OR('Raw Data'!F211="",LEN(TRIM('Raw Data'!F211))=0),"",IF(AND(ISNUMBER('Raw Data'!F211), IFERROR('Raw Data'!F211 = ROUND('Raw Data'!F211, 2),FALSE)),"",_xlfn.REGEXEXTRACT(CELL("address",F211), "\$([A-Z]+)\$[0-9]+"))),_xlfn.REGEXEXTRACT(CELL("address",F211), "\$([A-Z]+)\$[0-9]+"))</f>
        <v/>
      </c>
      <c r="G211" s="7" t="str" cm="1">
        <f t="array" aca="1" ref="G211" ca="1">IFERROR(IF(OR('Raw Data'!G211="",LEN(TRIM('Raw Data'!G211))=0),"",IF(AND(ISNUMBER('Raw Data'!G211), IFERROR('Raw Data'!G211 = ROUND('Raw Data'!G211, 2),FALSE)),"",_xlfn.REGEXEXTRACT(CELL("address",G211), "\$([A-Z]+)\$[0-9]+"))),_xlfn.REGEXEXTRACT(CELL("address",G211), "\$([A-Z]+)\$[0-9]+"))</f>
        <v/>
      </c>
      <c r="H211" s="7" t="str" cm="1">
        <f t="array" aca="1" ref="H211" ca="1">IFERROR(IF(OR('Raw Data'!H211="",LEN(TRIM('Raw Data'!H211))=0),"",IF(AND(ISNUMBER('Raw Data'!H211), IFERROR('Raw Data'!H211 = ROUND('Raw Data'!H211, 2),FALSE)),"",_xlfn.REGEXEXTRACT(CELL("address",H211), "\$([A-Z]+)\$[0-9]+"))),_xlfn.REGEXEXTRACT(CELL("address",H211), "\$([A-Z]+)\$[0-9]+"))</f>
        <v/>
      </c>
      <c r="I211" s="7" t="str" cm="1">
        <f t="array" aca="1" ref="I211" ca="1">IFERROR(IF(OR('Raw Data'!I211="",LEN(TRIM('Raw Data'!I211))=0),"",IF(AND(ISNUMBER('Raw Data'!I211), IFERROR('Raw Data'!I211 = ROUND('Raw Data'!I211, 2),FALSE)),"",_xlfn.REGEXEXTRACT(CELL("address",I211), "\$([A-Z]+)\$[0-9]+"))),_xlfn.REGEXEXTRACT(CELL("address",I211), "\$([A-Z]+)\$[0-9]+"))</f>
        <v/>
      </c>
      <c r="J211" s="7" t="str" cm="1">
        <f t="array" aca="1" ref="J211" ca="1">IFERROR(IF(OR('Raw Data'!J211="",LEN(TRIM('Raw Data'!J211))=0),"",IF(AND(ISNUMBER('Raw Data'!J211), IFERROR('Raw Data'!J211 = ROUND('Raw Data'!J211, 2),FALSE)),"",_xlfn.REGEXEXTRACT(CELL("address",J211), "\$([A-Z]+)\$[0-9]+"))),_xlfn.REGEXEXTRACT(CELL("address",J211), "\$([A-Z]+)\$[0-9]+"))</f>
        <v/>
      </c>
      <c r="K211" s="7" t="str" cm="1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7" t="str" cm="1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7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7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7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7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 cm="1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7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7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7" t="str" cm="1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7" t="str" cm="1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  <c r="Z211" s="7" t="str" cm="1">
        <f t="array" aca="1" ref="Z211" ca="1">IFERROR(IF(OR('Raw Data'!Z211="",LEN(TRIM('Raw Data'!Z211))=0),"",IF(AND(ISNUMBER('Raw Data'!Z211), IFERROR('Raw Data'!Z211 = ROUND('Raw Data'!Z211, 2),FALSE)),"",_xlfn.REGEXEXTRACT(CELL("address",Z211), "\$([A-Z]+)\$[0-9]+"))),_xlfn.REGEXEXTRACT(CELL("address",Z211), "\$([A-Z]+)\$[0-9]+"))</f>
        <v/>
      </c>
      <c r="AA211" s="7" t="str" cm="1">
        <f t="array" aca="1" ref="AA211" ca="1">IFERROR(IF(OR('Raw Data'!AA211="",LEN(TRIM('Raw Data'!AA211))=0),"",IF(AND(ISNUMBER('Raw Data'!AA211), IFERROR('Raw Data'!AA211 = ROUND('Raw Data'!AA211, 2),FALSE)),"",_xlfn.REGEXEXTRACT(CELL("address",AA211), "\$([A-Z]+)\$[0-9]+"))),_xlfn.REGEXEXTRACT(CELL("address",AA211), "\$([A-Z]+)\$[0-9]+"))</f>
        <v/>
      </c>
      <c r="AB211" s="7" t="str" cm="1">
        <f t="array" aca="1" ref="AB211" ca="1">IFERROR(IF(OR('Raw Data'!AB211="",LEN(TRIM('Raw Data'!AB211))=0),"",IF(AND(ISNUMBER('Raw Data'!AB211), IFERROR('Raw Data'!AB211 = ROUND('Raw Data'!AB211, 2),FALSE)),"",_xlfn.REGEXEXTRACT(CELL("address",AB211), "\$([A-Z]+)\$[0-9]+"))),_xlfn.REGEXEXTRACT(CELL("address",AB211), "\$([A-Z]+)\$[0-9]+"))</f>
        <v/>
      </c>
      <c r="AC211" s="7" t="str" cm="1">
        <f t="array" aca="1" ref="AC211" ca="1">IFERROR(IF(OR('Raw Data'!AC211="",LEN(TRIM('Raw Data'!AC211))=0),"",IF(AND(ISNUMBER('Raw Data'!AC211), IFERROR('Raw Data'!AC211 = ROUND('Raw Data'!AC211, 2),FALSE)),"",_xlfn.REGEXEXTRACT(CELL("address",AC211), "\$([A-Z]+)\$[0-9]+"))),_xlfn.REGEXEXTRACT(CELL("address",AC211), "\$([A-Z]+)\$[0-9]+"))</f>
        <v/>
      </c>
      <c r="AD211" s="7" t="str" cm="1">
        <f t="array" aca="1" ref="AD211" ca="1">IFERROR(IF(OR('Raw Data'!AD211="",LEN(TRIM('Raw Data'!AD211))=0),"",IF(AND(ISNUMBER('Raw Data'!AD211), IFERROR('Raw Data'!AD211 = ROUND('Raw Data'!AD211, 2),FALSE)),"",_xlfn.REGEXEXTRACT(CELL("address",AD211), "\$([A-Z]+)\$[0-9]+"))),_xlfn.REGEXEXTRACT(CELL("address",AD211), "\$([A-Z]+)\$[0-9]+"))</f>
        <v/>
      </c>
      <c r="AE211" s="7" t="str" cm="1">
        <f t="array" aca="1" ref="AE211" ca="1">IFERROR(IF(OR('Raw Data'!AE211="",LEN(TRIM('Raw Data'!AE211))=0),"",IF(AND(ISNUMBER('Raw Data'!AE211), IFERROR('Raw Data'!AE211 = ROUND('Raw Data'!AE211, 2),FALSE)),"",_xlfn.REGEXEXTRACT(CELL("address",AE211), "\$([A-Z]+)\$[0-9]+"))),_xlfn.REGEXEXTRACT(CELL("address",AE211), "\$([A-Z]+)\$[0-9]+"))</f>
        <v/>
      </c>
      <c r="AF211" s="7" t="str" cm="1">
        <f t="array" aca="1" ref="AF211" ca="1">IFERROR(IF(OR('Raw Data'!AF211="",LEN(TRIM('Raw Data'!AF211))=0),"",IF(AND(ISNUMBER('Raw Data'!AF211), IFERROR('Raw Data'!AF211 = ROUND('Raw Data'!AF211, 2),FALSE)),"",_xlfn.REGEXEXTRACT(CELL("address",AF211), "\$([A-Z]+)\$[0-9]+"))),_xlfn.REGEXEXTRACT(CELL("address",AF211), "\$([A-Z]+)\$[0-9]+"))</f>
        <v/>
      </c>
      <c r="AG211" s="7" t="str" cm="1">
        <f t="array" aca="1" ref="AG211" ca="1">IFERROR(IF(OR('Raw Data'!AG211="",LEN(TRIM('Raw Data'!AG211))=0),"",IF(AND(ISNUMBER('Raw Data'!AG211), IFERROR('Raw Data'!AG211 = ROUND('Raw Data'!AG211, 2),FALSE)),"",_xlfn.REGEXEXTRACT(CELL("address",AG211), "\$([A-Z]+)\$[0-9]+"))),_xlfn.REGEXEXTRACT(CELL("address",AG211), "\$([A-Z]+)\$[0-9]+"))</f>
        <v/>
      </c>
      <c r="AH211" s="7" t="str" cm="1">
        <f t="array" aca="1" ref="AH211" ca="1">IFERROR(IF(OR('Raw Data'!AH211="",LEN(TRIM('Raw Data'!AH211))=0),"",IF(AND(ISNUMBER('Raw Data'!AH211), IFERROR('Raw Data'!AH211 = ROUND('Raw Data'!AH211, 2),FALSE)),"",_xlfn.REGEXEXTRACT(CELL("address",AH211), "\$([A-Z]+)\$[0-9]+"))),_xlfn.REGEXEXTRACT(CELL("address",AH211), "\$([A-Z]+)\$[0-9]+"))</f>
        <v/>
      </c>
      <c r="AI211" s="7" t="str" cm="1">
        <f t="array" aca="1" ref="AI211" ca="1">IFERROR(IF(OR('Raw Data'!AI211="",LEN(TRIM('Raw Data'!AI211))=0),"",IF(AND(ISNUMBER('Raw Data'!AI211), IFERROR('Raw Data'!AI211 = ROUND('Raw Data'!AI211, 2),FALSE)),"",_xlfn.REGEXEXTRACT(CELL("address",AI211), "\$([A-Z]+)\$[0-9]+"))),_xlfn.REGEXEXTRACT(CELL("address",AI211), "\$([A-Z]+)\$[0-9]+"))</f>
        <v/>
      </c>
      <c r="AJ211" s="7" t="str" cm="1">
        <f t="array" aca="1" ref="AJ211" ca="1">IFERROR(IF(OR('Raw Data'!AJ211="",LEN(TRIM('Raw Data'!AJ211))=0),"",IF(AND(ISNUMBER('Raw Data'!AJ211), IFERROR('Raw Data'!AJ211 = ROUND('Raw Data'!AJ211, 2),FALSE)),"",_xlfn.REGEXEXTRACT(CELL("address",AJ211), "\$([A-Z]+)\$[0-9]+"))),_xlfn.REGEXEXTRACT(CELL("address",AJ211), "\$([A-Z]+)\$[0-9]+"))</f>
        <v/>
      </c>
    </row>
    <row r="212" spans="2:36" x14ac:dyDescent="0.25">
      <c r="B212" s="7" t="str" cm="1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20,LEN('Raw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Data'!D212))=0),"",IF(AND(ISNUMBER('Raw Data'!D212),'Raw Data'!D212&gt;=Configuration!$D$2),"",_xlfn.REGEXEXTRACT(CELL("address",'Raw Data'!D212),"\$([A-Z]+)\$[0-9]+"))),_xlfn.REGEXEXTRACT(CELL("address",D212), "\$([A-Z]+)\$[0-9]+"))</f>
        <v/>
      </c>
      <c r="E212" s="7" t="str" cm="1">
        <f t="array" aca="1" ref="E212" ca="1">IFERROR(IF(OR('Raw Data'!E212="",LEN(TRIM('Raw Data'!E212))=0),"",IF(AND(ISNUMBER('Raw Data'!E212), IFERROR('Raw Data'!E212 = ROUND('Raw Data'!E212, 2),FALSE)),"",_xlfn.REGEXEXTRACT(CELL("address",E212), "\$([A-Z]+)\$[0-9]+"))),_xlfn.REGEXEXTRACT(CELL("address",E212), "\$([A-Z]+)\$[0-9]+"))</f>
        <v/>
      </c>
      <c r="F212" s="7" t="str" cm="1">
        <f t="array" aca="1" ref="F212" ca="1">IFERROR(IF(OR('Raw Data'!F212="",LEN(TRIM('Raw Data'!F212))=0),"",IF(AND(ISNUMBER('Raw Data'!F212), IFERROR('Raw Data'!F212 = ROUND('Raw Data'!F212, 2),FALSE)),"",_xlfn.REGEXEXTRACT(CELL("address",F212), "\$([A-Z]+)\$[0-9]+"))),_xlfn.REGEXEXTRACT(CELL("address",F212), "\$([A-Z]+)\$[0-9]+"))</f>
        <v/>
      </c>
      <c r="G212" s="7" t="str" cm="1">
        <f t="array" aca="1" ref="G212" ca="1">IFERROR(IF(OR('Raw Data'!G212="",LEN(TRIM('Raw Data'!G212))=0),"",IF(AND(ISNUMBER('Raw Data'!G212), IFERROR('Raw Data'!G212 = ROUND('Raw Data'!G212, 2),FALSE)),"",_xlfn.REGEXEXTRACT(CELL("address",G212), "\$([A-Z]+)\$[0-9]+"))),_xlfn.REGEXEXTRACT(CELL("address",G212), "\$([A-Z]+)\$[0-9]+"))</f>
        <v/>
      </c>
      <c r="H212" s="7" t="str" cm="1">
        <f t="array" aca="1" ref="H212" ca="1">IFERROR(IF(OR('Raw Data'!H212="",LEN(TRIM('Raw Data'!H212))=0),"",IF(AND(ISNUMBER('Raw Data'!H212), IFERROR('Raw Data'!H212 = ROUND('Raw Data'!H212, 2),FALSE)),"",_xlfn.REGEXEXTRACT(CELL("address",H212), "\$([A-Z]+)\$[0-9]+"))),_xlfn.REGEXEXTRACT(CELL("address",H212), "\$([A-Z]+)\$[0-9]+"))</f>
        <v/>
      </c>
      <c r="I212" s="7" t="str" cm="1">
        <f t="array" aca="1" ref="I212" ca="1">IFERROR(IF(OR('Raw Data'!I212="",LEN(TRIM('Raw Data'!I212))=0),"",IF(AND(ISNUMBER('Raw Data'!I212), IFERROR('Raw Data'!I212 = ROUND('Raw Data'!I212, 2),FALSE)),"",_xlfn.REGEXEXTRACT(CELL("address",I212), "\$([A-Z]+)\$[0-9]+"))),_xlfn.REGEXEXTRACT(CELL("address",I212), "\$([A-Z]+)\$[0-9]+"))</f>
        <v/>
      </c>
      <c r="J212" s="7" t="str" cm="1">
        <f t="array" aca="1" ref="J212" ca="1">IFERROR(IF(OR('Raw Data'!J212="",LEN(TRIM('Raw Data'!J212))=0),"",IF(AND(ISNUMBER('Raw Data'!J212), IFERROR('Raw Data'!J212 = ROUND('Raw Data'!J212, 2),FALSE)),"",_xlfn.REGEXEXTRACT(CELL("address",J212), "\$([A-Z]+)\$[0-9]+"))),_xlfn.REGEXEXTRACT(CELL("address",J212), "\$([A-Z]+)\$[0-9]+"))</f>
        <v/>
      </c>
      <c r="K212" s="7" t="str" cm="1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7" t="str" cm="1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7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7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7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7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 cm="1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7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7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7" t="str" cm="1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7" t="str" cm="1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  <c r="Z212" s="7" t="str" cm="1">
        <f t="array" aca="1" ref="Z212" ca="1">IFERROR(IF(OR('Raw Data'!Z212="",LEN(TRIM('Raw Data'!Z212))=0),"",IF(AND(ISNUMBER('Raw Data'!Z212), IFERROR('Raw Data'!Z212 = ROUND('Raw Data'!Z212, 2),FALSE)),"",_xlfn.REGEXEXTRACT(CELL("address",Z212), "\$([A-Z]+)\$[0-9]+"))),_xlfn.REGEXEXTRACT(CELL("address",Z212), "\$([A-Z]+)\$[0-9]+"))</f>
        <v/>
      </c>
      <c r="AA212" s="7" t="str" cm="1">
        <f t="array" aca="1" ref="AA212" ca="1">IFERROR(IF(OR('Raw Data'!AA212="",LEN(TRIM('Raw Data'!AA212))=0),"",IF(AND(ISNUMBER('Raw Data'!AA212), IFERROR('Raw Data'!AA212 = ROUND('Raw Data'!AA212, 2),FALSE)),"",_xlfn.REGEXEXTRACT(CELL("address",AA212), "\$([A-Z]+)\$[0-9]+"))),_xlfn.REGEXEXTRACT(CELL("address",AA212), "\$([A-Z]+)\$[0-9]+"))</f>
        <v/>
      </c>
      <c r="AB212" s="7" t="str" cm="1">
        <f t="array" aca="1" ref="AB212" ca="1">IFERROR(IF(OR('Raw Data'!AB212="",LEN(TRIM('Raw Data'!AB212))=0),"",IF(AND(ISNUMBER('Raw Data'!AB212), IFERROR('Raw Data'!AB212 = ROUND('Raw Data'!AB212, 2),FALSE)),"",_xlfn.REGEXEXTRACT(CELL("address",AB212), "\$([A-Z]+)\$[0-9]+"))),_xlfn.REGEXEXTRACT(CELL("address",AB212), "\$([A-Z]+)\$[0-9]+"))</f>
        <v/>
      </c>
      <c r="AC212" s="7" t="str" cm="1">
        <f t="array" aca="1" ref="AC212" ca="1">IFERROR(IF(OR('Raw Data'!AC212="",LEN(TRIM('Raw Data'!AC212))=0),"",IF(AND(ISNUMBER('Raw Data'!AC212), IFERROR('Raw Data'!AC212 = ROUND('Raw Data'!AC212, 2),FALSE)),"",_xlfn.REGEXEXTRACT(CELL("address",AC212), "\$([A-Z]+)\$[0-9]+"))),_xlfn.REGEXEXTRACT(CELL("address",AC212), "\$([A-Z]+)\$[0-9]+"))</f>
        <v/>
      </c>
      <c r="AD212" s="7" t="str" cm="1">
        <f t="array" aca="1" ref="AD212" ca="1">IFERROR(IF(OR('Raw Data'!AD212="",LEN(TRIM('Raw Data'!AD212))=0),"",IF(AND(ISNUMBER('Raw Data'!AD212), IFERROR('Raw Data'!AD212 = ROUND('Raw Data'!AD212, 2),FALSE)),"",_xlfn.REGEXEXTRACT(CELL("address",AD212), "\$([A-Z]+)\$[0-9]+"))),_xlfn.REGEXEXTRACT(CELL("address",AD212), "\$([A-Z]+)\$[0-9]+"))</f>
        <v/>
      </c>
      <c r="AE212" s="7" t="str" cm="1">
        <f t="array" aca="1" ref="AE212" ca="1">IFERROR(IF(OR('Raw Data'!AE212="",LEN(TRIM('Raw Data'!AE212))=0),"",IF(AND(ISNUMBER('Raw Data'!AE212), IFERROR('Raw Data'!AE212 = ROUND('Raw Data'!AE212, 2),FALSE)),"",_xlfn.REGEXEXTRACT(CELL("address",AE212), "\$([A-Z]+)\$[0-9]+"))),_xlfn.REGEXEXTRACT(CELL("address",AE212), "\$([A-Z]+)\$[0-9]+"))</f>
        <v/>
      </c>
      <c r="AF212" s="7" t="str" cm="1">
        <f t="array" aca="1" ref="AF212" ca="1">IFERROR(IF(OR('Raw Data'!AF212="",LEN(TRIM('Raw Data'!AF212))=0),"",IF(AND(ISNUMBER('Raw Data'!AF212), IFERROR('Raw Data'!AF212 = ROUND('Raw Data'!AF212, 2),FALSE)),"",_xlfn.REGEXEXTRACT(CELL("address",AF212), "\$([A-Z]+)\$[0-9]+"))),_xlfn.REGEXEXTRACT(CELL("address",AF212), "\$([A-Z]+)\$[0-9]+"))</f>
        <v/>
      </c>
      <c r="AG212" s="7" t="str" cm="1">
        <f t="array" aca="1" ref="AG212" ca="1">IFERROR(IF(OR('Raw Data'!AG212="",LEN(TRIM('Raw Data'!AG212))=0),"",IF(AND(ISNUMBER('Raw Data'!AG212), IFERROR('Raw Data'!AG212 = ROUND('Raw Data'!AG212, 2),FALSE)),"",_xlfn.REGEXEXTRACT(CELL("address",AG212), "\$([A-Z]+)\$[0-9]+"))),_xlfn.REGEXEXTRACT(CELL("address",AG212), "\$([A-Z]+)\$[0-9]+"))</f>
        <v/>
      </c>
      <c r="AH212" s="7" t="str" cm="1">
        <f t="array" aca="1" ref="AH212" ca="1">IFERROR(IF(OR('Raw Data'!AH212="",LEN(TRIM('Raw Data'!AH212))=0),"",IF(AND(ISNUMBER('Raw Data'!AH212), IFERROR('Raw Data'!AH212 = ROUND('Raw Data'!AH212, 2),FALSE)),"",_xlfn.REGEXEXTRACT(CELL("address",AH212), "\$([A-Z]+)\$[0-9]+"))),_xlfn.REGEXEXTRACT(CELL("address",AH212), "\$([A-Z]+)\$[0-9]+"))</f>
        <v/>
      </c>
      <c r="AI212" s="7" t="str" cm="1">
        <f t="array" aca="1" ref="AI212" ca="1">IFERROR(IF(OR('Raw Data'!AI212="",LEN(TRIM('Raw Data'!AI212))=0),"",IF(AND(ISNUMBER('Raw Data'!AI212), IFERROR('Raw Data'!AI212 = ROUND('Raw Data'!AI212, 2),FALSE)),"",_xlfn.REGEXEXTRACT(CELL("address",AI212), "\$([A-Z]+)\$[0-9]+"))),_xlfn.REGEXEXTRACT(CELL("address",AI212), "\$([A-Z]+)\$[0-9]+"))</f>
        <v/>
      </c>
      <c r="AJ212" s="7" t="str" cm="1">
        <f t="array" aca="1" ref="AJ212" ca="1">IFERROR(IF(OR('Raw Data'!AJ212="",LEN(TRIM('Raw Data'!AJ212))=0),"",IF(AND(ISNUMBER('Raw Data'!AJ212), IFERROR('Raw Data'!AJ212 = ROUND('Raw Data'!AJ212, 2),FALSE)),"",_xlfn.REGEXEXTRACT(CELL("address",AJ212), "\$([A-Z]+)\$[0-9]+"))),_xlfn.REGEXEXTRACT(CELL("address",AJ212), "\$([A-Z]+)\$[0-9]+"))</f>
        <v/>
      </c>
    </row>
    <row r="213" spans="2:36" x14ac:dyDescent="0.25">
      <c r="B213" s="7" t="str" cm="1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20,LEN('Raw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Data'!D213))=0),"",IF(AND(ISNUMBER('Raw Data'!D213),'Raw Data'!D213&gt;=Configuration!$D$2),"",_xlfn.REGEXEXTRACT(CELL("address",'Raw Data'!D213),"\$([A-Z]+)\$[0-9]+"))),_xlfn.REGEXEXTRACT(CELL("address",D213), "\$([A-Z]+)\$[0-9]+"))</f>
        <v/>
      </c>
      <c r="E213" s="7" t="str" cm="1">
        <f t="array" aca="1" ref="E213" ca="1">IFERROR(IF(OR('Raw Data'!E213="",LEN(TRIM('Raw Data'!E213))=0),"",IF(AND(ISNUMBER('Raw Data'!E213), IFERROR('Raw Data'!E213 = ROUND('Raw Data'!E213, 2),FALSE)),"",_xlfn.REGEXEXTRACT(CELL("address",E213), "\$([A-Z]+)\$[0-9]+"))),_xlfn.REGEXEXTRACT(CELL("address",E213), "\$([A-Z]+)\$[0-9]+"))</f>
        <v/>
      </c>
      <c r="F213" s="7" t="str" cm="1">
        <f t="array" aca="1" ref="F213" ca="1">IFERROR(IF(OR('Raw Data'!F213="",LEN(TRIM('Raw Data'!F213))=0),"",IF(AND(ISNUMBER('Raw Data'!F213), IFERROR('Raw Data'!F213 = ROUND('Raw Data'!F213, 2),FALSE)),"",_xlfn.REGEXEXTRACT(CELL("address",F213), "\$([A-Z]+)\$[0-9]+"))),_xlfn.REGEXEXTRACT(CELL("address",F213), "\$([A-Z]+)\$[0-9]+"))</f>
        <v/>
      </c>
      <c r="G213" s="7" t="str" cm="1">
        <f t="array" aca="1" ref="G213" ca="1">IFERROR(IF(OR('Raw Data'!G213="",LEN(TRIM('Raw Data'!G213))=0),"",IF(AND(ISNUMBER('Raw Data'!G213), IFERROR('Raw Data'!G213 = ROUND('Raw Data'!G213, 2),FALSE)),"",_xlfn.REGEXEXTRACT(CELL("address",G213), "\$([A-Z]+)\$[0-9]+"))),_xlfn.REGEXEXTRACT(CELL("address",G213), "\$([A-Z]+)\$[0-9]+"))</f>
        <v/>
      </c>
      <c r="H213" s="7" t="str" cm="1">
        <f t="array" aca="1" ref="H213" ca="1">IFERROR(IF(OR('Raw Data'!H213="",LEN(TRIM('Raw Data'!H213))=0),"",IF(AND(ISNUMBER('Raw Data'!H213), IFERROR('Raw Data'!H213 = ROUND('Raw Data'!H213, 2),FALSE)),"",_xlfn.REGEXEXTRACT(CELL("address",H213), "\$([A-Z]+)\$[0-9]+"))),_xlfn.REGEXEXTRACT(CELL("address",H213), "\$([A-Z]+)\$[0-9]+"))</f>
        <v/>
      </c>
      <c r="I213" s="7" t="str" cm="1">
        <f t="array" aca="1" ref="I213" ca="1">IFERROR(IF(OR('Raw Data'!I213="",LEN(TRIM('Raw Data'!I213))=0),"",IF(AND(ISNUMBER('Raw Data'!I213), IFERROR('Raw Data'!I213 = ROUND('Raw Data'!I213, 2),FALSE)),"",_xlfn.REGEXEXTRACT(CELL("address",I213), "\$([A-Z]+)\$[0-9]+"))),_xlfn.REGEXEXTRACT(CELL("address",I213), "\$([A-Z]+)\$[0-9]+"))</f>
        <v/>
      </c>
      <c r="J213" s="7" t="str" cm="1">
        <f t="array" aca="1" ref="J213" ca="1">IFERROR(IF(OR('Raw Data'!J213="",LEN(TRIM('Raw Data'!J213))=0),"",IF(AND(ISNUMBER('Raw Data'!J213), IFERROR('Raw Data'!J213 = ROUND('Raw Data'!J213, 2),FALSE)),"",_xlfn.REGEXEXTRACT(CELL("address",J213), "\$([A-Z]+)\$[0-9]+"))),_xlfn.REGEXEXTRACT(CELL("address",J213), "\$([A-Z]+)\$[0-9]+"))</f>
        <v/>
      </c>
      <c r="K213" s="7" t="str" cm="1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7" t="str" cm="1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7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7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7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7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 cm="1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7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7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7" t="str" cm="1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7" t="str" cm="1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  <c r="Z213" s="7" t="str" cm="1">
        <f t="array" aca="1" ref="Z213" ca="1">IFERROR(IF(OR('Raw Data'!Z213="",LEN(TRIM('Raw Data'!Z213))=0),"",IF(AND(ISNUMBER('Raw Data'!Z213), IFERROR('Raw Data'!Z213 = ROUND('Raw Data'!Z213, 2),FALSE)),"",_xlfn.REGEXEXTRACT(CELL("address",Z213), "\$([A-Z]+)\$[0-9]+"))),_xlfn.REGEXEXTRACT(CELL("address",Z213), "\$([A-Z]+)\$[0-9]+"))</f>
        <v/>
      </c>
      <c r="AA213" s="7" t="str" cm="1">
        <f t="array" aca="1" ref="AA213" ca="1">IFERROR(IF(OR('Raw Data'!AA213="",LEN(TRIM('Raw Data'!AA213))=0),"",IF(AND(ISNUMBER('Raw Data'!AA213), IFERROR('Raw Data'!AA213 = ROUND('Raw Data'!AA213, 2),FALSE)),"",_xlfn.REGEXEXTRACT(CELL("address",AA213), "\$([A-Z]+)\$[0-9]+"))),_xlfn.REGEXEXTRACT(CELL("address",AA213), "\$([A-Z]+)\$[0-9]+"))</f>
        <v/>
      </c>
      <c r="AB213" s="7" t="str" cm="1">
        <f t="array" aca="1" ref="AB213" ca="1">IFERROR(IF(OR('Raw Data'!AB213="",LEN(TRIM('Raw Data'!AB213))=0),"",IF(AND(ISNUMBER('Raw Data'!AB213), IFERROR('Raw Data'!AB213 = ROUND('Raw Data'!AB213, 2),FALSE)),"",_xlfn.REGEXEXTRACT(CELL("address",AB213), "\$([A-Z]+)\$[0-9]+"))),_xlfn.REGEXEXTRACT(CELL("address",AB213), "\$([A-Z]+)\$[0-9]+"))</f>
        <v/>
      </c>
      <c r="AC213" s="7" t="str" cm="1">
        <f t="array" aca="1" ref="AC213" ca="1">IFERROR(IF(OR('Raw Data'!AC213="",LEN(TRIM('Raw Data'!AC213))=0),"",IF(AND(ISNUMBER('Raw Data'!AC213), IFERROR('Raw Data'!AC213 = ROUND('Raw Data'!AC213, 2),FALSE)),"",_xlfn.REGEXEXTRACT(CELL("address",AC213), "\$([A-Z]+)\$[0-9]+"))),_xlfn.REGEXEXTRACT(CELL("address",AC213), "\$([A-Z]+)\$[0-9]+"))</f>
        <v/>
      </c>
      <c r="AD213" s="7" t="str" cm="1">
        <f t="array" aca="1" ref="AD213" ca="1">IFERROR(IF(OR('Raw Data'!AD213="",LEN(TRIM('Raw Data'!AD213))=0),"",IF(AND(ISNUMBER('Raw Data'!AD213), IFERROR('Raw Data'!AD213 = ROUND('Raw Data'!AD213, 2),FALSE)),"",_xlfn.REGEXEXTRACT(CELL("address",AD213), "\$([A-Z]+)\$[0-9]+"))),_xlfn.REGEXEXTRACT(CELL("address",AD213), "\$([A-Z]+)\$[0-9]+"))</f>
        <v/>
      </c>
      <c r="AE213" s="7" t="str" cm="1">
        <f t="array" aca="1" ref="AE213" ca="1">IFERROR(IF(OR('Raw Data'!AE213="",LEN(TRIM('Raw Data'!AE213))=0),"",IF(AND(ISNUMBER('Raw Data'!AE213), IFERROR('Raw Data'!AE213 = ROUND('Raw Data'!AE213, 2),FALSE)),"",_xlfn.REGEXEXTRACT(CELL("address",AE213), "\$([A-Z]+)\$[0-9]+"))),_xlfn.REGEXEXTRACT(CELL("address",AE213), "\$([A-Z]+)\$[0-9]+"))</f>
        <v/>
      </c>
      <c r="AF213" s="7" t="str" cm="1">
        <f t="array" aca="1" ref="AF213" ca="1">IFERROR(IF(OR('Raw Data'!AF213="",LEN(TRIM('Raw Data'!AF213))=0),"",IF(AND(ISNUMBER('Raw Data'!AF213), IFERROR('Raw Data'!AF213 = ROUND('Raw Data'!AF213, 2),FALSE)),"",_xlfn.REGEXEXTRACT(CELL("address",AF213), "\$([A-Z]+)\$[0-9]+"))),_xlfn.REGEXEXTRACT(CELL("address",AF213), "\$([A-Z]+)\$[0-9]+"))</f>
        <v/>
      </c>
      <c r="AG213" s="7" t="str" cm="1">
        <f t="array" aca="1" ref="AG213" ca="1">IFERROR(IF(OR('Raw Data'!AG213="",LEN(TRIM('Raw Data'!AG213))=0),"",IF(AND(ISNUMBER('Raw Data'!AG213), IFERROR('Raw Data'!AG213 = ROUND('Raw Data'!AG213, 2),FALSE)),"",_xlfn.REGEXEXTRACT(CELL("address",AG213), "\$([A-Z]+)\$[0-9]+"))),_xlfn.REGEXEXTRACT(CELL("address",AG213), "\$([A-Z]+)\$[0-9]+"))</f>
        <v/>
      </c>
      <c r="AH213" s="7" t="str" cm="1">
        <f t="array" aca="1" ref="AH213" ca="1">IFERROR(IF(OR('Raw Data'!AH213="",LEN(TRIM('Raw Data'!AH213))=0),"",IF(AND(ISNUMBER('Raw Data'!AH213), IFERROR('Raw Data'!AH213 = ROUND('Raw Data'!AH213, 2),FALSE)),"",_xlfn.REGEXEXTRACT(CELL("address",AH213), "\$([A-Z]+)\$[0-9]+"))),_xlfn.REGEXEXTRACT(CELL("address",AH213), "\$([A-Z]+)\$[0-9]+"))</f>
        <v/>
      </c>
      <c r="AI213" s="7" t="str" cm="1">
        <f t="array" aca="1" ref="AI213" ca="1">IFERROR(IF(OR('Raw Data'!AI213="",LEN(TRIM('Raw Data'!AI213))=0),"",IF(AND(ISNUMBER('Raw Data'!AI213), IFERROR('Raw Data'!AI213 = ROUND('Raw Data'!AI213, 2),FALSE)),"",_xlfn.REGEXEXTRACT(CELL("address",AI213), "\$([A-Z]+)\$[0-9]+"))),_xlfn.REGEXEXTRACT(CELL("address",AI213), "\$([A-Z]+)\$[0-9]+"))</f>
        <v/>
      </c>
      <c r="AJ213" s="7" t="str" cm="1">
        <f t="array" aca="1" ref="AJ213" ca="1">IFERROR(IF(OR('Raw Data'!AJ213="",LEN(TRIM('Raw Data'!AJ213))=0),"",IF(AND(ISNUMBER('Raw Data'!AJ213), IFERROR('Raw Data'!AJ213 = ROUND('Raw Data'!AJ213, 2),FALSE)),"",_xlfn.REGEXEXTRACT(CELL("address",AJ213), "\$([A-Z]+)\$[0-9]+"))),_xlfn.REGEXEXTRACT(CELL("address",AJ213), "\$([A-Z]+)\$[0-9]+"))</f>
        <v/>
      </c>
    </row>
    <row r="214" spans="2:36" x14ac:dyDescent="0.25">
      <c r="B214" s="7" t="str" cm="1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20,LEN('Raw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Data'!D214))=0),"",IF(AND(ISNUMBER('Raw Data'!D214),'Raw Data'!D214&gt;=Configuration!$D$2),"",_xlfn.REGEXEXTRACT(CELL("address",'Raw Data'!D214),"\$([A-Z]+)\$[0-9]+"))),_xlfn.REGEXEXTRACT(CELL("address",D214), "\$([A-Z]+)\$[0-9]+"))</f>
        <v/>
      </c>
      <c r="E214" s="7" t="str" cm="1">
        <f t="array" aca="1" ref="E214" ca="1">IFERROR(IF(OR('Raw Data'!E214="",LEN(TRIM('Raw Data'!E214))=0),"",IF(AND(ISNUMBER('Raw Data'!E214), IFERROR('Raw Data'!E214 = ROUND('Raw Data'!E214, 2),FALSE)),"",_xlfn.REGEXEXTRACT(CELL("address",E214), "\$([A-Z]+)\$[0-9]+"))),_xlfn.REGEXEXTRACT(CELL("address",E214), "\$([A-Z]+)\$[0-9]+"))</f>
        <v/>
      </c>
      <c r="F214" s="7" t="str" cm="1">
        <f t="array" aca="1" ref="F214" ca="1">IFERROR(IF(OR('Raw Data'!F214="",LEN(TRIM('Raw Data'!F214))=0),"",IF(AND(ISNUMBER('Raw Data'!F214), IFERROR('Raw Data'!F214 = ROUND('Raw Data'!F214, 2),FALSE)),"",_xlfn.REGEXEXTRACT(CELL("address",F214), "\$([A-Z]+)\$[0-9]+"))),_xlfn.REGEXEXTRACT(CELL("address",F214), "\$([A-Z]+)\$[0-9]+"))</f>
        <v/>
      </c>
      <c r="G214" s="7" t="str" cm="1">
        <f t="array" aca="1" ref="G214" ca="1">IFERROR(IF(OR('Raw Data'!G214="",LEN(TRIM('Raw Data'!G214))=0),"",IF(AND(ISNUMBER('Raw Data'!G214), IFERROR('Raw Data'!G214 = ROUND('Raw Data'!G214, 2),FALSE)),"",_xlfn.REGEXEXTRACT(CELL("address",G214), "\$([A-Z]+)\$[0-9]+"))),_xlfn.REGEXEXTRACT(CELL("address",G214), "\$([A-Z]+)\$[0-9]+"))</f>
        <v/>
      </c>
      <c r="H214" s="7" t="str" cm="1">
        <f t="array" aca="1" ref="H214" ca="1">IFERROR(IF(OR('Raw Data'!H214="",LEN(TRIM('Raw Data'!H214))=0),"",IF(AND(ISNUMBER('Raw Data'!H214), IFERROR('Raw Data'!H214 = ROUND('Raw Data'!H214, 2),FALSE)),"",_xlfn.REGEXEXTRACT(CELL("address",H214), "\$([A-Z]+)\$[0-9]+"))),_xlfn.REGEXEXTRACT(CELL("address",H214), "\$([A-Z]+)\$[0-9]+"))</f>
        <v/>
      </c>
      <c r="I214" s="7" t="str" cm="1">
        <f t="array" aca="1" ref="I214" ca="1">IFERROR(IF(OR('Raw Data'!I214="",LEN(TRIM('Raw Data'!I214))=0),"",IF(AND(ISNUMBER('Raw Data'!I214), IFERROR('Raw Data'!I214 = ROUND('Raw Data'!I214, 2),FALSE)),"",_xlfn.REGEXEXTRACT(CELL("address",I214), "\$([A-Z]+)\$[0-9]+"))),_xlfn.REGEXEXTRACT(CELL("address",I214), "\$([A-Z]+)\$[0-9]+"))</f>
        <v/>
      </c>
      <c r="J214" s="7" t="str" cm="1">
        <f t="array" aca="1" ref="J214" ca="1">IFERROR(IF(OR('Raw Data'!J214="",LEN(TRIM('Raw Data'!J214))=0),"",IF(AND(ISNUMBER('Raw Data'!J214), IFERROR('Raw Data'!J214 = ROUND('Raw Data'!J214, 2),FALSE)),"",_xlfn.REGEXEXTRACT(CELL("address",J214), "\$([A-Z]+)\$[0-9]+"))),_xlfn.REGEXEXTRACT(CELL("address",J214), "\$([A-Z]+)\$[0-9]+"))</f>
        <v/>
      </c>
      <c r="K214" s="7" t="str" cm="1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7" t="str" cm="1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7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7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7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7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 cm="1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7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7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7" t="str" cm="1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7" t="str" cm="1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  <c r="Z214" s="7" t="str" cm="1">
        <f t="array" aca="1" ref="Z214" ca="1">IFERROR(IF(OR('Raw Data'!Z214="",LEN(TRIM('Raw Data'!Z214))=0),"",IF(AND(ISNUMBER('Raw Data'!Z214), IFERROR('Raw Data'!Z214 = ROUND('Raw Data'!Z214, 2),FALSE)),"",_xlfn.REGEXEXTRACT(CELL("address",Z214), "\$([A-Z]+)\$[0-9]+"))),_xlfn.REGEXEXTRACT(CELL("address",Z214), "\$([A-Z]+)\$[0-9]+"))</f>
        <v/>
      </c>
      <c r="AA214" s="7" t="str" cm="1">
        <f t="array" aca="1" ref="AA214" ca="1">IFERROR(IF(OR('Raw Data'!AA214="",LEN(TRIM('Raw Data'!AA214))=0),"",IF(AND(ISNUMBER('Raw Data'!AA214), IFERROR('Raw Data'!AA214 = ROUND('Raw Data'!AA214, 2),FALSE)),"",_xlfn.REGEXEXTRACT(CELL("address",AA214), "\$([A-Z]+)\$[0-9]+"))),_xlfn.REGEXEXTRACT(CELL("address",AA214), "\$([A-Z]+)\$[0-9]+"))</f>
        <v/>
      </c>
      <c r="AB214" s="7" t="str" cm="1">
        <f t="array" aca="1" ref="AB214" ca="1">IFERROR(IF(OR('Raw Data'!AB214="",LEN(TRIM('Raw Data'!AB214))=0),"",IF(AND(ISNUMBER('Raw Data'!AB214), IFERROR('Raw Data'!AB214 = ROUND('Raw Data'!AB214, 2),FALSE)),"",_xlfn.REGEXEXTRACT(CELL("address",AB214), "\$([A-Z]+)\$[0-9]+"))),_xlfn.REGEXEXTRACT(CELL("address",AB214), "\$([A-Z]+)\$[0-9]+"))</f>
        <v/>
      </c>
      <c r="AC214" s="7" t="str" cm="1">
        <f t="array" aca="1" ref="AC214" ca="1">IFERROR(IF(OR('Raw Data'!AC214="",LEN(TRIM('Raw Data'!AC214))=0),"",IF(AND(ISNUMBER('Raw Data'!AC214), IFERROR('Raw Data'!AC214 = ROUND('Raw Data'!AC214, 2),FALSE)),"",_xlfn.REGEXEXTRACT(CELL("address",AC214), "\$([A-Z]+)\$[0-9]+"))),_xlfn.REGEXEXTRACT(CELL("address",AC214), "\$([A-Z]+)\$[0-9]+"))</f>
        <v/>
      </c>
      <c r="AD214" s="7" t="str" cm="1">
        <f t="array" aca="1" ref="AD214" ca="1">IFERROR(IF(OR('Raw Data'!AD214="",LEN(TRIM('Raw Data'!AD214))=0),"",IF(AND(ISNUMBER('Raw Data'!AD214), IFERROR('Raw Data'!AD214 = ROUND('Raw Data'!AD214, 2),FALSE)),"",_xlfn.REGEXEXTRACT(CELL("address",AD214), "\$([A-Z]+)\$[0-9]+"))),_xlfn.REGEXEXTRACT(CELL("address",AD214), "\$([A-Z]+)\$[0-9]+"))</f>
        <v/>
      </c>
      <c r="AE214" s="7" t="str" cm="1">
        <f t="array" aca="1" ref="AE214" ca="1">IFERROR(IF(OR('Raw Data'!AE214="",LEN(TRIM('Raw Data'!AE214))=0),"",IF(AND(ISNUMBER('Raw Data'!AE214), IFERROR('Raw Data'!AE214 = ROUND('Raw Data'!AE214, 2),FALSE)),"",_xlfn.REGEXEXTRACT(CELL("address",AE214), "\$([A-Z]+)\$[0-9]+"))),_xlfn.REGEXEXTRACT(CELL("address",AE214), "\$([A-Z]+)\$[0-9]+"))</f>
        <v/>
      </c>
      <c r="AF214" s="7" t="str" cm="1">
        <f t="array" aca="1" ref="AF214" ca="1">IFERROR(IF(OR('Raw Data'!AF214="",LEN(TRIM('Raw Data'!AF214))=0),"",IF(AND(ISNUMBER('Raw Data'!AF214), IFERROR('Raw Data'!AF214 = ROUND('Raw Data'!AF214, 2),FALSE)),"",_xlfn.REGEXEXTRACT(CELL("address",AF214), "\$([A-Z]+)\$[0-9]+"))),_xlfn.REGEXEXTRACT(CELL("address",AF214), "\$([A-Z]+)\$[0-9]+"))</f>
        <v/>
      </c>
      <c r="AG214" s="7" t="str" cm="1">
        <f t="array" aca="1" ref="AG214" ca="1">IFERROR(IF(OR('Raw Data'!AG214="",LEN(TRIM('Raw Data'!AG214))=0),"",IF(AND(ISNUMBER('Raw Data'!AG214), IFERROR('Raw Data'!AG214 = ROUND('Raw Data'!AG214, 2),FALSE)),"",_xlfn.REGEXEXTRACT(CELL("address",AG214), "\$([A-Z]+)\$[0-9]+"))),_xlfn.REGEXEXTRACT(CELL("address",AG214), "\$([A-Z]+)\$[0-9]+"))</f>
        <v/>
      </c>
      <c r="AH214" s="7" t="str" cm="1">
        <f t="array" aca="1" ref="AH214" ca="1">IFERROR(IF(OR('Raw Data'!AH214="",LEN(TRIM('Raw Data'!AH214))=0),"",IF(AND(ISNUMBER('Raw Data'!AH214), IFERROR('Raw Data'!AH214 = ROUND('Raw Data'!AH214, 2),FALSE)),"",_xlfn.REGEXEXTRACT(CELL("address",AH214), "\$([A-Z]+)\$[0-9]+"))),_xlfn.REGEXEXTRACT(CELL("address",AH214), "\$([A-Z]+)\$[0-9]+"))</f>
        <v/>
      </c>
      <c r="AI214" s="7" t="str" cm="1">
        <f t="array" aca="1" ref="AI214" ca="1">IFERROR(IF(OR('Raw Data'!AI214="",LEN(TRIM('Raw Data'!AI214))=0),"",IF(AND(ISNUMBER('Raw Data'!AI214), IFERROR('Raw Data'!AI214 = ROUND('Raw Data'!AI214, 2),FALSE)),"",_xlfn.REGEXEXTRACT(CELL("address",AI214), "\$([A-Z]+)\$[0-9]+"))),_xlfn.REGEXEXTRACT(CELL("address",AI214), "\$([A-Z]+)\$[0-9]+"))</f>
        <v/>
      </c>
      <c r="AJ214" s="7" t="str" cm="1">
        <f t="array" aca="1" ref="AJ214" ca="1">IFERROR(IF(OR('Raw Data'!AJ214="",LEN(TRIM('Raw Data'!AJ214))=0),"",IF(AND(ISNUMBER('Raw Data'!AJ214), IFERROR('Raw Data'!AJ214 = ROUND('Raw Data'!AJ214, 2),FALSE)),"",_xlfn.REGEXEXTRACT(CELL("address",AJ214), "\$([A-Z]+)\$[0-9]+"))),_xlfn.REGEXEXTRACT(CELL("address",AJ214), "\$([A-Z]+)\$[0-9]+"))</f>
        <v/>
      </c>
    </row>
    <row r="215" spans="2:36" x14ac:dyDescent="0.25">
      <c r="B215" s="7" t="str" cm="1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20,LEN('Raw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Data'!D215))=0),"",IF(AND(ISNUMBER('Raw Data'!D215),'Raw Data'!D215&gt;=Configuration!$D$2),"",_xlfn.REGEXEXTRACT(CELL("address",'Raw Data'!D215),"\$([A-Z]+)\$[0-9]+"))),_xlfn.REGEXEXTRACT(CELL("address",D215), "\$([A-Z]+)\$[0-9]+"))</f>
        <v/>
      </c>
      <c r="E215" s="7" t="str" cm="1">
        <f t="array" aca="1" ref="E215" ca="1">IFERROR(IF(OR('Raw Data'!E215="",LEN(TRIM('Raw Data'!E215))=0),"",IF(AND(ISNUMBER('Raw Data'!E215), IFERROR('Raw Data'!E215 = ROUND('Raw Data'!E215, 2),FALSE)),"",_xlfn.REGEXEXTRACT(CELL("address",E215), "\$([A-Z]+)\$[0-9]+"))),_xlfn.REGEXEXTRACT(CELL("address",E215), "\$([A-Z]+)\$[0-9]+"))</f>
        <v/>
      </c>
      <c r="F215" s="7" t="str" cm="1">
        <f t="array" aca="1" ref="F215" ca="1">IFERROR(IF(OR('Raw Data'!F215="",LEN(TRIM('Raw Data'!F215))=0),"",IF(AND(ISNUMBER('Raw Data'!F215), IFERROR('Raw Data'!F215 = ROUND('Raw Data'!F215, 2),FALSE)),"",_xlfn.REGEXEXTRACT(CELL("address",F215), "\$([A-Z]+)\$[0-9]+"))),_xlfn.REGEXEXTRACT(CELL("address",F215), "\$([A-Z]+)\$[0-9]+"))</f>
        <v/>
      </c>
      <c r="G215" s="7" t="str" cm="1">
        <f t="array" aca="1" ref="G215" ca="1">IFERROR(IF(OR('Raw Data'!G215="",LEN(TRIM('Raw Data'!G215))=0),"",IF(AND(ISNUMBER('Raw Data'!G215), IFERROR('Raw Data'!G215 = ROUND('Raw Data'!G215, 2),FALSE)),"",_xlfn.REGEXEXTRACT(CELL("address",G215), "\$([A-Z]+)\$[0-9]+"))),_xlfn.REGEXEXTRACT(CELL("address",G215), "\$([A-Z]+)\$[0-9]+"))</f>
        <v/>
      </c>
      <c r="H215" s="7" t="str" cm="1">
        <f t="array" aca="1" ref="H215" ca="1">IFERROR(IF(OR('Raw Data'!H215="",LEN(TRIM('Raw Data'!H215))=0),"",IF(AND(ISNUMBER('Raw Data'!H215), IFERROR('Raw Data'!H215 = ROUND('Raw Data'!H215, 2),FALSE)),"",_xlfn.REGEXEXTRACT(CELL("address",H215), "\$([A-Z]+)\$[0-9]+"))),_xlfn.REGEXEXTRACT(CELL("address",H215), "\$([A-Z]+)\$[0-9]+"))</f>
        <v/>
      </c>
      <c r="I215" s="7" t="str" cm="1">
        <f t="array" aca="1" ref="I215" ca="1">IFERROR(IF(OR('Raw Data'!I215="",LEN(TRIM('Raw Data'!I215))=0),"",IF(AND(ISNUMBER('Raw Data'!I215), IFERROR('Raw Data'!I215 = ROUND('Raw Data'!I215, 2),FALSE)),"",_xlfn.REGEXEXTRACT(CELL("address",I215), "\$([A-Z]+)\$[0-9]+"))),_xlfn.REGEXEXTRACT(CELL("address",I215), "\$([A-Z]+)\$[0-9]+"))</f>
        <v/>
      </c>
      <c r="J215" s="7" t="str" cm="1">
        <f t="array" aca="1" ref="J215" ca="1">IFERROR(IF(OR('Raw Data'!J215="",LEN(TRIM('Raw Data'!J215))=0),"",IF(AND(ISNUMBER('Raw Data'!J215), IFERROR('Raw Data'!J215 = ROUND('Raw Data'!J215, 2),FALSE)),"",_xlfn.REGEXEXTRACT(CELL("address",J215), "\$([A-Z]+)\$[0-9]+"))),_xlfn.REGEXEXTRACT(CELL("address",J215), "\$([A-Z]+)\$[0-9]+"))</f>
        <v/>
      </c>
      <c r="K215" s="7" t="str" cm="1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7" t="str" cm="1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7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7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7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7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 cm="1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7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7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7" t="str" cm="1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7" t="str" cm="1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  <c r="Z215" s="7" t="str" cm="1">
        <f t="array" aca="1" ref="Z215" ca="1">IFERROR(IF(OR('Raw Data'!Z215="",LEN(TRIM('Raw Data'!Z215))=0),"",IF(AND(ISNUMBER('Raw Data'!Z215), IFERROR('Raw Data'!Z215 = ROUND('Raw Data'!Z215, 2),FALSE)),"",_xlfn.REGEXEXTRACT(CELL("address",Z215), "\$([A-Z]+)\$[0-9]+"))),_xlfn.REGEXEXTRACT(CELL("address",Z215), "\$([A-Z]+)\$[0-9]+"))</f>
        <v/>
      </c>
      <c r="AA215" s="7" t="str" cm="1">
        <f t="array" aca="1" ref="AA215" ca="1">IFERROR(IF(OR('Raw Data'!AA215="",LEN(TRIM('Raw Data'!AA215))=0),"",IF(AND(ISNUMBER('Raw Data'!AA215), IFERROR('Raw Data'!AA215 = ROUND('Raw Data'!AA215, 2),FALSE)),"",_xlfn.REGEXEXTRACT(CELL("address",AA215), "\$([A-Z]+)\$[0-9]+"))),_xlfn.REGEXEXTRACT(CELL("address",AA215), "\$([A-Z]+)\$[0-9]+"))</f>
        <v/>
      </c>
      <c r="AB215" s="7" t="str" cm="1">
        <f t="array" aca="1" ref="AB215" ca="1">IFERROR(IF(OR('Raw Data'!AB215="",LEN(TRIM('Raw Data'!AB215))=0),"",IF(AND(ISNUMBER('Raw Data'!AB215), IFERROR('Raw Data'!AB215 = ROUND('Raw Data'!AB215, 2),FALSE)),"",_xlfn.REGEXEXTRACT(CELL("address",AB215), "\$([A-Z]+)\$[0-9]+"))),_xlfn.REGEXEXTRACT(CELL("address",AB215), "\$([A-Z]+)\$[0-9]+"))</f>
        <v/>
      </c>
      <c r="AC215" s="7" t="str" cm="1">
        <f t="array" aca="1" ref="AC215" ca="1">IFERROR(IF(OR('Raw Data'!AC215="",LEN(TRIM('Raw Data'!AC215))=0),"",IF(AND(ISNUMBER('Raw Data'!AC215), IFERROR('Raw Data'!AC215 = ROUND('Raw Data'!AC215, 2),FALSE)),"",_xlfn.REGEXEXTRACT(CELL("address",AC215), "\$([A-Z]+)\$[0-9]+"))),_xlfn.REGEXEXTRACT(CELL("address",AC215), "\$([A-Z]+)\$[0-9]+"))</f>
        <v/>
      </c>
      <c r="AD215" s="7" t="str" cm="1">
        <f t="array" aca="1" ref="AD215" ca="1">IFERROR(IF(OR('Raw Data'!AD215="",LEN(TRIM('Raw Data'!AD215))=0),"",IF(AND(ISNUMBER('Raw Data'!AD215), IFERROR('Raw Data'!AD215 = ROUND('Raw Data'!AD215, 2),FALSE)),"",_xlfn.REGEXEXTRACT(CELL("address",AD215), "\$([A-Z]+)\$[0-9]+"))),_xlfn.REGEXEXTRACT(CELL("address",AD215), "\$([A-Z]+)\$[0-9]+"))</f>
        <v/>
      </c>
      <c r="AE215" s="7" t="str" cm="1">
        <f t="array" aca="1" ref="AE215" ca="1">IFERROR(IF(OR('Raw Data'!AE215="",LEN(TRIM('Raw Data'!AE215))=0),"",IF(AND(ISNUMBER('Raw Data'!AE215), IFERROR('Raw Data'!AE215 = ROUND('Raw Data'!AE215, 2),FALSE)),"",_xlfn.REGEXEXTRACT(CELL("address",AE215), "\$([A-Z]+)\$[0-9]+"))),_xlfn.REGEXEXTRACT(CELL("address",AE215), "\$([A-Z]+)\$[0-9]+"))</f>
        <v/>
      </c>
      <c r="AF215" s="7" t="str" cm="1">
        <f t="array" aca="1" ref="AF215" ca="1">IFERROR(IF(OR('Raw Data'!AF215="",LEN(TRIM('Raw Data'!AF215))=0),"",IF(AND(ISNUMBER('Raw Data'!AF215), IFERROR('Raw Data'!AF215 = ROUND('Raw Data'!AF215, 2),FALSE)),"",_xlfn.REGEXEXTRACT(CELL("address",AF215), "\$([A-Z]+)\$[0-9]+"))),_xlfn.REGEXEXTRACT(CELL("address",AF215), "\$([A-Z]+)\$[0-9]+"))</f>
        <v/>
      </c>
      <c r="AG215" s="7" t="str" cm="1">
        <f t="array" aca="1" ref="AG215" ca="1">IFERROR(IF(OR('Raw Data'!AG215="",LEN(TRIM('Raw Data'!AG215))=0),"",IF(AND(ISNUMBER('Raw Data'!AG215), IFERROR('Raw Data'!AG215 = ROUND('Raw Data'!AG215, 2),FALSE)),"",_xlfn.REGEXEXTRACT(CELL("address",AG215), "\$([A-Z]+)\$[0-9]+"))),_xlfn.REGEXEXTRACT(CELL("address",AG215), "\$([A-Z]+)\$[0-9]+"))</f>
        <v/>
      </c>
      <c r="AH215" s="7" t="str" cm="1">
        <f t="array" aca="1" ref="AH215" ca="1">IFERROR(IF(OR('Raw Data'!AH215="",LEN(TRIM('Raw Data'!AH215))=0),"",IF(AND(ISNUMBER('Raw Data'!AH215), IFERROR('Raw Data'!AH215 = ROUND('Raw Data'!AH215, 2),FALSE)),"",_xlfn.REGEXEXTRACT(CELL("address",AH215), "\$([A-Z]+)\$[0-9]+"))),_xlfn.REGEXEXTRACT(CELL("address",AH215), "\$([A-Z]+)\$[0-9]+"))</f>
        <v/>
      </c>
      <c r="AI215" s="7" t="str" cm="1">
        <f t="array" aca="1" ref="AI215" ca="1">IFERROR(IF(OR('Raw Data'!AI215="",LEN(TRIM('Raw Data'!AI215))=0),"",IF(AND(ISNUMBER('Raw Data'!AI215), IFERROR('Raw Data'!AI215 = ROUND('Raw Data'!AI215, 2),FALSE)),"",_xlfn.REGEXEXTRACT(CELL("address",AI215), "\$([A-Z]+)\$[0-9]+"))),_xlfn.REGEXEXTRACT(CELL("address",AI215), "\$([A-Z]+)\$[0-9]+"))</f>
        <v/>
      </c>
      <c r="AJ215" s="7" t="str" cm="1">
        <f t="array" aca="1" ref="AJ215" ca="1">IFERROR(IF(OR('Raw Data'!AJ215="",LEN(TRIM('Raw Data'!AJ215))=0),"",IF(AND(ISNUMBER('Raw Data'!AJ215), IFERROR('Raw Data'!AJ215 = ROUND('Raw Data'!AJ215, 2),FALSE)),"",_xlfn.REGEXEXTRACT(CELL("address",AJ215), "\$([A-Z]+)\$[0-9]+"))),_xlfn.REGEXEXTRACT(CELL("address",AJ215), "\$([A-Z]+)\$[0-9]+"))</f>
        <v/>
      </c>
    </row>
    <row r="216" spans="2:36" x14ac:dyDescent="0.25">
      <c r="B216" s="7" t="str" cm="1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20,LEN('Raw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Data'!D216))=0),"",IF(AND(ISNUMBER('Raw Data'!D216),'Raw Data'!D216&gt;=Configuration!$D$2),"",_xlfn.REGEXEXTRACT(CELL("address",'Raw Data'!D216),"\$([A-Z]+)\$[0-9]+"))),_xlfn.REGEXEXTRACT(CELL("address",D216), "\$([A-Z]+)\$[0-9]+"))</f>
        <v/>
      </c>
      <c r="E216" s="7" t="str" cm="1">
        <f t="array" aca="1" ref="E216" ca="1">IFERROR(IF(OR('Raw Data'!E216="",LEN(TRIM('Raw Data'!E216))=0),"",IF(AND(ISNUMBER('Raw Data'!E216), IFERROR('Raw Data'!E216 = ROUND('Raw Data'!E216, 2),FALSE)),"",_xlfn.REGEXEXTRACT(CELL("address",E216), "\$([A-Z]+)\$[0-9]+"))),_xlfn.REGEXEXTRACT(CELL("address",E216), "\$([A-Z]+)\$[0-9]+"))</f>
        <v/>
      </c>
      <c r="F216" s="7" t="str" cm="1">
        <f t="array" aca="1" ref="F216" ca="1">IFERROR(IF(OR('Raw Data'!F216="",LEN(TRIM('Raw Data'!F216))=0),"",IF(AND(ISNUMBER('Raw Data'!F216), IFERROR('Raw Data'!F216 = ROUND('Raw Data'!F216, 2),FALSE)),"",_xlfn.REGEXEXTRACT(CELL("address",F216), "\$([A-Z]+)\$[0-9]+"))),_xlfn.REGEXEXTRACT(CELL("address",F216), "\$([A-Z]+)\$[0-9]+"))</f>
        <v/>
      </c>
      <c r="G216" s="7" t="str" cm="1">
        <f t="array" aca="1" ref="G216" ca="1">IFERROR(IF(OR('Raw Data'!G216="",LEN(TRIM('Raw Data'!G216))=0),"",IF(AND(ISNUMBER('Raw Data'!G216), IFERROR('Raw Data'!G216 = ROUND('Raw Data'!G216, 2),FALSE)),"",_xlfn.REGEXEXTRACT(CELL("address",G216), "\$([A-Z]+)\$[0-9]+"))),_xlfn.REGEXEXTRACT(CELL("address",G216), "\$([A-Z]+)\$[0-9]+"))</f>
        <v/>
      </c>
      <c r="H216" s="7" t="str" cm="1">
        <f t="array" aca="1" ref="H216" ca="1">IFERROR(IF(OR('Raw Data'!H216="",LEN(TRIM('Raw Data'!H216))=0),"",IF(AND(ISNUMBER('Raw Data'!H216), IFERROR('Raw Data'!H216 = ROUND('Raw Data'!H216, 2),FALSE)),"",_xlfn.REGEXEXTRACT(CELL("address",H216), "\$([A-Z]+)\$[0-9]+"))),_xlfn.REGEXEXTRACT(CELL("address",H216), "\$([A-Z]+)\$[0-9]+"))</f>
        <v/>
      </c>
      <c r="I216" s="7" t="str" cm="1">
        <f t="array" aca="1" ref="I216" ca="1">IFERROR(IF(OR('Raw Data'!I216="",LEN(TRIM('Raw Data'!I216))=0),"",IF(AND(ISNUMBER('Raw Data'!I216), IFERROR('Raw Data'!I216 = ROUND('Raw Data'!I216, 2),FALSE)),"",_xlfn.REGEXEXTRACT(CELL("address",I216), "\$([A-Z]+)\$[0-9]+"))),_xlfn.REGEXEXTRACT(CELL("address",I216), "\$([A-Z]+)\$[0-9]+"))</f>
        <v/>
      </c>
      <c r="J216" s="7" t="str" cm="1">
        <f t="array" aca="1" ref="J216" ca="1">IFERROR(IF(OR('Raw Data'!J216="",LEN(TRIM('Raw Data'!J216))=0),"",IF(AND(ISNUMBER('Raw Data'!J216), IFERROR('Raw Data'!J216 = ROUND('Raw Data'!J216, 2),FALSE)),"",_xlfn.REGEXEXTRACT(CELL("address",J216), "\$([A-Z]+)\$[0-9]+"))),_xlfn.REGEXEXTRACT(CELL("address",J216), "\$([A-Z]+)\$[0-9]+"))</f>
        <v/>
      </c>
      <c r="K216" s="7" t="str" cm="1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7" t="str" cm="1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7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7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7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7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 cm="1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7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7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7" t="str" cm="1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7" t="str" cm="1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  <c r="Z216" s="7" t="str" cm="1">
        <f t="array" aca="1" ref="Z216" ca="1">IFERROR(IF(OR('Raw Data'!Z216="",LEN(TRIM('Raw Data'!Z216))=0),"",IF(AND(ISNUMBER('Raw Data'!Z216), IFERROR('Raw Data'!Z216 = ROUND('Raw Data'!Z216, 2),FALSE)),"",_xlfn.REGEXEXTRACT(CELL("address",Z216), "\$([A-Z]+)\$[0-9]+"))),_xlfn.REGEXEXTRACT(CELL("address",Z216), "\$([A-Z]+)\$[0-9]+"))</f>
        <v/>
      </c>
      <c r="AA216" s="7" t="str" cm="1">
        <f t="array" aca="1" ref="AA216" ca="1">IFERROR(IF(OR('Raw Data'!AA216="",LEN(TRIM('Raw Data'!AA216))=0),"",IF(AND(ISNUMBER('Raw Data'!AA216), IFERROR('Raw Data'!AA216 = ROUND('Raw Data'!AA216, 2),FALSE)),"",_xlfn.REGEXEXTRACT(CELL("address",AA216), "\$([A-Z]+)\$[0-9]+"))),_xlfn.REGEXEXTRACT(CELL("address",AA216), "\$([A-Z]+)\$[0-9]+"))</f>
        <v/>
      </c>
      <c r="AB216" s="7" t="str" cm="1">
        <f t="array" aca="1" ref="AB216" ca="1">IFERROR(IF(OR('Raw Data'!AB216="",LEN(TRIM('Raw Data'!AB216))=0),"",IF(AND(ISNUMBER('Raw Data'!AB216), IFERROR('Raw Data'!AB216 = ROUND('Raw Data'!AB216, 2),FALSE)),"",_xlfn.REGEXEXTRACT(CELL("address",AB216), "\$([A-Z]+)\$[0-9]+"))),_xlfn.REGEXEXTRACT(CELL("address",AB216), "\$([A-Z]+)\$[0-9]+"))</f>
        <v/>
      </c>
      <c r="AC216" s="7" t="str" cm="1">
        <f t="array" aca="1" ref="AC216" ca="1">IFERROR(IF(OR('Raw Data'!AC216="",LEN(TRIM('Raw Data'!AC216))=0),"",IF(AND(ISNUMBER('Raw Data'!AC216), IFERROR('Raw Data'!AC216 = ROUND('Raw Data'!AC216, 2),FALSE)),"",_xlfn.REGEXEXTRACT(CELL("address",AC216), "\$([A-Z]+)\$[0-9]+"))),_xlfn.REGEXEXTRACT(CELL("address",AC216), "\$([A-Z]+)\$[0-9]+"))</f>
        <v/>
      </c>
      <c r="AD216" s="7" t="str" cm="1">
        <f t="array" aca="1" ref="AD216" ca="1">IFERROR(IF(OR('Raw Data'!AD216="",LEN(TRIM('Raw Data'!AD216))=0),"",IF(AND(ISNUMBER('Raw Data'!AD216), IFERROR('Raw Data'!AD216 = ROUND('Raw Data'!AD216, 2),FALSE)),"",_xlfn.REGEXEXTRACT(CELL("address",AD216), "\$([A-Z]+)\$[0-9]+"))),_xlfn.REGEXEXTRACT(CELL("address",AD216), "\$([A-Z]+)\$[0-9]+"))</f>
        <v/>
      </c>
      <c r="AE216" s="7" t="str" cm="1">
        <f t="array" aca="1" ref="AE216" ca="1">IFERROR(IF(OR('Raw Data'!AE216="",LEN(TRIM('Raw Data'!AE216))=0),"",IF(AND(ISNUMBER('Raw Data'!AE216), IFERROR('Raw Data'!AE216 = ROUND('Raw Data'!AE216, 2),FALSE)),"",_xlfn.REGEXEXTRACT(CELL("address",AE216), "\$([A-Z]+)\$[0-9]+"))),_xlfn.REGEXEXTRACT(CELL("address",AE216), "\$([A-Z]+)\$[0-9]+"))</f>
        <v/>
      </c>
      <c r="AF216" s="7" t="str" cm="1">
        <f t="array" aca="1" ref="AF216" ca="1">IFERROR(IF(OR('Raw Data'!AF216="",LEN(TRIM('Raw Data'!AF216))=0),"",IF(AND(ISNUMBER('Raw Data'!AF216), IFERROR('Raw Data'!AF216 = ROUND('Raw Data'!AF216, 2),FALSE)),"",_xlfn.REGEXEXTRACT(CELL("address",AF216), "\$([A-Z]+)\$[0-9]+"))),_xlfn.REGEXEXTRACT(CELL("address",AF216), "\$([A-Z]+)\$[0-9]+"))</f>
        <v/>
      </c>
      <c r="AG216" s="7" t="str" cm="1">
        <f t="array" aca="1" ref="AG216" ca="1">IFERROR(IF(OR('Raw Data'!AG216="",LEN(TRIM('Raw Data'!AG216))=0),"",IF(AND(ISNUMBER('Raw Data'!AG216), IFERROR('Raw Data'!AG216 = ROUND('Raw Data'!AG216, 2),FALSE)),"",_xlfn.REGEXEXTRACT(CELL("address",AG216), "\$([A-Z]+)\$[0-9]+"))),_xlfn.REGEXEXTRACT(CELL("address",AG216), "\$([A-Z]+)\$[0-9]+"))</f>
        <v/>
      </c>
      <c r="AH216" s="7" t="str" cm="1">
        <f t="array" aca="1" ref="AH216" ca="1">IFERROR(IF(OR('Raw Data'!AH216="",LEN(TRIM('Raw Data'!AH216))=0),"",IF(AND(ISNUMBER('Raw Data'!AH216), IFERROR('Raw Data'!AH216 = ROUND('Raw Data'!AH216, 2),FALSE)),"",_xlfn.REGEXEXTRACT(CELL("address",AH216), "\$([A-Z]+)\$[0-9]+"))),_xlfn.REGEXEXTRACT(CELL("address",AH216), "\$([A-Z]+)\$[0-9]+"))</f>
        <v/>
      </c>
      <c r="AI216" s="7" t="str" cm="1">
        <f t="array" aca="1" ref="AI216" ca="1">IFERROR(IF(OR('Raw Data'!AI216="",LEN(TRIM('Raw Data'!AI216))=0),"",IF(AND(ISNUMBER('Raw Data'!AI216), IFERROR('Raw Data'!AI216 = ROUND('Raw Data'!AI216, 2),FALSE)),"",_xlfn.REGEXEXTRACT(CELL("address",AI216), "\$([A-Z]+)\$[0-9]+"))),_xlfn.REGEXEXTRACT(CELL("address",AI216), "\$([A-Z]+)\$[0-9]+"))</f>
        <v/>
      </c>
      <c r="AJ216" s="7" t="str" cm="1">
        <f t="array" aca="1" ref="AJ216" ca="1">IFERROR(IF(OR('Raw Data'!AJ216="",LEN(TRIM('Raw Data'!AJ216))=0),"",IF(AND(ISNUMBER('Raw Data'!AJ216), IFERROR('Raw Data'!AJ216 = ROUND('Raw Data'!AJ216, 2),FALSE)),"",_xlfn.REGEXEXTRACT(CELL("address",AJ216), "\$([A-Z]+)\$[0-9]+"))),_xlfn.REGEXEXTRACT(CELL("address",AJ216), "\$([A-Z]+)\$[0-9]+"))</f>
        <v/>
      </c>
    </row>
    <row r="217" spans="2:36" x14ac:dyDescent="0.25">
      <c r="B217" s="7" t="str" cm="1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20,LEN('Raw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Data'!D217))=0),"",IF(AND(ISNUMBER('Raw Data'!D217),'Raw Data'!D217&gt;=Configuration!$D$2),"",_xlfn.REGEXEXTRACT(CELL("address",'Raw Data'!D217),"\$([A-Z]+)\$[0-9]+"))),_xlfn.REGEXEXTRACT(CELL("address",D217), "\$([A-Z]+)\$[0-9]+"))</f>
        <v/>
      </c>
      <c r="E217" s="7" t="str" cm="1">
        <f t="array" aca="1" ref="E217" ca="1">IFERROR(IF(OR('Raw Data'!E217="",LEN(TRIM('Raw Data'!E217))=0),"",IF(AND(ISNUMBER('Raw Data'!E217), IFERROR('Raw Data'!E217 = ROUND('Raw Data'!E217, 2),FALSE)),"",_xlfn.REGEXEXTRACT(CELL("address",E217), "\$([A-Z]+)\$[0-9]+"))),_xlfn.REGEXEXTRACT(CELL("address",E217), "\$([A-Z]+)\$[0-9]+"))</f>
        <v/>
      </c>
      <c r="F217" s="7" t="str" cm="1">
        <f t="array" aca="1" ref="F217" ca="1">IFERROR(IF(OR('Raw Data'!F217="",LEN(TRIM('Raw Data'!F217))=0),"",IF(AND(ISNUMBER('Raw Data'!F217), IFERROR('Raw Data'!F217 = ROUND('Raw Data'!F217, 2),FALSE)),"",_xlfn.REGEXEXTRACT(CELL("address",F217), "\$([A-Z]+)\$[0-9]+"))),_xlfn.REGEXEXTRACT(CELL("address",F217), "\$([A-Z]+)\$[0-9]+"))</f>
        <v/>
      </c>
      <c r="G217" s="7" t="str" cm="1">
        <f t="array" aca="1" ref="G217" ca="1">IFERROR(IF(OR('Raw Data'!G217="",LEN(TRIM('Raw Data'!G217))=0),"",IF(AND(ISNUMBER('Raw Data'!G217), IFERROR('Raw Data'!G217 = ROUND('Raw Data'!G217, 2),FALSE)),"",_xlfn.REGEXEXTRACT(CELL("address",G217), "\$([A-Z]+)\$[0-9]+"))),_xlfn.REGEXEXTRACT(CELL("address",G217), "\$([A-Z]+)\$[0-9]+"))</f>
        <v/>
      </c>
      <c r="H217" s="7" t="str" cm="1">
        <f t="array" aca="1" ref="H217" ca="1">IFERROR(IF(OR('Raw Data'!H217="",LEN(TRIM('Raw Data'!H217))=0),"",IF(AND(ISNUMBER('Raw Data'!H217), IFERROR('Raw Data'!H217 = ROUND('Raw Data'!H217, 2),FALSE)),"",_xlfn.REGEXEXTRACT(CELL("address",H217), "\$([A-Z]+)\$[0-9]+"))),_xlfn.REGEXEXTRACT(CELL("address",H217), "\$([A-Z]+)\$[0-9]+"))</f>
        <v/>
      </c>
      <c r="I217" s="7" t="str" cm="1">
        <f t="array" aca="1" ref="I217" ca="1">IFERROR(IF(OR('Raw Data'!I217="",LEN(TRIM('Raw Data'!I217))=0),"",IF(AND(ISNUMBER('Raw Data'!I217), IFERROR('Raw Data'!I217 = ROUND('Raw Data'!I217, 2),FALSE)),"",_xlfn.REGEXEXTRACT(CELL("address",I217), "\$([A-Z]+)\$[0-9]+"))),_xlfn.REGEXEXTRACT(CELL("address",I217), "\$([A-Z]+)\$[0-9]+"))</f>
        <v/>
      </c>
      <c r="J217" s="7" t="str" cm="1">
        <f t="array" aca="1" ref="J217" ca="1">IFERROR(IF(OR('Raw Data'!J217="",LEN(TRIM('Raw Data'!J217))=0),"",IF(AND(ISNUMBER('Raw Data'!J217), IFERROR('Raw Data'!J217 = ROUND('Raw Data'!J217, 2),FALSE)),"",_xlfn.REGEXEXTRACT(CELL("address",J217), "\$([A-Z]+)\$[0-9]+"))),_xlfn.REGEXEXTRACT(CELL("address",J217), "\$([A-Z]+)\$[0-9]+"))</f>
        <v/>
      </c>
      <c r="K217" s="7" t="str" cm="1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7" t="str" cm="1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7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7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7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7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 cm="1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7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7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7" t="str" cm="1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7" t="str" cm="1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  <c r="Z217" s="7" t="str" cm="1">
        <f t="array" aca="1" ref="Z217" ca="1">IFERROR(IF(OR('Raw Data'!Z217="",LEN(TRIM('Raw Data'!Z217))=0),"",IF(AND(ISNUMBER('Raw Data'!Z217), IFERROR('Raw Data'!Z217 = ROUND('Raw Data'!Z217, 2),FALSE)),"",_xlfn.REGEXEXTRACT(CELL("address",Z217), "\$([A-Z]+)\$[0-9]+"))),_xlfn.REGEXEXTRACT(CELL("address",Z217), "\$([A-Z]+)\$[0-9]+"))</f>
        <v/>
      </c>
      <c r="AA217" s="7" t="str" cm="1">
        <f t="array" aca="1" ref="AA217" ca="1">IFERROR(IF(OR('Raw Data'!AA217="",LEN(TRIM('Raw Data'!AA217))=0),"",IF(AND(ISNUMBER('Raw Data'!AA217), IFERROR('Raw Data'!AA217 = ROUND('Raw Data'!AA217, 2),FALSE)),"",_xlfn.REGEXEXTRACT(CELL("address",AA217), "\$([A-Z]+)\$[0-9]+"))),_xlfn.REGEXEXTRACT(CELL("address",AA217), "\$([A-Z]+)\$[0-9]+"))</f>
        <v/>
      </c>
      <c r="AB217" s="7" t="str" cm="1">
        <f t="array" aca="1" ref="AB217" ca="1">IFERROR(IF(OR('Raw Data'!AB217="",LEN(TRIM('Raw Data'!AB217))=0),"",IF(AND(ISNUMBER('Raw Data'!AB217), IFERROR('Raw Data'!AB217 = ROUND('Raw Data'!AB217, 2),FALSE)),"",_xlfn.REGEXEXTRACT(CELL("address",AB217), "\$([A-Z]+)\$[0-9]+"))),_xlfn.REGEXEXTRACT(CELL("address",AB217), "\$([A-Z]+)\$[0-9]+"))</f>
        <v/>
      </c>
      <c r="AC217" s="7" t="str" cm="1">
        <f t="array" aca="1" ref="AC217" ca="1">IFERROR(IF(OR('Raw Data'!AC217="",LEN(TRIM('Raw Data'!AC217))=0),"",IF(AND(ISNUMBER('Raw Data'!AC217), IFERROR('Raw Data'!AC217 = ROUND('Raw Data'!AC217, 2),FALSE)),"",_xlfn.REGEXEXTRACT(CELL("address",AC217), "\$([A-Z]+)\$[0-9]+"))),_xlfn.REGEXEXTRACT(CELL("address",AC217), "\$([A-Z]+)\$[0-9]+"))</f>
        <v/>
      </c>
      <c r="AD217" s="7" t="str" cm="1">
        <f t="array" aca="1" ref="AD217" ca="1">IFERROR(IF(OR('Raw Data'!AD217="",LEN(TRIM('Raw Data'!AD217))=0),"",IF(AND(ISNUMBER('Raw Data'!AD217), IFERROR('Raw Data'!AD217 = ROUND('Raw Data'!AD217, 2),FALSE)),"",_xlfn.REGEXEXTRACT(CELL("address",AD217), "\$([A-Z]+)\$[0-9]+"))),_xlfn.REGEXEXTRACT(CELL("address",AD217), "\$([A-Z]+)\$[0-9]+"))</f>
        <v/>
      </c>
      <c r="AE217" s="7" t="str" cm="1">
        <f t="array" aca="1" ref="AE217" ca="1">IFERROR(IF(OR('Raw Data'!AE217="",LEN(TRIM('Raw Data'!AE217))=0),"",IF(AND(ISNUMBER('Raw Data'!AE217), IFERROR('Raw Data'!AE217 = ROUND('Raw Data'!AE217, 2),FALSE)),"",_xlfn.REGEXEXTRACT(CELL("address",AE217), "\$([A-Z]+)\$[0-9]+"))),_xlfn.REGEXEXTRACT(CELL("address",AE217), "\$([A-Z]+)\$[0-9]+"))</f>
        <v/>
      </c>
      <c r="AF217" s="7" t="str" cm="1">
        <f t="array" aca="1" ref="AF217" ca="1">IFERROR(IF(OR('Raw Data'!AF217="",LEN(TRIM('Raw Data'!AF217))=0),"",IF(AND(ISNUMBER('Raw Data'!AF217), IFERROR('Raw Data'!AF217 = ROUND('Raw Data'!AF217, 2),FALSE)),"",_xlfn.REGEXEXTRACT(CELL("address",AF217), "\$([A-Z]+)\$[0-9]+"))),_xlfn.REGEXEXTRACT(CELL("address",AF217), "\$([A-Z]+)\$[0-9]+"))</f>
        <v/>
      </c>
      <c r="AG217" s="7" t="str" cm="1">
        <f t="array" aca="1" ref="AG217" ca="1">IFERROR(IF(OR('Raw Data'!AG217="",LEN(TRIM('Raw Data'!AG217))=0),"",IF(AND(ISNUMBER('Raw Data'!AG217), IFERROR('Raw Data'!AG217 = ROUND('Raw Data'!AG217, 2),FALSE)),"",_xlfn.REGEXEXTRACT(CELL("address",AG217), "\$([A-Z]+)\$[0-9]+"))),_xlfn.REGEXEXTRACT(CELL("address",AG217), "\$([A-Z]+)\$[0-9]+"))</f>
        <v/>
      </c>
      <c r="AH217" s="7" t="str" cm="1">
        <f t="array" aca="1" ref="AH217" ca="1">IFERROR(IF(OR('Raw Data'!AH217="",LEN(TRIM('Raw Data'!AH217))=0),"",IF(AND(ISNUMBER('Raw Data'!AH217), IFERROR('Raw Data'!AH217 = ROUND('Raw Data'!AH217, 2),FALSE)),"",_xlfn.REGEXEXTRACT(CELL("address",AH217), "\$([A-Z]+)\$[0-9]+"))),_xlfn.REGEXEXTRACT(CELL("address",AH217), "\$([A-Z]+)\$[0-9]+"))</f>
        <v/>
      </c>
      <c r="AI217" s="7" t="str" cm="1">
        <f t="array" aca="1" ref="AI217" ca="1">IFERROR(IF(OR('Raw Data'!AI217="",LEN(TRIM('Raw Data'!AI217))=0),"",IF(AND(ISNUMBER('Raw Data'!AI217), IFERROR('Raw Data'!AI217 = ROUND('Raw Data'!AI217, 2),FALSE)),"",_xlfn.REGEXEXTRACT(CELL("address",AI217), "\$([A-Z]+)\$[0-9]+"))),_xlfn.REGEXEXTRACT(CELL("address",AI217), "\$([A-Z]+)\$[0-9]+"))</f>
        <v/>
      </c>
      <c r="AJ217" s="7" t="str" cm="1">
        <f t="array" aca="1" ref="AJ217" ca="1">IFERROR(IF(OR('Raw Data'!AJ217="",LEN(TRIM('Raw Data'!AJ217))=0),"",IF(AND(ISNUMBER('Raw Data'!AJ217), IFERROR('Raw Data'!AJ217 = ROUND('Raw Data'!AJ217, 2),FALSE)),"",_xlfn.REGEXEXTRACT(CELL("address",AJ217), "\$([A-Z]+)\$[0-9]+"))),_xlfn.REGEXEXTRACT(CELL("address",AJ217), "\$([A-Z]+)\$[0-9]+"))</f>
        <v/>
      </c>
    </row>
    <row r="218" spans="2:36" x14ac:dyDescent="0.25">
      <c r="B218" s="7" t="str" cm="1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20,LEN('Raw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Data'!D218))=0),"",IF(AND(ISNUMBER('Raw Data'!D218),'Raw Data'!D218&gt;=Configuration!$D$2),"",_xlfn.REGEXEXTRACT(CELL("address",'Raw Data'!D218),"\$([A-Z]+)\$[0-9]+"))),_xlfn.REGEXEXTRACT(CELL("address",D218), "\$([A-Z]+)\$[0-9]+"))</f>
        <v/>
      </c>
      <c r="E218" s="7" t="str" cm="1">
        <f t="array" aca="1" ref="E218" ca="1">IFERROR(IF(OR('Raw Data'!E218="",LEN(TRIM('Raw Data'!E218))=0),"",IF(AND(ISNUMBER('Raw Data'!E218), IFERROR('Raw Data'!E218 = ROUND('Raw Data'!E218, 2),FALSE)),"",_xlfn.REGEXEXTRACT(CELL("address",E218), "\$([A-Z]+)\$[0-9]+"))),_xlfn.REGEXEXTRACT(CELL("address",E218), "\$([A-Z]+)\$[0-9]+"))</f>
        <v/>
      </c>
      <c r="F218" s="7" t="str" cm="1">
        <f t="array" aca="1" ref="F218" ca="1">IFERROR(IF(OR('Raw Data'!F218="",LEN(TRIM('Raw Data'!F218))=0),"",IF(AND(ISNUMBER('Raw Data'!F218), IFERROR('Raw Data'!F218 = ROUND('Raw Data'!F218, 2),FALSE)),"",_xlfn.REGEXEXTRACT(CELL("address",F218), "\$([A-Z]+)\$[0-9]+"))),_xlfn.REGEXEXTRACT(CELL("address",F218), "\$([A-Z]+)\$[0-9]+"))</f>
        <v/>
      </c>
      <c r="G218" s="7" t="str" cm="1">
        <f t="array" aca="1" ref="G218" ca="1">IFERROR(IF(OR('Raw Data'!G218="",LEN(TRIM('Raw Data'!G218))=0),"",IF(AND(ISNUMBER('Raw Data'!G218), IFERROR('Raw Data'!G218 = ROUND('Raw Data'!G218, 2),FALSE)),"",_xlfn.REGEXEXTRACT(CELL("address",G218), "\$([A-Z]+)\$[0-9]+"))),_xlfn.REGEXEXTRACT(CELL("address",G218), "\$([A-Z]+)\$[0-9]+"))</f>
        <v/>
      </c>
      <c r="H218" s="7" t="str" cm="1">
        <f t="array" aca="1" ref="H218" ca="1">IFERROR(IF(OR('Raw Data'!H218="",LEN(TRIM('Raw Data'!H218))=0),"",IF(AND(ISNUMBER('Raw Data'!H218), IFERROR('Raw Data'!H218 = ROUND('Raw Data'!H218, 2),FALSE)),"",_xlfn.REGEXEXTRACT(CELL("address",H218), "\$([A-Z]+)\$[0-9]+"))),_xlfn.REGEXEXTRACT(CELL("address",H218), "\$([A-Z]+)\$[0-9]+"))</f>
        <v/>
      </c>
      <c r="I218" s="7" t="str" cm="1">
        <f t="array" aca="1" ref="I218" ca="1">IFERROR(IF(OR('Raw Data'!I218="",LEN(TRIM('Raw Data'!I218))=0),"",IF(AND(ISNUMBER('Raw Data'!I218), IFERROR('Raw Data'!I218 = ROUND('Raw Data'!I218, 2),FALSE)),"",_xlfn.REGEXEXTRACT(CELL("address",I218), "\$([A-Z]+)\$[0-9]+"))),_xlfn.REGEXEXTRACT(CELL("address",I218), "\$([A-Z]+)\$[0-9]+"))</f>
        <v/>
      </c>
      <c r="J218" s="7" t="str" cm="1">
        <f t="array" aca="1" ref="J218" ca="1">IFERROR(IF(OR('Raw Data'!J218="",LEN(TRIM('Raw Data'!J218))=0),"",IF(AND(ISNUMBER('Raw Data'!J218), IFERROR('Raw Data'!J218 = ROUND('Raw Data'!J218, 2),FALSE)),"",_xlfn.REGEXEXTRACT(CELL("address",J218), "\$([A-Z]+)\$[0-9]+"))),_xlfn.REGEXEXTRACT(CELL("address",J218), "\$([A-Z]+)\$[0-9]+"))</f>
        <v/>
      </c>
      <c r="K218" s="7" t="str" cm="1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7" t="str" cm="1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7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7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7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7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 cm="1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7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7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7" t="str" cm="1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7" t="str" cm="1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  <c r="Z218" s="7" t="str" cm="1">
        <f t="array" aca="1" ref="Z218" ca="1">IFERROR(IF(OR('Raw Data'!Z218="",LEN(TRIM('Raw Data'!Z218))=0),"",IF(AND(ISNUMBER('Raw Data'!Z218), IFERROR('Raw Data'!Z218 = ROUND('Raw Data'!Z218, 2),FALSE)),"",_xlfn.REGEXEXTRACT(CELL("address",Z218), "\$([A-Z]+)\$[0-9]+"))),_xlfn.REGEXEXTRACT(CELL("address",Z218), "\$([A-Z]+)\$[0-9]+"))</f>
        <v/>
      </c>
      <c r="AA218" s="7" t="str" cm="1">
        <f t="array" aca="1" ref="AA218" ca="1">IFERROR(IF(OR('Raw Data'!AA218="",LEN(TRIM('Raw Data'!AA218))=0),"",IF(AND(ISNUMBER('Raw Data'!AA218), IFERROR('Raw Data'!AA218 = ROUND('Raw Data'!AA218, 2),FALSE)),"",_xlfn.REGEXEXTRACT(CELL("address",AA218), "\$([A-Z]+)\$[0-9]+"))),_xlfn.REGEXEXTRACT(CELL("address",AA218), "\$([A-Z]+)\$[0-9]+"))</f>
        <v/>
      </c>
      <c r="AB218" s="7" t="str" cm="1">
        <f t="array" aca="1" ref="AB218" ca="1">IFERROR(IF(OR('Raw Data'!AB218="",LEN(TRIM('Raw Data'!AB218))=0),"",IF(AND(ISNUMBER('Raw Data'!AB218), IFERROR('Raw Data'!AB218 = ROUND('Raw Data'!AB218, 2),FALSE)),"",_xlfn.REGEXEXTRACT(CELL("address",AB218), "\$([A-Z]+)\$[0-9]+"))),_xlfn.REGEXEXTRACT(CELL("address",AB218), "\$([A-Z]+)\$[0-9]+"))</f>
        <v/>
      </c>
      <c r="AC218" s="7" t="str" cm="1">
        <f t="array" aca="1" ref="AC218" ca="1">IFERROR(IF(OR('Raw Data'!AC218="",LEN(TRIM('Raw Data'!AC218))=0),"",IF(AND(ISNUMBER('Raw Data'!AC218), IFERROR('Raw Data'!AC218 = ROUND('Raw Data'!AC218, 2),FALSE)),"",_xlfn.REGEXEXTRACT(CELL("address",AC218), "\$([A-Z]+)\$[0-9]+"))),_xlfn.REGEXEXTRACT(CELL("address",AC218), "\$([A-Z]+)\$[0-9]+"))</f>
        <v/>
      </c>
      <c r="AD218" s="7" t="str" cm="1">
        <f t="array" aca="1" ref="AD218" ca="1">IFERROR(IF(OR('Raw Data'!AD218="",LEN(TRIM('Raw Data'!AD218))=0),"",IF(AND(ISNUMBER('Raw Data'!AD218), IFERROR('Raw Data'!AD218 = ROUND('Raw Data'!AD218, 2),FALSE)),"",_xlfn.REGEXEXTRACT(CELL("address",AD218), "\$([A-Z]+)\$[0-9]+"))),_xlfn.REGEXEXTRACT(CELL("address",AD218), "\$([A-Z]+)\$[0-9]+"))</f>
        <v/>
      </c>
      <c r="AE218" s="7" t="str" cm="1">
        <f t="array" aca="1" ref="AE218" ca="1">IFERROR(IF(OR('Raw Data'!AE218="",LEN(TRIM('Raw Data'!AE218))=0),"",IF(AND(ISNUMBER('Raw Data'!AE218), IFERROR('Raw Data'!AE218 = ROUND('Raw Data'!AE218, 2),FALSE)),"",_xlfn.REGEXEXTRACT(CELL("address",AE218), "\$([A-Z]+)\$[0-9]+"))),_xlfn.REGEXEXTRACT(CELL("address",AE218), "\$([A-Z]+)\$[0-9]+"))</f>
        <v/>
      </c>
      <c r="AF218" s="7" t="str" cm="1">
        <f t="array" aca="1" ref="AF218" ca="1">IFERROR(IF(OR('Raw Data'!AF218="",LEN(TRIM('Raw Data'!AF218))=0),"",IF(AND(ISNUMBER('Raw Data'!AF218), IFERROR('Raw Data'!AF218 = ROUND('Raw Data'!AF218, 2),FALSE)),"",_xlfn.REGEXEXTRACT(CELL("address",AF218), "\$([A-Z]+)\$[0-9]+"))),_xlfn.REGEXEXTRACT(CELL("address",AF218), "\$([A-Z]+)\$[0-9]+"))</f>
        <v/>
      </c>
      <c r="AG218" s="7" t="str" cm="1">
        <f t="array" aca="1" ref="AG218" ca="1">IFERROR(IF(OR('Raw Data'!AG218="",LEN(TRIM('Raw Data'!AG218))=0),"",IF(AND(ISNUMBER('Raw Data'!AG218), IFERROR('Raw Data'!AG218 = ROUND('Raw Data'!AG218, 2),FALSE)),"",_xlfn.REGEXEXTRACT(CELL("address",AG218), "\$([A-Z]+)\$[0-9]+"))),_xlfn.REGEXEXTRACT(CELL("address",AG218), "\$([A-Z]+)\$[0-9]+"))</f>
        <v/>
      </c>
      <c r="AH218" s="7" t="str" cm="1">
        <f t="array" aca="1" ref="AH218" ca="1">IFERROR(IF(OR('Raw Data'!AH218="",LEN(TRIM('Raw Data'!AH218))=0),"",IF(AND(ISNUMBER('Raw Data'!AH218), IFERROR('Raw Data'!AH218 = ROUND('Raw Data'!AH218, 2),FALSE)),"",_xlfn.REGEXEXTRACT(CELL("address",AH218), "\$([A-Z]+)\$[0-9]+"))),_xlfn.REGEXEXTRACT(CELL("address",AH218), "\$([A-Z]+)\$[0-9]+"))</f>
        <v/>
      </c>
      <c r="AI218" s="7" t="str" cm="1">
        <f t="array" aca="1" ref="AI218" ca="1">IFERROR(IF(OR('Raw Data'!AI218="",LEN(TRIM('Raw Data'!AI218))=0),"",IF(AND(ISNUMBER('Raw Data'!AI218), IFERROR('Raw Data'!AI218 = ROUND('Raw Data'!AI218, 2),FALSE)),"",_xlfn.REGEXEXTRACT(CELL("address",AI218), "\$([A-Z]+)\$[0-9]+"))),_xlfn.REGEXEXTRACT(CELL("address",AI218), "\$([A-Z]+)\$[0-9]+"))</f>
        <v/>
      </c>
      <c r="AJ218" s="7" t="str" cm="1">
        <f t="array" aca="1" ref="AJ218" ca="1">IFERROR(IF(OR('Raw Data'!AJ218="",LEN(TRIM('Raw Data'!AJ218))=0),"",IF(AND(ISNUMBER('Raw Data'!AJ218), IFERROR('Raw Data'!AJ218 = ROUND('Raw Data'!AJ218, 2),FALSE)),"",_xlfn.REGEXEXTRACT(CELL("address",AJ218), "\$([A-Z]+)\$[0-9]+"))),_xlfn.REGEXEXTRACT(CELL("address",AJ218), "\$([A-Z]+)\$[0-9]+"))</f>
        <v/>
      </c>
    </row>
    <row r="219" spans="2:36" x14ac:dyDescent="0.25">
      <c r="B219" s="7" t="str" cm="1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20,LEN('Raw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Data'!D219))=0),"",IF(AND(ISNUMBER('Raw Data'!D219),'Raw Data'!D219&gt;=Configuration!$D$2),"",_xlfn.REGEXEXTRACT(CELL("address",'Raw Data'!D219),"\$([A-Z]+)\$[0-9]+"))),_xlfn.REGEXEXTRACT(CELL("address",D219), "\$([A-Z]+)\$[0-9]+"))</f>
        <v/>
      </c>
      <c r="E219" s="7" t="str" cm="1">
        <f t="array" aca="1" ref="E219" ca="1">IFERROR(IF(OR('Raw Data'!E219="",LEN(TRIM('Raw Data'!E219))=0),"",IF(AND(ISNUMBER('Raw Data'!E219), IFERROR('Raw Data'!E219 = ROUND('Raw Data'!E219, 2),FALSE)),"",_xlfn.REGEXEXTRACT(CELL("address",E219), "\$([A-Z]+)\$[0-9]+"))),_xlfn.REGEXEXTRACT(CELL("address",E219), "\$([A-Z]+)\$[0-9]+"))</f>
        <v/>
      </c>
      <c r="F219" s="7" t="str" cm="1">
        <f t="array" aca="1" ref="F219" ca="1">IFERROR(IF(OR('Raw Data'!F219="",LEN(TRIM('Raw Data'!F219))=0),"",IF(AND(ISNUMBER('Raw Data'!F219), IFERROR('Raw Data'!F219 = ROUND('Raw Data'!F219, 2),FALSE)),"",_xlfn.REGEXEXTRACT(CELL("address",F219), "\$([A-Z]+)\$[0-9]+"))),_xlfn.REGEXEXTRACT(CELL("address",F219), "\$([A-Z]+)\$[0-9]+"))</f>
        <v/>
      </c>
      <c r="G219" s="7" t="str" cm="1">
        <f t="array" aca="1" ref="G219" ca="1">IFERROR(IF(OR('Raw Data'!G219="",LEN(TRIM('Raw Data'!G219))=0),"",IF(AND(ISNUMBER('Raw Data'!G219), IFERROR('Raw Data'!G219 = ROUND('Raw Data'!G219, 2),FALSE)),"",_xlfn.REGEXEXTRACT(CELL("address",G219), "\$([A-Z]+)\$[0-9]+"))),_xlfn.REGEXEXTRACT(CELL("address",G219), "\$([A-Z]+)\$[0-9]+"))</f>
        <v/>
      </c>
      <c r="H219" s="7" t="str" cm="1">
        <f t="array" aca="1" ref="H219" ca="1">IFERROR(IF(OR('Raw Data'!H219="",LEN(TRIM('Raw Data'!H219))=0),"",IF(AND(ISNUMBER('Raw Data'!H219), IFERROR('Raw Data'!H219 = ROUND('Raw Data'!H219, 2),FALSE)),"",_xlfn.REGEXEXTRACT(CELL("address",H219), "\$([A-Z]+)\$[0-9]+"))),_xlfn.REGEXEXTRACT(CELL("address",H219), "\$([A-Z]+)\$[0-9]+"))</f>
        <v/>
      </c>
      <c r="I219" s="7" t="str" cm="1">
        <f t="array" aca="1" ref="I219" ca="1">IFERROR(IF(OR('Raw Data'!I219="",LEN(TRIM('Raw Data'!I219))=0),"",IF(AND(ISNUMBER('Raw Data'!I219), IFERROR('Raw Data'!I219 = ROUND('Raw Data'!I219, 2),FALSE)),"",_xlfn.REGEXEXTRACT(CELL("address",I219), "\$([A-Z]+)\$[0-9]+"))),_xlfn.REGEXEXTRACT(CELL("address",I219), "\$([A-Z]+)\$[0-9]+"))</f>
        <v/>
      </c>
      <c r="J219" s="7" t="str" cm="1">
        <f t="array" aca="1" ref="J219" ca="1">IFERROR(IF(OR('Raw Data'!J219="",LEN(TRIM('Raw Data'!J219))=0),"",IF(AND(ISNUMBER('Raw Data'!J219), IFERROR('Raw Data'!J219 = ROUND('Raw Data'!J219, 2),FALSE)),"",_xlfn.REGEXEXTRACT(CELL("address",J219), "\$([A-Z]+)\$[0-9]+"))),_xlfn.REGEXEXTRACT(CELL("address",J219), "\$([A-Z]+)\$[0-9]+"))</f>
        <v/>
      </c>
      <c r="K219" s="7" t="str" cm="1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7" t="str" cm="1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7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7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7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7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 cm="1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7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7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7" t="str" cm="1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7" t="str" cm="1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  <c r="Z219" s="7" t="str" cm="1">
        <f t="array" aca="1" ref="Z219" ca="1">IFERROR(IF(OR('Raw Data'!Z219="",LEN(TRIM('Raw Data'!Z219))=0),"",IF(AND(ISNUMBER('Raw Data'!Z219), IFERROR('Raw Data'!Z219 = ROUND('Raw Data'!Z219, 2),FALSE)),"",_xlfn.REGEXEXTRACT(CELL("address",Z219), "\$([A-Z]+)\$[0-9]+"))),_xlfn.REGEXEXTRACT(CELL("address",Z219), "\$([A-Z]+)\$[0-9]+"))</f>
        <v/>
      </c>
      <c r="AA219" s="7" t="str" cm="1">
        <f t="array" aca="1" ref="AA219" ca="1">IFERROR(IF(OR('Raw Data'!AA219="",LEN(TRIM('Raw Data'!AA219))=0),"",IF(AND(ISNUMBER('Raw Data'!AA219), IFERROR('Raw Data'!AA219 = ROUND('Raw Data'!AA219, 2),FALSE)),"",_xlfn.REGEXEXTRACT(CELL("address",AA219), "\$([A-Z]+)\$[0-9]+"))),_xlfn.REGEXEXTRACT(CELL("address",AA219), "\$([A-Z]+)\$[0-9]+"))</f>
        <v/>
      </c>
      <c r="AB219" s="7" t="str" cm="1">
        <f t="array" aca="1" ref="AB219" ca="1">IFERROR(IF(OR('Raw Data'!AB219="",LEN(TRIM('Raw Data'!AB219))=0),"",IF(AND(ISNUMBER('Raw Data'!AB219), IFERROR('Raw Data'!AB219 = ROUND('Raw Data'!AB219, 2),FALSE)),"",_xlfn.REGEXEXTRACT(CELL("address",AB219), "\$([A-Z]+)\$[0-9]+"))),_xlfn.REGEXEXTRACT(CELL("address",AB219), "\$([A-Z]+)\$[0-9]+"))</f>
        <v/>
      </c>
      <c r="AC219" s="7" t="str" cm="1">
        <f t="array" aca="1" ref="AC219" ca="1">IFERROR(IF(OR('Raw Data'!AC219="",LEN(TRIM('Raw Data'!AC219))=0),"",IF(AND(ISNUMBER('Raw Data'!AC219), IFERROR('Raw Data'!AC219 = ROUND('Raw Data'!AC219, 2),FALSE)),"",_xlfn.REGEXEXTRACT(CELL("address",AC219), "\$([A-Z]+)\$[0-9]+"))),_xlfn.REGEXEXTRACT(CELL("address",AC219), "\$([A-Z]+)\$[0-9]+"))</f>
        <v/>
      </c>
      <c r="AD219" s="7" t="str" cm="1">
        <f t="array" aca="1" ref="AD219" ca="1">IFERROR(IF(OR('Raw Data'!AD219="",LEN(TRIM('Raw Data'!AD219))=0),"",IF(AND(ISNUMBER('Raw Data'!AD219), IFERROR('Raw Data'!AD219 = ROUND('Raw Data'!AD219, 2),FALSE)),"",_xlfn.REGEXEXTRACT(CELL("address",AD219), "\$([A-Z]+)\$[0-9]+"))),_xlfn.REGEXEXTRACT(CELL("address",AD219), "\$([A-Z]+)\$[0-9]+"))</f>
        <v/>
      </c>
      <c r="AE219" s="7" t="str" cm="1">
        <f t="array" aca="1" ref="AE219" ca="1">IFERROR(IF(OR('Raw Data'!AE219="",LEN(TRIM('Raw Data'!AE219))=0),"",IF(AND(ISNUMBER('Raw Data'!AE219), IFERROR('Raw Data'!AE219 = ROUND('Raw Data'!AE219, 2),FALSE)),"",_xlfn.REGEXEXTRACT(CELL("address",AE219), "\$([A-Z]+)\$[0-9]+"))),_xlfn.REGEXEXTRACT(CELL("address",AE219), "\$([A-Z]+)\$[0-9]+"))</f>
        <v/>
      </c>
      <c r="AF219" s="7" t="str" cm="1">
        <f t="array" aca="1" ref="AF219" ca="1">IFERROR(IF(OR('Raw Data'!AF219="",LEN(TRIM('Raw Data'!AF219))=0),"",IF(AND(ISNUMBER('Raw Data'!AF219), IFERROR('Raw Data'!AF219 = ROUND('Raw Data'!AF219, 2),FALSE)),"",_xlfn.REGEXEXTRACT(CELL("address",AF219), "\$([A-Z]+)\$[0-9]+"))),_xlfn.REGEXEXTRACT(CELL("address",AF219), "\$([A-Z]+)\$[0-9]+"))</f>
        <v/>
      </c>
      <c r="AG219" s="7" t="str" cm="1">
        <f t="array" aca="1" ref="AG219" ca="1">IFERROR(IF(OR('Raw Data'!AG219="",LEN(TRIM('Raw Data'!AG219))=0),"",IF(AND(ISNUMBER('Raw Data'!AG219), IFERROR('Raw Data'!AG219 = ROUND('Raw Data'!AG219, 2),FALSE)),"",_xlfn.REGEXEXTRACT(CELL("address",AG219), "\$([A-Z]+)\$[0-9]+"))),_xlfn.REGEXEXTRACT(CELL("address",AG219), "\$([A-Z]+)\$[0-9]+"))</f>
        <v/>
      </c>
      <c r="AH219" s="7" t="str" cm="1">
        <f t="array" aca="1" ref="AH219" ca="1">IFERROR(IF(OR('Raw Data'!AH219="",LEN(TRIM('Raw Data'!AH219))=0),"",IF(AND(ISNUMBER('Raw Data'!AH219), IFERROR('Raw Data'!AH219 = ROUND('Raw Data'!AH219, 2),FALSE)),"",_xlfn.REGEXEXTRACT(CELL("address",AH219), "\$([A-Z]+)\$[0-9]+"))),_xlfn.REGEXEXTRACT(CELL("address",AH219), "\$([A-Z]+)\$[0-9]+"))</f>
        <v/>
      </c>
      <c r="AI219" s="7" t="str" cm="1">
        <f t="array" aca="1" ref="AI219" ca="1">IFERROR(IF(OR('Raw Data'!AI219="",LEN(TRIM('Raw Data'!AI219))=0),"",IF(AND(ISNUMBER('Raw Data'!AI219), IFERROR('Raw Data'!AI219 = ROUND('Raw Data'!AI219, 2),FALSE)),"",_xlfn.REGEXEXTRACT(CELL("address",AI219), "\$([A-Z]+)\$[0-9]+"))),_xlfn.REGEXEXTRACT(CELL("address",AI219), "\$([A-Z]+)\$[0-9]+"))</f>
        <v/>
      </c>
      <c r="AJ219" s="7" t="str" cm="1">
        <f t="array" aca="1" ref="AJ219" ca="1">IFERROR(IF(OR('Raw Data'!AJ219="",LEN(TRIM('Raw Data'!AJ219))=0),"",IF(AND(ISNUMBER('Raw Data'!AJ219), IFERROR('Raw Data'!AJ219 = ROUND('Raw Data'!AJ219, 2),FALSE)),"",_xlfn.REGEXEXTRACT(CELL("address",AJ219), "\$([A-Z]+)\$[0-9]+"))),_xlfn.REGEXEXTRACT(CELL("address",AJ219), "\$([A-Z]+)\$[0-9]+"))</f>
        <v/>
      </c>
    </row>
    <row r="220" spans="2:36" x14ac:dyDescent="0.25">
      <c r="B220" s="7" t="str" cm="1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20,LEN('Raw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Data'!D220))=0),"",IF(AND(ISNUMBER('Raw Data'!D220),'Raw Data'!D220&gt;=Configuration!$D$2),"",_xlfn.REGEXEXTRACT(CELL("address",'Raw Data'!D220),"\$([A-Z]+)\$[0-9]+"))),_xlfn.REGEXEXTRACT(CELL("address",D220), "\$([A-Z]+)\$[0-9]+"))</f>
        <v/>
      </c>
      <c r="E220" s="7" t="str" cm="1">
        <f t="array" aca="1" ref="E220" ca="1">IFERROR(IF(OR('Raw Data'!E220="",LEN(TRIM('Raw Data'!E220))=0),"",IF(AND(ISNUMBER('Raw Data'!E220), IFERROR('Raw Data'!E220 = ROUND('Raw Data'!E220, 2),FALSE)),"",_xlfn.REGEXEXTRACT(CELL("address",E220), "\$([A-Z]+)\$[0-9]+"))),_xlfn.REGEXEXTRACT(CELL("address",E220), "\$([A-Z]+)\$[0-9]+"))</f>
        <v/>
      </c>
      <c r="F220" s="7" t="str" cm="1">
        <f t="array" aca="1" ref="F220" ca="1">IFERROR(IF(OR('Raw Data'!F220="",LEN(TRIM('Raw Data'!F220))=0),"",IF(AND(ISNUMBER('Raw Data'!F220), IFERROR('Raw Data'!F220 = ROUND('Raw Data'!F220, 2),FALSE)),"",_xlfn.REGEXEXTRACT(CELL("address",F220), "\$([A-Z]+)\$[0-9]+"))),_xlfn.REGEXEXTRACT(CELL("address",F220), "\$([A-Z]+)\$[0-9]+"))</f>
        <v/>
      </c>
      <c r="G220" s="7" t="str" cm="1">
        <f t="array" aca="1" ref="G220" ca="1">IFERROR(IF(OR('Raw Data'!G220="",LEN(TRIM('Raw Data'!G220))=0),"",IF(AND(ISNUMBER('Raw Data'!G220), IFERROR('Raw Data'!G220 = ROUND('Raw Data'!G220, 2),FALSE)),"",_xlfn.REGEXEXTRACT(CELL("address",G220), "\$([A-Z]+)\$[0-9]+"))),_xlfn.REGEXEXTRACT(CELL("address",G220), "\$([A-Z]+)\$[0-9]+"))</f>
        <v/>
      </c>
      <c r="H220" s="7" t="str" cm="1">
        <f t="array" aca="1" ref="H220" ca="1">IFERROR(IF(OR('Raw Data'!H220="",LEN(TRIM('Raw Data'!H220))=0),"",IF(AND(ISNUMBER('Raw Data'!H220), IFERROR('Raw Data'!H220 = ROUND('Raw Data'!H220, 2),FALSE)),"",_xlfn.REGEXEXTRACT(CELL("address",H220), "\$([A-Z]+)\$[0-9]+"))),_xlfn.REGEXEXTRACT(CELL("address",H220), "\$([A-Z]+)\$[0-9]+"))</f>
        <v/>
      </c>
      <c r="I220" s="7" t="str" cm="1">
        <f t="array" aca="1" ref="I220" ca="1">IFERROR(IF(OR('Raw Data'!I220="",LEN(TRIM('Raw Data'!I220))=0),"",IF(AND(ISNUMBER('Raw Data'!I220), IFERROR('Raw Data'!I220 = ROUND('Raw Data'!I220, 2),FALSE)),"",_xlfn.REGEXEXTRACT(CELL("address",I220), "\$([A-Z]+)\$[0-9]+"))),_xlfn.REGEXEXTRACT(CELL("address",I220), "\$([A-Z]+)\$[0-9]+"))</f>
        <v/>
      </c>
      <c r="J220" s="7" t="str" cm="1">
        <f t="array" aca="1" ref="J220" ca="1">IFERROR(IF(OR('Raw Data'!J220="",LEN(TRIM('Raw Data'!J220))=0),"",IF(AND(ISNUMBER('Raw Data'!J220), IFERROR('Raw Data'!J220 = ROUND('Raw Data'!J220, 2),FALSE)),"",_xlfn.REGEXEXTRACT(CELL("address",J220), "\$([A-Z]+)\$[0-9]+"))),_xlfn.REGEXEXTRACT(CELL("address",J220), "\$([A-Z]+)\$[0-9]+"))</f>
        <v/>
      </c>
      <c r="K220" s="7" t="str" cm="1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7" t="str" cm="1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7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7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7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7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 cm="1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7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7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7" t="str" cm="1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7" t="str" cm="1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  <c r="Z220" s="7" t="str" cm="1">
        <f t="array" aca="1" ref="Z220" ca="1">IFERROR(IF(OR('Raw Data'!Z220="",LEN(TRIM('Raw Data'!Z220))=0),"",IF(AND(ISNUMBER('Raw Data'!Z220), IFERROR('Raw Data'!Z220 = ROUND('Raw Data'!Z220, 2),FALSE)),"",_xlfn.REGEXEXTRACT(CELL("address",Z220), "\$([A-Z]+)\$[0-9]+"))),_xlfn.REGEXEXTRACT(CELL("address",Z220), "\$([A-Z]+)\$[0-9]+"))</f>
        <v/>
      </c>
      <c r="AA220" s="7" t="str" cm="1">
        <f t="array" aca="1" ref="AA220" ca="1">IFERROR(IF(OR('Raw Data'!AA220="",LEN(TRIM('Raw Data'!AA220))=0),"",IF(AND(ISNUMBER('Raw Data'!AA220), IFERROR('Raw Data'!AA220 = ROUND('Raw Data'!AA220, 2),FALSE)),"",_xlfn.REGEXEXTRACT(CELL("address",AA220), "\$([A-Z]+)\$[0-9]+"))),_xlfn.REGEXEXTRACT(CELL("address",AA220), "\$([A-Z]+)\$[0-9]+"))</f>
        <v/>
      </c>
      <c r="AB220" s="7" t="str" cm="1">
        <f t="array" aca="1" ref="AB220" ca="1">IFERROR(IF(OR('Raw Data'!AB220="",LEN(TRIM('Raw Data'!AB220))=0),"",IF(AND(ISNUMBER('Raw Data'!AB220), IFERROR('Raw Data'!AB220 = ROUND('Raw Data'!AB220, 2),FALSE)),"",_xlfn.REGEXEXTRACT(CELL("address",AB220), "\$([A-Z]+)\$[0-9]+"))),_xlfn.REGEXEXTRACT(CELL("address",AB220), "\$([A-Z]+)\$[0-9]+"))</f>
        <v/>
      </c>
      <c r="AC220" s="7" t="str" cm="1">
        <f t="array" aca="1" ref="AC220" ca="1">IFERROR(IF(OR('Raw Data'!AC220="",LEN(TRIM('Raw Data'!AC220))=0),"",IF(AND(ISNUMBER('Raw Data'!AC220), IFERROR('Raw Data'!AC220 = ROUND('Raw Data'!AC220, 2),FALSE)),"",_xlfn.REGEXEXTRACT(CELL("address",AC220), "\$([A-Z]+)\$[0-9]+"))),_xlfn.REGEXEXTRACT(CELL("address",AC220), "\$([A-Z]+)\$[0-9]+"))</f>
        <v/>
      </c>
      <c r="AD220" s="7" t="str" cm="1">
        <f t="array" aca="1" ref="AD220" ca="1">IFERROR(IF(OR('Raw Data'!AD220="",LEN(TRIM('Raw Data'!AD220))=0),"",IF(AND(ISNUMBER('Raw Data'!AD220), IFERROR('Raw Data'!AD220 = ROUND('Raw Data'!AD220, 2),FALSE)),"",_xlfn.REGEXEXTRACT(CELL("address",AD220), "\$([A-Z]+)\$[0-9]+"))),_xlfn.REGEXEXTRACT(CELL("address",AD220), "\$([A-Z]+)\$[0-9]+"))</f>
        <v/>
      </c>
      <c r="AE220" s="7" t="str" cm="1">
        <f t="array" aca="1" ref="AE220" ca="1">IFERROR(IF(OR('Raw Data'!AE220="",LEN(TRIM('Raw Data'!AE220))=0),"",IF(AND(ISNUMBER('Raw Data'!AE220), IFERROR('Raw Data'!AE220 = ROUND('Raw Data'!AE220, 2),FALSE)),"",_xlfn.REGEXEXTRACT(CELL("address",AE220), "\$([A-Z]+)\$[0-9]+"))),_xlfn.REGEXEXTRACT(CELL("address",AE220), "\$([A-Z]+)\$[0-9]+"))</f>
        <v/>
      </c>
      <c r="AF220" s="7" t="str" cm="1">
        <f t="array" aca="1" ref="AF220" ca="1">IFERROR(IF(OR('Raw Data'!AF220="",LEN(TRIM('Raw Data'!AF220))=0),"",IF(AND(ISNUMBER('Raw Data'!AF220), IFERROR('Raw Data'!AF220 = ROUND('Raw Data'!AF220, 2),FALSE)),"",_xlfn.REGEXEXTRACT(CELL("address",AF220), "\$([A-Z]+)\$[0-9]+"))),_xlfn.REGEXEXTRACT(CELL("address",AF220), "\$([A-Z]+)\$[0-9]+"))</f>
        <v/>
      </c>
      <c r="AG220" s="7" t="str" cm="1">
        <f t="array" aca="1" ref="AG220" ca="1">IFERROR(IF(OR('Raw Data'!AG220="",LEN(TRIM('Raw Data'!AG220))=0),"",IF(AND(ISNUMBER('Raw Data'!AG220), IFERROR('Raw Data'!AG220 = ROUND('Raw Data'!AG220, 2),FALSE)),"",_xlfn.REGEXEXTRACT(CELL("address",AG220), "\$([A-Z]+)\$[0-9]+"))),_xlfn.REGEXEXTRACT(CELL("address",AG220), "\$([A-Z]+)\$[0-9]+"))</f>
        <v/>
      </c>
      <c r="AH220" s="7" t="str" cm="1">
        <f t="array" aca="1" ref="AH220" ca="1">IFERROR(IF(OR('Raw Data'!AH220="",LEN(TRIM('Raw Data'!AH220))=0),"",IF(AND(ISNUMBER('Raw Data'!AH220), IFERROR('Raw Data'!AH220 = ROUND('Raw Data'!AH220, 2),FALSE)),"",_xlfn.REGEXEXTRACT(CELL("address",AH220), "\$([A-Z]+)\$[0-9]+"))),_xlfn.REGEXEXTRACT(CELL("address",AH220), "\$([A-Z]+)\$[0-9]+"))</f>
        <v/>
      </c>
      <c r="AI220" s="7" t="str" cm="1">
        <f t="array" aca="1" ref="AI220" ca="1">IFERROR(IF(OR('Raw Data'!AI220="",LEN(TRIM('Raw Data'!AI220))=0),"",IF(AND(ISNUMBER('Raw Data'!AI220), IFERROR('Raw Data'!AI220 = ROUND('Raw Data'!AI220, 2),FALSE)),"",_xlfn.REGEXEXTRACT(CELL("address",AI220), "\$([A-Z]+)\$[0-9]+"))),_xlfn.REGEXEXTRACT(CELL("address",AI220), "\$([A-Z]+)\$[0-9]+"))</f>
        <v/>
      </c>
      <c r="AJ220" s="7" t="str" cm="1">
        <f t="array" aca="1" ref="AJ220" ca="1">IFERROR(IF(OR('Raw Data'!AJ220="",LEN(TRIM('Raw Data'!AJ220))=0),"",IF(AND(ISNUMBER('Raw Data'!AJ220), IFERROR('Raw Data'!AJ220 = ROUND('Raw Data'!AJ220, 2),FALSE)),"",_xlfn.REGEXEXTRACT(CELL("address",AJ220), "\$([A-Z]+)\$[0-9]+"))),_xlfn.REGEXEXTRACT(CELL("address",AJ220), "\$([A-Z]+)\$[0-9]+"))</f>
        <v/>
      </c>
    </row>
    <row r="221" spans="2:36" x14ac:dyDescent="0.25">
      <c r="B221" s="7" t="str" cm="1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20,LEN('Raw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Data'!D221))=0),"",IF(AND(ISNUMBER('Raw Data'!D221),'Raw Data'!D221&gt;=Configuration!$D$2),"",_xlfn.REGEXEXTRACT(CELL("address",'Raw Data'!D221),"\$([A-Z]+)\$[0-9]+"))),_xlfn.REGEXEXTRACT(CELL("address",D221), "\$([A-Z]+)\$[0-9]+"))</f>
        <v/>
      </c>
      <c r="E221" s="7" t="str" cm="1">
        <f t="array" aca="1" ref="E221" ca="1">IFERROR(IF(OR('Raw Data'!E221="",LEN(TRIM('Raw Data'!E221))=0),"",IF(AND(ISNUMBER('Raw Data'!E221), IFERROR('Raw Data'!E221 = ROUND('Raw Data'!E221, 2),FALSE)),"",_xlfn.REGEXEXTRACT(CELL("address",E221), "\$([A-Z]+)\$[0-9]+"))),_xlfn.REGEXEXTRACT(CELL("address",E221), "\$([A-Z]+)\$[0-9]+"))</f>
        <v/>
      </c>
      <c r="F221" s="7" t="str" cm="1">
        <f t="array" aca="1" ref="F221" ca="1">IFERROR(IF(OR('Raw Data'!F221="",LEN(TRIM('Raw Data'!F221))=0),"",IF(AND(ISNUMBER('Raw Data'!F221), IFERROR('Raw Data'!F221 = ROUND('Raw Data'!F221, 2),FALSE)),"",_xlfn.REGEXEXTRACT(CELL("address",F221), "\$([A-Z]+)\$[0-9]+"))),_xlfn.REGEXEXTRACT(CELL("address",F221), "\$([A-Z]+)\$[0-9]+"))</f>
        <v/>
      </c>
      <c r="G221" s="7" t="str" cm="1">
        <f t="array" aca="1" ref="G221" ca="1">IFERROR(IF(OR('Raw Data'!G221="",LEN(TRIM('Raw Data'!G221))=0),"",IF(AND(ISNUMBER('Raw Data'!G221), IFERROR('Raw Data'!G221 = ROUND('Raw Data'!G221, 2),FALSE)),"",_xlfn.REGEXEXTRACT(CELL("address",G221), "\$([A-Z]+)\$[0-9]+"))),_xlfn.REGEXEXTRACT(CELL("address",G221), "\$([A-Z]+)\$[0-9]+"))</f>
        <v/>
      </c>
      <c r="H221" s="7" t="str" cm="1">
        <f t="array" aca="1" ref="H221" ca="1">IFERROR(IF(OR('Raw Data'!H221="",LEN(TRIM('Raw Data'!H221))=0),"",IF(AND(ISNUMBER('Raw Data'!H221), IFERROR('Raw Data'!H221 = ROUND('Raw Data'!H221, 2),FALSE)),"",_xlfn.REGEXEXTRACT(CELL("address",H221), "\$([A-Z]+)\$[0-9]+"))),_xlfn.REGEXEXTRACT(CELL("address",H221), "\$([A-Z]+)\$[0-9]+"))</f>
        <v/>
      </c>
      <c r="I221" s="7" t="str" cm="1">
        <f t="array" aca="1" ref="I221" ca="1">IFERROR(IF(OR('Raw Data'!I221="",LEN(TRIM('Raw Data'!I221))=0),"",IF(AND(ISNUMBER('Raw Data'!I221), IFERROR('Raw Data'!I221 = ROUND('Raw Data'!I221, 2),FALSE)),"",_xlfn.REGEXEXTRACT(CELL("address",I221), "\$([A-Z]+)\$[0-9]+"))),_xlfn.REGEXEXTRACT(CELL("address",I221), "\$([A-Z]+)\$[0-9]+"))</f>
        <v/>
      </c>
      <c r="J221" s="7" t="str" cm="1">
        <f t="array" aca="1" ref="J221" ca="1">IFERROR(IF(OR('Raw Data'!J221="",LEN(TRIM('Raw Data'!J221))=0),"",IF(AND(ISNUMBER('Raw Data'!J221), IFERROR('Raw Data'!J221 = ROUND('Raw Data'!J221, 2),FALSE)),"",_xlfn.REGEXEXTRACT(CELL("address",J221), "\$([A-Z]+)\$[0-9]+"))),_xlfn.REGEXEXTRACT(CELL("address",J221), "\$([A-Z]+)\$[0-9]+"))</f>
        <v/>
      </c>
      <c r="K221" s="7" t="str" cm="1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7" t="str" cm="1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7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7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7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7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 cm="1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7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7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7" t="str" cm="1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7" t="str" cm="1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  <c r="Z221" s="7" t="str" cm="1">
        <f t="array" aca="1" ref="Z221" ca="1">IFERROR(IF(OR('Raw Data'!Z221="",LEN(TRIM('Raw Data'!Z221))=0),"",IF(AND(ISNUMBER('Raw Data'!Z221), IFERROR('Raw Data'!Z221 = ROUND('Raw Data'!Z221, 2),FALSE)),"",_xlfn.REGEXEXTRACT(CELL("address",Z221), "\$([A-Z]+)\$[0-9]+"))),_xlfn.REGEXEXTRACT(CELL("address",Z221), "\$([A-Z]+)\$[0-9]+"))</f>
        <v/>
      </c>
      <c r="AA221" s="7" t="str" cm="1">
        <f t="array" aca="1" ref="AA221" ca="1">IFERROR(IF(OR('Raw Data'!AA221="",LEN(TRIM('Raw Data'!AA221))=0),"",IF(AND(ISNUMBER('Raw Data'!AA221), IFERROR('Raw Data'!AA221 = ROUND('Raw Data'!AA221, 2),FALSE)),"",_xlfn.REGEXEXTRACT(CELL("address",AA221), "\$([A-Z]+)\$[0-9]+"))),_xlfn.REGEXEXTRACT(CELL("address",AA221), "\$([A-Z]+)\$[0-9]+"))</f>
        <v/>
      </c>
      <c r="AB221" s="7" t="str" cm="1">
        <f t="array" aca="1" ref="AB221" ca="1">IFERROR(IF(OR('Raw Data'!AB221="",LEN(TRIM('Raw Data'!AB221))=0),"",IF(AND(ISNUMBER('Raw Data'!AB221), IFERROR('Raw Data'!AB221 = ROUND('Raw Data'!AB221, 2),FALSE)),"",_xlfn.REGEXEXTRACT(CELL("address",AB221), "\$([A-Z]+)\$[0-9]+"))),_xlfn.REGEXEXTRACT(CELL("address",AB221), "\$([A-Z]+)\$[0-9]+"))</f>
        <v/>
      </c>
      <c r="AC221" s="7" t="str" cm="1">
        <f t="array" aca="1" ref="AC221" ca="1">IFERROR(IF(OR('Raw Data'!AC221="",LEN(TRIM('Raw Data'!AC221))=0),"",IF(AND(ISNUMBER('Raw Data'!AC221), IFERROR('Raw Data'!AC221 = ROUND('Raw Data'!AC221, 2),FALSE)),"",_xlfn.REGEXEXTRACT(CELL("address",AC221), "\$([A-Z]+)\$[0-9]+"))),_xlfn.REGEXEXTRACT(CELL("address",AC221), "\$([A-Z]+)\$[0-9]+"))</f>
        <v/>
      </c>
      <c r="AD221" s="7" t="str" cm="1">
        <f t="array" aca="1" ref="AD221" ca="1">IFERROR(IF(OR('Raw Data'!AD221="",LEN(TRIM('Raw Data'!AD221))=0),"",IF(AND(ISNUMBER('Raw Data'!AD221), IFERROR('Raw Data'!AD221 = ROUND('Raw Data'!AD221, 2),FALSE)),"",_xlfn.REGEXEXTRACT(CELL("address",AD221), "\$([A-Z]+)\$[0-9]+"))),_xlfn.REGEXEXTRACT(CELL("address",AD221), "\$([A-Z]+)\$[0-9]+"))</f>
        <v/>
      </c>
      <c r="AE221" s="7" t="str" cm="1">
        <f t="array" aca="1" ref="AE221" ca="1">IFERROR(IF(OR('Raw Data'!AE221="",LEN(TRIM('Raw Data'!AE221))=0),"",IF(AND(ISNUMBER('Raw Data'!AE221), IFERROR('Raw Data'!AE221 = ROUND('Raw Data'!AE221, 2),FALSE)),"",_xlfn.REGEXEXTRACT(CELL("address",AE221), "\$([A-Z]+)\$[0-9]+"))),_xlfn.REGEXEXTRACT(CELL("address",AE221), "\$([A-Z]+)\$[0-9]+"))</f>
        <v/>
      </c>
      <c r="AF221" s="7" t="str" cm="1">
        <f t="array" aca="1" ref="AF221" ca="1">IFERROR(IF(OR('Raw Data'!AF221="",LEN(TRIM('Raw Data'!AF221))=0),"",IF(AND(ISNUMBER('Raw Data'!AF221), IFERROR('Raw Data'!AF221 = ROUND('Raw Data'!AF221, 2),FALSE)),"",_xlfn.REGEXEXTRACT(CELL("address",AF221), "\$([A-Z]+)\$[0-9]+"))),_xlfn.REGEXEXTRACT(CELL("address",AF221), "\$([A-Z]+)\$[0-9]+"))</f>
        <v/>
      </c>
      <c r="AG221" s="7" t="str" cm="1">
        <f t="array" aca="1" ref="AG221" ca="1">IFERROR(IF(OR('Raw Data'!AG221="",LEN(TRIM('Raw Data'!AG221))=0),"",IF(AND(ISNUMBER('Raw Data'!AG221), IFERROR('Raw Data'!AG221 = ROUND('Raw Data'!AG221, 2),FALSE)),"",_xlfn.REGEXEXTRACT(CELL("address",AG221), "\$([A-Z]+)\$[0-9]+"))),_xlfn.REGEXEXTRACT(CELL("address",AG221), "\$([A-Z]+)\$[0-9]+"))</f>
        <v/>
      </c>
      <c r="AH221" s="7" t="str" cm="1">
        <f t="array" aca="1" ref="AH221" ca="1">IFERROR(IF(OR('Raw Data'!AH221="",LEN(TRIM('Raw Data'!AH221))=0),"",IF(AND(ISNUMBER('Raw Data'!AH221), IFERROR('Raw Data'!AH221 = ROUND('Raw Data'!AH221, 2),FALSE)),"",_xlfn.REGEXEXTRACT(CELL("address",AH221), "\$([A-Z]+)\$[0-9]+"))),_xlfn.REGEXEXTRACT(CELL("address",AH221), "\$([A-Z]+)\$[0-9]+"))</f>
        <v/>
      </c>
      <c r="AI221" s="7" t="str" cm="1">
        <f t="array" aca="1" ref="AI221" ca="1">IFERROR(IF(OR('Raw Data'!AI221="",LEN(TRIM('Raw Data'!AI221))=0),"",IF(AND(ISNUMBER('Raw Data'!AI221), IFERROR('Raw Data'!AI221 = ROUND('Raw Data'!AI221, 2),FALSE)),"",_xlfn.REGEXEXTRACT(CELL("address",AI221), "\$([A-Z]+)\$[0-9]+"))),_xlfn.REGEXEXTRACT(CELL("address",AI221), "\$([A-Z]+)\$[0-9]+"))</f>
        <v/>
      </c>
      <c r="AJ221" s="7" t="str" cm="1">
        <f t="array" aca="1" ref="AJ221" ca="1">IFERROR(IF(OR('Raw Data'!AJ221="",LEN(TRIM('Raw Data'!AJ221))=0),"",IF(AND(ISNUMBER('Raw Data'!AJ221), IFERROR('Raw Data'!AJ221 = ROUND('Raw Data'!AJ221, 2),FALSE)),"",_xlfn.REGEXEXTRACT(CELL("address",AJ221), "\$([A-Z]+)\$[0-9]+"))),_xlfn.REGEXEXTRACT(CELL("address",AJ221), "\$([A-Z]+)\$[0-9]+"))</f>
        <v/>
      </c>
    </row>
    <row r="222" spans="2:36" x14ac:dyDescent="0.25">
      <c r="B222" s="7" t="str" cm="1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20,LEN('Raw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Data'!D222))=0),"",IF(AND(ISNUMBER('Raw Data'!D222),'Raw Data'!D222&gt;=Configuration!$D$2),"",_xlfn.REGEXEXTRACT(CELL("address",'Raw Data'!D222),"\$([A-Z]+)\$[0-9]+"))),_xlfn.REGEXEXTRACT(CELL("address",D222), "\$([A-Z]+)\$[0-9]+"))</f>
        <v/>
      </c>
      <c r="E222" s="7" t="str" cm="1">
        <f t="array" aca="1" ref="E222" ca="1">IFERROR(IF(OR('Raw Data'!E222="",LEN(TRIM('Raw Data'!E222))=0),"",IF(AND(ISNUMBER('Raw Data'!E222), IFERROR('Raw Data'!E222 = ROUND('Raw Data'!E222, 2),FALSE)),"",_xlfn.REGEXEXTRACT(CELL("address",E222), "\$([A-Z]+)\$[0-9]+"))),_xlfn.REGEXEXTRACT(CELL("address",E222), "\$([A-Z]+)\$[0-9]+"))</f>
        <v/>
      </c>
      <c r="F222" s="7" t="str" cm="1">
        <f t="array" aca="1" ref="F222" ca="1">IFERROR(IF(OR('Raw Data'!F222="",LEN(TRIM('Raw Data'!F222))=0),"",IF(AND(ISNUMBER('Raw Data'!F222), IFERROR('Raw Data'!F222 = ROUND('Raw Data'!F222, 2),FALSE)),"",_xlfn.REGEXEXTRACT(CELL("address",F222), "\$([A-Z]+)\$[0-9]+"))),_xlfn.REGEXEXTRACT(CELL("address",F222), "\$([A-Z]+)\$[0-9]+"))</f>
        <v/>
      </c>
      <c r="G222" s="7" t="str" cm="1">
        <f t="array" aca="1" ref="G222" ca="1">IFERROR(IF(OR('Raw Data'!G222="",LEN(TRIM('Raw Data'!G222))=0),"",IF(AND(ISNUMBER('Raw Data'!G222), IFERROR('Raw Data'!G222 = ROUND('Raw Data'!G222, 2),FALSE)),"",_xlfn.REGEXEXTRACT(CELL("address",G222), "\$([A-Z]+)\$[0-9]+"))),_xlfn.REGEXEXTRACT(CELL("address",G222), "\$([A-Z]+)\$[0-9]+"))</f>
        <v/>
      </c>
      <c r="H222" s="7" t="str" cm="1">
        <f t="array" aca="1" ref="H222" ca="1">IFERROR(IF(OR('Raw Data'!H222="",LEN(TRIM('Raw Data'!H222))=0),"",IF(AND(ISNUMBER('Raw Data'!H222), IFERROR('Raw Data'!H222 = ROUND('Raw Data'!H222, 2),FALSE)),"",_xlfn.REGEXEXTRACT(CELL("address",H222), "\$([A-Z]+)\$[0-9]+"))),_xlfn.REGEXEXTRACT(CELL("address",H222), "\$([A-Z]+)\$[0-9]+"))</f>
        <v/>
      </c>
      <c r="I222" s="7" t="str" cm="1">
        <f t="array" aca="1" ref="I222" ca="1">IFERROR(IF(OR('Raw Data'!I222="",LEN(TRIM('Raw Data'!I222))=0),"",IF(AND(ISNUMBER('Raw Data'!I222), IFERROR('Raw Data'!I222 = ROUND('Raw Data'!I222, 2),FALSE)),"",_xlfn.REGEXEXTRACT(CELL("address",I222), "\$([A-Z]+)\$[0-9]+"))),_xlfn.REGEXEXTRACT(CELL("address",I222), "\$([A-Z]+)\$[0-9]+"))</f>
        <v/>
      </c>
      <c r="J222" s="7" t="str" cm="1">
        <f t="array" aca="1" ref="J222" ca="1">IFERROR(IF(OR('Raw Data'!J222="",LEN(TRIM('Raw Data'!J222))=0),"",IF(AND(ISNUMBER('Raw Data'!J222), IFERROR('Raw Data'!J222 = ROUND('Raw Data'!J222, 2),FALSE)),"",_xlfn.REGEXEXTRACT(CELL("address",J222), "\$([A-Z]+)\$[0-9]+"))),_xlfn.REGEXEXTRACT(CELL("address",J222), "\$([A-Z]+)\$[0-9]+"))</f>
        <v/>
      </c>
      <c r="K222" s="7" t="str" cm="1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7" t="str" cm="1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7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7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7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7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 cm="1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7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7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7" t="str" cm="1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7" t="str" cm="1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  <c r="Z222" s="7" t="str" cm="1">
        <f t="array" aca="1" ref="Z222" ca="1">IFERROR(IF(OR('Raw Data'!Z222="",LEN(TRIM('Raw Data'!Z222))=0),"",IF(AND(ISNUMBER('Raw Data'!Z222), IFERROR('Raw Data'!Z222 = ROUND('Raw Data'!Z222, 2),FALSE)),"",_xlfn.REGEXEXTRACT(CELL("address",Z222), "\$([A-Z]+)\$[0-9]+"))),_xlfn.REGEXEXTRACT(CELL("address",Z222), "\$([A-Z]+)\$[0-9]+"))</f>
        <v/>
      </c>
      <c r="AA222" s="7" t="str" cm="1">
        <f t="array" aca="1" ref="AA222" ca="1">IFERROR(IF(OR('Raw Data'!AA222="",LEN(TRIM('Raw Data'!AA222))=0),"",IF(AND(ISNUMBER('Raw Data'!AA222), IFERROR('Raw Data'!AA222 = ROUND('Raw Data'!AA222, 2),FALSE)),"",_xlfn.REGEXEXTRACT(CELL("address",AA222), "\$([A-Z]+)\$[0-9]+"))),_xlfn.REGEXEXTRACT(CELL("address",AA222), "\$([A-Z]+)\$[0-9]+"))</f>
        <v/>
      </c>
      <c r="AB222" s="7" t="str" cm="1">
        <f t="array" aca="1" ref="AB222" ca="1">IFERROR(IF(OR('Raw Data'!AB222="",LEN(TRIM('Raw Data'!AB222))=0),"",IF(AND(ISNUMBER('Raw Data'!AB222), IFERROR('Raw Data'!AB222 = ROUND('Raw Data'!AB222, 2),FALSE)),"",_xlfn.REGEXEXTRACT(CELL("address",AB222), "\$([A-Z]+)\$[0-9]+"))),_xlfn.REGEXEXTRACT(CELL("address",AB222), "\$([A-Z]+)\$[0-9]+"))</f>
        <v/>
      </c>
      <c r="AC222" s="7" t="str" cm="1">
        <f t="array" aca="1" ref="AC222" ca="1">IFERROR(IF(OR('Raw Data'!AC222="",LEN(TRIM('Raw Data'!AC222))=0),"",IF(AND(ISNUMBER('Raw Data'!AC222), IFERROR('Raw Data'!AC222 = ROUND('Raw Data'!AC222, 2),FALSE)),"",_xlfn.REGEXEXTRACT(CELL("address",AC222), "\$([A-Z]+)\$[0-9]+"))),_xlfn.REGEXEXTRACT(CELL("address",AC222), "\$([A-Z]+)\$[0-9]+"))</f>
        <v/>
      </c>
      <c r="AD222" s="7" t="str" cm="1">
        <f t="array" aca="1" ref="AD222" ca="1">IFERROR(IF(OR('Raw Data'!AD222="",LEN(TRIM('Raw Data'!AD222))=0),"",IF(AND(ISNUMBER('Raw Data'!AD222), IFERROR('Raw Data'!AD222 = ROUND('Raw Data'!AD222, 2),FALSE)),"",_xlfn.REGEXEXTRACT(CELL("address",AD222), "\$([A-Z]+)\$[0-9]+"))),_xlfn.REGEXEXTRACT(CELL("address",AD222), "\$([A-Z]+)\$[0-9]+"))</f>
        <v/>
      </c>
      <c r="AE222" s="7" t="str" cm="1">
        <f t="array" aca="1" ref="AE222" ca="1">IFERROR(IF(OR('Raw Data'!AE222="",LEN(TRIM('Raw Data'!AE222))=0),"",IF(AND(ISNUMBER('Raw Data'!AE222), IFERROR('Raw Data'!AE222 = ROUND('Raw Data'!AE222, 2),FALSE)),"",_xlfn.REGEXEXTRACT(CELL("address",AE222), "\$([A-Z]+)\$[0-9]+"))),_xlfn.REGEXEXTRACT(CELL("address",AE222), "\$([A-Z]+)\$[0-9]+"))</f>
        <v/>
      </c>
      <c r="AF222" s="7" t="str" cm="1">
        <f t="array" aca="1" ref="AF222" ca="1">IFERROR(IF(OR('Raw Data'!AF222="",LEN(TRIM('Raw Data'!AF222))=0),"",IF(AND(ISNUMBER('Raw Data'!AF222), IFERROR('Raw Data'!AF222 = ROUND('Raw Data'!AF222, 2),FALSE)),"",_xlfn.REGEXEXTRACT(CELL("address",AF222), "\$([A-Z]+)\$[0-9]+"))),_xlfn.REGEXEXTRACT(CELL("address",AF222), "\$([A-Z]+)\$[0-9]+"))</f>
        <v/>
      </c>
      <c r="AG222" s="7" t="str" cm="1">
        <f t="array" aca="1" ref="AG222" ca="1">IFERROR(IF(OR('Raw Data'!AG222="",LEN(TRIM('Raw Data'!AG222))=0),"",IF(AND(ISNUMBER('Raw Data'!AG222), IFERROR('Raw Data'!AG222 = ROUND('Raw Data'!AG222, 2),FALSE)),"",_xlfn.REGEXEXTRACT(CELL("address",AG222), "\$([A-Z]+)\$[0-9]+"))),_xlfn.REGEXEXTRACT(CELL("address",AG222), "\$([A-Z]+)\$[0-9]+"))</f>
        <v/>
      </c>
      <c r="AH222" s="7" t="str" cm="1">
        <f t="array" aca="1" ref="AH222" ca="1">IFERROR(IF(OR('Raw Data'!AH222="",LEN(TRIM('Raw Data'!AH222))=0),"",IF(AND(ISNUMBER('Raw Data'!AH222), IFERROR('Raw Data'!AH222 = ROUND('Raw Data'!AH222, 2),FALSE)),"",_xlfn.REGEXEXTRACT(CELL("address",AH222), "\$([A-Z]+)\$[0-9]+"))),_xlfn.REGEXEXTRACT(CELL("address",AH222), "\$([A-Z]+)\$[0-9]+"))</f>
        <v/>
      </c>
      <c r="AI222" s="7" t="str" cm="1">
        <f t="array" aca="1" ref="AI222" ca="1">IFERROR(IF(OR('Raw Data'!AI222="",LEN(TRIM('Raw Data'!AI222))=0),"",IF(AND(ISNUMBER('Raw Data'!AI222), IFERROR('Raw Data'!AI222 = ROUND('Raw Data'!AI222, 2),FALSE)),"",_xlfn.REGEXEXTRACT(CELL("address",AI222), "\$([A-Z]+)\$[0-9]+"))),_xlfn.REGEXEXTRACT(CELL("address",AI222), "\$([A-Z]+)\$[0-9]+"))</f>
        <v/>
      </c>
      <c r="AJ222" s="7" t="str" cm="1">
        <f t="array" aca="1" ref="AJ222" ca="1">IFERROR(IF(OR('Raw Data'!AJ222="",LEN(TRIM('Raw Data'!AJ222))=0),"",IF(AND(ISNUMBER('Raw Data'!AJ222), IFERROR('Raw Data'!AJ222 = ROUND('Raw Data'!AJ222, 2),FALSE)),"",_xlfn.REGEXEXTRACT(CELL("address",AJ222), "\$([A-Z]+)\$[0-9]+"))),_xlfn.REGEXEXTRACT(CELL("address",AJ222), "\$([A-Z]+)\$[0-9]+"))</f>
        <v/>
      </c>
    </row>
    <row r="223" spans="2:36" x14ac:dyDescent="0.25">
      <c r="B223" s="7" t="str" cm="1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20,LEN('Raw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Data'!D223))=0),"",IF(AND(ISNUMBER('Raw Data'!D223),'Raw Data'!D223&gt;=Configuration!$D$2),"",_xlfn.REGEXEXTRACT(CELL("address",'Raw Data'!D223),"\$([A-Z]+)\$[0-9]+"))),_xlfn.REGEXEXTRACT(CELL("address",D223), "\$([A-Z]+)\$[0-9]+"))</f>
        <v/>
      </c>
      <c r="E223" s="7" t="str" cm="1">
        <f t="array" aca="1" ref="E223" ca="1">IFERROR(IF(OR('Raw Data'!E223="",LEN(TRIM('Raw Data'!E223))=0),"",IF(AND(ISNUMBER('Raw Data'!E223), IFERROR('Raw Data'!E223 = ROUND('Raw Data'!E223, 2),FALSE)),"",_xlfn.REGEXEXTRACT(CELL("address",E223), "\$([A-Z]+)\$[0-9]+"))),_xlfn.REGEXEXTRACT(CELL("address",E223), "\$([A-Z]+)\$[0-9]+"))</f>
        <v/>
      </c>
      <c r="F223" s="7" t="str" cm="1">
        <f t="array" aca="1" ref="F223" ca="1">IFERROR(IF(OR('Raw Data'!F223="",LEN(TRIM('Raw Data'!F223))=0),"",IF(AND(ISNUMBER('Raw Data'!F223), IFERROR('Raw Data'!F223 = ROUND('Raw Data'!F223, 2),FALSE)),"",_xlfn.REGEXEXTRACT(CELL("address",F223), "\$([A-Z]+)\$[0-9]+"))),_xlfn.REGEXEXTRACT(CELL("address",F223), "\$([A-Z]+)\$[0-9]+"))</f>
        <v/>
      </c>
      <c r="G223" s="7" t="str" cm="1">
        <f t="array" aca="1" ref="G223" ca="1">IFERROR(IF(OR('Raw Data'!G223="",LEN(TRIM('Raw Data'!G223))=0),"",IF(AND(ISNUMBER('Raw Data'!G223), IFERROR('Raw Data'!G223 = ROUND('Raw Data'!G223, 2),FALSE)),"",_xlfn.REGEXEXTRACT(CELL("address",G223), "\$([A-Z]+)\$[0-9]+"))),_xlfn.REGEXEXTRACT(CELL("address",G223), "\$([A-Z]+)\$[0-9]+"))</f>
        <v/>
      </c>
      <c r="H223" s="7" t="str" cm="1">
        <f t="array" aca="1" ref="H223" ca="1">IFERROR(IF(OR('Raw Data'!H223="",LEN(TRIM('Raw Data'!H223))=0),"",IF(AND(ISNUMBER('Raw Data'!H223), IFERROR('Raw Data'!H223 = ROUND('Raw Data'!H223, 2),FALSE)),"",_xlfn.REGEXEXTRACT(CELL("address",H223), "\$([A-Z]+)\$[0-9]+"))),_xlfn.REGEXEXTRACT(CELL("address",H223), "\$([A-Z]+)\$[0-9]+"))</f>
        <v/>
      </c>
      <c r="I223" s="7" t="str" cm="1">
        <f t="array" aca="1" ref="I223" ca="1">IFERROR(IF(OR('Raw Data'!I223="",LEN(TRIM('Raw Data'!I223))=0),"",IF(AND(ISNUMBER('Raw Data'!I223), IFERROR('Raw Data'!I223 = ROUND('Raw Data'!I223, 2),FALSE)),"",_xlfn.REGEXEXTRACT(CELL("address",I223), "\$([A-Z]+)\$[0-9]+"))),_xlfn.REGEXEXTRACT(CELL("address",I223), "\$([A-Z]+)\$[0-9]+"))</f>
        <v/>
      </c>
      <c r="J223" s="7" t="str" cm="1">
        <f t="array" aca="1" ref="J223" ca="1">IFERROR(IF(OR('Raw Data'!J223="",LEN(TRIM('Raw Data'!J223))=0),"",IF(AND(ISNUMBER('Raw Data'!J223), IFERROR('Raw Data'!J223 = ROUND('Raw Data'!J223, 2),FALSE)),"",_xlfn.REGEXEXTRACT(CELL("address",J223), "\$([A-Z]+)\$[0-9]+"))),_xlfn.REGEXEXTRACT(CELL("address",J223), "\$([A-Z]+)\$[0-9]+"))</f>
        <v/>
      </c>
      <c r="K223" s="7" t="str" cm="1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7" t="str" cm="1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7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7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7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7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 cm="1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7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7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7" t="str" cm="1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7" t="str" cm="1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  <c r="Z223" s="7" t="str" cm="1">
        <f t="array" aca="1" ref="Z223" ca="1">IFERROR(IF(OR('Raw Data'!Z223="",LEN(TRIM('Raw Data'!Z223))=0),"",IF(AND(ISNUMBER('Raw Data'!Z223), IFERROR('Raw Data'!Z223 = ROUND('Raw Data'!Z223, 2),FALSE)),"",_xlfn.REGEXEXTRACT(CELL("address",Z223), "\$([A-Z]+)\$[0-9]+"))),_xlfn.REGEXEXTRACT(CELL("address",Z223), "\$([A-Z]+)\$[0-9]+"))</f>
        <v/>
      </c>
      <c r="AA223" s="7" t="str" cm="1">
        <f t="array" aca="1" ref="AA223" ca="1">IFERROR(IF(OR('Raw Data'!AA223="",LEN(TRIM('Raw Data'!AA223))=0),"",IF(AND(ISNUMBER('Raw Data'!AA223), IFERROR('Raw Data'!AA223 = ROUND('Raw Data'!AA223, 2),FALSE)),"",_xlfn.REGEXEXTRACT(CELL("address",AA223), "\$([A-Z]+)\$[0-9]+"))),_xlfn.REGEXEXTRACT(CELL("address",AA223), "\$([A-Z]+)\$[0-9]+"))</f>
        <v/>
      </c>
      <c r="AB223" s="7" t="str" cm="1">
        <f t="array" aca="1" ref="AB223" ca="1">IFERROR(IF(OR('Raw Data'!AB223="",LEN(TRIM('Raw Data'!AB223))=0),"",IF(AND(ISNUMBER('Raw Data'!AB223), IFERROR('Raw Data'!AB223 = ROUND('Raw Data'!AB223, 2),FALSE)),"",_xlfn.REGEXEXTRACT(CELL("address",AB223), "\$([A-Z]+)\$[0-9]+"))),_xlfn.REGEXEXTRACT(CELL("address",AB223), "\$([A-Z]+)\$[0-9]+"))</f>
        <v/>
      </c>
      <c r="AC223" s="7" t="str" cm="1">
        <f t="array" aca="1" ref="AC223" ca="1">IFERROR(IF(OR('Raw Data'!AC223="",LEN(TRIM('Raw Data'!AC223))=0),"",IF(AND(ISNUMBER('Raw Data'!AC223), IFERROR('Raw Data'!AC223 = ROUND('Raw Data'!AC223, 2),FALSE)),"",_xlfn.REGEXEXTRACT(CELL("address",AC223), "\$([A-Z]+)\$[0-9]+"))),_xlfn.REGEXEXTRACT(CELL("address",AC223), "\$([A-Z]+)\$[0-9]+"))</f>
        <v/>
      </c>
      <c r="AD223" s="7" t="str" cm="1">
        <f t="array" aca="1" ref="AD223" ca="1">IFERROR(IF(OR('Raw Data'!AD223="",LEN(TRIM('Raw Data'!AD223))=0),"",IF(AND(ISNUMBER('Raw Data'!AD223), IFERROR('Raw Data'!AD223 = ROUND('Raw Data'!AD223, 2),FALSE)),"",_xlfn.REGEXEXTRACT(CELL("address",AD223), "\$([A-Z]+)\$[0-9]+"))),_xlfn.REGEXEXTRACT(CELL("address",AD223), "\$([A-Z]+)\$[0-9]+"))</f>
        <v/>
      </c>
      <c r="AE223" s="7" t="str" cm="1">
        <f t="array" aca="1" ref="AE223" ca="1">IFERROR(IF(OR('Raw Data'!AE223="",LEN(TRIM('Raw Data'!AE223))=0),"",IF(AND(ISNUMBER('Raw Data'!AE223), IFERROR('Raw Data'!AE223 = ROUND('Raw Data'!AE223, 2),FALSE)),"",_xlfn.REGEXEXTRACT(CELL("address",AE223), "\$([A-Z]+)\$[0-9]+"))),_xlfn.REGEXEXTRACT(CELL("address",AE223), "\$([A-Z]+)\$[0-9]+"))</f>
        <v/>
      </c>
      <c r="AF223" s="7" t="str" cm="1">
        <f t="array" aca="1" ref="AF223" ca="1">IFERROR(IF(OR('Raw Data'!AF223="",LEN(TRIM('Raw Data'!AF223))=0),"",IF(AND(ISNUMBER('Raw Data'!AF223), IFERROR('Raw Data'!AF223 = ROUND('Raw Data'!AF223, 2),FALSE)),"",_xlfn.REGEXEXTRACT(CELL("address",AF223), "\$([A-Z]+)\$[0-9]+"))),_xlfn.REGEXEXTRACT(CELL("address",AF223), "\$([A-Z]+)\$[0-9]+"))</f>
        <v/>
      </c>
      <c r="AG223" s="7" t="str" cm="1">
        <f t="array" aca="1" ref="AG223" ca="1">IFERROR(IF(OR('Raw Data'!AG223="",LEN(TRIM('Raw Data'!AG223))=0),"",IF(AND(ISNUMBER('Raw Data'!AG223), IFERROR('Raw Data'!AG223 = ROUND('Raw Data'!AG223, 2),FALSE)),"",_xlfn.REGEXEXTRACT(CELL("address",AG223), "\$([A-Z]+)\$[0-9]+"))),_xlfn.REGEXEXTRACT(CELL("address",AG223), "\$([A-Z]+)\$[0-9]+"))</f>
        <v/>
      </c>
      <c r="AH223" s="7" t="str" cm="1">
        <f t="array" aca="1" ref="AH223" ca="1">IFERROR(IF(OR('Raw Data'!AH223="",LEN(TRIM('Raw Data'!AH223))=0),"",IF(AND(ISNUMBER('Raw Data'!AH223), IFERROR('Raw Data'!AH223 = ROUND('Raw Data'!AH223, 2),FALSE)),"",_xlfn.REGEXEXTRACT(CELL("address",AH223), "\$([A-Z]+)\$[0-9]+"))),_xlfn.REGEXEXTRACT(CELL("address",AH223), "\$([A-Z]+)\$[0-9]+"))</f>
        <v/>
      </c>
      <c r="AI223" s="7" t="str" cm="1">
        <f t="array" aca="1" ref="AI223" ca="1">IFERROR(IF(OR('Raw Data'!AI223="",LEN(TRIM('Raw Data'!AI223))=0),"",IF(AND(ISNUMBER('Raw Data'!AI223), IFERROR('Raw Data'!AI223 = ROUND('Raw Data'!AI223, 2),FALSE)),"",_xlfn.REGEXEXTRACT(CELL("address",AI223), "\$([A-Z]+)\$[0-9]+"))),_xlfn.REGEXEXTRACT(CELL("address",AI223), "\$([A-Z]+)\$[0-9]+"))</f>
        <v/>
      </c>
      <c r="AJ223" s="7" t="str" cm="1">
        <f t="array" aca="1" ref="AJ223" ca="1">IFERROR(IF(OR('Raw Data'!AJ223="",LEN(TRIM('Raw Data'!AJ223))=0),"",IF(AND(ISNUMBER('Raw Data'!AJ223), IFERROR('Raw Data'!AJ223 = ROUND('Raw Data'!AJ223, 2),FALSE)),"",_xlfn.REGEXEXTRACT(CELL("address",AJ223), "\$([A-Z]+)\$[0-9]+"))),_xlfn.REGEXEXTRACT(CELL("address",AJ223), "\$([A-Z]+)\$[0-9]+"))</f>
        <v/>
      </c>
    </row>
    <row r="224" spans="2:36" x14ac:dyDescent="0.25">
      <c r="B224" s="7" t="str" cm="1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20,LEN('Raw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Data'!D224))=0),"",IF(AND(ISNUMBER('Raw Data'!D224),'Raw Data'!D224&gt;=Configuration!$D$2),"",_xlfn.REGEXEXTRACT(CELL("address",'Raw Data'!D224),"\$([A-Z]+)\$[0-9]+"))),_xlfn.REGEXEXTRACT(CELL("address",D224), "\$([A-Z]+)\$[0-9]+"))</f>
        <v/>
      </c>
      <c r="E224" s="7" t="str" cm="1">
        <f t="array" aca="1" ref="E224" ca="1">IFERROR(IF(OR('Raw Data'!E224="",LEN(TRIM('Raw Data'!E224))=0),"",IF(AND(ISNUMBER('Raw Data'!E224), IFERROR('Raw Data'!E224 = ROUND('Raw Data'!E224, 2),FALSE)),"",_xlfn.REGEXEXTRACT(CELL("address",E224), "\$([A-Z]+)\$[0-9]+"))),_xlfn.REGEXEXTRACT(CELL("address",E224), "\$([A-Z]+)\$[0-9]+"))</f>
        <v/>
      </c>
      <c r="F224" s="7" t="str" cm="1">
        <f t="array" aca="1" ref="F224" ca="1">IFERROR(IF(OR('Raw Data'!F224="",LEN(TRIM('Raw Data'!F224))=0),"",IF(AND(ISNUMBER('Raw Data'!F224), IFERROR('Raw Data'!F224 = ROUND('Raw Data'!F224, 2),FALSE)),"",_xlfn.REGEXEXTRACT(CELL("address",F224), "\$([A-Z]+)\$[0-9]+"))),_xlfn.REGEXEXTRACT(CELL("address",F224), "\$([A-Z]+)\$[0-9]+"))</f>
        <v/>
      </c>
      <c r="G224" s="7" t="str" cm="1">
        <f t="array" aca="1" ref="G224" ca="1">IFERROR(IF(OR('Raw Data'!G224="",LEN(TRIM('Raw Data'!G224))=0),"",IF(AND(ISNUMBER('Raw Data'!G224), IFERROR('Raw Data'!G224 = ROUND('Raw Data'!G224, 2),FALSE)),"",_xlfn.REGEXEXTRACT(CELL("address",G224), "\$([A-Z]+)\$[0-9]+"))),_xlfn.REGEXEXTRACT(CELL("address",G224), "\$([A-Z]+)\$[0-9]+"))</f>
        <v/>
      </c>
      <c r="H224" s="7" t="str" cm="1">
        <f t="array" aca="1" ref="H224" ca="1">IFERROR(IF(OR('Raw Data'!H224="",LEN(TRIM('Raw Data'!H224))=0),"",IF(AND(ISNUMBER('Raw Data'!H224), IFERROR('Raw Data'!H224 = ROUND('Raw Data'!H224, 2),FALSE)),"",_xlfn.REGEXEXTRACT(CELL("address",H224), "\$([A-Z]+)\$[0-9]+"))),_xlfn.REGEXEXTRACT(CELL("address",H224), "\$([A-Z]+)\$[0-9]+"))</f>
        <v/>
      </c>
      <c r="I224" s="7" t="str" cm="1">
        <f t="array" aca="1" ref="I224" ca="1">IFERROR(IF(OR('Raw Data'!I224="",LEN(TRIM('Raw Data'!I224))=0),"",IF(AND(ISNUMBER('Raw Data'!I224), IFERROR('Raw Data'!I224 = ROUND('Raw Data'!I224, 2),FALSE)),"",_xlfn.REGEXEXTRACT(CELL("address",I224), "\$([A-Z]+)\$[0-9]+"))),_xlfn.REGEXEXTRACT(CELL("address",I224), "\$([A-Z]+)\$[0-9]+"))</f>
        <v/>
      </c>
      <c r="J224" s="7" t="str" cm="1">
        <f t="array" aca="1" ref="J224" ca="1">IFERROR(IF(OR('Raw Data'!J224="",LEN(TRIM('Raw Data'!J224))=0),"",IF(AND(ISNUMBER('Raw Data'!J224), IFERROR('Raw Data'!J224 = ROUND('Raw Data'!J224, 2),FALSE)),"",_xlfn.REGEXEXTRACT(CELL("address",J224), "\$([A-Z]+)\$[0-9]+"))),_xlfn.REGEXEXTRACT(CELL("address",J224), "\$([A-Z]+)\$[0-9]+"))</f>
        <v/>
      </c>
      <c r="K224" s="7" t="str" cm="1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7" t="str" cm="1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7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7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7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7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 cm="1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7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7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7" t="str" cm="1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7" t="str" cm="1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  <c r="Z224" s="7" t="str" cm="1">
        <f t="array" aca="1" ref="Z224" ca="1">IFERROR(IF(OR('Raw Data'!Z224="",LEN(TRIM('Raw Data'!Z224))=0),"",IF(AND(ISNUMBER('Raw Data'!Z224), IFERROR('Raw Data'!Z224 = ROUND('Raw Data'!Z224, 2),FALSE)),"",_xlfn.REGEXEXTRACT(CELL("address",Z224), "\$([A-Z]+)\$[0-9]+"))),_xlfn.REGEXEXTRACT(CELL("address",Z224), "\$([A-Z]+)\$[0-9]+"))</f>
        <v/>
      </c>
      <c r="AA224" s="7" t="str" cm="1">
        <f t="array" aca="1" ref="AA224" ca="1">IFERROR(IF(OR('Raw Data'!AA224="",LEN(TRIM('Raw Data'!AA224))=0),"",IF(AND(ISNUMBER('Raw Data'!AA224), IFERROR('Raw Data'!AA224 = ROUND('Raw Data'!AA224, 2),FALSE)),"",_xlfn.REGEXEXTRACT(CELL("address",AA224), "\$([A-Z]+)\$[0-9]+"))),_xlfn.REGEXEXTRACT(CELL("address",AA224), "\$([A-Z]+)\$[0-9]+"))</f>
        <v/>
      </c>
      <c r="AB224" s="7" t="str" cm="1">
        <f t="array" aca="1" ref="AB224" ca="1">IFERROR(IF(OR('Raw Data'!AB224="",LEN(TRIM('Raw Data'!AB224))=0),"",IF(AND(ISNUMBER('Raw Data'!AB224), IFERROR('Raw Data'!AB224 = ROUND('Raw Data'!AB224, 2),FALSE)),"",_xlfn.REGEXEXTRACT(CELL("address",AB224), "\$([A-Z]+)\$[0-9]+"))),_xlfn.REGEXEXTRACT(CELL("address",AB224), "\$([A-Z]+)\$[0-9]+"))</f>
        <v/>
      </c>
      <c r="AC224" s="7" t="str" cm="1">
        <f t="array" aca="1" ref="AC224" ca="1">IFERROR(IF(OR('Raw Data'!AC224="",LEN(TRIM('Raw Data'!AC224))=0),"",IF(AND(ISNUMBER('Raw Data'!AC224), IFERROR('Raw Data'!AC224 = ROUND('Raw Data'!AC224, 2),FALSE)),"",_xlfn.REGEXEXTRACT(CELL("address",AC224), "\$([A-Z]+)\$[0-9]+"))),_xlfn.REGEXEXTRACT(CELL("address",AC224), "\$([A-Z]+)\$[0-9]+"))</f>
        <v/>
      </c>
      <c r="AD224" s="7" t="str" cm="1">
        <f t="array" aca="1" ref="AD224" ca="1">IFERROR(IF(OR('Raw Data'!AD224="",LEN(TRIM('Raw Data'!AD224))=0),"",IF(AND(ISNUMBER('Raw Data'!AD224), IFERROR('Raw Data'!AD224 = ROUND('Raw Data'!AD224, 2),FALSE)),"",_xlfn.REGEXEXTRACT(CELL("address",AD224), "\$([A-Z]+)\$[0-9]+"))),_xlfn.REGEXEXTRACT(CELL("address",AD224), "\$([A-Z]+)\$[0-9]+"))</f>
        <v/>
      </c>
      <c r="AE224" s="7" t="str" cm="1">
        <f t="array" aca="1" ref="AE224" ca="1">IFERROR(IF(OR('Raw Data'!AE224="",LEN(TRIM('Raw Data'!AE224))=0),"",IF(AND(ISNUMBER('Raw Data'!AE224), IFERROR('Raw Data'!AE224 = ROUND('Raw Data'!AE224, 2),FALSE)),"",_xlfn.REGEXEXTRACT(CELL("address",AE224), "\$([A-Z]+)\$[0-9]+"))),_xlfn.REGEXEXTRACT(CELL("address",AE224), "\$([A-Z]+)\$[0-9]+"))</f>
        <v/>
      </c>
      <c r="AF224" s="7" t="str" cm="1">
        <f t="array" aca="1" ref="AF224" ca="1">IFERROR(IF(OR('Raw Data'!AF224="",LEN(TRIM('Raw Data'!AF224))=0),"",IF(AND(ISNUMBER('Raw Data'!AF224), IFERROR('Raw Data'!AF224 = ROUND('Raw Data'!AF224, 2),FALSE)),"",_xlfn.REGEXEXTRACT(CELL("address",AF224), "\$([A-Z]+)\$[0-9]+"))),_xlfn.REGEXEXTRACT(CELL("address",AF224), "\$([A-Z]+)\$[0-9]+"))</f>
        <v/>
      </c>
      <c r="AG224" s="7" t="str" cm="1">
        <f t="array" aca="1" ref="AG224" ca="1">IFERROR(IF(OR('Raw Data'!AG224="",LEN(TRIM('Raw Data'!AG224))=0),"",IF(AND(ISNUMBER('Raw Data'!AG224), IFERROR('Raw Data'!AG224 = ROUND('Raw Data'!AG224, 2),FALSE)),"",_xlfn.REGEXEXTRACT(CELL("address",AG224), "\$([A-Z]+)\$[0-9]+"))),_xlfn.REGEXEXTRACT(CELL("address",AG224), "\$([A-Z]+)\$[0-9]+"))</f>
        <v/>
      </c>
      <c r="AH224" s="7" t="str" cm="1">
        <f t="array" aca="1" ref="AH224" ca="1">IFERROR(IF(OR('Raw Data'!AH224="",LEN(TRIM('Raw Data'!AH224))=0),"",IF(AND(ISNUMBER('Raw Data'!AH224), IFERROR('Raw Data'!AH224 = ROUND('Raw Data'!AH224, 2),FALSE)),"",_xlfn.REGEXEXTRACT(CELL("address",AH224), "\$([A-Z]+)\$[0-9]+"))),_xlfn.REGEXEXTRACT(CELL("address",AH224), "\$([A-Z]+)\$[0-9]+"))</f>
        <v/>
      </c>
      <c r="AI224" s="7" t="str" cm="1">
        <f t="array" aca="1" ref="AI224" ca="1">IFERROR(IF(OR('Raw Data'!AI224="",LEN(TRIM('Raw Data'!AI224))=0),"",IF(AND(ISNUMBER('Raw Data'!AI224), IFERROR('Raw Data'!AI224 = ROUND('Raw Data'!AI224, 2),FALSE)),"",_xlfn.REGEXEXTRACT(CELL("address",AI224), "\$([A-Z]+)\$[0-9]+"))),_xlfn.REGEXEXTRACT(CELL("address",AI224), "\$([A-Z]+)\$[0-9]+"))</f>
        <v/>
      </c>
      <c r="AJ224" s="7" t="str" cm="1">
        <f t="array" aca="1" ref="AJ224" ca="1">IFERROR(IF(OR('Raw Data'!AJ224="",LEN(TRIM('Raw Data'!AJ224))=0),"",IF(AND(ISNUMBER('Raw Data'!AJ224), IFERROR('Raw Data'!AJ224 = ROUND('Raw Data'!AJ224, 2),FALSE)),"",_xlfn.REGEXEXTRACT(CELL("address",AJ224), "\$([A-Z]+)\$[0-9]+"))),_xlfn.REGEXEXTRACT(CELL("address",AJ224), "\$([A-Z]+)\$[0-9]+"))</f>
        <v/>
      </c>
    </row>
    <row r="225" spans="2:36" x14ac:dyDescent="0.25">
      <c r="B225" s="7" t="str" cm="1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20,LEN('Raw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Data'!D225))=0),"",IF(AND(ISNUMBER('Raw Data'!D225),'Raw Data'!D225&gt;=Configuration!$D$2),"",_xlfn.REGEXEXTRACT(CELL("address",'Raw Data'!D225),"\$([A-Z]+)\$[0-9]+"))),_xlfn.REGEXEXTRACT(CELL("address",D225), "\$([A-Z]+)\$[0-9]+"))</f>
        <v/>
      </c>
      <c r="E225" s="7" t="str" cm="1">
        <f t="array" aca="1" ref="E225" ca="1">IFERROR(IF(OR('Raw Data'!E225="",LEN(TRIM('Raw Data'!E225))=0),"",IF(AND(ISNUMBER('Raw Data'!E225), IFERROR('Raw Data'!E225 = ROUND('Raw Data'!E225, 2),FALSE)),"",_xlfn.REGEXEXTRACT(CELL("address",E225), "\$([A-Z]+)\$[0-9]+"))),_xlfn.REGEXEXTRACT(CELL("address",E225), "\$([A-Z]+)\$[0-9]+"))</f>
        <v/>
      </c>
      <c r="F225" s="7" t="str" cm="1">
        <f t="array" aca="1" ref="F225" ca="1">IFERROR(IF(OR('Raw Data'!F225="",LEN(TRIM('Raw Data'!F225))=0),"",IF(AND(ISNUMBER('Raw Data'!F225), IFERROR('Raw Data'!F225 = ROUND('Raw Data'!F225, 2),FALSE)),"",_xlfn.REGEXEXTRACT(CELL("address",F225), "\$([A-Z]+)\$[0-9]+"))),_xlfn.REGEXEXTRACT(CELL("address",F225), "\$([A-Z]+)\$[0-9]+"))</f>
        <v/>
      </c>
      <c r="G225" s="7" t="str" cm="1">
        <f t="array" aca="1" ref="G225" ca="1">IFERROR(IF(OR('Raw Data'!G225="",LEN(TRIM('Raw Data'!G225))=0),"",IF(AND(ISNUMBER('Raw Data'!G225), IFERROR('Raw Data'!G225 = ROUND('Raw Data'!G225, 2),FALSE)),"",_xlfn.REGEXEXTRACT(CELL("address",G225), "\$([A-Z]+)\$[0-9]+"))),_xlfn.REGEXEXTRACT(CELL("address",G225), "\$([A-Z]+)\$[0-9]+"))</f>
        <v/>
      </c>
      <c r="H225" s="7" t="str" cm="1">
        <f t="array" aca="1" ref="H225" ca="1">IFERROR(IF(OR('Raw Data'!H225="",LEN(TRIM('Raw Data'!H225))=0),"",IF(AND(ISNUMBER('Raw Data'!H225), IFERROR('Raw Data'!H225 = ROUND('Raw Data'!H225, 2),FALSE)),"",_xlfn.REGEXEXTRACT(CELL("address",H225), "\$([A-Z]+)\$[0-9]+"))),_xlfn.REGEXEXTRACT(CELL("address",H225), "\$([A-Z]+)\$[0-9]+"))</f>
        <v/>
      </c>
      <c r="I225" s="7" t="str" cm="1">
        <f t="array" aca="1" ref="I225" ca="1">IFERROR(IF(OR('Raw Data'!I225="",LEN(TRIM('Raw Data'!I225))=0),"",IF(AND(ISNUMBER('Raw Data'!I225), IFERROR('Raw Data'!I225 = ROUND('Raw Data'!I225, 2),FALSE)),"",_xlfn.REGEXEXTRACT(CELL("address",I225), "\$([A-Z]+)\$[0-9]+"))),_xlfn.REGEXEXTRACT(CELL("address",I225), "\$([A-Z]+)\$[0-9]+"))</f>
        <v/>
      </c>
      <c r="J225" s="7" t="str" cm="1">
        <f t="array" aca="1" ref="J225" ca="1">IFERROR(IF(OR('Raw Data'!J225="",LEN(TRIM('Raw Data'!J225))=0),"",IF(AND(ISNUMBER('Raw Data'!J225), IFERROR('Raw Data'!J225 = ROUND('Raw Data'!J225, 2),FALSE)),"",_xlfn.REGEXEXTRACT(CELL("address",J225), "\$([A-Z]+)\$[0-9]+"))),_xlfn.REGEXEXTRACT(CELL("address",J225), "\$([A-Z]+)\$[0-9]+"))</f>
        <v/>
      </c>
      <c r="K225" s="7" t="str" cm="1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7" t="str" cm="1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7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7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7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7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 cm="1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7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7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7" t="str" cm="1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7" t="str" cm="1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  <c r="Z225" s="7" t="str" cm="1">
        <f t="array" aca="1" ref="Z225" ca="1">IFERROR(IF(OR('Raw Data'!Z225="",LEN(TRIM('Raw Data'!Z225))=0),"",IF(AND(ISNUMBER('Raw Data'!Z225), IFERROR('Raw Data'!Z225 = ROUND('Raw Data'!Z225, 2),FALSE)),"",_xlfn.REGEXEXTRACT(CELL("address",Z225), "\$([A-Z]+)\$[0-9]+"))),_xlfn.REGEXEXTRACT(CELL("address",Z225), "\$([A-Z]+)\$[0-9]+"))</f>
        <v/>
      </c>
      <c r="AA225" s="7" t="str" cm="1">
        <f t="array" aca="1" ref="AA225" ca="1">IFERROR(IF(OR('Raw Data'!AA225="",LEN(TRIM('Raw Data'!AA225))=0),"",IF(AND(ISNUMBER('Raw Data'!AA225), IFERROR('Raw Data'!AA225 = ROUND('Raw Data'!AA225, 2),FALSE)),"",_xlfn.REGEXEXTRACT(CELL("address",AA225), "\$([A-Z]+)\$[0-9]+"))),_xlfn.REGEXEXTRACT(CELL("address",AA225), "\$([A-Z]+)\$[0-9]+"))</f>
        <v/>
      </c>
      <c r="AB225" s="7" t="str" cm="1">
        <f t="array" aca="1" ref="AB225" ca="1">IFERROR(IF(OR('Raw Data'!AB225="",LEN(TRIM('Raw Data'!AB225))=0),"",IF(AND(ISNUMBER('Raw Data'!AB225), IFERROR('Raw Data'!AB225 = ROUND('Raw Data'!AB225, 2),FALSE)),"",_xlfn.REGEXEXTRACT(CELL("address",AB225), "\$([A-Z]+)\$[0-9]+"))),_xlfn.REGEXEXTRACT(CELL("address",AB225), "\$([A-Z]+)\$[0-9]+"))</f>
        <v/>
      </c>
      <c r="AC225" s="7" t="str" cm="1">
        <f t="array" aca="1" ref="AC225" ca="1">IFERROR(IF(OR('Raw Data'!AC225="",LEN(TRIM('Raw Data'!AC225))=0),"",IF(AND(ISNUMBER('Raw Data'!AC225), IFERROR('Raw Data'!AC225 = ROUND('Raw Data'!AC225, 2),FALSE)),"",_xlfn.REGEXEXTRACT(CELL("address",AC225), "\$([A-Z]+)\$[0-9]+"))),_xlfn.REGEXEXTRACT(CELL("address",AC225), "\$([A-Z]+)\$[0-9]+"))</f>
        <v/>
      </c>
      <c r="AD225" s="7" t="str" cm="1">
        <f t="array" aca="1" ref="AD225" ca="1">IFERROR(IF(OR('Raw Data'!AD225="",LEN(TRIM('Raw Data'!AD225))=0),"",IF(AND(ISNUMBER('Raw Data'!AD225), IFERROR('Raw Data'!AD225 = ROUND('Raw Data'!AD225, 2),FALSE)),"",_xlfn.REGEXEXTRACT(CELL("address",AD225), "\$([A-Z]+)\$[0-9]+"))),_xlfn.REGEXEXTRACT(CELL("address",AD225), "\$([A-Z]+)\$[0-9]+"))</f>
        <v/>
      </c>
      <c r="AE225" s="7" t="str" cm="1">
        <f t="array" aca="1" ref="AE225" ca="1">IFERROR(IF(OR('Raw Data'!AE225="",LEN(TRIM('Raw Data'!AE225))=0),"",IF(AND(ISNUMBER('Raw Data'!AE225), IFERROR('Raw Data'!AE225 = ROUND('Raw Data'!AE225, 2),FALSE)),"",_xlfn.REGEXEXTRACT(CELL("address",AE225), "\$([A-Z]+)\$[0-9]+"))),_xlfn.REGEXEXTRACT(CELL("address",AE225), "\$([A-Z]+)\$[0-9]+"))</f>
        <v/>
      </c>
      <c r="AF225" s="7" t="str" cm="1">
        <f t="array" aca="1" ref="AF225" ca="1">IFERROR(IF(OR('Raw Data'!AF225="",LEN(TRIM('Raw Data'!AF225))=0),"",IF(AND(ISNUMBER('Raw Data'!AF225), IFERROR('Raw Data'!AF225 = ROUND('Raw Data'!AF225, 2),FALSE)),"",_xlfn.REGEXEXTRACT(CELL("address",AF225), "\$([A-Z]+)\$[0-9]+"))),_xlfn.REGEXEXTRACT(CELL("address",AF225), "\$([A-Z]+)\$[0-9]+"))</f>
        <v/>
      </c>
      <c r="AG225" s="7" t="str" cm="1">
        <f t="array" aca="1" ref="AG225" ca="1">IFERROR(IF(OR('Raw Data'!AG225="",LEN(TRIM('Raw Data'!AG225))=0),"",IF(AND(ISNUMBER('Raw Data'!AG225), IFERROR('Raw Data'!AG225 = ROUND('Raw Data'!AG225, 2),FALSE)),"",_xlfn.REGEXEXTRACT(CELL("address",AG225), "\$([A-Z]+)\$[0-9]+"))),_xlfn.REGEXEXTRACT(CELL("address",AG225), "\$([A-Z]+)\$[0-9]+"))</f>
        <v/>
      </c>
      <c r="AH225" s="7" t="str" cm="1">
        <f t="array" aca="1" ref="AH225" ca="1">IFERROR(IF(OR('Raw Data'!AH225="",LEN(TRIM('Raw Data'!AH225))=0),"",IF(AND(ISNUMBER('Raw Data'!AH225), IFERROR('Raw Data'!AH225 = ROUND('Raw Data'!AH225, 2),FALSE)),"",_xlfn.REGEXEXTRACT(CELL("address",AH225), "\$([A-Z]+)\$[0-9]+"))),_xlfn.REGEXEXTRACT(CELL("address",AH225), "\$([A-Z]+)\$[0-9]+"))</f>
        <v/>
      </c>
      <c r="AI225" s="7" t="str" cm="1">
        <f t="array" aca="1" ref="AI225" ca="1">IFERROR(IF(OR('Raw Data'!AI225="",LEN(TRIM('Raw Data'!AI225))=0),"",IF(AND(ISNUMBER('Raw Data'!AI225), IFERROR('Raw Data'!AI225 = ROUND('Raw Data'!AI225, 2),FALSE)),"",_xlfn.REGEXEXTRACT(CELL("address",AI225), "\$([A-Z]+)\$[0-9]+"))),_xlfn.REGEXEXTRACT(CELL("address",AI225), "\$([A-Z]+)\$[0-9]+"))</f>
        <v/>
      </c>
      <c r="AJ225" s="7" t="str" cm="1">
        <f t="array" aca="1" ref="AJ225" ca="1">IFERROR(IF(OR('Raw Data'!AJ225="",LEN(TRIM('Raw Data'!AJ225))=0),"",IF(AND(ISNUMBER('Raw Data'!AJ225), IFERROR('Raw Data'!AJ225 = ROUND('Raw Data'!AJ225, 2),FALSE)),"",_xlfn.REGEXEXTRACT(CELL("address",AJ225), "\$([A-Z]+)\$[0-9]+"))),_xlfn.REGEXEXTRACT(CELL("address",AJ225), "\$([A-Z]+)\$[0-9]+"))</f>
        <v/>
      </c>
    </row>
    <row r="226" spans="2:36" x14ac:dyDescent="0.25">
      <c r="B226" s="7" t="str" cm="1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20,LEN('Raw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Data'!D226))=0),"",IF(AND(ISNUMBER('Raw Data'!D226),'Raw Data'!D226&gt;=Configuration!$D$2),"",_xlfn.REGEXEXTRACT(CELL("address",'Raw Data'!D226),"\$([A-Z]+)\$[0-9]+"))),_xlfn.REGEXEXTRACT(CELL("address",D226), "\$([A-Z]+)\$[0-9]+"))</f>
        <v/>
      </c>
      <c r="E226" s="7" t="str" cm="1">
        <f t="array" aca="1" ref="E226" ca="1">IFERROR(IF(OR('Raw Data'!E226="",LEN(TRIM('Raw Data'!E226))=0),"",IF(AND(ISNUMBER('Raw Data'!E226), IFERROR('Raw Data'!E226 = ROUND('Raw Data'!E226, 2),FALSE)),"",_xlfn.REGEXEXTRACT(CELL("address",E226), "\$([A-Z]+)\$[0-9]+"))),_xlfn.REGEXEXTRACT(CELL("address",E226), "\$([A-Z]+)\$[0-9]+"))</f>
        <v/>
      </c>
      <c r="F226" s="7" t="str" cm="1">
        <f t="array" aca="1" ref="F226" ca="1">IFERROR(IF(OR('Raw Data'!F226="",LEN(TRIM('Raw Data'!F226))=0),"",IF(AND(ISNUMBER('Raw Data'!F226), IFERROR('Raw Data'!F226 = ROUND('Raw Data'!F226, 2),FALSE)),"",_xlfn.REGEXEXTRACT(CELL("address",F226), "\$([A-Z]+)\$[0-9]+"))),_xlfn.REGEXEXTRACT(CELL("address",F226), "\$([A-Z]+)\$[0-9]+"))</f>
        <v/>
      </c>
      <c r="G226" s="7" t="str" cm="1">
        <f t="array" aca="1" ref="G226" ca="1">IFERROR(IF(OR('Raw Data'!G226="",LEN(TRIM('Raw Data'!G226))=0),"",IF(AND(ISNUMBER('Raw Data'!G226), IFERROR('Raw Data'!G226 = ROUND('Raw Data'!G226, 2),FALSE)),"",_xlfn.REGEXEXTRACT(CELL("address",G226), "\$([A-Z]+)\$[0-9]+"))),_xlfn.REGEXEXTRACT(CELL("address",G226), "\$([A-Z]+)\$[0-9]+"))</f>
        <v/>
      </c>
      <c r="H226" s="7" t="str" cm="1">
        <f t="array" aca="1" ref="H226" ca="1">IFERROR(IF(OR('Raw Data'!H226="",LEN(TRIM('Raw Data'!H226))=0),"",IF(AND(ISNUMBER('Raw Data'!H226), IFERROR('Raw Data'!H226 = ROUND('Raw Data'!H226, 2),FALSE)),"",_xlfn.REGEXEXTRACT(CELL("address",H226), "\$([A-Z]+)\$[0-9]+"))),_xlfn.REGEXEXTRACT(CELL("address",H226), "\$([A-Z]+)\$[0-9]+"))</f>
        <v/>
      </c>
      <c r="I226" s="7" t="str" cm="1">
        <f t="array" aca="1" ref="I226" ca="1">IFERROR(IF(OR('Raw Data'!I226="",LEN(TRIM('Raw Data'!I226))=0),"",IF(AND(ISNUMBER('Raw Data'!I226), IFERROR('Raw Data'!I226 = ROUND('Raw Data'!I226, 2),FALSE)),"",_xlfn.REGEXEXTRACT(CELL("address",I226), "\$([A-Z]+)\$[0-9]+"))),_xlfn.REGEXEXTRACT(CELL("address",I226), "\$([A-Z]+)\$[0-9]+"))</f>
        <v/>
      </c>
      <c r="J226" s="7" t="str" cm="1">
        <f t="array" aca="1" ref="J226" ca="1">IFERROR(IF(OR('Raw Data'!J226="",LEN(TRIM('Raw Data'!J226))=0),"",IF(AND(ISNUMBER('Raw Data'!J226), IFERROR('Raw Data'!J226 = ROUND('Raw Data'!J226, 2),FALSE)),"",_xlfn.REGEXEXTRACT(CELL("address",J226), "\$([A-Z]+)\$[0-9]+"))),_xlfn.REGEXEXTRACT(CELL("address",J226), "\$([A-Z]+)\$[0-9]+"))</f>
        <v/>
      </c>
      <c r="K226" s="7" t="str" cm="1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7" t="str" cm="1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7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7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7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7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 cm="1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7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7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7" t="str" cm="1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7" t="str" cm="1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  <c r="Z226" s="7" t="str" cm="1">
        <f t="array" aca="1" ref="Z226" ca="1">IFERROR(IF(OR('Raw Data'!Z226="",LEN(TRIM('Raw Data'!Z226))=0),"",IF(AND(ISNUMBER('Raw Data'!Z226), IFERROR('Raw Data'!Z226 = ROUND('Raw Data'!Z226, 2),FALSE)),"",_xlfn.REGEXEXTRACT(CELL("address",Z226), "\$([A-Z]+)\$[0-9]+"))),_xlfn.REGEXEXTRACT(CELL("address",Z226), "\$([A-Z]+)\$[0-9]+"))</f>
        <v/>
      </c>
      <c r="AA226" s="7" t="str" cm="1">
        <f t="array" aca="1" ref="AA226" ca="1">IFERROR(IF(OR('Raw Data'!AA226="",LEN(TRIM('Raw Data'!AA226))=0),"",IF(AND(ISNUMBER('Raw Data'!AA226), IFERROR('Raw Data'!AA226 = ROUND('Raw Data'!AA226, 2),FALSE)),"",_xlfn.REGEXEXTRACT(CELL("address",AA226), "\$([A-Z]+)\$[0-9]+"))),_xlfn.REGEXEXTRACT(CELL("address",AA226), "\$([A-Z]+)\$[0-9]+"))</f>
        <v/>
      </c>
      <c r="AB226" s="7" t="str" cm="1">
        <f t="array" aca="1" ref="AB226" ca="1">IFERROR(IF(OR('Raw Data'!AB226="",LEN(TRIM('Raw Data'!AB226))=0),"",IF(AND(ISNUMBER('Raw Data'!AB226), IFERROR('Raw Data'!AB226 = ROUND('Raw Data'!AB226, 2),FALSE)),"",_xlfn.REGEXEXTRACT(CELL("address",AB226), "\$([A-Z]+)\$[0-9]+"))),_xlfn.REGEXEXTRACT(CELL("address",AB226), "\$([A-Z]+)\$[0-9]+"))</f>
        <v/>
      </c>
      <c r="AC226" s="7" t="str" cm="1">
        <f t="array" aca="1" ref="AC226" ca="1">IFERROR(IF(OR('Raw Data'!AC226="",LEN(TRIM('Raw Data'!AC226))=0),"",IF(AND(ISNUMBER('Raw Data'!AC226), IFERROR('Raw Data'!AC226 = ROUND('Raw Data'!AC226, 2),FALSE)),"",_xlfn.REGEXEXTRACT(CELL("address",AC226), "\$([A-Z]+)\$[0-9]+"))),_xlfn.REGEXEXTRACT(CELL("address",AC226), "\$([A-Z]+)\$[0-9]+"))</f>
        <v/>
      </c>
      <c r="AD226" s="7" t="str" cm="1">
        <f t="array" aca="1" ref="AD226" ca="1">IFERROR(IF(OR('Raw Data'!AD226="",LEN(TRIM('Raw Data'!AD226))=0),"",IF(AND(ISNUMBER('Raw Data'!AD226), IFERROR('Raw Data'!AD226 = ROUND('Raw Data'!AD226, 2),FALSE)),"",_xlfn.REGEXEXTRACT(CELL("address",AD226), "\$([A-Z]+)\$[0-9]+"))),_xlfn.REGEXEXTRACT(CELL("address",AD226), "\$([A-Z]+)\$[0-9]+"))</f>
        <v/>
      </c>
      <c r="AE226" s="7" t="str" cm="1">
        <f t="array" aca="1" ref="AE226" ca="1">IFERROR(IF(OR('Raw Data'!AE226="",LEN(TRIM('Raw Data'!AE226))=0),"",IF(AND(ISNUMBER('Raw Data'!AE226), IFERROR('Raw Data'!AE226 = ROUND('Raw Data'!AE226, 2),FALSE)),"",_xlfn.REGEXEXTRACT(CELL("address",AE226), "\$([A-Z]+)\$[0-9]+"))),_xlfn.REGEXEXTRACT(CELL("address",AE226), "\$([A-Z]+)\$[0-9]+"))</f>
        <v/>
      </c>
      <c r="AF226" s="7" t="str" cm="1">
        <f t="array" aca="1" ref="AF226" ca="1">IFERROR(IF(OR('Raw Data'!AF226="",LEN(TRIM('Raw Data'!AF226))=0),"",IF(AND(ISNUMBER('Raw Data'!AF226), IFERROR('Raw Data'!AF226 = ROUND('Raw Data'!AF226, 2),FALSE)),"",_xlfn.REGEXEXTRACT(CELL("address",AF226), "\$([A-Z]+)\$[0-9]+"))),_xlfn.REGEXEXTRACT(CELL("address",AF226), "\$([A-Z]+)\$[0-9]+"))</f>
        <v/>
      </c>
      <c r="AG226" s="7" t="str" cm="1">
        <f t="array" aca="1" ref="AG226" ca="1">IFERROR(IF(OR('Raw Data'!AG226="",LEN(TRIM('Raw Data'!AG226))=0),"",IF(AND(ISNUMBER('Raw Data'!AG226), IFERROR('Raw Data'!AG226 = ROUND('Raw Data'!AG226, 2),FALSE)),"",_xlfn.REGEXEXTRACT(CELL("address",AG226), "\$([A-Z]+)\$[0-9]+"))),_xlfn.REGEXEXTRACT(CELL("address",AG226), "\$([A-Z]+)\$[0-9]+"))</f>
        <v/>
      </c>
      <c r="AH226" s="7" t="str" cm="1">
        <f t="array" aca="1" ref="AH226" ca="1">IFERROR(IF(OR('Raw Data'!AH226="",LEN(TRIM('Raw Data'!AH226))=0),"",IF(AND(ISNUMBER('Raw Data'!AH226), IFERROR('Raw Data'!AH226 = ROUND('Raw Data'!AH226, 2),FALSE)),"",_xlfn.REGEXEXTRACT(CELL("address",AH226), "\$([A-Z]+)\$[0-9]+"))),_xlfn.REGEXEXTRACT(CELL("address",AH226), "\$([A-Z]+)\$[0-9]+"))</f>
        <v/>
      </c>
      <c r="AI226" s="7" t="str" cm="1">
        <f t="array" aca="1" ref="AI226" ca="1">IFERROR(IF(OR('Raw Data'!AI226="",LEN(TRIM('Raw Data'!AI226))=0),"",IF(AND(ISNUMBER('Raw Data'!AI226), IFERROR('Raw Data'!AI226 = ROUND('Raw Data'!AI226, 2),FALSE)),"",_xlfn.REGEXEXTRACT(CELL("address",AI226), "\$([A-Z]+)\$[0-9]+"))),_xlfn.REGEXEXTRACT(CELL("address",AI226), "\$([A-Z]+)\$[0-9]+"))</f>
        <v/>
      </c>
      <c r="AJ226" s="7" t="str" cm="1">
        <f t="array" aca="1" ref="AJ226" ca="1">IFERROR(IF(OR('Raw Data'!AJ226="",LEN(TRIM('Raw Data'!AJ226))=0),"",IF(AND(ISNUMBER('Raw Data'!AJ226), IFERROR('Raw Data'!AJ226 = ROUND('Raw Data'!AJ226, 2),FALSE)),"",_xlfn.REGEXEXTRACT(CELL("address",AJ226), "\$([A-Z]+)\$[0-9]+"))),_xlfn.REGEXEXTRACT(CELL("address",AJ226), "\$([A-Z]+)\$[0-9]+"))</f>
        <v/>
      </c>
    </row>
    <row r="227" spans="2:36" x14ac:dyDescent="0.25">
      <c r="B227" s="7" t="str" cm="1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20,LEN('Raw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Data'!D227))=0),"",IF(AND(ISNUMBER('Raw Data'!D227),'Raw Data'!D227&gt;=Configuration!$D$2),"",_xlfn.REGEXEXTRACT(CELL("address",'Raw Data'!D227),"\$([A-Z]+)\$[0-9]+"))),_xlfn.REGEXEXTRACT(CELL("address",D227), "\$([A-Z]+)\$[0-9]+"))</f>
        <v/>
      </c>
      <c r="E227" s="7" t="str" cm="1">
        <f t="array" aca="1" ref="E227" ca="1">IFERROR(IF(OR('Raw Data'!E227="",LEN(TRIM('Raw Data'!E227))=0),"",IF(AND(ISNUMBER('Raw Data'!E227), IFERROR('Raw Data'!E227 = ROUND('Raw Data'!E227, 2),FALSE)),"",_xlfn.REGEXEXTRACT(CELL("address",E227), "\$([A-Z]+)\$[0-9]+"))),_xlfn.REGEXEXTRACT(CELL("address",E227), "\$([A-Z]+)\$[0-9]+"))</f>
        <v/>
      </c>
      <c r="F227" s="7" t="str" cm="1">
        <f t="array" aca="1" ref="F227" ca="1">IFERROR(IF(OR('Raw Data'!F227="",LEN(TRIM('Raw Data'!F227))=0),"",IF(AND(ISNUMBER('Raw Data'!F227), IFERROR('Raw Data'!F227 = ROUND('Raw Data'!F227, 2),FALSE)),"",_xlfn.REGEXEXTRACT(CELL("address",F227), "\$([A-Z]+)\$[0-9]+"))),_xlfn.REGEXEXTRACT(CELL("address",F227), "\$([A-Z]+)\$[0-9]+"))</f>
        <v/>
      </c>
      <c r="G227" s="7" t="str" cm="1">
        <f t="array" aca="1" ref="G227" ca="1">IFERROR(IF(OR('Raw Data'!G227="",LEN(TRIM('Raw Data'!G227))=0),"",IF(AND(ISNUMBER('Raw Data'!G227), IFERROR('Raw Data'!G227 = ROUND('Raw Data'!G227, 2),FALSE)),"",_xlfn.REGEXEXTRACT(CELL("address",G227), "\$([A-Z]+)\$[0-9]+"))),_xlfn.REGEXEXTRACT(CELL("address",G227), "\$([A-Z]+)\$[0-9]+"))</f>
        <v/>
      </c>
      <c r="H227" s="7" t="str" cm="1">
        <f t="array" aca="1" ref="H227" ca="1">IFERROR(IF(OR('Raw Data'!H227="",LEN(TRIM('Raw Data'!H227))=0),"",IF(AND(ISNUMBER('Raw Data'!H227), IFERROR('Raw Data'!H227 = ROUND('Raw Data'!H227, 2),FALSE)),"",_xlfn.REGEXEXTRACT(CELL("address",H227), "\$([A-Z]+)\$[0-9]+"))),_xlfn.REGEXEXTRACT(CELL("address",H227), "\$([A-Z]+)\$[0-9]+"))</f>
        <v/>
      </c>
      <c r="I227" s="7" t="str" cm="1">
        <f t="array" aca="1" ref="I227" ca="1">IFERROR(IF(OR('Raw Data'!I227="",LEN(TRIM('Raw Data'!I227))=0),"",IF(AND(ISNUMBER('Raw Data'!I227), IFERROR('Raw Data'!I227 = ROUND('Raw Data'!I227, 2),FALSE)),"",_xlfn.REGEXEXTRACT(CELL("address",I227), "\$([A-Z]+)\$[0-9]+"))),_xlfn.REGEXEXTRACT(CELL("address",I227), "\$([A-Z]+)\$[0-9]+"))</f>
        <v/>
      </c>
      <c r="J227" s="7" t="str" cm="1">
        <f t="array" aca="1" ref="J227" ca="1">IFERROR(IF(OR('Raw Data'!J227="",LEN(TRIM('Raw Data'!J227))=0),"",IF(AND(ISNUMBER('Raw Data'!J227), IFERROR('Raw Data'!J227 = ROUND('Raw Data'!J227, 2),FALSE)),"",_xlfn.REGEXEXTRACT(CELL("address",J227), "\$([A-Z]+)\$[0-9]+"))),_xlfn.REGEXEXTRACT(CELL("address",J227), "\$([A-Z]+)\$[0-9]+"))</f>
        <v/>
      </c>
      <c r="K227" s="7" t="str" cm="1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7" t="str" cm="1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7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7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7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7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 cm="1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7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7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7" t="str" cm="1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7" t="str" cm="1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  <c r="Z227" s="7" t="str" cm="1">
        <f t="array" aca="1" ref="Z227" ca="1">IFERROR(IF(OR('Raw Data'!Z227="",LEN(TRIM('Raw Data'!Z227))=0),"",IF(AND(ISNUMBER('Raw Data'!Z227), IFERROR('Raw Data'!Z227 = ROUND('Raw Data'!Z227, 2),FALSE)),"",_xlfn.REGEXEXTRACT(CELL("address",Z227), "\$([A-Z]+)\$[0-9]+"))),_xlfn.REGEXEXTRACT(CELL("address",Z227), "\$([A-Z]+)\$[0-9]+"))</f>
        <v/>
      </c>
      <c r="AA227" s="7" t="str" cm="1">
        <f t="array" aca="1" ref="AA227" ca="1">IFERROR(IF(OR('Raw Data'!AA227="",LEN(TRIM('Raw Data'!AA227))=0),"",IF(AND(ISNUMBER('Raw Data'!AA227), IFERROR('Raw Data'!AA227 = ROUND('Raw Data'!AA227, 2),FALSE)),"",_xlfn.REGEXEXTRACT(CELL("address",AA227), "\$([A-Z]+)\$[0-9]+"))),_xlfn.REGEXEXTRACT(CELL("address",AA227), "\$([A-Z]+)\$[0-9]+"))</f>
        <v/>
      </c>
      <c r="AB227" s="7" t="str" cm="1">
        <f t="array" aca="1" ref="AB227" ca="1">IFERROR(IF(OR('Raw Data'!AB227="",LEN(TRIM('Raw Data'!AB227))=0),"",IF(AND(ISNUMBER('Raw Data'!AB227), IFERROR('Raw Data'!AB227 = ROUND('Raw Data'!AB227, 2),FALSE)),"",_xlfn.REGEXEXTRACT(CELL("address",AB227), "\$([A-Z]+)\$[0-9]+"))),_xlfn.REGEXEXTRACT(CELL("address",AB227), "\$([A-Z]+)\$[0-9]+"))</f>
        <v/>
      </c>
      <c r="AC227" s="7" t="str" cm="1">
        <f t="array" aca="1" ref="AC227" ca="1">IFERROR(IF(OR('Raw Data'!AC227="",LEN(TRIM('Raw Data'!AC227))=0),"",IF(AND(ISNUMBER('Raw Data'!AC227), IFERROR('Raw Data'!AC227 = ROUND('Raw Data'!AC227, 2),FALSE)),"",_xlfn.REGEXEXTRACT(CELL("address",AC227), "\$([A-Z]+)\$[0-9]+"))),_xlfn.REGEXEXTRACT(CELL("address",AC227), "\$([A-Z]+)\$[0-9]+"))</f>
        <v/>
      </c>
      <c r="AD227" s="7" t="str" cm="1">
        <f t="array" aca="1" ref="AD227" ca="1">IFERROR(IF(OR('Raw Data'!AD227="",LEN(TRIM('Raw Data'!AD227))=0),"",IF(AND(ISNUMBER('Raw Data'!AD227), IFERROR('Raw Data'!AD227 = ROUND('Raw Data'!AD227, 2),FALSE)),"",_xlfn.REGEXEXTRACT(CELL("address",AD227), "\$([A-Z]+)\$[0-9]+"))),_xlfn.REGEXEXTRACT(CELL("address",AD227), "\$([A-Z]+)\$[0-9]+"))</f>
        <v/>
      </c>
      <c r="AE227" s="7" t="str" cm="1">
        <f t="array" aca="1" ref="AE227" ca="1">IFERROR(IF(OR('Raw Data'!AE227="",LEN(TRIM('Raw Data'!AE227))=0),"",IF(AND(ISNUMBER('Raw Data'!AE227), IFERROR('Raw Data'!AE227 = ROUND('Raw Data'!AE227, 2),FALSE)),"",_xlfn.REGEXEXTRACT(CELL("address",AE227), "\$([A-Z]+)\$[0-9]+"))),_xlfn.REGEXEXTRACT(CELL("address",AE227), "\$([A-Z]+)\$[0-9]+"))</f>
        <v/>
      </c>
      <c r="AF227" s="7" t="str" cm="1">
        <f t="array" aca="1" ref="AF227" ca="1">IFERROR(IF(OR('Raw Data'!AF227="",LEN(TRIM('Raw Data'!AF227))=0),"",IF(AND(ISNUMBER('Raw Data'!AF227), IFERROR('Raw Data'!AF227 = ROUND('Raw Data'!AF227, 2),FALSE)),"",_xlfn.REGEXEXTRACT(CELL("address",AF227), "\$([A-Z]+)\$[0-9]+"))),_xlfn.REGEXEXTRACT(CELL("address",AF227), "\$([A-Z]+)\$[0-9]+"))</f>
        <v/>
      </c>
      <c r="AG227" s="7" t="str" cm="1">
        <f t="array" aca="1" ref="AG227" ca="1">IFERROR(IF(OR('Raw Data'!AG227="",LEN(TRIM('Raw Data'!AG227))=0),"",IF(AND(ISNUMBER('Raw Data'!AG227), IFERROR('Raw Data'!AG227 = ROUND('Raw Data'!AG227, 2),FALSE)),"",_xlfn.REGEXEXTRACT(CELL("address",AG227), "\$([A-Z]+)\$[0-9]+"))),_xlfn.REGEXEXTRACT(CELL("address",AG227), "\$([A-Z]+)\$[0-9]+"))</f>
        <v/>
      </c>
      <c r="AH227" s="7" t="str" cm="1">
        <f t="array" aca="1" ref="AH227" ca="1">IFERROR(IF(OR('Raw Data'!AH227="",LEN(TRIM('Raw Data'!AH227))=0),"",IF(AND(ISNUMBER('Raw Data'!AH227), IFERROR('Raw Data'!AH227 = ROUND('Raw Data'!AH227, 2),FALSE)),"",_xlfn.REGEXEXTRACT(CELL("address",AH227), "\$([A-Z]+)\$[0-9]+"))),_xlfn.REGEXEXTRACT(CELL("address",AH227), "\$([A-Z]+)\$[0-9]+"))</f>
        <v/>
      </c>
      <c r="AI227" s="7" t="str" cm="1">
        <f t="array" aca="1" ref="AI227" ca="1">IFERROR(IF(OR('Raw Data'!AI227="",LEN(TRIM('Raw Data'!AI227))=0),"",IF(AND(ISNUMBER('Raw Data'!AI227), IFERROR('Raw Data'!AI227 = ROUND('Raw Data'!AI227, 2),FALSE)),"",_xlfn.REGEXEXTRACT(CELL("address",AI227), "\$([A-Z]+)\$[0-9]+"))),_xlfn.REGEXEXTRACT(CELL("address",AI227), "\$([A-Z]+)\$[0-9]+"))</f>
        <v/>
      </c>
      <c r="AJ227" s="7" t="str" cm="1">
        <f t="array" aca="1" ref="AJ227" ca="1">IFERROR(IF(OR('Raw Data'!AJ227="",LEN(TRIM('Raw Data'!AJ227))=0),"",IF(AND(ISNUMBER('Raw Data'!AJ227), IFERROR('Raw Data'!AJ227 = ROUND('Raw Data'!AJ227, 2),FALSE)),"",_xlfn.REGEXEXTRACT(CELL("address",AJ227), "\$([A-Z]+)\$[0-9]+"))),_xlfn.REGEXEXTRACT(CELL("address",AJ227), "\$([A-Z]+)\$[0-9]+"))</f>
        <v/>
      </c>
    </row>
    <row r="228" spans="2:36" x14ac:dyDescent="0.25">
      <c r="B228" s="7" t="str" cm="1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20,LEN('Raw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Data'!D228))=0),"",IF(AND(ISNUMBER('Raw Data'!D228),'Raw Data'!D228&gt;=Configuration!$D$2),"",_xlfn.REGEXEXTRACT(CELL("address",'Raw Data'!D228),"\$([A-Z]+)\$[0-9]+"))),_xlfn.REGEXEXTRACT(CELL("address",D228), "\$([A-Z]+)\$[0-9]+"))</f>
        <v/>
      </c>
      <c r="E228" s="7" t="str" cm="1">
        <f t="array" aca="1" ref="E228" ca="1">IFERROR(IF(OR('Raw Data'!E228="",LEN(TRIM('Raw Data'!E228))=0),"",IF(AND(ISNUMBER('Raw Data'!E228), IFERROR('Raw Data'!E228 = ROUND('Raw Data'!E228, 2),FALSE)),"",_xlfn.REGEXEXTRACT(CELL("address",E228), "\$([A-Z]+)\$[0-9]+"))),_xlfn.REGEXEXTRACT(CELL("address",E228), "\$([A-Z]+)\$[0-9]+"))</f>
        <v/>
      </c>
      <c r="F228" s="7" t="str" cm="1">
        <f t="array" aca="1" ref="F228" ca="1">IFERROR(IF(OR('Raw Data'!F228="",LEN(TRIM('Raw Data'!F228))=0),"",IF(AND(ISNUMBER('Raw Data'!F228), IFERROR('Raw Data'!F228 = ROUND('Raw Data'!F228, 2),FALSE)),"",_xlfn.REGEXEXTRACT(CELL("address",F228), "\$([A-Z]+)\$[0-9]+"))),_xlfn.REGEXEXTRACT(CELL("address",F228), "\$([A-Z]+)\$[0-9]+"))</f>
        <v/>
      </c>
      <c r="G228" s="7" t="str" cm="1">
        <f t="array" aca="1" ref="G228" ca="1">IFERROR(IF(OR('Raw Data'!G228="",LEN(TRIM('Raw Data'!G228))=0),"",IF(AND(ISNUMBER('Raw Data'!G228), IFERROR('Raw Data'!G228 = ROUND('Raw Data'!G228, 2),FALSE)),"",_xlfn.REGEXEXTRACT(CELL("address",G228), "\$([A-Z]+)\$[0-9]+"))),_xlfn.REGEXEXTRACT(CELL("address",G228), "\$([A-Z]+)\$[0-9]+"))</f>
        <v/>
      </c>
      <c r="H228" s="7" t="str" cm="1">
        <f t="array" aca="1" ref="H228" ca="1">IFERROR(IF(OR('Raw Data'!H228="",LEN(TRIM('Raw Data'!H228))=0),"",IF(AND(ISNUMBER('Raw Data'!H228), IFERROR('Raw Data'!H228 = ROUND('Raw Data'!H228, 2),FALSE)),"",_xlfn.REGEXEXTRACT(CELL("address",H228), "\$([A-Z]+)\$[0-9]+"))),_xlfn.REGEXEXTRACT(CELL("address",H228), "\$([A-Z]+)\$[0-9]+"))</f>
        <v/>
      </c>
      <c r="I228" s="7" t="str" cm="1">
        <f t="array" aca="1" ref="I228" ca="1">IFERROR(IF(OR('Raw Data'!I228="",LEN(TRIM('Raw Data'!I228))=0),"",IF(AND(ISNUMBER('Raw Data'!I228), IFERROR('Raw Data'!I228 = ROUND('Raw Data'!I228, 2),FALSE)),"",_xlfn.REGEXEXTRACT(CELL("address",I228), "\$([A-Z]+)\$[0-9]+"))),_xlfn.REGEXEXTRACT(CELL("address",I228), "\$([A-Z]+)\$[0-9]+"))</f>
        <v/>
      </c>
      <c r="J228" s="7" t="str" cm="1">
        <f t="array" aca="1" ref="J228" ca="1">IFERROR(IF(OR('Raw Data'!J228="",LEN(TRIM('Raw Data'!J228))=0),"",IF(AND(ISNUMBER('Raw Data'!J228), IFERROR('Raw Data'!J228 = ROUND('Raw Data'!J228, 2),FALSE)),"",_xlfn.REGEXEXTRACT(CELL("address",J228), "\$([A-Z]+)\$[0-9]+"))),_xlfn.REGEXEXTRACT(CELL("address",J228), "\$([A-Z]+)\$[0-9]+"))</f>
        <v/>
      </c>
      <c r="K228" s="7" t="str" cm="1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7" t="str" cm="1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7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7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7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7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 cm="1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7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7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7" t="str" cm="1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7" t="str" cm="1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  <c r="Z228" s="7" t="str" cm="1">
        <f t="array" aca="1" ref="Z228" ca="1">IFERROR(IF(OR('Raw Data'!Z228="",LEN(TRIM('Raw Data'!Z228))=0),"",IF(AND(ISNUMBER('Raw Data'!Z228), IFERROR('Raw Data'!Z228 = ROUND('Raw Data'!Z228, 2),FALSE)),"",_xlfn.REGEXEXTRACT(CELL("address",Z228), "\$([A-Z]+)\$[0-9]+"))),_xlfn.REGEXEXTRACT(CELL("address",Z228), "\$([A-Z]+)\$[0-9]+"))</f>
        <v/>
      </c>
      <c r="AA228" s="7" t="str" cm="1">
        <f t="array" aca="1" ref="AA228" ca="1">IFERROR(IF(OR('Raw Data'!AA228="",LEN(TRIM('Raw Data'!AA228))=0),"",IF(AND(ISNUMBER('Raw Data'!AA228), IFERROR('Raw Data'!AA228 = ROUND('Raw Data'!AA228, 2),FALSE)),"",_xlfn.REGEXEXTRACT(CELL("address",AA228), "\$([A-Z]+)\$[0-9]+"))),_xlfn.REGEXEXTRACT(CELL("address",AA228), "\$([A-Z]+)\$[0-9]+"))</f>
        <v/>
      </c>
      <c r="AB228" s="7" t="str" cm="1">
        <f t="array" aca="1" ref="AB228" ca="1">IFERROR(IF(OR('Raw Data'!AB228="",LEN(TRIM('Raw Data'!AB228))=0),"",IF(AND(ISNUMBER('Raw Data'!AB228), IFERROR('Raw Data'!AB228 = ROUND('Raw Data'!AB228, 2),FALSE)),"",_xlfn.REGEXEXTRACT(CELL("address",AB228), "\$([A-Z]+)\$[0-9]+"))),_xlfn.REGEXEXTRACT(CELL("address",AB228), "\$([A-Z]+)\$[0-9]+"))</f>
        <v/>
      </c>
      <c r="AC228" s="7" t="str" cm="1">
        <f t="array" aca="1" ref="AC228" ca="1">IFERROR(IF(OR('Raw Data'!AC228="",LEN(TRIM('Raw Data'!AC228))=0),"",IF(AND(ISNUMBER('Raw Data'!AC228), IFERROR('Raw Data'!AC228 = ROUND('Raw Data'!AC228, 2),FALSE)),"",_xlfn.REGEXEXTRACT(CELL("address",AC228), "\$([A-Z]+)\$[0-9]+"))),_xlfn.REGEXEXTRACT(CELL("address",AC228), "\$([A-Z]+)\$[0-9]+"))</f>
        <v/>
      </c>
      <c r="AD228" s="7" t="str" cm="1">
        <f t="array" aca="1" ref="AD228" ca="1">IFERROR(IF(OR('Raw Data'!AD228="",LEN(TRIM('Raw Data'!AD228))=0),"",IF(AND(ISNUMBER('Raw Data'!AD228), IFERROR('Raw Data'!AD228 = ROUND('Raw Data'!AD228, 2),FALSE)),"",_xlfn.REGEXEXTRACT(CELL("address",AD228), "\$([A-Z]+)\$[0-9]+"))),_xlfn.REGEXEXTRACT(CELL("address",AD228), "\$([A-Z]+)\$[0-9]+"))</f>
        <v/>
      </c>
      <c r="AE228" s="7" t="str" cm="1">
        <f t="array" aca="1" ref="AE228" ca="1">IFERROR(IF(OR('Raw Data'!AE228="",LEN(TRIM('Raw Data'!AE228))=0),"",IF(AND(ISNUMBER('Raw Data'!AE228), IFERROR('Raw Data'!AE228 = ROUND('Raw Data'!AE228, 2),FALSE)),"",_xlfn.REGEXEXTRACT(CELL("address",AE228), "\$([A-Z]+)\$[0-9]+"))),_xlfn.REGEXEXTRACT(CELL("address",AE228), "\$([A-Z]+)\$[0-9]+"))</f>
        <v/>
      </c>
      <c r="AF228" s="7" t="str" cm="1">
        <f t="array" aca="1" ref="AF228" ca="1">IFERROR(IF(OR('Raw Data'!AF228="",LEN(TRIM('Raw Data'!AF228))=0),"",IF(AND(ISNUMBER('Raw Data'!AF228), IFERROR('Raw Data'!AF228 = ROUND('Raw Data'!AF228, 2),FALSE)),"",_xlfn.REGEXEXTRACT(CELL("address",AF228), "\$([A-Z]+)\$[0-9]+"))),_xlfn.REGEXEXTRACT(CELL("address",AF228), "\$([A-Z]+)\$[0-9]+"))</f>
        <v/>
      </c>
      <c r="AG228" s="7" t="str" cm="1">
        <f t="array" aca="1" ref="AG228" ca="1">IFERROR(IF(OR('Raw Data'!AG228="",LEN(TRIM('Raw Data'!AG228))=0),"",IF(AND(ISNUMBER('Raw Data'!AG228), IFERROR('Raw Data'!AG228 = ROUND('Raw Data'!AG228, 2),FALSE)),"",_xlfn.REGEXEXTRACT(CELL("address",AG228), "\$([A-Z]+)\$[0-9]+"))),_xlfn.REGEXEXTRACT(CELL("address",AG228), "\$([A-Z]+)\$[0-9]+"))</f>
        <v/>
      </c>
      <c r="AH228" s="7" t="str" cm="1">
        <f t="array" aca="1" ref="AH228" ca="1">IFERROR(IF(OR('Raw Data'!AH228="",LEN(TRIM('Raw Data'!AH228))=0),"",IF(AND(ISNUMBER('Raw Data'!AH228), IFERROR('Raw Data'!AH228 = ROUND('Raw Data'!AH228, 2),FALSE)),"",_xlfn.REGEXEXTRACT(CELL("address",AH228), "\$([A-Z]+)\$[0-9]+"))),_xlfn.REGEXEXTRACT(CELL("address",AH228), "\$([A-Z]+)\$[0-9]+"))</f>
        <v/>
      </c>
      <c r="AI228" s="7" t="str" cm="1">
        <f t="array" aca="1" ref="AI228" ca="1">IFERROR(IF(OR('Raw Data'!AI228="",LEN(TRIM('Raw Data'!AI228))=0),"",IF(AND(ISNUMBER('Raw Data'!AI228), IFERROR('Raw Data'!AI228 = ROUND('Raw Data'!AI228, 2),FALSE)),"",_xlfn.REGEXEXTRACT(CELL("address",AI228), "\$([A-Z]+)\$[0-9]+"))),_xlfn.REGEXEXTRACT(CELL("address",AI228), "\$([A-Z]+)\$[0-9]+"))</f>
        <v/>
      </c>
      <c r="AJ228" s="7" t="str" cm="1">
        <f t="array" aca="1" ref="AJ228" ca="1">IFERROR(IF(OR('Raw Data'!AJ228="",LEN(TRIM('Raw Data'!AJ228))=0),"",IF(AND(ISNUMBER('Raw Data'!AJ228), IFERROR('Raw Data'!AJ228 = ROUND('Raw Data'!AJ228, 2),FALSE)),"",_xlfn.REGEXEXTRACT(CELL("address",AJ228), "\$([A-Z]+)\$[0-9]+"))),_xlfn.REGEXEXTRACT(CELL("address",AJ228), "\$([A-Z]+)\$[0-9]+"))</f>
        <v/>
      </c>
    </row>
    <row r="229" spans="2:36" x14ac:dyDescent="0.25">
      <c r="B229" s="7" t="str" cm="1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20,LEN('Raw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Data'!D229))=0),"",IF(AND(ISNUMBER('Raw Data'!D229),'Raw Data'!D229&gt;=Configuration!$D$2),"",_xlfn.REGEXEXTRACT(CELL("address",'Raw Data'!D229),"\$([A-Z]+)\$[0-9]+"))),_xlfn.REGEXEXTRACT(CELL("address",D229), "\$([A-Z]+)\$[0-9]+"))</f>
        <v/>
      </c>
      <c r="E229" s="7" t="str" cm="1">
        <f t="array" aca="1" ref="E229" ca="1">IFERROR(IF(OR('Raw Data'!E229="",LEN(TRIM('Raw Data'!E229))=0),"",IF(AND(ISNUMBER('Raw Data'!E229), IFERROR('Raw Data'!E229 = ROUND('Raw Data'!E229, 2),FALSE)),"",_xlfn.REGEXEXTRACT(CELL("address",E229), "\$([A-Z]+)\$[0-9]+"))),_xlfn.REGEXEXTRACT(CELL("address",E229), "\$([A-Z]+)\$[0-9]+"))</f>
        <v/>
      </c>
      <c r="F229" s="7" t="str" cm="1">
        <f t="array" aca="1" ref="F229" ca="1">IFERROR(IF(OR('Raw Data'!F229="",LEN(TRIM('Raw Data'!F229))=0),"",IF(AND(ISNUMBER('Raw Data'!F229), IFERROR('Raw Data'!F229 = ROUND('Raw Data'!F229, 2),FALSE)),"",_xlfn.REGEXEXTRACT(CELL("address",F229), "\$([A-Z]+)\$[0-9]+"))),_xlfn.REGEXEXTRACT(CELL("address",F229), "\$([A-Z]+)\$[0-9]+"))</f>
        <v/>
      </c>
      <c r="G229" s="7" t="str" cm="1">
        <f t="array" aca="1" ref="G229" ca="1">IFERROR(IF(OR('Raw Data'!G229="",LEN(TRIM('Raw Data'!G229))=0),"",IF(AND(ISNUMBER('Raw Data'!G229), IFERROR('Raw Data'!G229 = ROUND('Raw Data'!G229, 2),FALSE)),"",_xlfn.REGEXEXTRACT(CELL("address",G229), "\$([A-Z]+)\$[0-9]+"))),_xlfn.REGEXEXTRACT(CELL("address",G229), "\$([A-Z]+)\$[0-9]+"))</f>
        <v/>
      </c>
      <c r="H229" s="7" t="str" cm="1">
        <f t="array" aca="1" ref="H229" ca="1">IFERROR(IF(OR('Raw Data'!H229="",LEN(TRIM('Raw Data'!H229))=0),"",IF(AND(ISNUMBER('Raw Data'!H229), IFERROR('Raw Data'!H229 = ROUND('Raw Data'!H229, 2),FALSE)),"",_xlfn.REGEXEXTRACT(CELL("address",H229), "\$([A-Z]+)\$[0-9]+"))),_xlfn.REGEXEXTRACT(CELL("address",H229), "\$([A-Z]+)\$[0-9]+"))</f>
        <v/>
      </c>
      <c r="I229" s="7" t="str" cm="1">
        <f t="array" aca="1" ref="I229" ca="1">IFERROR(IF(OR('Raw Data'!I229="",LEN(TRIM('Raw Data'!I229))=0),"",IF(AND(ISNUMBER('Raw Data'!I229), IFERROR('Raw Data'!I229 = ROUND('Raw Data'!I229, 2),FALSE)),"",_xlfn.REGEXEXTRACT(CELL("address",I229), "\$([A-Z]+)\$[0-9]+"))),_xlfn.REGEXEXTRACT(CELL("address",I229), "\$([A-Z]+)\$[0-9]+"))</f>
        <v/>
      </c>
      <c r="J229" s="7" t="str" cm="1">
        <f t="array" aca="1" ref="J229" ca="1">IFERROR(IF(OR('Raw Data'!J229="",LEN(TRIM('Raw Data'!J229))=0),"",IF(AND(ISNUMBER('Raw Data'!J229), IFERROR('Raw Data'!J229 = ROUND('Raw Data'!J229, 2),FALSE)),"",_xlfn.REGEXEXTRACT(CELL("address",J229), "\$([A-Z]+)\$[0-9]+"))),_xlfn.REGEXEXTRACT(CELL("address",J229), "\$([A-Z]+)\$[0-9]+"))</f>
        <v/>
      </c>
      <c r="K229" s="7" t="str" cm="1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7" t="str" cm="1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7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7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7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7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 cm="1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7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7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7" t="str" cm="1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7" t="str" cm="1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  <c r="Z229" s="7" t="str" cm="1">
        <f t="array" aca="1" ref="Z229" ca="1">IFERROR(IF(OR('Raw Data'!Z229="",LEN(TRIM('Raw Data'!Z229))=0),"",IF(AND(ISNUMBER('Raw Data'!Z229), IFERROR('Raw Data'!Z229 = ROUND('Raw Data'!Z229, 2),FALSE)),"",_xlfn.REGEXEXTRACT(CELL("address",Z229), "\$([A-Z]+)\$[0-9]+"))),_xlfn.REGEXEXTRACT(CELL("address",Z229), "\$([A-Z]+)\$[0-9]+"))</f>
        <v/>
      </c>
      <c r="AA229" s="7" t="str" cm="1">
        <f t="array" aca="1" ref="AA229" ca="1">IFERROR(IF(OR('Raw Data'!AA229="",LEN(TRIM('Raw Data'!AA229))=0),"",IF(AND(ISNUMBER('Raw Data'!AA229), IFERROR('Raw Data'!AA229 = ROUND('Raw Data'!AA229, 2),FALSE)),"",_xlfn.REGEXEXTRACT(CELL("address",AA229), "\$([A-Z]+)\$[0-9]+"))),_xlfn.REGEXEXTRACT(CELL("address",AA229), "\$([A-Z]+)\$[0-9]+"))</f>
        <v/>
      </c>
      <c r="AB229" s="7" t="str" cm="1">
        <f t="array" aca="1" ref="AB229" ca="1">IFERROR(IF(OR('Raw Data'!AB229="",LEN(TRIM('Raw Data'!AB229))=0),"",IF(AND(ISNUMBER('Raw Data'!AB229), IFERROR('Raw Data'!AB229 = ROUND('Raw Data'!AB229, 2),FALSE)),"",_xlfn.REGEXEXTRACT(CELL("address",AB229), "\$([A-Z]+)\$[0-9]+"))),_xlfn.REGEXEXTRACT(CELL("address",AB229), "\$([A-Z]+)\$[0-9]+"))</f>
        <v/>
      </c>
      <c r="AC229" s="7" t="str" cm="1">
        <f t="array" aca="1" ref="AC229" ca="1">IFERROR(IF(OR('Raw Data'!AC229="",LEN(TRIM('Raw Data'!AC229))=0),"",IF(AND(ISNUMBER('Raw Data'!AC229), IFERROR('Raw Data'!AC229 = ROUND('Raw Data'!AC229, 2),FALSE)),"",_xlfn.REGEXEXTRACT(CELL("address",AC229), "\$([A-Z]+)\$[0-9]+"))),_xlfn.REGEXEXTRACT(CELL("address",AC229), "\$([A-Z]+)\$[0-9]+"))</f>
        <v/>
      </c>
      <c r="AD229" s="7" t="str" cm="1">
        <f t="array" aca="1" ref="AD229" ca="1">IFERROR(IF(OR('Raw Data'!AD229="",LEN(TRIM('Raw Data'!AD229))=0),"",IF(AND(ISNUMBER('Raw Data'!AD229), IFERROR('Raw Data'!AD229 = ROUND('Raw Data'!AD229, 2),FALSE)),"",_xlfn.REGEXEXTRACT(CELL("address",AD229), "\$([A-Z]+)\$[0-9]+"))),_xlfn.REGEXEXTRACT(CELL("address",AD229), "\$([A-Z]+)\$[0-9]+"))</f>
        <v/>
      </c>
      <c r="AE229" s="7" t="str" cm="1">
        <f t="array" aca="1" ref="AE229" ca="1">IFERROR(IF(OR('Raw Data'!AE229="",LEN(TRIM('Raw Data'!AE229))=0),"",IF(AND(ISNUMBER('Raw Data'!AE229), IFERROR('Raw Data'!AE229 = ROUND('Raw Data'!AE229, 2),FALSE)),"",_xlfn.REGEXEXTRACT(CELL("address",AE229), "\$([A-Z]+)\$[0-9]+"))),_xlfn.REGEXEXTRACT(CELL("address",AE229), "\$([A-Z]+)\$[0-9]+"))</f>
        <v/>
      </c>
      <c r="AF229" s="7" t="str" cm="1">
        <f t="array" aca="1" ref="AF229" ca="1">IFERROR(IF(OR('Raw Data'!AF229="",LEN(TRIM('Raw Data'!AF229))=0),"",IF(AND(ISNUMBER('Raw Data'!AF229), IFERROR('Raw Data'!AF229 = ROUND('Raw Data'!AF229, 2),FALSE)),"",_xlfn.REGEXEXTRACT(CELL("address",AF229), "\$([A-Z]+)\$[0-9]+"))),_xlfn.REGEXEXTRACT(CELL("address",AF229), "\$([A-Z]+)\$[0-9]+"))</f>
        <v/>
      </c>
      <c r="AG229" s="7" t="str" cm="1">
        <f t="array" aca="1" ref="AG229" ca="1">IFERROR(IF(OR('Raw Data'!AG229="",LEN(TRIM('Raw Data'!AG229))=0),"",IF(AND(ISNUMBER('Raw Data'!AG229), IFERROR('Raw Data'!AG229 = ROUND('Raw Data'!AG229, 2),FALSE)),"",_xlfn.REGEXEXTRACT(CELL("address",AG229), "\$([A-Z]+)\$[0-9]+"))),_xlfn.REGEXEXTRACT(CELL("address",AG229), "\$([A-Z]+)\$[0-9]+"))</f>
        <v/>
      </c>
      <c r="AH229" s="7" t="str" cm="1">
        <f t="array" aca="1" ref="AH229" ca="1">IFERROR(IF(OR('Raw Data'!AH229="",LEN(TRIM('Raw Data'!AH229))=0),"",IF(AND(ISNUMBER('Raw Data'!AH229), IFERROR('Raw Data'!AH229 = ROUND('Raw Data'!AH229, 2),FALSE)),"",_xlfn.REGEXEXTRACT(CELL("address",AH229), "\$([A-Z]+)\$[0-9]+"))),_xlfn.REGEXEXTRACT(CELL("address",AH229), "\$([A-Z]+)\$[0-9]+"))</f>
        <v/>
      </c>
      <c r="AI229" s="7" t="str" cm="1">
        <f t="array" aca="1" ref="AI229" ca="1">IFERROR(IF(OR('Raw Data'!AI229="",LEN(TRIM('Raw Data'!AI229))=0),"",IF(AND(ISNUMBER('Raw Data'!AI229), IFERROR('Raw Data'!AI229 = ROUND('Raw Data'!AI229, 2),FALSE)),"",_xlfn.REGEXEXTRACT(CELL("address",AI229), "\$([A-Z]+)\$[0-9]+"))),_xlfn.REGEXEXTRACT(CELL("address",AI229), "\$([A-Z]+)\$[0-9]+"))</f>
        <v/>
      </c>
      <c r="AJ229" s="7" t="str" cm="1">
        <f t="array" aca="1" ref="AJ229" ca="1">IFERROR(IF(OR('Raw Data'!AJ229="",LEN(TRIM('Raw Data'!AJ229))=0),"",IF(AND(ISNUMBER('Raw Data'!AJ229), IFERROR('Raw Data'!AJ229 = ROUND('Raw Data'!AJ229, 2),FALSE)),"",_xlfn.REGEXEXTRACT(CELL("address",AJ229), "\$([A-Z]+)\$[0-9]+"))),_xlfn.REGEXEXTRACT(CELL("address",AJ229), "\$([A-Z]+)\$[0-9]+"))</f>
        <v/>
      </c>
    </row>
    <row r="230" spans="2:36" x14ac:dyDescent="0.25">
      <c r="B230" s="7" t="str" cm="1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20,LEN('Raw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Data'!D230))=0),"",IF(AND(ISNUMBER('Raw Data'!D230),'Raw Data'!D230&gt;=Configuration!$D$2),"",_xlfn.REGEXEXTRACT(CELL("address",'Raw Data'!D230),"\$([A-Z]+)\$[0-9]+"))),_xlfn.REGEXEXTRACT(CELL("address",D230), "\$([A-Z]+)\$[0-9]+"))</f>
        <v/>
      </c>
      <c r="E230" s="7" t="str" cm="1">
        <f t="array" aca="1" ref="E230" ca="1">IFERROR(IF(OR('Raw Data'!E230="",LEN(TRIM('Raw Data'!E230))=0),"",IF(AND(ISNUMBER('Raw Data'!E230), IFERROR('Raw Data'!E230 = ROUND('Raw Data'!E230, 2),FALSE)),"",_xlfn.REGEXEXTRACT(CELL("address",E230), "\$([A-Z]+)\$[0-9]+"))),_xlfn.REGEXEXTRACT(CELL("address",E230), "\$([A-Z]+)\$[0-9]+"))</f>
        <v/>
      </c>
      <c r="F230" s="7" t="str" cm="1">
        <f t="array" aca="1" ref="F230" ca="1">IFERROR(IF(OR('Raw Data'!F230="",LEN(TRIM('Raw Data'!F230))=0),"",IF(AND(ISNUMBER('Raw Data'!F230), IFERROR('Raw Data'!F230 = ROUND('Raw Data'!F230, 2),FALSE)),"",_xlfn.REGEXEXTRACT(CELL("address",F230), "\$([A-Z]+)\$[0-9]+"))),_xlfn.REGEXEXTRACT(CELL("address",F230), "\$([A-Z]+)\$[0-9]+"))</f>
        <v/>
      </c>
      <c r="G230" s="7" t="str" cm="1">
        <f t="array" aca="1" ref="G230" ca="1">IFERROR(IF(OR('Raw Data'!G230="",LEN(TRIM('Raw Data'!G230))=0),"",IF(AND(ISNUMBER('Raw Data'!G230), IFERROR('Raw Data'!G230 = ROUND('Raw Data'!G230, 2),FALSE)),"",_xlfn.REGEXEXTRACT(CELL("address",G230), "\$([A-Z]+)\$[0-9]+"))),_xlfn.REGEXEXTRACT(CELL("address",G230), "\$([A-Z]+)\$[0-9]+"))</f>
        <v/>
      </c>
      <c r="H230" s="7" t="str" cm="1">
        <f t="array" aca="1" ref="H230" ca="1">IFERROR(IF(OR('Raw Data'!H230="",LEN(TRIM('Raw Data'!H230))=0),"",IF(AND(ISNUMBER('Raw Data'!H230), IFERROR('Raw Data'!H230 = ROUND('Raw Data'!H230, 2),FALSE)),"",_xlfn.REGEXEXTRACT(CELL("address",H230), "\$([A-Z]+)\$[0-9]+"))),_xlfn.REGEXEXTRACT(CELL("address",H230), "\$([A-Z]+)\$[0-9]+"))</f>
        <v/>
      </c>
      <c r="I230" s="7" t="str" cm="1">
        <f t="array" aca="1" ref="I230" ca="1">IFERROR(IF(OR('Raw Data'!I230="",LEN(TRIM('Raw Data'!I230))=0),"",IF(AND(ISNUMBER('Raw Data'!I230), IFERROR('Raw Data'!I230 = ROUND('Raw Data'!I230, 2),FALSE)),"",_xlfn.REGEXEXTRACT(CELL("address",I230), "\$([A-Z]+)\$[0-9]+"))),_xlfn.REGEXEXTRACT(CELL("address",I230), "\$([A-Z]+)\$[0-9]+"))</f>
        <v/>
      </c>
      <c r="J230" s="7" t="str" cm="1">
        <f t="array" aca="1" ref="J230" ca="1">IFERROR(IF(OR('Raw Data'!J230="",LEN(TRIM('Raw Data'!J230))=0),"",IF(AND(ISNUMBER('Raw Data'!J230), IFERROR('Raw Data'!J230 = ROUND('Raw Data'!J230, 2),FALSE)),"",_xlfn.REGEXEXTRACT(CELL("address",J230), "\$([A-Z]+)\$[0-9]+"))),_xlfn.REGEXEXTRACT(CELL("address",J230), "\$([A-Z]+)\$[0-9]+"))</f>
        <v/>
      </c>
      <c r="K230" s="7" t="str" cm="1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7" t="str" cm="1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7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7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7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7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 cm="1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7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7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7" t="str" cm="1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7" t="str" cm="1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  <c r="Z230" s="7" t="str" cm="1">
        <f t="array" aca="1" ref="Z230" ca="1">IFERROR(IF(OR('Raw Data'!Z230="",LEN(TRIM('Raw Data'!Z230))=0),"",IF(AND(ISNUMBER('Raw Data'!Z230), IFERROR('Raw Data'!Z230 = ROUND('Raw Data'!Z230, 2),FALSE)),"",_xlfn.REGEXEXTRACT(CELL("address",Z230), "\$([A-Z]+)\$[0-9]+"))),_xlfn.REGEXEXTRACT(CELL("address",Z230), "\$([A-Z]+)\$[0-9]+"))</f>
        <v/>
      </c>
      <c r="AA230" s="7" t="str" cm="1">
        <f t="array" aca="1" ref="AA230" ca="1">IFERROR(IF(OR('Raw Data'!AA230="",LEN(TRIM('Raw Data'!AA230))=0),"",IF(AND(ISNUMBER('Raw Data'!AA230), IFERROR('Raw Data'!AA230 = ROUND('Raw Data'!AA230, 2),FALSE)),"",_xlfn.REGEXEXTRACT(CELL("address",AA230), "\$([A-Z]+)\$[0-9]+"))),_xlfn.REGEXEXTRACT(CELL("address",AA230), "\$([A-Z]+)\$[0-9]+"))</f>
        <v/>
      </c>
      <c r="AB230" s="7" t="str" cm="1">
        <f t="array" aca="1" ref="AB230" ca="1">IFERROR(IF(OR('Raw Data'!AB230="",LEN(TRIM('Raw Data'!AB230))=0),"",IF(AND(ISNUMBER('Raw Data'!AB230), IFERROR('Raw Data'!AB230 = ROUND('Raw Data'!AB230, 2),FALSE)),"",_xlfn.REGEXEXTRACT(CELL("address",AB230), "\$([A-Z]+)\$[0-9]+"))),_xlfn.REGEXEXTRACT(CELL("address",AB230), "\$([A-Z]+)\$[0-9]+"))</f>
        <v/>
      </c>
      <c r="AC230" s="7" t="str" cm="1">
        <f t="array" aca="1" ref="AC230" ca="1">IFERROR(IF(OR('Raw Data'!AC230="",LEN(TRIM('Raw Data'!AC230))=0),"",IF(AND(ISNUMBER('Raw Data'!AC230), IFERROR('Raw Data'!AC230 = ROUND('Raw Data'!AC230, 2),FALSE)),"",_xlfn.REGEXEXTRACT(CELL("address",AC230), "\$([A-Z]+)\$[0-9]+"))),_xlfn.REGEXEXTRACT(CELL("address",AC230), "\$([A-Z]+)\$[0-9]+"))</f>
        <v/>
      </c>
      <c r="AD230" s="7" t="str" cm="1">
        <f t="array" aca="1" ref="AD230" ca="1">IFERROR(IF(OR('Raw Data'!AD230="",LEN(TRIM('Raw Data'!AD230))=0),"",IF(AND(ISNUMBER('Raw Data'!AD230), IFERROR('Raw Data'!AD230 = ROUND('Raw Data'!AD230, 2),FALSE)),"",_xlfn.REGEXEXTRACT(CELL("address",AD230), "\$([A-Z]+)\$[0-9]+"))),_xlfn.REGEXEXTRACT(CELL("address",AD230), "\$([A-Z]+)\$[0-9]+"))</f>
        <v/>
      </c>
      <c r="AE230" s="7" t="str" cm="1">
        <f t="array" aca="1" ref="AE230" ca="1">IFERROR(IF(OR('Raw Data'!AE230="",LEN(TRIM('Raw Data'!AE230))=0),"",IF(AND(ISNUMBER('Raw Data'!AE230), IFERROR('Raw Data'!AE230 = ROUND('Raw Data'!AE230, 2),FALSE)),"",_xlfn.REGEXEXTRACT(CELL("address",AE230), "\$([A-Z]+)\$[0-9]+"))),_xlfn.REGEXEXTRACT(CELL("address",AE230), "\$([A-Z]+)\$[0-9]+"))</f>
        <v/>
      </c>
      <c r="AF230" s="7" t="str" cm="1">
        <f t="array" aca="1" ref="AF230" ca="1">IFERROR(IF(OR('Raw Data'!AF230="",LEN(TRIM('Raw Data'!AF230))=0),"",IF(AND(ISNUMBER('Raw Data'!AF230), IFERROR('Raw Data'!AF230 = ROUND('Raw Data'!AF230, 2),FALSE)),"",_xlfn.REGEXEXTRACT(CELL("address",AF230), "\$([A-Z]+)\$[0-9]+"))),_xlfn.REGEXEXTRACT(CELL("address",AF230), "\$([A-Z]+)\$[0-9]+"))</f>
        <v/>
      </c>
      <c r="AG230" s="7" t="str" cm="1">
        <f t="array" aca="1" ref="AG230" ca="1">IFERROR(IF(OR('Raw Data'!AG230="",LEN(TRIM('Raw Data'!AG230))=0),"",IF(AND(ISNUMBER('Raw Data'!AG230), IFERROR('Raw Data'!AG230 = ROUND('Raw Data'!AG230, 2),FALSE)),"",_xlfn.REGEXEXTRACT(CELL("address",AG230), "\$([A-Z]+)\$[0-9]+"))),_xlfn.REGEXEXTRACT(CELL("address",AG230), "\$([A-Z]+)\$[0-9]+"))</f>
        <v/>
      </c>
      <c r="AH230" s="7" t="str" cm="1">
        <f t="array" aca="1" ref="AH230" ca="1">IFERROR(IF(OR('Raw Data'!AH230="",LEN(TRIM('Raw Data'!AH230))=0),"",IF(AND(ISNUMBER('Raw Data'!AH230), IFERROR('Raw Data'!AH230 = ROUND('Raw Data'!AH230, 2),FALSE)),"",_xlfn.REGEXEXTRACT(CELL("address",AH230), "\$([A-Z]+)\$[0-9]+"))),_xlfn.REGEXEXTRACT(CELL("address",AH230), "\$([A-Z]+)\$[0-9]+"))</f>
        <v/>
      </c>
      <c r="AI230" s="7" t="str" cm="1">
        <f t="array" aca="1" ref="AI230" ca="1">IFERROR(IF(OR('Raw Data'!AI230="",LEN(TRIM('Raw Data'!AI230))=0),"",IF(AND(ISNUMBER('Raw Data'!AI230), IFERROR('Raw Data'!AI230 = ROUND('Raw Data'!AI230, 2),FALSE)),"",_xlfn.REGEXEXTRACT(CELL("address",AI230), "\$([A-Z]+)\$[0-9]+"))),_xlfn.REGEXEXTRACT(CELL("address",AI230), "\$([A-Z]+)\$[0-9]+"))</f>
        <v/>
      </c>
      <c r="AJ230" s="7" t="str" cm="1">
        <f t="array" aca="1" ref="AJ230" ca="1">IFERROR(IF(OR('Raw Data'!AJ230="",LEN(TRIM('Raw Data'!AJ230))=0),"",IF(AND(ISNUMBER('Raw Data'!AJ230), IFERROR('Raw Data'!AJ230 = ROUND('Raw Data'!AJ230, 2),FALSE)),"",_xlfn.REGEXEXTRACT(CELL("address",AJ230), "\$([A-Z]+)\$[0-9]+"))),_xlfn.REGEXEXTRACT(CELL("address",AJ230), "\$([A-Z]+)\$[0-9]+"))</f>
        <v/>
      </c>
    </row>
    <row r="231" spans="2:36" x14ac:dyDescent="0.25">
      <c r="B231" s="7" t="str" cm="1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20,LEN('Raw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Data'!D231))=0),"",IF(AND(ISNUMBER('Raw Data'!D231),'Raw Data'!D231&gt;=Configuration!$D$2),"",_xlfn.REGEXEXTRACT(CELL("address",'Raw Data'!D231),"\$([A-Z]+)\$[0-9]+"))),_xlfn.REGEXEXTRACT(CELL("address",D231), "\$([A-Z]+)\$[0-9]+"))</f>
        <v/>
      </c>
      <c r="E231" s="7" t="str" cm="1">
        <f t="array" aca="1" ref="E231" ca="1">IFERROR(IF(OR('Raw Data'!E231="",LEN(TRIM('Raw Data'!E231))=0),"",IF(AND(ISNUMBER('Raw Data'!E231), IFERROR('Raw Data'!E231 = ROUND('Raw Data'!E231, 2),FALSE)),"",_xlfn.REGEXEXTRACT(CELL("address",E231), "\$([A-Z]+)\$[0-9]+"))),_xlfn.REGEXEXTRACT(CELL("address",E231), "\$([A-Z]+)\$[0-9]+"))</f>
        <v/>
      </c>
      <c r="F231" s="7" t="str" cm="1">
        <f t="array" aca="1" ref="F231" ca="1">IFERROR(IF(OR('Raw Data'!F231="",LEN(TRIM('Raw Data'!F231))=0),"",IF(AND(ISNUMBER('Raw Data'!F231), IFERROR('Raw Data'!F231 = ROUND('Raw Data'!F231, 2),FALSE)),"",_xlfn.REGEXEXTRACT(CELL("address",F231), "\$([A-Z]+)\$[0-9]+"))),_xlfn.REGEXEXTRACT(CELL("address",F231), "\$([A-Z]+)\$[0-9]+"))</f>
        <v/>
      </c>
      <c r="G231" s="7" t="str" cm="1">
        <f t="array" aca="1" ref="G231" ca="1">IFERROR(IF(OR('Raw Data'!G231="",LEN(TRIM('Raw Data'!G231))=0),"",IF(AND(ISNUMBER('Raw Data'!G231), IFERROR('Raw Data'!G231 = ROUND('Raw Data'!G231, 2),FALSE)),"",_xlfn.REGEXEXTRACT(CELL("address",G231), "\$([A-Z]+)\$[0-9]+"))),_xlfn.REGEXEXTRACT(CELL("address",G231), "\$([A-Z]+)\$[0-9]+"))</f>
        <v/>
      </c>
      <c r="H231" s="7" t="str" cm="1">
        <f t="array" aca="1" ref="H231" ca="1">IFERROR(IF(OR('Raw Data'!H231="",LEN(TRIM('Raw Data'!H231))=0),"",IF(AND(ISNUMBER('Raw Data'!H231), IFERROR('Raw Data'!H231 = ROUND('Raw Data'!H231, 2),FALSE)),"",_xlfn.REGEXEXTRACT(CELL("address",H231), "\$([A-Z]+)\$[0-9]+"))),_xlfn.REGEXEXTRACT(CELL("address",H231), "\$([A-Z]+)\$[0-9]+"))</f>
        <v/>
      </c>
      <c r="I231" s="7" t="str" cm="1">
        <f t="array" aca="1" ref="I231" ca="1">IFERROR(IF(OR('Raw Data'!I231="",LEN(TRIM('Raw Data'!I231))=0),"",IF(AND(ISNUMBER('Raw Data'!I231), IFERROR('Raw Data'!I231 = ROUND('Raw Data'!I231, 2),FALSE)),"",_xlfn.REGEXEXTRACT(CELL("address",I231), "\$([A-Z]+)\$[0-9]+"))),_xlfn.REGEXEXTRACT(CELL("address",I231), "\$([A-Z]+)\$[0-9]+"))</f>
        <v/>
      </c>
      <c r="J231" s="7" t="str" cm="1">
        <f t="array" aca="1" ref="J231" ca="1">IFERROR(IF(OR('Raw Data'!J231="",LEN(TRIM('Raw Data'!J231))=0),"",IF(AND(ISNUMBER('Raw Data'!J231), IFERROR('Raw Data'!J231 = ROUND('Raw Data'!J231, 2),FALSE)),"",_xlfn.REGEXEXTRACT(CELL("address",J231), "\$([A-Z]+)\$[0-9]+"))),_xlfn.REGEXEXTRACT(CELL("address",J231), "\$([A-Z]+)\$[0-9]+"))</f>
        <v/>
      </c>
      <c r="K231" s="7" t="str" cm="1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7" t="str" cm="1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7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7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7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7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 cm="1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7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7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7" t="str" cm="1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7" t="str" cm="1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  <c r="Z231" s="7" t="str" cm="1">
        <f t="array" aca="1" ref="Z231" ca="1">IFERROR(IF(OR('Raw Data'!Z231="",LEN(TRIM('Raw Data'!Z231))=0),"",IF(AND(ISNUMBER('Raw Data'!Z231), IFERROR('Raw Data'!Z231 = ROUND('Raw Data'!Z231, 2),FALSE)),"",_xlfn.REGEXEXTRACT(CELL("address",Z231), "\$([A-Z]+)\$[0-9]+"))),_xlfn.REGEXEXTRACT(CELL("address",Z231), "\$([A-Z]+)\$[0-9]+"))</f>
        <v/>
      </c>
      <c r="AA231" s="7" t="str" cm="1">
        <f t="array" aca="1" ref="AA231" ca="1">IFERROR(IF(OR('Raw Data'!AA231="",LEN(TRIM('Raw Data'!AA231))=0),"",IF(AND(ISNUMBER('Raw Data'!AA231), IFERROR('Raw Data'!AA231 = ROUND('Raw Data'!AA231, 2),FALSE)),"",_xlfn.REGEXEXTRACT(CELL("address",AA231), "\$([A-Z]+)\$[0-9]+"))),_xlfn.REGEXEXTRACT(CELL("address",AA231), "\$([A-Z]+)\$[0-9]+"))</f>
        <v/>
      </c>
      <c r="AB231" s="7" t="str" cm="1">
        <f t="array" aca="1" ref="AB231" ca="1">IFERROR(IF(OR('Raw Data'!AB231="",LEN(TRIM('Raw Data'!AB231))=0),"",IF(AND(ISNUMBER('Raw Data'!AB231), IFERROR('Raw Data'!AB231 = ROUND('Raw Data'!AB231, 2),FALSE)),"",_xlfn.REGEXEXTRACT(CELL("address",AB231), "\$([A-Z]+)\$[0-9]+"))),_xlfn.REGEXEXTRACT(CELL("address",AB231), "\$([A-Z]+)\$[0-9]+"))</f>
        <v/>
      </c>
      <c r="AC231" s="7" t="str" cm="1">
        <f t="array" aca="1" ref="AC231" ca="1">IFERROR(IF(OR('Raw Data'!AC231="",LEN(TRIM('Raw Data'!AC231))=0),"",IF(AND(ISNUMBER('Raw Data'!AC231), IFERROR('Raw Data'!AC231 = ROUND('Raw Data'!AC231, 2),FALSE)),"",_xlfn.REGEXEXTRACT(CELL("address",AC231), "\$([A-Z]+)\$[0-9]+"))),_xlfn.REGEXEXTRACT(CELL("address",AC231), "\$([A-Z]+)\$[0-9]+"))</f>
        <v/>
      </c>
      <c r="AD231" s="7" t="str" cm="1">
        <f t="array" aca="1" ref="AD231" ca="1">IFERROR(IF(OR('Raw Data'!AD231="",LEN(TRIM('Raw Data'!AD231))=0),"",IF(AND(ISNUMBER('Raw Data'!AD231), IFERROR('Raw Data'!AD231 = ROUND('Raw Data'!AD231, 2),FALSE)),"",_xlfn.REGEXEXTRACT(CELL("address",AD231), "\$([A-Z]+)\$[0-9]+"))),_xlfn.REGEXEXTRACT(CELL("address",AD231), "\$([A-Z]+)\$[0-9]+"))</f>
        <v/>
      </c>
      <c r="AE231" s="7" t="str" cm="1">
        <f t="array" aca="1" ref="AE231" ca="1">IFERROR(IF(OR('Raw Data'!AE231="",LEN(TRIM('Raw Data'!AE231))=0),"",IF(AND(ISNUMBER('Raw Data'!AE231), IFERROR('Raw Data'!AE231 = ROUND('Raw Data'!AE231, 2),FALSE)),"",_xlfn.REGEXEXTRACT(CELL("address",AE231), "\$([A-Z]+)\$[0-9]+"))),_xlfn.REGEXEXTRACT(CELL("address",AE231), "\$([A-Z]+)\$[0-9]+"))</f>
        <v/>
      </c>
      <c r="AF231" s="7" t="str" cm="1">
        <f t="array" aca="1" ref="AF231" ca="1">IFERROR(IF(OR('Raw Data'!AF231="",LEN(TRIM('Raw Data'!AF231))=0),"",IF(AND(ISNUMBER('Raw Data'!AF231), IFERROR('Raw Data'!AF231 = ROUND('Raw Data'!AF231, 2),FALSE)),"",_xlfn.REGEXEXTRACT(CELL("address",AF231), "\$([A-Z]+)\$[0-9]+"))),_xlfn.REGEXEXTRACT(CELL("address",AF231), "\$([A-Z]+)\$[0-9]+"))</f>
        <v/>
      </c>
      <c r="AG231" s="7" t="str" cm="1">
        <f t="array" aca="1" ref="AG231" ca="1">IFERROR(IF(OR('Raw Data'!AG231="",LEN(TRIM('Raw Data'!AG231))=0),"",IF(AND(ISNUMBER('Raw Data'!AG231), IFERROR('Raw Data'!AG231 = ROUND('Raw Data'!AG231, 2),FALSE)),"",_xlfn.REGEXEXTRACT(CELL("address",AG231), "\$([A-Z]+)\$[0-9]+"))),_xlfn.REGEXEXTRACT(CELL("address",AG231), "\$([A-Z]+)\$[0-9]+"))</f>
        <v/>
      </c>
      <c r="AH231" s="7" t="str" cm="1">
        <f t="array" aca="1" ref="AH231" ca="1">IFERROR(IF(OR('Raw Data'!AH231="",LEN(TRIM('Raw Data'!AH231))=0),"",IF(AND(ISNUMBER('Raw Data'!AH231), IFERROR('Raw Data'!AH231 = ROUND('Raw Data'!AH231, 2),FALSE)),"",_xlfn.REGEXEXTRACT(CELL("address",AH231), "\$([A-Z]+)\$[0-9]+"))),_xlfn.REGEXEXTRACT(CELL("address",AH231), "\$([A-Z]+)\$[0-9]+"))</f>
        <v/>
      </c>
      <c r="AI231" s="7" t="str" cm="1">
        <f t="array" aca="1" ref="AI231" ca="1">IFERROR(IF(OR('Raw Data'!AI231="",LEN(TRIM('Raw Data'!AI231))=0),"",IF(AND(ISNUMBER('Raw Data'!AI231), IFERROR('Raw Data'!AI231 = ROUND('Raw Data'!AI231, 2),FALSE)),"",_xlfn.REGEXEXTRACT(CELL("address",AI231), "\$([A-Z]+)\$[0-9]+"))),_xlfn.REGEXEXTRACT(CELL("address",AI231), "\$([A-Z]+)\$[0-9]+"))</f>
        <v/>
      </c>
      <c r="AJ231" s="7" t="str" cm="1">
        <f t="array" aca="1" ref="AJ231" ca="1">IFERROR(IF(OR('Raw Data'!AJ231="",LEN(TRIM('Raw Data'!AJ231))=0),"",IF(AND(ISNUMBER('Raw Data'!AJ231), IFERROR('Raw Data'!AJ231 = ROUND('Raw Data'!AJ231, 2),FALSE)),"",_xlfn.REGEXEXTRACT(CELL("address",AJ231), "\$([A-Z]+)\$[0-9]+"))),_xlfn.REGEXEXTRACT(CELL("address",AJ231), "\$([A-Z]+)\$[0-9]+"))</f>
        <v/>
      </c>
    </row>
    <row r="232" spans="2:36" x14ac:dyDescent="0.25">
      <c r="B232" s="7" t="str" cm="1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20,LEN('Raw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Data'!D232))=0),"",IF(AND(ISNUMBER('Raw Data'!D232),'Raw Data'!D232&gt;=Configuration!$D$2),"",_xlfn.REGEXEXTRACT(CELL("address",'Raw Data'!D232),"\$([A-Z]+)\$[0-9]+"))),_xlfn.REGEXEXTRACT(CELL("address",D232), "\$([A-Z]+)\$[0-9]+"))</f>
        <v/>
      </c>
      <c r="E232" s="7" t="str" cm="1">
        <f t="array" aca="1" ref="E232" ca="1">IFERROR(IF(OR('Raw Data'!E232="",LEN(TRIM('Raw Data'!E232))=0),"",IF(AND(ISNUMBER('Raw Data'!E232), IFERROR('Raw Data'!E232 = ROUND('Raw Data'!E232, 2),FALSE)),"",_xlfn.REGEXEXTRACT(CELL("address",E232), "\$([A-Z]+)\$[0-9]+"))),_xlfn.REGEXEXTRACT(CELL("address",E232), "\$([A-Z]+)\$[0-9]+"))</f>
        <v/>
      </c>
      <c r="F232" s="7" t="str" cm="1">
        <f t="array" aca="1" ref="F232" ca="1">IFERROR(IF(OR('Raw Data'!F232="",LEN(TRIM('Raw Data'!F232))=0),"",IF(AND(ISNUMBER('Raw Data'!F232), IFERROR('Raw Data'!F232 = ROUND('Raw Data'!F232, 2),FALSE)),"",_xlfn.REGEXEXTRACT(CELL("address",F232), "\$([A-Z]+)\$[0-9]+"))),_xlfn.REGEXEXTRACT(CELL("address",F232), "\$([A-Z]+)\$[0-9]+"))</f>
        <v/>
      </c>
      <c r="G232" s="7" t="str" cm="1">
        <f t="array" aca="1" ref="G232" ca="1">IFERROR(IF(OR('Raw Data'!G232="",LEN(TRIM('Raw Data'!G232))=0),"",IF(AND(ISNUMBER('Raw Data'!G232), IFERROR('Raw Data'!G232 = ROUND('Raw Data'!G232, 2),FALSE)),"",_xlfn.REGEXEXTRACT(CELL("address",G232), "\$([A-Z]+)\$[0-9]+"))),_xlfn.REGEXEXTRACT(CELL("address",G232), "\$([A-Z]+)\$[0-9]+"))</f>
        <v/>
      </c>
      <c r="H232" s="7" t="str" cm="1">
        <f t="array" aca="1" ref="H232" ca="1">IFERROR(IF(OR('Raw Data'!H232="",LEN(TRIM('Raw Data'!H232))=0),"",IF(AND(ISNUMBER('Raw Data'!H232), IFERROR('Raw Data'!H232 = ROUND('Raw Data'!H232, 2),FALSE)),"",_xlfn.REGEXEXTRACT(CELL("address",H232), "\$([A-Z]+)\$[0-9]+"))),_xlfn.REGEXEXTRACT(CELL("address",H232), "\$([A-Z]+)\$[0-9]+"))</f>
        <v/>
      </c>
      <c r="I232" s="7" t="str" cm="1">
        <f t="array" aca="1" ref="I232" ca="1">IFERROR(IF(OR('Raw Data'!I232="",LEN(TRIM('Raw Data'!I232))=0),"",IF(AND(ISNUMBER('Raw Data'!I232), IFERROR('Raw Data'!I232 = ROUND('Raw Data'!I232, 2),FALSE)),"",_xlfn.REGEXEXTRACT(CELL("address",I232), "\$([A-Z]+)\$[0-9]+"))),_xlfn.REGEXEXTRACT(CELL("address",I232), "\$([A-Z]+)\$[0-9]+"))</f>
        <v/>
      </c>
      <c r="J232" s="7" t="str" cm="1">
        <f t="array" aca="1" ref="J232" ca="1">IFERROR(IF(OR('Raw Data'!J232="",LEN(TRIM('Raw Data'!J232))=0),"",IF(AND(ISNUMBER('Raw Data'!J232), IFERROR('Raw Data'!J232 = ROUND('Raw Data'!J232, 2),FALSE)),"",_xlfn.REGEXEXTRACT(CELL("address",J232), "\$([A-Z]+)\$[0-9]+"))),_xlfn.REGEXEXTRACT(CELL("address",J232), "\$([A-Z]+)\$[0-9]+"))</f>
        <v/>
      </c>
      <c r="K232" s="7" t="str" cm="1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7" t="str" cm="1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7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7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7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7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 cm="1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7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7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7" t="str" cm="1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7" t="str" cm="1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  <c r="Z232" s="7" t="str" cm="1">
        <f t="array" aca="1" ref="Z232" ca="1">IFERROR(IF(OR('Raw Data'!Z232="",LEN(TRIM('Raw Data'!Z232))=0),"",IF(AND(ISNUMBER('Raw Data'!Z232), IFERROR('Raw Data'!Z232 = ROUND('Raw Data'!Z232, 2),FALSE)),"",_xlfn.REGEXEXTRACT(CELL("address",Z232), "\$([A-Z]+)\$[0-9]+"))),_xlfn.REGEXEXTRACT(CELL("address",Z232), "\$([A-Z]+)\$[0-9]+"))</f>
        <v/>
      </c>
      <c r="AA232" s="7" t="str" cm="1">
        <f t="array" aca="1" ref="AA232" ca="1">IFERROR(IF(OR('Raw Data'!AA232="",LEN(TRIM('Raw Data'!AA232))=0),"",IF(AND(ISNUMBER('Raw Data'!AA232), IFERROR('Raw Data'!AA232 = ROUND('Raw Data'!AA232, 2),FALSE)),"",_xlfn.REGEXEXTRACT(CELL("address",AA232), "\$([A-Z]+)\$[0-9]+"))),_xlfn.REGEXEXTRACT(CELL("address",AA232), "\$([A-Z]+)\$[0-9]+"))</f>
        <v/>
      </c>
      <c r="AB232" s="7" t="str" cm="1">
        <f t="array" aca="1" ref="AB232" ca="1">IFERROR(IF(OR('Raw Data'!AB232="",LEN(TRIM('Raw Data'!AB232))=0),"",IF(AND(ISNUMBER('Raw Data'!AB232), IFERROR('Raw Data'!AB232 = ROUND('Raw Data'!AB232, 2),FALSE)),"",_xlfn.REGEXEXTRACT(CELL("address",AB232), "\$([A-Z]+)\$[0-9]+"))),_xlfn.REGEXEXTRACT(CELL("address",AB232), "\$([A-Z]+)\$[0-9]+"))</f>
        <v/>
      </c>
      <c r="AC232" s="7" t="str" cm="1">
        <f t="array" aca="1" ref="AC232" ca="1">IFERROR(IF(OR('Raw Data'!AC232="",LEN(TRIM('Raw Data'!AC232))=0),"",IF(AND(ISNUMBER('Raw Data'!AC232), IFERROR('Raw Data'!AC232 = ROUND('Raw Data'!AC232, 2),FALSE)),"",_xlfn.REGEXEXTRACT(CELL("address",AC232), "\$([A-Z]+)\$[0-9]+"))),_xlfn.REGEXEXTRACT(CELL("address",AC232), "\$([A-Z]+)\$[0-9]+"))</f>
        <v/>
      </c>
      <c r="AD232" s="7" t="str" cm="1">
        <f t="array" aca="1" ref="AD232" ca="1">IFERROR(IF(OR('Raw Data'!AD232="",LEN(TRIM('Raw Data'!AD232))=0),"",IF(AND(ISNUMBER('Raw Data'!AD232), IFERROR('Raw Data'!AD232 = ROUND('Raw Data'!AD232, 2),FALSE)),"",_xlfn.REGEXEXTRACT(CELL("address",AD232), "\$([A-Z]+)\$[0-9]+"))),_xlfn.REGEXEXTRACT(CELL("address",AD232), "\$([A-Z]+)\$[0-9]+"))</f>
        <v/>
      </c>
      <c r="AE232" s="7" t="str" cm="1">
        <f t="array" aca="1" ref="AE232" ca="1">IFERROR(IF(OR('Raw Data'!AE232="",LEN(TRIM('Raw Data'!AE232))=0),"",IF(AND(ISNUMBER('Raw Data'!AE232), IFERROR('Raw Data'!AE232 = ROUND('Raw Data'!AE232, 2),FALSE)),"",_xlfn.REGEXEXTRACT(CELL("address",AE232), "\$([A-Z]+)\$[0-9]+"))),_xlfn.REGEXEXTRACT(CELL("address",AE232), "\$([A-Z]+)\$[0-9]+"))</f>
        <v/>
      </c>
      <c r="AF232" s="7" t="str" cm="1">
        <f t="array" aca="1" ref="AF232" ca="1">IFERROR(IF(OR('Raw Data'!AF232="",LEN(TRIM('Raw Data'!AF232))=0),"",IF(AND(ISNUMBER('Raw Data'!AF232), IFERROR('Raw Data'!AF232 = ROUND('Raw Data'!AF232, 2),FALSE)),"",_xlfn.REGEXEXTRACT(CELL("address",AF232), "\$([A-Z]+)\$[0-9]+"))),_xlfn.REGEXEXTRACT(CELL("address",AF232), "\$([A-Z]+)\$[0-9]+"))</f>
        <v/>
      </c>
      <c r="AG232" s="7" t="str" cm="1">
        <f t="array" aca="1" ref="AG232" ca="1">IFERROR(IF(OR('Raw Data'!AG232="",LEN(TRIM('Raw Data'!AG232))=0),"",IF(AND(ISNUMBER('Raw Data'!AG232), IFERROR('Raw Data'!AG232 = ROUND('Raw Data'!AG232, 2),FALSE)),"",_xlfn.REGEXEXTRACT(CELL("address",AG232), "\$([A-Z]+)\$[0-9]+"))),_xlfn.REGEXEXTRACT(CELL("address",AG232), "\$([A-Z]+)\$[0-9]+"))</f>
        <v/>
      </c>
      <c r="AH232" s="7" t="str" cm="1">
        <f t="array" aca="1" ref="AH232" ca="1">IFERROR(IF(OR('Raw Data'!AH232="",LEN(TRIM('Raw Data'!AH232))=0),"",IF(AND(ISNUMBER('Raw Data'!AH232), IFERROR('Raw Data'!AH232 = ROUND('Raw Data'!AH232, 2),FALSE)),"",_xlfn.REGEXEXTRACT(CELL("address",AH232), "\$([A-Z]+)\$[0-9]+"))),_xlfn.REGEXEXTRACT(CELL("address",AH232), "\$([A-Z]+)\$[0-9]+"))</f>
        <v/>
      </c>
      <c r="AI232" s="7" t="str" cm="1">
        <f t="array" aca="1" ref="AI232" ca="1">IFERROR(IF(OR('Raw Data'!AI232="",LEN(TRIM('Raw Data'!AI232))=0),"",IF(AND(ISNUMBER('Raw Data'!AI232), IFERROR('Raw Data'!AI232 = ROUND('Raw Data'!AI232, 2),FALSE)),"",_xlfn.REGEXEXTRACT(CELL("address",AI232), "\$([A-Z]+)\$[0-9]+"))),_xlfn.REGEXEXTRACT(CELL("address",AI232), "\$([A-Z]+)\$[0-9]+"))</f>
        <v/>
      </c>
      <c r="AJ232" s="7" t="str" cm="1">
        <f t="array" aca="1" ref="AJ232" ca="1">IFERROR(IF(OR('Raw Data'!AJ232="",LEN(TRIM('Raw Data'!AJ232))=0),"",IF(AND(ISNUMBER('Raw Data'!AJ232), IFERROR('Raw Data'!AJ232 = ROUND('Raw Data'!AJ232, 2),FALSE)),"",_xlfn.REGEXEXTRACT(CELL("address",AJ232), "\$([A-Z]+)\$[0-9]+"))),_xlfn.REGEXEXTRACT(CELL("address",AJ232), "\$([A-Z]+)\$[0-9]+"))</f>
        <v/>
      </c>
    </row>
    <row r="233" spans="2:36" x14ac:dyDescent="0.25">
      <c r="B233" s="7" t="str" cm="1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20,LEN('Raw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Data'!D233))=0),"",IF(AND(ISNUMBER('Raw Data'!D233),'Raw Data'!D233&gt;=Configuration!$D$2),"",_xlfn.REGEXEXTRACT(CELL("address",'Raw Data'!D233),"\$([A-Z]+)\$[0-9]+"))),_xlfn.REGEXEXTRACT(CELL("address",D233), "\$([A-Z]+)\$[0-9]+"))</f>
        <v/>
      </c>
      <c r="E233" s="7" t="str" cm="1">
        <f t="array" aca="1" ref="E233" ca="1">IFERROR(IF(OR('Raw Data'!E233="",LEN(TRIM('Raw Data'!E233))=0),"",IF(AND(ISNUMBER('Raw Data'!E233), IFERROR('Raw Data'!E233 = ROUND('Raw Data'!E233, 2),FALSE)),"",_xlfn.REGEXEXTRACT(CELL("address",E233), "\$([A-Z]+)\$[0-9]+"))),_xlfn.REGEXEXTRACT(CELL("address",E233), "\$([A-Z]+)\$[0-9]+"))</f>
        <v/>
      </c>
      <c r="F233" s="7" t="str" cm="1">
        <f t="array" aca="1" ref="F233" ca="1">IFERROR(IF(OR('Raw Data'!F233="",LEN(TRIM('Raw Data'!F233))=0),"",IF(AND(ISNUMBER('Raw Data'!F233), IFERROR('Raw Data'!F233 = ROUND('Raw Data'!F233, 2),FALSE)),"",_xlfn.REGEXEXTRACT(CELL("address",F233), "\$([A-Z]+)\$[0-9]+"))),_xlfn.REGEXEXTRACT(CELL("address",F233), "\$([A-Z]+)\$[0-9]+"))</f>
        <v/>
      </c>
      <c r="G233" s="7" t="str" cm="1">
        <f t="array" aca="1" ref="G233" ca="1">IFERROR(IF(OR('Raw Data'!G233="",LEN(TRIM('Raw Data'!G233))=0),"",IF(AND(ISNUMBER('Raw Data'!G233), IFERROR('Raw Data'!G233 = ROUND('Raw Data'!G233, 2),FALSE)),"",_xlfn.REGEXEXTRACT(CELL("address",G233), "\$([A-Z]+)\$[0-9]+"))),_xlfn.REGEXEXTRACT(CELL("address",G233), "\$([A-Z]+)\$[0-9]+"))</f>
        <v/>
      </c>
      <c r="H233" s="7" t="str" cm="1">
        <f t="array" aca="1" ref="H233" ca="1">IFERROR(IF(OR('Raw Data'!H233="",LEN(TRIM('Raw Data'!H233))=0),"",IF(AND(ISNUMBER('Raw Data'!H233), IFERROR('Raw Data'!H233 = ROUND('Raw Data'!H233, 2),FALSE)),"",_xlfn.REGEXEXTRACT(CELL("address",H233), "\$([A-Z]+)\$[0-9]+"))),_xlfn.REGEXEXTRACT(CELL("address",H233), "\$([A-Z]+)\$[0-9]+"))</f>
        <v/>
      </c>
      <c r="I233" s="7" t="str" cm="1">
        <f t="array" aca="1" ref="I233" ca="1">IFERROR(IF(OR('Raw Data'!I233="",LEN(TRIM('Raw Data'!I233))=0),"",IF(AND(ISNUMBER('Raw Data'!I233), IFERROR('Raw Data'!I233 = ROUND('Raw Data'!I233, 2),FALSE)),"",_xlfn.REGEXEXTRACT(CELL("address",I233), "\$([A-Z]+)\$[0-9]+"))),_xlfn.REGEXEXTRACT(CELL("address",I233), "\$([A-Z]+)\$[0-9]+"))</f>
        <v/>
      </c>
      <c r="J233" s="7" t="str" cm="1">
        <f t="array" aca="1" ref="J233" ca="1">IFERROR(IF(OR('Raw Data'!J233="",LEN(TRIM('Raw Data'!J233))=0),"",IF(AND(ISNUMBER('Raw Data'!J233), IFERROR('Raw Data'!J233 = ROUND('Raw Data'!J233, 2),FALSE)),"",_xlfn.REGEXEXTRACT(CELL("address",J233), "\$([A-Z]+)\$[0-9]+"))),_xlfn.REGEXEXTRACT(CELL("address",J233), "\$([A-Z]+)\$[0-9]+"))</f>
        <v/>
      </c>
      <c r="K233" s="7" t="str" cm="1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7" t="str" cm="1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7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7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7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7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 cm="1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7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7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7" t="str" cm="1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7" t="str" cm="1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  <c r="Z233" s="7" t="str" cm="1">
        <f t="array" aca="1" ref="Z233" ca="1">IFERROR(IF(OR('Raw Data'!Z233="",LEN(TRIM('Raw Data'!Z233))=0),"",IF(AND(ISNUMBER('Raw Data'!Z233), IFERROR('Raw Data'!Z233 = ROUND('Raw Data'!Z233, 2),FALSE)),"",_xlfn.REGEXEXTRACT(CELL("address",Z233), "\$([A-Z]+)\$[0-9]+"))),_xlfn.REGEXEXTRACT(CELL("address",Z233), "\$([A-Z]+)\$[0-9]+"))</f>
        <v/>
      </c>
      <c r="AA233" s="7" t="str" cm="1">
        <f t="array" aca="1" ref="AA233" ca="1">IFERROR(IF(OR('Raw Data'!AA233="",LEN(TRIM('Raw Data'!AA233))=0),"",IF(AND(ISNUMBER('Raw Data'!AA233), IFERROR('Raw Data'!AA233 = ROUND('Raw Data'!AA233, 2),FALSE)),"",_xlfn.REGEXEXTRACT(CELL("address",AA233), "\$([A-Z]+)\$[0-9]+"))),_xlfn.REGEXEXTRACT(CELL("address",AA233), "\$([A-Z]+)\$[0-9]+"))</f>
        <v/>
      </c>
      <c r="AB233" s="7" t="str" cm="1">
        <f t="array" aca="1" ref="AB233" ca="1">IFERROR(IF(OR('Raw Data'!AB233="",LEN(TRIM('Raw Data'!AB233))=0),"",IF(AND(ISNUMBER('Raw Data'!AB233), IFERROR('Raw Data'!AB233 = ROUND('Raw Data'!AB233, 2),FALSE)),"",_xlfn.REGEXEXTRACT(CELL("address",AB233), "\$([A-Z]+)\$[0-9]+"))),_xlfn.REGEXEXTRACT(CELL("address",AB233), "\$([A-Z]+)\$[0-9]+"))</f>
        <v/>
      </c>
      <c r="AC233" s="7" t="str" cm="1">
        <f t="array" aca="1" ref="AC233" ca="1">IFERROR(IF(OR('Raw Data'!AC233="",LEN(TRIM('Raw Data'!AC233))=0),"",IF(AND(ISNUMBER('Raw Data'!AC233), IFERROR('Raw Data'!AC233 = ROUND('Raw Data'!AC233, 2),FALSE)),"",_xlfn.REGEXEXTRACT(CELL("address",AC233), "\$([A-Z]+)\$[0-9]+"))),_xlfn.REGEXEXTRACT(CELL("address",AC233), "\$([A-Z]+)\$[0-9]+"))</f>
        <v/>
      </c>
      <c r="AD233" s="7" t="str" cm="1">
        <f t="array" aca="1" ref="AD233" ca="1">IFERROR(IF(OR('Raw Data'!AD233="",LEN(TRIM('Raw Data'!AD233))=0),"",IF(AND(ISNUMBER('Raw Data'!AD233), IFERROR('Raw Data'!AD233 = ROUND('Raw Data'!AD233, 2),FALSE)),"",_xlfn.REGEXEXTRACT(CELL("address",AD233), "\$([A-Z]+)\$[0-9]+"))),_xlfn.REGEXEXTRACT(CELL("address",AD233), "\$([A-Z]+)\$[0-9]+"))</f>
        <v/>
      </c>
      <c r="AE233" s="7" t="str" cm="1">
        <f t="array" aca="1" ref="AE233" ca="1">IFERROR(IF(OR('Raw Data'!AE233="",LEN(TRIM('Raw Data'!AE233))=0),"",IF(AND(ISNUMBER('Raw Data'!AE233), IFERROR('Raw Data'!AE233 = ROUND('Raw Data'!AE233, 2),FALSE)),"",_xlfn.REGEXEXTRACT(CELL("address",AE233), "\$([A-Z]+)\$[0-9]+"))),_xlfn.REGEXEXTRACT(CELL("address",AE233), "\$([A-Z]+)\$[0-9]+"))</f>
        <v/>
      </c>
      <c r="AF233" s="7" t="str" cm="1">
        <f t="array" aca="1" ref="AF233" ca="1">IFERROR(IF(OR('Raw Data'!AF233="",LEN(TRIM('Raw Data'!AF233))=0),"",IF(AND(ISNUMBER('Raw Data'!AF233), IFERROR('Raw Data'!AF233 = ROUND('Raw Data'!AF233, 2),FALSE)),"",_xlfn.REGEXEXTRACT(CELL("address",AF233), "\$([A-Z]+)\$[0-9]+"))),_xlfn.REGEXEXTRACT(CELL("address",AF233), "\$([A-Z]+)\$[0-9]+"))</f>
        <v/>
      </c>
      <c r="AG233" s="7" t="str" cm="1">
        <f t="array" aca="1" ref="AG233" ca="1">IFERROR(IF(OR('Raw Data'!AG233="",LEN(TRIM('Raw Data'!AG233))=0),"",IF(AND(ISNUMBER('Raw Data'!AG233), IFERROR('Raw Data'!AG233 = ROUND('Raw Data'!AG233, 2),FALSE)),"",_xlfn.REGEXEXTRACT(CELL("address",AG233), "\$([A-Z]+)\$[0-9]+"))),_xlfn.REGEXEXTRACT(CELL("address",AG233), "\$([A-Z]+)\$[0-9]+"))</f>
        <v/>
      </c>
      <c r="AH233" s="7" t="str" cm="1">
        <f t="array" aca="1" ref="AH233" ca="1">IFERROR(IF(OR('Raw Data'!AH233="",LEN(TRIM('Raw Data'!AH233))=0),"",IF(AND(ISNUMBER('Raw Data'!AH233), IFERROR('Raw Data'!AH233 = ROUND('Raw Data'!AH233, 2),FALSE)),"",_xlfn.REGEXEXTRACT(CELL("address",AH233), "\$([A-Z]+)\$[0-9]+"))),_xlfn.REGEXEXTRACT(CELL("address",AH233), "\$([A-Z]+)\$[0-9]+"))</f>
        <v/>
      </c>
      <c r="AI233" s="7" t="str" cm="1">
        <f t="array" aca="1" ref="AI233" ca="1">IFERROR(IF(OR('Raw Data'!AI233="",LEN(TRIM('Raw Data'!AI233))=0),"",IF(AND(ISNUMBER('Raw Data'!AI233), IFERROR('Raw Data'!AI233 = ROUND('Raw Data'!AI233, 2),FALSE)),"",_xlfn.REGEXEXTRACT(CELL("address",AI233), "\$([A-Z]+)\$[0-9]+"))),_xlfn.REGEXEXTRACT(CELL("address",AI233), "\$([A-Z]+)\$[0-9]+"))</f>
        <v/>
      </c>
      <c r="AJ233" s="7" t="str" cm="1">
        <f t="array" aca="1" ref="AJ233" ca="1">IFERROR(IF(OR('Raw Data'!AJ233="",LEN(TRIM('Raw Data'!AJ233))=0),"",IF(AND(ISNUMBER('Raw Data'!AJ233), IFERROR('Raw Data'!AJ233 = ROUND('Raw Data'!AJ233, 2),FALSE)),"",_xlfn.REGEXEXTRACT(CELL("address",AJ233), "\$([A-Z]+)\$[0-9]+"))),_xlfn.REGEXEXTRACT(CELL("address",AJ233), "\$([A-Z]+)\$[0-9]+"))</f>
        <v/>
      </c>
    </row>
    <row r="234" spans="2:36" x14ac:dyDescent="0.25">
      <c r="B234" s="7" t="str" cm="1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20,LEN('Raw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Data'!D234))=0),"",IF(AND(ISNUMBER('Raw Data'!D234),'Raw Data'!D234&gt;=Configuration!$D$2),"",_xlfn.REGEXEXTRACT(CELL("address",'Raw Data'!D234),"\$([A-Z]+)\$[0-9]+"))),_xlfn.REGEXEXTRACT(CELL("address",D234), "\$([A-Z]+)\$[0-9]+"))</f>
        <v/>
      </c>
      <c r="E234" s="7" t="str" cm="1">
        <f t="array" aca="1" ref="E234" ca="1">IFERROR(IF(OR('Raw Data'!E234="",LEN(TRIM('Raw Data'!E234))=0),"",IF(AND(ISNUMBER('Raw Data'!E234), IFERROR('Raw Data'!E234 = ROUND('Raw Data'!E234, 2),FALSE)),"",_xlfn.REGEXEXTRACT(CELL("address",E234), "\$([A-Z]+)\$[0-9]+"))),_xlfn.REGEXEXTRACT(CELL("address",E234), "\$([A-Z]+)\$[0-9]+"))</f>
        <v/>
      </c>
      <c r="F234" s="7" t="str" cm="1">
        <f t="array" aca="1" ref="F234" ca="1">IFERROR(IF(OR('Raw Data'!F234="",LEN(TRIM('Raw Data'!F234))=0),"",IF(AND(ISNUMBER('Raw Data'!F234), IFERROR('Raw Data'!F234 = ROUND('Raw Data'!F234, 2),FALSE)),"",_xlfn.REGEXEXTRACT(CELL("address",F234), "\$([A-Z]+)\$[0-9]+"))),_xlfn.REGEXEXTRACT(CELL("address",F234), "\$([A-Z]+)\$[0-9]+"))</f>
        <v/>
      </c>
      <c r="G234" s="7" t="str" cm="1">
        <f t="array" aca="1" ref="G234" ca="1">IFERROR(IF(OR('Raw Data'!G234="",LEN(TRIM('Raw Data'!G234))=0),"",IF(AND(ISNUMBER('Raw Data'!G234), IFERROR('Raw Data'!G234 = ROUND('Raw Data'!G234, 2),FALSE)),"",_xlfn.REGEXEXTRACT(CELL("address",G234), "\$([A-Z]+)\$[0-9]+"))),_xlfn.REGEXEXTRACT(CELL("address",G234), "\$([A-Z]+)\$[0-9]+"))</f>
        <v/>
      </c>
      <c r="H234" s="7" t="str" cm="1">
        <f t="array" aca="1" ref="H234" ca="1">IFERROR(IF(OR('Raw Data'!H234="",LEN(TRIM('Raw Data'!H234))=0),"",IF(AND(ISNUMBER('Raw Data'!H234), IFERROR('Raw Data'!H234 = ROUND('Raw Data'!H234, 2),FALSE)),"",_xlfn.REGEXEXTRACT(CELL("address",H234), "\$([A-Z]+)\$[0-9]+"))),_xlfn.REGEXEXTRACT(CELL("address",H234), "\$([A-Z]+)\$[0-9]+"))</f>
        <v/>
      </c>
      <c r="I234" s="7" t="str" cm="1">
        <f t="array" aca="1" ref="I234" ca="1">IFERROR(IF(OR('Raw Data'!I234="",LEN(TRIM('Raw Data'!I234))=0),"",IF(AND(ISNUMBER('Raw Data'!I234), IFERROR('Raw Data'!I234 = ROUND('Raw Data'!I234, 2),FALSE)),"",_xlfn.REGEXEXTRACT(CELL("address",I234), "\$([A-Z]+)\$[0-9]+"))),_xlfn.REGEXEXTRACT(CELL("address",I234), "\$([A-Z]+)\$[0-9]+"))</f>
        <v/>
      </c>
      <c r="J234" s="7" t="str" cm="1">
        <f t="array" aca="1" ref="J234" ca="1">IFERROR(IF(OR('Raw Data'!J234="",LEN(TRIM('Raw Data'!J234))=0),"",IF(AND(ISNUMBER('Raw Data'!J234), IFERROR('Raw Data'!J234 = ROUND('Raw Data'!J234, 2),FALSE)),"",_xlfn.REGEXEXTRACT(CELL("address",J234), "\$([A-Z]+)\$[0-9]+"))),_xlfn.REGEXEXTRACT(CELL("address",J234), "\$([A-Z]+)\$[0-9]+"))</f>
        <v/>
      </c>
      <c r="K234" s="7" t="str" cm="1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7" t="str" cm="1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7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7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7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7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 cm="1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7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7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7" t="str" cm="1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7" t="str" cm="1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  <c r="Z234" s="7" t="str" cm="1">
        <f t="array" aca="1" ref="Z234" ca="1">IFERROR(IF(OR('Raw Data'!Z234="",LEN(TRIM('Raw Data'!Z234))=0),"",IF(AND(ISNUMBER('Raw Data'!Z234), IFERROR('Raw Data'!Z234 = ROUND('Raw Data'!Z234, 2),FALSE)),"",_xlfn.REGEXEXTRACT(CELL("address",Z234), "\$([A-Z]+)\$[0-9]+"))),_xlfn.REGEXEXTRACT(CELL("address",Z234), "\$([A-Z]+)\$[0-9]+"))</f>
        <v/>
      </c>
      <c r="AA234" s="7" t="str" cm="1">
        <f t="array" aca="1" ref="AA234" ca="1">IFERROR(IF(OR('Raw Data'!AA234="",LEN(TRIM('Raw Data'!AA234))=0),"",IF(AND(ISNUMBER('Raw Data'!AA234), IFERROR('Raw Data'!AA234 = ROUND('Raw Data'!AA234, 2),FALSE)),"",_xlfn.REGEXEXTRACT(CELL("address",AA234), "\$([A-Z]+)\$[0-9]+"))),_xlfn.REGEXEXTRACT(CELL("address",AA234), "\$([A-Z]+)\$[0-9]+"))</f>
        <v/>
      </c>
      <c r="AB234" s="7" t="str" cm="1">
        <f t="array" aca="1" ref="AB234" ca="1">IFERROR(IF(OR('Raw Data'!AB234="",LEN(TRIM('Raw Data'!AB234))=0),"",IF(AND(ISNUMBER('Raw Data'!AB234), IFERROR('Raw Data'!AB234 = ROUND('Raw Data'!AB234, 2),FALSE)),"",_xlfn.REGEXEXTRACT(CELL("address",AB234), "\$([A-Z]+)\$[0-9]+"))),_xlfn.REGEXEXTRACT(CELL("address",AB234), "\$([A-Z]+)\$[0-9]+"))</f>
        <v/>
      </c>
      <c r="AC234" s="7" t="str" cm="1">
        <f t="array" aca="1" ref="AC234" ca="1">IFERROR(IF(OR('Raw Data'!AC234="",LEN(TRIM('Raw Data'!AC234))=0),"",IF(AND(ISNUMBER('Raw Data'!AC234), IFERROR('Raw Data'!AC234 = ROUND('Raw Data'!AC234, 2),FALSE)),"",_xlfn.REGEXEXTRACT(CELL("address",AC234), "\$([A-Z]+)\$[0-9]+"))),_xlfn.REGEXEXTRACT(CELL("address",AC234), "\$([A-Z]+)\$[0-9]+"))</f>
        <v/>
      </c>
      <c r="AD234" s="7" t="str" cm="1">
        <f t="array" aca="1" ref="AD234" ca="1">IFERROR(IF(OR('Raw Data'!AD234="",LEN(TRIM('Raw Data'!AD234))=0),"",IF(AND(ISNUMBER('Raw Data'!AD234), IFERROR('Raw Data'!AD234 = ROUND('Raw Data'!AD234, 2),FALSE)),"",_xlfn.REGEXEXTRACT(CELL("address",AD234), "\$([A-Z]+)\$[0-9]+"))),_xlfn.REGEXEXTRACT(CELL("address",AD234), "\$([A-Z]+)\$[0-9]+"))</f>
        <v/>
      </c>
      <c r="AE234" s="7" t="str" cm="1">
        <f t="array" aca="1" ref="AE234" ca="1">IFERROR(IF(OR('Raw Data'!AE234="",LEN(TRIM('Raw Data'!AE234))=0),"",IF(AND(ISNUMBER('Raw Data'!AE234), IFERROR('Raw Data'!AE234 = ROUND('Raw Data'!AE234, 2),FALSE)),"",_xlfn.REGEXEXTRACT(CELL("address",AE234), "\$([A-Z]+)\$[0-9]+"))),_xlfn.REGEXEXTRACT(CELL("address",AE234), "\$([A-Z]+)\$[0-9]+"))</f>
        <v/>
      </c>
      <c r="AF234" s="7" t="str" cm="1">
        <f t="array" aca="1" ref="AF234" ca="1">IFERROR(IF(OR('Raw Data'!AF234="",LEN(TRIM('Raw Data'!AF234))=0),"",IF(AND(ISNUMBER('Raw Data'!AF234), IFERROR('Raw Data'!AF234 = ROUND('Raw Data'!AF234, 2),FALSE)),"",_xlfn.REGEXEXTRACT(CELL("address",AF234), "\$([A-Z]+)\$[0-9]+"))),_xlfn.REGEXEXTRACT(CELL("address",AF234), "\$([A-Z]+)\$[0-9]+"))</f>
        <v/>
      </c>
      <c r="AG234" s="7" t="str" cm="1">
        <f t="array" aca="1" ref="AG234" ca="1">IFERROR(IF(OR('Raw Data'!AG234="",LEN(TRIM('Raw Data'!AG234))=0),"",IF(AND(ISNUMBER('Raw Data'!AG234), IFERROR('Raw Data'!AG234 = ROUND('Raw Data'!AG234, 2),FALSE)),"",_xlfn.REGEXEXTRACT(CELL("address",AG234), "\$([A-Z]+)\$[0-9]+"))),_xlfn.REGEXEXTRACT(CELL("address",AG234), "\$([A-Z]+)\$[0-9]+"))</f>
        <v/>
      </c>
      <c r="AH234" s="7" t="str" cm="1">
        <f t="array" aca="1" ref="AH234" ca="1">IFERROR(IF(OR('Raw Data'!AH234="",LEN(TRIM('Raw Data'!AH234))=0),"",IF(AND(ISNUMBER('Raw Data'!AH234), IFERROR('Raw Data'!AH234 = ROUND('Raw Data'!AH234, 2),FALSE)),"",_xlfn.REGEXEXTRACT(CELL("address",AH234), "\$([A-Z]+)\$[0-9]+"))),_xlfn.REGEXEXTRACT(CELL("address",AH234), "\$([A-Z]+)\$[0-9]+"))</f>
        <v/>
      </c>
      <c r="AI234" s="7" t="str" cm="1">
        <f t="array" aca="1" ref="AI234" ca="1">IFERROR(IF(OR('Raw Data'!AI234="",LEN(TRIM('Raw Data'!AI234))=0),"",IF(AND(ISNUMBER('Raw Data'!AI234), IFERROR('Raw Data'!AI234 = ROUND('Raw Data'!AI234, 2),FALSE)),"",_xlfn.REGEXEXTRACT(CELL("address",AI234), "\$([A-Z]+)\$[0-9]+"))),_xlfn.REGEXEXTRACT(CELL("address",AI234), "\$([A-Z]+)\$[0-9]+"))</f>
        <v/>
      </c>
      <c r="AJ234" s="7" t="str" cm="1">
        <f t="array" aca="1" ref="AJ234" ca="1">IFERROR(IF(OR('Raw Data'!AJ234="",LEN(TRIM('Raw Data'!AJ234))=0),"",IF(AND(ISNUMBER('Raw Data'!AJ234), IFERROR('Raw Data'!AJ234 = ROUND('Raw Data'!AJ234, 2),FALSE)),"",_xlfn.REGEXEXTRACT(CELL("address",AJ234), "\$([A-Z]+)\$[0-9]+"))),_xlfn.REGEXEXTRACT(CELL("address",AJ234), "\$([A-Z]+)\$[0-9]+"))</f>
        <v/>
      </c>
    </row>
    <row r="235" spans="2:36" x14ac:dyDescent="0.25">
      <c r="B235" s="7" t="str" cm="1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20,LEN('Raw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Data'!D235))=0),"",IF(AND(ISNUMBER('Raw Data'!D235),'Raw Data'!D235&gt;=Configuration!$D$2),"",_xlfn.REGEXEXTRACT(CELL("address",'Raw Data'!D235),"\$([A-Z]+)\$[0-9]+"))),_xlfn.REGEXEXTRACT(CELL("address",D235), "\$([A-Z]+)\$[0-9]+"))</f>
        <v/>
      </c>
      <c r="E235" s="7" t="str" cm="1">
        <f t="array" aca="1" ref="E235" ca="1">IFERROR(IF(OR('Raw Data'!E235="",LEN(TRIM('Raw Data'!E235))=0),"",IF(AND(ISNUMBER('Raw Data'!E235), IFERROR('Raw Data'!E235 = ROUND('Raw Data'!E235, 2),FALSE)),"",_xlfn.REGEXEXTRACT(CELL("address",E235), "\$([A-Z]+)\$[0-9]+"))),_xlfn.REGEXEXTRACT(CELL("address",E235), "\$([A-Z]+)\$[0-9]+"))</f>
        <v/>
      </c>
      <c r="F235" s="7" t="str" cm="1">
        <f t="array" aca="1" ref="F235" ca="1">IFERROR(IF(OR('Raw Data'!F235="",LEN(TRIM('Raw Data'!F235))=0),"",IF(AND(ISNUMBER('Raw Data'!F235), IFERROR('Raw Data'!F235 = ROUND('Raw Data'!F235, 2),FALSE)),"",_xlfn.REGEXEXTRACT(CELL("address",F235), "\$([A-Z]+)\$[0-9]+"))),_xlfn.REGEXEXTRACT(CELL("address",F235), "\$([A-Z]+)\$[0-9]+"))</f>
        <v/>
      </c>
      <c r="G235" s="7" t="str" cm="1">
        <f t="array" aca="1" ref="G235" ca="1">IFERROR(IF(OR('Raw Data'!G235="",LEN(TRIM('Raw Data'!G235))=0),"",IF(AND(ISNUMBER('Raw Data'!G235), IFERROR('Raw Data'!G235 = ROUND('Raw Data'!G235, 2),FALSE)),"",_xlfn.REGEXEXTRACT(CELL("address",G235), "\$([A-Z]+)\$[0-9]+"))),_xlfn.REGEXEXTRACT(CELL("address",G235), "\$([A-Z]+)\$[0-9]+"))</f>
        <v/>
      </c>
      <c r="H235" s="7" t="str" cm="1">
        <f t="array" aca="1" ref="H235" ca="1">IFERROR(IF(OR('Raw Data'!H235="",LEN(TRIM('Raw Data'!H235))=0),"",IF(AND(ISNUMBER('Raw Data'!H235), IFERROR('Raw Data'!H235 = ROUND('Raw Data'!H235, 2),FALSE)),"",_xlfn.REGEXEXTRACT(CELL("address",H235), "\$([A-Z]+)\$[0-9]+"))),_xlfn.REGEXEXTRACT(CELL("address",H235), "\$([A-Z]+)\$[0-9]+"))</f>
        <v/>
      </c>
      <c r="I235" s="7" t="str" cm="1">
        <f t="array" aca="1" ref="I235" ca="1">IFERROR(IF(OR('Raw Data'!I235="",LEN(TRIM('Raw Data'!I235))=0),"",IF(AND(ISNUMBER('Raw Data'!I235), IFERROR('Raw Data'!I235 = ROUND('Raw Data'!I235, 2),FALSE)),"",_xlfn.REGEXEXTRACT(CELL("address",I235), "\$([A-Z]+)\$[0-9]+"))),_xlfn.REGEXEXTRACT(CELL("address",I235), "\$([A-Z]+)\$[0-9]+"))</f>
        <v/>
      </c>
      <c r="J235" s="7" t="str" cm="1">
        <f t="array" aca="1" ref="J235" ca="1">IFERROR(IF(OR('Raw Data'!J235="",LEN(TRIM('Raw Data'!J235))=0),"",IF(AND(ISNUMBER('Raw Data'!J235), IFERROR('Raw Data'!J235 = ROUND('Raw Data'!J235, 2),FALSE)),"",_xlfn.REGEXEXTRACT(CELL("address",J235), "\$([A-Z]+)\$[0-9]+"))),_xlfn.REGEXEXTRACT(CELL("address",J235), "\$([A-Z]+)\$[0-9]+"))</f>
        <v/>
      </c>
      <c r="K235" s="7" t="str" cm="1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7" t="str" cm="1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7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7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7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7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 cm="1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7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7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7" t="str" cm="1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7" t="str" cm="1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  <c r="Z235" s="7" t="str" cm="1">
        <f t="array" aca="1" ref="Z235" ca="1">IFERROR(IF(OR('Raw Data'!Z235="",LEN(TRIM('Raw Data'!Z235))=0),"",IF(AND(ISNUMBER('Raw Data'!Z235), IFERROR('Raw Data'!Z235 = ROUND('Raw Data'!Z235, 2),FALSE)),"",_xlfn.REGEXEXTRACT(CELL("address",Z235), "\$([A-Z]+)\$[0-9]+"))),_xlfn.REGEXEXTRACT(CELL("address",Z235), "\$([A-Z]+)\$[0-9]+"))</f>
        <v/>
      </c>
      <c r="AA235" s="7" t="str" cm="1">
        <f t="array" aca="1" ref="AA235" ca="1">IFERROR(IF(OR('Raw Data'!AA235="",LEN(TRIM('Raw Data'!AA235))=0),"",IF(AND(ISNUMBER('Raw Data'!AA235), IFERROR('Raw Data'!AA235 = ROUND('Raw Data'!AA235, 2),FALSE)),"",_xlfn.REGEXEXTRACT(CELL("address",AA235), "\$([A-Z]+)\$[0-9]+"))),_xlfn.REGEXEXTRACT(CELL("address",AA235), "\$([A-Z]+)\$[0-9]+"))</f>
        <v/>
      </c>
      <c r="AB235" s="7" t="str" cm="1">
        <f t="array" aca="1" ref="AB235" ca="1">IFERROR(IF(OR('Raw Data'!AB235="",LEN(TRIM('Raw Data'!AB235))=0),"",IF(AND(ISNUMBER('Raw Data'!AB235), IFERROR('Raw Data'!AB235 = ROUND('Raw Data'!AB235, 2),FALSE)),"",_xlfn.REGEXEXTRACT(CELL("address",AB235), "\$([A-Z]+)\$[0-9]+"))),_xlfn.REGEXEXTRACT(CELL("address",AB235), "\$([A-Z]+)\$[0-9]+"))</f>
        <v/>
      </c>
      <c r="AC235" s="7" t="str" cm="1">
        <f t="array" aca="1" ref="AC235" ca="1">IFERROR(IF(OR('Raw Data'!AC235="",LEN(TRIM('Raw Data'!AC235))=0),"",IF(AND(ISNUMBER('Raw Data'!AC235), IFERROR('Raw Data'!AC235 = ROUND('Raw Data'!AC235, 2),FALSE)),"",_xlfn.REGEXEXTRACT(CELL("address",AC235), "\$([A-Z]+)\$[0-9]+"))),_xlfn.REGEXEXTRACT(CELL("address",AC235), "\$([A-Z]+)\$[0-9]+"))</f>
        <v/>
      </c>
      <c r="AD235" s="7" t="str" cm="1">
        <f t="array" aca="1" ref="AD235" ca="1">IFERROR(IF(OR('Raw Data'!AD235="",LEN(TRIM('Raw Data'!AD235))=0),"",IF(AND(ISNUMBER('Raw Data'!AD235), IFERROR('Raw Data'!AD235 = ROUND('Raw Data'!AD235, 2),FALSE)),"",_xlfn.REGEXEXTRACT(CELL("address",AD235), "\$([A-Z]+)\$[0-9]+"))),_xlfn.REGEXEXTRACT(CELL("address",AD235), "\$([A-Z]+)\$[0-9]+"))</f>
        <v/>
      </c>
      <c r="AE235" s="7" t="str" cm="1">
        <f t="array" aca="1" ref="AE235" ca="1">IFERROR(IF(OR('Raw Data'!AE235="",LEN(TRIM('Raw Data'!AE235))=0),"",IF(AND(ISNUMBER('Raw Data'!AE235), IFERROR('Raw Data'!AE235 = ROUND('Raw Data'!AE235, 2),FALSE)),"",_xlfn.REGEXEXTRACT(CELL("address",AE235), "\$([A-Z]+)\$[0-9]+"))),_xlfn.REGEXEXTRACT(CELL("address",AE235), "\$([A-Z]+)\$[0-9]+"))</f>
        <v/>
      </c>
      <c r="AF235" s="7" t="str" cm="1">
        <f t="array" aca="1" ref="AF235" ca="1">IFERROR(IF(OR('Raw Data'!AF235="",LEN(TRIM('Raw Data'!AF235))=0),"",IF(AND(ISNUMBER('Raw Data'!AF235), IFERROR('Raw Data'!AF235 = ROUND('Raw Data'!AF235, 2),FALSE)),"",_xlfn.REGEXEXTRACT(CELL("address",AF235), "\$([A-Z]+)\$[0-9]+"))),_xlfn.REGEXEXTRACT(CELL("address",AF235), "\$([A-Z]+)\$[0-9]+"))</f>
        <v/>
      </c>
      <c r="AG235" s="7" t="str" cm="1">
        <f t="array" aca="1" ref="AG235" ca="1">IFERROR(IF(OR('Raw Data'!AG235="",LEN(TRIM('Raw Data'!AG235))=0),"",IF(AND(ISNUMBER('Raw Data'!AG235), IFERROR('Raw Data'!AG235 = ROUND('Raw Data'!AG235, 2),FALSE)),"",_xlfn.REGEXEXTRACT(CELL("address",AG235), "\$([A-Z]+)\$[0-9]+"))),_xlfn.REGEXEXTRACT(CELL("address",AG235), "\$([A-Z]+)\$[0-9]+"))</f>
        <v/>
      </c>
      <c r="AH235" s="7" t="str" cm="1">
        <f t="array" aca="1" ref="AH235" ca="1">IFERROR(IF(OR('Raw Data'!AH235="",LEN(TRIM('Raw Data'!AH235))=0),"",IF(AND(ISNUMBER('Raw Data'!AH235), IFERROR('Raw Data'!AH235 = ROUND('Raw Data'!AH235, 2),FALSE)),"",_xlfn.REGEXEXTRACT(CELL("address",AH235), "\$([A-Z]+)\$[0-9]+"))),_xlfn.REGEXEXTRACT(CELL("address",AH235), "\$([A-Z]+)\$[0-9]+"))</f>
        <v/>
      </c>
      <c r="AI235" s="7" t="str" cm="1">
        <f t="array" aca="1" ref="AI235" ca="1">IFERROR(IF(OR('Raw Data'!AI235="",LEN(TRIM('Raw Data'!AI235))=0),"",IF(AND(ISNUMBER('Raw Data'!AI235), IFERROR('Raw Data'!AI235 = ROUND('Raw Data'!AI235, 2),FALSE)),"",_xlfn.REGEXEXTRACT(CELL("address",AI235), "\$([A-Z]+)\$[0-9]+"))),_xlfn.REGEXEXTRACT(CELL("address",AI235), "\$([A-Z]+)\$[0-9]+"))</f>
        <v/>
      </c>
      <c r="AJ235" s="7" t="str" cm="1">
        <f t="array" aca="1" ref="AJ235" ca="1">IFERROR(IF(OR('Raw Data'!AJ235="",LEN(TRIM('Raw Data'!AJ235))=0),"",IF(AND(ISNUMBER('Raw Data'!AJ235), IFERROR('Raw Data'!AJ235 = ROUND('Raw Data'!AJ235, 2),FALSE)),"",_xlfn.REGEXEXTRACT(CELL("address",AJ235), "\$([A-Z]+)\$[0-9]+"))),_xlfn.REGEXEXTRACT(CELL("address",AJ235), "\$([A-Z]+)\$[0-9]+"))</f>
        <v/>
      </c>
    </row>
    <row r="236" spans="2:36" x14ac:dyDescent="0.25">
      <c r="B236" s="7" t="str" cm="1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20,LEN('Raw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Data'!D236))=0),"",IF(AND(ISNUMBER('Raw Data'!D236),'Raw Data'!D236&gt;=Configuration!$D$2),"",_xlfn.REGEXEXTRACT(CELL("address",'Raw Data'!D236),"\$([A-Z]+)\$[0-9]+"))),_xlfn.REGEXEXTRACT(CELL("address",D236), "\$([A-Z]+)\$[0-9]+"))</f>
        <v/>
      </c>
      <c r="E236" s="7" t="str" cm="1">
        <f t="array" aca="1" ref="E236" ca="1">IFERROR(IF(OR('Raw Data'!E236="",LEN(TRIM('Raw Data'!E236))=0),"",IF(AND(ISNUMBER('Raw Data'!E236), IFERROR('Raw Data'!E236 = ROUND('Raw Data'!E236, 2),FALSE)),"",_xlfn.REGEXEXTRACT(CELL("address",E236), "\$([A-Z]+)\$[0-9]+"))),_xlfn.REGEXEXTRACT(CELL("address",E236), "\$([A-Z]+)\$[0-9]+"))</f>
        <v/>
      </c>
      <c r="F236" s="7" t="str" cm="1">
        <f t="array" aca="1" ref="F236" ca="1">IFERROR(IF(OR('Raw Data'!F236="",LEN(TRIM('Raw Data'!F236))=0),"",IF(AND(ISNUMBER('Raw Data'!F236), IFERROR('Raw Data'!F236 = ROUND('Raw Data'!F236, 2),FALSE)),"",_xlfn.REGEXEXTRACT(CELL("address",F236), "\$([A-Z]+)\$[0-9]+"))),_xlfn.REGEXEXTRACT(CELL("address",F236), "\$([A-Z]+)\$[0-9]+"))</f>
        <v/>
      </c>
      <c r="G236" s="7" t="str" cm="1">
        <f t="array" aca="1" ref="G236" ca="1">IFERROR(IF(OR('Raw Data'!G236="",LEN(TRIM('Raw Data'!G236))=0),"",IF(AND(ISNUMBER('Raw Data'!G236), IFERROR('Raw Data'!G236 = ROUND('Raw Data'!G236, 2),FALSE)),"",_xlfn.REGEXEXTRACT(CELL("address",G236), "\$([A-Z]+)\$[0-9]+"))),_xlfn.REGEXEXTRACT(CELL("address",G236), "\$([A-Z]+)\$[0-9]+"))</f>
        <v/>
      </c>
      <c r="H236" s="7" t="str" cm="1">
        <f t="array" aca="1" ref="H236" ca="1">IFERROR(IF(OR('Raw Data'!H236="",LEN(TRIM('Raw Data'!H236))=0),"",IF(AND(ISNUMBER('Raw Data'!H236), IFERROR('Raw Data'!H236 = ROUND('Raw Data'!H236, 2),FALSE)),"",_xlfn.REGEXEXTRACT(CELL("address",H236), "\$([A-Z]+)\$[0-9]+"))),_xlfn.REGEXEXTRACT(CELL("address",H236), "\$([A-Z]+)\$[0-9]+"))</f>
        <v/>
      </c>
      <c r="I236" s="7" t="str" cm="1">
        <f t="array" aca="1" ref="I236" ca="1">IFERROR(IF(OR('Raw Data'!I236="",LEN(TRIM('Raw Data'!I236))=0),"",IF(AND(ISNUMBER('Raw Data'!I236), IFERROR('Raw Data'!I236 = ROUND('Raw Data'!I236, 2),FALSE)),"",_xlfn.REGEXEXTRACT(CELL("address",I236), "\$([A-Z]+)\$[0-9]+"))),_xlfn.REGEXEXTRACT(CELL("address",I236), "\$([A-Z]+)\$[0-9]+"))</f>
        <v/>
      </c>
      <c r="J236" s="7" t="str" cm="1">
        <f t="array" aca="1" ref="J236" ca="1">IFERROR(IF(OR('Raw Data'!J236="",LEN(TRIM('Raw Data'!J236))=0),"",IF(AND(ISNUMBER('Raw Data'!J236), IFERROR('Raw Data'!J236 = ROUND('Raw Data'!J236, 2),FALSE)),"",_xlfn.REGEXEXTRACT(CELL("address",J236), "\$([A-Z]+)\$[0-9]+"))),_xlfn.REGEXEXTRACT(CELL("address",J236), "\$([A-Z]+)\$[0-9]+"))</f>
        <v/>
      </c>
      <c r="K236" s="7" t="str" cm="1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7" t="str" cm="1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7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7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7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7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 cm="1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7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7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7" t="str" cm="1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7" t="str" cm="1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  <c r="Z236" s="7" t="str" cm="1">
        <f t="array" aca="1" ref="Z236" ca="1">IFERROR(IF(OR('Raw Data'!Z236="",LEN(TRIM('Raw Data'!Z236))=0),"",IF(AND(ISNUMBER('Raw Data'!Z236), IFERROR('Raw Data'!Z236 = ROUND('Raw Data'!Z236, 2),FALSE)),"",_xlfn.REGEXEXTRACT(CELL("address",Z236), "\$([A-Z]+)\$[0-9]+"))),_xlfn.REGEXEXTRACT(CELL("address",Z236), "\$([A-Z]+)\$[0-9]+"))</f>
        <v/>
      </c>
      <c r="AA236" s="7" t="str" cm="1">
        <f t="array" aca="1" ref="AA236" ca="1">IFERROR(IF(OR('Raw Data'!AA236="",LEN(TRIM('Raw Data'!AA236))=0),"",IF(AND(ISNUMBER('Raw Data'!AA236), IFERROR('Raw Data'!AA236 = ROUND('Raw Data'!AA236, 2),FALSE)),"",_xlfn.REGEXEXTRACT(CELL("address",AA236), "\$([A-Z]+)\$[0-9]+"))),_xlfn.REGEXEXTRACT(CELL("address",AA236), "\$([A-Z]+)\$[0-9]+"))</f>
        <v/>
      </c>
      <c r="AB236" s="7" t="str" cm="1">
        <f t="array" aca="1" ref="AB236" ca="1">IFERROR(IF(OR('Raw Data'!AB236="",LEN(TRIM('Raw Data'!AB236))=0),"",IF(AND(ISNUMBER('Raw Data'!AB236), IFERROR('Raw Data'!AB236 = ROUND('Raw Data'!AB236, 2),FALSE)),"",_xlfn.REGEXEXTRACT(CELL("address",AB236), "\$([A-Z]+)\$[0-9]+"))),_xlfn.REGEXEXTRACT(CELL("address",AB236), "\$([A-Z]+)\$[0-9]+"))</f>
        <v/>
      </c>
      <c r="AC236" s="7" t="str" cm="1">
        <f t="array" aca="1" ref="AC236" ca="1">IFERROR(IF(OR('Raw Data'!AC236="",LEN(TRIM('Raw Data'!AC236))=0),"",IF(AND(ISNUMBER('Raw Data'!AC236), IFERROR('Raw Data'!AC236 = ROUND('Raw Data'!AC236, 2),FALSE)),"",_xlfn.REGEXEXTRACT(CELL("address",AC236), "\$([A-Z]+)\$[0-9]+"))),_xlfn.REGEXEXTRACT(CELL("address",AC236), "\$([A-Z]+)\$[0-9]+"))</f>
        <v/>
      </c>
      <c r="AD236" s="7" t="str" cm="1">
        <f t="array" aca="1" ref="AD236" ca="1">IFERROR(IF(OR('Raw Data'!AD236="",LEN(TRIM('Raw Data'!AD236))=0),"",IF(AND(ISNUMBER('Raw Data'!AD236), IFERROR('Raw Data'!AD236 = ROUND('Raw Data'!AD236, 2),FALSE)),"",_xlfn.REGEXEXTRACT(CELL("address",AD236), "\$([A-Z]+)\$[0-9]+"))),_xlfn.REGEXEXTRACT(CELL("address",AD236), "\$([A-Z]+)\$[0-9]+"))</f>
        <v/>
      </c>
      <c r="AE236" s="7" t="str" cm="1">
        <f t="array" aca="1" ref="AE236" ca="1">IFERROR(IF(OR('Raw Data'!AE236="",LEN(TRIM('Raw Data'!AE236))=0),"",IF(AND(ISNUMBER('Raw Data'!AE236), IFERROR('Raw Data'!AE236 = ROUND('Raw Data'!AE236, 2),FALSE)),"",_xlfn.REGEXEXTRACT(CELL("address",AE236), "\$([A-Z]+)\$[0-9]+"))),_xlfn.REGEXEXTRACT(CELL("address",AE236), "\$([A-Z]+)\$[0-9]+"))</f>
        <v/>
      </c>
      <c r="AF236" s="7" t="str" cm="1">
        <f t="array" aca="1" ref="AF236" ca="1">IFERROR(IF(OR('Raw Data'!AF236="",LEN(TRIM('Raw Data'!AF236))=0),"",IF(AND(ISNUMBER('Raw Data'!AF236), IFERROR('Raw Data'!AF236 = ROUND('Raw Data'!AF236, 2),FALSE)),"",_xlfn.REGEXEXTRACT(CELL("address",AF236), "\$([A-Z]+)\$[0-9]+"))),_xlfn.REGEXEXTRACT(CELL("address",AF236), "\$([A-Z]+)\$[0-9]+"))</f>
        <v/>
      </c>
      <c r="AG236" s="7" t="str" cm="1">
        <f t="array" aca="1" ref="AG236" ca="1">IFERROR(IF(OR('Raw Data'!AG236="",LEN(TRIM('Raw Data'!AG236))=0),"",IF(AND(ISNUMBER('Raw Data'!AG236), IFERROR('Raw Data'!AG236 = ROUND('Raw Data'!AG236, 2),FALSE)),"",_xlfn.REGEXEXTRACT(CELL("address",AG236), "\$([A-Z]+)\$[0-9]+"))),_xlfn.REGEXEXTRACT(CELL("address",AG236), "\$([A-Z]+)\$[0-9]+"))</f>
        <v/>
      </c>
      <c r="AH236" s="7" t="str" cm="1">
        <f t="array" aca="1" ref="AH236" ca="1">IFERROR(IF(OR('Raw Data'!AH236="",LEN(TRIM('Raw Data'!AH236))=0),"",IF(AND(ISNUMBER('Raw Data'!AH236), IFERROR('Raw Data'!AH236 = ROUND('Raw Data'!AH236, 2),FALSE)),"",_xlfn.REGEXEXTRACT(CELL("address",AH236), "\$([A-Z]+)\$[0-9]+"))),_xlfn.REGEXEXTRACT(CELL("address",AH236), "\$([A-Z]+)\$[0-9]+"))</f>
        <v/>
      </c>
      <c r="AI236" s="7" t="str" cm="1">
        <f t="array" aca="1" ref="AI236" ca="1">IFERROR(IF(OR('Raw Data'!AI236="",LEN(TRIM('Raw Data'!AI236))=0),"",IF(AND(ISNUMBER('Raw Data'!AI236), IFERROR('Raw Data'!AI236 = ROUND('Raw Data'!AI236, 2),FALSE)),"",_xlfn.REGEXEXTRACT(CELL("address",AI236), "\$([A-Z]+)\$[0-9]+"))),_xlfn.REGEXEXTRACT(CELL("address",AI236), "\$([A-Z]+)\$[0-9]+"))</f>
        <v/>
      </c>
      <c r="AJ236" s="7" t="str" cm="1">
        <f t="array" aca="1" ref="AJ236" ca="1">IFERROR(IF(OR('Raw Data'!AJ236="",LEN(TRIM('Raw Data'!AJ236))=0),"",IF(AND(ISNUMBER('Raw Data'!AJ236), IFERROR('Raw Data'!AJ236 = ROUND('Raw Data'!AJ236, 2),FALSE)),"",_xlfn.REGEXEXTRACT(CELL("address",AJ236), "\$([A-Z]+)\$[0-9]+"))),_xlfn.REGEXEXTRACT(CELL("address",AJ236), "\$([A-Z]+)\$[0-9]+"))</f>
        <v/>
      </c>
    </row>
    <row r="237" spans="2:36" x14ac:dyDescent="0.25">
      <c r="B237" s="7" t="str" cm="1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20,LEN('Raw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Data'!D237))=0),"",IF(AND(ISNUMBER('Raw Data'!D237),'Raw Data'!D237&gt;=Configuration!$D$2),"",_xlfn.REGEXEXTRACT(CELL("address",'Raw Data'!D237),"\$([A-Z]+)\$[0-9]+"))),_xlfn.REGEXEXTRACT(CELL("address",D237), "\$([A-Z]+)\$[0-9]+"))</f>
        <v/>
      </c>
      <c r="E237" s="7" t="str" cm="1">
        <f t="array" aca="1" ref="E237" ca="1">IFERROR(IF(OR('Raw Data'!E237="",LEN(TRIM('Raw Data'!E237))=0),"",IF(AND(ISNUMBER('Raw Data'!E237), IFERROR('Raw Data'!E237 = ROUND('Raw Data'!E237, 2),FALSE)),"",_xlfn.REGEXEXTRACT(CELL("address",E237), "\$([A-Z]+)\$[0-9]+"))),_xlfn.REGEXEXTRACT(CELL("address",E237), "\$([A-Z]+)\$[0-9]+"))</f>
        <v/>
      </c>
      <c r="F237" s="7" t="str" cm="1">
        <f t="array" aca="1" ref="F237" ca="1">IFERROR(IF(OR('Raw Data'!F237="",LEN(TRIM('Raw Data'!F237))=0),"",IF(AND(ISNUMBER('Raw Data'!F237), IFERROR('Raw Data'!F237 = ROUND('Raw Data'!F237, 2),FALSE)),"",_xlfn.REGEXEXTRACT(CELL("address",F237), "\$([A-Z]+)\$[0-9]+"))),_xlfn.REGEXEXTRACT(CELL("address",F237), "\$([A-Z]+)\$[0-9]+"))</f>
        <v/>
      </c>
      <c r="G237" s="7" t="str" cm="1">
        <f t="array" aca="1" ref="G237" ca="1">IFERROR(IF(OR('Raw Data'!G237="",LEN(TRIM('Raw Data'!G237))=0),"",IF(AND(ISNUMBER('Raw Data'!G237), IFERROR('Raw Data'!G237 = ROUND('Raw Data'!G237, 2),FALSE)),"",_xlfn.REGEXEXTRACT(CELL("address",G237), "\$([A-Z]+)\$[0-9]+"))),_xlfn.REGEXEXTRACT(CELL("address",G237), "\$([A-Z]+)\$[0-9]+"))</f>
        <v/>
      </c>
      <c r="H237" s="7" t="str" cm="1">
        <f t="array" aca="1" ref="H237" ca="1">IFERROR(IF(OR('Raw Data'!H237="",LEN(TRIM('Raw Data'!H237))=0),"",IF(AND(ISNUMBER('Raw Data'!H237), IFERROR('Raw Data'!H237 = ROUND('Raw Data'!H237, 2),FALSE)),"",_xlfn.REGEXEXTRACT(CELL("address",H237), "\$([A-Z]+)\$[0-9]+"))),_xlfn.REGEXEXTRACT(CELL("address",H237), "\$([A-Z]+)\$[0-9]+"))</f>
        <v/>
      </c>
      <c r="I237" s="7" t="str" cm="1">
        <f t="array" aca="1" ref="I237" ca="1">IFERROR(IF(OR('Raw Data'!I237="",LEN(TRIM('Raw Data'!I237))=0),"",IF(AND(ISNUMBER('Raw Data'!I237), IFERROR('Raw Data'!I237 = ROUND('Raw Data'!I237, 2),FALSE)),"",_xlfn.REGEXEXTRACT(CELL("address",I237), "\$([A-Z]+)\$[0-9]+"))),_xlfn.REGEXEXTRACT(CELL("address",I237), "\$([A-Z]+)\$[0-9]+"))</f>
        <v/>
      </c>
      <c r="J237" s="7" t="str" cm="1">
        <f t="array" aca="1" ref="J237" ca="1">IFERROR(IF(OR('Raw Data'!J237="",LEN(TRIM('Raw Data'!J237))=0),"",IF(AND(ISNUMBER('Raw Data'!J237), IFERROR('Raw Data'!J237 = ROUND('Raw Data'!J237, 2),FALSE)),"",_xlfn.REGEXEXTRACT(CELL("address",J237), "\$([A-Z]+)\$[0-9]+"))),_xlfn.REGEXEXTRACT(CELL("address",J237), "\$([A-Z]+)\$[0-9]+"))</f>
        <v/>
      </c>
      <c r="K237" s="7" t="str" cm="1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7" t="str" cm="1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7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7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7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7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 cm="1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7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7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7" t="str" cm="1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7" t="str" cm="1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  <c r="Z237" s="7" t="str" cm="1">
        <f t="array" aca="1" ref="Z237" ca="1">IFERROR(IF(OR('Raw Data'!Z237="",LEN(TRIM('Raw Data'!Z237))=0),"",IF(AND(ISNUMBER('Raw Data'!Z237), IFERROR('Raw Data'!Z237 = ROUND('Raw Data'!Z237, 2),FALSE)),"",_xlfn.REGEXEXTRACT(CELL("address",Z237), "\$([A-Z]+)\$[0-9]+"))),_xlfn.REGEXEXTRACT(CELL("address",Z237), "\$([A-Z]+)\$[0-9]+"))</f>
        <v/>
      </c>
      <c r="AA237" s="7" t="str" cm="1">
        <f t="array" aca="1" ref="AA237" ca="1">IFERROR(IF(OR('Raw Data'!AA237="",LEN(TRIM('Raw Data'!AA237))=0),"",IF(AND(ISNUMBER('Raw Data'!AA237), IFERROR('Raw Data'!AA237 = ROUND('Raw Data'!AA237, 2),FALSE)),"",_xlfn.REGEXEXTRACT(CELL("address",AA237), "\$([A-Z]+)\$[0-9]+"))),_xlfn.REGEXEXTRACT(CELL("address",AA237), "\$([A-Z]+)\$[0-9]+"))</f>
        <v/>
      </c>
      <c r="AB237" s="7" t="str" cm="1">
        <f t="array" aca="1" ref="AB237" ca="1">IFERROR(IF(OR('Raw Data'!AB237="",LEN(TRIM('Raw Data'!AB237))=0),"",IF(AND(ISNUMBER('Raw Data'!AB237), IFERROR('Raw Data'!AB237 = ROUND('Raw Data'!AB237, 2),FALSE)),"",_xlfn.REGEXEXTRACT(CELL("address",AB237), "\$([A-Z]+)\$[0-9]+"))),_xlfn.REGEXEXTRACT(CELL("address",AB237), "\$([A-Z]+)\$[0-9]+"))</f>
        <v/>
      </c>
      <c r="AC237" s="7" t="str" cm="1">
        <f t="array" aca="1" ref="AC237" ca="1">IFERROR(IF(OR('Raw Data'!AC237="",LEN(TRIM('Raw Data'!AC237))=0),"",IF(AND(ISNUMBER('Raw Data'!AC237), IFERROR('Raw Data'!AC237 = ROUND('Raw Data'!AC237, 2),FALSE)),"",_xlfn.REGEXEXTRACT(CELL("address",AC237), "\$([A-Z]+)\$[0-9]+"))),_xlfn.REGEXEXTRACT(CELL("address",AC237), "\$([A-Z]+)\$[0-9]+"))</f>
        <v/>
      </c>
      <c r="AD237" s="7" t="str" cm="1">
        <f t="array" aca="1" ref="AD237" ca="1">IFERROR(IF(OR('Raw Data'!AD237="",LEN(TRIM('Raw Data'!AD237))=0),"",IF(AND(ISNUMBER('Raw Data'!AD237), IFERROR('Raw Data'!AD237 = ROUND('Raw Data'!AD237, 2),FALSE)),"",_xlfn.REGEXEXTRACT(CELL("address",AD237), "\$([A-Z]+)\$[0-9]+"))),_xlfn.REGEXEXTRACT(CELL("address",AD237), "\$([A-Z]+)\$[0-9]+"))</f>
        <v/>
      </c>
      <c r="AE237" s="7" t="str" cm="1">
        <f t="array" aca="1" ref="AE237" ca="1">IFERROR(IF(OR('Raw Data'!AE237="",LEN(TRIM('Raw Data'!AE237))=0),"",IF(AND(ISNUMBER('Raw Data'!AE237), IFERROR('Raw Data'!AE237 = ROUND('Raw Data'!AE237, 2),FALSE)),"",_xlfn.REGEXEXTRACT(CELL("address",AE237), "\$([A-Z]+)\$[0-9]+"))),_xlfn.REGEXEXTRACT(CELL("address",AE237), "\$([A-Z]+)\$[0-9]+"))</f>
        <v/>
      </c>
      <c r="AF237" s="7" t="str" cm="1">
        <f t="array" aca="1" ref="AF237" ca="1">IFERROR(IF(OR('Raw Data'!AF237="",LEN(TRIM('Raw Data'!AF237))=0),"",IF(AND(ISNUMBER('Raw Data'!AF237), IFERROR('Raw Data'!AF237 = ROUND('Raw Data'!AF237, 2),FALSE)),"",_xlfn.REGEXEXTRACT(CELL("address",AF237), "\$([A-Z]+)\$[0-9]+"))),_xlfn.REGEXEXTRACT(CELL("address",AF237), "\$([A-Z]+)\$[0-9]+"))</f>
        <v/>
      </c>
      <c r="AG237" s="7" t="str" cm="1">
        <f t="array" aca="1" ref="AG237" ca="1">IFERROR(IF(OR('Raw Data'!AG237="",LEN(TRIM('Raw Data'!AG237))=0),"",IF(AND(ISNUMBER('Raw Data'!AG237), IFERROR('Raw Data'!AG237 = ROUND('Raw Data'!AG237, 2),FALSE)),"",_xlfn.REGEXEXTRACT(CELL("address",AG237), "\$([A-Z]+)\$[0-9]+"))),_xlfn.REGEXEXTRACT(CELL("address",AG237), "\$([A-Z]+)\$[0-9]+"))</f>
        <v/>
      </c>
      <c r="AH237" s="7" t="str" cm="1">
        <f t="array" aca="1" ref="AH237" ca="1">IFERROR(IF(OR('Raw Data'!AH237="",LEN(TRIM('Raw Data'!AH237))=0),"",IF(AND(ISNUMBER('Raw Data'!AH237), IFERROR('Raw Data'!AH237 = ROUND('Raw Data'!AH237, 2),FALSE)),"",_xlfn.REGEXEXTRACT(CELL("address",AH237), "\$([A-Z]+)\$[0-9]+"))),_xlfn.REGEXEXTRACT(CELL("address",AH237), "\$([A-Z]+)\$[0-9]+"))</f>
        <v/>
      </c>
      <c r="AI237" s="7" t="str" cm="1">
        <f t="array" aca="1" ref="AI237" ca="1">IFERROR(IF(OR('Raw Data'!AI237="",LEN(TRIM('Raw Data'!AI237))=0),"",IF(AND(ISNUMBER('Raw Data'!AI237), IFERROR('Raw Data'!AI237 = ROUND('Raw Data'!AI237, 2),FALSE)),"",_xlfn.REGEXEXTRACT(CELL("address",AI237), "\$([A-Z]+)\$[0-9]+"))),_xlfn.REGEXEXTRACT(CELL("address",AI237), "\$([A-Z]+)\$[0-9]+"))</f>
        <v/>
      </c>
      <c r="AJ237" s="7" t="str" cm="1">
        <f t="array" aca="1" ref="AJ237" ca="1">IFERROR(IF(OR('Raw Data'!AJ237="",LEN(TRIM('Raw Data'!AJ237))=0),"",IF(AND(ISNUMBER('Raw Data'!AJ237), IFERROR('Raw Data'!AJ237 = ROUND('Raw Data'!AJ237, 2),FALSE)),"",_xlfn.REGEXEXTRACT(CELL("address",AJ237), "\$([A-Z]+)\$[0-9]+"))),_xlfn.REGEXEXTRACT(CELL("address",AJ237), "\$([A-Z]+)\$[0-9]+"))</f>
        <v/>
      </c>
    </row>
    <row r="238" spans="2:36" x14ac:dyDescent="0.25">
      <c r="B238" s="7" t="str" cm="1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20,LEN('Raw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Data'!D238))=0),"",IF(AND(ISNUMBER('Raw Data'!D238),'Raw Data'!D238&gt;=Configuration!$D$2),"",_xlfn.REGEXEXTRACT(CELL("address",'Raw Data'!D238),"\$([A-Z]+)\$[0-9]+"))),_xlfn.REGEXEXTRACT(CELL("address",D238), "\$([A-Z]+)\$[0-9]+"))</f>
        <v/>
      </c>
      <c r="E238" s="7" t="str" cm="1">
        <f t="array" aca="1" ref="E238" ca="1">IFERROR(IF(OR('Raw Data'!E238="",LEN(TRIM('Raw Data'!E238))=0),"",IF(AND(ISNUMBER('Raw Data'!E238), IFERROR('Raw Data'!E238 = ROUND('Raw Data'!E238, 2),FALSE)),"",_xlfn.REGEXEXTRACT(CELL("address",E238), "\$([A-Z]+)\$[0-9]+"))),_xlfn.REGEXEXTRACT(CELL("address",E238), "\$([A-Z]+)\$[0-9]+"))</f>
        <v/>
      </c>
      <c r="F238" s="7" t="str" cm="1">
        <f t="array" aca="1" ref="F238" ca="1">IFERROR(IF(OR('Raw Data'!F238="",LEN(TRIM('Raw Data'!F238))=0),"",IF(AND(ISNUMBER('Raw Data'!F238), IFERROR('Raw Data'!F238 = ROUND('Raw Data'!F238, 2),FALSE)),"",_xlfn.REGEXEXTRACT(CELL("address",F238), "\$([A-Z]+)\$[0-9]+"))),_xlfn.REGEXEXTRACT(CELL("address",F238), "\$([A-Z]+)\$[0-9]+"))</f>
        <v/>
      </c>
      <c r="G238" s="7" t="str" cm="1">
        <f t="array" aca="1" ref="G238" ca="1">IFERROR(IF(OR('Raw Data'!G238="",LEN(TRIM('Raw Data'!G238))=0),"",IF(AND(ISNUMBER('Raw Data'!G238), IFERROR('Raw Data'!G238 = ROUND('Raw Data'!G238, 2),FALSE)),"",_xlfn.REGEXEXTRACT(CELL("address",G238), "\$([A-Z]+)\$[0-9]+"))),_xlfn.REGEXEXTRACT(CELL("address",G238), "\$([A-Z]+)\$[0-9]+"))</f>
        <v/>
      </c>
      <c r="H238" s="7" t="str" cm="1">
        <f t="array" aca="1" ref="H238" ca="1">IFERROR(IF(OR('Raw Data'!H238="",LEN(TRIM('Raw Data'!H238))=0),"",IF(AND(ISNUMBER('Raw Data'!H238), IFERROR('Raw Data'!H238 = ROUND('Raw Data'!H238, 2),FALSE)),"",_xlfn.REGEXEXTRACT(CELL("address",H238), "\$([A-Z]+)\$[0-9]+"))),_xlfn.REGEXEXTRACT(CELL("address",H238), "\$([A-Z]+)\$[0-9]+"))</f>
        <v/>
      </c>
      <c r="I238" s="7" t="str" cm="1">
        <f t="array" aca="1" ref="I238" ca="1">IFERROR(IF(OR('Raw Data'!I238="",LEN(TRIM('Raw Data'!I238))=0),"",IF(AND(ISNUMBER('Raw Data'!I238), IFERROR('Raw Data'!I238 = ROUND('Raw Data'!I238, 2),FALSE)),"",_xlfn.REGEXEXTRACT(CELL("address",I238), "\$([A-Z]+)\$[0-9]+"))),_xlfn.REGEXEXTRACT(CELL("address",I238), "\$([A-Z]+)\$[0-9]+"))</f>
        <v/>
      </c>
      <c r="J238" s="7" t="str" cm="1">
        <f t="array" aca="1" ref="J238" ca="1">IFERROR(IF(OR('Raw Data'!J238="",LEN(TRIM('Raw Data'!J238))=0),"",IF(AND(ISNUMBER('Raw Data'!J238), IFERROR('Raw Data'!J238 = ROUND('Raw Data'!J238, 2),FALSE)),"",_xlfn.REGEXEXTRACT(CELL("address",J238), "\$([A-Z]+)\$[0-9]+"))),_xlfn.REGEXEXTRACT(CELL("address",J238), "\$([A-Z]+)\$[0-9]+"))</f>
        <v/>
      </c>
      <c r="K238" s="7" t="str" cm="1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7" t="str" cm="1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7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7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7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7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 cm="1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7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7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7" t="str" cm="1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7" t="str" cm="1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  <c r="Z238" s="7" t="str" cm="1">
        <f t="array" aca="1" ref="Z238" ca="1">IFERROR(IF(OR('Raw Data'!Z238="",LEN(TRIM('Raw Data'!Z238))=0),"",IF(AND(ISNUMBER('Raw Data'!Z238), IFERROR('Raw Data'!Z238 = ROUND('Raw Data'!Z238, 2),FALSE)),"",_xlfn.REGEXEXTRACT(CELL("address",Z238), "\$([A-Z]+)\$[0-9]+"))),_xlfn.REGEXEXTRACT(CELL("address",Z238), "\$([A-Z]+)\$[0-9]+"))</f>
        <v/>
      </c>
      <c r="AA238" s="7" t="str" cm="1">
        <f t="array" aca="1" ref="AA238" ca="1">IFERROR(IF(OR('Raw Data'!AA238="",LEN(TRIM('Raw Data'!AA238))=0),"",IF(AND(ISNUMBER('Raw Data'!AA238), IFERROR('Raw Data'!AA238 = ROUND('Raw Data'!AA238, 2),FALSE)),"",_xlfn.REGEXEXTRACT(CELL("address",AA238), "\$([A-Z]+)\$[0-9]+"))),_xlfn.REGEXEXTRACT(CELL("address",AA238), "\$([A-Z]+)\$[0-9]+"))</f>
        <v/>
      </c>
      <c r="AB238" s="7" t="str" cm="1">
        <f t="array" aca="1" ref="AB238" ca="1">IFERROR(IF(OR('Raw Data'!AB238="",LEN(TRIM('Raw Data'!AB238))=0),"",IF(AND(ISNUMBER('Raw Data'!AB238), IFERROR('Raw Data'!AB238 = ROUND('Raw Data'!AB238, 2),FALSE)),"",_xlfn.REGEXEXTRACT(CELL("address",AB238), "\$([A-Z]+)\$[0-9]+"))),_xlfn.REGEXEXTRACT(CELL("address",AB238), "\$([A-Z]+)\$[0-9]+"))</f>
        <v/>
      </c>
      <c r="AC238" s="7" t="str" cm="1">
        <f t="array" aca="1" ref="AC238" ca="1">IFERROR(IF(OR('Raw Data'!AC238="",LEN(TRIM('Raw Data'!AC238))=0),"",IF(AND(ISNUMBER('Raw Data'!AC238), IFERROR('Raw Data'!AC238 = ROUND('Raw Data'!AC238, 2),FALSE)),"",_xlfn.REGEXEXTRACT(CELL("address",AC238), "\$([A-Z]+)\$[0-9]+"))),_xlfn.REGEXEXTRACT(CELL("address",AC238), "\$([A-Z]+)\$[0-9]+"))</f>
        <v/>
      </c>
      <c r="AD238" s="7" t="str" cm="1">
        <f t="array" aca="1" ref="AD238" ca="1">IFERROR(IF(OR('Raw Data'!AD238="",LEN(TRIM('Raw Data'!AD238))=0),"",IF(AND(ISNUMBER('Raw Data'!AD238), IFERROR('Raw Data'!AD238 = ROUND('Raw Data'!AD238, 2),FALSE)),"",_xlfn.REGEXEXTRACT(CELL("address",AD238), "\$([A-Z]+)\$[0-9]+"))),_xlfn.REGEXEXTRACT(CELL("address",AD238), "\$([A-Z]+)\$[0-9]+"))</f>
        <v/>
      </c>
      <c r="AE238" s="7" t="str" cm="1">
        <f t="array" aca="1" ref="AE238" ca="1">IFERROR(IF(OR('Raw Data'!AE238="",LEN(TRIM('Raw Data'!AE238))=0),"",IF(AND(ISNUMBER('Raw Data'!AE238), IFERROR('Raw Data'!AE238 = ROUND('Raw Data'!AE238, 2),FALSE)),"",_xlfn.REGEXEXTRACT(CELL("address",AE238), "\$([A-Z]+)\$[0-9]+"))),_xlfn.REGEXEXTRACT(CELL("address",AE238), "\$([A-Z]+)\$[0-9]+"))</f>
        <v/>
      </c>
      <c r="AF238" s="7" t="str" cm="1">
        <f t="array" aca="1" ref="AF238" ca="1">IFERROR(IF(OR('Raw Data'!AF238="",LEN(TRIM('Raw Data'!AF238))=0),"",IF(AND(ISNUMBER('Raw Data'!AF238), IFERROR('Raw Data'!AF238 = ROUND('Raw Data'!AF238, 2),FALSE)),"",_xlfn.REGEXEXTRACT(CELL("address",AF238), "\$([A-Z]+)\$[0-9]+"))),_xlfn.REGEXEXTRACT(CELL("address",AF238), "\$([A-Z]+)\$[0-9]+"))</f>
        <v/>
      </c>
      <c r="AG238" s="7" t="str" cm="1">
        <f t="array" aca="1" ref="AG238" ca="1">IFERROR(IF(OR('Raw Data'!AG238="",LEN(TRIM('Raw Data'!AG238))=0),"",IF(AND(ISNUMBER('Raw Data'!AG238), IFERROR('Raw Data'!AG238 = ROUND('Raw Data'!AG238, 2),FALSE)),"",_xlfn.REGEXEXTRACT(CELL("address",AG238), "\$([A-Z]+)\$[0-9]+"))),_xlfn.REGEXEXTRACT(CELL("address",AG238), "\$([A-Z]+)\$[0-9]+"))</f>
        <v/>
      </c>
      <c r="AH238" s="7" t="str" cm="1">
        <f t="array" aca="1" ref="AH238" ca="1">IFERROR(IF(OR('Raw Data'!AH238="",LEN(TRIM('Raw Data'!AH238))=0),"",IF(AND(ISNUMBER('Raw Data'!AH238), IFERROR('Raw Data'!AH238 = ROUND('Raw Data'!AH238, 2),FALSE)),"",_xlfn.REGEXEXTRACT(CELL("address",AH238), "\$([A-Z]+)\$[0-9]+"))),_xlfn.REGEXEXTRACT(CELL("address",AH238), "\$([A-Z]+)\$[0-9]+"))</f>
        <v/>
      </c>
      <c r="AI238" s="7" t="str" cm="1">
        <f t="array" aca="1" ref="AI238" ca="1">IFERROR(IF(OR('Raw Data'!AI238="",LEN(TRIM('Raw Data'!AI238))=0),"",IF(AND(ISNUMBER('Raw Data'!AI238), IFERROR('Raw Data'!AI238 = ROUND('Raw Data'!AI238, 2),FALSE)),"",_xlfn.REGEXEXTRACT(CELL("address",AI238), "\$([A-Z]+)\$[0-9]+"))),_xlfn.REGEXEXTRACT(CELL("address",AI238), "\$([A-Z]+)\$[0-9]+"))</f>
        <v/>
      </c>
      <c r="AJ238" s="7" t="str" cm="1">
        <f t="array" aca="1" ref="AJ238" ca="1">IFERROR(IF(OR('Raw Data'!AJ238="",LEN(TRIM('Raw Data'!AJ238))=0),"",IF(AND(ISNUMBER('Raw Data'!AJ238), IFERROR('Raw Data'!AJ238 = ROUND('Raw Data'!AJ238, 2),FALSE)),"",_xlfn.REGEXEXTRACT(CELL("address",AJ238), "\$([A-Z]+)\$[0-9]+"))),_xlfn.REGEXEXTRACT(CELL("address",AJ238), "\$([A-Z]+)\$[0-9]+"))</f>
        <v/>
      </c>
    </row>
    <row r="239" spans="2:36" x14ac:dyDescent="0.25">
      <c r="B239" s="7" t="str" cm="1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20,LEN('Raw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Data'!D239))=0),"",IF(AND(ISNUMBER('Raw Data'!D239),'Raw Data'!D239&gt;=Configuration!$D$2),"",_xlfn.REGEXEXTRACT(CELL("address",'Raw Data'!D239),"\$([A-Z]+)\$[0-9]+"))),_xlfn.REGEXEXTRACT(CELL("address",D239), "\$([A-Z]+)\$[0-9]+"))</f>
        <v/>
      </c>
      <c r="E239" s="7" t="str" cm="1">
        <f t="array" aca="1" ref="E239" ca="1">IFERROR(IF(OR('Raw Data'!E239="",LEN(TRIM('Raw Data'!E239))=0),"",IF(AND(ISNUMBER('Raw Data'!E239), IFERROR('Raw Data'!E239 = ROUND('Raw Data'!E239, 2),FALSE)),"",_xlfn.REGEXEXTRACT(CELL("address",E239), "\$([A-Z]+)\$[0-9]+"))),_xlfn.REGEXEXTRACT(CELL("address",E239), "\$([A-Z]+)\$[0-9]+"))</f>
        <v/>
      </c>
      <c r="F239" s="7" t="str" cm="1">
        <f t="array" aca="1" ref="F239" ca="1">IFERROR(IF(OR('Raw Data'!F239="",LEN(TRIM('Raw Data'!F239))=0),"",IF(AND(ISNUMBER('Raw Data'!F239), IFERROR('Raw Data'!F239 = ROUND('Raw Data'!F239, 2),FALSE)),"",_xlfn.REGEXEXTRACT(CELL("address",F239), "\$([A-Z]+)\$[0-9]+"))),_xlfn.REGEXEXTRACT(CELL("address",F239), "\$([A-Z]+)\$[0-9]+"))</f>
        <v/>
      </c>
      <c r="G239" s="7" t="str" cm="1">
        <f t="array" aca="1" ref="G239" ca="1">IFERROR(IF(OR('Raw Data'!G239="",LEN(TRIM('Raw Data'!G239))=0),"",IF(AND(ISNUMBER('Raw Data'!G239), IFERROR('Raw Data'!G239 = ROUND('Raw Data'!G239, 2),FALSE)),"",_xlfn.REGEXEXTRACT(CELL("address",G239), "\$([A-Z]+)\$[0-9]+"))),_xlfn.REGEXEXTRACT(CELL("address",G239), "\$([A-Z]+)\$[0-9]+"))</f>
        <v/>
      </c>
      <c r="H239" s="7" t="str" cm="1">
        <f t="array" aca="1" ref="H239" ca="1">IFERROR(IF(OR('Raw Data'!H239="",LEN(TRIM('Raw Data'!H239))=0),"",IF(AND(ISNUMBER('Raw Data'!H239), IFERROR('Raw Data'!H239 = ROUND('Raw Data'!H239, 2),FALSE)),"",_xlfn.REGEXEXTRACT(CELL("address",H239), "\$([A-Z]+)\$[0-9]+"))),_xlfn.REGEXEXTRACT(CELL("address",H239), "\$([A-Z]+)\$[0-9]+"))</f>
        <v/>
      </c>
      <c r="I239" s="7" t="str" cm="1">
        <f t="array" aca="1" ref="I239" ca="1">IFERROR(IF(OR('Raw Data'!I239="",LEN(TRIM('Raw Data'!I239))=0),"",IF(AND(ISNUMBER('Raw Data'!I239), IFERROR('Raw Data'!I239 = ROUND('Raw Data'!I239, 2),FALSE)),"",_xlfn.REGEXEXTRACT(CELL("address",I239), "\$([A-Z]+)\$[0-9]+"))),_xlfn.REGEXEXTRACT(CELL("address",I239), "\$([A-Z]+)\$[0-9]+"))</f>
        <v/>
      </c>
      <c r="J239" s="7" t="str" cm="1">
        <f t="array" aca="1" ref="J239" ca="1">IFERROR(IF(OR('Raw Data'!J239="",LEN(TRIM('Raw Data'!J239))=0),"",IF(AND(ISNUMBER('Raw Data'!J239), IFERROR('Raw Data'!J239 = ROUND('Raw Data'!J239, 2),FALSE)),"",_xlfn.REGEXEXTRACT(CELL("address",J239), "\$([A-Z]+)\$[0-9]+"))),_xlfn.REGEXEXTRACT(CELL("address",J239), "\$([A-Z]+)\$[0-9]+"))</f>
        <v/>
      </c>
      <c r="K239" s="7" t="str" cm="1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7" t="str" cm="1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7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7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7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7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 cm="1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7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7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7" t="str" cm="1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7" t="str" cm="1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  <c r="Z239" s="7" t="str" cm="1">
        <f t="array" aca="1" ref="Z239" ca="1">IFERROR(IF(OR('Raw Data'!Z239="",LEN(TRIM('Raw Data'!Z239))=0),"",IF(AND(ISNUMBER('Raw Data'!Z239), IFERROR('Raw Data'!Z239 = ROUND('Raw Data'!Z239, 2),FALSE)),"",_xlfn.REGEXEXTRACT(CELL("address",Z239), "\$([A-Z]+)\$[0-9]+"))),_xlfn.REGEXEXTRACT(CELL("address",Z239), "\$([A-Z]+)\$[0-9]+"))</f>
        <v/>
      </c>
      <c r="AA239" s="7" t="str" cm="1">
        <f t="array" aca="1" ref="AA239" ca="1">IFERROR(IF(OR('Raw Data'!AA239="",LEN(TRIM('Raw Data'!AA239))=0),"",IF(AND(ISNUMBER('Raw Data'!AA239), IFERROR('Raw Data'!AA239 = ROUND('Raw Data'!AA239, 2),FALSE)),"",_xlfn.REGEXEXTRACT(CELL("address",AA239), "\$([A-Z]+)\$[0-9]+"))),_xlfn.REGEXEXTRACT(CELL("address",AA239), "\$([A-Z]+)\$[0-9]+"))</f>
        <v/>
      </c>
      <c r="AB239" s="7" t="str" cm="1">
        <f t="array" aca="1" ref="AB239" ca="1">IFERROR(IF(OR('Raw Data'!AB239="",LEN(TRIM('Raw Data'!AB239))=0),"",IF(AND(ISNUMBER('Raw Data'!AB239), IFERROR('Raw Data'!AB239 = ROUND('Raw Data'!AB239, 2),FALSE)),"",_xlfn.REGEXEXTRACT(CELL("address",AB239), "\$([A-Z]+)\$[0-9]+"))),_xlfn.REGEXEXTRACT(CELL("address",AB239), "\$([A-Z]+)\$[0-9]+"))</f>
        <v/>
      </c>
      <c r="AC239" s="7" t="str" cm="1">
        <f t="array" aca="1" ref="AC239" ca="1">IFERROR(IF(OR('Raw Data'!AC239="",LEN(TRIM('Raw Data'!AC239))=0),"",IF(AND(ISNUMBER('Raw Data'!AC239), IFERROR('Raw Data'!AC239 = ROUND('Raw Data'!AC239, 2),FALSE)),"",_xlfn.REGEXEXTRACT(CELL("address",AC239), "\$([A-Z]+)\$[0-9]+"))),_xlfn.REGEXEXTRACT(CELL("address",AC239), "\$([A-Z]+)\$[0-9]+"))</f>
        <v/>
      </c>
      <c r="AD239" s="7" t="str" cm="1">
        <f t="array" aca="1" ref="AD239" ca="1">IFERROR(IF(OR('Raw Data'!AD239="",LEN(TRIM('Raw Data'!AD239))=0),"",IF(AND(ISNUMBER('Raw Data'!AD239), IFERROR('Raw Data'!AD239 = ROUND('Raw Data'!AD239, 2),FALSE)),"",_xlfn.REGEXEXTRACT(CELL("address",AD239), "\$([A-Z]+)\$[0-9]+"))),_xlfn.REGEXEXTRACT(CELL("address",AD239), "\$([A-Z]+)\$[0-9]+"))</f>
        <v/>
      </c>
      <c r="AE239" s="7" t="str" cm="1">
        <f t="array" aca="1" ref="AE239" ca="1">IFERROR(IF(OR('Raw Data'!AE239="",LEN(TRIM('Raw Data'!AE239))=0),"",IF(AND(ISNUMBER('Raw Data'!AE239), IFERROR('Raw Data'!AE239 = ROUND('Raw Data'!AE239, 2),FALSE)),"",_xlfn.REGEXEXTRACT(CELL("address",AE239), "\$([A-Z]+)\$[0-9]+"))),_xlfn.REGEXEXTRACT(CELL("address",AE239), "\$([A-Z]+)\$[0-9]+"))</f>
        <v/>
      </c>
      <c r="AF239" s="7" t="str" cm="1">
        <f t="array" aca="1" ref="AF239" ca="1">IFERROR(IF(OR('Raw Data'!AF239="",LEN(TRIM('Raw Data'!AF239))=0),"",IF(AND(ISNUMBER('Raw Data'!AF239), IFERROR('Raw Data'!AF239 = ROUND('Raw Data'!AF239, 2),FALSE)),"",_xlfn.REGEXEXTRACT(CELL("address",AF239), "\$([A-Z]+)\$[0-9]+"))),_xlfn.REGEXEXTRACT(CELL("address",AF239), "\$([A-Z]+)\$[0-9]+"))</f>
        <v/>
      </c>
      <c r="AG239" s="7" t="str" cm="1">
        <f t="array" aca="1" ref="AG239" ca="1">IFERROR(IF(OR('Raw Data'!AG239="",LEN(TRIM('Raw Data'!AG239))=0),"",IF(AND(ISNUMBER('Raw Data'!AG239), IFERROR('Raw Data'!AG239 = ROUND('Raw Data'!AG239, 2),FALSE)),"",_xlfn.REGEXEXTRACT(CELL("address",AG239), "\$([A-Z]+)\$[0-9]+"))),_xlfn.REGEXEXTRACT(CELL("address",AG239), "\$([A-Z]+)\$[0-9]+"))</f>
        <v/>
      </c>
      <c r="AH239" s="7" t="str" cm="1">
        <f t="array" aca="1" ref="AH239" ca="1">IFERROR(IF(OR('Raw Data'!AH239="",LEN(TRIM('Raw Data'!AH239))=0),"",IF(AND(ISNUMBER('Raw Data'!AH239), IFERROR('Raw Data'!AH239 = ROUND('Raw Data'!AH239, 2),FALSE)),"",_xlfn.REGEXEXTRACT(CELL("address",AH239), "\$([A-Z]+)\$[0-9]+"))),_xlfn.REGEXEXTRACT(CELL("address",AH239), "\$([A-Z]+)\$[0-9]+"))</f>
        <v/>
      </c>
      <c r="AI239" s="7" t="str" cm="1">
        <f t="array" aca="1" ref="AI239" ca="1">IFERROR(IF(OR('Raw Data'!AI239="",LEN(TRIM('Raw Data'!AI239))=0),"",IF(AND(ISNUMBER('Raw Data'!AI239), IFERROR('Raw Data'!AI239 = ROUND('Raw Data'!AI239, 2),FALSE)),"",_xlfn.REGEXEXTRACT(CELL("address",AI239), "\$([A-Z]+)\$[0-9]+"))),_xlfn.REGEXEXTRACT(CELL("address",AI239), "\$([A-Z]+)\$[0-9]+"))</f>
        <v/>
      </c>
      <c r="AJ239" s="7" t="str" cm="1">
        <f t="array" aca="1" ref="AJ239" ca="1">IFERROR(IF(OR('Raw Data'!AJ239="",LEN(TRIM('Raw Data'!AJ239))=0),"",IF(AND(ISNUMBER('Raw Data'!AJ239), IFERROR('Raw Data'!AJ239 = ROUND('Raw Data'!AJ239, 2),FALSE)),"",_xlfn.REGEXEXTRACT(CELL("address",AJ239), "\$([A-Z]+)\$[0-9]+"))),_xlfn.REGEXEXTRACT(CELL("address",AJ239), "\$([A-Z]+)\$[0-9]+"))</f>
        <v/>
      </c>
    </row>
    <row r="240" spans="2:36" x14ac:dyDescent="0.25">
      <c r="B240" s="7" t="str" cm="1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20,LEN('Raw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Data'!D240))=0),"",IF(AND(ISNUMBER('Raw Data'!D240),'Raw Data'!D240&gt;=Configuration!$D$2),"",_xlfn.REGEXEXTRACT(CELL("address",'Raw Data'!D240),"\$([A-Z]+)\$[0-9]+"))),_xlfn.REGEXEXTRACT(CELL("address",D240), "\$([A-Z]+)\$[0-9]+"))</f>
        <v/>
      </c>
      <c r="E240" s="7" t="str" cm="1">
        <f t="array" aca="1" ref="E240" ca="1">IFERROR(IF(OR('Raw Data'!E240="",LEN(TRIM('Raw Data'!E240))=0),"",IF(AND(ISNUMBER('Raw Data'!E240), IFERROR('Raw Data'!E240 = ROUND('Raw Data'!E240, 2),FALSE)),"",_xlfn.REGEXEXTRACT(CELL("address",E240), "\$([A-Z]+)\$[0-9]+"))),_xlfn.REGEXEXTRACT(CELL("address",E240), "\$([A-Z]+)\$[0-9]+"))</f>
        <v/>
      </c>
      <c r="F240" s="7" t="str" cm="1">
        <f t="array" aca="1" ref="F240" ca="1">IFERROR(IF(OR('Raw Data'!F240="",LEN(TRIM('Raw Data'!F240))=0),"",IF(AND(ISNUMBER('Raw Data'!F240), IFERROR('Raw Data'!F240 = ROUND('Raw Data'!F240, 2),FALSE)),"",_xlfn.REGEXEXTRACT(CELL("address",F240), "\$([A-Z]+)\$[0-9]+"))),_xlfn.REGEXEXTRACT(CELL("address",F240), "\$([A-Z]+)\$[0-9]+"))</f>
        <v/>
      </c>
      <c r="G240" s="7" t="str" cm="1">
        <f t="array" aca="1" ref="G240" ca="1">IFERROR(IF(OR('Raw Data'!G240="",LEN(TRIM('Raw Data'!G240))=0),"",IF(AND(ISNUMBER('Raw Data'!G240), IFERROR('Raw Data'!G240 = ROUND('Raw Data'!G240, 2),FALSE)),"",_xlfn.REGEXEXTRACT(CELL("address",G240), "\$([A-Z]+)\$[0-9]+"))),_xlfn.REGEXEXTRACT(CELL("address",G240), "\$([A-Z]+)\$[0-9]+"))</f>
        <v/>
      </c>
      <c r="H240" s="7" t="str" cm="1">
        <f t="array" aca="1" ref="H240" ca="1">IFERROR(IF(OR('Raw Data'!H240="",LEN(TRIM('Raw Data'!H240))=0),"",IF(AND(ISNUMBER('Raw Data'!H240), IFERROR('Raw Data'!H240 = ROUND('Raw Data'!H240, 2),FALSE)),"",_xlfn.REGEXEXTRACT(CELL("address",H240), "\$([A-Z]+)\$[0-9]+"))),_xlfn.REGEXEXTRACT(CELL("address",H240), "\$([A-Z]+)\$[0-9]+"))</f>
        <v/>
      </c>
      <c r="I240" s="7" t="str" cm="1">
        <f t="array" aca="1" ref="I240" ca="1">IFERROR(IF(OR('Raw Data'!I240="",LEN(TRIM('Raw Data'!I240))=0),"",IF(AND(ISNUMBER('Raw Data'!I240), IFERROR('Raw Data'!I240 = ROUND('Raw Data'!I240, 2),FALSE)),"",_xlfn.REGEXEXTRACT(CELL("address",I240), "\$([A-Z]+)\$[0-9]+"))),_xlfn.REGEXEXTRACT(CELL("address",I240), "\$([A-Z]+)\$[0-9]+"))</f>
        <v/>
      </c>
      <c r="J240" s="7" t="str" cm="1">
        <f t="array" aca="1" ref="J240" ca="1">IFERROR(IF(OR('Raw Data'!J240="",LEN(TRIM('Raw Data'!J240))=0),"",IF(AND(ISNUMBER('Raw Data'!J240), IFERROR('Raw Data'!J240 = ROUND('Raw Data'!J240, 2),FALSE)),"",_xlfn.REGEXEXTRACT(CELL("address",J240), "\$([A-Z]+)\$[0-9]+"))),_xlfn.REGEXEXTRACT(CELL("address",J240), "\$([A-Z]+)\$[0-9]+"))</f>
        <v/>
      </c>
      <c r="K240" s="7" t="str" cm="1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7" t="str" cm="1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7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7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7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7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 cm="1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7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7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7" t="str" cm="1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7" t="str" cm="1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  <c r="Z240" s="7" t="str" cm="1">
        <f t="array" aca="1" ref="Z240" ca="1">IFERROR(IF(OR('Raw Data'!Z240="",LEN(TRIM('Raw Data'!Z240))=0),"",IF(AND(ISNUMBER('Raw Data'!Z240), IFERROR('Raw Data'!Z240 = ROUND('Raw Data'!Z240, 2),FALSE)),"",_xlfn.REGEXEXTRACT(CELL("address",Z240), "\$([A-Z]+)\$[0-9]+"))),_xlfn.REGEXEXTRACT(CELL("address",Z240), "\$([A-Z]+)\$[0-9]+"))</f>
        <v/>
      </c>
      <c r="AA240" s="7" t="str" cm="1">
        <f t="array" aca="1" ref="AA240" ca="1">IFERROR(IF(OR('Raw Data'!AA240="",LEN(TRIM('Raw Data'!AA240))=0),"",IF(AND(ISNUMBER('Raw Data'!AA240), IFERROR('Raw Data'!AA240 = ROUND('Raw Data'!AA240, 2),FALSE)),"",_xlfn.REGEXEXTRACT(CELL("address",AA240), "\$([A-Z]+)\$[0-9]+"))),_xlfn.REGEXEXTRACT(CELL("address",AA240), "\$([A-Z]+)\$[0-9]+"))</f>
        <v/>
      </c>
      <c r="AB240" s="7" t="str" cm="1">
        <f t="array" aca="1" ref="AB240" ca="1">IFERROR(IF(OR('Raw Data'!AB240="",LEN(TRIM('Raw Data'!AB240))=0),"",IF(AND(ISNUMBER('Raw Data'!AB240), IFERROR('Raw Data'!AB240 = ROUND('Raw Data'!AB240, 2),FALSE)),"",_xlfn.REGEXEXTRACT(CELL("address",AB240), "\$([A-Z]+)\$[0-9]+"))),_xlfn.REGEXEXTRACT(CELL("address",AB240), "\$([A-Z]+)\$[0-9]+"))</f>
        <v/>
      </c>
      <c r="AC240" s="7" t="str" cm="1">
        <f t="array" aca="1" ref="AC240" ca="1">IFERROR(IF(OR('Raw Data'!AC240="",LEN(TRIM('Raw Data'!AC240))=0),"",IF(AND(ISNUMBER('Raw Data'!AC240), IFERROR('Raw Data'!AC240 = ROUND('Raw Data'!AC240, 2),FALSE)),"",_xlfn.REGEXEXTRACT(CELL("address",AC240), "\$([A-Z]+)\$[0-9]+"))),_xlfn.REGEXEXTRACT(CELL("address",AC240), "\$([A-Z]+)\$[0-9]+"))</f>
        <v/>
      </c>
      <c r="AD240" s="7" t="str" cm="1">
        <f t="array" aca="1" ref="AD240" ca="1">IFERROR(IF(OR('Raw Data'!AD240="",LEN(TRIM('Raw Data'!AD240))=0),"",IF(AND(ISNUMBER('Raw Data'!AD240), IFERROR('Raw Data'!AD240 = ROUND('Raw Data'!AD240, 2),FALSE)),"",_xlfn.REGEXEXTRACT(CELL("address",AD240), "\$([A-Z]+)\$[0-9]+"))),_xlfn.REGEXEXTRACT(CELL("address",AD240), "\$([A-Z]+)\$[0-9]+"))</f>
        <v/>
      </c>
      <c r="AE240" s="7" t="str" cm="1">
        <f t="array" aca="1" ref="AE240" ca="1">IFERROR(IF(OR('Raw Data'!AE240="",LEN(TRIM('Raw Data'!AE240))=0),"",IF(AND(ISNUMBER('Raw Data'!AE240), IFERROR('Raw Data'!AE240 = ROUND('Raw Data'!AE240, 2),FALSE)),"",_xlfn.REGEXEXTRACT(CELL("address",AE240), "\$([A-Z]+)\$[0-9]+"))),_xlfn.REGEXEXTRACT(CELL("address",AE240), "\$([A-Z]+)\$[0-9]+"))</f>
        <v/>
      </c>
      <c r="AF240" s="7" t="str" cm="1">
        <f t="array" aca="1" ref="AF240" ca="1">IFERROR(IF(OR('Raw Data'!AF240="",LEN(TRIM('Raw Data'!AF240))=0),"",IF(AND(ISNUMBER('Raw Data'!AF240), IFERROR('Raw Data'!AF240 = ROUND('Raw Data'!AF240, 2),FALSE)),"",_xlfn.REGEXEXTRACT(CELL("address",AF240), "\$([A-Z]+)\$[0-9]+"))),_xlfn.REGEXEXTRACT(CELL("address",AF240), "\$([A-Z]+)\$[0-9]+"))</f>
        <v/>
      </c>
      <c r="AG240" s="7" t="str" cm="1">
        <f t="array" aca="1" ref="AG240" ca="1">IFERROR(IF(OR('Raw Data'!AG240="",LEN(TRIM('Raw Data'!AG240))=0),"",IF(AND(ISNUMBER('Raw Data'!AG240), IFERROR('Raw Data'!AG240 = ROUND('Raw Data'!AG240, 2),FALSE)),"",_xlfn.REGEXEXTRACT(CELL("address",AG240), "\$([A-Z]+)\$[0-9]+"))),_xlfn.REGEXEXTRACT(CELL("address",AG240), "\$([A-Z]+)\$[0-9]+"))</f>
        <v/>
      </c>
      <c r="AH240" s="7" t="str" cm="1">
        <f t="array" aca="1" ref="AH240" ca="1">IFERROR(IF(OR('Raw Data'!AH240="",LEN(TRIM('Raw Data'!AH240))=0),"",IF(AND(ISNUMBER('Raw Data'!AH240), IFERROR('Raw Data'!AH240 = ROUND('Raw Data'!AH240, 2),FALSE)),"",_xlfn.REGEXEXTRACT(CELL("address",AH240), "\$([A-Z]+)\$[0-9]+"))),_xlfn.REGEXEXTRACT(CELL("address",AH240), "\$([A-Z]+)\$[0-9]+"))</f>
        <v/>
      </c>
      <c r="AI240" s="7" t="str" cm="1">
        <f t="array" aca="1" ref="AI240" ca="1">IFERROR(IF(OR('Raw Data'!AI240="",LEN(TRIM('Raw Data'!AI240))=0),"",IF(AND(ISNUMBER('Raw Data'!AI240), IFERROR('Raw Data'!AI240 = ROUND('Raw Data'!AI240, 2),FALSE)),"",_xlfn.REGEXEXTRACT(CELL("address",AI240), "\$([A-Z]+)\$[0-9]+"))),_xlfn.REGEXEXTRACT(CELL("address",AI240), "\$([A-Z]+)\$[0-9]+"))</f>
        <v/>
      </c>
      <c r="AJ240" s="7" t="str" cm="1">
        <f t="array" aca="1" ref="AJ240" ca="1">IFERROR(IF(OR('Raw Data'!AJ240="",LEN(TRIM('Raw Data'!AJ240))=0),"",IF(AND(ISNUMBER('Raw Data'!AJ240), IFERROR('Raw Data'!AJ240 = ROUND('Raw Data'!AJ240, 2),FALSE)),"",_xlfn.REGEXEXTRACT(CELL("address",AJ240), "\$([A-Z]+)\$[0-9]+"))),_xlfn.REGEXEXTRACT(CELL("address",AJ240), "\$([A-Z]+)\$[0-9]+"))</f>
        <v/>
      </c>
    </row>
    <row r="241" spans="2:36" x14ac:dyDescent="0.25">
      <c r="B241" s="7" t="str" cm="1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20,LEN('Raw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Data'!D241))=0),"",IF(AND(ISNUMBER('Raw Data'!D241),'Raw Data'!D241&gt;=Configuration!$D$2),"",_xlfn.REGEXEXTRACT(CELL("address",'Raw Data'!D241),"\$([A-Z]+)\$[0-9]+"))),_xlfn.REGEXEXTRACT(CELL("address",D241), "\$([A-Z]+)\$[0-9]+"))</f>
        <v/>
      </c>
      <c r="E241" s="7" t="str" cm="1">
        <f t="array" aca="1" ref="E241" ca="1">IFERROR(IF(OR('Raw Data'!E241="",LEN(TRIM('Raw Data'!E241))=0),"",IF(AND(ISNUMBER('Raw Data'!E241), IFERROR('Raw Data'!E241 = ROUND('Raw Data'!E241, 2),FALSE)),"",_xlfn.REGEXEXTRACT(CELL("address",E241), "\$([A-Z]+)\$[0-9]+"))),_xlfn.REGEXEXTRACT(CELL("address",E241), "\$([A-Z]+)\$[0-9]+"))</f>
        <v/>
      </c>
      <c r="F241" s="7" t="str" cm="1">
        <f t="array" aca="1" ref="F241" ca="1">IFERROR(IF(OR('Raw Data'!F241="",LEN(TRIM('Raw Data'!F241))=0),"",IF(AND(ISNUMBER('Raw Data'!F241), IFERROR('Raw Data'!F241 = ROUND('Raw Data'!F241, 2),FALSE)),"",_xlfn.REGEXEXTRACT(CELL("address",F241), "\$([A-Z]+)\$[0-9]+"))),_xlfn.REGEXEXTRACT(CELL("address",F241), "\$([A-Z]+)\$[0-9]+"))</f>
        <v/>
      </c>
      <c r="G241" s="7" t="str" cm="1">
        <f t="array" aca="1" ref="G241" ca="1">IFERROR(IF(OR('Raw Data'!G241="",LEN(TRIM('Raw Data'!G241))=0),"",IF(AND(ISNUMBER('Raw Data'!G241), IFERROR('Raw Data'!G241 = ROUND('Raw Data'!G241, 2),FALSE)),"",_xlfn.REGEXEXTRACT(CELL("address",G241), "\$([A-Z]+)\$[0-9]+"))),_xlfn.REGEXEXTRACT(CELL("address",G241), "\$([A-Z]+)\$[0-9]+"))</f>
        <v/>
      </c>
      <c r="H241" s="7" t="str" cm="1">
        <f t="array" aca="1" ref="H241" ca="1">IFERROR(IF(OR('Raw Data'!H241="",LEN(TRIM('Raw Data'!H241))=0),"",IF(AND(ISNUMBER('Raw Data'!H241), IFERROR('Raw Data'!H241 = ROUND('Raw Data'!H241, 2),FALSE)),"",_xlfn.REGEXEXTRACT(CELL("address",H241), "\$([A-Z]+)\$[0-9]+"))),_xlfn.REGEXEXTRACT(CELL("address",H241), "\$([A-Z]+)\$[0-9]+"))</f>
        <v/>
      </c>
      <c r="I241" s="7" t="str" cm="1">
        <f t="array" aca="1" ref="I241" ca="1">IFERROR(IF(OR('Raw Data'!I241="",LEN(TRIM('Raw Data'!I241))=0),"",IF(AND(ISNUMBER('Raw Data'!I241), IFERROR('Raw Data'!I241 = ROUND('Raw Data'!I241, 2),FALSE)),"",_xlfn.REGEXEXTRACT(CELL("address",I241), "\$([A-Z]+)\$[0-9]+"))),_xlfn.REGEXEXTRACT(CELL("address",I241), "\$([A-Z]+)\$[0-9]+"))</f>
        <v/>
      </c>
      <c r="J241" s="7" t="str" cm="1">
        <f t="array" aca="1" ref="J241" ca="1">IFERROR(IF(OR('Raw Data'!J241="",LEN(TRIM('Raw Data'!J241))=0),"",IF(AND(ISNUMBER('Raw Data'!J241), IFERROR('Raw Data'!J241 = ROUND('Raw Data'!J241, 2),FALSE)),"",_xlfn.REGEXEXTRACT(CELL("address",J241), "\$([A-Z]+)\$[0-9]+"))),_xlfn.REGEXEXTRACT(CELL("address",J241), "\$([A-Z]+)\$[0-9]+"))</f>
        <v/>
      </c>
      <c r="K241" s="7" t="str" cm="1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7" t="str" cm="1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7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7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7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7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 cm="1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7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7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7" t="str" cm="1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7" t="str" cm="1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  <c r="Z241" s="7" t="str" cm="1">
        <f t="array" aca="1" ref="Z241" ca="1">IFERROR(IF(OR('Raw Data'!Z241="",LEN(TRIM('Raw Data'!Z241))=0),"",IF(AND(ISNUMBER('Raw Data'!Z241), IFERROR('Raw Data'!Z241 = ROUND('Raw Data'!Z241, 2),FALSE)),"",_xlfn.REGEXEXTRACT(CELL("address",Z241), "\$([A-Z]+)\$[0-9]+"))),_xlfn.REGEXEXTRACT(CELL("address",Z241), "\$([A-Z]+)\$[0-9]+"))</f>
        <v/>
      </c>
      <c r="AA241" s="7" t="str" cm="1">
        <f t="array" aca="1" ref="AA241" ca="1">IFERROR(IF(OR('Raw Data'!AA241="",LEN(TRIM('Raw Data'!AA241))=0),"",IF(AND(ISNUMBER('Raw Data'!AA241), IFERROR('Raw Data'!AA241 = ROUND('Raw Data'!AA241, 2),FALSE)),"",_xlfn.REGEXEXTRACT(CELL("address",AA241), "\$([A-Z]+)\$[0-9]+"))),_xlfn.REGEXEXTRACT(CELL("address",AA241), "\$([A-Z]+)\$[0-9]+"))</f>
        <v/>
      </c>
      <c r="AB241" s="7" t="str" cm="1">
        <f t="array" aca="1" ref="AB241" ca="1">IFERROR(IF(OR('Raw Data'!AB241="",LEN(TRIM('Raw Data'!AB241))=0),"",IF(AND(ISNUMBER('Raw Data'!AB241), IFERROR('Raw Data'!AB241 = ROUND('Raw Data'!AB241, 2),FALSE)),"",_xlfn.REGEXEXTRACT(CELL("address",AB241), "\$([A-Z]+)\$[0-9]+"))),_xlfn.REGEXEXTRACT(CELL("address",AB241), "\$([A-Z]+)\$[0-9]+"))</f>
        <v/>
      </c>
      <c r="AC241" s="7" t="str" cm="1">
        <f t="array" aca="1" ref="AC241" ca="1">IFERROR(IF(OR('Raw Data'!AC241="",LEN(TRIM('Raw Data'!AC241))=0),"",IF(AND(ISNUMBER('Raw Data'!AC241), IFERROR('Raw Data'!AC241 = ROUND('Raw Data'!AC241, 2),FALSE)),"",_xlfn.REGEXEXTRACT(CELL("address",AC241), "\$([A-Z]+)\$[0-9]+"))),_xlfn.REGEXEXTRACT(CELL("address",AC241), "\$([A-Z]+)\$[0-9]+"))</f>
        <v/>
      </c>
      <c r="AD241" s="7" t="str" cm="1">
        <f t="array" aca="1" ref="AD241" ca="1">IFERROR(IF(OR('Raw Data'!AD241="",LEN(TRIM('Raw Data'!AD241))=0),"",IF(AND(ISNUMBER('Raw Data'!AD241), IFERROR('Raw Data'!AD241 = ROUND('Raw Data'!AD241, 2),FALSE)),"",_xlfn.REGEXEXTRACT(CELL("address",AD241), "\$([A-Z]+)\$[0-9]+"))),_xlfn.REGEXEXTRACT(CELL("address",AD241), "\$([A-Z]+)\$[0-9]+"))</f>
        <v/>
      </c>
      <c r="AE241" s="7" t="str" cm="1">
        <f t="array" aca="1" ref="AE241" ca="1">IFERROR(IF(OR('Raw Data'!AE241="",LEN(TRIM('Raw Data'!AE241))=0),"",IF(AND(ISNUMBER('Raw Data'!AE241), IFERROR('Raw Data'!AE241 = ROUND('Raw Data'!AE241, 2),FALSE)),"",_xlfn.REGEXEXTRACT(CELL("address",AE241), "\$([A-Z]+)\$[0-9]+"))),_xlfn.REGEXEXTRACT(CELL("address",AE241), "\$([A-Z]+)\$[0-9]+"))</f>
        <v/>
      </c>
      <c r="AF241" s="7" t="str" cm="1">
        <f t="array" aca="1" ref="AF241" ca="1">IFERROR(IF(OR('Raw Data'!AF241="",LEN(TRIM('Raw Data'!AF241))=0),"",IF(AND(ISNUMBER('Raw Data'!AF241), IFERROR('Raw Data'!AF241 = ROUND('Raw Data'!AF241, 2),FALSE)),"",_xlfn.REGEXEXTRACT(CELL("address",AF241), "\$([A-Z]+)\$[0-9]+"))),_xlfn.REGEXEXTRACT(CELL("address",AF241), "\$([A-Z]+)\$[0-9]+"))</f>
        <v/>
      </c>
      <c r="AG241" s="7" t="str" cm="1">
        <f t="array" aca="1" ref="AG241" ca="1">IFERROR(IF(OR('Raw Data'!AG241="",LEN(TRIM('Raw Data'!AG241))=0),"",IF(AND(ISNUMBER('Raw Data'!AG241), IFERROR('Raw Data'!AG241 = ROUND('Raw Data'!AG241, 2),FALSE)),"",_xlfn.REGEXEXTRACT(CELL("address",AG241), "\$([A-Z]+)\$[0-9]+"))),_xlfn.REGEXEXTRACT(CELL("address",AG241), "\$([A-Z]+)\$[0-9]+"))</f>
        <v/>
      </c>
      <c r="AH241" s="7" t="str" cm="1">
        <f t="array" aca="1" ref="AH241" ca="1">IFERROR(IF(OR('Raw Data'!AH241="",LEN(TRIM('Raw Data'!AH241))=0),"",IF(AND(ISNUMBER('Raw Data'!AH241), IFERROR('Raw Data'!AH241 = ROUND('Raw Data'!AH241, 2),FALSE)),"",_xlfn.REGEXEXTRACT(CELL("address",AH241), "\$([A-Z]+)\$[0-9]+"))),_xlfn.REGEXEXTRACT(CELL("address",AH241), "\$([A-Z]+)\$[0-9]+"))</f>
        <v/>
      </c>
      <c r="AI241" s="7" t="str" cm="1">
        <f t="array" aca="1" ref="AI241" ca="1">IFERROR(IF(OR('Raw Data'!AI241="",LEN(TRIM('Raw Data'!AI241))=0),"",IF(AND(ISNUMBER('Raw Data'!AI241), IFERROR('Raw Data'!AI241 = ROUND('Raw Data'!AI241, 2),FALSE)),"",_xlfn.REGEXEXTRACT(CELL("address",AI241), "\$([A-Z]+)\$[0-9]+"))),_xlfn.REGEXEXTRACT(CELL("address",AI241), "\$([A-Z]+)\$[0-9]+"))</f>
        <v/>
      </c>
      <c r="AJ241" s="7" t="str" cm="1">
        <f t="array" aca="1" ref="AJ241" ca="1">IFERROR(IF(OR('Raw Data'!AJ241="",LEN(TRIM('Raw Data'!AJ241))=0),"",IF(AND(ISNUMBER('Raw Data'!AJ241), IFERROR('Raw Data'!AJ241 = ROUND('Raw Data'!AJ241, 2),FALSE)),"",_xlfn.REGEXEXTRACT(CELL("address",AJ241), "\$([A-Z]+)\$[0-9]+"))),_xlfn.REGEXEXTRACT(CELL("address",AJ241), "\$([A-Z]+)\$[0-9]+"))</f>
        <v/>
      </c>
    </row>
    <row r="242" spans="2:36" x14ac:dyDescent="0.25">
      <c r="B242" s="7" t="str" cm="1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20,LEN('Raw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Data'!D242))=0),"",IF(AND(ISNUMBER('Raw Data'!D242),'Raw Data'!D242&gt;=Configuration!$D$2),"",_xlfn.REGEXEXTRACT(CELL("address",'Raw Data'!D242),"\$([A-Z]+)\$[0-9]+"))),_xlfn.REGEXEXTRACT(CELL("address",D242), "\$([A-Z]+)\$[0-9]+"))</f>
        <v/>
      </c>
      <c r="E242" s="7" t="str" cm="1">
        <f t="array" aca="1" ref="E242" ca="1">IFERROR(IF(OR('Raw Data'!E242="",LEN(TRIM('Raw Data'!E242))=0),"",IF(AND(ISNUMBER('Raw Data'!E242), IFERROR('Raw Data'!E242 = ROUND('Raw Data'!E242, 2),FALSE)),"",_xlfn.REGEXEXTRACT(CELL("address",E242), "\$([A-Z]+)\$[0-9]+"))),_xlfn.REGEXEXTRACT(CELL("address",E242), "\$([A-Z]+)\$[0-9]+"))</f>
        <v/>
      </c>
      <c r="F242" s="7" t="str" cm="1">
        <f t="array" aca="1" ref="F242" ca="1">IFERROR(IF(OR('Raw Data'!F242="",LEN(TRIM('Raw Data'!F242))=0),"",IF(AND(ISNUMBER('Raw Data'!F242), IFERROR('Raw Data'!F242 = ROUND('Raw Data'!F242, 2),FALSE)),"",_xlfn.REGEXEXTRACT(CELL("address",F242), "\$([A-Z]+)\$[0-9]+"))),_xlfn.REGEXEXTRACT(CELL("address",F242), "\$([A-Z]+)\$[0-9]+"))</f>
        <v/>
      </c>
      <c r="G242" s="7" t="str" cm="1">
        <f t="array" aca="1" ref="G242" ca="1">IFERROR(IF(OR('Raw Data'!G242="",LEN(TRIM('Raw Data'!G242))=0),"",IF(AND(ISNUMBER('Raw Data'!G242), IFERROR('Raw Data'!G242 = ROUND('Raw Data'!G242, 2),FALSE)),"",_xlfn.REGEXEXTRACT(CELL("address",G242), "\$([A-Z]+)\$[0-9]+"))),_xlfn.REGEXEXTRACT(CELL("address",G242), "\$([A-Z]+)\$[0-9]+"))</f>
        <v/>
      </c>
      <c r="H242" s="7" t="str" cm="1">
        <f t="array" aca="1" ref="H242" ca="1">IFERROR(IF(OR('Raw Data'!H242="",LEN(TRIM('Raw Data'!H242))=0),"",IF(AND(ISNUMBER('Raw Data'!H242), IFERROR('Raw Data'!H242 = ROUND('Raw Data'!H242, 2),FALSE)),"",_xlfn.REGEXEXTRACT(CELL("address",H242), "\$([A-Z]+)\$[0-9]+"))),_xlfn.REGEXEXTRACT(CELL("address",H242), "\$([A-Z]+)\$[0-9]+"))</f>
        <v/>
      </c>
      <c r="I242" s="7" t="str" cm="1">
        <f t="array" aca="1" ref="I242" ca="1">IFERROR(IF(OR('Raw Data'!I242="",LEN(TRIM('Raw Data'!I242))=0),"",IF(AND(ISNUMBER('Raw Data'!I242), IFERROR('Raw Data'!I242 = ROUND('Raw Data'!I242, 2),FALSE)),"",_xlfn.REGEXEXTRACT(CELL("address",I242), "\$([A-Z]+)\$[0-9]+"))),_xlfn.REGEXEXTRACT(CELL("address",I242), "\$([A-Z]+)\$[0-9]+"))</f>
        <v/>
      </c>
      <c r="J242" s="7" t="str" cm="1">
        <f t="array" aca="1" ref="J242" ca="1">IFERROR(IF(OR('Raw Data'!J242="",LEN(TRIM('Raw Data'!J242))=0),"",IF(AND(ISNUMBER('Raw Data'!J242), IFERROR('Raw Data'!J242 = ROUND('Raw Data'!J242, 2),FALSE)),"",_xlfn.REGEXEXTRACT(CELL("address",J242), "\$([A-Z]+)\$[0-9]+"))),_xlfn.REGEXEXTRACT(CELL("address",J242), "\$([A-Z]+)\$[0-9]+"))</f>
        <v/>
      </c>
      <c r="K242" s="7" t="str" cm="1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7" t="str" cm="1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7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7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7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7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 cm="1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7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7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7" t="str" cm="1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7" t="str" cm="1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  <c r="Z242" s="7" t="str" cm="1">
        <f t="array" aca="1" ref="Z242" ca="1">IFERROR(IF(OR('Raw Data'!Z242="",LEN(TRIM('Raw Data'!Z242))=0),"",IF(AND(ISNUMBER('Raw Data'!Z242), IFERROR('Raw Data'!Z242 = ROUND('Raw Data'!Z242, 2),FALSE)),"",_xlfn.REGEXEXTRACT(CELL("address",Z242), "\$([A-Z]+)\$[0-9]+"))),_xlfn.REGEXEXTRACT(CELL("address",Z242), "\$([A-Z]+)\$[0-9]+"))</f>
        <v/>
      </c>
      <c r="AA242" s="7" t="str" cm="1">
        <f t="array" aca="1" ref="AA242" ca="1">IFERROR(IF(OR('Raw Data'!AA242="",LEN(TRIM('Raw Data'!AA242))=0),"",IF(AND(ISNUMBER('Raw Data'!AA242), IFERROR('Raw Data'!AA242 = ROUND('Raw Data'!AA242, 2),FALSE)),"",_xlfn.REGEXEXTRACT(CELL("address",AA242), "\$([A-Z]+)\$[0-9]+"))),_xlfn.REGEXEXTRACT(CELL("address",AA242), "\$([A-Z]+)\$[0-9]+"))</f>
        <v/>
      </c>
      <c r="AB242" s="7" t="str" cm="1">
        <f t="array" aca="1" ref="AB242" ca="1">IFERROR(IF(OR('Raw Data'!AB242="",LEN(TRIM('Raw Data'!AB242))=0),"",IF(AND(ISNUMBER('Raw Data'!AB242), IFERROR('Raw Data'!AB242 = ROUND('Raw Data'!AB242, 2),FALSE)),"",_xlfn.REGEXEXTRACT(CELL("address",AB242), "\$([A-Z]+)\$[0-9]+"))),_xlfn.REGEXEXTRACT(CELL("address",AB242), "\$([A-Z]+)\$[0-9]+"))</f>
        <v/>
      </c>
      <c r="AC242" s="7" t="str" cm="1">
        <f t="array" aca="1" ref="AC242" ca="1">IFERROR(IF(OR('Raw Data'!AC242="",LEN(TRIM('Raw Data'!AC242))=0),"",IF(AND(ISNUMBER('Raw Data'!AC242), IFERROR('Raw Data'!AC242 = ROUND('Raw Data'!AC242, 2),FALSE)),"",_xlfn.REGEXEXTRACT(CELL("address",AC242), "\$([A-Z]+)\$[0-9]+"))),_xlfn.REGEXEXTRACT(CELL("address",AC242), "\$([A-Z]+)\$[0-9]+"))</f>
        <v/>
      </c>
      <c r="AD242" s="7" t="str" cm="1">
        <f t="array" aca="1" ref="AD242" ca="1">IFERROR(IF(OR('Raw Data'!AD242="",LEN(TRIM('Raw Data'!AD242))=0),"",IF(AND(ISNUMBER('Raw Data'!AD242), IFERROR('Raw Data'!AD242 = ROUND('Raw Data'!AD242, 2),FALSE)),"",_xlfn.REGEXEXTRACT(CELL("address",AD242), "\$([A-Z]+)\$[0-9]+"))),_xlfn.REGEXEXTRACT(CELL("address",AD242), "\$([A-Z]+)\$[0-9]+"))</f>
        <v/>
      </c>
      <c r="AE242" s="7" t="str" cm="1">
        <f t="array" aca="1" ref="AE242" ca="1">IFERROR(IF(OR('Raw Data'!AE242="",LEN(TRIM('Raw Data'!AE242))=0),"",IF(AND(ISNUMBER('Raw Data'!AE242), IFERROR('Raw Data'!AE242 = ROUND('Raw Data'!AE242, 2),FALSE)),"",_xlfn.REGEXEXTRACT(CELL("address",AE242), "\$([A-Z]+)\$[0-9]+"))),_xlfn.REGEXEXTRACT(CELL("address",AE242), "\$([A-Z]+)\$[0-9]+"))</f>
        <v/>
      </c>
      <c r="AF242" s="7" t="str" cm="1">
        <f t="array" aca="1" ref="AF242" ca="1">IFERROR(IF(OR('Raw Data'!AF242="",LEN(TRIM('Raw Data'!AF242))=0),"",IF(AND(ISNUMBER('Raw Data'!AF242), IFERROR('Raw Data'!AF242 = ROUND('Raw Data'!AF242, 2),FALSE)),"",_xlfn.REGEXEXTRACT(CELL("address",AF242), "\$([A-Z]+)\$[0-9]+"))),_xlfn.REGEXEXTRACT(CELL("address",AF242), "\$([A-Z]+)\$[0-9]+"))</f>
        <v/>
      </c>
      <c r="AG242" s="7" t="str" cm="1">
        <f t="array" aca="1" ref="AG242" ca="1">IFERROR(IF(OR('Raw Data'!AG242="",LEN(TRIM('Raw Data'!AG242))=0),"",IF(AND(ISNUMBER('Raw Data'!AG242), IFERROR('Raw Data'!AG242 = ROUND('Raw Data'!AG242, 2),FALSE)),"",_xlfn.REGEXEXTRACT(CELL("address",AG242), "\$([A-Z]+)\$[0-9]+"))),_xlfn.REGEXEXTRACT(CELL("address",AG242), "\$([A-Z]+)\$[0-9]+"))</f>
        <v/>
      </c>
      <c r="AH242" s="7" t="str" cm="1">
        <f t="array" aca="1" ref="AH242" ca="1">IFERROR(IF(OR('Raw Data'!AH242="",LEN(TRIM('Raw Data'!AH242))=0),"",IF(AND(ISNUMBER('Raw Data'!AH242), IFERROR('Raw Data'!AH242 = ROUND('Raw Data'!AH242, 2),FALSE)),"",_xlfn.REGEXEXTRACT(CELL("address",AH242), "\$([A-Z]+)\$[0-9]+"))),_xlfn.REGEXEXTRACT(CELL("address",AH242), "\$([A-Z]+)\$[0-9]+"))</f>
        <v/>
      </c>
      <c r="AI242" s="7" t="str" cm="1">
        <f t="array" aca="1" ref="AI242" ca="1">IFERROR(IF(OR('Raw Data'!AI242="",LEN(TRIM('Raw Data'!AI242))=0),"",IF(AND(ISNUMBER('Raw Data'!AI242), IFERROR('Raw Data'!AI242 = ROUND('Raw Data'!AI242, 2),FALSE)),"",_xlfn.REGEXEXTRACT(CELL("address",AI242), "\$([A-Z]+)\$[0-9]+"))),_xlfn.REGEXEXTRACT(CELL("address",AI242), "\$([A-Z]+)\$[0-9]+"))</f>
        <v/>
      </c>
      <c r="AJ242" s="7" t="str" cm="1">
        <f t="array" aca="1" ref="AJ242" ca="1">IFERROR(IF(OR('Raw Data'!AJ242="",LEN(TRIM('Raw Data'!AJ242))=0),"",IF(AND(ISNUMBER('Raw Data'!AJ242), IFERROR('Raw Data'!AJ242 = ROUND('Raw Data'!AJ242, 2),FALSE)),"",_xlfn.REGEXEXTRACT(CELL("address",AJ242), "\$([A-Z]+)\$[0-9]+"))),_xlfn.REGEXEXTRACT(CELL("address",AJ242), "\$([A-Z]+)\$[0-9]+"))</f>
        <v/>
      </c>
    </row>
    <row r="243" spans="2:36" x14ac:dyDescent="0.25">
      <c r="B243" s="7" t="str" cm="1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20,LEN('Raw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Data'!D243))=0),"",IF(AND(ISNUMBER('Raw Data'!D243),'Raw Data'!D243&gt;=Configuration!$D$2),"",_xlfn.REGEXEXTRACT(CELL("address",'Raw Data'!D243),"\$([A-Z]+)\$[0-9]+"))),_xlfn.REGEXEXTRACT(CELL("address",D243), "\$([A-Z]+)\$[0-9]+"))</f>
        <v/>
      </c>
      <c r="E243" s="7" t="str" cm="1">
        <f t="array" aca="1" ref="E243" ca="1">IFERROR(IF(OR('Raw Data'!E243="",LEN(TRIM('Raw Data'!E243))=0),"",IF(AND(ISNUMBER('Raw Data'!E243), IFERROR('Raw Data'!E243 = ROUND('Raw Data'!E243, 2),FALSE)),"",_xlfn.REGEXEXTRACT(CELL("address",E243), "\$([A-Z]+)\$[0-9]+"))),_xlfn.REGEXEXTRACT(CELL("address",E243), "\$([A-Z]+)\$[0-9]+"))</f>
        <v/>
      </c>
      <c r="F243" s="7" t="str" cm="1">
        <f t="array" aca="1" ref="F243" ca="1">IFERROR(IF(OR('Raw Data'!F243="",LEN(TRIM('Raw Data'!F243))=0),"",IF(AND(ISNUMBER('Raw Data'!F243), IFERROR('Raw Data'!F243 = ROUND('Raw Data'!F243, 2),FALSE)),"",_xlfn.REGEXEXTRACT(CELL("address",F243), "\$([A-Z]+)\$[0-9]+"))),_xlfn.REGEXEXTRACT(CELL("address",F243), "\$([A-Z]+)\$[0-9]+"))</f>
        <v/>
      </c>
      <c r="G243" s="7" t="str" cm="1">
        <f t="array" aca="1" ref="G243" ca="1">IFERROR(IF(OR('Raw Data'!G243="",LEN(TRIM('Raw Data'!G243))=0),"",IF(AND(ISNUMBER('Raw Data'!G243), IFERROR('Raw Data'!G243 = ROUND('Raw Data'!G243, 2),FALSE)),"",_xlfn.REGEXEXTRACT(CELL("address",G243), "\$([A-Z]+)\$[0-9]+"))),_xlfn.REGEXEXTRACT(CELL("address",G243), "\$([A-Z]+)\$[0-9]+"))</f>
        <v/>
      </c>
      <c r="H243" s="7" t="str" cm="1">
        <f t="array" aca="1" ref="H243" ca="1">IFERROR(IF(OR('Raw Data'!H243="",LEN(TRIM('Raw Data'!H243))=0),"",IF(AND(ISNUMBER('Raw Data'!H243), IFERROR('Raw Data'!H243 = ROUND('Raw Data'!H243, 2),FALSE)),"",_xlfn.REGEXEXTRACT(CELL("address",H243), "\$([A-Z]+)\$[0-9]+"))),_xlfn.REGEXEXTRACT(CELL("address",H243), "\$([A-Z]+)\$[0-9]+"))</f>
        <v/>
      </c>
      <c r="I243" s="7" t="str" cm="1">
        <f t="array" aca="1" ref="I243" ca="1">IFERROR(IF(OR('Raw Data'!I243="",LEN(TRIM('Raw Data'!I243))=0),"",IF(AND(ISNUMBER('Raw Data'!I243), IFERROR('Raw Data'!I243 = ROUND('Raw Data'!I243, 2),FALSE)),"",_xlfn.REGEXEXTRACT(CELL("address",I243), "\$([A-Z]+)\$[0-9]+"))),_xlfn.REGEXEXTRACT(CELL("address",I243), "\$([A-Z]+)\$[0-9]+"))</f>
        <v/>
      </c>
      <c r="J243" s="7" t="str" cm="1">
        <f t="array" aca="1" ref="J243" ca="1">IFERROR(IF(OR('Raw Data'!J243="",LEN(TRIM('Raw Data'!J243))=0),"",IF(AND(ISNUMBER('Raw Data'!J243), IFERROR('Raw Data'!J243 = ROUND('Raw Data'!J243, 2),FALSE)),"",_xlfn.REGEXEXTRACT(CELL("address",J243), "\$([A-Z]+)\$[0-9]+"))),_xlfn.REGEXEXTRACT(CELL("address",J243), "\$([A-Z]+)\$[0-9]+"))</f>
        <v/>
      </c>
      <c r="K243" s="7" t="str" cm="1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7" t="str" cm="1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7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7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7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7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 cm="1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7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7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7" t="str" cm="1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7" t="str" cm="1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  <c r="Z243" s="7" t="str" cm="1">
        <f t="array" aca="1" ref="Z243" ca="1">IFERROR(IF(OR('Raw Data'!Z243="",LEN(TRIM('Raw Data'!Z243))=0),"",IF(AND(ISNUMBER('Raw Data'!Z243), IFERROR('Raw Data'!Z243 = ROUND('Raw Data'!Z243, 2),FALSE)),"",_xlfn.REGEXEXTRACT(CELL("address",Z243), "\$([A-Z]+)\$[0-9]+"))),_xlfn.REGEXEXTRACT(CELL("address",Z243), "\$([A-Z]+)\$[0-9]+"))</f>
        <v/>
      </c>
      <c r="AA243" s="7" t="str" cm="1">
        <f t="array" aca="1" ref="AA243" ca="1">IFERROR(IF(OR('Raw Data'!AA243="",LEN(TRIM('Raw Data'!AA243))=0),"",IF(AND(ISNUMBER('Raw Data'!AA243), IFERROR('Raw Data'!AA243 = ROUND('Raw Data'!AA243, 2),FALSE)),"",_xlfn.REGEXEXTRACT(CELL("address",AA243), "\$([A-Z]+)\$[0-9]+"))),_xlfn.REGEXEXTRACT(CELL("address",AA243), "\$([A-Z]+)\$[0-9]+"))</f>
        <v/>
      </c>
      <c r="AB243" s="7" t="str" cm="1">
        <f t="array" aca="1" ref="AB243" ca="1">IFERROR(IF(OR('Raw Data'!AB243="",LEN(TRIM('Raw Data'!AB243))=0),"",IF(AND(ISNUMBER('Raw Data'!AB243), IFERROR('Raw Data'!AB243 = ROUND('Raw Data'!AB243, 2),FALSE)),"",_xlfn.REGEXEXTRACT(CELL("address",AB243), "\$([A-Z]+)\$[0-9]+"))),_xlfn.REGEXEXTRACT(CELL("address",AB243), "\$([A-Z]+)\$[0-9]+"))</f>
        <v/>
      </c>
      <c r="AC243" s="7" t="str" cm="1">
        <f t="array" aca="1" ref="AC243" ca="1">IFERROR(IF(OR('Raw Data'!AC243="",LEN(TRIM('Raw Data'!AC243))=0),"",IF(AND(ISNUMBER('Raw Data'!AC243), IFERROR('Raw Data'!AC243 = ROUND('Raw Data'!AC243, 2),FALSE)),"",_xlfn.REGEXEXTRACT(CELL("address",AC243), "\$([A-Z]+)\$[0-9]+"))),_xlfn.REGEXEXTRACT(CELL("address",AC243), "\$([A-Z]+)\$[0-9]+"))</f>
        <v/>
      </c>
      <c r="AD243" s="7" t="str" cm="1">
        <f t="array" aca="1" ref="AD243" ca="1">IFERROR(IF(OR('Raw Data'!AD243="",LEN(TRIM('Raw Data'!AD243))=0),"",IF(AND(ISNUMBER('Raw Data'!AD243), IFERROR('Raw Data'!AD243 = ROUND('Raw Data'!AD243, 2),FALSE)),"",_xlfn.REGEXEXTRACT(CELL("address",AD243), "\$([A-Z]+)\$[0-9]+"))),_xlfn.REGEXEXTRACT(CELL("address",AD243), "\$([A-Z]+)\$[0-9]+"))</f>
        <v/>
      </c>
      <c r="AE243" s="7" t="str" cm="1">
        <f t="array" aca="1" ref="AE243" ca="1">IFERROR(IF(OR('Raw Data'!AE243="",LEN(TRIM('Raw Data'!AE243))=0),"",IF(AND(ISNUMBER('Raw Data'!AE243), IFERROR('Raw Data'!AE243 = ROUND('Raw Data'!AE243, 2),FALSE)),"",_xlfn.REGEXEXTRACT(CELL("address",AE243), "\$([A-Z]+)\$[0-9]+"))),_xlfn.REGEXEXTRACT(CELL("address",AE243), "\$([A-Z]+)\$[0-9]+"))</f>
        <v/>
      </c>
      <c r="AF243" s="7" t="str" cm="1">
        <f t="array" aca="1" ref="AF243" ca="1">IFERROR(IF(OR('Raw Data'!AF243="",LEN(TRIM('Raw Data'!AF243))=0),"",IF(AND(ISNUMBER('Raw Data'!AF243), IFERROR('Raw Data'!AF243 = ROUND('Raw Data'!AF243, 2),FALSE)),"",_xlfn.REGEXEXTRACT(CELL("address",AF243), "\$([A-Z]+)\$[0-9]+"))),_xlfn.REGEXEXTRACT(CELL("address",AF243), "\$([A-Z]+)\$[0-9]+"))</f>
        <v/>
      </c>
      <c r="AG243" s="7" t="str" cm="1">
        <f t="array" aca="1" ref="AG243" ca="1">IFERROR(IF(OR('Raw Data'!AG243="",LEN(TRIM('Raw Data'!AG243))=0),"",IF(AND(ISNUMBER('Raw Data'!AG243), IFERROR('Raw Data'!AG243 = ROUND('Raw Data'!AG243, 2),FALSE)),"",_xlfn.REGEXEXTRACT(CELL("address",AG243), "\$([A-Z]+)\$[0-9]+"))),_xlfn.REGEXEXTRACT(CELL("address",AG243), "\$([A-Z]+)\$[0-9]+"))</f>
        <v/>
      </c>
      <c r="AH243" s="7" t="str" cm="1">
        <f t="array" aca="1" ref="AH243" ca="1">IFERROR(IF(OR('Raw Data'!AH243="",LEN(TRIM('Raw Data'!AH243))=0),"",IF(AND(ISNUMBER('Raw Data'!AH243), IFERROR('Raw Data'!AH243 = ROUND('Raw Data'!AH243, 2),FALSE)),"",_xlfn.REGEXEXTRACT(CELL("address",AH243), "\$([A-Z]+)\$[0-9]+"))),_xlfn.REGEXEXTRACT(CELL("address",AH243), "\$([A-Z]+)\$[0-9]+"))</f>
        <v/>
      </c>
      <c r="AI243" s="7" t="str" cm="1">
        <f t="array" aca="1" ref="AI243" ca="1">IFERROR(IF(OR('Raw Data'!AI243="",LEN(TRIM('Raw Data'!AI243))=0),"",IF(AND(ISNUMBER('Raw Data'!AI243), IFERROR('Raw Data'!AI243 = ROUND('Raw Data'!AI243, 2),FALSE)),"",_xlfn.REGEXEXTRACT(CELL("address",AI243), "\$([A-Z]+)\$[0-9]+"))),_xlfn.REGEXEXTRACT(CELL("address",AI243), "\$([A-Z]+)\$[0-9]+"))</f>
        <v/>
      </c>
      <c r="AJ243" s="7" t="str" cm="1">
        <f t="array" aca="1" ref="AJ243" ca="1">IFERROR(IF(OR('Raw Data'!AJ243="",LEN(TRIM('Raw Data'!AJ243))=0),"",IF(AND(ISNUMBER('Raw Data'!AJ243), IFERROR('Raw Data'!AJ243 = ROUND('Raw Data'!AJ243, 2),FALSE)),"",_xlfn.REGEXEXTRACT(CELL("address",AJ243), "\$([A-Z]+)\$[0-9]+"))),_xlfn.REGEXEXTRACT(CELL("address",AJ243), "\$([A-Z]+)\$[0-9]+"))</f>
        <v/>
      </c>
    </row>
    <row r="244" spans="2:36" x14ac:dyDescent="0.25">
      <c r="B244" s="7" t="str" cm="1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20,LEN('Raw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Data'!D244))=0),"",IF(AND(ISNUMBER('Raw Data'!D244),'Raw Data'!D244&gt;=Configuration!$D$2),"",_xlfn.REGEXEXTRACT(CELL("address",'Raw Data'!D244),"\$([A-Z]+)\$[0-9]+"))),_xlfn.REGEXEXTRACT(CELL("address",D244), "\$([A-Z]+)\$[0-9]+"))</f>
        <v/>
      </c>
      <c r="E244" s="7" t="str" cm="1">
        <f t="array" aca="1" ref="E244" ca="1">IFERROR(IF(OR('Raw Data'!E244="",LEN(TRIM('Raw Data'!E244))=0),"",IF(AND(ISNUMBER('Raw Data'!E244), IFERROR('Raw Data'!E244 = ROUND('Raw Data'!E244, 2),FALSE)),"",_xlfn.REGEXEXTRACT(CELL("address",E244), "\$([A-Z]+)\$[0-9]+"))),_xlfn.REGEXEXTRACT(CELL("address",E244), "\$([A-Z]+)\$[0-9]+"))</f>
        <v/>
      </c>
      <c r="F244" s="7" t="str" cm="1">
        <f t="array" aca="1" ref="F244" ca="1">IFERROR(IF(OR('Raw Data'!F244="",LEN(TRIM('Raw Data'!F244))=0),"",IF(AND(ISNUMBER('Raw Data'!F244), IFERROR('Raw Data'!F244 = ROUND('Raw Data'!F244, 2),FALSE)),"",_xlfn.REGEXEXTRACT(CELL("address",F244), "\$([A-Z]+)\$[0-9]+"))),_xlfn.REGEXEXTRACT(CELL("address",F244), "\$([A-Z]+)\$[0-9]+"))</f>
        <v/>
      </c>
      <c r="G244" s="7" t="str" cm="1">
        <f t="array" aca="1" ref="G244" ca="1">IFERROR(IF(OR('Raw Data'!G244="",LEN(TRIM('Raw Data'!G244))=0),"",IF(AND(ISNUMBER('Raw Data'!G244), IFERROR('Raw Data'!G244 = ROUND('Raw Data'!G244, 2),FALSE)),"",_xlfn.REGEXEXTRACT(CELL("address",G244), "\$([A-Z]+)\$[0-9]+"))),_xlfn.REGEXEXTRACT(CELL("address",G244), "\$([A-Z]+)\$[0-9]+"))</f>
        <v/>
      </c>
      <c r="H244" s="7" t="str" cm="1">
        <f t="array" aca="1" ref="H244" ca="1">IFERROR(IF(OR('Raw Data'!H244="",LEN(TRIM('Raw Data'!H244))=0),"",IF(AND(ISNUMBER('Raw Data'!H244), IFERROR('Raw Data'!H244 = ROUND('Raw Data'!H244, 2),FALSE)),"",_xlfn.REGEXEXTRACT(CELL("address",H244), "\$([A-Z]+)\$[0-9]+"))),_xlfn.REGEXEXTRACT(CELL("address",H244), "\$([A-Z]+)\$[0-9]+"))</f>
        <v/>
      </c>
      <c r="I244" s="7" t="str" cm="1">
        <f t="array" aca="1" ref="I244" ca="1">IFERROR(IF(OR('Raw Data'!I244="",LEN(TRIM('Raw Data'!I244))=0),"",IF(AND(ISNUMBER('Raw Data'!I244), IFERROR('Raw Data'!I244 = ROUND('Raw Data'!I244, 2),FALSE)),"",_xlfn.REGEXEXTRACT(CELL("address",I244), "\$([A-Z]+)\$[0-9]+"))),_xlfn.REGEXEXTRACT(CELL("address",I244), "\$([A-Z]+)\$[0-9]+"))</f>
        <v/>
      </c>
      <c r="J244" s="7" t="str" cm="1">
        <f t="array" aca="1" ref="J244" ca="1">IFERROR(IF(OR('Raw Data'!J244="",LEN(TRIM('Raw Data'!J244))=0),"",IF(AND(ISNUMBER('Raw Data'!J244), IFERROR('Raw Data'!J244 = ROUND('Raw Data'!J244, 2),FALSE)),"",_xlfn.REGEXEXTRACT(CELL("address",J244), "\$([A-Z]+)\$[0-9]+"))),_xlfn.REGEXEXTRACT(CELL("address",J244), "\$([A-Z]+)\$[0-9]+"))</f>
        <v/>
      </c>
      <c r="K244" s="7" t="str" cm="1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7" t="str" cm="1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7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7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7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7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 cm="1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7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7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7" t="str" cm="1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7" t="str" cm="1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  <c r="Z244" s="7" t="str" cm="1">
        <f t="array" aca="1" ref="Z244" ca="1">IFERROR(IF(OR('Raw Data'!Z244="",LEN(TRIM('Raw Data'!Z244))=0),"",IF(AND(ISNUMBER('Raw Data'!Z244), IFERROR('Raw Data'!Z244 = ROUND('Raw Data'!Z244, 2),FALSE)),"",_xlfn.REGEXEXTRACT(CELL("address",Z244), "\$([A-Z]+)\$[0-9]+"))),_xlfn.REGEXEXTRACT(CELL("address",Z244), "\$([A-Z]+)\$[0-9]+"))</f>
        <v/>
      </c>
      <c r="AA244" s="7" t="str" cm="1">
        <f t="array" aca="1" ref="AA244" ca="1">IFERROR(IF(OR('Raw Data'!AA244="",LEN(TRIM('Raw Data'!AA244))=0),"",IF(AND(ISNUMBER('Raw Data'!AA244), IFERROR('Raw Data'!AA244 = ROUND('Raw Data'!AA244, 2),FALSE)),"",_xlfn.REGEXEXTRACT(CELL("address",AA244), "\$([A-Z]+)\$[0-9]+"))),_xlfn.REGEXEXTRACT(CELL("address",AA244), "\$([A-Z]+)\$[0-9]+"))</f>
        <v/>
      </c>
      <c r="AB244" s="7" t="str" cm="1">
        <f t="array" aca="1" ref="AB244" ca="1">IFERROR(IF(OR('Raw Data'!AB244="",LEN(TRIM('Raw Data'!AB244))=0),"",IF(AND(ISNUMBER('Raw Data'!AB244), IFERROR('Raw Data'!AB244 = ROUND('Raw Data'!AB244, 2),FALSE)),"",_xlfn.REGEXEXTRACT(CELL("address",AB244), "\$([A-Z]+)\$[0-9]+"))),_xlfn.REGEXEXTRACT(CELL("address",AB244), "\$([A-Z]+)\$[0-9]+"))</f>
        <v/>
      </c>
      <c r="AC244" s="7" t="str" cm="1">
        <f t="array" aca="1" ref="AC244" ca="1">IFERROR(IF(OR('Raw Data'!AC244="",LEN(TRIM('Raw Data'!AC244))=0),"",IF(AND(ISNUMBER('Raw Data'!AC244), IFERROR('Raw Data'!AC244 = ROUND('Raw Data'!AC244, 2),FALSE)),"",_xlfn.REGEXEXTRACT(CELL("address",AC244), "\$([A-Z]+)\$[0-9]+"))),_xlfn.REGEXEXTRACT(CELL("address",AC244), "\$([A-Z]+)\$[0-9]+"))</f>
        <v/>
      </c>
      <c r="AD244" s="7" t="str" cm="1">
        <f t="array" aca="1" ref="AD244" ca="1">IFERROR(IF(OR('Raw Data'!AD244="",LEN(TRIM('Raw Data'!AD244))=0),"",IF(AND(ISNUMBER('Raw Data'!AD244), IFERROR('Raw Data'!AD244 = ROUND('Raw Data'!AD244, 2),FALSE)),"",_xlfn.REGEXEXTRACT(CELL("address",AD244), "\$([A-Z]+)\$[0-9]+"))),_xlfn.REGEXEXTRACT(CELL("address",AD244), "\$([A-Z]+)\$[0-9]+"))</f>
        <v/>
      </c>
      <c r="AE244" s="7" t="str" cm="1">
        <f t="array" aca="1" ref="AE244" ca="1">IFERROR(IF(OR('Raw Data'!AE244="",LEN(TRIM('Raw Data'!AE244))=0),"",IF(AND(ISNUMBER('Raw Data'!AE244), IFERROR('Raw Data'!AE244 = ROUND('Raw Data'!AE244, 2),FALSE)),"",_xlfn.REGEXEXTRACT(CELL("address",AE244), "\$([A-Z]+)\$[0-9]+"))),_xlfn.REGEXEXTRACT(CELL("address",AE244), "\$([A-Z]+)\$[0-9]+"))</f>
        <v/>
      </c>
      <c r="AF244" s="7" t="str" cm="1">
        <f t="array" aca="1" ref="AF244" ca="1">IFERROR(IF(OR('Raw Data'!AF244="",LEN(TRIM('Raw Data'!AF244))=0),"",IF(AND(ISNUMBER('Raw Data'!AF244), IFERROR('Raw Data'!AF244 = ROUND('Raw Data'!AF244, 2),FALSE)),"",_xlfn.REGEXEXTRACT(CELL("address",AF244), "\$([A-Z]+)\$[0-9]+"))),_xlfn.REGEXEXTRACT(CELL("address",AF244), "\$([A-Z]+)\$[0-9]+"))</f>
        <v/>
      </c>
      <c r="AG244" s="7" t="str" cm="1">
        <f t="array" aca="1" ref="AG244" ca="1">IFERROR(IF(OR('Raw Data'!AG244="",LEN(TRIM('Raw Data'!AG244))=0),"",IF(AND(ISNUMBER('Raw Data'!AG244), IFERROR('Raw Data'!AG244 = ROUND('Raw Data'!AG244, 2),FALSE)),"",_xlfn.REGEXEXTRACT(CELL("address",AG244), "\$([A-Z]+)\$[0-9]+"))),_xlfn.REGEXEXTRACT(CELL("address",AG244), "\$([A-Z]+)\$[0-9]+"))</f>
        <v/>
      </c>
      <c r="AH244" s="7" t="str" cm="1">
        <f t="array" aca="1" ref="AH244" ca="1">IFERROR(IF(OR('Raw Data'!AH244="",LEN(TRIM('Raw Data'!AH244))=0),"",IF(AND(ISNUMBER('Raw Data'!AH244), IFERROR('Raw Data'!AH244 = ROUND('Raw Data'!AH244, 2),FALSE)),"",_xlfn.REGEXEXTRACT(CELL("address",AH244), "\$([A-Z]+)\$[0-9]+"))),_xlfn.REGEXEXTRACT(CELL("address",AH244), "\$([A-Z]+)\$[0-9]+"))</f>
        <v/>
      </c>
      <c r="AI244" s="7" t="str" cm="1">
        <f t="array" aca="1" ref="AI244" ca="1">IFERROR(IF(OR('Raw Data'!AI244="",LEN(TRIM('Raw Data'!AI244))=0),"",IF(AND(ISNUMBER('Raw Data'!AI244), IFERROR('Raw Data'!AI244 = ROUND('Raw Data'!AI244, 2),FALSE)),"",_xlfn.REGEXEXTRACT(CELL("address",AI244), "\$([A-Z]+)\$[0-9]+"))),_xlfn.REGEXEXTRACT(CELL("address",AI244), "\$([A-Z]+)\$[0-9]+"))</f>
        <v/>
      </c>
      <c r="AJ244" s="7" t="str" cm="1">
        <f t="array" aca="1" ref="AJ244" ca="1">IFERROR(IF(OR('Raw Data'!AJ244="",LEN(TRIM('Raw Data'!AJ244))=0),"",IF(AND(ISNUMBER('Raw Data'!AJ244), IFERROR('Raw Data'!AJ244 = ROUND('Raw Data'!AJ244, 2),FALSE)),"",_xlfn.REGEXEXTRACT(CELL("address",AJ244), "\$([A-Z]+)\$[0-9]+"))),_xlfn.REGEXEXTRACT(CELL("address",AJ244), "\$([A-Z]+)\$[0-9]+"))</f>
        <v/>
      </c>
    </row>
    <row r="245" spans="2:36" x14ac:dyDescent="0.25">
      <c r="B245" s="7" t="str" cm="1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20,LEN('Raw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Data'!D245))=0),"",IF(AND(ISNUMBER('Raw Data'!D245),'Raw Data'!D245&gt;=Configuration!$D$2),"",_xlfn.REGEXEXTRACT(CELL("address",'Raw Data'!D245),"\$([A-Z]+)\$[0-9]+"))),_xlfn.REGEXEXTRACT(CELL("address",D245), "\$([A-Z]+)\$[0-9]+"))</f>
        <v/>
      </c>
      <c r="E245" s="7" t="str" cm="1">
        <f t="array" aca="1" ref="E245" ca="1">IFERROR(IF(OR('Raw Data'!E245="",LEN(TRIM('Raw Data'!E245))=0),"",IF(AND(ISNUMBER('Raw Data'!E245), IFERROR('Raw Data'!E245 = ROUND('Raw Data'!E245, 2),FALSE)),"",_xlfn.REGEXEXTRACT(CELL("address",E245), "\$([A-Z]+)\$[0-9]+"))),_xlfn.REGEXEXTRACT(CELL("address",E245), "\$([A-Z]+)\$[0-9]+"))</f>
        <v/>
      </c>
      <c r="F245" s="7" t="str" cm="1">
        <f t="array" aca="1" ref="F245" ca="1">IFERROR(IF(OR('Raw Data'!F245="",LEN(TRIM('Raw Data'!F245))=0),"",IF(AND(ISNUMBER('Raw Data'!F245), IFERROR('Raw Data'!F245 = ROUND('Raw Data'!F245, 2),FALSE)),"",_xlfn.REGEXEXTRACT(CELL("address",F245), "\$([A-Z]+)\$[0-9]+"))),_xlfn.REGEXEXTRACT(CELL("address",F245), "\$([A-Z]+)\$[0-9]+"))</f>
        <v/>
      </c>
      <c r="G245" s="7" t="str" cm="1">
        <f t="array" aca="1" ref="G245" ca="1">IFERROR(IF(OR('Raw Data'!G245="",LEN(TRIM('Raw Data'!G245))=0),"",IF(AND(ISNUMBER('Raw Data'!G245), IFERROR('Raw Data'!G245 = ROUND('Raw Data'!G245, 2),FALSE)),"",_xlfn.REGEXEXTRACT(CELL("address",G245), "\$([A-Z]+)\$[0-9]+"))),_xlfn.REGEXEXTRACT(CELL("address",G245), "\$([A-Z]+)\$[0-9]+"))</f>
        <v/>
      </c>
      <c r="H245" s="7" t="str" cm="1">
        <f t="array" aca="1" ref="H245" ca="1">IFERROR(IF(OR('Raw Data'!H245="",LEN(TRIM('Raw Data'!H245))=0),"",IF(AND(ISNUMBER('Raw Data'!H245), IFERROR('Raw Data'!H245 = ROUND('Raw Data'!H245, 2),FALSE)),"",_xlfn.REGEXEXTRACT(CELL("address",H245), "\$([A-Z]+)\$[0-9]+"))),_xlfn.REGEXEXTRACT(CELL("address",H245), "\$([A-Z]+)\$[0-9]+"))</f>
        <v/>
      </c>
      <c r="I245" s="7" t="str" cm="1">
        <f t="array" aca="1" ref="I245" ca="1">IFERROR(IF(OR('Raw Data'!I245="",LEN(TRIM('Raw Data'!I245))=0),"",IF(AND(ISNUMBER('Raw Data'!I245), IFERROR('Raw Data'!I245 = ROUND('Raw Data'!I245, 2),FALSE)),"",_xlfn.REGEXEXTRACT(CELL("address",I245), "\$([A-Z]+)\$[0-9]+"))),_xlfn.REGEXEXTRACT(CELL("address",I245), "\$([A-Z]+)\$[0-9]+"))</f>
        <v/>
      </c>
      <c r="J245" s="7" t="str" cm="1">
        <f t="array" aca="1" ref="J245" ca="1">IFERROR(IF(OR('Raw Data'!J245="",LEN(TRIM('Raw Data'!J245))=0),"",IF(AND(ISNUMBER('Raw Data'!J245), IFERROR('Raw Data'!J245 = ROUND('Raw Data'!J245, 2),FALSE)),"",_xlfn.REGEXEXTRACT(CELL("address",J245), "\$([A-Z]+)\$[0-9]+"))),_xlfn.REGEXEXTRACT(CELL("address",J245), "\$([A-Z]+)\$[0-9]+"))</f>
        <v/>
      </c>
      <c r="K245" s="7" t="str" cm="1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7" t="str" cm="1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7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7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7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7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 cm="1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7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7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7" t="str" cm="1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7" t="str" cm="1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  <c r="Z245" s="7" t="str" cm="1">
        <f t="array" aca="1" ref="Z245" ca="1">IFERROR(IF(OR('Raw Data'!Z245="",LEN(TRIM('Raw Data'!Z245))=0),"",IF(AND(ISNUMBER('Raw Data'!Z245), IFERROR('Raw Data'!Z245 = ROUND('Raw Data'!Z245, 2),FALSE)),"",_xlfn.REGEXEXTRACT(CELL("address",Z245), "\$([A-Z]+)\$[0-9]+"))),_xlfn.REGEXEXTRACT(CELL("address",Z245), "\$([A-Z]+)\$[0-9]+"))</f>
        <v/>
      </c>
      <c r="AA245" s="7" t="str" cm="1">
        <f t="array" aca="1" ref="AA245" ca="1">IFERROR(IF(OR('Raw Data'!AA245="",LEN(TRIM('Raw Data'!AA245))=0),"",IF(AND(ISNUMBER('Raw Data'!AA245), IFERROR('Raw Data'!AA245 = ROUND('Raw Data'!AA245, 2),FALSE)),"",_xlfn.REGEXEXTRACT(CELL("address",AA245), "\$([A-Z]+)\$[0-9]+"))),_xlfn.REGEXEXTRACT(CELL("address",AA245), "\$([A-Z]+)\$[0-9]+"))</f>
        <v/>
      </c>
      <c r="AB245" s="7" t="str" cm="1">
        <f t="array" aca="1" ref="AB245" ca="1">IFERROR(IF(OR('Raw Data'!AB245="",LEN(TRIM('Raw Data'!AB245))=0),"",IF(AND(ISNUMBER('Raw Data'!AB245), IFERROR('Raw Data'!AB245 = ROUND('Raw Data'!AB245, 2),FALSE)),"",_xlfn.REGEXEXTRACT(CELL("address",AB245), "\$([A-Z]+)\$[0-9]+"))),_xlfn.REGEXEXTRACT(CELL("address",AB245), "\$([A-Z]+)\$[0-9]+"))</f>
        <v/>
      </c>
      <c r="AC245" s="7" t="str" cm="1">
        <f t="array" aca="1" ref="AC245" ca="1">IFERROR(IF(OR('Raw Data'!AC245="",LEN(TRIM('Raw Data'!AC245))=0),"",IF(AND(ISNUMBER('Raw Data'!AC245), IFERROR('Raw Data'!AC245 = ROUND('Raw Data'!AC245, 2),FALSE)),"",_xlfn.REGEXEXTRACT(CELL("address",AC245), "\$([A-Z]+)\$[0-9]+"))),_xlfn.REGEXEXTRACT(CELL("address",AC245), "\$([A-Z]+)\$[0-9]+"))</f>
        <v/>
      </c>
      <c r="AD245" s="7" t="str" cm="1">
        <f t="array" aca="1" ref="AD245" ca="1">IFERROR(IF(OR('Raw Data'!AD245="",LEN(TRIM('Raw Data'!AD245))=0),"",IF(AND(ISNUMBER('Raw Data'!AD245), IFERROR('Raw Data'!AD245 = ROUND('Raw Data'!AD245, 2),FALSE)),"",_xlfn.REGEXEXTRACT(CELL("address",AD245), "\$([A-Z]+)\$[0-9]+"))),_xlfn.REGEXEXTRACT(CELL("address",AD245), "\$([A-Z]+)\$[0-9]+"))</f>
        <v/>
      </c>
      <c r="AE245" s="7" t="str" cm="1">
        <f t="array" aca="1" ref="AE245" ca="1">IFERROR(IF(OR('Raw Data'!AE245="",LEN(TRIM('Raw Data'!AE245))=0),"",IF(AND(ISNUMBER('Raw Data'!AE245), IFERROR('Raw Data'!AE245 = ROUND('Raw Data'!AE245, 2),FALSE)),"",_xlfn.REGEXEXTRACT(CELL("address",AE245), "\$([A-Z]+)\$[0-9]+"))),_xlfn.REGEXEXTRACT(CELL("address",AE245), "\$([A-Z]+)\$[0-9]+"))</f>
        <v/>
      </c>
      <c r="AF245" s="7" t="str" cm="1">
        <f t="array" aca="1" ref="AF245" ca="1">IFERROR(IF(OR('Raw Data'!AF245="",LEN(TRIM('Raw Data'!AF245))=0),"",IF(AND(ISNUMBER('Raw Data'!AF245), IFERROR('Raw Data'!AF245 = ROUND('Raw Data'!AF245, 2),FALSE)),"",_xlfn.REGEXEXTRACT(CELL("address",AF245), "\$([A-Z]+)\$[0-9]+"))),_xlfn.REGEXEXTRACT(CELL("address",AF245), "\$([A-Z]+)\$[0-9]+"))</f>
        <v/>
      </c>
      <c r="AG245" s="7" t="str" cm="1">
        <f t="array" aca="1" ref="AG245" ca="1">IFERROR(IF(OR('Raw Data'!AG245="",LEN(TRIM('Raw Data'!AG245))=0),"",IF(AND(ISNUMBER('Raw Data'!AG245), IFERROR('Raw Data'!AG245 = ROUND('Raw Data'!AG245, 2),FALSE)),"",_xlfn.REGEXEXTRACT(CELL("address",AG245), "\$([A-Z]+)\$[0-9]+"))),_xlfn.REGEXEXTRACT(CELL("address",AG245), "\$([A-Z]+)\$[0-9]+"))</f>
        <v/>
      </c>
      <c r="AH245" s="7" t="str" cm="1">
        <f t="array" aca="1" ref="AH245" ca="1">IFERROR(IF(OR('Raw Data'!AH245="",LEN(TRIM('Raw Data'!AH245))=0),"",IF(AND(ISNUMBER('Raw Data'!AH245), IFERROR('Raw Data'!AH245 = ROUND('Raw Data'!AH245, 2),FALSE)),"",_xlfn.REGEXEXTRACT(CELL("address",AH245), "\$([A-Z]+)\$[0-9]+"))),_xlfn.REGEXEXTRACT(CELL("address",AH245), "\$([A-Z]+)\$[0-9]+"))</f>
        <v/>
      </c>
      <c r="AI245" s="7" t="str" cm="1">
        <f t="array" aca="1" ref="AI245" ca="1">IFERROR(IF(OR('Raw Data'!AI245="",LEN(TRIM('Raw Data'!AI245))=0),"",IF(AND(ISNUMBER('Raw Data'!AI245), IFERROR('Raw Data'!AI245 = ROUND('Raw Data'!AI245, 2),FALSE)),"",_xlfn.REGEXEXTRACT(CELL("address",AI245), "\$([A-Z]+)\$[0-9]+"))),_xlfn.REGEXEXTRACT(CELL("address",AI245), "\$([A-Z]+)\$[0-9]+"))</f>
        <v/>
      </c>
      <c r="AJ245" s="7" t="str" cm="1">
        <f t="array" aca="1" ref="AJ245" ca="1">IFERROR(IF(OR('Raw Data'!AJ245="",LEN(TRIM('Raw Data'!AJ245))=0),"",IF(AND(ISNUMBER('Raw Data'!AJ245), IFERROR('Raw Data'!AJ245 = ROUND('Raw Data'!AJ245, 2),FALSE)),"",_xlfn.REGEXEXTRACT(CELL("address",AJ245), "\$([A-Z]+)\$[0-9]+"))),_xlfn.REGEXEXTRACT(CELL("address",AJ245), "\$([A-Z]+)\$[0-9]+"))</f>
        <v/>
      </c>
    </row>
    <row r="246" spans="2:36" x14ac:dyDescent="0.25">
      <c r="B246" s="7" t="str" cm="1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20,LEN('Raw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Data'!D246))=0),"",IF(AND(ISNUMBER('Raw Data'!D246),'Raw Data'!D246&gt;=Configuration!$D$2),"",_xlfn.REGEXEXTRACT(CELL("address",'Raw Data'!D246),"\$([A-Z]+)\$[0-9]+"))),_xlfn.REGEXEXTRACT(CELL("address",D246), "\$([A-Z]+)\$[0-9]+"))</f>
        <v/>
      </c>
      <c r="E246" s="7" t="str" cm="1">
        <f t="array" aca="1" ref="E246" ca="1">IFERROR(IF(OR('Raw Data'!E246="",LEN(TRIM('Raw Data'!E246))=0),"",IF(AND(ISNUMBER('Raw Data'!E246), IFERROR('Raw Data'!E246 = ROUND('Raw Data'!E246, 2),FALSE)),"",_xlfn.REGEXEXTRACT(CELL("address",E246), "\$([A-Z]+)\$[0-9]+"))),_xlfn.REGEXEXTRACT(CELL("address",E246), "\$([A-Z]+)\$[0-9]+"))</f>
        <v/>
      </c>
      <c r="F246" s="7" t="str" cm="1">
        <f t="array" aca="1" ref="F246" ca="1">IFERROR(IF(OR('Raw Data'!F246="",LEN(TRIM('Raw Data'!F246))=0),"",IF(AND(ISNUMBER('Raw Data'!F246), IFERROR('Raw Data'!F246 = ROUND('Raw Data'!F246, 2),FALSE)),"",_xlfn.REGEXEXTRACT(CELL("address",F246), "\$([A-Z]+)\$[0-9]+"))),_xlfn.REGEXEXTRACT(CELL("address",F246), "\$([A-Z]+)\$[0-9]+"))</f>
        <v/>
      </c>
      <c r="G246" s="7" t="str" cm="1">
        <f t="array" aca="1" ref="G246" ca="1">IFERROR(IF(OR('Raw Data'!G246="",LEN(TRIM('Raw Data'!G246))=0),"",IF(AND(ISNUMBER('Raw Data'!G246), IFERROR('Raw Data'!G246 = ROUND('Raw Data'!G246, 2),FALSE)),"",_xlfn.REGEXEXTRACT(CELL("address",G246), "\$([A-Z]+)\$[0-9]+"))),_xlfn.REGEXEXTRACT(CELL("address",G246), "\$([A-Z]+)\$[0-9]+"))</f>
        <v/>
      </c>
      <c r="H246" s="7" t="str" cm="1">
        <f t="array" aca="1" ref="H246" ca="1">IFERROR(IF(OR('Raw Data'!H246="",LEN(TRIM('Raw Data'!H246))=0),"",IF(AND(ISNUMBER('Raw Data'!H246), IFERROR('Raw Data'!H246 = ROUND('Raw Data'!H246, 2),FALSE)),"",_xlfn.REGEXEXTRACT(CELL("address",H246), "\$([A-Z]+)\$[0-9]+"))),_xlfn.REGEXEXTRACT(CELL("address",H246), "\$([A-Z]+)\$[0-9]+"))</f>
        <v/>
      </c>
      <c r="I246" s="7" t="str" cm="1">
        <f t="array" aca="1" ref="I246" ca="1">IFERROR(IF(OR('Raw Data'!I246="",LEN(TRIM('Raw Data'!I246))=0),"",IF(AND(ISNUMBER('Raw Data'!I246), IFERROR('Raw Data'!I246 = ROUND('Raw Data'!I246, 2),FALSE)),"",_xlfn.REGEXEXTRACT(CELL("address",I246), "\$([A-Z]+)\$[0-9]+"))),_xlfn.REGEXEXTRACT(CELL("address",I246), "\$([A-Z]+)\$[0-9]+"))</f>
        <v/>
      </c>
      <c r="J246" s="7" t="str" cm="1">
        <f t="array" aca="1" ref="J246" ca="1">IFERROR(IF(OR('Raw Data'!J246="",LEN(TRIM('Raw Data'!J246))=0),"",IF(AND(ISNUMBER('Raw Data'!J246), IFERROR('Raw Data'!J246 = ROUND('Raw Data'!J246, 2),FALSE)),"",_xlfn.REGEXEXTRACT(CELL("address",J246), "\$([A-Z]+)\$[0-9]+"))),_xlfn.REGEXEXTRACT(CELL("address",J246), "\$([A-Z]+)\$[0-9]+"))</f>
        <v/>
      </c>
      <c r="K246" s="7" t="str" cm="1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7" t="str" cm="1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7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7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7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7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 cm="1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7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7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7" t="str" cm="1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7" t="str" cm="1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  <c r="Z246" s="7" t="str" cm="1">
        <f t="array" aca="1" ref="Z246" ca="1">IFERROR(IF(OR('Raw Data'!Z246="",LEN(TRIM('Raw Data'!Z246))=0),"",IF(AND(ISNUMBER('Raw Data'!Z246), IFERROR('Raw Data'!Z246 = ROUND('Raw Data'!Z246, 2),FALSE)),"",_xlfn.REGEXEXTRACT(CELL("address",Z246), "\$([A-Z]+)\$[0-9]+"))),_xlfn.REGEXEXTRACT(CELL("address",Z246), "\$([A-Z]+)\$[0-9]+"))</f>
        <v/>
      </c>
      <c r="AA246" s="7" t="str" cm="1">
        <f t="array" aca="1" ref="AA246" ca="1">IFERROR(IF(OR('Raw Data'!AA246="",LEN(TRIM('Raw Data'!AA246))=0),"",IF(AND(ISNUMBER('Raw Data'!AA246), IFERROR('Raw Data'!AA246 = ROUND('Raw Data'!AA246, 2),FALSE)),"",_xlfn.REGEXEXTRACT(CELL("address",AA246), "\$([A-Z]+)\$[0-9]+"))),_xlfn.REGEXEXTRACT(CELL("address",AA246), "\$([A-Z]+)\$[0-9]+"))</f>
        <v/>
      </c>
      <c r="AB246" s="7" t="str" cm="1">
        <f t="array" aca="1" ref="AB246" ca="1">IFERROR(IF(OR('Raw Data'!AB246="",LEN(TRIM('Raw Data'!AB246))=0),"",IF(AND(ISNUMBER('Raw Data'!AB246), IFERROR('Raw Data'!AB246 = ROUND('Raw Data'!AB246, 2),FALSE)),"",_xlfn.REGEXEXTRACT(CELL("address",AB246), "\$([A-Z]+)\$[0-9]+"))),_xlfn.REGEXEXTRACT(CELL("address",AB246), "\$([A-Z]+)\$[0-9]+"))</f>
        <v/>
      </c>
      <c r="AC246" s="7" t="str" cm="1">
        <f t="array" aca="1" ref="AC246" ca="1">IFERROR(IF(OR('Raw Data'!AC246="",LEN(TRIM('Raw Data'!AC246))=0),"",IF(AND(ISNUMBER('Raw Data'!AC246), IFERROR('Raw Data'!AC246 = ROUND('Raw Data'!AC246, 2),FALSE)),"",_xlfn.REGEXEXTRACT(CELL("address",AC246), "\$([A-Z]+)\$[0-9]+"))),_xlfn.REGEXEXTRACT(CELL("address",AC246), "\$([A-Z]+)\$[0-9]+"))</f>
        <v/>
      </c>
      <c r="AD246" s="7" t="str" cm="1">
        <f t="array" aca="1" ref="AD246" ca="1">IFERROR(IF(OR('Raw Data'!AD246="",LEN(TRIM('Raw Data'!AD246))=0),"",IF(AND(ISNUMBER('Raw Data'!AD246), IFERROR('Raw Data'!AD246 = ROUND('Raw Data'!AD246, 2),FALSE)),"",_xlfn.REGEXEXTRACT(CELL("address",AD246), "\$([A-Z]+)\$[0-9]+"))),_xlfn.REGEXEXTRACT(CELL("address",AD246), "\$([A-Z]+)\$[0-9]+"))</f>
        <v/>
      </c>
      <c r="AE246" s="7" t="str" cm="1">
        <f t="array" aca="1" ref="AE246" ca="1">IFERROR(IF(OR('Raw Data'!AE246="",LEN(TRIM('Raw Data'!AE246))=0),"",IF(AND(ISNUMBER('Raw Data'!AE246), IFERROR('Raw Data'!AE246 = ROUND('Raw Data'!AE246, 2),FALSE)),"",_xlfn.REGEXEXTRACT(CELL("address",AE246), "\$([A-Z]+)\$[0-9]+"))),_xlfn.REGEXEXTRACT(CELL("address",AE246), "\$([A-Z]+)\$[0-9]+"))</f>
        <v/>
      </c>
      <c r="AF246" s="7" t="str" cm="1">
        <f t="array" aca="1" ref="AF246" ca="1">IFERROR(IF(OR('Raw Data'!AF246="",LEN(TRIM('Raw Data'!AF246))=0),"",IF(AND(ISNUMBER('Raw Data'!AF246), IFERROR('Raw Data'!AF246 = ROUND('Raw Data'!AF246, 2),FALSE)),"",_xlfn.REGEXEXTRACT(CELL("address",AF246), "\$([A-Z]+)\$[0-9]+"))),_xlfn.REGEXEXTRACT(CELL("address",AF246), "\$([A-Z]+)\$[0-9]+"))</f>
        <v/>
      </c>
      <c r="AG246" s="7" t="str" cm="1">
        <f t="array" aca="1" ref="AG246" ca="1">IFERROR(IF(OR('Raw Data'!AG246="",LEN(TRIM('Raw Data'!AG246))=0),"",IF(AND(ISNUMBER('Raw Data'!AG246), IFERROR('Raw Data'!AG246 = ROUND('Raw Data'!AG246, 2),FALSE)),"",_xlfn.REGEXEXTRACT(CELL("address",AG246), "\$([A-Z]+)\$[0-9]+"))),_xlfn.REGEXEXTRACT(CELL("address",AG246), "\$([A-Z]+)\$[0-9]+"))</f>
        <v/>
      </c>
      <c r="AH246" s="7" t="str" cm="1">
        <f t="array" aca="1" ref="AH246" ca="1">IFERROR(IF(OR('Raw Data'!AH246="",LEN(TRIM('Raw Data'!AH246))=0),"",IF(AND(ISNUMBER('Raw Data'!AH246), IFERROR('Raw Data'!AH246 = ROUND('Raw Data'!AH246, 2),FALSE)),"",_xlfn.REGEXEXTRACT(CELL("address",AH246), "\$([A-Z]+)\$[0-9]+"))),_xlfn.REGEXEXTRACT(CELL("address",AH246), "\$([A-Z]+)\$[0-9]+"))</f>
        <v/>
      </c>
      <c r="AI246" s="7" t="str" cm="1">
        <f t="array" aca="1" ref="AI246" ca="1">IFERROR(IF(OR('Raw Data'!AI246="",LEN(TRIM('Raw Data'!AI246))=0),"",IF(AND(ISNUMBER('Raw Data'!AI246), IFERROR('Raw Data'!AI246 = ROUND('Raw Data'!AI246, 2),FALSE)),"",_xlfn.REGEXEXTRACT(CELL("address",AI246), "\$([A-Z]+)\$[0-9]+"))),_xlfn.REGEXEXTRACT(CELL("address",AI246), "\$([A-Z]+)\$[0-9]+"))</f>
        <v/>
      </c>
      <c r="AJ246" s="7" t="str" cm="1">
        <f t="array" aca="1" ref="AJ246" ca="1">IFERROR(IF(OR('Raw Data'!AJ246="",LEN(TRIM('Raw Data'!AJ246))=0),"",IF(AND(ISNUMBER('Raw Data'!AJ246), IFERROR('Raw Data'!AJ246 = ROUND('Raw Data'!AJ246, 2),FALSE)),"",_xlfn.REGEXEXTRACT(CELL("address",AJ246), "\$([A-Z]+)\$[0-9]+"))),_xlfn.REGEXEXTRACT(CELL("address",AJ246), "\$([A-Z]+)\$[0-9]+"))</f>
        <v/>
      </c>
    </row>
    <row r="247" spans="2:36" x14ac:dyDescent="0.25">
      <c r="B247" s="7" t="str" cm="1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20,LEN('Raw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Data'!D247))=0),"",IF(AND(ISNUMBER('Raw Data'!D247),'Raw Data'!D247&gt;=Configuration!$D$2),"",_xlfn.REGEXEXTRACT(CELL("address",'Raw Data'!D247),"\$([A-Z]+)\$[0-9]+"))),_xlfn.REGEXEXTRACT(CELL("address",D247), "\$([A-Z]+)\$[0-9]+"))</f>
        <v/>
      </c>
      <c r="E247" s="7" t="str" cm="1">
        <f t="array" aca="1" ref="E247" ca="1">IFERROR(IF(OR('Raw Data'!E247="",LEN(TRIM('Raw Data'!E247))=0),"",IF(AND(ISNUMBER('Raw Data'!E247), IFERROR('Raw Data'!E247 = ROUND('Raw Data'!E247, 2),FALSE)),"",_xlfn.REGEXEXTRACT(CELL("address",E247), "\$([A-Z]+)\$[0-9]+"))),_xlfn.REGEXEXTRACT(CELL("address",E247), "\$([A-Z]+)\$[0-9]+"))</f>
        <v/>
      </c>
      <c r="F247" s="7" t="str" cm="1">
        <f t="array" aca="1" ref="F247" ca="1">IFERROR(IF(OR('Raw Data'!F247="",LEN(TRIM('Raw Data'!F247))=0),"",IF(AND(ISNUMBER('Raw Data'!F247), IFERROR('Raw Data'!F247 = ROUND('Raw Data'!F247, 2),FALSE)),"",_xlfn.REGEXEXTRACT(CELL("address",F247), "\$([A-Z]+)\$[0-9]+"))),_xlfn.REGEXEXTRACT(CELL("address",F247), "\$([A-Z]+)\$[0-9]+"))</f>
        <v/>
      </c>
      <c r="G247" s="7" t="str" cm="1">
        <f t="array" aca="1" ref="G247" ca="1">IFERROR(IF(OR('Raw Data'!G247="",LEN(TRIM('Raw Data'!G247))=0),"",IF(AND(ISNUMBER('Raw Data'!G247), IFERROR('Raw Data'!G247 = ROUND('Raw Data'!G247, 2),FALSE)),"",_xlfn.REGEXEXTRACT(CELL("address",G247), "\$([A-Z]+)\$[0-9]+"))),_xlfn.REGEXEXTRACT(CELL("address",G247), "\$([A-Z]+)\$[0-9]+"))</f>
        <v/>
      </c>
      <c r="H247" s="7" t="str" cm="1">
        <f t="array" aca="1" ref="H247" ca="1">IFERROR(IF(OR('Raw Data'!H247="",LEN(TRIM('Raw Data'!H247))=0),"",IF(AND(ISNUMBER('Raw Data'!H247), IFERROR('Raw Data'!H247 = ROUND('Raw Data'!H247, 2),FALSE)),"",_xlfn.REGEXEXTRACT(CELL("address",H247), "\$([A-Z]+)\$[0-9]+"))),_xlfn.REGEXEXTRACT(CELL("address",H247), "\$([A-Z]+)\$[0-9]+"))</f>
        <v/>
      </c>
      <c r="I247" s="7" t="str" cm="1">
        <f t="array" aca="1" ref="I247" ca="1">IFERROR(IF(OR('Raw Data'!I247="",LEN(TRIM('Raw Data'!I247))=0),"",IF(AND(ISNUMBER('Raw Data'!I247), IFERROR('Raw Data'!I247 = ROUND('Raw Data'!I247, 2),FALSE)),"",_xlfn.REGEXEXTRACT(CELL("address",I247), "\$([A-Z]+)\$[0-9]+"))),_xlfn.REGEXEXTRACT(CELL("address",I247), "\$([A-Z]+)\$[0-9]+"))</f>
        <v/>
      </c>
      <c r="J247" s="7" t="str" cm="1">
        <f t="array" aca="1" ref="J247" ca="1">IFERROR(IF(OR('Raw Data'!J247="",LEN(TRIM('Raw Data'!J247))=0),"",IF(AND(ISNUMBER('Raw Data'!J247), IFERROR('Raw Data'!J247 = ROUND('Raw Data'!J247, 2),FALSE)),"",_xlfn.REGEXEXTRACT(CELL("address",J247), "\$([A-Z]+)\$[0-9]+"))),_xlfn.REGEXEXTRACT(CELL("address",J247), "\$([A-Z]+)\$[0-9]+"))</f>
        <v/>
      </c>
      <c r="K247" s="7" t="str" cm="1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7" t="str" cm="1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7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7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7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7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 cm="1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7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7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7" t="str" cm="1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7" t="str" cm="1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  <c r="Z247" s="7" t="str" cm="1">
        <f t="array" aca="1" ref="Z247" ca="1">IFERROR(IF(OR('Raw Data'!Z247="",LEN(TRIM('Raw Data'!Z247))=0),"",IF(AND(ISNUMBER('Raw Data'!Z247), IFERROR('Raw Data'!Z247 = ROUND('Raw Data'!Z247, 2),FALSE)),"",_xlfn.REGEXEXTRACT(CELL("address",Z247), "\$([A-Z]+)\$[0-9]+"))),_xlfn.REGEXEXTRACT(CELL("address",Z247), "\$([A-Z]+)\$[0-9]+"))</f>
        <v/>
      </c>
      <c r="AA247" s="7" t="str" cm="1">
        <f t="array" aca="1" ref="AA247" ca="1">IFERROR(IF(OR('Raw Data'!AA247="",LEN(TRIM('Raw Data'!AA247))=0),"",IF(AND(ISNUMBER('Raw Data'!AA247), IFERROR('Raw Data'!AA247 = ROUND('Raw Data'!AA247, 2),FALSE)),"",_xlfn.REGEXEXTRACT(CELL("address",AA247), "\$([A-Z]+)\$[0-9]+"))),_xlfn.REGEXEXTRACT(CELL("address",AA247), "\$([A-Z]+)\$[0-9]+"))</f>
        <v/>
      </c>
      <c r="AB247" s="7" t="str" cm="1">
        <f t="array" aca="1" ref="AB247" ca="1">IFERROR(IF(OR('Raw Data'!AB247="",LEN(TRIM('Raw Data'!AB247))=0),"",IF(AND(ISNUMBER('Raw Data'!AB247), IFERROR('Raw Data'!AB247 = ROUND('Raw Data'!AB247, 2),FALSE)),"",_xlfn.REGEXEXTRACT(CELL("address",AB247), "\$([A-Z]+)\$[0-9]+"))),_xlfn.REGEXEXTRACT(CELL("address",AB247), "\$([A-Z]+)\$[0-9]+"))</f>
        <v/>
      </c>
      <c r="AC247" s="7" t="str" cm="1">
        <f t="array" aca="1" ref="AC247" ca="1">IFERROR(IF(OR('Raw Data'!AC247="",LEN(TRIM('Raw Data'!AC247))=0),"",IF(AND(ISNUMBER('Raw Data'!AC247), IFERROR('Raw Data'!AC247 = ROUND('Raw Data'!AC247, 2),FALSE)),"",_xlfn.REGEXEXTRACT(CELL("address",AC247), "\$([A-Z]+)\$[0-9]+"))),_xlfn.REGEXEXTRACT(CELL("address",AC247), "\$([A-Z]+)\$[0-9]+"))</f>
        <v/>
      </c>
      <c r="AD247" s="7" t="str" cm="1">
        <f t="array" aca="1" ref="AD247" ca="1">IFERROR(IF(OR('Raw Data'!AD247="",LEN(TRIM('Raw Data'!AD247))=0),"",IF(AND(ISNUMBER('Raw Data'!AD247), IFERROR('Raw Data'!AD247 = ROUND('Raw Data'!AD247, 2),FALSE)),"",_xlfn.REGEXEXTRACT(CELL("address",AD247), "\$([A-Z]+)\$[0-9]+"))),_xlfn.REGEXEXTRACT(CELL("address",AD247), "\$([A-Z]+)\$[0-9]+"))</f>
        <v/>
      </c>
      <c r="AE247" s="7" t="str" cm="1">
        <f t="array" aca="1" ref="AE247" ca="1">IFERROR(IF(OR('Raw Data'!AE247="",LEN(TRIM('Raw Data'!AE247))=0),"",IF(AND(ISNUMBER('Raw Data'!AE247), IFERROR('Raw Data'!AE247 = ROUND('Raw Data'!AE247, 2),FALSE)),"",_xlfn.REGEXEXTRACT(CELL("address",AE247), "\$([A-Z]+)\$[0-9]+"))),_xlfn.REGEXEXTRACT(CELL("address",AE247), "\$([A-Z]+)\$[0-9]+"))</f>
        <v/>
      </c>
      <c r="AF247" s="7" t="str" cm="1">
        <f t="array" aca="1" ref="AF247" ca="1">IFERROR(IF(OR('Raw Data'!AF247="",LEN(TRIM('Raw Data'!AF247))=0),"",IF(AND(ISNUMBER('Raw Data'!AF247), IFERROR('Raw Data'!AF247 = ROUND('Raw Data'!AF247, 2),FALSE)),"",_xlfn.REGEXEXTRACT(CELL("address",AF247), "\$([A-Z]+)\$[0-9]+"))),_xlfn.REGEXEXTRACT(CELL("address",AF247), "\$([A-Z]+)\$[0-9]+"))</f>
        <v/>
      </c>
      <c r="AG247" s="7" t="str" cm="1">
        <f t="array" aca="1" ref="AG247" ca="1">IFERROR(IF(OR('Raw Data'!AG247="",LEN(TRIM('Raw Data'!AG247))=0),"",IF(AND(ISNUMBER('Raw Data'!AG247), IFERROR('Raw Data'!AG247 = ROUND('Raw Data'!AG247, 2),FALSE)),"",_xlfn.REGEXEXTRACT(CELL("address",AG247), "\$([A-Z]+)\$[0-9]+"))),_xlfn.REGEXEXTRACT(CELL("address",AG247), "\$([A-Z]+)\$[0-9]+"))</f>
        <v/>
      </c>
      <c r="AH247" s="7" t="str" cm="1">
        <f t="array" aca="1" ref="AH247" ca="1">IFERROR(IF(OR('Raw Data'!AH247="",LEN(TRIM('Raw Data'!AH247))=0),"",IF(AND(ISNUMBER('Raw Data'!AH247), IFERROR('Raw Data'!AH247 = ROUND('Raw Data'!AH247, 2),FALSE)),"",_xlfn.REGEXEXTRACT(CELL("address",AH247), "\$([A-Z]+)\$[0-9]+"))),_xlfn.REGEXEXTRACT(CELL("address",AH247), "\$([A-Z]+)\$[0-9]+"))</f>
        <v/>
      </c>
      <c r="AI247" s="7" t="str" cm="1">
        <f t="array" aca="1" ref="AI247" ca="1">IFERROR(IF(OR('Raw Data'!AI247="",LEN(TRIM('Raw Data'!AI247))=0),"",IF(AND(ISNUMBER('Raw Data'!AI247), IFERROR('Raw Data'!AI247 = ROUND('Raw Data'!AI247, 2),FALSE)),"",_xlfn.REGEXEXTRACT(CELL("address",AI247), "\$([A-Z]+)\$[0-9]+"))),_xlfn.REGEXEXTRACT(CELL("address",AI247), "\$([A-Z]+)\$[0-9]+"))</f>
        <v/>
      </c>
      <c r="AJ247" s="7" t="str" cm="1">
        <f t="array" aca="1" ref="AJ247" ca="1">IFERROR(IF(OR('Raw Data'!AJ247="",LEN(TRIM('Raw Data'!AJ247))=0),"",IF(AND(ISNUMBER('Raw Data'!AJ247), IFERROR('Raw Data'!AJ247 = ROUND('Raw Data'!AJ247, 2),FALSE)),"",_xlfn.REGEXEXTRACT(CELL("address",AJ247), "\$([A-Z]+)\$[0-9]+"))),_xlfn.REGEXEXTRACT(CELL("address",AJ247), "\$([A-Z]+)\$[0-9]+"))</f>
        <v/>
      </c>
    </row>
    <row r="248" spans="2:36" x14ac:dyDescent="0.25">
      <c r="B248" s="7" t="str" cm="1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20,LEN('Raw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Data'!D248))=0),"",IF(AND(ISNUMBER('Raw Data'!D248),'Raw Data'!D248&gt;=Configuration!$D$2),"",_xlfn.REGEXEXTRACT(CELL("address",'Raw Data'!D248),"\$([A-Z]+)\$[0-9]+"))),_xlfn.REGEXEXTRACT(CELL("address",D248), "\$([A-Z]+)\$[0-9]+"))</f>
        <v/>
      </c>
      <c r="E248" s="7" t="str" cm="1">
        <f t="array" aca="1" ref="E248" ca="1">IFERROR(IF(OR('Raw Data'!E248="",LEN(TRIM('Raw Data'!E248))=0),"",IF(AND(ISNUMBER('Raw Data'!E248), IFERROR('Raw Data'!E248 = ROUND('Raw Data'!E248, 2),FALSE)),"",_xlfn.REGEXEXTRACT(CELL("address",E248), "\$([A-Z]+)\$[0-9]+"))),_xlfn.REGEXEXTRACT(CELL("address",E248), "\$([A-Z]+)\$[0-9]+"))</f>
        <v/>
      </c>
      <c r="F248" s="7" t="str" cm="1">
        <f t="array" aca="1" ref="F248" ca="1">IFERROR(IF(OR('Raw Data'!F248="",LEN(TRIM('Raw Data'!F248))=0),"",IF(AND(ISNUMBER('Raw Data'!F248), IFERROR('Raw Data'!F248 = ROUND('Raw Data'!F248, 2),FALSE)),"",_xlfn.REGEXEXTRACT(CELL("address",F248), "\$([A-Z]+)\$[0-9]+"))),_xlfn.REGEXEXTRACT(CELL("address",F248), "\$([A-Z]+)\$[0-9]+"))</f>
        <v/>
      </c>
      <c r="G248" s="7" t="str" cm="1">
        <f t="array" aca="1" ref="G248" ca="1">IFERROR(IF(OR('Raw Data'!G248="",LEN(TRIM('Raw Data'!G248))=0),"",IF(AND(ISNUMBER('Raw Data'!G248), IFERROR('Raw Data'!G248 = ROUND('Raw Data'!G248, 2),FALSE)),"",_xlfn.REGEXEXTRACT(CELL("address",G248), "\$([A-Z]+)\$[0-9]+"))),_xlfn.REGEXEXTRACT(CELL("address",G248), "\$([A-Z]+)\$[0-9]+"))</f>
        <v/>
      </c>
      <c r="H248" s="7" t="str" cm="1">
        <f t="array" aca="1" ref="H248" ca="1">IFERROR(IF(OR('Raw Data'!H248="",LEN(TRIM('Raw Data'!H248))=0),"",IF(AND(ISNUMBER('Raw Data'!H248), IFERROR('Raw Data'!H248 = ROUND('Raw Data'!H248, 2),FALSE)),"",_xlfn.REGEXEXTRACT(CELL("address",H248), "\$([A-Z]+)\$[0-9]+"))),_xlfn.REGEXEXTRACT(CELL("address",H248), "\$([A-Z]+)\$[0-9]+"))</f>
        <v/>
      </c>
      <c r="I248" s="7" t="str" cm="1">
        <f t="array" aca="1" ref="I248" ca="1">IFERROR(IF(OR('Raw Data'!I248="",LEN(TRIM('Raw Data'!I248))=0),"",IF(AND(ISNUMBER('Raw Data'!I248), IFERROR('Raw Data'!I248 = ROUND('Raw Data'!I248, 2),FALSE)),"",_xlfn.REGEXEXTRACT(CELL("address",I248), "\$([A-Z]+)\$[0-9]+"))),_xlfn.REGEXEXTRACT(CELL("address",I248), "\$([A-Z]+)\$[0-9]+"))</f>
        <v/>
      </c>
      <c r="J248" s="7" t="str" cm="1">
        <f t="array" aca="1" ref="J248" ca="1">IFERROR(IF(OR('Raw Data'!J248="",LEN(TRIM('Raw Data'!J248))=0),"",IF(AND(ISNUMBER('Raw Data'!J248), IFERROR('Raw Data'!J248 = ROUND('Raw Data'!J248, 2),FALSE)),"",_xlfn.REGEXEXTRACT(CELL("address",J248), "\$([A-Z]+)\$[0-9]+"))),_xlfn.REGEXEXTRACT(CELL("address",J248), "\$([A-Z]+)\$[0-9]+"))</f>
        <v/>
      </c>
      <c r="K248" s="7" t="str" cm="1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7" t="str" cm="1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7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7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7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7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 cm="1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7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7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7" t="str" cm="1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7" t="str" cm="1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  <c r="Z248" s="7" t="str" cm="1">
        <f t="array" aca="1" ref="Z248" ca="1">IFERROR(IF(OR('Raw Data'!Z248="",LEN(TRIM('Raw Data'!Z248))=0),"",IF(AND(ISNUMBER('Raw Data'!Z248), IFERROR('Raw Data'!Z248 = ROUND('Raw Data'!Z248, 2),FALSE)),"",_xlfn.REGEXEXTRACT(CELL("address",Z248), "\$([A-Z]+)\$[0-9]+"))),_xlfn.REGEXEXTRACT(CELL("address",Z248), "\$([A-Z]+)\$[0-9]+"))</f>
        <v/>
      </c>
      <c r="AA248" s="7" t="str" cm="1">
        <f t="array" aca="1" ref="AA248" ca="1">IFERROR(IF(OR('Raw Data'!AA248="",LEN(TRIM('Raw Data'!AA248))=0),"",IF(AND(ISNUMBER('Raw Data'!AA248), IFERROR('Raw Data'!AA248 = ROUND('Raw Data'!AA248, 2),FALSE)),"",_xlfn.REGEXEXTRACT(CELL("address",AA248), "\$([A-Z]+)\$[0-9]+"))),_xlfn.REGEXEXTRACT(CELL("address",AA248), "\$([A-Z]+)\$[0-9]+"))</f>
        <v/>
      </c>
      <c r="AB248" s="7" t="str" cm="1">
        <f t="array" aca="1" ref="AB248" ca="1">IFERROR(IF(OR('Raw Data'!AB248="",LEN(TRIM('Raw Data'!AB248))=0),"",IF(AND(ISNUMBER('Raw Data'!AB248), IFERROR('Raw Data'!AB248 = ROUND('Raw Data'!AB248, 2),FALSE)),"",_xlfn.REGEXEXTRACT(CELL("address",AB248), "\$([A-Z]+)\$[0-9]+"))),_xlfn.REGEXEXTRACT(CELL("address",AB248), "\$([A-Z]+)\$[0-9]+"))</f>
        <v/>
      </c>
      <c r="AC248" s="7" t="str" cm="1">
        <f t="array" aca="1" ref="AC248" ca="1">IFERROR(IF(OR('Raw Data'!AC248="",LEN(TRIM('Raw Data'!AC248))=0),"",IF(AND(ISNUMBER('Raw Data'!AC248), IFERROR('Raw Data'!AC248 = ROUND('Raw Data'!AC248, 2),FALSE)),"",_xlfn.REGEXEXTRACT(CELL("address",AC248), "\$([A-Z]+)\$[0-9]+"))),_xlfn.REGEXEXTRACT(CELL("address",AC248), "\$([A-Z]+)\$[0-9]+"))</f>
        <v/>
      </c>
      <c r="AD248" s="7" t="str" cm="1">
        <f t="array" aca="1" ref="AD248" ca="1">IFERROR(IF(OR('Raw Data'!AD248="",LEN(TRIM('Raw Data'!AD248))=0),"",IF(AND(ISNUMBER('Raw Data'!AD248), IFERROR('Raw Data'!AD248 = ROUND('Raw Data'!AD248, 2),FALSE)),"",_xlfn.REGEXEXTRACT(CELL("address",AD248), "\$([A-Z]+)\$[0-9]+"))),_xlfn.REGEXEXTRACT(CELL("address",AD248), "\$([A-Z]+)\$[0-9]+"))</f>
        <v/>
      </c>
      <c r="AE248" s="7" t="str" cm="1">
        <f t="array" aca="1" ref="AE248" ca="1">IFERROR(IF(OR('Raw Data'!AE248="",LEN(TRIM('Raw Data'!AE248))=0),"",IF(AND(ISNUMBER('Raw Data'!AE248), IFERROR('Raw Data'!AE248 = ROUND('Raw Data'!AE248, 2),FALSE)),"",_xlfn.REGEXEXTRACT(CELL("address",AE248), "\$([A-Z]+)\$[0-9]+"))),_xlfn.REGEXEXTRACT(CELL("address",AE248), "\$([A-Z]+)\$[0-9]+"))</f>
        <v/>
      </c>
      <c r="AF248" s="7" t="str" cm="1">
        <f t="array" aca="1" ref="AF248" ca="1">IFERROR(IF(OR('Raw Data'!AF248="",LEN(TRIM('Raw Data'!AF248))=0),"",IF(AND(ISNUMBER('Raw Data'!AF248), IFERROR('Raw Data'!AF248 = ROUND('Raw Data'!AF248, 2),FALSE)),"",_xlfn.REGEXEXTRACT(CELL("address",AF248), "\$([A-Z]+)\$[0-9]+"))),_xlfn.REGEXEXTRACT(CELL("address",AF248), "\$([A-Z]+)\$[0-9]+"))</f>
        <v/>
      </c>
      <c r="AG248" s="7" t="str" cm="1">
        <f t="array" aca="1" ref="AG248" ca="1">IFERROR(IF(OR('Raw Data'!AG248="",LEN(TRIM('Raw Data'!AG248))=0),"",IF(AND(ISNUMBER('Raw Data'!AG248), IFERROR('Raw Data'!AG248 = ROUND('Raw Data'!AG248, 2),FALSE)),"",_xlfn.REGEXEXTRACT(CELL("address",AG248), "\$([A-Z]+)\$[0-9]+"))),_xlfn.REGEXEXTRACT(CELL("address",AG248), "\$([A-Z]+)\$[0-9]+"))</f>
        <v/>
      </c>
      <c r="AH248" s="7" t="str" cm="1">
        <f t="array" aca="1" ref="AH248" ca="1">IFERROR(IF(OR('Raw Data'!AH248="",LEN(TRIM('Raw Data'!AH248))=0),"",IF(AND(ISNUMBER('Raw Data'!AH248), IFERROR('Raw Data'!AH248 = ROUND('Raw Data'!AH248, 2),FALSE)),"",_xlfn.REGEXEXTRACT(CELL("address",AH248), "\$([A-Z]+)\$[0-9]+"))),_xlfn.REGEXEXTRACT(CELL("address",AH248), "\$([A-Z]+)\$[0-9]+"))</f>
        <v/>
      </c>
      <c r="AI248" s="7" t="str" cm="1">
        <f t="array" aca="1" ref="AI248" ca="1">IFERROR(IF(OR('Raw Data'!AI248="",LEN(TRIM('Raw Data'!AI248))=0),"",IF(AND(ISNUMBER('Raw Data'!AI248), IFERROR('Raw Data'!AI248 = ROUND('Raw Data'!AI248, 2),FALSE)),"",_xlfn.REGEXEXTRACT(CELL("address",AI248), "\$([A-Z]+)\$[0-9]+"))),_xlfn.REGEXEXTRACT(CELL("address",AI248), "\$([A-Z]+)\$[0-9]+"))</f>
        <v/>
      </c>
      <c r="AJ248" s="7" t="str" cm="1">
        <f t="array" aca="1" ref="AJ248" ca="1">IFERROR(IF(OR('Raw Data'!AJ248="",LEN(TRIM('Raw Data'!AJ248))=0),"",IF(AND(ISNUMBER('Raw Data'!AJ248), IFERROR('Raw Data'!AJ248 = ROUND('Raw Data'!AJ248, 2),FALSE)),"",_xlfn.REGEXEXTRACT(CELL("address",AJ248), "\$([A-Z]+)\$[0-9]+"))),_xlfn.REGEXEXTRACT(CELL("address",AJ248), "\$([A-Z]+)\$[0-9]+"))</f>
        <v/>
      </c>
    </row>
    <row r="249" spans="2:36" x14ac:dyDescent="0.25">
      <c r="B249" s="7" t="str" cm="1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20,LEN('Raw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Data'!D249))=0),"",IF(AND(ISNUMBER('Raw Data'!D249),'Raw Data'!D249&gt;=Configuration!$D$2),"",_xlfn.REGEXEXTRACT(CELL("address",'Raw Data'!D249),"\$([A-Z]+)\$[0-9]+"))),_xlfn.REGEXEXTRACT(CELL("address",D249), "\$([A-Z]+)\$[0-9]+"))</f>
        <v/>
      </c>
      <c r="E249" s="7" t="str" cm="1">
        <f t="array" aca="1" ref="E249" ca="1">IFERROR(IF(OR('Raw Data'!E249="",LEN(TRIM('Raw Data'!E249))=0),"",IF(AND(ISNUMBER('Raw Data'!E249), IFERROR('Raw Data'!E249 = ROUND('Raw Data'!E249, 2),FALSE)),"",_xlfn.REGEXEXTRACT(CELL("address",E249), "\$([A-Z]+)\$[0-9]+"))),_xlfn.REGEXEXTRACT(CELL("address",E249), "\$([A-Z]+)\$[0-9]+"))</f>
        <v/>
      </c>
      <c r="F249" s="7" t="str" cm="1">
        <f t="array" aca="1" ref="F249" ca="1">IFERROR(IF(OR('Raw Data'!F249="",LEN(TRIM('Raw Data'!F249))=0),"",IF(AND(ISNUMBER('Raw Data'!F249), IFERROR('Raw Data'!F249 = ROUND('Raw Data'!F249, 2),FALSE)),"",_xlfn.REGEXEXTRACT(CELL("address",F249), "\$([A-Z]+)\$[0-9]+"))),_xlfn.REGEXEXTRACT(CELL("address",F249), "\$([A-Z]+)\$[0-9]+"))</f>
        <v/>
      </c>
      <c r="G249" s="7" t="str" cm="1">
        <f t="array" aca="1" ref="G249" ca="1">IFERROR(IF(OR('Raw Data'!G249="",LEN(TRIM('Raw Data'!G249))=0),"",IF(AND(ISNUMBER('Raw Data'!G249), IFERROR('Raw Data'!G249 = ROUND('Raw Data'!G249, 2),FALSE)),"",_xlfn.REGEXEXTRACT(CELL("address",G249), "\$([A-Z]+)\$[0-9]+"))),_xlfn.REGEXEXTRACT(CELL("address",G249), "\$([A-Z]+)\$[0-9]+"))</f>
        <v/>
      </c>
      <c r="H249" s="7" t="str" cm="1">
        <f t="array" aca="1" ref="H249" ca="1">IFERROR(IF(OR('Raw Data'!H249="",LEN(TRIM('Raw Data'!H249))=0),"",IF(AND(ISNUMBER('Raw Data'!H249), IFERROR('Raw Data'!H249 = ROUND('Raw Data'!H249, 2),FALSE)),"",_xlfn.REGEXEXTRACT(CELL("address",H249), "\$([A-Z]+)\$[0-9]+"))),_xlfn.REGEXEXTRACT(CELL("address",H249), "\$([A-Z]+)\$[0-9]+"))</f>
        <v/>
      </c>
      <c r="I249" s="7" t="str" cm="1">
        <f t="array" aca="1" ref="I249" ca="1">IFERROR(IF(OR('Raw Data'!I249="",LEN(TRIM('Raw Data'!I249))=0),"",IF(AND(ISNUMBER('Raw Data'!I249), IFERROR('Raw Data'!I249 = ROUND('Raw Data'!I249, 2),FALSE)),"",_xlfn.REGEXEXTRACT(CELL("address",I249), "\$([A-Z]+)\$[0-9]+"))),_xlfn.REGEXEXTRACT(CELL("address",I249), "\$([A-Z]+)\$[0-9]+"))</f>
        <v/>
      </c>
      <c r="J249" s="7" t="str" cm="1">
        <f t="array" aca="1" ref="J249" ca="1">IFERROR(IF(OR('Raw Data'!J249="",LEN(TRIM('Raw Data'!J249))=0),"",IF(AND(ISNUMBER('Raw Data'!J249), IFERROR('Raw Data'!J249 = ROUND('Raw Data'!J249, 2),FALSE)),"",_xlfn.REGEXEXTRACT(CELL("address",J249), "\$([A-Z]+)\$[0-9]+"))),_xlfn.REGEXEXTRACT(CELL("address",J249), "\$([A-Z]+)\$[0-9]+"))</f>
        <v/>
      </c>
      <c r="K249" s="7" t="str" cm="1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7" t="str" cm="1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7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7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7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7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 cm="1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7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7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7" t="str" cm="1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7" t="str" cm="1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  <c r="Z249" s="7" t="str" cm="1">
        <f t="array" aca="1" ref="Z249" ca="1">IFERROR(IF(OR('Raw Data'!Z249="",LEN(TRIM('Raw Data'!Z249))=0),"",IF(AND(ISNUMBER('Raw Data'!Z249), IFERROR('Raw Data'!Z249 = ROUND('Raw Data'!Z249, 2),FALSE)),"",_xlfn.REGEXEXTRACT(CELL("address",Z249), "\$([A-Z]+)\$[0-9]+"))),_xlfn.REGEXEXTRACT(CELL("address",Z249), "\$([A-Z]+)\$[0-9]+"))</f>
        <v/>
      </c>
      <c r="AA249" s="7" t="str" cm="1">
        <f t="array" aca="1" ref="AA249" ca="1">IFERROR(IF(OR('Raw Data'!AA249="",LEN(TRIM('Raw Data'!AA249))=0),"",IF(AND(ISNUMBER('Raw Data'!AA249), IFERROR('Raw Data'!AA249 = ROUND('Raw Data'!AA249, 2),FALSE)),"",_xlfn.REGEXEXTRACT(CELL("address",AA249), "\$([A-Z]+)\$[0-9]+"))),_xlfn.REGEXEXTRACT(CELL("address",AA249), "\$([A-Z]+)\$[0-9]+"))</f>
        <v/>
      </c>
      <c r="AB249" s="7" t="str" cm="1">
        <f t="array" aca="1" ref="AB249" ca="1">IFERROR(IF(OR('Raw Data'!AB249="",LEN(TRIM('Raw Data'!AB249))=0),"",IF(AND(ISNUMBER('Raw Data'!AB249), IFERROR('Raw Data'!AB249 = ROUND('Raw Data'!AB249, 2),FALSE)),"",_xlfn.REGEXEXTRACT(CELL("address",AB249), "\$([A-Z]+)\$[0-9]+"))),_xlfn.REGEXEXTRACT(CELL("address",AB249), "\$([A-Z]+)\$[0-9]+"))</f>
        <v/>
      </c>
      <c r="AC249" s="7" t="str" cm="1">
        <f t="array" aca="1" ref="AC249" ca="1">IFERROR(IF(OR('Raw Data'!AC249="",LEN(TRIM('Raw Data'!AC249))=0),"",IF(AND(ISNUMBER('Raw Data'!AC249), IFERROR('Raw Data'!AC249 = ROUND('Raw Data'!AC249, 2),FALSE)),"",_xlfn.REGEXEXTRACT(CELL("address",AC249), "\$([A-Z]+)\$[0-9]+"))),_xlfn.REGEXEXTRACT(CELL("address",AC249), "\$([A-Z]+)\$[0-9]+"))</f>
        <v/>
      </c>
      <c r="AD249" s="7" t="str" cm="1">
        <f t="array" aca="1" ref="AD249" ca="1">IFERROR(IF(OR('Raw Data'!AD249="",LEN(TRIM('Raw Data'!AD249))=0),"",IF(AND(ISNUMBER('Raw Data'!AD249), IFERROR('Raw Data'!AD249 = ROUND('Raw Data'!AD249, 2),FALSE)),"",_xlfn.REGEXEXTRACT(CELL("address",AD249), "\$([A-Z]+)\$[0-9]+"))),_xlfn.REGEXEXTRACT(CELL("address",AD249), "\$([A-Z]+)\$[0-9]+"))</f>
        <v/>
      </c>
      <c r="AE249" s="7" t="str" cm="1">
        <f t="array" aca="1" ref="AE249" ca="1">IFERROR(IF(OR('Raw Data'!AE249="",LEN(TRIM('Raw Data'!AE249))=0),"",IF(AND(ISNUMBER('Raw Data'!AE249), IFERROR('Raw Data'!AE249 = ROUND('Raw Data'!AE249, 2),FALSE)),"",_xlfn.REGEXEXTRACT(CELL("address",AE249), "\$([A-Z]+)\$[0-9]+"))),_xlfn.REGEXEXTRACT(CELL("address",AE249), "\$([A-Z]+)\$[0-9]+"))</f>
        <v/>
      </c>
      <c r="AF249" s="7" t="str" cm="1">
        <f t="array" aca="1" ref="AF249" ca="1">IFERROR(IF(OR('Raw Data'!AF249="",LEN(TRIM('Raw Data'!AF249))=0),"",IF(AND(ISNUMBER('Raw Data'!AF249), IFERROR('Raw Data'!AF249 = ROUND('Raw Data'!AF249, 2),FALSE)),"",_xlfn.REGEXEXTRACT(CELL("address",AF249), "\$([A-Z]+)\$[0-9]+"))),_xlfn.REGEXEXTRACT(CELL("address",AF249), "\$([A-Z]+)\$[0-9]+"))</f>
        <v/>
      </c>
      <c r="AG249" s="7" t="str" cm="1">
        <f t="array" aca="1" ref="AG249" ca="1">IFERROR(IF(OR('Raw Data'!AG249="",LEN(TRIM('Raw Data'!AG249))=0),"",IF(AND(ISNUMBER('Raw Data'!AG249), IFERROR('Raw Data'!AG249 = ROUND('Raw Data'!AG249, 2),FALSE)),"",_xlfn.REGEXEXTRACT(CELL("address",AG249), "\$([A-Z]+)\$[0-9]+"))),_xlfn.REGEXEXTRACT(CELL("address",AG249), "\$([A-Z]+)\$[0-9]+"))</f>
        <v/>
      </c>
      <c r="AH249" s="7" t="str" cm="1">
        <f t="array" aca="1" ref="AH249" ca="1">IFERROR(IF(OR('Raw Data'!AH249="",LEN(TRIM('Raw Data'!AH249))=0),"",IF(AND(ISNUMBER('Raw Data'!AH249), IFERROR('Raw Data'!AH249 = ROUND('Raw Data'!AH249, 2),FALSE)),"",_xlfn.REGEXEXTRACT(CELL("address",AH249), "\$([A-Z]+)\$[0-9]+"))),_xlfn.REGEXEXTRACT(CELL("address",AH249), "\$([A-Z]+)\$[0-9]+"))</f>
        <v/>
      </c>
      <c r="AI249" s="7" t="str" cm="1">
        <f t="array" aca="1" ref="AI249" ca="1">IFERROR(IF(OR('Raw Data'!AI249="",LEN(TRIM('Raw Data'!AI249))=0),"",IF(AND(ISNUMBER('Raw Data'!AI249), IFERROR('Raw Data'!AI249 = ROUND('Raw Data'!AI249, 2),FALSE)),"",_xlfn.REGEXEXTRACT(CELL("address",AI249), "\$([A-Z]+)\$[0-9]+"))),_xlfn.REGEXEXTRACT(CELL("address",AI249), "\$([A-Z]+)\$[0-9]+"))</f>
        <v/>
      </c>
      <c r="AJ249" s="7" t="str" cm="1">
        <f t="array" aca="1" ref="AJ249" ca="1">IFERROR(IF(OR('Raw Data'!AJ249="",LEN(TRIM('Raw Data'!AJ249))=0),"",IF(AND(ISNUMBER('Raw Data'!AJ249), IFERROR('Raw Data'!AJ249 = ROUND('Raw Data'!AJ249, 2),FALSE)),"",_xlfn.REGEXEXTRACT(CELL("address",AJ249), "\$([A-Z]+)\$[0-9]+"))),_xlfn.REGEXEXTRACT(CELL("address",AJ249), "\$([A-Z]+)\$[0-9]+"))</f>
        <v/>
      </c>
    </row>
    <row r="250" spans="2:36" x14ac:dyDescent="0.25">
      <c r="B250" s="7" t="str" cm="1">
        <f t="array" aca="1" ref="B250" ca="1">IFERROR(IF(OR('Raw Data'!B250="",LEN(TRIM('Raw Data'!B250))=0),"",IF(AND(LEN('Raw Data'!B250) &lt;= 255,LEN('Raw Data'!B250)&gt; 0),"",_xlfn.REGEXEXTRACT(CELL("address",'Raw Data'!B250),"\$([A-Z]+)\$[0-9]+"))),_xlfn.REGEXEXTRACT(CELL("address",'Raw Data'!B250),"\$([A-Z]+)\$[0-9]+"))</f>
        <v/>
      </c>
      <c r="C250" s="7" t="str" cm="1">
        <f t="array" aca="1" ref="C250" ca="1">IFERROR(IF(OR('Raw Data'!C250="",LEN(TRIM('Raw Data'!C250))=0),"",IF(AND(LEN('Raw Data'!C250) &lt;= 20,LEN('Raw Data'!C250)&gt; 0),"",_xlfn.REGEXEXTRACT(CELL("address",'Raw Data'!C250),"\$([A-Z]+)\$[0-9]+"))),_xlfn.REGEXEXTRACT(CELL("address",'Raw Data'!C250),"\$([A-Z]+)\$[0-9]+"))</f>
        <v/>
      </c>
      <c r="D250" s="7" t="str" cm="1">
        <f t="array" aca="1" ref="D250" ca="1">IFERROR(IF(OR('Raw Data'!D250="",LEN(TRIM('Raw Data'!D250))=0),"",IF(AND(ISNUMBER('Raw Data'!D250),'Raw Data'!D250&gt;=Configuration!$D$2),"",_xlfn.REGEXEXTRACT(CELL("address",'Raw Data'!D250),"\$([A-Z]+)\$[0-9]+"))),_xlfn.REGEXEXTRACT(CELL("address",D250), "\$([A-Z]+)\$[0-9]+"))</f>
        <v/>
      </c>
      <c r="E250" s="7" t="str" cm="1">
        <f t="array" aca="1" ref="E250" ca="1">IFERROR(IF(OR('Raw Data'!E250="",LEN(TRIM('Raw Data'!E250))=0),"",IF(AND(ISNUMBER('Raw Data'!E250), IFERROR('Raw Data'!E250 = ROUND('Raw Data'!E250, 2),FALSE)),"",_xlfn.REGEXEXTRACT(CELL("address",E250), "\$([A-Z]+)\$[0-9]+"))),_xlfn.REGEXEXTRACT(CELL("address",E250), "\$([A-Z]+)\$[0-9]+"))</f>
        <v/>
      </c>
      <c r="F250" s="7" t="str" cm="1">
        <f t="array" aca="1" ref="F250" ca="1">IFERROR(IF(OR('Raw Data'!F250="",LEN(TRIM('Raw Data'!F250))=0),"",IF(AND(ISNUMBER('Raw Data'!F250), IFERROR('Raw Data'!F250 = ROUND('Raw Data'!F250, 2),FALSE)),"",_xlfn.REGEXEXTRACT(CELL("address",F250), "\$([A-Z]+)\$[0-9]+"))),_xlfn.REGEXEXTRACT(CELL("address",F250), "\$([A-Z]+)\$[0-9]+"))</f>
        <v/>
      </c>
      <c r="G250" s="7" t="str" cm="1">
        <f t="array" aca="1" ref="G250" ca="1">IFERROR(IF(OR('Raw Data'!G250="",LEN(TRIM('Raw Data'!G250))=0),"",IF(AND(ISNUMBER('Raw Data'!G250), IFERROR('Raw Data'!G250 = ROUND('Raw Data'!G250, 2),FALSE)),"",_xlfn.REGEXEXTRACT(CELL("address",G250), "\$([A-Z]+)\$[0-9]+"))),_xlfn.REGEXEXTRACT(CELL("address",G250), "\$([A-Z]+)\$[0-9]+"))</f>
        <v/>
      </c>
      <c r="H250" s="7" t="str" cm="1">
        <f t="array" aca="1" ref="H250" ca="1">IFERROR(IF(OR('Raw Data'!H250="",LEN(TRIM('Raw Data'!H250))=0),"",IF(AND(ISNUMBER('Raw Data'!H250), IFERROR('Raw Data'!H250 = ROUND('Raw Data'!H250, 2),FALSE)),"",_xlfn.REGEXEXTRACT(CELL("address",H250), "\$([A-Z]+)\$[0-9]+"))),_xlfn.REGEXEXTRACT(CELL("address",H250), "\$([A-Z]+)\$[0-9]+"))</f>
        <v/>
      </c>
      <c r="I250" s="7" t="str" cm="1">
        <f t="array" aca="1" ref="I250" ca="1">IFERROR(IF(OR('Raw Data'!I250="",LEN(TRIM('Raw Data'!I250))=0),"",IF(AND(ISNUMBER('Raw Data'!I250), IFERROR('Raw Data'!I250 = ROUND('Raw Data'!I250, 2),FALSE)),"",_xlfn.REGEXEXTRACT(CELL("address",I250), "\$([A-Z]+)\$[0-9]+"))),_xlfn.REGEXEXTRACT(CELL("address",I250), "\$([A-Z]+)\$[0-9]+"))</f>
        <v/>
      </c>
      <c r="J250" s="7" t="str" cm="1">
        <f t="array" aca="1" ref="J250" ca="1">IFERROR(IF(OR('Raw Data'!J250="",LEN(TRIM('Raw Data'!J250))=0),"",IF(AND(ISNUMBER('Raw Data'!J250), IFERROR('Raw Data'!J250 = ROUND('Raw Data'!J250, 2),FALSE)),"",_xlfn.REGEXEXTRACT(CELL("address",J250), "\$([A-Z]+)\$[0-9]+"))),_xlfn.REGEXEXTRACT(CELL("address",J250), "\$([A-Z]+)\$[0-9]+"))</f>
        <v/>
      </c>
      <c r="K250" s="7" t="str" cm="1">
        <f t="array" aca="1" ref="K250" ca="1">IFERROR(IF(OR('Raw Data'!K250="",LEN(TRIM('Raw Data'!K250))=0),"",IF(AND(ISNUMBER('Raw Data'!K250), IFERROR('Raw Data'!K250 = ROUND('Raw Data'!K250, 2),FALSE)),"",_xlfn.REGEXEXTRACT(CELL("address",K250), "\$([A-Z]+)\$[0-9]+"))),_xlfn.REGEXEXTRACT(CELL("address",K250), "\$([A-Z]+)\$[0-9]+"))</f>
        <v/>
      </c>
      <c r="L250" s="7" t="str" cm="1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7" t="str" cm="1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7" t="str" cm="1">
        <f t="array" aca="1" ref="N250" ca="1">IFERROR(IF(OR('Raw Data'!N250="",LEN(TRIM('Raw Data'!N250))=0),"",IF(AND(ISNUMBER('Raw Data'!N250), IFERROR('Raw Data'!N250 = ROUND('Raw Data'!N250, 2),FALSE)),"",_xlfn.REGEXEXTRACT(CELL("address",N250), "\$([A-Z]+)\$[0-9]+"))),_xlfn.REGEXEXTRACT(CELL("address",N250), "\$([A-Z]+)\$[0-9]+"))</f>
        <v/>
      </c>
      <c r="O250" s="7" t="str" cm="1">
        <f t="array" aca="1" ref="O250" ca="1">IFERROR(IF(OR('Raw Data'!O250="",LEN(TRIM('Raw Data'!O250))=0),"",IF(AND(ISNUMBER('Raw Data'!O250), IFERROR('Raw Data'!O250 = ROUND('Raw Data'!O250, 2),FALSE)),"",_xlfn.REGEXEXTRACT(CELL("address",O250), "\$([A-Z]+)\$[0-9]+"))),_xlfn.REGEXEXTRACT(CELL("address",O250), "\$([A-Z]+)\$[0-9]+"))</f>
        <v/>
      </c>
      <c r="P250" s="7" t="str" cm="1">
        <f t="array" aca="1" ref="P250" ca="1">IFERROR(IF(OR('Raw Data'!P250="",LEN(TRIM('Raw Data'!P250))=0),"",IF(AND(ISNUMBER('Raw Data'!P250), IFERROR('Raw Data'!P250 = ROUND('Raw Data'!P250, 2),FALSE)),"",_xlfn.REGEXEXTRACT(CELL("address",P250), "\$([A-Z]+)\$[0-9]+"))),_xlfn.REGEXEXTRACT(CELL("address",P250), "\$([A-Z]+)\$[0-9]+"))</f>
        <v/>
      </c>
      <c r="Q250" s="7" t="str" cm="1">
        <f t="array" aca="1" ref="Q250" ca="1">IFERROR(IF(OR('Raw Data'!Q250="",LEN(TRIM('Raw Data'!Q250))=0),"",IF(AND(ISNUMBER('Raw Data'!Q250), IFERROR('Raw Data'!Q250 = ROUND('Raw Data'!Q250, 2),FALSE)),"",_xlfn.REGEXEXTRACT(CELL("address",Q250), "\$([A-Z]+)\$[0-9]+"))),_xlfn.REGEXEXTRACT(CELL("address",Q250), "\$([A-Z]+)\$[0-9]+"))</f>
        <v/>
      </c>
      <c r="R250" s="7" t="str" cm="1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7" t="str" cm="1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7" t="str" cm="1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7" t="str" cm="1">
        <f t="array" aca="1" ref="U250" ca="1">IFERROR(IF(OR('Raw Data'!U250="",LEN(TRIM('Raw Data'!U250))=0),"",IF(AND(ISNUMBER('Raw Data'!U250), IFERROR('Raw Data'!U250 = ROUND('Raw Data'!U250, 2),FALSE)),"",_xlfn.REGEXEXTRACT(CELL("address",U250), "\$([A-Z]+)\$[0-9]+"))),_xlfn.REGEXEXTRACT(CELL("address",U250), "\$([A-Z]+)\$[0-9]+"))</f>
        <v/>
      </c>
      <c r="V250" s="7" t="str" cm="1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7" t="str" cm="1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7" t="str" cm="1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  <c r="Y250" s="7" t="str" cm="1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  <c r="Z250" s="7" t="str" cm="1">
        <f t="array" aca="1" ref="Z250" ca="1">IFERROR(IF(OR('Raw Data'!Z250="",LEN(TRIM('Raw Data'!Z250))=0),"",IF(AND(ISNUMBER('Raw Data'!Z250), IFERROR('Raw Data'!Z250 = ROUND('Raw Data'!Z250, 2),FALSE)),"",_xlfn.REGEXEXTRACT(CELL("address",Z250), "\$([A-Z]+)\$[0-9]+"))),_xlfn.REGEXEXTRACT(CELL("address",Z250), "\$([A-Z]+)\$[0-9]+"))</f>
        <v/>
      </c>
      <c r="AA250" s="7" t="str" cm="1">
        <f t="array" aca="1" ref="AA250" ca="1">IFERROR(IF(OR('Raw Data'!AA250="",LEN(TRIM('Raw Data'!AA250))=0),"",IF(AND(ISNUMBER('Raw Data'!AA250), IFERROR('Raw Data'!AA250 = ROUND('Raw Data'!AA250, 2),FALSE)),"",_xlfn.REGEXEXTRACT(CELL("address",AA250), "\$([A-Z]+)\$[0-9]+"))),_xlfn.REGEXEXTRACT(CELL("address",AA250), "\$([A-Z]+)\$[0-9]+"))</f>
        <v/>
      </c>
      <c r="AB250" s="7" t="str" cm="1">
        <f t="array" aca="1" ref="AB250" ca="1">IFERROR(IF(OR('Raw Data'!AB250="",LEN(TRIM('Raw Data'!AB250))=0),"",IF(AND(ISNUMBER('Raw Data'!AB250), IFERROR('Raw Data'!AB250 = ROUND('Raw Data'!AB250, 2),FALSE)),"",_xlfn.REGEXEXTRACT(CELL("address",AB250), "\$([A-Z]+)\$[0-9]+"))),_xlfn.REGEXEXTRACT(CELL("address",AB250), "\$([A-Z]+)\$[0-9]+"))</f>
        <v/>
      </c>
      <c r="AC250" s="7" t="str" cm="1">
        <f t="array" aca="1" ref="AC250" ca="1">IFERROR(IF(OR('Raw Data'!AC250="",LEN(TRIM('Raw Data'!AC250))=0),"",IF(AND(ISNUMBER('Raw Data'!AC250), IFERROR('Raw Data'!AC250 = ROUND('Raw Data'!AC250, 2),FALSE)),"",_xlfn.REGEXEXTRACT(CELL("address",AC250), "\$([A-Z]+)\$[0-9]+"))),_xlfn.REGEXEXTRACT(CELL("address",AC250), "\$([A-Z]+)\$[0-9]+"))</f>
        <v/>
      </c>
      <c r="AD250" s="7" t="str" cm="1">
        <f t="array" aca="1" ref="AD250" ca="1">IFERROR(IF(OR('Raw Data'!AD250="",LEN(TRIM('Raw Data'!AD250))=0),"",IF(AND(ISNUMBER('Raw Data'!AD250), IFERROR('Raw Data'!AD250 = ROUND('Raw Data'!AD250, 2),FALSE)),"",_xlfn.REGEXEXTRACT(CELL("address",AD250), "\$([A-Z]+)\$[0-9]+"))),_xlfn.REGEXEXTRACT(CELL("address",AD250), "\$([A-Z]+)\$[0-9]+"))</f>
        <v/>
      </c>
      <c r="AE250" s="7" t="str" cm="1">
        <f t="array" aca="1" ref="AE250" ca="1">IFERROR(IF(OR('Raw Data'!AE250="",LEN(TRIM('Raw Data'!AE250))=0),"",IF(AND(ISNUMBER('Raw Data'!AE250), IFERROR('Raw Data'!AE250 = ROUND('Raw Data'!AE250, 2),FALSE)),"",_xlfn.REGEXEXTRACT(CELL("address",AE250), "\$([A-Z]+)\$[0-9]+"))),_xlfn.REGEXEXTRACT(CELL("address",AE250), "\$([A-Z]+)\$[0-9]+"))</f>
        <v/>
      </c>
      <c r="AF250" s="7" t="str" cm="1">
        <f t="array" aca="1" ref="AF250" ca="1">IFERROR(IF(OR('Raw Data'!AF250="",LEN(TRIM('Raw Data'!AF250))=0),"",IF(AND(ISNUMBER('Raw Data'!AF250), IFERROR('Raw Data'!AF250 = ROUND('Raw Data'!AF250, 2),FALSE)),"",_xlfn.REGEXEXTRACT(CELL("address",AF250), "\$([A-Z]+)\$[0-9]+"))),_xlfn.REGEXEXTRACT(CELL("address",AF250), "\$([A-Z]+)\$[0-9]+"))</f>
        <v/>
      </c>
      <c r="AG250" s="7" t="str" cm="1">
        <f t="array" aca="1" ref="AG250" ca="1">IFERROR(IF(OR('Raw Data'!AG250="",LEN(TRIM('Raw Data'!AG250))=0),"",IF(AND(ISNUMBER('Raw Data'!AG250), IFERROR('Raw Data'!AG250 = ROUND('Raw Data'!AG250, 2),FALSE)),"",_xlfn.REGEXEXTRACT(CELL("address",AG250), "\$([A-Z]+)\$[0-9]+"))),_xlfn.REGEXEXTRACT(CELL("address",AG250), "\$([A-Z]+)\$[0-9]+"))</f>
        <v/>
      </c>
      <c r="AH250" s="7" t="str" cm="1">
        <f t="array" aca="1" ref="AH250" ca="1">IFERROR(IF(OR('Raw Data'!AH250="",LEN(TRIM('Raw Data'!AH250))=0),"",IF(AND(ISNUMBER('Raw Data'!AH250), IFERROR('Raw Data'!AH250 = ROUND('Raw Data'!AH250, 2),FALSE)),"",_xlfn.REGEXEXTRACT(CELL("address",AH250), "\$([A-Z]+)\$[0-9]+"))),_xlfn.REGEXEXTRACT(CELL("address",AH250), "\$([A-Z]+)\$[0-9]+"))</f>
        <v/>
      </c>
      <c r="AI250" s="7" t="str" cm="1">
        <f t="array" aca="1" ref="AI250" ca="1">IFERROR(IF(OR('Raw Data'!AI250="",LEN(TRIM('Raw Data'!AI250))=0),"",IF(AND(ISNUMBER('Raw Data'!AI250), IFERROR('Raw Data'!AI250 = ROUND('Raw Data'!AI250, 2),FALSE)),"",_xlfn.REGEXEXTRACT(CELL("address",AI250), "\$([A-Z]+)\$[0-9]+"))),_xlfn.REGEXEXTRACT(CELL("address",AI250), "\$([A-Z]+)\$[0-9]+"))</f>
        <v/>
      </c>
      <c r="AJ250" s="7" t="str" cm="1">
        <f t="array" aca="1" ref="AJ250" ca="1">IFERROR(IF(OR('Raw Data'!AJ250="",LEN(TRIM('Raw Data'!AJ250))=0),"",IF(AND(ISNUMBER('Raw Data'!AJ250), IFERROR('Raw Data'!AJ250 = ROUND('Raw Data'!AJ250, 2),FALSE)),"",_xlfn.REGEXEXTRACT(CELL("address",AJ250), "\$([A-Z]+)\$[0-9]+"))),_xlfn.REGEXEXTRACT(CELL("address",AJ250), "\$([A-Z]+)\$[0-9]+"))</f>
        <v/>
      </c>
    </row>
    <row r="251" spans="2:36" x14ac:dyDescent="0.25">
      <c r="B251" s="7" t="str" cm="1">
        <f t="array" aca="1" ref="B251" ca="1">IFERROR(IF(OR('Raw Data'!B251="",LEN(TRIM('Raw Data'!B251))=0),"",IF(AND(LEN('Raw Data'!B251) &lt;= 255,LEN('Raw Data'!B251)&gt; 0),"",_xlfn.REGEXEXTRACT(CELL("address",'Raw Data'!B251),"\$([A-Z]+)\$[0-9]+"))),_xlfn.REGEXEXTRACT(CELL("address",'Raw Data'!B251),"\$([A-Z]+)\$[0-9]+"))</f>
        <v/>
      </c>
      <c r="C251" s="7" t="str" cm="1">
        <f t="array" aca="1" ref="C251" ca="1">IFERROR(IF(OR('Raw Data'!C251="",LEN(TRIM('Raw Data'!C251))=0),"",IF(AND(LEN('Raw Data'!C251) &lt;= 20,LEN('Raw Data'!C251)&gt; 0),"",_xlfn.REGEXEXTRACT(CELL("address",'Raw Data'!C251),"\$([A-Z]+)\$[0-9]+"))),_xlfn.REGEXEXTRACT(CELL("address",'Raw Data'!C251),"\$([A-Z]+)\$[0-9]+"))</f>
        <v/>
      </c>
      <c r="D251" s="7" t="str" cm="1">
        <f t="array" aca="1" ref="D251" ca="1">IFERROR(IF(OR('Raw Data'!D251="",LEN(TRIM('Raw Data'!D251))=0),"",IF(AND(ISNUMBER('Raw Data'!D251),'Raw Data'!D251&gt;=Configuration!$D$2),"",_xlfn.REGEXEXTRACT(CELL("address",'Raw Data'!D251),"\$([A-Z]+)\$[0-9]+"))),_xlfn.REGEXEXTRACT(CELL("address",D251), "\$([A-Z]+)\$[0-9]+"))</f>
        <v/>
      </c>
      <c r="E251" s="7" t="str" cm="1">
        <f t="array" aca="1" ref="E251" ca="1">IFERROR(IF(OR('Raw Data'!E251="",LEN(TRIM('Raw Data'!E251))=0),"",IF(AND(ISNUMBER('Raw Data'!E251), IFERROR('Raw Data'!E251 = ROUND('Raw Data'!E251, 2),FALSE)),"",_xlfn.REGEXEXTRACT(CELL("address",E251), "\$([A-Z]+)\$[0-9]+"))),_xlfn.REGEXEXTRACT(CELL("address",E251), "\$([A-Z]+)\$[0-9]+"))</f>
        <v/>
      </c>
      <c r="F251" s="7" t="str" cm="1">
        <f t="array" aca="1" ref="F251" ca="1">IFERROR(IF(OR('Raw Data'!F251="",LEN(TRIM('Raw Data'!F251))=0),"",IF(AND(ISNUMBER('Raw Data'!F251), IFERROR('Raw Data'!F251 = ROUND('Raw Data'!F251, 2),FALSE)),"",_xlfn.REGEXEXTRACT(CELL("address",F251), "\$([A-Z]+)\$[0-9]+"))),_xlfn.REGEXEXTRACT(CELL("address",F251), "\$([A-Z]+)\$[0-9]+"))</f>
        <v/>
      </c>
      <c r="G251" s="7" t="str" cm="1">
        <f t="array" aca="1" ref="G251" ca="1">IFERROR(IF(OR('Raw Data'!G251="",LEN(TRIM('Raw Data'!G251))=0),"",IF(AND(ISNUMBER('Raw Data'!G251), IFERROR('Raw Data'!G251 = ROUND('Raw Data'!G251, 2),FALSE)),"",_xlfn.REGEXEXTRACT(CELL("address",G251), "\$([A-Z]+)\$[0-9]+"))),_xlfn.REGEXEXTRACT(CELL("address",G251), "\$([A-Z]+)\$[0-9]+"))</f>
        <v/>
      </c>
      <c r="H251" s="7" t="str" cm="1">
        <f t="array" aca="1" ref="H251" ca="1">IFERROR(IF(OR('Raw Data'!H251="",LEN(TRIM('Raw Data'!H251))=0),"",IF(AND(ISNUMBER('Raw Data'!H251), IFERROR('Raw Data'!H251 = ROUND('Raw Data'!H251, 2),FALSE)),"",_xlfn.REGEXEXTRACT(CELL("address",H251), "\$([A-Z]+)\$[0-9]+"))),_xlfn.REGEXEXTRACT(CELL("address",H251), "\$([A-Z]+)\$[0-9]+"))</f>
        <v/>
      </c>
      <c r="I251" s="7" t="str" cm="1">
        <f t="array" aca="1" ref="I251" ca="1">IFERROR(IF(OR('Raw Data'!I251="",LEN(TRIM('Raw Data'!I251))=0),"",IF(AND(ISNUMBER('Raw Data'!I251), IFERROR('Raw Data'!I251 = ROUND('Raw Data'!I251, 2),FALSE)),"",_xlfn.REGEXEXTRACT(CELL("address",I251), "\$([A-Z]+)\$[0-9]+"))),_xlfn.REGEXEXTRACT(CELL("address",I251), "\$([A-Z]+)\$[0-9]+"))</f>
        <v/>
      </c>
      <c r="J251" s="7" t="str" cm="1">
        <f t="array" aca="1" ref="J251" ca="1">IFERROR(IF(OR('Raw Data'!J251="",LEN(TRIM('Raw Data'!J251))=0),"",IF(AND(ISNUMBER('Raw Data'!J251), IFERROR('Raw Data'!J251 = ROUND('Raw Data'!J251, 2),FALSE)),"",_xlfn.REGEXEXTRACT(CELL("address",J251), "\$([A-Z]+)\$[0-9]+"))),_xlfn.REGEXEXTRACT(CELL("address",J251), "\$([A-Z]+)\$[0-9]+"))</f>
        <v/>
      </c>
      <c r="K251" s="7" t="str" cm="1">
        <f t="array" aca="1" ref="K251" ca="1">IFERROR(IF(OR('Raw Data'!K251="",LEN(TRIM('Raw Data'!K251))=0),"",IF(AND(ISNUMBER('Raw Data'!K251), IFERROR('Raw Data'!K251 = ROUND('Raw Data'!K251, 2),FALSE)),"",_xlfn.REGEXEXTRACT(CELL("address",K251), "\$([A-Z]+)\$[0-9]+"))),_xlfn.REGEXEXTRACT(CELL("address",K251), "\$([A-Z]+)\$[0-9]+"))</f>
        <v/>
      </c>
      <c r="L251" s="7" t="str" cm="1">
        <f t="array" aca="1" ref="L251" ca="1">IFERROR(IF(OR('Raw Data'!L251="",LEN(TRIM('Raw Data'!L251))=0),"",IF(AND(ISNUMBER('Raw Data'!L251), IFERROR('Raw Data'!L251 = ROUND('Raw Data'!L251, 2),FALSE)),"",_xlfn.REGEXEXTRACT(CELL("address",L251), "\$([A-Z]+)\$[0-9]+"))),_xlfn.REGEXEXTRACT(CELL("address",L251), "\$([A-Z]+)\$[0-9]+"))</f>
        <v/>
      </c>
      <c r="M251" s="7" t="str" cm="1">
        <f t="array" aca="1" ref="M251" ca="1">IFERROR(IF(OR('Raw Data'!M251="",LEN(TRIM('Raw Data'!M251))=0),"",IF(AND(ISNUMBER('Raw Data'!M251), IFERROR('Raw Data'!M251 = ROUND('Raw Data'!M251, 2),FALSE)),"",_xlfn.REGEXEXTRACT(CELL("address",M251), "\$([A-Z]+)\$[0-9]+"))),_xlfn.REGEXEXTRACT(CELL("address",M251), "\$([A-Z]+)\$[0-9]+"))</f>
        <v/>
      </c>
      <c r="N251" s="7" t="str" cm="1">
        <f t="array" aca="1" ref="N251" ca="1">IFERROR(IF(OR('Raw Data'!N251="",LEN(TRIM('Raw Data'!N251))=0),"",IF(AND(ISNUMBER('Raw Data'!N251), IFERROR('Raw Data'!N251 = ROUND('Raw Data'!N251, 2),FALSE)),"",_xlfn.REGEXEXTRACT(CELL("address",N251), "\$([A-Z]+)\$[0-9]+"))),_xlfn.REGEXEXTRACT(CELL("address",N251), "\$([A-Z]+)\$[0-9]+"))</f>
        <v/>
      </c>
      <c r="O251" s="7" t="str" cm="1">
        <f t="array" aca="1" ref="O251" ca="1">IFERROR(IF(OR('Raw Data'!O251="",LEN(TRIM('Raw Data'!O251))=0),"",IF(AND(ISNUMBER('Raw Data'!O251), IFERROR('Raw Data'!O251 = ROUND('Raw Data'!O251, 2),FALSE)),"",_xlfn.REGEXEXTRACT(CELL("address",O251), "\$([A-Z]+)\$[0-9]+"))),_xlfn.REGEXEXTRACT(CELL("address",O251), "\$([A-Z]+)\$[0-9]+"))</f>
        <v/>
      </c>
      <c r="P251" s="7" t="str" cm="1">
        <f t="array" aca="1" ref="P251" ca="1">IFERROR(IF(OR('Raw Data'!P251="",LEN(TRIM('Raw Data'!P251))=0),"",IF(AND(ISNUMBER('Raw Data'!P251), IFERROR('Raw Data'!P251 = ROUND('Raw Data'!P251, 2),FALSE)),"",_xlfn.REGEXEXTRACT(CELL("address",P251), "\$([A-Z]+)\$[0-9]+"))),_xlfn.REGEXEXTRACT(CELL("address",P251), "\$([A-Z]+)\$[0-9]+"))</f>
        <v/>
      </c>
      <c r="Q251" s="7" t="str" cm="1">
        <f t="array" aca="1" ref="Q251" ca="1">IFERROR(IF(OR('Raw Data'!Q251="",LEN(TRIM('Raw Data'!Q251))=0),"",IF(AND(ISNUMBER('Raw Data'!Q251), IFERROR('Raw Data'!Q251 = ROUND('Raw Data'!Q251, 2),FALSE)),"",_xlfn.REGEXEXTRACT(CELL("address",Q251), "\$([A-Z]+)\$[0-9]+"))),_xlfn.REGEXEXTRACT(CELL("address",Q251), "\$([A-Z]+)\$[0-9]+"))</f>
        <v/>
      </c>
      <c r="R251" s="7" t="str" cm="1">
        <f t="array" aca="1" ref="R251" ca="1">IFERROR(IF(OR('Raw Data'!R251="",LEN(TRIM('Raw Data'!R251))=0),"",IF(AND(ISNUMBER('Raw Data'!R251), IFERROR('Raw Data'!R251 = ROUND('Raw Data'!R251, 2),FALSE)),"",_xlfn.REGEXEXTRACT(CELL("address",R251), "\$([A-Z]+)\$[0-9]+"))),_xlfn.REGEXEXTRACT(CELL("address",R251), "\$([A-Z]+)\$[0-9]+"))</f>
        <v/>
      </c>
      <c r="S251" s="7" t="str" cm="1">
        <f t="array" aca="1" ref="S251" ca="1">IFERROR(IF(OR('Raw Data'!S251="",LEN(TRIM('Raw Data'!S251))=0),"",IF(AND(ISNUMBER('Raw Data'!S251), IFERROR('Raw Data'!S251 = ROUND('Raw Data'!S251, 2),FALSE)),"",_xlfn.REGEXEXTRACT(CELL("address",S251), "\$([A-Z]+)\$[0-9]+"))),_xlfn.REGEXEXTRACT(CELL("address",S251), "\$([A-Z]+)\$[0-9]+"))</f>
        <v/>
      </c>
      <c r="T251" s="7" t="str" cm="1">
        <f t="array" aca="1" ref="T251" ca="1">IFERROR(IF(OR('Raw Data'!T251="",LEN(TRIM('Raw Data'!T251))=0),"",IF(AND(ISNUMBER('Raw Data'!T251), IFERROR('Raw Data'!T251 = ROUND('Raw Data'!T251, 2),FALSE)),"",_xlfn.REGEXEXTRACT(CELL("address",T251), "\$([A-Z]+)\$[0-9]+"))),_xlfn.REGEXEXTRACT(CELL("address",T251), "\$([A-Z]+)\$[0-9]+"))</f>
        <v/>
      </c>
      <c r="U251" s="7" t="str" cm="1">
        <f t="array" aca="1" ref="U251" ca="1">IFERROR(IF(OR('Raw Data'!U251="",LEN(TRIM('Raw Data'!U251))=0),"",IF(AND(ISNUMBER('Raw Data'!U251), IFERROR('Raw Data'!U251 = ROUND('Raw Data'!U251, 2),FALSE)),"",_xlfn.REGEXEXTRACT(CELL("address",U251), "\$([A-Z]+)\$[0-9]+"))),_xlfn.REGEXEXTRACT(CELL("address",U251), "\$([A-Z]+)\$[0-9]+"))</f>
        <v/>
      </c>
      <c r="V251" s="7" t="str" cm="1">
        <f t="array" aca="1" ref="V251" ca="1">IFERROR(IF(OR('Raw Data'!V251="",LEN(TRIM('Raw Data'!V251))=0),"",IF(AND(ISNUMBER('Raw Data'!V251), IFERROR('Raw Data'!V251 = ROUND('Raw Data'!V251, 2),FALSE)),"",_xlfn.REGEXEXTRACT(CELL("address",V251), "\$([A-Z]+)\$[0-9]+"))),_xlfn.REGEXEXTRACT(CELL("address",V251), "\$([A-Z]+)\$[0-9]+"))</f>
        <v/>
      </c>
      <c r="W251" s="7" t="str" cm="1">
        <f t="array" aca="1" ref="W251" ca="1">IFERROR(IF(OR('Raw Data'!W251="",LEN(TRIM('Raw Data'!W251))=0),"",IF(AND(ISNUMBER('Raw Data'!W251), IFERROR('Raw Data'!W251 = ROUND('Raw Data'!W251, 2),FALSE)),"",_xlfn.REGEXEXTRACT(CELL("address",W251), "\$([A-Z]+)\$[0-9]+"))),_xlfn.REGEXEXTRACT(CELL("address",W251), "\$([A-Z]+)\$[0-9]+"))</f>
        <v/>
      </c>
      <c r="X251" s="7" t="str" cm="1">
        <f t="array" aca="1" ref="X251" ca="1">IFERROR(IF(OR('Raw Data'!X251="",LEN(TRIM('Raw Data'!X251))=0),"",IF(AND(ISNUMBER('Raw Data'!X251), IFERROR('Raw Data'!X251 = ROUND('Raw Data'!X251, 2),FALSE)),"",_xlfn.REGEXEXTRACT(CELL("address",X251), "\$([A-Z]+)\$[0-9]+"))),_xlfn.REGEXEXTRACT(CELL("address",X251), "\$([A-Z]+)\$[0-9]+"))</f>
        <v/>
      </c>
      <c r="Y251" s="7" t="str" cm="1">
        <f t="array" aca="1" ref="Y251" ca="1">IFERROR(IF(OR('Raw Data'!Y251="",LEN(TRIM('Raw Data'!Y251))=0),"",IF(AND(ISNUMBER('Raw Data'!Y251), IFERROR('Raw Data'!Y251 = ROUND('Raw Data'!Y251, 2),FALSE)),"",_xlfn.REGEXEXTRACT(CELL("address",Y251), "\$([A-Z]+)\$[0-9]+"))),_xlfn.REGEXEXTRACT(CELL("address",Y251), "\$([A-Z]+)\$[0-9]+"))</f>
        <v/>
      </c>
      <c r="Z251" s="7" t="str" cm="1">
        <f t="array" aca="1" ref="Z251" ca="1">IFERROR(IF(OR('Raw Data'!Z251="",LEN(TRIM('Raw Data'!Z251))=0),"",IF(AND(ISNUMBER('Raw Data'!Z251), IFERROR('Raw Data'!Z251 = ROUND('Raw Data'!Z251, 2),FALSE)),"",_xlfn.REGEXEXTRACT(CELL("address",Z251), "\$([A-Z]+)\$[0-9]+"))),_xlfn.REGEXEXTRACT(CELL("address",Z251), "\$([A-Z]+)\$[0-9]+"))</f>
        <v/>
      </c>
      <c r="AA251" s="7" t="str" cm="1">
        <f t="array" aca="1" ref="AA251" ca="1">IFERROR(IF(OR('Raw Data'!AA251="",LEN(TRIM('Raw Data'!AA251))=0),"",IF(AND(ISNUMBER('Raw Data'!AA251), IFERROR('Raw Data'!AA251 = ROUND('Raw Data'!AA251, 2),FALSE)),"",_xlfn.REGEXEXTRACT(CELL("address",AA251), "\$([A-Z]+)\$[0-9]+"))),_xlfn.REGEXEXTRACT(CELL("address",AA251), "\$([A-Z]+)\$[0-9]+"))</f>
        <v/>
      </c>
      <c r="AB251" s="7" t="str" cm="1">
        <f t="array" aca="1" ref="AB251" ca="1">IFERROR(IF(OR('Raw Data'!AB251="",LEN(TRIM('Raw Data'!AB251))=0),"",IF(AND(ISNUMBER('Raw Data'!AB251), IFERROR('Raw Data'!AB251 = ROUND('Raw Data'!AB251, 2),FALSE)),"",_xlfn.REGEXEXTRACT(CELL("address",AB251), "\$([A-Z]+)\$[0-9]+"))),_xlfn.REGEXEXTRACT(CELL("address",AB251), "\$([A-Z]+)\$[0-9]+"))</f>
        <v/>
      </c>
      <c r="AC251" s="7" t="str" cm="1">
        <f t="array" aca="1" ref="AC251" ca="1">IFERROR(IF(OR('Raw Data'!AC251="",LEN(TRIM('Raw Data'!AC251))=0),"",IF(AND(ISNUMBER('Raw Data'!AC251), IFERROR('Raw Data'!AC251 = ROUND('Raw Data'!AC251, 2),FALSE)),"",_xlfn.REGEXEXTRACT(CELL("address",AC251), "\$([A-Z]+)\$[0-9]+"))),_xlfn.REGEXEXTRACT(CELL("address",AC251), "\$([A-Z]+)\$[0-9]+"))</f>
        <v/>
      </c>
      <c r="AD251" s="7" t="str" cm="1">
        <f t="array" aca="1" ref="AD251" ca="1">IFERROR(IF(OR('Raw Data'!AD251="",LEN(TRIM('Raw Data'!AD251))=0),"",IF(AND(ISNUMBER('Raw Data'!AD251), IFERROR('Raw Data'!AD251 = ROUND('Raw Data'!AD251, 2),FALSE)),"",_xlfn.REGEXEXTRACT(CELL("address",AD251), "\$([A-Z]+)\$[0-9]+"))),_xlfn.REGEXEXTRACT(CELL("address",AD251), "\$([A-Z]+)\$[0-9]+"))</f>
        <v/>
      </c>
      <c r="AE251" s="7" t="str" cm="1">
        <f t="array" aca="1" ref="AE251" ca="1">IFERROR(IF(OR('Raw Data'!AE251="",LEN(TRIM('Raw Data'!AE251))=0),"",IF(AND(ISNUMBER('Raw Data'!AE251), IFERROR('Raw Data'!AE251 = ROUND('Raw Data'!AE251, 2),FALSE)),"",_xlfn.REGEXEXTRACT(CELL("address",AE251), "\$([A-Z]+)\$[0-9]+"))),_xlfn.REGEXEXTRACT(CELL("address",AE251), "\$([A-Z]+)\$[0-9]+"))</f>
        <v/>
      </c>
      <c r="AF251" s="7" t="str" cm="1">
        <f t="array" aca="1" ref="AF251" ca="1">IFERROR(IF(OR('Raw Data'!AF251="",LEN(TRIM('Raw Data'!AF251))=0),"",IF(AND(ISNUMBER('Raw Data'!AF251), IFERROR('Raw Data'!AF251 = ROUND('Raw Data'!AF251, 2),FALSE)),"",_xlfn.REGEXEXTRACT(CELL("address",AF251), "\$([A-Z]+)\$[0-9]+"))),_xlfn.REGEXEXTRACT(CELL("address",AF251), "\$([A-Z]+)\$[0-9]+"))</f>
        <v/>
      </c>
      <c r="AG251" s="7" t="str" cm="1">
        <f t="array" aca="1" ref="AG251" ca="1">IFERROR(IF(OR('Raw Data'!AG251="",LEN(TRIM('Raw Data'!AG251))=0),"",IF(AND(ISNUMBER('Raw Data'!AG251), IFERROR('Raw Data'!AG251 = ROUND('Raw Data'!AG251, 2),FALSE)),"",_xlfn.REGEXEXTRACT(CELL("address",AG251), "\$([A-Z]+)\$[0-9]+"))),_xlfn.REGEXEXTRACT(CELL("address",AG251), "\$([A-Z]+)\$[0-9]+"))</f>
        <v/>
      </c>
      <c r="AH251" s="7" t="str" cm="1">
        <f t="array" aca="1" ref="AH251" ca="1">IFERROR(IF(OR('Raw Data'!AH251="",LEN(TRIM('Raw Data'!AH251))=0),"",IF(AND(ISNUMBER('Raw Data'!AH251), IFERROR('Raw Data'!AH251 = ROUND('Raw Data'!AH251, 2),FALSE)),"",_xlfn.REGEXEXTRACT(CELL("address",AH251), "\$([A-Z]+)\$[0-9]+"))),_xlfn.REGEXEXTRACT(CELL("address",AH251), "\$([A-Z]+)\$[0-9]+"))</f>
        <v/>
      </c>
      <c r="AI251" s="7" t="str" cm="1">
        <f t="array" aca="1" ref="AI251" ca="1">IFERROR(IF(OR('Raw Data'!AI251="",LEN(TRIM('Raw Data'!AI251))=0),"",IF(AND(ISNUMBER('Raw Data'!AI251), IFERROR('Raw Data'!AI251 = ROUND('Raw Data'!AI251, 2),FALSE)),"",_xlfn.REGEXEXTRACT(CELL("address",AI251), "\$([A-Z]+)\$[0-9]+"))),_xlfn.REGEXEXTRACT(CELL("address",AI251), "\$([A-Z]+)\$[0-9]+"))</f>
        <v/>
      </c>
      <c r="AJ251" s="7" t="str" cm="1">
        <f t="array" aca="1" ref="AJ251" ca="1">IFERROR(IF(OR('Raw Data'!AJ251="",LEN(TRIM('Raw Data'!AJ251))=0),"",IF(AND(ISNUMBER('Raw Data'!AJ251), IFERROR('Raw Data'!AJ251 = ROUND('Raw Data'!AJ251, 2),FALSE)),"",_xlfn.REGEXEXTRACT(CELL("address",AJ251), "\$([A-Z]+)\$[0-9]+"))),_xlfn.REGEXEXTRACT(CELL("address",AJ251), "\$([A-Z]+)\$[0-9]+"))</f>
        <v/>
      </c>
    </row>
    <row r="252" spans="2:36" x14ac:dyDescent="0.25">
      <c r="B252" s="7" t="str" cm="1">
        <f t="array" aca="1" ref="B252" ca="1">IFERROR(IF(OR('Raw Data'!B252="",LEN(TRIM('Raw Data'!B252))=0),"",IF(AND(LEN('Raw Data'!B252) &lt;= 255,LEN('Raw Data'!B252)&gt; 0),"",_xlfn.REGEXEXTRACT(CELL("address",'Raw Data'!B252),"\$([A-Z]+)\$[0-9]+"))),_xlfn.REGEXEXTRACT(CELL("address",'Raw Data'!B252),"\$([A-Z]+)\$[0-9]+"))</f>
        <v/>
      </c>
      <c r="C252" s="7" t="str" cm="1">
        <f t="array" aca="1" ref="C252" ca="1">IFERROR(IF(OR('Raw Data'!C252="",LEN(TRIM('Raw Data'!C252))=0),"",IF(AND(LEN('Raw Data'!C252) &lt;= 20,LEN('Raw Data'!C252)&gt; 0),"",_xlfn.REGEXEXTRACT(CELL("address",'Raw Data'!C252),"\$([A-Z]+)\$[0-9]+"))),_xlfn.REGEXEXTRACT(CELL("address",'Raw Data'!C252),"\$([A-Z]+)\$[0-9]+"))</f>
        <v/>
      </c>
      <c r="D252" s="7" t="str" cm="1">
        <f t="array" aca="1" ref="D252" ca="1">IFERROR(IF(OR('Raw Data'!D252="",LEN(TRIM('Raw Data'!D252))=0),"",IF(AND(ISNUMBER('Raw Data'!D252),'Raw Data'!D252&gt;=Configuration!$D$2),"",_xlfn.REGEXEXTRACT(CELL("address",'Raw Data'!D252),"\$([A-Z]+)\$[0-9]+"))),_xlfn.REGEXEXTRACT(CELL("address",D252), "\$([A-Z]+)\$[0-9]+"))</f>
        <v/>
      </c>
      <c r="E252" s="7" t="str" cm="1">
        <f t="array" aca="1" ref="E252" ca="1">IFERROR(IF(OR('Raw Data'!E252="",LEN(TRIM('Raw Data'!E252))=0),"",IF(AND(ISNUMBER('Raw Data'!E252), IFERROR('Raw Data'!E252 = ROUND('Raw Data'!E252, 2),FALSE)),"",_xlfn.REGEXEXTRACT(CELL("address",E252), "\$([A-Z]+)\$[0-9]+"))),_xlfn.REGEXEXTRACT(CELL("address",E252), "\$([A-Z]+)\$[0-9]+"))</f>
        <v/>
      </c>
      <c r="F252" s="7" t="str" cm="1">
        <f t="array" aca="1" ref="F252" ca="1">IFERROR(IF(OR('Raw Data'!F252="",LEN(TRIM('Raw Data'!F252))=0),"",IF(AND(ISNUMBER('Raw Data'!F252), IFERROR('Raw Data'!F252 = ROUND('Raw Data'!F252, 2),FALSE)),"",_xlfn.REGEXEXTRACT(CELL("address",F252), "\$([A-Z]+)\$[0-9]+"))),_xlfn.REGEXEXTRACT(CELL("address",F252), "\$([A-Z]+)\$[0-9]+"))</f>
        <v/>
      </c>
      <c r="G252" s="7" t="str" cm="1">
        <f t="array" aca="1" ref="G252" ca="1">IFERROR(IF(OR('Raw Data'!G252="",LEN(TRIM('Raw Data'!G252))=0),"",IF(AND(ISNUMBER('Raw Data'!G252), IFERROR('Raw Data'!G252 = ROUND('Raw Data'!G252, 2),FALSE)),"",_xlfn.REGEXEXTRACT(CELL("address",G252), "\$([A-Z]+)\$[0-9]+"))),_xlfn.REGEXEXTRACT(CELL("address",G252), "\$([A-Z]+)\$[0-9]+"))</f>
        <v/>
      </c>
      <c r="H252" s="7" t="str" cm="1">
        <f t="array" aca="1" ref="H252" ca="1">IFERROR(IF(OR('Raw Data'!H252="",LEN(TRIM('Raw Data'!H252))=0),"",IF(AND(ISNUMBER('Raw Data'!H252), IFERROR('Raw Data'!H252 = ROUND('Raw Data'!H252, 2),FALSE)),"",_xlfn.REGEXEXTRACT(CELL("address",H252), "\$([A-Z]+)\$[0-9]+"))),_xlfn.REGEXEXTRACT(CELL("address",H252), "\$([A-Z]+)\$[0-9]+"))</f>
        <v/>
      </c>
      <c r="I252" s="7" t="str" cm="1">
        <f t="array" aca="1" ref="I252" ca="1">IFERROR(IF(OR('Raw Data'!I252="",LEN(TRIM('Raw Data'!I252))=0),"",IF(AND(ISNUMBER('Raw Data'!I252), IFERROR('Raw Data'!I252 = ROUND('Raw Data'!I252, 2),FALSE)),"",_xlfn.REGEXEXTRACT(CELL("address",I252), "\$([A-Z]+)\$[0-9]+"))),_xlfn.REGEXEXTRACT(CELL("address",I252), "\$([A-Z]+)\$[0-9]+"))</f>
        <v/>
      </c>
      <c r="J252" s="7" t="str" cm="1">
        <f t="array" aca="1" ref="J252" ca="1">IFERROR(IF(OR('Raw Data'!J252="",LEN(TRIM('Raw Data'!J252))=0),"",IF(AND(ISNUMBER('Raw Data'!J252), IFERROR('Raw Data'!J252 = ROUND('Raw Data'!J252, 2),FALSE)),"",_xlfn.REGEXEXTRACT(CELL("address",J252), "\$([A-Z]+)\$[0-9]+"))),_xlfn.REGEXEXTRACT(CELL("address",J252), "\$([A-Z]+)\$[0-9]+"))</f>
        <v/>
      </c>
      <c r="K252" s="7" t="str" cm="1">
        <f t="array" aca="1" ref="K252" ca="1">IFERROR(IF(OR('Raw Data'!K252="",LEN(TRIM('Raw Data'!K252))=0),"",IF(AND(ISNUMBER('Raw Data'!K252), IFERROR('Raw Data'!K252 = ROUND('Raw Data'!K252, 2),FALSE)),"",_xlfn.REGEXEXTRACT(CELL("address",K252), "\$([A-Z]+)\$[0-9]+"))),_xlfn.REGEXEXTRACT(CELL("address",K252), "\$([A-Z]+)\$[0-9]+"))</f>
        <v/>
      </c>
      <c r="L252" s="7" t="str" cm="1">
        <f t="array" aca="1" ref="L252" ca="1">IFERROR(IF(OR('Raw Data'!L252="",LEN(TRIM('Raw Data'!L252))=0),"",IF(AND(ISNUMBER('Raw Data'!L252), IFERROR('Raw Data'!L252 = ROUND('Raw Data'!L252, 2),FALSE)),"",_xlfn.REGEXEXTRACT(CELL("address",L252), "\$([A-Z]+)\$[0-9]+"))),_xlfn.REGEXEXTRACT(CELL("address",L252), "\$([A-Z]+)\$[0-9]+"))</f>
        <v/>
      </c>
      <c r="M252" s="7" t="str" cm="1">
        <f t="array" aca="1" ref="M252" ca="1">IFERROR(IF(OR('Raw Data'!M252="",LEN(TRIM('Raw Data'!M252))=0),"",IF(AND(ISNUMBER('Raw Data'!M252), IFERROR('Raw Data'!M252 = ROUND('Raw Data'!M252, 2),FALSE)),"",_xlfn.REGEXEXTRACT(CELL("address",M252), "\$([A-Z]+)\$[0-9]+"))),_xlfn.REGEXEXTRACT(CELL("address",M252), "\$([A-Z]+)\$[0-9]+"))</f>
        <v/>
      </c>
      <c r="N252" s="7" t="str" cm="1">
        <f t="array" aca="1" ref="N252" ca="1">IFERROR(IF(OR('Raw Data'!N252="",LEN(TRIM('Raw Data'!N252))=0),"",IF(AND(ISNUMBER('Raw Data'!N252), IFERROR('Raw Data'!N252 = ROUND('Raw Data'!N252, 2),FALSE)),"",_xlfn.REGEXEXTRACT(CELL("address",N252), "\$([A-Z]+)\$[0-9]+"))),_xlfn.REGEXEXTRACT(CELL("address",N252), "\$([A-Z]+)\$[0-9]+"))</f>
        <v/>
      </c>
      <c r="O252" s="7" t="str" cm="1">
        <f t="array" aca="1" ref="O252" ca="1">IFERROR(IF(OR('Raw Data'!O252="",LEN(TRIM('Raw Data'!O252))=0),"",IF(AND(ISNUMBER('Raw Data'!O252), IFERROR('Raw Data'!O252 = ROUND('Raw Data'!O252, 2),FALSE)),"",_xlfn.REGEXEXTRACT(CELL("address",O252), "\$([A-Z]+)\$[0-9]+"))),_xlfn.REGEXEXTRACT(CELL("address",O252), "\$([A-Z]+)\$[0-9]+"))</f>
        <v/>
      </c>
      <c r="P252" s="7" t="str" cm="1">
        <f t="array" aca="1" ref="P252" ca="1">IFERROR(IF(OR('Raw Data'!P252="",LEN(TRIM('Raw Data'!P252))=0),"",IF(AND(ISNUMBER('Raw Data'!P252), IFERROR('Raw Data'!P252 = ROUND('Raw Data'!P252, 2),FALSE)),"",_xlfn.REGEXEXTRACT(CELL("address",P252), "\$([A-Z]+)\$[0-9]+"))),_xlfn.REGEXEXTRACT(CELL("address",P252), "\$([A-Z]+)\$[0-9]+"))</f>
        <v/>
      </c>
      <c r="Q252" s="7" t="str" cm="1">
        <f t="array" aca="1" ref="Q252" ca="1">IFERROR(IF(OR('Raw Data'!Q252="",LEN(TRIM('Raw Data'!Q252))=0),"",IF(AND(ISNUMBER('Raw Data'!Q252), IFERROR('Raw Data'!Q252 = ROUND('Raw Data'!Q252, 2),FALSE)),"",_xlfn.REGEXEXTRACT(CELL("address",Q252), "\$([A-Z]+)\$[0-9]+"))),_xlfn.REGEXEXTRACT(CELL("address",Q252), "\$([A-Z]+)\$[0-9]+"))</f>
        <v/>
      </c>
      <c r="R252" s="7" t="str" cm="1">
        <f t="array" aca="1" ref="R252" ca="1">IFERROR(IF(OR('Raw Data'!R252="",LEN(TRIM('Raw Data'!R252))=0),"",IF(AND(ISNUMBER('Raw Data'!R252), IFERROR('Raw Data'!R252 = ROUND('Raw Data'!R252, 2),FALSE)),"",_xlfn.REGEXEXTRACT(CELL("address",R252), "\$([A-Z]+)\$[0-9]+"))),_xlfn.REGEXEXTRACT(CELL("address",R252), "\$([A-Z]+)\$[0-9]+"))</f>
        <v/>
      </c>
      <c r="S252" s="7" t="str" cm="1">
        <f t="array" aca="1" ref="S252" ca="1">IFERROR(IF(OR('Raw Data'!S252="",LEN(TRIM('Raw Data'!S252))=0),"",IF(AND(ISNUMBER('Raw Data'!S252), IFERROR('Raw Data'!S252 = ROUND('Raw Data'!S252, 2),FALSE)),"",_xlfn.REGEXEXTRACT(CELL("address",S252), "\$([A-Z]+)\$[0-9]+"))),_xlfn.REGEXEXTRACT(CELL("address",S252), "\$([A-Z]+)\$[0-9]+"))</f>
        <v/>
      </c>
      <c r="T252" s="7" t="str" cm="1">
        <f t="array" aca="1" ref="T252" ca="1">IFERROR(IF(OR('Raw Data'!T252="",LEN(TRIM('Raw Data'!T252))=0),"",IF(AND(ISNUMBER('Raw Data'!T252), IFERROR('Raw Data'!T252 = ROUND('Raw Data'!T252, 2),FALSE)),"",_xlfn.REGEXEXTRACT(CELL("address",T252), "\$([A-Z]+)\$[0-9]+"))),_xlfn.REGEXEXTRACT(CELL("address",T252), "\$([A-Z]+)\$[0-9]+"))</f>
        <v/>
      </c>
      <c r="U252" s="7" t="str" cm="1">
        <f t="array" aca="1" ref="U252" ca="1">IFERROR(IF(OR('Raw Data'!U252="",LEN(TRIM('Raw Data'!U252))=0),"",IF(AND(ISNUMBER('Raw Data'!U252), IFERROR('Raw Data'!U252 = ROUND('Raw Data'!U252, 2),FALSE)),"",_xlfn.REGEXEXTRACT(CELL("address",U252), "\$([A-Z]+)\$[0-9]+"))),_xlfn.REGEXEXTRACT(CELL("address",U252), "\$([A-Z]+)\$[0-9]+"))</f>
        <v/>
      </c>
      <c r="V252" s="7" t="str" cm="1">
        <f t="array" aca="1" ref="V252" ca="1">IFERROR(IF(OR('Raw Data'!V252="",LEN(TRIM('Raw Data'!V252))=0),"",IF(AND(ISNUMBER('Raw Data'!V252), IFERROR('Raw Data'!V252 = ROUND('Raw Data'!V252, 2),FALSE)),"",_xlfn.REGEXEXTRACT(CELL("address",V252), "\$([A-Z]+)\$[0-9]+"))),_xlfn.REGEXEXTRACT(CELL("address",V252), "\$([A-Z]+)\$[0-9]+"))</f>
        <v/>
      </c>
      <c r="W252" s="7" t="str" cm="1">
        <f t="array" aca="1" ref="W252" ca="1">IFERROR(IF(OR('Raw Data'!W252="",LEN(TRIM('Raw Data'!W252))=0),"",IF(AND(ISNUMBER('Raw Data'!W252), IFERROR('Raw Data'!W252 = ROUND('Raw Data'!W252, 2),FALSE)),"",_xlfn.REGEXEXTRACT(CELL("address",W252), "\$([A-Z]+)\$[0-9]+"))),_xlfn.REGEXEXTRACT(CELL("address",W252), "\$([A-Z]+)\$[0-9]+"))</f>
        <v/>
      </c>
      <c r="X252" s="7" t="str" cm="1">
        <f t="array" aca="1" ref="X252" ca="1">IFERROR(IF(OR('Raw Data'!X252="",LEN(TRIM('Raw Data'!X252))=0),"",IF(AND(ISNUMBER('Raw Data'!X252), IFERROR('Raw Data'!X252 = ROUND('Raw Data'!X252, 2),FALSE)),"",_xlfn.REGEXEXTRACT(CELL("address",X252), "\$([A-Z]+)\$[0-9]+"))),_xlfn.REGEXEXTRACT(CELL("address",X252), "\$([A-Z]+)\$[0-9]+"))</f>
        <v/>
      </c>
      <c r="Y252" s="7" t="str" cm="1">
        <f t="array" aca="1" ref="Y252" ca="1">IFERROR(IF(OR('Raw Data'!Y252="",LEN(TRIM('Raw Data'!Y252))=0),"",IF(AND(ISNUMBER('Raw Data'!Y252), IFERROR('Raw Data'!Y252 = ROUND('Raw Data'!Y252, 2),FALSE)),"",_xlfn.REGEXEXTRACT(CELL("address",Y252), "\$([A-Z]+)\$[0-9]+"))),_xlfn.REGEXEXTRACT(CELL("address",Y252), "\$([A-Z]+)\$[0-9]+"))</f>
        <v/>
      </c>
      <c r="Z252" s="7" t="str" cm="1">
        <f t="array" aca="1" ref="Z252" ca="1">IFERROR(IF(OR('Raw Data'!Z252="",LEN(TRIM('Raw Data'!Z252))=0),"",IF(AND(ISNUMBER('Raw Data'!Z252), IFERROR('Raw Data'!Z252 = ROUND('Raw Data'!Z252, 2),FALSE)),"",_xlfn.REGEXEXTRACT(CELL("address",Z252), "\$([A-Z]+)\$[0-9]+"))),_xlfn.REGEXEXTRACT(CELL("address",Z252), "\$([A-Z]+)\$[0-9]+"))</f>
        <v/>
      </c>
      <c r="AA252" s="7" t="str" cm="1">
        <f t="array" aca="1" ref="AA252" ca="1">IFERROR(IF(OR('Raw Data'!AA252="",LEN(TRIM('Raw Data'!AA252))=0),"",IF(AND(ISNUMBER('Raw Data'!AA252), IFERROR('Raw Data'!AA252 = ROUND('Raw Data'!AA252, 2),FALSE)),"",_xlfn.REGEXEXTRACT(CELL("address",AA252), "\$([A-Z]+)\$[0-9]+"))),_xlfn.REGEXEXTRACT(CELL("address",AA252), "\$([A-Z]+)\$[0-9]+"))</f>
        <v/>
      </c>
      <c r="AB252" s="7" t="str" cm="1">
        <f t="array" aca="1" ref="AB252" ca="1">IFERROR(IF(OR('Raw Data'!AB252="",LEN(TRIM('Raw Data'!AB252))=0),"",IF(AND(ISNUMBER('Raw Data'!AB252), IFERROR('Raw Data'!AB252 = ROUND('Raw Data'!AB252, 2),FALSE)),"",_xlfn.REGEXEXTRACT(CELL("address",AB252), "\$([A-Z]+)\$[0-9]+"))),_xlfn.REGEXEXTRACT(CELL("address",AB252), "\$([A-Z]+)\$[0-9]+"))</f>
        <v/>
      </c>
      <c r="AC252" s="7" t="str" cm="1">
        <f t="array" aca="1" ref="AC252" ca="1">IFERROR(IF(OR('Raw Data'!AC252="",LEN(TRIM('Raw Data'!AC252))=0),"",IF(AND(ISNUMBER('Raw Data'!AC252), IFERROR('Raw Data'!AC252 = ROUND('Raw Data'!AC252, 2),FALSE)),"",_xlfn.REGEXEXTRACT(CELL("address",AC252), "\$([A-Z]+)\$[0-9]+"))),_xlfn.REGEXEXTRACT(CELL("address",AC252), "\$([A-Z]+)\$[0-9]+"))</f>
        <v/>
      </c>
      <c r="AD252" s="7" t="str" cm="1">
        <f t="array" aca="1" ref="AD252" ca="1">IFERROR(IF(OR('Raw Data'!AD252="",LEN(TRIM('Raw Data'!AD252))=0),"",IF(AND(ISNUMBER('Raw Data'!AD252), IFERROR('Raw Data'!AD252 = ROUND('Raw Data'!AD252, 2),FALSE)),"",_xlfn.REGEXEXTRACT(CELL("address",AD252), "\$([A-Z]+)\$[0-9]+"))),_xlfn.REGEXEXTRACT(CELL("address",AD252), "\$([A-Z]+)\$[0-9]+"))</f>
        <v/>
      </c>
      <c r="AE252" s="7" t="str" cm="1">
        <f t="array" aca="1" ref="AE252" ca="1">IFERROR(IF(OR('Raw Data'!AE252="",LEN(TRIM('Raw Data'!AE252))=0),"",IF(AND(ISNUMBER('Raw Data'!AE252), IFERROR('Raw Data'!AE252 = ROUND('Raw Data'!AE252, 2),FALSE)),"",_xlfn.REGEXEXTRACT(CELL("address",AE252), "\$([A-Z]+)\$[0-9]+"))),_xlfn.REGEXEXTRACT(CELL("address",AE252), "\$([A-Z]+)\$[0-9]+"))</f>
        <v/>
      </c>
      <c r="AF252" s="7" t="str" cm="1">
        <f t="array" aca="1" ref="AF252" ca="1">IFERROR(IF(OR('Raw Data'!AF252="",LEN(TRIM('Raw Data'!AF252))=0),"",IF(AND(ISNUMBER('Raw Data'!AF252), IFERROR('Raw Data'!AF252 = ROUND('Raw Data'!AF252, 2),FALSE)),"",_xlfn.REGEXEXTRACT(CELL("address",AF252), "\$([A-Z]+)\$[0-9]+"))),_xlfn.REGEXEXTRACT(CELL("address",AF252), "\$([A-Z]+)\$[0-9]+"))</f>
        <v/>
      </c>
      <c r="AG252" s="7" t="str" cm="1">
        <f t="array" aca="1" ref="AG252" ca="1">IFERROR(IF(OR('Raw Data'!AG252="",LEN(TRIM('Raw Data'!AG252))=0),"",IF(AND(ISNUMBER('Raw Data'!AG252), IFERROR('Raw Data'!AG252 = ROUND('Raw Data'!AG252, 2),FALSE)),"",_xlfn.REGEXEXTRACT(CELL("address",AG252), "\$([A-Z]+)\$[0-9]+"))),_xlfn.REGEXEXTRACT(CELL("address",AG252), "\$([A-Z]+)\$[0-9]+"))</f>
        <v/>
      </c>
      <c r="AH252" s="7" t="str" cm="1">
        <f t="array" aca="1" ref="AH252" ca="1">IFERROR(IF(OR('Raw Data'!AH252="",LEN(TRIM('Raw Data'!AH252))=0),"",IF(AND(ISNUMBER('Raw Data'!AH252), IFERROR('Raw Data'!AH252 = ROUND('Raw Data'!AH252, 2),FALSE)),"",_xlfn.REGEXEXTRACT(CELL("address",AH252), "\$([A-Z]+)\$[0-9]+"))),_xlfn.REGEXEXTRACT(CELL("address",AH252), "\$([A-Z]+)\$[0-9]+"))</f>
        <v/>
      </c>
      <c r="AI252" s="7" t="str" cm="1">
        <f t="array" aca="1" ref="AI252" ca="1">IFERROR(IF(OR('Raw Data'!AI252="",LEN(TRIM('Raw Data'!AI252))=0),"",IF(AND(ISNUMBER('Raw Data'!AI252), IFERROR('Raw Data'!AI252 = ROUND('Raw Data'!AI252, 2),FALSE)),"",_xlfn.REGEXEXTRACT(CELL("address",AI252), "\$([A-Z]+)\$[0-9]+"))),_xlfn.REGEXEXTRACT(CELL("address",AI252), "\$([A-Z]+)\$[0-9]+"))</f>
        <v/>
      </c>
      <c r="AJ252" s="7" t="str" cm="1">
        <f t="array" aca="1" ref="AJ252" ca="1">IFERROR(IF(OR('Raw Data'!AJ252="",LEN(TRIM('Raw Data'!AJ252))=0),"",IF(AND(ISNUMBER('Raw Data'!AJ252), IFERROR('Raw Data'!AJ252 = ROUND('Raw Data'!AJ252, 2),FALSE)),"",_xlfn.REGEXEXTRACT(CELL("address",AJ252), "\$([A-Z]+)\$[0-9]+"))),_xlfn.REGEXEXTRACT(CELL("address",AJ252), "\$([A-Z]+)\$[0-9]+"))</f>
        <v/>
      </c>
    </row>
    <row r="253" spans="2:36" x14ac:dyDescent="0.25">
      <c r="B253" s="7" t="str" cm="1">
        <f t="array" aca="1" ref="B253" ca="1">IFERROR(IF(OR('Raw Data'!B253="",LEN(TRIM('Raw Data'!B253))=0),"",IF(AND(LEN('Raw Data'!B253) &lt;= 255,LEN('Raw Data'!B253)&gt; 0),"",_xlfn.REGEXEXTRACT(CELL("address",'Raw Data'!B253),"\$([A-Z]+)\$[0-9]+"))),_xlfn.REGEXEXTRACT(CELL("address",'Raw Data'!B253),"\$([A-Z]+)\$[0-9]+"))</f>
        <v/>
      </c>
      <c r="C253" s="7" t="str" cm="1">
        <f t="array" aca="1" ref="C253" ca="1">IFERROR(IF(OR('Raw Data'!C253="",LEN(TRIM('Raw Data'!C253))=0),"",IF(AND(LEN('Raw Data'!C253) &lt;= 20,LEN('Raw Data'!C253)&gt; 0),"",_xlfn.REGEXEXTRACT(CELL("address",'Raw Data'!C253),"\$([A-Z]+)\$[0-9]+"))),_xlfn.REGEXEXTRACT(CELL("address",'Raw Data'!C253),"\$([A-Z]+)\$[0-9]+"))</f>
        <v/>
      </c>
      <c r="D253" s="7" t="str" cm="1">
        <f t="array" aca="1" ref="D253" ca="1">IFERROR(IF(OR('Raw Data'!D253="",LEN(TRIM('Raw Data'!D253))=0),"",IF(AND(ISNUMBER('Raw Data'!D253),'Raw Data'!D253&gt;=Configuration!$D$2),"",_xlfn.REGEXEXTRACT(CELL("address",'Raw Data'!D253),"\$([A-Z]+)\$[0-9]+"))),_xlfn.REGEXEXTRACT(CELL("address",D253), "\$([A-Z]+)\$[0-9]+"))</f>
        <v/>
      </c>
      <c r="E253" s="7" t="str" cm="1">
        <f t="array" aca="1" ref="E253" ca="1">IFERROR(IF(OR('Raw Data'!E253="",LEN(TRIM('Raw Data'!E253))=0),"",IF(AND(ISNUMBER('Raw Data'!E253), IFERROR('Raw Data'!E253 = ROUND('Raw Data'!E253, 2),FALSE)),"",_xlfn.REGEXEXTRACT(CELL("address",E253), "\$([A-Z]+)\$[0-9]+"))),_xlfn.REGEXEXTRACT(CELL("address",E253), "\$([A-Z]+)\$[0-9]+"))</f>
        <v/>
      </c>
      <c r="F253" s="7" t="str" cm="1">
        <f t="array" aca="1" ref="F253" ca="1">IFERROR(IF(OR('Raw Data'!F253="",LEN(TRIM('Raw Data'!F253))=0),"",IF(AND(ISNUMBER('Raw Data'!F253), IFERROR('Raw Data'!F253 = ROUND('Raw Data'!F253, 2),FALSE)),"",_xlfn.REGEXEXTRACT(CELL("address",F253), "\$([A-Z]+)\$[0-9]+"))),_xlfn.REGEXEXTRACT(CELL("address",F253), "\$([A-Z]+)\$[0-9]+"))</f>
        <v/>
      </c>
      <c r="G253" s="7" t="str" cm="1">
        <f t="array" aca="1" ref="G253" ca="1">IFERROR(IF(OR('Raw Data'!G253="",LEN(TRIM('Raw Data'!G253))=0),"",IF(AND(ISNUMBER('Raw Data'!G253), IFERROR('Raw Data'!G253 = ROUND('Raw Data'!G253, 2),FALSE)),"",_xlfn.REGEXEXTRACT(CELL("address",G253), "\$([A-Z]+)\$[0-9]+"))),_xlfn.REGEXEXTRACT(CELL("address",G253), "\$([A-Z]+)\$[0-9]+"))</f>
        <v/>
      </c>
      <c r="H253" s="7" t="str" cm="1">
        <f t="array" aca="1" ref="H253" ca="1">IFERROR(IF(OR('Raw Data'!H253="",LEN(TRIM('Raw Data'!H253))=0),"",IF(AND(ISNUMBER('Raw Data'!H253), IFERROR('Raw Data'!H253 = ROUND('Raw Data'!H253, 2),FALSE)),"",_xlfn.REGEXEXTRACT(CELL("address",H253), "\$([A-Z]+)\$[0-9]+"))),_xlfn.REGEXEXTRACT(CELL("address",H253), "\$([A-Z]+)\$[0-9]+"))</f>
        <v/>
      </c>
      <c r="I253" s="7" t="str" cm="1">
        <f t="array" aca="1" ref="I253" ca="1">IFERROR(IF(OR('Raw Data'!I253="",LEN(TRIM('Raw Data'!I253))=0),"",IF(AND(ISNUMBER('Raw Data'!I253), IFERROR('Raw Data'!I253 = ROUND('Raw Data'!I253, 2),FALSE)),"",_xlfn.REGEXEXTRACT(CELL("address",I253), "\$([A-Z]+)\$[0-9]+"))),_xlfn.REGEXEXTRACT(CELL("address",I253), "\$([A-Z]+)\$[0-9]+"))</f>
        <v/>
      </c>
      <c r="J253" s="7" t="str" cm="1">
        <f t="array" aca="1" ref="J253" ca="1">IFERROR(IF(OR('Raw Data'!J253="",LEN(TRIM('Raw Data'!J253))=0),"",IF(AND(ISNUMBER('Raw Data'!J253), IFERROR('Raw Data'!J253 = ROUND('Raw Data'!J253, 2),FALSE)),"",_xlfn.REGEXEXTRACT(CELL("address",J253), "\$([A-Z]+)\$[0-9]+"))),_xlfn.REGEXEXTRACT(CELL("address",J253), "\$([A-Z]+)\$[0-9]+"))</f>
        <v/>
      </c>
      <c r="K253" s="7" t="str" cm="1">
        <f t="array" aca="1" ref="K253" ca="1">IFERROR(IF(OR('Raw Data'!K253="",LEN(TRIM('Raw Data'!K253))=0),"",IF(AND(ISNUMBER('Raw Data'!K253), IFERROR('Raw Data'!K253 = ROUND('Raw Data'!K253, 2),FALSE)),"",_xlfn.REGEXEXTRACT(CELL("address",K253), "\$([A-Z]+)\$[0-9]+"))),_xlfn.REGEXEXTRACT(CELL("address",K253), "\$([A-Z]+)\$[0-9]+"))</f>
        <v/>
      </c>
      <c r="L253" s="7" t="str" cm="1">
        <f t="array" aca="1" ref="L253" ca="1">IFERROR(IF(OR('Raw Data'!L253="",LEN(TRIM('Raw Data'!L253))=0),"",IF(AND(ISNUMBER('Raw Data'!L253), IFERROR('Raw Data'!L253 = ROUND('Raw Data'!L253, 2),FALSE)),"",_xlfn.REGEXEXTRACT(CELL("address",L253), "\$([A-Z]+)\$[0-9]+"))),_xlfn.REGEXEXTRACT(CELL("address",L253), "\$([A-Z]+)\$[0-9]+"))</f>
        <v/>
      </c>
      <c r="M253" s="7" t="str" cm="1">
        <f t="array" aca="1" ref="M253" ca="1">IFERROR(IF(OR('Raw Data'!M253="",LEN(TRIM('Raw Data'!M253))=0),"",IF(AND(ISNUMBER('Raw Data'!M253), IFERROR('Raw Data'!M253 = ROUND('Raw Data'!M253, 2),FALSE)),"",_xlfn.REGEXEXTRACT(CELL("address",M253), "\$([A-Z]+)\$[0-9]+"))),_xlfn.REGEXEXTRACT(CELL("address",M253), "\$([A-Z]+)\$[0-9]+"))</f>
        <v/>
      </c>
      <c r="N253" s="7" t="str" cm="1">
        <f t="array" aca="1" ref="N253" ca="1">IFERROR(IF(OR('Raw Data'!N253="",LEN(TRIM('Raw Data'!N253))=0),"",IF(AND(ISNUMBER('Raw Data'!N253), IFERROR('Raw Data'!N253 = ROUND('Raw Data'!N253, 2),FALSE)),"",_xlfn.REGEXEXTRACT(CELL("address",N253), "\$([A-Z]+)\$[0-9]+"))),_xlfn.REGEXEXTRACT(CELL("address",N253), "\$([A-Z]+)\$[0-9]+"))</f>
        <v/>
      </c>
      <c r="O253" s="7" t="str" cm="1">
        <f t="array" aca="1" ref="O253" ca="1">IFERROR(IF(OR('Raw Data'!O253="",LEN(TRIM('Raw Data'!O253))=0),"",IF(AND(ISNUMBER('Raw Data'!O253), IFERROR('Raw Data'!O253 = ROUND('Raw Data'!O253, 2),FALSE)),"",_xlfn.REGEXEXTRACT(CELL("address",O253), "\$([A-Z]+)\$[0-9]+"))),_xlfn.REGEXEXTRACT(CELL("address",O253), "\$([A-Z]+)\$[0-9]+"))</f>
        <v/>
      </c>
      <c r="P253" s="7" t="str" cm="1">
        <f t="array" aca="1" ref="P253" ca="1">IFERROR(IF(OR('Raw Data'!P253="",LEN(TRIM('Raw Data'!P253))=0),"",IF(AND(ISNUMBER('Raw Data'!P253), IFERROR('Raw Data'!P253 = ROUND('Raw Data'!P253, 2),FALSE)),"",_xlfn.REGEXEXTRACT(CELL("address",P253), "\$([A-Z]+)\$[0-9]+"))),_xlfn.REGEXEXTRACT(CELL("address",P253), "\$([A-Z]+)\$[0-9]+"))</f>
        <v/>
      </c>
      <c r="Q253" s="7" t="str" cm="1">
        <f t="array" aca="1" ref="Q253" ca="1">IFERROR(IF(OR('Raw Data'!Q253="",LEN(TRIM('Raw Data'!Q253))=0),"",IF(AND(ISNUMBER('Raw Data'!Q253), IFERROR('Raw Data'!Q253 = ROUND('Raw Data'!Q253, 2),FALSE)),"",_xlfn.REGEXEXTRACT(CELL("address",Q253), "\$([A-Z]+)\$[0-9]+"))),_xlfn.REGEXEXTRACT(CELL("address",Q253), "\$([A-Z]+)\$[0-9]+"))</f>
        <v/>
      </c>
      <c r="R253" s="7" t="str" cm="1">
        <f t="array" aca="1" ref="R253" ca="1">IFERROR(IF(OR('Raw Data'!R253="",LEN(TRIM('Raw Data'!R253))=0),"",IF(AND(ISNUMBER('Raw Data'!R253), IFERROR('Raw Data'!R253 = ROUND('Raw Data'!R253, 2),FALSE)),"",_xlfn.REGEXEXTRACT(CELL("address",R253), "\$([A-Z]+)\$[0-9]+"))),_xlfn.REGEXEXTRACT(CELL("address",R253), "\$([A-Z]+)\$[0-9]+"))</f>
        <v/>
      </c>
      <c r="S253" s="7" t="str" cm="1">
        <f t="array" aca="1" ref="S253" ca="1">IFERROR(IF(OR('Raw Data'!S253="",LEN(TRIM('Raw Data'!S253))=0),"",IF(AND(ISNUMBER('Raw Data'!S253), IFERROR('Raw Data'!S253 = ROUND('Raw Data'!S253, 2),FALSE)),"",_xlfn.REGEXEXTRACT(CELL("address",S253), "\$([A-Z]+)\$[0-9]+"))),_xlfn.REGEXEXTRACT(CELL("address",S253), "\$([A-Z]+)\$[0-9]+"))</f>
        <v/>
      </c>
      <c r="T253" s="7" t="str" cm="1">
        <f t="array" aca="1" ref="T253" ca="1">IFERROR(IF(OR('Raw Data'!T253="",LEN(TRIM('Raw Data'!T253))=0),"",IF(AND(ISNUMBER('Raw Data'!T253), IFERROR('Raw Data'!T253 = ROUND('Raw Data'!T253, 2),FALSE)),"",_xlfn.REGEXEXTRACT(CELL("address",T253), "\$([A-Z]+)\$[0-9]+"))),_xlfn.REGEXEXTRACT(CELL("address",T253), "\$([A-Z]+)\$[0-9]+"))</f>
        <v/>
      </c>
      <c r="U253" s="7" t="str" cm="1">
        <f t="array" aca="1" ref="U253" ca="1">IFERROR(IF(OR('Raw Data'!U253="",LEN(TRIM('Raw Data'!U253))=0),"",IF(AND(ISNUMBER('Raw Data'!U253), IFERROR('Raw Data'!U253 = ROUND('Raw Data'!U253, 2),FALSE)),"",_xlfn.REGEXEXTRACT(CELL("address",U253), "\$([A-Z]+)\$[0-9]+"))),_xlfn.REGEXEXTRACT(CELL("address",U253), "\$([A-Z]+)\$[0-9]+"))</f>
        <v/>
      </c>
      <c r="V253" s="7" t="str" cm="1">
        <f t="array" aca="1" ref="V253" ca="1">IFERROR(IF(OR('Raw Data'!V253="",LEN(TRIM('Raw Data'!V253))=0),"",IF(AND(ISNUMBER('Raw Data'!V253), IFERROR('Raw Data'!V253 = ROUND('Raw Data'!V253, 2),FALSE)),"",_xlfn.REGEXEXTRACT(CELL("address",V253), "\$([A-Z]+)\$[0-9]+"))),_xlfn.REGEXEXTRACT(CELL("address",V253), "\$([A-Z]+)\$[0-9]+"))</f>
        <v/>
      </c>
      <c r="W253" s="7" t="str" cm="1">
        <f t="array" aca="1" ref="W253" ca="1">IFERROR(IF(OR('Raw Data'!W253="",LEN(TRIM('Raw Data'!W253))=0),"",IF(AND(ISNUMBER('Raw Data'!W253), IFERROR('Raw Data'!W253 = ROUND('Raw Data'!W253, 2),FALSE)),"",_xlfn.REGEXEXTRACT(CELL("address",W253), "\$([A-Z]+)\$[0-9]+"))),_xlfn.REGEXEXTRACT(CELL("address",W253), "\$([A-Z]+)\$[0-9]+"))</f>
        <v/>
      </c>
      <c r="X253" s="7" t="str" cm="1">
        <f t="array" aca="1" ref="X253" ca="1">IFERROR(IF(OR('Raw Data'!X253="",LEN(TRIM('Raw Data'!X253))=0),"",IF(AND(ISNUMBER('Raw Data'!X253), IFERROR('Raw Data'!X253 = ROUND('Raw Data'!X253, 2),FALSE)),"",_xlfn.REGEXEXTRACT(CELL("address",X253), "\$([A-Z]+)\$[0-9]+"))),_xlfn.REGEXEXTRACT(CELL("address",X253), "\$([A-Z]+)\$[0-9]+"))</f>
        <v/>
      </c>
      <c r="Y253" s="7" t="str" cm="1">
        <f t="array" aca="1" ref="Y253" ca="1">IFERROR(IF(OR('Raw Data'!Y253="",LEN(TRIM('Raw Data'!Y253))=0),"",IF(AND(ISNUMBER('Raw Data'!Y253), IFERROR('Raw Data'!Y253 = ROUND('Raw Data'!Y253, 2),FALSE)),"",_xlfn.REGEXEXTRACT(CELL("address",Y253), "\$([A-Z]+)\$[0-9]+"))),_xlfn.REGEXEXTRACT(CELL("address",Y253), "\$([A-Z]+)\$[0-9]+"))</f>
        <v/>
      </c>
      <c r="Z253" s="7" t="str" cm="1">
        <f t="array" aca="1" ref="Z253" ca="1">IFERROR(IF(OR('Raw Data'!Z253="",LEN(TRIM('Raw Data'!Z253))=0),"",IF(AND(ISNUMBER('Raw Data'!Z253), IFERROR('Raw Data'!Z253 = ROUND('Raw Data'!Z253, 2),FALSE)),"",_xlfn.REGEXEXTRACT(CELL("address",Z253), "\$([A-Z]+)\$[0-9]+"))),_xlfn.REGEXEXTRACT(CELL("address",Z253), "\$([A-Z]+)\$[0-9]+"))</f>
        <v/>
      </c>
      <c r="AA253" s="7" t="str" cm="1">
        <f t="array" aca="1" ref="AA253" ca="1">IFERROR(IF(OR('Raw Data'!AA253="",LEN(TRIM('Raw Data'!AA253))=0),"",IF(AND(ISNUMBER('Raw Data'!AA253), IFERROR('Raw Data'!AA253 = ROUND('Raw Data'!AA253, 2),FALSE)),"",_xlfn.REGEXEXTRACT(CELL("address",AA253), "\$([A-Z]+)\$[0-9]+"))),_xlfn.REGEXEXTRACT(CELL("address",AA253), "\$([A-Z]+)\$[0-9]+"))</f>
        <v/>
      </c>
      <c r="AB253" s="7" t="str" cm="1">
        <f t="array" aca="1" ref="AB253" ca="1">IFERROR(IF(OR('Raw Data'!AB253="",LEN(TRIM('Raw Data'!AB253))=0),"",IF(AND(ISNUMBER('Raw Data'!AB253), IFERROR('Raw Data'!AB253 = ROUND('Raw Data'!AB253, 2),FALSE)),"",_xlfn.REGEXEXTRACT(CELL("address",AB253), "\$([A-Z]+)\$[0-9]+"))),_xlfn.REGEXEXTRACT(CELL("address",AB253), "\$([A-Z]+)\$[0-9]+"))</f>
        <v/>
      </c>
      <c r="AC253" s="7" t="str" cm="1">
        <f t="array" aca="1" ref="AC253" ca="1">IFERROR(IF(OR('Raw Data'!AC253="",LEN(TRIM('Raw Data'!AC253))=0),"",IF(AND(ISNUMBER('Raw Data'!AC253), IFERROR('Raw Data'!AC253 = ROUND('Raw Data'!AC253, 2),FALSE)),"",_xlfn.REGEXEXTRACT(CELL("address",AC253), "\$([A-Z]+)\$[0-9]+"))),_xlfn.REGEXEXTRACT(CELL("address",AC253), "\$([A-Z]+)\$[0-9]+"))</f>
        <v/>
      </c>
      <c r="AD253" s="7" t="str" cm="1">
        <f t="array" aca="1" ref="AD253" ca="1">IFERROR(IF(OR('Raw Data'!AD253="",LEN(TRIM('Raw Data'!AD253))=0),"",IF(AND(ISNUMBER('Raw Data'!AD253), IFERROR('Raw Data'!AD253 = ROUND('Raw Data'!AD253, 2),FALSE)),"",_xlfn.REGEXEXTRACT(CELL("address",AD253), "\$([A-Z]+)\$[0-9]+"))),_xlfn.REGEXEXTRACT(CELL("address",AD253), "\$([A-Z]+)\$[0-9]+"))</f>
        <v/>
      </c>
      <c r="AE253" s="7" t="str" cm="1">
        <f t="array" aca="1" ref="AE253" ca="1">IFERROR(IF(OR('Raw Data'!AE253="",LEN(TRIM('Raw Data'!AE253))=0),"",IF(AND(ISNUMBER('Raw Data'!AE253), IFERROR('Raw Data'!AE253 = ROUND('Raw Data'!AE253, 2),FALSE)),"",_xlfn.REGEXEXTRACT(CELL("address",AE253), "\$([A-Z]+)\$[0-9]+"))),_xlfn.REGEXEXTRACT(CELL("address",AE253), "\$([A-Z]+)\$[0-9]+"))</f>
        <v/>
      </c>
      <c r="AF253" s="7" t="str" cm="1">
        <f t="array" aca="1" ref="AF253" ca="1">IFERROR(IF(OR('Raw Data'!AF253="",LEN(TRIM('Raw Data'!AF253))=0),"",IF(AND(ISNUMBER('Raw Data'!AF253), IFERROR('Raw Data'!AF253 = ROUND('Raw Data'!AF253, 2),FALSE)),"",_xlfn.REGEXEXTRACT(CELL("address",AF253), "\$([A-Z]+)\$[0-9]+"))),_xlfn.REGEXEXTRACT(CELL("address",AF253), "\$([A-Z]+)\$[0-9]+"))</f>
        <v/>
      </c>
      <c r="AG253" s="7" t="str" cm="1">
        <f t="array" aca="1" ref="AG253" ca="1">IFERROR(IF(OR('Raw Data'!AG253="",LEN(TRIM('Raw Data'!AG253))=0),"",IF(AND(ISNUMBER('Raw Data'!AG253), IFERROR('Raw Data'!AG253 = ROUND('Raw Data'!AG253, 2),FALSE)),"",_xlfn.REGEXEXTRACT(CELL("address",AG253), "\$([A-Z]+)\$[0-9]+"))),_xlfn.REGEXEXTRACT(CELL("address",AG253), "\$([A-Z]+)\$[0-9]+"))</f>
        <v/>
      </c>
      <c r="AH253" s="7" t="str" cm="1">
        <f t="array" aca="1" ref="AH253" ca="1">IFERROR(IF(OR('Raw Data'!AH253="",LEN(TRIM('Raw Data'!AH253))=0),"",IF(AND(ISNUMBER('Raw Data'!AH253), IFERROR('Raw Data'!AH253 = ROUND('Raw Data'!AH253, 2),FALSE)),"",_xlfn.REGEXEXTRACT(CELL("address",AH253), "\$([A-Z]+)\$[0-9]+"))),_xlfn.REGEXEXTRACT(CELL("address",AH253), "\$([A-Z]+)\$[0-9]+"))</f>
        <v/>
      </c>
      <c r="AI253" s="7" t="str" cm="1">
        <f t="array" aca="1" ref="AI253" ca="1">IFERROR(IF(OR('Raw Data'!AI253="",LEN(TRIM('Raw Data'!AI253))=0),"",IF(AND(ISNUMBER('Raw Data'!AI253), IFERROR('Raw Data'!AI253 = ROUND('Raw Data'!AI253, 2),FALSE)),"",_xlfn.REGEXEXTRACT(CELL("address",AI253), "\$([A-Z]+)\$[0-9]+"))),_xlfn.REGEXEXTRACT(CELL("address",AI253), "\$([A-Z]+)\$[0-9]+"))</f>
        <v/>
      </c>
      <c r="AJ253" s="7" t="str" cm="1">
        <f t="array" aca="1" ref="AJ253" ca="1">IFERROR(IF(OR('Raw Data'!AJ253="",LEN(TRIM('Raw Data'!AJ253))=0),"",IF(AND(ISNUMBER('Raw Data'!AJ253), IFERROR('Raw Data'!AJ253 = ROUND('Raw Data'!AJ253, 2),FALSE)),"",_xlfn.REGEXEXTRACT(CELL("address",AJ253), "\$([A-Z]+)\$[0-9]+"))),_xlfn.REGEXEXTRACT(CELL("address",AJ253), "\$([A-Z]+)\$[0-9]+"))</f>
        <v/>
      </c>
    </row>
    <row r="254" spans="2:36" x14ac:dyDescent="0.25">
      <c r="B254" s="7" t="str" cm="1">
        <f t="array" aca="1" ref="B254" ca="1">IFERROR(IF(OR('Raw Data'!B254="",LEN(TRIM('Raw Data'!B254))=0),"",IF(AND(LEN('Raw Data'!B254) &lt;= 255,LEN('Raw Data'!B254)&gt; 0),"",_xlfn.REGEXEXTRACT(CELL("address",'Raw Data'!B254),"\$([A-Z]+)\$[0-9]+"))),_xlfn.REGEXEXTRACT(CELL("address",'Raw Data'!B254),"\$([A-Z]+)\$[0-9]+"))</f>
        <v/>
      </c>
      <c r="C254" s="7" t="str" cm="1">
        <f t="array" aca="1" ref="C254" ca="1">IFERROR(IF(OR('Raw Data'!C254="",LEN(TRIM('Raw Data'!C254))=0),"",IF(AND(LEN('Raw Data'!C254) &lt;= 20,LEN('Raw Data'!C254)&gt; 0),"",_xlfn.REGEXEXTRACT(CELL("address",'Raw Data'!C254),"\$([A-Z]+)\$[0-9]+"))),_xlfn.REGEXEXTRACT(CELL("address",'Raw Data'!C254),"\$([A-Z]+)\$[0-9]+"))</f>
        <v/>
      </c>
      <c r="D254" s="7" t="str" cm="1">
        <f t="array" aca="1" ref="D254" ca="1">IFERROR(IF(OR('Raw Data'!D254="",LEN(TRIM('Raw Data'!D254))=0),"",IF(AND(ISNUMBER('Raw Data'!D254),'Raw Data'!D254&gt;=Configuration!$D$2),"",_xlfn.REGEXEXTRACT(CELL("address",'Raw Data'!D254),"\$([A-Z]+)\$[0-9]+"))),_xlfn.REGEXEXTRACT(CELL("address",D254), "\$([A-Z]+)\$[0-9]+"))</f>
        <v/>
      </c>
      <c r="E254" s="7" t="str" cm="1">
        <f t="array" aca="1" ref="E254" ca="1">IFERROR(IF(OR('Raw Data'!E254="",LEN(TRIM('Raw Data'!E254))=0),"",IF(AND(ISNUMBER('Raw Data'!E254), IFERROR('Raw Data'!E254 = ROUND('Raw Data'!E254, 2),FALSE)),"",_xlfn.REGEXEXTRACT(CELL("address",E254), "\$([A-Z]+)\$[0-9]+"))),_xlfn.REGEXEXTRACT(CELL("address",E254), "\$([A-Z]+)\$[0-9]+"))</f>
        <v/>
      </c>
      <c r="F254" s="7" t="str" cm="1">
        <f t="array" aca="1" ref="F254" ca="1">IFERROR(IF(OR('Raw Data'!F254="",LEN(TRIM('Raw Data'!F254))=0),"",IF(AND(ISNUMBER('Raw Data'!F254), IFERROR('Raw Data'!F254 = ROUND('Raw Data'!F254, 2),FALSE)),"",_xlfn.REGEXEXTRACT(CELL("address",F254), "\$([A-Z]+)\$[0-9]+"))),_xlfn.REGEXEXTRACT(CELL("address",F254), "\$([A-Z]+)\$[0-9]+"))</f>
        <v/>
      </c>
      <c r="G254" s="7" t="str" cm="1">
        <f t="array" aca="1" ref="G254" ca="1">IFERROR(IF(OR('Raw Data'!G254="",LEN(TRIM('Raw Data'!G254))=0),"",IF(AND(ISNUMBER('Raw Data'!G254), IFERROR('Raw Data'!G254 = ROUND('Raw Data'!G254, 2),FALSE)),"",_xlfn.REGEXEXTRACT(CELL("address",G254), "\$([A-Z]+)\$[0-9]+"))),_xlfn.REGEXEXTRACT(CELL("address",G254), "\$([A-Z]+)\$[0-9]+"))</f>
        <v/>
      </c>
      <c r="H254" s="7" t="str" cm="1">
        <f t="array" aca="1" ref="H254" ca="1">IFERROR(IF(OR('Raw Data'!H254="",LEN(TRIM('Raw Data'!H254))=0),"",IF(AND(ISNUMBER('Raw Data'!H254), IFERROR('Raw Data'!H254 = ROUND('Raw Data'!H254, 2),FALSE)),"",_xlfn.REGEXEXTRACT(CELL("address",H254), "\$([A-Z]+)\$[0-9]+"))),_xlfn.REGEXEXTRACT(CELL("address",H254), "\$([A-Z]+)\$[0-9]+"))</f>
        <v/>
      </c>
      <c r="I254" s="7" t="str" cm="1">
        <f t="array" aca="1" ref="I254" ca="1">IFERROR(IF(OR('Raw Data'!I254="",LEN(TRIM('Raw Data'!I254))=0),"",IF(AND(ISNUMBER('Raw Data'!I254), IFERROR('Raw Data'!I254 = ROUND('Raw Data'!I254, 2),FALSE)),"",_xlfn.REGEXEXTRACT(CELL("address",I254), "\$([A-Z]+)\$[0-9]+"))),_xlfn.REGEXEXTRACT(CELL("address",I254), "\$([A-Z]+)\$[0-9]+"))</f>
        <v/>
      </c>
      <c r="J254" s="7" t="str" cm="1">
        <f t="array" aca="1" ref="J254" ca="1">IFERROR(IF(OR('Raw Data'!J254="",LEN(TRIM('Raw Data'!J254))=0),"",IF(AND(ISNUMBER('Raw Data'!J254), IFERROR('Raw Data'!J254 = ROUND('Raw Data'!J254, 2),FALSE)),"",_xlfn.REGEXEXTRACT(CELL("address",J254), "\$([A-Z]+)\$[0-9]+"))),_xlfn.REGEXEXTRACT(CELL("address",J254), "\$([A-Z]+)\$[0-9]+"))</f>
        <v/>
      </c>
      <c r="K254" s="7" t="str" cm="1">
        <f t="array" aca="1" ref="K254" ca="1">IFERROR(IF(OR('Raw Data'!K254="",LEN(TRIM('Raw Data'!K254))=0),"",IF(AND(ISNUMBER('Raw Data'!K254), IFERROR('Raw Data'!K254 = ROUND('Raw Data'!K254, 2),FALSE)),"",_xlfn.REGEXEXTRACT(CELL("address",K254), "\$([A-Z]+)\$[0-9]+"))),_xlfn.REGEXEXTRACT(CELL("address",K254), "\$([A-Z]+)\$[0-9]+"))</f>
        <v/>
      </c>
      <c r="L254" s="7" t="str" cm="1">
        <f t="array" aca="1" ref="L254" ca="1">IFERROR(IF(OR('Raw Data'!L254="",LEN(TRIM('Raw Data'!L254))=0),"",IF(AND(ISNUMBER('Raw Data'!L254), IFERROR('Raw Data'!L254 = ROUND('Raw Data'!L254, 2),FALSE)),"",_xlfn.REGEXEXTRACT(CELL("address",L254), "\$([A-Z]+)\$[0-9]+"))),_xlfn.REGEXEXTRACT(CELL("address",L254), "\$([A-Z]+)\$[0-9]+"))</f>
        <v/>
      </c>
      <c r="M254" s="7" t="str" cm="1">
        <f t="array" aca="1" ref="M254" ca="1">IFERROR(IF(OR('Raw Data'!M254="",LEN(TRIM('Raw Data'!M254))=0),"",IF(AND(ISNUMBER('Raw Data'!M254), IFERROR('Raw Data'!M254 = ROUND('Raw Data'!M254, 2),FALSE)),"",_xlfn.REGEXEXTRACT(CELL("address",M254), "\$([A-Z]+)\$[0-9]+"))),_xlfn.REGEXEXTRACT(CELL("address",M254), "\$([A-Z]+)\$[0-9]+"))</f>
        <v/>
      </c>
      <c r="N254" s="7" t="str" cm="1">
        <f t="array" aca="1" ref="N254" ca="1">IFERROR(IF(OR('Raw Data'!N254="",LEN(TRIM('Raw Data'!N254))=0),"",IF(AND(ISNUMBER('Raw Data'!N254), IFERROR('Raw Data'!N254 = ROUND('Raw Data'!N254, 2),FALSE)),"",_xlfn.REGEXEXTRACT(CELL("address",N254), "\$([A-Z]+)\$[0-9]+"))),_xlfn.REGEXEXTRACT(CELL("address",N254), "\$([A-Z]+)\$[0-9]+"))</f>
        <v/>
      </c>
      <c r="O254" s="7" t="str" cm="1">
        <f t="array" aca="1" ref="O254" ca="1">IFERROR(IF(OR('Raw Data'!O254="",LEN(TRIM('Raw Data'!O254))=0),"",IF(AND(ISNUMBER('Raw Data'!O254), IFERROR('Raw Data'!O254 = ROUND('Raw Data'!O254, 2),FALSE)),"",_xlfn.REGEXEXTRACT(CELL("address",O254), "\$([A-Z]+)\$[0-9]+"))),_xlfn.REGEXEXTRACT(CELL("address",O254), "\$([A-Z]+)\$[0-9]+"))</f>
        <v/>
      </c>
      <c r="P254" s="7" t="str" cm="1">
        <f t="array" aca="1" ref="P254" ca="1">IFERROR(IF(OR('Raw Data'!P254="",LEN(TRIM('Raw Data'!P254))=0),"",IF(AND(ISNUMBER('Raw Data'!P254), IFERROR('Raw Data'!P254 = ROUND('Raw Data'!P254, 2),FALSE)),"",_xlfn.REGEXEXTRACT(CELL("address",P254), "\$([A-Z]+)\$[0-9]+"))),_xlfn.REGEXEXTRACT(CELL("address",P254), "\$([A-Z]+)\$[0-9]+"))</f>
        <v/>
      </c>
      <c r="Q254" s="7" t="str" cm="1">
        <f t="array" aca="1" ref="Q254" ca="1">IFERROR(IF(OR('Raw Data'!Q254="",LEN(TRIM('Raw Data'!Q254))=0),"",IF(AND(ISNUMBER('Raw Data'!Q254), IFERROR('Raw Data'!Q254 = ROUND('Raw Data'!Q254, 2),FALSE)),"",_xlfn.REGEXEXTRACT(CELL("address",Q254), "\$([A-Z]+)\$[0-9]+"))),_xlfn.REGEXEXTRACT(CELL("address",Q254), "\$([A-Z]+)\$[0-9]+"))</f>
        <v/>
      </c>
      <c r="R254" s="7" t="str" cm="1">
        <f t="array" aca="1" ref="R254" ca="1">IFERROR(IF(OR('Raw Data'!R254="",LEN(TRIM('Raw Data'!R254))=0),"",IF(AND(ISNUMBER('Raw Data'!R254), IFERROR('Raw Data'!R254 = ROUND('Raw Data'!R254, 2),FALSE)),"",_xlfn.REGEXEXTRACT(CELL("address",R254), "\$([A-Z]+)\$[0-9]+"))),_xlfn.REGEXEXTRACT(CELL("address",R254), "\$([A-Z]+)\$[0-9]+"))</f>
        <v/>
      </c>
      <c r="S254" s="7" t="str" cm="1">
        <f t="array" aca="1" ref="S254" ca="1">IFERROR(IF(OR('Raw Data'!S254="",LEN(TRIM('Raw Data'!S254))=0),"",IF(AND(ISNUMBER('Raw Data'!S254), IFERROR('Raw Data'!S254 = ROUND('Raw Data'!S254, 2),FALSE)),"",_xlfn.REGEXEXTRACT(CELL("address",S254), "\$([A-Z]+)\$[0-9]+"))),_xlfn.REGEXEXTRACT(CELL("address",S254), "\$([A-Z]+)\$[0-9]+"))</f>
        <v/>
      </c>
      <c r="T254" s="7" t="str" cm="1">
        <f t="array" aca="1" ref="T254" ca="1">IFERROR(IF(OR('Raw Data'!T254="",LEN(TRIM('Raw Data'!T254))=0),"",IF(AND(ISNUMBER('Raw Data'!T254), IFERROR('Raw Data'!T254 = ROUND('Raw Data'!T254, 2),FALSE)),"",_xlfn.REGEXEXTRACT(CELL("address",T254), "\$([A-Z]+)\$[0-9]+"))),_xlfn.REGEXEXTRACT(CELL("address",T254), "\$([A-Z]+)\$[0-9]+"))</f>
        <v/>
      </c>
      <c r="U254" s="7" t="str" cm="1">
        <f t="array" aca="1" ref="U254" ca="1">IFERROR(IF(OR('Raw Data'!U254="",LEN(TRIM('Raw Data'!U254))=0),"",IF(AND(ISNUMBER('Raw Data'!U254), IFERROR('Raw Data'!U254 = ROUND('Raw Data'!U254, 2),FALSE)),"",_xlfn.REGEXEXTRACT(CELL("address",U254), "\$([A-Z]+)\$[0-9]+"))),_xlfn.REGEXEXTRACT(CELL("address",U254), "\$([A-Z]+)\$[0-9]+"))</f>
        <v/>
      </c>
      <c r="V254" s="7" t="str" cm="1">
        <f t="array" aca="1" ref="V254" ca="1">IFERROR(IF(OR('Raw Data'!V254="",LEN(TRIM('Raw Data'!V254))=0),"",IF(AND(ISNUMBER('Raw Data'!V254), IFERROR('Raw Data'!V254 = ROUND('Raw Data'!V254, 2),FALSE)),"",_xlfn.REGEXEXTRACT(CELL("address",V254), "\$([A-Z]+)\$[0-9]+"))),_xlfn.REGEXEXTRACT(CELL("address",V254), "\$([A-Z]+)\$[0-9]+"))</f>
        <v/>
      </c>
      <c r="W254" s="7" t="str" cm="1">
        <f t="array" aca="1" ref="W254" ca="1">IFERROR(IF(OR('Raw Data'!W254="",LEN(TRIM('Raw Data'!W254))=0),"",IF(AND(ISNUMBER('Raw Data'!W254), IFERROR('Raw Data'!W254 = ROUND('Raw Data'!W254, 2),FALSE)),"",_xlfn.REGEXEXTRACT(CELL("address",W254), "\$([A-Z]+)\$[0-9]+"))),_xlfn.REGEXEXTRACT(CELL("address",W254), "\$([A-Z]+)\$[0-9]+"))</f>
        <v/>
      </c>
      <c r="X254" s="7" t="str" cm="1">
        <f t="array" aca="1" ref="X254" ca="1">IFERROR(IF(OR('Raw Data'!X254="",LEN(TRIM('Raw Data'!X254))=0),"",IF(AND(ISNUMBER('Raw Data'!X254), IFERROR('Raw Data'!X254 = ROUND('Raw Data'!X254, 2),FALSE)),"",_xlfn.REGEXEXTRACT(CELL("address",X254), "\$([A-Z]+)\$[0-9]+"))),_xlfn.REGEXEXTRACT(CELL("address",X254), "\$([A-Z]+)\$[0-9]+"))</f>
        <v/>
      </c>
      <c r="Y254" s="7" t="str" cm="1">
        <f t="array" aca="1" ref="Y254" ca="1">IFERROR(IF(OR('Raw Data'!Y254="",LEN(TRIM('Raw Data'!Y254))=0),"",IF(AND(ISNUMBER('Raw Data'!Y254), IFERROR('Raw Data'!Y254 = ROUND('Raw Data'!Y254, 2),FALSE)),"",_xlfn.REGEXEXTRACT(CELL("address",Y254), "\$([A-Z]+)\$[0-9]+"))),_xlfn.REGEXEXTRACT(CELL("address",Y254), "\$([A-Z]+)\$[0-9]+"))</f>
        <v/>
      </c>
      <c r="Z254" s="7" t="str" cm="1">
        <f t="array" aca="1" ref="Z254" ca="1">IFERROR(IF(OR('Raw Data'!Z254="",LEN(TRIM('Raw Data'!Z254))=0),"",IF(AND(ISNUMBER('Raw Data'!Z254), IFERROR('Raw Data'!Z254 = ROUND('Raw Data'!Z254, 2),FALSE)),"",_xlfn.REGEXEXTRACT(CELL("address",Z254), "\$([A-Z]+)\$[0-9]+"))),_xlfn.REGEXEXTRACT(CELL("address",Z254), "\$([A-Z]+)\$[0-9]+"))</f>
        <v/>
      </c>
      <c r="AA254" s="7" t="str" cm="1">
        <f t="array" aca="1" ref="AA254" ca="1">IFERROR(IF(OR('Raw Data'!AA254="",LEN(TRIM('Raw Data'!AA254))=0),"",IF(AND(ISNUMBER('Raw Data'!AA254), IFERROR('Raw Data'!AA254 = ROUND('Raw Data'!AA254, 2),FALSE)),"",_xlfn.REGEXEXTRACT(CELL("address",AA254), "\$([A-Z]+)\$[0-9]+"))),_xlfn.REGEXEXTRACT(CELL("address",AA254), "\$([A-Z]+)\$[0-9]+"))</f>
        <v/>
      </c>
      <c r="AB254" s="7" t="str" cm="1">
        <f t="array" aca="1" ref="AB254" ca="1">IFERROR(IF(OR('Raw Data'!AB254="",LEN(TRIM('Raw Data'!AB254))=0),"",IF(AND(ISNUMBER('Raw Data'!AB254), IFERROR('Raw Data'!AB254 = ROUND('Raw Data'!AB254, 2),FALSE)),"",_xlfn.REGEXEXTRACT(CELL("address",AB254), "\$([A-Z]+)\$[0-9]+"))),_xlfn.REGEXEXTRACT(CELL("address",AB254), "\$([A-Z]+)\$[0-9]+"))</f>
        <v/>
      </c>
      <c r="AC254" s="7" t="str" cm="1">
        <f t="array" aca="1" ref="AC254" ca="1">IFERROR(IF(OR('Raw Data'!AC254="",LEN(TRIM('Raw Data'!AC254))=0),"",IF(AND(ISNUMBER('Raw Data'!AC254), IFERROR('Raw Data'!AC254 = ROUND('Raw Data'!AC254, 2),FALSE)),"",_xlfn.REGEXEXTRACT(CELL("address",AC254), "\$([A-Z]+)\$[0-9]+"))),_xlfn.REGEXEXTRACT(CELL("address",AC254), "\$([A-Z]+)\$[0-9]+"))</f>
        <v/>
      </c>
      <c r="AD254" s="7" t="str" cm="1">
        <f t="array" aca="1" ref="AD254" ca="1">IFERROR(IF(OR('Raw Data'!AD254="",LEN(TRIM('Raw Data'!AD254))=0),"",IF(AND(ISNUMBER('Raw Data'!AD254), IFERROR('Raw Data'!AD254 = ROUND('Raw Data'!AD254, 2),FALSE)),"",_xlfn.REGEXEXTRACT(CELL("address",AD254), "\$([A-Z]+)\$[0-9]+"))),_xlfn.REGEXEXTRACT(CELL("address",AD254), "\$([A-Z]+)\$[0-9]+"))</f>
        <v/>
      </c>
      <c r="AE254" s="7" t="str" cm="1">
        <f t="array" aca="1" ref="AE254" ca="1">IFERROR(IF(OR('Raw Data'!AE254="",LEN(TRIM('Raw Data'!AE254))=0),"",IF(AND(ISNUMBER('Raw Data'!AE254), IFERROR('Raw Data'!AE254 = ROUND('Raw Data'!AE254, 2),FALSE)),"",_xlfn.REGEXEXTRACT(CELL("address",AE254), "\$([A-Z]+)\$[0-9]+"))),_xlfn.REGEXEXTRACT(CELL("address",AE254), "\$([A-Z]+)\$[0-9]+"))</f>
        <v/>
      </c>
      <c r="AF254" s="7" t="str" cm="1">
        <f t="array" aca="1" ref="AF254" ca="1">IFERROR(IF(OR('Raw Data'!AF254="",LEN(TRIM('Raw Data'!AF254))=0),"",IF(AND(ISNUMBER('Raw Data'!AF254), IFERROR('Raw Data'!AF254 = ROUND('Raw Data'!AF254, 2),FALSE)),"",_xlfn.REGEXEXTRACT(CELL("address",AF254), "\$([A-Z]+)\$[0-9]+"))),_xlfn.REGEXEXTRACT(CELL("address",AF254), "\$([A-Z]+)\$[0-9]+"))</f>
        <v/>
      </c>
      <c r="AG254" s="7" t="str" cm="1">
        <f t="array" aca="1" ref="AG254" ca="1">IFERROR(IF(OR('Raw Data'!AG254="",LEN(TRIM('Raw Data'!AG254))=0),"",IF(AND(ISNUMBER('Raw Data'!AG254), IFERROR('Raw Data'!AG254 = ROUND('Raw Data'!AG254, 2),FALSE)),"",_xlfn.REGEXEXTRACT(CELL("address",AG254), "\$([A-Z]+)\$[0-9]+"))),_xlfn.REGEXEXTRACT(CELL("address",AG254), "\$([A-Z]+)\$[0-9]+"))</f>
        <v/>
      </c>
      <c r="AH254" s="7" t="str" cm="1">
        <f t="array" aca="1" ref="AH254" ca="1">IFERROR(IF(OR('Raw Data'!AH254="",LEN(TRIM('Raw Data'!AH254))=0),"",IF(AND(ISNUMBER('Raw Data'!AH254), IFERROR('Raw Data'!AH254 = ROUND('Raw Data'!AH254, 2),FALSE)),"",_xlfn.REGEXEXTRACT(CELL("address",AH254), "\$([A-Z]+)\$[0-9]+"))),_xlfn.REGEXEXTRACT(CELL("address",AH254), "\$([A-Z]+)\$[0-9]+"))</f>
        <v/>
      </c>
      <c r="AI254" s="7" t="str" cm="1">
        <f t="array" aca="1" ref="AI254" ca="1">IFERROR(IF(OR('Raw Data'!AI254="",LEN(TRIM('Raw Data'!AI254))=0),"",IF(AND(ISNUMBER('Raw Data'!AI254), IFERROR('Raw Data'!AI254 = ROUND('Raw Data'!AI254, 2),FALSE)),"",_xlfn.REGEXEXTRACT(CELL("address",AI254), "\$([A-Z]+)\$[0-9]+"))),_xlfn.REGEXEXTRACT(CELL("address",AI254), "\$([A-Z]+)\$[0-9]+"))</f>
        <v/>
      </c>
      <c r="AJ254" s="7" t="str" cm="1">
        <f t="array" aca="1" ref="AJ254" ca="1">IFERROR(IF(OR('Raw Data'!AJ254="",LEN(TRIM('Raw Data'!AJ254))=0),"",IF(AND(ISNUMBER('Raw Data'!AJ254), IFERROR('Raw Data'!AJ254 = ROUND('Raw Data'!AJ254, 2),FALSE)),"",_xlfn.REGEXEXTRACT(CELL("address",AJ254), "\$([A-Z]+)\$[0-9]+"))),_xlfn.REGEXEXTRACT(CELL("address",AJ254), "\$([A-Z]+)\$[0-9]+"))</f>
        <v/>
      </c>
    </row>
    <row r="255" spans="2:36" x14ac:dyDescent="0.25">
      <c r="B255" s="7" t="str" cm="1">
        <f t="array" aca="1" ref="B255" ca="1">IFERROR(IF(OR('Raw Data'!B255="",LEN(TRIM('Raw Data'!B255))=0),"",IF(AND(LEN('Raw Data'!B255) &lt;= 255,LEN('Raw Data'!B255)&gt; 0),"",_xlfn.REGEXEXTRACT(CELL("address",'Raw Data'!B255),"\$([A-Z]+)\$[0-9]+"))),_xlfn.REGEXEXTRACT(CELL("address",'Raw Data'!B255),"\$([A-Z]+)\$[0-9]+"))</f>
        <v/>
      </c>
      <c r="C255" s="7" t="str" cm="1">
        <f t="array" aca="1" ref="C255" ca="1">IFERROR(IF(OR('Raw Data'!C255="",LEN(TRIM('Raw Data'!C255))=0),"",IF(AND(LEN('Raw Data'!C255) &lt;= 20,LEN('Raw Data'!C255)&gt; 0),"",_xlfn.REGEXEXTRACT(CELL("address",'Raw Data'!C255),"\$([A-Z]+)\$[0-9]+"))),_xlfn.REGEXEXTRACT(CELL("address",'Raw Data'!C255),"\$([A-Z]+)\$[0-9]+"))</f>
        <v/>
      </c>
      <c r="D255" s="7" t="str" cm="1">
        <f t="array" aca="1" ref="D255" ca="1">IFERROR(IF(OR('Raw Data'!D255="",LEN(TRIM('Raw Data'!D255))=0),"",IF(AND(ISNUMBER('Raw Data'!D255),'Raw Data'!D255&gt;=Configuration!$D$2),"",_xlfn.REGEXEXTRACT(CELL("address",'Raw Data'!D255),"\$([A-Z]+)\$[0-9]+"))),_xlfn.REGEXEXTRACT(CELL("address",D255), "\$([A-Z]+)\$[0-9]+"))</f>
        <v/>
      </c>
      <c r="E255" s="7" t="str" cm="1">
        <f t="array" aca="1" ref="E255" ca="1">IFERROR(IF(OR('Raw Data'!E255="",LEN(TRIM('Raw Data'!E255))=0),"",IF(AND(ISNUMBER('Raw Data'!E255), IFERROR('Raw Data'!E255 = ROUND('Raw Data'!E255, 2),FALSE)),"",_xlfn.REGEXEXTRACT(CELL("address",E255), "\$([A-Z]+)\$[0-9]+"))),_xlfn.REGEXEXTRACT(CELL("address",E255), "\$([A-Z]+)\$[0-9]+"))</f>
        <v/>
      </c>
      <c r="F255" s="7" t="str" cm="1">
        <f t="array" aca="1" ref="F255" ca="1">IFERROR(IF(OR('Raw Data'!F255="",LEN(TRIM('Raw Data'!F255))=0),"",IF(AND(ISNUMBER('Raw Data'!F255), IFERROR('Raw Data'!F255 = ROUND('Raw Data'!F255, 2),FALSE)),"",_xlfn.REGEXEXTRACT(CELL("address",F255), "\$([A-Z]+)\$[0-9]+"))),_xlfn.REGEXEXTRACT(CELL("address",F255), "\$([A-Z]+)\$[0-9]+"))</f>
        <v/>
      </c>
      <c r="G255" s="7" t="str" cm="1">
        <f t="array" aca="1" ref="G255" ca="1">IFERROR(IF(OR('Raw Data'!G255="",LEN(TRIM('Raw Data'!G255))=0),"",IF(AND(ISNUMBER('Raw Data'!G255), IFERROR('Raw Data'!G255 = ROUND('Raw Data'!G255, 2),FALSE)),"",_xlfn.REGEXEXTRACT(CELL("address",G255), "\$([A-Z]+)\$[0-9]+"))),_xlfn.REGEXEXTRACT(CELL("address",G255), "\$([A-Z]+)\$[0-9]+"))</f>
        <v/>
      </c>
      <c r="H255" s="7" t="str" cm="1">
        <f t="array" aca="1" ref="H255" ca="1">IFERROR(IF(OR('Raw Data'!H255="",LEN(TRIM('Raw Data'!H255))=0),"",IF(AND(ISNUMBER('Raw Data'!H255), IFERROR('Raw Data'!H255 = ROUND('Raw Data'!H255, 2),FALSE)),"",_xlfn.REGEXEXTRACT(CELL("address",H255), "\$([A-Z]+)\$[0-9]+"))),_xlfn.REGEXEXTRACT(CELL("address",H255), "\$([A-Z]+)\$[0-9]+"))</f>
        <v/>
      </c>
      <c r="I255" s="7" t="str" cm="1">
        <f t="array" aca="1" ref="I255" ca="1">IFERROR(IF(OR('Raw Data'!I255="",LEN(TRIM('Raw Data'!I255))=0),"",IF(AND(ISNUMBER('Raw Data'!I255), IFERROR('Raw Data'!I255 = ROUND('Raw Data'!I255, 2),FALSE)),"",_xlfn.REGEXEXTRACT(CELL("address",I255), "\$([A-Z]+)\$[0-9]+"))),_xlfn.REGEXEXTRACT(CELL("address",I255), "\$([A-Z]+)\$[0-9]+"))</f>
        <v/>
      </c>
      <c r="J255" s="7" t="str" cm="1">
        <f t="array" aca="1" ref="J255" ca="1">IFERROR(IF(OR('Raw Data'!J255="",LEN(TRIM('Raw Data'!J255))=0),"",IF(AND(ISNUMBER('Raw Data'!J255), IFERROR('Raw Data'!J255 = ROUND('Raw Data'!J255, 2),FALSE)),"",_xlfn.REGEXEXTRACT(CELL("address",J255), "\$([A-Z]+)\$[0-9]+"))),_xlfn.REGEXEXTRACT(CELL("address",J255), "\$([A-Z]+)\$[0-9]+"))</f>
        <v/>
      </c>
      <c r="K255" s="7" t="str" cm="1">
        <f t="array" aca="1" ref="K255" ca="1">IFERROR(IF(OR('Raw Data'!K255="",LEN(TRIM('Raw Data'!K255))=0),"",IF(AND(ISNUMBER('Raw Data'!K255), IFERROR('Raw Data'!K255 = ROUND('Raw Data'!K255, 2),FALSE)),"",_xlfn.REGEXEXTRACT(CELL("address",K255), "\$([A-Z]+)\$[0-9]+"))),_xlfn.REGEXEXTRACT(CELL("address",K255), "\$([A-Z]+)\$[0-9]+"))</f>
        <v/>
      </c>
      <c r="L255" s="7" t="str" cm="1">
        <f t="array" aca="1" ref="L255" ca="1">IFERROR(IF(OR('Raw Data'!L255="",LEN(TRIM('Raw Data'!L255))=0),"",IF(AND(ISNUMBER('Raw Data'!L255), IFERROR('Raw Data'!L255 = ROUND('Raw Data'!L255, 2),FALSE)),"",_xlfn.REGEXEXTRACT(CELL("address",L255), "\$([A-Z]+)\$[0-9]+"))),_xlfn.REGEXEXTRACT(CELL("address",L255), "\$([A-Z]+)\$[0-9]+"))</f>
        <v/>
      </c>
      <c r="M255" s="7" t="str" cm="1">
        <f t="array" aca="1" ref="M255" ca="1">IFERROR(IF(OR('Raw Data'!M255="",LEN(TRIM('Raw Data'!M255))=0),"",IF(AND(ISNUMBER('Raw Data'!M255), IFERROR('Raw Data'!M255 = ROUND('Raw Data'!M255, 2),FALSE)),"",_xlfn.REGEXEXTRACT(CELL("address",M255), "\$([A-Z]+)\$[0-9]+"))),_xlfn.REGEXEXTRACT(CELL("address",M255), "\$([A-Z]+)\$[0-9]+"))</f>
        <v/>
      </c>
      <c r="N255" s="7" t="str" cm="1">
        <f t="array" aca="1" ref="N255" ca="1">IFERROR(IF(OR('Raw Data'!N255="",LEN(TRIM('Raw Data'!N255))=0),"",IF(AND(ISNUMBER('Raw Data'!N255), IFERROR('Raw Data'!N255 = ROUND('Raw Data'!N255, 2),FALSE)),"",_xlfn.REGEXEXTRACT(CELL("address",N255), "\$([A-Z]+)\$[0-9]+"))),_xlfn.REGEXEXTRACT(CELL("address",N255), "\$([A-Z]+)\$[0-9]+"))</f>
        <v/>
      </c>
      <c r="O255" s="7" t="str" cm="1">
        <f t="array" aca="1" ref="O255" ca="1">IFERROR(IF(OR('Raw Data'!O255="",LEN(TRIM('Raw Data'!O255))=0),"",IF(AND(ISNUMBER('Raw Data'!O255), IFERROR('Raw Data'!O255 = ROUND('Raw Data'!O255, 2),FALSE)),"",_xlfn.REGEXEXTRACT(CELL("address",O255), "\$([A-Z]+)\$[0-9]+"))),_xlfn.REGEXEXTRACT(CELL("address",O255), "\$([A-Z]+)\$[0-9]+"))</f>
        <v/>
      </c>
      <c r="P255" s="7" t="str" cm="1">
        <f t="array" aca="1" ref="P255" ca="1">IFERROR(IF(OR('Raw Data'!P255="",LEN(TRIM('Raw Data'!P255))=0),"",IF(AND(ISNUMBER('Raw Data'!P255), IFERROR('Raw Data'!P255 = ROUND('Raw Data'!P255, 2),FALSE)),"",_xlfn.REGEXEXTRACT(CELL("address",P255), "\$([A-Z]+)\$[0-9]+"))),_xlfn.REGEXEXTRACT(CELL("address",P255), "\$([A-Z]+)\$[0-9]+"))</f>
        <v/>
      </c>
      <c r="Q255" s="7" t="str" cm="1">
        <f t="array" aca="1" ref="Q255" ca="1">IFERROR(IF(OR('Raw Data'!Q255="",LEN(TRIM('Raw Data'!Q255))=0),"",IF(AND(ISNUMBER('Raw Data'!Q255), IFERROR('Raw Data'!Q255 = ROUND('Raw Data'!Q255, 2),FALSE)),"",_xlfn.REGEXEXTRACT(CELL("address",Q255), "\$([A-Z]+)\$[0-9]+"))),_xlfn.REGEXEXTRACT(CELL("address",Q255), "\$([A-Z]+)\$[0-9]+"))</f>
        <v/>
      </c>
      <c r="R255" s="7" t="str" cm="1">
        <f t="array" aca="1" ref="R255" ca="1">IFERROR(IF(OR('Raw Data'!R255="",LEN(TRIM('Raw Data'!R255))=0),"",IF(AND(ISNUMBER('Raw Data'!R255), IFERROR('Raw Data'!R255 = ROUND('Raw Data'!R255, 2),FALSE)),"",_xlfn.REGEXEXTRACT(CELL("address",R255), "\$([A-Z]+)\$[0-9]+"))),_xlfn.REGEXEXTRACT(CELL("address",R255), "\$([A-Z]+)\$[0-9]+"))</f>
        <v/>
      </c>
      <c r="S255" s="7" t="str" cm="1">
        <f t="array" aca="1" ref="S255" ca="1">IFERROR(IF(OR('Raw Data'!S255="",LEN(TRIM('Raw Data'!S255))=0),"",IF(AND(ISNUMBER('Raw Data'!S255), IFERROR('Raw Data'!S255 = ROUND('Raw Data'!S255, 2),FALSE)),"",_xlfn.REGEXEXTRACT(CELL("address",S255), "\$([A-Z]+)\$[0-9]+"))),_xlfn.REGEXEXTRACT(CELL("address",S255), "\$([A-Z]+)\$[0-9]+"))</f>
        <v/>
      </c>
      <c r="T255" s="7" t="str" cm="1">
        <f t="array" aca="1" ref="T255" ca="1">IFERROR(IF(OR('Raw Data'!T255="",LEN(TRIM('Raw Data'!T255))=0),"",IF(AND(ISNUMBER('Raw Data'!T255), IFERROR('Raw Data'!T255 = ROUND('Raw Data'!T255, 2),FALSE)),"",_xlfn.REGEXEXTRACT(CELL("address",T255), "\$([A-Z]+)\$[0-9]+"))),_xlfn.REGEXEXTRACT(CELL("address",T255), "\$([A-Z]+)\$[0-9]+"))</f>
        <v/>
      </c>
      <c r="U255" s="7" t="str" cm="1">
        <f t="array" aca="1" ref="U255" ca="1">IFERROR(IF(OR('Raw Data'!U255="",LEN(TRIM('Raw Data'!U255))=0),"",IF(AND(ISNUMBER('Raw Data'!U255), IFERROR('Raw Data'!U255 = ROUND('Raw Data'!U255, 2),FALSE)),"",_xlfn.REGEXEXTRACT(CELL("address",U255), "\$([A-Z]+)\$[0-9]+"))),_xlfn.REGEXEXTRACT(CELL("address",U255), "\$([A-Z]+)\$[0-9]+"))</f>
        <v/>
      </c>
      <c r="V255" s="7" t="str" cm="1">
        <f t="array" aca="1" ref="V255" ca="1">IFERROR(IF(OR('Raw Data'!V255="",LEN(TRIM('Raw Data'!V255))=0),"",IF(AND(ISNUMBER('Raw Data'!V255), IFERROR('Raw Data'!V255 = ROUND('Raw Data'!V255, 2),FALSE)),"",_xlfn.REGEXEXTRACT(CELL("address",V255), "\$([A-Z]+)\$[0-9]+"))),_xlfn.REGEXEXTRACT(CELL("address",V255), "\$([A-Z]+)\$[0-9]+"))</f>
        <v/>
      </c>
      <c r="W255" s="7" t="str" cm="1">
        <f t="array" aca="1" ref="W255" ca="1">IFERROR(IF(OR('Raw Data'!W255="",LEN(TRIM('Raw Data'!W255))=0),"",IF(AND(ISNUMBER('Raw Data'!W255), IFERROR('Raw Data'!W255 = ROUND('Raw Data'!W255, 2),FALSE)),"",_xlfn.REGEXEXTRACT(CELL("address",W255), "\$([A-Z]+)\$[0-9]+"))),_xlfn.REGEXEXTRACT(CELL("address",W255), "\$([A-Z]+)\$[0-9]+"))</f>
        <v/>
      </c>
      <c r="X255" s="7" t="str" cm="1">
        <f t="array" aca="1" ref="X255" ca="1">IFERROR(IF(OR('Raw Data'!X255="",LEN(TRIM('Raw Data'!X255))=0),"",IF(AND(ISNUMBER('Raw Data'!X255), IFERROR('Raw Data'!X255 = ROUND('Raw Data'!X255, 2),FALSE)),"",_xlfn.REGEXEXTRACT(CELL("address",X255), "\$([A-Z]+)\$[0-9]+"))),_xlfn.REGEXEXTRACT(CELL("address",X255), "\$([A-Z]+)\$[0-9]+"))</f>
        <v/>
      </c>
      <c r="Y255" s="7" t="str" cm="1">
        <f t="array" aca="1" ref="Y255" ca="1">IFERROR(IF(OR('Raw Data'!Y255="",LEN(TRIM('Raw Data'!Y255))=0),"",IF(AND(ISNUMBER('Raw Data'!Y255), IFERROR('Raw Data'!Y255 = ROUND('Raw Data'!Y255, 2),FALSE)),"",_xlfn.REGEXEXTRACT(CELL("address",Y255), "\$([A-Z]+)\$[0-9]+"))),_xlfn.REGEXEXTRACT(CELL("address",Y255), "\$([A-Z]+)\$[0-9]+"))</f>
        <v/>
      </c>
      <c r="Z255" s="7" t="str" cm="1">
        <f t="array" aca="1" ref="Z255" ca="1">IFERROR(IF(OR('Raw Data'!Z255="",LEN(TRIM('Raw Data'!Z255))=0),"",IF(AND(ISNUMBER('Raw Data'!Z255), IFERROR('Raw Data'!Z255 = ROUND('Raw Data'!Z255, 2),FALSE)),"",_xlfn.REGEXEXTRACT(CELL("address",Z255), "\$([A-Z]+)\$[0-9]+"))),_xlfn.REGEXEXTRACT(CELL("address",Z255), "\$([A-Z]+)\$[0-9]+"))</f>
        <v/>
      </c>
      <c r="AA255" s="7" t="str" cm="1">
        <f t="array" aca="1" ref="AA255" ca="1">IFERROR(IF(OR('Raw Data'!AA255="",LEN(TRIM('Raw Data'!AA255))=0),"",IF(AND(ISNUMBER('Raw Data'!AA255), IFERROR('Raw Data'!AA255 = ROUND('Raw Data'!AA255, 2),FALSE)),"",_xlfn.REGEXEXTRACT(CELL("address",AA255), "\$([A-Z]+)\$[0-9]+"))),_xlfn.REGEXEXTRACT(CELL("address",AA255), "\$([A-Z]+)\$[0-9]+"))</f>
        <v/>
      </c>
      <c r="AB255" s="7" t="str" cm="1">
        <f t="array" aca="1" ref="AB255" ca="1">IFERROR(IF(OR('Raw Data'!AB255="",LEN(TRIM('Raw Data'!AB255))=0),"",IF(AND(ISNUMBER('Raw Data'!AB255), IFERROR('Raw Data'!AB255 = ROUND('Raw Data'!AB255, 2),FALSE)),"",_xlfn.REGEXEXTRACT(CELL("address",AB255), "\$([A-Z]+)\$[0-9]+"))),_xlfn.REGEXEXTRACT(CELL("address",AB255), "\$([A-Z]+)\$[0-9]+"))</f>
        <v/>
      </c>
      <c r="AC255" s="7" t="str" cm="1">
        <f t="array" aca="1" ref="AC255" ca="1">IFERROR(IF(OR('Raw Data'!AC255="",LEN(TRIM('Raw Data'!AC255))=0),"",IF(AND(ISNUMBER('Raw Data'!AC255), IFERROR('Raw Data'!AC255 = ROUND('Raw Data'!AC255, 2),FALSE)),"",_xlfn.REGEXEXTRACT(CELL("address",AC255), "\$([A-Z]+)\$[0-9]+"))),_xlfn.REGEXEXTRACT(CELL("address",AC255), "\$([A-Z]+)\$[0-9]+"))</f>
        <v/>
      </c>
      <c r="AD255" s="7" t="str" cm="1">
        <f t="array" aca="1" ref="AD255" ca="1">IFERROR(IF(OR('Raw Data'!AD255="",LEN(TRIM('Raw Data'!AD255))=0),"",IF(AND(ISNUMBER('Raw Data'!AD255), IFERROR('Raw Data'!AD255 = ROUND('Raw Data'!AD255, 2),FALSE)),"",_xlfn.REGEXEXTRACT(CELL("address",AD255), "\$([A-Z]+)\$[0-9]+"))),_xlfn.REGEXEXTRACT(CELL("address",AD255), "\$([A-Z]+)\$[0-9]+"))</f>
        <v/>
      </c>
      <c r="AE255" s="7" t="str" cm="1">
        <f t="array" aca="1" ref="AE255" ca="1">IFERROR(IF(OR('Raw Data'!AE255="",LEN(TRIM('Raw Data'!AE255))=0),"",IF(AND(ISNUMBER('Raw Data'!AE255), IFERROR('Raw Data'!AE255 = ROUND('Raw Data'!AE255, 2),FALSE)),"",_xlfn.REGEXEXTRACT(CELL("address",AE255), "\$([A-Z]+)\$[0-9]+"))),_xlfn.REGEXEXTRACT(CELL("address",AE255), "\$([A-Z]+)\$[0-9]+"))</f>
        <v/>
      </c>
      <c r="AF255" s="7" t="str" cm="1">
        <f t="array" aca="1" ref="AF255" ca="1">IFERROR(IF(OR('Raw Data'!AF255="",LEN(TRIM('Raw Data'!AF255))=0),"",IF(AND(ISNUMBER('Raw Data'!AF255), IFERROR('Raw Data'!AF255 = ROUND('Raw Data'!AF255, 2),FALSE)),"",_xlfn.REGEXEXTRACT(CELL("address",AF255), "\$([A-Z]+)\$[0-9]+"))),_xlfn.REGEXEXTRACT(CELL("address",AF255), "\$([A-Z]+)\$[0-9]+"))</f>
        <v/>
      </c>
      <c r="AG255" s="7" t="str" cm="1">
        <f t="array" aca="1" ref="AG255" ca="1">IFERROR(IF(OR('Raw Data'!AG255="",LEN(TRIM('Raw Data'!AG255))=0),"",IF(AND(ISNUMBER('Raw Data'!AG255), IFERROR('Raw Data'!AG255 = ROUND('Raw Data'!AG255, 2),FALSE)),"",_xlfn.REGEXEXTRACT(CELL("address",AG255), "\$([A-Z]+)\$[0-9]+"))),_xlfn.REGEXEXTRACT(CELL("address",AG255), "\$([A-Z]+)\$[0-9]+"))</f>
        <v/>
      </c>
      <c r="AH255" s="7" t="str" cm="1">
        <f t="array" aca="1" ref="AH255" ca="1">IFERROR(IF(OR('Raw Data'!AH255="",LEN(TRIM('Raw Data'!AH255))=0),"",IF(AND(ISNUMBER('Raw Data'!AH255), IFERROR('Raw Data'!AH255 = ROUND('Raw Data'!AH255, 2),FALSE)),"",_xlfn.REGEXEXTRACT(CELL("address",AH255), "\$([A-Z]+)\$[0-9]+"))),_xlfn.REGEXEXTRACT(CELL("address",AH255), "\$([A-Z]+)\$[0-9]+"))</f>
        <v/>
      </c>
      <c r="AI255" s="7" t="str" cm="1">
        <f t="array" aca="1" ref="AI255" ca="1">IFERROR(IF(OR('Raw Data'!AI255="",LEN(TRIM('Raw Data'!AI255))=0),"",IF(AND(ISNUMBER('Raw Data'!AI255), IFERROR('Raw Data'!AI255 = ROUND('Raw Data'!AI255, 2),FALSE)),"",_xlfn.REGEXEXTRACT(CELL("address",AI255), "\$([A-Z]+)\$[0-9]+"))),_xlfn.REGEXEXTRACT(CELL("address",AI255), "\$([A-Z]+)\$[0-9]+"))</f>
        <v/>
      </c>
      <c r="AJ255" s="7" t="str" cm="1">
        <f t="array" aca="1" ref="AJ255" ca="1">IFERROR(IF(OR('Raw Data'!AJ255="",LEN(TRIM('Raw Data'!AJ255))=0),"",IF(AND(ISNUMBER('Raw Data'!AJ255), IFERROR('Raw Data'!AJ255 = ROUND('Raw Data'!AJ255, 2),FALSE)),"",_xlfn.REGEXEXTRACT(CELL("address",AJ255), "\$([A-Z]+)\$[0-9]+"))),_xlfn.REGEXEXTRACT(CELL("address",AJ255), "\$([A-Z]+)\$[0-9]+"))</f>
        <v/>
      </c>
    </row>
    <row r="256" spans="2:36" x14ac:dyDescent="0.25">
      <c r="B256" s="7" t="str" cm="1">
        <f t="array" aca="1" ref="B256" ca="1">IFERROR(IF(OR('Raw Data'!B256="",LEN(TRIM('Raw Data'!B256))=0),"",IF(AND(LEN('Raw Data'!B256) &lt;= 255,LEN('Raw Data'!B256)&gt; 0),"",_xlfn.REGEXEXTRACT(CELL("address",'Raw Data'!B256),"\$([A-Z]+)\$[0-9]+"))),_xlfn.REGEXEXTRACT(CELL("address",'Raw Data'!B256),"\$([A-Z]+)\$[0-9]+"))</f>
        <v/>
      </c>
      <c r="C256" s="7" t="str" cm="1">
        <f t="array" aca="1" ref="C256" ca="1">IFERROR(IF(OR('Raw Data'!C256="",LEN(TRIM('Raw Data'!C256))=0),"",IF(AND(LEN('Raw Data'!C256) &lt;= 20,LEN('Raw Data'!C256)&gt; 0),"",_xlfn.REGEXEXTRACT(CELL("address",'Raw Data'!C256),"\$([A-Z]+)\$[0-9]+"))),_xlfn.REGEXEXTRACT(CELL("address",'Raw Data'!C256),"\$([A-Z]+)\$[0-9]+"))</f>
        <v/>
      </c>
      <c r="D256" s="7" t="str" cm="1">
        <f t="array" aca="1" ref="D256" ca="1">IFERROR(IF(OR('Raw Data'!D256="",LEN(TRIM('Raw Data'!D256))=0),"",IF(AND(ISNUMBER('Raw Data'!D256),'Raw Data'!D256&gt;=Configuration!$D$2),"",_xlfn.REGEXEXTRACT(CELL("address",'Raw Data'!D256),"\$([A-Z]+)\$[0-9]+"))),_xlfn.REGEXEXTRACT(CELL("address",D256), "\$([A-Z]+)\$[0-9]+"))</f>
        <v/>
      </c>
      <c r="E256" s="7" t="str" cm="1">
        <f t="array" aca="1" ref="E256" ca="1">IFERROR(IF(OR('Raw Data'!E256="",LEN(TRIM('Raw Data'!E256))=0),"",IF(AND(ISNUMBER('Raw Data'!E256), IFERROR('Raw Data'!E256 = ROUND('Raw Data'!E256, 2),FALSE)),"",_xlfn.REGEXEXTRACT(CELL("address",E256), "\$([A-Z]+)\$[0-9]+"))),_xlfn.REGEXEXTRACT(CELL("address",E256), "\$([A-Z]+)\$[0-9]+"))</f>
        <v/>
      </c>
      <c r="F256" s="7" t="str" cm="1">
        <f t="array" aca="1" ref="F256" ca="1">IFERROR(IF(OR('Raw Data'!F256="",LEN(TRIM('Raw Data'!F256))=0),"",IF(AND(ISNUMBER('Raw Data'!F256), IFERROR('Raw Data'!F256 = ROUND('Raw Data'!F256, 2),FALSE)),"",_xlfn.REGEXEXTRACT(CELL("address",F256), "\$([A-Z]+)\$[0-9]+"))),_xlfn.REGEXEXTRACT(CELL("address",F256), "\$([A-Z]+)\$[0-9]+"))</f>
        <v/>
      </c>
      <c r="G256" s="7" t="str" cm="1">
        <f t="array" aca="1" ref="G256" ca="1">IFERROR(IF(OR('Raw Data'!G256="",LEN(TRIM('Raw Data'!G256))=0),"",IF(AND(ISNUMBER('Raw Data'!G256), IFERROR('Raw Data'!G256 = ROUND('Raw Data'!G256, 2),FALSE)),"",_xlfn.REGEXEXTRACT(CELL("address",G256), "\$([A-Z]+)\$[0-9]+"))),_xlfn.REGEXEXTRACT(CELL("address",G256), "\$([A-Z]+)\$[0-9]+"))</f>
        <v/>
      </c>
      <c r="H256" s="7" t="str" cm="1">
        <f t="array" aca="1" ref="H256" ca="1">IFERROR(IF(OR('Raw Data'!H256="",LEN(TRIM('Raw Data'!H256))=0),"",IF(AND(ISNUMBER('Raw Data'!H256), IFERROR('Raw Data'!H256 = ROUND('Raw Data'!H256, 2),FALSE)),"",_xlfn.REGEXEXTRACT(CELL("address",H256), "\$([A-Z]+)\$[0-9]+"))),_xlfn.REGEXEXTRACT(CELL("address",H256), "\$([A-Z]+)\$[0-9]+"))</f>
        <v/>
      </c>
      <c r="I256" s="7" t="str" cm="1">
        <f t="array" aca="1" ref="I256" ca="1">IFERROR(IF(OR('Raw Data'!I256="",LEN(TRIM('Raw Data'!I256))=0),"",IF(AND(ISNUMBER('Raw Data'!I256), IFERROR('Raw Data'!I256 = ROUND('Raw Data'!I256, 2),FALSE)),"",_xlfn.REGEXEXTRACT(CELL("address",I256), "\$([A-Z]+)\$[0-9]+"))),_xlfn.REGEXEXTRACT(CELL("address",I256), "\$([A-Z]+)\$[0-9]+"))</f>
        <v/>
      </c>
      <c r="J256" s="7" t="str" cm="1">
        <f t="array" aca="1" ref="J256" ca="1">IFERROR(IF(OR('Raw Data'!J256="",LEN(TRIM('Raw Data'!J256))=0),"",IF(AND(ISNUMBER('Raw Data'!J256), IFERROR('Raw Data'!J256 = ROUND('Raw Data'!J256, 2),FALSE)),"",_xlfn.REGEXEXTRACT(CELL("address",J256), "\$([A-Z]+)\$[0-9]+"))),_xlfn.REGEXEXTRACT(CELL("address",J256), "\$([A-Z]+)\$[0-9]+"))</f>
        <v/>
      </c>
      <c r="K256" s="7" t="str" cm="1">
        <f t="array" aca="1" ref="K256" ca="1">IFERROR(IF(OR('Raw Data'!K256="",LEN(TRIM('Raw Data'!K256))=0),"",IF(AND(ISNUMBER('Raw Data'!K256), IFERROR('Raw Data'!K256 = ROUND('Raw Data'!K256, 2),FALSE)),"",_xlfn.REGEXEXTRACT(CELL("address",K256), "\$([A-Z]+)\$[0-9]+"))),_xlfn.REGEXEXTRACT(CELL("address",K256), "\$([A-Z]+)\$[0-9]+"))</f>
        <v/>
      </c>
      <c r="L256" s="7" t="str" cm="1">
        <f t="array" aca="1" ref="L256" ca="1">IFERROR(IF(OR('Raw Data'!L256="",LEN(TRIM('Raw Data'!L256))=0),"",IF(AND(ISNUMBER('Raw Data'!L256), IFERROR('Raw Data'!L256 = ROUND('Raw Data'!L256, 2),FALSE)),"",_xlfn.REGEXEXTRACT(CELL("address",L256), "\$([A-Z]+)\$[0-9]+"))),_xlfn.REGEXEXTRACT(CELL("address",L256), "\$([A-Z]+)\$[0-9]+"))</f>
        <v/>
      </c>
      <c r="M256" s="7" t="str" cm="1">
        <f t="array" aca="1" ref="M256" ca="1">IFERROR(IF(OR('Raw Data'!M256="",LEN(TRIM('Raw Data'!M256))=0),"",IF(AND(ISNUMBER('Raw Data'!M256), IFERROR('Raw Data'!M256 = ROUND('Raw Data'!M256, 2),FALSE)),"",_xlfn.REGEXEXTRACT(CELL("address",M256), "\$([A-Z]+)\$[0-9]+"))),_xlfn.REGEXEXTRACT(CELL("address",M256), "\$([A-Z]+)\$[0-9]+"))</f>
        <v/>
      </c>
      <c r="N256" s="7" t="str" cm="1">
        <f t="array" aca="1" ref="N256" ca="1">IFERROR(IF(OR('Raw Data'!N256="",LEN(TRIM('Raw Data'!N256))=0),"",IF(AND(ISNUMBER('Raw Data'!N256), IFERROR('Raw Data'!N256 = ROUND('Raw Data'!N256, 2),FALSE)),"",_xlfn.REGEXEXTRACT(CELL("address",N256), "\$([A-Z]+)\$[0-9]+"))),_xlfn.REGEXEXTRACT(CELL("address",N256), "\$([A-Z]+)\$[0-9]+"))</f>
        <v/>
      </c>
      <c r="O256" s="7" t="str" cm="1">
        <f t="array" aca="1" ref="O256" ca="1">IFERROR(IF(OR('Raw Data'!O256="",LEN(TRIM('Raw Data'!O256))=0),"",IF(AND(ISNUMBER('Raw Data'!O256), IFERROR('Raw Data'!O256 = ROUND('Raw Data'!O256, 2),FALSE)),"",_xlfn.REGEXEXTRACT(CELL("address",O256), "\$([A-Z]+)\$[0-9]+"))),_xlfn.REGEXEXTRACT(CELL("address",O256), "\$([A-Z]+)\$[0-9]+"))</f>
        <v/>
      </c>
      <c r="P256" s="7" t="str" cm="1">
        <f t="array" aca="1" ref="P256" ca="1">IFERROR(IF(OR('Raw Data'!P256="",LEN(TRIM('Raw Data'!P256))=0),"",IF(AND(ISNUMBER('Raw Data'!P256), IFERROR('Raw Data'!P256 = ROUND('Raw Data'!P256, 2),FALSE)),"",_xlfn.REGEXEXTRACT(CELL("address",P256), "\$([A-Z]+)\$[0-9]+"))),_xlfn.REGEXEXTRACT(CELL("address",P256), "\$([A-Z]+)\$[0-9]+"))</f>
        <v/>
      </c>
      <c r="Q256" s="7" t="str" cm="1">
        <f t="array" aca="1" ref="Q256" ca="1">IFERROR(IF(OR('Raw Data'!Q256="",LEN(TRIM('Raw Data'!Q256))=0),"",IF(AND(ISNUMBER('Raw Data'!Q256), IFERROR('Raw Data'!Q256 = ROUND('Raw Data'!Q256, 2),FALSE)),"",_xlfn.REGEXEXTRACT(CELL("address",Q256), "\$([A-Z]+)\$[0-9]+"))),_xlfn.REGEXEXTRACT(CELL("address",Q256), "\$([A-Z]+)\$[0-9]+"))</f>
        <v/>
      </c>
      <c r="R256" s="7" t="str" cm="1">
        <f t="array" aca="1" ref="R256" ca="1">IFERROR(IF(OR('Raw Data'!R256="",LEN(TRIM('Raw Data'!R256))=0),"",IF(AND(ISNUMBER('Raw Data'!R256), IFERROR('Raw Data'!R256 = ROUND('Raw Data'!R256, 2),FALSE)),"",_xlfn.REGEXEXTRACT(CELL("address",R256), "\$([A-Z]+)\$[0-9]+"))),_xlfn.REGEXEXTRACT(CELL("address",R256), "\$([A-Z]+)\$[0-9]+"))</f>
        <v/>
      </c>
      <c r="S256" s="7" t="str" cm="1">
        <f t="array" aca="1" ref="S256" ca="1">IFERROR(IF(OR('Raw Data'!S256="",LEN(TRIM('Raw Data'!S256))=0),"",IF(AND(ISNUMBER('Raw Data'!S256), IFERROR('Raw Data'!S256 = ROUND('Raw Data'!S256, 2),FALSE)),"",_xlfn.REGEXEXTRACT(CELL("address",S256), "\$([A-Z]+)\$[0-9]+"))),_xlfn.REGEXEXTRACT(CELL("address",S256), "\$([A-Z]+)\$[0-9]+"))</f>
        <v/>
      </c>
      <c r="T256" s="7" t="str" cm="1">
        <f t="array" aca="1" ref="T256" ca="1">IFERROR(IF(OR('Raw Data'!T256="",LEN(TRIM('Raw Data'!T256))=0),"",IF(AND(ISNUMBER('Raw Data'!T256), IFERROR('Raw Data'!T256 = ROUND('Raw Data'!T256, 2),FALSE)),"",_xlfn.REGEXEXTRACT(CELL("address",T256), "\$([A-Z]+)\$[0-9]+"))),_xlfn.REGEXEXTRACT(CELL("address",T256), "\$([A-Z]+)\$[0-9]+"))</f>
        <v/>
      </c>
      <c r="U256" s="7" t="str" cm="1">
        <f t="array" aca="1" ref="U256" ca="1">IFERROR(IF(OR('Raw Data'!U256="",LEN(TRIM('Raw Data'!U256))=0),"",IF(AND(ISNUMBER('Raw Data'!U256), IFERROR('Raw Data'!U256 = ROUND('Raw Data'!U256, 2),FALSE)),"",_xlfn.REGEXEXTRACT(CELL("address",U256), "\$([A-Z]+)\$[0-9]+"))),_xlfn.REGEXEXTRACT(CELL("address",U256), "\$([A-Z]+)\$[0-9]+"))</f>
        <v/>
      </c>
      <c r="V256" s="7" t="str" cm="1">
        <f t="array" aca="1" ref="V256" ca="1">IFERROR(IF(OR('Raw Data'!V256="",LEN(TRIM('Raw Data'!V256))=0),"",IF(AND(ISNUMBER('Raw Data'!V256), IFERROR('Raw Data'!V256 = ROUND('Raw Data'!V256, 2),FALSE)),"",_xlfn.REGEXEXTRACT(CELL("address",V256), "\$([A-Z]+)\$[0-9]+"))),_xlfn.REGEXEXTRACT(CELL("address",V256), "\$([A-Z]+)\$[0-9]+"))</f>
        <v/>
      </c>
      <c r="W256" s="7" t="str" cm="1">
        <f t="array" aca="1" ref="W256" ca="1">IFERROR(IF(OR('Raw Data'!W256="",LEN(TRIM('Raw Data'!W256))=0),"",IF(AND(ISNUMBER('Raw Data'!W256), IFERROR('Raw Data'!W256 = ROUND('Raw Data'!W256, 2),FALSE)),"",_xlfn.REGEXEXTRACT(CELL("address",W256), "\$([A-Z]+)\$[0-9]+"))),_xlfn.REGEXEXTRACT(CELL("address",W256), "\$([A-Z]+)\$[0-9]+"))</f>
        <v/>
      </c>
      <c r="X256" s="7" t="str" cm="1">
        <f t="array" aca="1" ref="X256" ca="1">IFERROR(IF(OR('Raw Data'!X256="",LEN(TRIM('Raw Data'!X256))=0),"",IF(AND(ISNUMBER('Raw Data'!X256), IFERROR('Raw Data'!X256 = ROUND('Raw Data'!X256, 2),FALSE)),"",_xlfn.REGEXEXTRACT(CELL("address",X256), "\$([A-Z]+)\$[0-9]+"))),_xlfn.REGEXEXTRACT(CELL("address",X256), "\$([A-Z]+)\$[0-9]+"))</f>
        <v/>
      </c>
      <c r="Y256" s="7" t="str" cm="1">
        <f t="array" aca="1" ref="Y256" ca="1">IFERROR(IF(OR('Raw Data'!Y256="",LEN(TRIM('Raw Data'!Y256))=0),"",IF(AND(ISNUMBER('Raw Data'!Y256), IFERROR('Raw Data'!Y256 = ROUND('Raw Data'!Y256, 2),FALSE)),"",_xlfn.REGEXEXTRACT(CELL("address",Y256), "\$([A-Z]+)\$[0-9]+"))),_xlfn.REGEXEXTRACT(CELL("address",Y256), "\$([A-Z]+)\$[0-9]+"))</f>
        <v/>
      </c>
      <c r="Z256" s="7" t="str" cm="1">
        <f t="array" aca="1" ref="Z256" ca="1">IFERROR(IF(OR('Raw Data'!Z256="",LEN(TRIM('Raw Data'!Z256))=0),"",IF(AND(ISNUMBER('Raw Data'!Z256), IFERROR('Raw Data'!Z256 = ROUND('Raw Data'!Z256, 2),FALSE)),"",_xlfn.REGEXEXTRACT(CELL("address",Z256), "\$([A-Z]+)\$[0-9]+"))),_xlfn.REGEXEXTRACT(CELL("address",Z256), "\$([A-Z]+)\$[0-9]+"))</f>
        <v/>
      </c>
      <c r="AA256" s="7" t="str" cm="1">
        <f t="array" aca="1" ref="AA256" ca="1">IFERROR(IF(OR('Raw Data'!AA256="",LEN(TRIM('Raw Data'!AA256))=0),"",IF(AND(ISNUMBER('Raw Data'!AA256), IFERROR('Raw Data'!AA256 = ROUND('Raw Data'!AA256, 2),FALSE)),"",_xlfn.REGEXEXTRACT(CELL("address",AA256), "\$([A-Z]+)\$[0-9]+"))),_xlfn.REGEXEXTRACT(CELL("address",AA256), "\$([A-Z]+)\$[0-9]+"))</f>
        <v/>
      </c>
      <c r="AB256" s="7" t="str" cm="1">
        <f t="array" aca="1" ref="AB256" ca="1">IFERROR(IF(OR('Raw Data'!AB256="",LEN(TRIM('Raw Data'!AB256))=0),"",IF(AND(ISNUMBER('Raw Data'!AB256), IFERROR('Raw Data'!AB256 = ROUND('Raw Data'!AB256, 2),FALSE)),"",_xlfn.REGEXEXTRACT(CELL("address",AB256), "\$([A-Z]+)\$[0-9]+"))),_xlfn.REGEXEXTRACT(CELL("address",AB256), "\$([A-Z]+)\$[0-9]+"))</f>
        <v/>
      </c>
      <c r="AC256" s="7" t="str" cm="1">
        <f t="array" aca="1" ref="AC256" ca="1">IFERROR(IF(OR('Raw Data'!AC256="",LEN(TRIM('Raw Data'!AC256))=0),"",IF(AND(ISNUMBER('Raw Data'!AC256), IFERROR('Raw Data'!AC256 = ROUND('Raw Data'!AC256, 2),FALSE)),"",_xlfn.REGEXEXTRACT(CELL("address",AC256), "\$([A-Z]+)\$[0-9]+"))),_xlfn.REGEXEXTRACT(CELL("address",AC256), "\$([A-Z]+)\$[0-9]+"))</f>
        <v/>
      </c>
      <c r="AD256" s="7" t="str" cm="1">
        <f t="array" aca="1" ref="AD256" ca="1">IFERROR(IF(OR('Raw Data'!AD256="",LEN(TRIM('Raw Data'!AD256))=0),"",IF(AND(ISNUMBER('Raw Data'!AD256), IFERROR('Raw Data'!AD256 = ROUND('Raw Data'!AD256, 2),FALSE)),"",_xlfn.REGEXEXTRACT(CELL("address",AD256), "\$([A-Z]+)\$[0-9]+"))),_xlfn.REGEXEXTRACT(CELL("address",AD256), "\$([A-Z]+)\$[0-9]+"))</f>
        <v/>
      </c>
      <c r="AE256" s="7" t="str" cm="1">
        <f t="array" aca="1" ref="AE256" ca="1">IFERROR(IF(OR('Raw Data'!AE256="",LEN(TRIM('Raw Data'!AE256))=0),"",IF(AND(ISNUMBER('Raw Data'!AE256), IFERROR('Raw Data'!AE256 = ROUND('Raw Data'!AE256, 2),FALSE)),"",_xlfn.REGEXEXTRACT(CELL("address",AE256), "\$([A-Z]+)\$[0-9]+"))),_xlfn.REGEXEXTRACT(CELL("address",AE256), "\$([A-Z]+)\$[0-9]+"))</f>
        <v/>
      </c>
      <c r="AF256" s="7" t="str" cm="1">
        <f t="array" aca="1" ref="AF256" ca="1">IFERROR(IF(OR('Raw Data'!AF256="",LEN(TRIM('Raw Data'!AF256))=0),"",IF(AND(ISNUMBER('Raw Data'!AF256), IFERROR('Raw Data'!AF256 = ROUND('Raw Data'!AF256, 2),FALSE)),"",_xlfn.REGEXEXTRACT(CELL("address",AF256), "\$([A-Z]+)\$[0-9]+"))),_xlfn.REGEXEXTRACT(CELL("address",AF256), "\$([A-Z]+)\$[0-9]+"))</f>
        <v/>
      </c>
      <c r="AG256" s="7" t="str" cm="1">
        <f t="array" aca="1" ref="AG256" ca="1">IFERROR(IF(OR('Raw Data'!AG256="",LEN(TRIM('Raw Data'!AG256))=0),"",IF(AND(ISNUMBER('Raw Data'!AG256), IFERROR('Raw Data'!AG256 = ROUND('Raw Data'!AG256, 2),FALSE)),"",_xlfn.REGEXEXTRACT(CELL("address",AG256), "\$([A-Z]+)\$[0-9]+"))),_xlfn.REGEXEXTRACT(CELL("address",AG256), "\$([A-Z]+)\$[0-9]+"))</f>
        <v/>
      </c>
      <c r="AH256" s="7" t="str" cm="1">
        <f t="array" aca="1" ref="AH256" ca="1">IFERROR(IF(OR('Raw Data'!AH256="",LEN(TRIM('Raw Data'!AH256))=0),"",IF(AND(ISNUMBER('Raw Data'!AH256), IFERROR('Raw Data'!AH256 = ROUND('Raw Data'!AH256, 2),FALSE)),"",_xlfn.REGEXEXTRACT(CELL("address",AH256), "\$([A-Z]+)\$[0-9]+"))),_xlfn.REGEXEXTRACT(CELL("address",AH256), "\$([A-Z]+)\$[0-9]+"))</f>
        <v/>
      </c>
      <c r="AI256" s="7" t="str" cm="1">
        <f t="array" aca="1" ref="AI256" ca="1">IFERROR(IF(OR('Raw Data'!AI256="",LEN(TRIM('Raw Data'!AI256))=0),"",IF(AND(ISNUMBER('Raw Data'!AI256), IFERROR('Raw Data'!AI256 = ROUND('Raw Data'!AI256, 2),FALSE)),"",_xlfn.REGEXEXTRACT(CELL("address",AI256), "\$([A-Z]+)\$[0-9]+"))),_xlfn.REGEXEXTRACT(CELL("address",AI256), "\$([A-Z]+)\$[0-9]+"))</f>
        <v/>
      </c>
      <c r="AJ256" s="7" t="str" cm="1">
        <f t="array" aca="1" ref="AJ256" ca="1">IFERROR(IF(OR('Raw Data'!AJ256="",LEN(TRIM('Raw Data'!AJ256))=0),"",IF(AND(ISNUMBER('Raw Data'!AJ256), IFERROR('Raw Data'!AJ256 = ROUND('Raw Data'!AJ256, 2),FALSE)),"",_xlfn.REGEXEXTRACT(CELL("address",AJ256), "\$([A-Z]+)\$[0-9]+"))),_xlfn.REGEXEXTRACT(CELL("address",AJ256), "\$([A-Z]+)\$[0-9]+"))</f>
        <v/>
      </c>
    </row>
    <row r="257" spans="2:36" x14ac:dyDescent="0.25">
      <c r="B257" s="7" t="str" cm="1">
        <f t="array" aca="1" ref="B257" ca="1">IFERROR(IF(OR('Raw Data'!B257="",LEN(TRIM('Raw Data'!B257))=0),"",IF(AND(LEN('Raw Data'!B257) &lt;= 255,LEN('Raw Data'!B257)&gt; 0),"",_xlfn.REGEXEXTRACT(CELL("address",'Raw Data'!B257),"\$([A-Z]+)\$[0-9]+"))),_xlfn.REGEXEXTRACT(CELL("address",'Raw Data'!B257),"\$([A-Z]+)\$[0-9]+"))</f>
        <v/>
      </c>
      <c r="C257" s="7" t="str" cm="1">
        <f t="array" aca="1" ref="C257" ca="1">IFERROR(IF(OR('Raw Data'!C257="",LEN(TRIM('Raw Data'!C257))=0),"",IF(AND(LEN('Raw Data'!C257) &lt;= 20,LEN('Raw Data'!C257)&gt; 0),"",_xlfn.REGEXEXTRACT(CELL("address",'Raw Data'!C257),"\$([A-Z]+)\$[0-9]+"))),_xlfn.REGEXEXTRACT(CELL("address",'Raw Data'!C257),"\$([A-Z]+)\$[0-9]+"))</f>
        <v/>
      </c>
      <c r="D257" s="7" t="str" cm="1">
        <f t="array" aca="1" ref="D257" ca="1">IFERROR(IF(OR('Raw Data'!D257="",LEN(TRIM('Raw Data'!D257))=0),"",IF(AND(ISNUMBER('Raw Data'!D257),'Raw Data'!D257&gt;=Configuration!$D$2),"",_xlfn.REGEXEXTRACT(CELL("address",'Raw Data'!D257),"\$([A-Z]+)\$[0-9]+"))),_xlfn.REGEXEXTRACT(CELL("address",D257), "\$([A-Z]+)\$[0-9]+"))</f>
        <v/>
      </c>
      <c r="E257" s="7" t="str" cm="1">
        <f t="array" aca="1" ref="E257" ca="1">IFERROR(IF(OR('Raw Data'!E257="",LEN(TRIM('Raw Data'!E257))=0),"",IF(AND(ISNUMBER('Raw Data'!E257), IFERROR('Raw Data'!E257 = ROUND('Raw Data'!E257, 2),FALSE)),"",_xlfn.REGEXEXTRACT(CELL("address",E257), "\$([A-Z]+)\$[0-9]+"))),_xlfn.REGEXEXTRACT(CELL("address",E257), "\$([A-Z]+)\$[0-9]+"))</f>
        <v/>
      </c>
      <c r="F257" s="7" t="str" cm="1">
        <f t="array" aca="1" ref="F257" ca="1">IFERROR(IF(OR('Raw Data'!F257="",LEN(TRIM('Raw Data'!F257))=0),"",IF(AND(ISNUMBER('Raw Data'!F257), IFERROR('Raw Data'!F257 = ROUND('Raw Data'!F257, 2),FALSE)),"",_xlfn.REGEXEXTRACT(CELL("address",F257), "\$([A-Z]+)\$[0-9]+"))),_xlfn.REGEXEXTRACT(CELL("address",F257), "\$([A-Z]+)\$[0-9]+"))</f>
        <v/>
      </c>
      <c r="G257" s="7" t="str" cm="1">
        <f t="array" aca="1" ref="G257" ca="1">IFERROR(IF(OR('Raw Data'!G257="",LEN(TRIM('Raw Data'!G257))=0),"",IF(AND(ISNUMBER('Raw Data'!G257), IFERROR('Raw Data'!G257 = ROUND('Raw Data'!G257, 2),FALSE)),"",_xlfn.REGEXEXTRACT(CELL("address",G257), "\$([A-Z]+)\$[0-9]+"))),_xlfn.REGEXEXTRACT(CELL("address",G257), "\$([A-Z]+)\$[0-9]+"))</f>
        <v/>
      </c>
      <c r="H257" s="7" t="str" cm="1">
        <f t="array" aca="1" ref="H257" ca="1">IFERROR(IF(OR('Raw Data'!H257="",LEN(TRIM('Raw Data'!H257))=0),"",IF(AND(ISNUMBER('Raw Data'!H257), IFERROR('Raw Data'!H257 = ROUND('Raw Data'!H257, 2),FALSE)),"",_xlfn.REGEXEXTRACT(CELL("address",H257), "\$([A-Z]+)\$[0-9]+"))),_xlfn.REGEXEXTRACT(CELL("address",H257), "\$([A-Z]+)\$[0-9]+"))</f>
        <v/>
      </c>
      <c r="I257" s="7" t="str" cm="1">
        <f t="array" aca="1" ref="I257" ca="1">IFERROR(IF(OR('Raw Data'!I257="",LEN(TRIM('Raw Data'!I257))=0),"",IF(AND(ISNUMBER('Raw Data'!I257), IFERROR('Raw Data'!I257 = ROUND('Raw Data'!I257, 2),FALSE)),"",_xlfn.REGEXEXTRACT(CELL("address",I257), "\$([A-Z]+)\$[0-9]+"))),_xlfn.REGEXEXTRACT(CELL("address",I257), "\$([A-Z]+)\$[0-9]+"))</f>
        <v/>
      </c>
      <c r="J257" s="7" t="str" cm="1">
        <f t="array" aca="1" ref="J257" ca="1">IFERROR(IF(OR('Raw Data'!J257="",LEN(TRIM('Raw Data'!J257))=0),"",IF(AND(ISNUMBER('Raw Data'!J257), IFERROR('Raw Data'!J257 = ROUND('Raw Data'!J257, 2),FALSE)),"",_xlfn.REGEXEXTRACT(CELL("address",J257), "\$([A-Z]+)\$[0-9]+"))),_xlfn.REGEXEXTRACT(CELL("address",J257), "\$([A-Z]+)\$[0-9]+"))</f>
        <v/>
      </c>
      <c r="K257" s="7" t="str" cm="1">
        <f t="array" aca="1" ref="K257" ca="1">IFERROR(IF(OR('Raw Data'!K257="",LEN(TRIM('Raw Data'!K257))=0),"",IF(AND(ISNUMBER('Raw Data'!K257), IFERROR('Raw Data'!K257 = ROUND('Raw Data'!K257, 2),FALSE)),"",_xlfn.REGEXEXTRACT(CELL("address",K257), "\$([A-Z]+)\$[0-9]+"))),_xlfn.REGEXEXTRACT(CELL("address",K257), "\$([A-Z]+)\$[0-9]+"))</f>
        <v/>
      </c>
      <c r="L257" s="7" t="str" cm="1">
        <f t="array" aca="1" ref="L257" ca="1">IFERROR(IF(OR('Raw Data'!L257="",LEN(TRIM('Raw Data'!L257))=0),"",IF(AND(ISNUMBER('Raw Data'!L257), IFERROR('Raw Data'!L257 = ROUND('Raw Data'!L257, 2),FALSE)),"",_xlfn.REGEXEXTRACT(CELL("address",L257), "\$([A-Z]+)\$[0-9]+"))),_xlfn.REGEXEXTRACT(CELL("address",L257), "\$([A-Z]+)\$[0-9]+"))</f>
        <v/>
      </c>
      <c r="M257" s="7" t="str" cm="1">
        <f t="array" aca="1" ref="M257" ca="1">IFERROR(IF(OR('Raw Data'!M257="",LEN(TRIM('Raw Data'!M257))=0),"",IF(AND(ISNUMBER('Raw Data'!M257), IFERROR('Raw Data'!M257 = ROUND('Raw Data'!M257, 2),FALSE)),"",_xlfn.REGEXEXTRACT(CELL("address",M257), "\$([A-Z]+)\$[0-9]+"))),_xlfn.REGEXEXTRACT(CELL("address",M257), "\$([A-Z]+)\$[0-9]+"))</f>
        <v/>
      </c>
      <c r="N257" s="7" t="str" cm="1">
        <f t="array" aca="1" ref="N257" ca="1">IFERROR(IF(OR('Raw Data'!N257="",LEN(TRIM('Raw Data'!N257))=0),"",IF(AND(ISNUMBER('Raw Data'!N257), IFERROR('Raw Data'!N257 = ROUND('Raw Data'!N257, 2),FALSE)),"",_xlfn.REGEXEXTRACT(CELL("address",N257), "\$([A-Z]+)\$[0-9]+"))),_xlfn.REGEXEXTRACT(CELL("address",N257), "\$([A-Z]+)\$[0-9]+"))</f>
        <v/>
      </c>
      <c r="O257" s="7" t="str" cm="1">
        <f t="array" aca="1" ref="O257" ca="1">IFERROR(IF(OR('Raw Data'!O257="",LEN(TRIM('Raw Data'!O257))=0),"",IF(AND(ISNUMBER('Raw Data'!O257), IFERROR('Raw Data'!O257 = ROUND('Raw Data'!O257, 2),FALSE)),"",_xlfn.REGEXEXTRACT(CELL("address",O257), "\$([A-Z]+)\$[0-9]+"))),_xlfn.REGEXEXTRACT(CELL("address",O257), "\$([A-Z]+)\$[0-9]+"))</f>
        <v/>
      </c>
      <c r="P257" s="7" t="str" cm="1">
        <f t="array" aca="1" ref="P257" ca="1">IFERROR(IF(OR('Raw Data'!P257="",LEN(TRIM('Raw Data'!P257))=0),"",IF(AND(ISNUMBER('Raw Data'!P257), IFERROR('Raw Data'!P257 = ROUND('Raw Data'!P257, 2),FALSE)),"",_xlfn.REGEXEXTRACT(CELL("address",P257), "\$([A-Z]+)\$[0-9]+"))),_xlfn.REGEXEXTRACT(CELL("address",P257), "\$([A-Z]+)\$[0-9]+"))</f>
        <v/>
      </c>
      <c r="Q257" s="7" t="str" cm="1">
        <f t="array" aca="1" ref="Q257" ca="1">IFERROR(IF(OR('Raw Data'!Q257="",LEN(TRIM('Raw Data'!Q257))=0),"",IF(AND(ISNUMBER('Raw Data'!Q257), IFERROR('Raw Data'!Q257 = ROUND('Raw Data'!Q257, 2),FALSE)),"",_xlfn.REGEXEXTRACT(CELL("address",Q257), "\$([A-Z]+)\$[0-9]+"))),_xlfn.REGEXEXTRACT(CELL("address",Q257), "\$([A-Z]+)\$[0-9]+"))</f>
        <v/>
      </c>
      <c r="R257" s="7" t="str" cm="1">
        <f t="array" aca="1" ref="R257" ca="1">IFERROR(IF(OR('Raw Data'!R257="",LEN(TRIM('Raw Data'!R257))=0),"",IF(AND(ISNUMBER('Raw Data'!R257), IFERROR('Raw Data'!R257 = ROUND('Raw Data'!R257, 2),FALSE)),"",_xlfn.REGEXEXTRACT(CELL("address",R257), "\$([A-Z]+)\$[0-9]+"))),_xlfn.REGEXEXTRACT(CELL("address",R257), "\$([A-Z]+)\$[0-9]+"))</f>
        <v/>
      </c>
      <c r="S257" s="7" t="str" cm="1">
        <f t="array" aca="1" ref="S257" ca="1">IFERROR(IF(OR('Raw Data'!S257="",LEN(TRIM('Raw Data'!S257))=0),"",IF(AND(ISNUMBER('Raw Data'!S257), IFERROR('Raw Data'!S257 = ROUND('Raw Data'!S257, 2),FALSE)),"",_xlfn.REGEXEXTRACT(CELL("address",S257), "\$([A-Z]+)\$[0-9]+"))),_xlfn.REGEXEXTRACT(CELL("address",S257), "\$([A-Z]+)\$[0-9]+"))</f>
        <v/>
      </c>
      <c r="T257" s="7" t="str" cm="1">
        <f t="array" aca="1" ref="T257" ca="1">IFERROR(IF(OR('Raw Data'!T257="",LEN(TRIM('Raw Data'!T257))=0),"",IF(AND(ISNUMBER('Raw Data'!T257), IFERROR('Raw Data'!T257 = ROUND('Raw Data'!T257, 2),FALSE)),"",_xlfn.REGEXEXTRACT(CELL("address",T257), "\$([A-Z]+)\$[0-9]+"))),_xlfn.REGEXEXTRACT(CELL("address",T257), "\$([A-Z]+)\$[0-9]+"))</f>
        <v/>
      </c>
      <c r="U257" s="7" t="str" cm="1">
        <f t="array" aca="1" ref="U257" ca="1">IFERROR(IF(OR('Raw Data'!U257="",LEN(TRIM('Raw Data'!U257))=0),"",IF(AND(ISNUMBER('Raw Data'!U257), IFERROR('Raw Data'!U257 = ROUND('Raw Data'!U257, 2),FALSE)),"",_xlfn.REGEXEXTRACT(CELL("address",U257), "\$([A-Z]+)\$[0-9]+"))),_xlfn.REGEXEXTRACT(CELL("address",U257), "\$([A-Z]+)\$[0-9]+"))</f>
        <v/>
      </c>
      <c r="V257" s="7" t="str" cm="1">
        <f t="array" aca="1" ref="V257" ca="1">IFERROR(IF(OR('Raw Data'!V257="",LEN(TRIM('Raw Data'!V257))=0),"",IF(AND(ISNUMBER('Raw Data'!V257), IFERROR('Raw Data'!V257 = ROUND('Raw Data'!V257, 2),FALSE)),"",_xlfn.REGEXEXTRACT(CELL("address",V257), "\$([A-Z]+)\$[0-9]+"))),_xlfn.REGEXEXTRACT(CELL("address",V257), "\$([A-Z]+)\$[0-9]+"))</f>
        <v/>
      </c>
      <c r="W257" s="7" t="str" cm="1">
        <f t="array" aca="1" ref="W257" ca="1">IFERROR(IF(OR('Raw Data'!W257="",LEN(TRIM('Raw Data'!W257))=0),"",IF(AND(ISNUMBER('Raw Data'!W257), IFERROR('Raw Data'!W257 = ROUND('Raw Data'!W257, 2),FALSE)),"",_xlfn.REGEXEXTRACT(CELL("address",W257), "\$([A-Z]+)\$[0-9]+"))),_xlfn.REGEXEXTRACT(CELL("address",W257), "\$([A-Z]+)\$[0-9]+"))</f>
        <v/>
      </c>
      <c r="X257" s="7" t="str" cm="1">
        <f t="array" aca="1" ref="X257" ca="1">IFERROR(IF(OR('Raw Data'!X257="",LEN(TRIM('Raw Data'!X257))=0),"",IF(AND(ISNUMBER('Raw Data'!X257), IFERROR('Raw Data'!X257 = ROUND('Raw Data'!X257, 2),FALSE)),"",_xlfn.REGEXEXTRACT(CELL("address",X257), "\$([A-Z]+)\$[0-9]+"))),_xlfn.REGEXEXTRACT(CELL("address",X257), "\$([A-Z]+)\$[0-9]+"))</f>
        <v/>
      </c>
      <c r="Y257" s="7" t="str" cm="1">
        <f t="array" aca="1" ref="Y257" ca="1">IFERROR(IF(OR('Raw Data'!Y257="",LEN(TRIM('Raw Data'!Y257))=0),"",IF(AND(ISNUMBER('Raw Data'!Y257), IFERROR('Raw Data'!Y257 = ROUND('Raw Data'!Y257, 2),FALSE)),"",_xlfn.REGEXEXTRACT(CELL("address",Y257), "\$([A-Z]+)\$[0-9]+"))),_xlfn.REGEXEXTRACT(CELL("address",Y257), "\$([A-Z]+)\$[0-9]+"))</f>
        <v/>
      </c>
      <c r="Z257" s="7" t="str" cm="1">
        <f t="array" aca="1" ref="Z257" ca="1">IFERROR(IF(OR('Raw Data'!Z257="",LEN(TRIM('Raw Data'!Z257))=0),"",IF(AND(ISNUMBER('Raw Data'!Z257), IFERROR('Raw Data'!Z257 = ROUND('Raw Data'!Z257, 2),FALSE)),"",_xlfn.REGEXEXTRACT(CELL("address",Z257), "\$([A-Z]+)\$[0-9]+"))),_xlfn.REGEXEXTRACT(CELL("address",Z257), "\$([A-Z]+)\$[0-9]+"))</f>
        <v/>
      </c>
      <c r="AA257" s="7" t="str" cm="1">
        <f t="array" aca="1" ref="AA257" ca="1">IFERROR(IF(OR('Raw Data'!AA257="",LEN(TRIM('Raw Data'!AA257))=0),"",IF(AND(ISNUMBER('Raw Data'!AA257), IFERROR('Raw Data'!AA257 = ROUND('Raw Data'!AA257, 2),FALSE)),"",_xlfn.REGEXEXTRACT(CELL("address",AA257), "\$([A-Z]+)\$[0-9]+"))),_xlfn.REGEXEXTRACT(CELL("address",AA257), "\$([A-Z]+)\$[0-9]+"))</f>
        <v/>
      </c>
      <c r="AB257" s="7" t="str" cm="1">
        <f t="array" aca="1" ref="AB257" ca="1">IFERROR(IF(OR('Raw Data'!AB257="",LEN(TRIM('Raw Data'!AB257))=0),"",IF(AND(ISNUMBER('Raw Data'!AB257), IFERROR('Raw Data'!AB257 = ROUND('Raw Data'!AB257, 2),FALSE)),"",_xlfn.REGEXEXTRACT(CELL("address",AB257), "\$([A-Z]+)\$[0-9]+"))),_xlfn.REGEXEXTRACT(CELL("address",AB257), "\$([A-Z]+)\$[0-9]+"))</f>
        <v/>
      </c>
      <c r="AC257" s="7" t="str" cm="1">
        <f t="array" aca="1" ref="AC257" ca="1">IFERROR(IF(OR('Raw Data'!AC257="",LEN(TRIM('Raw Data'!AC257))=0),"",IF(AND(ISNUMBER('Raw Data'!AC257), IFERROR('Raw Data'!AC257 = ROUND('Raw Data'!AC257, 2),FALSE)),"",_xlfn.REGEXEXTRACT(CELL("address",AC257), "\$([A-Z]+)\$[0-9]+"))),_xlfn.REGEXEXTRACT(CELL("address",AC257), "\$([A-Z]+)\$[0-9]+"))</f>
        <v/>
      </c>
      <c r="AD257" s="7" t="str" cm="1">
        <f t="array" aca="1" ref="AD257" ca="1">IFERROR(IF(OR('Raw Data'!AD257="",LEN(TRIM('Raw Data'!AD257))=0),"",IF(AND(ISNUMBER('Raw Data'!AD257), IFERROR('Raw Data'!AD257 = ROUND('Raw Data'!AD257, 2),FALSE)),"",_xlfn.REGEXEXTRACT(CELL("address",AD257), "\$([A-Z]+)\$[0-9]+"))),_xlfn.REGEXEXTRACT(CELL("address",AD257), "\$([A-Z]+)\$[0-9]+"))</f>
        <v/>
      </c>
      <c r="AE257" s="7" t="str" cm="1">
        <f t="array" aca="1" ref="AE257" ca="1">IFERROR(IF(OR('Raw Data'!AE257="",LEN(TRIM('Raw Data'!AE257))=0),"",IF(AND(ISNUMBER('Raw Data'!AE257), IFERROR('Raw Data'!AE257 = ROUND('Raw Data'!AE257, 2),FALSE)),"",_xlfn.REGEXEXTRACT(CELL("address",AE257), "\$([A-Z]+)\$[0-9]+"))),_xlfn.REGEXEXTRACT(CELL("address",AE257), "\$([A-Z]+)\$[0-9]+"))</f>
        <v/>
      </c>
      <c r="AF257" s="7" t="str" cm="1">
        <f t="array" aca="1" ref="AF257" ca="1">IFERROR(IF(OR('Raw Data'!AF257="",LEN(TRIM('Raw Data'!AF257))=0),"",IF(AND(ISNUMBER('Raw Data'!AF257), IFERROR('Raw Data'!AF257 = ROUND('Raw Data'!AF257, 2),FALSE)),"",_xlfn.REGEXEXTRACT(CELL("address",AF257), "\$([A-Z]+)\$[0-9]+"))),_xlfn.REGEXEXTRACT(CELL("address",AF257), "\$([A-Z]+)\$[0-9]+"))</f>
        <v/>
      </c>
      <c r="AG257" s="7" t="str" cm="1">
        <f t="array" aca="1" ref="AG257" ca="1">IFERROR(IF(OR('Raw Data'!AG257="",LEN(TRIM('Raw Data'!AG257))=0),"",IF(AND(ISNUMBER('Raw Data'!AG257), IFERROR('Raw Data'!AG257 = ROUND('Raw Data'!AG257, 2),FALSE)),"",_xlfn.REGEXEXTRACT(CELL("address",AG257), "\$([A-Z]+)\$[0-9]+"))),_xlfn.REGEXEXTRACT(CELL("address",AG257), "\$([A-Z]+)\$[0-9]+"))</f>
        <v/>
      </c>
      <c r="AH257" s="7" t="str" cm="1">
        <f t="array" aca="1" ref="AH257" ca="1">IFERROR(IF(OR('Raw Data'!AH257="",LEN(TRIM('Raw Data'!AH257))=0),"",IF(AND(ISNUMBER('Raw Data'!AH257), IFERROR('Raw Data'!AH257 = ROUND('Raw Data'!AH257, 2),FALSE)),"",_xlfn.REGEXEXTRACT(CELL("address",AH257), "\$([A-Z]+)\$[0-9]+"))),_xlfn.REGEXEXTRACT(CELL("address",AH257), "\$([A-Z]+)\$[0-9]+"))</f>
        <v/>
      </c>
      <c r="AI257" s="7" t="str" cm="1">
        <f t="array" aca="1" ref="AI257" ca="1">IFERROR(IF(OR('Raw Data'!AI257="",LEN(TRIM('Raw Data'!AI257))=0),"",IF(AND(ISNUMBER('Raw Data'!AI257), IFERROR('Raw Data'!AI257 = ROUND('Raw Data'!AI257, 2),FALSE)),"",_xlfn.REGEXEXTRACT(CELL("address",AI257), "\$([A-Z]+)\$[0-9]+"))),_xlfn.REGEXEXTRACT(CELL("address",AI257), "\$([A-Z]+)\$[0-9]+"))</f>
        <v/>
      </c>
      <c r="AJ257" s="7" t="str" cm="1">
        <f t="array" aca="1" ref="AJ257" ca="1">IFERROR(IF(OR('Raw Data'!AJ257="",LEN(TRIM('Raw Data'!AJ257))=0),"",IF(AND(ISNUMBER('Raw Data'!AJ257), IFERROR('Raw Data'!AJ257 = ROUND('Raw Data'!AJ257, 2),FALSE)),"",_xlfn.REGEXEXTRACT(CELL("address",AJ257), "\$([A-Z]+)\$[0-9]+"))),_xlfn.REGEXEXTRACT(CELL("address",AJ257), "\$([A-Z]+)\$[0-9]+"))</f>
        <v/>
      </c>
    </row>
    <row r="258" spans="2:36" x14ac:dyDescent="0.25">
      <c r="B258" s="7" t="str" cm="1">
        <f t="array" aca="1" ref="B258" ca="1">IFERROR(IF(OR('Raw Data'!B258="",LEN(TRIM('Raw Data'!B258))=0),"",IF(AND(LEN('Raw Data'!B258) &lt;= 255,LEN('Raw Data'!B258)&gt; 0),"",_xlfn.REGEXEXTRACT(CELL("address",'Raw Data'!B258),"\$([A-Z]+)\$[0-9]+"))),_xlfn.REGEXEXTRACT(CELL("address",'Raw Data'!B258),"\$([A-Z]+)\$[0-9]+"))</f>
        <v/>
      </c>
      <c r="C258" s="7" t="str" cm="1">
        <f t="array" aca="1" ref="C258" ca="1">IFERROR(IF(OR('Raw Data'!C258="",LEN(TRIM('Raw Data'!C258))=0),"",IF(AND(LEN('Raw Data'!C258) &lt;= 20,LEN('Raw Data'!C258)&gt; 0),"",_xlfn.REGEXEXTRACT(CELL("address",'Raw Data'!C258),"\$([A-Z]+)\$[0-9]+"))),_xlfn.REGEXEXTRACT(CELL("address",'Raw Data'!C258),"\$([A-Z]+)\$[0-9]+"))</f>
        <v/>
      </c>
      <c r="D258" s="7" t="str" cm="1">
        <f t="array" aca="1" ref="D258" ca="1">IFERROR(IF(OR('Raw Data'!D258="",LEN(TRIM('Raw Data'!D258))=0),"",IF(AND(ISNUMBER('Raw Data'!D258),'Raw Data'!D258&gt;=Configuration!$D$2),"",_xlfn.REGEXEXTRACT(CELL("address",'Raw Data'!D258),"\$([A-Z]+)\$[0-9]+"))),_xlfn.REGEXEXTRACT(CELL("address",D258), "\$([A-Z]+)\$[0-9]+"))</f>
        <v/>
      </c>
      <c r="E258" s="7" t="str" cm="1">
        <f t="array" aca="1" ref="E258" ca="1">IFERROR(IF(OR('Raw Data'!E258="",LEN(TRIM('Raw Data'!E258))=0),"",IF(AND(ISNUMBER('Raw Data'!E258), IFERROR('Raw Data'!E258 = ROUND('Raw Data'!E258, 2),FALSE)),"",_xlfn.REGEXEXTRACT(CELL("address",E258), "\$([A-Z]+)\$[0-9]+"))),_xlfn.REGEXEXTRACT(CELL("address",E258), "\$([A-Z]+)\$[0-9]+"))</f>
        <v/>
      </c>
      <c r="F258" s="7" t="str" cm="1">
        <f t="array" aca="1" ref="F258" ca="1">IFERROR(IF(OR('Raw Data'!F258="",LEN(TRIM('Raw Data'!F258))=0),"",IF(AND(ISNUMBER('Raw Data'!F258), IFERROR('Raw Data'!F258 = ROUND('Raw Data'!F258, 2),FALSE)),"",_xlfn.REGEXEXTRACT(CELL("address",F258), "\$([A-Z]+)\$[0-9]+"))),_xlfn.REGEXEXTRACT(CELL("address",F258), "\$([A-Z]+)\$[0-9]+"))</f>
        <v/>
      </c>
      <c r="G258" s="7" t="str" cm="1">
        <f t="array" aca="1" ref="G258" ca="1">IFERROR(IF(OR('Raw Data'!G258="",LEN(TRIM('Raw Data'!G258))=0),"",IF(AND(ISNUMBER('Raw Data'!G258), IFERROR('Raw Data'!G258 = ROUND('Raw Data'!G258, 2),FALSE)),"",_xlfn.REGEXEXTRACT(CELL("address",G258), "\$([A-Z]+)\$[0-9]+"))),_xlfn.REGEXEXTRACT(CELL("address",G258), "\$([A-Z]+)\$[0-9]+"))</f>
        <v/>
      </c>
      <c r="H258" s="7" t="str" cm="1">
        <f t="array" aca="1" ref="H258" ca="1">IFERROR(IF(OR('Raw Data'!H258="",LEN(TRIM('Raw Data'!H258))=0),"",IF(AND(ISNUMBER('Raw Data'!H258), IFERROR('Raw Data'!H258 = ROUND('Raw Data'!H258, 2),FALSE)),"",_xlfn.REGEXEXTRACT(CELL("address",H258), "\$([A-Z]+)\$[0-9]+"))),_xlfn.REGEXEXTRACT(CELL("address",H258), "\$([A-Z]+)\$[0-9]+"))</f>
        <v/>
      </c>
      <c r="I258" s="7" t="str" cm="1">
        <f t="array" aca="1" ref="I258" ca="1">IFERROR(IF(OR('Raw Data'!I258="",LEN(TRIM('Raw Data'!I258))=0),"",IF(AND(ISNUMBER('Raw Data'!I258), IFERROR('Raw Data'!I258 = ROUND('Raw Data'!I258, 2),FALSE)),"",_xlfn.REGEXEXTRACT(CELL("address",I258), "\$([A-Z]+)\$[0-9]+"))),_xlfn.REGEXEXTRACT(CELL("address",I258), "\$([A-Z]+)\$[0-9]+"))</f>
        <v/>
      </c>
      <c r="J258" s="7" t="str" cm="1">
        <f t="array" aca="1" ref="J258" ca="1">IFERROR(IF(OR('Raw Data'!J258="",LEN(TRIM('Raw Data'!J258))=0),"",IF(AND(ISNUMBER('Raw Data'!J258), IFERROR('Raw Data'!J258 = ROUND('Raw Data'!J258, 2),FALSE)),"",_xlfn.REGEXEXTRACT(CELL("address",J258), "\$([A-Z]+)\$[0-9]+"))),_xlfn.REGEXEXTRACT(CELL("address",J258), "\$([A-Z]+)\$[0-9]+"))</f>
        <v/>
      </c>
      <c r="K258" s="7" t="str" cm="1">
        <f t="array" aca="1" ref="K258" ca="1">IFERROR(IF(OR('Raw Data'!K258="",LEN(TRIM('Raw Data'!K258))=0),"",IF(AND(ISNUMBER('Raw Data'!K258), IFERROR('Raw Data'!K258 = ROUND('Raw Data'!K258, 2),FALSE)),"",_xlfn.REGEXEXTRACT(CELL("address",K258), "\$([A-Z]+)\$[0-9]+"))),_xlfn.REGEXEXTRACT(CELL("address",K258), "\$([A-Z]+)\$[0-9]+"))</f>
        <v/>
      </c>
      <c r="L258" s="7" t="str" cm="1">
        <f t="array" aca="1" ref="L258" ca="1">IFERROR(IF(OR('Raw Data'!L258="",LEN(TRIM('Raw Data'!L258))=0),"",IF(AND(ISNUMBER('Raw Data'!L258), IFERROR('Raw Data'!L258 = ROUND('Raw Data'!L258, 2),FALSE)),"",_xlfn.REGEXEXTRACT(CELL("address",L258), "\$([A-Z]+)\$[0-9]+"))),_xlfn.REGEXEXTRACT(CELL("address",L258), "\$([A-Z]+)\$[0-9]+"))</f>
        <v/>
      </c>
      <c r="M258" s="7" t="str" cm="1">
        <f t="array" aca="1" ref="M258" ca="1">IFERROR(IF(OR('Raw Data'!M258="",LEN(TRIM('Raw Data'!M258))=0),"",IF(AND(ISNUMBER('Raw Data'!M258), IFERROR('Raw Data'!M258 = ROUND('Raw Data'!M258, 2),FALSE)),"",_xlfn.REGEXEXTRACT(CELL("address",M258), "\$([A-Z]+)\$[0-9]+"))),_xlfn.REGEXEXTRACT(CELL("address",M258), "\$([A-Z]+)\$[0-9]+"))</f>
        <v/>
      </c>
      <c r="N258" s="7" t="str" cm="1">
        <f t="array" aca="1" ref="N258" ca="1">IFERROR(IF(OR('Raw Data'!N258="",LEN(TRIM('Raw Data'!N258))=0),"",IF(AND(ISNUMBER('Raw Data'!N258), IFERROR('Raw Data'!N258 = ROUND('Raw Data'!N258, 2),FALSE)),"",_xlfn.REGEXEXTRACT(CELL("address",N258), "\$([A-Z]+)\$[0-9]+"))),_xlfn.REGEXEXTRACT(CELL("address",N258), "\$([A-Z]+)\$[0-9]+"))</f>
        <v/>
      </c>
      <c r="O258" s="7" t="str" cm="1">
        <f t="array" aca="1" ref="O258" ca="1">IFERROR(IF(OR('Raw Data'!O258="",LEN(TRIM('Raw Data'!O258))=0),"",IF(AND(ISNUMBER('Raw Data'!O258), IFERROR('Raw Data'!O258 = ROUND('Raw Data'!O258, 2),FALSE)),"",_xlfn.REGEXEXTRACT(CELL("address",O258), "\$([A-Z]+)\$[0-9]+"))),_xlfn.REGEXEXTRACT(CELL("address",O258), "\$([A-Z]+)\$[0-9]+"))</f>
        <v/>
      </c>
      <c r="P258" s="7" t="str" cm="1">
        <f t="array" aca="1" ref="P258" ca="1">IFERROR(IF(OR('Raw Data'!P258="",LEN(TRIM('Raw Data'!P258))=0),"",IF(AND(ISNUMBER('Raw Data'!P258), IFERROR('Raw Data'!P258 = ROUND('Raw Data'!P258, 2),FALSE)),"",_xlfn.REGEXEXTRACT(CELL("address",P258), "\$([A-Z]+)\$[0-9]+"))),_xlfn.REGEXEXTRACT(CELL("address",P258), "\$([A-Z]+)\$[0-9]+"))</f>
        <v/>
      </c>
      <c r="Q258" s="7" t="str" cm="1">
        <f t="array" aca="1" ref="Q258" ca="1">IFERROR(IF(OR('Raw Data'!Q258="",LEN(TRIM('Raw Data'!Q258))=0),"",IF(AND(ISNUMBER('Raw Data'!Q258), IFERROR('Raw Data'!Q258 = ROUND('Raw Data'!Q258, 2),FALSE)),"",_xlfn.REGEXEXTRACT(CELL("address",Q258), "\$([A-Z]+)\$[0-9]+"))),_xlfn.REGEXEXTRACT(CELL("address",Q258), "\$([A-Z]+)\$[0-9]+"))</f>
        <v/>
      </c>
      <c r="R258" s="7" t="str" cm="1">
        <f t="array" aca="1" ref="R258" ca="1">IFERROR(IF(OR('Raw Data'!R258="",LEN(TRIM('Raw Data'!R258))=0),"",IF(AND(ISNUMBER('Raw Data'!R258), IFERROR('Raw Data'!R258 = ROUND('Raw Data'!R258, 2),FALSE)),"",_xlfn.REGEXEXTRACT(CELL("address",R258), "\$([A-Z]+)\$[0-9]+"))),_xlfn.REGEXEXTRACT(CELL("address",R258), "\$([A-Z]+)\$[0-9]+"))</f>
        <v/>
      </c>
      <c r="S258" s="7" t="str" cm="1">
        <f t="array" aca="1" ref="S258" ca="1">IFERROR(IF(OR('Raw Data'!S258="",LEN(TRIM('Raw Data'!S258))=0),"",IF(AND(ISNUMBER('Raw Data'!S258), IFERROR('Raw Data'!S258 = ROUND('Raw Data'!S258, 2),FALSE)),"",_xlfn.REGEXEXTRACT(CELL("address",S258), "\$([A-Z]+)\$[0-9]+"))),_xlfn.REGEXEXTRACT(CELL("address",S258), "\$([A-Z]+)\$[0-9]+"))</f>
        <v/>
      </c>
      <c r="T258" s="7" t="str" cm="1">
        <f t="array" aca="1" ref="T258" ca="1">IFERROR(IF(OR('Raw Data'!T258="",LEN(TRIM('Raw Data'!T258))=0),"",IF(AND(ISNUMBER('Raw Data'!T258), IFERROR('Raw Data'!T258 = ROUND('Raw Data'!T258, 2),FALSE)),"",_xlfn.REGEXEXTRACT(CELL("address",T258), "\$([A-Z]+)\$[0-9]+"))),_xlfn.REGEXEXTRACT(CELL("address",T258), "\$([A-Z]+)\$[0-9]+"))</f>
        <v/>
      </c>
      <c r="U258" s="7" t="str" cm="1">
        <f t="array" aca="1" ref="U258" ca="1">IFERROR(IF(OR('Raw Data'!U258="",LEN(TRIM('Raw Data'!U258))=0),"",IF(AND(ISNUMBER('Raw Data'!U258), IFERROR('Raw Data'!U258 = ROUND('Raw Data'!U258, 2),FALSE)),"",_xlfn.REGEXEXTRACT(CELL("address",U258), "\$([A-Z]+)\$[0-9]+"))),_xlfn.REGEXEXTRACT(CELL("address",U258), "\$([A-Z]+)\$[0-9]+"))</f>
        <v/>
      </c>
      <c r="V258" s="7" t="str" cm="1">
        <f t="array" aca="1" ref="V258" ca="1">IFERROR(IF(OR('Raw Data'!V258="",LEN(TRIM('Raw Data'!V258))=0),"",IF(AND(ISNUMBER('Raw Data'!V258), IFERROR('Raw Data'!V258 = ROUND('Raw Data'!V258, 2),FALSE)),"",_xlfn.REGEXEXTRACT(CELL("address",V258), "\$([A-Z]+)\$[0-9]+"))),_xlfn.REGEXEXTRACT(CELL("address",V258), "\$([A-Z]+)\$[0-9]+"))</f>
        <v/>
      </c>
      <c r="W258" s="7" t="str" cm="1">
        <f t="array" aca="1" ref="W258" ca="1">IFERROR(IF(OR('Raw Data'!W258="",LEN(TRIM('Raw Data'!W258))=0),"",IF(AND(ISNUMBER('Raw Data'!W258), IFERROR('Raw Data'!W258 = ROUND('Raw Data'!W258, 2),FALSE)),"",_xlfn.REGEXEXTRACT(CELL("address",W258), "\$([A-Z]+)\$[0-9]+"))),_xlfn.REGEXEXTRACT(CELL("address",W258), "\$([A-Z]+)\$[0-9]+"))</f>
        <v/>
      </c>
      <c r="X258" s="7" t="str" cm="1">
        <f t="array" aca="1" ref="X258" ca="1">IFERROR(IF(OR('Raw Data'!X258="",LEN(TRIM('Raw Data'!X258))=0),"",IF(AND(ISNUMBER('Raw Data'!X258), IFERROR('Raw Data'!X258 = ROUND('Raw Data'!X258, 2),FALSE)),"",_xlfn.REGEXEXTRACT(CELL("address",X258), "\$([A-Z]+)\$[0-9]+"))),_xlfn.REGEXEXTRACT(CELL("address",X258), "\$([A-Z]+)\$[0-9]+"))</f>
        <v/>
      </c>
      <c r="Y258" s="7" t="str" cm="1">
        <f t="array" aca="1" ref="Y258" ca="1">IFERROR(IF(OR('Raw Data'!Y258="",LEN(TRIM('Raw Data'!Y258))=0),"",IF(AND(ISNUMBER('Raw Data'!Y258), IFERROR('Raw Data'!Y258 = ROUND('Raw Data'!Y258, 2),FALSE)),"",_xlfn.REGEXEXTRACT(CELL("address",Y258), "\$([A-Z]+)\$[0-9]+"))),_xlfn.REGEXEXTRACT(CELL("address",Y258), "\$([A-Z]+)\$[0-9]+"))</f>
        <v/>
      </c>
      <c r="Z258" s="7" t="str" cm="1">
        <f t="array" aca="1" ref="Z258" ca="1">IFERROR(IF(OR('Raw Data'!Z258="",LEN(TRIM('Raw Data'!Z258))=0),"",IF(AND(ISNUMBER('Raw Data'!Z258), IFERROR('Raw Data'!Z258 = ROUND('Raw Data'!Z258, 2),FALSE)),"",_xlfn.REGEXEXTRACT(CELL("address",Z258), "\$([A-Z]+)\$[0-9]+"))),_xlfn.REGEXEXTRACT(CELL("address",Z258), "\$([A-Z]+)\$[0-9]+"))</f>
        <v/>
      </c>
      <c r="AA258" s="7" t="str" cm="1">
        <f t="array" aca="1" ref="AA258" ca="1">IFERROR(IF(OR('Raw Data'!AA258="",LEN(TRIM('Raw Data'!AA258))=0),"",IF(AND(ISNUMBER('Raw Data'!AA258), IFERROR('Raw Data'!AA258 = ROUND('Raw Data'!AA258, 2),FALSE)),"",_xlfn.REGEXEXTRACT(CELL("address",AA258), "\$([A-Z]+)\$[0-9]+"))),_xlfn.REGEXEXTRACT(CELL("address",AA258), "\$([A-Z]+)\$[0-9]+"))</f>
        <v/>
      </c>
      <c r="AB258" s="7" t="str" cm="1">
        <f t="array" aca="1" ref="AB258" ca="1">IFERROR(IF(OR('Raw Data'!AB258="",LEN(TRIM('Raw Data'!AB258))=0),"",IF(AND(ISNUMBER('Raw Data'!AB258), IFERROR('Raw Data'!AB258 = ROUND('Raw Data'!AB258, 2),FALSE)),"",_xlfn.REGEXEXTRACT(CELL("address",AB258), "\$([A-Z]+)\$[0-9]+"))),_xlfn.REGEXEXTRACT(CELL("address",AB258), "\$([A-Z]+)\$[0-9]+"))</f>
        <v/>
      </c>
      <c r="AC258" s="7" t="str" cm="1">
        <f t="array" aca="1" ref="AC258" ca="1">IFERROR(IF(OR('Raw Data'!AC258="",LEN(TRIM('Raw Data'!AC258))=0),"",IF(AND(ISNUMBER('Raw Data'!AC258), IFERROR('Raw Data'!AC258 = ROUND('Raw Data'!AC258, 2),FALSE)),"",_xlfn.REGEXEXTRACT(CELL("address",AC258), "\$([A-Z]+)\$[0-9]+"))),_xlfn.REGEXEXTRACT(CELL("address",AC258), "\$([A-Z]+)\$[0-9]+"))</f>
        <v/>
      </c>
      <c r="AD258" s="7" t="str" cm="1">
        <f t="array" aca="1" ref="AD258" ca="1">IFERROR(IF(OR('Raw Data'!AD258="",LEN(TRIM('Raw Data'!AD258))=0),"",IF(AND(ISNUMBER('Raw Data'!AD258), IFERROR('Raw Data'!AD258 = ROUND('Raw Data'!AD258, 2),FALSE)),"",_xlfn.REGEXEXTRACT(CELL("address",AD258), "\$([A-Z]+)\$[0-9]+"))),_xlfn.REGEXEXTRACT(CELL("address",AD258), "\$([A-Z]+)\$[0-9]+"))</f>
        <v/>
      </c>
      <c r="AE258" s="7" t="str" cm="1">
        <f t="array" aca="1" ref="AE258" ca="1">IFERROR(IF(OR('Raw Data'!AE258="",LEN(TRIM('Raw Data'!AE258))=0),"",IF(AND(ISNUMBER('Raw Data'!AE258), IFERROR('Raw Data'!AE258 = ROUND('Raw Data'!AE258, 2),FALSE)),"",_xlfn.REGEXEXTRACT(CELL("address",AE258), "\$([A-Z]+)\$[0-9]+"))),_xlfn.REGEXEXTRACT(CELL("address",AE258), "\$([A-Z]+)\$[0-9]+"))</f>
        <v/>
      </c>
      <c r="AF258" s="7" t="str" cm="1">
        <f t="array" aca="1" ref="AF258" ca="1">IFERROR(IF(OR('Raw Data'!AF258="",LEN(TRIM('Raw Data'!AF258))=0),"",IF(AND(ISNUMBER('Raw Data'!AF258), IFERROR('Raw Data'!AF258 = ROUND('Raw Data'!AF258, 2),FALSE)),"",_xlfn.REGEXEXTRACT(CELL("address",AF258), "\$([A-Z]+)\$[0-9]+"))),_xlfn.REGEXEXTRACT(CELL("address",AF258), "\$([A-Z]+)\$[0-9]+"))</f>
        <v/>
      </c>
      <c r="AG258" s="7" t="str" cm="1">
        <f t="array" aca="1" ref="AG258" ca="1">IFERROR(IF(OR('Raw Data'!AG258="",LEN(TRIM('Raw Data'!AG258))=0),"",IF(AND(ISNUMBER('Raw Data'!AG258), IFERROR('Raw Data'!AG258 = ROUND('Raw Data'!AG258, 2),FALSE)),"",_xlfn.REGEXEXTRACT(CELL("address",AG258), "\$([A-Z]+)\$[0-9]+"))),_xlfn.REGEXEXTRACT(CELL("address",AG258), "\$([A-Z]+)\$[0-9]+"))</f>
        <v/>
      </c>
      <c r="AH258" s="7" t="str" cm="1">
        <f t="array" aca="1" ref="AH258" ca="1">IFERROR(IF(OR('Raw Data'!AH258="",LEN(TRIM('Raw Data'!AH258))=0),"",IF(AND(ISNUMBER('Raw Data'!AH258), IFERROR('Raw Data'!AH258 = ROUND('Raw Data'!AH258, 2),FALSE)),"",_xlfn.REGEXEXTRACT(CELL("address",AH258), "\$([A-Z]+)\$[0-9]+"))),_xlfn.REGEXEXTRACT(CELL("address",AH258), "\$([A-Z]+)\$[0-9]+"))</f>
        <v/>
      </c>
      <c r="AI258" s="7" t="str" cm="1">
        <f t="array" aca="1" ref="AI258" ca="1">IFERROR(IF(OR('Raw Data'!AI258="",LEN(TRIM('Raw Data'!AI258))=0),"",IF(AND(ISNUMBER('Raw Data'!AI258), IFERROR('Raw Data'!AI258 = ROUND('Raw Data'!AI258, 2),FALSE)),"",_xlfn.REGEXEXTRACT(CELL("address",AI258), "\$([A-Z]+)\$[0-9]+"))),_xlfn.REGEXEXTRACT(CELL("address",AI258), "\$([A-Z]+)\$[0-9]+"))</f>
        <v/>
      </c>
      <c r="AJ258" s="7" t="str" cm="1">
        <f t="array" aca="1" ref="AJ258" ca="1">IFERROR(IF(OR('Raw Data'!AJ258="",LEN(TRIM('Raw Data'!AJ258))=0),"",IF(AND(ISNUMBER('Raw Data'!AJ258), IFERROR('Raw Data'!AJ258 = ROUND('Raw Data'!AJ258, 2),FALSE)),"",_xlfn.REGEXEXTRACT(CELL("address",AJ258), "\$([A-Z]+)\$[0-9]+"))),_xlfn.REGEXEXTRACT(CELL("address",AJ258), "\$([A-Z]+)\$[0-9]+"))</f>
        <v/>
      </c>
    </row>
    <row r="259" spans="2:36" x14ac:dyDescent="0.25">
      <c r="B259" s="7" t="str" cm="1">
        <f t="array" aca="1" ref="B259" ca="1">IFERROR(IF(OR('Raw Data'!B259="",LEN(TRIM('Raw Data'!B259))=0),"",IF(AND(LEN('Raw Data'!B259) &lt;= 255,LEN('Raw Data'!B259)&gt; 0),"",_xlfn.REGEXEXTRACT(CELL("address",'Raw Data'!B259),"\$([A-Z]+)\$[0-9]+"))),_xlfn.REGEXEXTRACT(CELL("address",'Raw Data'!B259),"\$([A-Z]+)\$[0-9]+"))</f>
        <v/>
      </c>
      <c r="C259" s="7" t="str" cm="1">
        <f t="array" aca="1" ref="C259" ca="1">IFERROR(IF(OR('Raw Data'!C259="",LEN(TRIM('Raw Data'!C259))=0),"",IF(AND(LEN('Raw Data'!C259) &lt;= 20,LEN('Raw Data'!C259)&gt; 0),"",_xlfn.REGEXEXTRACT(CELL("address",'Raw Data'!C259),"\$([A-Z]+)\$[0-9]+"))),_xlfn.REGEXEXTRACT(CELL("address",'Raw Data'!C259),"\$([A-Z]+)\$[0-9]+"))</f>
        <v/>
      </c>
      <c r="D259" s="7" t="str" cm="1">
        <f t="array" aca="1" ref="D259" ca="1">IFERROR(IF(OR('Raw Data'!D259="",LEN(TRIM('Raw Data'!D259))=0),"",IF(AND(ISNUMBER('Raw Data'!D259),'Raw Data'!D259&gt;=Configuration!$D$2),"",_xlfn.REGEXEXTRACT(CELL("address",'Raw Data'!D259),"\$([A-Z]+)\$[0-9]+"))),_xlfn.REGEXEXTRACT(CELL("address",D259), "\$([A-Z]+)\$[0-9]+"))</f>
        <v/>
      </c>
      <c r="E259" s="7" t="str" cm="1">
        <f t="array" aca="1" ref="E259" ca="1">IFERROR(IF(OR('Raw Data'!E259="",LEN(TRIM('Raw Data'!E259))=0),"",IF(AND(ISNUMBER('Raw Data'!E259), IFERROR('Raw Data'!E259 = ROUND('Raw Data'!E259, 2),FALSE)),"",_xlfn.REGEXEXTRACT(CELL("address",E259), "\$([A-Z]+)\$[0-9]+"))),_xlfn.REGEXEXTRACT(CELL("address",E259), "\$([A-Z]+)\$[0-9]+"))</f>
        <v/>
      </c>
      <c r="F259" s="7" t="str" cm="1">
        <f t="array" aca="1" ref="F259" ca="1">IFERROR(IF(OR('Raw Data'!F259="",LEN(TRIM('Raw Data'!F259))=0),"",IF(AND(ISNUMBER('Raw Data'!F259), IFERROR('Raw Data'!F259 = ROUND('Raw Data'!F259, 2),FALSE)),"",_xlfn.REGEXEXTRACT(CELL("address",F259), "\$([A-Z]+)\$[0-9]+"))),_xlfn.REGEXEXTRACT(CELL("address",F259), "\$([A-Z]+)\$[0-9]+"))</f>
        <v/>
      </c>
      <c r="G259" s="7" t="str" cm="1">
        <f t="array" aca="1" ref="G259" ca="1">IFERROR(IF(OR('Raw Data'!G259="",LEN(TRIM('Raw Data'!G259))=0),"",IF(AND(ISNUMBER('Raw Data'!G259), IFERROR('Raw Data'!G259 = ROUND('Raw Data'!G259, 2),FALSE)),"",_xlfn.REGEXEXTRACT(CELL("address",G259), "\$([A-Z]+)\$[0-9]+"))),_xlfn.REGEXEXTRACT(CELL("address",G259), "\$([A-Z]+)\$[0-9]+"))</f>
        <v/>
      </c>
      <c r="H259" s="7" t="str" cm="1">
        <f t="array" aca="1" ref="H259" ca="1">IFERROR(IF(OR('Raw Data'!H259="",LEN(TRIM('Raw Data'!H259))=0),"",IF(AND(ISNUMBER('Raw Data'!H259), IFERROR('Raw Data'!H259 = ROUND('Raw Data'!H259, 2),FALSE)),"",_xlfn.REGEXEXTRACT(CELL("address",H259), "\$([A-Z]+)\$[0-9]+"))),_xlfn.REGEXEXTRACT(CELL("address",H259), "\$([A-Z]+)\$[0-9]+"))</f>
        <v/>
      </c>
      <c r="I259" s="7" t="str" cm="1">
        <f t="array" aca="1" ref="I259" ca="1">IFERROR(IF(OR('Raw Data'!I259="",LEN(TRIM('Raw Data'!I259))=0),"",IF(AND(ISNUMBER('Raw Data'!I259), IFERROR('Raw Data'!I259 = ROUND('Raw Data'!I259, 2),FALSE)),"",_xlfn.REGEXEXTRACT(CELL("address",I259), "\$([A-Z]+)\$[0-9]+"))),_xlfn.REGEXEXTRACT(CELL("address",I259), "\$([A-Z]+)\$[0-9]+"))</f>
        <v/>
      </c>
      <c r="J259" s="7" t="str" cm="1">
        <f t="array" aca="1" ref="J259" ca="1">IFERROR(IF(OR('Raw Data'!J259="",LEN(TRIM('Raw Data'!J259))=0),"",IF(AND(ISNUMBER('Raw Data'!J259), IFERROR('Raw Data'!J259 = ROUND('Raw Data'!J259, 2),FALSE)),"",_xlfn.REGEXEXTRACT(CELL("address",J259), "\$([A-Z]+)\$[0-9]+"))),_xlfn.REGEXEXTRACT(CELL("address",J259), "\$([A-Z]+)\$[0-9]+"))</f>
        <v/>
      </c>
      <c r="K259" s="7" t="str" cm="1">
        <f t="array" aca="1" ref="K259" ca="1">IFERROR(IF(OR('Raw Data'!K259="",LEN(TRIM('Raw Data'!K259))=0),"",IF(AND(ISNUMBER('Raw Data'!K259), IFERROR('Raw Data'!K259 = ROUND('Raw Data'!K259, 2),FALSE)),"",_xlfn.REGEXEXTRACT(CELL("address",K259), "\$([A-Z]+)\$[0-9]+"))),_xlfn.REGEXEXTRACT(CELL("address",K259), "\$([A-Z]+)\$[0-9]+"))</f>
        <v/>
      </c>
      <c r="L259" s="7" t="str" cm="1">
        <f t="array" aca="1" ref="L259" ca="1">IFERROR(IF(OR('Raw Data'!L259="",LEN(TRIM('Raw Data'!L259))=0),"",IF(AND(ISNUMBER('Raw Data'!L259), IFERROR('Raw Data'!L259 = ROUND('Raw Data'!L259, 2),FALSE)),"",_xlfn.REGEXEXTRACT(CELL("address",L259), "\$([A-Z]+)\$[0-9]+"))),_xlfn.REGEXEXTRACT(CELL("address",L259), "\$([A-Z]+)\$[0-9]+"))</f>
        <v/>
      </c>
      <c r="M259" s="7" t="str" cm="1">
        <f t="array" aca="1" ref="M259" ca="1">IFERROR(IF(OR('Raw Data'!M259="",LEN(TRIM('Raw Data'!M259))=0),"",IF(AND(ISNUMBER('Raw Data'!M259), IFERROR('Raw Data'!M259 = ROUND('Raw Data'!M259, 2),FALSE)),"",_xlfn.REGEXEXTRACT(CELL("address",M259), "\$([A-Z]+)\$[0-9]+"))),_xlfn.REGEXEXTRACT(CELL("address",M259), "\$([A-Z]+)\$[0-9]+"))</f>
        <v/>
      </c>
      <c r="N259" s="7" t="str" cm="1">
        <f t="array" aca="1" ref="N259" ca="1">IFERROR(IF(OR('Raw Data'!N259="",LEN(TRIM('Raw Data'!N259))=0),"",IF(AND(ISNUMBER('Raw Data'!N259), IFERROR('Raw Data'!N259 = ROUND('Raw Data'!N259, 2),FALSE)),"",_xlfn.REGEXEXTRACT(CELL("address",N259), "\$([A-Z]+)\$[0-9]+"))),_xlfn.REGEXEXTRACT(CELL("address",N259), "\$([A-Z]+)\$[0-9]+"))</f>
        <v/>
      </c>
      <c r="O259" s="7" t="str" cm="1">
        <f t="array" aca="1" ref="O259" ca="1">IFERROR(IF(OR('Raw Data'!O259="",LEN(TRIM('Raw Data'!O259))=0),"",IF(AND(ISNUMBER('Raw Data'!O259), IFERROR('Raw Data'!O259 = ROUND('Raw Data'!O259, 2),FALSE)),"",_xlfn.REGEXEXTRACT(CELL("address",O259), "\$([A-Z]+)\$[0-9]+"))),_xlfn.REGEXEXTRACT(CELL("address",O259), "\$([A-Z]+)\$[0-9]+"))</f>
        <v/>
      </c>
      <c r="P259" s="7" t="str" cm="1">
        <f t="array" aca="1" ref="P259" ca="1">IFERROR(IF(OR('Raw Data'!P259="",LEN(TRIM('Raw Data'!P259))=0),"",IF(AND(ISNUMBER('Raw Data'!P259), IFERROR('Raw Data'!P259 = ROUND('Raw Data'!P259, 2),FALSE)),"",_xlfn.REGEXEXTRACT(CELL("address",P259), "\$([A-Z]+)\$[0-9]+"))),_xlfn.REGEXEXTRACT(CELL("address",P259), "\$([A-Z]+)\$[0-9]+"))</f>
        <v/>
      </c>
      <c r="Q259" s="7" t="str" cm="1">
        <f t="array" aca="1" ref="Q259" ca="1">IFERROR(IF(OR('Raw Data'!Q259="",LEN(TRIM('Raw Data'!Q259))=0),"",IF(AND(ISNUMBER('Raw Data'!Q259), IFERROR('Raw Data'!Q259 = ROUND('Raw Data'!Q259, 2),FALSE)),"",_xlfn.REGEXEXTRACT(CELL("address",Q259), "\$([A-Z]+)\$[0-9]+"))),_xlfn.REGEXEXTRACT(CELL("address",Q259), "\$([A-Z]+)\$[0-9]+"))</f>
        <v/>
      </c>
      <c r="R259" s="7" t="str" cm="1">
        <f t="array" aca="1" ref="R259" ca="1">IFERROR(IF(OR('Raw Data'!R259="",LEN(TRIM('Raw Data'!R259))=0),"",IF(AND(ISNUMBER('Raw Data'!R259), IFERROR('Raw Data'!R259 = ROUND('Raw Data'!R259, 2),FALSE)),"",_xlfn.REGEXEXTRACT(CELL("address",R259), "\$([A-Z]+)\$[0-9]+"))),_xlfn.REGEXEXTRACT(CELL("address",R259), "\$([A-Z]+)\$[0-9]+"))</f>
        <v/>
      </c>
      <c r="S259" s="7" t="str" cm="1">
        <f t="array" aca="1" ref="S259" ca="1">IFERROR(IF(OR('Raw Data'!S259="",LEN(TRIM('Raw Data'!S259))=0),"",IF(AND(ISNUMBER('Raw Data'!S259), IFERROR('Raw Data'!S259 = ROUND('Raw Data'!S259, 2),FALSE)),"",_xlfn.REGEXEXTRACT(CELL("address",S259), "\$([A-Z]+)\$[0-9]+"))),_xlfn.REGEXEXTRACT(CELL("address",S259), "\$([A-Z]+)\$[0-9]+"))</f>
        <v/>
      </c>
      <c r="T259" s="7" t="str" cm="1">
        <f t="array" aca="1" ref="T259" ca="1">IFERROR(IF(OR('Raw Data'!T259="",LEN(TRIM('Raw Data'!T259))=0),"",IF(AND(ISNUMBER('Raw Data'!T259), IFERROR('Raw Data'!T259 = ROUND('Raw Data'!T259, 2),FALSE)),"",_xlfn.REGEXEXTRACT(CELL("address",T259), "\$([A-Z]+)\$[0-9]+"))),_xlfn.REGEXEXTRACT(CELL("address",T259), "\$([A-Z]+)\$[0-9]+"))</f>
        <v/>
      </c>
      <c r="U259" s="7" t="str" cm="1">
        <f t="array" aca="1" ref="U259" ca="1">IFERROR(IF(OR('Raw Data'!U259="",LEN(TRIM('Raw Data'!U259))=0),"",IF(AND(ISNUMBER('Raw Data'!U259), IFERROR('Raw Data'!U259 = ROUND('Raw Data'!U259, 2),FALSE)),"",_xlfn.REGEXEXTRACT(CELL("address",U259), "\$([A-Z]+)\$[0-9]+"))),_xlfn.REGEXEXTRACT(CELL("address",U259), "\$([A-Z]+)\$[0-9]+"))</f>
        <v/>
      </c>
      <c r="V259" s="7" t="str" cm="1">
        <f t="array" aca="1" ref="V259" ca="1">IFERROR(IF(OR('Raw Data'!V259="",LEN(TRIM('Raw Data'!V259))=0),"",IF(AND(ISNUMBER('Raw Data'!V259), IFERROR('Raw Data'!V259 = ROUND('Raw Data'!V259, 2),FALSE)),"",_xlfn.REGEXEXTRACT(CELL("address",V259), "\$([A-Z]+)\$[0-9]+"))),_xlfn.REGEXEXTRACT(CELL("address",V259), "\$([A-Z]+)\$[0-9]+"))</f>
        <v/>
      </c>
      <c r="W259" s="7" t="str" cm="1">
        <f t="array" aca="1" ref="W259" ca="1">IFERROR(IF(OR('Raw Data'!W259="",LEN(TRIM('Raw Data'!W259))=0),"",IF(AND(ISNUMBER('Raw Data'!W259), IFERROR('Raw Data'!W259 = ROUND('Raw Data'!W259, 2),FALSE)),"",_xlfn.REGEXEXTRACT(CELL("address",W259), "\$([A-Z]+)\$[0-9]+"))),_xlfn.REGEXEXTRACT(CELL("address",W259), "\$([A-Z]+)\$[0-9]+"))</f>
        <v/>
      </c>
      <c r="X259" s="7" t="str" cm="1">
        <f t="array" aca="1" ref="X259" ca="1">IFERROR(IF(OR('Raw Data'!X259="",LEN(TRIM('Raw Data'!X259))=0),"",IF(AND(ISNUMBER('Raw Data'!X259), IFERROR('Raw Data'!X259 = ROUND('Raw Data'!X259, 2),FALSE)),"",_xlfn.REGEXEXTRACT(CELL("address",X259), "\$([A-Z]+)\$[0-9]+"))),_xlfn.REGEXEXTRACT(CELL("address",X259), "\$([A-Z]+)\$[0-9]+"))</f>
        <v/>
      </c>
      <c r="Y259" s="7" t="str" cm="1">
        <f t="array" aca="1" ref="Y259" ca="1">IFERROR(IF(OR('Raw Data'!Y259="",LEN(TRIM('Raw Data'!Y259))=0),"",IF(AND(ISNUMBER('Raw Data'!Y259), IFERROR('Raw Data'!Y259 = ROUND('Raw Data'!Y259, 2),FALSE)),"",_xlfn.REGEXEXTRACT(CELL("address",Y259), "\$([A-Z]+)\$[0-9]+"))),_xlfn.REGEXEXTRACT(CELL("address",Y259), "\$([A-Z]+)\$[0-9]+"))</f>
        <v/>
      </c>
      <c r="Z259" s="7" t="str" cm="1">
        <f t="array" aca="1" ref="Z259" ca="1">IFERROR(IF(OR('Raw Data'!Z259="",LEN(TRIM('Raw Data'!Z259))=0),"",IF(AND(ISNUMBER('Raw Data'!Z259), IFERROR('Raw Data'!Z259 = ROUND('Raw Data'!Z259, 2),FALSE)),"",_xlfn.REGEXEXTRACT(CELL("address",Z259), "\$([A-Z]+)\$[0-9]+"))),_xlfn.REGEXEXTRACT(CELL("address",Z259), "\$([A-Z]+)\$[0-9]+"))</f>
        <v/>
      </c>
      <c r="AA259" s="7" t="str" cm="1">
        <f t="array" aca="1" ref="AA259" ca="1">IFERROR(IF(OR('Raw Data'!AA259="",LEN(TRIM('Raw Data'!AA259))=0),"",IF(AND(ISNUMBER('Raw Data'!AA259), IFERROR('Raw Data'!AA259 = ROUND('Raw Data'!AA259, 2),FALSE)),"",_xlfn.REGEXEXTRACT(CELL("address",AA259), "\$([A-Z]+)\$[0-9]+"))),_xlfn.REGEXEXTRACT(CELL("address",AA259), "\$([A-Z]+)\$[0-9]+"))</f>
        <v/>
      </c>
      <c r="AB259" s="7" t="str" cm="1">
        <f t="array" aca="1" ref="AB259" ca="1">IFERROR(IF(OR('Raw Data'!AB259="",LEN(TRIM('Raw Data'!AB259))=0),"",IF(AND(ISNUMBER('Raw Data'!AB259), IFERROR('Raw Data'!AB259 = ROUND('Raw Data'!AB259, 2),FALSE)),"",_xlfn.REGEXEXTRACT(CELL("address",AB259), "\$([A-Z]+)\$[0-9]+"))),_xlfn.REGEXEXTRACT(CELL("address",AB259), "\$([A-Z]+)\$[0-9]+"))</f>
        <v/>
      </c>
      <c r="AC259" s="7" t="str" cm="1">
        <f t="array" aca="1" ref="AC259" ca="1">IFERROR(IF(OR('Raw Data'!AC259="",LEN(TRIM('Raw Data'!AC259))=0),"",IF(AND(ISNUMBER('Raw Data'!AC259), IFERROR('Raw Data'!AC259 = ROUND('Raw Data'!AC259, 2),FALSE)),"",_xlfn.REGEXEXTRACT(CELL("address",AC259), "\$([A-Z]+)\$[0-9]+"))),_xlfn.REGEXEXTRACT(CELL("address",AC259), "\$([A-Z]+)\$[0-9]+"))</f>
        <v/>
      </c>
      <c r="AD259" s="7" t="str" cm="1">
        <f t="array" aca="1" ref="AD259" ca="1">IFERROR(IF(OR('Raw Data'!AD259="",LEN(TRIM('Raw Data'!AD259))=0),"",IF(AND(ISNUMBER('Raw Data'!AD259), IFERROR('Raw Data'!AD259 = ROUND('Raw Data'!AD259, 2),FALSE)),"",_xlfn.REGEXEXTRACT(CELL("address",AD259), "\$([A-Z]+)\$[0-9]+"))),_xlfn.REGEXEXTRACT(CELL("address",AD259), "\$([A-Z]+)\$[0-9]+"))</f>
        <v/>
      </c>
      <c r="AE259" s="7" t="str" cm="1">
        <f t="array" aca="1" ref="AE259" ca="1">IFERROR(IF(OR('Raw Data'!AE259="",LEN(TRIM('Raw Data'!AE259))=0),"",IF(AND(ISNUMBER('Raw Data'!AE259), IFERROR('Raw Data'!AE259 = ROUND('Raw Data'!AE259, 2),FALSE)),"",_xlfn.REGEXEXTRACT(CELL("address",AE259), "\$([A-Z]+)\$[0-9]+"))),_xlfn.REGEXEXTRACT(CELL("address",AE259), "\$([A-Z]+)\$[0-9]+"))</f>
        <v/>
      </c>
      <c r="AF259" s="7" t="str" cm="1">
        <f t="array" aca="1" ref="AF259" ca="1">IFERROR(IF(OR('Raw Data'!AF259="",LEN(TRIM('Raw Data'!AF259))=0),"",IF(AND(ISNUMBER('Raw Data'!AF259), IFERROR('Raw Data'!AF259 = ROUND('Raw Data'!AF259, 2),FALSE)),"",_xlfn.REGEXEXTRACT(CELL("address",AF259), "\$([A-Z]+)\$[0-9]+"))),_xlfn.REGEXEXTRACT(CELL("address",AF259), "\$([A-Z]+)\$[0-9]+"))</f>
        <v/>
      </c>
      <c r="AG259" s="7" t="str" cm="1">
        <f t="array" aca="1" ref="AG259" ca="1">IFERROR(IF(OR('Raw Data'!AG259="",LEN(TRIM('Raw Data'!AG259))=0),"",IF(AND(ISNUMBER('Raw Data'!AG259), IFERROR('Raw Data'!AG259 = ROUND('Raw Data'!AG259, 2),FALSE)),"",_xlfn.REGEXEXTRACT(CELL("address",AG259), "\$([A-Z]+)\$[0-9]+"))),_xlfn.REGEXEXTRACT(CELL("address",AG259), "\$([A-Z]+)\$[0-9]+"))</f>
        <v/>
      </c>
      <c r="AH259" s="7" t="str" cm="1">
        <f t="array" aca="1" ref="AH259" ca="1">IFERROR(IF(OR('Raw Data'!AH259="",LEN(TRIM('Raw Data'!AH259))=0),"",IF(AND(ISNUMBER('Raw Data'!AH259), IFERROR('Raw Data'!AH259 = ROUND('Raw Data'!AH259, 2),FALSE)),"",_xlfn.REGEXEXTRACT(CELL("address",AH259), "\$([A-Z]+)\$[0-9]+"))),_xlfn.REGEXEXTRACT(CELL("address",AH259), "\$([A-Z]+)\$[0-9]+"))</f>
        <v/>
      </c>
      <c r="AI259" s="7" t="str" cm="1">
        <f t="array" aca="1" ref="AI259" ca="1">IFERROR(IF(OR('Raw Data'!AI259="",LEN(TRIM('Raw Data'!AI259))=0),"",IF(AND(ISNUMBER('Raw Data'!AI259), IFERROR('Raw Data'!AI259 = ROUND('Raw Data'!AI259, 2),FALSE)),"",_xlfn.REGEXEXTRACT(CELL("address",AI259), "\$([A-Z]+)\$[0-9]+"))),_xlfn.REGEXEXTRACT(CELL("address",AI259), "\$([A-Z]+)\$[0-9]+"))</f>
        <v/>
      </c>
      <c r="AJ259" s="7" t="str" cm="1">
        <f t="array" aca="1" ref="AJ259" ca="1">IFERROR(IF(OR('Raw Data'!AJ259="",LEN(TRIM('Raw Data'!AJ259))=0),"",IF(AND(ISNUMBER('Raw Data'!AJ259), IFERROR('Raw Data'!AJ259 = ROUND('Raw Data'!AJ259, 2),FALSE)),"",_xlfn.REGEXEXTRACT(CELL("address",AJ259), "\$([A-Z]+)\$[0-9]+"))),_xlfn.REGEXEXTRACT(CELL("address",AJ259), "\$([A-Z]+)\$[0-9]+"))</f>
        <v/>
      </c>
    </row>
    <row r="260" spans="2:36" x14ac:dyDescent="0.25">
      <c r="B260" s="7" t="str" cm="1">
        <f t="array" aca="1" ref="B260" ca="1">IFERROR(IF(OR('Raw Data'!B260="",LEN(TRIM('Raw Data'!B260))=0),"",IF(AND(LEN('Raw Data'!B260) &lt;= 255,LEN('Raw Data'!B260)&gt; 0),"",_xlfn.REGEXEXTRACT(CELL("address",'Raw Data'!B260),"\$([A-Z]+)\$[0-9]+"))),_xlfn.REGEXEXTRACT(CELL("address",'Raw Data'!B260),"\$([A-Z]+)\$[0-9]+"))</f>
        <v/>
      </c>
      <c r="C260" s="7" t="str" cm="1">
        <f t="array" aca="1" ref="C260" ca="1">IFERROR(IF(OR('Raw Data'!C260="",LEN(TRIM('Raw Data'!C260))=0),"",IF(AND(LEN('Raw Data'!C260) &lt;= 20,LEN('Raw Data'!C260)&gt; 0),"",_xlfn.REGEXEXTRACT(CELL("address",'Raw Data'!C260),"\$([A-Z]+)\$[0-9]+"))),_xlfn.REGEXEXTRACT(CELL("address",'Raw Data'!C260),"\$([A-Z]+)\$[0-9]+"))</f>
        <v/>
      </c>
      <c r="D260" s="7" t="str" cm="1">
        <f t="array" aca="1" ref="D260" ca="1">IFERROR(IF(OR('Raw Data'!D260="",LEN(TRIM('Raw Data'!D260))=0),"",IF(AND(ISNUMBER('Raw Data'!D260),'Raw Data'!D260&gt;=Configuration!$D$2),"",_xlfn.REGEXEXTRACT(CELL("address",'Raw Data'!D260),"\$([A-Z]+)\$[0-9]+"))),_xlfn.REGEXEXTRACT(CELL("address",D260), "\$([A-Z]+)\$[0-9]+"))</f>
        <v/>
      </c>
      <c r="E260" s="7" t="str" cm="1">
        <f t="array" aca="1" ref="E260" ca="1">IFERROR(IF(OR('Raw Data'!E260="",LEN(TRIM('Raw Data'!E260))=0),"",IF(AND(ISNUMBER('Raw Data'!E260), IFERROR('Raw Data'!E260 = ROUND('Raw Data'!E260, 2),FALSE)),"",_xlfn.REGEXEXTRACT(CELL("address",E260), "\$([A-Z]+)\$[0-9]+"))),_xlfn.REGEXEXTRACT(CELL("address",E260), "\$([A-Z]+)\$[0-9]+"))</f>
        <v/>
      </c>
      <c r="F260" s="7" t="str" cm="1">
        <f t="array" aca="1" ref="F260" ca="1">IFERROR(IF(OR('Raw Data'!F260="",LEN(TRIM('Raw Data'!F260))=0),"",IF(AND(ISNUMBER('Raw Data'!F260), IFERROR('Raw Data'!F260 = ROUND('Raw Data'!F260, 2),FALSE)),"",_xlfn.REGEXEXTRACT(CELL("address",F260), "\$([A-Z]+)\$[0-9]+"))),_xlfn.REGEXEXTRACT(CELL("address",F260), "\$([A-Z]+)\$[0-9]+"))</f>
        <v/>
      </c>
      <c r="G260" s="7" t="str" cm="1">
        <f t="array" aca="1" ref="G260" ca="1">IFERROR(IF(OR('Raw Data'!G260="",LEN(TRIM('Raw Data'!G260))=0),"",IF(AND(ISNUMBER('Raw Data'!G260), IFERROR('Raw Data'!G260 = ROUND('Raw Data'!G260, 2),FALSE)),"",_xlfn.REGEXEXTRACT(CELL("address",G260), "\$([A-Z]+)\$[0-9]+"))),_xlfn.REGEXEXTRACT(CELL("address",G260), "\$([A-Z]+)\$[0-9]+"))</f>
        <v/>
      </c>
      <c r="H260" s="7" t="str" cm="1">
        <f t="array" aca="1" ref="H260" ca="1">IFERROR(IF(OR('Raw Data'!H260="",LEN(TRIM('Raw Data'!H260))=0),"",IF(AND(ISNUMBER('Raw Data'!H260), IFERROR('Raw Data'!H260 = ROUND('Raw Data'!H260, 2),FALSE)),"",_xlfn.REGEXEXTRACT(CELL("address",H260), "\$([A-Z]+)\$[0-9]+"))),_xlfn.REGEXEXTRACT(CELL("address",H260), "\$([A-Z]+)\$[0-9]+"))</f>
        <v/>
      </c>
      <c r="I260" s="7" t="str" cm="1">
        <f t="array" aca="1" ref="I260" ca="1">IFERROR(IF(OR('Raw Data'!I260="",LEN(TRIM('Raw Data'!I260))=0),"",IF(AND(ISNUMBER('Raw Data'!I260), IFERROR('Raw Data'!I260 = ROUND('Raw Data'!I260, 2),FALSE)),"",_xlfn.REGEXEXTRACT(CELL("address",I260), "\$([A-Z]+)\$[0-9]+"))),_xlfn.REGEXEXTRACT(CELL("address",I260), "\$([A-Z]+)\$[0-9]+"))</f>
        <v/>
      </c>
      <c r="J260" s="7" t="str" cm="1">
        <f t="array" aca="1" ref="J260" ca="1">IFERROR(IF(OR('Raw Data'!J260="",LEN(TRIM('Raw Data'!J260))=0),"",IF(AND(ISNUMBER('Raw Data'!J260), IFERROR('Raw Data'!J260 = ROUND('Raw Data'!J260, 2),FALSE)),"",_xlfn.REGEXEXTRACT(CELL("address",J260), "\$([A-Z]+)\$[0-9]+"))),_xlfn.REGEXEXTRACT(CELL("address",J260), "\$([A-Z]+)\$[0-9]+"))</f>
        <v/>
      </c>
      <c r="K260" s="7" t="str" cm="1">
        <f t="array" aca="1" ref="K260" ca="1">IFERROR(IF(OR('Raw Data'!K260="",LEN(TRIM('Raw Data'!K260))=0),"",IF(AND(ISNUMBER('Raw Data'!K260), IFERROR('Raw Data'!K260 = ROUND('Raw Data'!K260, 2),FALSE)),"",_xlfn.REGEXEXTRACT(CELL("address",K260), "\$([A-Z]+)\$[0-9]+"))),_xlfn.REGEXEXTRACT(CELL("address",K260), "\$([A-Z]+)\$[0-9]+"))</f>
        <v/>
      </c>
      <c r="L260" s="7" t="str" cm="1">
        <f t="array" aca="1" ref="L260" ca="1">IFERROR(IF(OR('Raw Data'!L260="",LEN(TRIM('Raw Data'!L260))=0),"",IF(AND(ISNUMBER('Raw Data'!L260), IFERROR('Raw Data'!L260 = ROUND('Raw Data'!L260, 2),FALSE)),"",_xlfn.REGEXEXTRACT(CELL("address",L260), "\$([A-Z]+)\$[0-9]+"))),_xlfn.REGEXEXTRACT(CELL("address",L260), "\$([A-Z]+)\$[0-9]+"))</f>
        <v/>
      </c>
      <c r="M260" s="7" t="str" cm="1">
        <f t="array" aca="1" ref="M260" ca="1">IFERROR(IF(OR('Raw Data'!M260="",LEN(TRIM('Raw Data'!M260))=0),"",IF(AND(ISNUMBER('Raw Data'!M260), IFERROR('Raw Data'!M260 = ROUND('Raw Data'!M260, 2),FALSE)),"",_xlfn.REGEXEXTRACT(CELL("address",M260), "\$([A-Z]+)\$[0-9]+"))),_xlfn.REGEXEXTRACT(CELL("address",M260), "\$([A-Z]+)\$[0-9]+"))</f>
        <v/>
      </c>
      <c r="N260" s="7" t="str" cm="1">
        <f t="array" aca="1" ref="N260" ca="1">IFERROR(IF(OR('Raw Data'!N260="",LEN(TRIM('Raw Data'!N260))=0),"",IF(AND(ISNUMBER('Raw Data'!N260), IFERROR('Raw Data'!N260 = ROUND('Raw Data'!N260, 2),FALSE)),"",_xlfn.REGEXEXTRACT(CELL("address",N260), "\$([A-Z]+)\$[0-9]+"))),_xlfn.REGEXEXTRACT(CELL("address",N260), "\$([A-Z]+)\$[0-9]+"))</f>
        <v/>
      </c>
      <c r="O260" s="7" t="str" cm="1">
        <f t="array" aca="1" ref="O260" ca="1">IFERROR(IF(OR('Raw Data'!O260="",LEN(TRIM('Raw Data'!O260))=0),"",IF(AND(ISNUMBER('Raw Data'!O260), IFERROR('Raw Data'!O260 = ROUND('Raw Data'!O260, 2),FALSE)),"",_xlfn.REGEXEXTRACT(CELL("address",O260), "\$([A-Z]+)\$[0-9]+"))),_xlfn.REGEXEXTRACT(CELL("address",O260), "\$([A-Z]+)\$[0-9]+"))</f>
        <v/>
      </c>
      <c r="P260" s="7" t="str" cm="1">
        <f t="array" aca="1" ref="P260" ca="1">IFERROR(IF(OR('Raw Data'!P260="",LEN(TRIM('Raw Data'!P260))=0),"",IF(AND(ISNUMBER('Raw Data'!P260), IFERROR('Raw Data'!P260 = ROUND('Raw Data'!P260, 2),FALSE)),"",_xlfn.REGEXEXTRACT(CELL("address",P260), "\$([A-Z]+)\$[0-9]+"))),_xlfn.REGEXEXTRACT(CELL("address",P260), "\$([A-Z]+)\$[0-9]+"))</f>
        <v/>
      </c>
      <c r="Q260" s="7" t="str" cm="1">
        <f t="array" aca="1" ref="Q260" ca="1">IFERROR(IF(OR('Raw Data'!Q260="",LEN(TRIM('Raw Data'!Q260))=0),"",IF(AND(ISNUMBER('Raw Data'!Q260), IFERROR('Raw Data'!Q260 = ROUND('Raw Data'!Q260, 2),FALSE)),"",_xlfn.REGEXEXTRACT(CELL("address",Q260), "\$([A-Z]+)\$[0-9]+"))),_xlfn.REGEXEXTRACT(CELL("address",Q260), "\$([A-Z]+)\$[0-9]+"))</f>
        <v/>
      </c>
      <c r="R260" s="7" t="str" cm="1">
        <f t="array" aca="1" ref="R260" ca="1">IFERROR(IF(OR('Raw Data'!R260="",LEN(TRIM('Raw Data'!R260))=0),"",IF(AND(ISNUMBER('Raw Data'!R260), IFERROR('Raw Data'!R260 = ROUND('Raw Data'!R260, 2),FALSE)),"",_xlfn.REGEXEXTRACT(CELL("address",R260), "\$([A-Z]+)\$[0-9]+"))),_xlfn.REGEXEXTRACT(CELL("address",R260), "\$([A-Z]+)\$[0-9]+"))</f>
        <v/>
      </c>
      <c r="S260" s="7" t="str" cm="1">
        <f t="array" aca="1" ref="S260" ca="1">IFERROR(IF(OR('Raw Data'!S260="",LEN(TRIM('Raw Data'!S260))=0),"",IF(AND(ISNUMBER('Raw Data'!S260), IFERROR('Raw Data'!S260 = ROUND('Raw Data'!S260, 2),FALSE)),"",_xlfn.REGEXEXTRACT(CELL("address",S260), "\$([A-Z]+)\$[0-9]+"))),_xlfn.REGEXEXTRACT(CELL("address",S260), "\$([A-Z]+)\$[0-9]+"))</f>
        <v/>
      </c>
      <c r="T260" s="7" t="str" cm="1">
        <f t="array" aca="1" ref="T260" ca="1">IFERROR(IF(OR('Raw Data'!T260="",LEN(TRIM('Raw Data'!T260))=0),"",IF(AND(ISNUMBER('Raw Data'!T260), IFERROR('Raw Data'!T260 = ROUND('Raw Data'!T260, 2),FALSE)),"",_xlfn.REGEXEXTRACT(CELL("address",T260), "\$([A-Z]+)\$[0-9]+"))),_xlfn.REGEXEXTRACT(CELL("address",T260), "\$([A-Z]+)\$[0-9]+"))</f>
        <v/>
      </c>
      <c r="U260" s="7" t="str" cm="1">
        <f t="array" aca="1" ref="U260" ca="1">IFERROR(IF(OR('Raw Data'!U260="",LEN(TRIM('Raw Data'!U260))=0),"",IF(AND(ISNUMBER('Raw Data'!U260), IFERROR('Raw Data'!U260 = ROUND('Raw Data'!U260, 2),FALSE)),"",_xlfn.REGEXEXTRACT(CELL("address",U260), "\$([A-Z]+)\$[0-9]+"))),_xlfn.REGEXEXTRACT(CELL("address",U260), "\$([A-Z]+)\$[0-9]+"))</f>
        <v/>
      </c>
      <c r="V260" s="7" t="str" cm="1">
        <f t="array" aca="1" ref="V260" ca="1">IFERROR(IF(OR('Raw Data'!V260="",LEN(TRIM('Raw Data'!V260))=0),"",IF(AND(ISNUMBER('Raw Data'!V260), IFERROR('Raw Data'!V260 = ROUND('Raw Data'!V260, 2),FALSE)),"",_xlfn.REGEXEXTRACT(CELL("address",V260), "\$([A-Z]+)\$[0-9]+"))),_xlfn.REGEXEXTRACT(CELL("address",V260), "\$([A-Z]+)\$[0-9]+"))</f>
        <v/>
      </c>
      <c r="W260" s="7" t="str" cm="1">
        <f t="array" aca="1" ref="W260" ca="1">IFERROR(IF(OR('Raw Data'!W260="",LEN(TRIM('Raw Data'!W260))=0),"",IF(AND(ISNUMBER('Raw Data'!W260), IFERROR('Raw Data'!W260 = ROUND('Raw Data'!W260, 2),FALSE)),"",_xlfn.REGEXEXTRACT(CELL("address",W260), "\$([A-Z]+)\$[0-9]+"))),_xlfn.REGEXEXTRACT(CELL("address",W260), "\$([A-Z]+)\$[0-9]+"))</f>
        <v/>
      </c>
      <c r="X260" s="7" t="str" cm="1">
        <f t="array" aca="1" ref="X260" ca="1">IFERROR(IF(OR('Raw Data'!X260="",LEN(TRIM('Raw Data'!X260))=0),"",IF(AND(ISNUMBER('Raw Data'!X260), IFERROR('Raw Data'!X260 = ROUND('Raw Data'!X260, 2),FALSE)),"",_xlfn.REGEXEXTRACT(CELL("address",X260), "\$([A-Z]+)\$[0-9]+"))),_xlfn.REGEXEXTRACT(CELL("address",X260), "\$([A-Z]+)\$[0-9]+"))</f>
        <v/>
      </c>
      <c r="Y260" s="7" t="str" cm="1">
        <f t="array" aca="1" ref="Y260" ca="1">IFERROR(IF(OR('Raw Data'!Y260="",LEN(TRIM('Raw Data'!Y260))=0),"",IF(AND(ISNUMBER('Raw Data'!Y260), IFERROR('Raw Data'!Y260 = ROUND('Raw Data'!Y260, 2),FALSE)),"",_xlfn.REGEXEXTRACT(CELL("address",Y260), "\$([A-Z]+)\$[0-9]+"))),_xlfn.REGEXEXTRACT(CELL("address",Y260), "\$([A-Z]+)\$[0-9]+"))</f>
        <v/>
      </c>
      <c r="Z260" s="7" t="str" cm="1">
        <f t="array" aca="1" ref="Z260" ca="1">IFERROR(IF(OR('Raw Data'!Z260="",LEN(TRIM('Raw Data'!Z260))=0),"",IF(AND(ISNUMBER('Raw Data'!Z260), IFERROR('Raw Data'!Z260 = ROUND('Raw Data'!Z260, 2),FALSE)),"",_xlfn.REGEXEXTRACT(CELL("address",Z260), "\$([A-Z]+)\$[0-9]+"))),_xlfn.REGEXEXTRACT(CELL("address",Z260), "\$([A-Z]+)\$[0-9]+"))</f>
        <v/>
      </c>
      <c r="AA260" s="7" t="str" cm="1">
        <f t="array" aca="1" ref="AA260" ca="1">IFERROR(IF(OR('Raw Data'!AA260="",LEN(TRIM('Raw Data'!AA260))=0),"",IF(AND(ISNUMBER('Raw Data'!AA260), IFERROR('Raw Data'!AA260 = ROUND('Raw Data'!AA260, 2),FALSE)),"",_xlfn.REGEXEXTRACT(CELL("address",AA260), "\$([A-Z]+)\$[0-9]+"))),_xlfn.REGEXEXTRACT(CELL("address",AA260), "\$([A-Z]+)\$[0-9]+"))</f>
        <v/>
      </c>
      <c r="AB260" s="7" t="str" cm="1">
        <f t="array" aca="1" ref="AB260" ca="1">IFERROR(IF(OR('Raw Data'!AB260="",LEN(TRIM('Raw Data'!AB260))=0),"",IF(AND(ISNUMBER('Raw Data'!AB260), IFERROR('Raw Data'!AB260 = ROUND('Raw Data'!AB260, 2),FALSE)),"",_xlfn.REGEXEXTRACT(CELL("address",AB260), "\$([A-Z]+)\$[0-9]+"))),_xlfn.REGEXEXTRACT(CELL("address",AB260), "\$([A-Z]+)\$[0-9]+"))</f>
        <v/>
      </c>
      <c r="AC260" s="7" t="str" cm="1">
        <f t="array" aca="1" ref="AC260" ca="1">IFERROR(IF(OR('Raw Data'!AC260="",LEN(TRIM('Raw Data'!AC260))=0),"",IF(AND(ISNUMBER('Raw Data'!AC260), IFERROR('Raw Data'!AC260 = ROUND('Raw Data'!AC260, 2),FALSE)),"",_xlfn.REGEXEXTRACT(CELL("address",AC260), "\$([A-Z]+)\$[0-9]+"))),_xlfn.REGEXEXTRACT(CELL("address",AC260), "\$([A-Z]+)\$[0-9]+"))</f>
        <v/>
      </c>
      <c r="AD260" s="7" t="str" cm="1">
        <f t="array" aca="1" ref="AD260" ca="1">IFERROR(IF(OR('Raw Data'!AD260="",LEN(TRIM('Raw Data'!AD260))=0),"",IF(AND(ISNUMBER('Raw Data'!AD260), IFERROR('Raw Data'!AD260 = ROUND('Raw Data'!AD260, 2),FALSE)),"",_xlfn.REGEXEXTRACT(CELL("address",AD260), "\$([A-Z]+)\$[0-9]+"))),_xlfn.REGEXEXTRACT(CELL("address",AD260), "\$([A-Z]+)\$[0-9]+"))</f>
        <v/>
      </c>
      <c r="AE260" s="7" t="str" cm="1">
        <f t="array" aca="1" ref="AE260" ca="1">IFERROR(IF(OR('Raw Data'!AE260="",LEN(TRIM('Raw Data'!AE260))=0),"",IF(AND(ISNUMBER('Raw Data'!AE260), IFERROR('Raw Data'!AE260 = ROUND('Raw Data'!AE260, 2),FALSE)),"",_xlfn.REGEXEXTRACT(CELL("address",AE260), "\$([A-Z]+)\$[0-9]+"))),_xlfn.REGEXEXTRACT(CELL("address",AE260), "\$([A-Z]+)\$[0-9]+"))</f>
        <v/>
      </c>
      <c r="AF260" s="7" t="str" cm="1">
        <f t="array" aca="1" ref="AF260" ca="1">IFERROR(IF(OR('Raw Data'!AF260="",LEN(TRIM('Raw Data'!AF260))=0),"",IF(AND(ISNUMBER('Raw Data'!AF260), IFERROR('Raw Data'!AF260 = ROUND('Raw Data'!AF260, 2),FALSE)),"",_xlfn.REGEXEXTRACT(CELL("address",AF260), "\$([A-Z]+)\$[0-9]+"))),_xlfn.REGEXEXTRACT(CELL("address",AF260), "\$([A-Z]+)\$[0-9]+"))</f>
        <v/>
      </c>
      <c r="AG260" s="7" t="str" cm="1">
        <f t="array" aca="1" ref="AG260" ca="1">IFERROR(IF(OR('Raw Data'!AG260="",LEN(TRIM('Raw Data'!AG260))=0),"",IF(AND(ISNUMBER('Raw Data'!AG260), IFERROR('Raw Data'!AG260 = ROUND('Raw Data'!AG260, 2),FALSE)),"",_xlfn.REGEXEXTRACT(CELL("address",AG260), "\$([A-Z]+)\$[0-9]+"))),_xlfn.REGEXEXTRACT(CELL("address",AG260), "\$([A-Z]+)\$[0-9]+"))</f>
        <v/>
      </c>
      <c r="AH260" s="7" t="str" cm="1">
        <f t="array" aca="1" ref="AH260" ca="1">IFERROR(IF(OR('Raw Data'!AH260="",LEN(TRIM('Raw Data'!AH260))=0),"",IF(AND(ISNUMBER('Raw Data'!AH260), IFERROR('Raw Data'!AH260 = ROUND('Raw Data'!AH260, 2),FALSE)),"",_xlfn.REGEXEXTRACT(CELL("address",AH260), "\$([A-Z]+)\$[0-9]+"))),_xlfn.REGEXEXTRACT(CELL("address",AH260), "\$([A-Z]+)\$[0-9]+"))</f>
        <v/>
      </c>
      <c r="AI260" s="7" t="str" cm="1">
        <f t="array" aca="1" ref="AI260" ca="1">IFERROR(IF(OR('Raw Data'!AI260="",LEN(TRIM('Raw Data'!AI260))=0),"",IF(AND(ISNUMBER('Raw Data'!AI260), IFERROR('Raw Data'!AI260 = ROUND('Raw Data'!AI260, 2),FALSE)),"",_xlfn.REGEXEXTRACT(CELL("address",AI260), "\$([A-Z]+)\$[0-9]+"))),_xlfn.REGEXEXTRACT(CELL("address",AI260), "\$([A-Z]+)\$[0-9]+"))</f>
        <v/>
      </c>
      <c r="AJ260" s="7" t="str" cm="1">
        <f t="array" aca="1" ref="AJ260" ca="1">IFERROR(IF(OR('Raw Data'!AJ260="",LEN(TRIM('Raw Data'!AJ260))=0),"",IF(AND(ISNUMBER('Raw Data'!AJ260), IFERROR('Raw Data'!AJ260 = ROUND('Raw Data'!AJ260, 2),FALSE)),"",_xlfn.REGEXEXTRACT(CELL("address",AJ260), "\$([A-Z]+)\$[0-9]+"))),_xlfn.REGEXEXTRACT(CELL("address",AJ260), "\$([A-Z]+)\$[0-9]+"))</f>
        <v/>
      </c>
    </row>
    <row r="261" spans="2:36" x14ac:dyDescent="0.25">
      <c r="B261" s="7" t="str" cm="1">
        <f t="array" aca="1" ref="B261" ca="1">IFERROR(IF(OR('Raw Data'!B261="",LEN(TRIM('Raw Data'!B261))=0),"",IF(AND(LEN('Raw Data'!B261) &lt;= 255,LEN('Raw Data'!B261)&gt; 0),"",_xlfn.REGEXEXTRACT(CELL("address",'Raw Data'!B261),"\$([A-Z]+)\$[0-9]+"))),_xlfn.REGEXEXTRACT(CELL("address",'Raw Data'!B261),"\$([A-Z]+)\$[0-9]+"))</f>
        <v/>
      </c>
      <c r="C261" s="7" t="str" cm="1">
        <f t="array" aca="1" ref="C261" ca="1">IFERROR(IF(OR('Raw Data'!C261="",LEN(TRIM('Raw Data'!C261))=0),"",IF(AND(LEN('Raw Data'!C261) &lt;= 20,LEN('Raw Data'!C261)&gt; 0),"",_xlfn.REGEXEXTRACT(CELL("address",'Raw Data'!C261),"\$([A-Z]+)\$[0-9]+"))),_xlfn.REGEXEXTRACT(CELL("address",'Raw Data'!C261),"\$([A-Z]+)\$[0-9]+"))</f>
        <v/>
      </c>
      <c r="D261" s="7" t="str" cm="1">
        <f t="array" aca="1" ref="D261" ca="1">IFERROR(IF(OR('Raw Data'!D261="",LEN(TRIM('Raw Data'!D261))=0),"",IF(AND(ISNUMBER('Raw Data'!D261),'Raw Data'!D261&gt;=Configuration!$D$2),"",_xlfn.REGEXEXTRACT(CELL("address",'Raw Data'!D261),"\$([A-Z]+)\$[0-9]+"))),_xlfn.REGEXEXTRACT(CELL("address",D261), "\$([A-Z]+)\$[0-9]+"))</f>
        <v/>
      </c>
      <c r="E261" s="7" t="str" cm="1">
        <f t="array" aca="1" ref="E261" ca="1">IFERROR(IF(OR('Raw Data'!E261="",LEN(TRIM('Raw Data'!E261))=0),"",IF(AND(ISNUMBER('Raw Data'!E261), IFERROR('Raw Data'!E261 = ROUND('Raw Data'!E261, 2),FALSE)),"",_xlfn.REGEXEXTRACT(CELL("address",E261), "\$([A-Z]+)\$[0-9]+"))),_xlfn.REGEXEXTRACT(CELL("address",E261), "\$([A-Z]+)\$[0-9]+"))</f>
        <v/>
      </c>
      <c r="F261" s="7" t="str" cm="1">
        <f t="array" aca="1" ref="F261" ca="1">IFERROR(IF(OR('Raw Data'!F261="",LEN(TRIM('Raw Data'!F261))=0),"",IF(AND(ISNUMBER('Raw Data'!F261), IFERROR('Raw Data'!F261 = ROUND('Raw Data'!F261, 2),FALSE)),"",_xlfn.REGEXEXTRACT(CELL("address",F261), "\$([A-Z]+)\$[0-9]+"))),_xlfn.REGEXEXTRACT(CELL("address",F261), "\$([A-Z]+)\$[0-9]+"))</f>
        <v/>
      </c>
      <c r="G261" s="7" t="str" cm="1">
        <f t="array" aca="1" ref="G261" ca="1">IFERROR(IF(OR('Raw Data'!G261="",LEN(TRIM('Raw Data'!G261))=0),"",IF(AND(ISNUMBER('Raw Data'!G261), IFERROR('Raw Data'!G261 = ROUND('Raw Data'!G261, 2),FALSE)),"",_xlfn.REGEXEXTRACT(CELL("address",G261), "\$([A-Z]+)\$[0-9]+"))),_xlfn.REGEXEXTRACT(CELL("address",G261), "\$([A-Z]+)\$[0-9]+"))</f>
        <v/>
      </c>
      <c r="H261" s="7" t="str" cm="1">
        <f t="array" aca="1" ref="H261" ca="1">IFERROR(IF(OR('Raw Data'!H261="",LEN(TRIM('Raw Data'!H261))=0),"",IF(AND(ISNUMBER('Raw Data'!H261), IFERROR('Raw Data'!H261 = ROUND('Raw Data'!H261, 2),FALSE)),"",_xlfn.REGEXEXTRACT(CELL("address",H261), "\$([A-Z]+)\$[0-9]+"))),_xlfn.REGEXEXTRACT(CELL("address",H261), "\$([A-Z]+)\$[0-9]+"))</f>
        <v/>
      </c>
      <c r="I261" s="7" t="str" cm="1">
        <f t="array" aca="1" ref="I261" ca="1">IFERROR(IF(OR('Raw Data'!I261="",LEN(TRIM('Raw Data'!I261))=0),"",IF(AND(ISNUMBER('Raw Data'!I261), IFERROR('Raw Data'!I261 = ROUND('Raw Data'!I261, 2),FALSE)),"",_xlfn.REGEXEXTRACT(CELL("address",I261), "\$([A-Z]+)\$[0-9]+"))),_xlfn.REGEXEXTRACT(CELL("address",I261), "\$([A-Z]+)\$[0-9]+"))</f>
        <v/>
      </c>
      <c r="J261" s="7" t="str" cm="1">
        <f t="array" aca="1" ref="J261" ca="1">IFERROR(IF(OR('Raw Data'!J261="",LEN(TRIM('Raw Data'!J261))=0),"",IF(AND(ISNUMBER('Raw Data'!J261), IFERROR('Raw Data'!J261 = ROUND('Raw Data'!J261, 2),FALSE)),"",_xlfn.REGEXEXTRACT(CELL("address",J261), "\$([A-Z]+)\$[0-9]+"))),_xlfn.REGEXEXTRACT(CELL("address",J261), "\$([A-Z]+)\$[0-9]+"))</f>
        <v/>
      </c>
      <c r="K261" s="7" t="str" cm="1">
        <f t="array" aca="1" ref="K261" ca="1">IFERROR(IF(OR('Raw Data'!K261="",LEN(TRIM('Raw Data'!K261))=0),"",IF(AND(ISNUMBER('Raw Data'!K261), IFERROR('Raw Data'!K261 = ROUND('Raw Data'!K261, 2),FALSE)),"",_xlfn.REGEXEXTRACT(CELL("address",K261), "\$([A-Z]+)\$[0-9]+"))),_xlfn.REGEXEXTRACT(CELL("address",K261), "\$([A-Z]+)\$[0-9]+"))</f>
        <v/>
      </c>
      <c r="L261" s="7" t="str" cm="1">
        <f t="array" aca="1" ref="L261" ca="1">IFERROR(IF(OR('Raw Data'!L261="",LEN(TRIM('Raw Data'!L261))=0),"",IF(AND(ISNUMBER('Raw Data'!L261), IFERROR('Raw Data'!L261 = ROUND('Raw Data'!L261, 2),FALSE)),"",_xlfn.REGEXEXTRACT(CELL("address",L261), "\$([A-Z]+)\$[0-9]+"))),_xlfn.REGEXEXTRACT(CELL("address",L261), "\$([A-Z]+)\$[0-9]+"))</f>
        <v/>
      </c>
      <c r="M261" s="7" t="str" cm="1">
        <f t="array" aca="1" ref="M261" ca="1">IFERROR(IF(OR('Raw Data'!M261="",LEN(TRIM('Raw Data'!M261))=0),"",IF(AND(ISNUMBER('Raw Data'!M261), IFERROR('Raw Data'!M261 = ROUND('Raw Data'!M261, 2),FALSE)),"",_xlfn.REGEXEXTRACT(CELL("address",M261), "\$([A-Z]+)\$[0-9]+"))),_xlfn.REGEXEXTRACT(CELL("address",M261), "\$([A-Z]+)\$[0-9]+"))</f>
        <v/>
      </c>
      <c r="N261" s="7" t="str" cm="1">
        <f t="array" aca="1" ref="N261" ca="1">IFERROR(IF(OR('Raw Data'!N261="",LEN(TRIM('Raw Data'!N261))=0),"",IF(AND(ISNUMBER('Raw Data'!N261), IFERROR('Raw Data'!N261 = ROUND('Raw Data'!N261, 2),FALSE)),"",_xlfn.REGEXEXTRACT(CELL("address",N261), "\$([A-Z]+)\$[0-9]+"))),_xlfn.REGEXEXTRACT(CELL("address",N261), "\$([A-Z]+)\$[0-9]+"))</f>
        <v/>
      </c>
      <c r="O261" s="7" t="str" cm="1">
        <f t="array" aca="1" ref="O261" ca="1">IFERROR(IF(OR('Raw Data'!O261="",LEN(TRIM('Raw Data'!O261))=0),"",IF(AND(ISNUMBER('Raw Data'!O261), IFERROR('Raw Data'!O261 = ROUND('Raw Data'!O261, 2),FALSE)),"",_xlfn.REGEXEXTRACT(CELL("address",O261), "\$([A-Z]+)\$[0-9]+"))),_xlfn.REGEXEXTRACT(CELL("address",O261), "\$([A-Z]+)\$[0-9]+"))</f>
        <v/>
      </c>
      <c r="P261" s="7" t="str" cm="1">
        <f t="array" aca="1" ref="P261" ca="1">IFERROR(IF(OR('Raw Data'!P261="",LEN(TRIM('Raw Data'!P261))=0),"",IF(AND(ISNUMBER('Raw Data'!P261), IFERROR('Raw Data'!P261 = ROUND('Raw Data'!P261, 2),FALSE)),"",_xlfn.REGEXEXTRACT(CELL("address",P261), "\$([A-Z]+)\$[0-9]+"))),_xlfn.REGEXEXTRACT(CELL("address",P261), "\$([A-Z]+)\$[0-9]+"))</f>
        <v/>
      </c>
      <c r="Q261" s="7" t="str" cm="1">
        <f t="array" aca="1" ref="Q261" ca="1">IFERROR(IF(OR('Raw Data'!Q261="",LEN(TRIM('Raw Data'!Q261))=0),"",IF(AND(ISNUMBER('Raw Data'!Q261), IFERROR('Raw Data'!Q261 = ROUND('Raw Data'!Q261, 2),FALSE)),"",_xlfn.REGEXEXTRACT(CELL("address",Q261), "\$([A-Z]+)\$[0-9]+"))),_xlfn.REGEXEXTRACT(CELL("address",Q261), "\$([A-Z]+)\$[0-9]+"))</f>
        <v/>
      </c>
      <c r="R261" s="7" t="str" cm="1">
        <f t="array" aca="1" ref="R261" ca="1">IFERROR(IF(OR('Raw Data'!R261="",LEN(TRIM('Raw Data'!R261))=0),"",IF(AND(ISNUMBER('Raw Data'!R261), IFERROR('Raw Data'!R261 = ROUND('Raw Data'!R261, 2),FALSE)),"",_xlfn.REGEXEXTRACT(CELL("address",R261), "\$([A-Z]+)\$[0-9]+"))),_xlfn.REGEXEXTRACT(CELL("address",R261), "\$([A-Z]+)\$[0-9]+"))</f>
        <v/>
      </c>
      <c r="S261" s="7" t="str" cm="1">
        <f t="array" aca="1" ref="S261" ca="1">IFERROR(IF(OR('Raw Data'!S261="",LEN(TRIM('Raw Data'!S261))=0),"",IF(AND(ISNUMBER('Raw Data'!S261), IFERROR('Raw Data'!S261 = ROUND('Raw Data'!S261, 2),FALSE)),"",_xlfn.REGEXEXTRACT(CELL("address",S261), "\$([A-Z]+)\$[0-9]+"))),_xlfn.REGEXEXTRACT(CELL("address",S261), "\$([A-Z]+)\$[0-9]+"))</f>
        <v/>
      </c>
      <c r="T261" s="7" t="str" cm="1">
        <f t="array" aca="1" ref="T261" ca="1">IFERROR(IF(OR('Raw Data'!T261="",LEN(TRIM('Raw Data'!T261))=0),"",IF(AND(ISNUMBER('Raw Data'!T261), IFERROR('Raw Data'!T261 = ROUND('Raw Data'!T261, 2),FALSE)),"",_xlfn.REGEXEXTRACT(CELL("address",T261), "\$([A-Z]+)\$[0-9]+"))),_xlfn.REGEXEXTRACT(CELL("address",T261), "\$([A-Z]+)\$[0-9]+"))</f>
        <v/>
      </c>
      <c r="U261" s="7" t="str" cm="1">
        <f t="array" aca="1" ref="U261" ca="1">IFERROR(IF(OR('Raw Data'!U261="",LEN(TRIM('Raw Data'!U261))=0),"",IF(AND(ISNUMBER('Raw Data'!U261), IFERROR('Raw Data'!U261 = ROUND('Raw Data'!U261, 2),FALSE)),"",_xlfn.REGEXEXTRACT(CELL("address",U261), "\$([A-Z]+)\$[0-9]+"))),_xlfn.REGEXEXTRACT(CELL("address",U261), "\$([A-Z]+)\$[0-9]+"))</f>
        <v/>
      </c>
      <c r="V261" s="7" t="str" cm="1">
        <f t="array" aca="1" ref="V261" ca="1">IFERROR(IF(OR('Raw Data'!V261="",LEN(TRIM('Raw Data'!V261))=0),"",IF(AND(ISNUMBER('Raw Data'!V261), IFERROR('Raw Data'!V261 = ROUND('Raw Data'!V261, 2),FALSE)),"",_xlfn.REGEXEXTRACT(CELL("address",V261), "\$([A-Z]+)\$[0-9]+"))),_xlfn.REGEXEXTRACT(CELL("address",V261), "\$([A-Z]+)\$[0-9]+"))</f>
        <v/>
      </c>
      <c r="W261" s="7" t="str" cm="1">
        <f t="array" aca="1" ref="W261" ca="1">IFERROR(IF(OR('Raw Data'!W261="",LEN(TRIM('Raw Data'!W261))=0),"",IF(AND(ISNUMBER('Raw Data'!W261), IFERROR('Raw Data'!W261 = ROUND('Raw Data'!W261, 2),FALSE)),"",_xlfn.REGEXEXTRACT(CELL("address",W261), "\$([A-Z]+)\$[0-9]+"))),_xlfn.REGEXEXTRACT(CELL("address",W261), "\$([A-Z]+)\$[0-9]+"))</f>
        <v/>
      </c>
      <c r="X261" s="7" t="str" cm="1">
        <f t="array" aca="1" ref="X261" ca="1">IFERROR(IF(OR('Raw Data'!X261="",LEN(TRIM('Raw Data'!X261))=0),"",IF(AND(ISNUMBER('Raw Data'!X261), IFERROR('Raw Data'!X261 = ROUND('Raw Data'!X261, 2),FALSE)),"",_xlfn.REGEXEXTRACT(CELL("address",X261), "\$([A-Z]+)\$[0-9]+"))),_xlfn.REGEXEXTRACT(CELL("address",X261), "\$([A-Z]+)\$[0-9]+"))</f>
        <v/>
      </c>
      <c r="Y261" s="7" t="str" cm="1">
        <f t="array" aca="1" ref="Y261" ca="1">IFERROR(IF(OR('Raw Data'!Y261="",LEN(TRIM('Raw Data'!Y261))=0),"",IF(AND(ISNUMBER('Raw Data'!Y261), IFERROR('Raw Data'!Y261 = ROUND('Raw Data'!Y261, 2),FALSE)),"",_xlfn.REGEXEXTRACT(CELL("address",Y261), "\$([A-Z]+)\$[0-9]+"))),_xlfn.REGEXEXTRACT(CELL("address",Y261), "\$([A-Z]+)\$[0-9]+"))</f>
        <v/>
      </c>
      <c r="Z261" s="7" t="str" cm="1">
        <f t="array" aca="1" ref="Z261" ca="1">IFERROR(IF(OR('Raw Data'!Z261="",LEN(TRIM('Raw Data'!Z261))=0),"",IF(AND(ISNUMBER('Raw Data'!Z261), IFERROR('Raw Data'!Z261 = ROUND('Raw Data'!Z261, 2),FALSE)),"",_xlfn.REGEXEXTRACT(CELL("address",Z261), "\$([A-Z]+)\$[0-9]+"))),_xlfn.REGEXEXTRACT(CELL("address",Z261), "\$([A-Z]+)\$[0-9]+"))</f>
        <v/>
      </c>
      <c r="AA261" s="7" t="str" cm="1">
        <f t="array" aca="1" ref="AA261" ca="1">IFERROR(IF(OR('Raw Data'!AA261="",LEN(TRIM('Raw Data'!AA261))=0),"",IF(AND(ISNUMBER('Raw Data'!AA261), IFERROR('Raw Data'!AA261 = ROUND('Raw Data'!AA261, 2),FALSE)),"",_xlfn.REGEXEXTRACT(CELL("address",AA261), "\$([A-Z]+)\$[0-9]+"))),_xlfn.REGEXEXTRACT(CELL("address",AA261), "\$([A-Z]+)\$[0-9]+"))</f>
        <v/>
      </c>
      <c r="AB261" s="7" t="str" cm="1">
        <f t="array" aca="1" ref="AB261" ca="1">IFERROR(IF(OR('Raw Data'!AB261="",LEN(TRIM('Raw Data'!AB261))=0),"",IF(AND(ISNUMBER('Raw Data'!AB261), IFERROR('Raw Data'!AB261 = ROUND('Raw Data'!AB261, 2),FALSE)),"",_xlfn.REGEXEXTRACT(CELL("address",AB261), "\$([A-Z]+)\$[0-9]+"))),_xlfn.REGEXEXTRACT(CELL("address",AB261), "\$([A-Z]+)\$[0-9]+"))</f>
        <v/>
      </c>
      <c r="AC261" s="7" t="str" cm="1">
        <f t="array" aca="1" ref="AC261" ca="1">IFERROR(IF(OR('Raw Data'!AC261="",LEN(TRIM('Raw Data'!AC261))=0),"",IF(AND(ISNUMBER('Raw Data'!AC261), IFERROR('Raw Data'!AC261 = ROUND('Raw Data'!AC261, 2),FALSE)),"",_xlfn.REGEXEXTRACT(CELL("address",AC261), "\$([A-Z]+)\$[0-9]+"))),_xlfn.REGEXEXTRACT(CELL("address",AC261), "\$([A-Z]+)\$[0-9]+"))</f>
        <v/>
      </c>
      <c r="AD261" s="7" t="str" cm="1">
        <f t="array" aca="1" ref="AD261" ca="1">IFERROR(IF(OR('Raw Data'!AD261="",LEN(TRIM('Raw Data'!AD261))=0),"",IF(AND(ISNUMBER('Raw Data'!AD261), IFERROR('Raw Data'!AD261 = ROUND('Raw Data'!AD261, 2),FALSE)),"",_xlfn.REGEXEXTRACT(CELL("address",AD261), "\$([A-Z]+)\$[0-9]+"))),_xlfn.REGEXEXTRACT(CELL("address",AD261), "\$([A-Z]+)\$[0-9]+"))</f>
        <v/>
      </c>
      <c r="AE261" s="7" t="str" cm="1">
        <f t="array" aca="1" ref="AE261" ca="1">IFERROR(IF(OR('Raw Data'!AE261="",LEN(TRIM('Raw Data'!AE261))=0),"",IF(AND(ISNUMBER('Raw Data'!AE261), IFERROR('Raw Data'!AE261 = ROUND('Raw Data'!AE261, 2),FALSE)),"",_xlfn.REGEXEXTRACT(CELL("address",AE261), "\$([A-Z]+)\$[0-9]+"))),_xlfn.REGEXEXTRACT(CELL("address",AE261), "\$([A-Z]+)\$[0-9]+"))</f>
        <v/>
      </c>
      <c r="AF261" s="7" t="str" cm="1">
        <f t="array" aca="1" ref="AF261" ca="1">IFERROR(IF(OR('Raw Data'!AF261="",LEN(TRIM('Raw Data'!AF261))=0),"",IF(AND(ISNUMBER('Raw Data'!AF261), IFERROR('Raw Data'!AF261 = ROUND('Raw Data'!AF261, 2),FALSE)),"",_xlfn.REGEXEXTRACT(CELL("address",AF261), "\$([A-Z]+)\$[0-9]+"))),_xlfn.REGEXEXTRACT(CELL("address",AF261), "\$([A-Z]+)\$[0-9]+"))</f>
        <v/>
      </c>
      <c r="AG261" s="7" t="str" cm="1">
        <f t="array" aca="1" ref="AG261" ca="1">IFERROR(IF(OR('Raw Data'!AG261="",LEN(TRIM('Raw Data'!AG261))=0),"",IF(AND(ISNUMBER('Raw Data'!AG261), IFERROR('Raw Data'!AG261 = ROUND('Raw Data'!AG261, 2),FALSE)),"",_xlfn.REGEXEXTRACT(CELL("address",AG261), "\$([A-Z]+)\$[0-9]+"))),_xlfn.REGEXEXTRACT(CELL("address",AG261), "\$([A-Z]+)\$[0-9]+"))</f>
        <v/>
      </c>
      <c r="AH261" s="7" t="str" cm="1">
        <f t="array" aca="1" ref="AH261" ca="1">IFERROR(IF(OR('Raw Data'!AH261="",LEN(TRIM('Raw Data'!AH261))=0),"",IF(AND(ISNUMBER('Raw Data'!AH261), IFERROR('Raw Data'!AH261 = ROUND('Raw Data'!AH261, 2),FALSE)),"",_xlfn.REGEXEXTRACT(CELL("address",AH261), "\$([A-Z]+)\$[0-9]+"))),_xlfn.REGEXEXTRACT(CELL("address",AH261), "\$([A-Z]+)\$[0-9]+"))</f>
        <v/>
      </c>
      <c r="AI261" s="7" t="str" cm="1">
        <f t="array" aca="1" ref="AI261" ca="1">IFERROR(IF(OR('Raw Data'!AI261="",LEN(TRIM('Raw Data'!AI261))=0),"",IF(AND(ISNUMBER('Raw Data'!AI261), IFERROR('Raw Data'!AI261 = ROUND('Raw Data'!AI261, 2),FALSE)),"",_xlfn.REGEXEXTRACT(CELL("address",AI261), "\$([A-Z]+)\$[0-9]+"))),_xlfn.REGEXEXTRACT(CELL("address",AI261), "\$([A-Z]+)\$[0-9]+"))</f>
        <v/>
      </c>
      <c r="AJ261" s="7" t="str" cm="1">
        <f t="array" aca="1" ref="AJ261" ca="1">IFERROR(IF(OR('Raw Data'!AJ261="",LEN(TRIM('Raw Data'!AJ261))=0),"",IF(AND(ISNUMBER('Raw Data'!AJ261), IFERROR('Raw Data'!AJ261 = ROUND('Raw Data'!AJ261, 2),FALSE)),"",_xlfn.REGEXEXTRACT(CELL("address",AJ261), "\$([A-Z]+)\$[0-9]+"))),_xlfn.REGEXEXTRACT(CELL("address",AJ261), "\$([A-Z]+)\$[0-9]+"))</f>
        <v/>
      </c>
    </row>
    <row r="262" spans="2:36" x14ac:dyDescent="0.25">
      <c r="B262" s="7" t="str" cm="1">
        <f t="array" aca="1" ref="B262" ca="1">IFERROR(IF(OR('Raw Data'!B262="",LEN(TRIM('Raw Data'!B262))=0),"",IF(AND(LEN('Raw Data'!B262) &lt;= 255,LEN('Raw Data'!B262)&gt; 0),"",_xlfn.REGEXEXTRACT(CELL("address",'Raw Data'!B262),"\$([A-Z]+)\$[0-9]+"))),_xlfn.REGEXEXTRACT(CELL("address",'Raw Data'!B262),"\$([A-Z]+)\$[0-9]+"))</f>
        <v/>
      </c>
      <c r="C262" s="7" t="str" cm="1">
        <f t="array" aca="1" ref="C262" ca="1">IFERROR(IF(OR('Raw Data'!C262="",LEN(TRIM('Raw Data'!C262))=0),"",IF(AND(LEN('Raw Data'!C262) &lt;= 20,LEN('Raw Data'!C262)&gt; 0),"",_xlfn.REGEXEXTRACT(CELL("address",'Raw Data'!C262),"\$([A-Z]+)\$[0-9]+"))),_xlfn.REGEXEXTRACT(CELL("address",'Raw Data'!C262),"\$([A-Z]+)\$[0-9]+"))</f>
        <v/>
      </c>
      <c r="D262" s="7" t="str" cm="1">
        <f t="array" aca="1" ref="D262" ca="1">IFERROR(IF(OR('Raw Data'!D262="",LEN(TRIM('Raw Data'!D262))=0),"",IF(AND(ISNUMBER('Raw Data'!D262),'Raw Data'!D262&gt;=Configuration!$D$2),"",_xlfn.REGEXEXTRACT(CELL("address",'Raw Data'!D262),"\$([A-Z]+)\$[0-9]+"))),_xlfn.REGEXEXTRACT(CELL("address",D262), "\$([A-Z]+)\$[0-9]+"))</f>
        <v/>
      </c>
      <c r="E262" s="7" t="str" cm="1">
        <f t="array" aca="1" ref="E262" ca="1">IFERROR(IF(OR('Raw Data'!E262="",LEN(TRIM('Raw Data'!E262))=0),"",IF(AND(ISNUMBER('Raw Data'!E262), IFERROR('Raw Data'!E262 = ROUND('Raw Data'!E262, 2),FALSE)),"",_xlfn.REGEXEXTRACT(CELL("address",E262), "\$([A-Z]+)\$[0-9]+"))),_xlfn.REGEXEXTRACT(CELL("address",E262), "\$([A-Z]+)\$[0-9]+"))</f>
        <v/>
      </c>
      <c r="F262" s="7" t="str" cm="1">
        <f t="array" aca="1" ref="F262" ca="1">IFERROR(IF(OR('Raw Data'!F262="",LEN(TRIM('Raw Data'!F262))=0),"",IF(AND(ISNUMBER('Raw Data'!F262), IFERROR('Raw Data'!F262 = ROUND('Raw Data'!F262, 2),FALSE)),"",_xlfn.REGEXEXTRACT(CELL("address",F262), "\$([A-Z]+)\$[0-9]+"))),_xlfn.REGEXEXTRACT(CELL("address",F262), "\$([A-Z]+)\$[0-9]+"))</f>
        <v/>
      </c>
      <c r="G262" s="7" t="str" cm="1">
        <f t="array" aca="1" ref="G262" ca="1">IFERROR(IF(OR('Raw Data'!G262="",LEN(TRIM('Raw Data'!G262))=0),"",IF(AND(ISNUMBER('Raw Data'!G262), IFERROR('Raw Data'!G262 = ROUND('Raw Data'!G262, 2),FALSE)),"",_xlfn.REGEXEXTRACT(CELL("address",G262), "\$([A-Z]+)\$[0-9]+"))),_xlfn.REGEXEXTRACT(CELL("address",G262), "\$([A-Z]+)\$[0-9]+"))</f>
        <v/>
      </c>
      <c r="H262" s="7" t="str" cm="1">
        <f t="array" aca="1" ref="H262" ca="1">IFERROR(IF(OR('Raw Data'!H262="",LEN(TRIM('Raw Data'!H262))=0),"",IF(AND(ISNUMBER('Raw Data'!H262), IFERROR('Raw Data'!H262 = ROUND('Raw Data'!H262, 2),FALSE)),"",_xlfn.REGEXEXTRACT(CELL("address",H262), "\$([A-Z]+)\$[0-9]+"))),_xlfn.REGEXEXTRACT(CELL("address",H262), "\$([A-Z]+)\$[0-9]+"))</f>
        <v/>
      </c>
      <c r="I262" s="7" t="str" cm="1">
        <f t="array" aca="1" ref="I262" ca="1">IFERROR(IF(OR('Raw Data'!I262="",LEN(TRIM('Raw Data'!I262))=0),"",IF(AND(ISNUMBER('Raw Data'!I262), IFERROR('Raw Data'!I262 = ROUND('Raw Data'!I262, 2),FALSE)),"",_xlfn.REGEXEXTRACT(CELL("address",I262), "\$([A-Z]+)\$[0-9]+"))),_xlfn.REGEXEXTRACT(CELL("address",I262), "\$([A-Z]+)\$[0-9]+"))</f>
        <v/>
      </c>
      <c r="J262" s="7" t="str" cm="1">
        <f t="array" aca="1" ref="J262" ca="1">IFERROR(IF(OR('Raw Data'!J262="",LEN(TRIM('Raw Data'!J262))=0),"",IF(AND(ISNUMBER('Raw Data'!J262), IFERROR('Raw Data'!J262 = ROUND('Raw Data'!J262, 2),FALSE)),"",_xlfn.REGEXEXTRACT(CELL("address",J262), "\$([A-Z]+)\$[0-9]+"))),_xlfn.REGEXEXTRACT(CELL("address",J262), "\$([A-Z]+)\$[0-9]+"))</f>
        <v/>
      </c>
      <c r="K262" s="7" t="str" cm="1">
        <f t="array" aca="1" ref="K262" ca="1">IFERROR(IF(OR('Raw Data'!K262="",LEN(TRIM('Raw Data'!K262))=0),"",IF(AND(ISNUMBER('Raw Data'!K262), IFERROR('Raw Data'!K262 = ROUND('Raw Data'!K262, 2),FALSE)),"",_xlfn.REGEXEXTRACT(CELL("address",K262), "\$([A-Z]+)\$[0-9]+"))),_xlfn.REGEXEXTRACT(CELL("address",K262), "\$([A-Z]+)\$[0-9]+"))</f>
        <v/>
      </c>
      <c r="L262" s="7" t="str" cm="1">
        <f t="array" aca="1" ref="L262" ca="1">IFERROR(IF(OR('Raw Data'!L262="",LEN(TRIM('Raw Data'!L262))=0),"",IF(AND(ISNUMBER('Raw Data'!L262), IFERROR('Raw Data'!L262 = ROUND('Raw Data'!L262, 2),FALSE)),"",_xlfn.REGEXEXTRACT(CELL("address",L262), "\$([A-Z]+)\$[0-9]+"))),_xlfn.REGEXEXTRACT(CELL("address",L262), "\$([A-Z]+)\$[0-9]+"))</f>
        <v/>
      </c>
      <c r="M262" s="7" t="str" cm="1">
        <f t="array" aca="1" ref="M262" ca="1">IFERROR(IF(OR('Raw Data'!M262="",LEN(TRIM('Raw Data'!M262))=0),"",IF(AND(ISNUMBER('Raw Data'!M262), IFERROR('Raw Data'!M262 = ROUND('Raw Data'!M262, 2),FALSE)),"",_xlfn.REGEXEXTRACT(CELL("address",M262), "\$([A-Z]+)\$[0-9]+"))),_xlfn.REGEXEXTRACT(CELL("address",M262), "\$([A-Z]+)\$[0-9]+"))</f>
        <v/>
      </c>
      <c r="N262" s="7" t="str" cm="1">
        <f t="array" aca="1" ref="N262" ca="1">IFERROR(IF(OR('Raw Data'!N262="",LEN(TRIM('Raw Data'!N262))=0),"",IF(AND(ISNUMBER('Raw Data'!N262), IFERROR('Raw Data'!N262 = ROUND('Raw Data'!N262, 2),FALSE)),"",_xlfn.REGEXEXTRACT(CELL("address",N262), "\$([A-Z]+)\$[0-9]+"))),_xlfn.REGEXEXTRACT(CELL("address",N262), "\$([A-Z]+)\$[0-9]+"))</f>
        <v/>
      </c>
      <c r="O262" s="7" t="str" cm="1">
        <f t="array" aca="1" ref="O262" ca="1">IFERROR(IF(OR('Raw Data'!O262="",LEN(TRIM('Raw Data'!O262))=0),"",IF(AND(ISNUMBER('Raw Data'!O262), IFERROR('Raw Data'!O262 = ROUND('Raw Data'!O262, 2),FALSE)),"",_xlfn.REGEXEXTRACT(CELL("address",O262), "\$([A-Z]+)\$[0-9]+"))),_xlfn.REGEXEXTRACT(CELL("address",O262), "\$([A-Z]+)\$[0-9]+"))</f>
        <v/>
      </c>
      <c r="P262" s="7" t="str" cm="1">
        <f t="array" aca="1" ref="P262" ca="1">IFERROR(IF(OR('Raw Data'!P262="",LEN(TRIM('Raw Data'!P262))=0),"",IF(AND(ISNUMBER('Raw Data'!P262), IFERROR('Raw Data'!P262 = ROUND('Raw Data'!P262, 2),FALSE)),"",_xlfn.REGEXEXTRACT(CELL("address",P262), "\$([A-Z]+)\$[0-9]+"))),_xlfn.REGEXEXTRACT(CELL("address",P262), "\$([A-Z]+)\$[0-9]+"))</f>
        <v/>
      </c>
      <c r="Q262" s="7" t="str" cm="1">
        <f t="array" aca="1" ref="Q262" ca="1">IFERROR(IF(OR('Raw Data'!Q262="",LEN(TRIM('Raw Data'!Q262))=0),"",IF(AND(ISNUMBER('Raw Data'!Q262), IFERROR('Raw Data'!Q262 = ROUND('Raw Data'!Q262, 2),FALSE)),"",_xlfn.REGEXEXTRACT(CELL("address",Q262), "\$([A-Z]+)\$[0-9]+"))),_xlfn.REGEXEXTRACT(CELL("address",Q262), "\$([A-Z]+)\$[0-9]+"))</f>
        <v/>
      </c>
      <c r="R262" s="7" t="str" cm="1">
        <f t="array" aca="1" ref="R262" ca="1">IFERROR(IF(OR('Raw Data'!R262="",LEN(TRIM('Raw Data'!R262))=0),"",IF(AND(ISNUMBER('Raw Data'!R262), IFERROR('Raw Data'!R262 = ROUND('Raw Data'!R262, 2),FALSE)),"",_xlfn.REGEXEXTRACT(CELL("address",R262), "\$([A-Z]+)\$[0-9]+"))),_xlfn.REGEXEXTRACT(CELL("address",R262), "\$([A-Z]+)\$[0-9]+"))</f>
        <v/>
      </c>
      <c r="S262" s="7" t="str" cm="1">
        <f t="array" aca="1" ref="S262" ca="1">IFERROR(IF(OR('Raw Data'!S262="",LEN(TRIM('Raw Data'!S262))=0),"",IF(AND(ISNUMBER('Raw Data'!S262), IFERROR('Raw Data'!S262 = ROUND('Raw Data'!S262, 2),FALSE)),"",_xlfn.REGEXEXTRACT(CELL("address",S262), "\$([A-Z]+)\$[0-9]+"))),_xlfn.REGEXEXTRACT(CELL("address",S262), "\$([A-Z]+)\$[0-9]+"))</f>
        <v/>
      </c>
      <c r="T262" s="7" t="str" cm="1">
        <f t="array" aca="1" ref="T262" ca="1">IFERROR(IF(OR('Raw Data'!T262="",LEN(TRIM('Raw Data'!T262))=0),"",IF(AND(ISNUMBER('Raw Data'!T262), IFERROR('Raw Data'!T262 = ROUND('Raw Data'!T262, 2),FALSE)),"",_xlfn.REGEXEXTRACT(CELL("address",T262), "\$([A-Z]+)\$[0-9]+"))),_xlfn.REGEXEXTRACT(CELL("address",T262), "\$([A-Z]+)\$[0-9]+"))</f>
        <v/>
      </c>
      <c r="U262" s="7" t="str" cm="1">
        <f t="array" aca="1" ref="U262" ca="1">IFERROR(IF(OR('Raw Data'!U262="",LEN(TRIM('Raw Data'!U262))=0),"",IF(AND(ISNUMBER('Raw Data'!U262), IFERROR('Raw Data'!U262 = ROUND('Raw Data'!U262, 2),FALSE)),"",_xlfn.REGEXEXTRACT(CELL("address",U262), "\$([A-Z]+)\$[0-9]+"))),_xlfn.REGEXEXTRACT(CELL("address",U262), "\$([A-Z]+)\$[0-9]+"))</f>
        <v/>
      </c>
      <c r="V262" s="7" t="str" cm="1">
        <f t="array" aca="1" ref="V262" ca="1">IFERROR(IF(OR('Raw Data'!V262="",LEN(TRIM('Raw Data'!V262))=0),"",IF(AND(ISNUMBER('Raw Data'!V262), IFERROR('Raw Data'!V262 = ROUND('Raw Data'!V262, 2),FALSE)),"",_xlfn.REGEXEXTRACT(CELL("address",V262), "\$([A-Z]+)\$[0-9]+"))),_xlfn.REGEXEXTRACT(CELL("address",V262), "\$([A-Z]+)\$[0-9]+"))</f>
        <v/>
      </c>
      <c r="W262" s="7" t="str" cm="1">
        <f t="array" aca="1" ref="W262" ca="1">IFERROR(IF(OR('Raw Data'!W262="",LEN(TRIM('Raw Data'!W262))=0),"",IF(AND(ISNUMBER('Raw Data'!W262), IFERROR('Raw Data'!W262 = ROUND('Raw Data'!W262, 2),FALSE)),"",_xlfn.REGEXEXTRACT(CELL("address",W262), "\$([A-Z]+)\$[0-9]+"))),_xlfn.REGEXEXTRACT(CELL("address",W262), "\$([A-Z]+)\$[0-9]+"))</f>
        <v/>
      </c>
      <c r="X262" s="7" t="str" cm="1">
        <f t="array" aca="1" ref="X262" ca="1">IFERROR(IF(OR('Raw Data'!X262="",LEN(TRIM('Raw Data'!X262))=0),"",IF(AND(ISNUMBER('Raw Data'!X262), IFERROR('Raw Data'!X262 = ROUND('Raw Data'!X262, 2),FALSE)),"",_xlfn.REGEXEXTRACT(CELL("address",X262), "\$([A-Z]+)\$[0-9]+"))),_xlfn.REGEXEXTRACT(CELL("address",X262), "\$([A-Z]+)\$[0-9]+"))</f>
        <v/>
      </c>
      <c r="Y262" s="7" t="str" cm="1">
        <f t="array" aca="1" ref="Y262" ca="1">IFERROR(IF(OR('Raw Data'!Y262="",LEN(TRIM('Raw Data'!Y262))=0),"",IF(AND(ISNUMBER('Raw Data'!Y262), IFERROR('Raw Data'!Y262 = ROUND('Raw Data'!Y262, 2),FALSE)),"",_xlfn.REGEXEXTRACT(CELL("address",Y262), "\$([A-Z]+)\$[0-9]+"))),_xlfn.REGEXEXTRACT(CELL("address",Y262), "\$([A-Z]+)\$[0-9]+"))</f>
        <v/>
      </c>
      <c r="Z262" s="7" t="str" cm="1">
        <f t="array" aca="1" ref="Z262" ca="1">IFERROR(IF(OR('Raw Data'!Z262="",LEN(TRIM('Raw Data'!Z262))=0),"",IF(AND(ISNUMBER('Raw Data'!Z262), IFERROR('Raw Data'!Z262 = ROUND('Raw Data'!Z262, 2),FALSE)),"",_xlfn.REGEXEXTRACT(CELL("address",Z262), "\$([A-Z]+)\$[0-9]+"))),_xlfn.REGEXEXTRACT(CELL("address",Z262), "\$([A-Z]+)\$[0-9]+"))</f>
        <v/>
      </c>
      <c r="AA262" s="7" t="str" cm="1">
        <f t="array" aca="1" ref="AA262" ca="1">IFERROR(IF(OR('Raw Data'!AA262="",LEN(TRIM('Raw Data'!AA262))=0),"",IF(AND(ISNUMBER('Raw Data'!AA262), IFERROR('Raw Data'!AA262 = ROUND('Raw Data'!AA262, 2),FALSE)),"",_xlfn.REGEXEXTRACT(CELL("address",AA262), "\$([A-Z]+)\$[0-9]+"))),_xlfn.REGEXEXTRACT(CELL("address",AA262), "\$([A-Z]+)\$[0-9]+"))</f>
        <v/>
      </c>
      <c r="AB262" s="7" t="str" cm="1">
        <f t="array" aca="1" ref="AB262" ca="1">IFERROR(IF(OR('Raw Data'!AB262="",LEN(TRIM('Raw Data'!AB262))=0),"",IF(AND(ISNUMBER('Raw Data'!AB262), IFERROR('Raw Data'!AB262 = ROUND('Raw Data'!AB262, 2),FALSE)),"",_xlfn.REGEXEXTRACT(CELL("address",AB262), "\$([A-Z]+)\$[0-9]+"))),_xlfn.REGEXEXTRACT(CELL("address",AB262), "\$([A-Z]+)\$[0-9]+"))</f>
        <v/>
      </c>
      <c r="AC262" s="7" t="str" cm="1">
        <f t="array" aca="1" ref="AC262" ca="1">IFERROR(IF(OR('Raw Data'!AC262="",LEN(TRIM('Raw Data'!AC262))=0),"",IF(AND(ISNUMBER('Raw Data'!AC262), IFERROR('Raw Data'!AC262 = ROUND('Raw Data'!AC262, 2),FALSE)),"",_xlfn.REGEXEXTRACT(CELL("address",AC262), "\$([A-Z]+)\$[0-9]+"))),_xlfn.REGEXEXTRACT(CELL("address",AC262), "\$([A-Z]+)\$[0-9]+"))</f>
        <v/>
      </c>
      <c r="AD262" s="7" t="str" cm="1">
        <f t="array" aca="1" ref="AD262" ca="1">IFERROR(IF(OR('Raw Data'!AD262="",LEN(TRIM('Raw Data'!AD262))=0),"",IF(AND(ISNUMBER('Raw Data'!AD262), IFERROR('Raw Data'!AD262 = ROUND('Raw Data'!AD262, 2),FALSE)),"",_xlfn.REGEXEXTRACT(CELL("address",AD262), "\$([A-Z]+)\$[0-9]+"))),_xlfn.REGEXEXTRACT(CELL("address",AD262), "\$([A-Z]+)\$[0-9]+"))</f>
        <v/>
      </c>
      <c r="AE262" s="7" t="str" cm="1">
        <f t="array" aca="1" ref="AE262" ca="1">IFERROR(IF(OR('Raw Data'!AE262="",LEN(TRIM('Raw Data'!AE262))=0),"",IF(AND(ISNUMBER('Raw Data'!AE262), IFERROR('Raw Data'!AE262 = ROUND('Raw Data'!AE262, 2),FALSE)),"",_xlfn.REGEXEXTRACT(CELL("address",AE262), "\$([A-Z]+)\$[0-9]+"))),_xlfn.REGEXEXTRACT(CELL("address",AE262), "\$([A-Z]+)\$[0-9]+"))</f>
        <v/>
      </c>
      <c r="AF262" s="7" t="str" cm="1">
        <f t="array" aca="1" ref="AF262" ca="1">IFERROR(IF(OR('Raw Data'!AF262="",LEN(TRIM('Raw Data'!AF262))=0),"",IF(AND(ISNUMBER('Raw Data'!AF262), IFERROR('Raw Data'!AF262 = ROUND('Raw Data'!AF262, 2),FALSE)),"",_xlfn.REGEXEXTRACT(CELL("address",AF262), "\$([A-Z]+)\$[0-9]+"))),_xlfn.REGEXEXTRACT(CELL("address",AF262), "\$([A-Z]+)\$[0-9]+"))</f>
        <v/>
      </c>
      <c r="AG262" s="7" t="str" cm="1">
        <f t="array" aca="1" ref="AG262" ca="1">IFERROR(IF(OR('Raw Data'!AG262="",LEN(TRIM('Raw Data'!AG262))=0),"",IF(AND(ISNUMBER('Raw Data'!AG262), IFERROR('Raw Data'!AG262 = ROUND('Raw Data'!AG262, 2),FALSE)),"",_xlfn.REGEXEXTRACT(CELL("address",AG262), "\$([A-Z]+)\$[0-9]+"))),_xlfn.REGEXEXTRACT(CELL("address",AG262), "\$([A-Z]+)\$[0-9]+"))</f>
        <v/>
      </c>
      <c r="AH262" s="7" t="str" cm="1">
        <f t="array" aca="1" ref="AH262" ca="1">IFERROR(IF(OR('Raw Data'!AH262="",LEN(TRIM('Raw Data'!AH262))=0),"",IF(AND(ISNUMBER('Raw Data'!AH262), IFERROR('Raw Data'!AH262 = ROUND('Raw Data'!AH262, 2),FALSE)),"",_xlfn.REGEXEXTRACT(CELL("address",AH262), "\$([A-Z]+)\$[0-9]+"))),_xlfn.REGEXEXTRACT(CELL("address",AH262), "\$([A-Z]+)\$[0-9]+"))</f>
        <v/>
      </c>
      <c r="AI262" s="7" t="str" cm="1">
        <f t="array" aca="1" ref="AI262" ca="1">IFERROR(IF(OR('Raw Data'!AI262="",LEN(TRIM('Raw Data'!AI262))=0),"",IF(AND(ISNUMBER('Raw Data'!AI262), IFERROR('Raw Data'!AI262 = ROUND('Raw Data'!AI262, 2),FALSE)),"",_xlfn.REGEXEXTRACT(CELL("address",AI262), "\$([A-Z]+)\$[0-9]+"))),_xlfn.REGEXEXTRACT(CELL("address",AI262), "\$([A-Z]+)\$[0-9]+"))</f>
        <v/>
      </c>
      <c r="AJ262" s="7" t="str" cm="1">
        <f t="array" aca="1" ref="AJ262" ca="1">IFERROR(IF(OR('Raw Data'!AJ262="",LEN(TRIM('Raw Data'!AJ262))=0),"",IF(AND(ISNUMBER('Raw Data'!AJ262), IFERROR('Raw Data'!AJ262 = ROUND('Raw Data'!AJ262, 2),FALSE)),"",_xlfn.REGEXEXTRACT(CELL("address",AJ262), "\$([A-Z]+)\$[0-9]+"))),_xlfn.REGEXEXTRACT(CELL("address",AJ262), "\$([A-Z]+)\$[0-9]+"))</f>
        <v/>
      </c>
    </row>
    <row r="263" spans="2:36" x14ac:dyDescent="0.25">
      <c r="B263" s="7" t="str" cm="1">
        <f t="array" aca="1" ref="B263" ca="1">IFERROR(IF(OR('Raw Data'!B263="",LEN(TRIM('Raw Data'!B263))=0),"",IF(AND(LEN('Raw Data'!B263) &lt;= 255,LEN('Raw Data'!B263)&gt; 0),"",_xlfn.REGEXEXTRACT(CELL("address",'Raw Data'!B263),"\$([A-Z]+)\$[0-9]+"))),_xlfn.REGEXEXTRACT(CELL("address",'Raw Data'!B263),"\$([A-Z]+)\$[0-9]+"))</f>
        <v/>
      </c>
      <c r="C263" s="7" t="str" cm="1">
        <f t="array" aca="1" ref="C263" ca="1">IFERROR(IF(OR('Raw Data'!C263="",LEN(TRIM('Raw Data'!C263))=0),"",IF(AND(LEN('Raw Data'!C263) &lt;= 20,LEN('Raw Data'!C263)&gt; 0),"",_xlfn.REGEXEXTRACT(CELL("address",'Raw Data'!C263),"\$([A-Z]+)\$[0-9]+"))),_xlfn.REGEXEXTRACT(CELL("address",'Raw Data'!C263),"\$([A-Z]+)\$[0-9]+"))</f>
        <v/>
      </c>
      <c r="D263" s="7" t="str" cm="1">
        <f t="array" aca="1" ref="D263" ca="1">IFERROR(IF(OR('Raw Data'!D263="",LEN(TRIM('Raw Data'!D263))=0),"",IF(AND(ISNUMBER('Raw Data'!D263),'Raw Data'!D263&gt;=Configuration!$D$2),"",_xlfn.REGEXEXTRACT(CELL("address",'Raw Data'!D263),"\$([A-Z]+)\$[0-9]+"))),_xlfn.REGEXEXTRACT(CELL("address",D263), "\$([A-Z]+)\$[0-9]+"))</f>
        <v/>
      </c>
      <c r="E263" s="7" t="str" cm="1">
        <f t="array" aca="1" ref="E263" ca="1">IFERROR(IF(OR('Raw Data'!E263="",LEN(TRIM('Raw Data'!E263))=0),"",IF(AND(ISNUMBER('Raw Data'!E263), IFERROR('Raw Data'!E263 = ROUND('Raw Data'!E263, 2),FALSE)),"",_xlfn.REGEXEXTRACT(CELL("address",E263), "\$([A-Z]+)\$[0-9]+"))),_xlfn.REGEXEXTRACT(CELL("address",E263), "\$([A-Z]+)\$[0-9]+"))</f>
        <v/>
      </c>
      <c r="F263" s="7" t="str" cm="1">
        <f t="array" aca="1" ref="F263" ca="1">IFERROR(IF(OR('Raw Data'!F263="",LEN(TRIM('Raw Data'!F263))=0),"",IF(AND(ISNUMBER('Raw Data'!F263), IFERROR('Raw Data'!F263 = ROUND('Raw Data'!F263, 2),FALSE)),"",_xlfn.REGEXEXTRACT(CELL("address",F263), "\$([A-Z]+)\$[0-9]+"))),_xlfn.REGEXEXTRACT(CELL("address",F263), "\$([A-Z]+)\$[0-9]+"))</f>
        <v/>
      </c>
      <c r="G263" s="7" t="str" cm="1">
        <f t="array" aca="1" ref="G263" ca="1">IFERROR(IF(OR('Raw Data'!G263="",LEN(TRIM('Raw Data'!G263))=0),"",IF(AND(ISNUMBER('Raw Data'!G263), IFERROR('Raw Data'!G263 = ROUND('Raw Data'!G263, 2),FALSE)),"",_xlfn.REGEXEXTRACT(CELL("address",G263), "\$([A-Z]+)\$[0-9]+"))),_xlfn.REGEXEXTRACT(CELL("address",G263), "\$([A-Z]+)\$[0-9]+"))</f>
        <v/>
      </c>
      <c r="H263" s="7" t="str" cm="1">
        <f t="array" aca="1" ref="H263" ca="1">IFERROR(IF(OR('Raw Data'!H263="",LEN(TRIM('Raw Data'!H263))=0),"",IF(AND(ISNUMBER('Raw Data'!H263), IFERROR('Raw Data'!H263 = ROUND('Raw Data'!H263, 2),FALSE)),"",_xlfn.REGEXEXTRACT(CELL("address",H263), "\$([A-Z]+)\$[0-9]+"))),_xlfn.REGEXEXTRACT(CELL("address",H263), "\$([A-Z]+)\$[0-9]+"))</f>
        <v/>
      </c>
      <c r="I263" s="7" t="str" cm="1">
        <f t="array" aca="1" ref="I263" ca="1">IFERROR(IF(OR('Raw Data'!I263="",LEN(TRIM('Raw Data'!I263))=0),"",IF(AND(ISNUMBER('Raw Data'!I263), IFERROR('Raw Data'!I263 = ROUND('Raw Data'!I263, 2),FALSE)),"",_xlfn.REGEXEXTRACT(CELL("address",I263), "\$([A-Z]+)\$[0-9]+"))),_xlfn.REGEXEXTRACT(CELL("address",I263), "\$([A-Z]+)\$[0-9]+"))</f>
        <v/>
      </c>
      <c r="J263" s="7" t="str" cm="1">
        <f t="array" aca="1" ref="J263" ca="1">IFERROR(IF(OR('Raw Data'!J263="",LEN(TRIM('Raw Data'!J263))=0),"",IF(AND(ISNUMBER('Raw Data'!J263), IFERROR('Raw Data'!J263 = ROUND('Raw Data'!J263, 2),FALSE)),"",_xlfn.REGEXEXTRACT(CELL("address",J263), "\$([A-Z]+)\$[0-9]+"))),_xlfn.REGEXEXTRACT(CELL("address",J263), "\$([A-Z]+)\$[0-9]+"))</f>
        <v/>
      </c>
      <c r="K263" s="7" t="str" cm="1">
        <f t="array" aca="1" ref="K263" ca="1">IFERROR(IF(OR('Raw Data'!K263="",LEN(TRIM('Raw Data'!K263))=0),"",IF(AND(ISNUMBER('Raw Data'!K263), IFERROR('Raw Data'!K263 = ROUND('Raw Data'!K263, 2),FALSE)),"",_xlfn.REGEXEXTRACT(CELL("address",K263), "\$([A-Z]+)\$[0-9]+"))),_xlfn.REGEXEXTRACT(CELL("address",K263), "\$([A-Z]+)\$[0-9]+"))</f>
        <v/>
      </c>
      <c r="L263" s="7" t="str" cm="1">
        <f t="array" aca="1" ref="L263" ca="1">IFERROR(IF(OR('Raw Data'!L263="",LEN(TRIM('Raw Data'!L263))=0),"",IF(AND(ISNUMBER('Raw Data'!L263), IFERROR('Raw Data'!L263 = ROUND('Raw Data'!L263, 2),FALSE)),"",_xlfn.REGEXEXTRACT(CELL("address",L263), "\$([A-Z]+)\$[0-9]+"))),_xlfn.REGEXEXTRACT(CELL("address",L263), "\$([A-Z]+)\$[0-9]+"))</f>
        <v/>
      </c>
      <c r="M263" s="7" t="str" cm="1">
        <f t="array" aca="1" ref="M263" ca="1">IFERROR(IF(OR('Raw Data'!M263="",LEN(TRIM('Raw Data'!M263))=0),"",IF(AND(ISNUMBER('Raw Data'!M263), IFERROR('Raw Data'!M263 = ROUND('Raw Data'!M263, 2),FALSE)),"",_xlfn.REGEXEXTRACT(CELL("address",M263), "\$([A-Z]+)\$[0-9]+"))),_xlfn.REGEXEXTRACT(CELL("address",M263), "\$([A-Z]+)\$[0-9]+"))</f>
        <v/>
      </c>
      <c r="N263" s="7" t="str" cm="1">
        <f t="array" aca="1" ref="N263" ca="1">IFERROR(IF(OR('Raw Data'!N263="",LEN(TRIM('Raw Data'!N263))=0),"",IF(AND(ISNUMBER('Raw Data'!N263), IFERROR('Raw Data'!N263 = ROUND('Raw Data'!N263, 2),FALSE)),"",_xlfn.REGEXEXTRACT(CELL("address",N263), "\$([A-Z]+)\$[0-9]+"))),_xlfn.REGEXEXTRACT(CELL("address",N263), "\$([A-Z]+)\$[0-9]+"))</f>
        <v/>
      </c>
      <c r="O263" s="7" t="str" cm="1">
        <f t="array" aca="1" ref="O263" ca="1">IFERROR(IF(OR('Raw Data'!O263="",LEN(TRIM('Raw Data'!O263))=0),"",IF(AND(ISNUMBER('Raw Data'!O263), IFERROR('Raw Data'!O263 = ROUND('Raw Data'!O263, 2),FALSE)),"",_xlfn.REGEXEXTRACT(CELL("address",O263), "\$([A-Z]+)\$[0-9]+"))),_xlfn.REGEXEXTRACT(CELL("address",O263), "\$([A-Z]+)\$[0-9]+"))</f>
        <v/>
      </c>
      <c r="P263" s="7" t="str" cm="1">
        <f t="array" aca="1" ref="P263" ca="1">IFERROR(IF(OR('Raw Data'!P263="",LEN(TRIM('Raw Data'!P263))=0),"",IF(AND(ISNUMBER('Raw Data'!P263), IFERROR('Raw Data'!P263 = ROUND('Raw Data'!P263, 2),FALSE)),"",_xlfn.REGEXEXTRACT(CELL("address",P263), "\$([A-Z]+)\$[0-9]+"))),_xlfn.REGEXEXTRACT(CELL("address",P263), "\$([A-Z]+)\$[0-9]+"))</f>
        <v/>
      </c>
      <c r="Q263" s="7" t="str" cm="1">
        <f t="array" aca="1" ref="Q263" ca="1">IFERROR(IF(OR('Raw Data'!Q263="",LEN(TRIM('Raw Data'!Q263))=0),"",IF(AND(ISNUMBER('Raw Data'!Q263), IFERROR('Raw Data'!Q263 = ROUND('Raw Data'!Q263, 2),FALSE)),"",_xlfn.REGEXEXTRACT(CELL("address",Q263), "\$([A-Z]+)\$[0-9]+"))),_xlfn.REGEXEXTRACT(CELL("address",Q263), "\$([A-Z]+)\$[0-9]+"))</f>
        <v/>
      </c>
      <c r="R263" s="7" t="str" cm="1">
        <f t="array" aca="1" ref="R263" ca="1">IFERROR(IF(OR('Raw Data'!R263="",LEN(TRIM('Raw Data'!R263))=0),"",IF(AND(ISNUMBER('Raw Data'!R263), IFERROR('Raw Data'!R263 = ROUND('Raw Data'!R263, 2),FALSE)),"",_xlfn.REGEXEXTRACT(CELL("address",R263), "\$([A-Z]+)\$[0-9]+"))),_xlfn.REGEXEXTRACT(CELL("address",R263), "\$([A-Z]+)\$[0-9]+"))</f>
        <v/>
      </c>
      <c r="S263" s="7" t="str" cm="1">
        <f t="array" aca="1" ref="S263" ca="1">IFERROR(IF(OR('Raw Data'!S263="",LEN(TRIM('Raw Data'!S263))=0),"",IF(AND(ISNUMBER('Raw Data'!S263), IFERROR('Raw Data'!S263 = ROUND('Raw Data'!S263, 2),FALSE)),"",_xlfn.REGEXEXTRACT(CELL("address",S263), "\$([A-Z]+)\$[0-9]+"))),_xlfn.REGEXEXTRACT(CELL("address",S263), "\$([A-Z]+)\$[0-9]+"))</f>
        <v/>
      </c>
      <c r="T263" s="7" t="str" cm="1">
        <f t="array" aca="1" ref="T263" ca="1">IFERROR(IF(OR('Raw Data'!T263="",LEN(TRIM('Raw Data'!T263))=0),"",IF(AND(ISNUMBER('Raw Data'!T263), IFERROR('Raw Data'!T263 = ROUND('Raw Data'!T263, 2),FALSE)),"",_xlfn.REGEXEXTRACT(CELL("address",T263), "\$([A-Z]+)\$[0-9]+"))),_xlfn.REGEXEXTRACT(CELL("address",T263), "\$([A-Z]+)\$[0-9]+"))</f>
        <v/>
      </c>
      <c r="U263" s="7" t="str" cm="1">
        <f t="array" aca="1" ref="U263" ca="1">IFERROR(IF(OR('Raw Data'!U263="",LEN(TRIM('Raw Data'!U263))=0),"",IF(AND(ISNUMBER('Raw Data'!U263), IFERROR('Raw Data'!U263 = ROUND('Raw Data'!U263, 2),FALSE)),"",_xlfn.REGEXEXTRACT(CELL("address",U263), "\$([A-Z]+)\$[0-9]+"))),_xlfn.REGEXEXTRACT(CELL("address",U263), "\$([A-Z]+)\$[0-9]+"))</f>
        <v/>
      </c>
      <c r="V263" s="7" t="str" cm="1">
        <f t="array" aca="1" ref="V263" ca="1">IFERROR(IF(OR('Raw Data'!V263="",LEN(TRIM('Raw Data'!V263))=0),"",IF(AND(ISNUMBER('Raw Data'!V263), IFERROR('Raw Data'!V263 = ROUND('Raw Data'!V263, 2),FALSE)),"",_xlfn.REGEXEXTRACT(CELL("address",V263), "\$([A-Z]+)\$[0-9]+"))),_xlfn.REGEXEXTRACT(CELL("address",V263), "\$([A-Z]+)\$[0-9]+"))</f>
        <v/>
      </c>
      <c r="W263" s="7" t="str" cm="1">
        <f t="array" aca="1" ref="W263" ca="1">IFERROR(IF(OR('Raw Data'!W263="",LEN(TRIM('Raw Data'!W263))=0),"",IF(AND(ISNUMBER('Raw Data'!W263), IFERROR('Raw Data'!W263 = ROUND('Raw Data'!W263, 2),FALSE)),"",_xlfn.REGEXEXTRACT(CELL("address",W263), "\$([A-Z]+)\$[0-9]+"))),_xlfn.REGEXEXTRACT(CELL("address",W263), "\$([A-Z]+)\$[0-9]+"))</f>
        <v/>
      </c>
      <c r="X263" s="7" t="str" cm="1">
        <f t="array" aca="1" ref="X263" ca="1">IFERROR(IF(OR('Raw Data'!X263="",LEN(TRIM('Raw Data'!X263))=0),"",IF(AND(ISNUMBER('Raw Data'!X263), IFERROR('Raw Data'!X263 = ROUND('Raw Data'!X263, 2),FALSE)),"",_xlfn.REGEXEXTRACT(CELL("address",X263), "\$([A-Z]+)\$[0-9]+"))),_xlfn.REGEXEXTRACT(CELL("address",X263), "\$([A-Z]+)\$[0-9]+"))</f>
        <v/>
      </c>
      <c r="Y263" s="7" t="str" cm="1">
        <f t="array" aca="1" ref="Y263" ca="1">IFERROR(IF(OR('Raw Data'!Y263="",LEN(TRIM('Raw Data'!Y263))=0),"",IF(AND(ISNUMBER('Raw Data'!Y263), IFERROR('Raw Data'!Y263 = ROUND('Raw Data'!Y263, 2),FALSE)),"",_xlfn.REGEXEXTRACT(CELL("address",Y263), "\$([A-Z]+)\$[0-9]+"))),_xlfn.REGEXEXTRACT(CELL("address",Y263), "\$([A-Z]+)\$[0-9]+"))</f>
        <v/>
      </c>
      <c r="Z263" s="7" t="str" cm="1">
        <f t="array" aca="1" ref="Z263" ca="1">IFERROR(IF(OR('Raw Data'!Z263="",LEN(TRIM('Raw Data'!Z263))=0),"",IF(AND(ISNUMBER('Raw Data'!Z263), IFERROR('Raw Data'!Z263 = ROUND('Raw Data'!Z263, 2),FALSE)),"",_xlfn.REGEXEXTRACT(CELL("address",Z263), "\$([A-Z]+)\$[0-9]+"))),_xlfn.REGEXEXTRACT(CELL("address",Z263), "\$([A-Z]+)\$[0-9]+"))</f>
        <v/>
      </c>
      <c r="AA263" s="7" t="str" cm="1">
        <f t="array" aca="1" ref="AA263" ca="1">IFERROR(IF(OR('Raw Data'!AA263="",LEN(TRIM('Raw Data'!AA263))=0),"",IF(AND(ISNUMBER('Raw Data'!AA263), IFERROR('Raw Data'!AA263 = ROUND('Raw Data'!AA263, 2),FALSE)),"",_xlfn.REGEXEXTRACT(CELL("address",AA263), "\$([A-Z]+)\$[0-9]+"))),_xlfn.REGEXEXTRACT(CELL("address",AA263), "\$([A-Z]+)\$[0-9]+"))</f>
        <v/>
      </c>
      <c r="AB263" s="7" t="str" cm="1">
        <f t="array" aca="1" ref="AB263" ca="1">IFERROR(IF(OR('Raw Data'!AB263="",LEN(TRIM('Raw Data'!AB263))=0),"",IF(AND(ISNUMBER('Raw Data'!AB263), IFERROR('Raw Data'!AB263 = ROUND('Raw Data'!AB263, 2),FALSE)),"",_xlfn.REGEXEXTRACT(CELL("address",AB263), "\$([A-Z]+)\$[0-9]+"))),_xlfn.REGEXEXTRACT(CELL("address",AB263), "\$([A-Z]+)\$[0-9]+"))</f>
        <v/>
      </c>
      <c r="AC263" s="7" t="str" cm="1">
        <f t="array" aca="1" ref="AC263" ca="1">IFERROR(IF(OR('Raw Data'!AC263="",LEN(TRIM('Raw Data'!AC263))=0),"",IF(AND(ISNUMBER('Raw Data'!AC263), IFERROR('Raw Data'!AC263 = ROUND('Raw Data'!AC263, 2),FALSE)),"",_xlfn.REGEXEXTRACT(CELL("address",AC263), "\$([A-Z]+)\$[0-9]+"))),_xlfn.REGEXEXTRACT(CELL("address",AC263), "\$([A-Z]+)\$[0-9]+"))</f>
        <v/>
      </c>
      <c r="AD263" s="7" t="str" cm="1">
        <f t="array" aca="1" ref="AD263" ca="1">IFERROR(IF(OR('Raw Data'!AD263="",LEN(TRIM('Raw Data'!AD263))=0),"",IF(AND(ISNUMBER('Raw Data'!AD263), IFERROR('Raw Data'!AD263 = ROUND('Raw Data'!AD263, 2),FALSE)),"",_xlfn.REGEXEXTRACT(CELL("address",AD263), "\$([A-Z]+)\$[0-9]+"))),_xlfn.REGEXEXTRACT(CELL("address",AD263), "\$([A-Z]+)\$[0-9]+"))</f>
        <v/>
      </c>
      <c r="AE263" s="7" t="str" cm="1">
        <f t="array" aca="1" ref="AE263" ca="1">IFERROR(IF(OR('Raw Data'!AE263="",LEN(TRIM('Raw Data'!AE263))=0),"",IF(AND(ISNUMBER('Raw Data'!AE263), IFERROR('Raw Data'!AE263 = ROUND('Raw Data'!AE263, 2),FALSE)),"",_xlfn.REGEXEXTRACT(CELL("address",AE263), "\$([A-Z]+)\$[0-9]+"))),_xlfn.REGEXEXTRACT(CELL("address",AE263), "\$([A-Z]+)\$[0-9]+"))</f>
        <v/>
      </c>
      <c r="AF263" s="7" t="str" cm="1">
        <f t="array" aca="1" ref="AF263" ca="1">IFERROR(IF(OR('Raw Data'!AF263="",LEN(TRIM('Raw Data'!AF263))=0),"",IF(AND(ISNUMBER('Raw Data'!AF263), IFERROR('Raw Data'!AF263 = ROUND('Raw Data'!AF263, 2),FALSE)),"",_xlfn.REGEXEXTRACT(CELL("address",AF263), "\$([A-Z]+)\$[0-9]+"))),_xlfn.REGEXEXTRACT(CELL("address",AF263), "\$([A-Z]+)\$[0-9]+"))</f>
        <v/>
      </c>
      <c r="AG263" s="7" t="str" cm="1">
        <f t="array" aca="1" ref="AG263" ca="1">IFERROR(IF(OR('Raw Data'!AG263="",LEN(TRIM('Raw Data'!AG263))=0),"",IF(AND(ISNUMBER('Raw Data'!AG263), IFERROR('Raw Data'!AG263 = ROUND('Raw Data'!AG263, 2),FALSE)),"",_xlfn.REGEXEXTRACT(CELL("address",AG263), "\$([A-Z]+)\$[0-9]+"))),_xlfn.REGEXEXTRACT(CELL("address",AG263), "\$([A-Z]+)\$[0-9]+"))</f>
        <v/>
      </c>
      <c r="AH263" s="7" t="str" cm="1">
        <f t="array" aca="1" ref="AH263" ca="1">IFERROR(IF(OR('Raw Data'!AH263="",LEN(TRIM('Raw Data'!AH263))=0),"",IF(AND(ISNUMBER('Raw Data'!AH263), IFERROR('Raw Data'!AH263 = ROUND('Raw Data'!AH263, 2),FALSE)),"",_xlfn.REGEXEXTRACT(CELL("address",AH263), "\$([A-Z]+)\$[0-9]+"))),_xlfn.REGEXEXTRACT(CELL("address",AH263), "\$([A-Z]+)\$[0-9]+"))</f>
        <v/>
      </c>
      <c r="AI263" s="7" t="str" cm="1">
        <f t="array" aca="1" ref="AI263" ca="1">IFERROR(IF(OR('Raw Data'!AI263="",LEN(TRIM('Raw Data'!AI263))=0),"",IF(AND(ISNUMBER('Raw Data'!AI263), IFERROR('Raw Data'!AI263 = ROUND('Raw Data'!AI263, 2),FALSE)),"",_xlfn.REGEXEXTRACT(CELL("address",AI263), "\$([A-Z]+)\$[0-9]+"))),_xlfn.REGEXEXTRACT(CELL("address",AI263), "\$([A-Z]+)\$[0-9]+"))</f>
        <v/>
      </c>
      <c r="AJ263" s="7" t="str" cm="1">
        <f t="array" aca="1" ref="AJ263" ca="1">IFERROR(IF(OR('Raw Data'!AJ263="",LEN(TRIM('Raw Data'!AJ263))=0),"",IF(AND(ISNUMBER('Raw Data'!AJ263), IFERROR('Raw Data'!AJ263 = ROUND('Raw Data'!AJ263, 2),FALSE)),"",_xlfn.REGEXEXTRACT(CELL("address",AJ263), "\$([A-Z]+)\$[0-9]+"))),_xlfn.REGEXEXTRACT(CELL("address",AJ263), "\$([A-Z]+)\$[0-9]+"))</f>
        <v/>
      </c>
    </row>
    <row r="264" spans="2:36" x14ac:dyDescent="0.25">
      <c r="B264" s="7" t="str" cm="1">
        <f t="array" aca="1" ref="B264" ca="1">IFERROR(IF(OR('Raw Data'!B264="",LEN(TRIM('Raw Data'!B264))=0),"",IF(AND(LEN('Raw Data'!B264) &lt;= 255,LEN('Raw Data'!B264)&gt; 0),"",_xlfn.REGEXEXTRACT(CELL("address",'Raw Data'!B264),"\$([A-Z]+)\$[0-9]+"))),_xlfn.REGEXEXTRACT(CELL("address",'Raw Data'!B264),"\$([A-Z]+)\$[0-9]+"))</f>
        <v/>
      </c>
      <c r="C264" s="7" t="str" cm="1">
        <f t="array" aca="1" ref="C264" ca="1">IFERROR(IF(OR('Raw Data'!C264="",LEN(TRIM('Raw Data'!C264))=0),"",IF(AND(LEN('Raw Data'!C264) &lt;= 20,LEN('Raw Data'!C264)&gt; 0),"",_xlfn.REGEXEXTRACT(CELL("address",'Raw Data'!C264),"\$([A-Z]+)\$[0-9]+"))),_xlfn.REGEXEXTRACT(CELL("address",'Raw Data'!C264),"\$([A-Z]+)\$[0-9]+"))</f>
        <v/>
      </c>
      <c r="D264" s="7" t="str" cm="1">
        <f t="array" aca="1" ref="D264" ca="1">IFERROR(IF(OR('Raw Data'!D264="",LEN(TRIM('Raw Data'!D264))=0),"",IF(AND(ISNUMBER('Raw Data'!D264),'Raw Data'!D264&gt;=Configuration!$D$2),"",_xlfn.REGEXEXTRACT(CELL("address",'Raw Data'!D264),"\$([A-Z]+)\$[0-9]+"))),_xlfn.REGEXEXTRACT(CELL("address",D264), "\$([A-Z]+)\$[0-9]+"))</f>
        <v/>
      </c>
      <c r="E264" s="7" t="str" cm="1">
        <f t="array" aca="1" ref="E264" ca="1">IFERROR(IF(OR('Raw Data'!E264="",LEN(TRIM('Raw Data'!E264))=0),"",IF(AND(ISNUMBER('Raw Data'!E264), IFERROR('Raw Data'!E264 = ROUND('Raw Data'!E264, 2),FALSE)),"",_xlfn.REGEXEXTRACT(CELL("address",E264), "\$([A-Z]+)\$[0-9]+"))),_xlfn.REGEXEXTRACT(CELL("address",E264), "\$([A-Z]+)\$[0-9]+"))</f>
        <v/>
      </c>
      <c r="F264" s="7" t="str" cm="1">
        <f t="array" aca="1" ref="F264" ca="1">IFERROR(IF(OR('Raw Data'!F264="",LEN(TRIM('Raw Data'!F264))=0),"",IF(AND(ISNUMBER('Raw Data'!F264), IFERROR('Raw Data'!F264 = ROUND('Raw Data'!F264, 2),FALSE)),"",_xlfn.REGEXEXTRACT(CELL("address",F264), "\$([A-Z]+)\$[0-9]+"))),_xlfn.REGEXEXTRACT(CELL("address",F264), "\$([A-Z]+)\$[0-9]+"))</f>
        <v/>
      </c>
      <c r="G264" s="7" t="str" cm="1">
        <f t="array" aca="1" ref="G264" ca="1">IFERROR(IF(OR('Raw Data'!G264="",LEN(TRIM('Raw Data'!G264))=0),"",IF(AND(ISNUMBER('Raw Data'!G264), IFERROR('Raw Data'!G264 = ROUND('Raw Data'!G264, 2),FALSE)),"",_xlfn.REGEXEXTRACT(CELL("address",G264), "\$([A-Z]+)\$[0-9]+"))),_xlfn.REGEXEXTRACT(CELL("address",G264), "\$([A-Z]+)\$[0-9]+"))</f>
        <v/>
      </c>
      <c r="H264" s="7" t="str" cm="1">
        <f t="array" aca="1" ref="H264" ca="1">IFERROR(IF(OR('Raw Data'!H264="",LEN(TRIM('Raw Data'!H264))=0),"",IF(AND(ISNUMBER('Raw Data'!H264), IFERROR('Raw Data'!H264 = ROUND('Raw Data'!H264, 2),FALSE)),"",_xlfn.REGEXEXTRACT(CELL("address",H264), "\$([A-Z]+)\$[0-9]+"))),_xlfn.REGEXEXTRACT(CELL("address",H264), "\$([A-Z]+)\$[0-9]+"))</f>
        <v/>
      </c>
      <c r="I264" s="7" t="str" cm="1">
        <f t="array" aca="1" ref="I264" ca="1">IFERROR(IF(OR('Raw Data'!I264="",LEN(TRIM('Raw Data'!I264))=0),"",IF(AND(ISNUMBER('Raw Data'!I264), IFERROR('Raw Data'!I264 = ROUND('Raw Data'!I264, 2),FALSE)),"",_xlfn.REGEXEXTRACT(CELL("address",I264), "\$([A-Z]+)\$[0-9]+"))),_xlfn.REGEXEXTRACT(CELL("address",I264), "\$([A-Z]+)\$[0-9]+"))</f>
        <v/>
      </c>
      <c r="J264" s="7" t="str" cm="1">
        <f t="array" aca="1" ref="J264" ca="1">IFERROR(IF(OR('Raw Data'!J264="",LEN(TRIM('Raw Data'!J264))=0),"",IF(AND(ISNUMBER('Raw Data'!J264), IFERROR('Raw Data'!J264 = ROUND('Raw Data'!J264, 2),FALSE)),"",_xlfn.REGEXEXTRACT(CELL("address",J264), "\$([A-Z]+)\$[0-9]+"))),_xlfn.REGEXEXTRACT(CELL("address",J264), "\$([A-Z]+)\$[0-9]+"))</f>
        <v/>
      </c>
      <c r="K264" s="7" t="str" cm="1">
        <f t="array" aca="1" ref="K264" ca="1">IFERROR(IF(OR('Raw Data'!K264="",LEN(TRIM('Raw Data'!K264))=0),"",IF(AND(ISNUMBER('Raw Data'!K264), IFERROR('Raw Data'!K264 = ROUND('Raw Data'!K264, 2),FALSE)),"",_xlfn.REGEXEXTRACT(CELL("address",K264), "\$([A-Z]+)\$[0-9]+"))),_xlfn.REGEXEXTRACT(CELL("address",K264), "\$([A-Z]+)\$[0-9]+"))</f>
        <v/>
      </c>
      <c r="L264" s="7" t="str" cm="1">
        <f t="array" aca="1" ref="L264" ca="1">IFERROR(IF(OR('Raw Data'!L264="",LEN(TRIM('Raw Data'!L264))=0),"",IF(AND(ISNUMBER('Raw Data'!L264), IFERROR('Raw Data'!L264 = ROUND('Raw Data'!L264, 2),FALSE)),"",_xlfn.REGEXEXTRACT(CELL("address",L264), "\$([A-Z]+)\$[0-9]+"))),_xlfn.REGEXEXTRACT(CELL("address",L264), "\$([A-Z]+)\$[0-9]+"))</f>
        <v/>
      </c>
      <c r="M264" s="7" t="str" cm="1">
        <f t="array" aca="1" ref="M264" ca="1">IFERROR(IF(OR('Raw Data'!M264="",LEN(TRIM('Raw Data'!M264))=0),"",IF(AND(ISNUMBER('Raw Data'!M264), IFERROR('Raw Data'!M264 = ROUND('Raw Data'!M264, 2),FALSE)),"",_xlfn.REGEXEXTRACT(CELL("address",M264), "\$([A-Z]+)\$[0-9]+"))),_xlfn.REGEXEXTRACT(CELL("address",M264), "\$([A-Z]+)\$[0-9]+"))</f>
        <v/>
      </c>
      <c r="N264" s="7" t="str" cm="1">
        <f t="array" aca="1" ref="N264" ca="1">IFERROR(IF(OR('Raw Data'!N264="",LEN(TRIM('Raw Data'!N264))=0),"",IF(AND(ISNUMBER('Raw Data'!N264), IFERROR('Raw Data'!N264 = ROUND('Raw Data'!N264, 2),FALSE)),"",_xlfn.REGEXEXTRACT(CELL("address",N264), "\$([A-Z]+)\$[0-9]+"))),_xlfn.REGEXEXTRACT(CELL("address",N264), "\$([A-Z]+)\$[0-9]+"))</f>
        <v/>
      </c>
      <c r="O264" s="7" t="str" cm="1">
        <f t="array" aca="1" ref="O264" ca="1">IFERROR(IF(OR('Raw Data'!O264="",LEN(TRIM('Raw Data'!O264))=0),"",IF(AND(ISNUMBER('Raw Data'!O264), IFERROR('Raw Data'!O264 = ROUND('Raw Data'!O264, 2),FALSE)),"",_xlfn.REGEXEXTRACT(CELL("address",O264), "\$([A-Z]+)\$[0-9]+"))),_xlfn.REGEXEXTRACT(CELL("address",O264), "\$([A-Z]+)\$[0-9]+"))</f>
        <v/>
      </c>
      <c r="P264" s="7" t="str" cm="1">
        <f t="array" aca="1" ref="P264" ca="1">IFERROR(IF(OR('Raw Data'!P264="",LEN(TRIM('Raw Data'!P264))=0),"",IF(AND(ISNUMBER('Raw Data'!P264), IFERROR('Raw Data'!P264 = ROUND('Raw Data'!P264, 2),FALSE)),"",_xlfn.REGEXEXTRACT(CELL("address",P264), "\$([A-Z]+)\$[0-9]+"))),_xlfn.REGEXEXTRACT(CELL("address",P264), "\$([A-Z]+)\$[0-9]+"))</f>
        <v/>
      </c>
      <c r="Q264" s="7" t="str" cm="1">
        <f t="array" aca="1" ref="Q264" ca="1">IFERROR(IF(OR('Raw Data'!Q264="",LEN(TRIM('Raw Data'!Q264))=0),"",IF(AND(ISNUMBER('Raw Data'!Q264), IFERROR('Raw Data'!Q264 = ROUND('Raw Data'!Q264, 2),FALSE)),"",_xlfn.REGEXEXTRACT(CELL("address",Q264), "\$([A-Z]+)\$[0-9]+"))),_xlfn.REGEXEXTRACT(CELL("address",Q264), "\$([A-Z]+)\$[0-9]+"))</f>
        <v/>
      </c>
      <c r="R264" s="7" t="str" cm="1">
        <f t="array" aca="1" ref="R264" ca="1">IFERROR(IF(OR('Raw Data'!R264="",LEN(TRIM('Raw Data'!R264))=0),"",IF(AND(ISNUMBER('Raw Data'!R264), IFERROR('Raw Data'!R264 = ROUND('Raw Data'!R264, 2),FALSE)),"",_xlfn.REGEXEXTRACT(CELL("address",R264), "\$([A-Z]+)\$[0-9]+"))),_xlfn.REGEXEXTRACT(CELL("address",R264), "\$([A-Z]+)\$[0-9]+"))</f>
        <v/>
      </c>
      <c r="S264" s="7" t="str" cm="1">
        <f t="array" aca="1" ref="S264" ca="1">IFERROR(IF(OR('Raw Data'!S264="",LEN(TRIM('Raw Data'!S264))=0),"",IF(AND(ISNUMBER('Raw Data'!S264), IFERROR('Raw Data'!S264 = ROUND('Raw Data'!S264, 2),FALSE)),"",_xlfn.REGEXEXTRACT(CELL("address",S264), "\$([A-Z]+)\$[0-9]+"))),_xlfn.REGEXEXTRACT(CELL("address",S264), "\$([A-Z]+)\$[0-9]+"))</f>
        <v/>
      </c>
      <c r="T264" s="7" t="str" cm="1">
        <f t="array" aca="1" ref="T264" ca="1">IFERROR(IF(OR('Raw Data'!T264="",LEN(TRIM('Raw Data'!T264))=0),"",IF(AND(ISNUMBER('Raw Data'!T264), IFERROR('Raw Data'!T264 = ROUND('Raw Data'!T264, 2),FALSE)),"",_xlfn.REGEXEXTRACT(CELL("address",T264), "\$([A-Z]+)\$[0-9]+"))),_xlfn.REGEXEXTRACT(CELL("address",T264), "\$([A-Z]+)\$[0-9]+"))</f>
        <v/>
      </c>
      <c r="U264" s="7" t="str" cm="1">
        <f t="array" aca="1" ref="U264" ca="1">IFERROR(IF(OR('Raw Data'!U264="",LEN(TRIM('Raw Data'!U264))=0),"",IF(AND(ISNUMBER('Raw Data'!U264), IFERROR('Raw Data'!U264 = ROUND('Raw Data'!U264, 2),FALSE)),"",_xlfn.REGEXEXTRACT(CELL("address",U264), "\$([A-Z]+)\$[0-9]+"))),_xlfn.REGEXEXTRACT(CELL("address",U264), "\$([A-Z]+)\$[0-9]+"))</f>
        <v/>
      </c>
      <c r="V264" s="7" t="str" cm="1">
        <f t="array" aca="1" ref="V264" ca="1">IFERROR(IF(OR('Raw Data'!V264="",LEN(TRIM('Raw Data'!V264))=0),"",IF(AND(ISNUMBER('Raw Data'!V264), IFERROR('Raw Data'!V264 = ROUND('Raw Data'!V264, 2),FALSE)),"",_xlfn.REGEXEXTRACT(CELL("address",V264), "\$([A-Z]+)\$[0-9]+"))),_xlfn.REGEXEXTRACT(CELL("address",V264), "\$([A-Z]+)\$[0-9]+"))</f>
        <v/>
      </c>
      <c r="W264" s="7" t="str" cm="1">
        <f t="array" aca="1" ref="W264" ca="1">IFERROR(IF(OR('Raw Data'!W264="",LEN(TRIM('Raw Data'!W264))=0),"",IF(AND(ISNUMBER('Raw Data'!W264), IFERROR('Raw Data'!W264 = ROUND('Raw Data'!W264, 2),FALSE)),"",_xlfn.REGEXEXTRACT(CELL("address",W264), "\$([A-Z]+)\$[0-9]+"))),_xlfn.REGEXEXTRACT(CELL("address",W264), "\$([A-Z]+)\$[0-9]+"))</f>
        <v/>
      </c>
      <c r="X264" s="7" t="str" cm="1">
        <f t="array" aca="1" ref="X264" ca="1">IFERROR(IF(OR('Raw Data'!X264="",LEN(TRIM('Raw Data'!X264))=0),"",IF(AND(ISNUMBER('Raw Data'!X264), IFERROR('Raw Data'!X264 = ROUND('Raw Data'!X264, 2),FALSE)),"",_xlfn.REGEXEXTRACT(CELL("address",X264), "\$([A-Z]+)\$[0-9]+"))),_xlfn.REGEXEXTRACT(CELL("address",X264), "\$([A-Z]+)\$[0-9]+"))</f>
        <v/>
      </c>
      <c r="Y264" s="7" t="str" cm="1">
        <f t="array" aca="1" ref="Y264" ca="1">IFERROR(IF(OR('Raw Data'!Y264="",LEN(TRIM('Raw Data'!Y264))=0),"",IF(AND(ISNUMBER('Raw Data'!Y264), IFERROR('Raw Data'!Y264 = ROUND('Raw Data'!Y264, 2),FALSE)),"",_xlfn.REGEXEXTRACT(CELL("address",Y264), "\$([A-Z]+)\$[0-9]+"))),_xlfn.REGEXEXTRACT(CELL("address",Y264), "\$([A-Z]+)\$[0-9]+"))</f>
        <v/>
      </c>
      <c r="Z264" s="7" t="str" cm="1">
        <f t="array" aca="1" ref="Z264" ca="1">IFERROR(IF(OR('Raw Data'!Z264="",LEN(TRIM('Raw Data'!Z264))=0),"",IF(AND(ISNUMBER('Raw Data'!Z264), IFERROR('Raw Data'!Z264 = ROUND('Raw Data'!Z264, 2),FALSE)),"",_xlfn.REGEXEXTRACT(CELL("address",Z264), "\$([A-Z]+)\$[0-9]+"))),_xlfn.REGEXEXTRACT(CELL("address",Z264), "\$([A-Z]+)\$[0-9]+"))</f>
        <v/>
      </c>
      <c r="AA264" s="7" t="str" cm="1">
        <f t="array" aca="1" ref="AA264" ca="1">IFERROR(IF(OR('Raw Data'!AA264="",LEN(TRIM('Raw Data'!AA264))=0),"",IF(AND(ISNUMBER('Raw Data'!AA264), IFERROR('Raw Data'!AA264 = ROUND('Raw Data'!AA264, 2),FALSE)),"",_xlfn.REGEXEXTRACT(CELL("address",AA264), "\$([A-Z]+)\$[0-9]+"))),_xlfn.REGEXEXTRACT(CELL("address",AA264), "\$([A-Z]+)\$[0-9]+"))</f>
        <v/>
      </c>
      <c r="AB264" s="7" t="str" cm="1">
        <f t="array" aca="1" ref="AB264" ca="1">IFERROR(IF(OR('Raw Data'!AB264="",LEN(TRIM('Raw Data'!AB264))=0),"",IF(AND(ISNUMBER('Raw Data'!AB264), IFERROR('Raw Data'!AB264 = ROUND('Raw Data'!AB264, 2),FALSE)),"",_xlfn.REGEXEXTRACT(CELL("address",AB264), "\$([A-Z]+)\$[0-9]+"))),_xlfn.REGEXEXTRACT(CELL("address",AB264), "\$([A-Z]+)\$[0-9]+"))</f>
        <v/>
      </c>
      <c r="AC264" s="7" t="str" cm="1">
        <f t="array" aca="1" ref="AC264" ca="1">IFERROR(IF(OR('Raw Data'!AC264="",LEN(TRIM('Raw Data'!AC264))=0),"",IF(AND(ISNUMBER('Raw Data'!AC264), IFERROR('Raw Data'!AC264 = ROUND('Raw Data'!AC264, 2),FALSE)),"",_xlfn.REGEXEXTRACT(CELL("address",AC264), "\$([A-Z]+)\$[0-9]+"))),_xlfn.REGEXEXTRACT(CELL("address",AC264), "\$([A-Z]+)\$[0-9]+"))</f>
        <v/>
      </c>
      <c r="AD264" s="7" t="str" cm="1">
        <f t="array" aca="1" ref="AD264" ca="1">IFERROR(IF(OR('Raw Data'!AD264="",LEN(TRIM('Raw Data'!AD264))=0),"",IF(AND(ISNUMBER('Raw Data'!AD264), IFERROR('Raw Data'!AD264 = ROUND('Raw Data'!AD264, 2),FALSE)),"",_xlfn.REGEXEXTRACT(CELL("address",AD264), "\$([A-Z]+)\$[0-9]+"))),_xlfn.REGEXEXTRACT(CELL("address",AD264), "\$([A-Z]+)\$[0-9]+"))</f>
        <v/>
      </c>
      <c r="AE264" s="7" t="str" cm="1">
        <f t="array" aca="1" ref="AE264" ca="1">IFERROR(IF(OR('Raw Data'!AE264="",LEN(TRIM('Raw Data'!AE264))=0),"",IF(AND(ISNUMBER('Raw Data'!AE264), IFERROR('Raw Data'!AE264 = ROUND('Raw Data'!AE264, 2),FALSE)),"",_xlfn.REGEXEXTRACT(CELL("address",AE264), "\$([A-Z]+)\$[0-9]+"))),_xlfn.REGEXEXTRACT(CELL("address",AE264), "\$([A-Z]+)\$[0-9]+"))</f>
        <v/>
      </c>
      <c r="AF264" s="7" t="str" cm="1">
        <f t="array" aca="1" ref="AF264" ca="1">IFERROR(IF(OR('Raw Data'!AF264="",LEN(TRIM('Raw Data'!AF264))=0),"",IF(AND(ISNUMBER('Raw Data'!AF264), IFERROR('Raw Data'!AF264 = ROUND('Raw Data'!AF264, 2),FALSE)),"",_xlfn.REGEXEXTRACT(CELL("address",AF264), "\$([A-Z]+)\$[0-9]+"))),_xlfn.REGEXEXTRACT(CELL("address",AF264), "\$([A-Z]+)\$[0-9]+"))</f>
        <v/>
      </c>
      <c r="AG264" s="7" t="str" cm="1">
        <f t="array" aca="1" ref="AG264" ca="1">IFERROR(IF(OR('Raw Data'!AG264="",LEN(TRIM('Raw Data'!AG264))=0),"",IF(AND(ISNUMBER('Raw Data'!AG264), IFERROR('Raw Data'!AG264 = ROUND('Raw Data'!AG264, 2),FALSE)),"",_xlfn.REGEXEXTRACT(CELL("address",AG264), "\$([A-Z]+)\$[0-9]+"))),_xlfn.REGEXEXTRACT(CELL("address",AG264), "\$([A-Z]+)\$[0-9]+"))</f>
        <v/>
      </c>
      <c r="AH264" s="7" t="str" cm="1">
        <f t="array" aca="1" ref="AH264" ca="1">IFERROR(IF(OR('Raw Data'!AH264="",LEN(TRIM('Raw Data'!AH264))=0),"",IF(AND(ISNUMBER('Raw Data'!AH264), IFERROR('Raw Data'!AH264 = ROUND('Raw Data'!AH264, 2),FALSE)),"",_xlfn.REGEXEXTRACT(CELL("address",AH264), "\$([A-Z]+)\$[0-9]+"))),_xlfn.REGEXEXTRACT(CELL("address",AH264), "\$([A-Z]+)\$[0-9]+"))</f>
        <v/>
      </c>
      <c r="AI264" s="7" t="str" cm="1">
        <f t="array" aca="1" ref="AI264" ca="1">IFERROR(IF(OR('Raw Data'!AI264="",LEN(TRIM('Raw Data'!AI264))=0),"",IF(AND(ISNUMBER('Raw Data'!AI264), IFERROR('Raw Data'!AI264 = ROUND('Raw Data'!AI264, 2),FALSE)),"",_xlfn.REGEXEXTRACT(CELL("address",AI264), "\$([A-Z]+)\$[0-9]+"))),_xlfn.REGEXEXTRACT(CELL("address",AI264), "\$([A-Z]+)\$[0-9]+"))</f>
        <v/>
      </c>
      <c r="AJ264" s="7" t="str" cm="1">
        <f t="array" aca="1" ref="AJ264" ca="1">IFERROR(IF(OR('Raw Data'!AJ264="",LEN(TRIM('Raw Data'!AJ264))=0),"",IF(AND(ISNUMBER('Raw Data'!AJ264), IFERROR('Raw Data'!AJ264 = ROUND('Raw Data'!AJ264, 2),FALSE)),"",_xlfn.REGEXEXTRACT(CELL("address",AJ264), "\$([A-Z]+)\$[0-9]+"))),_xlfn.REGEXEXTRACT(CELL("address",AJ264), "\$([A-Z]+)\$[0-9]+"))</f>
        <v/>
      </c>
    </row>
    <row r="265" spans="2:36" x14ac:dyDescent="0.25">
      <c r="B265" s="7" t="str" cm="1">
        <f t="array" aca="1" ref="B265" ca="1">IFERROR(IF(OR('Raw Data'!B265="",LEN(TRIM('Raw Data'!B265))=0),"",IF(AND(LEN('Raw Data'!B265) &lt;= 255,LEN('Raw Data'!B265)&gt; 0),"",_xlfn.REGEXEXTRACT(CELL("address",'Raw Data'!B265),"\$([A-Z]+)\$[0-9]+"))),_xlfn.REGEXEXTRACT(CELL("address",'Raw Data'!B265),"\$([A-Z]+)\$[0-9]+"))</f>
        <v/>
      </c>
      <c r="C265" s="7" t="str" cm="1">
        <f t="array" aca="1" ref="C265" ca="1">IFERROR(IF(OR('Raw Data'!C265="",LEN(TRIM('Raw Data'!C265))=0),"",IF(AND(LEN('Raw Data'!C265) &lt;= 20,LEN('Raw Data'!C265)&gt; 0),"",_xlfn.REGEXEXTRACT(CELL("address",'Raw Data'!C265),"\$([A-Z]+)\$[0-9]+"))),_xlfn.REGEXEXTRACT(CELL("address",'Raw Data'!C265),"\$([A-Z]+)\$[0-9]+"))</f>
        <v/>
      </c>
      <c r="D265" s="7" t="str" cm="1">
        <f t="array" aca="1" ref="D265" ca="1">IFERROR(IF(OR('Raw Data'!D265="",LEN(TRIM('Raw Data'!D265))=0),"",IF(AND(ISNUMBER('Raw Data'!D265),'Raw Data'!D265&gt;=Configuration!$D$2),"",_xlfn.REGEXEXTRACT(CELL("address",'Raw Data'!D265),"\$([A-Z]+)\$[0-9]+"))),_xlfn.REGEXEXTRACT(CELL("address",D265), "\$([A-Z]+)\$[0-9]+"))</f>
        <v/>
      </c>
      <c r="E265" s="7" t="str" cm="1">
        <f t="array" aca="1" ref="E265" ca="1">IFERROR(IF(OR('Raw Data'!E265="",LEN(TRIM('Raw Data'!E265))=0),"",IF(AND(ISNUMBER('Raw Data'!E265), IFERROR('Raw Data'!E265 = ROUND('Raw Data'!E265, 2),FALSE)),"",_xlfn.REGEXEXTRACT(CELL("address",E265), "\$([A-Z]+)\$[0-9]+"))),_xlfn.REGEXEXTRACT(CELL("address",E265), "\$([A-Z]+)\$[0-9]+"))</f>
        <v/>
      </c>
      <c r="F265" s="7" t="str" cm="1">
        <f t="array" aca="1" ref="F265" ca="1">IFERROR(IF(OR('Raw Data'!F265="",LEN(TRIM('Raw Data'!F265))=0),"",IF(AND(ISNUMBER('Raw Data'!F265), IFERROR('Raw Data'!F265 = ROUND('Raw Data'!F265, 2),FALSE)),"",_xlfn.REGEXEXTRACT(CELL("address",F265), "\$([A-Z]+)\$[0-9]+"))),_xlfn.REGEXEXTRACT(CELL("address",F265), "\$([A-Z]+)\$[0-9]+"))</f>
        <v/>
      </c>
      <c r="G265" s="7" t="str" cm="1">
        <f t="array" aca="1" ref="G265" ca="1">IFERROR(IF(OR('Raw Data'!G265="",LEN(TRIM('Raw Data'!G265))=0),"",IF(AND(ISNUMBER('Raw Data'!G265), IFERROR('Raw Data'!G265 = ROUND('Raw Data'!G265, 2),FALSE)),"",_xlfn.REGEXEXTRACT(CELL("address",G265), "\$([A-Z]+)\$[0-9]+"))),_xlfn.REGEXEXTRACT(CELL("address",G265), "\$([A-Z]+)\$[0-9]+"))</f>
        <v/>
      </c>
      <c r="H265" s="7" t="str" cm="1">
        <f t="array" aca="1" ref="H265" ca="1">IFERROR(IF(OR('Raw Data'!H265="",LEN(TRIM('Raw Data'!H265))=0),"",IF(AND(ISNUMBER('Raw Data'!H265), IFERROR('Raw Data'!H265 = ROUND('Raw Data'!H265, 2),FALSE)),"",_xlfn.REGEXEXTRACT(CELL("address",H265), "\$([A-Z]+)\$[0-9]+"))),_xlfn.REGEXEXTRACT(CELL("address",H265), "\$([A-Z]+)\$[0-9]+"))</f>
        <v/>
      </c>
      <c r="I265" s="7" t="str" cm="1">
        <f t="array" aca="1" ref="I265" ca="1">IFERROR(IF(OR('Raw Data'!I265="",LEN(TRIM('Raw Data'!I265))=0),"",IF(AND(ISNUMBER('Raw Data'!I265), IFERROR('Raw Data'!I265 = ROUND('Raw Data'!I265, 2),FALSE)),"",_xlfn.REGEXEXTRACT(CELL("address",I265), "\$([A-Z]+)\$[0-9]+"))),_xlfn.REGEXEXTRACT(CELL("address",I265), "\$([A-Z]+)\$[0-9]+"))</f>
        <v/>
      </c>
      <c r="J265" s="7" t="str" cm="1">
        <f t="array" aca="1" ref="J265" ca="1">IFERROR(IF(OR('Raw Data'!J265="",LEN(TRIM('Raw Data'!J265))=0),"",IF(AND(ISNUMBER('Raw Data'!J265), IFERROR('Raw Data'!J265 = ROUND('Raw Data'!J265, 2),FALSE)),"",_xlfn.REGEXEXTRACT(CELL("address",J265), "\$([A-Z]+)\$[0-9]+"))),_xlfn.REGEXEXTRACT(CELL("address",J265), "\$([A-Z]+)\$[0-9]+"))</f>
        <v/>
      </c>
      <c r="K265" s="7" t="str" cm="1">
        <f t="array" aca="1" ref="K265" ca="1">IFERROR(IF(OR('Raw Data'!K265="",LEN(TRIM('Raw Data'!K265))=0),"",IF(AND(ISNUMBER('Raw Data'!K265), IFERROR('Raw Data'!K265 = ROUND('Raw Data'!K265, 2),FALSE)),"",_xlfn.REGEXEXTRACT(CELL("address",K265), "\$([A-Z]+)\$[0-9]+"))),_xlfn.REGEXEXTRACT(CELL("address",K265), "\$([A-Z]+)\$[0-9]+"))</f>
        <v/>
      </c>
      <c r="L265" s="7" t="str" cm="1">
        <f t="array" aca="1" ref="L265" ca="1">IFERROR(IF(OR('Raw Data'!L265="",LEN(TRIM('Raw Data'!L265))=0),"",IF(AND(ISNUMBER('Raw Data'!L265), IFERROR('Raw Data'!L265 = ROUND('Raw Data'!L265, 2),FALSE)),"",_xlfn.REGEXEXTRACT(CELL("address",L265), "\$([A-Z]+)\$[0-9]+"))),_xlfn.REGEXEXTRACT(CELL("address",L265), "\$([A-Z]+)\$[0-9]+"))</f>
        <v/>
      </c>
      <c r="M265" s="7" t="str" cm="1">
        <f t="array" aca="1" ref="M265" ca="1">IFERROR(IF(OR('Raw Data'!M265="",LEN(TRIM('Raw Data'!M265))=0),"",IF(AND(ISNUMBER('Raw Data'!M265), IFERROR('Raw Data'!M265 = ROUND('Raw Data'!M265, 2),FALSE)),"",_xlfn.REGEXEXTRACT(CELL("address",M265), "\$([A-Z]+)\$[0-9]+"))),_xlfn.REGEXEXTRACT(CELL("address",M265), "\$([A-Z]+)\$[0-9]+"))</f>
        <v/>
      </c>
      <c r="N265" s="7" t="str" cm="1">
        <f t="array" aca="1" ref="N265" ca="1">IFERROR(IF(OR('Raw Data'!N265="",LEN(TRIM('Raw Data'!N265))=0),"",IF(AND(ISNUMBER('Raw Data'!N265), IFERROR('Raw Data'!N265 = ROUND('Raw Data'!N265, 2),FALSE)),"",_xlfn.REGEXEXTRACT(CELL("address",N265), "\$([A-Z]+)\$[0-9]+"))),_xlfn.REGEXEXTRACT(CELL("address",N265), "\$([A-Z]+)\$[0-9]+"))</f>
        <v/>
      </c>
      <c r="O265" s="7" t="str" cm="1">
        <f t="array" aca="1" ref="O265" ca="1">IFERROR(IF(OR('Raw Data'!O265="",LEN(TRIM('Raw Data'!O265))=0),"",IF(AND(ISNUMBER('Raw Data'!O265), IFERROR('Raw Data'!O265 = ROUND('Raw Data'!O265, 2),FALSE)),"",_xlfn.REGEXEXTRACT(CELL("address",O265), "\$([A-Z]+)\$[0-9]+"))),_xlfn.REGEXEXTRACT(CELL("address",O265), "\$([A-Z]+)\$[0-9]+"))</f>
        <v/>
      </c>
      <c r="P265" s="7" t="str" cm="1">
        <f t="array" aca="1" ref="P265" ca="1">IFERROR(IF(OR('Raw Data'!P265="",LEN(TRIM('Raw Data'!P265))=0),"",IF(AND(ISNUMBER('Raw Data'!P265), IFERROR('Raw Data'!P265 = ROUND('Raw Data'!P265, 2),FALSE)),"",_xlfn.REGEXEXTRACT(CELL("address",P265), "\$([A-Z]+)\$[0-9]+"))),_xlfn.REGEXEXTRACT(CELL("address",P265), "\$([A-Z]+)\$[0-9]+"))</f>
        <v/>
      </c>
      <c r="Q265" s="7" t="str" cm="1">
        <f t="array" aca="1" ref="Q265" ca="1">IFERROR(IF(OR('Raw Data'!Q265="",LEN(TRIM('Raw Data'!Q265))=0),"",IF(AND(ISNUMBER('Raw Data'!Q265), IFERROR('Raw Data'!Q265 = ROUND('Raw Data'!Q265, 2),FALSE)),"",_xlfn.REGEXEXTRACT(CELL("address",Q265), "\$([A-Z]+)\$[0-9]+"))),_xlfn.REGEXEXTRACT(CELL("address",Q265), "\$([A-Z]+)\$[0-9]+"))</f>
        <v/>
      </c>
      <c r="R265" s="7" t="str" cm="1">
        <f t="array" aca="1" ref="R265" ca="1">IFERROR(IF(OR('Raw Data'!R265="",LEN(TRIM('Raw Data'!R265))=0),"",IF(AND(ISNUMBER('Raw Data'!R265), IFERROR('Raw Data'!R265 = ROUND('Raw Data'!R265, 2),FALSE)),"",_xlfn.REGEXEXTRACT(CELL("address",R265), "\$([A-Z]+)\$[0-9]+"))),_xlfn.REGEXEXTRACT(CELL("address",R265), "\$([A-Z]+)\$[0-9]+"))</f>
        <v/>
      </c>
      <c r="S265" s="7" t="str" cm="1">
        <f t="array" aca="1" ref="S265" ca="1">IFERROR(IF(OR('Raw Data'!S265="",LEN(TRIM('Raw Data'!S265))=0),"",IF(AND(ISNUMBER('Raw Data'!S265), IFERROR('Raw Data'!S265 = ROUND('Raw Data'!S265, 2),FALSE)),"",_xlfn.REGEXEXTRACT(CELL("address",S265), "\$([A-Z]+)\$[0-9]+"))),_xlfn.REGEXEXTRACT(CELL("address",S265), "\$([A-Z]+)\$[0-9]+"))</f>
        <v/>
      </c>
      <c r="T265" s="7" t="str" cm="1">
        <f t="array" aca="1" ref="T265" ca="1">IFERROR(IF(OR('Raw Data'!T265="",LEN(TRIM('Raw Data'!T265))=0),"",IF(AND(ISNUMBER('Raw Data'!T265), IFERROR('Raw Data'!T265 = ROUND('Raw Data'!T265, 2),FALSE)),"",_xlfn.REGEXEXTRACT(CELL("address",T265), "\$([A-Z]+)\$[0-9]+"))),_xlfn.REGEXEXTRACT(CELL("address",T265), "\$([A-Z]+)\$[0-9]+"))</f>
        <v/>
      </c>
      <c r="U265" s="7" t="str" cm="1">
        <f t="array" aca="1" ref="U265" ca="1">IFERROR(IF(OR('Raw Data'!U265="",LEN(TRIM('Raw Data'!U265))=0),"",IF(AND(ISNUMBER('Raw Data'!U265), IFERROR('Raw Data'!U265 = ROUND('Raw Data'!U265, 2),FALSE)),"",_xlfn.REGEXEXTRACT(CELL("address",U265), "\$([A-Z]+)\$[0-9]+"))),_xlfn.REGEXEXTRACT(CELL("address",U265), "\$([A-Z]+)\$[0-9]+"))</f>
        <v/>
      </c>
      <c r="V265" s="7" t="str" cm="1">
        <f t="array" aca="1" ref="V265" ca="1">IFERROR(IF(OR('Raw Data'!V265="",LEN(TRIM('Raw Data'!V265))=0),"",IF(AND(ISNUMBER('Raw Data'!V265), IFERROR('Raw Data'!V265 = ROUND('Raw Data'!V265, 2),FALSE)),"",_xlfn.REGEXEXTRACT(CELL("address",V265), "\$([A-Z]+)\$[0-9]+"))),_xlfn.REGEXEXTRACT(CELL("address",V265), "\$([A-Z]+)\$[0-9]+"))</f>
        <v/>
      </c>
      <c r="W265" s="7" t="str" cm="1">
        <f t="array" aca="1" ref="W265" ca="1">IFERROR(IF(OR('Raw Data'!W265="",LEN(TRIM('Raw Data'!W265))=0),"",IF(AND(ISNUMBER('Raw Data'!W265), IFERROR('Raw Data'!W265 = ROUND('Raw Data'!W265, 2),FALSE)),"",_xlfn.REGEXEXTRACT(CELL("address",W265), "\$([A-Z]+)\$[0-9]+"))),_xlfn.REGEXEXTRACT(CELL("address",W265), "\$([A-Z]+)\$[0-9]+"))</f>
        <v/>
      </c>
      <c r="X265" s="7" t="str" cm="1">
        <f t="array" aca="1" ref="X265" ca="1">IFERROR(IF(OR('Raw Data'!X265="",LEN(TRIM('Raw Data'!X265))=0),"",IF(AND(ISNUMBER('Raw Data'!X265), IFERROR('Raw Data'!X265 = ROUND('Raw Data'!X265, 2),FALSE)),"",_xlfn.REGEXEXTRACT(CELL("address",X265), "\$([A-Z]+)\$[0-9]+"))),_xlfn.REGEXEXTRACT(CELL("address",X265), "\$([A-Z]+)\$[0-9]+"))</f>
        <v/>
      </c>
      <c r="Y265" s="7" t="str" cm="1">
        <f t="array" aca="1" ref="Y265" ca="1">IFERROR(IF(OR('Raw Data'!Y265="",LEN(TRIM('Raw Data'!Y265))=0),"",IF(AND(ISNUMBER('Raw Data'!Y265), IFERROR('Raw Data'!Y265 = ROUND('Raw Data'!Y265, 2),FALSE)),"",_xlfn.REGEXEXTRACT(CELL("address",Y265), "\$([A-Z]+)\$[0-9]+"))),_xlfn.REGEXEXTRACT(CELL("address",Y265), "\$([A-Z]+)\$[0-9]+"))</f>
        <v/>
      </c>
      <c r="Z265" s="7" t="str" cm="1">
        <f t="array" aca="1" ref="Z265" ca="1">IFERROR(IF(OR('Raw Data'!Z265="",LEN(TRIM('Raw Data'!Z265))=0),"",IF(AND(ISNUMBER('Raw Data'!Z265), IFERROR('Raw Data'!Z265 = ROUND('Raw Data'!Z265, 2),FALSE)),"",_xlfn.REGEXEXTRACT(CELL("address",Z265), "\$([A-Z]+)\$[0-9]+"))),_xlfn.REGEXEXTRACT(CELL("address",Z265), "\$([A-Z]+)\$[0-9]+"))</f>
        <v/>
      </c>
      <c r="AA265" s="7" t="str" cm="1">
        <f t="array" aca="1" ref="AA265" ca="1">IFERROR(IF(OR('Raw Data'!AA265="",LEN(TRIM('Raw Data'!AA265))=0),"",IF(AND(ISNUMBER('Raw Data'!AA265), IFERROR('Raw Data'!AA265 = ROUND('Raw Data'!AA265, 2),FALSE)),"",_xlfn.REGEXEXTRACT(CELL("address",AA265), "\$([A-Z]+)\$[0-9]+"))),_xlfn.REGEXEXTRACT(CELL("address",AA265), "\$([A-Z]+)\$[0-9]+"))</f>
        <v/>
      </c>
      <c r="AB265" s="7" t="str" cm="1">
        <f t="array" aca="1" ref="AB265" ca="1">IFERROR(IF(OR('Raw Data'!AB265="",LEN(TRIM('Raw Data'!AB265))=0),"",IF(AND(ISNUMBER('Raw Data'!AB265), IFERROR('Raw Data'!AB265 = ROUND('Raw Data'!AB265, 2),FALSE)),"",_xlfn.REGEXEXTRACT(CELL("address",AB265), "\$([A-Z]+)\$[0-9]+"))),_xlfn.REGEXEXTRACT(CELL("address",AB265), "\$([A-Z]+)\$[0-9]+"))</f>
        <v/>
      </c>
      <c r="AC265" s="7" t="str" cm="1">
        <f t="array" aca="1" ref="AC265" ca="1">IFERROR(IF(OR('Raw Data'!AC265="",LEN(TRIM('Raw Data'!AC265))=0),"",IF(AND(ISNUMBER('Raw Data'!AC265), IFERROR('Raw Data'!AC265 = ROUND('Raw Data'!AC265, 2),FALSE)),"",_xlfn.REGEXEXTRACT(CELL("address",AC265), "\$([A-Z]+)\$[0-9]+"))),_xlfn.REGEXEXTRACT(CELL("address",AC265), "\$([A-Z]+)\$[0-9]+"))</f>
        <v/>
      </c>
      <c r="AD265" s="7" t="str" cm="1">
        <f t="array" aca="1" ref="AD265" ca="1">IFERROR(IF(OR('Raw Data'!AD265="",LEN(TRIM('Raw Data'!AD265))=0),"",IF(AND(ISNUMBER('Raw Data'!AD265), IFERROR('Raw Data'!AD265 = ROUND('Raw Data'!AD265, 2),FALSE)),"",_xlfn.REGEXEXTRACT(CELL("address",AD265), "\$([A-Z]+)\$[0-9]+"))),_xlfn.REGEXEXTRACT(CELL("address",AD265), "\$([A-Z]+)\$[0-9]+"))</f>
        <v/>
      </c>
      <c r="AE265" s="7" t="str" cm="1">
        <f t="array" aca="1" ref="AE265" ca="1">IFERROR(IF(OR('Raw Data'!AE265="",LEN(TRIM('Raw Data'!AE265))=0),"",IF(AND(ISNUMBER('Raw Data'!AE265), IFERROR('Raw Data'!AE265 = ROUND('Raw Data'!AE265, 2),FALSE)),"",_xlfn.REGEXEXTRACT(CELL("address",AE265), "\$([A-Z]+)\$[0-9]+"))),_xlfn.REGEXEXTRACT(CELL("address",AE265), "\$([A-Z]+)\$[0-9]+"))</f>
        <v/>
      </c>
      <c r="AF265" s="7" t="str" cm="1">
        <f t="array" aca="1" ref="AF265" ca="1">IFERROR(IF(OR('Raw Data'!AF265="",LEN(TRIM('Raw Data'!AF265))=0),"",IF(AND(ISNUMBER('Raw Data'!AF265), IFERROR('Raw Data'!AF265 = ROUND('Raw Data'!AF265, 2),FALSE)),"",_xlfn.REGEXEXTRACT(CELL("address",AF265), "\$([A-Z]+)\$[0-9]+"))),_xlfn.REGEXEXTRACT(CELL("address",AF265), "\$([A-Z]+)\$[0-9]+"))</f>
        <v/>
      </c>
      <c r="AG265" s="7" t="str" cm="1">
        <f t="array" aca="1" ref="AG265" ca="1">IFERROR(IF(OR('Raw Data'!AG265="",LEN(TRIM('Raw Data'!AG265))=0),"",IF(AND(ISNUMBER('Raw Data'!AG265), IFERROR('Raw Data'!AG265 = ROUND('Raw Data'!AG265, 2),FALSE)),"",_xlfn.REGEXEXTRACT(CELL("address",AG265), "\$([A-Z]+)\$[0-9]+"))),_xlfn.REGEXEXTRACT(CELL("address",AG265), "\$([A-Z]+)\$[0-9]+"))</f>
        <v/>
      </c>
      <c r="AH265" s="7" t="str" cm="1">
        <f t="array" aca="1" ref="AH265" ca="1">IFERROR(IF(OR('Raw Data'!AH265="",LEN(TRIM('Raw Data'!AH265))=0),"",IF(AND(ISNUMBER('Raw Data'!AH265), IFERROR('Raw Data'!AH265 = ROUND('Raw Data'!AH265, 2),FALSE)),"",_xlfn.REGEXEXTRACT(CELL("address",AH265), "\$([A-Z]+)\$[0-9]+"))),_xlfn.REGEXEXTRACT(CELL("address",AH265), "\$([A-Z]+)\$[0-9]+"))</f>
        <v/>
      </c>
      <c r="AI265" s="7" t="str" cm="1">
        <f t="array" aca="1" ref="AI265" ca="1">IFERROR(IF(OR('Raw Data'!AI265="",LEN(TRIM('Raw Data'!AI265))=0),"",IF(AND(ISNUMBER('Raw Data'!AI265), IFERROR('Raw Data'!AI265 = ROUND('Raw Data'!AI265, 2),FALSE)),"",_xlfn.REGEXEXTRACT(CELL("address",AI265), "\$([A-Z]+)\$[0-9]+"))),_xlfn.REGEXEXTRACT(CELL("address",AI265), "\$([A-Z]+)\$[0-9]+"))</f>
        <v/>
      </c>
      <c r="AJ265" s="7" t="str" cm="1">
        <f t="array" aca="1" ref="AJ265" ca="1">IFERROR(IF(OR('Raw Data'!AJ265="",LEN(TRIM('Raw Data'!AJ265))=0),"",IF(AND(ISNUMBER('Raw Data'!AJ265), IFERROR('Raw Data'!AJ265 = ROUND('Raw Data'!AJ265, 2),FALSE)),"",_xlfn.REGEXEXTRACT(CELL("address",AJ265), "\$([A-Z]+)\$[0-9]+"))),_xlfn.REGEXEXTRACT(CELL("address",AJ265), "\$([A-Z]+)\$[0-9]+"))</f>
        <v/>
      </c>
    </row>
    <row r="266" spans="2:36" x14ac:dyDescent="0.25">
      <c r="B266" s="7" t="str" cm="1">
        <f t="array" aca="1" ref="B266" ca="1">IFERROR(IF(OR('Raw Data'!B266="",LEN(TRIM('Raw Data'!B266))=0),"",IF(AND(LEN('Raw Data'!B266) &lt;= 255,LEN('Raw Data'!B266)&gt; 0),"",_xlfn.REGEXEXTRACT(CELL("address",'Raw Data'!B266),"\$([A-Z]+)\$[0-9]+"))),_xlfn.REGEXEXTRACT(CELL("address",'Raw Data'!B266),"\$([A-Z]+)\$[0-9]+"))</f>
        <v/>
      </c>
      <c r="C266" s="7" t="str" cm="1">
        <f t="array" aca="1" ref="C266" ca="1">IFERROR(IF(OR('Raw Data'!C266="",LEN(TRIM('Raw Data'!C266))=0),"",IF(AND(LEN('Raw Data'!C266) &lt;= 20,LEN('Raw Data'!C266)&gt; 0),"",_xlfn.REGEXEXTRACT(CELL("address",'Raw Data'!C266),"\$([A-Z]+)\$[0-9]+"))),_xlfn.REGEXEXTRACT(CELL("address",'Raw Data'!C266),"\$([A-Z]+)\$[0-9]+"))</f>
        <v/>
      </c>
      <c r="D266" s="7" t="str" cm="1">
        <f t="array" aca="1" ref="D266" ca="1">IFERROR(IF(OR('Raw Data'!D266="",LEN(TRIM('Raw Data'!D266))=0),"",IF(AND(ISNUMBER('Raw Data'!D266),'Raw Data'!D266&gt;=Configuration!$D$2),"",_xlfn.REGEXEXTRACT(CELL("address",'Raw Data'!D266),"\$([A-Z]+)\$[0-9]+"))),_xlfn.REGEXEXTRACT(CELL("address",D266), "\$([A-Z]+)\$[0-9]+"))</f>
        <v/>
      </c>
      <c r="E266" s="7" t="str" cm="1">
        <f t="array" aca="1" ref="E266" ca="1">IFERROR(IF(OR('Raw Data'!E266="",LEN(TRIM('Raw Data'!E266))=0),"",IF(AND(ISNUMBER('Raw Data'!E266), IFERROR('Raw Data'!E266 = ROUND('Raw Data'!E266, 2),FALSE)),"",_xlfn.REGEXEXTRACT(CELL("address",E266), "\$([A-Z]+)\$[0-9]+"))),_xlfn.REGEXEXTRACT(CELL("address",E266), "\$([A-Z]+)\$[0-9]+"))</f>
        <v/>
      </c>
      <c r="F266" s="7" t="str" cm="1">
        <f t="array" aca="1" ref="F266" ca="1">IFERROR(IF(OR('Raw Data'!F266="",LEN(TRIM('Raw Data'!F266))=0),"",IF(AND(ISNUMBER('Raw Data'!F266), IFERROR('Raw Data'!F266 = ROUND('Raw Data'!F266, 2),FALSE)),"",_xlfn.REGEXEXTRACT(CELL("address",F266), "\$([A-Z]+)\$[0-9]+"))),_xlfn.REGEXEXTRACT(CELL("address",F266), "\$([A-Z]+)\$[0-9]+"))</f>
        <v/>
      </c>
      <c r="G266" s="7" t="str" cm="1">
        <f t="array" aca="1" ref="G266" ca="1">IFERROR(IF(OR('Raw Data'!G266="",LEN(TRIM('Raw Data'!G266))=0),"",IF(AND(ISNUMBER('Raw Data'!G266), IFERROR('Raw Data'!G266 = ROUND('Raw Data'!G266, 2),FALSE)),"",_xlfn.REGEXEXTRACT(CELL("address",G266), "\$([A-Z]+)\$[0-9]+"))),_xlfn.REGEXEXTRACT(CELL("address",G266), "\$([A-Z]+)\$[0-9]+"))</f>
        <v/>
      </c>
      <c r="H266" s="7" t="str" cm="1">
        <f t="array" aca="1" ref="H266" ca="1">IFERROR(IF(OR('Raw Data'!H266="",LEN(TRIM('Raw Data'!H266))=0),"",IF(AND(ISNUMBER('Raw Data'!H266), IFERROR('Raw Data'!H266 = ROUND('Raw Data'!H266, 2),FALSE)),"",_xlfn.REGEXEXTRACT(CELL("address",H266), "\$([A-Z]+)\$[0-9]+"))),_xlfn.REGEXEXTRACT(CELL("address",H266), "\$([A-Z]+)\$[0-9]+"))</f>
        <v/>
      </c>
      <c r="I266" s="7" t="str" cm="1">
        <f t="array" aca="1" ref="I266" ca="1">IFERROR(IF(OR('Raw Data'!I266="",LEN(TRIM('Raw Data'!I266))=0),"",IF(AND(ISNUMBER('Raw Data'!I266), IFERROR('Raw Data'!I266 = ROUND('Raw Data'!I266, 2),FALSE)),"",_xlfn.REGEXEXTRACT(CELL("address",I266), "\$([A-Z]+)\$[0-9]+"))),_xlfn.REGEXEXTRACT(CELL("address",I266), "\$([A-Z]+)\$[0-9]+"))</f>
        <v/>
      </c>
      <c r="J266" s="7" t="str" cm="1">
        <f t="array" aca="1" ref="J266" ca="1">IFERROR(IF(OR('Raw Data'!J266="",LEN(TRIM('Raw Data'!J266))=0),"",IF(AND(ISNUMBER('Raw Data'!J266), IFERROR('Raw Data'!J266 = ROUND('Raw Data'!J266, 2),FALSE)),"",_xlfn.REGEXEXTRACT(CELL("address",J266), "\$([A-Z]+)\$[0-9]+"))),_xlfn.REGEXEXTRACT(CELL("address",J266), "\$([A-Z]+)\$[0-9]+"))</f>
        <v/>
      </c>
      <c r="K266" s="7" t="str" cm="1">
        <f t="array" aca="1" ref="K266" ca="1">IFERROR(IF(OR('Raw Data'!K266="",LEN(TRIM('Raw Data'!K266))=0),"",IF(AND(ISNUMBER('Raw Data'!K266), IFERROR('Raw Data'!K266 = ROUND('Raw Data'!K266, 2),FALSE)),"",_xlfn.REGEXEXTRACT(CELL("address",K266), "\$([A-Z]+)\$[0-9]+"))),_xlfn.REGEXEXTRACT(CELL("address",K266), "\$([A-Z]+)\$[0-9]+"))</f>
        <v/>
      </c>
      <c r="L266" s="7" t="str" cm="1">
        <f t="array" aca="1" ref="L266" ca="1">IFERROR(IF(OR('Raw Data'!L266="",LEN(TRIM('Raw Data'!L266))=0),"",IF(AND(ISNUMBER('Raw Data'!L266), IFERROR('Raw Data'!L266 = ROUND('Raw Data'!L266, 2),FALSE)),"",_xlfn.REGEXEXTRACT(CELL("address",L266), "\$([A-Z]+)\$[0-9]+"))),_xlfn.REGEXEXTRACT(CELL("address",L266), "\$([A-Z]+)\$[0-9]+"))</f>
        <v/>
      </c>
      <c r="M266" s="7" t="str" cm="1">
        <f t="array" aca="1" ref="M266" ca="1">IFERROR(IF(OR('Raw Data'!M266="",LEN(TRIM('Raw Data'!M266))=0),"",IF(AND(ISNUMBER('Raw Data'!M266), IFERROR('Raw Data'!M266 = ROUND('Raw Data'!M266, 2),FALSE)),"",_xlfn.REGEXEXTRACT(CELL("address",M266), "\$([A-Z]+)\$[0-9]+"))),_xlfn.REGEXEXTRACT(CELL("address",M266), "\$([A-Z]+)\$[0-9]+"))</f>
        <v/>
      </c>
      <c r="N266" s="7" t="str" cm="1">
        <f t="array" aca="1" ref="N266" ca="1">IFERROR(IF(OR('Raw Data'!N266="",LEN(TRIM('Raw Data'!N266))=0),"",IF(AND(ISNUMBER('Raw Data'!N266), IFERROR('Raw Data'!N266 = ROUND('Raw Data'!N266, 2),FALSE)),"",_xlfn.REGEXEXTRACT(CELL("address",N266), "\$([A-Z]+)\$[0-9]+"))),_xlfn.REGEXEXTRACT(CELL("address",N266), "\$([A-Z]+)\$[0-9]+"))</f>
        <v/>
      </c>
      <c r="O266" s="7" t="str" cm="1">
        <f t="array" aca="1" ref="O266" ca="1">IFERROR(IF(OR('Raw Data'!O266="",LEN(TRIM('Raw Data'!O266))=0),"",IF(AND(ISNUMBER('Raw Data'!O266), IFERROR('Raw Data'!O266 = ROUND('Raw Data'!O266, 2),FALSE)),"",_xlfn.REGEXEXTRACT(CELL("address",O266), "\$([A-Z]+)\$[0-9]+"))),_xlfn.REGEXEXTRACT(CELL("address",O266), "\$([A-Z]+)\$[0-9]+"))</f>
        <v/>
      </c>
      <c r="P266" s="7" t="str" cm="1">
        <f t="array" aca="1" ref="P266" ca="1">IFERROR(IF(OR('Raw Data'!P266="",LEN(TRIM('Raw Data'!P266))=0),"",IF(AND(ISNUMBER('Raw Data'!P266), IFERROR('Raw Data'!P266 = ROUND('Raw Data'!P266, 2),FALSE)),"",_xlfn.REGEXEXTRACT(CELL("address",P266), "\$([A-Z]+)\$[0-9]+"))),_xlfn.REGEXEXTRACT(CELL("address",P266), "\$([A-Z]+)\$[0-9]+"))</f>
        <v/>
      </c>
      <c r="Q266" s="7" t="str" cm="1">
        <f t="array" aca="1" ref="Q266" ca="1">IFERROR(IF(OR('Raw Data'!Q266="",LEN(TRIM('Raw Data'!Q266))=0),"",IF(AND(ISNUMBER('Raw Data'!Q266), IFERROR('Raw Data'!Q266 = ROUND('Raw Data'!Q266, 2),FALSE)),"",_xlfn.REGEXEXTRACT(CELL("address",Q266), "\$([A-Z]+)\$[0-9]+"))),_xlfn.REGEXEXTRACT(CELL("address",Q266), "\$([A-Z]+)\$[0-9]+"))</f>
        <v/>
      </c>
      <c r="R266" s="7" t="str" cm="1">
        <f t="array" aca="1" ref="R266" ca="1">IFERROR(IF(OR('Raw Data'!R266="",LEN(TRIM('Raw Data'!R266))=0),"",IF(AND(ISNUMBER('Raw Data'!R266), IFERROR('Raw Data'!R266 = ROUND('Raw Data'!R266, 2),FALSE)),"",_xlfn.REGEXEXTRACT(CELL("address",R266), "\$([A-Z]+)\$[0-9]+"))),_xlfn.REGEXEXTRACT(CELL("address",R266), "\$([A-Z]+)\$[0-9]+"))</f>
        <v/>
      </c>
      <c r="S266" s="7" t="str" cm="1">
        <f t="array" aca="1" ref="S266" ca="1">IFERROR(IF(OR('Raw Data'!S266="",LEN(TRIM('Raw Data'!S266))=0),"",IF(AND(ISNUMBER('Raw Data'!S266), IFERROR('Raw Data'!S266 = ROUND('Raw Data'!S266, 2),FALSE)),"",_xlfn.REGEXEXTRACT(CELL("address",S266), "\$([A-Z]+)\$[0-9]+"))),_xlfn.REGEXEXTRACT(CELL("address",S266), "\$([A-Z]+)\$[0-9]+"))</f>
        <v/>
      </c>
      <c r="T266" s="7" t="str" cm="1">
        <f t="array" aca="1" ref="T266" ca="1">IFERROR(IF(OR('Raw Data'!T266="",LEN(TRIM('Raw Data'!T266))=0),"",IF(AND(ISNUMBER('Raw Data'!T266), IFERROR('Raw Data'!T266 = ROUND('Raw Data'!T266, 2),FALSE)),"",_xlfn.REGEXEXTRACT(CELL("address",T266), "\$([A-Z]+)\$[0-9]+"))),_xlfn.REGEXEXTRACT(CELL("address",T266), "\$([A-Z]+)\$[0-9]+"))</f>
        <v/>
      </c>
      <c r="U266" s="7" t="str" cm="1">
        <f t="array" aca="1" ref="U266" ca="1">IFERROR(IF(OR('Raw Data'!U266="",LEN(TRIM('Raw Data'!U266))=0),"",IF(AND(ISNUMBER('Raw Data'!U266), IFERROR('Raw Data'!U266 = ROUND('Raw Data'!U266, 2),FALSE)),"",_xlfn.REGEXEXTRACT(CELL("address",U266), "\$([A-Z]+)\$[0-9]+"))),_xlfn.REGEXEXTRACT(CELL("address",U266), "\$([A-Z]+)\$[0-9]+"))</f>
        <v/>
      </c>
      <c r="V266" s="7" t="str" cm="1">
        <f t="array" aca="1" ref="V266" ca="1">IFERROR(IF(OR('Raw Data'!V266="",LEN(TRIM('Raw Data'!V266))=0),"",IF(AND(ISNUMBER('Raw Data'!V266), IFERROR('Raw Data'!V266 = ROUND('Raw Data'!V266, 2),FALSE)),"",_xlfn.REGEXEXTRACT(CELL("address",V266), "\$([A-Z]+)\$[0-9]+"))),_xlfn.REGEXEXTRACT(CELL("address",V266), "\$([A-Z]+)\$[0-9]+"))</f>
        <v/>
      </c>
      <c r="W266" s="7" t="str" cm="1">
        <f t="array" aca="1" ref="W266" ca="1">IFERROR(IF(OR('Raw Data'!W266="",LEN(TRIM('Raw Data'!W266))=0),"",IF(AND(ISNUMBER('Raw Data'!W266), IFERROR('Raw Data'!W266 = ROUND('Raw Data'!W266, 2),FALSE)),"",_xlfn.REGEXEXTRACT(CELL("address",W266), "\$([A-Z]+)\$[0-9]+"))),_xlfn.REGEXEXTRACT(CELL("address",W266), "\$([A-Z]+)\$[0-9]+"))</f>
        <v/>
      </c>
      <c r="X266" s="7" t="str" cm="1">
        <f t="array" aca="1" ref="X266" ca="1">IFERROR(IF(OR('Raw Data'!X266="",LEN(TRIM('Raw Data'!X266))=0),"",IF(AND(ISNUMBER('Raw Data'!X266), IFERROR('Raw Data'!X266 = ROUND('Raw Data'!X266, 2),FALSE)),"",_xlfn.REGEXEXTRACT(CELL("address",X266), "\$([A-Z]+)\$[0-9]+"))),_xlfn.REGEXEXTRACT(CELL("address",X266), "\$([A-Z]+)\$[0-9]+"))</f>
        <v/>
      </c>
      <c r="Y266" s="7" t="str" cm="1">
        <f t="array" aca="1" ref="Y266" ca="1">IFERROR(IF(OR('Raw Data'!Y266="",LEN(TRIM('Raw Data'!Y266))=0),"",IF(AND(ISNUMBER('Raw Data'!Y266), IFERROR('Raw Data'!Y266 = ROUND('Raw Data'!Y266, 2),FALSE)),"",_xlfn.REGEXEXTRACT(CELL("address",Y266), "\$([A-Z]+)\$[0-9]+"))),_xlfn.REGEXEXTRACT(CELL("address",Y266), "\$([A-Z]+)\$[0-9]+"))</f>
        <v/>
      </c>
      <c r="Z266" s="7" t="str" cm="1">
        <f t="array" aca="1" ref="Z266" ca="1">IFERROR(IF(OR('Raw Data'!Z266="",LEN(TRIM('Raw Data'!Z266))=0),"",IF(AND(ISNUMBER('Raw Data'!Z266), IFERROR('Raw Data'!Z266 = ROUND('Raw Data'!Z266, 2),FALSE)),"",_xlfn.REGEXEXTRACT(CELL("address",Z266), "\$([A-Z]+)\$[0-9]+"))),_xlfn.REGEXEXTRACT(CELL("address",Z266), "\$([A-Z]+)\$[0-9]+"))</f>
        <v/>
      </c>
      <c r="AA266" s="7" t="str" cm="1">
        <f t="array" aca="1" ref="AA266" ca="1">IFERROR(IF(OR('Raw Data'!AA266="",LEN(TRIM('Raw Data'!AA266))=0),"",IF(AND(ISNUMBER('Raw Data'!AA266), IFERROR('Raw Data'!AA266 = ROUND('Raw Data'!AA266, 2),FALSE)),"",_xlfn.REGEXEXTRACT(CELL("address",AA266), "\$([A-Z]+)\$[0-9]+"))),_xlfn.REGEXEXTRACT(CELL("address",AA266), "\$([A-Z]+)\$[0-9]+"))</f>
        <v/>
      </c>
      <c r="AB266" s="7" t="str" cm="1">
        <f t="array" aca="1" ref="AB266" ca="1">IFERROR(IF(OR('Raw Data'!AB266="",LEN(TRIM('Raw Data'!AB266))=0),"",IF(AND(ISNUMBER('Raw Data'!AB266), IFERROR('Raw Data'!AB266 = ROUND('Raw Data'!AB266, 2),FALSE)),"",_xlfn.REGEXEXTRACT(CELL("address",AB266), "\$([A-Z]+)\$[0-9]+"))),_xlfn.REGEXEXTRACT(CELL("address",AB266), "\$([A-Z]+)\$[0-9]+"))</f>
        <v/>
      </c>
      <c r="AC266" s="7" t="str" cm="1">
        <f t="array" aca="1" ref="AC266" ca="1">IFERROR(IF(OR('Raw Data'!AC266="",LEN(TRIM('Raw Data'!AC266))=0),"",IF(AND(ISNUMBER('Raw Data'!AC266), IFERROR('Raw Data'!AC266 = ROUND('Raw Data'!AC266, 2),FALSE)),"",_xlfn.REGEXEXTRACT(CELL("address",AC266), "\$([A-Z]+)\$[0-9]+"))),_xlfn.REGEXEXTRACT(CELL("address",AC266), "\$([A-Z]+)\$[0-9]+"))</f>
        <v/>
      </c>
      <c r="AD266" s="7" t="str" cm="1">
        <f t="array" aca="1" ref="AD266" ca="1">IFERROR(IF(OR('Raw Data'!AD266="",LEN(TRIM('Raw Data'!AD266))=0),"",IF(AND(ISNUMBER('Raw Data'!AD266), IFERROR('Raw Data'!AD266 = ROUND('Raw Data'!AD266, 2),FALSE)),"",_xlfn.REGEXEXTRACT(CELL("address",AD266), "\$([A-Z]+)\$[0-9]+"))),_xlfn.REGEXEXTRACT(CELL("address",AD266), "\$([A-Z]+)\$[0-9]+"))</f>
        <v/>
      </c>
      <c r="AE266" s="7" t="str" cm="1">
        <f t="array" aca="1" ref="AE266" ca="1">IFERROR(IF(OR('Raw Data'!AE266="",LEN(TRIM('Raw Data'!AE266))=0),"",IF(AND(ISNUMBER('Raw Data'!AE266), IFERROR('Raw Data'!AE266 = ROUND('Raw Data'!AE266, 2),FALSE)),"",_xlfn.REGEXEXTRACT(CELL("address",AE266), "\$([A-Z]+)\$[0-9]+"))),_xlfn.REGEXEXTRACT(CELL("address",AE266), "\$([A-Z]+)\$[0-9]+"))</f>
        <v/>
      </c>
      <c r="AF266" s="7" t="str" cm="1">
        <f t="array" aca="1" ref="AF266" ca="1">IFERROR(IF(OR('Raw Data'!AF266="",LEN(TRIM('Raw Data'!AF266))=0),"",IF(AND(ISNUMBER('Raw Data'!AF266), IFERROR('Raw Data'!AF266 = ROUND('Raw Data'!AF266, 2),FALSE)),"",_xlfn.REGEXEXTRACT(CELL("address",AF266), "\$([A-Z]+)\$[0-9]+"))),_xlfn.REGEXEXTRACT(CELL("address",AF266), "\$([A-Z]+)\$[0-9]+"))</f>
        <v/>
      </c>
      <c r="AG266" s="7" t="str" cm="1">
        <f t="array" aca="1" ref="AG266" ca="1">IFERROR(IF(OR('Raw Data'!AG266="",LEN(TRIM('Raw Data'!AG266))=0),"",IF(AND(ISNUMBER('Raw Data'!AG266), IFERROR('Raw Data'!AG266 = ROUND('Raw Data'!AG266, 2),FALSE)),"",_xlfn.REGEXEXTRACT(CELL("address",AG266), "\$([A-Z]+)\$[0-9]+"))),_xlfn.REGEXEXTRACT(CELL("address",AG266), "\$([A-Z]+)\$[0-9]+"))</f>
        <v/>
      </c>
      <c r="AH266" s="7" t="str" cm="1">
        <f t="array" aca="1" ref="AH266" ca="1">IFERROR(IF(OR('Raw Data'!AH266="",LEN(TRIM('Raw Data'!AH266))=0),"",IF(AND(ISNUMBER('Raw Data'!AH266), IFERROR('Raw Data'!AH266 = ROUND('Raw Data'!AH266, 2),FALSE)),"",_xlfn.REGEXEXTRACT(CELL("address",AH266), "\$([A-Z]+)\$[0-9]+"))),_xlfn.REGEXEXTRACT(CELL("address",AH266), "\$([A-Z]+)\$[0-9]+"))</f>
        <v/>
      </c>
      <c r="AI266" s="7" t="str" cm="1">
        <f t="array" aca="1" ref="AI266" ca="1">IFERROR(IF(OR('Raw Data'!AI266="",LEN(TRIM('Raw Data'!AI266))=0),"",IF(AND(ISNUMBER('Raw Data'!AI266), IFERROR('Raw Data'!AI266 = ROUND('Raw Data'!AI266, 2),FALSE)),"",_xlfn.REGEXEXTRACT(CELL("address",AI266), "\$([A-Z]+)\$[0-9]+"))),_xlfn.REGEXEXTRACT(CELL("address",AI266), "\$([A-Z]+)\$[0-9]+"))</f>
        <v/>
      </c>
      <c r="AJ266" s="7" t="str" cm="1">
        <f t="array" aca="1" ref="AJ266" ca="1">IFERROR(IF(OR('Raw Data'!AJ266="",LEN(TRIM('Raw Data'!AJ266))=0),"",IF(AND(ISNUMBER('Raw Data'!AJ266), IFERROR('Raw Data'!AJ266 = ROUND('Raw Data'!AJ266, 2),FALSE)),"",_xlfn.REGEXEXTRACT(CELL("address",AJ266), "\$([A-Z]+)\$[0-9]+"))),_xlfn.REGEXEXTRACT(CELL("address",AJ266), "\$([A-Z]+)\$[0-9]+"))</f>
        <v/>
      </c>
    </row>
    <row r="267" spans="2:36" x14ac:dyDescent="0.25">
      <c r="B267" s="7" t="str" cm="1">
        <f t="array" aca="1" ref="B267" ca="1">IFERROR(IF(OR('Raw Data'!B267="",LEN(TRIM('Raw Data'!B267))=0),"",IF(AND(LEN('Raw Data'!B267) &lt;= 255,LEN('Raw Data'!B267)&gt; 0),"",_xlfn.REGEXEXTRACT(CELL("address",'Raw Data'!B267),"\$([A-Z]+)\$[0-9]+"))),_xlfn.REGEXEXTRACT(CELL("address",'Raw Data'!B267),"\$([A-Z]+)\$[0-9]+"))</f>
        <v/>
      </c>
      <c r="C267" s="7" t="str" cm="1">
        <f t="array" aca="1" ref="C267" ca="1">IFERROR(IF(OR('Raw Data'!C267="",LEN(TRIM('Raw Data'!C267))=0),"",IF(AND(LEN('Raw Data'!C267) &lt;= 20,LEN('Raw Data'!C267)&gt; 0),"",_xlfn.REGEXEXTRACT(CELL("address",'Raw Data'!C267),"\$([A-Z]+)\$[0-9]+"))),_xlfn.REGEXEXTRACT(CELL("address",'Raw Data'!C267),"\$([A-Z]+)\$[0-9]+"))</f>
        <v/>
      </c>
      <c r="D267" s="7" t="str" cm="1">
        <f t="array" aca="1" ref="D267" ca="1">IFERROR(IF(OR('Raw Data'!D267="",LEN(TRIM('Raw Data'!D267))=0),"",IF(AND(ISNUMBER('Raw Data'!D267),'Raw Data'!D267&gt;=Configuration!$D$2),"",_xlfn.REGEXEXTRACT(CELL("address",'Raw Data'!D267),"\$([A-Z]+)\$[0-9]+"))),_xlfn.REGEXEXTRACT(CELL("address",D267), "\$([A-Z]+)\$[0-9]+"))</f>
        <v/>
      </c>
      <c r="E267" s="7" t="str" cm="1">
        <f t="array" aca="1" ref="E267" ca="1">IFERROR(IF(OR('Raw Data'!E267="",LEN(TRIM('Raw Data'!E267))=0),"",IF(AND(ISNUMBER('Raw Data'!E267), IFERROR('Raw Data'!E267 = ROUND('Raw Data'!E267, 2),FALSE)),"",_xlfn.REGEXEXTRACT(CELL("address",E267), "\$([A-Z]+)\$[0-9]+"))),_xlfn.REGEXEXTRACT(CELL("address",E267), "\$([A-Z]+)\$[0-9]+"))</f>
        <v/>
      </c>
      <c r="F267" s="7" t="str" cm="1">
        <f t="array" aca="1" ref="F267" ca="1">IFERROR(IF(OR('Raw Data'!F267="",LEN(TRIM('Raw Data'!F267))=0),"",IF(AND(ISNUMBER('Raw Data'!F267), IFERROR('Raw Data'!F267 = ROUND('Raw Data'!F267, 2),FALSE)),"",_xlfn.REGEXEXTRACT(CELL("address",F267), "\$([A-Z]+)\$[0-9]+"))),_xlfn.REGEXEXTRACT(CELL("address",F267), "\$([A-Z]+)\$[0-9]+"))</f>
        <v/>
      </c>
      <c r="G267" s="7" t="str" cm="1">
        <f t="array" aca="1" ref="G267" ca="1">IFERROR(IF(OR('Raw Data'!G267="",LEN(TRIM('Raw Data'!G267))=0),"",IF(AND(ISNUMBER('Raw Data'!G267), IFERROR('Raw Data'!G267 = ROUND('Raw Data'!G267, 2),FALSE)),"",_xlfn.REGEXEXTRACT(CELL("address",G267), "\$([A-Z]+)\$[0-9]+"))),_xlfn.REGEXEXTRACT(CELL("address",G267), "\$([A-Z]+)\$[0-9]+"))</f>
        <v/>
      </c>
      <c r="H267" s="7" t="str" cm="1">
        <f t="array" aca="1" ref="H267" ca="1">IFERROR(IF(OR('Raw Data'!H267="",LEN(TRIM('Raw Data'!H267))=0),"",IF(AND(ISNUMBER('Raw Data'!H267), IFERROR('Raw Data'!H267 = ROUND('Raw Data'!H267, 2),FALSE)),"",_xlfn.REGEXEXTRACT(CELL("address",H267), "\$([A-Z]+)\$[0-9]+"))),_xlfn.REGEXEXTRACT(CELL("address",H267), "\$([A-Z]+)\$[0-9]+"))</f>
        <v/>
      </c>
      <c r="I267" s="7" t="str" cm="1">
        <f t="array" aca="1" ref="I267" ca="1">IFERROR(IF(OR('Raw Data'!I267="",LEN(TRIM('Raw Data'!I267))=0),"",IF(AND(ISNUMBER('Raw Data'!I267), IFERROR('Raw Data'!I267 = ROUND('Raw Data'!I267, 2),FALSE)),"",_xlfn.REGEXEXTRACT(CELL("address",I267), "\$([A-Z]+)\$[0-9]+"))),_xlfn.REGEXEXTRACT(CELL("address",I267), "\$([A-Z]+)\$[0-9]+"))</f>
        <v/>
      </c>
      <c r="J267" s="7" t="str" cm="1">
        <f t="array" aca="1" ref="J267" ca="1">IFERROR(IF(OR('Raw Data'!J267="",LEN(TRIM('Raw Data'!J267))=0),"",IF(AND(ISNUMBER('Raw Data'!J267), IFERROR('Raw Data'!J267 = ROUND('Raw Data'!J267, 2),FALSE)),"",_xlfn.REGEXEXTRACT(CELL("address",J267), "\$([A-Z]+)\$[0-9]+"))),_xlfn.REGEXEXTRACT(CELL("address",J267), "\$([A-Z]+)\$[0-9]+"))</f>
        <v/>
      </c>
      <c r="K267" s="7" t="str" cm="1">
        <f t="array" aca="1" ref="K267" ca="1">IFERROR(IF(OR('Raw Data'!K267="",LEN(TRIM('Raw Data'!K267))=0),"",IF(AND(ISNUMBER('Raw Data'!K267), IFERROR('Raw Data'!K267 = ROUND('Raw Data'!K267, 2),FALSE)),"",_xlfn.REGEXEXTRACT(CELL("address",K267), "\$([A-Z]+)\$[0-9]+"))),_xlfn.REGEXEXTRACT(CELL("address",K267), "\$([A-Z]+)\$[0-9]+"))</f>
        <v/>
      </c>
      <c r="L267" s="7" t="str" cm="1">
        <f t="array" aca="1" ref="L267" ca="1">IFERROR(IF(OR('Raw Data'!L267="",LEN(TRIM('Raw Data'!L267))=0),"",IF(AND(ISNUMBER('Raw Data'!L267), IFERROR('Raw Data'!L267 = ROUND('Raw Data'!L267, 2),FALSE)),"",_xlfn.REGEXEXTRACT(CELL("address",L267), "\$([A-Z]+)\$[0-9]+"))),_xlfn.REGEXEXTRACT(CELL("address",L267), "\$([A-Z]+)\$[0-9]+"))</f>
        <v/>
      </c>
      <c r="M267" s="7" t="str" cm="1">
        <f t="array" aca="1" ref="M267" ca="1">IFERROR(IF(OR('Raw Data'!M267="",LEN(TRIM('Raw Data'!M267))=0),"",IF(AND(ISNUMBER('Raw Data'!M267), IFERROR('Raw Data'!M267 = ROUND('Raw Data'!M267, 2),FALSE)),"",_xlfn.REGEXEXTRACT(CELL("address",M267), "\$([A-Z]+)\$[0-9]+"))),_xlfn.REGEXEXTRACT(CELL("address",M267), "\$([A-Z]+)\$[0-9]+"))</f>
        <v/>
      </c>
      <c r="N267" s="7" t="str" cm="1">
        <f t="array" aca="1" ref="N267" ca="1">IFERROR(IF(OR('Raw Data'!N267="",LEN(TRIM('Raw Data'!N267))=0),"",IF(AND(ISNUMBER('Raw Data'!N267), IFERROR('Raw Data'!N267 = ROUND('Raw Data'!N267, 2),FALSE)),"",_xlfn.REGEXEXTRACT(CELL("address",N267), "\$([A-Z]+)\$[0-9]+"))),_xlfn.REGEXEXTRACT(CELL("address",N267), "\$([A-Z]+)\$[0-9]+"))</f>
        <v/>
      </c>
      <c r="O267" s="7" t="str" cm="1">
        <f t="array" aca="1" ref="O267" ca="1">IFERROR(IF(OR('Raw Data'!O267="",LEN(TRIM('Raw Data'!O267))=0),"",IF(AND(ISNUMBER('Raw Data'!O267), IFERROR('Raw Data'!O267 = ROUND('Raw Data'!O267, 2),FALSE)),"",_xlfn.REGEXEXTRACT(CELL("address",O267), "\$([A-Z]+)\$[0-9]+"))),_xlfn.REGEXEXTRACT(CELL("address",O267), "\$([A-Z]+)\$[0-9]+"))</f>
        <v/>
      </c>
      <c r="P267" s="7" t="str" cm="1">
        <f t="array" aca="1" ref="P267" ca="1">IFERROR(IF(OR('Raw Data'!P267="",LEN(TRIM('Raw Data'!P267))=0),"",IF(AND(ISNUMBER('Raw Data'!P267), IFERROR('Raw Data'!P267 = ROUND('Raw Data'!P267, 2),FALSE)),"",_xlfn.REGEXEXTRACT(CELL("address",P267), "\$([A-Z]+)\$[0-9]+"))),_xlfn.REGEXEXTRACT(CELL("address",P267), "\$([A-Z]+)\$[0-9]+"))</f>
        <v/>
      </c>
      <c r="Q267" s="7" t="str" cm="1">
        <f t="array" aca="1" ref="Q267" ca="1">IFERROR(IF(OR('Raw Data'!Q267="",LEN(TRIM('Raw Data'!Q267))=0),"",IF(AND(ISNUMBER('Raw Data'!Q267), IFERROR('Raw Data'!Q267 = ROUND('Raw Data'!Q267, 2),FALSE)),"",_xlfn.REGEXEXTRACT(CELL("address",Q267), "\$([A-Z]+)\$[0-9]+"))),_xlfn.REGEXEXTRACT(CELL("address",Q267), "\$([A-Z]+)\$[0-9]+"))</f>
        <v/>
      </c>
      <c r="R267" s="7" t="str" cm="1">
        <f t="array" aca="1" ref="R267" ca="1">IFERROR(IF(OR('Raw Data'!R267="",LEN(TRIM('Raw Data'!R267))=0),"",IF(AND(ISNUMBER('Raw Data'!R267), IFERROR('Raw Data'!R267 = ROUND('Raw Data'!R267, 2),FALSE)),"",_xlfn.REGEXEXTRACT(CELL("address",R267), "\$([A-Z]+)\$[0-9]+"))),_xlfn.REGEXEXTRACT(CELL("address",R267), "\$([A-Z]+)\$[0-9]+"))</f>
        <v/>
      </c>
      <c r="S267" s="7" t="str" cm="1">
        <f t="array" aca="1" ref="S267" ca="1">IFERROR(IF(OR('Raw Data'!S267="",LEN(TRIM('Raw Data'!S267))=0),"",IF(AND(ISNUMBER('Raw Data'!S267), IFERROR('Raw Data'!S267 = ROUND('Raw Data'!S267, 2),FALSE)),"",_xlfn.REGEXEXTRACT(CELL("address",S267), "\$([A-Z]+)\$[0-9]+"))),_xlfn.REGEXEXTRACT(CELL("address",S267), "\$([A-Z]+)\$[0-9]+"))</f>
        <v/>
      </c>
      <c r="T267" s="7" t="str" cm="1">
        <f t="array" aca="1" ref="T267" ca="1">IFERROR(IF(OR('Raw Data'!T267="",LEN(TRIM('Raw Data'!T267))=0),"",IF(AND(ISNUMBER('Raw Data'!T267), IFERROR('Raw Data'!T267 = ROUND('Raw Data'!T267, 2),FALSE)),"",_xlfn.REGEXEXTRACT(CELL("address",T267), "\$([A-Z]+)\$[0-9]+"))),_xlfn.REGEXEXTRACT(CELL("address",T267), "\$([A-Z]+)\$[0-9]+"))</f>
        <v/>
      </c>
      <c r="U267" s="7" t="str" cm="1">
        <f t="array" aca="1" ref="U267" ca="1">IFERROR(IF(OR('Raw Data'!U267="",LEN(TRIM('Raw Data'!U267))=0),"",IF(AND(ISNUMBER('Raw Data'!U267), IFERROR('Raw Data'!U267 = ROUND('Raw Data'!U267, 2),FALSE)),"",_xlfn.REGEXEXTRACT(CELL("address",U267), "\$([A-Z]+)\$[0-9]+"))),_xlfn.REGEXEXTRACT(CELL("address",U267), "\$([A-Z]+)\$[0-9]+"))</f>
        <v/>
      </c>
      <c r="V267" s="7" t="str" cm="1">
        <f t="array" aca="1" ref="V267" ca="1">IFERROR(IF(OR('Raw Data'!V267="",LEN(TRIM('Raw Data'!V267))=0),"",IF(AND(ISNUMBER('Raw Data'!V267), IFERROR('Raw Data'!V267 = ROUND('Raw Data'!V267, 2),FALSE)),"",_xlfn.REGEXEXTRACT(CELL("address",V267), "\$([A-Z]+)\$[0-9]+"))),_xlfn.REGEXEXTRACT(CELL("address",V267), "\$([A-Z]+)\$[0-9]+"))</f>
        <v/>
      </c>
      <c r="W267" s="7" t="str" cm="1">
        <f t="array" aca="1" ref="W267" ca="1">IFERROR(IF(OR('Raw Data'!W267="",LEN(TRIM('Raw Data'!W267))=0),"",IF(AND(ISNUMBER('Raw Data'!W267), IFERROR('Raw Data'!W267 = ROUND('Raw Data'!W267, 2),FALSE)),"",_xlfn.REGEXEXTRACT(CELL("address",W267), "\$([A-Z]+)\$[0-9]+"))),_xlfn.REGEXEXTRACT(CELL("address",W267), "\$([A-Z]+)\$[0-9]+"))</f>
        <v/>
      </c>
      <c r="X267" s="7" t="str" cm="1">
        <f t="array" aca="1" ref="X267" ca="1">IFERROR(IF(OR('Raw Data'!X267="",LEN(TRIM('Raw Data'!X267))=0),"",IF(AND(ISNUMBER('Raw Data'!X267), IFERROR('Raw Data'!X267 = ROUND('Raw Data'!X267, 2),FALSE)),"",_xlfn.REGEXEXTRACT(CELL("address",X267), "\$([A-Z]+)\$[0-9]+"))),_xlfn.REGEXEXTRACT(CELL("address",X267), "\$([A-Z]+)\$[0-9]+"))</f>
        <v/>
      </c>
      <c r="Y267" s="7" t="str" cm="1">
        <f t="array" aca="1" ref="Y267" ca="1">IFERROR(IF(OR('Raw Data'!Y267="",LEN(TRIM('Raw Data'!Y267))=0),"",IF(AND(ISNUMBER('Raw Data'!Y267), IFERROR('Raw Data'!Y267 = ROUND('Raw Data'!Y267, 2),FALSE)),"",_xlfn.REGEXEXTRACT(CELL("address",Y267), "\$([A-Z]+)\$[0-9]+"))),_xlfn.REGEXEXTRACT(CELL("address",Y267), "\$([A-Z]+)\$[0-9]+"))</f>
        <v/>
      </c>
      <c r="Z267" s="7" t="str" cm="1">
        <f t="array" aca="1" ref="Z267" ca="1">IFERROR(IF(OR('Raw Data'!Z267="",LEN(TRIM('Raw Data'!Z267))=0),"",IF(AND(ISNUMBER('Raw Data'!Z267), IFERROR('Raw Data'!Z267 = ROUND('Raw Data'!Z267, 2),FALSE)),"",_xlfn.REGEXEXTRACT(CELL("address",Z267), "\$([A-Z]+)\$[0-9]+"))),_xlfn.REGEXEXTRACT(CELL("address",Z267), "\$([A-Z]+)\$[0-9]+"))</f>
        <v/>
      </c>
      <c r="AA267" s="7" t="str" cm="1">
        <f t="array" aca="1" ref="AA267" ca="1">IFERROR(IF(OR('Raw Data'!AA267="",LEN(TRIM('Raw Data'!AA267))=0),"",IF(AND(ISNUMBER('Raw Data'!AA267), IFERROR('Raw Data'!AA267 = ROUND('Raw Data'!AA267, 2),FALSE)),"",_xlfn.REGEXEXTRACT(CELL("address",AA267), "\$([A-Z]+)\$[0-9]+"))),_xlfn.REGEXEXTRACT(CELL("address",AA267), "\$([A-Z]+)\$[0-9]+"))</f>
        <v/>
      </c>
      <c r="AB267" s="7" t="str" cm="1">
        <f t="array" aca="1" ref="AB267" ca="1">IFERROR(IF(OR('Raw Data'!AB267="",LEN(TRIM('Raw Data'!AB267))=0),"",IF(AND(ISNUMBER('Raw Data'!AB267), IFERROR('Raw Data'!AB267 = ROUND('Raw Data'!AB267, 2),FALSE)),"",_xlfn.REGEXEXTRACT(CELL("address",AB267), "\$([A-Z]+)\$[0-9]+"))),_xlfn.REGEXEXTRACT(CELL("address",AB267), "\$([A-Z]+)\$[0-9]+"))</f>
        <v/>
      </c>
      <c r="AC267" s="7" t="str" cm="1">
        <f t="array" aca="1" ref="AC267" ca="1">IFERROR(IF(OR('Raw Data'!AC267="",LEN(TRIM('Raw Data'!AC267))=0),"",IF(AND(ISNUMBER('Raw Data'!AC267), IFERROR('Raw Data'!AC267 = ROUND('Raw Data'!AC267, 2),FALSE)),"",_xlfn.REGEXEXTRACT(CELL("address",AC267), "\$([A-Z]+)\$[0-9]+"))),_xlfn.REGEXEXTRACT(CELL("address",AC267), "\$([A-Z]+)\$[0-9]+"))</f>
        <v/>
      </c>
      <c r="AD267" s="7" t="str" cm="1">
        <f t="array" aca="1" ref="AD267" ca="1">IFERROR(IF(OR('Raw Data'!AD267="",LEN(TRIM('Raw Data'!AD267))=0),"",IF(AND(ISNUMBER('Raw Data'!AD267), IFERROR('Raw Data'!AD267 = ROUND('Raw Data'!AD267, 2),FALSE)),"",_xlfn.REGEXEXTRACT(CELL("address",AD267), "\$([A-Z]+)\$[0-9]+"))),_xlfn.REGEXEXTRACT(CELL("address",AD267), "\$([A-Z]+)\$[0-9]+"))</f>
        <v/>
      </c>
      <c r="AE267" s="7" t="str" cm="1">
        <f t="array" aca="1" ref="AE267" ca="1">IFERROR(IF(OR('Raw Data'!AE267="",LEN(TRIM('Raw Data'!AE267))=0),"",IF(AND(ISNUMBER('Raw Data'!AE267), IFERROR('Raw Data'!AE267 = ROUND('Raw Data'!AE267, 2),FALSE)),"",_xlfn.REGEXEXTRACT(CELL("address",AE267), "\$([A-Z]+)\$[0-9]+"))),_xlfn.REGEXEXTRACT(CELL("address",AE267), "\$([A-Z]+)\$[0-9]+"))</f>
        <v/>
      </c>
      <c r="AF267" s="7" t="str" cm="1">
        <f t="array" aca="1" ref="AF267" ca="1">IFERROR(IF(OR('Raw Data'!AF267="",LEN(TRIM('Raw Data'!AF267))=0),"",IF(AND(ISNUMBER('Raw Data'!AF267), IFERROR('Raw Data'!AF267 = ROUND('Raw Data'!AF267, 2),FALSE)),"",_xlfn.REGEXEXTRACT(CELL("address",AF267), "\$([A-Z]+)\$[0-9]+"))),_xlfn.REGEXEXTRACT(CELL("address",AF267), "\$([A-Z]+)\$[0-9]+"))</f>
        <v/>
      </c>
      <c r="AG267" s="7" t="str" cm="1">
        <f t="array" aca="1" ref="AG267" ca="1">IFERROR(IF(OR('Raw Data'!AG267="",LEN(TRIM('Raw Data'!AG267))=0),"",IF(AND(ISNUMBER('Raw Data'!AG267), IFERROR('Raw Data'!AG267 = ROUND('Raw Data'!AG267, 2),FALSE)),"",_xlfn.REGEXEXTRACT(CELL("address",AG267), "\$([A-Z]+)\$[0-9]+"))),_xlfn.REGEXEXTRACT(CELL("address",AG267), "\$([A-Z]+)\$[0-9]+"))</f>
        <v/>
      </c>
      <c r="AH267" s="7" t="str" cm="1">
        <f t="array" aca="1" ref="AH267" ca="1">IFERROR(IF(OR('Raw Data'!AH267="",LEN(TRIM('Raw Data'!AH267))=0),"",IF(AND(ISNUMBER('Raw Data'!AH267), IFERROR('Raw Data'!AH267 = ROUND('Raw Data'!AH267, 2),FALSE)),"",_xlfn.REGEXEXTRACT(CELL("address",AH267), "\$([A-Z]+)\$[0-9]+"))),_xlfn.REGEXEXTRACT(CELL("address",AH267), "\$([A-Z]+)\$[0-9]+"))</f>
        <v/>
      </c>
      <c r="AI267" s="7" t="str" cm="1">
        <f t="array" aca="1" ref="AI267" ca="1">IFERROR(IF(OR('Raw Data'!AI267="",LEN(TRIM('Raw Data'!AI267))=0),"",IF(AND(ISNUMBER('Raw Data'!AI267), IFERROR('Raw Data'!AI267 = ROUND('Raw Data'!AI267, 2),FALSE)),"",_xlfn.REGEXEXTRACT(CELL("address",AI267), "\$([A-Z]+)\$[0-9]+"))),_xlfn.REGEXEXTRACT(CELL("address",AI267), "\$([A-Z]+)\$[0-9]+"))</f>
        <v/>
      </c>
      <c r="AJ267" s="7" t="str" cm="1">
        <f t="array" aca="1" ref="AJ267" ca="1">IFERROR(IF(OR('Raw Data'!AJ267="",LEN(TRIM('Raw Data'!AJ267))=0),"",IF(AND(ISNUMBER('Raw Data'!AJ267), IFERROR('Raw Data'!AJ267 = ROUND('Raw Data'!AJ267, 2),FALSE)),"",_xlfn.REGEXEXTRACT(CELL("address",AJ267), "\$([A-Z]+)\$[0-9]+"))),_xlfn.REGEXEXTRACT(CELL("address",AJ267), "\$([A-Z]+)\$[0-9]+"))</f>
        <v/>
      </c>
    </row>
    <row r="268" spans="2:36" x14ac:dyDescent="0.25">
      <c r="B268" s="7" t="str" cm="1">
        <f t="array" aca="1" ref="B268" ca="1">IFERROR(IF(OR('Raw Data'!B268="",LEN(TRIM('Raw Data'!B268))=0),"",IF(AND(LEN('Raw Data'!B268) &lt;= 255,LEN('Raw Data'!B268)&gt; 0),"",_xlfn.REGEXEXTRACT(CELL("address",'Raw Data'!B268),"\$([A-Z]+)\$[0-9]+"))),_xlfn.REGEXEXTRACT(CELL("address",'Raw Data'!B268),"\$([A-Z]+)\$[0-9]+"))</f>
        <v/>
      </c>
      <c r="C268" s="7" t="str" cm="1">
        <f t="array" aca="1" ref="C268" ca="1">IFERROR(IF(OR('Raw Data'!C268="",LEN(TRIM('Raw Data'!C268))=0),"",IF(AND(LEN('Raw Data'!C268) &lt;= 20,LEN('Raw Data'!C268)&gt; 0),"",_xlfn.REGEXEXTRACT(CELL("address",'Raw Data'!C268),"\$([A-Z]+)\$[0-9]+"))),_xlfn.REGEXEXTRACT(CELL("address",'Raw Data'!C268),"\$([A-Z]+)\$[0-9]+"))</f>
        <v/>
      </c>
      <c r="D268" s="7" t="str" cm="1">
        <f t="array" aca="1" ref="D268" ca="1">IFERROR(IF(OR('Raw Data'!D268="",LEN(TRIM('Raw Data'!D268))=0),"",IF(AND(ISNUMBER('Raw Data'!D268),'Raw Data'!D268&gt;=Configuration!$D$2),"",_xlfn.REGEXEXTRACT(CELL("address",'Raw Data'!D268),"\$([A-Z]+)\$[0-9]+"))),_xlfn.REGEXEXTRACT(CELL("address",D268), "\$([A-Z]+)\$[0-9]+"))</f>
        <v/>
      </c>
      <c r="E268" s="7" t="str" cm="1">
        <f t="array" aca="1" ref="E268" ca="1">IFERROR(IF(OR('Raw Data'!E268="",LEN(TRIM('Raw Data'!E268))=0),"",IF(AND(ISNUMBER('Raw Data'!E268), IFERROR('Raw Data'!E268 = ROUND('Raw Data'!E268, 2),FALSE)),"",_xlfn.REGEXEXTRACT(CELL("address",E268), "\$([A-Z]+)\$[0-9]+"))),_xlfn.REGEXEXTRACT(CELL("address",E268), "\$([A-Z]+)\$[0-9]+"))</f>
        <v/>
      </c>
      <c r="F268" s="7" t="str" cm="1">
        <f t="array" aca="1" ref="F268" ca="1">IFERROR(IF(OR('Raw Data'!F268="",LEN(TRIM('Raw Data'!F268))=0),"",IF(AND(ISNUMBER('Raw Data'!F268), IFERROR('Raw Data'!F268 = ROUND('Raw Data'!F268, 2),FALSE)),"",_xlfn.REGEXEXTRACT(CELL("address",F268), "\$([A-Z]+)\$[0-9]+"))),_xlfn.REGEXEXTRACT(CELL("address",F268), "\$([A-Z]+)\$[0-9]+"))</f>
        <v/>
      </c>
      <c r="G268" s="7" t="str" cm="1">
        <f t="array" aca="1" ref="G268" ca="1">IFERROR(IF(OR('Raw Data'!G268="",LEN(TRIM('Raw Data'!G268))=0),"",IF(AND(ISNUMBER('Raw Data'!G268), IFERROR('Raw Data'!G268 = ROUND('Raw Data'!G268, 2),FALSE)),"",_xlfn.REGEXEXTRACT(CELL("address",G268), "\$([A-Z]+)\$[0-9]+"))),_xlfn.REGEXEXTRACT(CELL("address",G268), "\$([A-Z]+)\$[0-9]+"))</f>
        <v/>
      </c>
      <c r="H268" s="7" t="str" cm="1">
        <f t="array" aca="1" ref="H268" ca="1">IFERROR(IF(OR('Raw Data'!H268="",LEN(TRIM('Raw Data'!H268))=0),"",IF(AND(ISNUMBER('Raw Data'!H268), IFERROR('Raw Data'!H268 = ROUND('Raw Data'!H268, 2),FALSE)),"",_xlfn.REGEXEXTRACT(CELL("address",H268), "\$([A-Z]+)\$[0-9]+"))),_xlfn.REGEXEXTRACT(CELL("address",H268), "\$([A-Z]+)\$[0-9]+"))</f>
        <v/>
      </c>
      <c r="I268" s="7" t="str" cm="1">
        <f t="array" aca="1" ref="I268" ca="1">IFERROR(IF(OR('Raw Data'!I268="",LEN(TRIM('Raw Data'!I268))=0),"",IF(AND(ISNUMBER('Raw Data'!I268), IFERROR('Raw Data'!I268 = ROUND('Raw Data'!I268, 2),FALSE)),"",_xlfn.REGEXEXTRACT(CELL("address",I268), "\$([A-Z]+)\$[0-9]+"))),_xlfn.REGEXEXTRACT(CELL("address",I268), "\$([A-Z]+)\$[0-9]+"))</f>
        <v/>
      </c>
      <c r="J268" s="7" t="str" cm="1">
        <f t="array" aca="1" ref="J268" ca="1">IFERROR(IF(OR('Raw Data'!J268="",LEN(TRIM('Raw Data'!J268))=0),"",IF(AND(ISNUMBER('Raw Data'!J268), IFERROR('Raw Data'!J268 = ROUND('Raw Data'!J268, 2),FALSE)),"",_xlfn.REGEXEXTRACT(CELL("address",J268), "\$([A-Z]+)\$[0-9]+"))),_xlfn.REGEXEXTRACT(CELL("address",J268), "\$([A-Z]+)\$[0-9]+"))</f>
        <v/>
      </c>
      <c r="K268" s="7" t="str" cm="1">
        <f t="array" aca="1" ref="K268" ca="1">IFERROR(IF(OR('Raw Data'!K268="",LEN(TRIM('Raw Data'!K268))=0),"",IF(AND(ISNUMBER('Raw Data'!K268), IFERROR('Raw Data'!K268 = ROUND('Raw Data'!K268, 2),FALSE)),"",_xlfn.REGEXEXTRACT(CELL("address",K268), "\$([A-Z]+)\$[0-9]+"))),_xlfn.REGEXEXTRACT(CELL("address",K268), "\$([A-Z]+)\$[0-9]+"))</f>
        <v/>
      </c>
      <c r="L268" s="7" t="str" cm="1">
        <f t="array" aca="1" ref="L268" ca="1">IFERROR(IF(OR('Raw Data'!L268="",LEN(TRIM('Raw Data'!L268))=0),"",IF(AND(ISNUMBER('Raw Data'!L268), IFERROR('Raw Data'!L268 = ROUND('Raw Data'!L268, 2),FALSE)),"",_xlfn.REGEXEXTRACT(CELL("address",L268), "\$([A-Z]+)\$[0-9]+"))),_xlfn.REGEXEXTRACT(CELL("address",L268), "\$([A-Z]+)\$[0-9]+"))</f>
        <v/>
      </c>
      <c r="M268" s="7" t="str" cm="1">
        <f t="array" aca="1" ref="M268" ca="1">IFERROR(IF(OR('Raw Data'!M268="",LEN(TRIM('Raw Data'!M268))=0),"",IF(AND(ISNUMBER('Raw Data'!M268), IFERROR('Raw Data'!M268 = ROUND('Raw Data'!M268, 2),FALSE)),"",_xlfn.REGEXEXTRACT(CELL("address",M268), "\$([A-Z]+)\$[0-9]+"))),_xlfn.REGEXEXTRACT(CELL("address",M268), "\$([A-Z]+)\$[0-9]+"))</f>
        <v/>
      </c>
      <c r="N268" s="7" t="str" cm="1">
        <f t="array" aca="1" ref="N268" ca="1">IFERROR(IF(OR('Raw Data'!N268="",LEN(TRIM('Raw Data'!N268))=0),"",IF(AND(ISNUMBER('Raw Data'!N268), IFERROR('Raw Data'!N268 = ROUND('Raw Data'!N268, 2),FALSE)),"",_xlfn.REGEXEXTRACT(CELL("address",N268), "\$([A-Z]+)\$[0-9]+"))),_xlfn.REGEXEXTRACT(CELL("address",N268), "\$([A-Z]+)\$[0-9]+"))</f>
        <v/>
      </c>
      <c r="O268" s="7" t="str" cm="1">
        <f t="array" aca="1" ref="O268" ca="1">IFERROR(IF(OR('Raw Data'!O268="",LEN(TRIM('Raw Data'!O268))=0),"",IF(AND(ISNUMBER('Raw Data'!O268), IFERROR('Raw Data'!O268 = ROUND('Raw Data'!O268, 2),FALSE)),"",_xlfn.REGEXEXTRACT(CELL("address",O268), "\$([A-Z]+)\$[0-9]+"))),_xlfn.REGEXEXTRACT(CELL("address",O268), "\$([A-Z]+)\$[0-9]+"))</f>
        <v/>
      </c>
      <c r="P268" s="7" t="str" cm="1">
        <f t="array" aca="1" ref="P268" ca="1">IFERROR(IF(OR('Raw Data'!P268="",LEN(TRIM('Raw Data'!P268))=0),"",IF(AND(ISNUMBER('Raw Data'!P268), IFERROR('Raw Data'!P268 = ROUND('Raw Data'!P268, 2),FALSE)),"",_xlfn.REGEXEXTRACT(CELL("address",P268), "\$([A-Z]+)\$[0-9]+"))),_xlfn.REGEXEXTRACT(CELL("address",P268), "\$([A-Z]+)\$[0-9]+"))</f>
        <v/>
      </c>
      <c r="Q268" s="7" t="str" cm="1">
        <f t="array" aca="1" ref="Q268" ca="1">IFERROR(IF(OR('Raw Data'!Q268="",LEN(TRIM('Raw Data'!Q268))=0),"",IF(AND(ISNUMBER('Raw Data'!Q268), IFERROR('Raw Data'!Q268 = ROUND('Raw Data'!Q268, 2),FALSE)),"",_xlfn.REGEXEXTRACT(CELL("address",Q268), "\$([A-Z]+)\$[0-9]+"))),_xlfn.REGEXEXTRACT(CELL("address",Q268), "\$([A-Z]+)\$[0-9]+"))</f>
        <v/>
      </c>
      <c r="R268" s="7" t="str" cm="1">
        <f t="array" aca="1" ref="R268" ca="1">IFERROR(IF(OR('Raw Data'!R268="",LEN(TRIM('Raw Data'!R268))=0),"",IF(AND(ISNUMBER('Raw Data'!R268), IFERROR('Raw Data'!R268 = ROUND('Raw Data'!R268, 2),FALSE)),"",_xlfn.REGEXEXTRACT(CELL("address",R268), "\$([A-Z]+)\$[0-9]+"))),_xlfn.REGEXEXTRACT(CELL("address",R268), "\$([A-Z]+)\$[0-9]+"))</f>
        <v/>
      </c>
      <c r="S268" s="7" t="str" cm="1">
        <f t="array" aca="1" ref="S268" ca="1">IFERROR(IF(OR('Raw Data'!S268="",LEN(TRIM('Raw Data'!S268))=0),"",IF(AND(ISNUMBER('Raw Data'!S268), IFERROR('Raw Data'!S268 = ROUND('Raw Data'!S268, 2),FALSE)),"",_xlfn.REGEXEXTRACT(CELL("address",S268), "\$([A-Z]+)\$[0-9]+"))),_xlfn.REGEXEXTRACT(CELL("address",S268), "\$([A-Z]+)\$[0-9]+"))</f>
        <v/>
      </c>
      <c r="T268" s="7" t="str" cm="1">
        <f t="array" aca="1" ref="T268" ca="1">IFERROR(IF(OR('Raw Data'!T268="",LEN(TRIM('Raw Data'!T268))=0),"",IF(AND(ISNUMBER('Raw Data'!T268), IFERROR('Raw Data'!T268 = ROUND('Raw Data'!T268, 2),FALSE)),"",_xlfn.REGEXEXTRACT(CELL("address",T268), "\$([A-Z]+)\$[0-9]+"))),_xlfn.REGEXEXTRACT(CELL("address",T268), "\$([A-Z]+)\$[0-9]+"))</f>
        <v/>
      </c>
      <c r="U268" s="7" t="str" cm="1">
        <f t="array" aca="1" ref="U268" ca="1">IFERROR(IF(OR('Raw Data'!U268="",LEN(TRIM('Raw Data'!U268))=0),"",IF(AND(ISNUMBER('Raw Data'!U268), IFERROR('Raw Data'!U268 = ROUND('Raw Data'!U268, 2),FALSE)),"",_xlfn.REGEXEXTRACT(CELL("address",U268), "\$([A-Z]+)\$[0-9]+"))),_xlfn.REGEXEXTRACT(CELL("address",U268), "\$([A-Z]+)\$[0-9]+"))</f>
        <v/>
      </c>
      <c r="V268" s="7" t="str" cm="1">
        <f t="array" aca="1" ref="V268" ca="1">IFERROR(IF(OR('Raw Data'!V268="",LEN(TRIM('Raw Data'!V268))=0),"",IF(AND(ISNUMBER('Raw Data'!V268), IFERROR('Raw Data'!V268 = ROUND('Raw Data'!V268, 2),FALSE)),"",_xlfn.REGEXEXTRACT(CELL("address",V268), "\$([A-Z]+)\$[0-9]+"))),_xlfn.REGEXEXTRACT(CELL("address",V268), "\$([A-Z]+)\$[0-9]+"))</f>
        <v/>
      </c>
      <c r="W268" s="7" t="str" cm="1">
        <f t="array" aca="1" ref="W268" ca="1">IFERROR(IF(OR('Raw Data'!W268="",LEN(TRIM('Raw Data'!W268))=0),"",IF(AND(ISNUMBER('Raw Data'!W268), IFERROR('Raw Data'!W268 = ROUND('Raw Data'!W268, 2),FALSE)),"",_xlfn.REGEXEXTRACT(CELL("address",W268), "\$([A-Z]+)\$[0-9]+"))),_xlfn.REGEXEXTRACT(CELL("address",W268), "\$([A-Z]+)\$[0-9]+"))</f>
        <v/>
      </c>
      <c r="X268" s="7" t="str" cm="1">
        <f t="array" aca="1" ref="X268" ca="1">IFERROR(IF(OR('Raw Data'!X268="",LEN(TRIM('Raw Data'!X268))=0),"",IF(AND(ISNUMBER('Raw Data'!X268), IFERROR('Raw Data'!X268 = ROUND('Raw Data'!X268, 2),FALSE)),"",_xlfn.REGEXEXTRACT(CELL("address",X268), "\$([A-Z]+)\$[0-9]+"))),_xlfn.REGEXEXTRACT(CELL("address",X268), "\$([A-Z]+)\$[0-9]+"))</f>
        <v/>
      </c>
      <c r="Y268" s="7" t="str" cm="1">
        <f t="array" aca="1" ref="Y268" ca="1">IFERROR(IF(OR('Raw Data'!Y268="",LEN(TRIM('Raw Data'!Y268))=0),"",IF(AND(ISNUMBER('Raw Data'!Y268), IFERROR('Raw Data'!Y268 = ROUND('Raw Data'!Y268, 2),FALSE)),"",_xlfn.REGEXEXTRACT(CELL("address",Y268), "\$([A-Z]+)\$[0-9]+"))),_xlfn.REGEXEXTRACT(CELL("address",Y268), "\$([A-Z]+)\$[0-9]+"))</f>
        <v/>
      </c>
      <c r="Z268" s="7" t="str" cm="1">
        <f t="array" aca="1" ref="Z268" ca="1">IFERROR(IF(OR('Raw Data'!Z268="",LEN(TRIM('Raw Data'!Z268))=0),"",IF(AND(ISNUMBER('Raw Data'!Z268), IFERROR('Raw Data'!Z268 = ROUND('Raw Data'!Z268, 2),FALSE)),"",_xlfn.REGEXEXTRACT(CELL("address",Z268), "\$([A-Z]+)\$[0-9]+"))),_xlfn.REGEXEXTRACT(CELL("address",Z268), "\$([A-Z]+)\$[0-9]+"))</f>
        <v/>
      </c>
      <c r="AA268" s="7" t="str" cm="1">
        <f t="array" aca="1" ref="AA268" ca="1">IFERROR(IF(OR('Raw Data'!AA268="",LEN(TRIM('Raw Data'!AA268))=0),"",IF(AND(ISNUMBER('Raw Data'!AA268), IFERROR('Raw Data'!AA268 = ROUND('Raw Data'!AA268, 2),FALSE)),"",_xlfn.REGEXEXTRACT(CELL("address",AA268), "\$([A-Z]+)\$[0-9]+"))),_xlfn.REGEXEXTRACT(CELL("address",AA268), "\$([A-Z]+)\$[0-9]+"))</f>
        <v/>
      </c>
      <c r="AB268" s="7" t="str" cm="1">
        <f t="array" aca="1" ref="AB268" ca="1">IFERROR(IF(OR('Raw Data'!AB268="",LEN(TRIM('Raw Data'!AB268))=0),"",IF(AND(ISNUMBER('Raw Data'!AB268), IFERROR('Raw Data'!AB268 = ROUND('Raw Data'!AB268, 2),FALSE)),"",_xlfn.REGEXEXTRACT(CELL("address",AB268), "\$([A-Z]+)\$[0-9]+"))),_xlfn.REGEXEXTRACT(CELL("address",AB268), "\$([A-Z]+)\$[0-9]+"))</f>
        <v/>
      </c>
      <c r="AC268" s="7" t="str" cm="1">
        <f t="array" aca="1" ref="AC268" ca="1">IFERROR(IF(OR('Raw Data'!AC268="",LEN(TRIM('Raw Data'!AC268))=0),"",IF(AND(ISNUMBER('Raw Data'!AC268), IFERROR('Raw Data'!AC268 = ROUND('Raw Data'!AC268, 2),FALSE)),"",_xlfn.REGEXEXTRACT(CELL("address",AC268), "\$([A-Z]+)\$[0-9]+"))),_xlfn.REGEXEXTRACT(CELL("address",AC268), "\$([A-Z]+)\$[0-9]+"))</f>
        <v/>
      </c>
      <c r="AD268" s="7" t="str" cm="1">
        <f t="array" aca="1" ref="AD268" ca="1">IFERROR(IF(OR('Raw Data'!AD268="",LEN(TRIM('Raw Data'!AD268))=0),"",IF(AND(ISNUMBER('Raw Data'!AD268), IFERROR('Raw Data'!AD268 = ROUND('Raw Data'!AD268, 2),FALSE)),"",_xlfn.REGEXEXTRACT(CELL("address",AD268), "\$([A-Z]+)\$[0-9]+"))),_xlfn.REGEXEXTRACT(CELL("address",AD268), "\$([A-Z]+)\$[0-9]+"))</f>
        <v/>
      </c>
      <c r="AE268" s="7" t="str" cm="1">
        <f t="array" aca="1" ref="AE268" ca="1">IFERROR(IF(OR('Raw Data'!AE268="",LEN(TRIM('Raw Data'!AE268))=0),"",IF(AND(ISNUMBER('Raw Data'!AE268), IFERROR('Raw Data'!AE268 = ROUND('Raw Data'!AE268, 2),FALSE)),"",_xlfn.REGEXEXTRACT(CELL("address",AE268), "\$([A-Z]+)\$[0-9]+"))),_xlfn.REGEXEXTRACT(CELL("address",AE268), "\$([A-Z]+)\$[0-9]+"))</f>
        <v/>
      </c>
      <c r="AF268" s="7" t="str" cm="1">
        <f t="array" aca="1" ref="AF268" ca="1">IFERROR(IF(OR('Raw Data'!AF268="",LEN(TRIM('Raw Data'!AF268))=0),"",IF(AND(ISNUMBER('Raw Data'!AF268), IFERROR('Raw Data'!AF268 = ROUND('Raw Data'!AF268, 2),FALSE)),"",_xlfn.REGEXEXTRACT(CELL("address",AF268), "\$([A-Z]+)\$[0-9]+"))),_xlfn.REGEXEXTRACT(CELL("address",AF268), "\$([A-Z]+)\$[0-9]+"))</f>
        <v/>
      </c>
      <c r="AG268" s="7" t="str" cm="1">
        <f t="array" aca="1" ref="AG268" ca="1">IFERROR(IF(OR('Raw Data'!AG268="",LEN(TRIM('Raw Data'!AG268))=0),"",IF(AND(ISNUMBER('Raw Data'!AG268), IFERROR('Raw Data'!AG268 = ROUND('Raw Data'!AG268, 2),FALSE)),"",_xlfn.REGEXEXTRACT(CELL("address",AG268), "\$([A-Z]+)\$[0-9]+"))),_xlfn.REGEXEXTRACT(CELL("address",AG268), "\$([A-Z]+)\$[0-9]+"))</f>
        <v/>
      </c>
      <c r="AH268" s="7" t="str" cm="1">
        <f t="array" aca="1" ref="AH268" ca="1">IFERROR(IF(OR('Raw Data'!AH268="",LEN(TRIM('Raw Data'!AH268))=0),"",IF(AND(ISNUMBER('Raw Data'!AH268), IFERROR('Raw Data'!AH268 = ROUND('Raw Data'!AH268, 2),FALSE)),"",_xlfn.REGEXEXTRACT(CELL("address",AH268), "\$([A-Z]+)\$[0-9]+"))),_xlfn.REGEXEXTRACT(CELL("address",AH268), "\$([A-Z]+)\$[0-9]+"))</f>
        <v/>
      </c>
      <c r="AI268" s="7" t="str" cm="1">
        <f t="array" aca="1" ref="AI268" ca="1">IFERROR(IF(OR('Raw Data'!AI268="",LEN(TRIM('Raw Data'!AI268))=0),"",IF(AND(ISNUMBER('Raw Data'!AI268), IFERROR('Raw Data'!AI268 = ROUND('Raw Data'!AI268, 2),FALSE)),"",_xlfn.REGEXEXTRACT(CELL("address",AI268), "\$([A-Z]+)\$[0-9]+"))),_xlfn.REGEXEXTRACT(CELL("address",AI268), "\$([A-Z]+)\$[0-9]+"))</f>
        <v/>
      </c>
      <c r="AJ268" s="7" t="str" cm="1">
        <f t="array" aca="1" ref="AJ268" ca="1">IFERROR(IF(OR('Raw Data'!AJ268="",LEN(TRIM('Raw Data'!AJ268))=0),"",IF(AND(ISNUMBER('Raw Data'!AJ268), IFERROR('Raw Data'!AJ268 = ROUND('Raw Data'!AJ268, 2),FALSE)),"",_xlfn.REGEXEXTRACT(CELL("address",AJ268), "\$([A-Z]+)\$[0-9]+"))),_xlfn.REGEXEXTRACT(CELL("address",AJ268), "\$([A-Z]+)\$[0-9]+"))</f>
        <v/>
      </c>
    </row>
    <row r="269" spans="2:36" x14ac:dyDescent="0.25">
      <c r="B269" s="7" t="str" cm="1">
        <f t="array" aca="1" ref="B269" ca="1">IFERROR(IF(OR('Raw Data'!B269="",LEN(TRIM('Raw Data'!B269))=0),"",IF(AND(LEN('Raw Data'!B269) &lt;= 255,LEN('Raw Data'!B269)&gt; 0),"",_xlfn.REGEXEXTRACT(CELL("address",'Raw Data'!B269),"\$([A-Z]+)\$[0-9]+"))),_xlfn.REGEXEXTRACT(CELL("address",'Raw Data'!B269),"\$([A-Z]+)\$[0-9]+"))</f>
        <v/>
      </c>
      <c r="C269" s="7" t="str" cm="1">
        <f t="array" aca="1" ref="C269" ca="1">IFERROR(IF(OR('Raw Data'!C269="",LEN(TRIM('Raw Data'!C269))=0),"",IF(AND(LEN('Raw Data'!C269) &lt;= 20,LEN('Raw Data'!C269)&gt; 0),"",_xlfn.REGEXEXTRACT(CELL("address",'Raw Data'!C269),"\$([A-Z]+)\$[0-9]+"))),_xlfn.REGEXEXTRACT(CELL("address",'Raw Data'!C269),"\$([A-Z]+)\$[0-9]+"))</f>
        <v/>
      </c>
      <c r="D269" s="7" t="str" cm="1">
        <f t="array" aca="1" ref="D269" ca="1">IFERROR(IF(OR('Raw Data'!D269="",LEN(TRIM('Raw Data'!D269))=0),"",IF(AND(ISNUMBER('Raw Data'!D269),'Raw Data'!D269&gt;=Configuration!$D$2),"",_xlfn.REGEXEXTRACT(CELL("address",'Raw Data'!D269),"\$([A-Z]+)\$[0-9]+"))),_xlfn.REGEXEXTRACT(CELL("address",D269), "\$([A-Z]+)\$[0-9]+"))</f>
        <v/>
      </c>
      <c r="E269" s="7" t="str" cm="1">
        <f t="array" aca="1" ref="E269" ca="1">IFERROR(IF(OR('Raw Data'!E269="",LEN(TRIM('Raw Data'!E269))=0),"",IF(AND(ISNUMBER('Raw Data'!E269), IFERROR('Raw Data'!E269 = ROUND('Raw Data'!E269, 2),FALSE)),"",_xlfn.REGEXEXTRACT(CELL("address",E269), "\$([A-Z]+)\$[0-9]+"))),_xlfn.REGEXEXTRACT(CELL("address",E269), "\$([A-Z]+)\$[0-9]+"))</f>
        <v/>
      </c>
      <c r="F269" s="7" t="str" cm="1">
        <f t="array" aca="1" ref="F269" ca="1">IFERROR(IF(OR('Raw Data'!F269="",LEN(TRIM('Raw Data'!F269))=0),"",IF(AND(ISNUMBER('Raw Data'!F269), IFERROR('Raw Data'!F269 = ROUND('Raw Data'!F269, 2),FALSE)),"",_xlfn.REGEXEXTRACT(CELL("address",F269), "\$([A-Z]+)\$[0-9]+"))),_xlfn.REGEXEXTRACT(CELL("address",F269), "\$([A-Z]+)\$[0-9]+"))</f>
        <v/>
      </c>
      <c r="G269" s="7" t="str" cm="1">
        <f t="array" aca="1" ref="G269" ca="1">IFERROR(IF(OR('Raw Data'!G269="",LEN(TRIM('Raw Data'!G269))=0),"",IF(AND(ISNUMBER('Raw Data'!G269), IFERROR('Raw Data'!G269 = ROUND('Raw Data'!G269, 2),FALSE)),"",_xlfn.REGEXEXTRACT(CELL("address",G269), "\$([A-Z]+)\$[0-9]+"))),_xlfn.REGEXEXTRACT(CELL("address",G269), "\$([A-Z]+)\$[0-9]+"))</f>
        <v/>
      </c>
      <c r="H269" s="7" t="str" cm="1">
        <f t="array" aca="1" ref="H269" ca="1">IFERROR(IF(OR('Raw Data'!H269="",LEN(TRIM('Raw Data'!H269))=0),"",IF(AND(ISNUMBER('Raw Data'!H269), IFERROR('Raw Data'!H269 = ROUND('Raw Data'!H269, 2),FALSE)),"",_xlfn.REGEXEXTRACT(CELL("address",H269), "\$([A-Z]+)\$[0-9]+"))),_xlfn.REGEXEXTRACT(CELL("address",H269), "\$([A-Z]+)\$[0-9]+"))</f>
        <v/>
      </c>
      <c r="I269" s="7" t="str" cm="1">
        <f t="array" aca="1" ref="I269" ca="1">IFERROR(IF(OR('Raw Data'!I269="",LEN(TRIM('Raw Data'!I269))=0),"",IF(AND(ISNUMBER('Raw Data'!I269), IFERROR('Raw Data'!I269 = ROUND('Raw Data'!I269, 2),FALSE)),"",_xlfn.REGEXEXTRACT(CELL("address",I269), "\$([A-Z]+)\$[0-9]+"))),_xlfn.REGEXEXTRACT(CELL("address",I269), "\$([A-Z]+)\$[0-9]+"))</f>
        <v/>
      </c>
      <c r="J269" s="7" t="str" cm="1">
        <f t="array" aca="1" ref="J269" ca="1">IFERROR(IF(OR('Raw Data'!J269="",LEN(TRIM('Raw Data'!J269))=0),"",IF(AND(ISNUMBER('Raw Data'!J269), IFERROR('Raw Data'!J269 = ROUND('Raw Data'!J269, 2),FALSE)),"",_xlfn.REGEXEXTRACT(CELL("address",J269), "\$([A-Z]+)\$[0-9]+"))),_xlfn.REGEXEXTRACT(CELL("address",J269), "\$([A-Z]+)\$[0-9]+"))</f>
        <v/>
      </c>
      <c r="K269" s="7" t="str" cm="1">
        <f t="array" aca="1" ref="K269" ca="1">IFERROR(IF(OR('Raw Data'!K269="",LEN(TRIM('Raw Data'!K269))=0),"",IF(AND(ISNUMBER('Raw Data'!K269), IFERROR('Raw Data'!K269 = ROUND('Raw Data'!K269, 2),FALSE)),"",_xlfn.REGEXEXTRACT(CELL("address",K269), "\$([A-Z]+)\$[0-9]+"))),_xlfn.REGEXEXTRACT(CELL("address",K269), "\$([A-Z]+)\$[0-9]+"))</f>
        <v/>
      </c>
      <c r="L269" s="7" t="str" cm="1">
        <f t="array" aca="1" ref="L269" ca="1">IFERROR(IF(OR('Raw Data'!L269="",LEN(TRIM('Raw Data'!L269))=0),"",IF(AND(ISNUMBER('Raw Data'!L269), IFERROR('Raw Data'!L269 = ROUND('Raw Data'!L269, 2),FALSE)),"",_xlfn.REGEXEXTRACT(CELL("address",L269), "\$([A-Z]+)\$[0-9]+"))),_xlfn.REGEXEXTRACT(CELL("address",L269), "\$([A-Z]+)\$[0-9]+"))</f>
        <v/>
      </c>
      <c r="M269" s="7" t="str" cm="1">
        <f t="array" aca="1" ref="M269" ca="1">IFERROR(IF(OR('Raw Data'!M269="",LEN(TRIM('Raw Data'!M269))=0),"",IF(AND(ISNUMBER('Raw Data'!M269), IFERROR('Raw Data'!M269 = ROUND('Raw Data'!M269, 2),FALSE)),"",_xlfn.REGEXEXTRACT(CELL("address",M269), "\$([A-Z]+)\$[0-9]+"))),_xlfn.REGEXEXTRACT(CELL("address",M269), "\$([A-Z]+)\$[0-9]+"))</f>
        <v/>
      </c>
      <c r="N269" s="7" t="str" cm="1">
        <f t="array" aca="1" ref="N269" ca="1">IFERROR(IF(OR('Raw Data'!N269="",LEN(TRIM('Raw Data'!N269))=0),"",IF(AND(ISNUMBER('Raw Data'!N269), IFERROR('Raw Data'!N269 = ROUND('Raw Data'!N269, 2),FALSE)),"",_xlfn.REGEXEXTRACT(CELL("address",N269), "\$([A-Z]+)\$[0-9]+"))),_xlfn.REGEXEXTRACT(CELL("address",N269), "\$([A-Z]+)\$[0-9]+"))</f>
        <v/>
      </c>
      <c r="O269" s="7" t="str" cm="1">
        <f t="array" aca="1" ref="O269" ca="1">IFERROR(IF(OR('Raw Data'!O269="",LEN(TRIM('Raw Data'!O269))=0),"",IF(AND(ISNUMBER('Raw Data'!O269), IFERROR('Raw Data'!O269 = ROUND('Raw Data'!O269, 2),FALSE)),"",_xlfn.REGEXEXTRACT(CELL("address",O269), "\$([A-Z]+)\$[0-9]+"))),_xlfn.REGEXEXTRACT(CELL("address",O269), "\$([A-Z]+)\$[0-9]+"))</f>
        <v/>
      </c>
      <c r="P269" s="7" t="str" cm="1">
        <f t="array" aca="1" ref="P269" ca="1">IFERROR(IF(OR('Raw Data'!P269="",LEN(TRIM('Raw Data'!P269))=0),"",IF(AND(ISNUMBER('Raw Data'!P269), IFERROR('Raw Data'!P269 = ROUND('Raw Data'!P269, 2),FALSE)),"",_xlfn.REGEXEXTRACT(CELL("address",P269), "\$([A-Z]+)\$[0-9]+"))),_xlfn.REGEXEXTRACT(CELL("address",P269), "\$([A-Z]+)\$[0-9]+"))</f>
        <v/>
      </c>
      <c r="Q269" s="7" t="str" cm="1">
        <f t="array" aca="1" ref="Q269" ca="1">IFERROR(IF(OR('Raw Data'!Q269="",LEN(TRIM('Raw Data'!Q269))=0),"",IF(AND(ISNUMBER('Raw Data'!Q269), IFERROR('Raw Data'!Q269 = ROUND('Raw Data'!Q269, 2),FALSE)),"",_xlfn.REGEXEXTRACT(CELL("address",Q269), "\$([A-Z]+)\$[0-9]+"))),_xlfn.REGEXEXTRACT(CELL("address",Q269), "\$([A-Z]+)\$[0-9]+"))</f>
        <v/>
      </c>
      <c r="R269" s="7" t="str" cm="1">
        <f t="array" aca="1" ref="R269" ca="1">IFERROR(IF(OR('Raw Data'!R269="",LEN(TRIM('Raw Data'!R269))=0),"",IF(AND(ISNUMBER('Raw Data'!R269), IFERROR('Raw Data'!R269 = ROUND('Raw Data'!R269, 2),FALSE)),"",_xlfn.REGEXEXTRACT(CELL("address",R269), "\$([A-Z]+)\$[0-9]+"))),_xlfn.REGEXEXTRACT(CELL("address",R269), "\$([A-Z]+)\$[0-9]+"))</f>
        <v/>
      </c>
      <c r="S269" s="7" t="str" cm="1">
        <f t="array" aca="1" ref="S269" ca="1">IFERROR(IF(OR('Raw Data'!S269="",LEN(TRIM('Raw Data'!S269))=0),"",IF(AND(ISNUMBER('Raw Data'!S269), IFERROR('Raw Data'!S269 = ROUND('Raw Data'!S269, 2),FALSE)),"",_xlfn.REGEXEXTRACT(CELL("address",S269), "\$([A-Z]+)\$[0-9]+"))),_xlfn.REGEXEXTRACT(CELL("address",S269), "\$([A-Z]+)\$[0-9]+"))</f>
        <v/>
      </c>
      <c r="T269" s="7" t="str" cm="1">
        <f t="array" aca="1" ref="T269" ca="1">IFERROR(IF(OR('Raw Data'!T269="",LEN(TRIM('Raw Data'!T269))=0),"",IF(AND(ISNUMBER('Raw Data'!T269), IFERROR('Raw Data'!T269 = ROUND('Raw Data'!T269, 2),FALSE)),"",_xlfn.REGEXEXTRACT(CELL("address",T269), "\$([A-Z]+)\$[0-9]+"))),_xlfn.REGEXEXTRACT(CELL("address",T269), "\$([A-Z]+)\$[0-9]+"))</f>
        <v/>
      </c>
      <c r="U269" s="7" t="str" cm="1">
        <f t="array" aca="1" ref="U269" ca="1">IFERROR(IF(OR('Raw Data'!U269="",LEN(TRIM('Raw Data'!U269))=0),"",IF(AND(ISNUMBER('Raw Data'!U269), IFERROR('Raw Data'!U269 = ROUND('Raw Data'!U269, 2),FALSE)),"",_xlfn.REGEXEXTRACT(CELL("address",U269), "\$([A-Z]+)\$[0-9]+"))),_xlfn.REGEXEXTRACT(CELL("address",U269), "\$([A-Z]+)\$[0-9]+"))</f>
        <v/>
      </c>
      <c r="V269" s="7" t="str" cm="1">
        <f t="array" aca="1" ref="V269" ca="1">IFERROR(IF(OR('Raw Data'!V269="",LEN(TRIM('Raw Data'!V269))=0),"",IF(AND(ISNUMBER('Raw Data'!V269), IFERROR('Raw Data'!V269 = ROUND('Raw Data'!V269, 2),FALSE)),"",_xlfn.REGEXEXTRACT(CELL("address",V269), "\$([A-Z]+)\$[0-9]+"))),_xlfn.REGEXEXTRACT(CELL("address",V269), "\$([A-Z]+)\$[0-9]+"))</f>
        <v/>
      </c>
      <c r="W269" s="7" t="str" cm="1">
        <f t="array" aca="1" ref="W269" ca="1">IFERROR(IF(OR('Raw Data'!W269="",LEN(TRIM('Raw Data'!W269))=0),"",IF(AND(ISNUMBER('Raw Data'!W269), IFERROR('Raw Data'!W269 = ROUND('Raw Data'!W269, 2),FALSE)),"",_xlfn.REGEXEXTRACT(CELL("address",W269), "\$([A-Z]+)\$[0-9]+"))),_xlfn.REGEXEXTRACT(CELL("address",W269), "\$([A-Z]+)\$[0-9]+"))</f>
        <v/>
      </c>
      <c r="X269" s="7" t="str" cm="1">
        <f t="array" aca="1" ref="X269" ca="1">IFERROR(IF(OR('Raw Data'!X269="",LEN(TRIM('Raw Data'!X269))=0),"",IF(AND(ISNUMBER('Raw Data'!X269), IFERROR('Raw Data'!X269 = ROUND('Raw Data'!X269, 2),FALSE)),"",_xlfn.REGEXEXTRACT(CELL("address",X269), "\$([A-Z]+)\$[0-9]+"))),_xlfn.REGEXEXTRACT(CELL("address",X269), "\$([A-Z]+)\$[0-9]+"))</f>
        <v/>
      </c>
      <c r="Y269" s="7" t="str" cm="1">
        <f t="array" aca="1" ref="Y269" ca="1">IFERROR(IF(OR('Raw Data'!Y269="",LEN(TRIM('Raw Data'!Y269))=0),"",IF(AND(ISNUMBER('Raw Data'!Y269), IFERROR('Raw Data'!Y269 = ROUND('Raw Data'!Y269, 2),FALSE)),"",_xlfn.REGEXEXTRACT(CELL("address",Y269), "\$([A-Z]+)\$[0-9]+"))),_xlfn.REGEXEXTRACT(CELL("address",Y269), "\$([A-Z]+)\$[0-9]+"))</f>
        <v/>
      </c>
      <c r="Z269" s="7" t="str" cm="1">
        <f t="array" aca="1" ref="Z269" ca="1">IFERROR(IF(OR('Raw Data'!Z269="",LEN(TRIM('Raw Data'!Z269))=0),"",IF(AND(ISNUMBER('Raw Data'!Z269), IFERROR('Raw Data'!Z269 = ROUND('Raw Data'!Z269, 2),FALSE)),"",_xlfn.REGEXEXTRACT(CELL("address",Z269), "\$([A-Z]+)\$[0-9]+"))),_xlfn.REGEXEXTRACT(CELL("address",Z269), "\$([A-Z]+)\$[0-9]+"))</f>
        <v/>
      </c>
      <c r="AA269" s="7" t="str" cm="1">
        <f t="array" aca="1" ref="AA269" ca="1">IFERROR(IF(OR('Raw Data'!AA269="",LEN(TRIM('Raw Data'!AA269))=0),"",IF(AND(ISNUMBER('Raw Data'!AA269), IFERROR('Raw Data'!AA269 = ROUND('Raw Data'!AA269, 2),FALSE)),"",_xlfn.REGEXEXTRACT(CELL("address",AA269), "\$([A-Z]+)\$[0-9]+"))),_xlfn.REGEXEXTRACT(CELL("address",AA269), "\$([A-Z]+)\$[0-9]+"))</f>
        <v/>
      </c>
      <c r="AB269" s="7" t="str" cm="1">
        <f t="array" aca="1" ref="AB269" ca="1">IFERROR(IF(OR('Raw Data'!AB269="",LEN(TRIM('Raw Data'!AB269))=0),"",IF(AND(ISNUMBER('Raw Data'!AB269), IFERROR('Raw Data'!AB269 = ROUND('Raw Data'!AB269, 2),FALSE)),"",_xlfn.REGEXEXTRACT(CELL("address",AB269), "\$([A-Z]+)\$[0-9]+"))),_xlfn.REGEXEXTRACT(CELL("address",AB269), "\$([A-Z]+)\$[0-9]+"))</f>
        <v/>
      </c>
      <c r="AC269" s="7" t="str" cm="1">
        <f t="array" aca="1" ref="AC269" ca="1">IFERROR(IF(OR('Raw Data'!AC269="",LEN(TRIM('Raw Data'!AC269))=0),"",IF(AND(ISNUMBER('Raw Data'!AC269), IFERROR('Raw Data'!AC269 = ROUND('Raw Data'!AC269, 2),FALSE)),"",_xlfn.REGEXEXTRACT(CELL("address",AC269), "\$([A-Z]+)\$[0-9]+"))),_xlfn.REGEXEXTRACT(CELL("address",AC269), "\$([A-Z]+)\$[0-9]+"))</f>
        <v/>
      </c>
      <c r="AD269" s="7" t="str" cm="1">
        <f t="array" aca="1" ref="AD269" ca="1">IFERROR(IF(OR('Raw Data'!AD269="",LEN(TRIM('Raw Data'!AD269))=0),"",IF(AND(ISNUMBER('Raw Data'!AD269), IFERROR('Raw Data'!AD269 = ROUND('Raw Data'!AD269, 2),FALSE)),"",_xlfn.REGEXEXTRACT(CELL("address",AD269), "\$([A-Z]+)\$[0-9]+"))),_xlfn.REGEXEXTRACT(CELL("address",AD269), "\$([A-Z]+)\$[0-9]+"))</f>
        <v/>
      </c>
      <c r="AE269" s="7" t="str" cm="1">
        <f t="array" aca="1" ref="AE269" ca="1">IFERROR(IF(OR('Raw Data'!AE269="",LEN(TRIM('Raw Data'!AE269))=0),"",IF(AND(ISNUMBER('Raw Data'!AE269), IFERROR('Raw Data'!AE269 = ROUND('Raw Data'!AE269, 2),FALSE)),"",_xlfn.REGEXEXTRACT(CELL("address",AE269), "\$([A-Z]+)\$[0-9]+"))),_xlfn.REGEXEXTRACT(CELL("address",AE269), "\$([A-Z]+)\$[0-9]+"))</f>
        <v/>
      </c>
      <c r="AF269" s="7" t="str" cm="1">
        <f t="array" aca="1" ref="AF269" ca="1">IFERROR(IF(OR('Raw Data'!AF269="",LEN(TRIM('Raw Data'!AF269))=0),"",IF(AND(ISNUMBER('Raw Data'!AF269), IFERROR('Raw Data'!AF269 = ROUND('Raw Data'!AF269, 2),FALSE)),"",_xlfn.REGEXEXTRACT(CELL("address",AF269), "\$([A-Z]+)\$[0-9]+"))),_xlfn.REGEXEXTRACT(CELL("address",AF269), "\$([A-Z]+)\$[0-9]+"))</f>
        <v/>
      </c>
      <c r="AG269" s="7" t="str" cm="1">
        <f t="array" aca="1" ref="AG269" ca="1">IFERROR(IF(OR('Raw Data'!AG269="",LEN(TRIM('Raw Data'!AG269))=0),"",IF(AND(ISNUMBER('Raw Data'!AG269), IFERROR('Raw Data'!AG269 = ROUND('Raw Data'!AG269, 2),FALSE)),"",_xlfn.REGEXEXTRACT(CELL("address",AG269), "\$([A-Z]+)\$[0-9]+"))),_xlfn.REGEXEXTRACT(CELL("address",AG269), "\$([A-Z]+)\$[0-9]+"))</f>
        <v/>
      </c>
      <c r="AH269" s="7" t="str" cm="1">
        <f t="array" aca="1" ref="AH269" ca="1">IFERROR(IF(OR('Raw Data'!AH269="",LEN(TRIM('Raw Data'!AH269))=0),"",IF(AND(ISNUMBER('Raw Data'!AH269), IFERROR('Raw Data'!AH269 = ROUND('Raw Data'!AH269, 2),FALSE)),"",_xlfn.REGEXEXTRACT(CELL("address",AH269), "\$([A-Z]+)\$[0-9]+"))),_xlfn.REGEXEXTRACT(CELL("address",AH269), "\$([A-Z]+)\$[0-9]+"))</f>
        <v/>
      </c>
      <c r="AI269" s="7" t="str" cm="1">
        <f t="array" aca="1" ref="AI269" ca="1">IFERROR(IF(OR('Raw Data'!AI269="",LEN(TRIM('Raw Data'!AI269))=0),"",IF(AND(ISNUMBER('Raw Data'!AI269), IFERROR('Raw Data'!AI269 = ROUND('Raw Data'!AI269, 2),FALSE)),"",_xlfn.REGEXEXTRACT(CELL("address",AI269), "\$([A-Z]+)\$[0-9]+"))),_xlfn.REGEXEXTRACT(CELL("address",AI269), "\$([A-Z]+)\$[0-9]+"))</f>
        <v/>
      </c>
      <c r="AJ269" s="7" t="str" cm="1">
        <f t="array" aca="1" ref="AJ269" ca="1">IFERROR(IF(OR('Raw Data'!AJ269="",LEN(TRIM('Raw Data'!AJ269))=0),"",IF(AND(ISNUMBER('Raw Data'!AJ269), IFERROR('Raw Data'!AJ269 = ROUND('Raw Data'!AJ269, 2),FALSE)),"",_xlfn.REGEXEXTRACT(CELL("address",AJ269), "\$([A-Z]+)\$[0-9]+"))),_xlfn.REGEXEXTRACT(CELL("address",AJ269), "\$([A-Z]+)\$[0-9]+"))</f>
        <v/>
      </c>
    </row>
    <row r="270" spans="2:36" x14ac:dyDescent="0.25">
      <c r="B270" s="7" t="str" cm="1">
        <f t="array" aca="1" ref="B270" ca="1">IFERROR(IF(OR('Raw Data'!B270="",LEN(TRIM('Raw Data'!B270))=0),"",IF(AND(LEN('Raw Data'!B270) &lt;= 255,LEN('Raw Data'!B270)&gt; 0),"",_xlfn.REGEXEXTRACT(CELL("address",'Raw Data'!B270),"\$([A-Z]+)\$[0-9]+"))),_xlfn.REGEXEXTRACT(CELL("address",'Raw Data'!B270),"\$([A-Z]+)\$[0-9]+"))</f>
        <v/>
      </c>
      <c r="C270" s="7" t="str" cm="1">
        <f t="array" aca="1" ref="C270" ca="1">IFERROR(IF(OR('Raw Data'!C270="",LEN(TRIM('Raw Data'!C270))=0),"",IF(AND(LEN('Raw Data'!C270) &lt;= 20,LEN('Raw Data'!C270)&gt; 0),"",_xlfn.REGEXEXTRACT(CELL("address",'Raw Data'!C270),"\$([A-Z]+)\$[0-9]+"))),_xlfn.REGEXEXTRACT(CELL("address",'Raw Data'!C270),"\$([A-Z]+)\$[0-9]+"))</f>
        <v/>
      </c>
      <c r="D270" s="7" t="str" cm="1">
        <f t="array" aca="1" ref="D270" ca="1">IFERROR(IF(OR('Raw Data'!D270="",LEN(TRIM('Raw Data'!D270))=0),"",IF(AND(ISNUMBER('Raw Data'!D270),'Raw Data'!D270&gt;=Configuration!$D$2),"",_xlfn.REGEXEXTRACT(CELL("address",'Raw Data'!D270),"\$([A-Z]+)\$[0-9]+"))),_xlfn.REGEXEXTRACT(CELL("address",D270), "\$([A-Z]+)\$[0-9]+"))</f>
        <v/>
      </c>
      <c r="E270" s="7" t="str" cm="1">
        <f t="array" aca="1" ref="E270" ca="1">IFERROR(IF(OR('Raw Data'!E270="",LEN(TRIM('Raw Data'!E270))=0),"",IF(AND(ISNUMBER('Raw Data'!E270), IFERROR('Raw Data'!E270 = ROUND('Raw Data'!E270, 2),FALSE)),"",_xlfn.REGEXEXTRACT(CELL("address",E270), "\$([A-Z]+)\$[0-9]+"))),_xlfn.REGEXEXTRACT(CELL("address",E270), "\$([A-Z]+)\$[0-9]+"))</f>
        <v/>
      </c>
      <c r="F270" s="7" t="str" cm="1">
        <f t="array" aca="1" ref="F270" ca="1">IFERROR(IF(OR('Raw Data'!F270="",LEN(TRIM('Raw Data'!F270))=0),"",IF(AND(ISNUMBER('Raw Data'!F270), IFERROR('Raw Data'!F270 = ROUND('Raw Data'!F270, 2),FALSE)),"",_xlfn.REGEXEXTRACT(CELL("address",F270), "\$([A-Z]+)\$[0-9]+"))),_xlfn.REGEXEXTRACT(CELL("address",F270), "\$([A-Z]+)\$[0-9]+"))</f>
        <v/>
      </c>
      <c r="G270" s="7" t="str" cm="1">
        <f t="array" aca="1" ref="G270" ca="1">IFERROR(IF(OR('Raw Data'!G270="",LEN(TRIM('Raw Data'!G270))=0),"",IF(AND(ISNUMBER('Raw Data'!G270), IFERROR('Raw Data'!G270 = ROUND('Raw Data'!G270, 2),FALSE)),"",_xlfn.REGEXEXTRACT(CELL("address",G270), "\$([A-Z]+)\$[0-9]+"))),_xlfn.REGEXEXTRACT(CELL("address",G270), "\$([A-Z]+)\$[0-9]+"))</f>
        <v/>
      </c>
      <c r="H270" s="7" t="str" cm="1">
        <f t="array" aca="1" ref="H270" ca="1">IFERROR(IF(OR('Raw Data'!H270="",LEN(TRIM('Raw Data'!H270))=0),"",IF(AND(ISNUMBER('Raw Data'!H270), IFERROR('Raw Data'!H270 = ROUND('Raw Data'!H270, 2),FALSE)),"",_xlfn.REGEXEXTRACT(CELL("address",H270), "\$([A-Z]+)\$[0-9]+"))),_xlfn.REGEXEXTRACT(CELL("address",H270), "\$([A-Z]+)\$[0-9]+"))</f>
        <v/>
      </c>
      <c r="I270" s="7" t="str" cm="1">
        <f t="array" aca="1" ref="I270" ca="1">IFERROR(IF(OR('Raw Data'!I270="",LEN(TRIM('Raw Data'!I270))=0),"",IF(AND(ISNUMBER('Raw Data'!I270), IFERROR('Raw Data'!I270 = ROUND('Raw Data'!I270, 2),FALSE)),"",_xlfn.REGEXEXTRACT(CELL("address",I270), "\$([A-Z]+)\$[0-9]+"))),_xlfn.REGEXEXTRACT(CELL("address",I270), "\$([A-Z]+)\$[0-9]+"))</f>
        <v/>
      </c>
      <c r="J270" s="7" t="str" cm="1">
        <f t="array" aca="1" ref="J270" ca="1">IFERROR(IF(OR('Raw Data'!J270="",LEN(TRIM('Raw Data'!J270))=0),"",IF(AND(ISNUMBER('Raw Data'!J270), IFERROR('Raw Data'!J270 = ROUND('Raw Data'!J270, 2),FALSE)),"",_xlfn.REGEXEXTRACT(CELL("address",J270), "\$([A-Z]+)\$[0-9]+"))),_xlfn.REGEXEXTRACT(CELL("address",J270), "\$([A-Z]+)\$[0-9]+"))</f>
        <v/>
      </c>
      <c r="K270" s="7" t="str" cm="1">
        <f t="array" aca="1" ref="K270" ca="1">IFERROR(IF(OR('Raw Data'!K270="",LEN(TRIM('Raw Data'!K270))=0),"",IF(AND(ISNUMBER('Raw Data'!K270), IFERROR('Raw Data'!K270 = ROUND('Raw Data'!K270, 2),FALSE)),"",_xlfn.REGEXEXTRACT(CELL("address",K270), "\$([A-Z]+)\$[0-9]+"))),_xlfn.REGEXEXTRACT(CELL("address",K270), "\$([A-Z]+)\$[0-9]+"))</f>
        <v/>
      </c>
      <c r="L270" s="7" t="str" cm="1">
        <f t="array" aca="1" ref="L270" ca="1">IFERROR(IF(OR('Raw Data'!L270="",LEN(TRIM('Raw Data'!L270))=0),"",IF(AND(ISNUMBER('Raw Data'!L270), IFERROR('Raw Data'!L270 = ROUND('Raw Data'!L270, 2),FALSE)),"",_xlfn.REGEXEXTRACT(CELL("address",L270), "\$([A-Z]+)\$[0-9]+"))),_xlfn.REGEXEXTRACT(CELL("address",L270), "\$([A-Z]+)\$[0-9]+"))</f>
        <v/>
      </c>
      <c r="M270" s="7" t="str" cm="1">
        <f t="array" aca="1" ref="M270" ca="1">IFERROR(IF(OR('Raw Data'!M270="",LEN(TRIM('Raw Data'!M270))=0),"",IF(AND(ISNUMBER('Raw Data'!M270), IFERROR('Raw Data'!M270 = ROUND('Raw Data'!M270, 2),FALSE)),"",_xlfn.REGEXEXTRACT(CELL("address",M270), "\$([A-Z]+)\$[0-9]+"))),_xlfn.REGEXEXTRACT(CELL("address",M270), "\$([A-Z]+)\$[0-9]+"))</f>
        <v/>
      </c>
      <c r="N270" s="7" t="str" cm="1">
        <f t="array" aca="1" ref="N270" ca="1">IFERROR(IF(OR('Raw Data'!N270="",LEN(TRIM('Raw Data'!N270))=0),"",IF(AND(ISNUMBER('Raw Data'!N270), IFERROR('Raw Data'!N270 = ROUND('Raw Data'!N270, 2),FALSE)),"",_xlfn.REGEXEXTRACT(CELL("address",N270), "\$([A-Z]+)\$[0-9]+"))),_xlfn.REGEXEXTRACT(CELL("address",N270), "\$([A-Z]+)\$[0-9]+"))</f>
        <v/>
      </c>
      <c r="O270" s="7" t="str" cm="1">
        <f t="array" aca="1" ref="O270" ca="1">IFERROR(IF(OR('Raw Data'!O270="",LEN(TRIM('Raw Data'!O270))=0),"",IF(AND(ISNUMBER('Raw Data'!O270), IFERROR('Raw Data'!O270 = ROUND('Raw Data'!O270, 2),FALSE)),"",_xlfn.REGEXEXTRACT(CELL("address",O270), "\$([A-Z]+)\$[0-9]+"))),_xlfn.REGEXEXTRACT(CELL("address",O270), "\$([A-Z]+)\$[0-9]+"))</f>
        <v/>
      </c>
      <c r="P270" s="7" t="str" cm="1">
        <f t="array" aca="1" ref="P270" ca="1">IFERROR(IF(OR('Raw Data'!P270="",LEN(TRIM('Raw Data'!P270))=0),"",IF(AND(ISNUMBER('Raw Data'!P270), IFERROR('Raw Data'!P270 = ROUND('Raw Data'!P270, 2),FALSE)),"",_xlfn.REGEXEXTRACT(CELL("address",P270), "\$([A-Z]+)\$[0-9]+"))),_xlfn.REGEXEXTRACT(CELL("address",P270), "\$([A-Z]+)\$[0-9]+"))</f>
        <v/>
      </c>
      <c r="Q270" s="7" t="str" cm="1">
        <f t="array" aca="1" ref="Q270" ca="1">IFERROR(IF(OR('Raw Data'!Q270="",LEN(TRIM('Raw Data'!Q270))=0),"",IF(AND(ISNUMBER('Raw Data'!Q270), IFERROR('Raw Data'!Q270 = ROUND('Raw Data'!Q270, 2),FALSE)),"",_xlfn.REGEXEXTRACT(CELL("address",Q270), "\$([A-Z]+)\$[0-9]+"))),_xlfn.REGEXEXTRACT(CELL("address",Q270), "\$([A-Z]+)\$[0-9]+"))</f>
        <v/>
      </c>
      <c r="R270" s="7" t="str" cm="1">
        <f t="array" aca="1" ref="R270" ca="1">IFERROR(IF(OR('Raw Data'!R270="",LEN(TRIM('Raw Data'!R270))=0),"",IF(AND(ISNUMBER('Raw Data'!R270), IFERROR('Raw Data'!R270 = ROUND('Raw Data'!R270, 2),FALSE)),"",_xlfn.REGEXEXTRACT(CELL("address",R270), "\$([A-Z]+)\$[0-9]+"))),_xlfn.REGEXEXTRACT(CELL("address",R270), "\$([A-Z]+)\$[0-9]+"))</f>
        <v/>
      </c>
      <c r="S270" s="7" t="str" cm="1">
        <f t="array" aca="1" ref="S270" ca="1">IFERROR(IF(OR('Raw Data'!S270="",LEN(TRIM('Raw Data'!S270))=0),"",IF(AND(ISNUMBER('Raw Data'!S270), IFERROR('Raw Data'!S270 = ROUND('Raw Data'!S270, 2),FALSE)),"",_xlfn.REGEXEXTRACT(CELL("address",S270), "\$([A-Z]+)\$[0-9]+"))),_xlfn.REGEXEXTRACT(CELL("address",S270), "\$([A-Z]+)\$[0-9]+"))</f>
        <v/>
      </c>
      <c r="T270" s="7" t="str" cm="1">
        <f t="array" aca="1" ref="T270" ca="1">IFERROR(IF(OR('Raw Data'!T270="",LEN(TRIM('Raw Data'!T270))=0),"",IF(AND(ISNUMBER('Raw Data'!T270), IFERROR('Raw Data'!T270 = ROUND('Raw Data'!T270, 2),FALSE)),"",_xlfn.REGEXEXTRACT(CELL("address",T270), "\$([A-Z]+)\$[0-9]+"))),_xlfn.REGEXEXTRACT(CELL("address",T270), "\$([A-Z]+)\$[0-9]+"))</f>
        <v/>
      </c>
      <c r="U270" s="7" t="str" cm="1">
        <f t="array" aca="1" ref="U270" ca="1">IFERROR(IF(OR('Raw Data'!U270="",LEN(TRIM('Raw Data'!U270))=0),"",IF(AND(ISNUMBER('Raw Data'!U270), IFERROR('Raw Data'!U270 = ROUND('Raw Data'!U270, 2),FALSE)),"",_xlfn.REGEXEXTRACT(CELL("address",U270), "\$([A-Z]+)\$[0-9]+"))),_xlfn.REGEXEXTRACT(CELL("address",U270), "\$([A-Z]+)\$[0-9]+"))</f>
        <v/>
      </c>
      <c r="V270" s="7" t="str" cm="1">
        <f t="array" aca="1" ref="V270" ca="1">IFERROR(IF(OR('Raw Data'!V270="",LEN(TRIM('Raw Data'!V270))=0),"",IF(AND(ISNUMBER('Raw Data'!V270), IFERROR('Raw Data'!V270 = ROUND('Raw Data'!V270, 2),FALSE)),"",_xlfn.REGEXEXTRACT(CELL("address",V270), "\$([A-Z]+)\$[0-9]+"))),_xlfn.REGEXEXTRACT(CELL("address",V270), "\$([A-Z]+)\$[0-9]+"))</f>
        <v/>
      </c>
      <c r="W270" s="7" t="str" cm="1">
        <f t="array" aca="1" ref="W270" ca="1">IFERROR(IF(OR('Raw Data'!W270="",LEN(TRIM('Raw Data'!W270))=0),"",IF(AND(ISNUMBER('Raw Data'!W270), IFERROR('Raw Data'!W270 = ROUND('Raw Data'!W270, 2),FALSE)),"",_xlfn.REGEXEXTRACT(CELL("address",W270), "\$([A-Z]+)\$[0-9]+"))),_xlfn.REGEXEXTRACT(CELL("address",W270), "\$([A-Z]+)\$[0-9]+"))</f>
        <v/>
      </c>
      <c r="X270" s="7" t="str" cm="1">
        <f t="array" aca="1" ref="X270" ca="1">IFERROR(IF(OR('Raw Data'!X270="",LEN(TRIM('Raw Data'!X270))=0),"",IF(AND(ISNUMBER('Raw Data'!X270), IFERROR('Raw Data'!X270 = ROUND('Raw Data'!X270, 2),FALSE)),"",_xlfn.REGEXEXTRACT(CELL("address",X270), "\$([A-Z]+)\$[0-9]+"))),_xlfn.REGEXEXTRACT(CELL("address",X270), "\$([A-Z]+)\$[0-9]+"))</f>
        <v/>
      </c>
      <c r="Y270" s="7" t="str" cm="1">
        <f t="array" aca="1" ref="Y270" ca="1">IFERROR(IF(OR('Raw Data'!Y270="",LEN(TRIM('Raw Data'!Y270))=0),"",IF(AND(ISNUMBER('Raw Data'!Y270), IFERROR('Raw Data'!Y270 = ROUND('Raw Data'!Y270, 2),FALSE)),"",_xlfn.REGEXEXTRACT(CELL("address",Y270), "\$([A-Z]+)\$[0-9]+"))),_xlfn.REGEXEXTRACT(CELL("address",Y270), "\$([A-Z]+)\$[0-9]+"))</f>
        <v/>
      </c>
      <c r="Z270" s="7" t="str" cm="1">
        <f t="array" aca="1" ref="Z270" ca="1">IFERROR(IF(OR('Raw Data'!Z270="",LEN(TRIM('Raw Data'!Z270))=0),"",IF(AND(ISNUMBER('Raw Data'!Z270), IFERROR('Raw Data'!Z270 = ROUND('Raw Data'!Z270, 2),FALSE)),"",_xlfn.REGEXEXTRACT(CELL("address",Z270), "\$([A-Z]+)\$[0-9]+"))),_xlfn.REGEXEXTRACT(CELL("address",Z270), "\$([A-Z]+)\$[0-9]+"))</f>
        <v/>
      </c>
      <c r="AA270" s="7" t="str" cm="1">
        <f t="array" aca="1" ref="AA270" ca="1">IFERROR(IF(OR('Raw Data'!AA270="",LEN(TRIM('Raw Data'!AA270))=0),"",IF(AND(ISNUMBER('Raw Data'!AA270), IFERROR('Raw Data'!AA270 = ROUND('Raw Data'!AA270, 2),FALSE)),"",_xlfn.REGEXEXTRACT(CELL("address",AA270), "\$([A-Z]+)\$[0-9]+"))),_xlfn.REGEXEXTRACT(CELL("address",AA270), "\$([A-Z]+)\$[0-9]+"))</f>
        <v/>
      </c>
      <c r="AB270" s="7" t="str" cm="1">
        <f t="array" aca="1" ref="AB270" ca="1">IFERROR(IF(OR('Raw Data'!AB270="",LEN(TRIM('Raw Data'!AB270))=0),"",IF(AND(ISNUMBER('Raw Data'!AB270), IFERROR('Raw Data'!AB270 = ROUND('Raw Data'!AB270, 2),FALSE)),"",_xlfn.REGEXEXTRACT(CELL("address",AB270), "\$([A-Z]+)\$[0-9]+"))),_xlfn.REGEXEXTRACT(CELL("address",AB270), "\$([A-Z]+)\$[0-9]+"))</f>
        <v/>
      </c>
      <c r="AC270" s="7" t="str" cm="1">
        <f t="array" aca="1" ref="AC270" ca="1">IFERROR(IF(OR('Raw Data'!AC270="",LEN(TRIM('Raw Data'!AC270))=0),"",IF(AND(ISNUMBER('Raw Data'!AC270), IFERROR('Raw Data'!AC270 = ROUND('Raw Data'!AC270, 2),FALSE)),"",_xlfn.REGEXEXTRACT(CELL("address",AC270), "\$([A-Z]+)\$[0-9]+"))),_xlfn.REGEXEXTRACT(CELL("address",AC270), "\$([A-Z]+)\$[0-9]+"))</f>
        <v/>
      </c>
      <c r="AD270" s="7" t="str" cm="1">
        <f t="array" aca="1" ref="AD270" ca="1">IFERROR(IF(OR('Raw Data'!AD270="",LEN(TRIM('Raw Data'!AD270))=0),"",IF(AND(ISNUMBER('Raw Data'!AD270), IFERROR('Raw Data'!AD270 = ROUND('Raw Data'!AD270, 2),FALSE)),"",_xlfn.REGEXEXTRACT(CELL("address",AD270), "\$([A-Z]+)\$[0-9]+"))),_xlfn.REGEXEXTRACT(CELL("address",AD270), "\$([A-Z]+)\$[0-9]+"))</f>
        <v/>
      </c>
      <c r="AE270" s="7" t="str" cm="1">
        <f t="array" aca="1" ref="AE270" ca="1">IFERROR(IF(OR('Raw Data'!AE270="",LEN(TRIM('Raw Data'!AE270))=0),"",IF(AND(ISNUMBER('Raw Data'!AE270), IFERROR('Raw Data'!AE270 = ROUND('Raw Data'!AE270, 2),FALSE)),"",_xlfn.REGEXEXTRACT(CELL("address",AE270), "\$([A-Z]+)\$[0-9]+"))),_xlfn.REGEXEXTRACT(CELL("address",AE270), "\$([A-Z]+)\$[0-9]+"))</f>
        <v/>
      </c>
      <c r="AF270" s="7" t="str" cm="1">
        <f t="array" aca="1" ref="AF270" ca="1">IFERROR(IF(OR('Raw Data'!AF270="",LEN(TRIM('Raw Data'!AF270))=0),"",IF(AND(ISNUMBER('Raw Data'!AF270), IFERROR('Raw Data'!AF270 = ROUND('Raw Data'!AF270, 2),FALSE)),"",_xlfn.REGEXEXTRACT(CELL("address",AF270), "\$([A-Z]+)\$[0-9]+"))),_xlfn.REGEXEXTRACT(CELL("address",AF270), "\$([A-Z]+)\$[0-9]+"))</f>
        <v/>
      </c>
      <c r="AG270" s="7" t="str" cm="1">
        <f t="array" aca="1" ref="AG270" ca="1">IFERROR(IF(OR('Raw Data'!AG270="",LEN(TRIM('Raw Data'!AG270))=0),"",IF(AND(ISNUMBER('Raw Data'!AG270), IFERROR('Raw Data'!AG270 = ROUND('Raw Data'!AG270, 2),FALSE)),"",_xlfn.REGEXEXTRACT(CELL("address",AG270), "\$([A-Z]+)\$[0-9]+"))),_xlfn.REGEXEXTRACT(CELL("address",AG270), "\$([A-Z]+)\$[0-9]+"))</f>
        <v/>
      </c>
      <c r="AH270" s="7" t="str" cm="1">
        <f t="array" aca="1" ref="AH270" ca="1">IFERROR(IF(OR('Raw Data'!AH270="",LEN(TRIM('Raw Data'!AH270))=0),"",IF(AND(ISNUMBER('Raw Data'!AH270), IFERROR('Raw Data'!AH270 = ROUND('Raw Data'!AH270, 2),FALSE)),"",_xlfn.REGEXEXTRACT(CELL("address",AH270), "\$([A-Z]+)\$[0-9]+"))),_xlfn.REGEXEXTRACT(CELL("address",AH270), "\$([A-Z]+)\$[0-9]+"))</f>
        <v/>
      </c>
      <c r="AI270" s="7" t="str" cm="1">
        <f t="array" aca="1" ref="AI270" ca="1">IFERROR(IF(OR('Raw Data'!AI270="",LEN(TRIM('Raw Data'!AI270))=0),"",IF(AND(ISNUMBER('Raw Data'!AI270), IFERROR('Raw Data'!AI270 = ROUND('Raw Data'!AI270, 2),FALSE)),"",_xlfn.REGEXEXTRACT(CELL("address",AI270), "\$([A-Z]+)\$[0-9]+"))),_xlfn.REGEXEXTRACT(CELL("address",AI270), "\$([A-Z]+)\$[0-9]+"))</f>
        <v/>
      </c>
      <c r="AJ270" s="7" t="str" cm="1">
        <f t="array" aca="1" ref="AJ270" ca="1">IFERROR(IF(OR('Raw Data'!AJ270="",LEN(TRIM('Raw Data'!AJ270))=0),"",IF(AND(ISNUMBER('Raw Data'!AJ270), IFERROR('Raw Data'!AJ270 = ROUND('Raw Data'!AJ270, 2),FALSE)),"",_xlfn.REGEXEXTRACT(CELL("address",AJ270), "\$([A-Z]+)\$[0-9]+"))),_xlfn.REGEXEXTRACT(CELL("address",AJ270), "\$([A-Z]+)\$[0-9]+"))</f>
        <v/>
      </c>
    </row>
    <row r="271" spans="2:36" x14ac:dyDescent="0.25">
      <c r="B271" s="7" t="str" cm="1">
        <f t="array" aca="1" ref="B271" ca="1">IFERROR(IF(OR('Raw Data'!B271="",LEN(TRIM('Raw Data'!B271))=0),"",IF(AND(LEN('Raw Data'!B271) &lt;= 255,LEN('Raw Data'!B271)&gt; 0),"",_xlfn.REGEXEXTRACT(CELL("address",'Raw Data'!B271),"\$([A-Z]+)\$[0-9]+"))),_xlfn.REGEXEXTRACT(CELL("address",'Raw Data'!B271),"\$([A-Z]+)\$[0-9]+"))</f>
        <v/>
      </c>
      <c r="C271" s="7" t="str" cm="1">
        <f t="array" aca="1" ref="C271" ca="1">IFERROR(IF(OR('Raw Data'!C271="",LEN(TRIM('Raw Data'!C271))=0),"",IF(AND(LEN('Raw Data'!C271) &lt;= 20,LEN('Raw Data'!C271)&gt; 0),"",_xlfn.REGEXEXTRACT(CELL("address",'Raw Data'!C271),"\$([A-Z]+)\$[0-9]+"))),_xlfn.REGEXEXTRACT(CELL("address",'Raw Data'!C271),"\$([A-Z]+)\$[0-9]+"))</f>
        <v/>
      </c>
      <c r="D271" s="7" t="str" cm="1">
        <f t="array" aca="1" ref="D271" ca="1">IFERROR(IF(OR('Raw Data'!D271="",LEN(TRIM('Raw Data'!D271))=0),"",IF(AND(ISNUMBER('Raw Data'!D271),'Raw Data'!D271&gt;=Configuration!$D$2),"",_xlfn.REGEXEXTRACT(CELL("address",'Raw Data'!D271),"\$([A-Z]+)\$[0-9]+"))),_xlfn.REGEXEXTRACT(CELL("address",D271), "\$([A-Z]+)\$[0-9]+"))</f>
        <v/>
      </c>
      <c r="E271" s="7" t="str" cm="1">
        <f t="array" aca="1" ref="E271" ca="1">IFERROR(IF(OR('Raw Data'!E271="",LEN(TRIM('Raw Data'!E271))=0),"",IF(AND(ISNUMBER('Raw Data'!E271), IFERROR('Raw Data'!E271 = ROUND('Raw Data'!E271, 2),FALSE)),"",_xlfn.REGEXEXTRACT(CELL("address",E271), "\$([A-Z]+)\$[0-9]+"))),_xlfn.REGEXEXTRACT(CELL("address",E271), "\$([A-Z]+)\$[0-9]+"))</f>
        <v/>
      </c>
      <c r="F271" s="7" t="str" cm="1">
        <f t="array" aca="1" ref="F271" ca="1">IFERROR(IF(OR('Raw Data'!F271="",LEN(TRIM('Raw Data'!F271))=0),"",IF(AND(ISNUMBER('Raw Data'!F271), IFERROR('Raw Data'!F271 = ROUND('Raw Data'!F271, 2),FALSE)),"",_xlfn.REGEXEXTRACT(CELL("address",F271), "\$([A-Z]+)\$[0-9]+"))),_xlfn.REGEXEXTRACT(CELL("address",F271), "\$([A-Z]+)\$[0-9]+"))</f>
        <v/>
      </c>
      <c r="G271" s="7" t="str" cm="1">
        <f t="array" aca="1" ref="G271" ca="1">IFERROR(IF(OR('Raw Data'!G271="",LEN(TRIM('Raw Data'!G271))=0),"",IF(AND(ISNUMBER('Raw Data'!G271), IFERROR('Raw Data'!G271 = ROUND('Raw Data'!G271, 2),FALSE)),"",_xlfn.REGEXEXTRACT(CELL("address",G271), "\$([A-Z]+)\$[0-9]+"))),_xlfn.REGEXEXTRACT(CELL("address",G271), "\$([A-Z]+)\$[0-9]+"))</f>
        <v/>
      </c>
      <c r="H271" s="7" t="str" cm="1">
        <f t="array" aca="1" ref="H271" ca="1">IFERROR(IF(OR('Raw Data'!H271="",LEN(TRIM('Raw Data'!H271))=0),"",IF(AND(ISNUMBER('Raw Data'!H271), IFERROR('Raw Data'!H271 = ROUND('Raw Data'!H271, 2),FALSE)),"",_xlfn.REGEXEXTRACT(CELL("address",H271), "\$([A-Z]+)\$[0-9]+"))),_xlfn.REGEXEXTRACT(CELL("address",H271), "\$([A-Z]+)\$[0-9]+"))</f>
        <v/>
      </c>
      <c r="I271" s="7" t="str" cm="1">
        <f t="array" aca="1" ref="I271" ca="1">IFERROR(IF(OR('Raw Data'!I271="",LEN(TRIM('Raw Data'!I271))=0),"",IF(AND(ISNUMBER('Raw Data'!I271), IFERROR('Raw Data'!I271 = ROUND('Raw Data'!I271, 2),FALSE)),"",_xlfn.REGEXEXTRACT(CELL("address",I271), "\$([A-Z]+)\$[0-9]+"))),_xlfn.REGEXEXTRACT(CELL("address",I271), "\$([A-Z]+)\$[0-9]+"))</f>
        <v/>
      </c>
      <c r="J271" s="7" t="str" cm="1">
        <f t="array" aca="1" ref="J271" ca="1">IFERROR(IF(OR('Raw Data'!J271="",LEN(TRIM('Raw Data'!J271))=0),"",IF(AND(ISNUMBER('Raw Data'!J271), IFERROR('Raw Data'!J271 = ROUND('Raw Data'!J271, 2),FALSE)),"",_xlfn.REGEXEXTRACT(CELL("address",J271), "\$([A-Z]+)\$[0-9]+"))),_xlfn.REGEXEXTRACT(CELL("address",J271), "\$([A-Z]+)\$[0-9]+"))</f>
        <v/>
      </c>
      <c r="K271" s="7" t="str" cm="1">
        <f t="array" aca="1" ref="K271" ca="1">IFERROR(IF(OR('Raw Data'!K271="",LEN(TRIM('Raw Data'!K271))=0),"",IF(AND(ISNUMBER('Raw Data'!K271), IFERROR('Raw Data'!K271 = ROUND('Raw Data'!K271, 2),FALSE)),"",_xlfn.REGEXEXTRACT(CELL("address",K271), "\$([A-Z]+)\$[0-9]+"))),_xlfn.REGEXEXTRACT(CELL("address",K271), "\$([A-Z]+)\$[0-9]+"))</f>
        <v/>
      </c>
      <c r="L271" s="7" t="str" cm="1">
        <f t="array" aca="1" ref="L271" ca="1">IFERROR(IF(OR('Raw Data'!L271="",LEN(TRIM('Raw Data'!L271))=0),"",IF(AND(ISNUMBER('Raw Data'!L271), IFERROR('Raw Data'!L271 = ROUND('Raw Data'!L271, 2),FALSE)),"",_xlfn.REGEXEXTRACT(CELL("address",L271), "\$([A-Z]+)\$[0-9]+"))),_xlfn.REGEXEXTRACT(CELL("address",L271), "\$([A-Z]+)\$[0-9]+"))</f>
        <v/>
      </c>
      <c r="M271" s="7" t="str" cm="1">
        <f t="array" aca="1" ref="M271" ca="1">IFERROR(IF(OR('Raw Data'!M271="",LEN(TRIM('Raw Data'!M271))=0),"",IF(AND(ISNUMBER('Raw Data'!M271), IFERROR('Raw Data'!M271 = ROUND('Raw Data'!M271, 2),FALSE)),"",_xlfn.REGEXEXTRACT(CELL("address",M271), "\$([A-Z]+)\$[0-9]+"))),_xlfn.REGEXEXTRACT(CELL("address",M271), "\$([A-Z]+)\$[0-9]+"))</f>
        <v/>
      </c>
      <c r="N271" s="7" t="str" cm="1">
        <f t="array" aca="1" ref="N271" ca="1">IFERROR(IF(OR('Raw Data'!N271="",LEN(TRIM('Raw Data'!N271))=0),"",IF(AND(ISNUMBER('Raw Data'!N271), IFERROR('Raw Data'!N271 = ROUND('Raw Data'!N271, 2),FALSE)),"",_xlfn.REGEXEXTRACT(CELL("address",N271), "\$([A-Z]+)\$[0-9]+"))),_xlfn.REGEXEXTRACT(CELL("address",N271), "\$([A-Z]+)\$[0-9]+"))</f>
        <v/>
      </c>
      <c r="O271" s="7" t="str" cm="1">
        <f t="array" aca="1" ref="O271" ca="1">IFERROR(IF(OR('Raw Data'!O271="",LEN(TRIM('Raw Data'!O271))=0),"",IF(AND(ISNUMBER('Raw Data'!O271), IFERROR('Raw Data'!O271 = ROUND('Raw Data'!O271, 2),FALSE)),"",_xlfn.REGEXEXTRACT(CELL("address",O271), "\$([A-Z]+)\$[0-9]+"))),_xlfn.REGEXEXTRACT(CELL("address",O271), "\$([A-Z]+)\$[0-9]+"))</f>
        <v/>
      </c>
      <c r="P271" s="7" t="str" cm="1">
        <f t="array" aca="1" ref="P271" ca="1">IFERROR(IF(OR('Raw Data'!P271="",LEN(TRIM('Raw Data'!P271))=0),"",IF(AND(ISNUMBER('Raw Data'!P271), IFERROR('Raw Data'!P271 = ROUND('Raw Data'!P271, 2),FALSE)),"",_xlfn.REGEXEXTRACT(CELL("address",P271), "\$([A-Z]+)\$[0-9]+"))),_xlfn.REGEXEXTRACT(CELL("address",P271), "\$([A-Z]+)\$[0-9]+"))</f>
        <v/>
      </c>
      <c r="Q271" s="7" t="str" cm="1">
        <f t="array" aca="1" ref="Q271" ca="1">IFERROR(IF(OR('Raw Data'!Q271="",LEN(TRIM('Raw Data'!Q271))=0),"",IF(AND(ISNUMBER('Raw Data'!Q271), IFERROR('Raw Data'!Q271 = ROUND('Raw Data'!Q271, 2),FALSE)),"",_xlfn.REGEXEXTRACT(CELL("address",Q271), "\$([A-Z]+)\$[0-9]+"))),_xlfn.REGEXEXTRACT(CELL("address",Q271), "\$([A-Z]+)\$[0-9]+"))</f>
        <v/>
      </c>
      <c r="R271" s="7" t="str" cm="1">
        <f t="array" aca="1" ref="R271" ca="1">IFERROR(IF(OR('Raw Data'!R271="",LEN(TRIM('Raw Data'!R271))=0),"",IF(AND(ISNUMBER('Raw Data'!R271), IFERROR('Raw Data'!R271 = ROUND('Raw Data'!R271, 2),FALSE)),"",_xlfn.REGEXEXTRACT(CELL("address",R271), "\$([A-Z]+)\$[0-9]+"))),_xlfn.REGEXEXTRACT(CELL("address",R271), "\$([A-Z]+)\$[0-9]+"))</f>
        <v/>
      </c>
      <c r="S271" s="7" t="str" cm="1">
        <f t="array" aca="1" ref="S271" ca="1">IFERROR(IF(OR('Raw Data'!S271="",LEN(TRIM('Raw Data'!S271))=0),"",IF(AND(ISNUMBER('Raw Data'!S271), IFERROR('Raw Data'!S271 = ROUND('Raw Data'!S271, 2),FALSE)),"",_xlfn.REGEXEXTRACT(CELL("address",S271), "\$([A-Z]+)\$[0-9]+"))),_xlfn.REGEXEXTRACT(CELL("address",S271), "\$([A-Z]+)\$[0-9]+"))</f>
        <v/>
      </c>
      <c r="T271" s="7" t="str" cm="1">
        <f t="array" aca="1" ref="T271" ca="1">IFERROR(IF(OR('Raw Data'!T271="",LEN(TRIM('Raw Data'!T271))=0),"",IF(AND(ISNUMBER('Raw Data'!T271), IFERROR('Raw Data'!T271 = ROUND('Raw Data'!T271, 2),FALSE)),"",_xlfn.REGEXEXTRACT(CELL("address",T271), "\$([A-Z]+)\$[0-9]+"))),_xlfn.REGEXEXTRACT(CELL("address",T271), "\$([A-Z]+)\$[0-9]+"))</f>
        <v/>
      </c>
      <c r="U271" s="7" t="str" cm="1">
        <f t="array" aca="1" ref="U271" ca="1">IFERROR(IF(OR('Raw Data'!U271="",LEN(TRIM('Raw Data'!U271))=0),"",IF(AND(ISNUMBER('Raw Data'!U271), IFERROR('Raw Data'!U271 = ROUND('Raw Data'!U271, 2),FALSE)),"",_xlfn.REGEXEXTRACT(CELL("address",U271), "\$([A-Z]+)\$[0-9]+"))),_xlfn.REGEXEXTRACT(CELL("address",U271), "\$([A-Z]+)\$[0-9]+"))</f>
        <v/>
      </c>
      <c r="V271" s="7" t="str" cm="1">
        <f t="array" aca="1" ref="V271" ca="1">IFERROR(IF(OR('Raw Data'!V271="",LEN(TRIM('Raw Data'!V271))=0),"",IF(AND(ISNUMBER('Raw Data'!V271), IFERROR('Raw Data'!V271 = ROUND('Raw Data'!V271, 2),FALSE)),"",_xlfn.REGEXEXTRACT(CELL("address",V271), "\$([A-Z]+)\$[0-9]+"))),_xlfn.REGEXEXTRACT(CELL("address",V271), "\$([A-Z]+)\$[0-9]+"))</f>
        <v/>
      </c>
      <c r="W271" s="7" t="str" cm="1">
        <f t="array" aca="1" ref="W271" ca="1">IFERROR(IF(OR('Raw Data'!W271="",LEN(TRIM('Raw Data'!W271))=0),"",IF(AND(ISNUMBER('Raw Data'!W271), IFERROR('Raw Data'!W271 = ROUND('Raw Data'!W271, 2),FALSE)),"",_xlfn.REGEXEXTRACT(CELL("address",W271), "\$([A-Z]+)\$[0-9]+"))),_xlfn.REGEXEXTRACT(CELL("address",W271), "\$([A-Z]+)\$[0-9]+"))</f>
        <v/>
      </c>
      <c r="X271" s="7" t="str" cm="1">
        <f t="array" aca="1" ref="X271" ca="1">IFERROR(IF(OR('Raw Data'!X271="",LEN(TRIM('Raw Data'!X271))=0),"",IF(AND(ISNUMBER('Raw Data'!X271), IFERROR('Raw Data'!X271 = ROUND('Raw Data'!X271, 2),FALSE)),"",_xlfn.REGEXEXTRACT(CELL("address",X271), "\$([A-Z]+)\$[0-9]+"))),_xlfn.REGEXEXTRACT(CELL("address",X271), "\$([A-Z]+)\$[0-9]+"))</f>
        <v/>
      </c>
      <c r="Y271" s="7" t="str" cm="1">
        <f t="array" aca="1" ref="Y271" ca="1">IFERROR(IF(OR('Raw Data'!Y271="",LEN(TRIM('Raw Data'!Y271))=0),"",IF(AND(ISNUMBER('Raw Data'!Y271), IFERROR('Raw Data'!Y271 = ROUND('Raw Data'!Y271, 2),FALSE)),"",_xlfn.REGEXEXTRACT(CELL("address",Y271), "\$([A-Z]+)\$[0-9]+"))),_xlfn.REGEXEXTRACT(CELL("address",Y271), "\$([A-Z]+)\$[0-9]+"))</f>
        <v/>
      </c>
      <c r="Z271" s="7" t="str" cm="1">
        <f t="array" aca="1" ref="Z271" ca="1">IFERROR(IF(OR('Raw Data'!Z271="",LEN(TRIM('Raw Data'!Z271))=0),"",IF(AND(ISNUMBER('Raw Data'!Z271), IFERROR('Raw Data'!Z271 = ROUND('Raw Data'!Z271, 2),FALSE)),"",_xlfn.REGEXEXTRACT(CELL("address",Z271), "\$([A-Z]+)\$[0-9]+"))),_xlfn.REGEXEXTRACT(CELL("address",Z271), "\$([A-Z]+)\$[0-9]+"))</f>
        <v/>
      </c>
      <c r="AA271" s="7" t="str" cm="1">
        <f t="array" aca="1" ref="AA271" ca="1">IFERROR(IF(OR('Raw Data'!AA271="",LEN(TRIM('Raw Data'!AA271))=0),"",IF(AND(ISNUMBER('Raw Data'!AA271), IFERROR('Raw Data'!AA271 = ROUND('Raw Data'!AA271, 2),FALSE)),"",_xlfn.REGEXEXTRACT(CELL("address",AA271), "\$([A-Z]+)\$[0-9]+"))),_xlfn.REGEXEXTRACT(CELL("address",AA271), "\$([A-Z]+)\$[0-9]+"))</f>
        <v/>
      </c>
      <c r="AB271" s="7" t="str" cm="1">
        <f t="array" aca="1" ref="AB271" ca="1">IFERROR(IF(OR('Raw Data'!AB271="",LEN(TRIM('Raw Data'!AB271))=0),"",IF(AND(ISNUMBER('Raw Data'!AB271), IFERROR('Raw Data'!AB271 = ROUND('Raw Data'!AB271, 2),FALSE)),"",_xlfn.REGEXEXTRACT(CELL("address",AB271), "\$([A-Z]+)\$[0-9]+"))),_xlfn.REGEXEXTRACT(CELL("address",AB271), "\$([A-Z]+)\$[0-9]+"))</f>
        <v/>
      </c>
      <c r="AC271" s="7" t="str" cm="1">
        <f t="array" aca="1" ref="AC271" ca="1">IFERROR(IF(OR('Raw Data'!AC271="",LEN(TRIM('Raw Data'!AC271))=0),"",IF(AND(ISNUMBER('Raw Data'!AC271), IFERROR('Raw Data'!AC271 = ROUND('Raw Data'!AC271, 2),FALSE)),"",_xlfn.REGEXEXTRACT(CELL("address",AC271), "\$([A-Z]+)\$[0-9]+"))),_xlfn.REGEXEXTRACT(CELL("address",AC271), "\$([A-Z]+)\$[0-9]+"))</f>
        <v/>
      </c>
      <c r="AD271" s="7" t="str" cm="1">
        <f t="array" aca="1" ref="AD271" ca="1">IFERROR(IF(OR('Raw Data'!AD271="",LEN(TRIM('Raw Data'!AD271))=0),"",IF(AND(ISNUMBER('Raw Data'!AD271), IFERROR('Raw Data'!AD271 = ROUND('Raw Data'!AD271, 2),FALSE)),"",_xlfn.REGEXEXTRACT(CELL("address",AD271), "\$([A-Z]+)\$[0-9]+"))),_xlfn.REGEXEXTRACT(CELL("address",AD271), "\$([A-Z]+)\$[0-9]+"))</f>
        <v/>
      </c>
      <c r="AE271" s="7" t="str" cm="1">
        <f t="array" aca="1" ref="AE271" ca="1">IFERROR(IF(OR('Raw Data'!AE271="",LEN(TRIM('Raw Data'!AE271))=0),"",IF(AND(ISNUMBER('Raw Data'!AE271), IFERROR('Raw Data'!AE271 = ROUND('Raw Data'!AE271, 2),FALSE)),"",_xlfn.REGEXEXTRACT(CELL("address",AE271), "\$([A-Z]+)\$[0-9]+"))),_xlfn.REGEXEXTRACT(CELL("address",AE271), "\$([A-Z]+)\$[0-9]+"))</f>
        <v/>
      </c>
      <c r="AF271" s="7" t="str" cm="1">
        <f t="array" aca="1" ref="AF271" ca="1">IFERROR(IF(OR('Raw Data'!AF271="",LEN(TRIM('Raw Data'!AF271))=0),"",IF(AND(ISNUMBER('Raw Data'!AF271), IFERROR('Raw Data'!AF271 = ROUND('Raw Data'!AF271, 2),FALSE)),"",_xlfn.REGEXEXTRACT(CELL("address",AF271), "\$([A-Z]+)\$[0-9]+"))),_xlfn.REGEXEXTRACT(CELL("address",AF271), "\$([A-Z]+)\$[0-9]+"))</f>
        <v/>
      </c>
      <c r="AG271" s="7" t="str" cm="1">
        <f t="array" aca="1" ref="AG271" ca="1">IFERROR(IF(OR('Raw Data'!AG271="",LEN(TRIM('Raw Data'!AG271))=0),"",IF(AND(ISNUMBER('Raw Data'!AG271), IFERROR('Raw Data'!AG271 = ROUND('Raw Data'!AG271, 2),FALSE)),"",_xlfn.REGEXEXTRACT(CELL("address",AG271), "\$([A-Z]+)\$[0-9]+"))),_xlfn.REGEXEXTRACT(CELL("address",AG271), "\$([A-Z]+)\$[0-9]+"))</f>
        <v/>
      </c>
      <c r="AH271" s="7" t="str" cm="1">
        <f t="array" aca="1" ref="AH271" ca="1">IFERROR(IF(OR('Raw Data'!AH271="",LEN(TRIM('Raw Data'!AH271))=0),"",IF(AND(ISNUMBER('Raw Data'!AH271), IFERROR('Raw Data'!AH271 = ROUND('Raw Data'!AH271, 2),FALSE)),"",_xlfn.REGEXEXTRACT(CELL("address",AH271), "\$([A-Z]+)\$[0-9]+"))),_xlfn.REGEXEXTRACT(CELL("address",AH271), "\$([A-Z]+)\$[0-9]+"))</f>
        <v/>
      </c>
      <c r="AI271" s="7" t="str" cm="1">
        <f t="array" aca="1" ref="AI271" ca="1">IFERROR(IF(OR('Raw Data'!AI271="",LEN(TRIM('Raw Data'!AI271))=0),"",IF(AND(ISNUMBER('Raw Data'!AI271), IFERROR('Raw Data'!AI271 = ROUND('Raw Data'!AI271, 2),FALSE)),"",_xlfn.REGEXEXTRACT(CELL("address",AI271), "\$([A-Z]+)\$[0-9]+"))),_xlfn.REGEXEXTRACT(CELL("address",AI271), "\$([A-Z]+)\$[0-9]+"))</f>
        <v/>
      </c>
      <c r="AJ271" s="7" t="str" cm="1">
        <f t="array" aca="1" ref="AJ271" ca="1">IFERROR(IF(OR('Raw Data'!AJ271="",LEN(TRIM('Raw Data'!AJ271))=0),"",IF(AND(ISNUMBER('Raw Data'!AJ271), IFERROR('Raw Data'!AJ271 = ROUND('Raw Data'!AJ271, 2),FALSE)),"",_xlfn.REGEXEXTRACT(CELL("address",AJ271), "\$([A-Z]+)\$[0-9]+"))),_xlfn.REGEXEXTRACT(CELL("address",AJ271), "\$([A-Z]+)\$[0-9]+"))</f>
        <v/>
      </c>
    </row>
    <row r="272" spans="2:36" x14ac:dyDescent="0.25">
      <c r="B272" s="7" t="str" cm="1">
        <f t="array" aca="1" ref="B272" ca="1">IFERROR(IF(OR('Raw Data'!B272="",LEN(TRIM('Raw Data'!B272))=0),"",IF(AND(LEN('Raw Data'!B272) &lt;= 255,LEN('Raw Data'!B272)&gt; 0),"",_xlfn.REGEXEXTRACT(CELL("address",'Raw Data'!B272),"\$([A-Z]+)\$[0-9]+"))),_xlfn.REGEXEXTRACT(CELL("address",'Raw Data'!B272),"\$([A-Z]+)\$[0-9]+"))</f>
        <v/>
      </c>
      <c r="C272" s="7" t="str" cm="1">
        <f t="array" aca="1" ref="C272" ca="1">IFERROR(IF(OR('Raw Data'!C272="",LEN(TRIM('Raw Data'!C272))=0),"",IF(AND(LEN('Raw Data'!C272) &lt;= 20,LEN('Raw Data'!C272)&gt; 0),"",_xlfn.REGEXEXTRACT(CELL("address",'Raw Data'!C272),"\$([A-Z]+)\$[0-9]+"))),_xlfn.REGEXEXTRACT(CELL("address",'Raw Data'!C272),"\$([A-Z]+)\$[0-9]+"))</f>
        <v/>
      </c>
      <c r="D272" s="7" t="str" cm="1">
        <f t="array" aca="1" ref="D272" ca="1">IFERROR(IF(OR('Raw Data'!D272="",LEN(TRIM('Raw Data'!D272))=0),"",IF(AND(ISNUMBER('Raw Data'!D272),'Raw Data'!D272&gt;=Configuration!$D$2),"",_xlfn.REGEXEXTRACT(CELL("address",'Raw Data'!D272),"\$([A-Z]+)\$[0-9]+"))),_xlfn.REGEXEXTRACT(CELL("address",D272), "\$([A-Z]+)\$[0-9]+"))</f>
        <v/>
      </c>
      <c r="E272" s="7" t="str" cm="1">
        <f t="array" aca="1" ref="E272" ca="1">IFERROR(IF(OR('Raw Data'!E272="",LEN(TRIM('Raw Data'!E272))=0),"",IF(AND(ISNUMBER('Raw Data'!E272), IFERROR('Raw Data'!E272 = ROUND('Raw Data'!E272, 2),FALSE)),"",_xlfn.REGEXEXTRACT(CELL("address",E272), "\$([A-Z]+)\$[0-9]+"))),_xlfn.REGEXEXTRACT(CELL("address",E272), "\$([A-Z]+)\$[0-9]+"))</f>
        <v/>
      </c>
      <c r="F272" s="7" t="str" cm="1">
        <f t="array" aca="1" ref="F272" ca="1">IFERROR(IF(OR('Raw Data'!F272="",LEN(TRIM('Raw Data'!F272))=0),"",IF(AND(ISNUMBER('Raw Data'!F272), IFERROR('Raw Data'!F272 = ROUND('Raw Data'!F272, 2),FALSE)),"",_xlfn.REGEXEXTRACT(CELL("address",F272), "\$([A-Z]+)\$[0-9]+"))),_xlfn.REGEXEXTRACT(CELL("address",F272), "\$([A-Z]+)\$[0-9]+"))</f>
        <v/>
      </c>
      <c r="G272" s="7" t="str" cm="1">
        <f t="array" aca="1" ref="G272" ca="1">IFERROR(IF(OR('Raw Data'!G272="",LEN(TRIM('Raw Data'!G272))=0),"",IF(AND(ISNUMBER('Raw Data'!G272), IFERROR('Raw Data'!G272 = ROUND('Raw Data'!G272, 2),FALSE)),"",_xlfn.REGEXEXTRACT(CELL("address",G272), "\$([A-Z]+)\$[0-9]+"))),_xlfn.REGEXEXTRACT(CELL("address",G272), "\$([A-Z]+)\$[0-9]+"))</f>
        <v/>
      </c>
      <c r="H272" s="7" t="str" cm="1">
        <f t="array" aca="1" ref="H272" ca="1">IFERROR(IF(OR('Raw Data'!H272="",LEN(TRIM('Raw Data'!H272))=0),"",IF(AND(ISNUMBER('Raw Data'!H272), IFERROR('Raw Data'!H272 = ROUND('Raw Data'!H272, 2),FALSE)),"",_xlfn.REGEXEXTRACT(CELL("address",H272), "\$([A-Z]+)\$[0-9]+"))),_xlfn.REGEXEXTRACT(CELL("address",H272), "\$([A-Z]+)\$[0-9]+"))</f>
        <v/>
      </c>
      <c r="I272" s="7" t="str" cm="1">
        <f t="array" aca="1" ref="I272" ca="1">IFERROR(IF(OR('Raw Data'!I272="",LEN(TRIM('Raw Data'!I272))=0),"",IF(AND(ISNUMBER('Raw Data'!I272), IFERROR('Raw Data'!I272 = ROUND('Raw Data'!I272, 2),FALSE)),"",_xlfn.REGEXEXTRACT(CELL("address",I272), "\$([A-Z]+)\$[0-9]+"))),_xlfn.REGEXEXTRACT(CELL("address",I272), "\$([A-Z]+)\$[0-9]+"))</f>
        <v/>
      </c>
      <c r="J272" s="7" t="str" cm="1">
        <f t="array" aca="1" ref="J272" ca="1">IFERROR(IF(OR('Raw Data'!J272="",LEN(TRIM('Raw Data'!J272))=0),"",IF(AND(ISNUMBER('Raw Data'!J272), IFERROR('Raw Data'!J272 = ROUND('Raw Data'!J272, 2),FALSE)),"",_xlfn.REGEXEXTRACT(CELL("address",J272), "\$([A-Z]+)\$[0-9]+"))),_xlfn.REGEXEXTRACT(CELL("address",J272), "\$([A-Z]+)\$[0-9]+"))</f>
        <v/>
      </c>
      <c r="K272" s="7" t="str" cm="1">
        <f t="array" aca="1" ref="K272" ca="1">IFERROR(IF(OR('Raw Data'!K272="",LEN(TRIM('Raw Data'!K272))=0),"",IF(AND(ISNUMBER('Raw Data'!K272), IFERROR('Raw Data'!K272 = ROUND('Raw Data'!K272, 2),FALSE)),"",_xlfn.REGEXEXTRACT(CELL("address",K272), "\$([A-Z]+)\$[0-9]+"))),_xlfn.REGEXEXTRACT(CELL("address",K272), "\$([A-Z]+)\$[0-9]+"))</f>
        <v/>
      </c>
      <c r="L272" s="7" t="str" cm="1">
        <f t="array" aca="1" ref="L272" ca="1">IFERROR(IF(OR('Raw Data'!L272="",LEN(TRIM('Raw Data'!L272))=0),"",IF(AND(ISNUMBER('Raw Data'!L272), IFERROR('Raw Data'!L272 = ROUND('Raw Data'!L272, 2),FALSE)),"",_xlfn.REGEXEXTRACT(CELL("address",L272), "\$([A-Z]+)\$[0-9]+"))),_xlfn.REGEXEXTRACT(CELL("address",L272), "\$([A-Z]+)\$[0-9]+"))</f>
        <v/>
      </c>
      <c r="M272" s="7" t="str" cm="1">
        <f t="array" aca="1" ref="M272" ca="1">IFERROR(IF(OR('Raw Data'!M272="",LEN(TRIM('Raw Data'!M272))=0),"",IF(AND(ISNUMBER('Raw Data'!M272), IFERROR('Raw Data'!M272 = ROUND('Raw Data'!M272, 2),FALSE)),"",_xlfn.REGEXEXTRACT(CELL("address",M272), "\$([A-Z]+)\$[0-9]+"))),_xlfn.REGEXEXTRACT(CELL("address",M272), "\$([A-Z]+)\$[0-9]+"))</f>
        <v/>
      </c>
      <c r="N272" s="7" t="str" cm="1">
        <f t="array" aca="1" ref="N272" ca="1">IFERROR(IF(OR('Raw Data'!N272="",LEN(TRIM('Raw Data'!N272))=0),"",IF(AND(ISNUMBER('Raw Data'!N272), IFERROR('Raw Data'!N272 = ROUND('Raw Data'!N272, 2),FALSE)),"",_xlfn.REGEXEXTRACT(CELL("address",N272), "\$([A-Z]+)\$[0-9]+"))),_xlfn.REGEXEXTRACT(CELL("address",N272), "\$([A-Z]+)\$[0-9]+"))</f>
        <v/>
      </c>
      <c r="O272" s="7" t="str" cm="1">
        <f t="array" aca="1" ref="O272" ca="1">IFERROR(IF(OR('Raw Data'!O272="",LEN(TRIM('Raw Data'!O272))=0),"",IF(AND(ISNUMBER('Raw Data'!O272), IFERROR('Raw Data'!O272 = ROUND('Raw Data'!O272, 2),FALSE)),"",_xlfn.REGEXEXTRACT(CELL("address",O272), "\$([A-Z]+)\$[0-9]+"))),_xlfn.REGEXEXTRACT(CELL("address",O272), "\$([A-Z]+)\$[0-9]+"))</f>
        <v/>
      </c>
      <c r="P272" s="7" t="str" cm="1">
        <f t="array" aca="1" ref="P272" ca="1">IFERROR(IF(OR('Raw Data'!P272="",LEN(TRIM('Raw Data'!P272))=0),"",IF(AND(ISNUMBER('Raw Data'!P272), IFERROR('Raw Data'!P272 = ROUND('Raw Data'!P272, 2),FALSE)),"",_xlfn.REGEXEXTRACT(CELL("address",P272), "\$([A-Z]+)\$[0-9]+"))),_xlfn.REGEXEXTRACT(CELL("address",P272), "\$([A-Z]+)\$[0-9]+"))</f>
        <v/>
      </c>
      <c r="Q272" s="7" t="str" cm="1">
        <f t="array" aca="1" ref="Q272" ca="1">IFERROR(IF(OR('Raw Data'!Q272="",LEN(TRIM('Raw Data'!Q272))=0),"",IF(AND(ISNUMBER('Raw Data'!Q272), IFERROR('Raw Data'!Q272 = ROUND('Raw Data'!Q272, 2),FALSE)),"",_xlfn.REGEXEXTRACT(CELL("address",Q272), "\$([A-Z]+)\$[0-9]+"))),_xlfn.REGEXEXTRACT(CELL("address",Q272), "\$([A-Z]+)\$[0-9]+"))</f>
        <v/>
      </c>
      <c r="R272" s="7" t="str" cm="1">
        <f t="array" aca="1" ref="R272" ca="1">IFERROR(IF(OR('Raw Data'!R272="",LEN(TRIM('Raw Data'!R272))=0),"",IF(AND(ISNUMBER('Raw Data'!R272), IFERROR('Raw Data'!R272 = ROUND('Raw Data'!R272, 2),FALSE)),"",_xlfn.REGEXEXTRACT(CELL("address",R272), "\$([A-Z]+)\$[0-9]+"))),_xlfn.REGEXEXTRACT(CELL("address",R272), "\$([A-Z]+)\$[0-9]+"))</f>
        <v/>
      </c>
      <c r="S272" s="7" t="str" cm="1">
        <f t="array" aca="1" ref="S272" ca="1">IFERROR(IF(OR('Raw Data'!S272="",LEN(TRIM('Raw Data'!S272))=0),"",IF(AND(ISNUMBER('Raw Data'!S272), IFERROR('Raw Data'!S272 = ROUND('Raw Data'!S272, 2),FALSE)),"",_xlfn.REGEXEXTRACT(CELL("address",S272), "\$([A-Z]+)\$[0-9]+"))),_xlfn.REGEXEXTRACT(CELL("address",S272), "\$([A-Z]+)\$[0-9]+"))</f>
        <v/>
      </c>
      <c r="T272" s="7" t="str" cm="1">
        <f t="array" aca="1" ref="T272" ca="1">IFERROR(IF(OR('Raw Data'!T272="",LEN(TRIM('Raw Data'!T272))=0),"",IF(AND(ISNUMBER('Raw Data'!T272), IFERROR('Raw Data'!T272 = ROUND('Raw Data'!T272, 2),FALSE)),"",_xlfn.REGEXEXTRACT(CELL("address",T272), "\$([A-Z]+)\$[0-9]+"))),_xlfn.REGEXEXTRACT(CELL("address",T272), "\$([A-Z]+)\$[0-9]+"))</f>
        <v/>
      </c>
      <c r="U272" s="7" t="str" cm="1">
        <f t="array" aca="1" ref="U272" ca="1">IFERROR(IF(OR('Raw Data'!U272="",LEN(TRIM('Raw Data'!U272))=0),"",IF(AND(ISNUMBER('Raw Data'!U272), IFERROR('Raw Data'!U272 = ROUND('Raw Data'!U272, 2),FALSE)),"",_xlfn.REGEXEXTRACT(CELL("address",U272), "\$([A-Z]+)\$[0-9]+"))),_xlfn.REGEXEXTRACT(CELL("address",U272), "\$([A-Z]+)\$[0-9]+"))</f>
        <v/>
      </c>
      <c r="V272" s="7" t="str" cm="1">
        <f t="array" aca="1" ref="V272" ca="1">IFERROR(IF(OR('Raw Data'!V272="",LEN(TRIM('Raw Data'!V272))=0),"",IF(AND(ISNUMBER('Raw Data'!V272), IFERROR('Raw Data'!V272 = ROUND('Raw Data'!V272, 2),FALSE)),"",_xlfn.REGEXEXTRACT(CELL("address",V272), "\$([A-Z]+)\$[0-9]+"))),_xlfn.REGEXEXTRACT(CELL("address",V272), "\$([A-Z]+)\$[0-9]+"))</f>
        <v/>
      </c>
      <c r="W272" s="7" t="str" cm="1">
        <f t="array" aca="1" ref="W272" ca="1">IFERROR(IF(OR('Raw Data'!W272="",LEN(TRIM('Raw Data'!W272))=0),"",IF(AND(ISNUMBER('Raw Data'!W272), IFERROR('Raw Data'!W272 = ROUND('Raw Data'!W272, 2),FALSE)),"",_xlfn.REGEXEXTRACT(CELL("address",W272), "\$([A-Z]+)\$[0-9]+"))),_xlfn.REGEXEXTRACT(CELL("address",W272), "\$([A-Z]+)\$[0-9]+"))</f>
        <v/>
      </c>
      <c r="X272" s="7" t="str" cm="1">
        <f t="array" aca="1" ref="X272" ca="1">IFERROR(IF(OR('Raw Data'!X272="",LEN(TRIM('Raw Data'!X272))=0),"",IF(AND(ISNUMBER('Raw Data'!X272), IFERROR('Raw Data'!X272 = ROUND('Raw Data'!X272, 2),FALSE)),"",_xlfn.REGEXEXTRACT(CELL("address",X272), "\$([A-Z]+)\$[0-9]+"))),_xlfn.REGEXEXTRACT(CELL("address",X272), "\$([A-Z]+)\$[0-9]+"))</f>
        <v/>
      </c>
      <c r="Y272" s="7" t="str" cm="1">
        <f t="array" aca="1" ref="Y272" ca="1">IFERROR(IF(OR('Raw Data'!Y272="",LEN(TRIM('Raw Data'!Y272))=0),"",IF(AND(ISNUMBER('Raw Data'!Y272), IFERROR('Raw Data'!Y272 = ROUND('Raw Data'!Y272, 2),FALSE)),"",_xlfn.REGEXEXTRACT(CELL("address",Y272), "\$([A-Z]+)\$[0-9]+"))),_xlfn.REGEXEXTRACT(CELL("address",Y272), "\$([A-Z]+)\$[0-9]+"))</f>
        <v/>
      </c>
      <c r="Z272" s="7" t="str" cm="1">
        <f t="array" aca="1" ref="Z272" ca="1">IFERROR(IF(OR('Raw Data'!Z272="",LEN(TRIM('Raw Data'!Z272))=0),"",IF(AND(ISNUMBER('Raw Data'!Z272), IFERROR('Raw Data'!Z272 = ROUND('Raw Data'!Z272, 2),FALSE)),"",_xlfn.REGEXEXTRACT(CELL("address",Z272), "\$([A-Z]+)\$[0-9]+"))),_xlfn.REGEXEXTRACT(CELL("address",Z272), "\$([A-Z]+)\$[0-9]+"))</f>
        <v/>
      </c>
      <c r="AA272" s="7" t="str" cm="1">
        <f t="array" aca="1" ref="AA272" ca="1">IFERROR(IF(OR('Raw Data'!AA272="",LEN(TRIM('Raw Data'!AA272))=0),"",IF(AND(ISNUMBER('Raw Data'!AA272), IFERROR('Raw Data'!AA272 = ROUND('Raw Data'!AA272, 2),FALSE)),"",_xlfn.REGEXEXTRACT(CELL("address",AA272), "\$([A-Z]+)\$[0-9]+"))),_xlfn.REGEXEXTRACT(CELL("address",AA272), "\$([A-Z]+)\$[0-9]+"))</f>
        <v/>
      </c>
      <c r="AB272" s="7" t="str" cm="1">
        <f t="array" aca="1" ref="AB272" ca="1">IFERROR(IF(OR('Raw Data'!AB272="",LEN(TRIM('Raw Data'!AB272))=0),"",IF(AND(ISNUMBER('Raw Data'!AB272), IFERROR('Raw Data'!AB272 = ROUND('Raw Data'!AB272, 2),FALSE)),"",_xlfn.REGEXEXTRACT(CELL("address",AB272), "\$([A-Z]+)\$[0-9]+"))),_xlfn.REGEXEXTRACT(CELL("address",AB272), "\$([A-Z]+)\$[0-9]+"))</f>
        <v/>
      </c>
      <c r="AC272" s="7" t="str" cm="1">
        <f t="array" aca="1" ref="AC272" ca="1">IFERROR(IF(OR('Raw Data'!AC272="",LEN(TRIM('Raw Data'!AC272))=0),"",IF(AND(ISNUMBER('Raw Data'!AC272), IFERROR('Raw Data'!AC272 = ROUND('Raw Data'!AC272, 2),FALSE)),"",_xlfn.REGEXEXTRACT(CELL("address",AC272), "\$([A-Z]+)\$[0-9]+"))),_xlfn.REGEXEXTRACT(CELL("address",AC272), "\$([A-Z]+)\$[0-9]+"))</f>
        <v/>
      </c>
      <c r="AD272" s="7" t="str" cm="1">
        <f t="array" aca="1" ref="AD272" ca="1">IFERROR(IF(OR('Raw Data'!AD272="",LEN(TRIM('Raw Data'!AD272))=0),"",IF(AND(ISNUMBER('Raw Data'!AD272), IFERROR('Raw Data'!AD272 = ROUND('Raw Data'!AD272, 2),FALSE)),"",_xlfn.REGEXEXTRACT(CELL("address",AD272), "\$([A-Z]+)\$[0-9]+"))),_xlfn.REGEXEXTRACT(CELL("address",AD272), "\$([A-Z]+)\$[0-9]+"))</f>
        <v/>
      </c>
      <c r="AE272" s="7" t="str" cm="1">
        <f t="array" aca="1" ref="AE272" ca="1">IFERROR(IF(OR('Raw Data'!AE272="",LEN(TRIM('Raw Data'!AE272))=0),"",IF(AND(ISNUMBER('Raw Data'!AE272), IFERROR('Raw Data'!AE272 = ROUND('Raw Data'!AE272, 2),FALSE)),"",_xlfn.REGEXEXTRACT(CELL("address",AE272), "\$([A-Z]+)\$[0-9]+"))),_xlfn.REGEXEXTRACT(CELL("address",AE272), "\$([A-Z]+)\$[0-9]+"))</f>
        <v/>
      </c>
      <c r="AF272" s="7" t="str" cm="1">
        <f t="array" aca="1" ref="AF272" ca="1">IFERROR(IF(OR('Raw Data'!AF272="",LEN(TRIM('Raw Data'!AF272))=0),"",IF(AND(ISNUMBER('Raw Data'!AF272), IFERROR('Raw Data'!AF272 = ROUND('Raw Data'!AF272, 2),FALSE)),"",_xlfn.REGEXEXTRACT(CELL("address",AF272), "\$([A-Z]+)\$[0-9]+"))),_xlfn.REGEXEXTRACT(CELL("address",AF272), "\$([A-Z]+)\$[0-9]+"))</f>
        <v/>
      </c>
      <c r="AG272" s="7" t="str" cm="1">
        <f t="array" aca="1" ref="AG272" ca="1">IFERROR(IF(OR('Raw Data'!AG272="",LEN(TRIM('Raw Data'!AG272))=0),"",IF(AND(ISNUMBER('Raw Data'!AG272), IFERROR('Raw Data'!AG272 = ROUND('Raw Data'!AG272, 2),FALSE)),"",_xlfn.REGEXEXTRACT(CELL("address",AG272), "\$([A-Z]+)\$[0-9]+"))),_xlfn.REGEXEXTRACT(CELL("address",AG272), "\$([A-Z]+)\$[0-9]+"))</f>
        <v/>
      </c>
      <c r="AH272" s="7" t="str" cm="1">
        <f t="array" aca="1" ref="AH272" ca="1">IFERROR(IF(OR('Raw Data'!AH272="",LEN(TRIM('Raw Data'!AH272))=0),"",IF(AND(ISNUMBER('Raw Data'!AH272), IFERROR('Raw Data'!AH272 = ROUND('Raw Data'!AH272, 2),FALSE)),"",_xlfn.REGEXEXTRACT(CELL("address",AH272), "\$([A-Z]+)\$[0-9]+"))),_xlfn.REGEXEXTRACT(CELL("address",AH272), "\$([A-Z]+)\$[0-9]+"))</f>
        <v/>
      </c>
      <c r="AI272" s="7" t="str" cm="1">
        <f t="array" aca="1" ref="AI272" ca="1">IFERROR(IF(OR('Raw Data'!AI272="",LEN(TRIM('Raw Data'!AI272))=0),"",IF(AND(ISNUMBER('Raw Data'!AI272), IFERROR('Raw Data'!AI272 = ROUND('Raw Data'!AI272, 2),FALSE)),"",_xlfn.REGEXEXTRACT(CELL("address",AI272), "\$([A-Z]+)\$[0-9]+"))),_xlfn.REGEXEXTRACT(CELL("address",AI272), "\$([A-Z]+)\$[0-9]+"))</f>
        <v/>
      </c>
      <c r="AJ272" s="7" t="str" cm="1">
        <f t="array" aca="1" ref="AJ272" ca="1">IFERROR(IF(OR('Raw Data'!AJ272="",LEN(TRIM('Raw Data'!AJ272))=0),"",IF(AND(ISNUMBER('Raw Data'!AJ272), IFERROR('Raw Data'!AJ272 = ROUND('Raw Data'!AJ272, 2),FALSE)),"",_xlfn.REGEXEXTRACT(CELL("address",AJ272), "\$([A-Z]+)\$[0-9]+"))),_xlfn.REGEXEXTRACT(CELL("address",AJ272), "\$([A-Z]+)\$[0-9]+"))</f>
        <v/>
      </c>
    </row>
    <row r="273" spans="2:36" x14ac:dyDescent="0.25">
      <c r="B273" s="7" t="str" cm="1">
        <f t="array" aca="1" ref="B273" ca="1">IFERROR(IF(OR('Raw Data'!B273="",LEN(TRIM('Raw Data'!B273))=0),"",IF(AND(LEN('Raw Data'!B273) &lt;= 255,LEN('Raw Data'!B273)&gt; 0),"",_xlfn.REGEXEXTRACT(CELL("address",'Raw Data'!B273),"\$([A-Z]+)\$[0-9]+"))),_xlfn.REGEXEXTRACT(CELL("address",'Raw Data'!B273),"\$([A-Z]+)\$[0-9]+"))</f>
        <v/>
      </c>
      <c r="C273" s="7" t="str" cm="1">
        <f t="array" aca="1" ref="C273" ca="1">IFERROR(IF(OR('Raw Data'!C273="",LEN(TRIM('Raw Data'!C273))=0),"",IF(AND(LEN('Raw Data'!C273) &lt;= 20,LEN('Raw Data'!C273)&gt; 0),"",_xlfn.REGEXEXTRACT(CELL("address",'Raw Data'!C273),"\$([A-Z]+)\$[0-9]+"))),_xlfn.REGEXEXTRACT(CELL("address",'Raw Data'!C273),"\$([A-Z]+)\$[0-9]+"))</f>
        <v/>
      </c>
      <c r="D273" s="7" t="str" cm="1">
        <f t="array" aca="1" ref="D273" ca="1">IFERROR(IF(OR('Raw Data'!D273="",LEN(TRIM('Raw Data'!D273))=0),"",IF(AND(ISNUMBER('Raw Data'!D273),'Raw Data'!D273&gt;=Configuration!$D$2),"",_xlfn.REGEXEXTRACT(CELL("address",'Raw Data'!D273),"\$([A-Z]+)\$[0-9]+"))),_xlfn.REGEXEXTRACT(CELL("address",D273), "\$([A-Z]+)\$[0-9]+"))</f>
        <v/>
      </c>
      <c r="E273" s="7" t="str" cm="1">
        <f t="array" aca="1" ref="E273" ca="1">IFERROR(IF(OR('Raw Data'!E273="",LEN(TRIM('Raw Data'!E273))=0),"",IF(AND(ISNUMBER('Raw Data'!E273), IFERROR('Raw Data'!E273 = ROUND('Raw Data'!E273, 2),FALSE)),"",_xlfn.REGEXEXTRACT(CELL("address",E273), "\$([A-Z]+)\$[0-9]+"))),_xlfn.REGEXEXTRACT(CELL("address",E273), "\$([A-Z]+)\$[0-9]+"))</f>
        <v/>
      </c>
      <c r="F273" s="7" t="str" cm="1">
        <f t="array" aca="1" ref="F273" ca="1">IFERROR(IF(OR('Raw Data'!F273="",LEN(TRIM('Raw Data'!F273))=0),"",IF(AND(ISNUMBER('Raw Data'!F273), IFERROR('Raw Data'!F273 = ROUND('Raw Data'!F273, 2),FALSE)),"",_xlfn.REGEXEXTRACT(CELL("address",F273), "\$([A-Z]+)\$[0-9]+"))),_xlfn.REGEXEXTRACT(CELL("address",F273), "\$([A-Z]+)\$[0-9]+"))</f>
        <v/>
      </c>
      <c r="G273" s="7" t="str" cm="1">
        <f t="array" aca="1" ref="G273" ca="1">IFERROR(IF(OR('Raw Data'!G273="",LEN(TRIM('Raw Data'!G273))=0),"",IF(AND(ISNUMBER('Raw Data'!G273), IFERROR('Raw Data'!G273 = ROUND('Raw Data'!G273, 2),FALSE)),"",_xlfn.REGEXEXTRACT(CELL("address",G273), "\$([A-Z]+)\$[0-9]+"))),_xlfn.REGEXEXTRACT(CELL("address",G273), "\$([A-Z]+)\$[0-9]+"))</f>
        <v/>
      </c>
      <c r="H273" s="7" t="str" cm="1">
        <f t="array" aca="1" ref="H273" ca="1">IFERROR(IF(OR('Raw Data'!H273="",LEN(TRIM('Raw Data'!H273))=0),"",IF(AND(ISNUMBER('Raw Data'!H273), IFERROR('Raw Data'!H273 = ROUND('Raw Data'!H273, 2),FALSE)),"",_xlfn.REGEXEXTRACT(CELL("address",H273), "\$([A-Z]+)\$[0-9]+"))),_xlfn.REGEXEXTRACT(CELL("address",H273), "\$([A-Z]+)\$[0-9]+"))</f>
        <v/>
      </c>
      <c r="I273" s="7" t="str" cm="1">
        <f t="array" aca="1" ref="I273" ca="1">IFERROR(IF(OR('Raw Data'!I273="",LEN(TRIM('Raw Data'!I273))=0),"",IF(AND(ISNUMBER('Raw Data'!I273), IFERROR('Raw Data'!I273 = ROUND('Raw Data'!I273, 2),FALSE)),"",_xlfn.REGEXEXTRACT(CELL("address",I273), "\$([A-Z]+)\$[0-9]+"))),_xlfn.REGEXEXTRACT(CELL("address",I273), "\$([A-Z]+)\$[0-9]+"))</f>
        <v/>
      </c>
      <c r="J273" s="7" t="str" cm="1">
        <f t="array" aca="1" ref="J273" ca="1">IFERROR(IF(OR('Raw Data'!J273="",LEN(TRIM('Raw Data'!J273))=0),"",IF(AND(ISNUMBER('Raw Data'!J273), IFERROR('Raw Data'!J273 = ROUND('Raw Data'!J273, 2),FALSE)),"",_xlfn.REGEXEXTRACT(CELL("address",J273), "\$([A-Z]+)\$[0-9]+"))),_xlfn.REGEXEXTRACT(CELL("address",J273), "\$([A-Z]+)\$[0-9]+"))</f>
        <v/>
      </c>
      <c r="K273" s="7" t="str" cm="1">
        <f t="array" aca="1" ref="K273" ca="1">IFERROR(IF(OR('Raw Data'!K273="",LEN(TRIM('Raw Data'!K273))=0),"",IF(AND(ISNUMBER('Raw Data'!K273), IFERROR('Raw Data'!K273 = ROUND('Raw Data'!K273, 2),FALSE)),"",_xlfn.REGEXEXTRACT(CELL("address",K273), "\$([A-Z]+)\$[0-9]+"))),_xlfn.REGEXEXTRACT(CELL("address",K273), "\$([A-Z]+)\$[0-9]+"))</f>
        <v/>
      </c>
      <c r="L273" s="7" t="str" cm="1">
        <f t="array" aca="1" ref="L273" ca="1">IFERROR(IF(OR('Raw Data'!L273="",LEN(TRIM('Raw Data'!L273))=0),"",IF(AND(ISNUMBER('Raw Data'!L273), IFERROR('Raw Data'!L273 = ROUND('Raw Data'!L273, 2),FALSE)),"",_xlfn.REGEXEXTRACT(CELL("address",L273), "\$([A-Z]+)\$[0-9]+"))),_xlfn.REGEXEXTRACT(CELL("address",L273), "\$([A-Z]+)\$[0-9]+"))</f>
        <v/>
      </c>
      <c r="M273" s="7" t="str" cm="1">
        <f t="array" aca="1" ref="M273" ca="1">IFERROR(IF(OR('Raw Data'!M273="",LEN(TRIM('Raw Data'!M273))=0),"",IF(AND(ISNUMBER('Raw Data'!M273), IFERROR('Raw Data'!M273 = ROUND('Raw Data'!M273, 2),FALSE)),"",_xlfn.REGEXEXTRACT(CELL("address",M273), "\$([A-Z]+)\$[0-9]+"))),_xlfn.REGEXEXTRACT(CELL("address",M273), "\$([A-Z]+)\$[0-9]+"))</f>
        <v/>
      </c>
      <c r="N273" s="7" t="str" cm="1">
        <f t="array" aca="1" ref="N273" ca="1">IFERROR(IF(OR('Raw Data'!N273="",LEN(TRIM('Raw Data'!N273))=0),"",IF(AND(ISNUMBER('Raw Data'!N273), IFERROR('Raw Data'!N273 = ROUND('Raw Data'!N273, 2),FALSE)),"",_xlfn.REGEXEXTRACT(CELL("address",N273), "\$([A-Z]+)\$[0-9]+"))),_xlfn.REGEXEXTRACT(CELL("address",N273), "\$([A-Z]+)\$[0-9]+"))</f>
        <v/>
      </c>
      <c r="O273" s="7" t="str" cm="1">
        <f t="array" aca="1" ref="O273" ca="1">IFERROR(IF(OR('Raw Data'!O273="",LEN(TRIM('Raw Data'!O273))=0),"",IF(AND(ISNUMBER('Raw Data'!O273), IFERROR('Raw Data'!O273 = ROUND('Raw Data'!O273, 2),FALSE)),"",_xlfn.REGEXEXTRACT(CELL("address",O273), "\$([A-Z]+)\$[0-9]+"))),_xlfn.REGEXEXTRACT(CELL("address",O273), "\$([A-Z]+)\$[0-9]+"))</f>
        <v/>
      </c>
      <c r="P273" s="7" t="str" cm="1">
        <f t="array" aca="1" ref="P273" ca="1">IFERROR(IF(OR('Raw Data'!P273="",LEN(TRIM('Raw Data'!P273))=0),"",IF(AND(ISNUMBER('Raw Data'!P273), IFERROR('Raw Data'!P273 = ROUND('Raw Data'!P273, 2),FALSE)),"",_xlfn.REGEXEXTRACT(CELL("address",P273), "\$([A-Z]+)\$[0-9]+"))),_xlfn.REGEXEXTRACT(CELL("address",P273), "\$([A-Z]+)\$[0-9]+"))</f>
        <v/>
      </c>
      <c r="Q273" s="7" t="str" cm="1">
        <f t="array" aca="1" ref="Q273" ca="1">IFERROR(IF(OR('Raw Data'!Q273="",LEN(TRIM('Raw Data'!Q273))=0),"",IF(AND(ISNUMBER('Raw Data'!Q273), IFERROR('Raw Data'!Q273 = ROUND('Raw Data'!Q273, 2),FALSE)),"",_xlfn.REGEXEXTRACT(CELL("address",Q273), "\$([A-Z]+)\$[0-9]+"))),_xlfn.REGEXEXTRACT(CELL("address",Q273), "\$([A-Z]+)\$[0-9]+"))</f>
        <v/>
      </c>
      <c r="R273" s="7" t="str" cm="1">
        <f t="array" aca="1" ref="R273" ca="1">IFERROR(IF(OR('Raw Data'!R273="",LEN(TRIM('Raw Data'!R273))=0),"",IF(AND(ISNUMBER('Raw Data'!R273), IFERROR('Raw Data'!R273 = ROUND('Raw Data'!R273, 2),FALSE)),"",_xlfn.REGEXEXTRACT(CELL("address",R273), "\$([A-Z]+)\$[0-9]+"))),_xlfn.REGEXEXTRACT(CELL("address",R273), "\$([A-Z]+)\$[0-9]+"))</f>
        <v/>
      </c>
      <c r="S273" s="7" t="str" cm="1">
        <f t="array" aca="1" ref="S273" ca="1">IFERROR(IF(OR('Raw Data'!S273="",LEN(TRIM('Raw Data'!S273))=0),"",IF(AND(ISNUMBER('Raw Data'!S273), IFERROR('Raw Data'!S273 = ROUND('Raw Data'!S273, 2),FALSE)),"",_xlfn.REGEXEXTRACT(CELL("address",S273), "\$([A-Z]+)\$[0-9]+"))),_xlfn.REGEXEXTRACT(CELL("address",S273), "\$([A-Z]+)\$[0-9]+"))</f>
        <v/>
      </c>
      <c r="T273" s="7" t="str" cm="1">
        <f t="array" aca="1" ref="T273" ca="1">IFERROR(IF(OR('Raw Data'!T273="",LEN(TRIM('Raw Data'!T273))=0),"",IF(AND(ISNUMBER('Raw Data'!T273), IFERROR('Raw Data'!T273 = ROUND('Raw Data'!T273, 2),FALSE)),"",_xlfn.REGEXEXTRACT(CELL("address",T273), "\$([A-Z]+)\$[0-9]+"))),_xlfn.REGEXEXTRACT(CELL("address",T273), "\$([A-Z]+)\$[0-9]+"))</f>
        <v/>
      </c>
      <c r="U273" s="7" t="str" cm="1">
        <f t="array" aca="1" ref="U273" ca="1">IFERROR(IF(OR('Raw Data'!U273="",LEN(TRIM('Raw Data'!U273))=0),"",IF(AND(ISNUMBER('Raw Data'!U273), IFERROR('Raw Data'!U273 = ROUND('Raw Data'!U273, 2),FALSE)),"",_xlfn.REGEXEXTRACT(CELL("address",U273), "\$([A-Z]+)\$[0-9]+"))),_xlfn.REGEXEXTRACT(CELL("address",U273), "\$([A-Z]+)\$[0-9]+"))</f>
        <v/>
      </c>
      <c r="V273" s="7" t="str" cm="1">
        <f t="array" aca="1" ref="V273" ca="1">IFERROR(IF(OR('Raw Data'!V273="",LEN(TRIM('Raw Data'!V273))=0),"",IF(AND(ISNUMBER('Raw Data'!V273), IFERROR('Raw Data'!V273 = ROUND('Raw Data'!V273, 2),FALSE)),"",_xlfn.REGEXEXTRACT(CELL("address",V273), "\$([A-Z]+)\$[0-9]+"))),_xlfn.REGEXEXTRACT(CELL("address",V273), "\$([A-Z]+)\$[0-9]+"))</f>
        <v/>
      </c>
      <c r="W273" s="7" t="str" cm="1">
        <f t="array" aca="1" ref="W273" ca="1">IFERROR(IF(OR('Raw Data'!W273="",LEN(TRIM('Raw Data'!W273))=0),"",IF(AND(ISNUMBER('Raw Data'!W273), IFERROR('Raw Data'!W273 = ROUND('Raw Data'!W273, 2),FALSE)),"",_xlfn.REGEXEXTRACT(CELL("address",W273), "\$([A-Z]+)\$[0-9]+"))),_xlfn.REGEXEXTRACT(CELL("address",W273), "\$([A-Z]+)\$[0-9]+"))</f>
        <v/>
      </c>
      <c r="X273" s="7" t="str" cm="1">
        <f t="array" aca="1" ref="X273" ca="1">IFERROR(IF(OR('Raw Data'!X273="",LEN(TRIM('Raw Data'!X273))=0),"",IF(AND(ISNUMBER('Raw Data'!X273), IFERROR('Raw Data'!X273 = ROUND('Raw Data'!X273, 2),FALSE)),"",_xlfn.REGEXEXTRACT(CELL("address",X273), "\$([A-Z]+)\$[0-9]+"))),_xlfn.REGEXEXTRACT(CELL("address",X273), "\$([A-Z]+)\$[0-9]+"))</f>
        <v/>
      </c>
      <c r="Y273" s="7" t="str" cm="1">
        <f t="array" aca="1" ref="Y273" ca="1">IFERROR(IF(OR('Raw Data'!Y273="",LEN(TRIM('Raw Data'!Y273))=0),"",IF(AND(ISNUMBER('Raw Data'!Y273), IFERROR('Raw Data'!Y273 = ROUND('Raw Data'!Y273, 2),FALSE)),"",_xlfn.REGEXEXTRACT(CELL("address",Y273), "\$([A-Z]+)\$[0-9]+"))),_xlfn.REGEXEXTRACT(CELL("address",Y273), "\$([A-Z]+)\$[0-9]+"))</f>
        <v/>
      </c>
      <c r="Z273" s="7" t="str" cm="1">
        <f t="array" aca="1" ref="Z273" ca="1">IFERROR(IF(OR('Raw Data'!Z273="",LEN(TRIM('Raw Data'!Z273))=0),"",IF(AND(ISNUMBER('Raw Data'!Z273), IFERROR('Raw Data'!Z273 = ROUND('Raw Data'!Z273, 2),FALSE)),"",_xlfn.REGEXEXTRACT(CELL("address",Z273), "\$([A-Z]+)\$[0-9]+"))),_xlfn.REGEXEXTRACT(CELL("address",Z273), "\$([A-Z]+)\$[0-9]+"))</f>
        <v/>
      </c>
      <c r="AA273" s="7" t="str" cm="1">
        <f t="array" aca="1" ref="AA273" ca="1">IFERROR(IF(OR('Raw Data'!AA273="",LEN(TRIM('Raw Data'!AA273))=0),"",IF(AND(ISNUMBER('Raw Data'!AA273), IFERROR('Raw Data'!AA273 = ROUND('Raw Data'!AA273, 2),FALSE)),"",_xlfn.REGEXEXTRACT(CELL("address",AA273), "\$([A-Z]+)\$[0-9]+"))),_xlfn.REGEXEXTRACT(CELL("address",AA273), "\$([A-Z]+)\$[0-9]+"))</f>
        <v/>
      </c>
      <c r="AB273" s="7" t="str" cm="1">
        <f t="array" aca="1" ref="AB273" ca="1">IFERROR(IF(OR('Raw Data'!AB273="",LEN(TRIM('Raw Data'!AB273))=0),"",IF(AND(ISNUMBER('Raw Data'!AB273), IFERROR('Raw Data'!AB273 = ROUND('Raw Data'!AB273, 2),FALSE)),"",_xlfn.REGEXEXTRACT(CELL("address",AB273), "\$([A-Z]+)\$[0-9]+"))),_xlfn.REGEXEXTRACT(CELL("address",AB273), "\$([A-Z]+)\$[0-9]+"))</f>
        <v/>
      </c>
      <c r="AC273" s="7" t="str" cm="1">
        <f t="array" aca="1" ref="AC273" ca="1">IFERROR(IF(OR('Raw Data'!AC273="",LEN(TRIM('Raw Data'!AC273))=0),"",IF(AND(ISNUMBER('Raw Data'!AC273), IFERROR('Raw Data'!AC273 = ROUND('Raw Data'!AC273, 2),FALSE)),"",_xlfn.REGEXEXTRACT(CELL("address",AC273), "\$([A-Z]+)\$[0-9]+"))),_xlfn.REGEXEXTRACT(CELL("address",AC273), "\$([A-Z]+)\$[0-9]+"))</f>
        <v/>
      </c>
      <c r="AD273" s="7" t="str" cm="1">
        <f t="array" aca="1" ref="AD273" ca="1">IFERROR(IF(OR('Raw Data'!AD273="",LEN(TRIM('Raw Data'!AD273))=0),"",IF(AND(ISNUMBER('Raw Data'!AD273), IFERROR('Raw Data'!AD273 = ROUND('Raw Data'!AD273, 2),FALSE)),"",_xlfn.REGEXEXTRACT(CELL("address",AD273), "\$([A-Z]+)\$[0-9]+"))),_xlfn.REGEXEXTRACT(CELL("address",AD273), "\$([A-Z]+)\$[0-9]+"))</f>
        <v/>
      </c>
      <c r="AE273" s="7" t="str" cm="1">
        <f t="array" aca="1" ref="AE273" ca="1">IFERROR(IF(OR('Raw Data'!AE273="",LEN(TRIM('Raw Data'!AE273))=0),"",IF(AND(ISNUMBER('Raw Data'!AE273), IFERROR('Raw Data'!AE273 = ROUND('Raw Data'!AE273, 2),FALSE)),"",_xlfn.REGEXEXTRACT(CELL("address",AE273), "\$([A-Z]+)\$[0-9]+"))),_xlfn.REGEXEXTRACT(CELL("address",AE273), "\$([A-Z]+)\$[0-9]+"))</f>
        <v/>
      </c>
      <c r="AF273" s="7" t="str" cm="1">
        <f t="array" aca="1" ref="AF273" ca="1">IFERROR(IF(OR('Raw Data'!AF273="",LEN(TRIM('Raw Data'!AF273))=0),"",IF(AND(ISNUMBER('Raw Data'!AF273), IFERROR('Raw Data'!AF273 = ROUND('Raw Data'!AF273, 2),FALSE)),"",_xlfn.REGEXEXTRACT(CELL("address",AF273), "\$([A-Z]+)\$[0-9]+"))),_xlfn.REGEXEXTRACT(CELL("address",AF273), "\$([A-Z]+)\$[0-9]+"))</f>
        <v/>
      </c>
      <c r="AG273" s="7" t="str" cm="1">
        <f t="array" aca="1" ref="AG273" ca="1">IFERROR(IF(OR('Raw Data'!AG273="",LEN(TRIM('Raw Data'!AG273))=0),"",IF(AND(ISNUMBER('Raw Data'!AG273), IFERROR('Raw Data'!AG273 = ROUND('Raw Data'!AG273, 2),FALSE)),"",_xlfn.REGEXEXTRACT(CELL("address",AG273), "\$([A-Z]+)\$[0-9]+"))),_xlfn.REGEXEXTRACT(CELL("address",AG273), "\$([A-Z]+)\$[0-9]+"))</f>
        <v/>
      </c>
      <c r="AH273" s="7" t="str" cm="1">
        <f t="array" aca="1" ref="AH273" ca="1">IFERROR(IF(OR('Raw Data'!AH273="",LEN(TRIM('Raw Data'!AH273))=0),"",IF(AND(ISNUMBER('Raw Data'!AH273), IFERROR('Raw Data'!AH273 = ROUND('Raw Data'!AH273, 2),FALSE)),"",_xlfn.REGEXEXTRACT(CELL("address",AH273), "\$([A-Z]+)\$[0-9]+"))),_xlfn.REGEXEXTRACT(CELL("address",AH273), "\$([A-Z]+)\$[0-9]+"))</f>
        <v/>
      </c>
      <c r="AI273" s="7" t="str" cm="1">
        <f t="array" aca="1" ref="AI273" ca="1">IFERROR(IF(OR('Raw Data'!AI273="",LEN(TRIM('Raw Data'!AI273))=0),"",IF(AND(ISNUMBER('Raw Data'!AI273), IFERROR('Raw Data'!AI273 = ROUND('Raw Data'!AI273, 2),FALSE)),"",_xlfn.REGEXEXTRACT(CELL("address",AI273), "\$([A-Z]+)\$[0-9]+"))),_xlfn.REGEXEXTRACT(CELL("address",AI273), "\$([A-Z]+)\$[0-9]+"))</f>
        <v/>
      </c>
      <c r="AJ273" s="7" t="str" cm="1">
        <f t="array" aca="1" ref="AJ273" ca="1">IFERROR(IF(OR('Raw Data'!AJ273="",LEN(TRIM('Raw Data'!AJ273))=0),"",IF(AND(ISNUMBER('Raw Data'!AJ273), IFERROR('Raw Data'!AJ273 = ROUND('Raw Data'!AJ273, 2),FALSE)),"",_xlfn.REGEXEXTRACT(CELL("address",AJ273), "\$([A-Z]+)\$[0-9]+"))),_xlfn.REGEXEXTRACT(CELL("address",AJ273), "\$([A-Z]+)\$[0-9]+"))</f>
        <v/>
      </c>
    </row>
    <row r="274" spans="2:36" x14ac:dyDescent="0.25">
      <c r="B274" s="7" t="str" cm="1">
        <f t="array" aca="1" ref="B274" ca="1">IFERROR(IF(OR('Raw Data'!B274="",LEN(TRIM('Raw Data'!B274))=0),"",IF(AND(LEN('Raw Data'!B274) &lt;= 255,LEN('Raw Data'!B274)&gt; 0),"",_xlfn.REGEXEXTRACT(CELL("address",'Raw Data'!B274),"\$([A-Z]+)\$[0-9]+"))),_xlfn.REGEXEXTRACT(CELL("address",'Raw Data'!B274),"\$([A-Z]+)\$[0-9]+"))</f>
        <v/>
      </c>
      <c r="C274" s="7" t="str" cm="1">
        <f t="array" aca="1" ref="C274" ca="1">IFERROR(IF(OR('Raw Data'!C274="",LEN(TRIM('Raw Data'!C274))=0),"",IF(AND(LEN('Raw Data'!C274) &lt;= 20,LEN('Raw Data'!C274)&gt; 0),"",_xlfn.REGEXEXTRACT(CELL("address",'Raw Data'!C274),"\$([A-Z]+)\$[0-9]+"))),_xlfn.REGEXEXTRACT(CELL("address",'Raw Data'!C274),"\$([A-Z]+)\$[0-9]+"))</f>
        <v/>
      </c>
      <c r="D274" s="7" t="str" cm="1">
        <f t="array" aca="1" ref="D274" ca="1">IFERROR(IF(OR('Raw Data'!D274="",LEN(TRIM('Raw Data'!D274))=0),"",IF(AND(ISNUMBER('Raw Data'!D274),'Raw Data'!D274&gt;=Configuration!$D$2),"",_xlfn.REGEXEXTRACT(CELL("address",'Raw Data'!D274),"\$([A-Z]+)\$[0-9]+"))),_xlfn.REGEXEXTRACT(CELL("address",D274), "\$([A-Z]+)\$[0-9]+"))</f>
        <v/>
      </c>
      <c r="E274" s="7" t="str" cm="1">
        <f t="array" aca="1" ref="E274" ca="1">IFERROR(IF(OR('Raw Data'!E274="",LEN(TRIM('Raw Data'!E274))=0),"",IF(AND(ISNUMBER('Raw Data'!E274), IFERROR('Raw Data'!E274 = ROUND('Raw Data'!E274, 2),FALSE)),"",_xlfn.REGEXEXTRACT(CELL("address",E274), "\$([A-Z]+)\$[0-9]+"))),_xlfn.REGEXEXTRACT(CELL("address",E274), "\$([A-Z]+)\$[0-9]+"))</f>
        <v/>
      </c>
      <c r="F274" s="7" t="str" cm="1">
        <f t="array" aca="1" ref="F274" ca="1">IFERROR(IF(OR('Raw Data'!F274="",LEN(TRIM('Raw Data'!F274))=0),"",IF(AND(ISNUMBER('Raw Data'!F274), IFERROR('Raw Data'!F274 = ROUND('Raw Data'!F274, 2),FALSE)),"",_xlfn.REGEXEXTRACT(CELL("address",F274), "\$([A-Z]+)\$[0-9]+"))),_xlfn.REGEXEXTRACT(CELL("address",F274), "\$([A-Z]+)\$[0-9]+"))</f>
        <v/>
      </c>
      <c r="G274" s="7" t="str" cm="1">
        <f t="array" aca="1" ref="G274" ca="1">IFERROR(IF(OR('Raw Data'!G274="",LEN(TRIM('Raw Data'!G274))=0),"",IF(AND(ISNUMBER('Raw Data'!G274), IFERROR('Raw Data'!G274 = ROUND('Raw Data'!G274, 2),FALSE)),"",_xlfn.REGEXEXTRACT(CELL("address",G274), "\$([A-Z]+)\$[0-9]+"))),_xlfn.REGEXEXTRACT(CELL("address",G274), "\$([A-Z]+)\$[0-9]+"))</f>
        <v/>
      </c>
      <c r="H274" s="7" t="str" cm="1">
        <f t="array" aca="1" ref="H274" ca="1">IFERROR(IF(OR('Raw Data'!H274="",LEN(TRIM('Raw Data'!H274))=0),"",IF(AND(ISNUMBER('Raw Data'!H274), IFERROR('Raw Data'!H274 = ROUND('Raw Data'!H274, 2),FALSE)),"",_xlfn.REGEXEXTRACT(CELL("address",H274), "\$([A-Z]+)\$[0-9]+"))),_xlfn.REGEXEXTRACT(CELL("address",H274), "\$([A-Z]+)\$[0-9]+"))</f>
        <v/>
      </c>
      <c r="I274" s="7" t="str" cm="1">
        <f t="array" aca="1" ref="I274" ca="1">IFERROR(IF(OR('Raw Data'!I274="",LEN(TRIM('Raw Data'!I274))=0),"",IF(AND(ISNUMBER('Raw Data'!I274), IFERROR('Raw Data'!I274 = ROUND('Raw Data'!I274, 2),FALSE)),"",_xlfn.REGEXEXTRACT(CELL("address",I274), "\$([A-Z]+)\$[0-9]+"))),_xlfn.REGEXEXTRACT(CELL("address",I274), "\$([A-Z]+)\$[0-9]+"))</f>
        <v/>
      </c>
      <c r="J274" s="7" t="str" cm="1">
        <f t="array" aca="1" ref="J274" ca="1">IFERROR(IF(OR('Raw Data'!J274="",LEN(TRIM('Raw Data'!J274))=0),"",IF(AND(ISNUMBER('Raw Data'!J274), IFERROR('Raw Data'!J274 = ROUND('Raw Data'!J274, 2),FALSE)),"",_xlfn.REGEXEXTRACT(CELL("address",J274), "\$([A-Z]+)\$[0-9]+"))),_xlfn.REGEXEXTRACT(CELL("address",J274), "\$([A-Z]+)\$[0-9]+"))</f>
        <v/>
      </c>
      <c r="K274" s="7" t="str" cm="1">
        <f t="array" aca="1" ref="K274" ca="1">IFERROR(IF(OR('Raw Data'!K274="",LEN(TRIM('Raw Data'!K274))=0),"",IF(AND(ISNUMBER('Raw Data'!K274), IFERROR('Raw Data'!K274 = ROUND('Raw Data'!K274, 2),FALSE)),"",_xlfn.REGEXEXTRACT(CELL("address",K274), "\$([A-Z]+)\$[0-9]+"))),_xlfn.REGEXEXTRACT(CELL("address",K274), "\$([A-Z]+)\$[0-9]+"))</f>
        <v/>
      </c>
      <c r="L274" s="7" t="str" cm="1">
        <f t="array" aca="1" ref="L274" ca="1">IFERROR(IF(OR('Raw Data'!L274="",LEN(TRIM('Raw Data'!L274))=0),"",IF(AND(ISNUMBER('Raw Data'!L274), IFERROR('Raw Data'!L274 = ROUND('Raw Data'!L274, 2),FALSE)),"",_xlfn.REGEXEXTRACT(CELL("address",L274), "\$([A-Z]+)\$[0-9]+"))),_xlfn.REGEXEXTRACT(CELL("address",L274), "\$([A-Z]+)\$[0-9]+"))</f>
        <v/>
      </c>
      <c r="M274" s="7" t="str" cm="1">
        <f t="array" aca="1" ref="M274" ca="1">IFERROR(IF(OR('Raw Data'!M274="",LEN(TRIM('Raw Data'!M274))=0),"",IF(AND(ISNUMBER('Raw Data'!M274), IFERROR('Raw Data'!M274 = ROUND('Raw Data'!M274, 2),FALSE)),"",_xlfn.REGEXEXTRACT(CELL("address",M274), "\$([A-Z]+)\$[0-9]+"))),_xlfn.REGEXEXTRACT(CELL("address",M274), "\$([A-Z]+)\$[0-9]+"))</f>
        <v/>
      </c>
      <c r="N274" s="7" t="str" cm="1">
        <f t="array" aca="1" ref="N274" ca="1">IFERROR(IF(OR('Raw Data'!N274="",LEN(TRIM('Raw Data'!N274))=0),"",IF(AND(ISNUMBER('Raw Data'!N274), IFERROR('Raw Data'!N274 = ROUND('Raw Data'!N274, 2),FALSE)),"",_xlfn.REGEXEXTRACT(CELL("address",N274), "\$([A-Z]+)\$[0-9]+"))),_xlfn.REGEXEXTRACT(CELL("address",N274), "\$([A-Z]+)\$[0-9]+"))</f>
        <v/>
      </c>
      <c r="O274" s="7" t="str" cm="1">
        <f t="array" aca="1" ref="O274" ca="1">IFERROR(IF(OR('Raw Data'!O274="",LEN(TRIM('Raw Data'!O274))=0),"",IF(AND(ISNUMBER('Raw Data'!O274), IFERROR('Raw Data'!O274 = ROUND('Raw Data'!O274, 2),FALSE)),"",_xlfn.REGEXEXTRACT(CELL("address",O274), "\$([A-Z]+)\$[0-9]+"))),_xlfn.REGEXEXTRACT(CELL("address",O274), "\$([A-Z]+)\$[0-9]+"))</f>
        <v/>
      </c>
      <c r="P274" s="7" t="str" cm="1">
        <f t="array" aca="1" ref="P274" ca="1">IFERROR(IF(OR('Raw Data'!P274="",LEN(TRIM('Raw Data'!P274))=0),"",IF(AND(ISNUMBER('Raw Data'!P274), IFERROR('Raw Data'!P274 = ROUND('Raw Data'!P274, 2),FALSE)),"",_xlfn.REGEXEXTRACT(CELL("address",P274), "\$([A-Z]+)\$[0-9]+"))),_xlfn.REGEXEXTRACT(CELL("address",P274), "\$([A-Z]+)\$[0-9]+"))</f>
        <v/>
      </c>
      <c r="Q274" s="7" t="str" cm="1">
        <f t="array" aca="1" ref="Q274" ca="1">IFERROR(IF(OR('Raw Data'!Q274="",LEN(TRIM('Raw Data'!Q274))=0),"",IF(AND(ISNUMBER('Raw Data'!Q274), IFERROR('Raw Data'!Q274 = ROUND('Raw Data'!Q274, 2),FALSE)),"",_xlfn.REGEXEXTRACT(CELL("address",Q274), "\$([A-Z]+)\$[0-9]+"))),_xlfn.REGEXEXTRACT(CELL("address",Q274), "\$([A-Z]+)\$[0-9]+"))</f>
        <v/>
      </c>
      <c r="R274" s="7" t="str" cm="1">
        <f t="array" aca="1" ref="R274" ca="1">IFERROR(IF(OR('Raw Data'!R274="",LEN(TRIM('Raw Data'!R274))=0),"",IF(AND(ISNUMBER('Raw Data'!R274), IFERROR('Raw Data'!R274 = ROUND('Raw Data'!R274, 2),FALSE)),"",_xlfn.REGEXEXTRACT(CELL("address",R274), "\$([A-Z]+)\$[0-9]+"))),_xlfn.REGEXEXTRACT(CELL("address",R274), "\$([A-Z]+)\$[0-9]+"))</f>
        <v/>
      </c>
      <c r="S274" s="7" t="str" cm="1">
        <f t="array" aca="1" ref="S274" ca="1">IFERROR(IF(OR('Raw Data'!S274="",LEN(TRIM('Raw Data'!S274))=0),"",IF(AND(ISNUMBER('Raw Data'!S274), IFERROR('Raw Data'!S274 = ROUND('Raw Data'!S274, 2),FALSE)),"",_xlfn.REGEXEXTRACT(CELL("address",S274), "\$([A-Z]+)\$[0-9]+"))),_xlfn.REGEXEXTRACT(CELL("address",S274), "\$([A-Z]+)\$[0-9]+"))</f>
        <v/>
      </c>
      <c r="T274" s="7" t="str" cm="1">
        <f t="array" aca="1" ref="T274" ca="1">IFERROR(IF(OR('Raw Data'!T274="",LEN(TRIM('Raw Data'!T274))=0),"",IF(AND(ISNUMBER('Raw Data'!T274), IFERROR('Raw Data'!T274 = ROUND('Raw Data'!T274, 2),FALSE)),"",_xlfn.REGEXEXTRACT(CELL("address",T274), "\$([A-Z]+)\$[0-9]+"))),_xlfn.REGEXEXTRACT(CELL("address",T274), "\$([A-Z]+)\$[0-9]+"))</f>
        <v/>
      </c>
      <c r="U274" s="7" t="str" cm="1">
        <f t="array" aca="1" ref="U274" ca="1">IFERROR(IF(OR('Raw Data'!U274="",LEN(TRIM('Raw Data'!U274))=0),"",IF(AND(ISNUMBER('Raw Data'!U274), IFERROR('Raw Data'!U274 = ROUND('Raw Data'!U274, 2),FALSE)),"",_xlfn.REGEXEXTRACT(CELL("address",U274), "\$([A-Z]+)\$[0-9]+"))),_xlfn.REGEXEXTRACT(CELL("address",U274), "\$([A-Z]+)\$[0-9]+"))</f>
        <v/>
      </c>
      <c r="V274" s="7" t="str" cm="1">
        <f t="array" aca="1" ref="V274" ca="1">IFERROR(IF(OR('Raw Data'!V274="",LEN(TRIM('Raw Data'!V274))=0),"",IF(AND(ISNUMBER('Raw Data'!V274), IFERROR('Raw Data'!V274 = ROUND('Raw Data'!V274, 2),FALSE)),"",_xlfn.REGEXEXTRACT(CELL("address",V274), "\$([A-Z]+)\$[0-9]+"))),_xlfn.REGEXEXTRACT(CELL("address",V274), "\$([A-Z]+)\$[0-9]+"))</f>
        <v/>
      </c>
      <c r="W274" s="7" t="str" cm="1">
        <f t="array" aca="1" ref="W274" ca="1">IFERROR(IF(OR('Raw Data'!W274="",LEN(TRIM('Raw Data'!W274))=0),"",IF(AND(ISNUMBER('Raw Data'!W274), IFERROR('Raw Data'!W274 = ROUND('Raw Data'!W274, 2),FALSE)),"",_xlfn.REGEXEXTRACT(CELL("address",W274), "\$([A-Z]+)\$[0-9]+"))),_xlfn.REGEXEXTRACT(CELL("address",W274), "\$([A-Z]+)\$[0-9]+"))</f>
        <v/>
      </c>
      <c r="X274" s="7" t="str" cm="1">
        <f t="array" aca="1" ref="X274" ca="1">IFERROR(IF(OR('Raw Data'!X274="",LEN(TRIM('Raw Data'!X274))=0),"",IF(AND(ISNUMBER('Raw Data'!X274), IFERROR('Raw Data'!X274 = ROUND('Raw Data'!X274, 2),FALSE)),"",_xlfn.REGEXEXTRACT(CELL("address",X274), "\$([A-Z]+)\$[0-9]+"))),_xlfn.REGEXEXTRACT(CELL("address",X274), "\$([A-Z]+)\$[0-9]+"))</f>
        <v/>
      </c>
      <c r="Y274" s="7" t="str" cm="1">
        <f t="array" aca="1" ref="Y274" ca="1">IFERROR(IF(OR('Raw Data'!Y274="",LEN(TRIM('Raw Data'!Y274))=0),"",IF(AND(ISNUMBER('Raw Data'!Y274), IFERROR('Raw Data'!Y274 = ROUND('Raw Data'!Y274, 2),FALSE)),"",_xlfn.REGEXEXTRACT(CELL("address",Y274), "\$([A-Z]+)\$[0-9]+"))),_xlfn.REGEXEXTRACT(CELL("address",Y274), "\$([A-Z]+)\$[0-9]+"))</f>
        <v/>
      </c>
      <c r="Z274" s="7" t="str" cm="1">
        <f t="array" aca="1" ref="Z274" ca="1">IFERROR(IF(OR('Raw Data'!Z274="",LEN(TRIM('Raw Data'!Z274))=0),"",IF(AND(ISNUMBER('Raw Data'!Z274), IFERROR('Raw Data'!Z274 = ROUND('Raw Data'!Z274, 2),FALSE)),"",_xlfn.REGEXEXTRACT(CELL("address",Z274), "\$([A-Z]+)\$[0-9]+"))),_xlfn.REGEXEXTRACT(CELL("address",Z274), "\$([A-Z]+)\$[0-9]+"))</f>
        <v/>
      </c>
      <c r="AA274" s="7" t="str" cm="1">
        <f t="array" aca="1" ref="AA274" ca="1">IFERROR(IF(OR('Raw Data'!AA274="",LEN(TRIM('Raw Data'!AA274))=0),"",IF(AND(ISNUMBER('Raw Data'!AA274), IFERROR('Raw Data'!AA274 = ROUND('Raw Data'!AA274, 2),FALSE)),"",_xlfn.REGEXEXTRACT(CELL("address",AA274), "\$([A-Z]+)\$[0-9]+"))),_xlfn.REGEXEXTRACT(CELL("address",AA274), "\$([A-Z]+)\$[0-9]+"))</f>
        <v/>
      </c>
      <c r="AB274" s="7" t="str" cm="1">
        <f t="array" aca="1" ref="AB274" ca="1">IFERROR(IF(OR('Raw Data'!AB274="",LEN(TRIM('Raw Data'!AB274))=0),"",IF(AND(ISNUMBER('Raw Data'!AB274), IFERROR('Raw Data'!AB274 = ROUND('Raw Data'!AB274, 2),FALSE)),"",_xlfn.REGEXEXTRACT(CELL("address",AB274), "\$([A-Z]+)\$[0-9]+"))),_xlfn.REGEXEXTRACT(CELL("address",AB274), "\$([A-Z]+)\$[0-9]+"))</f>
        <v/>
      </c>
      <c r="AC274" s="7" t="str" cm="1">
        <f t="array" aca="1" ref="AC274" ca="1">IFERROR(IF(OR('Raw Data'!AC274="",LEN(TRIM('Raw Data'!AC274))=0),"",IF(AND(ISNUMBER('Raw Data'!AC274), IFERROR('Raw Data'!AC274 = ROUND('Raw Data'!AC274, 2),FALSE)),"",_xlfn.REGEXEXTRACT(CELL("address",AC274), "\$([A-Z]+)\$[0-9]+"))),_xlfn.REGEXEXTRACT(CELL("address",AC274), "\$([A-Z]+)\$[0-9]+"))</f>
        <v/>
      </c>
      <c r="AD274" s="7" t="str" cm="1">
        <f t="array" aca="1" ref="AD274" ca="1">IFERROR(IF(OR('Raw Data'!AD274="",LEN(TRIM('Raw Data'!AD274))=0),"",IF(AND(ISNUMBER('Raw Data'!AD274), IFERROR('Raw Data'!AD274 = ROUND('Raw Data'!AD274, 2),FALSE)),"",_xlfn.REGEXEXTRACT(CELL("address",AD274), "\$([A-Z]+)\$[0-9]+"))),_xlfn.REGEXEXTRACT(CELL("address",AD274), "\$([A-Z]+)\$[0-9]+"))</f>
        <v/>
      </c>
      <c r="AE274" s="7" t="str" cm="1">
        <f t="array" aca="1" ref="AE274" ca="1">IFERROR(IF(OR('Raw Data'!AE274="",LEN(TRIM('Raw Data'!AE274))=0),"",IF(AND(ISNUMBER('Raw Data'!AE274), IFERROR('Raw Data'!AE274 = ROUND('Raw Data'!AE274, 2),FALSE)),"",_xlfn.REGEXEXTRACT(CELL("address",AE274), "\$([A-Z]+)\$[0-9]+"))),_xlfn.REGEXEXTRACT(CELL("address",AE274), "\$([A-Z]+)\$[0-9]+"))</f>
        <v/>
      </c>
      <c r="AF274" s="7" t="str" cm="1">
        <f t="array" aca="1" ref="AF274" ca="1">IFERROR(IF(OR('Raw Data'!AF274="",LEN(TRIM('Raw Data'!AF274))=0),"",IF(AND(ISNUMBER('Raw Data'!AF274), IFERROR('Raw Data'!AF274 = ROUND('Raw Data'!AF274, 2),FALSE)),"",_xlfn.REGEXEXTRACT(CELL("address",AF274), "\$([A-Z]+)\$[0-9]+"))),_xlfn.REGEXEXTRACT(CELL("address",AF274), "\$([A-Z]+)\$[0-9]+"))</f>
        <v/>
      </c>
      <c r="AG274" s="7" t="str" cm="1">
        <f t="array" aca="1" ref="AG274" ca="1">IFERROR(IF(OR('Raw Data'!AG274="",LEN(TRIM('Raw Data'!AG274))=0),"",IF(AND(ISNUMBER('Raw Data'!AG274), IFERROR('Raw Data'!AG274 = ROUND('Raw Data'!AG274, 2),FALSE)),"",_xlfn.REGEXEXTRACT(CELL("address",AG274), "\$([A-Z]+)\$[0-9]+"))),_xlfn.REGEXEXTRACT(CELL("address",AG274), "\$([A-Z]+)\$[0-9]+"))</f>
        <v/>
      </c>
      <c r="AH274" s="7" t="str" cm="1">
        <f t="array" aca="1" ref="AH274" ca="1">IFERROR(IF(OR('Raw Data'!AH274="",LEN(TRIM('Raw Data'!AH274))=0),"",IF(AND(ISNUMBER('Raw Data'!AH274), IFERROR('Raw Data'!AH274 = ROUND('Raw Data'!AH274, 2),FALSE)),"",_xlfn.REGEXEXTRACT(CELL("address",AH274), "\$([A-Z]+)\$[0-9]+"))),_xlfn.REGEXEXTRACT(CELL("address",AH274), "\$([A-Z]+)\$[0-9]+"))</f>
        <v/>
      </c>
      <c r="AI274" s="7" t="str" cm="1">
        <f t="array" aca="1" ref="AI274" ca="1">IFERROR(IF(OR('Raw Data'!AI274="",LEN(TRIM('Raw Data'!AI274))=0),"",IF(AND(ISNUMBER('Raw Data'!AI274), IFERROR('Raw Data'!AI274 = ROUND('Raw Data'!AI274, 2),FALSE)),"",_xlfn.REGEXEXTRACT(CELL("address",AI274), "\$([A-Z]+)\$[0-9]+"))),_xlfn.REGEXEXTRACT(CELL("address",AI274), "\$([A-Z]+)\$[0-9]+"))</f>
        <v/>
      </c>
      <c r="AJ274" s="7" t="str" cm="1">
        <f t="array" aca="1" ref="AJ274" ca="1">IFERROR(IF(OR('Raw Data'!AJ274="",LEN(TRIM('Raw Data'!AJ274))=0),"",IF(AND(ISNUMBER('Raw Data'!AJ274), IFERROR('Raw Data'!AJ274 = ROUND('Raw Data'!AJ274, 2),FALSE)),"",_xlfn.REGEXEXTRACT(CELL("address",AJ274), "\$([A-Z]+)\$[0-9]+"))),_xlfn.REGEXEXTRACT(CELL("address",AJ274), "\$([A-Z]+)\$[0-9]+"))</f>
        <v/>
      </c>
    </row>
    <row r="275" spans="2:36" x14ac:dyDescent="0.25">
      <c r="B275" s="7" t="str" cm="1">
        <f t="array" aca="1" ref="B275" ca="1">IFERROR(IF(OR('Raw Data'!B275="",LEN(TRIM('Raw Data'!B275))=0),"",IF(AND(LEN('Raw Data'!B275) &lt;= 255,LEN('Raw Data'!B275)&gt; 0),"",_xlfn.REGEXEXTRACT(CELL("address",'Raw Data'!B275),"\$([A-Z]+)\$[0-9]+"))),_xlfn.REGEXEXTRACT(CELL("address",'Raw Data'!B275),"\$([A-Z]+)\$[0-9]+"))</f>
        <v/>
      </c>
      <c r="C275" s="7" t="str" cm="1">
        <f t="array" aca="1" ref="C275" ca="1">IFERROR(IF(OR('Raw Data'!C275="",LEN(TRIM('Raw Data'!C275))=0),"",IF(AND(LEN('Raw Data'!C275) &lt;= 20,LEN('Raw Data'!C275)&gt; 0),"",_xlfn.REGEXEXTRACT(CELL("address",'Raw Data'!C275),"\$([A-Z]+)\$[0-9]+"))),_xlfn.REGEXEXTRACT(CELL("address",'Raw Data'!C275),"\$([A-Z]+)\$[0-9]+"))</f>
        <v/>
      </c>
      <c r="D275" s="7" t="str" cm="1">
        <f t="array" aca="1" ref="D275" ca="1">IFERROR(IF(OR('Raw Data'!D275="",LEN(TRIM('Raw Data'!D275))=0),"",IF(AND(ISNUMBER('Raw Data'!D275),'Raw Data'!D275&gt;=Configuration!$D$2),"",_xlfn.REGEXEXTRACT(CELL("address",'Raw Data'!D275),"\$([A-Z]+)\$[0-9]+"))),_xlfn.REGEXEXTRACT(CELL("address",D275), "\$([A-Z]+)\$[0-9]+"))</f>
        <v/>
      </c>
      <c r="E275" s="7" t="str" cm="1">
        <f t="array" aca="1" ref="E275" ca="1">IFERROR(IF(OR('Raw Data'!E275="",LEN(TRIM('Raw Data'!E275))=0),"",IF(AND(ISNUMBER('Raw Data'!E275), IFERROR('Raw Data'!E275 = ROUND('Raw Data'!E275, 2),FALSE)),"",_xlfn.REGEXEXTRACT(CELL("address",E275), "\$([A-Z]+)\$[0-9]+"))),_xlfn.REGEXEXTRACT(CELL("address",E275), "\$([A-Z]+)\$[0-9]+"))</f>
        <v/>
      </c>
      <c r="F275" s="7" t="str" cm="1">
        <f t="array" aca="1" ref="F275" ca="1">IFERROR(IF(OR('Raw Data'!F275="",LEN(TRIM('Raw Data'!F275))=0),"",IF(AND(ISNUMBER('Raw Data'!F275), IFERROR('Raw Data'!F275 = ROUND('Raw Data'!F275, 2),FALSE)),"",_xlfn.REGEXEXTRACT(CELL("address",F275), "\$([A-Z]+)\$[0-9]+"))),_xlfn.REGEXEXTRACT(CELL("address",F275), "\$([A-Z]+)\$[0-9]+"))</f>
        <v/>
      </c>
      <c r="G275" s="7" t="str" cm="1">
        <f t="array" aca="1" ref="G275" ca="1">IFERROR(IF(OR('Raw Data'!G275="",LEN(TRIM('Raw Data'!G275))=0),"",IF(AND(ISNUMBER('Raw Data'!G275), IFERROR('Raw Data'!G275 = ROUND('Raw Data'!G275, 2),FALSE)),"",_xlfn.REGEXEXTRACT(CELL("address",G275), "\$([A-Z]+)\$[0-9]+"))),_xlfn.REGEXEXTRACT(CELL("address",G275), "\$([A-Z]+)\$[0-9]+"))</f>
        <v/>
      </c>
      <c r="H275" s="7" t="str" cm="1">
        <f t="array" aca="1" ref="H275" ca="1">IFERROR(IF(OR('Raw Data'!H275="",LEN(TRIM('Raw Data'!H275))=0),"",IF(AND(ISNUMBER('Raw Data'!H275), IFERROR('Raw Data'!H275 = ROUND('Raw Data'!H275, 2),FALSE)),"",_xlfn.REGEXEXTRACT(CELL("address",H275), "\$([A-Z]+)\$[0-9]+"))),_xlfn.REGEXEXTRACT(CELL("address",H275), "\$([A-Z]+)\$[0-9]+"))</f>
        <v/>
      </c>
      <c r="I275" s="7" t="str" cm="1">
        <f t="array" aca="1" ref="I275" ca="1">IFERROR(IF(OR('Raw Data'!I275="",LEN(TRIM('Raw Data'!I275))=0),"",IF(AND(ISNUMBER('Raw Data'!I275), IFERROR('Raw Data'!I275 = ROUND('Raw Data'!I275, 2),FALSE)),"",_xlfn.REGEXEXTRACT(CELL("address",I275), "\$([A-Z]+)\$[0-9]+"))),_xlfn.REGEXEXTRACT(CELL("address",I275), "\$([A-Z]+)\$[0-9]+"))</f>
        <v/>
      </c>
      <c r="J275" s="7" t="str" cm="1">
        <f t="array" aca="1" ref="J275" ca="1">IFERROR(IF(OR('Raw Data'!J275="",LEN(TRIM('Raw Data'!J275))=0),"",IF(AND(ISNUMBER('Raw Data'!J275), IFERROR('Raw Data'!J275 = ROUND('Raw Data'!J275, 2),FALSE)),"",_xlfn.REGEXEXTRACT(CELL("address",J275), "\$([A-Z]+)\$[0-9]+"))),_xlfn.REGEXEXTRACT(CELL("address",J275), "\$([A-Z]+)\$[0-9]+"))</f>
        <v/>
      </c>
      <c r="K275" s="7" t="str" cm="1">
        <f t="array" aca="1" ref="K275" ca="1">IFERROR(IF(OR('Raw Data'!K275="",LEN(TRIM('Raw Data'!K275))=0),"",IF(AND(ISNUMBER('Raw Data'!K275), IFERROR('Raw Data'!K275 = ROUND('Raw Data'!K275, 2),FALSE)),"",_xlfn.REGEXEXTRACT(CELL("address",K275), "\$([A-Z]+)\$[0-9]+"))),_xlfn.REGEXEXTRACT(CELL("address",K275), "\$([A-Z]+)\$[0-9]+"))</f>
        <v/>
      </c>
      <c r="L275" s="7" t="str" cm="1">
        <f t="array" aca="1" ref="L275" ca="1">IFERROR(IF(OR('Raw Data'!L275="",LEN(TRIM('Raw Data'!L275))=0),"",IF(AND(ISNUMBER('Raw Data'!L275), IFERROR('Raw Data'!L275 = ROUND('Raw Data'!L275, 2),FALSE)),"",_xlfn.REGEXEXTRACT(CELL("address",L275), "\$([A-Z]+)\$[0-9]+"))),_xlfn.REGEXEXTRACT(CELL("address",L275), "\$([A-Z]+)\$[0-9]+"))</f>
        <v/>
      </c>
      <c r="M275" s="7" t="str" cm="1">
        <f t="array" aca="1" ref="M275" ca="1">IFERROR(IF(OR('Raw Data'!M275="",LEN(TRIM('Raw Data'!M275))=0),"",IF(AND(ISNUMBER('Raw Data'!M275), IFERROR('Raw Data'!M275 = ROUND('Raw Data'!M275, 2),FALSE)),"",_xlfn.REGEXEXTRACT(CELL("address",M275), "\$([A-Z]+)\$[0-9]+"))),_xlfn.REGEXEXTRACT(CELL("address",M275), "\$([A-Z]+)\$[0-9]+"))</f>
        <v/>
      </c>
      <c r="N275" s="7" t="str" cm="1">
        <f t="array" aca="1" ref="N275" ca="1">IFERROR(IF(OR('Raw Data'!N275="",LEN(TRIM('Raw Data'!N275))=0),"",IF(AND(ISNUMBER('Raw Data'!N275), IFERROR('Raw Data'!N275 = ROUND('Raw Data'!N275, 2),FALSE)),"",_xlfn.REGEXEXTRACT(CELL("address",N275), "\$([A-Z]+)\$[0-9]+"))),_xlfn.REGEXEXTRACT(CELL("address",N275), "\$([A-Z]+)\$[0-9]+"))</f>
        <v/>
      </c>
      <c r="O275" s="7" t="str" cm="1">
        <f t="array" aca="1" ref="O275" ca="1">IFERROR(IF(OR('Raw Data'!O275="",LEN(TRIM('Raw Data'!O275))=0),"",IF(AND(ISNUMBER('Raw Data'!O275), IFERROR('Raw Data'!O275 = ROUND('Raw Data'!O275, 2),FALSE)),"",_xlfn.REGEXEXTRACT(CELL("address",O275), "\$([A-Z]+)\$[0-9]+"))),_xlfn.REGEXEXTRACT(CELL("address",O275), "\$([A-Z]+)\$[0-9]+"))</f>
        <v/>
      </c>
      <c r="P275" s="7" t="str" cm="1">
        <f t="array" aca="1" ref="P275" ca="1">IFERROR(IF(OR('Raw Data'!P275="",LEN(TRIM('Raw Data'!P275))=0),"",IF(AND(ISNUMBER('Raw Data'!P275), IFERROR('Raw Data'!P275 = ROUND('Raw Data'!P275, 2),FALSE)),"",_xlfn.REGEXEXTRACT(CELL("address",P275), "\$([A-Z]+)\$[0-9]+"))),_xlfn.REGEXEXTRACT(CELL("address",P275), "\$([A-Z]+)\$[0-9]+"))</f>
        <v/>
      </c>
      <c r="Q275" s="7" t="str" cm="1">
        <f t="array" aca="1" ref="Q275" ca="1">IFERROR(IF(OR('Raw Data'!Q275="",LEN(TRIM('Raw Data'!Q275))=0),"",IF(AND(ISNUMBER('Raw Data'!Q275), IFERROR('Raw Data'!Q275 = ROUND('Raw Data'!Q275, 2),FALSE)),"",_xlfn.REGEXEXTRACT(CELL("address",Q275), "\$([A-Z]+)\$[0-9]+"))),_xlfn.REGEXEXTRACT(CELL("address",Q275), "\$([A-Z]+)\$[0-9]+"))</f>
        <v/>
      </c>
      <c r="R275" s="7" t="str" cm="1">
        <f t="array" aca="1" ref="R275" ca="1">IFERROR(IF(OR('Raw Data'!R275="",LEN(TRIM('Raw Data'!R275))=0),"",IF(AND(ISNUMBER('Raw Data'!R275), IFERROR('Raw Data'!R275 = ROUND('Raw Data'!R275, 2),FALSE)),"",_xlfn.REGEXEXTRACT(CELL("address",R275), "\$([A-Z]+)\$[0-9]+"))),_xlfn.REGEXEXTRACT(CELL("address",R275), "\$([A-Z]+)\$[0-9]+"))</f>
        <v/>
      </c>
      <c r="S275" s="7" t="str" cm="1">
        <f t="array" aca="1" ref="S275" ca="1">IFERROR(IF(OR('Raw Data'!S275="",LEN(TRIM('Raw Data'!S275))=0),"",IF(AND(ISNUMBER('Raw Data'!S275), IFERROR('Raw Data'!S275 = ROUND('Raw Data'!S275, 2),FALSE)),"",_xlfn.REGEXEXTRACT(CELL("address",S275), "\$([A-Z]+)\$[0-9]+"))),_xlfn.REGEXEXTRACT(CELL("address",S275), "\$([A-Z]+)\$[0-9]+"))</f>
        <v/>
      </c>
      <c r="T275" s="7" t="str" cm="1">
        <f t="array" aca="1" ref="T275" ca="1">IFERROR(IF(OR('Raw Data'!T275="",LEN(TRIM('Raw Data'!T275))=0),"",IF(AND(ISNUMBER('Raw Data'!T275), IFERROR('Raw Data'!T275 = ROUND('Raw Data'!T275, 2),FALSE)),"",_xlfn.REGEXEXTRACT(CELL("address",T275), "\$([A-Z]+)\$[0-9]+"))),_xlfn.REGEXEXTRACT(CELL("address",T275), "\$([A-Z]+)\$[0-9]+"))</f>
        <v/>
      </c>
      <c r="U275" s="7" t="str" cm="1">
        <f t="array" aca="1" ref="U275" ca="1">IFERROR(IF(OR('Raw Data'!U275="",LEN(TRIM('Raw Data'!U275))=0),"",IF(AND(ISNUMBER('Raw Data'!U275), IFERROR('Raw Data'!U275 = ROUND('Raw Data'!U275, 2),FALSE)),"",_xlfn.REGEXEXTRACT(CELL("address",U275), "\$([A-Z]+)\$[0-9]+"))),_xlfn.REGEXEXTRACT(CELL("address",U275), "\$([A-Z]+)\$[0-9]+"))</f>
        <v/>
      </c>
      <c r="V275" s="7" t="str" cm="1">
        <f t="array" aca="1" ref="V275" ca="1">IFERROR(IF(OR('Raw Data'!V275="",LEN(TRIM('Raw Data'!V275))=0),"",IF(AND(ISNUMBER('Raw Data'!V275), IFERROR('Raw Data'!V275 = ROUND('Raw Data'!V275, 2),FALSE)),"",_xlfn.REGEXEXTRACT(CELL("address",V275), "\$([A-Z]+)\$[0-9]+"))),_xlfn.REGEXEXTRACT(CELL("address",V275), "\$([A-Z]+)\$[0-9]+"))</f>
        <v/>
      </c>
      <c r="W275" s="7" t="str" cm="1">
        <f t="array" aca="1" ref="W275" ca="1">IFERROR(IF(OR('Raw Data'!W275="",LEN(TRIM('Raw Data'!W275))=0),"",IF(AND(ISNUMBER('Raw Data'!W275), IFERROR('Raw Data'!W275 = ROUND('Raw Data'!W275, 2),FALSE)),"",_xlfn.REGEXEXTRACT(CELL("address",W275), "\$([A-Z]+)\$[0-9]+"))),_xlfn.REGEXEXTRACT(CELL("address",W275), "\$([A-Z]+)\$[0-9]+"))</f>
        <v/>
      </c>
      <c r="X275" s="7" t="str" cm="1">
        <f t="array" aca="1" ref="X275" ca="1">IFERROR(IF(OR('Raw Data'!X275="",LEN(TRIM('Raw Data'!X275))=0),"",IF(AND(ISNUMBER('Raw Data'!X275), IFERROR('Raw Data'!X275 = ROUND('Raw Data'!X275, 2),FALSE)),"",_xlfn.REGEXEXTRACT(CELL("address",X275), "\$([A-Z]+)\$[0-9]+"))),_xlfn.REGEXEXTRACT(CELL("address",X275), "\$([A-Z]+)\$[0-9]+"))</f>
        <v/>
      </c>
      <c r="Y275" s="7" t="str" cm="1">
        <f t="array" aca="1" ref="Y275" ca="1">IFERROR(IF(OR('Raw Data'!Y275="",LEN(TRIM('Raw Data'!Y275))=0),"",IF(AND(ISNUMBER('Raw Data'!Y275), IFERROR('Raw Data'!Y275 = ROUND('Raw Data'!Y275, 2),FALSE)),"",_xlfn.REGEXEXTRACT(CELL("address",Y275), "\$([A-Z]+)\$[0-9]+"))),_xlfn.REGEXEXTRACT(CELL("address",Y275), "\$([A-Z]+)\$[0-9]+"))</f>
        <v/>
      </c>
      <c r="Z275" s="7" t="str" cm="1">
        <f t="array" aca="1" ref="Z275" ca="1">IFERROR(IF(OR('Raw Data'!Z275="",LEN(TRIM('Raw Data'!Z275))=0),"",IF(AND(ISNUMBER('Raw Data'!Z275), IFERROR('Raw Data'!Z275 = ROUND('Raw Data'!Z275, 2),FALSE)),"",_xlfn.REGEXEXTRACT(CELL("address",Z275), "\$([A-Z]+)\$[0-9]+"))),_xlfn.REGEXEXTRACT(CELL("address",Z275), "\$([A-Z]+)\$[0-9]+"))</f>
        <v/>
      </c>
      <c r="AA275" s="7" t="str" cm="1">
        <f t="array" aca="1" ref="AA275" ca="1">IFERROR(IF(OR('Raw Data'!AA275="",LEN(TRIM('Raw Data'!AA275))=0),"",IF(AND(ISNUMBER('Raw Data'!AA275), IFERROR('Raw Data'!AA275 = ROUND('Raw Data'!AA275, 2),FALSE)),"",_xlfn.REGEXEXTRACT(CELL("address",AA275), "\$([A-Z]+)\$[0-9]+"))),_xlfn.REGEXEXTRACT(CELL("address",AA275), "\$([A-Z]+)\$[0-9]+"))</f>
        <v/>
      </c>
      <c r="AB275" s="7" t="str" cm="1">
        <f t="array" aca="1" ref="AB275" ca="1">IFERROR(IF(OR('Raw Data'!AB275="",LEN(TRIM('Raw Data'!AB275))=0),"",IF(AND(ISNUMBER('Raw Data'!AB275), IFERROR('Raw Data'!AB275 = ROUND('Raw Data'!AB275, 2),FALSE)),"",_xlfn.REGEXEXTRACT(CELL("address",AB275), "\$([A-Z]+)\$[0-9]+"))),_xlfn.REGEXEXTRACT(CELL("address",AB275), "\$([A-Z]+)\$[0-9]+"))</f>
        <v/>
      </c>
      <c r="AC275" s="7" t="str" cm="1">
        <f t="array" aca="1" ref="AC275" ca="1">IFERROR(IF(OR('Raw Data'!AC275="",LEN(TRIM('Raw Data'!AC275))=0),"",IF(AND(ISNUMBER('Raw Data'!AC275), IFERROR('Raw Data'!AC275 = ROUND('Raw Data'!AC275, 2),FALSE)),"",_xlfn.REGEXEXTRACT(CELL("address",AC275), "\$([A-Z]+)\$[0-9]+"))),_xlfn.REGEXEXTRACT(CELL("address",AC275), "\$([A-Z]+)\$[0-9]+"))</f>
        <v/>
      </c>
      <c r="AD275" s="7" t="str" cm="1">
        <f t="array" aca="1" ref="AD275" ca="1">IFERROR(IF(OR('Raw Data'!AD275="",LEN(TRIM('Raw Data'!AD275))=0),"",IF(AND(ISNUMBER('Raw Data'!AD275), IFERROR('Raw Data'!AD275 = ROUND('Raw Data'!AD275, 2),FALSE)),"",_xlfn.REGEXEXTRACT(CELL("address",AD275), "\$([A-Z]+)\$[0-9]+"))),_xlfn.REGEXEXTRACT(CELL("address",AD275), "\$([A-Z]+)\$[0-9]+"))</f>
        <v/>
      </c>
      <c r="AE275" s="7" t="str" cm="1">
        <f t="array" aca="1" ref="AE275" ca="1">IFERROR(IF(OR('Raw Data'!AE275="",LEN(TRIM('Raw Data'!AE275))=0),"",IF(AND(ISNUMBER('Raw Data'!AE275), IFERROR('Raw Data'!AE275 = ROUND('Raw Data'!AE275, 2),FALSE)),"",_xlfn.REGEXEXTRACT(CELL("address",AE275), "\$([A-Z]+)\$[0-9]+"))),_xlfn.REGEXEXTRACT(CELL("address",AE275), "\$([A-Z]+)\$[0-9]+"))</f>
        <v/>
      </c>
      <c r="AF275" s="7" t="str" cm="1">
        <f t="array" aca="1" ref="AF275" ca="1">IFERROR(IF(OR('Raw Data'!AF275="",LEN(TRIM('Raw Data'!AF275))=0),"",IF(AND(ISNUMBER('Raw Data'!AF275), IFERROR('Raw Data'!AF275 = ROUND('Raw Data'!AF275, 2),FALSE)),"",_xlfn.REGEXEXTRACT(CELL("address",AF275), "\$([A-Z]+)\$[0-9]+"))),_xlfn.REGEXEXTRACT(CELL("address",AF275), "\$([A-Z]+)\$[0-9]+"))</f>
        <v/>
      </c>
      <c r="AG275" s="7" t="str" cm="1">
        <f t="array" aca="1" ref="AG275" ca="1">IFERROR(IF(OR('Raw Data'!AG275="",LEN(TRIM('Raw Data'!AG275))=0),"",IF(AND(ISNUMBER('Raw Data'!AG275), IFERROR('Raw Data'!AG275 = ROUND('Raw Data'!AG275, 2),FALSE)),"",_xlfn.REGEXEXTRACT(CELL("address",AG275), "\$([A-Z]+)\$[0-9]+"))),_xlfn.REGEXEXTRACT(CELL("address",AG275), "\$([A-Z]+)\$[0-9]+"))</f>
        <v/>
      </c>
      <c r="AH275" s="7" t="str" cm="1">
        <f t="array" aca="1" ref="AH275" ca="1">IFERROR(IF(OR('Raw Data'!AH275="",LEN(TRIM('Raw Data'!AH275))=0),"",IF(AND(ISNUMBER('Raw Data'!AH275), IFERROR('Raw Data'!AH275 = ROUND('Raw Data'!AH275, 2),FALSE)),"",_xlfn.REGEXEXTRACT(CELL("address",AH275), "\$([A-Z]+)\$[0-9]+"))),_xlfn.REGEXEXTRACT(CELL("address",AH275), "\$([A-Z]+)\$[0-9]+"))</f>
        <v/>
      </c>
      <c r="AI275" s="7" t="str" cm="1">
        <f t="array" aca="1" ref="AI275" ca="1">IFERROR(IF(OR('Raw Data'!AI275="",LEN(TRIM('Raw Data'!AI275))=0),"",IF(AND(ISNUMBER('Raw Data'!AI275), IFERROR('Raw Data'!AI275 = ROUND('Raw Data'!AI275, 2),FALSE)),"",_xlfn.REGEXEXTRACT(CELL("address",AI275), "\$([A-Z]+)\$[0-9]+"))),_xlfn.REGEXEXTRACT(CELL("address",AI275), "\$([A-Z]+)\$[0-9]+"))</f>
        <v/>
      </c>
      <c r="AJ275" s="7" t="str" cm="1">
        <f t="array" aca="1" ref="AJ275" ca="1">IFERROR(IF(OR('Raw Data'!AJ275="",LEN(TRIM('Raw Data'!AJ275))=0),"",IF(AND(ISNUMBER('Raw Data'!AJ275), IFERROR('Raw Data'!AJ275 = ROUND('Raw Data'!AJ275, 2),FALSE)),"",_xlfn.REGEXEXTRACT(CELL("address",AJ275), "\$([A-Z]+)\$[0-9]+"))),_xlfn.REGEXEXTRACT(CELL("address",AJ275), "\$([A-Z]+)\$[0-9]+"))</f>
        <v/>
      </c>
    </row>
    <row r="276" spans="2:36" x14ac:dyDescent="0.25">
      <c r="B276" s="7" t="str" cm="1">
        <f t="array" aca="1" ref="B276" ca="1">IFERROR(IF(OR('Raw Data'!B276="",LEN(TRIM('Raw Data'!B276))=0),"",IF(AND(LEN('Raw Data'!B276) &lt;= 255,LEN('Raw Data'!B276)&gt; 0),"",_xlfn.REGEXEXTRACT(CELL("address",'Raw Data'!B276),"\$([A-Z]+)\$[0-9]+"))),_xlfn.REGEXEXTRACT(CELL("address",'Raw Data'!B276),"\$([A-Z]+)\$[0-9]+"))</f>
        <v/>
      </c>
      <c r="C276" s="7" t="str" cm="1">
        <f t="array" aca="1" ref="C276" ca="1">IFERROR(IF(OR('Raw Data'!C276="",LEN(TRIM('Raw Data'!C276))=0),"",IF(AND(LEN('Raw Data'!C276) &lt;= 20,LEN('Raw Data'!C276)&gt; 0),"",_xlfn.REGEXEXTRACT(CELL("address",'Raw Data'!C276),"\$([A-Z]+)\$[0-9]+"))),_xlfn.REGEXEXTRACT(CELL("address",'Raw Data'!C276),"\$([A-Z]+)\$[0-9]+"))</f>
        <v/>
      </c>
      <c r="D276" s="7" t="str" cm="1">
        <f t="array" aca="1" ref="D276" ca="1">IFERROR(IF(OR('Raw Data'!D276="",LEN(TRIM('Raw Data'!D276))=0),"",IF(AND(ISNUMBER('Raw Data'!D276),'Raw Data'!D276&gt;=Configuration!$D$2),"",_xlfn.REGEXEXTRACT(CELL("address",'Raw Data'!D276),"\$([A-Z]+)\$[0-9]+"))),_xlfn.REGEXEXTRACT(CELL("address",D276), "\$([A-Z]+)\$[0-9]+"))</f>
        <v/>
      </c>
      <c r="E276" s="7" t="str" cm="1">
        <f t="array" aca="1" ref="E276" ca="1">IFERROR(IF(OR('Raw Data'!E276="",LEN(TRIM('Raw Data'!E276))=0),"",IF(AND(ISNUMBER('Raw Data'!E276), IFERROR('Raw Data'!E276 = ROUND('Raw Data'!E276, 2),FALSE)),"",_xlfn.REGEXEXTRACT(CELL("address",E276), "\$([A-Z]+)\$[0-9]+"))),_xlfn.REGEXEXTRACT(CELL("address",E276), "\$([A-Z]+)\$[0-9]+"))</f>
        <v/>
      </c>
      <c r="F276" s="7" t="str" cm="1">
        <f t="array" aca="1" ref="F276" ca="1">IFERROR(IF(OR('Raw Data'!F276="",LEN(TRIM('Raw Data'!F276))=0),"",IF(AND(ISNUMBER('Raw Data'!F276), IFERROR('Raw Data'!F276 = ROUND('Raw Data'!F276, 2),FALSE)),"",_xlfn.REGEXEXTRACT(CELL("address",F276), "\$([A-Z]+)\$[0-9]+"))),_xlfn.REGEXEXTRACT(CELL("address",F276), "\$([A-Z]+)\$[0-9]+"))</f>
        <v/>
      </c>
      <c r="G276" s="7" t="str" cm="1">
        <f t="array" aca="1" ref="G276" ca="1">IFERROR(IF(OR('Raw Data'!G276="",LEN(TRIM('Raw Data'!G276))=0),"",IF(AND(ISNUMBER('Raw Data'!G276), IFERROR('Raw Data'!G276 = ROUND('Raw Data'!G276, 2),FALSE)),"",_xlfn.REGEXEXTRACT(CELL("address",G276), "\$([A-Z]+)\$[0-9]+"))),_xlfn.REGEXEXTRACT(CELL("address",G276), "\$([A-Z]+)\$[0-9]+"))</f>
        <v/>
      </c>
      <c r="H276" s="7" t="str" cm="1">
        <f t="array" aca="1" ref="H276" ca="1">IFERROR(IF(OR('Raw Data'!H276="",LEN(TRIM('Raw Data'!H276))=0),"",IF(AND(ISNUMBER('Raw Data'!H276), IFERROR('Raw Data'!H276 = ROUND('Raw Data'!H276, 2),FALSE)),"",_xlfn.REGEXEXTRACT(CELL("address",H276), "\$([A-Z]+)\$[0-9]+"))),_xlfn.REGEXEXTRACT(CELL("address",H276), "\$([A-Z]+)\$[0-9]+"))</f>
        <v/>
      </c>
      <c r="I276" s="7" t="str" cm="1">
        <f t="array" aca="1" ref="I276" ca="1">IFERROR(IF(OR('Raw Data'!I276="",LEN(TRIM('Raw Data'!I276))=0),"",IF(AND(ISNUMBER('Raw Data'!I276), IFERROR('Raw Data'!I276 = ROUND('Raw Data'!I276, 2),FALSE)),"",_xlfn.REGEXEXTRACT(CELL("address",I276), "\$([A-Z]+)\$[0-9]+"))),_xlfn.REGEXEXTRACT(CELL("address",I276), "\$([A-Z]+)\$[0-9]+"))</f>
        <v/>
      </c>
      <c r="J276" s="7" t="str" cm="1">
        <f t="array" aca="1" ref="J276" ca="1">IFERROR(IF(OR('Raw Data'!J276="",LEN(TRIM('Raw Data'!J276))=0),"",IF(AND(ISNUMBER('Raw Data'!J276), IFERROR('Raw Data'!J276 = ROUND('Raw Data'!J276, 2),FALSE)),"",_xlfn.REGEXEXTRACT(CELL("address",J276), "\$([A-Z]+)\$[0-9]+"))),_xlfn.REGEXEXTRACT(CELL("address",J276), "\$([A-Z]+)\$[0-9]+"))</f>
        <v/>
      </c>
      <c r="K276" s="7" t="str" cm="1">
        <f t="array" aca="1" ref="K276" ca="1">IFERROR(IF(OR('Raw Data'!K276="",LEN(TRIM('Raw Data'!K276))=0),"",IF(AND(ISNUMBER('Raw Data'!K276), IFERROR('Raw Data'!K276 = ROUND('Raw Data'!K276, 2),FALSE)),"",_xlfn.REGEXEXTRACT(CELL("address",K276), "\$([A-Z]+)\$[0-9]+"))),_xlfn.REGEXEXTRACT(CELL("address",K276), "\$([A-Z]+)\$[0-9]+"))</f>
        <v/>
      </c>
      <c r="L276" s="7" t="str" cm="1">
        <f t="array" aca="1" ref="L276" ca="1">IFERROR(IF(OR('Raw Data'!L276="",LEN(TRIM('Raw Data'!L276))=0),"",IF(AND(ISNUMBER('Raw Data'!L276), IFERROR('Raw Data'!L276 = ROUND('Raw Data'!L276, 2),FALSE)),"",_xlfn.REGEXEXTRACT(CELL("address",L276), "\$([A-Z]+)\$[0-9]+"))),_xlfn.REGEXEXTRACT(CELL("address",L276), "\$([A-Z]+)\$[0-9]+"))</f>
        <v/>
      </c>
      <c r="M276" s="7" t="str" cm="1">
        <f t="array" aca="1" ref="M276" ca="1">IFERROR(IF(OR('Raw Data'!M276="",LEN(TRIM('Raw Data'!M276))=0),"",IF(AND(ISNUMBER('Raw Data'!M276), IFERROR('Raw Data'!M276 = ROUND('Raw Data'!M276, 2),FALSE)),"",_xlfn.REGEXEXTRACT(CELL("address",M276), "\$([A-Z]+)\$[0-9]+"))),_xlfn.REGEXEXTRACT(CELL("address",M276), "\$([A-Z]+)\$[0-9]+"))</f>
        <v/>
      </c>
      <c r="N276" s="7" t="str" cm="1">
        <f t="array" aca="1" ref="N276" ca="1">IFERROR(IF(OR('Raw Data'!N276="",LEN(TRIM('Raw Data'!N276))=0),"",IF(AND(ISNUMBER('Raw Data'!N276), IFERROR('Raw Data'!N276 = ROUND('Raw Data'!N276, 2),FALSE)),"",_xlfn.REGEXEXTRACT(CELL("address",N276), "\$([A-Z]+)\$[0-9]+"))),_xlfn.REGEXEXTRACT(CELL("address",N276), "\$([A-Z]+)\$[0-9]+"))</f>
        <v/>
      </c>
      <c r="O276" s="7" t="str" cm="1">
        <f t="array" aca="1" ref="O276" ca="1">IFERROR(IF(OR('Raw Data'!O276="",LEN(TRIM('Raw Data'!O276))=0),"",IF(AND(ISNUMBER('Raw Data'!O276), IFERROR('Raw Data'!O276 = ROUND('Raw Data'!O276, 2),FALSE)),"",_xlfn.REGEXEXTRACT(CELL("address",O276), "\$([A-Z]+)\$[0-9]+"))),_xlfn.REGEXEXTRACT(CELL("address",O276), "\$([A-Z]+)\$[0-9]+"))</f>
        <v/>
      </c>
      <c r="P276" s="7" t="str" cm="1">
        <f t="array" aca="1" ref="P276" ca="1">IFERROR(IF(OR('Raw Data'!P276="",LEN(TRIM('Raw Data'!P276))=0),"",IF(AND(ISNUMBER('Raw Data'!P276), IFERROR('Raw Data'!P276 = ROUND('Raw Data'!P276, 2),FALSE)),"",_xlfn.REGEXEXTRACT(CELL("address",P276), "\$([A-Z]+)\$[0-9]+"))),_xlfn.REGEXEXTRACT(CELL("address",P276), "\$([A-Z]+)\$[0-9]+"))</f>
        <v/>
      </c>
      <c r="Q276" s="7" t="str" cm="1">
        <f t="array" aca="1" ref="Q276" ca="1">IFERROR(IF(OR('Raw Data'!Q276="",LEN(TRIM('Raw Data'!Q276))=0),"",IF(AND(ISNUMBER('Raw Data'!Q276), IFERROR('Raw Data'!Q276 = ROUND('Raw Data'!Q276, 2),FALSE)),"",_xlfn.REGEXEXTRACT(CELL("address",Q276), "\$([A-Z]+)\$[0-9]+"))),_xlfn.REGEXEXTRACT(CELL("address",Q276), "\$([A-Z]+)\$[0-9]+"))</f>
        <v/>
      </c>
      <c r="R276" s="7" t="str" cm="1">
        <f t="array" aca="1" ref="R276" ca="1">IFERROR(IF(OR('Raw Data'!R276="",LEN(TRIM('Raw Data'!R276))=0),"",IF(AND(ISNUMBER('Raw Data'!R276), IFERROR('Raw Data'!R276 = ROUND('Raw Data'!R276, 2),FALSE)),"",_xlfn.REGEXEXTRACT(CELL("address",R276), "\$([A-Z]+)\$[0-9]+"))),_xlfn.REGEXEXTRACT(CELL("address",R276), "\$([A-Z]+)\$[0-9]+"))</f>
        <v/>
      </c>
      <c r="S276" s="7" t="str" cm="1">
        <f t="array" aca="1" ref="S276" ca="1">IFERROR(IF(OR('Raw Data'!S276="",LEN(TRIM('Raw Data'!S276))=0),"",IF(AND(ISNUMBER('Raw Data'!S276), IFERROR('Raw Data'!S276 = ROUND('Raw Data'!S276, 2),FALSE)),"",_xlfn.REGEXEXTRACT(CELL("address",S276), "\$([A-Z]+)\$[0-9]+"))),_xlfn.REGEXEXTRACT(CELL("address",S276), "\$([A-Z]+)\$[0-9]+"))</f>
        <v/>
      </c>
      <c r="T276" s="7" t="str" cm="1">
        <f t="array" aca="1" ref="T276" ca="1">IFERROR(IF(OR('Raw Data'!T276="",LEN(TRIM('Raw Data'!T276))=0),"",IF(AND(ISNUMBER('Raw Data'!T276), IFERROR('Raw Data'!T276 = ROUND('Raw Data'!T276, 2),FALSE)),"",_xlfn.REGEXEXTRACT(CELL("address",T276), "\$([A-Z]+)\$[0-9]+"))),_xlfn.REGEXEXTRACT(CELL("address",T276), "\$([A-Z]+)\$[0-9]+"))</f>
        <v/>
      </c>
      <c r="U276" s="7" t="str" cm="1">
        <f t="array" aca="1" ref="U276" ca="1">IFERROR(IF(OR('Raw Data'!U276="",LEN(TRIM('Raw Data'!U276))=0),"",IF(AND(ISNUMBER('Raw Data'!U276), IFERROR('Raw Data'!U276 = ROUND('Raw Data'!U276, 2),FALSE)),"",_xlfn.REGEXEXTRACT(CELL("address",U276), "\$([A-Z]+)\$[0-9]+"))),_xlfn.REGEXEXTRACT(CELL("address",U276), "\$([A-Z]+)\$[0-9]+"))</f>
        <v/>
      </c>
      <c r="V276" s="7" t="str" cm="1">
        <f t="array" aca="1" ref="V276" ca="1">IFERROR(IF(OR('Raw Data'!V276="",LEN(TRIM('Raw Data'!V276))=0),"",IF(AND(ISNUMBER('Raw Data'!V276), IFERROR('Raw Data'!V276 = ROUND('Raw Data'!V276, 2),FALSE)),"",_xlfn.REGEXEXTRACT(CELL("address",V276), "\$([A-Z]+)\$[0-9]+"))),_xlfn.REGEXEXTRACT(CELL("address",V276), "\$([A-Z]+)\$[0-9]+"))</f>
        <v/>
      </c>
      <c r="W276" s="7" t="str" cm="1">
        <f t="array" aca="1" ref="W276" ca="1">IFERROR(IF(OR('Raw Data'!W276="",LEN(TRIM('Raw Data'!W276))=0),"",IF(AND(ISNUMBER('Raw Data'!W276), IFERROR('Raw Data'!W276 = ROUND('Raw Data'!W276, 2),FALSE)),"",_xlfn.REGEXEXTRACT(CELL("address",W276), "\$([A-Z]+)\$[0-9]+"))),_xlfn.REGEXEXTRACT(CELL("address",W276), "\$([A-Z]+)\$[0-9]+"))</f>
        <v/>
      </c>
      <c r="X276" s="7" t="str" cm="1">
        <f t="array" aca="1" ref="X276" ca="1">IFERROR(IF(OR('Raw Data'!X276="",LEN(TRIM('Raw Data'!X276))=0),"",IF(AND(ISNUMBER('Raw Data'!X276), IFERROR('Raw Data'!X276 = ROUND('Raw Data'!X276, 2),FALSE)),"",_xlfn.REGEXEXTRACT(CELL("address",X276), "\$([A-Z]+)\$[0-9]+"))),_xlfn.REGEXEXTRACT(CELL("address",X276), "\$([A-Z]+)\$[0-9]+"))</f>
        <v/>
      </c>
      <c r="Y276" s="7" t="str" cm="1">
        <f t="array" aca="1" ref="Y276" ca="1">IFERROR(IF(OR('Raw Data'!Y276="",LEN(TRIM('Raw Data'!Y276))=0),"",IF(AND(ISNUMBER('Raw Data'!Y276), IFERROR('Raw Data'!Y276 = ROUND('Raw Data'!Y276, 2),FALSE)),"",_xlfn.REGEXEXTRACT(CELL("address",Y276), "\$([A-Z]+)\$[0-9]+"))),_xlfn.REGEXEXTRACT(CELL("address",Y276), "\$([A-Z]+)\$[0-9]+"))</f>
        <v/>
      </c>
      <c r="Z276" s="7" t="str" cm="1">
        <f t="array" aca="1" ref="Z276" ca="1">IFERROR(IF(OR('Raw Data'!Z276="",LEN(TRIM('Raw Data'!Z276))=0),"",IF(AND(ISNUMBER('Raw Data'!Z276), IFERROR('Raw Data'!Z276 = ROUND('Raw Data'!Z276, 2),FALSE)),"",_xlfn.REGEXEXTRACT(CELL("address",Z276), "\$([A-Z]+)\$[0-9]+"))),_xlfn.REGEXEXTRACT(CELL("address",Z276), "\$([A-Z]+)\$[0-9]+"))</f>
        <v/>
      </c>
      <c r="AA276" s="7" t="str" cm="1">
        <f t="array" aca="1" ref="AA276" ca="1">IFERROR(IF(OR('Raw Data'!AA276="",LEN(TRIM('Raw Data'!AA276))=0),"",IF(AND(ISNUMBER('Raw Data'!AA276), IFERROR('Raw Data'!AA276 = ROUND('Raw Data'!AA276, 2),FALSE)),"",_xlfn.REGEXEXTRACT(CELL("address",AA276), "\$([A-Z]+)\$[0-9]+"))),_xlfn.REGEXEXTRACT(CELL("address",AA276), "\$([A-Z]+)\$[0-9]+"))</f>
        <v/>
      </c>
      <c r="AB276" s="7" t="str" cm="1">
        <f t="array" aca="1" ref="AB276" ca="1">IFERROR(IF(OR('Raw Data'!AB276="",LEN(TRIM('Raw Data'!AB276))=0),"",IF(AND(ISNUMBER('Raw Data'!AB276), IFERROR('Raw Data'!AB276 = ROUND('Raw Data'!AB276, 2),FALSE)),"",_xlfn.REGEXEXTRACT(CELL("address",AB276), "\$([A-Z]+)\$[0-9]+"))),_xlfn.REGEXEXTRACT(CELL("address",AB276), "\$([A-Z]+)\$[0-9]+"))</f>
        <v/>
      </c>
      <c r="AC276" s="7" t="str" cm="1">
        <f t="array" aca="1" ref="AC276" ca="1">IFERROR(IF(OR('Raw Data'!AC276="",LEN(TRIM('Raw Data'!AC276))=0),"",IF(AND(ISNUMBER('Raw Data'!AC276), IFERROR('Raw Data'!AC276 = ROUND('Raw Data'!AC276, 2),FALSE)),"",_xlfn.REGEXEXTRACT(CELL("address",AC276), "\$([A-Z]+)\$[0-9]+"))),_xlfn.REGEXEXTRACT(CELL("address",AC276), "\$([A-Z]+)\$[0-9]+"))</f>
        <v/>
      </c>
      <c r="AD276" s="7" t="str" cm="1">
        <f t="array" aca="1" ref="AD276" ca="1">IFERROR(IF(OR('Raw Data'!AD276="",LEN(TRIM('Raw Data'!AD276))=0),"",IF(AND(ISNUMBER('Raw Data'!AD276), IFERROR('Raw Data'!AD276 = ROUND('Raw Data'!AD276, 2),FALSE)),"",_xlfn.REGEXEXTRACT(CELL("address",AD276), "\$([A-Z]+)\$[0-9]+"))),_xlfn.REGEXEXTRACT(CELL("address",AD276), "\$([A-Z]+)\$[0-9]+"))</f>
        <v/>
      </c>
      <c r="AE276" s="7" t="str" cm="1">
        <f t="array" aca="1" ref="AE276" ca="1">IFERROR(IF(OR('Raw Data'!AE276="",LEN(TRIM('Raw Data'!AE276))=0),"",IF(AND(ISNUMBER('Raw Data'!AE276), IFERROR('Raw Data'!AE276 = ROUND('Raw Data'!AE276, 2),FALSE)),"",_xlfn.REGEXEXTRACT(CELL("address",AE276), "\$([A-Z]+)\$[0-9]+"))),_xlfn.REGEXEXTRACT(CELL("address",AE276), "\$([A-Z]+)\$[0-9]+"))</f>
        <v/>
      </c>
      <c r="AF276" s="7" t="str" cm="1">
        <f t="array" aca="1" ref="AF276" ca="1">IFERROR(IF(OR('Raw Data'!AF276="",LEN(TRIM('Raw Data'!AF276))=0),"",IF(AND(ISNUMBER('Raw Data'!AF276), IFERROR('Raw Data'!AF276 = ROUND('Raw Data'!AF276, 2),FALSE)),"",_xlfn.REGEXEXTRACT(CELL("address",AF276), "\$([A-Z]+)\$[0-9]+"))),_xlfn.REGEXEXTRACT(CELL("address",AF276), "\$([A-Z]+)\$[0-9]+"))</f>
        <v/>
      </c>
      <c r="AG276" s="7" t="str" cm="1">
        <f t="array" aca="1" ref="AG276" ca="1">IFERROR(IF(OR('Raw Data'!AG276="",LEN(TRIM('Raw Data'!AG276))=0),"",IF(AND(ISNUMBER('Raw Data'!AG276), IFERROR('Raw Data'!AG276 = ROUND('Raw Data'!AG276, 2),FALSE)),"",_xlfn.REGEXEXTRACT(CELL("address",AG276), "\$([A-Z]+)\$[0-9]+"))),_xlfn.REGEXEXTRACT(CELL("address",AG276), "\$([A-Z]+)\$[0-9]+"))</f>
        <v/>
      </c>
      <c r="AH276" s="7" t="str" cm="1">
        <f t="array" aca="1" ref="AH276" ca="1">IFERROR(IF(OR('Raw Data'!AH276="",LEN(TRIM('Raw Data'!AH276))=0),"",IF(AND(ISNUMBER('Raw Data'!AH276), IFERROR('Raw Data'!AH276 = ROUND('Raw Data'!AH276, 2),FALSE)),"",_xlfn.REGEXEXTRACT(CELL("address",AH276), "\$([A-Z]+)\$[0-9]+"))),_xlfn.REGEXEXTRACT(CELL("address",AH276), "\$([A-Z]+)\$[0-9]+"))</f>
        <v/>
      </c>
      <c r="AI276" s="7" t="str" cm="1">
        <f t="array" aca="1" ref="AI276" ca="1">IFERROR(IF(OR('Raw Data'!AI276="",LEN(TRIM('Raw Data'!AI276))=0),"",IF(AND(ISNUMBER('Raw Data'!AI276), IFERROR('Raw Data'!AI276 = ROUND('Raw Data'!AI276, 2),FALSE)),"",_xlfn.REGEXEXTRACT(CELL("address",AI276), "\$([A-Z]+)\$[0-9]+"))),_xlfn.REGEXEXTRACT(CELL("address",AI276), "\$([A-Z]+)\$[0-9]+"))</f>
        <v/>
      </c>
      <c r="AJ276" s="7" t="str" cm="1">
        <f t="array" aca="1" ref="AJ276" ca="1">IFERROR(IF(OR('Raw Data'!AJ276="",LEN(TRIM('Raw Data'!AJ276))=0),"",IF(AND(ISNUMBER('Raw Data'!AJ276), IFERROR('Raw Data'!AJ276 = ROUND('Raw Data'!AJ276, 2),FALSE)),"",_xlfn.REGEXEXTRACT(CELL("address",AJ276), "\$([A-Z]+)\$[0-9]+"))),_xlfn.REGEXEXTRACT(CELL("address",AJ276), "\$([A-Z]+)\$[0-9]+"))</f>
        <v/>
      </c>
    </row>
    <row r="277" spans="2:36" x14ac:dyDescent="0.25">
      <c r="B277" s="7" t="str" cm="1">
        <f t="array" aca="1" ref="B277" ca="1">IFERROR(IF(OR('Raw Data'!B277="",LEN(TRIM('Raw Data'!B277))=0),"",IF(AND(LEN('Raw Data'!B277) &lt;= 255,LEN('Raw Data'!B277)&gt; 0),"",_xlfn.REGEXEXTRACT(CELL("address",'Raw Data'!B277),"\$([A-Z]+)\$[0-9]+"))),_xlfn.REGEXEXTRACT(CELL("address",'Raw Data'!B277),"\$([A-Z]+)\$[0-9]+"))</f>
        <v/>
      </c>
      <c r="C277" s="7" t="str" cm="1">
        <f t="array" aca="1" ref="C277" ca="1">IFERROR(IF(OR('Raw Data'!C277="",LEN(TRIM('Raw Data'!C277))=0),"",IF(AND(LEN('Raw Data'!C277) &lt;= 20,LEN('Raw Data'!C277)&gt; 0),"",_xlfn.REGEXEXTRACT(CELL("address",'Raw Data'!C277),"\$([A-Z]+)\$[0-9]+"))),_xlfn.REGEXEXTRACT(CELL("address",'Raw Data'!C277),"\$([A-Z]+)\$[0-9]+"))</f>
        <v/>
      </c>
      <c r="D277" s="7" t="str" cm="1">
        <f t="array" aca="1" ref="D277" ca="1">IFERROR(IF(OR('Raw Data'!D277="",LEN(TRIM('Raw Data'!D277))=0),"",IF(AND(ISNUMBER('Raw Data'!D277),'Raw Data'!D277&gt;=Configuration!$D$2),"",_xlfn.REGEXEXTRACT(CELL("address",'Raw Data'!D277),"\$([A-Z]+)\$[0-9]+"))),_xlfn.REGEXEXTRACT(CELL("address",D277), "\$([A-Z]+)\$[0-9]+"))</f>
        <v/>
      </c>
      <c r="E277" s="7" t="str" cm="1">
        <f t="array" aca="1" ref="E277" ca="1">IFERROR(IF(OR('Raw Data'!E277="",LEN(TRIM('Raw Data'!E277))=0),"",IF(AND(ISNUMBER('Raw Data'!E277), IFERROR('Raw Data'!E277 = ROUND('Raw Data'!E277, 2),FALSE)),"",_xlfn.REGEXEXTRACT(CELL("address",E277), "\$([A-Z]+)\$[0-9]+"))),_xlfn.REGEXEXTRACT(CELL("address",E277), "\$([A-Z]+)\$[0-9]+"))</f>
        <v/>
      </c>
      <c r="F277" s="7" t="str" cm="1">
        <f t="array" aca="1" ref="F277" ca="1">IFERROR(IF(OR('Raw Data'!F277="",LEN(TRIM('Raw Data'!F277))=0),"",IF(AND(ISNUMBER('Raw Data'!F277), IFERROR('Raw Data'!F277 = ROUND('Raw Data'!F277, 2),FALSE)),"",_xlfn.REGEXEXTRACT(CELL("address",F277), "\$([A-Z]+)\$[0-9]+"))),_xlfn.REGEXEXTRACT(CELL("address",F277), "\$([A-Z]+)\$[0-9]+"))</f>
        <v/>
      </c>
      <c r="G277" s="7" t="str" cm="1">
        <f t="array" aca="1" ref="G277" ca="1">IFERROR(IF(OR('Raw Data'!G277="",LEN(TRIM('Raw Data'!G277))=0),"",IF(AND(ISNUMBER('Raw Data'!G277), IFERROR('Raw Data'!G277 = ROUND('Raw Data'!G277, 2),FALSE)),"",_xlfn.REGEXEXTRACT(CELL("address",G277), "\$([A-Z]+)\$[0-9]+"))),_xlfn.REGEXEXTRACT(CELL("address",G277), "\$([A-Z]+)\$[0-9]+"))</f>
        <v/>
      </c>
      <c r="H277" s="7" t="str" cm="1">
        <f t="array" aca="1" ref="H277" ca="1">IFERROR(IF(OR('Raw Data'!H277="",LEN(TRIM('Raw Data'!H277))=0),"",IF(AND(ISNUMBER('Raw Data'!H277), IFERROR('Raw Data'!H277 = ROUND('Raw Data'!H277, 2),FALSE)),"",_xlfn.REGEXEXTRACT(CELL("address",H277), "\$([A-Z]+)\$[0-9]+"))),_xlfn.REGEXEXTRACT(CELL("address",H277), "\$([A-Z]+)\$[0-9]+"))</f>
        <v/>
      </c>
      <c r="I277" s="7" t="str" cm="1">
        <f t="array" aca="1" ref="I277" ca="1">IFERROR(IF(OR('Raw Data'!I277="",LEN(TRIM('Raw Data'!I277))=0),"",IF(AND(ISNUMBER('Raw Data'!I277), IFERROR('Raw Data'!I277 = ROUND('Raw Data'!I277, 2),FALSE)),"",_xlfn.REGEXEXTRACT(CELL("address",I277), "\$([A-Z]+)\$[0-9]+"))),_xlfn.REGEXEXTRACT(CELL("address",I277), "\$([A-Z]+)\$[0-9]+"))</f>
        <v/>
      </c>
      <c r="J277" s="7" t="str" cm="1">
        <f t="array" aca="1" ref="J277" ca="1">IFERROR(IF(OR('Raw Data'!J277="",LEN(TRIM('Raw Data'!J277))=0),"",IF(AND(ISNUMBER('Raw Data'!J277), IFERROR('Raw Data'!J277 = ROUND('Raw Data'!J277, 2),FALSE)),"",_xlfn.REGEXEXTRACT(CELL("address",J277), "\$([A-Z]+)\$[0-9]+"))),_xlfn.REGEXEXTRACT(CELL("address",J277), "\$([A-Z]+)\$[0-9]+"))</f>
        <v/>
      </c>
      <c r="K277" s="7" t="str" cm="1">
        <f t="array" aca="1" ref="K277" ca="1">IFERROR(IF(OR('Raw Data'!K277="",LEN(TRIM('Raw Data'!K277))=0),"",IF(AND(ISNUMBER('Raw Data'!K277), IFERROR('Raw Data'!K277 = ROUND('Raw Data'!K277, 2),FALSE)),"",_xlfn.REGEXEXTRACT(CELL("address",K277), "\$([A-Z]+)\$[0-9]+"))),_xlfn.REGEXEXTRACT(CELL("address",K277), "\$([A-Z]+)\$[0-9]+"))</f>
        <v/>
      </c>
      <c r="L277" s="7" t="str" cm="1">
        <f t="array" aca="1" ref="L277" ca="1">IFERROR(IF(OR('Raw Data'!L277="",LEN(TRIM('Raw Data'!L277))=0),"",IF(AND(ISNUMBER('Raw Data'!L277), IFERROR('Raw Data'!L277 = ROUND('Raw Data'!L277, 2),FALSE)),"",_xlfn.REGEXEXTRACT(CELL("address",L277), "\$([A-Z]+)\$[0-9]+"))),_xlfn.REGEXEXTRACT(CELL("address",L277), "\$([A-Z]+)\$[0-9]+"))</f>
        <v/>
      </c>
      <c r="M277" s="7" t="str" cm="1">
        <f t="array" aca="1" ref="M277" ca="1">IFERROR(IF(OR('Raw Data'!M277="",LEN(TRIM('Raw Data'!M277))=0),"",IF(AND(ISNUMBER('Raw Data'!M277), IFERROR('Raw Data'!M277 = ROUND('Raw Data'!M277, 2),FALSE)),"",_xlfn.REGEXEXTRACT(CELL("address",M277), "\$([A-Z]+)\$[0-9]+"))),_xlfn.REGEXEXTRACT(CELL("address",M277), "\$([A-Z]+)\$[0-9]+"))</f>
        <v/>
      </c>
      <c r="N277" s="7" t="str" cm="1">
        <f t="array" aca="1" ref="N277" ca="1">IFERROR(IF(OR('Raw Data'!N277="",LEN(TRIM('Raw Data'!N277))=0),"",IF(AND(ISNUMBER('Raw Data'!N277), IFERROR('Raw Data'!N277 = ROUND('Raw Data'!N277, 2),FALSE)),"",_xlfn.REGEXEXTRACT(CELL("address",N277), "\$([A-Z]+)\$[0-9]+"))),_xlfn.REGEXEXTRACT(CELL("address",N277), "\$([A-Z]+)\$[0-9]+"))</f>
        <v/>
      </c>
      <c r="O277" s="7" t="str" cm="1">
        <f t="array" aca="1" ref="O277" ca="1">IFERROR(IF(OR('Raw Data'!O277="",LEN(TRIM('Raw Data'!O277))=0),"",IF(AND(ISNUMBER('Raw Data'!O277), IFERROR('Raw Data'!O277 = ROUND('Raw Data'!O277, 2),FALSE)),"",_xlfn.REGEXEXTRACT(CELL("address",O277), "\$([A-Z]+)\$[0-9]+"))),_xlfn.REGEXEXTRACT(CELL("address",O277), "\$([A-Z]+)\$[0-9]+"))</f>
        <v/>
      </c>
      <c r="P277" s="7" t="str" cm="1">
        <f t="array" aca="1" ref="P277" ca="1">IFERROR(IF(OR('Raw Data'!P277="",LEN(TRIM('Raw Data'!P277))=0),"",IF(AND(ISNUMBER('Raw Data'!P277), IFERROR('Raw Data'!P277 = ROUND('Raw Data'!P277, 2),FALSE)),"",_xlfn.REGEXEXTRACT(CELL("address",P277), "\$([A-Z]+)\$[0-9]+"))),_xlfn.REGEXEXTRACT(CELL("address",P277), "\$([A-Z]+)\$[0-9]+"))</f>
        <v/>
      </c>
      <c r="Q277" s="7" t="str" cm="1">
        <f t="array" aca="1" ref="Q277" ca="1">IFERROR(IF(OR('Raw Data'!Q277="",LEN(TRIM('Raw Data'!Q277))=0),"",IF(AND(ISNUMBER('Raw Data'!Q277), IFERROR('Raw Data'!Q277 = ROUND('Raw Data'!Q277, 2),FALSE)),"",_xlfn.REGEXEXTRACT(CELL("address",Q277), "\$([A-Z]+)\$[0-9]+"))),_xlfn.REGEXEXTRACT(CELL("address",Q277), "\$([A-Z]+)\$[0-9]+"))</f>
        <v/>
      </c>
      <c r="R277" s="7" t="str" cm="1">
        <f t="array" aca="1" ref="R277" ca="1">IFERROR(IF(OR('Raw Data'!R277="",LEN(TRIM('Raw Data'!R277))=0),"",IF(AND(ISNUMBER('Raw Data'!R277), IFERROR('Raw Data'!R277 = ROUND('Raw Data'!R277, 2),FALSE)),"",_xlfn.REGEXEXTRACT(CELL("address",R277), "\$([A-Z]+)\$[0-9]+"))),_xlfn.REGEXEXTRACT(CELL("address",R277), "\$([A-Z]+)\$[0-9]+"))</f>
        <v/>
      </c>
      <c r="S277" s="7" t="str" cm="1">
        <f t="array" aca="1" ref="S277" ca="1">IFERROR(IF(OR('Raw Data'!S277="",LEN(TRIM('Raw Data'!S277))=0),"",IF(AND(ISNUMBER('Raw Data'!S277), IFERROR('Raw Data'!S277 = ROUND('Raw Data'!S277, 2),FALSE)),"",_xlfn.REGEXEXTRACT(CELL("address",S277), "\$([A-Z]+)\$[0-9]+"))),_xlfn.REGEXEXTRACT(CELL("address",S277), "\$([A-Z]+)\$[0-9]+"))</f>
        <v/>
      </c>
      <c r="T277" s="7" t="str" cm="1">
        <f t="array" aca="1" ref="T277" ca="1">IFERROR(IF(OR('Raw Data'!T277="",LEN(TRIM('Raw Data'!T277))=0),"",IF(AND(ISNUMBER('Raw Data'!T277), IFERROR('Raw Data'!T277 = ROUND('Raw Data'!T277, 2),FALSE)),"",_xlfn.REGEXEXTRACT(CELL("address",T277), "\$([A-Z]+)\$[0-9]+"))),_xlfn.REGEXEXTRACT(CELL("address",T277), "\$([A-Z]+)\$[0-9]+"))</f>
        <v/>
      </c>
      <c r="U277" s="7" t="str" cm="1">
        <f t="array" aca="1" ref="U277" ca="1">IFERROR(IF(OR('Raw Data'!U277="",LEN(TRIM('Raw Data'!U277))=0),"",IF(AND(ISNUMBER('Raw Data'!U277), IFERROR('Raw Data'!U277 = ROUND('Raw Data'!U277, 2),FALSE)),"",_xlfn.REGEXEXTRACT(CELL("address",U277), "\$([A-Z]+)\$[0-9]+"))),_xlfn.REGEXEXTRACT(CELL("address",U277), "\$([A-Z]+)\$[0-9]+"))</f>
        <v/>
      </c>
      <c r="V277" s="7" t="str" cm="1">
        <f t="array" aca="1" ref="V277" ca="1">IFERROR(IF(OR('Raw Data'!V277="",LEN(TRIM('Raw Data'!V277))=0),"",IF(AND(ISNUMBER('Raw Data'!V277), IFERROR('Raw Data'!V277 = ROUND('Raw Data'!V277, 2),FALSE)),"",_xlfn.REGEXEXTRACT(CELL("address",V277), "\$([A-Z]+)\$[0-9]+"))),_xlfn.REGEXEXTRACT(CELL("address",V277), "\$([A-Z]+)\$[0-9]+"))</f>
        <v/>
      </c>
      <c r="W277" s="7" t="str" cm="1">
        <f t="array" aca="1" ref="W277" ca="1">IFERROR(IF(OR('Raw Data'!W277="",LEN(TRIM('Raw Data'!W277))=0),"",IF(AND(ISNUMBER('Raw Data'!W277), IFERROR('Raw Data'!W277 = ROUND('Raw Data'!W277, 2),FALSE)),"",_xlfn.REGEXEXTRACT(CELL("address",W277), "\$([A-Z]+)\$[0-9]+"))),_xlfn.REGEXEXTRACT(CELL("address",W277), "\$([A-Z]+)\$[0-9]+"))</f>
        <v/>
      </c>
      <c r="X277" s="7" t="str" cm="1">
        <f t="array" aca="1" ref="X277" ca="1">IFERROR(IF(OR('Raw Data'!X277="",LEN(TRIM('Raw Data'!X277))=0),"",IF(AND(ISNUMBER('Raw Data'!X277), IFERROR('Raw Data'!X277 = ROUND('Raw Data'!X277, 2),FALSE)),"",_xlfn.REGEXEXTRACT(CELL("address",X277), "\$([A-Z]+)\$[0-9]+"))),_xlfn.REGEXEXTRACT(CELL("address",X277), "\$([A-Z]+)\$[0-9]+"))</f>
        <v/>
      </c>
      <c r="Y277" s="7" t="str" cm="1">
        <f t="array" aca="1" ref="Y277" ca="1">IFERROR(IF(OR('Raw Data'!Y277="",LEN(TRIM('Raw Data'!Y277))=0),"",IF(AND(ISNUMBER('Raw Data'!Y277), IFERROR('Raw Data'!Y277 = ROUND('Raw Data'!Y277, 2),FALSE)),"",_xlfn.REGEXEXTRACT(CELL("address",Y277), "\$([A-Z]+)\$[0-9]+"))),_xlfn.REGEXEXTRACT(CELL("address",Y277), "\$([A-Z]+)\$[0-9]+"))</f>
        <v/>
      </c>
      <c r="Z277" s="7" t="str" cm="1">
        <f t="array" aca="1" ref="Z277" ca="1">IFERROR(IF(OR('Raw Data'!Z277="",LEN(TRIM('Raw Data'!Z277))=0),"",IF(AND(ISNUMBER('Raw Data'!Z277), IFERROR('Raw Data'!Z277 = ROUND('Raw Data'!Z277, 2),FALSE)),"",_xlfn.REGEXEXTRACT(CELL("address",Z277), "\$([A-Z]+)\$[0-9]+"))),_xlfn.REGEXEXTRACT(CELL("address",Z277), "\$([A-Z]+)\$[0-9]+"))</f>
        <v/>
      </c>
      <c r="AA277" s="7" t="str" cm="1">
        <f t="array" aca="1" ref="AA277" ca="1">IFERROR(IF(OR('Raw Data'!AA277="",LEN(TRIM('Raw Data'!AA277))=0),"",IF(AND(ISNUMBER('Raw Data'!AA277), IFERROR('Raw Data'!AA277 = ROUND('Raw Data'!AA277, 2),FALSE)),"",_xlfn.REGEXEXTRACT(CELL("address",AA277), "\$([A-Z]+)\$[0-9]+"))),_xlfn.REGEXEXTRACT(CELL("address",AA277), "\$([A-Z]+)\$[0-9]+"))</f>
        <v/>
      </c>
      <c r="AB277" s="7" t="str" cm="1">
        <f t="array" aca="1" ref="AB277" ca="1">IFERROR(IF(OR('Raw Data'!AB277="",LEN(TRIM('Raw Data'!AB277))=0),"",IF(AND(ISNUMBER('Raw Data'!AB277), IFERROR('Raw Data'!AB277 = ROUND('Raw Data'!AB277, 2),FALSE)),"",_xlfn.REGEXEXTRACT(CELL("address",AB277), "\$([A-Z]+)\$[0-9]+"))),_xlfn.REGEXEXTRACT(CELL("address",AB277), "\$([A-Z]+)\$[0-9]+"))</f>
        <v/>
      </c>
      <c r="AC277" s="7" t="str" cm="1">
        <f t="array" aca="1" ref="AC277" ca="1">IFERROR(IF(OR('Raw Data'!AC277="",LEN(TRIM('Raw Data'!AC277))=0),"",IF(AND(ISNUMBER('Raw Data'!AC277), IFERROR('Raw Data'!AC277 = ROUND('Raw Data'!AC277, 2),FALSE)),"",_xlfn.REGEXEXTRACT(CELL("address",AC277), "\$([A-Z]+)\$[0-9]+"))),_xlfn.REGEXEXTRACT(CELL("address",AC277), "\$([A-Z]+)\$[0-9]+"))</f>
        <v/>
      </c>
      <c r="AD277" s="7" t="str" cm="1">
        <f t="array" aca="1" ref="AD277" ca="1">IFERROR(IF(OR('Raw Data'!AD277="",LEN(TRIM('Raw Data'!AD277))=0),"",IF(AND(ISNUMBER('Raw Data'!AD277), IFERROR('Raw Data'!AD277 = ROUND('Raw Data'!AD277, 2),FALSE)),"",_xlfn.REGEXEXTRACT(CELL("address",AD277), "\$([A-Z]+)\$[0-9]+"))),_xlfn.REGEXEXTRACT(CELL("address",AD277), "\$([A-Z]+)\$[0-9]+"))</f>
        <v/>
      </c>
      <c r="AE277" s="7" t="str" cm="1">
        <f t="array" aca="1" ref="AE277" ca="1">IFERROR(IF(OR('Raw Data'!AE277="",LEN(TRIM('Raw Data'!AE277))=0),"",IF(AND(ISNUMBER('Raw Data'!AE277), IFERROR('Raw Data'!AE277 = ROUND('Raw Data'!AE277, 2),FALSE)),"",_xlfn.REGEXEXTRACT(CELL("address",AE277), "\$([A-Z]+)\$[0-9]+"))),_xlfn.REGEXEXTRACT(CELL("address",AE277), "\$([A-Z]+)\$[0-9]+"))</f>
        <v/>
      </c>
      <c r="AF277" s="7" t="str" cm="1">
        <f t="array" aca="1" ref="AF277" ca="1">IFERROR(IF(OR('Raw Data'!AF277="",LEN(TRIM('Raw Data'!AF277))=0),"",IF(AND(ISNUMBER('Raw Data'!AF277), IFERROR('Raw Data'!AF277 = ROUND('Raw Data'!AF277, 2),FALSE)),"",_xlfn.REGEXEXTRACT(CELL("address",AF277), "\$([A-Z]+)\$[0-9]+"))),_xlfn.REGEXEXTRACT(CELL("address",AF277), "\$([A-Z]+)\$[0-9]+"))</f>
        <v/>
      </c>
      <c r="AG277" s="7" t="str" cm="1">
        <f t="array" aca="1" ref="AG277" ca="1">IFERROR(IF(OR('Raw Data'!AG277="",LEN(TRIM('Raw Data'!AG277))=0),"",IF(AND(ISNUMBER('Raw Data'!AG277), IFERROR('Raw Data'!AG277 = ROUND('Raw Data'!AG277, 2),FALSE)),"",_xlfn.REGEXEXTRACT(CELL("address",AG277), "\$([A-Z]+)\$[0-9]+"))),_xlfn.REGEXEXTRACT(CELL("address",AG277), "\$([A-Z]+)\$[0-9]+"))</f>
        <v/>
      </c>
      <c r="AH277" s="7" t="str" cm="1">
        <f t="array" aca="1" ref="AH277" ca="1">IFERROR(IF(OR('Raw Data'!AH277="",LEN(TRIM('Raw Data'!AH277))=0),"",IF(AND(ISNUMBER('Raw Data'!AH277), IFERROR('Raw Data'!AH277 = ROUND('Raw Data'!AH277, 2),FALSE)),"",_xlfn.REGEXEXTRACT(CELL("address",AH277), "\$([A-Z]+)\$[0-9]+"))),_xlfn.REGEXEXTRACT(CELL("address",AH277), "\$([A-Z]+)\$[0-9]+"))</f>
        <v/>
      </c>
      <c r="AI277" s="7" t="str" cm="1">
        <f t="array" aca="1" ref="AI277" ca="1">IFERROR(IF(OR('Raw Data'!AI277="",LEN(TRIM('Raw Data'!AI277))=0),"",IF(AND(ISNUMBER('Raw Data'!AI277), IFERROR('Raw Data'!AI277 = ROUND('Raw Data'!AI277, 2),FALSE)),"",_xlfn.REGEXEXTRACT(CELL("address",AI277), "\$([A-Z]+)\$[0-9]+"))),_xlfn.REGEXEXTRACT(CELL("address",AI277), "\$([A-Z]+)\$[0-9]+"))</f>
        <v/>
      </c>
      <c r="AJ277" s="7" t="str" cm="1">
        <f t="array" aca="1" ref="AJ277" ca="1">IFERROR(IF(OR('Raw Data'!AJ277="",LEN(TRIM('Raw Data'!AJ277))=0),"",IF(AND(ISNUMBER('Raw Data'!AJ277), IFERROR('Raw Data'!AJ277 = ROUND('Raw Data'!AJ277, 2),FALSE)),"",_xlfn.REGEXEXTRACT(CELL("address",AJ277), "\$([A-Z]+)\$[0-9]+"))),_xlfn.REGEXEXTRACT(CELL("address",AJ277), "\$([A-Z]+)\$[0-9]+"))</f>
        <v/>
      </c>
    </row>
    <row r="278" spans="2:36" x14ac:dyDescent="0.25">
      <c r="B278" s="7" t="str" cm="1">
        <f t="array" aca="1" ref="B278" ca="1">IFERROR(IF(OR('Raw Data'!B278="",LEN(TRIM('Raw Data'!B278))=0),"",IF(AND(LEN('Raw Data'!B278) &lt;= 255,LEN('Raw Data'!B278)&gt; 0),"",_xlfn.REGEXEXTRACT(CELL("address",'Raw Data'!B278),"\$([A-Z]+)\$[0-9]+"))),_xlfn.REGEXEXTRACT(CELL("address",'Raw Data'!B278),"\$([A-Z]+)\$[0-9]+"))</f>
        <v/>
      </c>
      <c r="C278" s="7" t="str" cm="1">
        <f t="array" aca="1" ref="C278" ca="1">IFERROR(IF(OR('Raw Data'!C278="",LEN(TRIM('Raw Data'!C278))=0),"",IF(AND(LEN('Raw Data'!C278) &lt;= 20,LEN('Raw Data'!C278)&gt; 0),"",_xlfn.REGEXEXTRACT(CELL("address",'Raw Data'!C278),"\$([A-Z]+)\$[0-9]+"))),_xlfn.REGEXEXTRACT(CELL("address",'Raw Data'!C278),"\$([A-Z]+)\$[0-9]+"))</f>
        <v/>
      </c>
      <c r="D278" s="7" t="str" cm="1">
        <f t="array" aca="1" ref="D278" ca="1">IFERROR(IF(OR('Raw Data'!D278="",LEN(TRIM('Raw Data'!D278))=0),"",IF(AND(ISNUMBER('Raw Data'!D278),'Raw Data'!D278&gt;=Configuration!$D$2),"",_xlfn.REGEXEXTRACT(CELL("address",'Raw Data'!D278),"\$([A-Z]+)\$[0-9]+"))),_xlfn.REGEXEXTRACT(CELL("address",D278), "\$([A-Z]+)\$[0-9]+"))</f>
        <v/>
      </c>
      <c r="E278" s="7" t="str" cm="1">
        <f t="array" aca="1" ref="E278" ca="1">IFERROR(IF(OR('Raw Data'!E278="",LEN(TRIM('Raw Data'!E278))=0),"",IF(AND(ISNUMBER('Raw Data'!E278), IFERROR('Raw Data'!E278 = ROUND('Raw Data'!E278, 2),FALSE)),"",_xlfn.REGEXEXTRACT(CELL("address",E278), "\$([A-Z]+)\$[0-9]+"))),_xlfn.REGEXEXTRACT(CELL("address",E278), "\$([A-Z]+)\$[0-9]+"))</f>
        <v/>
      </c>
      <c r="F278" s="7" t="str" cm="1">
        <f t="array" aca="1" ref="F278" ca="1">IFERROR(IF(OR('Raw Data'!F278="",LEN(TRIM('Raw Data'!F278))=0),"",IF(AND(ISNUMBER('Raw Data'!F278), IFERROR('Raw Data'!F278 = ROUND('Raw Data'!F278, 2),FALSE)),"",_xlfn.REGEXEXTRACT(CELL("address",F278), "\$([A-Z]+)\$[0-9]+"))),_xlfn.REGEXEXTRACT(CELL("address",F278), "\$([A-Z]+)\$[0-9]+"))</f>
        <v/>
      </c>
      <c r="G278" s="7" t="str" cm="1">
        <f t="array" aca="1" ref="G278" ca="1">IFERROR(IF(OR('Raw Data'!G278="",LEN(TRIM('Raw Data'!G278))=0),"",IF(AND(ISNUMBER('Raw Data'!G278), IFERROR('Raw Data'!G278 = ROUND('Raw Data'!G278, 2),FALSE)),"",_xlfn.REGEXEXTRACT(CELL("address",G278), "\$([A-Z]+)\$[0-9]+"))),_xlfn.REGEXEXTRACT(CELL("address",G278), "\$([A-Z]+)\$[0-9]+"))</f>
        <v/>
      </c>
      <c r="H278" s="7" t="str" cm="1">
        <f t="array" aca="1" ref="H278" ca="1">IFERROR(IF(OR('Raw Data'!H278="",LEN(TRIM('Raw Data'!H278))=0),"",IF(AND(ISNUMBER('Raw Data'!H278), IFERROR('Raw Data'!H278 = ROUND('Raw Data'!H278, 2),FALSE)),"",_xlfn.REGEXEXTRACT(CELL("address",H278), "\$([A-Z]+)\$[0-9]+"))),_xlfn.REGEXEXTRACT(CELL("address",H278), "\$([A-Z]+)\$[0-9]+"))</f>
        <v/>
      </c>
      <c r="I278" s="7" t="str" cm="1">
        <f t="array" aca="1" ref="I278" ca="1">IFERROR(IF(OR('Raw Data'!I278="",LEN(TRIM('Raw Data'!I278))=0),"",IF(AND(ISNUMBER('Raw Data'!I278), IFERROR('Raw Data'!I278 = ROUND('Raw Data'!I278, 2),FALSE)),"",_xlfn.REGEXEXTRACT(CELL("address",I278), "\$([A-Z]+)\$[0-9]+"))),_xlfn.REGEXEXTRACT(CELL("address",I278), "\$([A-Z]+)\$[0-9]+"))</f>
        <v/>
      </c>
      <c r="J278" s="7" t="str" cm="1">
        <f t="array" aca="1" ref="J278" ca="1">IFERROR(IF(OR('Raw Data'!J278="",LEN(TRIM('Raw Data'!J278))=0),"",IF(AND(ISNUMBER('Raw Data'!J278), IFERROR('Raw Data'!J278 = ROUND('Raw Data'!J278, 2),FALSE)),"",_xlfn.REGEXEXTRACT(CELL("address",J278), "\$([A-Z]+)\$[0-9]+"))),_xlfn.REGEXEXTRACT(CELL("address",J278), "\$([A-Z]+)\$[0-9]+"))</f>
        <v/>
      </c>
      <c r="K278" s="7" t="str" cm="1">
        <f t="array" aca="1" ref="K278" ca="1">IFERROR(IF(OR('Raw Data'!K278="",LEN(TRIM('Raw Data'!K278))=0),"",IF(AND(ISNUMBER('Raw Data'!K278), IFERROR('Raw Data'!K278 = ROUND('Raw Data'!K278, 2),FALSE)),"",_xlfn.REGEXEXTRACT(CELL("address",K278), "\$([A-Z]+)\$[0-9]+"))),_xlfn.REGEXEXTRACT(CELL("address",K278), "\$([A-Z]+)\$[0-9]+"))</f>
        <v/>
      </c>
      <c r="L278" s="7" t="str" cm="1">
        <f t="array" aca="1" ref="L278" ca="1">IFERROR(IF(OR('Raw Data'!L278="",LEN(TRIM('Raw Data'!L278))=0),"",IF(AND(ISNUMBER('Raw Data'!L278), IFERROR('Raw Data'!L278 = ROUND('Raw Data'!L278, 2),FALSE)),"",_xlfn.REGEXEXTRACT(CELL("address",L278), "\$([A-Z]+)\$[0-9]+"))),_xlfn.REGEXEXTRACT(CELL("address",L278), "\$([A-Z]+)\$[0-9]+"))</f>
        <v/>
      </c>
      <c r="M278" s="7" t="str" cm="1">
        <f t="array" aca="1" ref="M278" ca="1">IFERROR(IF(OR('Raw Data'!M278="",LEN(TRIM('Raw Data'!M278))=0),"",IF(AND(ISNUMBER('Raw Data'!M278), IFERROR('Raw Data'!M278 = ROUND('Raw Data'!M278, 2),FALSE)),"",_xlfn.REGEXEXTRACT(CELL("address",M278), "\$([A-Z]+)\$[0-9]+"))),_xlfn.REGEXEXTRACT(CELL("address",M278), "\$([A-Z]+)\$[0-9]+"))</f>
        <v/>
      </c>
      <c r="N278" s="7" t="str" cm="1">
        <f t="array" aca="1" ref="N278" ca="1">IFERROR(IF(OR('Raw Data'!N278="",LEN(TRIM('Raw Data'!N278))=0),"",IF(AND(ISNUMBER('Raw Data'!N278), IFERROR('Raw Data'!N278 = ROUND('Raw Data'!N278, 2),FALSE)),"",_xlfn.REGEXEXTRACT(CELL("address",N278), "\$([A-Z]+)\$[0-9]+"))),_xlfn.REGEXEXTRACT(CELL("address",N278), "\$([A-Z]+)\$[0-9]+"))</f>
        <v/>
      </c>
      <c r="O278" s="7" t="str" cm="1">
        <f t="array" aca="1" ref="O278" ca="1">IFERROR(IF(OR('Raw Data'!O278="",LEN(TRIM('Raw Data'!O278))=0),"",IF(AND(ISNUMBER('Raw Data'!O278), IFERROR('Raw Data'!O278 = ROUND('Raw Data'!O278, 2),FALSE)),"",_xlfn.REGEXEXTRACT(CELL("address",O278), "\$([A-Z]+)\$[0-9]+"))),_xlfn.REGEXEXTRACT(CELL("address",O278), "\$([A-Z]+)\$[0-9]+"))</f>
        <v/>
      </c>
      <c r="P278" s="7" t="str" cm="1">
        <f t="array" aca="1" ref="P278" ca="1">IFERROR(IF(OR('Raw Data'!P278="",LEN(TRIM('Raw Data'!P278))=0),"",IF(AND(ISNUMBER('Raw Data'!P278), IFERROR('Raw Data'!P278 = ROUND('Raw Data'!P278, 2),FALSE)),"",_xlfn.REGEXEXTRACT(CELL("address",P278), "\$([A-Z]+)\$[0-9]+"))),_xlfn.REGEXEXTRACT(CELL("address",P278), "\$([A-Z]+)\$[0-9]+"))</f>
        <v/>
      </c>
      <c r="Q278" s="7" t="str" cm="1">
        <f t="array" aca="1" ref="Q278" ca="1">IFERROR(IF(OR('Raw Data'!Q278="",LEN(TRIM('Raw Data'!Q278))=0),"",IF(AND(ISNUMBER('Raw Data'!Q278), IFERROR('Raw Data'!Q278 = ROUND('Raw Data'!Q278, 2),FALSE)),"",_xlfn.REGEXEXTRACT(CELL("address",Q278), "\$([A-Z]+)\$[0-9]+"))),_xlfn.REGEXEXTRACT(CELL("address",Q278), "\$([A-Z]+)\$[0-9]+"))</f>
        <v/>
      </c>
      <c r="R278" s="7" t="str" cm="1">
        <f t="array" aca="1" ref="R278" ca="1">IFERROR(IF(OR('Raw Data'!R278="",LEN(TRIM('Raw Data'!R278))=0),"",IF(AND(ISNUMBER('Raw Data'!R278), IFERROR('Raw Data'!R278 = ROUND('Raw Data'!R278, 2),FALSE)),"",_xlfn.REGEXEXTRACT(CELL("address",R278), "\$([A-Z]+)\$[0-9]+"))),_xlfn.REGEXEXTRACT(CELL("address",R278), "\$([A-Z]+)\$[0-9]+"))</f>
        <v/>
      </c>
      <c r="S278" s="7" t="str" cm="1">
        <f t="array" aca="1" ref="S278" ca="1">IFERROR(IF(OR('Raw Data'!S278="",LEN(TRIM('Raw Data'!S278))=0),"",IF(AND(ISNUMBER('Raw Data'!S278), IFERROR('Raw Data'!S278 = ROUND('Raw Data'!S278, 2),FALSE)),"",_xlfn.REGEXEXTRACT(CELL("address",S278), "\$([A-Z]+)\$[0-9]+"))),_xlfn.REGEXEXTRACT(CELL("address",S278), "\$([A-Z]+)\$[0-9]+"))</f>
        <v/>
      </c>
      <c r="T278" s="7" t="str" cm="1">
        <f t="array" aca="1" ref="T278" ca="1">IFERROR(IF(OR('Raw Data'!T278="",LEN(TRIM('Raw Data'!T278))=0),"",IF(AND(ISNUMBER('Raw Data'!T278), IFERROR('Raw Data'!T278 = ROUND('Raw Data'!T278, 2),FALSE)),"",_xlfn.REGEXEXTRACT(CELL("address",T278), "\$([A-Z]+)\$[0-9]+"))),_xlfn.REGEXEXTRACT(CELL("address",T278), "\$([A-Z]+)\$[0-9]+"))</f>
        <v/>
      </c>
      <c r="U278" s="7" t="str" cm="1">
        <f t="array" aca="1" ref="U278" ca="1">IFERROR(IF(OR('Raw Data'!U278="",LEN(TRIM('Raw Data'!U278))=0),"",IF(AND(ISNUMBER('Raw Data'!U278), IFERROR('Raw Data'!U278 = ROUND('Raw Data'!U278, 2),FALSE)),"",_xlfn.REGEXEXTRACT(CELL("address",U278), "\$([A-Z]+)\$[0-9]+"))),_xlfn.REGEXEXTRACT(CELL("address",U278), "\$([A-Z]+)\$[0-9]+"))</f>
        <v/>
      </c>
      <c r="V278" s="7" t="str" cm="1">
        <f t="array" aca="1" ref="V278" ca="1">IFERROR(IF(OR('Raw Data'!V278="",LEN(TRIM('Raw Data'!V278))=0),"",IF(AND(ISNUMBER('Raw Data'!V278), IFERROR('Raw Data'!V278 = ROUND('Raw Data'!V278, 2),FALSE)),"",_xlfn.REGEXEXTRACT(CELL("address",V278), "\$([A-Z]+)\$[0-9]+"))),_xlfn.REGEXEXTRACT(CELL("address",V278), "\$([A-Z]+)\$[0-9]+"))</f>
        <v/>
      </c>
      <c r="W278" s="7" t="str" cm="1">
        <f t="array" aca="1" ref="W278" ca="1">IFERROR(IF(OR('Raw Data'!W278="",LEN(TRIM('Raw Data'!W278))=0),"",IF(AND(ISNUMBER('Raw Data'!W278), IFERROR('Raw Data'!W278 = ROUND('Raw Data'!W278, 2),FALSE)),"",_xlfn.REGEXEXTRACT(CELL("address",W278), "\$([A-Z]+)\$[0-9]+"))),_xlfn.REGEXEXTRACT(CELL("address",W278), "\$([A-Z]+)\$[0-9]+"))</f>
        <v/>
      </c>
      <c r="X278" s="7" t="str" cm="1">
        <f t="array" aca="1" ref="X278" ca="1">IFERROR(IF(OR('Raw Data'!X278="",LEN(TRIM('Raw Data'!X278))=0),"",IF(AND(ISNUMBER('Raw Data'!X278), IFERROR('Raw Data'!X278 = ROUND('Raw Data'!X278, 2),FALSE)),"",_xlfn.REGEXEXTRACT(CELL("address",X278), "\$([A-Z]+)\$[0-9]+"))),_xlfn.REGEXEXTRACT(CELL("address",X278), "\$([A-Z]+)\$[0-9]+"))</f>
        <v/>
      </c>
      <c r="Y278" s="7" t="str" cm="1">
        <f t="array" aca="1" ref="Y278" ca="1">IFERROR(IF(OR('Raw Data'!Y278="",LEN(TRIM('Raw Data'!Y278))=0),"",IF(AND(ISNUMBER('Raw Data'!Y278), IFERROR('Raw Data'!Y278 = ROUND('Raw Data'!Y278, 2),FALSE)),"",_xlfn.REGEXEXTRACT(CELL("address",Y278), "\$([A-Z]+)\$[0-9]+"))),_xlfn.REGEXEXTRACT(CELL("address",Y278), "\$([A-Z]+)\$[0-9]+"))</f>
        <v/>
      </c>
      <c r="Z278" s="7" t="str" cm="1">
        <f t="array" aca="1" ref="Z278" ca="1">IFERROR(IF(OR('Raw Data'!Z278="",LEN(TRIM('Raw Data'!Z278))=0),"",IF(AND(ISNUMBER('Raw Data'!Z278), IFERROR('Raw Data'!Z278 = ROUND('Raw Data'!Z278, 2),FALSE)),"",_xlfn.REGEXEXTRACT(CELL("address",Z278), "\$([A-Z]+)\$[0-9]+"))),_xlfn.REGEXEXTRACT(CELL("address",Z278), "\$([A-Z]+)\$[0-9]+"))</f>
        <v/>
      </c>
      <c r="AA278" s="7" t="str" cm="1">
        <f t="array" aca="1" ref="AA278" ca="1">IFERROR(IF(OR('Raw Data'!AA278="",LEN(TRIM('Raw Data'!AA278))=0),"",IF(AND(ISNUMBER('Raw Data'!AA278), IFERROR('Raw Data'!AA278 = ROUND('Raw Data'!AA278, 2),FALSE)),"",_xlfn.REGEXEXTRACT(CELL("address",AA278), "\$([A-Z]+)\$[0-9]+"))),_xlfn.REGEXEXTRACT(CELL("address",AA278), "\$([A-Z]+)\$[0-9]+"))</f>
        <v/>
      </c>
      <c r="AB278" s="7" t="str" cm="1">
        <f t="array" aca="1" ref="AB278" ca="1">IFERROR(IF(OR('Raw Data'!AB278="",LEN(TRIM('Raw Data'!AB278))=0),"",IF(AND(ISNUMBER('Raw Data'!AB278), IFERROR('Raw Data'!AB278 = ROUND('Raw Data'!AB278, 2),FALSE)),"",_xlfn.REGEXEXTRACT(CELL("address",AB278), "\$([A-Z]+)\$[0-9]+"))),_xlfn.REGEXEXTRACT(CELL("address",AB278), "\$([A-Z]+)\$[0-9]+"))</f>
        <v/>
      </c>
      <c r="AC278" s="7" t="str" cm="1">
        <f t="array" aca="1" ref="AC278" ca="1">IFERROR(IF(OR('Raw Data'!AC278="",LEN(TRIM('Raw Data'!AC278))=0),"",IF(AND(ISNUMBER('Raw Data'!AC278), IFERROR('Raw Data'!AC278 = ROUND('Raw Data'!AC278, 2),FALSE)),"",_xlfn.REGEXEXTRACT(CELL("address",AC278), "\$([A-Z]+)\$[0-9]+"))),_xlfn.REGEXEXTRACT(CELL("address",AC278), "\$([A-Z]+)\$[0-9]+"))</f>
        <v/>
      </c>
      <c r="AD278" s="7" t="str" cm="1">
        <f t="array" aca="1" ref="AD278" ca="1">IFERROR(IF(OR('Raw Data'!AD278="",LEN(TRIM('Raw Data'!AD278))=0),"",IF(AND(ISNUMBER('Raw Data'!AD278), IFERROR('Raw Data'!AD278 = ROUND('Raw Data'!AD278, 2),FALSE)),"",_xlfn.REGEXEXTRACT(CELL("address",AD278), "\$([A-Z]+)\$[0-9]+"))),_xlfn.REGEXEXTRACT(CELL("address",AD278), "\$([A-Z]+)\$[0-9]+"))</f>
        <v/>
      </c>
      <c r="AE278" s="7" t="str" cm="1">
        <f t="array" aca="1" ref="AE278" ca="1">IFERROR(IF(OR('Raw Data'!AE278="",LEN(TRIM('Raw Data'!AE278))=0),"",IF(AND(ISNUMBER('Raw Data'!AE278), IFERROR('Raw Data'!AE278 = ROUND('Raw Data'!AE278, 2),FALSE)),"",_xlfn.REGEXEXTRACT(CELL("address",AE278), "\$([A-Z]+)\$[0-9]+"))),_xlfn.REGEXEXTRACT(CELL("address",AE278), "\$([A-Z]+)\$[0-9]+"))</f>
        <v/>
      </c>
      <c r="AF278" s="7" t="str" cm="1">
        <f t="array" aca="1" ref="AF278" ca="1">IFERROR(IF(OR('Raw Data'!AF278="",LEN(TRIM('Raw Data'!AF278))=0),"",IF(AND(ISNUMBER('Raw Data'!AF278), IFERROR('Raw Data'!AF278 = ROUND('Raw Data'!AF278, 2),FALSE)),"",_xlfn.REGEXEXTRACT(CELL("address",AF278), "\$([A-Z]+)\$[0-9]+"))),_xlfn.REGEXEXTRACT(CELL("address",AF278), "\$([A-Z]+)\$[0-9]+"))</f>
        <v/>
      </c>
      <c r="AG278" s="7" t="str" cm="1">
        <f t="array" aca="1" ref="AG278" ca="1">IFERROR(IF(OR('Raw Data'!AG278="",LEN(TRIM('Raw Data'!AG278))=0),"",IF(AND(ISNUMBER('Raw Data'!AG278), IFERROR('Raw Data'!AG278 = ROUND('Raw Data'!AG278, 2),FALSE)),"",_xlfn.REGEXEXTRACT(CELL("address",AG278), "\$([A-Z]+)\$[0-9]+"))),_xlfn.REGEXEXTRACT(CELL("address",AG278), "\$([A-Z]+)\$[0-9]+"))</f>
        <v/>
      </c>
      <c r="AH278" s="7" t="str" cm="1">
        <f t="array" aca="1" ref="AH278" ca="1">IFERROR(IF(OR('Raw Data'!AH278="",LEN(TRIM('Raw Data'!AH278))=0),"",IF(AND(ISNUMBER('Raw Data'!AH278), IFERROR('Raw Data'!AH278 = ROUND('Raw Data'!AH278, 2),FALSE)),"",_xlfn.REGEXEXTRACT(CELL("address",AH278), "\$([A-Z]+)\$[0-9]+"))),_xlfn.REGEXEXTRACT(CELL("address",AH278), "\$([A-Z]+)\$[0-9]+"))</f>
        <v/>
      </c>
      <c r="AI278" s="7" t="str" cm="1">
        <f t="array" aca="1" ref="AI278" ca="1">IFERROR(IF(OR('Raw Data'!AI278="",LEN(TRIM('Raw Data'!AI278))=0),"",IF(AND(ISNUMBER('Raw Data'!AI278), IFERROR('Raw Data'!AI278 = ROUND('Raw Data'!AI278, 2),FALSE)),"",_xlfn.REGEXEXTRACT(CELL("address",AI278), "\$([A-Z]+)\$[0-9]+"))),_xlfn.REGEXEXTRACT(CELL("address",AI278), "\$([A-Z]+)\$[0-9]+"))</f>
        <v/>
      </c>
      <c r="AJ278" s="7" t="str" cm="1">
        <f t="array" aca="1" ref="AJ278" ca="1">IFERROR(IF(OR('Raw Data'!AJ278="",LEN(TRIM('Raw Data'!AJ278))=0),"",IF(AND(ISNUMBER('Raw Data'!AJ278), IFERROR('Raw Data'!AJ278 = ROUND('Raw Data'!AJ278, 2),FALSE)),"",_xlfn.REGEXEXTRACT(CELL("address",AJ278), "\$([A-Z]+)\$[0-9]+"))),_xlfn.REGEXEXTRACT(CELL("address",AJ278), "\$([A-Z]+)\$[0-9]+"))</f>
        <v/>
      </c>
    </row>
    <row r="279" spans="2:36" x14ac:dyDescent="0.25">
      <c r="B279" s="7" t="str" cm="1">
        <f t="array" aca="1" ref="B279" ca="1">IFERROR(IF(OR('Raw Data'!B279="",LEN(TRIM('Raw Data'!B279))=0),"",IF(AND(LEN('Raw Data'!B279) &lt;= 255,LEN('Raw Data'!B279)&gt; 0),"",_xlfn.REGEXEXTRACT(CELL("address",'Raw Data'!B279),"\$([A-Z]+)\$[0-9]+"))),_xlfn.REGEXEXTRACT(CELL("address",'Raw Data'!B279),"\$([A-Z]+)\$[0-9]+"))</f>
        <v/>
      </c>
      <c r="C279" s="7" t="str" cm="1">
        <f t="array" aca="1" ref="C279" ca="1">IFERROR(IF(OR('Raw Data'!C279="",LEN(TRIM('Raw Data'!C279))=0),"",IF(AND(LEN('Raw Data'!C279) &lt;= 20,LEN('Raw Data'!C279)&gt; 0),"",_xlfn.REGEXEXTRACT(CELL("address",'Raw Data'!C279),"\$([A-Z]+)\$[0-9]+"))),_xlfn.REGEXEXTRACT(CELL("address",'Raw Data'!C279),"\$([A-Z]+)\$[0-9]+"))</f>
        <v/>
      </c>
      <c r="D279" s="7" t="str" cm="1">
        <f t="array" aca="1" ref="D279" ca="1">IFERROR(IF(OR('Raw Data'!D279="",LEN(TRIM('Raw Data'!D279))=0),"",IF(AND(ISNUMBER('Raw Data'!D279),'Raw Data'!D279&gt;=Configuration!$D$2),"",_xlfn.REGEXEXTRACT(CELL("address",'Raw Data'!D279),"\$([A-Z]+)\$[0-9]+"))),_xlfn.REGEXEXTRACT(CELL("address",D279), "\$([A-Z]+)\$[0-9]+"))</f>
        <v/>
      </c>
      <c r="E279" s="7" t="str" cm="1">
        <f t="array" aca="1" ref="E279" ca="1">IFERROR(IF(OR('Raw Data'!E279="",LEN(TRIM('Raw Data'!E279))=0),"",IF(AND(ISNUMBER('Raw Data'!E279), IFERROR('Raw Data'!E279 = ROUND('Raw Data'!E279, 2),FALSE)),"",_xlfn.REGEXEXTRACT(CELL("address",E279), "\$([A-Z]+)\$[0-9]+"))),_xlfn.REGEXEXTRACT(CELL("address",E279), "\$([A-Z]+)\$[0-9]+"))</f>
        <v/>
      </c>
      <c r="F279" s="7" t="str" cm="1">
        <f t="array" aca="1" ref="F279" ca="1">IFERROR(IF(OR('Raw Data'!F279="",LEN(TRIM('Raw Data'!F279))=0),"",IF(AND(ISNUMBER('Raw Data'!F279), IFERROR('Raw Data'!F279 = ROUND('Raw Data'!F279, 2),FALSE)),"",_xlfn.REGEXEXTRACT(CELL("address",F279), "\$([A-Z]+)\$[0-9]+"))),_xlfn.REGEXEXTRACT(CELL("address",F279), "\$([A-Z]+)\$[0-9]+"))</f>
        <v/>
      </c>
      <c r="G279" s="7" t="str" cm="1">
        <f t="array" aca="1" ref="G279" ca="1">IFERROR(IF(OR('Raw Data'!G279="",LEN(TRIM('Raw Data'!G279))=0),"",IF(AND(ISNUMBER('Raw Data'!G279), IFERROR('Raw Data'!G279 = ROUND('Raw Data'!G279, 2),FALSE)),"",_xlfn.REGEXEXTRACT(CELL("address",G279), "\$([A-Z]+)\$[0-9]+"))),_xlfn.REGEXEXTRACT(CELL("address",G279), "\$([A-Z]+)\$[0-9]+"))</f>
        <v/>
      </c>
      <c r="H279" s="7" t="str" cm="1">
        <f t="array" aca="1" ref="H279" ca="1">IFERROR(IF(OR('Raw Data'!H279="",LEN(TRIM('Raw Data'!H279))=0),"",IF(AND(ISNUMBER('Raw Data'!H279), IFERROR('Raw Data'!H279 = ROUND('Raw Data'!H279, 2),FALSE)),"",_xlfn.REGEXEXTRACT(CELL("address",H279), "\$([A-Z]+)\$[0-9]+"))),_xlfn.REGEXEXTRACT(CELL("address",H279), "\$([A-Z]+)\$[0-9]+"))</f>
        <v/>
      </c>
      <c r="I279" s="7" t="str" cm="1">
        <f t="array" aca="1" ref="I279" ca="1">IFERROR(IF(OR('Raw Data'!I279="",LEN(TRIM('Raw Data'!I279))=0),"",IF(AND(ISNUMBER('Raw Data'!I279), IFERROR('Raw Data'!I279 = ROUND('Raw Data'!I279, 2),FALSE)),"",_xlfn.REGEXEXTRACT(CELL("address",I279), "\$([A-Z]+)\$[0-9]+"))),_xlfn.REGEXEXTRACT(CELL("address",I279), "\$([A-Z]+)\$[0-9]+"))</f>
        <v/>
      </c>
      <c r="J279" s="7" t="str" cm="1">
        <f t="array" aca="1" ref="J279" ca="1">IFERROR(IF(OR('Raw Data'!J279="",LEN(TRIM('Raw Data'!J279))=0),"",IF(AND(ISNUMBER('Raw Data'!J279), IFERROR('Raw Data'!J279 = ROUND('Raw Data'!J279, 2),FALSE)),"",_xlfn.REGEXEXTRACT(CELL("address",J279), "\$([A-Z]+)\$[0-9]+"))),_xlfn.REGEXEXTRACT(CELL("address",J279), "\$([A-Z]+)\$[0-9]+"))</f>
        <v/>
      </c>
      <c r="K279" s="7" t="str" cm="1">
        <f t="array" aca="1" ref="K279" ca="1">IFERROR(IF(OR('Raw Data'!K279="",LEN(TRIM('Raw Data'!K279))=0),"",IF(AND(ISNUMBER('Raw Data'!K279), IFERROR('Raw Data'!K279 = ROUND('Raw Data'!K279, 2),FALSE)),"",_xlfn.REGEXEXTRACT(CELL("address",K279), "\$([A-Z]+)\$[0-9]+"))),_xlfn.REGEXEXTRACT(CELL("address",K279), "\$([A-Z]+)\$[0-9]+"))</f>
        <v/>
      </c>
      <c r="L279" s="7" t="str" cm="1">
        <f t="array" aca="1" ref="L279" ca="1">IFERROR(IF(OR('Raw Data'!L279="",LEN(TRIM('Raw Data'!L279))=0),"",IF(AND(ISNUMBER('Raw Data'!L279), IFERROR('Raw Data'!L279 = ROUND('Raw Data'!L279, 2),FALSE)),"",_xlfn.REGEXEXTRACT(CELL("address",L279), "\$([A-Z]+)\$[0-9]+"))),_xlfn.REGEXEXTRACT(CELL("address",L279), "\$([A-Z]+)\$[0-9]+"))</f>
        <v/>
      </c>
      <c r="M279" s="7" t="str" cm="1">
        <f t="array" aca="1" ref="M279" ca="1">IFERROR(IF(OR('Raw Data'!M279="",LEN(TRIM('Raw Data'!M279))=0),"",IF(AND(ISNUMBER('Raw Data'!M279), IFERROR('Raw Data'!M279 = ROUND('Raw Data'!M279, 2),FALSE)),"",_xlfn.REGEXEXTRACT(CELL("address",M279), "\$([A-Z]+)\$[0-9]+"))),_xlfn.REGEXEXTRACT(CELL("address",M279), "\$([A-Z]+)\$[0-9]+"))</f>
        <v/>
      </c>
      <c r="N279" s="7" t="str" cm="1">
        <f t="array" aca="1" ref="N279" ca="1">IFERROR(IF(OR('Raw Data'!N279="",LEN(TRIM('Raw Data'!N279))=0),"",IF(AND(ISNUMBER('Raw Data'!N279), IFERROR('Raw Data'!N279 = ROUND('Raw Data'!N279, 2),FALSE)),"",_xlfn.REGEXEXTRACT(CELL("address",N279), "\$([A-Z]+)\$[0-9]+"))),_xlfn.REGEXEXTRACT(CELL("address",N279), "\$([A-Z]+)\$[0-9]+"))</f>
        <v/>
      </c>
      <c r="O279" s="7" t="str" cm="1">
        <f t="array" aca="1" ref="O279" ca="1">IFERROR(IF(OR('Raw Data'!O279="",LEN(TRIM('Raw Data'!O279))=0),"",IF(AND(ISNUMBER('Raw Data'!O279), IFERROR('Raw Data'!O279 = ROUND('Raw Data'!O279, 2),FALSE)),"",_xlfn.REGEXEXTRACT(CELL("address",O279), "\$([A-Z]+)\$[0-9]+"))),_xlfn.REGEXEXTRACT(CELL("address",O279), "\$([A-Z]+)\$[0-9]+"))</f>
        <v/>
      </c>
      <c r="P279" s="7" t="str" cm="1">
        <f t="array" aca="1" ref="P279" ca="1">IFERROR(IF(OR('Raw Data'!P279="",LEN(TRIM('Raw Data'!P279))=0),"",IF(AND(ISNUMBER('Raw Data'!P279), IFERROR('Raw Data'!P279 = ROUND('Raw Data'!P279, 2),FALSE)),"",_xlfn.REGEXEXTRACT(CELL("address",P279), "\$([A-Z]+)\$[0-9]+"))),_xlfn.REGEXEXTRACT(CELL("address",P279), "\$([A-Z]+)\$[0-9]+"))</f>
        <v/>
      </c>
      <c r="Q279" s="7" t="str" cm="1">
        <f t="array" aca="1" ref="Q279" ca="1">IFERROR(IF(OR('Raw Data'!Q279="",LEN(TRIM('Raw Data'!Q279))=0),"",IF(AND(ISNUMBER('Raw Data'!Q279), IFERROR('Raw Data'!Q279 = ROUND('Raw Data'!Q279, 2),FALSE)),"",_xlfn.REGEXEXTRACT(CELL("address",Q279), "\$([A-Z]+)\$[0-9]+"))),_xlfn.REGEXEXTRACT(CELL("address",Q279), "\$([A-Z]+)\$[0-9]+"))</f>
        <v/>
      </c>
      <c r="R279" s="7" t="str" cm="1">
        <f t="array" aca="1" ref="R279" ca="1">IFERROR(IF(OR('Raw Data'!R279="",LEN(TRIM('Raw Data'!R279))=0),"",IF(AND(ISNUMBER('Raw Data'!R279), IFERROR('Raw Data'!R279 = ROUND('Raw Data'!R279, 2),FALSE)),"",_xlfn.REGEXEXTRACT(CELL("address",R279), "\$([A-Z]+)\$[0-9]+"))),_xlfn.REGEXEXTRACT(CELL("address",R279), "\$([A-Z]+)\$[0-9]+"))</f>
        <v/>
      </c>
      <c r="S279" s="7" t="str" cm="1">
        <f t="array" aca="1" ref="S279" ca="1">IFERROR(IF(OR('Raw Data'!S279="",LEN(TRIM('Raw Data'!S279))=0),"",IF(AND(ISNUMBER('Raw Data'!S279), IFERROR('Raw Data'!S279 = ROUND('Raw Data'!S279, 2),FALSE)),"",_xlfn.REGEXEXTRACT(CELL("address",S279), "\$([A-Z]+)\$[0-9]+"))),_xlfn.REGEXEXTRACT(CELL("address",S279), "\$([A-Z]+)\$[0-9]+"))</f>
        <v/>
      </c>
      <c r="T279" s="7" t="str" cm="1">
        <f t="array" aca="1" ref="T279" ca="1">IFERROR(IF(OR('Raw Data'!T279="",LEN(TRIM('Raw Data'!T279))=0),"",IF(AND(ISNUMBER('Raw Data'!T279), IFERROR('Raw Data'!T279 = ROUND('Raw Data'!T279, 2),FALSE)),"",_xlfn.REGEXEXTRACT(CELL("address",T279), "\$([A-Z]+)\$[0-9]+"))),_xlfn.REGEXEXTRACT(CELL("address",T279), "\$([A-Z]+)\$[0-9]+"))</f>
        <v/>
      </c>
      <c r="U279" s="7" t="str" cm="1">
        <f t="array" aca="1" ref="U279" ca="1">IFERROR(IF(OR('Raw Data'!U279="",LEN(TRIM('Raw Data'!U279))=0),"",IF(AND(ISNUMBER('Raw Data'!U279), IFERROR('Raw Data'!U279 = ROUND('Raw Data'!U279, 2),FALSE)),"",_xlfn.REGEXEXTRACT(CELL("address",U279), "\$([A-Z]+)\$[0-9]+"))),_xlfn.REGEXEXTRACT(CELL("address",U279), "\$([A-Z]+)\$[0-9]+"))</f>
        <v/>
      </c>
      <c r="V279" s="7" t="str" cm="1">
        <f t="array" aca="1" ref="V279" ca="1">IFERROR(IF(OR('Raw Data'!V279="",LEN(TRIM('Raw Data'!V279))=0),"",IF(AND(ISNUMBER('Raw Data'!V279), IFERROR('Raw Data'!V279 = ROUND('Raw Data'!V279, 2),FALSE)),"",_xlfn.REGEXEXTRACT(CELL("address",V279), "\$([A-Z]+)\$[0-9]+"))),_xlfn.REGEXEXTRACT(CELL("address",V279), "\$([A-Z]+)\$[0-9]+"))</f>
        <v/>
      </c>
      <c r="W279" s="7" t="str" cm="1">
        <f t="array" aca="1" ref="W279" ca="1">IFERROR(IF(OR('Raw Data'!W279="",LEN(TRIM('Raw Data'!W279))=0),"",IF(AND(ISNUMBER('Raw Data'!W279), IFERROR('Raw Data'!W279 = ROUND('Raw Data'!W279, 2),FALSE)),"",_xlfn.REGEXEXTRACT(CELL("address",W279), "\$([A-Z]+)\$[0-9]+"))),_xlfn.REGEXEXTRACT(CELL("address",W279), "\$([A-Z]+)\$[0-9]+"))</f>
        <v/>
      </c>
      <c r="X279" s="7" t="str" cm="1">
        <f t="array" aca="1" ref="X279" ca="1">IFERROR(IF(OR('Raw Data'!X279="",LEN(TRIM('Raw Data'!X279))=0),"",IF(AND(ISNUMBER('Raw Data'!X279), IFERROR('Raw Data'!X279 = ROUND('Raw Data'!X279, 2),FALSE)),"",_xlfn.REGEXEXTRACT(CELL("address",X279), "\$([A-Z]+)\$[0-9]+"))),_xlfn.REGEXEXTRACT(CELL("address",X279), "\$([A-Z]+)\$[0-9]+"))</f>
        <v/>
      </c>
      <c r="Y279" s="7" t="str" cm="1">
        <f t="array" aca="1" ref="Y279" ca="1">IFERROR(IF(OR('Raw Data'!Y279="",LEN(TRIM('Raw Data'!Y279))=0),"",IF(AND(ISNUMBER('Raw Data'!Y279), IFERROR('Raw Data'!Y279 = ROUND('Raw Data'!Y279, 2),FALSE)),"",_xlfn.REGEXEXTRACT(CELL("address",Y279), "\$([A-Z]+)\$[0-9]+"))),_xlfn.REGEXEXTRACT(CELL("address",Y279), "\$([A-Z]+)\$[0-9]+"))</f>
        <v/>
      </c>
      <c r="Z279" s="7" t="str" cm="1">
        <f t="array" aca="1" ref="Z279" ca="1">IFERROR(IF(OR('Raw Data'!Z279="",LEN(TRIM('Raw Data'!Z279))=0),"",IF(AND(ISNUMBER('Raw Data'!Z279), IFERROR('Raw Data'!Z279 = ROUND('Raw Data'!Z279, 2),FALSE)),"",_xlfn.REGEXEXTRACT(CELL("address",Z279), "\$([A-Z]+)\$[0-9]+"))),_xlfn.REGEXEXTRACT(CELL("address",Z279), "\$([A-Z]+)\$[0-9]+"))</f>
        <v/>
      </c>
      <c r="AA279" s="7" t="str" cm="1">
        <f t="array" aca="1" ref="AA279" ca="1">IFERROR(IF(OR('Raw Data'!AA279="",LEN(TRIM('Raw Data'!AA279))=0),"",IF(AND(ISNUMBER('Raw Data'!AA279), IFERROR('Raw Data'!AA279 = ROUND('Raw Data'!AA279, 2),FALSE)),"",_xlfn.REGEXEXTRACT(CELL("address",AA279), "\$([A-Z]+)\$[0-9]+"))),_xlfn.REGEXEXTRACT(CELL("address",AA279), "\$([A-Z]+)\$[0-9]+"))</f>
        <v/>
      </c>
      <c r="AB279" s="7" t="str" cm="1">
        <f t="array" aca="1" ref="AB279" ca="1">IFERROR(IF(OR('Raw Data'!AB279="",LEN(TRIM('Raw Data'!AB279))=0),"",IF(AND(ISNUMBER('Raw Data'!AB279), IFERROR('Raw Data'!AB279 = ROUND('Raw Data'!AB279, 2),FALSE)),"",_xlfn.REGEXEXTRACT(CELL("address",AB279), "\$([A-Z]+)\$[0-9]+"))),_xlfn.REGEXEXTRACT(CELL("address",AB279), "\$([A-Z]+)\$[0-9]+"))</f>
        <v/>
      </c>
      <c r="AC279" s="7" t="str" cm="1">
        <f t="array" aca="1" ref="AC279" ca="1">IFERROR(IF(OR('Raw Data'!AC279="",LEN(TRIM('Raw Data'!AC279))=0),"",IF(AND(ISNUMBER('Raw Data'!AC279), IFERROR('Raw Data'!AC279 = ROUND('Raw Data'!AC279, 2),FALSE)),"",_xlfn.REGEXEXTRACT(CELL("address",AC279), "\$([A-Z]+)\$[0-9]+"))),_xlfn.REGEXEXTRACT(CELL("address",AC279), "\$([A-Z]+)\$[0-9]+"))</f>
        <v/>
      </c>
      <c r="AD279" s="7" t="str" cm="1">
        <f t="array" aca="1" ref="AD279" ca="1">IFERROR(IF(OR('Raw Data'!AD279="",LEN(TRIM('Raw Data'!AD279))=0),"",IF(AND(ISNUMBER('Raw Data'!AD279), IFERROR('Raw Data'!AD279 = ROUND('Raw Data'!AD279, 2),FALSE)),"",_xlfn.REGEXEXTRACT(CELL("address",AD279), "\$([A-Z]+)\$[0-9]+"))),_xlfn.REGEXEXTRACT(CELL("address",AD279), "\$([A-Z]+)\$[0-9]+"))</f>
        <v/>
      </c>
      <c r="AE279" s="7" t="str" cm="1">
        <f t="array" aca="1" ref="AE279" ca="1">IFERROR(IF(OR('Raw Data'!AE279="",LEN(TRIM('Raw Data'!AE279))=0),"",IF(AND(ISNUMBER('Raw Data'!AE279), IFERROR('Raw Data'!AE279 = ROUND('Raw Data'!AE279, 2),FALSE)),"",_xlfn.REGEXEXTRACT(CELL("address",AE279), "\$([A-Z]+)\$[0-9]+"))),_xlfn.REGEXEXTRACT(CELL("address",AE279), "\$([A-Z]+)\$[0-9]+"))</f>
        <v/>
      </c>
      <c r="AF279" s="7" t="str" cm="1">
        <f t="array" aca="1" ref="AF279" ca="1">IFERROR(IF(OR('Raw Data'!AF279="",LEN(TRIM('Raw Data'!AF279))=0),"",IF(AND(ISNUMBER('Raw Data'!AF279), IFERROR('Raw Data'!AF279 = ROUND('Raw Data'!AF279, 2),FALSE)),"",_xlfn.REGEXEXTRACT(CELL("address",AF279), "\$([A-Z]+)\$[0-9]+"))),_xlfn.REGEXEXTRACT(CELL("address",AF279), "\$([A-Z]+)\$[0-9]+"))</f>
        <v/>
      </c>
      <c r="AG279" s="7" t="str" cm="1">
        <f t="array" aca="1" ref="AG279" ca="1">IFERROR(IF(OR('Raw Data'!AG279="",LEN(TRIM('Raw Data'!AG279))=0),"",IF(AND(ISNUMBER('Raw Data'!AG279), IFERROR('Raw Data'!AG279 = ROUND('Raw Data'!AG279, 2),FALSE)),"",_xlfn.REGEXEXTRACT(CELL("address",AG279), "\$([A-Z]+)\$[0-9]+"))),_xlfn.REGEXEXTRACT(CELL("address",AG279), "\$([A-Z]+)\$[0-9]+"))</f>
        <v/>
      </c>
      <c r="AH279" s="7" t="str" cm="1">
        <f t="array" aca="1" ref="AH279" ca="1">IFERROR(IF(OR('Raw Data'!AH279="",LEN(TRIM('Raw Data'!AH279))=0),"",IF(AND(ISNUMBER('Raw Data'!AH279), IFERROR('Raw Data'!AH279 = ROUND('Raw Data'!AH279, 2),FALSE)),"",_xlfn.REGEXEXTRACT(CELL("address",AH279), "\$([A-Z]+)\$[0-9]+"))),_xlfn.REGEXEXTRACT(CELL("address",AH279), "\$([A-Z]+)\$[0-9]+"))</f>
        <v/>
      </c>
      <c r="AI279" s="7" t="str" cm="1">
        <f t="array" aca="1" ref="AI279" ca="1">IFERROR(IF(OR('Raw Data'!AI279="",LEN(TRIM('Raw Data'!AI279))=0),"",IF(AND(ISNUMBER('Raw Data'!AI279), IFERROR('Raw Data'!AI279 = ROUND('Raw Data'!AI279, 2),FALSE)),"",_xlfn.REGEXEXTRACT(CELL("address",AI279), "\$([A-Z]+)\$[0-9]+"))),_xlfn.REGEXEXTRACT(CELL("address",AI279), "\$([A-Z]+)\$[0-9]+"))</f>
        <v/>
      </c>
      <c r="AJ279" s="7" t="str" cm="1">
        <f t="array" aca="1" ref="AJ279" ca="1">IFERROR(IF(OR('Raw Data'!AJ279="",LEN(TRIM('Raw Data'!AJ279))=0),"",IF(AND(ISNUMBER('Raw Data'!AJ279), IFERROR('Raw Data'!AJ279 = ROUND('Raw Data'!AJ279, 2),FALSE)),"",_xlfn.REGEXEXTRACT(CELL("address",AJ279), "\$([A-Z]+)\$[0-9]+"))),_xlfn.REGEXEXTRACT(CELL("address",AJ279), "\$([A-Z]+)\$[0-9]+"))</f>
        <v/>
      </c>
    </row>
    <row r="280" spans="2:36" x14ac:dyDescent="0.25">
      <c r="B280" s="7" t="str" cm="1">
        <f t="array" aca="1" ref="B280" ca="1">IFERROR(IF(OR('Raw Data'!B280="",LEN(TRIM('Raw Data'!B280))=0),"",IF(AND(LEN('Raw Data'!B280) &lt;= 255,LEN('Raw Data'!B280)&gt; 0),"",_xlfn.REGEXEXTRACT(CELL("address",'Raw Data'!B280),"\$([A-Z]+)\$[0-9]+"))),_xlfn.REGEXEXTRACT(CELL("address",'Raw Data'!B280),"\$([A-Z]+)\$[0-9]+"))</f>
        <v/>
      </c>
      <c r="C280" s="7" t="str" cm="1">
        <f t="array" aca="1" ref="C280" ca="1">IFERROR(IF(OR('Raw Data'!C280="",LEN(TRIM('Raw Data'!C280))=0),"",IF(AND(LEN('Raw Data'!C280) &lt;= 20,LEN('Raw Data'!C280)&gt; 0),"",_xlfn.REGEXEXTRACT(CELL("address",'Raw Data'!C280),"\$([A-Z]+)\$[0-9]+"))),_xlfn.REGEXEXTRACT(CELL("address",'Raw Data'!C280),"\$([A-Z]+)\$[0-9]+"))</f>
        <v/>
      </c>
      <c r="D280" s="7" t="str" cm="1">
        <f t="array" aca="1" ref="D280" ca="1">IFERROR(IF(OR('Raw Data'!D280="",LEN(TRIM('Raw Data'!D280))=0),"",IF(AND(ISNUMBER('Raw Data'!D280),'Raw Data'!D280&gt;=Configuration!$D$2),"",_xlfn.REGEXEXTRACT(CELL("address",'Raw Data'!D280),"\$([A-Z]+)\$[0-9]+"))),_xlfn.REGEXEXTRACT(CELL("address",D280), "\$([A-Z]+)\$[0-9]+"))</f>
        <v/>
      </c>
      <c r="E280" s="7" t="str" cm="1">
        <f t="array" aca="1" ref="E280" ca="1">IFERROR(IF(OR('Raw Data'!E280="",LEN(TRIM('Raw Data'!E280))=0),"",IF(AND(ISNUMBER('Raw Data'!E280), IFERROR('Raw Data'!E280 = ROUND('Raw Data'!E280, 2),FALSE)),"",_xlfn.REGEXEXTRACT(CELL("address",E280), "\$([A-Z]+)\$[0-9]+"))),_xlfn.REGEXEXTRACT(CELL("address",E280), "\$([A-Z]+)\$[0-9]+"))</f>
        <v/>
      </c>
      <c r="F280" s="7" t="str" cm="1">
        <f t="array" aca="1" ref="F280" ca="1">IFERROR(IF(OR('Raw Data'!F280="",LEN(TRIM('Raw Data'!F280))=0),"",IF(AND(ISNUMBER('Raw Data'!F280), IFERROR('Raw Data'!F280 = ROUND('Raw Data'!F280, 2),FALSE)),"",_xlfn.REGEXEXTRACT(CELL("address",F280), "\$([A-Z]+)\$[0-9]+"))),_xlfn.REGEXEXTRACT(CELL("address",F280), "\$([A-Z]+)\$[0-9]+"))</f>
        <v/>
      </c>
      <c r="G280" s="7" t="str" cm="1">
        <f t="array" aca="1" ref="G280" ca="1">IFERROR(IF(OR('Raw Data'!G280="",LEN(TRIM('Raw Data'!G280))=0),"",IF(AND(ISNUMBER('Raw Data'!G280), IFERROR('Raw Data'!G280 = ROUND('Raw Data'!G280, 2),FALSE)),"",_xlfn.REGEXEXTRACT(CELL("address",G280), "\$([A-Z]+)\$[0-9]+"))),_xlfn.REGEXEXTRACT(CELL("address",G280), "\$([A-Z]+)\$[0-9]+"))</f>
        <v/>
      </c>
      <c r="H280" s="7" t="str" cm="1">
        <f t="array" aca="1" ref="H280" ca="1">IFERROR(IF(OR('Raw Data'!H280="",LEN(TRIM('Raw Data'!H280))=0),"",IF(AND(ISNUMBER('Raw Data'!H280), IFERROR('Raw Data'!H280 = ROUND('Raw Data'!H280, 2),FALSE)),"",_xlfn.REGEXEXTRACT(CELL("address",H280), "\$([A-Z]+)\$[0-9]+"))),_xlfn.REGEXEXTRACT(CELL("address",H280), "\$([A-Z]+)\$[0-9]+"))</f>
        <v/>
      </c>
      <c r="I280" s="7" t="str" cm="1">
        <f t="array" aca="1" ref="I280" ca="1">IFERROR(IF(OR('Raw Data'!I280="",LEN(TRIM('Raw Data'!I280))=0),"",IF(AND(ISNUMBER('Raw Data'!I280), IFERROR('Raw Data'!I280 = ROUND('Raw Data'!I280, 2),FALSE)),"",_xlfn.REGEXEXTRACT(CELL("address",I280), "\$([A-Z]+)\$[0-9]+"))),_xlfn.REGEXEXTRACT(CELL("address",I280), "\$([A-Z]+)\$[0-9]+"))</f>
        <v/>
      </c>
      <c r="J280" s="7" t="str" cm="1">
        <f t="array" aca="1" ref="J280" ca="1">IFERROR(IF(OR('Raw Data'!J280="",LEN(TRIM('Raw Data'!J280))=0),"",IF(AND(ISNUMBER('Raw Data'!J280), IFERROR('Raw Data'!J280 = ROUND('Raw Data'!J280, 2),FALSE)),"",_xlfn.REGEXEXTRACT(CELL("address",J280), "\$([A-Z]+)\$[0-9]+"))),_xlfn.REGEXEXTRACT(CELL("address",J280), "\$([A-Z]+)\$[0-9]+"))</f>
        <v/>
      </c>
      <c r="K280" s="7" t="str" cm="1">
        <f t="array" aca="1" ref="K280" ca="1">IFERROR(IF(OR('Raw Data'!K280="",LEN(TRIM('Raw Data'!K280))=0),"",IF(AND(ISNUMBER('Raw Data'!K280), IFERROR('Raw Data'!K280 = ROUND('Raw Data'!K280, 2),FALSE)),"",_xlfn.REGEXEXTRACT(CELL("address",K280), "\$([A-Z]+)\$[0-9]+"))),_xlfn.REGEXEXTRACT(CELL("address",K280), "\$([A-Z]+)\$[0-9]+"))</f>
        <v/>
      </c>
      <c r="L280" s="7" t="str" cm="1">
        <f t="array" aca="1" ref="L280" ca="1">IFERROR(IF(OR('Raw Data'!L280="",LEN(TRIM('Raw Data'!L280))=0),"",IF(AND(ISNUMBER('Raw Data'!L280), IFERROR('Raw Data'!L280 = ROUND('Raw Data'!L280, 2),FALSE)),"",_xlfn.REGEXEXTRACT(CELL("address",L280), "\$([A-Z]+)\$[0-9]+"))),_xlfn.REGEXEXTRACT(CELL("address",L280), "\$([A-Z]+)\$[0-9]+"))</f>
        <v/>
      </c>
      <c r="M280" s="7" t="str" cm="1">
        <f t="array" aca="1" ref="M280" ca="1">IFERROR(IF(OR('Raw Data'!M280="",LEN(TRIM('Raw Data'!M280))=0),"",IF(AND(ISNUMBER('Raw Data'!M280), IFERROR('Raw Data'!M280 = ROUND('Raw Data'!M280, 2),FALSE)),"",_xlfn.REGEXEXTRACT(CELL("address",M280), "\$([A-Z]+)\$[0-9]+"))),_xlfn.REGEXEXTRACT(CELL("address",M280), "\$([A-Z]+)\$[0-9]+"))</f>
        <v/>
      </c>
      <c r="N280" s="7" t="str" cm="1">
        <f t="array" aca="1" ref="N280" ca="1">IFERROR(IF(OR('Raw Data'!N280="",LEN(TRIM('Raw Data'!N280))=0),"",IF(AND(ISNUMBER('Raw Data'!N280), IFERROR('Raw Data'!N280 = ROUND('Raw Data'!N280, 2),FALSE)),"",_xlfn.REGEXEXTRACT(CELL("address",N280), "\$([A-Z]+)\$[0-9]+"))),_xlfn.REGEXEXTRACT(CELL("address",N280), "\$([A-Z]+)\$[0-9]+"))</f>
        <v/>
      </c>
      <c r="O280" s="7" t="str" cm="1">
        <f t="array" aca="1" ref="O280" ca="1">IFERROR(IF(OR('Raw Data'!O280="",LEN(TRIM('Raw Data'!O280))=0),"",IF(AND(ISNUMBER('Raw Data'!O280), IFERROR('Raw Data'!O280 = ROUND('Raw Data'!O280, 2),FALSE)),"",_xlfn.REGEXEXTRACT(CELL("address",O280), "\$([A-Z]+)\$[0-9]+"))),_xlfn.REGEXEXTRACT(CELL("address",O280), "\$([A-Z]+)\$[0-9]+"))</f>
        <v/>
      </c>
      <c r="P280" s="7" t="str" cm="1">
        <f t="array" aca="1" ref="P280" ca="1">IFERROR(IF(OR('Raw Data'!P280="",LEN(TRIM('Raw Data'!P280))=0),"",IF(AND(ISNUMBER('Raw Data'!P280), IFERROR('Raw Data'!P280 = ROUND('Raw Data'!P280, 2),FALSE)),"",_xlfn.REGEXEXTRACT(CELL("address",P280), "\$([A-Z]+)\$[0-9]+"))),_xlfn.REGEXEXTRACT(CELL("address",P280), "\$([A-Z]+)\$[0-9]+"))</f>
        <v/>
      </c>
      <c r="Q280" s="7" t="str" cm="1">
        <f t="array" aca="1" ref="Q280" ca="1">IFERROR(IF(OR('Raw Data'!Q280="",LEN(TRIM('Raw Data'!Q280))=0),"",IF(AND(ISNUMBER('Raw Data'!Q280), IFERROR('Raw Data'!Q280 = ROUND('Raw Data'!Q280, 2),FALSE)),"",_xlfn.REGEXEXTRACT(CELL("address",Q280), "\$([A-Z]+)\$[0-9]+"))),_xlfn.REGEXEXTRACT(CELL("address",Q280), "\$([A-Z]+)\$[0-9]+"))</f>
        <v/>
      </c>
      <c r="R280" s="7" t="str" cm="1">
        <f t="array" aca="1" ref="R280" ca="1">IFERROR(IF(OR('Raw Data'!R280="",LEN(TRIM('Raw Data'!R280))=0),"",IF(AND(ISNUMBER('Raw Data'!R280), IFERROR('Raw Data'!R280 = ROUND('Raw Data'!R280, 2),FALSE)),"",_xlfn.REGEXEXTRACT(CELL("address",R280), "\$([A-Z]+)\$[0-9]+"))),_xlfn.REGEXEXTRACT(CELL("address",R280), "\$([A-Z]+)\$[0-9]+"))</f>
        <v/>
      </c>
      <c r="S280" s="7" t="str" cm="1">
        <f t="array" aca="1" ref="S280" ca="1">IFERROR(IF(OR('Raw Data'!S280="",LEN(TRIM('Raw Data'!S280))=0),"",IF(AND(ISNUMBER('Raw Data'!S280), IFERROR('Raw Data'!S280 = ROUND('Raw Data'!S280, 2),FALSE)),"",_xlfn.REGEXEXTRACT(CELL("address",S280), "\$([A-Z]+)\$[0-9]+"))),_xlfn.REGEXEXTRACT(CELL("address",S280), "\$([A-Z]+)\$[0-9]+"))</f>
        <v/>
      </c>
      <c r="T280" s="7" t="str" cm="1">
        <f t="array" aca="1" ref="T280" ca="1">IFERROR(IF(OR('Raw Data'!T280="",LEN(TRIM('Raw Data'!T280))=0),"",IF(AND(ISNUMBER('Raw Data'!T280), IFERROR('Raw Data'!T280 = ROUND('Raw Data'!T280, 2),FALSE)),"",_xlfn.REGEXEXTRACT(CELL("address",T280), "\$([A-Z]+)\$[0-9]+"))),_xlfn.REGEXEXTRACT(CELL("address",T280), "\$([A-Z]+)\$[0-9]+"))</f>
        <v/>
      </c>
      <c r="U280" s="7" t="str" cm="1">
        <f t="array" aca="1" ref="U280" ca="1">IFERROR(IF(OR('Raw Data'!U280="",LEN(TRIM('Raw Data'!U280))=0),"",IF(AND(ISNUMBER('Raw Data'!U280), IFERROR('Raw Data'!U280 = ROUND('Raw Data'!U280, 2),FALSE)),"",_xlfn.REGEXEXTRACT(CELL("address",U280), "\$([A-Z]+)\$[0-9]+"))),_xlfn.REGEXEXTRACT(CELL("address",U280), "\$([A-Z]+)\$[0-9]+"))</f>
        <v/>
      </c>
      <c r="V280" s="7" t="str" cm="1">
        <f t="array" aca="1" ref="V280" ca="1">IFERROR(IF(OR('Raw Data'!V280="",LEN(TRIM('Raw Data'!V280))=0),"",IF(AND(ISNUMBER('Raw Data'!V280), IFERROR('Raw Data'!V280 = ROUND('Raw Data'!V280, 2),FALSE)),"",_xlfn.REGEXEXTRACT(CELL("address",V280), "\$([A-Z]+)\$[0-9]+"))),_xlfn.REGEXEXTRACT(CELL("address",V280), "\$([A-Z]+)\$[0-9]+"))</f>
        <v/>
      </c>
      <c r="W280" s="7" t="str" cm="1">
        <f t="array" aca="1" ref="W280" ca="1">IFERROR(IF(OR('Raw Data'!W280="",LEN(TRIM('Raw Data'!W280))=0),"",IF(AND(ISNUMBER('Raw Data'!W280), IFERROR('Raw Data'!W280 = ROUND('Raw Data'!W280, 2),FALSE)),"",_xlfn.REGEXEXTRACT(CELL("address",W280), "\$([A-Z]+)\$[0-9]+"))),_xlfn.REGEXEXTRACT(CELL("address",W280), "\$([A-Z]+)\$[0-9]+"))</f>
        <v/>
      </c>
      <c r="X280" s="7" t="str" cm="1">
        <f t="array" aca="1" ref="X280" ca="1">IFERROR(IF(OR('Raw Data'!X280="",LEN(TRIM('Raw Data'!X280))=0),"",IF(AND(ISNUMBER('Raw Data'!X280), IFERROR('Raw Data'!X280 = ROUND('Raw Data'!X280, 2),FALSE)),"",_xlfn.REGEXEXTRACT(CELL("address",X280), "\$([A-Z]+)\$[0-9]+"))),_xlfn.REGEXEXTRACT(CELL("address",X280), "\$([A-Z]+)\$[0-9]+"))</f>
        <v/>
      </c>
      <c r="Y280" s="7" t="str" cm="1">
        <f t="array" aca="1" ref="Y280" ca="1">IFERROR(IF(OR('Raw Data'!Y280="",LEN(TRIM('Raw Data'!Y280))=0),"",IF(AND(ISNUMBER('Raw Data'!Y280), IFERROR('Raw Data'!Y280 = ROUND('Raw Data'!Y280, 2),FALSE)),"",_xlfn.REGEXEXTRACT(CELL("address",Y280), "\$([A-Z]+)\$[0-9]+"))),_xlfn.REGEXEXTRACT(CELL("address",Y280), "\$([A-Z]+)\$[0-9]+"))</f>
        <v/>
      </c>
      <c r="Z280" s="7" t="str" cm="1">
        <f t="array" aca="1" ref="Z280" ca="1">IFERROR(IF(OR('Raw Data'!Z280="",LEN(TRIM('Raw Data'!Z280))=0),"",IF(AND(ISNUMBER('Raw Data'!Z280), IFERROR('Raw Data'!Z280 = ROUND('Raw Data'!Z280, 2),FALSE)),"",_xlfn.REGEXEXTRACT(CELL("address",Z280), "\$([A-Z]+)\$[0-9]+"))),_xlfn.REGEXEXTRACT(CELL("address",Z280), "\$([A-Z]+)\$[0-9]+"))</f>
        <v/>
      </c>
      <c r="AA280" s="7" t="str" cm="1">
        <f t="array" aca="1" ref="AA280" ca="1">IFERROR(IF(OR('Raw Data'!AA280="",LEN(TRIM('Raw Data'!AA280))=0),"",IF(AND(ISNUMBER('Raw Data'!AA280), IFERROR('Raw Data'!AA280 = ROUND('Raw Data'!AA280, 2),FALSE)),"",_xlfn.REGEXEXTRACT(CELL("address",AA280), "\$([A-Z]+)\$[0-9]+"))),_xlfn.REGEXEXTRACT(CELL("address",AA280), "\$([A-Z]+)\$[0-9]+"))</f>
        <v/>
      </c>
      <c r="AB280" s="7" t="str" cm="1">
        <f t="array" aca="1" ref="AB280" ca="1">IFERROR(IF(OR('Raw Data'!AB280="",LEN(TRIM('Raw Data'!AB280))=0),"",IF(AND(ISNUMBER('Raw Data'!AB280), IFERROR('Raw Data'!AB280 = ROUND('Raw Data'!AB280, 2),FALSE)),"",_xlfn.REGEXEXTRACT(CELL("address",AB280), "\$([A-Z]+)\$[0-9]+"))),_xlfn.REGEXEXTRACT(CELL("address",AB280), "\$([A-Z]+)\$[0-9]+"))</f>
        <v/>
      </c>
      <c r="AC280" s="7" t="str" cm="1">
        <f t="array" aca="1" ref="AC280" ca="1">IFERROR(IF(OR('Raw Data'!AC280="",LEN(TRIM('Raw Data'!AC280))=0),"",IF(AND(ISNUMBER('Raw Data'!AC280), IFERROR('Raw Data'!AC280 = ROUND('Raw Data'!AC280, 2),FALSE)),"",_xlfn.REGEXEXTRACT(CELL("address",AC280), "\$([A-Z]+)\$[0-9]+"))),_xlfn.REGEXEXTRACT(CELL("address",AC280), "\$([A-Z]+)\$[0-9]+"))</f>
        <v/>
      </c>
      <c r="AD280" s="7" t="str" cm="1">
        <f t="array" aca="1" ref="AD280" ca="1">IFERROR(IF(OR('Raw Data'!AD280="",LEN(TRIM('Raw Data'!AD280))=0),"",IF(AND(ISNUMBER('Raw Data'!AD280), IFERROR('Raw Data'!AD280 = ROUND('Raw Data'!AD280, 2),FALSE)),"",_xlfn.REGEXEXTRACT(CELL("address",AD280), "\$([A-Z]+)\$[0-9]+"))),_xlfn.REGEXEXTRACT(CELL("address",AD280), "\$([A-Z]+)\$[0-9]+"))</f>
        <v/>
      </c>
      <c r="AE280" s="7" t="str" cm="1">
        <f t="array" aca="1" ref="AE280" ca="1">IFERROR(IF(OR('Raw Data'!AE280="",LEN(TRIM('Raw Data'!AE280))=0),"",IF(AND(ISNUMBER('Raw Data'!AE280), IFERROR('Raw Data'!AE280 = ROUND('Raw Data'!AE280, 2),FALSE)),"",_xlfn.REGEXEXTRACT(CELL("address",AE280), "\$([A-Z]+)\$[0-9]+"))),_xlfn.REGEXEXTRACT(CELL("address",AE280), "\$([A-Z]+)\$[0-9]+"))</f>
        <v/>
      </c>
      <c r="AF280" s="7" t="str" cm="1">
        <f t="array" aca="1" ref="AF280" ca="1">IFERROR(IF(OR('Raw Data'!AF280="",LEN(TRIM('Raw Data'!AF280))=0),"",IF(AND(ISNUMBER('Raw Data'!AF280), IFERROR('Raw Data'!AF280 = ROUND('Raw Data'!AF280, 2),FALSE)),"",_xlfn.REGEXEXTRACT(CELL("address",AF280), "\$([A-Z]+)\$[0-9]+"))),_xlfn.REGEXEXTRACT(CELL("address",AF280), "\$([A-Z]+)\$[0-9]+"))</f>
        <v/>
      </c>
      <c r="AG280" s="7" t="str" cm="1">
        <f t="array" aca="1" ref="AG280" ca="1">IFERROR(IF(OR('Raw Data'!AG280="",LEN(TRIM('Raw Data'!AG280))=0),"",IF(AND(ISNUMBER('Raw Data'!AG280), IFERROR('Raw Data'!AG280 = ROUND('Raw Data'!AG280, 2),FALSE)),"",_xlfn.REGEXEXTRACT(CELL("address",AG280), "\$([A-Z]+)\$[0-9]+"))),_xlfn.REGEXEXTRACT(CELL("address",AG280), "\$([A-Z]+)\$[0-9]+"))</f>
        <v/>
      </c>
      <c r="AH280" s="7" t="str" cm="1">
        <f t="array" aca="1" ref="AH280" ca="1">IFERROR(IF(OR('Raw Data'!AH280="",LEN(TRIM('Raw Data'!AH280))=0),"",IF(AND(ISNUMBER('Raw Data'!AH280), IFERROR('Raw Data'!AH280 = ROUND('Raw Data'!AH280, 2),FALSE)),"",_xlfn.REGEXEXTRACT(CELL("address",AH280), "\$([A-Z]+)\$[0-9]+"))),_xlfn.REGEXEXTRACT(CELL("address",AH280), "\$([A-Z]+)\$[0-9]+"))</f>
        <v/>
      </c>
      <c r="AI280" s="7" t="str" cm="1">
        <f t="array" aca="1" ref="AI280" ca="1">IFERROR(IF(OR('Raw Data'!AI280="",LEN(TRIM('Raw Data'!AI280))=0),"",IF(AND(ISNUMBER('Raw Data'!AI280), IFERROR('Raw Data'!AI280 = ROUND('Raw Data'!AI280, 2),FALSE)),"",_xlfn.REGEXEXTRACT(CELL("address",AI280), "\$([A-Z]+)\$[0-9]+"))),_xlfn.REGEXEXTRACT(CELL("address",AI280), "\$([A-Z]+)\$[0-9]+"))</f>
        <v/>
      </c>
      <c r="AJ280" s="7" t="str" cm="1">
        <f t="array" aca="1" ref="AJ280" ca="1">IFERROR(IF(OR('Raw Data'!AJ280="",LEN(TRIM('Raw Data'!AJ280))=0),"",IF(AND(ISNUMBER('Raw Data'!AJ280), IFERROR('Raw Data'!AJ280 = ROUND('Raw Data'!AJ280, 2),FALSE)),"",_xlfn.REGEXEXTRACT(CELL("address",AJ280), "\$([A-Z]+)\$[0-9]+"))),_xlfn.REGEXEXTRACT(CELL("address",AJ280), "\$([A-Z]+)\$[0-9]+"))</f>
        <v/>
      </c>
    </row>
    <row r="281" spans="2:36" x14ac:dyDescent="0.25">
      <c r="B281" s="7" t="str" cm="1">
        <f t="array" aca="1" ref="B281" ca="1">IFERROR(IF(OR('Raw Data'!B281="",LEN(TRIM('Raw Data'!B281))=0),"",IF(AND(LEN('Raw Data'!B281) &lt;= 255,LEN('Raw Data'!B281)&gt; 0),"",_xlfn.REGEXEXTRACT(CELL("address",'Raw Data'!B281),"\$([A-Z]+)\$[0-9]+"))),_xlfn.REGEXEXTRACT(CELL("address",'Raw Data'!B281),"\$([A-Z]+)\$[0-9]+"))</f>
        <v/>
      </c>
      <c r="C281" s="7" t="str" cm="1">
        <f t="array" aca="1" ref="C281" ca="1">IFERROR(IF(OR('Raw Data'!C281="",LEN(TRIM('Raw Data'!C281))=0),"",IF(AND(LEN('Raw Data'!C281) &lt;= 20,LEN('Raw Data'!C281)&gt; 0),"",_xlfn.REGEXEXTRACT(CELL("address",'Raw Data'!C281),"\$([A-Z]+)\$[0-9]+"))),_xlfn.REGEXEXTRACT(CELL("address",'Raw Data'!C281),"\$([A-Z]+)\$[0-9]+"))</f>
        <v/>
      </c>
      <c r="D281" s="7" t="str" cm="1">
        <f t="array" aca="1" ref="D281" ca="1">IFERROR(IF(OR('Raw Data'!D281="",LEN(TRIM('Raw Data'!D281))=0),"",IF(AND(ISNUMBER('Raw Data'!D281),'Raw Data'!D281&gt;=Configuration!$D$2),"",_xlfn.REGEXEXTRACT(CELL("address",'Raw Data'!D281),"\$([A-Z]+)\$[0-9]+"))),_xlfn.REGEXEXTRACT(CELL("address",D281), "\$([A-Z]+)\$[0-9]+"))</f>
        <v/>
      </c>
      <c r="E281" s="7" t="str" cm="1">
        <f t="array" aca="1" ref="E281" ca="1">IFERROR(IF(OR('Raw Data'!E281="",LEN(TRIM('Raw Data'!E281))=0),"",IF(AND(ISNUMBER('Raw Data'!E281), IFERROR('Raw Data'!E281 = ROUND('Raw Data'!E281, 2),FALSE)),"",_xlfn.REGEXEXTRACT(CELL("address",E281), "\$([A-Z]+)\$[0-9]+"))),_xlfn.REGEXEXTRACT(CELL("address",E281), "\$([A-Z]+)\$[0-9]+"))</f>
        <v/>
      </c>
      <c r="F281" s="7" t="str" cm="1">
        <f t="array" aca="1" ref="F281" ca="1">IFERROR(IF(OR('Raw Data'!F281="",LEN(TRIM('Raw Data'!F281))=0),"",IF(AND(ISNUMBER('Raw Data'!F281), IFERROR('Raw Data'!F281 = ROUND('Raw Data'!F281, 2),FALSE)),"",_xlfn.REGEXEXTRACT(CELL("address",F281), "\$([A-Z]+)\$[0-9]+"))),_xlfn.REGEXEXTRACT(CELL("address",F281), "\$([A-Z]+)\$[0-9]+"))</f>
        <v/>
      </c>
      <c r="G281" s="7" t="str" cm="1">
        <f t="array" aca="1" ref="G281" ca="1">IFERROR(IF(OR('Raw Data'!G281="",LEN(TRIM('Raw Data'!G281))=0),"",IF(AND(ISNUMBER('Raw Data'!G281), IFERROR('Raw Data'!G281 = ROUND('Raw Data'!G281, 2),FALSE)),"",_xlfn.REGEXEXTRACT(CELL("address",G281), "\$([A-Z]+)\$[0-9]+"))),_xlfn.REGEXEXTRACT(CELL("address",G281), "\$([A-Z]+)\$[0-9]+"))</f>
        <v/>
      </c>
      <c r="H281" s="7" t="str" cm="1">
        <f t="array" aca="1" ref="H281" ca="1">IFERROR(IF(OR('Raw Data'!H281="",LEN(TRIM('Raw Data'!H281))=0),"",IF(AND(ISNUMBER('Raw Data'!H281), IFERROR('Raw Data'!H281 = ROUND('Raw Data'!H281, 2),FALSE)),"",_xlfn.REGEXEXTRACT(CELL("address",H281), "\$([A-Z]+)\$[0-9]+"))),_xlfn.REGEXEXTRACT(CELL("address",H281), "\$([A-Z]+)\$[0-9]+"))</f>
        <v/>
      </c>
      <c r="I281" s="7" t="str" cm="1">
        <f t="array" aca="1" ref="I281" ca="1">IFERROR(IF(OR('Raw Data'!I281="",LEN(TRIM('Raw Data'!I281))=0),"",IF(AND(ISNUMBER('Raw Data'!I281), IFERROR('Raw Data'!I281 = ROUND('Raw Data'!I281, 2),FALSE)),"",_xlfn.REGEXEXTRACT(CELL("address",I281), "\$([A-Z]+)\$[0-9]+"))),_xlfn.REGEXEXTRACT(CELL("address",I281), "\$([A-Z]+)\$[0-9]+"))</f>
        <v/>
      </c>
      <c r="J281" s="7" t="str" cm="1">
        <f t="array" aca="1" ref="J281" ca="1">IFERROR(IF(OR('Raw Data'!J281="",LEN(TRIM('Raw Data'!J281))=0),"",IF(AND(ISNUMBER('Raw Data'!J281), IFERROR('Raw Data'!J281 = ROUND('Raw Data'!J281, 2),FALSE)),"",_xlfn.REGEXEXTRACT(CELL("address",J281), "\$([A-Z]+)\$[0-9]+"))),_xlfn.REGEXEXTRACT(CELL("address",J281), "\$([A-Z]+)\$[0-9]+"))</f>
        <v/>
      </c>
      <c r="K281" s="7" t="str" cm="1">
        <f t="array" aca="1" ref="K281" ca="1">IFERROR(IF(OR('Raw Data'!K281="",LEN(TRIM('Raw Data'!K281))=0),"",IF(AND(ISNUMBER('Raw Data'!K281), IFERROR('Raw Data'!K281 = ROUND('Raw Data'!K281, 2),FALSE)),"",_xlfn.REGEXEXTRACT(CELL("address",K281), "\$([A-Z]+)\$[0-9]+"))),_xlfn.REGEXEXTRACT(CELL("address",K281), "\$([A-Z]+)\$[0-9]+"))</f>
        <v/>
      </c>
      <c r="L281" s="7" t="str" cm="1">
        <f t="array" aca="1" ref="L281" ca="1">IFERROR(IF(OR('Raw Data'!L281="",LEN(TRIM('Raw Data'!L281))=0),"",IF(AND(ISNUMBER('Raw Data'!L281), IFERROR('Raw Data'!L281 = ROUND('Raw Data'!L281, 2),FALSE)),"",_xlfn.REGEXEXTRACT(CELL("address",L281), "\$([A-Z]+)\$[0-9]+"))),_xlfn.REGEXEXTRACT(CELL("address",L281), "\$([A-Z]+)\$[0-9]+"))</f>
        <v/>
      </c>
      <c r="M281" s="7" t="str" cm="1">
        <f t="array" aca="1" ref="M281" ca="1">IFERROR(IF(OR('Raw Data'!M281="",LEN(TRIM('Raw Data'!M281))=0),"",IF(AND(ISNUMBER('Raw Data'!M281), IFERROR('Raw Data'!M281 = ROUND('Raw Data'!M281, 2),FALSE)),"",_xlfn.REGEXEXTRACT(CELL("address",M281), "\$([A-Z]+)\$[0-9]+"))),_xlfn.REGEXEXTRACT(CELL("address",M281), "\$([A-Z]+)\$[0-9]+"))</f>
        <v/>
      </c>
      <c r="N281" s="7" t="str" cm="1">
        <f t="array" aca="1" ref="N281" ca="1">IFERROR(IF(OR('Raw Data'!N281="",LEN(TRIM('Raw Data'!N281))=0),"",IF(AND(ISNUMBER('Raw Data'!N281), IFERROR('Raw Data'!N281 = ROUND('Raw Data'!N281, 2),FALSE)),"",_xlfn.REGEXEXTRACT(CELL("address",N281), "\$([A-Z]+)\$[0-9]+"))),_xlfn.REGEXEXTRACT(CELL("address",N281), "\$([A-Z]+)\$[0-9]+"))</f>
        <v/>
      </c>
      <c r="O281" s="7" t="str" cm="1">
        <f t="array" aca="1" ref="O281" ca="1">IFERROR(IF(OR('Raw Data'!O281="",LEN(TRIM('Raw Data'!O281))=0),"",IF(AND(ISNUMBER('Raw Data'!O281), IFERROR('Raw Data'!O281 = ROUND('Raw Data'!O281, 2),FALSE)),"",_xlfn.REGEXEXTRACT(CELL("address",O281), "\$([A-Z]+)\$[0-9]+"))),_xlfn.REGEXEXTRACT(CELL("address",O281), "\$([A-Z]+)\$[0-9]+"))</f>
        <v/>
      </c>
      <c r="P281" s="7" t="str" cm="1">
        <f t="array" aca="1" ref="P281" ca="1">IFERROR(IF(OR('Raw Data'!P281="",LEN(TRIM('Raw Data'!P281))=0),"",IF(AND(ISNUMBER('Raw Data'!P281), IFERROR('Raw Data'!P281 = ROUND('Raw Data'!P281, 2),FALSE)),"",_xlfn.REGEXEXTRACT(CELL("address",P281), "\$([A-Z]+)\$[0-9]+"))),_xlfn.REGEXEXTRACT(CELL("address",P281), "\$([A-Z]+)\$[0-9]+"))</f>
        <v/>
      </c>
      <c r="Q281" s="7" t="str" cm="1">
        <f t="array" aca="1" ref="Q281" ca="1">IFERROR(IF(OR('Raw Data'!Q281="",LEN(TRIM('Raw Data'!Q281))=0),"",IF(AND(ISNUMBER('Raw Data'!Q281), IFERROR('Raw Data'!Q281 = ROUND('Raw Data'!Q281, 2),FALSE)),"",_xlfn.REGEXEXTRACT(CELL("address",Q281), "\$([A-Z]+)\$[0-9]+"))),_xlfn.REGEXEXTRACT(CELL("address",Q281), "\$([A-Z]+)\$[0-9]+"))</f>
        <v/>
      </c>
      <c r="R281" s="7" t="str" cm="1">
        <f t="array" aca="1" ref="R281" ca="1">IFERROR(IF(OR('Raw Data'!R281="",LEN(TRIM('Raw Data'!R281))=0),"",IF(AND(ISNUMBER('Raw Data'!R281), IFERROR('Raw Data'!R281 = ROUND('Raw Data'!R281, 2),FALSE)),"",_xlfn.REGEXEXTRACT(CELL("address",R281), "\$([A-Z]+)\$[0-9]+"))),_xlfn.REGEXEXTRACT(CELL("address",R281), "\$([A-Z]+)\$[0-9]+"))</f>
        <v/>
      </c>
      <c r="S281" s="7" t="str" cm="1">
        <f t="array" aca="1" ref="S281" ca="1">IFERROR(IF(OR('Raw Data'!S281="",LEN(TRIM('Raw Data'!S281))=0),"",IF(AND(ISNUMBER('Raw Data'!S281), IFERROR('Raw Data'!S281 = ROUND('Raw Data'!S281, 2),FALSE)),"",_xlfn.REGEXEXTRACT(CELL("address",S281), "\$([A-Z]+)\$[0-9]+"))),_xlfn.REGEXEXTRACT(CELL("address",S281), "\$([A-Z]+)\$[0-9]+"))</f>
        <v/>
      </c>
      <c r="T281" s="7" t="str" cm="1">
        <f t="array" aca="1" ref="T281" ca="1">IFERROR(IF(OR('Raw Data'!T281="",LEN(TRIM('Raw Data'!T281))=0),"",IF(AND(ISNUMBER('Raw Data'!T281), IFERROR('Raw Data'!T281 = ROUND('Raw Data'!T281, 2),FALSE)),"",_xlfn.REGEXEXTRACT(CELL("address",T281), "\$([A-Z]+)\$[0-9]+"))),_xlfn.REGEXEXTRACT(CELL("address",T281), "\$([A-Z]+)\$[0-9]+"))</f>
        <v/>
      </c>
      <c r="U281" s="7" t="str" cm="1">
        <f t="array" aca="1" ref="U281" ca="1">IFERROR(IF(OR('Raw Data'!U281="",LEN(TRIM('Raw Data'!U281))=0),"",IF(AND(ISNUMBER('Raw Data'!U281), IFERROR('Raw Data'!U281 = ROUND('Raw Data'!U281, 2),FALSE)),"",_xlfn.REGEXEXTRACT(CELL("address",U281), "\$([A-Z]+)\$[0-9]+"))),_xlfn.REGEXEXTRACT(CELL("address",U281), "\$([A-Z]+)\$[0-9]+"))</f>
        <v/>
      </c>
      <c r="V281" s="7" t="str" cm="1">
        <f t="array" aca="1" ref="V281" ca="1">IFERROR(IF(OR('Raw Data'!V281="",LEN(TRIM('Raw Data'!V281))=0),"",IF(AND(ISNUMBER('Raw Data'!V281), IFERROR('Raw Data'!V281 = ROUND('Raw Data'!V281, 2),FALSE)),"",_xlfn.REGEXEXTRACT(CELL("address",V281), "\$([A-Z]+)\$[0-9]+"))),_xlfn.REGEXEXTRACT(CELL("address",V281), "\$([A-Z]+)\$[0-9]+"))</f>
        <v/>
      </c>
      <c r="W281" s="7" t="str" cm="1">
        <f t="array" aca="1" ref="W281" ca="1">IFERROR(IF(OR('Raw Data'!W281="",LEN(TRIM('Raw Data'!W281))=0),"",IF(AND(ISNUMBER('Raw Data'!W281), IFERROR('Raw Data'!W281 = ROUND('Raw Data'!W281, 2),FALSE)),"",_xlfn.REGEXEXTRACT(CELL("address",W281), "\$([A-Z]+)\$[0-9]+"))),_xlfn.REGEXEXTRACT(CELL("address",W281), "\$([A-Z]+)\$[0-9]+"))</f>
        <v/>
      </c>
      <c r="X281" s="7" t="str" cm="1">
        <f t="array" aca="1" ref="X281" ca="1">IFERROR(IF(OR('Raw Data'!X281="",LEN(TRIM('Raw Data'!X281))=0),"",IF(AND(ISNUMBER('Raw Data'!X281), IFERROR('Raw Data'!X281 = ROUND('Raw Data'!X281, 2),FALSE)),"",_xlfn.REGEXEXTRACT(CELL("address",X281), "\$([A-Z]+)\$[0-9]+"))),_xlfn.REGEXEXTRACT(CELL("address",X281), "\$([A-Z]+)\$[0-9]+"))</f>
        <v/>
      </c>
      <c r="Y281" s="7" t="str" cm="1">
        <f t="array" aca="1" ref="Y281" ca="1">IFERROR(IF(OR('Raw Data'!Y281="",LEN(TRIM('Raw Data'!Y281))=0),"",IF(AND(ISNUMBER('Raw Data'!Y281), IFERROR('Raw Data'!Y281 = ROUND('Raw Data'!Y281, 2),FALSE)),"",_xlfn.REGEXEXTRACT(CELL("address",Y281), "\$([A-Z]+)\$[0-9]+"))),_xlfn.REGEXEXTRACT(CELL("address",Y281), "\$([A-Z]+)\$[0-9]+"))</f>
        <v/>
      </c>
      <c r="Z281" s="7" t="str" cm="1">
        <f t="array" aca="1" ref="Z281" ca="1">IFERROR(IF(OR('Raw Data'!Z281="",LEN(TRIM('Raw Data'!Z281))=0),"",IF(AND(ISNUMBER('Raw Data'!Z281), IFERROR('Raw Data'!Z281 = ROUND('Raw Data'!Z281, 2),FALSE)),"",_xlfn.REGEXEXTRACT(CELL("address",Z281), "\$([A-Z]+)\$[0-9]+"))),_xlfn.REGEXEXTRACT(CELL("address",Z281), "\$([A-Z]+)\$[0-9]+"))</f>
        <v/>
      </c>
      <c r="AA281" s="7" t="str" cm="1">
        <f t="array" aca="1" ref="AA281" ca="1">IFERROR(IF(OR('Raw Data'!AA281="",LEN(TRIM('Raw Data'!AA281))=0),"",IF(AND(ISNUMBER('Raw Data'!AA281), IFERROR('Raw Data'!AA281 = ROUND('Raw Data'!AA281, 2),FALSE)),"",_xlfn.REGEXEXTRACT(CELL("address",AA281), "\$([A-Z]+)\$[0-9]+"))),_xlfn.REGEXEXTRACT(CELL("address",AA281), "\$([A-Z]+)\$[0-9]+"))</f>
        <v/>
      </c>
      <c r="AB281" s="7" t="str" cm="1">
        <f t="array" aca="1" ref="AB281" ca="1">IFERROR(IF(OR('Raw Data'!AB281="",LEN(TRIM('Raw Data'!AB281))=0),"",IF(AND(ISNUMBER('Raw Data'!AB281), IFERROR('Raw Data'!AB281 = ROUND('Raw Data'!AB281, 2),FALSE)),"",_xlfn.REGEXEXTRACT(CELL("address",AB281), "\$([A-Z]+)\$[0-9]+"))),_xlfn.REGEXEXTRACT(CELL("address",AB281), "\$([A-Z]+)\$[0-9]+"))</f>
        <v/>
      </c>
      <c r="AC281" s="7" t="str" cm="1">
        <f t="array" aca="1" ref="AC281" ca="1">IFERROR(IF(OR('Raw Data'!AC281="",LEN(TRIM('Raw Data'!AC281))=0),"",IF(AND(ISNUMBER('Raw Data'!AC281), IFERROR('Raw Data'!AC281 = ROUND('Raw Data'!AC281, 2),FALSE)),"",_xlfn.REGEXEXTRACT(CELL("address",AC281), "\$([A-Z]+)\$[0-9]+"))),_xlfn.REGEXEXTRACT(CELL("address",AC281), "\$([A-Z]+)\$[0-9]+"))</f>
        <v/>
      </c>
      <c r="AD281" s="7" t="str" cm="1">
        <f t="array" aca="1" ref="AD281" ca="1">IFERROR(IF(OR('Raw Data'!AD281="",LEN(TRIM('Raw Data'!AD281))=0),"",IF(AND(ISNUMBER('Raw Data'!AD281), IFERROR('Raw Data'!AD281 = ROUND('Raw Data'!AD281, 2),FALSE)),"",_xlfn.REGEXEXTRACT(CELL("address",AD281), "\$([A-Z]+)\$[0-9]+"))),_xlfn.REGEXEXTRACT(CELL("address",AD281), "\$([A-Z]+)\$[0-9]+"))</f>
        <v/>
      </c>
      <c r="AE281" s="7" t="str" cm="1">
        <f t="array" aca="1" ref="AE281" ca="1">IFERROR(IF(OR('Raw Data'!AE281="",LEN(TRIM('Raw Data'!AE281))=0),"",IF(AND(ISNUMBER('Raw Data'!AE281), IFERROR('Raw Data'!AE281 = ROUND('Raw Data'!AE281, 2),FALSE)),"",_xlfn.REGEXEXTRACT(CELL("address",AE281), "\$([A-Z]+)\$[0-9]+"))),_xlfn.REGEXEXTRACT(CELL("address",AE281), "\$([A-Z]+)\$[0-9]+"))</f>
        <v/>
      </c>
      <c r="AF281" s="7" t="str" cm="1">
        <f t="array" aca="1" ref="AF281" ca="1">IFERROR(IF(OR('Raw Data'!AF281="",LEN(TRIM('Raw Data'!AF281))=0),"",IF(AND(ISNUMBER('Raw Data'!AF281), IFERROR('Raw Data'!AF281 = ROUND('Raw Data'!AF281, 2),FALSE)),"",_xlfn.REGEXEXTRACT(CELL("address",AF281), "\$([A-Z]+)\$[0-9]+"))),_xlfn.REGEXEXTRACT(CELL("address",AF281), "\$([A-Z]+)\$[0-9]+"))</f>
        <v/>
      </c>
      <c r="AG281" s="7" t="str" cm="1">
        <f t="array" aca="1" ref="AG281" ca="1">IFERROR(IF(OR('Raw Data'!AG281="",LEN(TRIM('Raw Data'!AG281))=0),"",IF(AND(ISNUMBER('Raw Data'!AG281), IFERROR('Raw Data'!AG281 = ROUND('Raw Data'!AG281, 2),FALSE)),"",_xlfn.REGEXEXTRACT(CELL("address",AG281), "\$([A-Z]+)\$[0-9]+"))),_xlfn.REGEXEXTRACT(CELL("address",AG281), "\$([A-Z]+)\$[0-9]+"))</f>
        <v/>
      </c>
      <c r="AH281" s="7" t="str" cm="1">
        <f t="array" aca="1" ref="AH281" ca="1">IFERROR(IF(OR('Raw Data'!AH281="",LEN(TRIM('Raw Data'!AH281))=0),"",IF(AND(ISNUMBER('Raw Data'!AH281), IFERROR('Raw Data'!AH281 = ROUND('Raw Data'!AH281, 2),FALSE)),"",_xlfn.REGEXEXTRACT(CELL("address",AH281), "\$([A-Z]+)\$[0-9]+"))),_xlfn.REGEXEXTRACT(CELL("address",AH281), "\$([A-Z]+)\$[0-9]+"))</f>
        <v/>
      </c>
      <c r="AI281" s="7" t="str" cm="1">
        <f t="array" aca="1" ref="AI281" ca="1">IFERROR(IF(OR('Raw Data'!AI281="",LEN(TRIM('Raw Data'!AI281))=0),"",IF(AND(ISNUMBER('Raw Data'!AI281), IFERROR('Raw Data'!AI281 = ROUND('Raw Data'!AI281, 2),FALSE)),"",_xlfn.REGEXEXTRACT(CELL("address",AI281), "\$([A-Z]+)\$[0-9]+"))),_xlfn.REGEXEXTRACT(CELL("address",AI281), "\$([A-Z]+)\$[0-9]+"))</f>
        <v/>
      </c>
      <c r="AJ281" s="7" t="str" cm="1">
        <f t="array" aca="1" ref="AJ281" ca="1">IFERROR(IF(OR('Raw Data'!AJ281="",LEN(TRIM('Raw Data'!AJ281))=0),"",IF(AND(ISNUMBER('Raw Data'!AJ281), IFERROR('Raw Data'!AJ281 = ROUND('Raw Data'!AJ281, 2),FALSE)),"",_xlfn.REGEXEXTRACT(CELL("address",AJ281), "\$([A-Z]+)\$[0-9]+"))),_xlfn.REGEXEXTRACT(CELL("address",AJ281), "\$([A-Z]+)\$[0-9]+"))</f>
        <v/>
      </c>
    </row>
    <row r="282" spans="2:36" x14ac:dyDescent="0.25">
      <c r="B282" s="7" t="str" cm="1">
        <f t="array" aca="1" ref="B282" ca="1">IFERROR(IF(OR('Raw Data'!B282="",LEN(TRIM('Raw Data'!B282))=0),"",IF(AND(LEN('Raw Data'!B282) &lt;= 255,LEN('Raw Data'!B282)&gt; 0),"",_xlfn.REGEXEXTRACT(CELL("address",'Raw Data'!B282),"\$([A-Z]+)\$[0-9]+"))),_xlfn.REGEXEXTRACT(CELL("address",'Raw Data'!B282),"\$([A-Z]+)\$[0-9]+"))</f>
        <v/>
      </c>
      <c r="C282" s="7" t="str" cm="1">
        <f t="array" aca="1" ref="C282" ca="1">IFERROR(IF(OR('Raw Data'!C282="",LEN(TRIM('Raw Data'!C282))=0),"",IF(AND(LEN('Raw Data'!C282) &lt;= 20,LEN('Raw Data'!C282)&gt; 0),"",_xlfn.REGEXEXTRACT(CELL("address",'Raw Data'!C282),"\$([A-Z]+)\$[0-9]+"))),_xlfn.REGEXEXTRACT(CELL("address",'Raw Data'!C282),"\$([A-Z]+)\$[0-9]+"))</f>
        <v/>
      </c>
      <c r="D282" s="7" t="str" cm="1">
        <f t="array" aca="1" ref="D282" ca="1">IFERROR(IF(OR('Raw Data'!D282="",LEN(TRIM('Raw Data'!D282))=0),"",IF(AND(ISNUMBER('Raw Data'!D282),'Raw Data'!D282&gt;=Configuration!$D$2),"",_xlfn.REGEXEXTRACT(CELL("address",'Raw Data'!D282),"\$([A-Z]+)\$[0-9]+"))),_xlfn.REGEXEXTRACT(CELL("address",D282), "\$([A-Z]+)\$[0-9]+"))</f>
        <v/>
      </c>
      <c r="E282" s="7" t="str" cm="1">
        <f t="array" aca="1" ref="E282" ca="1">IFERROR(IF(OR('Raw Data'!E282="",LEN(TRIM('Raw Data'!E282))=0),"",IF(AND(ISNUMBER('Raw Data'!E282), IFERROR('Raw Data'!E282 = ROUND('Raw Data'!E282, 2),FALSE)),"",_xlfn.REGEXEXTRACT(CELL("address",E282), "\$([A-Z]+)\$[0-9]+"))),_xlfn.REGEXEXTRACT(CELL("address",E282), "\$([A-Z]+)\$[0-9]+"))</f>
        <v/>
      </c>
      <c r="F282" s="7" t="str" cm="1">
        <f t="array" aca="1" ref="F282" ca="1">IFERROR(IF(OR('Raw Data'!F282="",LEN(TRIM('Raw Data'!F282))=0),"",IF(AND(ISNUMBER('Raw Data'!F282), IFERROR('Raw Data'!F282 = ROUND('Raw Data'!F282, 2),FALSE)),"",_xlfn.REGEXEXTRACT(CELL("address",F282), "\$([A-Z]+)\$[0-9]+"))),_xlfn.REGEXEXTRACT(CELL("address",F282), "\$([A-Z]+)\$[0-9]+"))</f>
        <v/>
      </c>
      <c r="G282" s="7" t="str" cm="1">
        <f t="array" aca="1" ref="G282" ca="1">IFERROR(IF(OR('Raw Data'!G282="",LEN(TRIM('Raw Data'!G282))=0),"",IF(AND(ISNUMBER('Raw Data'!G282), IFERROR('Raw Data'!G282 = ROUND('Raw Data'!G282, 2),FALSE)),"",_xlfn.REGEXEXTRACT(CELL("address",G282), "\$([A-Z]+)\$[0-9]+"))),_xlfn.REGEXEXTRACT(CELL("address",G282), "\$([A-Z]+)\$[0-9]+"))</f>
        <v/>
      </c>
      <c r="H282" s="7" t="str" cm="1">
        <f t="array" aca="1" ref="H282" ca="1">IFERROR(IF(OR('Raw Data'!H282="",LEN(TRIM('Raw Data'!H282))=0),"",IF(AND(ISNUMBER('Raw Data'!H282), IFERROR('Raw Data'!H282 = ROUND('Raw Data'!H282, 2),FALSE)),"",_xlfn.REGEXEXTRACT(CELL("address",H282), "\$([A-Z]+)\$[0-9]+"))),_xlfn.REGEXEXTRACT(CELL("address",H282), "\$([A-Z]+)\$[0-9]+"))</f>
        <v/>
      </c>
      <c r="I282" s="7" t="str" cm="1">
        <f t="array" aca="1" ref="I282" ca="1">IFERROR(IF(OR('Raw Data'!I282="",LEN(TRIM('Raw Data'!I282))=0),"",IF(AND(ISNUMBER('Raw Data'!I282), IFERROR('Raw Data'!I282 = ROUND('Raw Data'!I282, 2),FALSE)),"",_xlfn.REGEXEXTRACT(CELL("address",I282), "\$([A-Z]+)\$[0-9]+"))),_xlfn.REGEXEXTRACT(CELL("address",I282), "\$([A-Z]+)\$[0-9]+"))</f>
        <v/>
      </c>
      <c r="J282" s="7" t="str" cm="1">
        <f t="array" aca="1" ref="J282" ca="1">IFERROR(IF(OR('Raw Data'!J282="",LEN(TRIM('Raw Data'!J282))=0),"",IF(AND(ISNUMBER('Raw Data'!J282), IFERROR('Raw Data'!J282 = ROUND('Raw Data'!J282, 2),FALSE)),"",_xlfn.REGEXEXTRACT(CELL("address",J282), "\$([A-Z]+)\$[0-9]+"))),_xlfn.REGEXEXTRACT(CELL("address",J282), "\$([A-Z]+)\$[0-9]+"))</f>
        <v/>
      </c>
      <c r="K282" s="7" t="str" cm="1">
        <f t="array" aca="1" ref="K282" ca="1">IFERROR(IF(OR('Raw Data'!K282="",LEN(TRIM('Raw Data'!K282))=0),"",IF(AND(ISNUMBER('Raw Data'!K282), IFERROR('Raw Data'!K282 = ROUND('Raw Data'!K282, 2),FALSE)),"",_xlfn.REGEXEXTRACT(CELL("address",K282), "\$([A-Z]+)\$[0-9]+"))),_xlfn.REGEXEXTRACT(CELL("address",K282), "\$([A-Z]+)\$[0-9]+"))</f>
        <v/>
      </c>
      <c r="L282" s="7" t="str" cm="1">
        <f t="array" aca="1" ref="L282" ca="1">IFERROR(IF(OR('Raw Data'!L282="",LEN(TRIM('Raw Data'!L282))=0),"",IF(AND(ISNUMBER('Raw Data'!L282), IFERROR('Raw Data'!L282 = ROUND('Raw Data'!L282, 2),FALSE)),"",_xlfn.REGEXEXTRACT(CELL("address",L282), "\$([A-Z]+)\$[0-9]+"))),_xlfn.REGEXEXTRACT(CELL("address",L282), "\$([A-Z]+)\$[0-9]+"))</f>
        <v/>
      </c>
      <c r="M282" s="7" t="str" cm="1">
        <f t="array" aca="1" ref="M282" ca="1">IFERROR(IF(OR('Raw Data'!M282="",LEN(TRIM('Raw Data'!M282))=0),"",IF(AND(ISNUMBER('Raw Data'!M282), IFERROR('Raw Data'!M282 = ROUND('Raw Data'!M282, 2),FALSE)),"",_xlfn.REGEXEXTRACT(CELL("address",M282), "\$([A-Z]+)\$[0-9]+"))),_xlfn.REGEXEXTRACT(CELL("address",M282), "\$([A-Z]+)\$[0-9]+"))</f>
        <v/>
      </c>
      <c r="N282" s="7" t="str" cm="1">
        <f t="array" aca="1" ref="N282" ca="1">IFERROR(IF(OR('Raw Data'!N282="",LEN(TRIM('Raw Data'!N282))=0),"",IF(AND(ISNUMBER('Raw Data'!N282), IFERROR('Raw Data'!N282 = ROUND('Raw Data'!N282, 2),FALSE)),"",_xlfn.REGEXEXTRACT(CELL("address",N282), "\$([A-Z]+)\$[0-9]+"))),_xlfn.REGEXEXTRACT(CELL("address",N282), "\$([A-Z]+)\$[0-9]+"))</f>
        <v/>
      </c>
      <c r="O282" s="7" t="str" cm="1">
        <f t="array" aca="1" ref="O282" ca="1">IFERROR(IF(OR('Raw Data'!O282="",LEN(TRIM('Raw Data'!O282))=0),"",IF(AND(ISNUMBER('Raw Data'!O282), IFERROR('Raw Data'!O282 = ROUND('Raw Data'!O282, 2),FALSE)),"",_xlfn.REGEXEXTRACT(CELL("address",O282), "\$([A-Z]+)\$[0-9]+"))),_xlfn.REGEXEXTRACT(CELL("address",O282), "\$([A-Z]+)\$[0-9]+"))</f>
        <v/>
      </c>
      <c r="P282" s="7" t="str" cm="1">
        <f t="array" aca="1" ref="P282" ca="1">IFERROR(IF(OR('Raw Data'!P282="",LEN(TRIM('Raw Data'!P282))=0),"",IF(AND(ISNUMBER('Raw Data'!P282), IFERROR('Raw Data'!P282 = ROUND('Raw Data'!P282, 2),FALSE)),"",_xlfn.REGEXEXTRACT(CELL("address",P282), "\$([A-Z]+)\$[0-9]+"))),_xlfn.REGEXEXTRACT(CELL("address",P282), "\$([A-Z]+)\$[0-9]+"))</f>
        <v/>
      </c>
      <c r="Q282" s="7" t="str" cm="1">
        <f t="array" aca="1" ref="Q282" ca="1">IFERROR(IF(OR('Raw Data'!Q282="",LEN(TRIM('Raw Data'!Q282))=0),"",IF(AND(ISNUMBER('Raw Data'!Q282), IFERROR('Raw Data'!Q282 = ROUND('Raw Data'!Q282, 2),FALSE)),"",_xlfn.REGEXEXTRACT(CELL("address",Q282), "\$([A-Z]+)\$[0-9]+"))),_xlfn.REGEXEXTRACT(CELL("address",Q282), "\$([A-Z]+)\$[0-9]+"))</f>
        <v/>
      </c>
      <c r="R282" s="7" t="str" cm="1">
        <f t="array" aca="1" ref="R282" ca="1">IFERROR(IF(OR('Raw Data'!R282="",LEN(TRIM('Raw Data'!R282))=0),"",IF(AND(ISNUMBER('Raw Data'!R282), IFERROR('Raw Data'!R282 = ROUND('Raw Data'!R282, 2),FALSE)),"",_xlfn.REGEXEXTRACT(CELL("address",R282), "\$([A-Z]+)\$[0-9]+"))),_xlfn.REGEXEXTRACT(CELL("address",R282), "\$([A-Z]+)\$[0-9]+"))</f>
        <v/>
      </c>
      <c r="S282" s="7" t="str" cm="1">
        <f t="array" aca="1" ref="S282" ca="1">IFERROR(IF(OR('Raw Data'!S282="",LEN(TRIM('Raw Data'!S282))=0),"",IF(AND(ISNUMBER('Raw Data'!S282), IFERROR('Raw Data'!S282 = ROUND('Raw Data'!S282, 2),FALSE)),"",_xlfn.REGEXEXTRACT(CELL("address",S282), "\$([A-Z]+)\$[0-9]+"))),_xlfn.REGEXEXTRACT(CELL("address",S282), "\$([A-Z]+)\$[0-9]+"))</f>
        <v/>
      </c>
      <c r="T282" s="7" t="str" cm="1">
        <f t="array" aca="1" ref="T282" ca="1">IFERROR(IF(OR('Raw Data'!T282="",LEN(TRIM('Raw Data'!T282))=0),"",IF(AND(ISNUMBER('Raw Data'!T282), IFERROR('Raw Data'!T282 = ROUND('Raw Data'!T282, 2),FALSE)),"",_xlfn.REGEXEXTRACT(CELL("address",T282), "\$([A-Z]+)\$[0-9]+"))),_xlfn.REGEXEXTRACT(CELL("address",T282), "\$([A-Z]+)\$[0-9]+"))</f>
        <v/>
      </c>
      <c r="U282" s="7" t="str" cm="1">
        <f t="array" aca="1" ref="U282" ca="1">IFERROR(IF(OR('Raw Data'!U282="",LEN(TRIM('Raw Data'!U282))=0),"",IF(AND(ISNUMBER('Raw Data'!U282), IFERROR('Raw Data'!U282 = ROUND('Raw Data'!U282, 2),FALSE)),"",_xlfn.REGEXEXTRACT(CELL("address",U282), "\$([A-Z]+)\$[0-9]+"))),_xlfn.REGEXEXTRACT(CELL("address",U282), "\$([A-Z]+)\$[0-9]+"))</f>
        <v/>
      </c>
      <c r="V282" s="7" t="str" cm="1">
        <f t="array" aca="1" ref="V282" ca="1">IFERROR(IF(OR('Raw Data'!V282="",LEN(TRIM('Raw Data'!V282))=0),"",IF(AND(ISNUMBER('Raw Data'!V282), IFERROR('Raw Data'!V282 = ROUND('Raw Data'!V282, 2),FALSE)),"",_xlfn.REGEXEXTRACT(CELL("address",V282), "\$([A-Z]+)\$[0-9]+"))),_xlfn.REGEXEXTRACT(CELL("address",V282), "\$([A-Z]+)\$[0-9]+"))</f>
        <v/>
      </c>
      <c r="W282" s="7" t="str" cm="1">
        <f t="array" aca="1" ref="W282" ca="1">IFERROR(IF(OR('Raw Data'!W282="",LEN(TRIM('Raw Data'!W282))=0),"",IF(AND(ISNUMBER('Raw Data'!W282), IFERROR('Raw Data'!W282 = ROUND('Raw Data'!W282, 2),FALSE)),"",_xlfn.REGEXEXTRACT(CELL("address",W282), "\$([A-Z]+)\$[0-9]+"))),_xlfn.REGEXEXTRACT(CELL("address",W282), "\$([A-Z]+)\$[0-9]+"))</f>
        <v/>
      </c>
      <c r="X282" s="7" t="str" cm="1">
        <f t="array" aca="1" ref="X282" ca="1">IFERROR(IF(OR('Raw Data'!X282="",LEN(TRIM('Raw Data'!X282))=0),"",IF(AND(ISNUMBER('Raw Data'!X282), IFERROR('Raw Data'!X282 = ROUND('Raw Data'!X282, 2),FALSE)),"",_xlfn.REGEXEXTRACT(CELL("address",X282), "\$([A-Z]+)\$[0-9]+"))),_xlfn.REGEXEXTRACT(CELL("address",X282), "\$([A-Z]+)\$[0-9]+"))</f>
        <v/>
      </c>
      <c r="Y282" s="7" t="str" cm="1">
        <f t="array" aca="1" ref="Y282" ca="1">IFERROR(IF(OR('Raw Data'!Y282="",LEN(TRIM('Raw Data'!Y282))=0),"",IF(AND(ISNUMBER('Raw Data'!Y282), IFERROR('Raw Data'!Y282 = ROUND('Raw Data'!Y282, 2),FALSE)),"",_xlfn.REGEXEXTRACT(CELL("address",Y282), "\$([A-Z]+)\$[0-9]+"))),_xlfn.REGEXEXTRACT(CELL("address",Y282), "\$([A-Z]+)\$[0-9]+"))</f>
        <v/>
      </c>
      <c r="Z282" s="7" t="str" cm="1">
        <f t="array" aca="1" ref="Z282" ca="1">IFERROR(IF(OR('Raw Data'!Z282="",LEN(TRIM('Raw Data'!Z282))=0),"",IF(AND(ISNUMBER('Raw Data'!Z282), IFERROR('Raw Data'!Z282 = ROUND('Raw Data'!Z282, 2),FALSE)),"",_xlfn.REGEXEXTRACT(CELL("address",Z282), "\$([A-Z]+)\$[0-9]+"))),_xlfn.REGEXEXTRACT(CELL("address",Z282), "\$([A-Z]+)\$[0-9]+"))</f>
        <v/>
      </c>
      <c r="AA282" s="7" t="str" cm="1">
        <f t="array" aca="1" ref="AA282" ca="1">IFERROR(IF(OR('Raw Data'!AA282="",LEN(TRIM('Raw Data'!AA282))=0),"",IF(AND(ISNUMBER('Raw Data'!AA282), IFERROR('Raw Data'!AA282 = ROUND('Raw Data'!AA282, 2),FALSE)),"",_xlfn.REGEXEXTRACT(CELL("address",AA282), "\$([A-Z]+)\$[0-9]+"))),_xlfn.REGEXEXTRACT(CELL("address",AA282), "\$([A-Z]+)\$[0-9]+"))</f>
        <v/>
      </c>
      <c r="AB282" s="7" t="str" cm="1">
        <f t="array" aca="1" ref="AB282" ca="1">IFERROR(IF(OR('Raw Data'!AB282="",LEN(TRIM('Raw Data'!AB282))=0),"",IF(AND(ISNUMBER('Raw Data'!AB282), IFERROR('Raw Data'!AB282 = ROUND('Raw Data'!AB282, 2),FALSE)),"",_xlfn.REGEXEXTRACT(CELL("address",AB282), "\$([A-Z]+)\$[0-9]+"))),_xlfn.REGEXEXTRACT(CELL("address",AB282), "\$([A-Z]+)\$[0-9]+"))</f>
        <v/>
      </c>
      <c r="AC282" s="7" t="str" cm="1">
        <f t="array" aca="1" ref="AC282" ca="1">IFERROR(IF(OR('Raw Data'!AC282="",LEN(TRIM('Raw Data'!AC282))=0),"",IF(AND(ISNUMBER('Raw Data'!AC282), IFERROR('Raw Data'!AC282 = ROUND('Raw Data'!AC282, 2),FALSE)),"",_xlfn.REGEXEXTRACT(CELL("address",AC282), "\$([A-Z]+)\$[0-9]+"))),_xlfn.REGEXEXTRACT(CELL("address",AC282), "\$([A-Z]+)\$[0-9]+"))</f>
        <v/>
      </c>
      <c r="AD282" s="7" t="str" cm="1">
        <f t="array" aca="1" ref="AD282" ca="1">IFERROR(IF(OR('Raw Data'!AD282="",LEN(TRIM('Raw Data'!AD282))=0),"",IF(AND(ISNUMBER('Raw Data'!AD282), IFERROR('Raw Data'!AD282 = ROUND('Raw Data'!AD282, 2),FALSE)),"",_xlfn.REGEXEXTRACT(CELL("address",AD282), "\$([A-Z]+)\$[0-9]+"))),_xlfn.REGEXEXTRACT(CELL("address",AD282), "\$([A-Z]+)\$[0-9]+"))</f>
        <v/>
      </c>
      <c r="AE282" s="7" t="str" cm="1">
        <f t="array" aca="1" ref="AE282" ca="1">IFERROR(IF(OR('Raw Data'!AE282="",LEN(TRIM('Raw Data'!AE282))=0),"",IF(AND(ISNUMBER('Raw Data'!AE282), IFERROR('Raw Data'!AE282 = ROUND('Raw Data'!AE282, 2),FALSE)),"",_xlfn.REGEXEXTRACT(CELL("address",AE282), "\$([A-Z]+)\$[0-9]+"))),_xlfn.REGEXEXTRACT(CELL("address",AE282), "\$([A-Z]+)\$[0-9]+"))</f>
        <v/>
      </c>
      <c r="AF282" s="7" t="str" cm="1">
        <f t="array" aca="1" ref="AF282" ca="1">IFERROR(IF(OR('Raw Data'!AF282="",LEN(TRIM('Raw Data'!AF282))=0),"",IF(AND(ISNUMBER('Raw Data'!AF282), IFERROR('Raw Data'!AF282 = ROUND('Raw Data'!AF282, 2),FALSE)),"",_xlfn.REGEXEXTRACT(CELL("address",AF282), "\$([A-Z]+)\$[0-9]+"))),_xlfn.REGEXEXTRACT(CELL("address",AF282), "\$([A-Z]+)\$[0-9]+"))</f>
        <v/>
      </c>
      <c r="AG282" s="7" t="str" cm="1">
        <f t="array" aca="1" ref="AG282" ca="1">IFERROR(IF(OR('Raw Data'!AG282="",LEN(TRIM('Raw Data'!AG282))=0),"",IF(AND(ISNUMBER('Raw Data'!AG282), IFERROR('Raw Data'!AG282 = ROUND('Raw Data'!AG282, 2),FALSE)),"",_xlfn.REGEXEXTRACT(CELL("address",AG282), "\$([A-Z]+)\$[0-9]+"))),_xlfn.REGEXEXTRACT(CELL("address",AG282), "\$([A-Z]+)\$[0-9]+"))</f>
        <v/>
      </c>
      <c r="AH282" s="7" t="str" cm="1">
        <f t="array" aca="1" ref="AH282" ca="1">IFERROR(IF(OR('Raw Data'!AH282="",LEN(TRIM('Raw Data'!AH282))=0),"",IF(AND(ISNUMBER('Raw Data'!AH282), IFERROR('Raw Data'!AH282 = ROUND('Raw Data'!AH282, 2),FALSE)),"",_xlfn.REGEXEXTRACT(CELL("address",AH282), "\$([A-Z]+)\$[0-9]+"))),_xlfn.REGEXEXTRACT(CELL("address",AH282), "\$([A-Z]+)\$[0-9]+"))</f>
        <v/>
      </c>
      <c r="AI282" s="7" t="str" cm="1">
        <f t="array" aca="1" ref="AI282" ca="1">IFERROR(IF(OR('Raw Data'!AI282="",LEN(TRIM('Raw Data'!AI282))=0),"",IF(AND(ISNUMBER('Raw Data'!AI282), IFERROR('Raw Data'!AI282 = ROUND('Raw Data'!AI282, 2),FALSE)),"",_xlfn.REGEXEXTRACT(CELL("address",AI282), "\$([A-Z]+)\$[0-9]+"))),_xlfn.REGEXEXTRACT(CELL("address",AI282), "\$([A-Z]+)\$[0-9]+"))</f>
        <v/>
      </c>
      <c r="AJ282" s="7" t="str" cm="1">
        <f t="array" aca="1" ref="AJ282" ca="1">IFERROR(IF(OR('Raw Data'!AJ282="",LEN(TRIM('Raw Data'!AJ282))=0),"",IF(AND(ISNUMBER('Raw Data'!AJ282), IFERROR('Raw Data'!AJ282 = ROUND('Raw Data'!AJ282, 2),FALSE)),"",_xlfn.REGEXEXTRACT(CELL("address",AJ282), "\$([A-Z]+)\$[0-9]+"))),_xlfn.REGEXEXTRACT(CELL("address",AJ282), "\$([A-Z]+)\$[0-9]+"))</f>
        <v/>
      </c>
    </row>
    <row r="283" spans="2:36" x14ac:dyDescent="0.25">
      <c r="B283" s="7" t="str" cm="1">
        <f t="array" aca="1" ref="B283" ca="1">IFERROR(IF(OR('Raw Data'!B283="",LEN(TRIM('Raw Data'!B283))=0),"",IF(AND(LEN('Raw Data'!B283) &lt;= 255,LEN('Raw Data'!B283)&gt; 0),"",_xlfn.REGEXEXTRACT(CELL("address",'Raw Data'!B283),"\$([A-Z]+)\$[0-9]+"))),_xlfn.REGEXEXTRACT(CELL("address",'Raw Data'!B283),"\$([A-Z]+)\$[0-9]+"))</f>
        <v/>
      </c>
      <c r="C283" s="7" t="str" cm="1">
        <f t="array" aca="1" ref="C283" ca="1">IFERROR(IF(OR('Raw Data'!C283="",LEN(TRIM('Raw Data'!C283))=0),"",IF(AND(LEN('Raw Data'!C283) &lt;= 20,LEN('Raw Data'!C283)&gt; 0),"",_xlfn.REGEXEXTRACT(CELL("address",'Raw Data'!C283),"\$([A-Z]+)\$[0-9]+"))),_xlfn.REGEXEXTRACT(CELL("address",'Raw Data'!C283),"\$([A-Z]+)\$[0-9]+"))</f>
        <v/>
      </c>
      <c r="D283" s="7" t="str" cm="1">
        <f t="array" aca="1" ref="D283" ca="1">IFERROR(IF(OR('Raw Data'!D283="",LEN(TRIM('Raw Data'!D283))=0),"",IF(AND(ISNUMBER('Raw Data'!D283),'Raw Data'!D283&gt;=Configuration!$D$2),"",_xlfn.REGEXEXTRACT(CELL("address",'Raw Data'!D283),"\$([A-Z]+)\$[0-9]+"))),_xlfn.REGEXEXTRACT(CELL("address",D283), "\$([A-Z]+)\$[0-9]+"))</f>
        <v/>
      </c>
      <c r="E283" s="7" t="str" cm="1">
        <f t="array" aca="1" ref="E283" ca="1">IFERROR(IF(OR('Raw Data'!E283="",LEN(TRIM('Raw Data'!E283))=0),"",IF(AND(ISNUMBER('Raw Data'!E283), IFERROR('Raw Data'!E283 = ROUND('Raw Data'!E283, 2),FALSE)),"",_xlfn.REGEXEXTRACT(CELL("address",E283), "\$([A-Z]+)\$[0-9]+"))),_xlfn.REGEXEXTRACT(CELL("address",E283), "\$([A-Z]+)\$[0-9]+"))</f>
        <v/>
      </c>
      <c r="F283" s="7" t="str" cm="1">
        <f t="array" aca="1" ref="F283" ca="1">IFERROR(IF(OR('Raw Data'!F283="",LEN(TRIM('Raw Data'!F283))=0),"",IF(AND(ISNUMBER('Raw Data'!F283), IFERROR('Raw Data'!F283 = ROUND('Raw Data'!F283, 2),FALSE)),"",_xlfn.REGEXEXTRACT(CELL("address",F283), "\$([A-Z]+)\$[0-9]+"))),_xlfn.REGEXEXTRACT(CELL("address",F283), "\$([A-Z]+)\$[0-9]+"))</f>
        <v/>
      </c>
      <c r="G283" s="7" t="str" cm="1">
        <f t="array" aca="1" ref="G283" ca="1">IFERROR(IF(OR('Raw Data'!G283="",LEN(TRIM('Raw Data'!G283))=0),"",IF(AND(ISNUMBER('Raw Data'!G283), IFERROR('Raw Data'!G283 = ROUND('Raw Data'!G283, 2),FALSE)),"",_xlfn.REGEXEXTRACT(CELL("address",G283), "\$([A-Z]+)\$[0-9]+"))),_xlfn.REGEXEXTRACT(CELL("address",G283), "\$([A-Z]+)\$[0-9]+"))</f>
        <v/>
      </c>
      <c r="H283" s="7" t="str" cm="1">
        <f t="array" aca="1" ref="H283" ca="1">IFERROR(IF(OR('Raw Data'!H283="",LEN(TRIM('Raw Data'!H283))=0),"",IF(AND(ISNUMBER('Raw Data'!H283), IFERROR('Raw Data'!H283 = ROUND('Raw Data'!H283, 2),FALSE)),"",_xlfn.REGEXEXTRACT(CELL("address",H283), "\$([A-Z]+)\$[0-9]+"))),_xlfn.REGEXEXTRACT(CELL("address",H283), "\$([A-Z]+)\$[0-9]+"))</f>
        <v/>
      </c>
      <c r="I283" s="7" t="str" cm="1">
        <f t="array" aca="1" ref="I283" ca="1">IFERROR(IF(OR('Raw Data'!I283="",LEN(TRIM('Raw Data'!I283))=0),"",IF(AND(ISNUMBER('Raw Data'!I283), IFERROR('Raw Data'!I283 = ROUND('Raw Data'!I283, 2),FALSE)),"",_xlfn.REGEXEXTRACT(CELL("address",I283), "\$([A-Z]+)\$[0-9]+"))),_xlfn.REGEXEXTRACT(CELL("address",I283), "\$([A-Z]+)\$[0-9]+"))</f>
        <v/>
      </c>
      <c r="J283" s="7" t="str" cm="1">
        <f t="array" aca="1" ref="J283" ca="1">IFERROR(IF(OR('Raw Data'!J283="",LEN(TRIM('Raw Data'!J283))=0),"",IF(AND(ISNUMBER('Raw Data'!J283), IFERROR('Raw Data'!J283 = ROUND('Raw Data'!J283, 2),FALSE)),"",_xlfn.REGEXEXTRACT(CELL("address",J283), "\$([A-Z]+)\$[0-9]+"))),_xlfn.REGEXEXTRACT(CELL("address",J283), "\$([A-Z]+)\$[0-9]+"))</f>
        <v/>
      </c>
      <c r="K283" s="7" t="str" cm="1">
        <f t="array" aca="1" ref="K283" ca="1">IFERROR(IF(OR('Raw Data'!K283="",LEN(TRIM('Raw Data'!K283))=0),"",IF(AND(ISNUMBER('Raw Data'!K283), IFERROR('Raw Data'!K283 = ROUND('Raw Data'!K283, 2),FALSE)),"",_xlfn.REGEXEXTRACT(CELL("address",K283), "\$([A-Z]+)\$[0-9]+"))),_xlfn.REGEXEXTRACT(CELL("address",K283), "\$([A-Z]+)\$[0-9]+"))</f>
        <v/>
      </c>
      <c r="L283" s="7" t="str" cm="1">
        <f t="array" aca="1" ref="L283" ca="1">IFERROR(IF(OR('Raw Data'!L283="",LEN(TRIM('Raw Data'!L283))=0),"",IF(AND(ISNUMBER('Raw Data'!L283), IFERROR('Raw Data'!L283 = ROUND('Raw Data'!L283, 2),FALSE)),"",_xlfn.REGEXEXTRACT(CELL("address",L283), "\$([A-Z]+)\$[0-9]+"))),_xlfn.REGEXEXTRACT(CELL("address",L283), "\$([A-Z]+)\$[0-9]+"))</f>
        <v/>
      </c>
      <c r="M283" s="7" t="str" cm="1">
        <f t="array" aca="1" ref="M283" ca="1">IFERROR(IF(OR('Raw Data'!M283="",LEN(TRIM('Raw Data'!M283))=0),"",IF(AND(ISNUMBER('Raw Data'!M283), IFERROR('Raw Data'!M283 = ROUND('Raw Data'!M283, 2),FALSE)),"",_xlfn.REGEXEXTRACT(CELL("address",M283), "\$([A-Z]+)\$[0-9]+"))),_xlfn.REGEXEXTRACT(CELL("address",M283), "\$([A-Z]+)\$[0-9]+"))</f>
        <v/>
      </c>
      <c r="N283" s="7" t="str" cm="1">
        <f t="array" aca="1" ref="N283" ca="1">IFERROR(IF(OR('Raw Data'!N283="",LEN(TRIM('Raw Data'!N283))=0),"",IF(AND(ISNUMBER('Raw Data'!N283), IFERROR('Raw Data'!N283 = ROUND('Raw Data'!N283, 2),FALSE)),"",_xlfn.REGEXEXTRACT(CELL("address",N283), "\$([A-Z]+)\$[0-9]+"))),_xlfn.REGEXEXTRACT(CELL("address",N283), "\$([A-Z]+)\$[0-9]+"))</f>
        <v/>
      </c>
      <c r="O283" s="7" t="str" cm="1">
        <f t="array" aca="1" ref="O283" ca="1">IFERROR(IF(OR('Raw Data'!O283="",LEN(TRIM('Raw Data'!O283))=0),"",IF(AND(ISNUMBER('Raw Data'!O283), IFERROR('Raw Data'!O283 = ROUND('Raw Data'!O283, 2),FALSE)),"",_xlfn.REGEXEXTRACT(CELL("address",O283), "\$([A-Z]+)\$[0-9]+"))),_xlfn.REGEXEXTRACT(CELL("address",O283), "\$([A-Z]+)\$[0-9]+"))</f>
        <v/>
      </c>
      <c r="P283" s="7" t="str" cm="1">
        <f t="array" aca="1" ref="P283" ca="1">IFERROR(IF(OR('Raw Data'!P283="",LEN(TRIM('Raw Data'!P283))=0),"",IF(AND(ISNUMBER('Raw Data'!P283), IFERROR('Raw Data'!P283 = ROUND('Raw Data'!P283, 2),FALSE)),"",_xlfn.REGEXEXTRACT(CELL("address",P283), "\$([A-Z]+)\$[0-9]+"))),_xlfn.REGEXEXTRACT(CELL("address",P283), "\$([A-Z]+)\$[0-9]+"))</f>
        <v/>
      </c>
      <c r="Q283" s="7" t="str" cm="1">
        <f t="array" aca="1" ref="Q283" ca="1">IFERROR(IF(OR('Raw Data'!Q283="",LEN(TRIM('Raw Data'!Q283))=0),"",IF(AND(ISNUMBER('Raw Data'!Q283), IFERROR('Raw Data'!Q283 = ROUND('Raw Data'!Q283, 2),FALSE)),"",_xlfn.REGEXEXTRACT(CELL("address",Q283), "\$([A-Z]+)\$[0-9]+"))),_xlfn.REGEXEXTRACT(CELL("address",Q283), "\$([A-Z]+)\$[0-9]+"))</f>
        <v/>
      </c>
      <c r="R283" s="7" t="str" cm="1">
        <f t="array" aca="1" ref="R283" ca="1">IFERROR(IF(OR('Raw Data'!R283="",LEN(TRIM('Raw Data'!R283))=0),"",IF(AND(ISNUMBER('Raw Data'!R283), IFERROR('Raw Data'!R283 = ROUND('Raw Data'!R283, 2),FALSE)),"",_xlfn.REGEXEXTRACT(CELL("address",R283), "\$([A-Z]+)\$[0-9]+"))),_xlfn.REGEXEXTRACT(CELL("address",R283), "\$([A-Z]+)\$[0-9]+"))</f>
        <v/>
      </c>
      <c r="S283" s="7" t="str" cm="1">
        <f t="array" aca="1" ref="S283" ca="1">IFERROR(IF(OR('Raw Data'!S283="",LEN(TRIM('Raw Data'!S283))=0),"",IF(AND(ISNUMBER('Raw Data'!S283), IFERROR('Raw Data'!S283 = ROUND('Raw Data'!S283, 2),FALSE)),"",_xlfn.REGEXEXTRACT(CELL("address",S283), "\$([A-Z]+)\$[0-9]+"))),_xlfn.REGEXEXTRACT(CELL("address",S283), "\$([A-Z]+)\$[0-9]+"))</f>
        <v/>
      </c>
      <c r="T283" s="7" t="str" cm="1">
        <f t="array" aca="1" ref="T283" ca="1">IFERROR(IF(OR('Raw Data'!T283="",LEN(TRIM('Raw Data'!T283))=0),"",IF(AND(ISNUMBER('Raw Data'!T283), IFERROR('Raw Data'!T283 = ROUND('Raw Data'!T283, 2),FALSE)),"",_xlfn.REGEXEXTRACT(CELL("address",T283), "\$([A-Z]+)\$[0-9]+"))),_xlfn.REGEXEXTRACT(CELL("address",T283), "\$([A-Z]+)\$[0-9]+"))</f>
        <v/>
      </c>
      <c r="U283" s="7" t="str" cm="1">
        <f t="array" aca="1" ref="U283" ca="1">IFERROR(IF(OR('Raw Data'!U283="",LEN(TRIM('Raw Data'!U283))=0),"",IF(AND(ISNUMBER('Raw Data'!U283), IFERROR('Raw Data'!U283 = ROUND('Raw Data'!U283, 2),FALSE)),"",_xlfn.REGEXEXTRACT(CELL("address",U283), "\$([A-Z]+)\$[0-9]+"))),_xlfn.REGEXEXTRACT(CELL("address",U283), "\$([A-Z]+)\$[0-9]+"))</f>
        <v/>
      </c>
      <c r="V283" s="7" t="str" cm="1">
        <f t="array" aca="1" ref="V283" ca="1">IFERROR(IF(OR('Raw Data'!V283="",LEN(TRIM('Raw Data'!V283))=0),"",IF(AND(ISNUMBER('Raw Data'!V283), IFERROR('Raw Data'!V283 = ROUND('Raw Data'!V283, 2),FALSE)),"",_xlfn.REGEXEXTRACT(CELL("address",V283), "\$([A-Z]+)\$[0-9]+"))),_xlfn.REGEXEXTRACT(CELL("address",V283), "\$([A-Z]+)\$[0-9]+"))</f>
        <v/>
      </c>
      <c r="W283" s="7" t="str" cm="1">
        <f t="array" aca="1" ref="W283" ca="1">IFERROR(IF(OR('Raw Data'!W283="",LEN(TRIM('Raw Data'!W283))=0),"",IF(AND(ISNUMBER('Raw Data'!W283), IFERROR('Raw Data'!W283 = ROUND('Raw Data'!W283, 2),FALSE)),"",_xlfn.REGEXEXTRACT(CELL("address",W283), "\$([A-Z]+)\$[0-9]+"))),_xlfn.REGEXEXTRACT(CELL("address",W283), "\$([A-Z]+)\$[0-9]+"))</f>
        <v/>
      </c>
      <c r="X283" s="7" t="str" cm="1">
        <f t="array" aca="1" ref="X283" ca="1">IFERROR(IF(OR('Raw Data'!X283="",LEN(TRIM('Raw Data'!X283))=0),"",IF(AND(ISNUMBER('Raw Data'!X283), IFERROR('Raw Data'!X283 = ROUND('Raw Data'!X283, 2),FALSE)),"",_xlfn.REGEXEXTRACT(CELL("address",X283), "\$([A-Z]+)\$[0-9]+"))),_xlfn.REGEXEXTRACT(CELL("address",X283), "\$([A-Z]+)\$[0-9]+"))</f>
        <v/>
      </c>
      <c r="Y283" s="7" t="str" cm="1">
        <f t="array" aca="1" ref="Y283" ca="1">IFERROR(IF(OR('Raw Data'!Y283="",LEN(TRIM('Raw Data'!Y283))=0),"",IF(AND(ISNUMBER('Raw Data'!Y283), IFERROR('Raw Data'!Y283 = ROUND('Raw Data'!Y283, 2),FALSE)),"",_xlfn.REGEXEXTRACT(CELL("address",Y283), "\$([A-Z]+)\$[0-9]+"))),_xlfn.REGEXEXTRACT(CELL("address",Y283), "\$([A-Z]+)\$[0-9]+"))</f>
        <v/>
      </c>
      <c r="Z283" s="7" t="str" cm="1">
        <f t="array" aca="1" ref="Z283" ca="1">IFERROR(IF(OR('Raw Data'!Z283="",LEN(TRIM('Raw Data'!Z283))=0),"",IF(AND(ISNUMBER('Raw Data'!Z283), IFERROR('Raw Data'!Z283 = ROUND('Raw Data'!Z283, 2),FALSE)),"",_xlfn.REGEXEXTRACT(CELL("address",Z283), "\$([A-Z]+)\$[0-9]+"))),_xlfn.REGEXEXTRACT(CELL("address",Z283), "\$([A-Z]+)\$[0-9]+"))</f>
        <v/>
      </c>
      <c r="AA283" s="7" t="str" cm="1">
        <f t="array" aca="1" ref="AA283" ca="1">IFERROR(IF(OR('Raw Data'!AA283="",LEN(TRIM('Raw Data'!AA283))=0),"",IF(AND(ISNUMBER('Raw Data'!AA283), IFERROR('Raw Data'!AA283 = ROUND('Raw Data'!AA283, 2),FALSE)),"",_xlfn.REGEXEXTRACT(CELL("address",AA283), "\$([A-Z]+)\$[0-9]+"))),_xlfn.REGEXEXTRACT(CELL("address",AA283), "\$([A-Z]+)\$[0-9]+"))</f>
        <v/>
      </c>
      <c r="AB283" s="7" t="str" cm="1">
        <f t="array" aca="1" ref="AB283" ca="1">IFERROR(IF(OR('Raw Data'!AB283="",LEN(TRIM('Raw Data'!AB283))=0),"",IF(AND(ISNUMBER('Raw Data'!AB283), IFERROR('Raw Data'!AB283 = ROUND('Raw Data'!AB283, 2),FALSE)),"",_xlfn.REGEXEXTRACT(CELL("address",AB283), "\$([A-Z]+)\$[0-9]+"))),_xlfn.REGEXEXTRACT(CELL("address",AB283), "\$([A-Z]+)\$[0-9]+"))</f>
        <v/>
      </c>
      <c r="AC283" s="7" t="str" cm="1">
        <f t="array" aca="1" ref="AC283" ca="1">IFERROR(IF(OR('Raw Data'!AC283="",LEN(TRIM('Raw Data'!AC283))=0),"",IF(AND(ISNUMBER('Raw Data'!AC283), IFERROR('Raw Data'!AC283 = ROUND('Raw Data'!AC283, 2),FALSE)),"",_xlfn.REGEXEXTRACT(CELL("address",AC283), "\$([A-Z]+)\$[0-9]+"))),_xlfn.REGEXEXTRACT(CELL("address",AC283), "\$([A-Z]+)\$[0-9]+"))</f>
        <v/>
      </c>
      <c r="AD283" s="7" t="str" cm="1">
        <f t="array" aca="1" ref="AD283" ca="1">IFERROR(IF(OR('Raw Data'!AD283="",LEN(TRIM('Raw Data'!AD283))=0),"",IF(AND(ISNUMBER('Raw Data'!AD283), IFERROR('Raw Data'!AD283 = ROUND('Raw Data'!AD283, 2),FALSE)),"",_xlfn.REGEXEXTRACT(CELL("address",AD283), "\$([A-Z]+)\$[0-9]+"))),_xlfn.REGEXEXTRACT(CELL("address",AD283), "\$([A-Z]+)\$[0-9]+"))</f>
        <v/>
      </c>
      <c r="AE283" s="7" t="str" cm="1">
        <f t="array" aca="1" ref="AE283" ca="1">IFERROR(IF(OR('Raw Data'!AE283="",LEN(TRIM('Raw Data'!AE283))=0),"",IF(AND(ISNUMBER('Raw Data'!AE283), IFERROR('Raw Data'!AE283 = ROUND('Raw Data'!AE283, 2),FALSE)),"",_xlfn.REGEXEXTRACT(CELL("address",AE283), "\$([A-Z]+)\$[0-9]+"))),_xlfn.REGEXEXTRACT(CELL("address",AE283), "\$([A-Z]+)\$[0-9]+"))</f>
        <v/>
      </c>
      <c r="AF283" s="7" t="str" cm="1">
        <f t="array" aca="1" ref="AF283" ca="1">IFERROR(IF(OR('Raw Data'!AF283="",LEN(TRIM('Raw Data'!AF283))=0),"",IF(AND(ISNUMBER('Raw Data'!AF283), IFERROR('Raw Data'!AF283 = ROUND('Raw Data'!AF283, 2),FALSE)),"",_xlfn.REGEXEXTRACT(CELL("address",AF283), "\$([A-Z]+)\$[0-9]+"))),_xlfn.REGEXEXTRACT(CELL("address",AF283), "\$([A-Z]+)\$[0-9]+"))</f>
        <v/>
      </c>
      <c r="AG283" s="7" t="str" cm="1">
        <f t="array" aca="1" ref="AG283" ca="1">IFERROR(IF(OR('Raw Data'!AG283="",LEN(TRIM('Raw Data'!AG283))=0),"",IF(AND(ISNUMBER('Raw Data'!AG283), IFERROR('Raw Data'!AG283 = ROUND('Raw Data'!AG283, 2),FALSE)),"",_xlfn.REGEXEXTRACT(CELL("address",AG283), "\$([A-Z]+)\$[0-9]+"))),_xlfn.REGEXEXTRACT(CELL("address",AG283), "\$([A-Z]+)\$[0-9]+"))</f>
        <v/>
      </c>
      <c r="AH283" s="7" t="str" cm="1">
        <f t="array" aca="1" ref="AH283" ca="1">IFERROR(IF(OR('Raw Data'!AH283="",LEN(TRIM('Raw Data'!AH283))=0),"",IF(AND(ISNUMBER('Raw Data'!AH283), IFERROR('Raw Data'!AH283 = ROUND('Raw Data'!AH283, 2),FALSE)),"",_xlfn.REGEXEXTRACT(CELL("address",AH283), "\$([A-Z]+)\$[0-9]+"))),_xlfn.REGEXEXTRACT(CELL("address",AH283), "\$([A-Z]+)\$[0-9]+"))</f>
        <v/>
      </c>
      <c r="AI283" s="7" t="str" cm="1">
        <f t="array" aca="1" ref="AI283" ca="1">IFERROR(IF(OR('Raw Data'!AI283="",LEN(TRIM('Raw Data'!AI283))=0),"",IF(AND(ISNUMBER('Raw Data'!AI283), IFERROR('Raw Data'!AI283 = ROUND('Raw Data'!AI283, 2),FALSE)),"",_xlfn.REGEXEXTRACT(CELL("address",AI283), "\$([A-Z]+)\$[0-9]+"))),_xlfn.REGEXEXTRACT(CELL("address",AI283), "\$([A-Z]+)\$[0-9]+"))</f>
        <v/>
      </c>
      <c r="AJ283" s="7" t="str" cm="1">
        <f t="array" aca="1" ref="AJ283" ca="1">IFERROR(IF(OR('Raw Data'!AJ283="",LEN(TRIM('Raw Data'!AJ283))=0),"",IF(AND(ISNUMBER('Raw Data'!AJ283), IFERROR('Raw Data'!AJ283 = ROUND('Raw Data'!AJ283, 2),FALSE)),"",_xlfn.REGEXEXTRACT(CELL("address",AJ283), "\$([A-Z]+)\$[0-9]+"))),_xlfn.REGEXEXTRACT(CELL("address",AJ283), "\$([A-Z]+)\$[0-9]+"))</f>
        <v/>
      </c>
    </row>
    <row r="284" spans="2:36" x14ac:dyDescent="0.25">
      <c r="B284" s="7" t="str" cm="1">
        <f t="array" aca="1" ref="B284" ca="1">IFERROR(IF(OR('Raw Data'!B284="",LEN(TRIM('Raw Data'!B284))=0),"",IF(AND(LEN('Raw Data'!B284) &lt;= 255,LEN('Raw Data'!B284)&gt; 0),"",_xlfn.REGEXEXTRACT(CELL("address",'Raw Data'!B284),"\$([A-Z]+)\$[0-9]+"))),_xlfn.REGEXEXTRACT(CELL("address",'Raw Data'!B284),"\$([A-Z]+)\$[0-9]+"))</f>
        <v/>
      </c>
      <c r="C284" s="7" t="str" cm="1">
        <f t="array" aca="1" ref="C284" ca="1">IFERROR(IF(OR('Raw Data'!C284="",LEN(TRIM('Raw Data'!C284))=0),"",IF(AND(LEN('Raw Data'!C284) &lt;= 20,LEN('Raw Data'!C284)&gt; 0),"",_xlfn.REGEXEXTRACT(CELL("address",'Raw Data'!C284),"\$([A-Z]+)\$[0-9]+"))),_xlfn.REGEXEXTRACT(CELL("address",'Raw Data'!C284),"\$([A-Z]+)\$[0-9]+"))</f>
        <v/>
      </c>
      <c r="D284" s="7" t="str" cm="1">
        <f t="array" aca="1" ref="D284" ca="1">IFERROR(IF(OR('Raw Data'!D284="",LEN(TRIM('Raw Data'!D284))=0),"",IF(AND(ISNUMBER('Raw Data'!D284),'Raw Data'!D284&gt;=Configuration!$D$2),"",_xlfn.REGEXEXTRACT(CELL("address",'Raw Data'!D284),"\$([A-Z]+)\$[0-9]+"))),_xlfn.REGEXEXTRACT(CELL("address",D284), "\$([A-Z]+)\$[0-9]+"))</f>
        <v/>
      </c>
      <c r="E284" s="7" t="str" cm="1">
        <f t="array" aca="1" ref="E284" ca="1">IFERROR(IF(OR('Raw Data'!E284="",LEN(TRIM('Raw Data'!E284))=0),"",IF(AND(ISNUMBER('Raw Data'!E284), IFERROR('Raw Data'!E284 = ROUND('Raw Data'!E284, 2),FALSE)),"",_xlfn.REGEXEXTRACT(CELL("address",E284), "\$([A-Z]+)\$[0-9]+"))),_xlfn.REGEXEXTRACT(CELL("address",E284), "\$([A-Z]+)\$[0-9]+"))</f>
        <v/>
      </c>
      <c r="F284" s="7" t="str" cm="1">
        <f t="array" aca="1" ref="F284" ca="1">IFERROR(IF(OR('Raw Data'!F284="",LEN(TRIM('Raw Data'!F284))=0),"",IF(AND(ISNUMBER('Raw Data'!F284), IFERROR('Raw Data'!F284 = ROUND('Raw Data'!F284, 2),FALSE)),"",_xlfn.REGEXEXTRACT(CELL("address",F284), "\$([A-Z]+)\$[0-9]+"))),_xlfn.REGEXEXTRACT(CELL("address",F284), "\$([A-Z]+)\$[0-9]+"))</f>
        <v/>
      </c>
      <c r="G284" s="7" t="str" cm="1">
        <f t="array" aca="1" ref="G284" ca="1">IFERROR(IF(OR('Raw Data'!G284="",LEN(TRIM('Raw Data'!G284))=0),"",IF(AND(ISNUMBER('Raw Data'!G284), IFERROR('Raw Data'!G284 = ROUND('Raw Data'!G284, 2),FALSE)),"",_xlfn.REGEXEXTRACT(CELL("address",G284), "\$([A-Z]+)\$[0-9]+"))),_xlfn.REGEXEXTRACT(CELL("address",G284), "\$([A-Z]+)\$[0-9]+"))</f>
        <v/>
      </c>
      <c r="H284" s="7" t="str" cm="1">
        <f t="array" aca="1" ref="H284" ca="1">IFERROR(IF(OR('Raw Data'!H284="",LEN(TRIM('Raw Data'!H284))=0),"",IF(AND(ISNUMBER('Raw Data'!H284), IFERROR('Raw Data'!H284 = ROUND('Raw Data'!H284, 2),FALSE)),"",_xlfn.REGEXEXTRACT(CELL("address",H284), "\$([A-Z]+)\$[0-9]+"))),_xlfn.REGEXEXTRACT(CELL("address",H284), "\$([A-Z]+)\$[0-9]+"))</f>
        <v/>
      </c>
      <c r="I284" s="7" t="str" cm="1">
        <f t="array" aca="1" ref="I284" ca="1">IFERROR(IF(OR('Raw Data'!I284="",LEN(TRIM('Raw Data'!I284))=0),"",IF(AND(ISNUMBER('Raw Data'!I284), IFERROR('Raw Data'!I284 = ROUND('Raw Data'!I284, 2),FALSE)),"",_xlfn.REGEXEXTRACT(CELL("address",I284), "\$([A-Z]+)\$[0-9]+"))),_xlfn.REGEXEXTRACT(CELL("address",I284), "\$([A-Z]+)\$[0-9]+"))</f>
        <v/>
      </c>
      <c r="J284" s="7" t="str" cm="1">
        <f t="array" aca="1" ref="J284" ca="1">IFERROR(IF(OR('Raw Data'!J284="",LEN(TRIM('Raw Data'!J284))=0),"",IF(AND(ISNUMBER('Raw Data'!J284), IFERROR('Raw Data'!J284 = ROUND('Raw Data'!J284, 2),FALSE)),"",_xlfn.REGEXEXTRACT(CELL("address",J284), "\$([A-Z]+)\$[0-9]+"))),_xlfn.REGEXEXTRACT(CELL("address",J284), "\$([A-Z]+)\$[0-9]+"))</f>
        <v/>
      </c>
      <c r="K284" s="7" t="str" cm="1">
        <f t="array" aca="1" ref="K284" ca="1">IFERROR(IF(OR('Raw Data'!K284="",LEN(TRIM('Raw Data'!K284))=0),"",IF(AND(ISNUMBER('Raw Data'!K284), IFERROR('Raw Data'!K284 = ROUND('Raw Data'!K284, 2),FALSE)),"",_xlfn.REGEXEXTRACT(CELL("address",K284), "\$([A-Z]+)\$[0-9]+"))),_xlfn.REGEXEXTRACT(CELL("address",K284), "\$([A-Z]+)\$[0-9]+"))</f>
        <v/>
      </c>
      <c r="L284" s="7" t="str" cm="1">
        <f t="array" aca="1" ref="L284" ca="1">IFERROR(IF(OR('Raw Data'!L284="",LEN(TRIM('Raw Data'!L284))=0),"",IF(AND(ISNUMBER('Raw Data'!L284), IFERROR('Raw Data'!L284 = ROUND('Raw Data'!L284, 2),FALSE)),"",_xlfn.REGEXEXTRACT(CELL("address",L284), "\$([A-Z]+)\$[0-9]+"))),_xlfn.REGEXEXTRACT(CELL("address",L284), "\$([A-Z]+)\$[0-9]+"))</f>
        <v/>
      </c>
      <c r="M284" s="7" t="str" cm="1">
        <f t="array" aca="1" ref="M284" ca="1">IFERROR(IF(OR('Raw Data'!M284="",LEN(TRIM('Raw Data'!M284))=0),"",IF(AND(ISNUMBER('Raw Data'!M284), IFERROR('Raw Data'!M284 = ROUND('Raw Data'!M284, 2),FALSE)),"",_xlfn.REGEXEXTRACT(CELL("address",M284), "\$([A-Z]+)\$[0-9]+"))),_xlfn.REGEXEXTRACT(CELL("address",M284), "\$([A-Z]+)\$[0-9]+"))</f>
        <v/>
      </c>
      <c r="N284" s="7" t="str" cm="1">
        <f t="array" aca="1" ref="N284" ca="1">IFERROR(IF(OR('Raw Data'!N284="",LEN(TRIM('Raw Data'!N284))=0),"",IF(AND(ISNUMBER('Raw Data'!N284), IFERROR('Raw Data'!N284 = ROUND('Raw Data'!N284, 2),FALSE)),"",_xlfn.REGEXEXTRACT(CELL("address",N284), "\$([A-Z]+)\$[0-9]+"))),_xlfn.REGEXEXTRACT(CELL("address",N284), "\$([A-Z]+)\$[0-9]+"))</f>
        <v/>
      </c>
      <c r="O284" s="7" t="str" cm="1">
        <f t="array" aca="1" ref="O284" ca="1">IFERROR(IF(OR('Raw Data'!O284="",LEN(TRIM('Raw Data'!O284))=0),"",IF(AND(ISNUMBER('Raw Data'!O284), IFERROR('Raw Data'!O284 = ROUND('Raw Data'!O284, 2),FALSE)),"",_xlfn.REGEXEXTRACT(CELL("address",O284), "\$([A-Z]+)\$[0-9]+"))),_xlfn.REGEXEXTRACT(CELL("address",O284), "\$([A-Z]+)\$[0-9]+"))</f>
        <v/>
      </c>
      <c r="P284" s="7" t="str" cm="1">
        <f t="array" aca="1" ref="P284" ca="1">IFERROR(IF(OR('Raw Data'!P284="",LEN(TRIM('Raw Data'!P284))=0),"",IF(AND(ISNUMBER('Raw Data'!P284), IFERROR('Raw Data'!P284 = ROUND('Raw Data'!P284, 2),FALSE)),"",_xlfn.REGEXEXTRACT(CELL("address",P284), "\$([A-Z]+)\$[0-9]+"))),_xlfn.REGEXEXTRACT(CELL("address",P284), "\$([A-Z]+)\$[0-9]+"))</f>
        <v/>
      </c>
      <c r="Q284" s="7" t="str" cm="1">
        <f t="array" aca="1" ref="Q284" ca="1">IFERROR(IF(OR('Raw Data'!Q284="",LEN(TRIM('Raw Data'!Q284))=0),"",IF(AND(ISNUMBER('Raw Data'!Q284), IFERROR('Raw Data'!Q284 = ROUND('Raw Data'!Q284, 2),FALSE)),"",_xlfn.REGEXEXTRACT(CELL("address",Q284), "\$([A-Z]+)\$[0-9]+"))),_xlfn.REGEXEXTRACT(CELL("address",Q284), "\$([A-Z]+)\$[0-9]+"))</f>
        <v/>
      </c>
      <c r="R284" s="7" t="str" cm="1">
        <f t="array" aca="1" ref="R284" ca="1">IFERROR(IF(OR('Raw Data'!R284="",LEN(TRIM('Raw Data'!R284))=0),"",IF(AND(ISNUMBER('Raw Data'!R284), IFERROR('Raw Data'!R284 = ROUND('Raw Data'!R284, 2),FALSE)),"",_xlfn.REGEXEXTRACT(CELL("address",R284), "\$([A-Z]+)\$[0-9]+"))),_xlfn.REGEXEXTRACT(CELL("address",R284), "\$([A-Z]+)\$[0-9]+"))</f>
        <v/>
      </c>
      <c r="S284" s="7" t="str" cm="1">
        <f t="array" aca="1" ref="S284" ca="1">IFERROR(IF(OR('Raw Data'!S284="",LEN(TRIM('Raw Data'!S284))=0),"",IF(AND(ISNUMBER('Raw Data'!S284), IFERROR('Raw Data'!S284 = ROUND('Raw Data'!S284, 2),FALSE)),"",_xlfn.REGEXEXTRACT(CELL("address",S284), "\$([A-Z]+)\$[0-9]+"))),_xlfn.REGEXEXTRACT(CELL("address",S284), "\$([A-Z]+)\$[0-9]+"))</f>
        <v/>
      </c>
      <c r="T284" s="7" t="str" cm="1">
        <f t="array" aca="1" ref="T284" ca="1">IFERROR(IF(OR('Raw Data'!T284="",LEN(TRIM('Raw Data'!T284))=0),"",IF(AND(ISNUMBER('Raw Data'!T284), IFERROR('Raw Data'!T284 = ROUND('Raw Data'!T284, 2),FALSE)),"",_xlfn.REGEXEXTRACT(CELL("address",T284), "\$([A-Z]+)\$[0-9]+"))),_xlfn.REGEXEXTRACT(CELL("address",T284), "\$([A-Z]+)\$[0-9]+"))</f>
        <v/>
      </c>
      <c r="U284" s="7" t="str" cm="1">
        <f t="array" aca="1" ref="U284" ca="1">IFERROR(IF(OR('Raw Data'!U284="",LEN(TRIM('Raw Data'!U284))=0),"",IF(AND(ISNUMBER('Raw Data'!U284), IFERROR('Raw Data'!U284 = ROUND('Raw Data'!U284, 2),FALSE)),"",_xlfn.REGEXEXTRACT(CELL("address",U284), "\$([A-Z]+)\$[0-9]+"))),_xlfn.REGEXEXTRACT(CELL("address",U284), "\$([A-Z]+)\$[0-9]+"))</f>
        <v/>
      </c>
      <c r="V284" s="7" t="str" cm="1">
        <f t="array" aca="1" ref="V284" ca="1">IFERROR(IF(OR('Raw Data'!V284="",LEN(TRIM('Raw Data'!V284))=0),"",IF(AND(ISNUMBER('Raw Data'!V284), IFERROR('Raw Data'!V284 = ROUND('Raw Data'!V284, 2),FALSE)),"",_xlfn.REGEXEXTRACT(CELL("address",V284), "\$([A-Z]+)\$[0-9]+"))),_xlfn.REGEXEXTRACT(CELL("address",V284), "\$([A-Z]+)\$[0-9]+"))</f>
        <v/>
      </c>
      <c r="W284" s="7" t="str" cm="1">
        <f t="array" aca="1" ref="W284" ca="1">IFERROR(IF(OR('Raw Data'!W284="",LEN(TRIM('Raw Data'!W284))=0),"",IF(AND(ISNUMBER('Raw Data'!W284), IFERROR('Raw Data'!W284 = ROUND('Raw Data'!W284, 2),FALSE)),"",_xlfn.REGEXEXTRACT(CELL("address",W284), "\$([A-Z]+)\$[0-9]+"))),_xlfn.REGEXEXTRACT(CELL("address",W284), "\$([A-Z]+)\$[0-9]+"))</f>
        <v/>
      </c>
      <c r="X284" s="7" t="str" cm="1">
        <f t="array" aca="1" ref="X284" ca="1">IFERROR(IF(OR('Raw Data'!X284="",LEN(TRIM('Raw Data'!X284))=0),"",IF(AND(ISNUMBER('Raw Data'!X284), IFERROR('Raw Data'!X284 = ROUND('Raw Data'!X284, 2),FALSE)),"",_xlfn.REGEXEXTRACT(CELL("address",X284), "\$([A-Z]+)\$[0-9]+"))),_xlfn.REGEXEXTRACT(CELL("address",X284), "\$([A-Z]+)\$[0-9]+"))</f>
        <v/>
      </c>
      <c r="Y284" s="7" t="str" cm="1">
        <f t="array" aca="1" ref="Y284" ca="1">IFERROR(IF(OR('Raw Data'!Y284="",LEN(TRIM('Raw Data'!Y284))=0),"",IF(AND(ISNUMBER('Raw Data'!Y284), IFERROR('Raw Data'!Y284 = ROUND('Raw Data'!Y284, 2),FALSE)),"",_xlfn.REGEXEXTRACT(CELL("address",Y284), "\$([A-Z]+)\$[0-9]+"))),_xlfn.REGEXEXTRACT(CELL("address",Y284), "\$([A-Z]+)\$[0-9]+"))</f>
        <v/>
      </c>
      <c r="Z284" s="7" t="str" cm="1">
        <f t="array" aca="1" ref="Z284" ca="1">IFERROR(IF(OR('Raw Data'!Z284="",LEN(TRIM('Raw Data'!Z284))=0),"",IF(AND(ISNUMBER('Raw Data'!Z284), IFERROR('Raw Data'!Z284 = ROUND('Raw Data'!Z284, 2),FALSE)),"",_xlfn.REGEXEXTRACT(CELL("address",Z284), "\$([A-Z]+)\$[0-9]+"))),_xlfn.REGEXEXTRACT(CELL("address",Z284), "\$([A-Z]+)\$[0-9]+"))</f>
        <v/>
      </c>
      <c r="AA284" s="7" t="str" cm="1">
        <f t="array" aca="1" ref="AA284" ca="1">IFERROR(IF(OR('Raw Data'!AA284="",LEN(TRIM('Raw Data'!AA284))=0),"",IF(AND(ISNUMBER('Raw Data'!AA284), IFERROR('Raw Data'!AA284 = ROUND('Raw Data'!AA284, 2),FALSE)),"",_xlfn.REGEXEXTRACT(CELL("address",AA284), "\$([A-Z]+)\$[0-9]+"))),_xlfn.REGEXEXTRACT(CELL("address",AA284), "\$([A-Z]+)\$[0-9]+"))</f>
        <v/>
      </c>
      <c r="AB284" s="7" t="str" cm="1">
        <f t="array" aca="1" ref="AB284" ca="1">IFERROR(IF(OR('Raw Data'!AB284="",LEN(TRIM('Raw Data'!AB284))=0),"",IF(AND(ISNUMBER('Raw Data'!AB284), IFERROR('Raw Data'!AB284 = ROUND('Raw Data'!AB284, 2),FALSE)),"",_xlfn.REGEXEXTRACT(CELL("address",AB284), "\$([A-Z]+)\$[0-9]+"))),_xlfn.REGEXEXTRACT(CELL("address",AB284), "\$([A-Z]+)\$[0-9]+"))</f>
        <v/>
      </c>
      <c r="AC284" s="7" t="str" cm="1">
        <f t="array" aca="1" ref="AC284" ca="1">IFERROR(IF(OR('Raw Data'!AC284="",LEN(TRIM('Raw Data'!AC284))=0),"",IF(AND(ISNUMBER('Raw Data'!AC284), IFERROR('Raw Data'!AC284 = ROUND('Raw Data'!AC284, 2),FALSE)),"",_xlfn.REGEXEXTRACT(CELL("address",AC284), "\$([A-Z]+)\$[0-9]+"))),_xlfn.REGEXEXTRACT(CELL("address",AC284), "\$([A-Z]+)\$[0-9]+"))</f>
        <v/>
      </c>
      <c r="AD284" s="7" t="str" cm="1">
        <f t="array" aca="1" ref="AD284" ca="1">IFERROR(IF(OR('Raw Data'!AD284="",LEN(TRIM('Raw Data'!AD284))=0),"",IF(AND(ISNUMBER('Raw Data'!AD284), IFERROR('Raw Data'!AD284 = ROUND('Raw Data'!AD284, 2),FALSE)),"",_xlfn.REGEXEXTRACT(CELL("address",AD284), "\$([A-Z]+)\$[0-9]+"))),_xlfn.REGEXEXTRACT(CELL("address",AD284), "\$([A-Z]+)\$[0-9]+"))</f>
        <v/>
      </c>
      <c r="AE284" s="7" t="str" cm="1">
        <f t="array" aca="1" ref="AE284" ca="1">IFERROR(IF(OR('Raw Data'!AE284="",LEN(TRIM('Raw Data'!AE284))=0),"",IF(AND(ISNUMBER('Raw Data'!AE284), IFERROR('Raw Data'!AE284 = ROUND('Raw Data'!AE284, 2),FALSE)),"",_xlfn.REGEXEXTRACT(CELL("address",AE284), "\$([A-Z]+)\$[0-9]+"))),_xlfn.REGEXEXTRACT(CELL("address",AE284), "\$([A-Z]+)\$[0-9]+"))</f>
        <v/>
      </c>
      <c r="AF284" s="7" t="str" cm="1">
        <f t="array" aca="1" ref="AF284" ca="1">IFERROR(IF(OR('Raw Data'!AF284="",LEN(TRIM('Raw Data'!AF284))=0),"",IF(AND(ISNUMBER('Raw Data'!AF284), IFERROR('Raw Data'!AF284 = ROUND('Raw Data'!AF284, 2),FALSE)),"",_xlfn.REGEXEXTRACT(CELL("address",AF284), "\$([A-Z]+)\$[0-9]+"))),_xlfn.REGEXEXTRACT(CELL("address",AF284), "\$([A-Z]+)\$[0-9]+"))</f>
        <v/>
      </c>
      <c r="AG284" s="7" t="str" cm="1">
        <f t="array" aca="1" ref="AG284" ca="1">IFERROR(IF(OR('Raw Data'!AG284="",LEN(TRIM('Raw Data'!AG284))=0),"",IF(AND(ISNUMBER('Raw Data'!AG284), IFERROR('Raw Data'!AG284 = ROUND('Raw Data'!AG284, 2),FALSE)),"",_xlfn.REGEXEXTRACT(CELL("address",AG284), "\$([A-Z]+)\$[0-9]+"))),_xlfn.REGEXEXTRACT(CELL("address",AG284), "\$([A-Z]+)\$[0-9]+"))</f>
        <v/>
      </c>
      <c r="AH284" s="7" t="str" cm="1">
        <f t="array" aca="1" ref="AH284" ca="1">IFERROR(IF(OR('Raw Data'!AH284="",LEN(TRIM('Raw Data'!AH284))=0),"",IF(AND(ISNUMBER('Raw Data'!AH284), IFERROR('Raw Data'!AH284 = ROUND('Raw Data'!AH284, 2),FALSE)),"",_xlfn.REGEXEXTRACT(CELL("address",AH284), "\$([A-Z]+)\$[0-9]+"))),_xlfn.REGEXEXTRACT(CELL("address",AH284), "\$([A-Z]+)\$[0-9]+"))</f>
        <v/>
      </c>
      <c r="AI284" s="7" t="str" cm="1">
        <f t="array" aca="1" ref="AI284" ca="1">IFERROR(IF(OR('Raw Data'!AI284="",LEN(TRIM('Raw Data'!AI284))=0),"",IF(AND(ISNUMBER('Raw Data'!AI284), IFERROR('Raw Data'!AI284 = ROUND('Raw Data'!AI284, 2),FALSE)),"",_xlfn.REGEXEXTRACT(CELL("address",AI284), "\$([A-Z]+)\$[0-9]+"))),_xlfn.REGEXEXTRACT(CELL("address",AI284), "\$([A-Z]+)\$[0-9]+"))</f>
        <v/>
      </c>
      <c r="AJ284" s="7" t="str" cm="1">
        <f t="array" aca="1" ref="AJ284" ca="1">IFERROR(IF(OR('Raw Data'!AJ284="",LEN(TRIM('Raw Data'!AJ284))=0),"",IF(AND(ISNUMBER('Raw Data'!AJ284), IFERROR('Raw Data'!AJ284 = ROUND('Raw Data'!AJ284, 2),FALSE)),"",_xlfn.REGEXEXTRACT(CELL("address",AJ284), "\$([A-Z]+)\$[0-9]+"))),_xlfn.REGEXEXTRACT(CELL("address",AJ284), "\$([A-Z]+)\$[0-9]+"))</f>
        <v/>
      </c>
    </row>
    <row r="285" spans="2:36" x14ac:dyDescent="0.25">
      <c r="B285" s="7" t="str" cm="1">
        <f t="array" aca="1" ref="B285" ca="1">IFERROR(IF(OR('Raw Data'!B285="",LEN(TRIM('Raw Data'!B285))=0),"",IF(AND(LEN('Raw Data'!B285) &lt;= 255,LEN('Raw Data'!B285)&gt; 0),"",_xlfn.REGEXEXTRACT(CELL("address",'Raw Data'!B285),"\$([A-Z]+)\$[0-9]+"))),_xlfn.REGEXEXTRACT(CELL("address",'Raw Data'!B285),"\$([A-Z]+)\$[0-9]+"))</f>
        <v/>
      </c>
      <c r="C285" s="7" t="str" cm="1">
        <f t="array" aca="1" ref="C285" ca="1">IFERROR(IF(OR('Raw Data'!C285="",LEN(TRIM('Raw Data'!C285))=0),"",IF(AND(LEN('Raw Data'!C285) &lt;= 20,LEN('Raw Data'!C285)&gt; 0),"",_xlfn.REGEXEXTRACT(CELL("address",'Raw Data'!C285),"\$([A-Z]+)\$[0-9]+"))),_xlfn.REGEXEXTRACT(CELL("address",'Raw Data'!C285),"\$([A-Z]+)\$[0-9]+"))</f>
        <v/>
      </c>
      <c r="D285" s="7" t="str" cm="1">
        <f t="array" aca="1" ref="D285" ca="1">IFERROR(IF(OR('Raw Data'!D285="",LEN(TRIM('Raw Data'!D285))=0),"",IF(AND(ISNUMBER('Raw Data'!D285),'Raw Data'!D285&gt;=Configuration!$D$2),"",_xlfn.REGEXEXTRACT(CELL("address",'Raw Data'!D285),"\$([A-Z]+)\$[0-9]+"))),_xlfn.REGEXEXTRACT(CELL("address",D285), "\$([A-Z]+)\$[0-9]+"))</f>
        <v/>
      </c>
      <c r="E285" s="7" t="str" cm="1">
        <f t="array" aca="1" ref="E285" ca="1">IFERROR(IF(OR('Raw Data'!E285="",LEN(TRIM('Raw Data'!E285))=0),"",IF(AND(ISNUMBER('Raw Data'!E285), IFERROR('Raw Data'!E285 = ROUND('Raw Data'!E285, 2),FALSE)),"",_xlfn.REGEXEXTRACT(CELL("address",E285), "\$([A-Z]+)\$[0-9]+"))),_xlfn.REGEXEXTRACT(CELL("address",E285), "\$([A-Z]+)\$[0-9]+"))</f>
        <v/>
      </c>
      <c r="F285" s="7" t="str" cm="1">
        <f t="array" aca="1" ref="F285" ca="1">IFERROR(IF(OR('Raw Data'!F285="",LEN(TRIM('Raw Data'!F285))=0),"",IF(AND(ISNUMBER('Raw Data'!F285), IFERROR('Raw Data'!F285 = ROUND('Raw Data'!F285, 2),FALSE)),"",_xlfn.REGEXEXTRACT(CELL("address",F285), "\$([A-Z]+)\$[0-9]+"))),_xlfn.REGEXEXTRACT(CELL("address",F285), "\$([A-Z]+)\$[0-9]+"))</f>
        <v/>
      </c>
      <c r="G285" s="7" t="str" cm="1">
        <f t="array" aca="1" ref="G285" ca="1">IFERROR(IF(OR('Raw Data'!G285="",LEN(TRIM('Raw Data'!G285))=0),"",IF(AND(ISNUMBER('Raw Data'!G285), IFERROR('Raw Data'!G285 = ROUND('Raw Data'!G285, 2),FALSE)),"",_xlfn.REGEXEXTRACT(CELL("address",G285), "\$([A-Z]+)\$[0-9]+"))),_xlfn.REGEXEXTRACT(CELL("address",G285), "\$([A-Z]+)\$[0-9]+"))</f>
        <v/>
      </c>
      <c r="H285" s="7" t="str" cm="1">
        <f t="array" aca="1" ref="H285" ca="1">IFERROR(IF(OR('Raw Data'!H285="",LEN(TRIM('Raw Data'!H285))=0),"",IF(AND(ISNUMBER('Raw Data'!H285), IFERROR('Raw Data'!H285 = ROUND('Raw Data'!H285, 2),FALSE)),"",_xlfn.REGEXEXTRACT(CELL("address",H285), "\$([A-Z]+)\$[0-9]+"))),_xlfn.REGEXEXTRACT(CELL("address",H285), "\$([A-Z]+)\$[0-9]+"))</f>
        <v/>
      </c>
      <c r="I285" s="7" t="str" cm="1">
        <f t="array" aca="1" ref="I285" ca="1">IFERROR(IF(OR('Raw Data'!I285="",LEN(TRIM('Raw Data'!I285))=0),"",IF(AND(ISNUMBER('Raw Data'!I285), IFERROR('Raw Data'!I285 = ROUND('Raw Data'!I285, 2),FALSE)),"",_xlfn.REGEXEXTRACT(CELL("address",I285), "\$([A-Z]+)\$[0-9]+"))),_xlfn.REGEXEXTRACT(CELL("address",I285), "\$([A-Z]+)\$[0-9]+"))</f>
        <v/>
      </c>
      <c r="J285" s="7" t="str" cm="1">
        <f t="array" aca="1" ref="J285" ca="1">IFERROR(IF(OR('Raw Data'!J285="",LEN(TRIM('Raw Data'!J285))=0),"",IF(AND(ISNUMBER('Raw Data'!J285), IFERROR('Raw Data'!J285 = ROUND('Raw Data'!J285, 2),FALSE)),"",_xlfn.REGEXEXTRACT(CELL("address",J285), "\$([A-Z]+)\$[0-9]+"))),_xlfn.REGEXEXTRACT(CELL("address",J285), "\$([A-Z]+)\$[0-9]+"))</f>
        <v/>
      </c>
      <c r="K285" s="7" t="str" cm="1">
        <f t="array" aca="1" ref="K285" ca="1">IFERROR(IF(OR('Raw Data'!K285="",LEN(TRIM('Raw Data'!K285))=0),"",IF(AND(ISNUMBER('Raw Data'!K285), IFERROR('Raw Data'!K285 = ROUND('Raw Data'!K285, 2),FALSE)),"",_xlfn.REGEXEXTRACT(CELL("address",K285), "\$([A-Z]+)\$[0-9]+"))),_xlfn.REGEXEXTRACT(CELL("address",K285), "\$([A-Z]+)\$[0-9]+"))</f>
        <v/>
      </c>
      <c r="L285" s="7" t="str" cm="1">
        <f t="array" aca="1" ref="L285" ca="1">IFERROR(IF(OR('Raw Data'!L285="",LEN(TRIM('Raw Data'!L285))=0),"",IF(AND(ISNUMBER('Raw Data'!L285), IFERROR('Raw Data'!L285 = ROUND('Raw Data'!L285, 2),FALSE)),"",_xlfn.REGEXEXTRACT(CELL("address",L285), "\$([A-Z]+)\$[0-9]+"))),_xlfn.REGEXEXTRACT(CELL("address",L285), "\$([A-Z]+)\$[0-9]+"))</f>
        <v/>
      </c>
      <c r="M285" s="7" t="str" cm="1">
        <f t="array" aca="1" ref="M285" ca="1">IFERROR(IF(OR('Raw Data'!M285="",LEN(TRIM('Raw Data'!M285))=0),"",IF(AND(ISNUMBER('Raw Data'!M285), IFERROR('Raw Data'!M285 = ROUND('Raw Data'!M285, 2),FALSE)),"",_xlfn.REGEXEXTRACT(CELL("address",M285), "\$([A-Z]+)\$[0-9]+"))),_xlfn.REGEXEXTRACT(CELL("address",M285), "\$([A-Z]+)\$[0-9]+"))</f>
        <v/>
      </c>
      <c r="N285" s="7" t="str" cm="1">
        <f t="array" aca="1" ref="N285" ca="1">IFERROR(IF(OR('Raw Data'!N285="",LEN(TRIM('Raw Data'!N285))=0),"",IF(AND(ISNUMBER('Raw Data'!N285), IFERROR('Raw Data'!N285 = ROUND('Raw Data'!N285, 2),FALSE)),"",_xlfn.REGEXEXTRACT(CELL("address",N285), "\$([A-Z]+)\$[0-9]+"))),_xlfn.REGEXEXTRACT(CELL("address",N285), "\$([A-Z]+)\$[0-9]+"))</f>
        <v/>
      </c>
      <c r="O285" s="7" t="str" cm="1">
        <f t="array" aca="1" ref="O285" ca="1">IFERROR(IF(OR('Raw Data'!O285="",LEN(TRIM('Raw Data'!O285))=0),"",IF(AND(ISNUMBER('Raw Data'!O285), IFERROR('Raw Data'!O285 = ROUND('Raw Data'!O285, 2),FALSE)),"",_xlfn.REGEXEXTRACT(CELL("address",O285), "\$([A-Z]+)\$[0-9]+"))),_xlfn.REGEXEXTRACT(CELL("address",O285), "\$([A-Z]+)\$[0-9]+"))</f>
        <v/>
      </c>
      <c r="P285" s="7" t="str" cm="1">
        <f t="array" aca="1" ref="P285" ca="1">IFERROR(IF(OR('Raw Data'!P285="",LEN(TRIM('Raw Data'!P285))=0),"",IF(AND(ISNUMBER('Raw Data'!P285), IFERROR('Raw Data'!P285 = ROUND('Raw Data'!P285, 2),FALSE)),"",_xlfn.REGEXEXTRACT(CELL("address",P285), "\$([A-Z]+)\$[0-9]+"))),_xlfn.REGEXEXTRACT(CELL("address",P285), "\$([A-Z]+)\$[0-9]+"))</f>
        <v/>
      </c>
      <c r="Q285" s="7" t="str" cm="1">
        <f t="array" aca="1" ref="Q285" ca="1">IFERROR(IF(OR('Raw Data'!Q285="",LEN(TRIM('Raw Data'!Q285))=0),"",IF(AND(ISNUMBER('Raw Data'!Q285), IFERROR('Raw Data'!Q285 = ROUND('Raw Data'!Q285, 2),FALSE)),"",_xlfn.REGEXEXTRACT(CELL("address",Q285), "\$([A-Z]+)\$[0-9]+"))),_xlfn.REGEXEXTRACT(CELL("address",Q285), "\$([A-Z]+)\$[0-9]+"))</f>
        <v/>
      </c>
      <c r="R285" s="7" t="str" cm="1">
        <f t="array" aca="1" ref="R285" ca="1">IFERROR(IF(OR('Raw Data'!R285="",LEN(TRIM('Raw Data'!R285))=0),"",IF(AND(ISNUMBER('Raw Data'!R285), IFERROR('Raw Data'!R285 = ROUND('Raw Data'!R285, 2),FALSE)),"",_xlfn.REGEXEXTRACT(CELL("address",R285), "\$([A-Z]+)\$[0-9]+"))),_xlfn.REGEXEXTRACT(CELL("address",R285), "\$([A-Z]+)\$[0-9]+"))</f>
        <v/>
      </c>
      <c r="S285" s="7" t="str" cm="1">
        <f t="array" aca="1" ref="S285" ca="1">IFERROR(IF(OR('Raw Data'!S285="",LEN(TRIM('Raw Data'!S285))=0),"",IF(AND(ISNUMBER('Raw Data'!S285), IFERROR('Raw Data'!S285 = ROUND('Raw Data'!S285, 2),FALSE)),"",_xlfn.REGEXEXTRACT(CELL("address",S285), "\$([A-Z]+)\$[0-9]+"))),_xlfn.REGEXEXTRACT(CELL("address",S285), "\$([A-Z]+)\$[0-9]+"))</f>
        <v/>
      </c>
      <c r="T285" s="7" t="str" cm="1">
        <f t="array" aca="1" ref="T285" ca="1">IFERROR(IF(OR('Raw Data'!T285="",LEN(TRIM('Raw Data'!T285))=0),"",IF(AND(ISNUMBER('Raw Data'!T285), IFERROR('Raw Data'!T285 = ROUND('Raw Data'!T285, 2),FALSE)),"",_xlfn.REGEXEXTRACT(CELL("address",T285), "\$([A-Z]+)\$[0-9]+"))),_xlfn.REGEXEXTRACT(CELL("address",T285), "\$([A-Z]+)\$[0-9]+"))</f>
        <v/>
      </c>
      <c r="U285" s="7" t="str" cm="1">
        <f t="array" aca="1" ref="U285" ca="1">IFERROR(IF(OR('Raw Data'!U285="",LEN(TRIM('Raw Data'!U285))=0),"",IF(AND(ISNUMBER('Raw Data'!U285), IFERROR('Raw Data'!U285 = ROUND('Raw Data'!U285, 2),FALSE)),"",_xlfn.REGEXEXTRACT(CELL("address",U285), "\$([A-Z]+)\$[0-9]+"))),_xlfn.REGEXEXTRACT(CELL("address",U285), "\$([A-Z]+)\$[0-9]+"))</f>
        <v/>
      </c>
      <c r="V285" s="7" t="str" cm="1">
        <f t="array" aca="1" ref="V285" ca="1">IFERROR(IF(OR('Raw Data'!V285="",LEN(TRIM('Raw Data'!V285))=0),"",IF(AND(ISNUMBER('Raw Data'!V285), IFERROR('Raw Data'!V285 = ROUND('Raw Data'!V285, 2),FALSE)),"",_xlfn.REGEXEXTRACT(CELL("address",V285), "\$([A-Z]+)\$[0-9]+"))),_xlfn.REGEXEXTRACT(CELL("address",V285), "\$([A-Z]+)\$[0-9]+"))</f>
        <v/>
      </c>
      <c r="W285" s="7" t="str" cm="1">
        <f t="array" aca="1" ref="W285" ca="1">IFERROR(IF(OR('Raw Data'!W285="",LEN(TRIM('Raw Data'!W285))=0),"",IF(AND(ISNUMBER('Raw Data'!W285), IFERROR('Raw Data'!W285 = ROUND('Raw Data'!W285, 2),FALSE)),"",_xlfn.REGEXEXTRACT(CELL("address",W285), "\$([A-Z]+)\$[0-9]+"))),_xlfn.REGEXEXTRACT(CELL("address",W285), "\$([A-Z]+)\$[0-9]+"))</f>
        <v/>
      </c>
      <c r="X285" s="7" t="str" cm="1">
        <f t="array" aca="1" ref="X285" ca="1">IFERROR(IF(OR('Raw Data'!X285="",LEN(TRIM('Raw Data'!X285))=0),"",IF(AND(ISNUMBER('Raw Data'!X285), IFERROR('Raw Data'!X285 = ROUND('Raw Data'!X285, 2),FALSE)),"",_xlfn.REGEXEXTRACT(CELL("address",X285), "\$([A-Z]+)\$[0-9]+"))),_xlfn.REGEXEXTRACT(CELL("address",X285), "\$([A-Z]+)\$[0-9]+"))</f>
        <v/>
      </c>
      <c r="Y285" s="7" t="str" cm="1">
        <f t="array" aca="1" ref="Y285" ca="1">IFERROR(IF(OR('Raw Data'!Y285="",LEN(TRIM('Raw Data'!Y285))=0),"",IF(AND(ISNUMBER('Raw Data'!Y285), IFERROR('Raw Data'!Y285 = ROUND('Raw Data'!Y285, 2),FALSE)),"",_xlfn.REGEXEXTRACT(CELL("address",Y285), "\$([A-Z]+)\$[0-9]+"))),_xlfn.REGEXEXTRACT(CELL("address",Y285), "\$([A-Z]+)\$[0-9]+"))</f>
        <v/>
      </c>
      <c r="Z285" s="7" t="str" cm="1">
        <f t="array" aca="1" ref="Z285" ca="1">IFERROR(IF(OR('Raw Data'!Z285="",LEN(TRIM('Raw Data'!Z285))=0),"",IF(AND(ISNUMBER('Raw Data'!Z285), IFERROR('Raw Data'!Z285 = ROUND('Raw Data'!Z285, 2),FALSE)),"",_xlfn.REGEXEXTRACT(CELL("address",Z285), "\$([A-Z]+)\$[0-9]+"))),_xlfn.REGEXEXTRACT(CELL("address",Z285), "\$([A-Z]+)\$[0-9]+"))</f>
        <v/>
      </c>
      <c r="AA285" s="7" t="str" cm="1">
        <f t="array" aca="1" ref="AA285" ca="1">IFERROR(IF(OR('Raw Data'!AA285="",LEN(TRIM('Raw Data'!AA285))=0),"",IF(AND(ISNUMBER('Raw Data'!AA285), IFERROR('Raw Data'!AA285 = ROUND('Raw Data'!AA285, 2),FALSE)),"",_xlfn.REGEXEXTRACT(CELL("address",AA285), "\$([A-Z]+)\$[0-9]+"))),_xlfn.REGEXEXTRACT(CELL("address",AA285), "\$([A-Z]+)\$[0-9]+"))</f>
        <v/>
      </c>
      <c r="AB285" s="7" t="str" cm="1">
        <f t="array" aca="1" ref="AB285" ca="1">IFERROR(IF(OR('Raw Data'!AB285="",LEN(TRIM('Raw Data'!AB285))=0),"",IF(AND(ISNUMBER('Raw Data'!AB285), IFERROR('Raw Data'!AB285 = ROUND('Raw Data'!AB285, 2),FALSE)),"",_xlfn.REGEXEXTRACT(CELL("address",AB285), "\$([A-Z]+)\$[0-9]+"))),_xlfn.REGEXEXTRACT(CELL("address",AB285), "\$([A-Z]+)\$[0-9]+"))</f>
        <v/>
      </c>
      <c r="AC285" s="7" t="str" cm="1">
        <f t="array" aca="1" ref="AC285" ca="1">IFERROR(IF(OR('Raw Data'!AC285="",LEN(TRIM('Raw Data'!AC285))=0),"",IF(AND(ISNUMBER('Raw Data'!AC285), IFERROR('Raw Data'!AC285 = ROUND('Raw Data'!AC285, 2),FALSE)),"",_xlfn.REGEXEXTRACT(CELL("address",AC285), "\$([A-Z]+)\$[0-9]+"))),_xlfn.REGEXEXTRACT(CELL("address",AC285), "\$([A-Z]+)\$[0-9]+"))</f>
        <v/>
      </c>
      <c r="AD285" s="7" t="str" cm="1">
        <f t="array" aca="1" ref="AD285" ca="1">IFERROR(IF(OR('Raw Data'!AD285="",LEN(TRIM('Raw Data'!AD285))=0),"",IF(AND(ISNUMBER('Raw Data'!AD285), IFERROR('Raw Data'!AD285 = ROUND('Raw Data'!AD285, 2),FALSE)),"",_xlfn.REGEXEXTRACT(CELL("address",AD285), "\$([A-Z]+)\$[0-9]+"))),_xlfn.REGEXEXTRACT(CELL("address",AD285), "\$([A-Z]+)\$[0-9]+"))</f>
        <v/>
      </c>
      <c r="AE285" s="7" t="str" cm="1">
        <f t="array" aca="1" ref="AE285" ca="1">IFERROR(IF(OR('Raw Data'!AE285="",LEN(TRIM('Raw Data'!AE285))=0),"",IF(AND(ISNUMBER('Raw Data'!AE285), IFERROR('Raw Data'!AE285 = ROUND('Raw Data'!AE285, 2),FALSE)),"",_xlfn.REGEXEXTRACT(CELL("address",AE285), "\$([A-Z]+)\$[0-9]+"))),_xlfn.REGEXEXTRACT(CELL("address",AE285), "\$([A-Z]+)\$[0-9]+"))</f>
        <v/>
      </c>
      <c r="AF285" s="7" t="str" cm="1">
        <f t="array" aca="1" ref="AF285" ca="1">IFERROR(IF(OR('Raw Data'!AF285="",LEN(TRIM('Raw Data'!AF285))=0),"",IF(AND(ISNUMBER('Raw Data'!AF285), IFERROR('Raw Data'!AF285 = ROUND('Raw Data'!AF285, 2),FALSE)),"",_xlfn.REGEXEXTRACT(CELL("address",AF285), "\$([A-Z]+)\$[0-9]+"))),_xlfn.REGEXEXTRACT(CELL("address",AF285), "\$([A-Z]+)\$[0-9]+"))</f>
        <v/>
      </c>
      <c r="AG285" s="7" t="str" cm="1">
        <f t="array" aca="1" ref="AG285" ca="1">IFERROR(IF(OR('Raw Data'!AG285="",LEN(TRIM('Raw Data'!AG285))=0),"",IF(AND(ISNUMBER('Raw Data'!AG285), IFERROR('Raw Data'!AG285 = ROUND('Raw Data'!AG285, 2),FALSE)),"",_xlfn.REGEXEXTRACT(CELL("address",AG285), "\$([A-Z]+)\$[0-9]+"))),_xlfn.REGEXEXTRACT(CELL("address",AG285), "\$([A-Z]+)\$[0-9]+"))</f>
        <v/>
      </c>
      <c r="AH285" s="7" t="str" cm="1">
        <f t="array" aca="1" ref="AH285" ca="1">IFERROR(IF(OR('Raw Data'!AH285="",LEN(TRIM('Raw Data'!AH285))=0),"",IF(AND(ISNUMBER('Raw Data'!AH285), IFERROR('Raw Data'!AH285 = ROUND('Raw Data'!AH285, 2),FALSE)),"",_xlfn.REGEXEXTRACT(CELL("address",AH285), "\$([A-Z]+)\$[0-9]+"))),_xlfn.REGEXEXTRACT(CELL("address",AH285), "\$([A-Z]+)\$[0-9]+"))</f>
        <v/>
      </c>
      <c r="AI285" s="7" t="str" cm="1">
        <f t="array" aca="1" ref="AI285" ca="1">IFERROR(IF(OR('Raw Data'!AI285="",LEN(TRIM('Raw Data'!AI285))=0),"",IF(AND(ISNUMBER('Raw Data'!AI285), IFERROR('Raw Data'!AI285 = ROUND('Raw Data'!AI285, 2),FALSE)),"",_xlfn.REGEXEXTRACT(CELL("address",AI285), "\$([A-Z]+)\$[0-9]+"))),_xlfn.REGEXEXTRACT(CELL("address",AI285), "\$([A-Z]+)\$[0-9]+"))</f>
        <v/>
      </c>
      <c r="AJ285" s="7" t="str" cm="1">
        <f t="array" aca="1" ref="AJ285" ca="1">IFERROR(IF(OR('Raw Data'!AJ285="",LEN(TRIM('Raw Data'!AJ285))=0),"",IF(AND(ISNUMBER('Raw Data'!AJ285), IFERROR('Raw Data'!AJ285 = ROUND('Raw Data'!AJ285, 2),FALSE)),"",_xlfn.REGEXEXTRACT(CELL("address",AJ285), "\$([A-Z]+)\$[0-9]+"))),_xlfn.REGEXEXTRACT(CELL("address",AJ285), "\$([A-Z]+)\$[0-9]+"))</f>
        <v/>
      </c>
    </row>
    <row r="286" spans="2:36" x14ac:dyDescent="0.25">
      <c r="B286" s="7" t="str" cm="1">
        <f t="array" aca="1" ref="B286" ca="1">IFERROR(IF(OR('Raw Data'!B286="",LEN(TRIM('Raw Data'!B286))=0),"",IF(AND(LEN('Raw Data'!B286) &lt;= 255,LEN('Raw Data'!B286)&gt; 0),"",_xlfn.REGEXEXTRACT(CELL("address",'Raw Data'!B286),"\$([A-Z]+)\$[0-9]+"))),_xlfn.REGEXEXTRACT(CELL("address",'Raw Data'!B286),"\$([A-Z]+)\$[0-9]+"))</f>
        <v/>
      </c>
      <c r="C286" s="7" t="str" cm="1">
        <f t="array" aca="1" ref="C286" ca="1">IFERROR(IF(OR('Raw Data'!C286="",LEN(TRIM('Raw Data'!C286))=0),"",IF(AND(LEN('Raw Data'!C286) &lt;= 20,LEN('Raw Data'!C286)&gt; 0),"",_xlfn.REGEXEXTRACT(CELL("address",'Raw Data'!C286),"\$([A-Z]+)\$[0-9]+"))),_xlfn.REGEXEXTRACT(CELL("address",'Raw Data'!C286),"\$([A-Z]+)\$[0-9]+"))</f>
        <v/>
      </c>
      <c r="D286" s="7" t="str" cm="1">
        <f t="array" aca="1" ref="D286" ca="1">IFERROR(IF(OR('Raw Data'!D286="",LEN(TRIM('Raw Data'!D286))=0),"",IF(AND(ISNUMBER('Raw Data'!D286),'Raw Data'!D286&gt;=Configuration!$D$2),"",_xlfn.REGEXEXTRACT(CELL("address",'Raw Data'!D286),"\$([A-Z]+)\$[0-9]+"))),_xlfn.REGEXEXTRACT(CELL("address",D286), "\$([A-Z]+)\$[0-9]+"))</f>
        <v/>
      </c>
      <c r="E286" s="7" t="str" cm="1">
        <f t="array" aca="1" ref="E286" ca="1">IFERROR(IF(OR('Raw Data'!E286="",LEN(TRIM('Raw Data'!E286))=0),"",IF(AND(ISNUMBER('Raw Data'!E286), IFERROR('Raw Data'!E286 = ROUND('Raw Data'!E286, 2),FALSE)),"",_xlfn.REGEXEXTRACT(CELL("address",E286), "\$([A-Z]+)\$[0-9]+"))),_xlfn.REGEXEXTRACT(CELL("address",E286), "\$([A-Z]+)\$[0-9]+"))</f>
        <v/>
      </c>
      <c r="F286" s="7" t="str" cm="1">
        <f t="array" aca="1" ref="F286" ca="1">IFERROR(IF(OR('Raw Data'!F286="",LEN(TRIM('Raw Data'!F286))=0),"",IF(AND(ISNUMBER('Raw Data'!F286), IFERROR('Raw Data'!F286 = ROUND('Raw Data'!F286, 2),FALSE)),"",_xlfn.REGEXEXTRACT(CELL("address",F286), "\$([A-Z]+)\$[0-9]+"))),_xlfn.REGEXEXTRACT(CELL("address",F286), "\$([A-Z]+)\$[0-9]+"))</f>
        <v/>
      </c>
      <c r="G286" s="7" t="str" cm="1">
        <f t="array" aca="1" ref="G286" ca="1">IFERROR(IF(OR('Raw Data'!G286="",LEN(TRIM('Raw Data'!G286))=0),"",IF(AND(ISNUMBER('Raw Data'!G286), IFERROR('Raw Data'!G286 = ROUND('Raw Data'!G286, 2),FALSE)),"",_xlfn.REGEXEXTRACT(CELL("address",G286), "\$([A-Z]+)\$[0-9]+"))),_xlfn.REGEXEXTRACT(CELL("address",G286), "\$([A-Z]+)\$[0-9]+"))</f>
        <v/>
      </c>
      <c r="H286" s="7" t="str" cm="1">
        <f t="array" aca="1" ref="H286" ca="1">IFERROR(IF(OR('Raw Data'!H286="",LEN(TRIM('Raw Data'!H286))=0),"",IF(AND(ISNUMBER('Raw Data'!H286), IFERROR('Raw Data'!H286 = ROUND('Raw Data'!H286, 2),FALSE)),"",_xlfn.REGEXEXTRACT(CELL("address",H286), "\$([A-Z]+)\$[0-9]+"))),_xlfn.REGEXEXTRACT(CELL("address",H286), "\$([A-Z]+)\$[0-9]+"))</f>
        <v/>
      </c>
      <c r="I286" s="7" t="str" cm="1">
        <f t="array" aca="1" ref="I286" ca="1">IFERROR(IF(OR('Raw Data'!I286="",LEN(TRIM('Raw Data'!I286))=0),"",IF(AND(ISNUMBER('Raw Data'!I286), IFERROR('Raw Data'!I286 = ROUND('Raw Data'!I286, 2),FALSE)),"",_xlfn.REGEXEXTRACT(CELL("address",I286), "\$([A-Z]+)\$[0-9]+"))),_xlfn.REGEXEXTRACT(CELL("address",I286), "\$([A-Z]+)\$[0-9]+"))</f>
        <v/>
      </c>
      <c r="J286" s="7" t="str" cm="1">
        <f t="array" aca="1" ref="J286" ca="1">IFERROR(IF(OR('Raw Data'!J286="",LEN(TRIM('Raw Data'!J286))=0),"",IF(AND(ISNUMBER('Raw Data'!J286), IFERROR('Raw Data'!J286 = ROUND('Raw Data'!J286, 2),FALSE)),"",_xlfn.REGEXEXTRACT(CELL("address",J286), "\$([A-Z]+)\$[0-9]+"))),_xlfn.REGEXEXTRACT(CELL("address",J286), "\$([A-Z]+)\$[0-9]+"))</f>
        <v/>
      </c>
      <c r="K286" s="7" t="str" cm="1">
        <f t="array" aca="1" ref="K286" ca="1">IFERROR(IF(OR('Raw Data'!K286="",LEN(TRIM('Raw Data'!K286))=0),"",IF(AND(ISNUMBER('Raw Data'!K286), IFERROR('Raw Data'!K286 = ROUND('Raw Data'!K286, 2),FALSE)),"",_xlfn.REGEXEXTRACT(CELL("address",K286), "\$([A-Z]+)\$[0-9]+"))),_xlfn.REGEXEXTRACT(CELL("address",K286), "\$([A-Z]+)\$[0-9]+"))</f>
        <v/>
      </c>
      <c r="L286" s="7" t="str" cm="1">
        <f t="array" aca="1" ref="L286" ca="1">IFERROR(IF(OR('Raw Data'!L286="",LEN(TRIM('Raw Data'!L286))=0),"",IF(AND(ISNUMBER('Raw Data'!L286), IFERROR('Raw Data'!L286 = ROUND('Raw Data'!L286, 2),FALSE)),"",_xlfn.REGEXEXTRACT(CELL("address",L286), "\$([A-Z]+)\$[0-9]+"))),_xlfn.REGEXEXTRACT(CELL("address",L286), "\$([A-Z]+)\$[0-9]+"))</f>
        <v/>
      </c>
      <c r="M286" s="7" t="str" cm="1">
        <f t="array" aca="1" ref="M286" ca="1">IFERROR(IF(OR('Raw Data'!M286="",LEN(TRIM('Raw Data'!M286))=0),"",IF(AND(ISNUMBER('Raw Data'!M286), IFERROR('Raw Data'!M286 = ROUND('Raw Data'!M286, 2),FALSE)),"",_xlfn.REGEXEXTRACT(CELL("address",M286), "\$([A-Z]+)\$[0-9]+"))),_xlfn.REGEXEXTRACT(CELL("address",M286), "\$([A-Z]+)\$[0-9]+"))</f>
        <v/>
      </c>
      <c r="N286" s="7" t="str" cm="1">
        <f t="array" aca="1" ref="N286" ca="1">IFERROR(IF(OR('Raw Data'!N286="",LEN(TRIM('Raw Data'!N286))=0),"",IF(AND(ISNUMBER('Raw Data'!N286), IFERROR('Raw Data'!N286 = ROUND('Raw Data'!N286, 2),FALSE)),"",_xlfn.REGEXEXTRACT(CELL("address",N286), "\$([A-Z]+)\$[0-9]+"))),_xlfn.REGEXEXTRACT(CELL("address",N286), "\$([A-Z]+)\$[0-9]+"))</f>
        <v/>
      </c>
      <c r="O286" s="7" t="str" cm="1">
        <f t="array" aca="1" ref="O286" ca="1">IFERROR(IF(OR('Raw Data'!O286="",LEN(TRIM('Raw Data'!O286))=0),"",IF(AND(ISNUMBER('Raw Data'!O286), IFERROR('Raw Data'!O286 = ROUND('Raw Data'!O286, 2),FALSE)),"",_xlfn.REGEXEXTRACT(CELL("address",O286), "\$([A-Z]+)\$[0-9]+"))),_xlfn.REGEXEXTRACT(CELL("address",O286), "\$([A-Z]+)\$[0-9]+"))</f>
        <v/>
      </c>
      <c r="P286" s="7" t="str" cm="1">
        <f t="array" aca="1" ref="P286" ca="1">IFERROR(IF(OR('Raw Data'!P286="",LEN(TRIM('Raw Data'!P286))=0),"",IF(AND(ISNUMBER('Raw Data'!P286), IFERROR('Raw Data'!P286 = ROUND('Raw Data'!P286, 2),FALSE)),"",_xlfn.REGEXEXTRACT(CELL("address",P286), "\$([A-Z]+)\$[0-9]+"))),_xlfn.REGEXEXTRACT(CELL("address",P286), "\$([A-Z]+)\$[0-9]+"))</f>
        <v/>
      </c>
      <c r="Q286" s="7" t="str" cm="1">
        <f t="array" aca="1" ref="Q286" ca="1">IFERROR(IF(OR('Raw Data'!Q286="",LEN(TRIM('Raw Data'!Q286))=0),"",IF(AND(ISNUMBER('Raw Data'!Q286), IFERROR('Raw Data'!Q286 = ROUND('Raw Data'!Q286, 2),FALSE)),"",_xlfn.REGEXEXTRACT(CELL("address",Q286), "\$([A-Z]+)\$[0-9]+"))),_xlfn.REGEXEXTRACT(CELL("address",Q286), "\$([A-Z]+)\$[0-9]+"))</f>
        <v/>
      </c>
      <c r="R286" s="7" t="str" cm="1">
        <f t="array" aca="1" ref="R286" ca="1">IFERROR(IF(OR('Raw Data'!R286="",LEN(TRIM('Raw Data'!R286))=0),"",IF(AND(ISNUMBER('Raw Data'!R286), IFERROR('Raw Data'!R286 = ROUND('Raw Data'!R286, 2),FALSE)),"",_xlfn.REGEXEXTRACT(CELL("address",R286), "\$([A-Z]+)\$[0-9]+"))),_xlfn.REGEXEXTRACT(CELL("address",R286), "\$([A-Z]+)\$[0-9]+"))</f>
        <v/>
      </c>
      <c r="S286" s="7" t="str" cm="1">
        <f t="array" aca="1" ref="S286" ca="1">IFERROR(IF(OR('Raw Data'!S286="",LEN(TRIM('Raw Data'!S286))=0),"",IF(AND(ISNUMBER('Raw Data'!S286), IFERROR('Raw Data'!S286 = ROUND('Raw Data'!S286, 2),FALSE)),"",_xlfn.REGEXEXTRACT(CELL("address",S286), "\$([A-Z]+)\$[0-9]+"))),_xlfn.REGEXEXTRACT(CELL("address",S286), "\$([A-Z]+)\$[0-9]+"))</f>
        <v/>
      </c>
      <c r="T286" s="7" t="str" cm="1">
        <f t="array" aca="1" ref="T286" ca="1">IFERROR(IF(OR('Raw Data'!T286="",LEN(TRIM('Raw Data'!T286))=0),"",IF(AND(ISNUMBER('Raw Data'!T286), IFERROR('Raw Data'!T286 = ROUND('Raw Data'!T286, 2),FALSE)),"",_xlfn.REGEXEXTRACT(CELL("address",T286), "\$([A-Z]+)\$[0-9]+"))),_xlfn.REGEXEXTRACT(CELL("address",T286), "\$([A-Z]+)\$[0-9]+"))</f>
        <v/>
      </c>
      <c r="U286" s="7" t="str" cm="1">
        <f t="array" aca="1" ref="U286" ca="1">IFERROR(IF(OR('Raw Data'!U286="",LEN(TRIM('Raw Data'!U286))=0),"",IF(AND(ISNUMBER('Raw Data'!U286), IFERROR('Raw Data'!U286 = ROUND('Raw Data'!U286, 2),FALSE)),"",_xlfn.REGEXEXTRACT(CELL("address",U286), "\$([A-Z]+)\$[0-9]+"))),_xlfn.REGEXEXTRACT(CELL("address",U286), "\$([A-Z]+)\$[0-9]+"))</f>
        <v/>
      </c>
      <c r="V286" s="7" t="str" cm="1">
        <f t="array" aca="1" ref="V286" ca="1">IFERROR(IF(OR('Raw Data'!V286="",LEN(TRIM('Raw Data'!V286))=0),"",IF(AND(ISNUMBER('Raw Data'!V286), IFERROR('Raw Data'!V286 = ROUND('Raw Data'!V286, 2),FALSE)),"",_xlfn.REGEXEXTRACT(CELL("address",V286), "\$([A-Z]+)\$[0-9]+"))),_xlfn.REGEXEXTRACT(CELL("address",V286), "\$([A-Z]+)\$[0-9]+"))</f>
        <v/>
      </c>
      <c r="W286" s="7" t="str" cm="1">
        <f t="array" aca="1" ref="W286" ca="1">IFERROR(IF(OR('Raw Data'!W286="",LEN(TRIM('Raw Data'!W286))=0),"",IF(AND(ISNUMBER('Raw Data'!W286), IFERROR('Raw Data'!W286 = ROUND('Raw Data'!W286, 2),FALSE)),"",_xlfn.REGEXEXTRACT(CELL("address",W286), "\$([A-Z]+)\$[0-9]+"))),_xlfn.REGEXEXTRACT(CELL("address",W286), "\$([A-Z]+)\$[0-9]+"))</f>
        <v/>
      </c>
      <c r="X286" s="7" t="str" cm="1">
        <f t="array" aca="1" ref="X286" ca="1">IFERROR(IF(OR('Raw Data'!X286="",LEN(TRIM('Raw Data'!X286))=0),"",IF(AND(ISNUMBER('Raw Data'!X286), IFERROR('Raw Data'!X286 = ROUND('Raw Data'!X286, 2),FALSE)),"",_xlfn.REGEXEXTRACT(CELL("address",X286), "\$([A-Z]+)\$[0-9]+"))),_xlfn.REGEXEXTRACT(CELL("address",X286), "\$([A-Z]+)\$[0-9]+"))</f>
        <v/>
      </c>
      <c r="Y286" s="7" t="str" cm="1">
        <f t="array" aca="1" ref="Y286" ca="1">IFERROR(IF(OR('Raw Data'!Y286="",LEN(TRIM('Raw Data'!Y286))=0),"",IF(AND(ISNUMBER('Raw Data'!Y286), IFERROR('Raw Data'!Y286 = ROUND('Raw Data'!Y286, 2),FALSE)),"",_xlfn.REGEXEXTRACT(CELL("address",Y286), "\$([A-Z]+)\$[0-9]+"))),_xlfn.REGEXEXTRACT(CELL("address",Y286), "\$([A-Z]+)\$[0-9]+"))</f>
        <v/>
      </c>
      <c r="Z286" s="7" t="str" cm="1">
        <f t="array" aca="1" ref="Z286" ca="1">IFERROR(IF(OR('Raw Data'!Z286="",LEN(TRIM('Raw Data'!Z286))=0),"",IF(AND(ISNUMBER('Raw Data'!Z286), IFERROR('Raw Data'!Z286 = ROUND('Raw Data'!Z286, 2),FALSE)),"",_xlfn.REGEXEXTRACT(CELL("address",Z286), "\$([A-Z]+)\$[0-9]+"))),_xlfn.REGEXEXTRACT(CELL("address",Z286), "\$([A-Z]+)\$[0-9]+"))</f>
        <v/>
      </c>
      <c r="AA286" s="7" t="str" cm="1">
        <f t="array" aca="1" ref="AA286" ca="1">IFERROR(IF(OR('Raw Data'!AA286="",LEN(TRIM('Raw Data'!AA286))=0),"",IF(AND(ISNUMBER('Raw Data'!AA286), IFERROR('Raw Data'!AA286 = ROUND('Raw Data'!AA286, 2),FALSE)),"",_xlfn.REGEXEXTRACT(CELL("address",AA286), "\$([A-Z]+)\$[0-9]+"))),_xlfn.REGEXEXTRACT(CELL("address",AA286), "\$([A-Z]+)\$[0-9]+"))</f>
        <v/>
      </c>
      <c r="AB286" s="7" t="str" cm="1">
        <f t="array" aca="1" ref="AB286" ca="1">IFERROR(IF(OR('Raw Data'!AB286="",LEN(TRIM('Raw Data'!AB286))=0),"",IF(AND(ISNUMBER('Raw Data'!AB286), IFERROR('Raw Data'!AB286 = ROUND('Raw Data'!AB286, 2),FALSE)),"",_xlfn.REGEXEXTRACT(CELL("address",AB286), "\$([A-Z]+)\$[0-9]+"))),_xlfn.REGEXEXTRACT(CELL("address",AB286), "\$([A-Z]+)\$[0-9]+"))</f>
        <v/>
      </c>
      <c r="AC286" s="7" t="str" cm="1">
        <f t="array" aca="1" ref="AC286" ca="1">IFERROR(IF(OR('Raw Data'!AC286="",LEN(TRIM('Raw Data'!AC286))=0),"",IF(AND(ISNUMBER('Raw Data'!AC286), IFERROR('Raw Data'!AC286 = ROUND('Raw Data'!AC286, 2),FALSE)),"",_xlfn.REGEXEXTRACT(CELL("address",AC286), "\$([A-Z]+)\$[0-9]+"))),_xlfn.REGEXEXTRACT(CELL("address",AC286), "\$([A-Z]+)\$[0-9]+"))</f>
        <v/>
      </c>
      <c r="AD286" s="7" t="str" cm="1">
        <f t="array" aca="1" ref="AD286" ca="1">IFERROR(IF(OR('Raw Data'!AD286="",LEN(TRIM('Raw Data'!AD286))=0),"",IF(AND(ISNUMBER('Raw Data'!AD286), IFERROR('Raw Data'!AD286 = ROUND('Raw Data'!AD286, 2),FALSE)),"",_xlfn.REGEXEXTRACT(CELL("address",AD286), "\$([A-Z]+)\$[0-9]+"))),_xlfn.REGEXEXTRACT(CELL("address",AD286), "\$([A-Z]+)\$[0-9]+"))</f>
        <v/>
      </c>
      <c r="AE286" s="7" t="str" cm="1">
        <f t="array" aca="1" ref="AE286" ca="1">IFERROR(IF(OR('Raw Data'!AE286="",LEN(TRIM('Raw Data'!AE286))=0),"",IF(AND(ISNUMBER('Raw Data'!AE286), IFERROR('Raw Data'!AE286 = ROUND('Raw Data'!AE286, 2),FALSE)),"",_xlfn.REGEXEXTRACT(CELL("address",AE286), "\$([A-Z]+)\$[0-9]+"))),_xlfn.REGEXEXTRACT(CELL("address",AE286), "\$([A-Z]+)\$[0-9]+"))</f>
        <v/>
      </c>
      <c r="AF286" s="7" t="str" cm="1">
        <f t="array" aca="1" ref="AF286" ca="1">IFERROR(IF(OR('Raw Data'!AF286="",LEN(TRIM('Raw Data'!AF286))=0),"",IF(AND(ISNUMBER('Raw Data'!AF286), IFERROR('Raw Data'!AF286 = ROUND('Raw Data'!AF286, 2),FALSE)),"",_xlfn.REGEXEXTRACT(CELL("address",AF286), "\$([A-Z]+)\$[0-9]+"))),_xlfn.REGEXEXTRACT(CELL("address",AF286), "\$([A-Z]+)\$[0-9]+"))</f>
        <v/>
      </c>
      <c r="AG286" s="7" t="str" cm="1">
        <f t="array" aca="1" ref="AG286" ca="1">IFERROR(IF(OR('Raw Data'!AG286="",LEN(TRIM('Raw Data'!AG286))=0),"",IF(AND(ISNUMBER('Raw Data'!AG286), IFERROR('Raw Data'!AG286 = ROUND('Raw Data'!AG286, 2),FALSE)),"",_xlfn.REGEXEXTRACT(CELL("address",AG286), "\$([A-Z]+)\$[0-9]+"))),_xlfn.REGEXEXTRACT(CELL("address",AG286), "\$([A-Z]+)\$[0-9]+"))</f>
        <v/>
      </c>
      <c r="AH286" s="7" t="str" cm="1">
        <f t="array" aca="1" ref="AH286" ca="1">IFERROR(IF(OR('Raw Data'!AH286="",LEN(TRIM('Raw Data'!AH286))=0),"",IF(AND(ISNUMBER('Raw Data'!AH286), IFERROR('Raw Data'!AH286 = ROUND('Raw Data'!AH286, 2),FALSE)),"",_xlfn.REGEXEXTRACT(CELL("address",AH286), "\$([A-Z]+)\$[0-9]+"))),_xlfn.REGEXEXTRACT(CELL("address",AH286), "\$([A-Z]+)\$[0-9]+"))</f>
        <v/>
      </c>
      <c r="AI286" s="7" t="str" cm="1">
        <f t="array" aca="1" ref="AI286" ca="1">IFERROR(IF(OR('Raw Data'!AI286="",LEN(TRIM('Raw Data'!AI286))=0),"",IF(AND(ISNUMBER('Raw Data'!AI286), IFERROR('Raw Data'!AI286 = ROUND('Raw Data'!AI286, 2),FALSE)),"",_xlfn.REGEXEXTRACT(CELL("address",AI286), "\$([A-Z]+)\$[0-9]+"))),_xlfn.REGEXEXTRACT(CELL("address",AI286), "\$([A-Z]+)\$[0-9]+"))</f>
        <v/>
      </c>
      <c r="AJ286" s="7" t="str" cm="1">
        <f t="array" aca="1" ref="AJ286" ca="1">IFERROR(IF(OR('Raw Data'!AJ286="",LEN(TRIM('Raw Data'!AJ286))=0),"",IF(AND(ISNUMBER('Raw Data'!AJ286), IFERROR('Raw Data'!AJ286 = ROUND('Raw Data'!AJ286, 2),FALSE)),"",_xlfn.REGEXEXTRACT(CELL("address",AJ286), "\$([A-Z]+)\$[0-9]+"))),_xlfn.REGEXEXTRACT(CELL("address",AJ286), "\$([A-Z]+)\$[0-9]+"))</f>
        <v/>
      </c>
    </row>
    <row r="287" spans="2:36" x14ac:dyDescent="0.25">
      <c r="B287" s="7" t="str" cm="1">
        <f t="array" aca="1" ref="B287" ca="1">IFERROR(IF(OR('Raw Data'!B287="",LEN(TRIM('Raw Data'!B287))=0),"",IF(AND(LEN('Raw Data'!B287) &lt;= 255,LEN('Raw Data'!B287)&gt; 0),"",_xlfn.REGEXEXTRACT(CELL("address",'Raw Data'!B287),"\$([A-Z]+)\$[0-9]+"))),_xlfn.REGEXEXTRACT(CELL("address",'Raw Data'!B287),"\$([A-Z]+)\$[0-9]+"))</f>
        <v/>
      </c>
      <c r="C287" s="7" t="str" cm="1">
        <f t="array" aca="1" ref="C287" ca="1">IFERROR(IF(OR('Raw Data'!C287="",LEN(TRIM('Raw Data'!C287))=0),"",IF(AND(LEN('Raw Data'!C287) &lt;= 20,LEN('Raw Data'!C287)&gt; 0),"",_xlfn.REGEXEXTRACT(CELL("address",'Raw Data'!C287),"\$([A-Z]+)\$[0-9]+"))),_xlfn.REGEXEXTRACT(CELL("address",'Raw Data'!C287),"\$([A-Z]+)\$[0-9]+"))</f>
        <v/>
      </c>
      <c r="D287" s="7" t="str" cm="1">
        <f t="array" aca="1" ref="D287" ca="1">IFERROR(IF(OR('Raw Data'!D287="",LEN(TRIM('Raw Data'!D287))=0),"",IF(AND(ISNUMBER('Raw Data'!D287),'Raw Data'!D287&gt;=Configuration!$D$2),"",_xlfn.REGEXEXTRACT(CELL("address",'Raw Data'!D287),"\$([A-Z]+)\$[0-9]+"))),_xlfn.REGEXEXTRACT(CELL("address",D287), "\$([A-Z]+)\$[0-9]+"))</f>
        <v/>
      </c>
      <c r="E287" s="7" t="str" cm="1">
        <f t="array" aca="1" ref="E287" ca="1">IFERROR(IF(OR('Raw Data'!E287="",LEN(TRIM('Raw Data'!E287))=0),"",IF(AND(ISNUMBER('Raw Data'!E287), IFERROR('Raw Data'!E287 = ROUND('Raw Data'!E287, 2),FALSE)),"",_xlfn.REGEXEXTRACT(CELL("address",E287), "\$([A-Z]+)\$[0-9]+"))),_xlfn.REGEXEXTRACT(CELL("address",E287), "\$([A-Z]+)\$[0-9]+"))</f>
        <v/>
      </c>
      <c r="F287" s="7" t="str" cm="1">
        <f t="array" aca="1" ref="F287" ca="1">IFERROR(IF(OR('Raw Data'!F287="",LEN(TRIM('Raw Data'!F287))=0),"",IF(AND(ISNUMBER('Raw Data'!F287), IFERROR('Raw Data'!F287 = ROUND('Raw Data'!F287, 2),FALSE)),"",_xlfn.REGEXEXTRACT(CELL("address",F287), "\$([A-Z]+)\$[0-9]+"))),_xlfn.REGEXEXTRACT(CELL("address",F287), "\$([A-Z]+)\$[0-9]+"))</f>
        <v/>
      </c>
      <c r="G287" s="7" t="str" cm="1">
        <f t="array" aca="1" ref="G287" ca="1">IFERROR(IF(OR('Raw Data'!G287="",LEN(TRIM('Raw Data'!G287))=0),"",IF(AND(ISNUMBER('Raw Data'!G287), IFERROR('Raw Data'!G287 = ROUND('Raw Data'!G287, 2),FALSE)),"",_xlfn.REGEXEXTRACT(CELL("address",G287), "\$([A-Z]+)\$[0-9]+"))),_xlfn.REGEXEXTRACT(CELL("address",G287), "\$([A-Z]+)\$[0-9]+"))</f>
        <v/>
      </c>
      <c r="H287" s="7" t="str" cm="1">
        <f t="array" aca="1" ref="H287" ca="1">IFERROR(IF(OR('Raw Data'!H287="",LEN(TRIM('Raw Data'!H287))=0),"",IF(AND(ISNUMBER('Raw Data'!H287), IFERROR('Raw Data'!H287 = ROUND('Raw Data'!H287, 2),FALSE)),"",_xlfn.REGEXEXTRACT(CELL("address",H287), "\$([A-Z]+)\$[0-9]+"))),_xlfn.REGEXEXTRACT(CELL("address",H287), "\$([A-Z]+)\$[0-9]+"))</f>
        <v/>
      </c>
      <c r="I287" s="7" t="str" cm="1">
        <f t="array" aca="1" ref="I287" ca="1">IFERROR(IF(OR('Raw Data'!I287="",LEN(TRIM('Raw Data'!I287))=0),"",IF(AND(ISNUMBER('Raw Data'!I287), IFERROR('Raw Data'!I287 = ROUND('Raw Data'!I287, 2),FALSE)),"",_xlfn.REGEXEXTRACT(CELL("address",I287), "\$([A-Z]+)\$[0-9]+"))),_xlfn.REGEXEXTRACT(CELL("address",I287), "\$([A-Z]+)\$[0-9]+"))</f>
        <v/>
      </c>
      <c r="J287" s="7" t="str" cm="1">
        <f t="array" aca="1" ref="J287" ca="1">IFERROR(IF(OR('Raw Data'!J287="",LEN(TRIM('Raw Data'!J287))=0),"",IF(AND(ISNUMBER('Raw Data'!J287), IFERROR('Raw Data'!J287 = ROUND('Raw Data'!J287, 2),FALSE)),"",_xlfn.REGEXEXTRACT(CELL("address",J287), "\$([A-Z]+)\$[0-9]+"))),_xlfn.REGEXEXTRACT(CELL("address",J287), "\$([A-Z]+)\$[0-9]+"))</f>
        <v/>
      </c>
      <c r="K287" s="7" t="str" cm="1">
        <f t="array" aca="1" ref="K287" ca="1">IFERROR(IF(OR('Raw Data'!K287="",LEN(TRIM('Raw Data'!K287))=0),"",IF(AND(ISNUMBER('Raw Data'!K287), IFERROR('Raw Data'!K287 = ROUND('Raw Data'!K287, 2),FALSE)),"",_xlfn.REGEXEXTRACT(CELL("address",K287), "\$([A-Z]+)\$[0-9]+"))),_xlfn.REGEXEXTRACT(CELL("address",K287), "\$([A-Z]+)\$[0-9]+"))</f>
        <v/>
      </c>
      <c r="L287" s="7" t="str" cm="1">
        <f t="array" aca="1" ref="L287" ca="1">IFERROR(IF(OR('Raw Data'!L287="",LEN(TRIM('Raw Data'!L287))=0),"",IF(AND(ISNUMBER('Raw Data'!L287), IFERROR('Raw Data'!L287 = ROUND('Raw Data'!L287, 2),FALSE)),"",_xlfn.REGEXEXTRACT(CELL("address",L287), "\$([A-Z]+)\$[0-9]+"))),_xlfn.REGEXEXTRACT(CELL("address",L287), "\$([A-Z]+)\$[0-9]+"))</f>
        <v/>
      </c>
      <c r="M287" s="7" t="str" cm="1">
        <f t="array" aca="1" ref="M287" ca="1">IFERROR(IF(OR('Raw Data'!M287="",LEN(TRIM('Raw Data'!M287))=0),"",IF(AND(ISNUMBER('Raw Data'!M287), IFERROR('Raw Data'!M287 = ROUND('Raw Data'!M287, 2),FALSE)),"",_xlfn.REGEXEXTRACT(CELL("address",M287), "\$([A-Z]+)\$[0-9]+"))),_xlfn.REGEXEXTRACT(CELL("address",M287), "\$([A-Z]+)\$[0-9]+"))</f>
        <v/>
      </c>
      <c r="N287" s="7" t="str" cm="1">
        <f t="array" aca="1" ref="N287" ca="1">IFERROR(IF(OR('Raw Data'!N287="",LEN(TRIM('Raw Data'!N287))=0),"",IF(AND(ISNUMBER('Raw Data'!N287), IFERROR('Raw Data'!N287 = ROUND('Raw Data'!N287, 2),FALSE)),"",_xlfn.REGEXEXTRACT(CELL("address",N287), "\$([A-Z]+)\$[0-9]+"))),_xlfn.REGEXEXTRACT(CELL("address",N287), "\$([A-Z]+)\$[0-9]+"))</f>
        <v/>
      </c>
      <c r="O287" s="7" t="str" cm="1">
        <f t="array" aca="1" ref="O287" ca="1">IFERROR(IF(OR('Raw Data'!O287="",LEN(TRIM('Raw Data'!O287))=0),"",IF(AND(ISNUMBER('Raw Data'!O287), IFERROR('Raw Data'!O287 = ROUND('Raw Data'!O287, 2),FALSE)),"",_xlfn.REGEXEXTRACT(CELL("address",O287), "\$([A-Z]+)\$[0-9]+"))),_xlfn.REGEXEXTRACT(CELL("address",O287), "\$([A-Z]+)\$[0-9]+"))</f>
        <v/>
      </c>
      <c r="P287" s="7" t="str" cm="1">
        <f t="array" aca="1" ref="P287" ca="1">IFERROR(IF(OR('Raw Data'!P287="",LEN(TRIM('Raw Data'!P287))=0),"",IF(AND(ISNUMBER('Raw Data'!P287), IFERROR('Raw Data'!P287 = ROUND('Raw Data'!P287, 2),FALSE)),"",_xlfn.REGEXEXTRACT(CELL("address",P287), "\$([A-Z]+)\$[0-9]+"))),_xlfn.REGEXEXTRACT(CELL("address",P287), "\$([A-Z]+)\$[0-9]+"))</f>
        <v/>
      </c>
      <c r="Q287" s="7" t="str" cm="1">
        <f t="array" aca="1" ref="Q287" ca="1">IFERROR(IF(OR('Raw Data'!Q287="",LEN(TRIM('Raw Data'!Q287))=0),"",IF(AND(ISNUMBER('Raw Data'!Q287), IFERROR('Raw Data'!Q287 = ROUND('Raw Data'!Q287, 2),FALSE)),"",_xlfn.REGEXEXTRACT(CELL("address",Q287), "\$([A-Z]+)\$[0-9]+"))),_xlfn.REGEXEXTRACT(CELL("address",Q287), "\$([A-Z]+)\$[0-9]+"))</f>
        <v/>
      </c>
      <c r="R287" s="7" t="str" cm="1">
        <f t="array" aca="1" ref="R287" ca="1">IFERROR(IF(OR('Raw Data'!R287="",LEN(TRIM('Raw Data'!R287))=0),"",IF(AND(ISNUMBER('Raw Data'!R287), IFERROR('Raw Data'!R287 = ROUND('Raw Data'!R287, 2),FALSE)),"",_xlfn.REGEXEXTRACT(CELL("address",R287), "\$([A-Z]+)\$[0-9]+"))),_xlfn.REGEXEXTRACT(CELL("address",R287), "\$([A-Z]+)\$[0-9]+"))</f>
        <v/>
      </c>
      <c r="S287" s="7" t="str" cm="1">
        <f t="array" aca="1" ref="S287" ca="1">IFERROR(IF(OR('Raw Data'!S287="",LEN(TRIM('Raw Data'!S287))=0),"",IF(AND(ISNUMBER('Raw Data'!S287), IFERROR('Raw Data'!S287 = ROUND('Raw Data'!S287, 2),FALSE)),"",_xlfn.REGEXEXTRACT(CELL("address",S287), "\$([A-Z]+)\$[0-9]+"))),_xlfn.REGEXEXTRACT(CELL("address",S287), "\$([A-Z]+)\$[0-9]+"))</f>
        <v/>
      </c>
      <c r="T287" s="7" t="str" cm="1">
        <f t="array" aca="1" ref="T287" ca="1">IFERROR(IF(OR('Raw Data'!T287="",LEN(TRIM('Raw Data'!T287))=0),"",IF(AND(ISNUMBER('Raw Data'!T287), IFERROR('Raw Data'!T287 = ROUND('Raw Data'!T287, 2),FALSE)),"",_xlfn.REGEXEXTRACT(CELL("address",T287), "\$([A-Z]+)\$[0-9]+"))),_xlfn.REGEXEXTRACT(CELL("address",T287), "\$([A-Z]+)\$[0-9]+"))</f>
        <v/>
      </c>
      <c r="U287" s="7" t="str" cm="1">
        <f t="array" aca="1" ref="U287" ca="1">IFERROR(IF(OR('Raw Data'!U287="",LEN(TRIM('Raw Data'!U287))=0),"",IF(AND(ISNUMBER('Raw Data'!U287), IFERROR('Raw Data'!U287 = ROUND('Raw Data'!U287, 2),FALSE)),"",_xlfn.REGEXEXTRACT(CELL("address",U287), "\$([A-Z]+)\$[0-9]+"))),_xlfn.REGEXEXTRACT(CELL("address",U287), "\$([A-Z]+)\$[0-9]+"))</f>
        <v/>
      </c>
      <c r="V287" s="7" t="str" cm="1">
        <f t="array" aca="1" ref="V287" ca="1">IFERROR(IF(OR('Raw Data'!V287="",LEN(TRIM('Raw Data'!V287))=0),"",IF(AND(ISNUMBER('Raw Data'!V287), IFERROR('Raw Data'!V287 = ROUND('Raw Data'!V287, 2),FALSE)),"",_xlfn.REGEXEXTRACT(CELL("address",V287), "\$([A-Z]+)\$[0-9]+"))),_xlfn.REGEXEXTRACT(CELL("address",V287), "\$([A-Z]+)\$[0-9]+"))</f>
        <v/>
      </c>
      <c r="W287" s="7" t="str" cm="1">
        <f t="array" aca="1" ref="W287" ca="1">IFERROR(IF(OR('Raw Data'!W287="",LEN(TRIM('Raw Data'!W287))=0),"",IF(AND(ISNUMBER('Raw Data'!W287), IFERROR('Raw Data'!W287 = ROUND('Raw Data'!W287, 2),FALSE)),"",_xlfn.REGEXEXTRACT(CELL("address",W287), "\$([A-Z]+)\$[0-9]+"))),_xlfn.REGEXEXTRACT(CELL("address",W287), "\$([A-Z]+)\$[0-9]+"))</f>
        <v/>
      </c>
      <c r="X287" s="7" t="str" cm="1">
        <f t="array" aca="1" ref="X287" ca="1">IFERROR(IF(OR('Raw Data'!X287="",LEN(TRIM('Raw Data'!X287))=0),"",IF(AND(ISNUMBER('Raw Data'!X287), IFERROR('Raw Data'!X287 = ROUND('Raw Data'!X287, 2),FALSE)),"",_xlfn.REGEXEXTRACT(CELL("address",X287), "\$([A-Z]+)\$[0-9]+"))),_xlfn.REGEXEXTRACT(CELL("address",X287), "\$([A-Z]+)\$[0-9]+"))</f>
        <v/>
      </c>
      <c r="Y287" s="7" t="str" cm="1">
        <f t="array" aca="1" ref="Y287" ca="1">IFERROR(IF(OR('Raw Data'!Y287="",LEN(TRIM('Raw Data'!Y287))=0),"",IF(AND(ISNUMBER('Raw Data'!Y287), IFERROR('Raw Data'!Y287 = ROUND('Raw Data'!Y287, 2),FALSE)),"",_xlfn.REGEXEXTRACT(CELL("address",Y287), "\$([A-Z]+)\$[0-9]+"))),_xlfn.REGEXEXTRACT(CELL("address",Y287), "\$([A-Z]+)\$[0-9]+"))</f>
        <v/>
      </c>
      <c r="Z287" s="7" t="str" cm="1">
        <f t="array" aca="1" ref="Z287" ca="1">IFERROR(IF(OR('Raw Data'!Z287="",LEN(TRIM('Raw Data'!Z287))=0),"",IF(AND(ISNUMBER('Raw Data'!Z287), IFERROR('Raw Data'!Z287 = ROUND('Raw Data'!Z287, 2),FALSE)),"",_xlfn.REGEXEXTRACT(CELL("address",Z287), "\$([A-Z]+)\$[0-9]+"))),_xlfn.REGEXEXTRACT(CELL("address",Z287), "\$([A-Z]+)\$[0-9]+"))</f>
        <v/>
      </c>
      <c r="AA287" s="7" t="str" cm="1">
        <f t="array" aca="1" ref="AA287" ca="1">IFERROR(IF(OR('Raw Data'!AA287="",LEN(TRIM('Raw Data'!AA287))=0),"",IF(AND(ISNUMBER('Raw Data'!AA287), IFERROR('Raw Data'!AA287 = ROUND('Raw Data'!AA287, 2),FALSE)),"",_xlfn.REGEXEXTRACT(CELL("address",AA287), "\$([A-Z]+)\$[0-9]+"))),_xlfn.REGEXEXTRACT(CELL("address",AA287), "\$([A-Z]+)\$[0-9]+"))</f>
        <v/>
      </c>
      <c r="AB287" s="7" t="str" cm="1">
        <f t="array" aca="1" ref="AB287" ca="1">IFERROR(IF(OR('Raw Data'!AB287="",LEN(TRIM('Raw Data'!AB287))=0),"",IF(AND(ISNUMBER('Raw Data'!AB287), IFERROR('Raw Data'!AB287 = ROUND('Raw Data'!AB287, 2),FALSE)),"",_xlfn.REGEXEXTRACT(CELL("address",AB287), "\$([A-Z]+)\$[0-9]+"))),_xlfn.REGEXEXTRACT(CELL("address",AB287), "\$([A-Z]+)\$[0-9]+"))</f>
        <v/>
      </c>
      <c r="AC287" s="7" t="str" cm="1">
        <f t="array" aca="1" ref="AC287" ca="1">IFERROR(IF(OR('Raw Data'!AC287="",LEN(TRIM('Raw Data'!AC287))=0),"",IF(AND(ISNUMBER('Raw Data'!AC287), IFERROR('Raw Data'!AC287 = ROUND('Raw Data'!AC287, 2),FALSE)),"",_xlfn.REGEXEXTRACT(CELL("address",AC287), "\$([A-Z]+)\$[0-9]+"))),_xlfn.REGEXEXTRACT(CELL("address",AC287), "\$([A-Z]+)\$[0-9]+"))</f>
        <v/>
      </c>
      <c r="AD287" s="7" t="str" cm="1">
        <f t="array" aca="1" ref="AD287" ca="1">IFERROR(IF(OR('Raw Data'!AD287="",LEN(TRIM('Raw Data'!AD287))=0),"",IF(AND(ISNUMBER('Raw Data'!AD287), IFERROR('Raw Data'!AD287 = ROUND('Raw Data'!AD287, 2),FALSE)),"",_xlfn.REGEXEXTRACT(CELL("address",AD287), "\$([A-Z]+)\$[0-9]+"))),_xlfn.REGEXEXTRACT(CELL("address",AD287), "\$([A-Z]+)\$[0-9]+"))</f>
        <v/>
      </c>
      <c r="AE287" s="7" t="str" cm="1">
        <f t="array" aca="1" ref="AE287" ca="1">IFERROR(IF(OR('Raw Data'!AE287="",LEN(TRIM('Raw Data'!AE287))=0),"",IF(AND(ISNUMBER('Raw Data'!AE287), IFERROR('Raw Data'!AE287 = ROUND('Raw Data'!AE287, 2),FALSE)),"",_xlfn.REGEXEXTRACT(CELL("address",AE287), "\$([A-Z]+)\$[0-9]+"))),_xlfn.REGEXEXTRACT(CELL("address",AE287), "\$([A-Z]+)\$[0-9]+"))</f>
        <v/>
      </c>
      <c r="AF287" s="7" t="str" cm="1">
        <f t="array" aca="1" ref="AF287" ca="1">IFERROR(IF(OR('Raw Data'!AF287="",LEN(TRIM('Raw Data'!AF287))=0),"",IF(AND(ISNUMBER('Raw Data'!AF287), IFERROR('Raw Data'!AF287 = ROUND('Raw Data'!AF287, 2),FALSE)),"",_xlfn.REGEXEXTRACT(CELL("address",AF287), "\$([A-Z]+)\$[0-9]+"))),_xlfn.REGEXEXTRACT(CELL("address",AF287), "\$([A-Z]+)\$[0-9]+"))</f>
        <v/>
      </c>
      <c r="AG287" s="7" t="str" cm="1">
        <f t="array" aca="1" ref="AG287" ca="1">IFERROR(IF(OR('Raw Data'!AG287="",LEN(TRIM('Raw Data'!AG287))=0),"",IF(AND(ISNUMBER('Raw Data'!AG287), IFERROR('Raw Data'!AG287 = ROUND('Raw Data'!AG287, 2),FALSE)),"",_xlfn.REGEXEXTRACT(CELL("address",AG287), "\$([A-Z]+)\$[0-9]+"))),_xlfn.REGEXEXTRACT(CELL("address",AG287), "\$([A-Z]+)\$[0-9]+"))</f>
        <v/>
      </c>
      <c r="AH287" s="7" t="str" cm="1">
        <f t="array" aca="1" ref="AH287" ca="1">IFERROR(IF(OR('Raw Data'!AH287="",LEN(TRIM('Raw Data'!AH287))=0),"",IF(AND(ISNUMBER('Raw Data'!AH287), IFERROR('Raw Data'!AH287 = ROUND('Raw Data'!AH287, 2),FALSE)),"",_xlfn.REGEXEXTRACT(CELL("address",AH287), "\$([A-Z]+)\$[0-9]+"))),_xlfn.REGEXEXTRACT(CELL("address",AH287), "\$([A-Z]+)\$[0-9]+"))</f>
        <v/>
      </c>
      <c r="AI287" s="7" t="str" cm="1">
        <f t="array" aca="1" ref="AI287" ca="1">IFERROR(IF(OR('Raw Data'!AI287="",LEN(TRIM('Raw Data'!AI287))=0),"",IF(AND(ISNUMBER('Raw Data'!AI287), IFERROR('Raw Data'!AI287 = ROUND('Raw Data'!AI287, 2),FALSE)),"",_xlfn.REGEXEXTRACT(CELL("address",AI287), "\$([A-Z]+)\$[0-9]+"))),_xlfn.REGEXEXTRACT(CELL("address",AI287), "\$([A-Z]+)\$[0-9]+"))</f>
        <v/>
      </c>
      <c r="AJ287" s="7" t="str" cm="1">
        <f t="array" aca="1" ref="AJ287" ca="1">IFERROR(IF(OR('Raw Data'!AJ287="",LEN(TRIM('Raw Data'!AJ287))=0),"",IF(AND(ISNUMBER('Raw Data'!AJ287), IFERROR('Raw Data'!AJ287 = ROUND('Raw Data'!AJ287, 2),FALSE)),"",_xlfn.REGEXEXTRACT(CELL("address",AJ287), "\$([A-Z]+)\$[0-9]+"))),_xlfn.REGEXEXTRACT(CELL("address",AJ287), "\$([A-Z]+)\$[0-9]+"))</f>
        <v/>
      </c>
    </row>
    <row r="288" spans="2:36" x14ac:dyDescent="0.25">
      <c r="B288" s="7" t="str" cm="1">
        <f t="array" aca="1" ref="B288" ca="1">IFERROR(IF(OR('Raw Data'!B288="",LEN(TRIM('Raw Data'!B288))=0),"",IF(AND(LEN('Raw Data'!B288) &lt;= 255,LEN('Raw Data'!B288)&gt; 0),"",_xlfn.REGEXEXTRACT(CELL("address",'Raw Data'!B288),"\$([A-Z]+)\$[0-9]+"))),_xlfn.REGEXEXTRACT(CELL("address",'Raw Data'!B288),"\$([A-Z]+)\$[0-9]+"))</f>
        <v/>
      </c>
      <c r="C288" s="7" t="str" cm="1">
        <f t="array" aca="1" ref="C288" ca="1">IFERROR(IF(OR('Raw Data'!C288="",LEN(TRIM('Raw Data'!C288))=0),"",IF(AND(LEN('Raw Data'!C288) &lt;= 20,LEN('Raw Data'!C288)&gt; 0),"",_xlfn.REGEXEXTRACT(CELL("address",'Raw Data'!C288),"\$([A-Z]+)\$[0-9]+"))),_xlfn.REGEXEXTRACT(CELL("address",'Raw Data'!C288),"\$([A-Z]+)\$[0-9]+"))</f>
        <v/>
      </c>
      <c r="D288" s="7" t="str" cm="1">
        <f t="array" aca="1" ref="D288" ca="1">IFERROR(IF(OR('Raw Data'!D288="",LEN(TRIM('Raw Data'!D288))=0),"",IF(AND(ISNUMBER('Raw Data'!D288),'Raw Data'!D288&gt;=Configuration!$D$2),"",_xlfn.REGEXEXTRACT(CELL("address",'Raw Data'!D288),"\$([A-Z]+)\$[0-9]+"))),_xlfn.REGEXEXTRACT(CELL("address",D288), "\$([A-Z]+)\$[0-9]+"))</f>
        <v/>
      </c>
      <c r="E288" s="7" t="str" cm="1">
        <f t="array" aca="1" ref="E288" ca="1">IFERROR(IF(OR('Raw Data'!E288="",LEN(TRIM('Raw Data'!E288))=0),"",IF(AND(ISNUMBER('Raw Data'!E288), IFERROR('Raw Data'!E288 = ROUND('Raw Data'!E288, 2),FALSE)),"",_xlfn.REGEXEXTRACT(CELL("address",E288), "\$([A-Z]+)\$[0-9]+"))),_xlfn.REGEXEXTRACT(CELL("address",E288), "\$([A-Z]+)\$[0-9]+"))</f>
        <v/>
      </c>
      <c r="F288" s="7" t="str" cm="1">
        <f t="array" aca="1" ref="F288" ca="1">IFERROR(IF(OR('Raw Data'!F288="",LEN(TRIM('Raw Data'!F288))=0),"",IF(AND(ISNUMBER('Raw Data'!F288), IFERROR('Raw Data'!F288 = ROUND('Raw Data'!F288, 2),FALSE)),"",_xlfn.REGEXEXTRACT(CELL("address",F288), "\$([A-Z]+)\$[0-9]+"))),_xlfn.REGEXEXTRACT(CELL("address",F288), "\$([A-Z]+)\$[0-9]+"))</f>
        <v/>
      </c>
      <c r="G288" s="7" t="str" cm="1">
        <f t="array" aca="1" ref="G288" ca="1">IFERROR(IF(OR('Raw Data'!G288="",LEN(TRIM('Raw Data'!G288))=0),"",IF(AND(ISNUMBER('Raw Data'!G288), IFERROR('Raw Data'!G288 = ROUND('Raw Data'!G288, 2),FALSE)),"",_xlfn.REGEXEXTRACT(CELL("address",G288), "\$([A-Z]+)\$[0-9]+"))),_xlfn.REGEXEXTRACT(CELL("address",G288), "\$([A-Z]+)\$[0-9]+"))</f>
        <v/>
      </c>
      <c r="H288" s="7" t="str" cm="1">
        <f t="array" aca="1" ref="H288" ca="1">IFERROR(IF(OR('Raw Data'!H288="",LEN(TRIM('Raw Data'!H288))=0),"",IF(AND(ISNUMBER('Raw Data'!H288), IFERROR('Raw Data'!H288 = ROUND('Raw Data'!H288, 2),FALSE)),"",_xlfn.REGEXEXTRACT(CELL("address",H288), "\$([A-Z]+)\$[0-9]+"))),_xlfn.REGEXEXTRACT(CELL("address",H288), "\$([A-Z]+)\$[0-9]+"))</f>
        <v/>
      </c>
      <c r="I288" s="7" t="str" cm="1">
        <f t="array" aca="1" ref="I288" ca="1">IFERROR(IF(OR('Raw Data'!I288="",LEN(TRIM('Raw Data'!I288))=0),"",IF(AND(ISNUMBER('Raw Data'!I288), IFERROR('Raw Data'!I288 = ROUND('Raw Data'!I288, 2),FALSE)),"",_xlfn.REGEXEXTRACT(CELL("address",I288), "\$([A-Z]+)\$[0-9]+"))),_xlfn.REGEXEXTRACT(CELL("address",I288), "\$([A-Z]+)\$[0-9]+"))</f>
        <v/>
      </c>
      <c r="J288" s="7" t="str" cm="1">
        <f t="array" aca="1" ref="J288" ca="1">IFERROR(IF(OR('Raw Data'!J288="",LEN(TRIM('Raw Data'!J288))=0),"",IF(AND(ISNUMBER('Raw Data'!J288), IFERROR('Raw Data'!J288 = ROUND('Raw Data'!J288, 2),FALSE)),"",_xlfn.REGEXEXTRACT(CELL("address",J288), "\$([A-Z]+)\$[0-9]+"))),_xlfn.REGEXEXTRACT(CELL("address",J288), "\$([A-Z]+)\$[0-9]+"))</f>
        <v/>
      </c>
      <c r="K288" s="7" t="str" cm="1">
        <f t="array" aca="1" ref="K288" ca="1">IFERROR(IF(OR('Raw Data'!K288="",LEN(TRIM('Raw Data'!K288))=0),"",IF(AND(ISNUMBER('Raw Data'!K288), IFERROR('Raw Data'!K288 = ROUND('Raw Data'!K288, 2),FALSE)),"",_xlfn.REGEXEXTRACT(CELL("address",K288), "\$([A-Z]+)\$[0-9]+"))),_xlfn.REGEXEXTRACT(CELL("address",K288), "\$([A-Z]+)\$[0-9]+"))</f>
        <v/>
      </c>
      <c r="L288" s="7" t="str" cm="1">
        <f t="array" aca="1" ref="L288" ca="1">IFERROR(IF(OR('Raw Data'!L288="",LEN(TRIM('Raw Data'!L288))=0),"",IF(AND(ISNUMBER('Raw Data'!L288), IFERROR('Raw Data'!L288 = ROUND('Raw Data'!L288, 2),FALSE)),"",_xlfn.REGEXEXTRACT(CELL("address",L288), "\$([A-Z]+)\$[0-9]+"))),_xlfn.REGEXEXTRACT(CELL("address",L288), "\$([A-Z]+)\$[0-9]+"))</f>
        <v/>
      </c>
      <c r="M288" s="7" t="str" cm="1">
        <f t="array" aca="1" ref="M288" ca="1">IFERROR(IF(OR('Raw Data'!M288="",LEN(TRIM('Raw Data'!M288))=0),"",IF(AND(ISNUMBER('Raw Data'!M288), IFERROR('Raw Data'!M288 = ROUND('Raw Data'!M288, 2),FALSE)),"",_xlfn.REGEXEXTRACT(CELL("address",M288), "\$([A-Z]+)\$[0-9]+"))),_xlfn.REGEXEXTRACT(CELL("address",M288), "\$([A-Z]+)\$[0-9]+"))</f>
        <v/>
      </c>
      <c r="N288" s="7" t="str" cm="1">
        <f t="array" aca="1" ref="N288" ca="1">IFERROR(IF(OR('Raw Data'!N288="",LEN(TRIM('Raw Data'!N288))=0),"",IF(AND(ISNUMBER('Raw Data'!N288), IFERROR('Raw Data'!N288 = ROUND('Raw Data'!N288, 2),FALSE)),"",_xlfn.REGEXEXTRACT(CELL("address",N288), "\$([A-Z]+)\$[0-9]+"))),_xlfn.REGEXEXTRACT(CELL("address",N288), "\$([A-Z]+)\$[0-9]+"))</f>
        <v/>
      </c>
      <c r="O288" s="7" t="str" cm="1">
        <f t="array" aca="1" ref="O288" ca="1">IFERROR(IF(OR('Raw Data'!O288="",LEN(TRIM('Raw Data'!O288))=0),"",IF(AND(ISNUMBER('Raw Data'!O288), IFERROR('Raw Data'!O288 = ROUND('Raw Data'!O288, 2),FALSE)),"",_xlfn.REGEXEXTRACT(CELL("address",O288), "\$([A-Z]+)\$[0-9]+"))),_xlfn.REGEXEXTRACT(CELL("address",O288), "\$([A-Z]+)\$[0-9]+"))</f>
        <v/>
      </c>
      <c r="P288" s="7" t="str" cm="1">
        <f t="array" aca="1" ref="P288" ca="1">IFERROR(IF(OR('Raw Data'!P288="",LEN(TRIM('Raw Data'!P288))=0),"",IF(AND(ISNUMBER('Raw Data'!P288), IFERROR('Raw Data'!P288 = ROUND('Raw Data'!P288, 2),FALSE)),"",_xlfn.REGEXEXTRACT(CELL("address",P288), "\$([A-Z]+)\$[0-9]+"))),_xlfn.REGEXEXTRACT(CELL("address",P288), "\$([A-Z]+)\$[0-9]+"))</f>
        <v/>
      </c>
      <c r="Q288" s="7" t="str" cm="1">
        <f t="array" aca="1" ref="Q288" ca="1">IFERROR(IF(OR('Raw Data'!Q288="",LEN(TRIM('Raw Data'!Q288))=0),"",IF(AND(ISNUMBER('Raw Data'!Q288), IFERROR('Raw Data'!Q288 = ROUND('Raw Data'!Q288, 2),FALSE)),"",_xlfn.REGEXEXTRACT(CELL("address",Q288), "\$([A-Z]+)\$[0-9]+"))),_xlfn.REGEXEXTRACT(CELL("address",Q288), "\$([A-Z]+)\$[0-9]+"))</f>
        <v/>
      </c>
      <c r="R288" s="7" t="str" cm="1">
        <f t="array" aca="1" ref="R288" ca="1">IFERROR(IF(OR('Raw Data'!R288="",LEN(TRIM('Raw Data'!R288))=0),"",IF(AND(ISNUMBER('Raw Data'!R288), IFERROR('Raw Data'!R288 = ROUND('Raw Data'!R288, 2),FALSE)),"",_xlfn.REGEXEXTRACT(CELL("address",R288), "\$([A-Z]+)\$[0-9]+"))),_xlfn.REGEXEXTRACT(CELL("address",R288), "\$([A-Z]+)\$[0-9]+"))</f>
        <v/>
      </c>
      <c r="S288" s="7" t="str" cm="1">
        <f t="array" aca="1" ref="S288" ca="1">IFERROR(IF(OR('Raw Data'!S288="",LEN(TRIM('Raw Data'!S288))=0),"",IF(AND(ISNUMBER('Raw Data'!S288), IFERROR('Raw Data'!S288 = ROUND('Raw Data'!S288, 2),FALSE)),"",_xlfn.REGEXEXTRACT(CELL("address",S288), "\$([A-Z]+)\$[0-9]+"))),_xlfn.REGEXEXTRACT(CELL("address",S288), "\$([A-Z]+)\$[0-9]+"))</f>
        <v/>
      </c>
      <c r="T288" s="7" t="str" cm="1">
        <f t="array" aca="1" ref="T288" ca="1">IFERROR(IF(OR('Raw Data'!T288="",LEN(TRIM('Raw Data'!T288))=0),"",IF(AND(ISNUMBER('Raw Data'!T288), IFERROR('Raw Data'!T288 = ROUND('Raw Data'!T288, 2),FALSE)),"",_xlfn.REGEXEXTRACT(CELL("address",T288), "\$([A-Z]+)\$[0-9]+"))),_xlfn.REGEXEXTRACT(CELL("address",T288), "\$([A-Z]+)\$[0-9]+"))</f>
        <v/>
      </c>
      <c r="U288" s="7" t="str" cm="1">
        <f t="array" aca="1" ref="U288" ca="1">IFERROR(IF(OR('Raw Data'!U288="",LEN(TRIM('Raw Data'!U288))=0),"",IF(AND(ISNUMBER('Raw Data'!U288), IFERROR('Raw Data'!U288 = ROUND('Raw Data'!U288, 2),FALSE)),"",_xlfn.REGEXEXTRACT(CELL("address",U288), "\$([A-Z]+)\$[0-9]+"))),_xlfn.REGEXEXTRACT(CELL("address",U288), "\$([A-Z]+)\$[0-9]+"))</f>
        <v/>
      </c>
      <c r="V288" s="7" t="str" cm="1">
        <f t="array" aca="1" ref="V288" ca="1">IFERROR(IF(OR('Raw Data'!V288="",LEN(TRIM('Raw Data'!V288))=0),"",IF(AND(ISNUMBER('Raw Data'!V288), IFERROR('Raw Data'!V288 = ROUND('Raw Data'!V288, 2),FALSE)),"",_xlfn.REGEXEXTRACT(CELL("address",V288), "\$([A-Z]+)\$[0-9]+"))),_xlfn.REGEXEXTRACT(CELL("address",V288), "\$([A-Z]+)\$[0-9]+"))</f>
        <v/>
      </c>
      <c r="W288" s="7" t="str" cm="1">
        <f t="array" aca="1" ref="W288" ca="1">IFERROR(IF(OR('Raw Data'!W288="",LEN(TRIM('Raw Data'!W288))=0),"",IF(AND(ISNUMBER('Raw Data'!W288), IFERROR('Raw Data'!W288 = ROUND('Raw Data'!W288, 2),FALSE)),"",_xlfn.REGEXEXTRACT(CELL("address",W288), "\$([A-Z]+)\$[0-9]+"))),_xlfn.REGEXEXTRACT(CELL("address",W288), "\$([A-Z]+)\$[0-9]+"))</f>
        <v/>
      </c>
      <c r="X288" s="7" t="str" cm="1">
        <f t="array" aca="1" ref="X288" ca="1">IFERROR(IF(OR('Raw Data'!X288="",LEN(TRIM('Raw Data'!X288))=0),"",IF(AND(ISNUMBER('Raw Data'!X288), IFERROR('Raw Data'!X288 = ROUND('Raw Data'!X288, 2),FALSE)),"",_xlfn.REGEXEXTRACT(CELL("address",X288), "\$([A-Z]+)\$[0-9]+"))),_xlfn.REGEXEXTRACT(CELL("address",X288), "\$([A-Z]+)\$[0-9]+"))</f>
        <v/>
      </c>
      <c r="Y288" s="7" t="str" cm="1">
        <f t="array" aca="1" ref="Y288" ca="1">IFERROR(IF(OR('Raw Data'!Y288="",LEN(TRIM('Raw Data'!Y288))=0),"",IF(AND(ISNUMBER('Raw Data'!Y288), IFERROR('Raw Data'!Y288 = ROUND('Raw Data'!Y288, 2),FALSE)),"",_xlfn.REGEXEXTRACT(CELL("address",Y288), "\$([A-Z]+)\$[0-9]+"))),_xlfn.REGEXEXTRACT(CELL("address",Y288), "\$([A-Z]+)\$[0-9]+"))</f>
        <v/>
      </c>
      <c r="Z288" s="7" t="str" cm="1">
        <f t="array" aca="1" ref="Z288" ca="1">IFERROR(IF(OR('Raw Data'!Z288="",LEN(TRIM('Raw Data'!Z288))=0),"",IF(AND(ISNUMBER('Raw Data'!Z288), IFERROR('Raw Data'!Z288 = ROUND('Raw Data'!Z288, 2),FALSE)),"",_xlfn.REGEXEXTRACT(CELL("address",Z288), "\$([A-Z]+)\$[0-9]+"))),_xlfn.REGEXEXTRACT(CELL("address",Z288), "\$([A-Z]+)\$[0-9]+"))</f>
        <v/>
      </c>
      <c r="AA288" s="7" t="str" cm="1">
        <f t="array" aca="1" ref="AA288" ca="1">IFERROR(IF(OR('Raw Data'!AA288="",LEN(TRIM('Raw Data'!AA288))=0),"",IF(AND(ISNUMBER('Raw Data'!AA288), IFERROR('Raw Data'!AA288 = ROUND('Raw Data'!AA288, 2),FALSE)),"",_xlfn.REGEXEXTRACT(CELL("address",AA288), "\$([A-Z]+)\$[0-9]+"))),_xlfn.REGEXEXTRACT(CELL("address",AA288), "\$([A-Z]+)\$[0-9]+"))</f>
        <v/>
      </c>
      <c r="AB288" s="7" t="str" cm="1">
        <f t="array" aca="1" ref="AB288" ca="1">IFERROR(IF(OR('Raw Data'!AB288="",LEN(TRIM('Raw Data'!AB288))=0),"",IF(AND(ISNUMBER('Raw Data'!AB288), IFERROR('Raw Data'!AB288 = ROUND('Raw Data'!AB288, 2),FALSE)),"",_xlfn.REGEXEXTRACT(CELL("address",AB288), "\$([A-Z]+)\$[0-9]+"))),_xlfn.REGEXEXTRACT(CELL("address",AB288), "\$([A-Z]+)\$[0-9]+"))</f>
        <v/>
      </c>
      <c r="AC288" s="7" t="str" cm="1">
        <f t="array" aca="1" ref="AC288" ca="1">IFERROR(IF(OR('Raw Data'!AC288="",LEN(TRIM('Raw Data'!AC288))=0),"",IF(AND(ISNUMBER('Raw Data'!AC288), IFERROR('Raw Data'!AC288 = ROUND('Raw Data'!AC288, 2),FALSE)),"",_xlfn.REGEXEXTRACT(CELL("address",AC288), "\$([A-Z]+)\$[0-9]+"))),_xlfn.REGEXEXTRACT(CELL("address",AC288), "\$([A-Z]+)\$[0-9]+"))</f>
        <v/>
      </c>
      <c r="AD288" s="7" t="str" cm="1">
        <f t="array" aca="1" ref="AD288" ca="1">IFERROR(IF(OR('Raw Data'!AD288="",LEN(TRIM('Raw Data'!AD288))=0),"",IF(AND(ISNUMBER('Raw Data'!AD288), IFERROR('Raw Data'!AD288 = ROUND('Raw Data'!AD288, 2),FALSE)),"",_xlfn.REGEXEXTRACT(CELL("address",AD288), "\$([A-Z]+)\$[0-9]+"))),_xlfn.REGEXEXTRACT(CELL("address",AD288), "\$([A-Z]+)\$[0-9]+"))</f>
        <v/>
      </c>
      <c r="AE288" s="7" t="str" cm="1">
        <f t="array" aca="1" ref="AE288" ca="1">IFERROR(IF(OR('Raw Data'!AE288="",LEN(TRIM('Raw Data'!AE288))=0),"",IF(AND(ISNUMBER('Raw Data'!AE288), IFERROR('Raw Data'!AE288 = ROUND('Raw Data'!AE288, 2),FALSE)),"",_xlfn.REGEXEXTRACT(CELL("address",AE288), "\$([A-Z]+)\$[0-9]+"))),_xlfn.REGEXEXTRACT(CELL("address",AE288), "\$([A-Z]+)\$[0-9]+"))</f>
        <v/>
      </c>
      <c r="AF288" s="7" t="str" cm="1">
        <f t="array" aca="1" ref="AF288" ca="1">IFERROR(IF(OR('Raw Data'!AF288="",LEN(TRIM('Raw Data'!AF288))=0),"",IF(AND(ISNUMBER('Raw Data'!AF288), IFERROR('Raw Data'!AF288 = ROUND('Raw Data'!AF288, 2),FALSE)),"",_xlfn.REGEXEXTRACT(CELL("address",AF288), "\$([A-Z]+)\$[0-9]+"))),_xlfn.REGEXEXTRACT(CELL("address",AF288), "\$([A-Z]+)\$[0-9]+"))</f>
        <v/>
      </c>
      <c r="AG288" s="7" t="str" cm="1">
        <f t="array" aca="1" ref="AG288" ca="1">IFERROR(IF(OR('Raw Data'!AG288="",LEN(TRIM('Raw Data'!AG288))=0),"",IF(AND(ISNUMBER('Raw Data'!AG288), IFERROR('Raw Data'!AG288 = ROUND('Raw Data'!AG288, 2),FALSE)),"",_xlfn.REGEXEXTRACT(CELL("address",AG288), "\$([A-Z]+)\$[0-9]+"))),_xlfn.REGEXEXTRACT(CELL("address",AG288), "\$([A-Z]+)\$[0-9]+"))</f>
        <v/>
      </c>
      <c r="AH288" s="7" t="str" cm="1">
        <f t="array" aca="1" ref="AH288" ca="1">IFERROR(IF(OR('Raw Data'!AH288="",LEN(TRIM('Raw Data'!AH288))=0),"",IF(AND(ISNUMBER('Raw Data'!AH288), IFERROR('Raw Data'!AH288 = ROUND('Raw Data'!AH288, 2),FALSE)),"",_xlfn.REGEXEXTRACT(CELL("address",AH288), "\$([A-Z]+)\$[0-9]+"))),_xlfn.REGEXEXTRACT(CELL("address",AH288), "\$([A-Z]+)\$[0-9]+"))</f>
        <v/>
      </c>
      <c r="AI288" s="7" t="str" cm="1">
        <f t="array" aca="1" ref="AI288" ca="1">IFERROR(IF(OR('Raw Data'!AI288="",LEN(TRIM('Raw Data'!AI288))=0),"",IF(AND(ISNUMBER('Raw Data'!AI288), IFERROR('Raw Data'!AI288 = ROUND('Raw Data'!AI288, 2),FALSE)),"",_xlfn.REGEXEXTRACT(CELL("address",AI288), "\$([A-Z]+)\$[0-9]+"))),_xlfn.REGEXEXTRACT(CELL("address",AI288), "\$([A-Z]+)\$[0-9]+"))</f>
        <v/>
      </c>
      <c r="AJ288" s="7" t="str" cm="1">
        <f t="array" aca="1" ref="AJ288" ca="1">IFERROR(IF(OR('Raw Data'!AJ288="",LEN(TRIM('Raw Data'!AJ288))=0),"",IF(AND(ISNUMBER('Raw Data'!AJ288), IFERROR('Raw Data'!AJ288 = ROUND('Raw Data'!AJ288, 2),FALSE)),"",_xlfn.REGEXEXTRACT(CELL("address",AJ288), "\$([A-Z]+)\$[0-9]+"))),_xlfn.REGEXEXTRACT(CELL("address",AJ288), "\$([A-Z]+)\$[0-9]+"))</f>
        <v/>
      </c>
    </row>
    <row r="289" spans="2:36" x14ac:dyDescent="0.25">
      <c r="B289" s="7" t="str" cm="1">
        <f t="array" aca="1" ref="B289" ca="1">IFERROR(IF(OR('Raw Data'!B289="",LEN(TRIM('Raw Data'!B289))=0),"",IF(AND(LEN('Raw Data'!B289) &lt;= 255,LEN('Raw Data'!B289)&gt; 0),"",_xlfn.REGEXEXTRACT(CELL("address",'Raw Data'!B289),"\$([A-Z]+)\$[0-9]+"))),_xlfn.REGEXEXTRACT(CELL("address",'Raw Data'!B289),"\$([A-Z]+)\$[0-9]+"))</f>
        <v/>
      </c>
      <c r="C289" s="7" t="str" cm="1">
        <f t="array" aca="1" ref="C289" ca="1">IFERROR(IF(OR('Raw Data'!C289="",LEN(TRIM('Raw Data'!C289))=0),"",IF(AND(LEN('Raw Data'!C289) &lt;= 20,LEN('Raw Data'!C289)&gt; 0),"",_xlfn.REGEXEXTRACT(CELL("address",'Raw Data'!C289),"\$([A-Z]+)\$[0-9]+"))),_xlfn.REGEXEXTRACT(CELL("address",'Raw Data'!C289),"\$([A-Z]+)\$[0-9]+"))</f>
        <v/>
      </c>
      <c r="D289" s="7" t="str" cm="1">
        <f t="array" aca="1" ref="D289" ca="1">IFERROR(IF(OR('Raw Data'!D289="",LEN(TRIM('Raw Data'!D289))=0),"",IF(AND(ISNUMBER('Raw Data'!D289),'Raw Data'!D289&gt;=Configuration!$D$2),"",_xlfn.REGEXEXTRACT(CELL("address",'Raw Data'!D289),"\$([A-Z]+)\$[0-9]+"))),_xlfn.REGEXEXTRACT(CELL("address",D289), "\$([A-Z]+)\$[0-9]+"))</f>
        <v/>
      </c>
      <c r="E289" s="7" t="str" cm="1">
        <f t="array" aca="1" ref="E289" ca="1">IFERROR(IF(OR('Raw Data'!E289="",LEN(TRIM('Raw Data'!E289))=0),"",IF(AND(ISNUMBER('Raw Data'!E289), IFERROR('Raw Data'!E289 = ROUND('Raw Data'!E289, 2),FALSE)),"",_xlfn.REGEXEXTRACT(CELL("address",E289), "\$([A-Z]+)\$[0-9]+"))),_xlfn.REGEXEXTRACT(CELL("address",E289), "\$([A-Z]+)\$[0-9]+"))</f>
        <v/>
      </c>
      <c r="F289" s="7" t="str" cm="1">
        <f t="array" aca="1" ref="F289" ca="1">IFERROR(IF(OR('Raw Data'!F289="",LEN(TRIM('Raw Data'!F289))=0),"",IF(AND(ISNUMBER('Raw Data'!F289), IFERROR('Raw Data'!F289 = ROUND('Raw Data'!F289, 2),FALSE)),"",_xlfn.REGEXEXTRACT(CELL("address",F289), "\$([A-Z]+)\$[0-9]+"))),_xlfn.REGEXEXTRACT(CELL("address",F289), "\$([A-Z]+)\$[0-9]+"))</f>
        <v/>
      </c>
      <c r="G289" s="7" t="str" cm="1">
        <f t="array" aca="1" ref="G289" ca="1">IFERROR(IF(OR('Raw Data'!G289="",LEN(TRIM('Raw Data'!G289))=0),"",IF(AND(ISNUMBER('Raw Data'!G289), IFERROR('Raw Data'!G289 = ROUND('Raw Data'!G289, 2),FALSE)),"",_xlfn.REGEXEXTRACT(CELL("address",G289), "\$([A-Z]+)\$[0-9]+"))),_xlfn.REGEXEXTRACT(CELL("address",G289), "\$([A-Z]+)\$[0-9]+"))</f>
        <v/>
      </c>
      <c r="H289" s="7" t="str" cm="1">
        <f t="array" aca="1" ref="H289" ca="1">IFERROR(IF(OR('Raw Data'!H289="",LEN(TRIM('Raw Data'!H289))=0),"",IF(AND(ISNUMBER('Raw Data'!H289), IFERROR('Raw Data'!H289 = ROUND('Raw Data'!H289, 2),FALSE)),"",_xlfn.REGEXEXTRACT(CELL("address",H289), "\$([A-Z]+)\$[0-9]+"))),_xlfn.REGEXEXTRACT(CELL("address",H289), "\$([A-Z]+)\$[0-9]+"))</f>
        <v/>
      </c>
      <c r="I289" s="7" t="str" cm="1">
        <f t="array" aca="1" ref="I289" ca="1">IFERROR(IF(OR('Raw Data'!I289="",LEN(TRIM('Raw Data'!I289))=0),"",IF(AND(ISNUMBER('Raw Data'!I289), IFERROR('Raw Data'!I289 = ROUND('Raw Data'!I289, 2),FALSE)),"",_xlfn.REGEXEXTRACT(CELL("address",I289), "\$([A-Z]+)\$[0-9]+"))),_xlfn.REGEXEXTRACT(CELL("address",I289), "\$([A-Z]+)\$[0-9]+"))</f>
        <v/>
      </c>
      <c r="J289" s="7" t="str" cm="1">
        <f t="array" aca="1" ref="J289" ca="1">IFERROR(IF(OR('Raw Data'!J289="",LEN(TRIM('Raw Data'!J289))=0),"",IF(AND(ISNUMBER('Raw Data'!J289), IFERROR('Raw Data'!J289 = ROUND('Raw Data'!J289, 2),FALSE)),"",_xlfn.REGEXEXTRACT(CELL("address",J289), "\$([A-Z]+)\$[0-9]+"))),_xlfn.REGEXEXTRACT(CELL("address",J289), "\$([A-Z]+)\$[0-9]+"))</f>
        <v/>
      </c>
      <c r="K289" s="7" t="str" cm="1">
        <f t="array" aca="1" ref="K289" ca="1">IFERROR(IF(OR('Raw Data'!K289="",LEN(TRIM('Raw Data'!K289))=0),"",IF(AND(ISNUMBER('Raw Data'!K289), IFERROR('Raw Data'!K289 = ROUND('Raw Data'!K289, 2),FALSE)),"",_xlfn.REGEXEXTRACT(CELL("address",K289), "\$([A-Z]+)\$[0-9]+"))),_xlfn.REGEXEXTRACT(CELL("address",K289), "\$([A-Z]+)\$[0-9]+"))</f>
        <v/>
      </c>
      <c r="L289" s="7" t="str" cm="1">
        <f t="array" aca="1" ref="L289" ca="1">IFERROR(IF(OR('Raw Data'!L289="",LEN(TRIM('Raw Data'!L289))=0),"",IF(AND(ISNUMBER('Raw Data'!L289), IFERROR('Raw Data'!L289 = ROUND('Raw Data'!L289, 2),FALSE)),"",_xlfn.REGEXEXTRACT(CELL("address",L289), "\$([A-Z]+)\$[0-9]+"))),_xlfn.REGEXEXTRACT(CELL("address",L289), "\$([A-Z]+)\$[0-9]+"))</f>
        <v/>
      </c>
      <c r="M289" s="7" t="str" cm="1">
        <f t="array" aca="1" ref="M289" ca="1">IFERROR(IF(OR('Raw Data'!M289="",LEN(TRIM('Raw Data'!M289))=0),"",IF(AND(ISNUMBER('Raw Data'!M289), IFERROR('Raw Data'!M289 = ROUND('Raw Data'!M289, 2),FALSE)),"",_xlfn.REGEXEXTRACT(CELL("address",M289), "\$([A-Z]+)\$[0-9]+"))),_xlfn.REGEXEXTRACT(CELL("address",M289), "\$([A-Z]+)\$[0-9]+"))</f>
        <v/>
      </c>
      <c r="N289" s="7" t="str" cm="1">
        <f t="array" aca="1" ref="N289" ca="1">IFERROR(IF(OR('Raw Data'!N289="",LEN(TRIM('Raw Data'!N289))=0),"",IF(AND(ISNUMBER('Raw Data'!N289), IFERROR('Raw Data'!N289 = ROUND('Raw Data'!N289, 2),FALSE)),"",_xlfn.REGEXEXTRACT(CELL("address",N289), "\$([A-Z]+)\$[0-9]+"))),_xlfn.REGEXEXTRACT(CELL("address",N289), "\$([A-Z]+)\$[0-9]+"))</f>
        <v/>
      </c>
      <c r="O289" s="7" t="str" cm="1">
        <f t="array" aca="1" ref="O289" ca="1">IFERROR(IF(OR('Raw Data'!O289="",LEN(TRIM('Raw Data'!O289))=0),"",IF(AND(ISNUMBER('Raw Data'!O289), IFERROR('Raw Data'!O289 = ROUND('Raw Data'!O289, 2),FALSE)),"",_xlfn.REGEXEXTRACT(CELL("address",O289), "\$([A-Z]+)\$[0-9]+"))),_xlfn.REGEXEXTRACT(CELL("address",O289), "\$([A-Z]+)\$[0-9]+"))</f>
        <v/>
      </c>
      <c r="P289" s="7" t="str" cm="1">
        <f t="array" aca="1" ref="P289" ca="1">IFERROR(IF(OR('Raw Data'!P289="",LEN(TRIM('Raw Data'!P289))=0),"",IF(AND(ISNUMBER('Raw Data'!P289), IFERROR('Raw Data'!P289 = ROUND('Raw Data'!P289, 2),FALSE)),"",_xlfn.REGEXEXTRACT(CELL("address",P289), "\$([A-Z]+)\$[0-9]+"))),_xlfn.REGEXEXTRACT(CELL("address",P289), "\$([A-Z]+)\$[0-9]+"))</f>
        <v/>
      </c>
      <c r="Q289" s="7" t="str" cm="1">
        <f t="array" aca="1" ref="Q289" ca="1">IFERROR(IF(OR('Raw Data'!Q289="",LEN(TRIM('Raw Data'!Q289))=0),"",IF(AND(ISNUMBER('Raw Data'!Q289), IFERROR('Raw Data'!Q289 = ROUND('Raw Data'!Q289, 2),FALSE)),"",_xlfn.REGEXEXTRACT(CELL("address",Q289), "\$([A-Z]+)\$[0-9]+"))),_xlfn.REGEXEXTRACT(CELL("address",Q289), "\$([A-Z]+)\$[0-9]+"))</f>
        <v/>
      </c>
      <c r="R289" s="7" t="str" cm="1">
        <f t="array" aca="1" ref="R289" ca="1">IFERROR(IF(OR('Raw Data'!R289="",LEN(TRIM('Raw Data'!R289))=0),"",IF(AND(ISNUMBER('Raw Data'!R289), IFERROR('Raw Data'!R289 = ROUND('Raw Data'!R289, 2),FALSE)),"",_xlfn.REGEXEXTRACT(CELL("address",R289), "\$([A-Z]+)\$[0-9]+"))),_xlfn.REGEXEXTRACT(CELL("address",R289), "\$([A-Z]+)\$[0-9]+"))</f>
        <v/>
      </c>
      <c r="S289" s="7" t="str" cm="1">
        <f t="array" aca="1" ref="S289" ca="1">IFERROR(IF(OR('Raw Data'!S289="",LEN(TRIM('Raw Data'!S289))=0),"",IF(AND(ISNUMBER('Raw Data'!S289), IFERROR('Raw Data'!S289 = ROUND('Raw Data'!S289, 2),FALSE)),"",_xlfn.REGEXEXTRACT(CELL("address",S289), "\$([A-Z]+)\$[0-9]+"))),_xlfn.REGEXEXTRACT(CELL("address",S289), "\$([A-Z]+)\$[0-9]+"))</f>
        <v/>
      </c>
      <c r="T289" s="7" t="str" cm="1">
        <f t="array" aca="1" ref="T289" ca="1">IFERROR(IF(OR('Raw Data'!T289="",LEN(TRIM('Raw Data'!T289))=0),"",IF(AND(ISNUMBER('Raw Data'!T289), IFERROR('Raw Data'!T289 = ROUND('Raw Data'!T289, 2),FALSE)),"",_xlfn.REGEXEXTRACT(CELL("address",T289), "\$([A-Z]+)\$[0-9]+"))),_xlfn.REGEXEXTRACT(CELL("address",T289), "\$([A-Z]+)\$[0-9]+"))</f>
        <v/>
      </c>
      <c r="U289" s="7" t="str" cm="1">
        <f t="array" aca="1" ref="U289" ca="1">IFERROR(IF(OR('Raw Data'!U289="",LEN(TRIM('Raw Data'!U289))=0),"",IF(AND(ISNUMBER('Raw Data'!U289), IFERROR('Raw Data'!U289 = ROUND('Raw Data'!U289, 2),FALSE)),"",_xlfn.REGEXEXTRACT(CELL("address",U289), "\$([A-Z]+)\$[0-9]+"))),_xlfn.REGEXEXTRACT(CELL("address",U289), "\$([A-Z]+)\$[0-9]+"))</f>
        <v/>
      </c>
      <c r="V289" s="7" t="str" cm="1">
        <f t="array" aca="1" ref="V289" ca="1">IFERROR(IF(OR('Raw Data'!V289="",LEN(TRIM('Raw Data'!V289))=0),"",IF(AND(ISNUMBER('Raw Data'!V289), IFERROR('Raw Data'!V289 = ROUND('Raw Data'!V289, 2),FALSE)),"",_xlfn.REGEXEXTRACT(CELL("address",V289), "\$([A-Z]+)\$[0-9]+"))),_xlfn.REGEXEXTRACT(CELL("address",V289), "\$([A-Z]+)\$[0-9]+"))</f>
        <v/>
      </c>
      <c r="W289" s="7" t="str" cm="1">
        <f t="array" aca="1" ref="W289" ca="1">IFERROR(IF(OR('Raw Data'!W289="",LEN(TRIM('Raw Data'!W289))=0),"",IF(AND(ISNUMBER('Raw Data'!W289), IFERROR('Raw Data'!W289 = ROUND('Raw Data'!W289, 2),FALSE)),"",_xlfn.REGEXEXTRACT(CELL("address",W289), "\$([A-Z]+)\$[0-9]+"))),_xlfn.REGEXEXTRACT(CELL("address",W289), "\$([A-Z]+)\$[0-9]+"))</f>
        <v/>
      </c>
      <c r="X289" s="7" t="str" cm="1">
        <f t="array" aca="1" ref="X289" ca="1">IFERROR(IF(OR('Raw Data'!X289="",LEN(TRIM('Raw Data'!X289))=0),"",IF(AND(ISNUMBER('Raw Data'!X289), IFERROR('Raw Data'!X289 = ROUND('Raw Data'!X289, 2),FALSE)),"",_xlfn.REGEXEXTRACT(CELL("address",X289), "\$([A-Z]+)\$[0-9]+"))),_xlfn.REGEXEXTRACT(CELL("address",X289), "\$([A-Z]+)\$[0-9]+"))</f>
        <v/>
      </c>
      <c r="Y289" s="7" t="str" cm="1">
        <f t="array" aca="1" ref="Y289" ca="1">IFERROR(IF(OR('Raw Data'!Y289="",LEN(TRIM('Raw Data'!Y289))=0),"",IF(AND(ISNUMBER('Raw Data'!Y289), IFERROR('Raw Data'!Y289 = ROUND('Raw Data'!Y289, 2),FALSE)),"",_xlfn.REGEXEXTRACT(CELL("address",Y289), "\$([A-Z]+)\$[0-9]+"))),_xlfn.REGEXEXTRACT(CELL("address",Y289), "\$([A-Z]+)\$[0-9]+"))</f>
        <v/>
      </c>
      <c r="Z289" s="7" t="str" cm="1">
        <f t="array" aca="1" ref="Z289" ca="1">IFERROR(IF(OR('Raw Data'!Z289="",LEN(TRIM('Raw Data'!Z289))=0),"",IF(AND(ISNUMBER('Raw Data'!Z289), IFERROR('Raw Data'!Z289 = ROUND('Raw Data'!Z289, 2),FALSE)),"",_xlfn.REGEXEXTRACT(CELL("address",Z289), "\$([A-Z]+)\$[0-9]+"))),_xlfn.REGEXEXTRACT(CELL("address",Z289), "\$([A-Z]+)\$[0-9]+"))</f>
        <v/>
      </c>
      <c r="AA289" s="7" t="str" cm="1">
        <f t="array" aca="1" ref="AA289" ca="1">IFERROR(IF(OR('Raw Data'!AA289="",LEN(TRIM('Raw Data'!AA289))=0),"",IF(AND(ISNUMBER('Raw Data'!AA289), IFERROR('Raw Data'!AA289 = ROUND('Raw Data'!AA289, 2),FALSE)),"",_xlfn.REGEXEXTRACT(CELL("address",AA289), "\$([A-Z]+)\$[0-9]+"))),_xlfn.REGEXEXTRACT(CELL("address",AA289), "\$([A-Z]+)\$[0-9]+"))</f>
        <v/>
      </c>
      <c r="AB289" s="7" t="str" cm="1">
        <f t="array" aca="1" ref="AB289" ca="1">IFERROR(IF(OR('Raw Data'!AB289="",LEN(TRIM('Raw Data'!AB289))=0),"",IF(AND(ISNUMBER('Raw Data'!AB289), IFERROR('Raw Data'!AB289 = ROUND('Raw Data'!AB289, 2),FALSE)),"",_xlfn.REGEXEXTRACT(CELL("address",AB289), "\$([A-Z]+)\$[0-9]+"))),_xlfn.REGEXEXTRACT(CELL("address",AB289), "\$([A-Z]+)\$[0-9]+"))</f>
        <v/>
      </c>
      <c r="AC289" s="7" t="str" cm="1">
        <f t="array" aca="1" ref="AC289" ca="1">IFERROR(IF(OR('Raw Data'!AC289="",LEN(TRIM('Raw Data'!AC289))=0),"",IF(AND(ISNUMBER('Raw Data'!AC289), IFERROR('Raw Data'!AC289 = ROUND('Raw Data'!AC289, 2),FALSE)),"",_xlfn.REGEXEXTRACT(CELL("address",AC289), "\$([A-Z]+)\$[0-9]+"))),_xlfn.REGEXEXTRACT(CELL("address",AC289), "\$([A-Z]+)\$[0-9]+"))</f>
        <v/>
      </c>
      <c r="AD289" s="7" t="str" cm="1">
        <f t="array" aca="1" ref="AD289" ca="1">IFERROR(IF(OR('Raw Data'!AD289="",LEN(TRIM('Raw Data'!AD289))=0),"",IF(AND(ISNUMBER('Raw Data'!AD289), IFERROR('Raw Data'!AD289 = ROUND('Raw Data'!AD289, 2),FALSE)),"",_xlfn.REGEXEXTRACT(CELL("address",AD289), "\$([A-Z]+)\$[0-9]+"))),_xlfn.REGEXEXTRACT(CELL("address",AD289), "\$([A-Z]+)\$[0-9]+"))</f>
        <v/>
      </c>
      <c r="AE289" s="7" t="str" cm="1">
        <f t="array" aca="1" ref="AE289" ca="1">IFERROR(IF(OR('Raw Data'!AE289="",LEN(TRIM('Raw Data'!AE289))=0),"",IF(AND(ISNUMBER('Raw Data'!AE289), IFERROR('Raw Data'!AE289 = ROUND('Raw Data'!AE289, 2),FALSE)),"",_xlfn.REGEXEXTRACT(CELL("address",AE289), "\$([A-Z]+)\$[0-9]+"))),_xlfn.REGEXEXTRACT(CELL("address",AE289), "\$([A-Z]+)\$[0-9]+"))</f>
        <v/>
      </c>
      <c r="AF289" s="7" t="str" cm="1">
        <f t="array" aca="1" ref="AF289" ca="1">IFERROR(IF(OR('Raw Data'!AF289="",LEN(TRIM('Raw Data'!AF289))=0),"",IF(AND(ISNUMBER('Raw Data'!AF289), IFERROR('Raw Data'!AF289 = ROUND('Raw Data'!AF289, 2),FALSE)),"",_xlfn.REGEXEXTRACT(CELL("address",AF289), "\$([A-Z]+)\$[0-9]+"))),_xlfn.REGEXEXTRACT(CELL("address",AF289), "\$([A-Z]+)\$[0-9]+"))</f>
        <v/>
      </c>
      <c r="AG289" s="7" t="str" cm="1">
        <f t="array" aca="1" ref="AG289" ca="1">IFERROR(IF(OR('Raw Data'!AG289="",LEN(TRIM('Raw Data'!AG289))=0),"",IF(AND(ISNUMBER('Raw Data'!AG289), IFERROR('Raw Data'!AG289 = ROUND('Raw Data'!AG289, 2),FALSE)),"",_xlfn.REGEXEXTRACT(CELL("address",AG289), "\$([A-Z]+)\$[0-9]+"))),_xlfn.REGEXEXTRACT(CELL("address",AG289), "\$([A-Z]+)\$[0-9]+"))</f>
        <v/>
      </c>
      <c r="AH289" s="7" t="str" cm="1">
        <f t="array" aca="1" ref="AH289" ca="1">IFERROR(IF(OR('Raw Data'!AH289="",LEN(TRIM('Raw Data'!AH289))=0),"",IF(AND(ISNUMBER('Raw Data'!AH289), IFERROR('Raw Data'!AH289 = ROUND('Raw Data'!AH289, 2),FALSE)),"",_xlfn.REGEXEXTRACT(CELL("address",AH289), "\$([A-Z]+)\$[0-9]+"))),_xlfn.REGEXEXTRACT(CELL("address",AH289), "\$([A-Z]+)\$[0-9]+"))</f>
        <v/>
      </c>
      <c r="AI289" s="7" t="str" cm="1">
        <f t="array" aca="1" ref="AI289" ca="1">IFERROR(IF(OR('Raw Data'!AI289="",LEN(TRIM('Raw Data'!AI289))=0),"",IF(AND(ISNUMBER('Raw Data'!AI289), IFERROR('Raw Data'!AI289 = ROUND('Raw Data'!AI289, 2),FALSE)),"",_xlfn.REGEXEXTRACT(CELL("address",AI289), "\$([A-Z]+)\$[0-9]+"))),_xlfn.REGEXEXTRACT(CELL("address",AI289), "\$([A-Z]+)\$[0-9]+"))</f>
        <v/>
      </c>
      <c r="AJ289" s="7" t="str" cm="1">
        <f t="array" aca="1" ref="AJ289" ca="1">IFERROR(IF(OR('Raw Data'!AJ289="",LEN(TRIM('Raw Data'!AJ289))=0),"",IF(AND(ISNUMBER('Raw Data'!AJ289), IFERROR('Raw Data'!AJ289 = ROUND('Raw Data'!AJ289, 2),FALSE)),"",_xlfn.REGEXEXTRACT(CELL("address",AJ289), "\$([A-Z]+)\$[0-9]+"))),_xlfn.REGEXEXTRACT(CELL("address",AJ289), "\$([A-Z]+)\$[0-9]+"))</f>
        <v/>
      </c>
    </row>
    <row r="290" spans="2:36" x14ac:dyDescent="0.25">
      <c r="B290" s="7" t="str" cm="1">
        <f t="array" aca="1" ref="B290" ca="1">IFERROR(IF(OR('Raw Data'!B290="",LEN(TRIM('Raw Data'!B290))=0),"",IF(AND(LEN('Raw Data'!B290) &lt;= 255,LEN('Raw Data'!B290)&gt; 0),"",_xlfn.REGEXEXTRACT(CELL("address",'Raw Data'!B290),"\$([A-Z]+)\$[0-9]+"))),_xlfn.REGEXEXTRACT(CELL("address",'Raw Data'!B290),"\$([A-Z]+)\$[0-9]+"))</f>
        <v/>
      </c>
      <c r="C290" s="7" t="str" cm="1">
        <f t="array" aca="1" ref="C290" ca="1">IFERROR(IF(OR('Raw Data'!C290="",LEN(TRIM('Raw Data'!C290))=0),"",IF(AND(LEN('Raw Data'!C290) &lt;= 20,LEN('Raw Data'!C290)&gt; 0),"",_xlfn.REGEXEXTRACT(CELL("address",'Raw Data'!C290),"\$([A-Z]+)\$[0-9]+"))),_xlfn.REGEXEXTRACT(CELL("address",'Raw Data'!C290),"\$([A-Z]+)\$[0-9]+"))</f>
        <v/>
      </c>
      <c r="D290" s="7" t="str" cm="1">
        <f t="array" aca="1" ref="D290" ca="1">IFERROR(IF(OR('Raw Data'!D290="",LEN(TRIM('Raw Data'!D290))=0),"",IF(AND(ISNUMBER('Raw Data'!D290),'Raw Data'!D290&gt;=Configuration!$D$2),"",_xlfn.REGEXEXTRACT(CELL("address",'Raw Data'!D290),"\$([A-Z]+)\$[0-9]+"))),_xlfn.REGEXEXTRACT(CELL("address",D290), "\$([A-Z]+)\$[0-9]+"))</f>
        <v/>
      </c>
      <c r="E290" s="7" t="str" cm="1">
        <f t="array" aca="1" ref="E290" ca="1">IFERROR(IF(OR('Raw Data'!E290="",LEN(TRIM('Raw Data'!E290))=0),"",IF(AND(ISNUMBER('Raw Data'!E290), IFERROR('Raw Data'!E290 = ROUND('Raw Data'!E290, 2),FALSE)),"",_xlfn.REGEXEXTRACT(CELL("address",E290), "\$([A-Z]+)\$[0-9]+"))),_xlfn.REGEXEXTRACT(CELL("address",E290), "\$([A-Z]+)\$[0-9]+"))</f>
        <v/>
      </c>
      <c r="F290" s="7" t="str" cm="1">
        <f t="array" aca="1" ref="F290" ca="1">IFERROR(IF(OR('Raw Data'!F290="",LEN(TRIM('Raw Data'!F290))=0),"",IF(AND(ISNUMBER('Raw Data'!F290), IFERROR('Raw Data'!F290 = ROUND('Raw Data'!F290, 2),FALSE)),"",_xlfn.REGEXEXTRACT(CELL("address",F290), "\$([A-Z]+)\$[0-9]+"))),_xlfn.REGEXEXTRACT(CELL("address",F290), "\$([A-Z]+)\$[0-9]+"))</f>
        <v/>
      </c>
      <c r="G290" s="7" t="str" cm="1">
        <f t="array" aca="1" ref="G290" ca="1">IFERROR(IF(OR('Raw Data'!G290="",LEN(TRIM('Raw Data'!G290))=0),"",IF(AND(ISNUMBER('Raw Data'!G290), IFERROR('Raw Data'!G290 = ROUND('Raw Data'!G290, 2),FALSE)),"",_xlfn.REGEXEXTRACT(CELL("address",G290), "\$([A-Z]+)\$[0-9]+"))),_xlfn.REGEXEXTRACT(CELL("address",G290), "\$([A-Z]+)\$[0-9]+"))</f>
        <v/>
      </c>
      <c r="H290" s="7" t="str" cm="1">
        <f t="array" aca="1" ref="H290" ca="1">IFERROR(IF(OR('Raw Data'!H290="",LEN(TRIM('Raw Data'!H290))=0),"",IF(AND(ISNUMBER('Raw Data'!H290), IFERROR('Raw Data'!H290 = ROUND('Raw Data'!H290, 2),FALSE)),"",_xlfn.REGEXEXTRACT(CELL("address",H290), "\$([A-Z]+)\$[0-9]+"))),_xlfn.REGEXEXTRACT(CELL("address",H290), "\$([A-Z]+)\$[0-9]+"))</f>
        <v/>
      </c>
      <c r="I290" s="7" t="str" cm="1">
        <f t="array" aca="1" ref="I290" ca="1">IFERROR(IF(OR('Raw Data'!I290="",LEN(TRIM('Raw Data'!I290))=0),"",IF(AND(ISNUMBER('Raw Data'!I290), IFERROR('Raw Data'!I290 = ROUND('Raw Data'!I290, 2),FALSE)),"",_xlfn.REGEXEXTRACT(CELL("address",I290), "\$([A-Z]+)\$[0-9]+"))),_xlfn.REGEXEXTRACT(CELL("address",I290), "\$([A-Z]+)\$[0-9]+"))</f>
        <v/>
      </c>
      <c r="J290" s="7" t="str" cm="1">
        <f t="array" aca="1" ref="J290" ca="1">IFERROR(IF(OR('Raw Data'!J290="",LEN(TRIM('Raw Data'!J290))=0),"",IF(AND(ISNUMBER('Raw Data'!J290), IFERROR('Raw Data'!J290 = ROUND('Raw Data'!J290, 2),FALSE)),"",_xlfn.REGEXEXTRACT(CELL("address",J290), "\$([A-Z]+)\$[0-9]+"))),_xlfn.REGEXEXTRACT(CELL("address",J290), "\$([A-Z]+)\$[0-9]+"))</f>
        <v/>
      </c>
      <c r="K290" s="7" t="str" cm="1">
        <f t="array" aca="1" ref="K290" ca="1">IFERROR(IF(OR('Raw Data'!K290="",LEN(TRIM('Raw Data'!K290))=0),"",IF(AND(ISNUMBER('Raw Data'!K290), IFERROR('Raw Data'!K290 = ROUND('Raw Data'!K290, 2),FALSE)),"",_xlfn.REGEXEXTRACT(CELL("address",K290), "\$([A-Z]+)\$[0-9]+"))),_xlfn.REGEXEXTRACT(CELL("address",K290), "\$([A-Z]+)\$[0-9]+"))</f>
        <v/>
      </c>
      <c r="L290" s="7" t="str" cm="1">
        <f t="array" aca="1" ref="L290" ca="1">IFERROR(IF(OR('Raw Data'!L290="",LEN(TRIM('Raw Data'!L290))=0),"",IF(AND(ISNUMBER('Raw Data'!L290), IFERROR('Raw Data'!L290 = ROUND('Raw Data'!L290, 2),FALSE)),"",_xlfn.REGEXEXTRACT(CELL("address",L290), "\$([A-Z]+)\$[0-9]+"))),_xlfn.REGEXEXTRACT(CELL("address",L290), "\$([A-Z]+)\$[0-9]+"))</f>
        <v/>
      </c>
      <c r="M290" s="7" t="str" cm="1">
        <f t="array" aca="1" ref="M290" ca="1">IFERROR(IF(OR('Raw Data'!M290="",LEN(TRIM('Raw Data'!M290))=0),"",IF(AND(ISNUMBER('Raw Data'!M290), IFERROR('Raw Data'!M290 = ROUND('Raw Data'!M290, 2),FALSE)),"",_xlfn.REGEXEXTRACT(CELL("address",M290), "\$([A-Z]+)\$[0-9]+"))),_xlfn.REGEXEXTRACT(CELL("address",M290), "\$([A-Z]+)\$[0-9]+"))</f>
        <v/>
      </c>
      <c r="N290" s="7" t="str" cm="1">
        <f t="array" aca="1" ref="N290" ca="1">IFERROR(IF(OR('Raw Data'!N290="",LEN(TRIM('Raw Data'!N290))=0),"",IF(AND(ISNUMBER('Raw Data'!N290), IFERROR('Raw Data'!N290 = ROUND('Raw Data'!N290, 2),FALSE)),"",_xlfn.REGEXEXTRACT(CELL("address",N290), "\$([A-Z]+)\$[0-9]+"))),_xlfn.REGEXEXTRACT(CELL("address",N290), "\$([A-Z]+)\$[0-9]+"))</f>
        <v/>
      </c>
      <c r="O290" s="7" t="str" cm="1">
        <f t="array" aca="1" ref="O290" ca="1">IFERROR(IF(OR('Raw Data'!O290="",LEN(TRIM('Raw Data'!O290))=0),"",IF(AND(ISNUMBER('Raw Data'!O290), IFERROR('Raw Data'!O290 = ROUND('Raw Data'!O290, 2),FALSE)),"",_xlfn.REGEXEXTRACT(CELL("address",O290), "\$([A-Z]+)\$[0-9]+"))),_xlfn.REGEXEXTRACT(CELL("address",O290), "\$([A-Z]+)\$[0-9]+"))</f>
        <v/>
      </c>
      <c r="P290" s="7" t="str" cm="1">
        <f t="array" aca="1" ref="P290" ca="1">IFERROR(IF(OR('Raw Data'!P290="",LEN(TRIM('Raw Data'!P290))=0),"",IF(AND(ISNUMBER('Raw Data'!P290), IFERROR('Raw Data'!P290 = ROUND('Raw Data'!P290, 2),FALSE)),"",_xlfn.REGEXEXTRACT(CELL("address",P290), "\$([A-Z]+)\$[0-9]+"))),_xlfn.REGEXEXTRACT(CELL("address",P290), "\$([A-Z]+)\$[0-9]+"))</f>
        <v/>
      </c>
      <c r="Q290" s="7" t="str" cm="1">
        <f t="array" aca="1" ref="Q290" ca="1">IFERROR(IF(OR('Raw Data'!Q290="",LEN(TRIM('Raw Data'!Q290))=0),"",IF(AND(ISNUMBER('Raw Data'!Q290), IFERROR('Raw Data'!Q290 = ROUND('Raw Data'!Q290, 2),FALSE)),"",_xlfn.REGEXEXTRACT(CELL("address",Q290), "\$([A-Z]+)\$[0-9]+"))),_xlfn.REGEXEXTRACT(CELL("address",Q290), "\$([A-Z]+)\$[0-9]+"))</f>
        <v/>
      </c>
      <c r="R290" s="7" t="str" cm="1">
        <f t="array" aca="1" ref="R290" ca="1">IFERROR(IF(OR('Raw Data'!R290="",LEN(TRIM('Raw Data'!R290))=0),"",IF(AND(ISNUMBER('Raw Data'!R290), IFERROR('Raw Data'!R290 = ROUND('Raw Data'!R290, 2),FALSE)),"",_xlfn.REGEXEXTRACT(CELL("address",R290), "\$([A-Z]+)\$[0-9]+"))),_xlfn.REGEXEXTRACT(CELL("address",R290), "\$([A-Z]+)\$[0-9]+"))</f>
        <v/>
      </c>
      <c r="S290" s="7" t="str" cm="1">
        <f t="array" aca="1" ref="S290" ca="1">IFERROR(IF(OR('Raw Data'!S290="",LEN(TRIM('Raw Data'!S290))=0),"",IF(AND(ISNUMBER('Raw Data'!S290), IFERROR('Raw Data'!S290 = ROUND('Raw Data'!S290, 2),FALSE)),"",_xlfn.REGEXEXTRACT(CELL("address",S290), "\$([A-Z]+)\$[0-9]+"))),_xlfn.REGEXEXTRACT(CELL("address",S290), "\$([A-Z]+)\$[0-9]+"))</f>
        <v/>
      </c>
      <c r="T290" s="7" t="str" cm="1">
        <f t="array" aca="1" ref="T290" ca="1">IFERROR(IF(OR('Raw Data'!T290="",LEN(TRIM('Raw Data'!T290))=0),"",IF(AND(ISNUMBER('Raw Data'!T290), IFERROR('Raw Data'!T290 = ROUND('Raw Data'!T290, 2),FALSE)),"",_xlfn.REGEXEXTRACT(CELL("address",T290), "\$([A-Z]+)\$[0-9]+"))),_xlfn.REGEXEXTRACT(CELL("address",T290), "\$([A-Z]+)\$[0-9]+"))</f>
        <v/>
      </c>
      <c r="U290" s="7" t="str" cm="1">
        <f t="array" aca="1" ref="U290" ca="1">IFERROR(IF(OR('Raw Data'!U290="",LEN(TRIM('Raw Data'!U290))=0),"",IF(AND(ISNUMBER('Raw Data'!U290), IFERROR('Raw Data'!U290 = ROUND('Raw Data'!U290, 2),FALSE)),"",_xlfn.REGEXEXTRACT(CELL("address",U290), "\$([A-Z]+)\$[0-9]+"))),_xlfn.REGEXEXTRACT(CELL("address",U290), "\$([A-Z]+)\$[0-9]+"))</f>
        <v/>
      </c>
      <c r="V290" s="7" t="str" cm="1">
        <f t="array" aca="1" ref="V290" ca="1">IFERROR(IF(OR('Raw Data'!V290="",LEN(TRIM('Raw Data'!V290))=0),"",IF(AND(ISNUMBER('Raw Data'!V290), IFERROR('Raw Data'!V290 = ROUND('Raw Data'!V290, 2),FALSE)),"",_xlfn.REGEXEXTRACT(CELL("address",V290), "\$([A-Z]+)\$[0-9]+"))),_xlfn.REGEXEXTRACT(CELL("address",V290), "\$([A-Z]+)\$[0-9]+"))</f>
        <v/>
      </c>
      <c r="W290" s="7" t="str" cm="1">
        <f t="array" aca="1" ref="W290" ca="1">IFERROR(IF(OR('Raw Data'!W290="",LEN(TRIM('Raw Data'!W290))=0),"",IF(AND(ISNUMBER('Raw Data'!W290), IFERROR('Raw Data'!W290 = ROUND('Raw Data'!W290, 2),FALSE)),"",_xlfn.REGEXEXTRACT(CELL("address",W290), "\$([A-Z]+)\$[0-9]+"))),_xlfn.REGEXEXTRACT(CELL("address",W290), "\$([A-Z]+)\$[0-9]+"))</f>
        <v/>
      </c>
      <c r="X290" s="7" t="str" cm="1">
        <f t="array" aca="1" ref="X290" ca="1">IFERROR(IF(OR('Raw Data'!X290="",LEN(TRIM('Raw Data'!X290))=0),"",IF(AND(ISNUMBER('Raw Data'!X290), IFERROR('Raw Data'!X290 = ROUND('Raw Data'!X290, 2),FALSE)),"",_xlfn.REGEXEXTRACT(CELL("address",X290), "\$([A-Z]+)\$[0-9]+"))),_xlfn.REGEXEXTRACT(CELL("address",X290), "\$([A-Z]+)\$[0-9]+"))</f>
        <v/>
      </c>
      <c r="Y290" s="7" t="str" cm="1">
        <f t="array" aca="1" ref="Y290" ca="1">IFERROR(IF(OR('Raw Data'!Y290="",LEN(TRIM('Raw Data'!Y290))=0),"",IF(AND(ISNUMBER('Raw Data'!Y290), IFERROR('Raw Data'!Y290 = ROUND('Raw Data'!Y290, 2),FALSE)),"",_xlfn.REGEXEXTRACT(CELL("address",Y290), "\$([A-Z]+)\$[0-9]+"))),_xlfn.REGEXEXTRACT(CELL("address",Y290), "\$([A-Z]+)\$[0-9]+"))</f>
        <v/>
      </c>
      <c r="Z290" s="7" t="str" cm="1">
        <f t="array" aca="1" ref="Z290" ca="1">IFERROR(IF(OR('Raw Data'!Z290="",LEN(TRIM('Raw Data'!Z290))=0),"",IF(AND(ISNUMBER('Raw Data'!Z290), IFERROR('Raw Data'!Z290 = ROUND('Raw Data'!Z290, 2),FALSE)),"",_xlfn.REGEXEXTRACT(CELL("address",Z290), "\$([A-Z]+)\$[0-9]+"))),_xlfn.REGEXEXTRACT(CELL("address",Z290), "\$([A-Z]+)\$[0-9]+"))</f>
        <v/>
      </c>
      <c r="AA290" s="7" t="str" cm="1">
        <f t="array" aca="1" ref="AA290" ca="1">IFERROR(IF(OR('Raw Data'!AA290="",LEN(TRIM('Raw Data'!AA290))=0),"",IF(AND(ISNUMBER('Raw Data'!AA290), IFERROR('Raw Data'!AA290 = ROUND('Raw Data'!AA290, 2),FALSE)),"",_xlfn.REGEXEXTRACT(CELL("address",AA290), "\$([A-Z]+)\$[0-9]+"))),_xlfn.REGEXEXTRACT(CELL("address",AA290), "\$([A-Z]+)\$[0-9]+"))</f>
        <v/>
      </c>
      <c r="AB290" s="7" t="str" cm="1">
        <f t="array" aca="1" ref="AB290" ca="1">IFERROR(IF(OR('Raw Data'!AB290="",LEN(TRIM('Raw Data'!AB290))=0),"",IF(AND(ISNUMBER('Raw Data'!AB290), IFERROR('Raw Data'!AB290 = ROUND('Raw Data'!AB290, 2),FALSE)),"",_xlfn.REGEXEXTRACT(CELL("address",AB290), "\$([A-Z]+)\$[0-9]+"))),_xlfn.REGEXEXTRACT(CELL("address",AB290), "\$([A-Z]+)\$[0-9]+"))</f>
        <v/>
      </c>
      <c r="AC290" s="7" t="str" cm="1">
        <f t="array" aca="1" ref="AC290" ca="1">IFERROR(IF(OR('Raw Data'!AC290="",LEN(TRIM('Raw Data'!AC290))=0),"",IF(AND(ISNUMBER('Raw Data'!AC290), IFERROR('Raw Data'!AC290 = ROUND('Raw Data'!AC290, 2),FALSE)),"",_xlfn.REGEXEXTRACT(CELL("address",AC290), "\$([A-Z]+)\$[0-9]+"))),_xlfn.REGEXEXTRACT(CELL("address",AC290), "\$([A-Z]+)\$[0-9]+"))</f>
        <v/>
      </c>
      <c r="AD290" s="7" t="str" cm="1">
        <f t="array" aca="1" ref="AD290" ca="1">IFERROR(IF(OR('Raw Data'!AD290="",LEN(TRIM('Raw Data'!AD290))=0),"",IF(AND(ISNUMBER('Raw Data'!AD290), IFERROR('Raw Data'!AD290 = ROUND('Raw Data'!AD290, 2),FALSE)),"",_xlfn.REGEXEXTRACT(CELL("address",AD290), "\$([A-Z]+)\$[0-9]+"))),_xlfn.REGEXEXTRACT(CELL("address",AD290), "\$([A-Z]+)\$[0-9]+"))</f>
        <v/>
      </c>
      <c r="AE290" s="7" t="str" cm="1">
        <f t="array" aca="1" ref="AE290" ca="1">IFERROR(IF(OR('Raw Data'!AE290="",LEN(TRIM('Raw Data'!AE290))=0),"",IF(AND(ISNUMBER('Raw Data'!AE290), IFERROR('Raw Data'!AE290 = ROUND('Raw Data'!AE290, 2),FALSE)),"",_xlfn.REGEXEXTRACT(CELL("address",AE290), "\$([A-Z]+)\$[0-9]+"))),_xlfn.REGEXEXTRACT(CELL("address",AE290), "\$([A-Z]+)\$[0-9]+"))</f>
        <v/>
      </c>
      <c r="AF290" s="7" t="str" cm="1">
        <f t="array" aca="1" ref="AF290" ca="1">IFERROR(IF(OR('Raw Data'!AF290="",LEN(TRIM('Raw Data'!AF290))=0),"",IF(AND(ISNUMBER('Raw Data'!AF290), IFERROR('Raw Data'!AF290 = ROUND('Raw Data'!AF290, 2),FALSE)),"",_xlfn.REGEXEXTRACT(CELL("address",AF290), "\$([A-Z]+)\$[0-9]+"))),_xlfn.REGEXEXTRACT(CELL("address",AF290), "\$([A-Z]+)\$[0-9]+"))</f>
        <v/>
      </c>
      <c r="AG290" s="7" t="str" cm="1">
        <f t="array" aca="1" ref="AG290" ca="1">IFERROR(IF(OR('Raw Data'!AG290="",LEN(TRIM('Raw Data'!AG290))=0),"",IF(AND(ISNUMBER('Raw Data'!AG290), IFERROR('Raw Data'!AG290 = ROUND('Raw Data'!AG290, 2),FALSE)),"",_xlfn.REGEXEXTRACT(CELL("address",AG290), "\$([A-Z]+)\$[0-9]+"))),_xlfn.REGEXEXTRACT(CELL("address",AG290), "\$([A-Z]+)\$[0-9]+"))</f>
        <v/>
      </c>
      <c r="AH290" s="7" t="str" cm="1">
        <f t="array" aca="1" ref="AH290" ca="1">IFERROR(IF(OR('Raw Data'!AH290="",LEN(TRIM('Raw Data'!AH290))=0),"",IF(AND(ISNUMBER('Raw Data'!AH290), IFERROR('Raw Data'!AH290 = ROUND('Raw Data'!AH290, 2),FALSE)),"",_xlfn.REGEXEXTRACT(CELL("address",AH290), "\$([A-Z]+)\$[0-9]+"))),_xlfn.REGEXEXTRACT(CELL("address",AH290), "\$([A-Z]+)\$[0-9]+"))</f>
        <v/>
      </c>
      <c r="AI290" s="7" t="str" cm="1">
        <f t="array" aca="1" ref="AI290" ca="1">IFERROR(IF(OR('Raw Data'!AI290="",LEN(TRIM('Raw Data'!AI290))=0),"",IF(AND(ISNUMBER('Raw Data'!AI290), IFERROR('Raw Data'!AI290 = ROUND('Raw Data'!AI290, 2),FALSE)),"",_xlfn.REGEXEXTRACT(CELL("address",AI290), "\$([A-Z]+)\$[0-9]+"))),_xlfn.REGEXEXTRACT(CELL("address",AI290), "\$([A-Z]+)\$[0-9]+"))</f>
        <v/>
      </c>
      <c r="AJ290" s="7" t="str" cm="1">
        <f t="array" aca="1" ref="AJ290" ca="1">IFERROR(IF(OR('Raw Data'!AJ290="",LEN(TRIM('Raw Data'!AJ290))=0),"",IF(AND(ISNUMBER('Raw Data'!AJ290), IFERROR('Raw Data'!AJ290 = ROUND('Raw Data'!AJ290, 2),FALSE)),"",_xlfn.REGEXEXTRACT(CELL("address",AJ290), "\$([A-Z]+)\$[0-9]+"))),_xlfn.REGEXEXTRACT(CELL("address",AJ290), "\$([A-Z]+)\$[0-9]+"))</f>
        <v/>
      </c>
    </row>
    <row r="291" spans="2:36" x14ac:dyDescent="0.25">
      <c r="B291" s="7" t="str" cm="1">
        <f t="array" aca="1" ref="B291" ca="1">IFERROR(IF(OR('Raw Data'!B291="",LEN(TRIM('Raw Data'!B291))=0),"",IF(AND(LEN('Raw Data'!B291) &lt;= 255,LEN('Raw Data'!B291)&gt; 0),"",_xlfn.REGEXEXTRACT(CELL("address",'Raw Data'!B291),"\$([A-Z]+)\$[0-9]+"))),_xlfn.REGEXEXTRACT(CELL("address",'Raw Data'!B291),"\$([A-Z]+)\$[0-9]+"))</f>
        <v/>
      </c>
      <c r="C291" s="7" t="str" cm="1">
        <f t="array" aca="1" ref="C291" ca="1">IFERROR(IF(OR('Raw Data'!C291="",LEN(TRIM('Raw Data'!C291))=0),"",IF(AND(LEN('Raw Data'!C291) &lt;= 20,LEN('Raw Data'!C291)&gt; 0),"",_xlfn.REGEXEXTRACT(CELL("address",'Raw Data'!C291),"\$([A-Z]+)\$[0-9]+"))),_xlfn.REGEXEXTRACT(CELL("address",'Raw Data'!C291),"\$([A-Z]+)\$[0-9]+"))</f>
        <v/>
      </c>
      <c r="D291" s="7" t="str" cm="1">
        <f t="array" aca="1" ref="D291" ca="1">IFERROR(IF(OR('Raw Data'!D291="",LEN(TRIM('Raw Data'!D291))=0),"",IF(AND(ISNUMBER('Raw Data'!D291),'Raw Data'!D291&gt;=Configuration!$D$2),"",_xlfn.REGEXEXTRACT(CELL("address",'Raw Data'!D291),"\$([A-Z]+)\$[0-9]+"))),_xlfn.REGEXEXTRACT(CELL("address",D291), "\$([A-Z]+)\$[0-9]+"))</f>
        <v/>
      </c>
      <c r="E291" s="7" t="str" cm="1">
        <f t="array" aca="1" ref="E291" ca="1">IFERROR(IF(OR('Raw Data'!E291="",LEN(TRIM('Raw Data'!E291))=0),"",IF(AND(ISNUMBER('Raw Data'!E291), IFERROR('Raw Data'!E291 = ROUND('Raw Data'!E291, 2),FALSE)),"",_xlfn.REGEXEXTRACT(CELL("address",E291), "\$([A-Z]+)\$[0-9]+"))),_xlfn.REGEXEXTRACT(CELL("address",E291), "\$([A-Z]+)\$[0-9]+"))</f>
        <v/>
      </c>
      <c r="F291" s="7" t="str" cm="1">
        <f t="array" aca="1" ref="F291" ca="1">IFERROR(IF(OR('Raw Data'!F291="",LEN(TRIM('Raw Data'!F291))=0),"",IF(AND(ISNUMBER('Raw Data'!F291), IFERROR('Raw Data'!F291 = ROUND('Raw Data'!F291, 2),FALSE)),"",_xlfn.REGEXEXTRACT(CELL("address",F291), "\$([A-Z]+)\$[0-9]+"))),_xlfn.REGEXEXTRACT(CELL("address",F291), "\$([A-Z]+)\$[0-9]+"))</f>
        <v/>
      </c>
      <c r="G291" s="7" t="str" cm="1">
        <f t="array" aca="1" ref="G291" ca="1">IFERROR(IF(OR('Raw Data'!G291="",LEN(TRIM('Raw Data'!G291))=0),"",IF(AND(ISNUMBER('Raw Data'!G291), IFERROR('Raw Data'!G291 = ROUND('Raw Data'!G291, 2),FALSE)),"",_xlfn.REGEXEXTRACT(CELL("address",G291), "\$([A-Z]+)\$[0-9]+"))),_xlfn.REGEXEXTRACT(CELL("address",G291), "\$([A-Z]+)\$[0-9]+"))</f>
        <v/>
      </c>
      <c r="H291" s="7" t="str" cm="1">
        <f t="array" aca="1" ref="H291" ca="1">IFERROR(IF(OR('Raw Data'!H291="",LEN(TRIM('Raw Data'!H291))=0),"",IF(AND(ISNUMBER('Raw Data'!H291), IFERROR('Raw Data'!H291 = ROUND('Raw Data'!H291, 2),FALSE)),"",_xlfn.REGEXEXTRACT(CELL("address",H291), "\$([A-Z]+)\$[0-9]+"))),_xlfn.REGEXEXTRACT(CELL("address",H291), "\$([A-Z]+)\$[0-9]+"))</f>
        <v/>
      </c>
      <c r="I291" s="7" t="str" cm="1">
        <f t="array" aca="1" ref="I291" ca="1">IFERROR(IF(OR('Raw Data'!I291="",LEN(TRIM('Raw Data'!I291))=0),"",IF(AND(ISNUMBER('Raw Data'!I291), IFERROR('Raw Data'!I291 = ROUND('Raw Data'!I291, 2),FALSE)),"",_xlfn.REGEXEXTRACT(CELL("address",I291), "\$([A-Z]+)\$[0-9]+"))),_xlfn.REGEXEXTRACT(CELL("address",I291), "\$([A-Z]+)\$[0-9]+"))</f>
        <v/>
      </c>
      <c r="J291" s="7" t="str" cm="1">
        <f t="array" aca="1" ref="J291" ca="1">IFERROR(IF(OR('Raw Data'!J291="",LEN(TRIM('Raw Data'!J291))=0),"",IF(AND(ISNUMBER('Raw Data'!J291), IFERROR('Raw Data'!J291 = ROUND('Raw Data'!J291, 2),FALSE)),"",_xlfn.REGEXEXTRACT(CELL("address",J291), "\$([A-Z]+)\$[0-9]+"))),_xlfn.REGEXEXTRACT(CELL("address",J291), "\$([A-Z]+)\$[0-9]+"))</f>
        <v/>
      </c>
      <c r="K291" s="7" t="str" cm="1">
        <f t="array" aca="1" ref="K291" ca="1">IFERROR(IF(OR('Raw Data'!K291="",LEN(TRIM('Raw Data'!K291))=0),"",IF(AND(ISNUMBER('Raw Data'!K291), IFERROR('Raw Data'!K291 = ROUND('Raw Data'!K291, 2),FALSE)),"",_xlfn.REGEXEXTRACT(CELL("address",K291), "\$([A-Z]+)\$[0-9]+"))),_xlfn.REGEXEXTRACT(CELL("address",K291), "\$([A-Z]+)\$[0-9]+"))</f>
        <v/>
      </c>
      <c r="L291" s="7" t="str" cm="1">
        <f t="array" aca="1" ref="L291" ca="1">IFERROR(IF(OR('Raw Data'!L291="",LEN(TRIM('Raw Data'!L291))=0),"",IF(AND(ISNUMBER('Raw Data'!L291), IFERROR('Raw Data'!L291 = ROUND('Raw Data'!L291, 2),FALSE)),"",_xlfn.REGEXEXTRACT(CELL("address",L291), "\$([A-Z]+)\$[0-9]+"))),_xlfn.REGEXEXTRACT(CELL("address",L291), "\$([A-Z]+)\$[0-9]+"))</f>
        <v/>
      </c>
      <c r="M291" s="7" t="str" cm="1">
        <f t="array" aca="1" ref="M291" ca="1">IFERROR(IF(OR('Raw Data'!M291="",LEN(TRIM('Raw Data'!M291))=0),"",IF(AND(ISNUMBER('Raw Data'!M291), IFERROR('Raw Data'!M291 = ROUND('Raw Data'!M291, 2),FALSE)),"",_xlfn.REGEXEXTRACT(CELL("address",M291), "\$([A-Z]+)\$[0-9]+"))),_xlfn.REGEXEXTRACT(CELL("address",M291), "\$([A-Z]+)\$[0-9]+"))</f>
        <v/>
      </c>
      <c r="N291" s="7" t="str" cm="1">
        <f t="array" aca="1" ref="N291" ca="1">IFERROR(IF(OR('Raw Data'!N291="",LEN(TRIM('Raw Data'!N291))=0),"",IF(AND(ISNUMBER('Raw Data'!N291), IFERROR('Raw Data'!N291 = ROUND('Raw Data'!N291, 2),FALSE)),"",_xlfn.REGEXEXTRACT(CELL("address",N291), "\$([A-Z]+)\$[0-9]+"))),_xlfn.REGEXEXTRACT(CELL("address",N291), "\$([A-Z]+)\$[0-9]+"))</f>
        <v/>
      </c>
      <c r="O291" s="7" t="str" cm="1">
        <f t="array" aca="1" ref="O291" ca="1">IFERROR(IF(OR('Raw Data'!O291="",LEN(TRIM('Raw Data'!O291))=0),"",IF(AND(ISNUMBER('Raw Data'!O291), IFERROR('Raw Data'!O291 = ROUND('Raw Data'!O291, 2),FALSE)),"",_xlfn.REGEXEXTRACT(CELL("address",O291), "\$([A-Z]+)\$[0-9]+"))),_xlfn.REGEXEXTRACT(CELL("address",O291), "\$([A-Z]+)\$[0-9]+"))</f>
        <v/>
      </c>
      <c r="P291" s="7" t="str" cm="1">
        <f t="array" aca="1" ref="P291" ca="1">IFERROR(IF(OR('Raw Data'!P291="",LEN(TRIM('Raw Data'!P291))=0),"",IF(AND(ISNUMBER('Raw Data'!P291), IFERROR('Raw Data'!P291 = ROUND('Raw Data'!P291, 2),FALSE)),"",_xlfn.REGEXEXTRACT(CELL("address",P291), "\$([A-Z]+)\$[0-9]+"))),_xlfn.REGEXEXTRACT(CELL("address",P291), "\$([A-Z]+)\$[0-9]+"))</f>
        <v/>
      </c>
      <c r="Q291" s="7" t="str" cm="1">
        <f t="array" aca="1" ref="Q291" ca="1">IFERROR(IF(OR('Raw Data'!Q291="",LEN(TRIM('Raw Data'!Q291))=0),"",IF(AND(ISNUMBER('Raw Data'!Q291), IFERROR('Raw Data'!Q291 = ROUND('Raw Data'!Q291, 2),FALSE)),"",_xlfn.REGEXEXTRACT(CELL("address",Q291), "\$([A-Z]+)\$[0-9]+"))),_xlfn.REGEXEXTRACT(CELL("address",Q291), "\$([A-Z]+)\$[0-9]+"))</f>
        <v/>
      </c>
      <c r="R291" s="7" t="str" cm="1">
        <f t="array" aca="1" ref="R291" ca="1">IFERROR(IF(OR('Raw Data'!R291="",LEN(TRIM('Raw Data'!R291))=0),"",IF(AND(ISNUMBER('Raw Data'!R291), IFERROR('Raw Data'!R291 = ROUND('Raw Data'!R291, 2),FALSE)),"",_xlfn.REGEXEXTRACT(CELL("address",R291), "\$([A-Z]+)\$[0-9]+"))),_xlfn.REGEXEXTRACT(CELL("address",R291), "\$([A-Z]+)\$[0-9]+"))</f>
        <v/>
      </c>
      <c r="S291" s="7" t="str" cm="1">
        <f t="array" aca="1" ref="S291" ca="1">IFERROR(IF(OR('Raw Data'!S291="",LEN(TRIM('Raw Data'!S291))=0),"",IF(AND(ISNUMBER('Raw Data'!S291), IFERROR('Raw Data'!S291 = ROUND('Raw Data'!S291, 2),FALSE)),"",_xlfn.REGEXEXTRACT(CELL("address",S291), "\$([A-Z]+)\$[0-9]+"))),_xlfn.REGEXEXTRACT(CELL("address",S291), "\$([A-Z]+)\$[0-9]+"))</f>
        <v/>
      </c>
      <c r="T291" s="7" t="str" cm="1">
        <f t="array" aca="1" ref="T291" ca="1">IFERROR(IF(OR('Raw Data'!T291="",LEN(TRIM('Raw Data'!T291))=0),"",IF(AND(ISNUMBER('Raw Data'!T291), IFERROR('Raw Data'!T291 = ROUND('Raw Data'!T291, 2),FALSE)),"",_xlfn.REGEXEXTRACT(CELL("address",T291), "\$([A-Z]+)\$[0-9]+"))),_xlfn.REGEXEXTRACT(CELL("address",T291), "\$([A-Z]+)\$[0-9]+"))</f>
        <v/>
      </c>
      <c r="U291" s="7" t="str" cm="1">
        <f t="array" aca="1" ref="U291" ca="1">IFERROR(IF(OR('Raw Data'!U291="",LEN(TRIM('Raw Data'!U291))=0),"",IF(AND(ISNUMBER('Raw Data'!U291), IFERROR('Raw Data'!U291 = ROUND('Raw Data'!U291, 2),FALSE)),"",_xlfn.REGEXEXTRACT(CELL("address",U291), "\$([A-Z]+)\$[0-9]+"))),_xlfn.REGEXEXTRACT(CELL("address",U291), "\$([A-Z]+)\$[0-9]+"))</f>
        <v/>
      </c>
      <c r="V291" s="7" t="str" cm="1">
        <f t="array" aca="1" ref="V291" ca="1">IFERROR(IF(OR('Raw Data'!V291="",LEN(TRIM('Raw Data'!V291))=0),"",IF(AND(ISNUMBER('Raw Data'!V291), IFERROR('Raw Data'!V291 = ROUND('Raw Data'!V291, 2),FALSE)),"",_xlfn.REGEXEXTRACT(CELL("address",V291), "\$([A-Z]+)\$[0-9]+"))),_xlfn.REGEXEXTRACT(CELL("address",V291), "\$([A-Z]+)\$[0-9]+"))</f>
        <v/>
      </c>
      <c r="W291" s="7" t="str" cm="1">
        <f t="array" aca="1" ref="W291" ca="1">IFERROR(IF(OR('Raw Data'!W291="",LEN(TRIM('Raw Data'!W291))=0),"",IF(AND(ISNUMBER('Raw Data'!W291), IFERROR('Raw Data'!W291 = ROUND('Raw Data'!W291, 2),FALSE)),"",_xlfn.REGEXEXTRACT(CELL("address",W291), "\$([A-Z]+)\$[0-9]+"))),_xlfn.REGEXEXTRACT(CELL("address",W291), "\$([A-Z]+)\$[0-9]+"))</f>
        <v/>
      </c>
      <c r="X291" s="7" t="str" cm="1">
        <f t="array" aca="1" ref="X291" ca="1">IFERROR(IF(OR('Raw Data'!X291="",LEN(TRIM('Raw Data'!X291))=0),"",IF(AND(ISNUMBER('Raw Data'!X291), IFERROR('Raw Data'!X291 = ROUND('Raw Data'!X291, 2),FALSE)),"",_xlfn.REGEXEXTRACT(CELL("address",X291), "\$([A-Z]+)\$[0-9]+"))),_xlfn.REGEXEXTRACT(CELL("address",X291), "\$([A-Z]+)\$[0-9]+"))</f>
        <v/>
      </c>
      <c r="Y291" s="7" t="str" cm="1">
        <f t="array" aca="1" ref="Y291" ca="1">IFERROR(IF(OR('Raw Data'!Y291="",LEN(TRIM('Raw Data'!Y291))=0),"",IF(AND(ISNUMBER('Raw Data'!Y291), IFERROR('Raw Data'!Y291 = ROUND('Raw Data'!Y291, 2),FALSE)),"",_xlfn.REGEXEXTRACT(CELL("address",Y291), "\$([A-Z]+)\$[0-9]+"))),_xlfn.REGEXEXTRACT(CELL("address",Y291), "\$([A-Z]+)\$[0-9]+"))</f>
        <v/>
      </c>
      <c r="Z291" s="7" t="str" cm="1">
        <f t="array" aca="1" ref="Z291" ca="1">IFERROR(IF(OR('Raw Data'!Z291="",LEN(TRIM('Raw Data'!Z291))=0),"",IF(AND(ISNUMBER('Raw Data'!Z291), IFERROR('Raw Data'!Z291 = ROUND('Raw Data'!Z291, 2),FALSE)),"",_xlfn.REGEXEXTRACT(CELL("address",Z291), "\$([A-Z]+)\$[0-9]+"))),_xlfn.REGEXEXTRACT(CELL("address",Z291), "\$([A-Z]+)\$[0-9]+"))</f>
        <v/>
      </c>
      <c r="AA291" s="7" t="str" cm="1">
        <f t="array" aca="1" ref="AA291" ca="1">IFERROR(IF(OR('Raw Data'!AA291="",LEN(TRIM('Raw Data'!AA291))=0),"",IF(AND(ISNUMBER('Raw Data'!AA291), IFERROR('Raw Data'!AA291 = ROUND('Raw Data'!AA291, 2),FALSE)),"",_xlfn.REGEXEXTRACT(CELL("address",AA291), "\$([A-Z]+)\$[0-9]+"))),_xlfn.REGEXEXTRACT(CELL("address",AA291), "\$([A-Z]+)\$[0-9]+"))</f>
        <v/>
      </c>
      <c r="AB291" s="7" t="str" cm="1">
        <f t="array" aca="1" ref="AB291" ca="1">IFERROR(IF(OR('Raw Data'!AB291="",LEN(TRIM('Raw Data'!AB291))=0),"",IF(AND(ISNUMBER('Raw Data'!AB291), IFERROR('Raw Data'!AB291 = ROUND('Raw Data'!AB291, 2),FALSE)),"",_xlfn.REGEXEXTRACT(CELL("address",AB291), "\$([A-Z]+)\$[0-9]+"))),_xlfn.REGEXEXTRACT(CELL("address",AB291), "\$([A-Z]+)\$[0-9]+"))</f>
        <v/>
      </c>
      <c r="AC291" s="7" t="str" cm="1">
        <f t="array" aca="1" ref="AC291" ca="1">IFERROR(IF(OR('Raw Data'!AC291="",LEN(TRIM('Raw Data'!AC291))=0),"",IF(AND(ISNUMBER('Raw Data'!AC291), IFERROR('Raw Data'!AC291 = ROUND('Raw Data'!AC291, 2),FALSE)),"",_xlfn.REGEXEXTRACT(CELL("address",AC291), "\$([A-Z]+)\$[0-9]+"))),_xlfn.REGEXEXTRACT(CELL("address",AC291), "\$([A-Z]+)\$[0-9]+"))</f>
        <v/>
      </c>
      <c r="AD291" s="7" t="str" cm="1">
        <f t="array" aca="1" ref="AD291" ca="1">IFERROR(IF(OR('Raw Data'!AD291="",LEN(TRIM('Raw Data'!AD291))=0),"",IF(AND(ISNUMBER('Raw Data'!AD291), IFERROR('Raw Data'!AD291 = ROUND('Raw Data'!AD291, 2),FALSE)),"",_xlfn.REGEXEXTRACT(CELL("address",AD291), "\$([A-Z]+)\$[0-9]+"))),_xlfn.REGEXEXTRACT(CELL("address",AD291), "\$([A-Z]+)\$[0-9]+"))</f>
        <v/>
      </c>
      <c r="AE291" s="7" t="str" cm="1">
        <f t="array" aca="1" ref="AE291" ca="1">IFERROR(IF(OR('Raw Data'!AE291="",LEN(TRIM('Raw Data'!AE291))=0),"",IF(AND(ISNUMBER('Raw Data'!AE291), IFERROR('Raw Data'!AE291 = ROUND('Raw Data'!AE291, 2),FALSE)),"",_xlfn.REGEXEXTRACT(CELL("address",AE291), "\$([A-Z]+)\$[0-9]+"))),_xlfn.REGEXEXTRACT(CELL("address",AE291), "\$([A-Z]+)\$[0-9]+"))</f>
        <v/>
      </c>
      <c r="AF291" s="7" t="str" cm="1">
        <f t="array" aca="1" ref="AF291" ca="1">IFERROR(IF(OR('Raw Data'!AF291="",LEN(TRIM('Raw Data'!AF291))=0),"",IF(AND(ISNUMBER('Raw Data'!AF291), IFERROR('Raw Data'!AF291 = ROUND('Raw Data'!AF291, 2),FALSE)),"",_xlfn.REGEXEXTRACT(CELL("address",AF291), "\$([A-Z]+)\$[0-9]+"))),_xlfn.REGEXEXTRACT(CELL("address",AF291), "\$([A-Z]+)\$[0-9]+"))</f>
        <v/>
      </c>
      <c r="AG291" s="7" t="str" cm="1">
        <f t="array" aca="1" ref="AG291" ca="1">IFERROR(IF(OR('Raw Data'!AG291="",LEN(TRIM('Raw Data'!AG291))=0),"",IF(AND(ISNUMBER('Raw Data'!AG291), IFERROR('Raw Data'!AG291 = ROUND('Raw Data'!AG291, 2),FALSE)),"",_xlfn.REGEXEXTRACT(CELL("address",AG291), "\$([A-Z]+)\$[0-9]+"))),_xlfn.REGEXEXTRACT(CELL("address",AG291), "\$([A-Z]+)\$[0-9]+"))</f>
        <v/>
      </c>
      <c r="AH291" s="7" t="str" cm="1">
        <f t="array" aca="1" ref="AH291" ca="1">IFERROR(IF(OR('Raw Data'!AH291="",LEN(TRIM('Raw Data'!AH291))=0),"",IF(AND(ISNUMBER('Raw Data'!AH291), IFERROR('Raw Data'!AH291 = ROUND('Raw Data'!AH291, 2),FALSE)),"",_xlfn.REGEXEXTRACT(CELL("address",AH291), "\$([A-Z]+)\$[0-9]+"))),_xlfn.REGEXEXTRACT(CELL("address",AH291), "\$([A-Z]+)\$[0-9]+"))</f>
        <v/>
      </c>
      <c r="AI291" s="7" t="str" cm="1">
        <f t="array" aca="1" ref="AI291" ca="1">IFERROR(IF(OR('Raw Data'!AI291="",LEN(TRIM('Raw Data'!AI291))=0),"",IF(AND(ISNUMBER('Raw Data'!AI291), IFERROR('Raw Data'!AI291 = ROUND('Raw Data'!AI291, 2),FALSE)),"",_xlfn.REGEXEXTRACT(CELL("address",AI291), "\$([A-Z]+)\$[0-9]+"))),_xlfn.REGEXEXTRACT(CELL("address",AI291), "\$([A-Z]+)\$[0-9]+"))</f>
        <v/>
      </c>
      <c r="AJ291" s="7" t="str" cm="1">
        <f t="array" aca="1" ref="AJ291" ca="1">IFERROR(IF(OR('Raw Data'!AJ291="",LEN(TRIM('Raw Data'!AJ291))=0),"",IF(AND(ISNUMBER('Raw Data'!AJ291), IFERROR('Raw Data'!AJ291 = ROUND('Raw Data'!AJ291, 2),FALSE)),"",_xlfn.REGEXEXTRACT(CELL("address",AJ291), "\$([A-Z]+)\$[0-9]+"))),_xlfn.REGEXEXTRACT(CELL("address",AJ291), "\$([A-Z]+)\$[0-9]+"))</f>
        <v/>
      </c>
    </row>
    <row r="292" spans="2:36" x14ac:dyDescent="0.25">
      <c r="B292" s="7" t="str" cm="1">
        <f t="array" aca="1" ref="B292" ca="1">IFERROR(IF(OR('Raw Data'!B292="",LEN(TRIM('Raw Data'!B292))=0),"",IF(AND(LEN('Raw Data'!B292) &lt;= 255,LEN('Raw Data'!B292)&gt; 0),"",_xlfn.REGEXEXTRACT(CELL("address",'Raw Data'!B292),"\$([A-Z]+)\$[0-9]+"))),_xlfn.REGEXEXTRACT(CELL("address",'Raw Data'!B292),"\$([A-Z]+)\$[0-9]+"))</f>
        <v/>
      </c>
      <c r="C292" s="7" t="str" cm="1">
        <f t="array" aca="1" ref="C292" ca="1">IFERROR(IF(OR('Raw Data'!C292="",LEN(TRIM('Raw Data'!C292))=0),"",IF(AND(LEN('Raw Data'!C292) &lt;= 20,LEN('Raw Data'!C292)&gt; 0),"",_xlfn.REGEXEXTRACT(CELL("address",'Raw Data'!C292),"\$([A-Z]+)\$[0-9]+"))),_xlfn.REGEXEXTRACT(CELL("address",'Raw Data'!C292),"\$([A-Z]+)\$[0-9]+"))</f>
        <v/>
      </c>
      <c r="D292" s="7" t="str" cm="1">
        <f t="array" aca="1" ref="D292" ca="1">IFERROR(IF(OR('Raw Data'!D292="",LEN(TRIM('Raw Data'!D292))=0),"",IF(AND(ISNUMBER('Raw Data'!D292),'Raw Data'!D292&gt;=Configuration!$D$2),"",_xlfn.REGEXEXTRACT(CELL("address",'Raw Data'!D292),"\$([A-Z]+)\$[0-9]+"))),_xlfn.REGEXEXTRACT(CELL("address",D292), "\$([A-Z]+)\$[0-9]+"))</f>
        <v/>
      </c>
      <c r="E292" s="7" t="str" cm="1">
        <f t="array" aca="1" ref="E292" ca="1">IFERROR(IF(OR('Raw Data'!E292="",LEN(TRIM('Raw Data'!E292))=0),"",IF(AND(ISNUMBER('Raw Data'!E292), IFERROR('Raw Data'!E292 = ROUND('Raw Data'!E292, 2),FALSE)),"",_xlfn.REGEXEXTRACT(CELL("address",E292), "\$([A-Z]+)\$[0-9]+"))),_xlfn.REGEXEXTRACT(CELL("address",E292), "\$([A-Z]+)\$[0-9]+"))</f>
        <v/>
      </c>
      <c r="F292" s="7" t="str" cm="1">
        <f t="array" aca="1" ref="F292" ca="1">IFERROR(IF(OR('Raw Data'!F292="",LEN(TRIM('Raw Data'!F292))=0),"",IF(AND(ISNUMBER('Raw Data'!F292), IFERROR('Raw Data'!F292 = ROUND('Raw Data'!F292, 2),FALSE)),"",_xlfn.REGEXEXTRACT(CELL("address",F292), "\$([A-Z]+)\$[0-9]+"))),_xlfn.REGEXEXTRACT(CELL("address",F292), "\$([A-Z]+)\$[0-9]+"))</f>
        <v/>
      </c>
      <c r="G292" s="7" t="str" cm="1">
        <f t="array" aca="1" ref="G292" ca="1">IFERROR(IF(OR('Raw Data'!G292="",LEN(TRIM('Raw Data'!G292))=0),"",IF(AND(ISNUMBER('Raw Data'!G292), IFERROR('Raw Data'!G292 = ROUND('Raw Data'!G292, 2),FALSE)),"",_xlfn.REGEXEXTRACT(CELL("address",G292), "\$([A-Z]+)\$[0-9]+"))),_xlfn.REGEXEXTRACT(CELL("address",G292), "\$([A-Z]+)\$[0-9]+"))</f>
        <v/>
      </c>
      <c r="H292" s="7" t="str" cm="1">
        <f t="array" aca="1" ref="H292" ca="1">IFERROR(IF(OR('Raw Data'!H292="",LEN(TRIM('Raw Data'!H292))=0),"",IF(AND(ISNUMBER('Raw Data'!H292), IFERROR('Raw Data'!H292 = ROUND('Raw Data'!H292, 2),FALSE)),"",_xlfn.REGEXEXTRACT(CELL("address",H292), "\$([A-Z]+)\$[0-9]+"))),_xlfn.REGEXEXTRACT(CELL("address",H292), "\$([A-Z]+)\$[0-9]+"))</f>
        <v/>
      </c>
      <c r="I292" s="7" t="str" cm="1">
        <f t="array" aca="1" ref="I292" ca="1">IFERROR(IF(OR('Raw Data'!I292="",LEN(TRIM('Raw Data'!I292))=0),"",IF(AND(ISNUMBER('Raw Data'!I292), IFERROR('Raw Data'!I292 = ROUND('Raw Data'!I292, 2),FALSE)),"",_xlfn.REGEXEXTRACT(CELL("address",I292), "\$([A-Z]+)\$[0-9]+"))),_xlfn.REGEXEXTRACT(CELL("address",I292), "\$([A-Z]+)\$[0-9]+"))</f>
        <v/>
      </c>
      <c r="J292" s="7" t="str" cm="1">
        <f t="array" aca="1" ref="J292" ca="1">IFERROR(IF(OR('Raw Data'!J292="",LEN(TRIM('Raw Data'!J292))=0),"",IF(AND(ISNUMBER('Raw Data'!J292), IFERROR('Raw Data'!J292 = ROUND('Raw Data'!J292, 2),FALSE)),"",_xlfn.REGEXEXTRACT(CELL("address",J292), "\$([A-Z]+)\$[0-9]+"))),_xlfn.REGEXEXTRACT(CELL("address",J292), "\$([A-Z]+)\$[0-9]+"))</f>
        <v/>
      </c>
      <c r="K292" s="7" t="str" cm="1">
        <f t="array" aca="1" ref="K292" ca="1">IFERROR(IF(OR('Raw Data'!K292="",LEN(TRIM('Raw Data'!K292))=0),"",IF(AND(ISNUMBER('Raw Data'!K292), IFERROR('Raw Data'!K292 = ROUND('Raw Data'!K292, 2),FALSE)),"",_xlfn.REGEXEXTRACT(CELL("address",K292), "\$([A-Z]+)\$[0-9]+"))),_xlfn.REGEXEXTRACT(CELL("address",K292), "\$([A-Z]+)\$[0-9]+"))</f>
        <v/>
      </c>
      <c r="L292" s="7" t="str" cm="1">
        <f t="array" aca="1" ref="L292" ca="1">IFERROR(IF(OR('Raw Data'!L292="",LEN(TRIM('Raw Data'!L292))=0),"",IF(AND(ISNUMBER('Raw Data'!L292), IFERROR('Raw Data'!L292 = ROUND('Raw Data'!L292, 2),FALSE)),"",_xlfn.REGEXEXTRACT(CELL("address",L292), "\$([A-Z]+)\$[0-9]+"))),_xlfn.REGEXEXTRACT(CELL("address",L292), "\$([A-Z]+)\$[0-9]+"))</f>
        <v/>
      </c>
      <c r="M292" s="7" t="str" cm="1">
        <f t="array" aca="1" ref="M292" ca="1">IFERROR(IF(OR('Raw Data'!M292="",LEN(TRIM('Raw Data'!M292))=0),"",IF(AND(ISNUMBER('Raw Data'!M292), IFERROR('Raw Data'!M292 = ROUND('Raw Data'!M292, 2),FALSE)),"",_xlfn.REGEXEXTRACT(CELL("address",M292), "\$([A-Z]+)\$[0-9]+"))),_xlfn.REGEXEXTRACT(CELL("address",M292), "\$([A-Z]+)\$[0-9]+"))</f>
        <v/>
      </c>
      <c r="N292" s="7" t="str" cm="1">
        <f t="array" aca="1" ref="N292" ca="1">IFERROR(IF(OR('Raw Data'!N292="",LEN(TRIM('Raw Data'!N292))=0),"",IF(AND(ISNUMBER('Raw Data'!N292), IFERROR('Raw Data'!N292 = ROUND('Raw Data'!N292, 2),FALSE)),"",_xlfn.REGEXEXTRACT(CELL("address",N292), "\$([A-Z]+)\$[0-9]+"))),_xlfn.REGEXEXTRACT(CELL("address",N292), "\$([A-Z]+)\$[0-9]+"))</f>
        <v/>
      </c>
      <c r="O292" s="7" t="str" cm="1">
        <f t="array" aca="1" ref="O292" ca="1">IFERROR(IF(OR('Raw Data'!O292="",LEN(TRIM('Raw Data'!O292))=0),"",IF(AND(ISNUMBER('Raw Data'!O292), IFERROR('Raw Data'!O292 = ROUND('Raw Data'!O292, 2),FALSE)),"",_xlfn.REGEXEXTRACT(CELL("address",O292), "\$([A-Z]+)\$[0-9]+"))),_xlfn.REGEXEXTRACT(CELL("address",O292), "\$([A-Z]+)\$[0-9]+"))</f>
        <v/>
      </c>
      <c r="P292" s="7" t="str" cm="1">
        <f t="array" aca="1" ref="P292" ca="1">IFERROR(IF(OR('Raw Data'!P292="",LEN(TRIM('Raw Data'!P292))=0),"",IF(AND(ISNUMBER('Raw Data'!P292), IFERROR('Raw Data'!P292 = ROUND('Raw Data'!P292, 2),FALSE)),"",_xlfn.REGEXEXTRACT(CELL("address",P292), "\$([A-Z]+)\$[0-9]+"))),_xlfn.REGEXEXTRACT(CELL("address",P292), "\$([A-Z]+)\$[0-9]+"))</f>
        <v/>
      </c>
      <c r="Q292" s="7" t="str" cm="1">
        <f t="array" aca="1" ref="Q292" ca="1">IFERROR(IF(OR('Raw Data'!Q292="",LEN(TRIM('Raw Data'!Q292))=0),"",IF(AND(ISNUMBER('Raw Data'!Q292), IFERROR('Raw Data'!Q292 = ROUND('Raw Data'!Q292, 2),FALSE)),"",_xlfn.REGEXEXTRACT(CELL("address",Q292), "\$([A-Z]+)\$[0-9]+"))),_xlfn.REGEXEXTRACT(CELL("address",Q292), "\$([A-Z]+)\$[0-9]+"))</f>
        <v/>
      </c>
      <c r="R292" s="7" t="str" cm="1">
        <f t="array" aca="1" ref="R292" ca="1">IFERROR(IF(OR('Raw Data'!R292="",LEN(TRIM('Raw Data'!R292))=0),"",IF(AND(ISNUMBER('Raw Data'!R292), IFERROR('Raw Data'!R292 = ROUND('Raw Data'!R292, 2),FALSE)),"",_xlfn.REGEXEXTRACT(CELL("address",R292), "\$([A-Z]+)\$[0-9]+"))),_xlfn.REGEXEXTRACT(CELL("address",R292), "\$([A-Z]+)\$[0-9]+"))</f>
        <v/>
      </c>
      <c r="S292" s="7" t="str" cm="1">
        <f t="array" aca="1" ref="S292" ca="1">IFERROR(IF(OR('Raw Data'!S292="",LEN(TRIM('Raw Data'!S292))=0),"",IF(AND(ISNUMBER('Raw Data'!S292), IFERROR('Raw Data'!S292 = ROUND('Raw Data'!S292, 2),FALSE)),"",_xlfn.REGEXEXTRACT(CELL("address",S292), "\$([A-Z]+)\$[0-9]+"))),_xlfn.REGEXEXTRACT(CELL("address",S292), "\$([A-Z]+)\$[0-9]+"))</f>
        <v/>
      </c>
      <c r="T292" s="7" t="str" cm="1">
        <f t="array" aca="1" ref="T292" ca="1">IFERROR(IF(OR('Raw Data'!T292="",LEN(TRIM('Raw Data'!T292))=0),"",IF(AND(ISNUMBER('Raw Data'!T292), IFERROR('Raw Data'!T292 = ROUND('Raw Data'!T292, 2),FALSE)),"",_xlfn.REGEXEXTRACT(CELL("address",T292), "\$([A-Z]+)\$[0-9]+"))),_xlfn.REGEXEXTRACT(CELL("address",T292), "\$([A-Z]+)\$[0-9]+"))</f>
        <v/>
      </c>
      <c r="U292" s="7" t="str" cm="1">
        <f t="array" aca="1" ref="U292" ca="1">IFERROR(IF(OR('Raw Data'!U292="",LEN(TRIM('Raw Data'!U292))=0),"",IF(AND(ISNUMBER('Raw Data'!U292), IFERROR('Raw Data'!U292 = ROUND('Raw Data'!U292, 2),FALSE)),"",_xlfn.REGEXEXTRACT(CELL("address",U292), "\$([A-Z]+)\$[0-9]+"))),_xlfn.REGEXEXTRACT(CELL("address",U292), "\$([A-Z]+)\$[0-9]+"))</f>
        <v/>
      </c>
      <c r="V292" s="7" t="str" cm="1">
        <f t="array" aca="1" ref="V292" ca="1">IFERROR(IF(OR('Raw Data'!V292="",LEN(TRIM('Raw Data'!V292))=0),"",IF(AND(ISNUMBER('Raw Data'!V292), IFERROR('Raw Data'!V292 = ROUND('Raw Data'!V292, 2),FALSE)),"",_xlfn.REGEXEXTRACT(CELL("address",V292), "\$([A-Z]+)\$[0-9]+"))),_xlfn.REGEXEXTRACT(CELL("address",V292), "\$([A-Z]+)\$[0-9]+"))</f>
        <v/>
      </c>
      <c r="W292" s="7" t="str" cm="1">
        <f t="array" aca="1" ref="W292" ca="1">IFERROR(IF(OR('Raw Data'!W292="",LEN(TRIM('Raw Data'!W292))=0),"",IF(AND(ISNUMBER('Raw Data'!W292), IFERROR('Raw Data'!W292 = ROUND('Raw Data'!W292, 2),FALSE)),"",_xlfn.REGEXEXTRACT(CELL("address",W292), "\$([A-Z]+)\$[0-9]+"))),_xlfn.REGEXEXTRACT(CELL("address",W292), "\$([A-Z]+)\$[0-9]+"))</f>
        <v/>
      </c>
      <c r="X292" s="7" t="str" cm="1">
        <f t="array" aca="1" ref="X292" ca="1">IFERROR(IF(OR('Raw Data'!X292="",LEN(TRIM('Raw Data'!X292))=0),"",IF(AND(ISNUMBER('Raw Data'!X292), IFERROR('Raw Data'!X292 = ROUND('Raw Data'!X292, 2),FALSE)),"",_xlfn.REGEXEXTRACT(CELL("address",X292), "\$([A-Z]+)\$[0-9]+"))),_xlfn.REGEXEXTRACT(CELL("address",X292), "\$([A-Z]+)\$[0-9]+"))</f>
        <v/>
      </c>
      <c r="Y292" s="7" t="str" cm="1">
        <f t="array" aca="1" ref="Y292" ca="1">IFERROR(IF(OR('Raw Data'!Y292="",LEN(TRIM('Raw Data'!Y292))=0),"",IF(AND(ISNUMBER('Raw Data'!Y292), IFERROR('Raw Data'!Y292 = ROUND('Raw Data'!Y292, 2),FALSE)),"",_xlfn.REGEXEXTRACT(CELL("address",Y292), "\$([A-Z]+)\$[0-9]+"))),_xlfn.REGEXEXTRACT(CELL("address",Y292), "\$([A-Z]+)\$[0-9]+"))</f>
        <v/>
      </c>
      <c r="Z292" s="7" t="str" cm="1">
        <f t="array" aca="1" ref="Z292" ca="1">IFERROR(IF(OR('Raw Data'!Z292="",LEN(TRIM('Raw Data'!Z292))=0),"",IF(AND(ISNUMBER('Raw Data'!Z292), IFERROR('Raw Data'!Z292 = ROUND('Raw Data'!Z292, 2),FALSE)),"",_xlfn.REGEXEXTRACT(CELL("address",Z292), "\$([A-Z]+)\$[0-9]+"))),_xlfn.REGEXEXTRACT(CELL("address",Z292), "\$([A-Z]+)\$[0-9]+"))</f>
        <v/>
      </c>
      <c r="AA292" s="7" t="str" cm="1">
        <f t="array" aca="1" ref="AA292" ca="1">IFERROR(IF(OR('Raw Data'!AA292="",LEN(TRIM('Raw Data'!AA292))=0),"",IF(AND(ISNUMBER('Raw Data'!AA292), IFERROR('Raw Data'!AA292 = ROUND('Raw Data'!AA292, 2),FALSE)),"",_xlfn.REGEXEXTRACT(CELL("address",AA292), "\$([A-Z]+)\$[0-9]+"))),_xlfn.REGEXEXTRACT(CELL("address",AA292), "\$([A-Z]+)\$[0-9]+"))</f>
        <v/>
      </c>
      <c r="AB292" s="7" t="str" cm="1">
        <f t="array" aca="1" ref="AB292" ca="1">IFERROR(IF(OR('Raw Data'!AB292="",LEN(TRIM('Raw Data'!AB292))=0),"",IF(AND(ISNUMBER('Raw Data'!AB292), IFERROR('Raw Data'!AB292 = ROUND('Raw Data'!AB292, 2),FALSE)),"",_xlfn.REGEXEXTRACT(CELL("address",AB292), "\$([A-Z]+)\$[0-9]+"))),_xlfn.REGEXEXTRACT(CELL("address",AB292), "\$([A-Z]+)\$[0-9]+"))</f>
        <v/>
      </c>
      <c r="AC292" s="7" t="str" cm="1">
        <f t="array" aca="1" ref="AC292" ca="1">IFERROR(IF(OR('Raw Data'!AC292="",LEN(TRIM('Raw Data'!AC292))=0),"",IF(AND(ISNUMBER('Raw Data'!AC292), IFERROR('Raw Data'!AC292 = ROUND('Raw Data'!AC292, 2),FALSE)),"",_xlfn.REGEXEXTRACT(CELL("address",AC292), "\$([A-Z]+)\$[0-9]+"))),_xlfn.REGEXEXTRACT(CELL("address",AC292), "\$([A-Z]+)\$[0-9]+"))</f>
        <v/>
      </c>
      <c r="AD292" s="7" t="str" cm="1">
        <f t="array" aca="1" ref="AD292" ca="1">IFERROR(IF(OR('Raw Data'!AD292="",LEN(TRIM('Raw Data'!AD292))=0),"",IF(AND(ISNUMBER('Raw Data'!AD292), IFERROR('Raw Data'!AD292 = ROUND('Raw Data'!AD292, 2),FALSE)),"",_xlfn.REGEXEXTRACT(CELL("address",AD292), "\$([A-Z]+)\$[0-9]+"))),_xlfn.REGEXEXTRACT(CELL("address",AD292), "\$([A-Z]+)\$[0-9]+"))</f>
        <v/>
      </c>
      <c r="AE292" s="7" t="str" cm="1">
        <f t="array" aca="1" ref="AE292" ca="1">IFERROR(IF(OR('Raw Data'!AE292="",LEN(TRIM('Raw Data'!AE292))=0),"",IF(AND(ISNUMBER('Raw Data'!AE292), IFERROR('Raw Data'!AE292 = ROUND('Raw Data'!AE292, 2),FALSE)),"",_xlfn.REGEXEXTRACT(CELL("address",AE292), "\$([A-Z]+)\$[0-9]+"))),_xlfn.REGEXEXTRACT(CELL("address",AE292), "\$([A-Z]+)\$[0-9]+"))</f>
        <v/>
      </c>
      <c r="AF292" s="7" t="str" cm="1">
        <f t="array" aca="1" ref="AF292" ca="1">IFERROR(IF(OR('Raw Data'!AF292="",LEN(TRIM('Raw Data'!AF292))=0),"",IF(AND(ISNUMBER('Raw Data'!AF292), IFERROR('Raw Data'!AF292 = ROUND('Raw Data'!AF292, 2),FALSE)),"",_xlfn.REGEXEXTRACT(CELL("address",AF292), "\$([A-Z]+)\$[0-9]+"))),_xlfn.REGEXEXTRACT(CELL("address",AF292), "\$([A-Z]+)\$[0-9]+"))</f>
        <v/>
      </c>
      <c r="AG292" s="7" t="str" cm="1">
        <f t="array" aca="1" ref="AG292" ca="1">IFERROR(IF(OR('Raw Data'!AG292="",LEN(TRIM('Raw Data'!AG292))=0),"",IF(AND(ISNUMBER('Raw Data'!AG292), IFERROR('Raw Data'!AG292 = ROUND('Raw Data'!AG292, 2),FALSE)),"",_xlfn.REGEXEXTRACT(CELL("address",AG292), "\$([A-Z]+)\$[0-9]+"))),_xlfn.REGEXEXTRACT(CELL("address",AG292), "\$([A-Z]+)\$[0-9]+"))</f>
        <v/>
      </c>
      <c r="AH292" s="7" t="str" cm="1">
        <f t="array" aca="1" ref="AH292" ca="1">IFERROR(IF(OR('Raw Data'!AH292="",LEN(TRIM('Raw Data'!AH292))=0),"",IF(AND(ISNUMBER('Raw Data'!AH292), IFERROR('Raw Data'!AH292 = ROUND('Raw Data'!AH292, 2),FALSE)),"",_xlfn.REGEXEXTRACT(CELL("address",AH292), "\$([A-Z]+)\$[0-9]+"))),_xlfn.REGEXEXTRACT(CELL("address",AH292), "\$([A-Z]+)\$[0-9]+"))</f>
        <v/>
      </c>
      <c r="AI292" s="7" t="str" cm="1">
        <f t="array" aca="1" ref="AI292" ca="1">IFERROR(IF(OR('Raw Data'!AI292="",LEN(TRIM('Raw Data'!AI292))=0),"",IF(AND(ISNUMBER('Raw Data'!AI292), IFERROR('Raw Data'!AI292 = ROUND('Raw Data'!AI292, 2),FALSE)),"",_xlfn.REGEXEXTRACT(CELL("address",AI292), "\$([A-Z]+)\$[0-9]+"))),_xlfn.REGEXEXTRACT(CELL("address",AI292), "\$([A-Z]+)\$[0-9]+"))</f>
        <v/>
      </c>
      <c r="AJ292" s="7" t="str" cm="1">
        <f t="array" aca="1" ref="AJ292" ca="1">IFERROR(IF(OR('Raw Data'!AJ292="",LEN(TRIM('Raw Data'!AJ292))=0),"",IF(AND(ISNUMBER('Raw Data'!AJ292), IFERROR('Raw Data'!AJ292 = ROUND('Raw Data'!AJ292, 2),FALSE)),"",_xlfn.REGEXEXTRACT(CELL("address",AJ292), "\$([A-Z]+)\$[0-9]+"))),_xlfn.REGEXEXTRACT(CELL("address",AJ292), "\$([A-Z]+)\$[0-9]+"))</f>
        <v/>
      </c>
    </row>
    <row r="293" spans="2:36" x14ac:dyDescent="0.25">
      <c r="B293" s="7" t="str" cm="1">
        <f t="array" aca="1" ref="B293" ca="1">IFERROR(IF(OR('Raw Data'!B293="",LEN(TRIM('Raw Data'!B293))=0),"",IF(AND(LEN('Raw Data'!B293) &lt;= 255,LEN('Raw Data'!B293)&gt; 0),"",_xlfn.REGEXEXTRACT(CELL("address",'Raw Data'!B293),"\$([A-Z]+)\$[0-9]+"))),_xlfn.REGEXEXTRACT(CELL("address",'Raw Data'!B293),"\$([A-Z]+)\$[0-9]+"))</f>
        <v/>
      </c>
      <c r="C293" s="7" t="str" cm="1">
        <f t="array" aca="1" ref="C293" ca="1">IFERROR(IF(OR('Raw Data'!C293="",LEN(TRIM('Raw Data'!C293))=0),"",IF(AND(LEN('Raw Data'!C293) &lt;= 20,LEN('Raw Data'!C293)&gt; 0),"",_xlfn.REGEXEXTRACT(CELL("address",'Raw Data'!C293),"\$([A-Z]+)\$[0-9]+"))),_xlfn.REGEXEXTRACT(CELL("address",'Raw Data'!C293),"\$([A-Z]+)\$[0-9]+"))</f>
        <v/>
      </c>
      <c r="D293" s="7" t="str" cm="1">
        <f t="array" aca="1" ref="D293" ca="1">IFERROR(IF(OR('Raw Data'!D293="",LEN(TRIM('Raw Data'!D293))=0),"",IF(AND(ISNUMBER('Raw Data'!D293),'Raw Data'!D293&gt;=Configuration!$D$2),"",_xlfn.REGEXEXTRACT(CELL("address",'Raw Data'!D293),"\$([A-Z]+)\$[0-9]+"))),_xlfn.REGEXEXTRACT(CELL("address",D293), "\$([A-Z]+)\$[0-9]+"))</f>
        <v/>
      </c>
      <c r="E293" s="7" t="str" cm="1">
        <f t="array" aca="1" ref="E293" ca="1">IFERROR(IF(OR('Raw Data'!E293="",LEN(TRIM('Raw Data'!E293))=0),"",IF(AND(ISNUMBER('Raw Data'!E293), IFERROR('Raw Data'!E293 = ROUND('Raw Data'!E293, 2),FALSE)),"",_xlfn.REGEXEXTRACT(CELL("address",E293), "\$([A-Z]+)\$[0-9]+"))),_xlfn.REGEXEXTRACT(CELL("address",E293), "\$([A-Z]+)\$[0-9]+"))</f>
        <v/>
      </c>
      <c r="F293" s="7" t="str" cm="1">
        <f t="array" aca="1" ref="F293" ca="1">IFERROR(IF(OR('Raw Data'!F293="",LEN(TRIM('Raw Data'!F293))=0),"",IF(AND(ISNUMBER('Raw Data'!F293), IFERROR('Raw Data'!F293 = ROUND('Raw Data'!F293, 2),FALSE)),"",_xlfn.REGEXEXTRACT(CELL("address",F293), "\$([A-Z]+)\$[0-9]+"))),_xlfn.REGEXEXTRACT(CELL("address",F293), "\$([A-Z]+)\$[0-9]+"))</f>
        <v/>
      </c>
      <c r="G293" s="7" t="str" cm="1">
        <f t="array" aca="1" ref="G293" ca="1">IFERROR(IF(OR('Raw Data'!G293="",LEN(TRIM('Raw Data'!G293))=0),"",IF(AND(ISNUMBER('Raw Data'!G293), IFERROR('Raw Data'!G293 = ROUND('Raw Data'!G293, 2),FALSE)),"",_xlfn.REGEXEXTRACT(CELL("address",G293), "\$([A-Z]+)\$[0-9]+"))),_xlfn.REGEXEXTRACT(CELL("address",G293), "\$([A-Z]+)\$[0-9]+"))</f>
        <v/>
      </c>
      <c r="H293" s="7" t="str" cm="1">
        <f t="array" aca="1" ref="H293" ca="1">IFERROR(IF(OR('Raw Data'!H293="",LEN(TRIM('Raw Data'!H293))=0),"",IF(AND(ISNUMBER('Raw Data'!H293), IFERROR('Raw Data'!H293 = ROUND('Raw Data'!H293, 2),FALSE)),"",_xlfn.REGEXEXTRACT(CELL("address",H293), "\$([A-Z]+)\$[0-9]+"))),_xlfn.REGEXEXTRACT(CELL("address",H293), "\$([A-Z]+)\$[0-9]+"))</f>
        <v/>
      </c>
      <c r="I293" s="7" t="str" cm="1">
        <f t="array" aca="1" ref="I293" ca="1">IFERROR(IF(OR('Raw Data'!I293="",LEN(TRIM('Raw Data'!I293))=0),"",IF(AND(ISNUMBER('Raw Data'!I293), IFERROR('Raw Data'!I293 = ROUND('Raw Data'!I293, 2),FALSE)),"",_xlfn.REGEXEXTRACT(CELL("address",I293), "\$([A-Z]+)\$[0-9]+"))),_xlfn.REGEXEXTRACT(CELL("address",I293), "\$([A-Z]+)\$[0-9]+"))</f>
        <v/>
      </c>
      <c r="J293" s="7" t="str" cm="1">
        <f t="array" aca="1" ref="J293" ca="1">IFERROR(IF(OR('Raw Data'!J293="",LEN(TRIM('Raw Data'!J293))=0),"",IF(AND(ISNUMBER('Raw Data'!J293), IFERROR('Raw Data'!J293 = ROUND('Raw Data'!J293, 2),FALSE)),"",_xlfn.REGEXEXTRACT(CELL("address",J293), "\$([A-Z]+)\$[0-9]+"))),_xlfn.REGEXEXTRACT(CELL("address",J293), "\$([A-Z]+)\$[0-9]+"))</f>
        <v/>
      </c>
      <c r="K293" s="7" t="str" cm="1">
        <f t="array" aca="1" ref="K293" ca="1">IFERROR(IF(OR('Raw Data'!K293="",LEN(TRIM('Raw Data'!K293))=0),"",IF(AND(ISNUMBER('Raw Data'!K293), IFERROR('Raw Data'!K293 = ROUND('Raw Data'!K293, 2),FALSE)),"",_xlfn.REGEXEXTRACT(CELL("address",K293), "\$([A-Z]+)\$[0-9]+"))),_xlfn.REGEXEXTRACT(CELL("address",K293), "\$([A-Z]+)\$[0-9]+"))</f>
        <v/>
      </c>
      <c r="L293" s="7" t="str" cm="1">
        <f t="array" aca="1" ref="L293" ca="1">IFERROR(IF(OR('Raw Data'!L293="",LEN(TRIM('Raw Data'!L293))=0),"",IF(AND(ISNUMBER('Raw Data'!L293), IFERROR('Raw Data'!L293 = ROUND('Raw Data'!L293, 2),FALSE)),"",_xlfn.REGEXEXTRACT(CELL("address",L293), "\$([A-Z]+)\$[0-9]+"))),_xlfn.REGEXEXTRACT(CELL("address",L293), "\$([A-Z]+)\$[0-9]+"))</f>
        <v/>
      </c>
      <c r="M293" s="7" t="str" cm="1">
        <f t="array" aca="1" ref="M293" ca="1">IFERROR(IF(OR('Raw Data'!M293="",LEN(TRIM('Raw Data'!M293))=0),"",IF(AND(ISNUMBER('Raw Data'!M293), IFERROR('Raw Data'!M293 = ROUND('Raw Data'!M293, 2),FALSE)),"",_xlfn.REGEXEXTRACT(CELL("address",M293), "\$([A-Z]+)\$[0-9]+"))),_xlfn.REGEXEXTRACT(CELL("address",M293), "\$([A-Z]+)\$[0-9]+"))</f>
        <v/>
      </c>
      <c r="N293" s="7" t="str" cm="1">
        <f t="array" aca="1" ref="N293" ca="1">IFERROR(IF(OR('Raw Data'!N293="",LEN(TRIM('Raw Data'!N293))=0),"",IF(AND(ISNUMBER('Raw Data'!N293), IFERROR('Raw Data'!N293 = ROUND('Raw Data'!N293, 2),FALSE)),"",_xlfn.REGEXEXTRACT(CELL("address",N293), "\$([A-Z]+)\$[0-9]+"))),_xlfn.REGEXEXTRACT(CELL("address",N293), "\$([A-Z]+)\$[0-9]+"))</f>
        <v/>
      </c>
      <c r="O293" s="7" t="str" cm="1">
        <f t="array" aca="1" ref="O293" ca="1">IFERROR(IF(OR('Raw Data'!O293="",LEN(TRIM('Raw Data'!O293))=0),"",IF(AND(ISNUMBER('Raw Data'!O293), IFERROR('Raw Data'!O293 = ROUND('Raw Data'!O293, 2),FALSE)),"",_xlfn.REGEXEXTRACT(CELL("address",O293), "\$([A-Z]+)\$[0-9]+"))),_xlfn.REGEXEXTRACT(CELL("address",O293), "\$([A-Z]+)\$[0-9]+"))</f>
        <v/>
      </c>
      <c r="P293" s="7" t="str" cm="1">
        <f t="array" aca="1" ref="P293" ca="1">IFERROR(IF(OR('Raw Data'!P293="",LEN(TRIM('Raw Data'!P293))=0),"",IF(AND(ISNUMBER('Raw Data'!P293), IFERROR('Raw Data'!P293 = ROUND('Raw Data'!P293, 2),FALSE)),"",_xlfn.REGEXEXTRACT(CELL("address",P293), "\$([A-Z]+)\$[0-9]+"))),_xlfn.REGEXEXTRACT(CELL("address",P293), "\$([A-Z]+)\$[0-9]+"))</f>
        <v/>
      </c>
      <c r="Q293" s="7" t="str" cm="1">
        <f t="array" aca="1" ref="Q293" ca="1">IFERROR(IF(OR('Raw Data'!Q293="",LEN(TRIM('Raw Data'!Q293))=0),"",IF(AND(ISNUMBER('Raw Data'!Q293), IFERROR('Raw Data'!Q293 = ROUND('Raw Data'!Q293, 2),FALSE)),"",_xlfn.REGEXEXTRACT(CELL("address",Q293), "\$([A-Z]+)\$[0-9]+"))),_xlfn.REGEXEXTRACT(CELL("address",Q293), "\$([A-Z]+)\$[0-9]+"))</f>
        <v/>
      </c>
      <c r="R293" s="7" t="str" cm="1">
        <f t="array" aca="1" ref="R293" ca="1">IFERROR(IF(OR('Raw Data'!R293="",LEN(TRIM('Raw Data'!R293))=0),"",IF(AND(ISNUMBER('Raw Data'!R293), IFERROR('Raw Data'!R293 = ROUND('Raw Data'!R293, 2),FALSE)),"",_xlfn.REGEXEXTRACT(CELL("address",R293), "\$([A-Z]+)\$[0-9]+"))),_xlfn.REGEXEXTRACT(CELL("address",R293), "\$([A-Z]+)\$[0-9]+"))</f>
        <v/>
      </c>
      <c r="S293" s="7" t="str" cm="1">
        <f t="array" aca="1" ref="S293" ca="1">IFERROR(IF(OR('Raw Data'!S293="",LEN(TRIM('Raw Data'!S293))=0),"",IF(AND(ISNUMBER('Raw Data'!S293), IFERROR('Raw Data'!S293 = ROUND('Raw Data'!S293, 2),FALSE)),"",_xlfn.REGEXEXTRACT(CELL("address",S293), "\$([A-Z]+)\$[0-9]+"))),_xlfn.REGEXEXTRACT(CELL("address",S293), "\$([A-Z]+)\$[0-9]+"))</f>
        <v/>
      </c>
      <c r="T293" s="7" t="str" cm="1">
        <f t="array" aca="1" ref="T293" ca="1">IFERROR(IF(OR('Raw Data'!T293="",LEN(TRIM('Raw Data'!T293))=0),"",IF(AND(ISNUMBER('Raw Data'!T293), IFERROR('Raw Data'!T293 = ROUND('Raw Data'!T293, 2),FALSE)),"",_xlfn.REGEXEXTRACT(CELL("address",T293), "\$([A-Z]+)\$[0-9]+"))),_xlfn.REGEXEXTRACT(CELL("address",T293), "\$([A-Z]+)\$[0-9]+"))</f>
        <v/>
      </c>
      <c r="U293" s="7" t="str" cm="1">
        <f t="array" aca="1" ref="U293" ca="1">IFERROR(IF(OR('Raw Data'!U293="",LEN(TRIM('Raw Data'!U293))=0),"",IF(AND(ISNUMBER('Raw Data'!U293), IFERROR('Raw Data'!U293 = ROUND('Raw Data'!U293, 2),FALSE)),"",_xlfn.REGEXEXTRACT(CELL("address",U293), "\$([A-Z]+)\$[0-9]+"))),_xlfn.REGEXEXTRACT(CELL("address",U293), "\$([A-Z]+)\$[0-9]+"))</f>
        <v/>
      </c>
      <c r="V293" s="7" t="str" cm="1">
        <f t="array" aca="1" ref="V293" ca="1">IFERROR(IF(OR('Raw Data'!V293="",LEN(TRIM('Raw Data'!V293))=0),"",IF(AND(ISNUMBER('Raw Data'!V293), IFERROR('Raw Data'!V293 = ROUND('Raw Data'!V293, 2),FALSE)),"",_xlfn.REGEXEXTRACT(CELL("address",V293), "\$([A-Z]+)\$[0-9]+"))),_xlfn.REGEXEXTRACT(CELL("address",V293), "\$([A-Z]+)\$[0-9]+"))</f>
        <v/>
      </c>
      <c r="W293" s="7" t="str" cm="1">
        <f t="array" aca="1" ref="W293" ca="1">IFERROR(IF(OR('Raw Data'!W293="",LEN(TRIM('Raw Data'!W293))=0),"",IF(AND(ISNUMBER('Raw Data'!W293), IFERROR('Raw Data'!W293 = ROUND('Raw Data'!W293, 2),FALSE)),"",_xlfn.REGEXEXTRACT(CELL("address",W293), "\$([A-Z]+)\$[0-9]+"))),_xlfn.REGEXEXTRACT(CELL("address",W293), "\$([A-Z]+)\$[0-9]+"))</f>
        <v/>
      </c>
      <c r="X293" s="7" t="str" cm="1">
        <f t="array" aca="1" ref="X293" ca="1">IFERROR(IF(OR('Raw Data'!X293="",LEN(TRIM('Raw Data'!X293))=0),"",IF(AND(ISNUMBER('Raw Data'!X293), IFERROR('Raw Data'!X293 = ROUND('Raw Data'!X293, 2),FALSE)),"",_xlfn.REGEXEXTRACT(CELL("address",X293), "\$([A-Z]+)\$[0-9]+"))),_xlfn.REGEXEXTRACT(CELL("address",X293), "\$([A-Z]+)\$[0-9]+"))</f>
        <v/>
      </c>
      <c r="Y293" s="7" t="str" cm="1">
        <f t="array" aca="1" ref="Y293" ca="1">IFERROR(IF(OR('Raw Data'!Y293="",LEN(TRIM('Raw Data'!Y293))=0),"",IF(AND(ISNUMBER('Raw Data'!Y293), IFERROR('Raw Data'!Y293 = ROUND('Raw Data'!Y293, 2),FALSE)),"",_xlfn.REGEXEXTRACT(CELL("address",Y293), "\$([A-Z]+)\$[0-9]+"))),_xlfn.REGEXEXTRACT(CELL("address",Y293), "\$([A-Z]+)\$[0-9]+"))</f>
        <v/>
      </c>
      <c r="Z293" s="7" t="str" cm="1">
        <f t="array" aca="1" ref="Z293" ca="1">IFERROR(IF(OR('Raw Data'!Z293="",LEN(TRIM('Raw Data'!Z293))=0),"",IF(AND(ISNUMBER('Raw Data'!Z293), IFERROR('Raw Data'!Z293 = ROUND('Raw Data'!Z293, 2),FALSE)),"",_xlfn.REGEXEXTRACT(CELL("address",Z293), "\$([A-Z]+)\$[0-9]+"))),_xlfn.REGEXEXTRACT(CELL("address",Z293), "\$([A-Z]+)\$[0-9]+"))</f>
        <v/>
      </c>
      <c r="AA293" s="7" t="str" cm="1">
        <f t="array" aca="1" ref="AA293" ca="1">IFERROR(IF(OR('Raw Data'!AA293="",LEN(TRIM('Raw Data'!AA293))=0),"",IF(AND(ISNUMBER('Raw Data'!AA293), IFERROR('Raw Data'!AA293 = ROUND('Raw Data'!AA293, 2),FALSE)),"",_xlfn.REGEXEXTRACT(CELL("address",AA293), "\$([A-Z]+)\$[0-9]+"))),_xlfn.REGEXEXTRACT(CELL("address",AA293), "\$([A-Z]+)\$[0-9]+"))</f>
        <v/>
      </c>
      <c r="AB293" s="7" t="str" cm="1">
        <f t="array" aca="1" ref="AB293" ca="1">IFERROR(IF(OR('Raw Data'!AB293="",LEN(TRIM('Raw Data'!AB293))=0),"",IF(AND(ISNUMBER('Raw Data'!AB293), IFERROR('Raw Data'!AB293 = ROUND('Raw Data'!AB293, 2),FALSE)),"",_xlfn.REGEXEXTRACT(CELL("address",AB293), "\$([A-Z]+)\$[0-9]+"))),_xlfn.REGEXEXTRACT(CELL("address",AB293), "\$([A-Z]+)\$[0-9]+"))</f>
        <v/>
      </c>
      <c r="AC293" s="7" t="str" cm="1">
        <f t="array" aca="1" ref="AC293" ca="1">IFERROR(IF(OR('Raw Data'!AC293="",LEN(TRIM('Raw Data'!AC293))=0),"",IF(AND(ISNUMBER('Raw Data'!AC293), IFERROR('Raw Data'!AC293 = ROUND('Raw Data'!AC293, 2),FALSE)),"",_xlfn.REGEXEXTRACT(CELL("address",AC293), "\$([A-Z]+)\$[0-9]+"))),_xlfn.REGEXEXTRACT(CELL("address",AC293), "\$([A-Z]+)\$[0-9]+"))</f>
        <v/>
      </c>
      <c r="AD293" s="7" t="str" cm="1">
        <f t="array" aca="1" ref="AD293" ca="1">IFERROR(IF(OR('Raw Data'!AD293="",LEN(TRIM('Raw Data'!AD293))=0),"",IF(AND(ISNUMBER('Raw Data'!AD293), IFERROR('Raw Data'!AD293 = ROUND('Raw Data'!AD293, 2),FALSE)),"",_xlfn.REGEXEXTRACT(CELL("address",AD293), "\$([A-Z]+)\$[0-9]+"))),_xlfn.REGEXEXTRACT(CELL("address",AD293), "\$([A-Z]+)\$[0-9]+"))</f>
        <v/>
      </c>
      <c r="AE293" s="7" t="str" cm="1">
        <f t="array" aca="1" ref="AE293" ca="1">IFERROR(IF(OR('Raw Data'!AE293="",LEN(TRIM('Raw Data'!AE293))=0),"",IF(AND(ISNUMBER('Raw Data'!AE293), IFERROR('Raw Data'!AE293 = ROUND('Raw Data'!AE293, 2),FALSE)),"",_xlfn.REGEXEXTRACT(CELL("address",AE293), "\$([A-Z]+)\$[0-9]+"))),_xlfn.REGEXEXTRACT(CELL("address",AE293), "\$([A-Z]+)\$[0-9]+"))</f>
        <v/>
      </c>
      <c r="AF293" s="7" t="str" cm="1">
        <f t="array" aca="1" ref="AF293" ca="1">IFERROR(IF(OR('Raw Data'!AF293="",LEN(TRIM('Raw Data'!AF293))=0),"",IF(AND(ISNUMBER('Raw Data'!AF293), IFERROR('Raw Data'!AF293 = ROUND('Raw Data'!AF293, 2),FALSE)),"",_xlfn.REGEXEXTRACT(CELL("address",AF293), "\$([A-Z]+)\$[0-9]+"))),_xlfn.REGEXEXTRACT(CELL("address",AF293), "\$([A-Z]+)\$[0-9]+"))</f>
        <v/>
      </c>
      <c r="AG293" s="7" t="str" cm="1">
        <f t="array" aca="1" ref="AG293" ca="1">IFERROR(IF(OR('Raw Data'!AG293="",LEN(TRIM('Raw Data'!AG293))=0),"",IF(AND(ISNUMBER('Raw Data'!AG293), IFERROR('Raw Data'!AG293 = ROUND('Raw Data'!AG293, 2),FALSE)),"",_xlfn.REGEXEXTRACT(CELL("address",AG293), "\$([A-Z]+)\$[0-9]+"))),_xlfn.REGEXEXTRACT(CELL("address",AG293), "\$([A-Z]+)\$[0-9]+"))</f>
        <v/>
      </c>
      <c r="AH293" s="7" t="str" cm="1">
        <f t="array" aca="1" ref="AH293" ca="1">IFERROR(IF(OR('Raw Data'!AH293="",LEN(TRIM('Raw Data'!AH293))=0),"",IF(AND(ISNUMBER('Raw Data'!AH293), IFERROR('Raw Data'!AH293 = ROUND('Raw Data'!AH293, 2),FALSE)),"",_xlfn.REGEXEXTRACT(CELL("address",AH293), "\$([A-Z]+)\$[0-9]+"))),_xlfn.REGEXEXTRACT(CELL("address",AH293), "\$([A-Z]+)\$[0-9]+"))</f>
        <v/>
      </c>
      <c r="AI293" s="7" t="str" cm="1">
        <f t="array" aca="1" ref="AI293" ca="1">IFERROR(IF(OR('Raw Data'!AI293="",LEN(TRIM('Raw Data'!AI293))=0),"",IF(AND(ISNUMBER('Raw Data'!AI293), IFERROR('Raw Data'!AI293 = ROUND('Raw Data'!AI293, 2),FALSE)),"",_xlfn.REGEXEXTRACT(CELL("address",AI293), "\$([A-Z]+)\$[0-9]+"))),_xlfn.REGEXEXTRACT(CELL("address",AI293), "\$([A-Z]+)\$[0-9]+"))</f>
        <v/>
      </c>
      <c r="AJ293" s="7" t="str" cm="1">
        <f t="array" aca="1" ref="AJ293" ca="1">IFERROR(IF(OR('Raw Data'!AJ293="",LEN(TRIM('Raw Data'!AJ293))=0),"",IF(AND(ISNUMBER('Raw Data'!AJ293), IFERROR('Raw Data'!AJ293 = ROUND('Raw Data'!AJ293, 2),FALSE)),"",_xlfn.REGEXEXTRACT(CELL("address",AJ293), "\$([A-Z]+)\$[0-9]+"))),_xlfn.REGEXEXTRACT(CELL("address",AJ293), "\$([A-Z]+)\$[0-9]+"))</f>
        <v/>
      </c>
    </row>
    <row r="294" spans="2:36" x14ac:dyDescent="0.25">
      <c r="B294" s="7" t="str" cm="1">
        <f t="array" aca="1" ref="B294" ca="1">IFERROR(IF(OR('Raw Data'!B294="",LEN(TRIM('Raw Data'!B294))=0),"",IF(AND(LEN('Raw Data'!B294) &lt;= 255,LEN('Raw Data'!B294)&gt; 0),"",_xlfn.REGEXEXTRACT(CELL("address",'Raw Data'!B294),"\$([A-Z]+)\$[0-9]+"))),_xlfn.REGEXEXTRACT(CELL("address",'Raw Data'!B294),"\$([A-Z]+)\$[0-9]+"))</f>
        <v/>
      </c>
      <c r="C294" s="7" t="str" cm="1">
        <f t="array" aca="1" ref="C294" ca="1">IFERROR(IF(OR('Raw Data'!C294="",LEN(TRIM('Raw Data'!C294))=0),"",IF(AND(LEN('Raw Data'!C294) &lt;= 20,LEN('Raw Data'!C294)&gt; 0),"",_xlfn.REGEXEXTRACT(CELL("address",'Raw Data'!C294),"\$([A-Z]+)\$[0-9]+"))),_xlfn.REGEXEXTRACT(CELL("address",'Raw Data'!C294),"\$([A-Z]+)\$[0-9]+"))</f>
        <v/>
      </c>
      <c r="D294" s="7" t="str" cm="1">
        <f t="array" aca="1" ref="D294" ca="1">IFERROR(IF(OR('Raw Data'!D294="",LEN(TRIM('Raw Data'!D294))=0),"",IF(AND(ISNUMBER('Raw Data'!D294),'Raw Data'!D294&gt;=Configuration!$D$2),"",_xlfn.REGEXEXTRACT(CELL("address",'Raw Data'!D294),"\$([A-Z]+)\$[0-9]+"))),_xlfn.REGEXEXTRACT(CELL("address",D294), "\$([A-Z]+)\$[0-9]+"))</f>
        <v/>
      </c>
      <c r="E294" s="7" t="str" cm="1">
        <f t="array" aca="1" ref="E294" ca="1">IFERROR(IF(OR('Raw Data'!E294="",LEN(TRIM('Raw Data'!E294))=0),"",IF(AND(ISNUMBER('Raw Data'!E294), IFERROR('Raw Data'!E294 = ROUND('Raw Data'!E294, 2),FALSE)),"",_xlfn.REGEXEXTRACT(CELL("address",E294), "\$([A-Z]+)\$[0-9]+"))),_xlfn.REGEXEXTRACT(CELL("address",E294), "\$([A-Z]+)\$[0-9]+"))</f>
        <v/>
      </c>
      <c r="F294" s="7" t="str" cm="1">
        <f t="array" aca="1" ref="F294" ca="1">IFERROR(IF(OR('Raw Data'!F294="",LEN(TRIM('Raw Data'!F294))=0),"",IF(AND(ISNUMBER('Raw Data'!F294), IFERROR('Raw Data'!F294 = ROUND('Raw Data'!F294, 2),FALSE)),"",_xlfn.REGEXEXTRACT(CELL("address",F294), "\$([A-Z]+)\$[0-9]+"))),_xlfn.REGEXEXTRACT(CELL("address",F294), "\$([A-Z]+)\$[0-9]+"))</f>
        <v/>
      </c>
      <c r="G294" s="7" t="str" cm="1">
        <f t="array" aca="1" ref="G294" ca="1">IFERROR(IF(OR('Raw Data'!G294="",LEN(TRIM('Raw Data'!G294))=0),"",IF(AND(ISNUMBER('Raw Data'!G294), IFERROR('Raw Data'!G294 = ROUND('Raw Data'!G294, 2),FALSE)),"",_xlfn.REGEXEXTRACT(CELL("address",G294), "\$([A-Z]+)\$[0-9]+"))),_xlfn.REGEXEXTRACT(CELL("address",G294), "\$([A-Z]+)\$[0-9]+"))</f>
        <v/>
      </c>
      <c r="H294" s="7" t="str" cm="1">
        <f t="array" aca="1" ref="H294" ca="1">IFERROR(IF(OR('Raw Data'!H294="",LEN(TRIM('Raw Data'!H294))=0),"",IF(AND(ISNUMBER('Raw Data'!H294), IFERROR('Raw Data'!H294 = ROUND('Raw Data'!H294, 2),FALSE)),"",_xlfn.REGEXEXTRACT(CELL("address",H294), "\$([A-Z]+)\$[0-9]+"))),_xlfn.REGEXEXTRACT(CELL("address",H294), "\$([A-Z]+)\$[0-9]+"))</f>
        <v/>
      </c>
      <c r="I294" s="7" t="str" cm="1">
        <f t="array" aca="1" ref="I294" ca="1">IFERROR(IF(OR('Raw Data'!I294="",LEN(TRIM('Raw Data'!I294))=0),"",IF(AND(ISNUMBER('Raw Data'!I294), IFERROR('Raw Data'!I294 = ROUND('Raw Data'!I294, 2),FALSE)),"",_xlfn.REGEXEXTRACT(CELL("address",I294), "\$([A-Z]+)\$[0-9]+"))),_xlfn.REGEXEXTRACT(CELL("address",I294), "\$([A-Z]+)\$[0-9]+"))</f>
        <v/>
      </c>
      <c r="J294" s="7" t="str" cm="1">
        <f t="array" aca="1" ref="J294" ca="1">IFERROR(IF(OR('Raw Data'!J294="",LEN(TRIM('Raw Data'!J294))=0),"",IF(AND(ISNUMBER('Raw Data'!J294), IFERROR('Raw Data'!J294 = ROUND('Raw Data'!J294, 2),FALSE)),"",_xlfn.REGEXEXTRACT(CELL("address",J294), "\$([A-Z]+)\$[0-9]+"))),_xlfn.REGEXEXTRACT(CELL("address",J294), "\$([A-Z]+)\$[0-9]+"))</f>
        <v/>
      </c>
      <c r="K294" s="7" t="str" cm="1">
        <f t="array" aca="1" ref="K294" ca="1">IFERROR(IF(OR('Raw Data'!K294="",LEN(TRIM('Raw Data'!K294))=0),"",IF(AND(ISNUMBER('Raw Data'!K294), IFERROR('Raw Data'!K294 = ROUND('Raw Data'!K294, 2),FALSE)),"",_xlfn.REGEXEXTRACT(CELL("address",K294), "\$([A-Z]+)\$[0-9]+"))),_xlfn.REGEXEXTRACT(CELL("address",K294), "\$([A-Z]+)\$[0-9]+"))</f>
        <v/>
      </c>
      <c r="L294" s="7" t="str" cm="1">
        <f t="array" aca="1" ref="L294" ca="1">IFERROR(IF(OR('Raw Data'!L294="",LEN(TRIM('Raw Data'!L294))=0),"",IF(AND(ISNUMBER('Raw Data'!L294), IFERROR('Raw Data'!L294 = ROUND('Raw Data'!L294, 2),FALSE)),"",_xlfn.REGEXEXTRACT(CELL("address",L294), "\$([A-Z]+)\$[0-9]+"))),_xlfn.REGEXEXTRACT(CELL("address",L294), "\$([A-Z]+)\$[0-9]+"))</f>
        <v/>
      </c>
      <c r="M294" s="7" t="str" cm="1">
        <f t="array" aca="1" ref="M294" ca="1">IFERROR(IF(OR('Raw Data'!M294="",LEN(TRIM('Raw Data'!M294))=0),"",IF(AND(ISNUMBER('Raw Data'!M294), IFERROR('Raw Data'!M294 = ROUND('Raw Data'!M294, 2),FALSE)),"",_xlfn.REGEXEXTRACT(CELL("address",M294), "\$([A-Z]+)\$[0-9]+"))),_xlfn.REGEXEXTRACT(CELL("address",M294), "\$([A-Z]+)\$[0-9]+"))</f>
        <v/>
      </c>
      <c r="N294" s="7" t="str" cm="1">
        <f t="array" aca="1" ref="N294" ca="1">IFERROR(IF(OR('Raw Data'!N294="",LEN(TRIM('Raw Data'!N294))=0),"",IF(AND(ISNUMBER('Raw Data'!N294), IFERROR('Raw Data'!N294 = ROUND('Raw Data'!N294, 2),FALSE)),"",_xlfn.REGEXEXTRACT(CELL("address",N294), "\$([A-Z]+)\$[0-9]+"))),_xlfn.REGEXEXTRACT(CELL("address",N294), "\$([A-Z]+)\$[0-9]+"))</f>
        <v/>
      </c>
      <c r="O294" s="7" t="str" cm="1">
        <f t="array" aca="1" ref="O294" ca="1">IFERROR(IF(OR('Raw Data'!O294="",LEN(TRIM('Raw Data'!O294))=0),"",IF(AND(ISNUMBER('Raw Data'!O294), IFERROR('Raw Data'!O294 = ROUND('Raw Data'!O294, 2),FALSE)),"",_xlfn.REGEXEXTRACT(CELL("address",O294), "\$([A-Z]+)\$[0-9]+"))),_xlfn.REGEXEXTRACT(CELL("address",O294), "\$([A-Z]+)\$[0-9]+"))</f>
        <v/>
      </c>
      <c r="P294" s="7" t="str" cm="1">
        <f t="array" aca="1" ref="P294" ca="1">IFERROR(IF(OR('Raw Data'!P294="",LEN(TRIM('Raw Data'!P294))=0),"",IF(AND(ISNUMBER('Raw Data'!P294), IFERROR('Raw Data'!P294 = ROUND('Raw Data'!P294, 2),FALSE)),"",_xlfn.REGEXEXTRACT(CELL("address",P294), "\$([A-Z]+)\$[0-9]+"))),_xlfn.REGEXEXTRACT(CELL("address",P294), "\$([A-Z]+)\$[0-9]+"))</f>
        <v/>
      </c>
      <c r="Q294" s="7" t="str" cm="1">
        <f t="array" aca="1" ref="Q294" ca="1">IFERROR(IF(OR('Raw Data'!Q294="",LEN(TRIM('Raw Data'!Q294))=0),"",IF(AND(ISNUMBER('Raw Data'!Q294), IFERROR('Raw Data'!Q294 = ROUND('Raw Data'!Q294, 2),FALSE)),"",_xlfn.REGEXEXTRACT(CELL("address",Q294), "\$([A-Z]+)\$[0-9]+"))),_xlfn.REGEXEXTRACT(CELL("address",Q294), "\$([A-Z]+)\$[0-9]+"))</f>
        <v/>
      </c>
      <c r="R294" s="7" t="str" cm="1">
        <f t="array" aca="1" ref="R294" ca="1">IFERROR(IF(OR('Raw Data'!R294="",LEN(TRIM('Raw Data'!R294))=0),"",IF(AND(ISNUMBER('Raw Data'!R294), IFERROR('Raw Data'!R294 = ROUND('Raw Data'!R294, 2),FALSE)),"",_xlfn.REGEXEXTRACT(CELL("address",R294), "\$([A-Z]+)\$[0-9]+"))),_xlfn.REGEXEXTRACT(CELL("address",R294), "\$([A-Z]+)\$[0-9]+"))</f>
        <v/>
      </c>
      <c r="S294" s="7" t="str" cm="1">
        <f t="array" aca="1" ref="S294" ca="1">IFERROR(IF(OR('Raw Data'!S294="",LEN(TRIM('Raw Data'!S294))=0),"",IF(AND(ISNUMBER('Raw Data'!S294), IFERROR('Raw Data'!S294 = ROUND('Raw Data'!S294, 2),FALSE)),"",_xlfn.REGEXEXTRACT(CELL("address",S294), "\$([A-Z]+)\$[0-9]+"))),_xlfn.REGEXEXTRACT(CELL("address",S294), "\$([A-Z]+)\$[0-9]+"))</f>
        <v/>
      </c>
      <c r="T294" s="7" t="str" cm="1">
        <f t="array" aca="1" ref="T294" ca="1">IFERROR(IF(OR('Raw Data'!T294="",LEN(TRIM('Raw Data'!T294))=0),"",IF(AND(ISNUMBER('Raw Data'!T294), IFERROR('Raw Data'!T294 = ROUND('Raw Data'!T294, 2),FALSE)),"",_xlfn.REGEXEXTRACT(CELL("address",T294), "\$([A-Z]+)\$[0-9]+"))),_xlfn.REGEXEXTRACT(CELL("address",T294), "\$([A-Z]+)\$[0-9]+"))</f>
        <v/>
      </c>
      <c r="U294" s="7" t="str" cm="1">
        <f t="array" aca="1" ref="U294" ca="1">IFERROR(IF(OR('Raw Data'!U294="",LEN(TRIM('Raw Data'!U294))=0),"",IF(AND(ISNUMBER('Raw Data'!U294), IFERROR('Raw Data'!U294 = ROUND('Raw Data'!U294, 2),FALSE)),"",_xlfn.REGEXEXTRACT(CELL("address",U294), "\$([A-Z]+)\$[0-9]+"))),_xlfn.REGEXEXTRACT(CELL("address",U294), "\$([A-Z]+)\$[0-9]+"))</f>
        <v/>
      </c>
      <c r="V294" s="7" t="str" cm="1">
        <f t="array" aca="1" ref="V294" ca="1">IFERROR(IF(OR('Raw Data'!V294="",LEN(TRIM('Raw Data'!V294))=0),"",IF(AND(ISNUMBER('Raw Data'!V294), IFERROR('Raw Data'!V294 = ROUND('Raw Data'!V294, 2),FALSE)),"",_xlfn.REGEXEXTRACT(CELL("address",V294), "\$([A-Z]+)\$[0-9]+"))),_xlfn.REGEXEXTRACT(CELL("address",V294), "\$([A-Z]+)\$[0-9]+"))</f>
        <v/>
      </c>
      <c r="W294" s="7" t="str" cm="1">
        <f t="array" aca="1" ref="W294" ca="1">IFERROR(IF(OR('Raw Data'!W294="",LEN(TRIM('Raw Data'!W294))=0),"",IF(AND(ISNUMBER('Raw Data'!W294), IFERROR('Raw Data'!W294 = ROUND('Raw Data'!W294, 2),FALSE)),"",_xlfn.REGEXEXTRACT(CELL("address",W294), "\$([A-Z]+)\$[0-9]+"))),_xlfn.REGEXEXTRACT(CELL("address",W294), "\$([A-Z]+)\$[0-9]+"))</f>
        <v/>
      </c>
      <c r="X294" s="7" t="str" cm="1">
        <f t="array" aca="1" ref="X294" ca="1">IFERROR(IF(OR('Raw Data'!X294="",LEN(TRIM('Raw Data'!X294))=0),"",IF(AND(ISNUMBER('Raw Data'!X294), IFERROR('Raw Data'!X294 = ROUND('Raw Data'!X294, 2),FALSE)),"",_xlfn.REGEXEXTRACT(CELL("address",X294), "\$([A-Z]+)\$[0-9]+"))),_xlfn.REGEXEXTRACT(CELL("address",X294), "\$([A-Z]+)\$[0-9]+"))</f>
        <v/>
      </c>
      <c r="Y294" s="7" t="str" cm="1">
        <f t="array" aca="1" ref="Y294" ca="1">IFERROR(IF(OR('Raw Data'!Y294="",LEN(TRIM('Raw Data'!Y294))=0),"",IF(AND(ISNUMBER('Raw Data'!Y294), IFERROR('Raw Data'!Y294 = ROUND('Raw Data'!Y294, 2),FALSE)),"",_xlfn.REGEXEXTRACT(CELL("address",Y294), "\$([A-Z]+)\$[0-9]+"))),_xlfn.REGEXEXTRACT(CELL("address",Y294), "\$([A-Z]+)\$[0-9]+"))</f>
        <v/>
      </c>
      <c r="Z294" s="7" t="str" cm="1">
        <f t="array" aca="1" ref="Z294" ca="1">IFERROR(IF(OR('Raw Data'!Z294="",LEN(TRIM('Raw Data'!Z294))=0),"",IF(AND(ISNUMBER('Raw Data'!Z294), IFERROR('Raw Data'!Z294 = ROUND('Raw Data'!Z294, 2),FALSE)),"",_xlfn.REGEXEXTRACT(CELL("address",Z294), "\$([A-Z]+)\$[0-9]+"))),_xlfn.REGEXEXTRACT(CELL("address",Z294), "\$([A-Z]+)\$[0-9]+"))</f>
        <v/>
      </c>
      <c r="AA294" s="7" t="str" cm="1">
        <f t="array" aca="1" ref="AA294" ca="1">IFERROR(IF(OR('Raw Data'!AA294="",LEN(TRIM('Raw Data'!AA294))=0),"",IF(AND(ISNUMBER('Raw Data'!AA294), IFERROR('Raw Data'!AA294 = ROUND('Raw Data'!AA294, 2),FALSE)),"",_xlfn.REGEXEXTRACT(CELL("address",AA294), "\$([A-Z]+)\$[0-9]+"))),_xlfn.REGEXEXTRACT(CELL("address",AA294), "\$([A-Z]+)\$[0-9]+"))</f>
        <v/>
      </c>
      <c r="AB294" s="7" t="str" cm="1">
        <f t="array" aca="1" ref="AB294" ca="1">IFERROR(IF(OR('Raw Data'!AB294="",LEN(TRIM('Raw Data'!AB294))=0),"",IF(AND(ISNUMBER('Raw Data'!AB294), IFERROR('Raw Data'!AB294 = ROUND('Raw Data'!AB294, 2),FALSE)),"",_xlfn.REGEXEXTRACT(CELL("address",AB294), "\$([A-Z]+)\$[0-9]+"))),_xlfn.REGEXEXTRACT(CELL("address",AB294), "\$([A-Z]+)\$[0-9]+"))</f>
        <v/>
      </c>
      <c r="AC294" s="7" t="str" cm="1">
        <f t="array" aca="1" ref="AC294" ca="1">IFERROR(IF(OR('Raw Data'!AC294="",LEN(TRIM('Raw Data'!AC294))=0),"",IF(AND(ISNUMBER('Raw Data'!AC294), IFERROR('Raw Data'!AC294 = ROUND('Raw Data'!AC294, 2),FALSE)),"",_xlfn.REGEXEXTRACT(CELL("address",AC294), "\$([A-Z]+)\$[0-9]+"))),_xlfn.REGEXEXTRACT(CELL("address",AC294), "\$([A-Z]+)\$[0-9]+"))</f>
        <v/>
      </c>
      <c r="AD294" s="7" t="str" cm="1">
        <f t="array" aca="1" ref="AD294" ca="1">IFERROR(IF(OR('Raw Data'!AD294="",LEN(TRIM('Raw Data'!AD294))=0),"",IF(AND(ISNUMBER('Raw Data'!AD294), IFERROR('Raw Data'!AD294 = ROUND('Raw Data'!AD294, 2),FALSE)),"",_xlfn.REGEXEXTRACT(CELL("address",AD294), "\$([A-Z]+)\$[0-9]+"))),_xlfn.REGEXEXTRACT(CELL("address",AD294), "\$([A-Z]+)\$[0-9]+"))</f>
        <v/>
      </c>
      <c r="AE294" s="7" t="str" cm="1">
        <f t="array" aca="1" ref="AE294" ca="1">IFERROR(IF(OR('Raw Data'!AE294="",LEN(TRIM('Raw Data'!AE294))=0),"",IF(AND(ISNUMBER('Raw Data'!AE294), IFERROR('Raw Data'!AE294 = ROUND('Raw Data'!AE294, 2),FALSE)),"",_xlfn.REGEXEXTRACT(CELL("address",AE294), "\$([A-Z]+)\$[0-9]+"))),_xlfn.REGEXEXTRACT(CELL("address",AE294), "\$([A-Z]+)\$[0-9]+"))</f>
        <v/>
      </c>
      <c r="AF294" s="7" t="str" cm="1">
        <f t="array" aca="1" ref="AF294" ca="1">IFERROR(IF(OR('Raw Data'!AF294="",LEN(TRIM('Raw Data'!AF294))=0),"",IF(AND(ISNUMBER('Raw Data'!AF294), IFERROR('Raw Data'!AF294 = ROUND('Raw Data'!AF294, 2),FALSE)),"",_xlfn.REGEXEXTRACT(CELL("address",AF294), "\$([A-Z]+)\$[0-9]+"))),_xlfn.REGEXEXTRACT(CELL("address",AF294), "\$([A-Z]+)\$[0-9]+"))</f>
        <v/>
      </c>
      <c r="AG294" s="7" t="str" cm="1">
        <f t="array" aca="1" ref="AG294" ca="1">IFERROR(IF(OR('Raw Data'!AG294="",LEN(TRIM('Raw Data'!AG294))=0),"",IF(AND(ISNUMBER('Raw Data'!AG294), IFERROR('Raw Data'!AG294 = ROUND('Raw Data'!AG294, 2),FALSE)),"",_xlfn.REGEXEXTRACT(CELL("address",AG294), "\$([A-Z]+)\$[0-9]+"))),_xlfn.REGEXEXTRACT(CELL("address",AG294), "\$([A-Z]+)\$[0-9]+"))</f>
        <v/>
      </c>
      <c r="AH294" s="7" t="str" cm="1">
        <f t="array" aca="1" ref="AH294" ca="1">IFERROR(IF(OR('Raw Data'!AH294="",LEN(TRIM('Raw Data'!AH294))=0),"",IF(AND(ISNUMBER('Raw Data'!AH294), IFERROR('Raw Data'!AH294 = ROUND('Raw Data'!AH294, 2),FALSE)),"",_xlfn.REGEXEXTRACT(CELL("address",AH294), "\$([A-Z]+)\$[0-9]+"))),_xlfn.REGEXEXTRACT(CELL("address",AH294), "\$([A-Z]+)\$[0-9]+"))</f>
        <v/>
      </c>
      <c r="AI294" s="7" t="str" cm="1">
        <f t="array" aca="1" ref="AI294" ca="1">IFERROR(IF(OR('Raw Data'!AI294="",LEN(TRIM('Raw Data'!AI294))=0),"",IF(AND(ISNUMBER('Raw Data'!AI294), IFERROR('Raw Data'!AI294 = ROUND('Raw Data'!AI294, 2),FALSE)),"",_xlfn.REGEXEXTRACT(CELL("address",AI294), "\$([A-Z]+)\$[0-9]+"))),_xlfn.REGEXEXTRACT(CELL("address",AI294), "\$([A-Z]+)\$[0-9]+"))</f>
        <v/>
      </c>
      <c r="AJ294" s="7" t="str" cm="1">
        <f t="array" aca="1" ref="AJ294" ca="1">IFERROR(IF(OR('Raw Data'!AJ294="",LEN(TRIM('Raw Data'!AJ294))=0),"",IF(AND(ISNUMBER('Raw Data'!AJ294), IFERROR('Raw Data'!AJ294 = ROUND('Raw Data'!AJ294, 2),FALSE)),"",_xlfn.REGEXEXTRACT(CELL("address",AJ294), "\$([A-Z]+)\$[0-9]+"))),_xlfn.REGEXEXTRACT(CELL("address",AJ294), "\$([A-Z]+)\$[0-9]+"))</f>
        <v/>
      </c>
    </row>
    <row r="295" spans="2:36" x14ac:dyDescent="0.25">
      <c r="B295" s="7" t="str" cm="1">
        <f t="array" aca="1" ref="B295" ca="1">IFERROR(IF(OR('Raw Data'!B295="",LEN(TRIM('Raw Data'!B295))=0),"",IF(AND(LEN('Raw Data'!B295) &lt;= 255,LEN('Raw Data'!B295)&gt; 0),"",_xlfn.REGEXEXTRACT(CELL("address",'Raw Data'!B295),"\$([A-Z]+)\$[0-9]+"))),_xlfn.REGEXEXTRACT(CELL("address",'Raw Data'!B295),"\$([A-Z]+)\$[0-9]+"))</f>
        <v/>
      </c>
      <c r="C295" s="7" t="str" cm="1">
        <f t="array" aca="1" ref="C295" ca="1">IFERROR(IF(OR('Raw Data'!C295="",LEN(TRIM('Raw Data'!C295))=0),"",IF(AND(LEN('Raw Data'!C295) &lt;= 20,LEN('Raw Data'!C295)&gt; 0),"",_xlfn.REGEXEXTRACT(CELL("address",'Raw Data'!C295),"\$([A-Z]+)\$[0-9]+"))),_xlfn.REGEXEXTRACT(CELL("address",'Raw Data'!C295),"\$([A-Z]+)\$[0-9]+"))</f>
        <v/>
      </c>
      <c r="D295" s="7" t="str" cm="1">
        <f t="array" aca="1" ref="D295" ca="1">IFERROR(IF(OR('Raw Data'!D295="",LEN(TRIM('Raw Data'!D295))=0),"",IF(AND(ISNUMBER('Raw Data'!D295),'Raw Data'!D295&gt;=Configuration!$D$2),"",_xlfn.REGEXEXTRACT(CELL("address",'Raw Data'!D295),"\$([A-Z]+)\$[0-9]+"))),_xlfn.REGEXEXTRACT(CELL("address",D295), "\$([A-Z]+)\$[0-9]+"))</f>
        <v/>
      </c>
      <c r="E295" s="7" t="str" cm="1">
        <f t="array" aca="1" ref="E295" ca="1">IFERROR(IF(OR('Raw Data'!E295="",LEN(TRIM('Raw Data'!E295))=0),"",IF(AND(ISNUMBER('Raw Data'!E295), IFERROR('Raw Data'!E295 = ROUND('Raw Data'!E295, 2),FALSE)),"",_xlfn.REGEXEXTRACT(CELL("address",E295), "\$([A-Z]+)\$[0-9]+"))),_xlfn.REGEXEXTRACT(CELL("address",E295), "\$([A-Z]+)\$[0-9]+"))</f>
        <v/>
      </c>
      <c r="F295" s="7" t="str" cm="1">
        <f t="array" aca="1" ref="F295" ca="1">IFERROR(IF(OR('Raw Data'!F295="",LEN(TRIM('Raw Data'!F295))=0),"",IF(AND(ISNUMBER('Raw Data'!F295), IFERROR('Raw Data'!F295 = ROUND('Raw Data'!F295, 2),FALSE)),"",_xlfn.REGEXEXTRACT(CELL("address",F295), "\$([A-Z]+)\$[0-9]+"))),_xlfn.REGEXEXTRACT(CELL("address",F295), "\$([A-Z]+)\$[0-9]+"))</f>
        <v/>
      </c>
      <c r="G295" s="7" t="str" cm="1">
        <f t="array" aca="1" ref="G295" ca="1">IFERROR(IF(OR('Raw Data'!G295="",LEN(TRIM('Raw Data'!G295))=0),"",IF(AND(ISNUMBER('Raw Data'!G295), IFERROR('Raw Data'!G295 = ROUND('Raw Data'!G295, 2),FALSE)),"",_xlfn.REGEXEXTRACT(CELL("address",G295), "\$([A-Z]+)\$[0-9]+"))),_xlfn.REGEXEXTRACT(CELL("address",G295), "\$([A-Z]+)\$[0-9]+"))</f>
        <v/>
      </c>
      <c r="H295" s="7" t="str" cm="1">
        <f t="array" aca="1" ref="H295" ca="1">IFERROR(IF(OR('Raw Data'!H295="",LEN(TRIM('Raw Data'!H295))=0),"",IF(AND(ISNUMBER('Raw Data'!H295), IFERROR('Raw Data'!H295 = ROUND('Raw Data'!H295, 2),FALSE)),"",_xlfn.REGEXEXTRACT(CELL("address",H295), "\$([A-Z]+)\$[0-9]+"))),_xlfn.REGEXEXTRACT(CELL("address",H295), "\$([A-Z]+)\$[0-9]+"))</f>
        <v/>
      </c>
      <c r="I295" s="7" t="str" cm="1">
        <f t="array" aca="1" ref="I295" ca="1">IFERROR(IF(OR('Raw Data'!I295="",LEN(TRIM('Raw Data'!I295))=0),"",IF(AND(ISNUMBER('Raw Data'!I295), IFERROR('Raw Data'!I295 = ROUND('Raw Data'!I295, 2),FALSE)),"",_xlfn.REGEXEXTRACT(CELL("address",I295), "\$([A-Z]+)\$[0-9]+"))),_xlfn.REGEXEXTRACT(CELL("address",I295), "\$([A-Z]+)\$[0-9]+"))</f>
        <v/>
      </c>
      <c r="J295" s="7" t="str" cm="1">
        <f t="array" aca="1" ref="J295" ca="1">IFERROR(IF(OR('Raw Data'!J295="",LEN(TRIM('Raw Data'!J295))=0),"",IF(AND(ISNUMBER('Raw Data'!J295), IFERROR('Raw Data'!J295 = ROUND('Raw Data'!J295, 2),FALSE)),"",_xlfn.REGEXEXTRACT(CELL("address",J295), "\$([A-Z]+)\$[0-9]+"))),_xlfn.REGEXEXTRACT(CELL("address",J295), "\$([A-Z]+)\$[0-9]+"))</f>
        <v/>
      </c>
      <c r="K295" s="7" t="str" cm="1">
        <f t="array" aca="1" ref="K295" ca="1">IFERROR(IF(OR('Raw Data'!K295="",LEN(TRIM('Raw Data'!K295))=0),"",IF(AND(ISNUMBER('Raw Data'!K295), IFERROR('Raw Data'!K295 = ROUND('Raw Data'!K295, 2),FALSE)),"",_xlfn.REGEXEXTRACT(CELL("address",K295), "\$([A-Z]+)\$[0-9]+"))),_xlfn.REGEXEXTRACT(CELL("address",K295), "\$([A-Z]+)\$[0-9]+"))</f>
        <v/>
      </c>
      <c r="L295" s="7" t="str" cm="1">
        <f t="array" aca="1" ref="L295" ca="1">IFERROR(IF(OR('Raw Data'!L295="",LEN(TRIM('Raw Data'!L295))=0),"",IF(AND(ISNUMBER('Raw Data'!L295), IFERROR('Raw Data'!L295 = ROUND('Raw Data'!L295, 2),FALSE)),"",_xlfn.REGEXEXTRACT(CELL("address",L295), "\$([A-Z]+)\$[0-9]+"))),_xlfn.REGEXEXTRACT(CELL("address",L295), "\$([A-Z]+)\$[0-9]+"))</f>
        <v/>
      </c>
      <c r="M295" s="7" t="str" cm="1">
        <f t="array" aca="1" ref="M295" ca="1">IFERROR(IF(OR('Raw Data'!M295="",LEN(TRIM('Raw Data'!M295))=0),"",IF(AND(ISNUMBER('Raw Data'!M295), IFERROR('Raw Data'!M295 = ROUND('Raw Data'!M295, 2),FALSE)),"",_xlfn.REGEXEXTRACT(CELL("address",M295), "\$([A-Z]+)\$[0-9]+"))),_xlfn.REGEXEXTRACT(CELL("address",M295), "\$([A-Z]+)\$[0-9]+"))</f>
        <v/>
      </c>
      <c r="N295" s="7" t="str" cm="1">
        <f t="array" aca="1" ref="N295" ca="1">IFERROR(IF(OR('Raw Data'!N295="",LEN(TRIM('Raw Data'!N295))=0),"",IF(AND(ISNUMBER('Raw Data'!N295), IFERROR('Raw Data'!N295 = ROUND('Raw Data'!N295, 2),FALSE)),"",_xlfn.REGEXEXTRACT(CELL("address",N295), "\$([A-Z]+)\$[0-9]+"))),_xlfn.REGEXEXTRACT(CELL("address",N295), "\$([A-Z]+)\$[0-9]+"))</f>
        <v/>
      </c>
      <c r="O295" s="7" t="str" cm="1">
        <f t="array" aca="1" ref="O295" ca="1">IFERROR(IF(OR('Raw Data'!O295="",LEN(TRIM('Raw Data'!O295))=0),"",IF(AND(ISNUMBER('Raw Data'!O295), IFERROR('Raw Data'!O295 = ROUND('Raw Data'!O295, 2),FALSE)),"",_xlfn.REGEXEXTRACT(CELL("address",O295), "\$([A-Z]+)\$[0-9]+"))),_xlfn.REGEXEXTRACT(CELL("address",O295), "\$([A-Z]+)\$[0-9]+"))</f>
        <v/>
      </c>
      <c r="P295" s="7" t="str" cm="1">
        <f t="array" aca="1" ref="P295" ca="1">IFERROR(IF(OR('Raw Data'!P295="",LEN(TRIM('Raw Data'!P295))=0),"",IF(AND(ISNUMBER('Raw Data'!P295), IFERROR('Raw Data'!P295 = ROUND('Raw Data'!P295, 2),FALSE)),"",_xlfn.REGEXEXTRACT(CELL("address",P295), "\$([A-Z]+)\$[0-9]+"))),_xlfn.REGEXEXTRACT(CELL("address",P295), "\$([A-Z]+)\$[0-9]+"))</f>
        <v/>
      </c>
      <c r="Q295" s="7" t="str" cm="1">
        <f t="array" aca="1" ref="Q295" ca="1">IFERROR(IF(OR('Raw Data'!Q295="",LEN(TRIM('Raw Data'!Q295))=0),"",IF(AND(ISNUMBER('Raw Data'!Q295), IFERROR('Raw Data'!Q295 = ROUND('Raw Data'!Q295, 2),FALSE)),"",_xlfn.REGEXEXTRACT(CELL("address",Q295), "\$([A-Z]+)\$[0-9]+"))),_xlfn.REGEXEXTRACT(CELL("address",Q295), "\$([A-Z]+)\$[0-9]+"))</f>
        <v/>
      </c>
      <c r="R295" s="7" t="str" cm="1">
        <f t="array" aca="1" ref="R295" ca="1">IFERROR(IF(OR('Raw Data'!R295="",LEN(TRIM('Raw Data'!R295))=0),"",IF(AND(ISNUMBER('Raw Data'!R295), IFERROR('Raw Data'!R295 = ROUND('Raw Data'!R295, 2),FALSE)),"",_xlfn.REGEXEXTRACT(CELL("address",R295), "\$([A-Z]+)\$[0-9]+"))),_xlfn.REGEXEXTRACT(CELL("address",R295), "\$([A-Z]+)\$[0-9]+"))</f>
        <v/>
      </c>
      <c r="S295" s="7" t="str" cm="1">
        <f t="array" aca="1" ref="S295" ca="1">IFERROR(IF(OR('Raw Data'!S295="",LEN(TRIM('Raw Data'!S295))=0),"",IF(AND(ISNUMBER('Raw Data'!S295), IFERROR('Raw Data'!S295 = ROUND('Raw Data'!S295, 2),FALSE)),"",_xlfn.REGEXEXTRACT(CELL("address",S295), "\$([A-Z]+)\$[0-9]+"))),_xlfn.REGEXEXTRACT(CELL("address",S295), "\$([A-Z]+)\$[0-9]+"))</f>
        <v/>
      </c>
      <c r="T295" s="7" t="str" cm="1">
        <f t="array" aca="1" ref="T295" ca="1">IFERROR(IF(OR('Raw Data'!T295="",LEN(TRIM('Raw Data'!T295))=0),"",IF(AND(ISNUMBER('Raw Data'!T295), IFERROR('Raw Data'!T295 = ROUND('Raw Data'!T295, 2),FALSE)),"",_xlfn.REGEXEXTRACT(CELL("address",T295), "\$([A-Z]+)\$[0-9]+"))),_xlfn.REGEXEXTRACT(CELL("address",T295), "\$([A-Z]+)\$[0-9]+"))</f>
        <v/>
      </c>
      <c r="U295" s="7" t="str" cm="1">
        <f t="array" aca="1" ref="U295" ca="1">IFERROR(IF(OR('Raw Data'!U295="",LEN(TRIM('Raw Data'!U295))=0),"",IF(AND(ISNUMBER('Raw Data'!U295), IFERROR('Raw Data'!U295 = ROUND('Raw Data'!U295, 2),FALSE)),"",_xlfn.REGEXEXTRACT(CELL("address",U295), "\$([A-Z]+)\$[0-9]+"))),_xlfn.REGEXEXTRACT(CELL("address",U295), "\$([A-Z]+)\$[0-9]+"))</f>
        <v/>
      </c>
      <c r="V295" s="7" t="str" cm="1">
        <f t="array" aca="1" ref="V295" ca="1">IFERROR(IF(OR('Raw Data'!V295="",LEN(TRIM('Raw Data'!V295))=0),"",IF(AND(ISNUMBER('Raw Data'!V295), IFERROR('Raw Data'!V295 = ROUND('Raw Data'!V295, 2),FALSE)),"",_xlfn.REGEXEXTRACT(CELL("address",V295), "\$([A-Z]+)\$[0-9]+"))),_xlfn.REGEXEXTRACT(CELL("address",V295), "\$([A-Z]+)\$[0-9]+"))</f>
        <v/>
      </c>
      <c r="W295" s="7" t="str" cm="1">
        <f t="array" aca="1" ref="W295" ca="1">IFERROR(IF(OR('Raw Data'!W295="",LEN(TRIM('Raw Data'!W295))=0),"",IF(AND(ISNUMBER('Raw Data'!W295), IFERROR('Raw Data'!W295 = ROUND('Raw Data'!W295, 2),FALSE)),"",_xlfn.REGEXEXTRACT(CELL("address",W295), "\$([A-Z]+)\$[0-9]+"))),_xlfn.REGEXEXTRACT(CELL("address",W295), "\$([A-Z]+)\$[0-9]+"))</f>
        <v/>
      </c>
      <c r="X295" s="7" t="str" cm="1">
        <f t="array" aca="1" ref="X295" ca="1">IFERROR(IF(OR('Raw Data'!X295="",LEN(TRIM('Raw Data'!X295))=0),"",IF(AND(ISNUMBER('Raw Data'!X295), IFERROR('Raw Data'!X295 = ROUND('Raw Data'!X295, 2),FALSE)),"",_xlfn.REGEXEXTRACT(CELL("address",X295), "\$([A-Z]+)\$[0-9]+"))),_xlfn.REGEXEXTRACT(CELL("address",X295), "\$([A-Z]+)\$[0-9]+"))</f>
        <v/>
      </c>
      <c r="Y295" s="7" t="str" cm="1">
        <f t="array" aca="1" ref="Y295" ca="1">IFERROR(IF(OR('Raw Data'!Y295="",LEN(TRIM('Raw Data'!Y295))=0),"",IF(AND(ISNUMBER('Raw Data'!Y295), IFERROR('Raw Data'!Y295 = ROUND('Raw Data'!Y295, 2),FALSE)),"",_xlfn.REGEXEXTRACT(CELL("address",Y295), "\$([A-Z]+)\$[0-9]+"))),_xlfn.REGEXEXTRACT(CELL("address",Y295), "\$([A-Z]+)\$[0-9]+"))</f>
        <v/>
      </c>
      <c r="Z295" s="7" t="str" cm="1">
        <f t="array" aca="1" ref="Z295" ca="1">IFERROR(IF(OR('Raw Data'!Z295="",LEN(TRIM('Raw Data'!Z295))=0),"",IF(AND(ISNUMBER('Raw Data'!Z295), IFERROR('Raw Data'!Z295 = ROUND('Raw Data'!Z295, 2),FALSE)),"",_xlfn.REGEXEXTRACT(CELL("address",Z295), "\$([A-Z]+)\$[0-9]+"))),_xlfn.REGEXEXTRACT(CELL("address",Z295), "\$([A-Z]+)\$[0-9]+"))</f>
        <v/>
      </c>
      <c r="AA295" s="7" t="str" cm="1">
        <f t="array" aca="1" ref="AA295" ca="1">IFERROR(IF(OR('Raw Data'!AA295="",LEN(TRIM('Raw Data'!AA295))=0),"",IF(AND(ISNUMBER('Raw Data'!AA295), IFERROR('Raw Data'!AA295 = ROUND('Raw Data'!AA295, 2),FALSE)),"",_xlfn.REGEXEXTRACT(CELL("address",AA295), "\$([A-Z]+)\$[0-9]+"))),_xlfn.REGEXEXTRACT(CELL("address",AA295), "\$([A-Z]+)\$[0-9]+"))</f>
        <v/>
      </c>
      <c r="AB295" s="7" t="str" cm="1">
        <f t="array" aca="1" ref="AB295" ca="1">IFERROR(IF(OR('Raw Data'!AB295="",LEN(TRIM('Raw Data'!AB295))=0),"",IF(AND(ISNUMBER('Raw Data'!AB295), IFERROR('Raw Data'!AB295 = ROUND('Raw Data'!AB295, 2),FALSE)),"",_xlfn.REGEXEXTRACT(CELL("address",AB295), "\$([A-Z]+)\$[0-9]+"))),_xlfn.REGEXEXTRACT(CELL("address",AB295), "\$([A-Z]+)\$[0-9]+"))</f>
        <v/>
      </c>
      <c r="AC295" s="7" t="str" cm="1">
        <f t="array" aca="1" ref="AC295" ca="1">IFERROR(IF(OR('Raw Data'!AC295="",LEN(TRIM('Raw Data'!AC295))=0),"",IF(AND(ISNUMBER('Raw Data'!AC295), IFERROR('Raw Data'!AC295 = ROUND('Raw Data'!AC295, 2),FALSE)),"",_xlfn.REGEXEXTRACT(CELL("address",AC295), "\$([A-Z]+)\$[0-9]+"))),_xlfn.REGEXEXTRACT(CELL("address",AC295), "\$([A-Z]+)\$[0-9]+"))</f>
        <v/>
      </c>
      <c r="AD295" s="7" t="str" cm="1">
        <f t="array" aca="1" ref="AD295" ca="1">IFERROR(IF(OR('Raw Data'!AD295="",LEN(TRIM('Raw Data'!AD295))=0),"",IF(AND(ISNUMBER('Raw Data'!AD295), IFERROR('Raw Data'!AD295 = ROUND('Raw Data'!AD295, 2),FALSE)),"",_xlfn.REGEXEXTRACT(CELL("address",AD295), "\$([A-Z]+)\$[0-9]+"))),_xlfn.REGEXEXTRACT(CELL("address",AD295), "\$([A-Z]+)\$[0-9]+"))</f>
        <v/>
      </c>
      <c r="AE295" s="7" t="str" cm="1">
        <f t="array" aca="1" ref="AE295" ca="1">IFERROR(IF(OR('Raw Data'!AE295="",LEN(TRIM('Raw Data'!AE295))=0),"",IF(AND(ISNUMBER('Raw Data'!AE295), IFERROR('Raw Data'!AE295 = ROUND('Raw Data'!AE295, 2),FALSE)),"",_xlfn.REGEXEXTRACT(CELL("address",AE295), "\$([A-Z]+)\$[0-9]+"))),_xlfn.REGEXEXTRACT(CELL("address",AE295), "\$([A-Z]+)\$[0-9]+"))</f>
        <v/>
      </c>
      <c r="AF295" s="7" t="str" cm="1">
        <f t="array" aca="1" ref="AF295" ca="1">IFERROR(IF(OR('Raw Data'!AF295="",LEN(TRIM('Raw Data'!AF295))=0),"",IF(AND(ISNUMBER('Raw Data'!AF295), IFERROR('Raw Data'!AF295 = ROUND('Raw Data'!AF295, 2),FALSE)),"",_xlfn.REGEXEXTRACT(CELL("address",AF295), "\$([A-Z]+)\$[0-9]+"))),_xlfn.REGEXEXTRACT(CELL("address",AF295), "\$([A-Z]+)\$[0-9]+"))</f>
        <v/>
      </c>
      <c r="AG295" s="7" t="str" cm="1">
        <f t="array" aca="1" ref="AG295" ca="1">IFERROR(IF(OR('Raw Data'!AG295="",LEN(TRIM('Raw Data'!AG295))=0),"",IF(AND(ISNUMBER('Raw Data'!AG295), IFERROR('Raw Data'!AG295 = ROUND('Raw Data'!AG295, 2),FALSE)),"",_xlfn.REGEXEXTRACT(CELL("address",AG295), "\$([A-Z]+)\$[0-9]+"))),_xlfn.REGEXEXTRACT(CELL("address",AG295), "\$([A-Z]+)\$[0-9]+"))</f>
        <v/>
      </c>
      <c r="AH295" s="7" t="str" cm="1">
        <f t="array" aca="1" ref="AH295" ca="1">IFERROR(IF(OR('Raw Data'!AH295="",LEN(TRIM('Raw Data'!AH295))=0),"",IF(AND(ISNUMBER('Raw Data'!AH295), IFERROR('Raw Data'!AH295 = ROUND('Raw Data'!AH295, 2),FALSE)),"",_xlfn.REGEXEXTRACT(CELL("address",AH295), "\$([A-Z]+)\$[0-9]+"))),_xlfn.REGEXEXTRACT(CELL("address",AH295), "\$([A-Z]+)\$[0-9]+"))</f>
        <v/>
      </c>
      <c r="AI295" s="7" t="str" cm="1">
        <f t="array" aca="1" ref="AI295" ca="1">IFERROR(IF(OR('Raw Data'!AI295="",LEN(TRIM('Raw Data'!AI295))=0),"",IF(AND(ISNUMBER('Raw Data'!AI295), IFERROR('Raw Data'!AI295 = ROUND('Raw Data'!AI295, 2),FALSE)),"",_xlfn.REGEXEXTRACT(CELL("address",AI295), "\$([A-Z]+)\$[0-9]+"))),_xlfn.REGEXEXTRACT(CELL("address",AI295), "\$([A-Z]+)\$[0-9]+"))</f>
        <v/>
      </c>
      <c r="AJ295" s="7" t="str" cm="1">
        <f t="array" aca="1" ref="AJ295" ca="1">IFERROR(IF(OR('Raw Data'!AJ295="",LEN(TRIM('Raw Data'!AJ295))=0),"",IF(AND(ISNUMBER('Raw Data'!AJ295), IFERROR('Raw Data'!AJ295 = ROUND('Raw Data'!AJ295, 2),FALSE)),"",_xlfn.REGEXEXTRACT(CELL("address",AJ295), "\$([A-Z]+)\$[0-9]+"))),_xlfn.REGEXEXTRACT(CELL("address",AJ295), "\$([A-Z]+)\$[0-9]+"))</f>
        <v/>
      </c>
    </row>
    <row r="296" spans="2:36" x14ac:dyDescent="0.25">
      <c r="B296" s="7" t="str" cm="1">
        <f t="array" aca="1" ref="B296" ca="1">IFERROR(IF(OR('Raw Data'!B296="",LEN(TRIM('Raw Data'!B296))=0),"",IF(AND(LEN('Raw Data'!B296) &lt;= 255,LEN('Raw Data'!B296)&gt; 0),"",_xlfn.REGEXEXTRACT(CELL("address",'Raw Data'!B296),"\$([A-Z]+)\$[0-9]+"))),_xlfn.REGEXEXTRACT(CELL("address",'Raw Data'!B296),"\$([A-Z]+)\$[0-9]+"))</f>
        <v/>
      </c>
      <c r="C296" s="7" t="str" cm="1">
        <f t="array" aca="1" ref="C296" ca="1">IFERROR(IF(OR('Raw Data'!C296="",LEN(TRIM('Raw Data'!C296))=0),"",IF(AND(LEN('Raw Data'!C296) &lt;= 20,LEN('Raw Data'!C296)&gt; 0),"",_xlfn.REGEXEXTRACT(CELL("address",'Raw Data'!C296),"\$([A-Z]+)\$[0-9]+"))),_xlfn.REGEXEXTRACT(CELL("address",'Raw Data'!C296),"\$([A-Z]+)\$[0-9]+"))</f>
        <v/>
      </c>
      <c r="D296" s="7" t="str" cm="1">
        <f t="array" aca="1" ref="D296" ca="1">IFERROR(IF(OR('Raw Data'!D296="",LEN(TRIM('Raw Data'!D296))=0),"",IF(AND(ISNUMBER('Raw Data'!D296),'Raw Data'!D296&gt;=Configuration!$D$2),"",_xlfn.REGEXEXTRACT(CELL("address",'Raw Data'!D296),"\$([A-Z]+)\$[0-9]+"))),_xlfn.REGEXEXTRACT(CELL("address",D296), "\$([A-Z]+)\$[0-9]+"))</f>
        <v/>
      </c>
      <c r="E296" s="7" t="str" cm="1">
        <f t="array" aca="1" ref="E296" ca="1">IFERROR(IF(OR('Raw Data'!E296="",LEN(TRIM('Raw Data'!E296))=0),"",IF(AND(ISNUMBER('Raw Data'!E296), IFERROR('Raw Data'!E296 = ROUND('Raw Data'!E296, 2),FALSE)),"",_xlfn.REGEXEXTRACT(CELL("address",E296), "\$([A-Z]+)\$[0-9]+"))),_xlfn.REGEXEXTRACT(CELL("address",E296), "\$([A-Z]+)\$[0-9]+"))</f>
        <v/>
      </c>
      <c r="F296" s="7" t="str" cm="1">
        <f t="array" aca="1" ref="F296" ca="1">IFERROR(IF(OR('Raw Data'!F296="",LEN(TRIM('Raw Data'!F296))=0),"",IF(AND(ISNUMBER('Raw Data'!F296), IFERROR('Raw Data'!F296 = ROUND('Raw Data'!F296, 2),FALSE)),"",_xlfn.REGEXEXTRACT(CELL("address",F296), "\$([A-Z]+)\$[0-9]+"))),_xlfn.REGEXEXTRACT(CELL("address",F296), "\$([A-Z]+)\$[0-9]+"))</f>
        <v/>
      </c>
      <c r="G296" s="7" t="str" cm="1">
        <f t="array" aca="1" ref="G296" ca="1">IFERROR(IF(OR('Raw Data'!G296="",LEN(TRIM('Raw Data'!G296))=0),"",IF(AND(ISNUMBER('Raw Data'!G296), IFERROR('Raw Data'!G296 = ROUND('Raw Data'!G296, 2),FALSE)),"",_xlfn.REGEXEXTRACT(CELL("address",G296), "\$([A-Z]+)\$[0-9]+"))),_xlfn.REGEXEXTRACT(CELL("address",G296), "\$([A-Z]+)\$[0-9]+"))</f>
        <v/>
      </c>
      <c r="H296" s="7" t="str" cm="1">
        <f t="array" aca="1" ref="H296" ca="1">IFERROR(IF(OR('Raw Data'!H296="",LEN(TRIM('Raw Data'!H296))=0),"",IF(AND(ISNUMBER('Raw Data'!H296), IFERROR('Raw Data'!H296 = ROUND('Raw Data'!H296, 2),FALSE)),"",_xlfn.REGEXEXTRACT(CELL("address",H296), "\$([A-Z]+)\$[0-9]+"))),_xlfn.REGEXEXTRACT(CELL("address",H296), "\$([A-Z]+)\$[0-9]+"))</f>
        <v/>
      </c>
      <c r="I296" s="7" t="str" cm="1">
        <f t="array" aca="1" ref="I296" ca="1">IFERROR(IF(OR('Raw Data'!I296="",LEN(TRIM('Raw Data'!I296))=0),"",IF(AND(ISNUMBER('Raw Data'!I296), IFERROR('Raw Data'!I296 = ROUND('Raw Data'!I296, 2),FALSE)),"",_xlfn.REGEXEXTRACT(CELL("address",I296), "\$([A-Z]+)\$[0-9]+"))),_xlfn.REGEXEXTRACT(CELL("address",I296), "\$([A-Z]+)\$[0-9]+"))</f>
        <v/>
      </c>
      <c r="J296" s="7" t="str" cm="1">
        <f t="array" aca="1" ref="J296" ca="1">IFERROR(IF(OR('Raw Data'!J296="",LEN(TRIM('Raw Data'!J296))=0),"",IF(AND(ISNUMBER('Raw Data'!J296), IFERROR('Raw Data'!J296 = ROUND('Raw Data'!J296, 2),FALSE)),"",_xlfn.REGEXEXTRACT(CELL("address",J296), "\$([A-Z]+)\$[0-9]+"))),_xlfn.REGEXEXTRACT(CELL("address",J296), "\$([A-Z]+)\$[0-9]+"))</f>
        <v/>
      </c>
      <c r="K296" s="7" t="str" cm="1">
        <f t="array" aca="1" ref="K296" ca="1">IFERROR(IF(OR('Raw Data'!K296="",LEN(TRIM('Raw Data'!K296))=0),"",IF(AND(ISNUMBER('Raw Data'!K296), IFERROR('Raw Data'!K296 = ROUND('Raw Data'!K296, 2),FALSE)),"",_xlfn.REGEXEXTRACT(CELL("address",K296), "\$([A-Z]+)\$[0-9]+"))),_xlfn.REGEXEXTRACT(CELL("address",K296), "\$([A-Z]+)\$[0-9]+"))</f>
        <v/>
      </c>
      <c r="L296" s="7" t="str" cm="1">
        <f t="array" aca="1" ref="L296" ca="1">IFERROR(IF(OR('Raw Data'!L296="",LEN(TRIM('Raw Data'!L296))=0),"",IF(AND(ISNUMBER('Raw Data'!L296), IFERROR('Raw Data'!L296 = ROUND('Raw Data'!L296, 2),FALSE)),"",_xlfn.REGEXEXTRACT(CELL("address",L296), "\$([A-Z]+)\$[0-9]+"))),_xlfn.REGEXEXTRACT(CELL("address",L296), "\$([A-Z]+)\$[0-9]+"))</f>
        <v/>
      </c>
      <c r="M296" s="7" t="str" cm="1">
        <f t="array" aca="1" ref="M296" ca="1">IFERROR(IF(OR('Raw Data'!M296="",LEN(TRIM('Raw Data'!M296))=0),"",IF(AND(ISNUMBER('Raw Data'!M296), IFERROR('Raw Data'!M296 = ROUND('Raw Data'!M296, 2),FALSE)),"",_xlfn.REGEXEXTRACT(CELL("address",M296), "\$([A-Z]+)\$[0-9]+"))),_xlfn.REGEXEXTRACT(CELL("address",M296), "\$([A-Z]+)\$[0-9]+"))</f>
        <v/>
      </c>
      <c r="N296" s="7" t="str" cm="1">
        <f t="array" aca="1" ref="N296" ca="1">IFERROR(IF(OR('Raw Data'!N296="",LEN(TRIM('Raw Data'!N296))=0),"",IF(AND(ISNUMBER('Raw Data'!N296), IFERROR('Raw Data'!N296 = ROUND('Raw Data'!N296, 2),FALSE)),"",_xlfn.REGEXEXTRACT(CELL("address",N296), "\$([A-Z]+)\$[0-9]+"))),_xlfn.REGEXEXTRACT(CELL("address",N296), "\$([A-Z]+)\$[0-9]+"))</f>
        <v/>
      </c>
      <c r="O296" s="7" t="str" cm="1">
        <f t="array" aca="1" ref="O296" ca="1">IFERROR(IF(OR('Raw Data'!O296="",LEN(TRIM('Raw Data'!O296))=0),"",IF(AND(ISNUMBER('Raw Data'!O296), IFERROR('Raw Data'!O296 = ROUND('Raw Data'!O296, 2),FALSE)),"",_xlfn.REGEXEXTRACT(CELL("address",O296), "\$([A-Z]+)\$[0-9]+"))),_xlfn.REGEXEXTRACT(CELL("address",O296), "\$([A-Z]+)\$[0-9]+"))</f>
        <v/>
      </c>
      <c r="P296" s="7" t="str" cm="1">
        <f t="array" aca="1" ref="P296" ca="1">IFERROR(IF(OR('Raw Data'!P296="",LEN(TRIM('Raw Data'!P296))=0),"",IF(AND(ISNUMBER('Raw Data'!P296), IFERROR('Raw Data'!P296 = ROUND('Raw Data'!P296, 2),FALSE)),"",_xlfn.REGEXEXTRACT(CELL("address",P296), "\$([A-Z]+)\$[0-9]+"))),_xlfn.REGEXEXTRACT(CELL("address",P296), "\$([A-Z]+)\$[0-9]+"))</f>
        <v/>
      </c>
      <c r="Q296" s="7" t="str" cm="1">
        <f t="array" aca="1" ref="Q296" ca="1">IFERROR(IF(OR('Raw Data'!Q296="",LEN(TRIM('Raw Data'!Q296))=0),"",IF(AND(ISNUMBER('Raw Data'!Q296), IFERROR('Raw Data'!Q296 = ROUND('Raw Data'!Q296, 2),FALSE)),"",_xlfn.REGEXEXTRACT(CELL("address",Q296), "\$([A-Z]+)\$[0-9]+"))),_xlfn.REGEXEXTRACT(CELL("address",Q296), "\$([A-Z]+)\$[0-9]+"))</f>
        <v/>
      </c>
      <c r="R296" s="7" t="str" cm="1">
        <f t="array" aca="1" ref="R296" ca="1">IFERROR(IF(OR('Raw Data'!R296="",LEN(TRIM('Raw Data'!R296))=0),"",IF(AND(ISNUMBER('Raw Data'!R296), IFERROR('Raw Data'!R296 = ROUND('Raw Data'!R296, 2),FALSE)),"",_xlfn.REGEXEXTRACT(CELL("address",R296), "\$([A-Z]+)\$[0-9]+"))),_xlfn.REGEXEXTRACT(CELL("address",R296), "\$([A-Z]+)\$[0-9]+"))</f>
        <v/>
      </c>
      <c r="S296" s="7" t="str" cm="1">
        <f t="array" aca="1" ref="S296" ca="1">IFERROR(IF(OR('Raw Data'!S296="",LEN(TRIM('Raw Data'!S296))=0),"",IF(AND(ISNUMBER('Raw Data'!S296), IFERROR('Raw Data'!S296 = ROUND('Raw Data'!S296, 2),FALSE)),"",_xlfn.REGEXEXTRACT(CELL("address",S296), "\$([A-Z]+)\$[0-9]+"))),_xlfn.REGEXEXTRACT(CELL("address",S296), "\$([A-Z]+)\$[0-9]+"))</f>
        <v/>
      </c>
      <c r="T296" s="7" t="str" cm="1">
        <f t="array" aca="1" ref="T296" ca="1">IFERROR(IF(OR('Raw Data'!T296="",LEN(TRIM('Raw Data'!T296))=0),"",IF(AND(ISNUMBER('Raw Data'!T296), IFERROR('Raw Data'!T296 = ROUND('Raw Data'!T296, 2),FALSE)),"",_xlfn.REGEXEXTRACT(CELL("address",T296), "\$([A-Z]+)\$[0-9]+"))),_xlfn.REGEXEXTRACT(CELL("address",T296), "\$([A-Z]+)\$[0-9]+"))</f>
        <v/>
      </c>
      <c r="U296" s="7" t="str" cm="1">
        <f t="array" aca="1" ref="U296" ca="1">IFERROR(IF(OR('Raw Data'!U296="",LEN(TRIM('Raw Data'!U296))=0),"",IF(AND(ISNUMBER('Raw Data'!U296), IFERROR('Raw Data'!U296 = ROUND('Raw Data'!U296, 2),FALSE)),"",_xlfn.REGEXEXTRACT(CELL("address",U296), "\$([A-Z]+)\$[0-9]+"))),_xlfn.REGEXEXTRACT(CELL("address",U296), "\$([A-Z]+)\$[0-9]+"))</f>
        <v/>
      </c>
      <c r="V296" s="7" t="str" cm="1">
        <f t="array" aca="1" ref="V296" ca="1">IFERROR(IF(OR('Raw Data'!V296="",LEN(TRIM('Raw Data'!V296))=0),"",IF(AND(ISNUMBER('Raw Data'!V296), IFERROR('Raw Data'!V296 = ROUND('Raw Data'!V296, 2),FALSE)),"",_xlfn.REGEXEXTRACT(CELL("address",V296), "\$([A-Z]+)\$[0-9]+"))),_xlfn.REGEXEXTRACT(CELL("address",V296), "\$([A-Z]+)\$[0-9]+"))</f>
        <v/>
      </c>
      <c r="W296" s="7" t="str" cm="1">
        <f t="array" aca="1" ref="W296" ca="1">IFERROR(IF(OR('Raw Data'!W296="",LEN(TRIM('Raw Data'!W296))=0),"",IF(AND(ISNUMBER('Raw Data'!W296), IFERROR('Raw Data'!W296 = ROUND('Raw Data'!W296, 2),FALSE)),"",_xlfn.REGEXEXTRACT(CELL("address",W296), "\$([A-Z]+)\$[0-9]+"))),_xlfn.REGEXEXTRACT(CELL("address",W296), "\$([A-Z]+)\$[0-9]+"))</f>
        <v/>
      </c>
      <c r="X296" s="7" t="str" cm="1">
        <f t="array" aca="1" ref="X296" ca="1">IFERROR(IF(OR('Raw Data'!X296="",LEN(TRIM('Raw Data'!X296))=0),"",IF(AND(ISNUMBER('Raw Data'!X296), IFERROR('Raw Data'!X296 = ROUND('Raw Data'!X296, 2),FALSE)),"",_xlfn.REGEXEXTRACT(CELL("address",X296), "\$([A-Z]+)\$[0-9]+"))),_xlfn.REGEXEXTRACT(CELL("address",X296), "\$([A-Z]+)\$[0-9]+"))</f>
        <v/>
      </c>
      <c r="Y296" s="7" t="str" cm="1">
        <f t="array" aca="1" ref="Y296" ca="1">IFERROR(IF(OR('Raw Data'!Y296="",LEN(TRIM('Raw Data'!Y296))=0),"",IF(AND(ISNUMBER('Raw Data'!Y296), IFERROR('Raw Data'!Y296 = ROUND('Raw Data'!Y296, 2),FALSE)),"",_xlfn.REGEXEXTRACT(CELL("address",Y296), "\$([A-Z]+)\$[0-9]+"))),_xlfn.REGEXEXTRACT(CELL("address",Y296), "\$([A-Z]+)\$[0-9]+"))</f>
        <v/>
      </c>
      <c r="Z296" s="7" t="str" cm="1">
        <f t="array" aca="1" ref="Z296" ca="1">IFERROR(IF(OR('Raw Data'!Z296="",LEN(TRIM('Raw Data'!Z296))=0),"",IF(AND(ISNUMBER('Raw Data'!Z296), IFERROR('Raw Data'!Z296 = ROUND('Raw Data'!Z296, 2),FALSE)),"",_xlfn.REGEXEXTRACT(CELL("address",Z296), "\$([A-Z]+)\$[0-9]+"))),_xlfn.REGEXEXTRACT(CELL("address",Z296), "\$([A-Z]+)\$[0-9]+"))</f>
        <v/>
      </c>
      <c r="AA296" s="7" t="str" cm="1">
        <f t="array" aca="1" ref="AA296" ca="1">IFERROR(IF(OR('Raw Data'!AA296="",LEN(TRIM('Raw Data'!AA296))=0),"",IF(AND(ISNUMBER('Raw Data'!AA296), IFERROR('Raw Data'!AA296 = ROUND('Raw Data'!AA296, 2),FALSE)),"",_xlfn.REGEXEXTRACT(CELL("address",AA296), "\$([A-Z]+)\$[0-9]+"))),_xlfn.REGEXEXTRACT(CELL("address",AA296), "\$([A-Z]+)\$[0-9]+"))</f>
        <v/>
      </c>
      <c r="AB296" s="7" t="str" cm="1">
        <f t="array" aca="1" ref="AB296" ca="1">IFERROR(IF(OR('Raw Data'!AB296="",LEN(TRIM('Raw Data'!AB296))=0),"",IF(AND(ISNUMBER('Raw Data'!AB296), IFERROR('Raw Data'!AB296 = ROUND('Raw Data'!AB296, 2),FALSE)),"",_xlfn.REGEXEXTRACT(CELL("address",AB296), "\$([A-Z]+)\$[0-9]+"))),_xlfn.REGEXEXTRACT(CELL("address",AB296), "\$([A-Z]+)\$[0-9]+"))</f>
        <v/>
      </c>
      <c r="AC296" s="7" t="str" cm="1">
        <f t="array" aca="1" ref="AC296" ca="1">IFERROR(IF(OR('Raw Data'!AC296="",LEN(TRIM('Raw Data'!AC296))=0),"",IF(AND(ISNUMBER('Raw Data'!AC296), IFERROR('Raw Data'!AC296 = ROUND('Raw Data'!AC296, 2),FALSE)),"",_xlfn.REGEXEXTRACT(CELL("address",AC296), "\$([A-Z]+)\$[0-9]+"))),_xlfn.REGEXEXTRACT(CELL("address",AC296), "\$([A-Z]+)\$[0-9]+"))</f>
        <v/>
      </c>
      <c r="AD296" s="7" t="str" cm="1">
        <f t="array" aca="1" ref="AD296" ca="1">IFERROR(IF(OR('Raw Data'!AD296="",LEN(TRIM('Raw Data'!AD296))=0),"",IF(AND(ISNUMBER('Raw Data'!AD296), IFERROR('Raw Data'!AD296 = ROUND('Raw Data'!AD296, 2),FALSE)),"",_xlfn.REGEXEXTRACT(CELL("address",AD296), "\$([A-Z]+)\$[0-9]+"))),_xlfn.REGEXEXTRACT(CELL("address",AD296), "\$([A-Z]+)\$[0-9]+"))</f>
        <v/>
      </c>
      <c r="AE296" s="7" t="str" cm="1">
        <f t="array" aca="1" ref="AE296" ca="1">IFERROR(IF(OR('Raw Data'!AE296="",LEN(TRIM('Raw Data'!AE296))=0),"",IF(AND(ISNUMBER('Raw Data'!AE296), IFERROR('Raw Data'!AE296 = ROUND('Raw Data'!AE296, 2),FALSE)),"",_xlfn.REGEXEXTRACT(CELL("address",AE296), "\$([A-Z]+)\$[0-9]+"))),_xlfn.REGEXEXTRACT(CELL("address",AE296), "\$([A-Z]+)\$[0-9]+"))</f>
        <v/>
      </c>
      <c r="AF296" s="7" t="str" cm="1">
        <f t="array" aca="1" ref="AF296" ca="1">IFERROR(IF(OR('Raw Data'!AF296="",LEN(TRIM('Raw Data'!AF296))=0),"",IF(AND(ISNUMBER('Raw Data'!AF296), IFERROR('Raw Data'!AF296 = ROUND('Raw Data'!AF296, 2),FALSE)),"",_xlfn.REGEXEXTRACT(CELL("address",AF296), "\$([A-Z]+)\$[0-9]+"))),_xlfn.REGEXEXTRACT(CELL("address",AF296), "\$([A-Z]+)\$[0-9]+"))</f>
        <v/>
      </c>
      <c r="AG296" s="7" t="str" cm="1">
        <f t="array" aca="1" ref="AG296" ca="1">IFERROR(IF(OR('Raw Data'!AG296="",LEN(TRIM('Raw Data'!AG296))=0),"",IF(AND(ISNUMBER('Raw Data'!AG296), IFERROR('Raw Data'!AG296 = ROUND('Raw Data'!AG296, 2),FALSE)),"",_xlfn.REGEXEXTRACT(CELL("address",AG296), "\$([A-Z]+)\$[0-9]+"))),_xlfn.REGEXEXTRACT(CELL("address",AG296), "\$([A-Z]+)\$[0-9]+"))</f>
        <v/>
      </c>
      <c r="AH296" s="7" t="str" cm="1">
        <f t="array" aca="1" ref="AH296" ca="1">IFERROR(IF(OR('Raw Data'!AH296="",LEN(TRIM('Raw Data'!AH296))=0),"",IF(AND(ISNUMBER('Raw Data'!AH296), IFERROR('Raw Data'!AH296 = ROUND('Raw Data'!AH296, 2),FALSE)),"",_xlfn.REGEXEXTRACT(CELL("address",AH296), "\$([A-Z]+)\$[0-9]+"))),_xlfn.REGEXEXTRACT(CELL("address",AH296), "\$([A-Z]+)\$[0-9]+"))</f>
        <v/>
      </c>
      <c r="AI296" s="7" t="str" cm="1">
        <f t="array" aca="1" ref="AI296" ca="1">IFERROR(IF(OR('Raw Data'!AI296="",LEN(TRIM('Raw Data'!AI296))=0),"",IF(AND(ISNUMBER('Raw Data'!AI296), IFERROR('Raw Data'!AI296 = ROUND('Raw Data'!AI296, 2),FALSE)),"",_xlfn.REGEXEXTRACT(CELL("address",AI296), "\$([A-Z]+)\$[0-9]+"))),_xlfn.REGEXEXTRACT(CELL("address",AI296), "\$([A-Z]+)\$[0-9]+"))</f>
        <v/>
      </c>
      <c r="AJ296" s="7" t="str" cm="1">
        <f t="array" aca="1" ref="AJ296" ca="1">IFERROR(IF(OR('Raw Data'!AJ296="",LEN(TRIM('Raw Data'!AJ296))=0),"",IF(AND(ISNUMBER('Raw Data'!AJ296), IFERROR('Raw Data'!AJ296 = ROUND('Raw Data'!AJ296, 2),FALSE)),"",_xlfn.REGEXEXTRACT(CELL("address",AJ296), "\$([A-Z]+)\$[0-9]+"))),_xlfn.REGEXEXTRACT(CELL("address",AJ296), "\$([A-Z]+)\$[0-9]+"))</f>
        <v/>
      </c>
    </row>
    <row r="297" spans="2:36" x14ac:dyDescent="0.25">
      <c r="B297" s="7" t="str" cm="1">
        <f t="array" aca="1" ref="B297" ca="1">IFERROR(IF(OR('Raw Data'!B297="",LEN(TRIM('Raw Data'!B297))=0),"",IF(AND(LEN('Raw Data'!B297) &lt;= 255,LEN('Raw Data'!B297)&gt; 0),"",_xlfn.REGEXEXTRACT(CELL("address",'Raw Data'!B297),"\$([A-Z]+)\$[0-9]+"))),_xlfn.REGEXEXTRACT(CELL("address",'Raw Data'!B297),"\$([A-Z]+)\$[0-9]+"))</f>
        <v/>
      </c>
      <c r="C297" s="7" t="str" cm="1">
        <f t="array" aca="1" ref="C297" ca="1">IFERROR(IF(OR('Raw Data'!C297="",LEN(TRIM('Raw Data'!C297))=0),"",IF(AND(LEN('Raw Data'!C297) &lt;= 20,LEN('Raw Data'!C297)&gt; 0),"",_xlfn.REGEXEXTRACT(CELL("address",'Raw Data'!C297),"\$([A-Z]+)\$[0-9]+"))),_xlfn.REGEXEXTRACT(CELL("address",'Raw Data'!C297),"\$([A-Z]+)\$[0-9]+"))</f>
        <v/>
      </c>
      <c r="D297" s="7" t="str" cm="1">
        <f t="array" aca="1" ref="D297" ca="1">IFERROR(IF(OR('Raw Data'!D297="",LEN(TRIM('Raw Data'!D297))=0),"",IF(AND(ISNUMBER('Raw Data'!D297),'Raw Data'!D297&gt;=Configuration!$D$2),"",_xlfn.REGEXEXTRACT(CELL("address",'Raw Data'!D297),"\$([A-Z]+)\$[0-9]+"))),_xlfn.REGEXEXTRACT(CELL("address",D297), "\$([A-Z]+)\$[0-9]+"))</f>
        <v/>
      </c>
      <c r="E297" s="7" t="str" cm="1">
        <f t="array" aca="1" ref="E297" ca="1">IFERROR(IF(OR('Raw Data'!E297="",LEN(TRIM('Raw Data'!E297))=0),"",IF(AND(ISNUMBER('Raw Data'!E297), IFERROR('Raw Data'!E297 = ROUND('Raw Data'!E297, 2),FALSE)),"",_xlfn.REGEXEXTRACT(CELL("address",E297), "\$([A-Z]+)\$[0-9]+"))),_xlfn.REGEXEXTRACT(CELL("address",E297), "\$([A-Z]+)\$[0-9]+"))</f>
        <v/>
      </c>
      <c r="F297" s="7" t="str" cm="1">
        <f t="array" aca="1" ref="F297" ca="1">IFERROR(IF(OR('Raw Data'!F297="",LEN(TRIM('Raw Data'!F297))=0),"",IF(AND(ISNUMBER('Raw Data'!F297), IFERROR('Raw Data'!F297 = ROUND('Raw Data'!F297, 2),FALSE)),"",_xlfn.REGEXEXTRACT(CELL("address",F297), "\$([A-Z]+)\$[0-9]+"))),_xlfn.REGEXEXTRACT(CELL("address",F297), "\$([A-Z]+)\$[0-9]+"))</f>
        <v/>
      </c>
      <c r="G297" s="7" t="str" cm="1">
        <f t="array" aca="1" ref="G297" ca="1">IFERROR(IF(OR('Raw Data'!G297="",LEN(TRIM('Raw Data'!G297))=0),"",IF(AND(ISNUMBER('Raw Data'!G297), IFERROR('Raw Data'!G297 = ROUND('Raw Data'!G297, 2),FALSE)),"",_xlfn.REGEXEXTRACT(CELL("address",G297), "\$([A-Z]+)\$[0-9]+"))),_xlfn.REGEXEXTRACT(CELL("address",G297), "\$([A-Z]+)\$[0-9]+"))</f>
        <v/>
      </c>
      <c r="H297" s="7" t="str" cm="1">
        <f t="array" aca="1" ref="H297" ca="1">IFERROR(IF(OR('Raw Data'!H297="",LEN(TRIM('Raw Data'!H297))=0),"",IF(AND(ISNUMBER('Raw Data'!H297), IFERROR('Raw Data'!H297 = ROUND('Raw Data'!H297, 2),FALSE)),"",_xlfn.REGEXEXTRACT(CELL("address",H297), "\$([A-Z]+)\$[0-9]+"))),_xlfn.REGEXEXTRACT(CELL("address",H297), "\$([A-Z]+)\$[0-9]+"))</f>
        <v/>
      </c>
      <c r="I297" s="7" t="str" cm="1">
        <f t="array" aca="1" ref="I297" ca="1">IFERROR(IF(OR('Raw Data'!I297="",LEN(TRIM('Raw Data'!I297))=0),"",IF(AND(ISNUMBER('Raw Data'!I297), IFERROR('Raw Data'!I297 = ROUND('Raw Data'!I297, 2),FALSE)),"",_xlfn.REGEXEXTRACT(CELL("address",I297), "\$([A-Z]+)\$[0-9]+"))),_xlfn.REGEXEXTRACT(CELL("address",I297), "\$([A-Z]+)\$[0-9]+"))</f>
        <v/>
      </c>
      <c r="J297" s="7" t="str" cm="1">
        <f t="array" aca="1" ref="J297" ca="1">IFERROR(IF(OR('Raw Data'!J297="",LEN(TRIM('Raw Data'!J297))=0),"",IF(AND(ISNUMBER('Raw Data'!J297), IFERROR('Raw Data'!J297 = ROUND('Raw Data'!J297, 2),FALSE)),"",_xlfn.REGEXEXTRACT(CELL("address",J297), "\$([A-Z]+)\$[0-9]+"))),_xlfn.REGEXEXTRACT(CELL("address",J297), "\$([A-Z]+)\$[0-9]+"))</f>
        <v/>
      </c>
      <c r="K297" s="7" t="str" cm="1">
        <f t="array" aca="1" ref="K297" ca="1">IFERROR(IF(OR('Raw Data'!K297="",LEN(TRIM('Raw Data'!K297))=0),"",IF(AND(ISNUMBER('Raw Data'!K297), IFERROR('Raw Data'!K297 = ROUND('Raw Data'!K297, 2),FALSE)),"",_xlfn.REGEXEXTRACT(CELL("address",K297), "\$([A-Z]+)\$[0-9]+"))),_xlfn.REGEXEXTRACT(CELL("address",K297), "\$([A-Z]+)\$[0-9]+"))</f>
        <v/>
      </c>
      <c r="L297" s="7" t="str" cm="1">
        <f t="array" aca="1" ref="L297" ca="1">IFERROR(IF(OR('Raw Data'!L297="",LEN(TRIM('Raw Data'!L297))=0),"",IF(AND(ISNUMBER('Raw Data'!L297), IFERROR('Raw Data'!L297 = ROUND('Raw Data'!L297, 2),FALSE)),"",_xlfn.REGEXEXTRACT(CELL("address",L297), "\$([A-Z]+)\$[0-9]+"))),_xlfn.REGEXEXTRACT(CELL("address",L297), "\$([A-Z]+)\$[0-9]+"))</f>
        <v/>
      </c>
      <c r="M297" s="7" t="str" cm="1">
        <f t="array" aca="1" ref="M297" ca="1">IFERROR(IF(OR('Raw Data'!M297="",LEN(TRIM('Raw Data'!M297))=0),"",IF(AND(ISNUMBER('Raw Data'!M297), IFERROR('Raw Data'!M297 = ROUND('Raw Data'!M297, 2),FALSE)),"",_xlfn.REGEXEXTRACT(CELL("address",M297), "\$([A-Z]+)\$[0-9]+"))),_xlfn.REGEXEXTRACT(CELL("address",M297), "\$([A-Z]+)\$[0-9]+"))</f>
        <v/>
      </c>
      <c r="N297" s="7" t="str" cm="1">
        <f t="array" aca="1" ref="N297" ca="1">IFERROR(IF(OR('Raw Data'!N297="",LEN(TRIM('Raw Data'!N297))=0),"",IF(AND(ISNUMBER('Raw Data'!N297), IFERROR('Raw Data'!N297 = ROUND('Raw Data'!N297, 2),FALSE)),"",_xlfn.REGEXEXTRACT(CELL("address",N297), "\$([A-Z]+)\$[0-9]+"))),_xlfn.REGEXEXTRACT(CELL("address",N297), "\$([A-Z]+)\$[0-9]+"))</f>
        <v/>
      </c>
      <c r="O297" s="7" t="str" cm="1">
        <f t="array" aca="1" ref="O297" ca="1">IFERROR(IF(OR('Raw Data'!O297="",LEN(TRIM('Raw Data'!O297))=0),"",IF(AND(ISNUMBER('Raw Data'!O297), IFERROR('Raw Data'!O297 = ROUND('Raw Data'!O297, 2),FALSE)),"",_xlfn.REGEXEXTRACT(CELL("address",O297), "\$([A-Z]+)\$[0-9]+"))),_xlfn.REGEXEXTRACT(CELL("address",O297), "\$([A-Z]+)\$[0-9]+"))</f>
        <v/>
      </c>
      <c r="P297" s="7" t="str" cm="1">
        <f t="array" aca="1" ref="P297" ca="1">IFERROR(IF(OR('Raw Data'!P297="",LEN(TRIM('Raw Data'!P297))=0),"",IF(AND(ISNUMBER('Raw Data'!P297), IFERROR('Raw Data'!P297 = ROUND('Raw Data'!P297, 2),FALSE)),"",_xlfn.REGEXEXTRACT(CELL("address",P297), "\$([A-Z]+)\$[0-9]+"))),_xlfn.REGEXEXTRACT(CELL("address",P297), "\$([A-Z]+)\$[0-9]+"))</f>
        <v/>
      </c>
      <c r="Q297" s="7" t="str" cm="1">
        <f t="array" aca="1" ref="Q297" ca="1">IFERROR(IF(OR('Raw Data'!Q297="",LEN(TRIM('Raw Data'!Q297))=0),"",IF(AND(ISNUMBER('Raw Data'!Q297), IFERROR('Raw Data'!Q297 = ROUND('Raw Data'!Q297, 2),FALSE)),"",_xlfn.REGEXEXTRACT(CELL("address",Q297), "\$([A-Z]+)\$[0-9]+"))),_xlfn.REGEXEXTRACT(CELL("address",Q297), "\$([A-Z]+)\$[0-9]+"))</f>
        <v/>
      </c>
      <c r="R297" s="7" t="str" cm="1">
        <f t="array" aca="1" ref="R297" ca="1">IFERROR(IF(OR('Raw Data'!R297="",LEN(TRIM('Raw Data'!R297))=0),"",IF(AND(ISNUMBER('Raw Data'!R297), IFERROR('Raw Data'!R297 = ROUND('Raw Data'!R297, 2),FALSE)),"",_xlfn.REGEXEXTRACT(CELL("address",R297), "\$([A-Z]+)\$[0-9]+"))),_xlfn.REGEXEXTRACT(CELL("address",R297), "\$([A-Z]+)\$[0-9]+"))</f>
        <v/>
      </c>
      <c r="S297" s="7" t="str" cm="1">
        <f t="array" aca="1" ref="S297" ca="1">IFERROR(IF(OR('Raw Data'!S297="",LEN(TRIM('Raw Data'!S297))=0),"",IF(AND(ISNUMBER('Raw Data'!S297), IFERROR('Raw Data'!S297 = ROUND('Raw Data'!S297, 2),FALSE)),"",_xlfn.REGEXEXTRACT(CELL("address",S297), "\$([A-Z]+)\$[0-9]+"))),_xlfn.REGEXEXTRACT(CELL("address",S297), "\$([A-Z]+)\$[0-9]+"))</f>
        <v/>
      </c>
      <c r="T297" s="7" t="str" cm="1">
        <f t="array" aca="1" ref="T297" ca="1">IFERROR(IF(OR('Raw Data'!T297="",LEN(TRIM('Raw Data'!T297))=0),"",IF(AND(ISNUMBER('Raw Data'!T297), IFERROR('Raw Data'!T297 = ROUND('Raw Data'!T297, 2),FALSE)),"",_xlfn.REGEXEXTRACT(CELL("address",T297), "\$([A-Z]+)\$[0-9]+"))),_xlfn.REGEXEXTRACT(CELL("address",T297), "\$([A-Z]+)\$[0-9]+"))</f>
        <v/>
      </c>
      <c r="U297" s="7" t="str" cm="1">
        <f t="array" aca="1" ref="U297" ca="1">IFERROR(IF(OR('Raw Data'!U297="",LEN(TRIM('Raw Data'!U297))=0),"",IF(AND(ISNUMBER('Raw Data'!U297), IFERROR('Raw Data'!U297 = ROUND('Raw Data'!U297, 2),FALSE)),"",_xlfn.REGEXEXTRACT(CELL("address",U297), "\$([A-Z]+)\$[0-9]+"))),_xlfn.REGEXEXTRACT(CELL("address",U297), "\$([A-Z]+)\$[0-9]+"))</f>
        <v/>
      </c>
      <c r="V297" s="7" t="str" cm="1">
        <f t="array" aca="1" ref="V297" ca="1">IFERROR(IF(OR('Raw Data'!V297="",LEN(TRIM('Raw Data'!V297))=0),"",IF(AND(ISNUMBER('Raw Data'!V297), IFERROR('Raw Data'!V297 = ROUND('Raw Data'!V297, 2),FALSE)),"",_xlfn.REGEXEXTRACT(CELL("address",V297), "\$([A-Z]+)\$[0-9]+"))),_xlfn.REGEXEXTRACT(CELL("address",V297), "\$([A-Z]+)\$[0-9]+"))</f>
        <v/>
      </c>
      <c r="W297" s="7" t="str" cm="1">
        <f t="array" aca="1" ref="W297" ca="1">IFERROR(IF(OR('Raw Data'!W297="",LEN(TRIM('Raw Data'!W297))=0),"",IF(AND(ISNUMBER('Raw Data'!W297), IFERROR('Raw Data'!W297 = ROUND('Raw Data'!W297, 2),FALSE)),"",_xlfn.REGEXEXTRACT(CELL("address",W297), "\$([A-Z]+)\$[0-9]+"))),_xlfn.REGEXEXTRACT(CELL("address",W297), "\$([A-Z]+)\$[0-9]+"))</f>
        <v/>
      </c>
      <c r="X297" s="7" t="str" cm="1">
        <f t="array" aca="1" ref="X297" ca="1">IFERROR(IF(OR('Raw Data'!X297="",LEN(TRIM('Raw Data'!X297))=0),"",IF(AND(ISNUMBER('Raw Data'!X297), IFERROR('Raw Data'!X297 = ROUND('Raw Data'!X297, 2),FALSE)),"",_xlfn.REGEXEXTRACT(CELL("address",X297), "\$([A-Z]+)\$[0-9]+"))),_xlfn.REGEXEXTRACT(CELL("address",X297), "\$([A-Z]+)\$[0-9]+"))</f>
        <v/>
      </c>
      <c r="Y297" s="7" t="str" cm="1">
        <f t="array" aca="1" ref="Y297" ca="1">IFERROR(IF(OR('Raw Data'!Y297="",LEN(TRIM('Raw Data'!Y297))=0),"",IF(AND(ISNUMBER('Raw Data'!Y297), IFERROR('Raw Data'!Y297 = ROUND('Raw Data'!Y297, 2),FALSE)),"",_xlfn.REGEXEXTRACT(CELL("address",Y297), "\$([A-Z]+)\$[0-9]+"))),_xlfn.REGEXEXTRACT(CELL("address",Y297), "\$([A-Z]+)\$[0-9]+"))</f>
        <v/>
      </c>
      <c r="Z297" s="7" t="str" cm="1">
        <f t="array" aca="1" ref="Z297" ca="1">IFERROR(IF(OR('Raw Data'!Z297="",LEN(TRIM('Raw Data'!Z297))=0),"",IF(AND(ISNUMBER('Raw Data'!Z297), IFERROR('Raw Data'!Z297 = ROUND('Raw Data'!Z297, 2),FALSE)),"",_xlfn.REGEXEXTRACT(CELL("address",Z297), "\$([A-Z]+)\$[0-9]+"))),_xlfn.REGEXEXTRACT(CELL("address",Z297), "\$([A-Z]+)\$[0-9]+"))</f>
        <v/>
      </c>
      <c r="AA297" s="7" t="str" cm="1">
        <f t="array" aca="1" ref="AA297" ca="1">IFERROR(IF(OR('Raw Data'!AA297="",LEN(TRIM('Raw Data'!AA297))=0),"",IF(AND(ISNUMBER('Raw Data'!AA297), IFERROR('Raw Data'!AA297 = ROUND('Raw Data'!AA297, 2),FALSE)),"",_xlfn.REGEXEXTRACT(CELL("address",AA297), "\$([A-Z]+)\$[0-9]+"))),_xlfn.REGEXEXTRACT(CELL("address",AA297), "\$([A-Z]+)\$[0-9]+"))</f>
        <v/>
      </c>
      <c r="AB297" s="7" t="str" cm="1">
        <f t="array" aca="1" ref="AB297" ca="1">IFERROR(IF(OR('Raw Data'!AB297="",LEN(TRIM('Raw Data'!AB297))=0),"",IF(AND(ISNUMBER('Raw Data'!AB297), IFERROR('Raw Data'!AB297 = ROUND('Raw Data'!AB297, 2),FALSE)),"",_xlfn.REGEXEXTRACT(CELL("address",AB297), "\$([A-Z]+)\$[0-9]+"))),_xlfn.REGEXEXTRACT(CELL("address",AB297), "\$([A-Z]+)\$[0-9]+"))</f>
        <v/>
      </c>
      <c r="AC297" s="7" t="str" cm="1">
        <f t="array" aca="1" ref="AC297" ca="1">IFERROR(IF(OR('Raw Data'!AC297="",LEN(TRIM('Raw Data'!AC297))=0),"",IF(AND(ISNUMBER('Raw Data'!AC297), IFERROR('Raw Data'!AC297 = ROUND('Raw Data'!AC297, 2),FALSE)),"",_xlfn.REGEXEXTRACT(CELL("address",AC297), "\$([A-Z]+)\$[0-9]+"))),_xlfn.REGEXEXTRACT(CELL("address",AC297), "\$([A-Z]+)\$[0-9]+"))</f>
        <v/>
      </c>
      <c r="AD297" s="7" t="str" cm="1">
        <f t="array" aca="1" ref="AD297" ca="1">IFERROR(IF(OR('Raw Data'!AD297="",LEN(TRIM('Raw Data'!AD297))=0),"",IF(AND(ISNUMBER('Raw Data'!AD297), IFERROR('Raw Data'!AD297 = ROUND('Raw Data'!AD297, 2),FALSE)),"",_xlfn.REGEXEXTRACT(CELL("address",AD297), "\$([A-Z]+)\$[0-9]+"))),_xlfn.REGEXEXTRACT(CELL("address",AD297), "\$([A-Z]+)\$[0-9]+"))</f>
        <v/>
      </c>
      <c r="AE297" s="7" t="str" cm="1">
        <f t="array" aca="1" ref="AE297" ca="1">IFERROR(IF(OR('Raw Data'!AE297="",LEN(TRIM('Raw Data'!AE297))=0),"",IF(AND(ISNUMBER('Raw Data'!AE297), IFERROR('Raw Data'!AE297 = ROUND('Raw Data'!AE297, 2),FALSE)),"",_xlfn.REGEXEXTRACT(CELL("address",AE297), "\$([A-Z]+)\$[0-9]+"))),_xlfn.REGEXEXTRACT(CELL("address",AE297), "\$([A-Z]+)\$[0-9]+"))</f>
        <v/>
      </c>
      <c r="AF297" s="7" t="str" cm="1">
        <f t="array" aca="1" ref="AF297" ca="1">IFERROR(IF(OR('Raw Data'!AF297="",LEN(TRIM('Raw Data'!AF297))=0),"",IF(AND(ISNUMBER('Raw Data'!AF297), IFERROR('Raw Data'!AF297 = ROUND('Raw Data'!AF297, 2),FALSE)),"",_xlfn.REGEXEXTRACT(CELL("address",AF297), "\$([A-Z]+)\$[0-9]+"))),_xlfn.REGEXEXTRACT(CELL("address",AF297), "\$([A-Z]+)\$[0-9]+"))</f>
        <v/>
      </c>
      <c r="AG297" s="7" t="str" cm="1">
        <f t="array" aca="1" ref="AG297" ca="1">IFERROR(IF(OR('Raw Data'!AG297="",LEN(TRIM('Raw Data'!AG297))=0),"",IF(AND(ISNUMBER('Raw Data'!AG297), IFERROR('Raw Data'!AG297 = ROUND('Raw Data'!AG297, 2),FALSE)),"",_xlfn.REGEXEXTRACT(CELL("address",AG297), "\$([A-Z]+)\$[0-9]+"))),_xlfn.REGEXEXTRACT(CELL("address",AG297), "\$([A-Z]+)\$[0-9]+"))</f>
        <v/>
      </c>
      <c r="AH297" s="7" t="str" cm="1">
        <f t="array" aca="1" ref="AH297" ca="1">IFERROR(IF(OR('Raw Data'!AH297="",LEN(TRIM('Raw Data'!AH297))=0),"",IF(AND(ISNUMBER('Raw Data'!AH297), IFERROR('Raw Data'!AH297 = ROUND('Raw Data'!AH297, 2),FALSE)),"",_xlfn.REGEXEXTRACT(CELL("address",AH297), "\$([A-Z]+)\$[0-9]+"))),_xlfn.REGEXEXTRACT(CELL("address",AH297), "\$([A-Z]+)\$[0-9]+"))</f>
        <v/>
      </c>
      <c r="AI297" s="7" t="str" cm="1">
        <f t="array" aca="1" ref="AI297" ca="1">IFERROR(IF(OR('Raw Data'!AI297="",LEN(TRIM('Raw Data'!AI297))=0),"",IF(AND(ISNUMBER('Raw Data'!AI297), IFERROR('Raw Data'!AI297 = ROUND('Raw Data'!AI297, 2),FALSE)),"",_xlfn.REGEXEXTRACT(CELL("address",AI297), "\$([A-Z]+)\$[0-9]+"))),_xlfn.REGEXEXTRACT(CELL("address",AI297), "\$([A-Z]+)\$[0-9]+"))</f>
        <v/>
      </c>
      <c r="AJ297" s="7" t="str" cm="1">
        <f t="array" aca="1" ref="AJ297" ca="1">IFERROR(IF(OR('Raw Data'!AJ297="",LEN(TRIM('Raw Data'!AJ297))=0),"",IF(AND(ISNUMBER('Raw Data'!AJ297), IFERROR('Raw Data'!AJ297 = ROUND('Raw Data'!AJ297, 2),FALSE)),"",_xlfn.REGEXEXTRACT(CELL("address",AJ297), "\$([A-Z]+)\$[0-9]+"))),_xlfn.REGEXEXTRACT(CELL("address",AJ297), "\$([A-Z]+)\$[0-9]+"))</f>
        <v/>
      </c>
    </row>
    <row r="298" spans="2:36" x14ac:dyDescent="0.25">
      <c r="B298" s="7" t="str" cm="1">
        <f t="array" aca="1" ref="B298" ca="1">IFERROR(IF(OR('Raw Data'!B298="",LEN(TRIM('Raw Data'!B298))=0),"",IF(AND(LEN('Raw Data'!B298) &lt;= 255,LEN('Raw Data'!B298)&gt; 0),"",_xlfn.REGEXEXTRACT(CELL("address",'Raw Data'!B298),"\$([A-Z]+)\$[0-9]+"))),_xlfn.REGEXEXTRACT(CELL("address",'Raw Data'!B298),"\$([A-Z]+)\$[0-9]+"))</f>
        <v/>
      </c>
      <c r="C298" s="7" t="str" cm="1">
        <f t="array" aca="1" ref="C298" ca="1">IFERROR(IF(OR('Raw Data'!C298="",LEN(TRIM('Raw Data'!C298))=0),"",IF(AND(LEN('Raw Data'!C298) &lt;= 20,LEN('Raw Data'!C298)&gt; 0),"",_xlfn.REGEXEXTRACT(CELL("address",'Raw Data'!C298),"\$([A-Z]+)\$[0-9]+"))),_xlfn.REGEXEXTRACT(CELL("address",'Raw Data'!C298),"\$([A-Z]+)\$[0-9]+"))</f>
        <v/>
      </c>
      <c r="D298" s="7" t="str" cm="1">
        <f t="array" aca="1" ref="D298" ca="1">IFERROR(IF(OR('Raw Data'!D298="",LEN(TRIM('Raw Data'!D298))=0),"",IF(AND(ISNUMBER('Raw Data'!D298),'Raw Data'!D298&gt;=Configuration!$D$2),"",_xlfn.REGEXEXTRACT(CELL("address",'Raw Data'!D298),"\$([A-Z]+)\$[0-9]+"))),_xlfn.REGEXEXTRACT(CELL("address",D298), "\$([A-Z]+)\$[0-9]+"))</f>
        <v/>
      </c>
      <c r="E298" s="7" t="str" cm="1">
        <f t="array" aca="1" ref="E298" ca="1">IFERROR(IF(OR('Raw Data'!E298="",LEN(TRIM('Raw Data'!E298))=0),"",IF(AND(ISNUMBER('Raw Data'!E298), IFERROR('Raw Data'!E298 = ROUND('Raw Data'!E298, 2),FALSE)),"",_xlfn.REGEXEXTRACT(CELL("address",E298), "\$([A-Z]+)\$[0-9]+"))),_xlfn.REGEXEXTRACT(CELL("address",E298), "\$([A-Z]+)\$[0-9]+"))</f>
        <v/>
      </c>
      <c r="F298" s="7" t="str" cm="1">
        <f t="array" aca="1" ref="F298" ca="1">IFERROR(IF(OR('Raw Data'!F298="",LEN(TRIM('Raw Data'!F298))=0),"",IF(AND(ISNUMBER('Raw Data'!F298), IFERROR('Raw Data'!F298 = ROUND('Raw Data'!F298, 2),FALSE)),"",_xlfn.REGEXEXTRACT(CELL("address",F298), "\$([A-Z]+)\$[0-9]+"))),_xlfn.REGEXEXTRACT(CELL("address",F298), "\$([A-Z]+)\$[0-9]+"))</f>
        <v/>
      </c>
      <c r="G298" s="7" t="str" cm="1">
        <f t="array" aca="1" ref="G298" ca="1">IFERROR(IF(OR('Raw Data'!G298="",LEN(TRIM('Raw Data'!G298))=0),"",IF(AND(ISNUMBER('Raw Data'!G298), IFERROR('Raw Data'!G298 = ROUND('Raw Data'!G298, 2),FALSE)),"",_xlfn.REGEXEXTRACT(CELL("address",G298), "\$([A-Z]+)\$[0-9]+"))),_xlfn.REGEXEXTRACT(CELL("address",G298), "\$([A-Z]+)\$[0-9]+"))</f>
        <v/>
      </c>
      <c r="H298" s="7" t="str" cm="1">
        <f t="array" aca="1" ref="H298" ca="1">IFERROR(IF(OR('Raw Data'!H298="",LEN(TRIM('Raw Data'!H298))=0),"",IF(AND(ISNUMBER('Raw Data'!H298), IFERROR('Raw Data'!H298 = ROUND('Raw Data'!H298, 2),FALSE)),"",_xlfn.REGEXEXTRACT(CELL("address",H298), "\$([A-Z]+)\$[0-9]+"))),_xlfn.REGEXEXTRACT(CELL("address",H298), "\$([A-Z]+)\$[0-9]+"))</f>
        <v/>
      </c>
      <c r="I298" s="7" t="str" cm="1">
        <f t="array" aca="1" ref="I298" ca="1">IFERROR(IF(OR('Raw Data'!I298="",LEN(TRIM('Raw Data'!I298))=0),"",IF(AND(ISNUMBER('Raw Data'!I298), IFERROR('Raw Data'!I298 = ROUND('Raw Data'!I298, 2),FALSE)),"",_xlfn.REGEXEXTRACT(CELL("address",I298), "\$([A-Z]+)\$[0-9]+"))),_xlfn.REGEXEXTRACT(CELL("address",I298), "\$([A-Z]+)\$[0-9]+"))</f>
        <v/>
      </c>
      <c r="J298" s="7" t="str" cm="1">
        <f t="array" aca="1" ref="J298" ca="1">IFERROR(IF(OR('Raw Data'!J298="",LEN(TRIM('Raw Data'!J298))=0),"",IF(AND(ISNUMBER('Raw Data'!J298), IFERROR('Raw Data'!J298 = ROUND('Raw Data'!J298, 2),FALSE)),"",_xlfn.REGEXEXTRACT(CELL("address",J298), "\$([A-Z]+)\$[0-9]+"))),_xlfn.REGEXEXTRACT(CELL("address",J298), "\$([A-Z]+)\$[0-9]+"))</f>
        <v/>
      </c>
      <c r="K298" s="7" t="str" cm="1">
        <f t="array" aca="1" ref="K298" ca="1">IFERROR(IF(OR('Raw Data'!K298="",LEN(TRIM('Raw Data'!K298))=0),"",IF(AND(ISNUMBER('Raw Data'!K298), IFERROR('Raw Data'!K298 = ROUND('Raw Data'!K298, 2),FALSE)),"",_xlfn.REGEXEXTRACT(CELL("address",K298), "\$([A-Z]+)\$[0-9]+"))),_xlfn.REGEXEXTRACT(CELL("address",K298), "\$([A-Z]+)\$[0-9]+"))</f>
        <v/>
      </c>
      <c r="L298" s="7" t="str" cm="1">
        <f t="array" aca="1" ref="L298" ca="1">IFERROR(IF(OR('Raw Data'!L298="",LEN(TRIM('Raw Data'!L298))=0),"",IF(AND(ISNUMBER('Raw Data'!L298), IFERROR('Raw Data'!L298 = ROUND('Raw Data'!L298, 2),FALSE)),"",_xlfn.REGEXEXTRACT(CELL("address",L298), "\$([A-Z]+)\$[0-9]+"))),_xlfn.REGEXEXTRACT(CELL("address",L298), "\$([A-Z]+)\$[0-9]+"))</f>
        <v/>
      </c>
      <c r="M298" s="7" t="str" cm="1">
        <f t="array" aca="1" ref="M298" ca="1">IFERROR(IF(OR('Raw Data'!M298="",LEN(TRIM('Raw Data'!M298))=0),"",IF(AND(ISNUMBER('Raw Data'!M298), IFERROR('Raw Data'!M298 = ROUND('Raw Data'!M298, 2),FALSE)),"",_xlfn.REGEXEXTRACT(CELL("address",M298), "\$([A-Z]+)\$[0-9]+"))),_xlfn.REGEXEXTRACT(CELL("address",M298), "\$([A-Z]+)\$[0-9]+"))</f>
        <v/>
      </c>
      <c r="N298" s="7" t="str" cm="1">
        <f t="array" aca="1" ref="N298" ca="1">IFERROR(IF(OR('Raw Data'!N298="",LEN(TRIM('Raw Data'!N298))=0),"",IF(AND(ISNUMBER('Raw Data'!N298), IFERROR('Raw Data'!N298 = ROUND('Raw Data'!N298, 2),FALSE)),"",_xlfn.REGEXEXTRACT(CELL("address",N298), "\$([A-Z]+)\$[0-9]+"))),_xlfn.REGEXEXTRACT(CELL("address",N298), "\$([A-Z]+)\$[0-9]+"))</f>
        <v/>
      </c>
      <c r="O298" s="7" t="str" cm="1">
        <f t="array" aca="1" ref="O298" ca="1">IFERROR(IF(OR('Raw Data'!O298="",LEN(TRIM('Raw Data'!O298))=0),"",IF(AND(ISNUMBER('Raw Data'!O298), IFERROR('Raw Data'!O298 = ROUND('Raw Data'!O298, 2),FALSE)),"",_xlfn.REGEXEXTRACT(CELL("address",O298), "\$([A-Z]+)\$[0-9]+"))),_xlfn.REGEXEXTRACT(CELL("address",O298), "\$([A-Z]+)\$[0-9]+"))</f>
        <v/>
      </c>
      <c r="P298" s="7" t="str" cm="1">
        <f t="array" aca="1" ref="P298" ca="1">IFERROR(IF(OR('Raw Data'!P298="",LEN(TRIM('Raw Data'!P298))=0),"",IF(AND(ISNUMBER('Raw Data'!P298), IFERROR('Raw Data'!P298 = ROUND('Raw Data'!P298, 2),FALSE)),"",_xlfn.REGEXEXTRACT(CELL("address",P298), "\$([A-Z]+)\$[0-9]+"))),_xlfn.REGEXEXTRACT(CELL("address",P298), "\$([A-Z]+)\$[0-9]+"))</f>
        <v/>
      </c>
      <c r="Q298" s="7" t="str" cm="1">
        <f t="array" aca="1" ref="Q298" ca="1">IFERROR(IF(OR('Raw Data'!Q298="",LEN(TRIM('Raw Data'!Q298))=0),"",IF(AND(ISNUMBER('Raw Data'!Q298), IFERROR('Raw Data'!Q298 = ROUND('Raw Data'!Q298, 2),FALSE)),"",_xlfn.REGEXEXTRACT(CELL("address",Q298), "\$([A-Z]+)\$[0-9]+"))),_xlfn.REGEXEXTRACT(CELL("address",Q298), "\$([A-Z]+)\$[0-9]+"))</f>
        <v/>
      </c>
      <c r="R298" s="7" t="str" cm="1">
        <f t="array" aca="1" ref="R298" ca="1">IFERROR(IF(OR('Raw Data'!R298="",LEN(TRIM('Raw Data'!R298))=0),"",IF(AND(ISNUMBER('Raw Data'!R298), IFERROR('Raw Data'!R298 = ROUND('Raw Data'!R298, 2),FALSE)),"",_xlfn.REGEXEXTRACT(CELL("address",R298), "\$([A-Z]+)\$[0-9]+"))),_xlfn.REGEXEXTRACT(CELL("address",R298), "\$([A-Z]+)\$[0-9]+"))</f>
        <v/>
      </c>
      <c r="S298" s="7" t="str" cm="1">
        <f t="array" aca="1" ref="S298" ca="1">IFERROR(IF(OR('Raw Data'!S298="",LEN(TRIM('Raw Data'!S298))=0),"",IF(AND(ISNUMBER('Raw Data'!S298), IFERROR('Raw Data'!S298 = ROUND('Raw Data'!S298, 2),FALSE)),"",_xlfn.REGEXEXTRACT(CELL("address",S298), "\$([A-Z]+)\$[0-9]+"))),_xlfn.REGEXEXTRACT(CELL("address",S298), "\$([A-Z]+)\$[0-9]+"))</f>
        <v/>
      </c>
      <c r="T298" s="7" t="str" cm="1">
        <f t="array" aca="1" ref="T298" ca="1">IFERROR(IF(OR('Raw Data'!T298="",LEN(TRIM('Raw Data'!T298))=0),"",IF(AND(ISNUMBER('Raw Data'!T298), IFERROR('Raw Data'!T298 = ROUND('Raw Data'!T298, 2),FALSE)),"",_xlfn.REGEXEXTRACT(CELL("address",T298), "\$([A-Z]+)\$[0-9]+"))),_xlfn.REGEXEXTRACT(CELL("address",T298), "\$([A-Z]+)\$[0-9]+"))</f>
        <v/>
      </c>
      <c r="U298" s="7" t="str" cm="1">
        <f t="array" aca="1" ref="U298" ca="1">IFERROR(IF(OR('Raw Data'!U298="",LEN(TRIM('Raw Data'!U298))=0),"",IF(AND(ISNUMBER('Raw Data'!U298), IFERROR('Raw Data'!U298 = ROUND('Raw Data'!U298, 2),FALSE)),"",_xlfn.REGEXEXTRACT(CELL("address",U298), "\$([A-Z]+)\$[0-9]+"))),_xlfn.REGEXEXTRACT(CELL("address",U298), "\$([A-Z]+)\$[0-9]+"))</f>
        <v/>
      </c>
      <c r="V298" s="7" t="str" cm="1">
        <f t="array" aca="1" ref="V298" ca="1">IFERROR(IF(OR('Raw Data'!V298="",LEN(TRIM('Raw Data'!V298))=0),"",IF(AND(ISNUMBER('Raw Data'!V298), IFERROR('Raw Data'!V298 = ROUND('Raw Data'!V298, 2),FALSE)),"",_xlfn.REGEXEXTRACT(CELL("address",V298), "\$([A-Z]+)\$[0-9]+"))),_xlfn.REGEXEXTRACT(CELL("address",V298), "\$([A-Z]+)\$[0-9]+"))</f>
        <v/>
      </c>
      <c r="W298" s="7" t="str" cm="1">
        <f t="array" aca="1" ref="W298" ca="1">IFERROR(IF(OR('Raw Data'!W298="",LEN(TRIM('Raw Data'!W298))=0),"",IF(AND(ISNUMBER('Raw Data'!W298), IFERROR('Raw Data'!W298 = ROUND('Raw Data'!W298, 2),FALSE)),"",_xlfn.REGEXEXTRACT(CELL("address",W298), "\$([A-Z]+)\$[0-9]+"))),_xlfn.REGEXEXTRACT(CELL("address",W298), "\$([A-Z]+)\$[0-9]+"))</f>
        <v/>
      </c>
      <c r="X298" s="7" t="str" cm="1">
        <f t="array" aca="1" ref="X298" ca="1">IFERROR(IF(OR('Raw Data'!X298="",LEN(TRIM('Raw Data'!X298))=0),"",IF(AND(ISNUMBER('Raw Data'!X298), IFERROR('Raw Data'!X298 = ROUND('Raw Data'!X298, 2),FALSE)),"",_xlfn.REGEXEXTRACT(CELL("address",X298), "\$([A-Z]+)\$[0-9]+"))),_xlfn.REGEXEXTRACT(CELL("address",X298), "\$([A-Z]+)\$[0-9]+"))</f>
        <v/>
      </c>
      <c r="Y298" s="7" t="str" cm="1">
        <f t="array" aca="1" ref="Y298" ca="1">IFERROR(IF(OR('Raw Data'!Y298="",LEN(TRIM('Raw Data'!Y298))=0),"",IF(AND(ISNUMBER('Raw Data'!Y298), IFERROR('Raw Data'!Y298 = ROUND('Raw Data'!Y298, 2),FALSE)),"",_xlfn.REGEXEXTRACT(CELL("address",Y298), "\$([A-Z]+)\$[0-9]+"))),_xlfn.REGEXEXTRACT(CELL("address",Y298), "\$([A-Z]+)\$[0-9]+"))</f>
        <v/>
      </c>
      <c r="Z298" s="7" t="str" cm="1">
        <f t="array" aca="1" ref="Z298" ca="1">IFERROR(IF(OR('Raw Data'!Z298="",LEN(TRIM('Raw Data'!Z298))=0),"",IF(AND(ISNUMBER('Raw Data'!Z298), IFERROR('Raw Data'!Z298 = ROUND('Raw Data'!Z298, 2),FALSE)),"",_xlfn.REGEXEXTRACT(CELL("address",Z298), "\$([A-Z]+)\$[0-9]+"))),_xlfn.REGEXEXTRACT(CELL("address",Z298), "\$([A-Z]+)\$[0-9]+"))</f>
        <v/>
      </c>
      <c r="AA298" s="7" t="str" cm="1">
        <f t="array" aca="1" ref="AA298" ca="1">IFERROR(IF(OR('Raw Data'!AA298="",LEN(TRIM('Raw Data'!AA298))=0),"",IF(AND(ISNUMBER('Raw Data'!AA298), IFERROR('Raw Data'!AA298 = ROUND('Raw Data'!AA298, 2),FALSE)),"",_xlfn.REGEXEXTRACT(CELL("address",AA298), "\$([A-Z]+)\$[0-9]+"))),_xlfn.REGEXEXTRACT(CELL("address",AA298), "\$([A-Z]+)\$[0-9]+"))</f>
        <v/>
      </c>
      <c r="AB298" s="7" t="str" cm="1">
        <f t="array" aca="1" ref="AB298" ca="1">IFERROR(IF(OR('Raw Data'!AB298="",LEN(TRIM('Raw Data'!AB298))=0),"",IF(AND(ISNUMBER('Raw Data'!AB298), IFERROR('Raw Data'!AB298 = ROUND('Raw Data'!AB298, 2),FALSE)),"",_xlfn.REGEXEXTRACT(CELL("address",AB298), "\$([A-Z]+)\$[0-9]+"))),_xlfn.REGEXEXTRACT(CELL("address",AB298), "\$([A-Z]+)\$[0-9]+"))</f>
        <v/>
      </c>
      <c r="AC298" s="7" t="str" cm="1">
        <f t="array" aca="1" ref="AC298" ca="1">IFERROR(IF(OR('Raw Data'!AC298="",LEN(TRIM('Raw Data'!AC298))=0),"",IF(AND(ISNUMBER('Raw Data'!AC298), IFERROR('Raw Data'!AC298 = ROUND('Raw Data'!AC298, 2),FALSE)),"",_xlfn.REGEXEXTRACT(CELL("address",AC298), "\$([A-Z]+)\$[0-9]+"))),_xlfn.REGEXEXTRACT(CELL("address",AC298), "\$([A-Z]+)\$[0-9]+"))</f>
        <v/>
      </c>
      <c r="AD298" s="7" t="str" cm="1">
        <f t="array" aca="1" ref="AD298" ca="1">IFERROR(IF(OR('Raw Data'!AD298="",LEN(TRIM('Raw Data'!AD298))=0),"",IF(AND(ISNUMBER('Raw Data'!AD298), IFERROR('Raw Data'!AD298 = ROUND('Raw Data'!AD298, 2),FALSE)),"",_xlfn.REGEXEXTRACT(CELL("address",AD298), "\$([A-Z]+)\$[0-9]+"))),_xlfn.REGEXEXTRACT(CELL("address",AD298), "\$([A-Z]+)\$[0-9]+"))</f>
        <v/>
      </c>
      <c r="AE298" s="7" t="str" cm="1">
        <f t="array" aca="1" ref="AE298" ca="1">IFERROR(IF(OR('Raw Data'!AE298="",LEN(TRIM('Raw Data'!AE298))=0),"",IF(AND(ISNUMBER('Raw Data'!AE298), IFERROR('Raw Data'!AE298 = ROUND('Raw Data'!AE298, 2),FALSE)),"",_xlfn.REGEXEXTRACT(CELL("address",AE298), "\$([A-Z]+)\$[0-9]+"))),_xlfn.REGEXEXTRACT(CELL("address",AE298), "\$([A-Z]+)\$[0-9]+"))</f>
        <v/>
      </c>
      <c r="AF298" s="7" t="str" cm="1">
        <f t="array" aca="1" ref="AF298" ca="1">IFERROR(IF(OR('Raw Data'!AF298="",LEN(TRIM('Raw Data'!AF298))=0),"",IF(AND(ISNUMBER('Raw Data'!AF298), IFERROR('Raw Data'!AF298 = ROUND('Raw Data'!AF298, 2),FALSE)),"",_xlfn.REGEXEXTRACT(CELL("address",AF298), "\$([A-Z]+)\$[0-9]+"))),_xlfn.REGEXEXTRACT(CELL("address",AF298), "\$([A-Z]+)\$[0-9]+"))</f>
        <v/>
      </c>
      <c r="AG298" s="7" t="str" cm="1">
        <f t="array" aca="1" ref="AG298" ca="1">IFERROR(IF(OR('Raw Data'!AG298="",LEN(TRIM('Raw Data'!AG298))=0),"",IF(AND(ISNUMBER('Raw Data'!AG298), IFERROR('Raw Data'!AG298 = ROUND('Raw Data'!AG298, 2),FALSE)),"",_xlfn.REGEXEXTRACT(CELL("address",AG298), "\$([A-Z]+)\$[0-9]+"))),_xlfn.REGEXEXTRACT(CELL("address",AG298), "\$([A-Z]+)\$[0-9]+"))</f>
        <v/>
      </c>
      <c r="AH298" s="7" t="str" cm="1">
        <f t="array" aca="1" ref="AH298" ca="1">IFERROR(IF(OR('Raw Data'!AH298="",LEN(TRIM('Raw Data'!AH298))=0),"",IF(AND(ISNUMBER('Raw Data'!AH298), IFERROR('Raw Data'!AH298 = ROUND('Raw Data'!AH298, 2),FALSE)),"",_xlfn.REGEXEXTRACT(CELL("address",AH298), "\$([A-Z]+)\$[0-9]+"))),_xlfn.REGEXEXTRACT(CELL("address",AH298), "\$([A-Z]+)\$[0-9]+"))</f>
        <v/>
      </c>
      <c r="AI298" s="7" t="str" cm="1">
        <f t="array" aca="1" ref="AI298" ca="1">IFERROR(IF(OR('Raw Data'!AI298="",LEN(TRIM('Raw Data'!AI298))=0),"",IF(AND(ISNUMBER('Raw Data'!AI298), IFERROR('Raw Data'!AI298 = ROUND('Raw Data'!AI298, 2),FALSE)),"",_xlfn.REGEXEXTRACT(CELL("address",AI298), "\$([A-Z]+)\$[0-9]+"))),_xlfn.REGEXEXTRACT(CELL("address",AI298), "\$([A-Z]+)\$[0-9]+"))</f>
        <v/>
      </c>
      <c r="AJ298" s="7" t="str" cm="1">
        <f t="array" aca="1" ref="AJ298" ca="1">IFERROR(IF(OR('Raw Data'!AJ298="",LEN(TRIM('Raw Data'!AJ298))=0),"",IF(AND(ISNUMBER('Raw Data'!AJ298), IFERROR('Raw Data'!AJ298 = ROUND('Raw Data'!AJ298, 2),FALSE)),"",_xlfn.REGEXEXTRACT(CELL("address",AJ298), "\$([A-Z]+)\$[0-9]+"))),_xlfn.REGEXEXTRACT(CELL("address",AJ298), "\$([A-Z]+)\$[0-9]+"))</f>
        <v/>
      </c>
    </row>
    <row r="299" spans="2:36" x14ac:dyDescent="0.25">
      <c r="B299" s="7" t="str" cm="1">
        <f t="array" aca="1" ref="B299" ca="1">IFERROR(IF(OR('Raw Data'!B299="",LEN(TRIM('Raw Data'!B299))=0),"",IF(AND(LEN('Raw Data'!B299) &lt;= 255,LEN('Raw Data'!B299)&gt; 0),"",_xlfn.REGEXEXTRACT(CELL("address",'Raw Data'!B299),"\$([A-Z]+)\$[0-9]+"))),_xlfn.REGEXEXTRACT(CELL("address",'Raw Data'!B299),"\$([A-Z]+)\$[0-9]+"))</f>
        <v/>
      </c>
      <c r="C299" s="7" t="str" cm="1">
        <f t="array" aca="1" ref="C299" ca="1">IFERROR(IF(OR('Raw Data'!C299="",LEN(TRIM('Raw Data'!C299))=0),"",IF(AND(LEN('Raw Data'!C299) &lt;= 20,LEN('Raw Data'!C299)&gt; 0),"",_xlfn.REGEXEXTRACT(CELL("address",'Raw Data'!C299),"\$([A-Z]+)\$[0-9]+"))),_xlfn.REGEXEXTRACT(CELL("address",'Raw Data'!C299),"\$([A-Z]+)\$[0-9]+"))</f>
        <v/>
      </c>
      <c r="D299" s="7" t="str" cm="1">
        <f t="array" aca="1" ref="D299" ca="1">IFERROR(IF(OR('Raw Data'!D299="",LEN(TRIM('Raw Data'!D299))=0),"",IF(AND(ISNUMBER('Raw Data'!D299),'Raw Data'!D299&gt;=Configuration!$D$2),"",_xlfn.REGEXEXTRACT(CELL("address",'Raw Data'!D299),"\$([A-Z]+)\$[0-9]+"))),_xlfn.REGEXEXTRACT(CELL("address",D299), "\$([A-Z]+)\$[0-9]+"))</f>
        <v/>
      </c>
      <c r="E299" s="7" t="str" cm="1">
        <f t="array" aca="1" ref="E299" ca="1">IFERROR(IF(OR('Raw Data'!E299="",LEN(TRIM('Raw Data'!E299))=0),"",IF(AND(ISNUMBER('Raw Data'!E299), IFERROR('Raw Data'!E299 = ROUND('Raw Data'!E299, 2),FALSE)),"",_xlfn.REGEXEXTRACT(CELL("address",E299), "\$([A-Z]+)\$[0-9]+"))),_xlfn.REGEXEXTRACT(CELL("address",E299), "\$([A-Z]+)\$[0-9]+"))</f>
        <v/>
      </c>
      <c r="F299" s="7" t="str" cm="1">
        <f t="array" aca="1" ref="F299" ca="1">IFERROR(IF(OR('Raw Data'!F299="",LEN(TRIM('Raw Data'!F299))=0),"",IF(AND(ISNUMBER('Raw Data'!F299), IFERROR('Raw Data'!F299 = ROUND('Raw Data'!F299, 2),FALSE)),"",_xlfn.REGEXEXTRACT(CELL("address",F299), "\$([A-Z]+)\$[0-9]+"))),_xlfn.REGEXEXTRACT(CELL("address",F299), "\$([A-Z]+)\$[0-9]+"))</f>
        <v/>
      </c>
      <c r="G299" s="7" t="str" cm="1">
        <f t="array" aca="1" ref="G299" ca="1">IFERROR(IF(OR('Raw Data'!G299="",LEN(TRIM('Raw Data'!G299))=0),"",IF(AND(ISNUMBER('Raw Data'!G299), IFERROR('Raw Data'!G299 = ROUND('Raw Data'!G299, 2),FALSE)),"",_xlfn.REGEXEXTRACT(CELL("address",G299), "\$([A-Z]+)\$[0-9]+"))),_xlfn.REGEXEXTRACT(CELL("address",G299), "\$([A-Z]+)\$[0-9]+"))</f>
        <v/>
      </c>
      <c r="H299" s="7" t="str" cm="1">
        <f t="array" aca="1" ref="H299" ca="1">IFERROR(IF(OR('Raw Data'!H299="",LEN(TRIM('Raw Data'!H299))=0),"",IF(AND(ISNUMBER('Raw Data'!H299), IFERROR('Raw Data'!H299 = ROUND('Raw Data'!H299, 2),FALSE)),"",_xlfn.REGEXEXTRACT(CELL("address",H299), "\$([A-Z]+)\$[0-9]+"))),_xlfn.REGEXEXTRACT(CELL("address",H299), "\$([A-Z]+)\$[0-9]+"))</f>
        <v/>
      </c>
      <c r="I299" s="7" t="str" cm="1">
        <f t="array" aca="1" ref="I299" ca="1">IFERROR(IF(OR('Raw Data'!I299="",LEN(TRIM('Raw Data'!I299))=0),"",IF(AND(ISNUMBER('Raw Data'!I299), IFERROR('Raw Data'!I299 = ROUND('Raw Data'!I299, 2),FALSE)),"",_xlfn.REGEXEXTRACT(CELL("address",I299), "\$([A-Z]+)\$[0-9]+"))),_xlfn.REGEXEXTRACT(CELL("address",I299), "\$([A-Z]+)\$[0-9]+"))</f>
        <v/>
      </c>
      <c r="J299" s="7" t="str" cm="1">
        <f t="array" aca="1" ref="J299" ca="1">IFERROR(IF(OR('Raw Data'!J299="",LEN(TRIM('Raw Data'!J299))=0),"",IF(AND(ISNUMBER('Raw Data'!J299), IFERROR('Raw Data'!J299 = ROUND('Raw Data'!J299, 2),FALSE)),"",_xlfn.REGEXEXTRACT(CELL("address",J299), "\$([A-Z]+)\$[0-9]+"))),_xlfn.REGEXEXTRACT(CELL("address",J299), "\$([A-Z]+)\$[0-9]+"))</f>
        <v/>
      </c>
      <c r="K299" s="7" t="str" cm="1">
        <f t="array" aca="1" ref="K299" ca="1">IFERROR(IF(OR('Raw Data'!K299="",LEN(TRIM('Raw Data'!K299))=0),"",IF(AND(ISNUMBER('Raw Data'!K299), IFERROR('Raw Data'!K299 = ROUND('Raw Data'!K299, 2),FALSE)),"",_xlfn.REGEXEXTRACT(CELL("address",K299), "\$([A-Z]+)\$[0-9]+"))),_xlfn.REGEXEXTRACT(CELL("address",K299), "\$([A-Z]+)\$[0-9]+"))</f>
        <v/>
      </c>
      <c r="L299" s="7" t="str" cm="1">
        <f t="array" aca="1" ref="L299" ca="1">IFERROR(IF(OR('Raw Data'!L299="",LEN(TRIM('Raw Data'!L299))=0),"",IF(AND(ISNUMBER('Raw Data'!L299), IFERROR('Raw Data'!L299 = ROUND('Raw Data'!L299, 2),FALSE)),"",_xlfn.REGEXEXTRACT(CELL("address",L299), "\$([A-Z]+)\$[0-9]+"))),_xlfn.REGEXEXTRACT(CELL("address",L299), "\$([A-Z]+)\$[0-9]+"))</f>
        <v/>
      </c>
      <c r="M299" s="7" t="str" cm="1">
        <f t="array" aca="1" ref="M299" ca="1">IFERROR(IF(OR('Raw Data'!M299="",LEN(TRIM('Raw Data'!M299))=0),"",IF(AND(ISNUMBER('Raw Data'!M299), IFERROR('Raw Data'!M299 = ROUND('Raw Data'!M299, 2),FALSE)),"",_xlfn.REGEXEXTRACT(CELL("address",M299), "\$([A-Z]+)\$[0-9]+"))),_xlfn.REGEXEXTRACT(CELL("address",M299), "\$([A-Z]+)\$[0-9]+"))</f>
        <v/>
      </c>
      <c r="N299" s="7" t="str" cm="1">
        <f t="array" aca="1" ref="N299" ca="1">IFERROR(IF(OR('Raw Data'!N299="",LEN(TRIM('Raw Data'!N299))=0),"",IF(AND(ISNUMBER('Raw Data'!N299), IFERROR('Raw Data'!N299 = ROUND('Raw Data'!N299, 2),FALSE)),"",_xlfn.REGEXEXTRACT(CELL("address",N299), "\$([A-Z]+)\$[0-9]+"))),_xlfn.REGEXEXTRACT(CELL("address",N299), "\$([A-Z]+)\$[0-9]+"))</f>
        <v/>
      </c>
      <c r="O299" s="7" t="str" cm="1">
        <f t="array" aca="1" ref="O299" ca="1">IFERROR(IF(OR('Raw Data'!O299="",LEN(TRIM('Raw Data'!O299))=0),"",IF(AND(ISNUMBER('Raw Data'!O299), IFERROR('Raw Data'!O299 = ROUND('Raw Data'!O299, 2),FALSE)),"",_xlfn.REGEXEXTRACT(CELL("address",O299), "\$([A-Z]+)\$[0-9]+"))),_xlfn.REGEXEXTRACT(CELL("address",O299), "\$([A-Z]+)\$[0-9]+"))</f>
        <v/>
      </c>
      <c r="P299" s="7" t="str" cm="1">
        <f t="array" aca="1" ref="P299" ca="1">IFERROR(IF(OR('Raw Data'!P299="",LEN(TRIM('Raw Data'!P299))=0),"",IF(AND(ISNUMBER('Raw Data'!P299), IFERROR('Raw Data'!P299 = ROUND('Raw Data'!P299, 2),FALSE)),"",_xlfn.REGEXEXTRACT(CELL("address",P299), "\$([A-Z]+)\$[0-9]+"))),_xlfn.REGEXEXTRACT(CELL("address",P299), "\$([A-Z]+)\$[0-9]+"))</f>
        <v/>
      </c>
      <c r="Q299" s="7" t="str" cm="1">
        <f t="array" aca="1" ref="Q299" ca="1">IFERROR(IF(OR('Raw Data'!Q299="",LEN(TRIM('Raw Data'!Q299))=0),"",IF(AND(ISNUMBER('Raw Data'!Q299), IFERROR('Raw Data'!Q299 = ROUND('Raw Data'!Q299, 2),FALSE)),"",_xlfn.REGEXEXTRACT(CELL("address",Q299), "\$([A-Z]+)\$[0-9]+"))),_xlfn.REGEXEXTRACT(CELL("address",Q299), "\$([A-Z]+)\$[0-9]+"))</f>
        <v/>
      </c>
      <c r="R299" s="7" t="str" cm="1">
        <f t="array" aca="1" ref="R299" ca="1">IFERROR(IF(OR('Raw Data'!R299="",LEN(TRIM('Raw Data'!R299))=0),"",IF(AND(ISNUMBER('Raw Data'!R299), IFERROR('Raw Data'!R299 = ROUND('Raw Data'!R299, 2),FALSE)),"",_xlfn.REGEXEXTRACT(CELL("address",R299), "\$([A-Z]+)\$[0-9]+"))),_xlfn.REGEXEXTRACT(CELL("address",R299), "\$([A-Z]+)\$[0-9]+"))</f>
        <v/>
      </c>
      <c r="S299" s="7" t="str" cm="1">
        <f t="array" aca="1" ref="S299" ca="1">IFERROR(IF(OR('Raw Data'!S299="",LEN(TRIM('Raw Data'!S299))=0),"",IF(AND(ISNUMBER('Raw Data'!S299), IFERROR('Raw Data'!S299 = ROUND('Raw Data'!S299, 2),FALSE)),"",_xlfn.REGEXEXTRACT(CELL("address",S299), "\$([A-Z]+)\$[0-9]+"))),_xlfn.REGEXEXTRACT(CELL("address",S299), "\$([A-Z]+)\$[0-9]+"))</f>
        <v/>
      </c>
      <c r="T299" s="7" t="str" cm="1">
        <f t="array" aca="1" ref="T299" ca="1">IFERROR(IF(OR('Raw Data'!T299="",LEN(TRIM('Raw Data'!T299))=0),"",IF(AND(ISNUMBER('Raw Data'!T299), IFERROR('Raw Data'!T299 = ROUND('Raw Data'!T299, 2),FALSE)),"",_xlfn.REGEXEXTRACT(CELL("address",T299), "\$([A-Z]+)\$[0-9]+"))),_xlfn.REGEXEXTRACT(CELL("address",T299), "\$([A-Z]+)\$[0-9]+"))</f>
        <v/>
      </c>
      <c r="U299" s="7" t="str" cm="1">
        <f t="array" aca="1" ref="U299" ca="1">IFERROR(IF(OR('Raw Data'!U299="",LEN(TRIM('Raw Data'!U299))=0),"",IF(AND(ISNUMBER('Raw Data'!U299), IFERROR('Raw Data'!U299 = ROUND('Raw Data'!U299, 2),FALSE)),"",_xlfn.REGEXEXTRACT(CELL("address",U299), "\$([A-Z]+)\$[0-9]+"))),_xlfn.REGEXEXTRACT(CELL("address",U299), "\$([A-Z]+)\$[0-9]+"))</f>
        <v/>
      </c>
      <c r="V299" s="7" t="str" cm="1">
        <f t="array" aca="1" ref="V299" ca="1">IFERROR(IF(OR('Raw Data'!V299="",LEN(TRIM('Raw Data'!V299))=0),"",IF(AND(ISNUMBER('Raw Data'!V299), IFERROR('Raw Data'!V299 = ROUND('Raw Data'!V299, 2),FALSE)),"",_xlfn.REGEXEXTRACT(CELL("address",V299), "\$([A-Z]+)\$[0-9]+"))),_xlfn.REGEXEXTRACT(CELL("address",V299), "\$([A-Z]+)\$[0-9]+"))</f>
        <v/>
      </c>
      <c r="W299" s="7" t="str" cm="1">
        <f t="array" aca="1" ref="W299" ca="1">IFERROR(IF(OR('Raw Data'!W299="",LEN(TRIM('Raw Data'!W299))=0),"",IF(AND(ISNUMBER('Raw Data'!W299), IFERROR('Raw Data'!W299 = ROUND('Raw Data'!W299, 2),FALSE)),"",_xlfn.REGEXEXTRACT(CELL("address",W299), "\$([A-Z]+)\$[0-9]+"))),_xlfn.REGEXEXTRACT(CELL("address",W299), "\$([A-Z]+)\$[0-9]+"))</f>
        <v/>
      </c>
      <c r="X299" s="7" t="str" cm="1">
        <f t="array" aca="1" ref="X299" ca="1">IFERROR(IF(OR('Raw Data'!X299="",LEN(TRIM('Raw Data'!X299))=0),"",IF(AND(ISNUMBER('Raw Data'!X299), IFERROR('Raw Data'!X299 = ROUND('Raw Data'!X299, 2),FALSE)),"",_xlfn.REGEXEXTRACT(CELL("address",X299), "\$([A-Z]+)\$[0-9]+"))),_xlfn.REGEXEXTRACT(CELL("address",X299), "\$([A-Z]+)\$[0-9]+"))</f>
        <v/>
      </c>
      <c r="Y299" s="7" t="str" cm="1">
        <f t="array" aca="1" ref="Y299" ca="1">IFERROR(IF(OR('Raw Data'!Y299="",LEN(TRIM('Raw Data'!Y299))=0),"",IF(AND(ISNUMBER('Raw Data'!Y299), IFERROR('Raw Data'!Y299 = ROUND('Raw Data'!Y299, 2),FALSE)),"",_xlfn.REGEXEXTRACT(CELL("address",Y299), "\$([A-Z]+)\$[0-9]+"))),_xlfn.REGEXEXTRACT(CELL("address",Y299), "\$([A-Z]+)\$[0-9]+"))</f>
        <v/>
      </c>
      <c r="Z299" s="7" t="str" cm="1">
        <f t="array" aca="1" ref="Z299" ca="1">IFERROR(IF(OR('Raw Data'!Z299="",LEN(TRIM('Raw Data'!Z299))=0),"",IF(AND(ISNUMBER('Raw Data'!Z299), IFERROR('Raw Data'!Z299 = ROUND('Raw Data'!Z299, 2),FALSE)),"",_xlfn.REGEXEXTRACT(CELL("address",Z299), "\$([A-Z]+)\$[0-9]+"))),_xlfn.REGEXEXTRACT(CELL("address",Z299), "\$([A-Z]+)\$[0-9]+"))</f>
        <v/>
      </c>
      <c r="AA299" s="7" t="str" cm="1">
        <f t="array" aca="1" ref="AA299" ca="1">IFERROR(IF(OR('Raw Data'!AA299="",LEN(TRIM('Raw Data'!AA299))=0),"",IF(AND(ISNUMBER('Raw Data'!AA299), IFERROR('Raw Data'!AA299 = ROUND('Raw Data'!AA299, 2),FALSE)),"",_xlfn.REGEXEXTRACT(CELL("address",AA299), "\$([A-Z]+)\$[0-9]+"))),_xlfn.REGEXEXTRACT(CELL("address",AA299), "\$([A-Z]+)\$[0-9]+"))</f>
        <v/>
      </c>
      <c r="AB299" s="7" t="str" cm="1">
        <f t="array" aca="1" ref="AB299" ca="1">IFERROR(IF(OR('Raw Data'!AB299="",LEN(TRIM('Raw Data'!AB299))=0),"",IF(AND(ISNUMBER('Raw Data'!AB299), IFERROR('Raw Data'!AB299 = ROUND('Raw Data'!AB299, 2),FALSE)),"",_xlfn.REGEXEXTRACT(CELL("address",AB299), "\$([A-Z]+)\$[0-9]+"))),_xlfn.REGEXEXTRACT(CELL("address",AB299), "\$([A-Z]+)\$[0-9]+"))</f>
        <v/>
      </c>
      <c r="AC299" s="7" t="str" cm="1">
        <f t="array" aca="1" ref="AC299" ca="1">IFERROR(IF(OR('Raw Data'!AC299="",LEN(TRIM('Raw Data'!AC299))=0),"",IF(AND(ISNUMBER('Raw Data'!AC299), IFERROR('Raw Data'!AC299 = ROUND('Raw Data'!AC299, 2),FALSE)),"",_xlfn.REGEXEXTRACT(CELL("address",AC299), "\$([A-Z]+)\$[0-9]+"))),_xlfn.REGEXEXTRACT(CELL("address",AC299), "\$([A-Z]+)\$[0-9]+"))</f>
        <v/>
      </c>
      <c r="AD299" s="7" t="str" cm="1">
        <f t="array" aca="1" ref="AD299" ca="1">IFERROR(IF(OR('Raw Data'!AD299="",LEN(TRIM('Raw Data'!AD299))=0),"",IF(AND(ISNUMBER('Raw Data'!AD299), IFERROR('Raw Data'!AD299 = ROUND('Raw Data'!AD299, 2),FALSE)),"",_xlfn.REGEXEXTRACT(CELL("address",AD299), "\$([A-Z]+)\$[0-9]+"))),_xlfn.REGEXEXTRACT(CELL("address",AD299), "\$([A-Z]+)\$[0-9]+"))</f>
        <v/>
      </c>
      <c r="AE299" s="7" t="str" cm="1">
        <f t="array" aca="1" ref="AE299" ca="1">IFERROR(IF(OR('Raw Data'!AE299="",LEN(TRIM('Raw Data'!AE299))=0),"",IF(AND(ISNUMBER('Raw Data'!AE299), IFERROR('Raw Data'!AE299 = ROUND('Raw Data'!AE299, 2),FALSE)),"",_xlfn.REGEXEXTRACT(CELL("address",AE299), "\$([A-Z]+)\$[0-9]+"))),_xlfn.REGEXEXTRACT(CELL("address",AE299), "\$([A-Z]+)\$[0-9]+"))</f>
        <v/>
      </c>
      <c r="AF299" s="7" t="str" cm="1">
        <f t="array" aca="1" ref="AF299" ca="1">IFERROR(IF(OR('Raw Data'!AF299="",LEN(TRIM('Raw Data'!AF299))=0),"",IF(AND(ISNUMBER('Raw Data'!AF299), IFERROR('Raw Data'!AF299 = ROUND('Raw Data'!AF299, 2),FALSE)),"",_xlfn.REGEXEXTRACT(CELL("address",AF299), "\$([A-Z]+)\$[0-9]+"))),_xlfn.REGEXEXTRACT(CELL("address",AF299), "\$([A-Z]+)\$[0-9]+"))</f>
        <v/>
      </c>
      <c r="AG299" s="7" t="str" cm="1">
        <f t="array" aca="1" ref="AG299" ca="1">IFERROR(IF(OR('Raw Data'!AG299="",LEN(TRIM('Raw Data'!AG299))=0),"",IF(AND(ISNUMBER('Raw Data'!AG299), IFERROR('Raw Data'!AG299 = ROUND('Raw Data'!AG299, 2),FALSE)),"",_xlfn.REGEXEXTRACT(CELL("address",AG299), "\$([A-Z]+)\$[0-9]+"))),_xlfn.REGEXEXTRACT(CELL("address",AG299), "\$([A-Z]+)\$[0-9]+"))</f>
        <v/>
      </c>
      <c r="AH299" s="7" t="str" cm="1">
        <f t="array" aca="1" ref="AH299" ca="1">IFERROR(IF(OR('Raw Data'!AH299="",LEN(TRIM('Raw Data'!AH299))=0),"",IF(AND(ISNUMBER('Raw Data'!AH299), IFERROR('Raw Data'!AH299 = ROUND('Raw Data'!AH299, 2),FALSE)),"",_xlfn.REGEXEXTRACT(CELL("address",AH299), "\$([A-Z]+)\$[0-9]+"))),_xlfn.REGEXEXTRACT(CELL("address",AH299), "\$([A-Z]+)\$[0-9]+"))</f>
        <v/>
      </c>
      <c r="AI299" s="7" t="str" cm="1">
        <f t="array" aca="1" ref="AI299" ca="1">IFERROR(IF(OR('Raw Data'!AI299="",LEN(TRIM('Raw Data'!AI299))=0),"",IF(AND(ISNUMBER('Raw Data'!AI299), IFERROR('Raw Data'!AI299 = ROUND('Raw Data'!AI299, 2),FALSE)),"",_xlfn.REGEXEXTRACT(CELL("address",AI299), "\$([A-Z]+)\$[0-9]+"))),_xlfn.REGEXEXTRACT(CELL("address",AI299), "\$([A-Z]+)\$[0-9]+"))</f>
        <v/>
      </c>
      <c r="AJ299" s="7" t="str" cm="1">
        <f t="array" aca="1" ref="AJ299" ca="1">IFERROR(IF(OR('Raw Data'!AJ299="",LEN(TRIM('Raw Data'!AJ299))=0),"",IF(AND(ISNUMBER('Raw Data'!AJ299), IFERROR('Raw Data'!AJ299 = ROUND('Raw Data'!AJ299, 2),FALSE)),"",_xlfn.REGEXEXTRACT(CELL("address",AJ299), "\$([A-Z]+)\$[0-9]+"))),_xlfn.REGEXEXTRACT(CELL("address",AJ299), "\$([A-Z]+)\$[0-9]+"))</f>
        <v/>
      </c>
    </row>
    <row r="300" spans="2:36" x14ac:dyDescent="0.25">
      <c r="B300" s="7" t="str" cm="1">
        <f t="array" aca="1" ref="B300" ca="1">IFERROR(IF(OR('Raw Data'!B300="",LEN(TRIM('Raw Data'!B300))=0),"",IF(AND(LEN('Raw Data'!B300) &lt;= 255,LEN('Raw Data'!B300)&gt; 0),"",_xlfn.REGEXEXTRACT(CELL("address",'Raw Data'!B300),"\$([A-Z]+)\$[0-9]+"))),_xlfn.REGEXEXTRACT(CELL("address",'Raw Data'!B300),"\$([A-Z]+)\$[0-9]+"))</f>
        <v/>
      </c>
      <c r="C300" s="7" t="str" cm="1">
        <f t="array" aca="1" ref="C300" ca="1">IFERROR(IF(OR('Raw Data'!C300="",LEN(TRIM('Raw Data'!C300))=0),"",IF(AND(LEN('Raw Data'!C300) &lt;= 20,LEN('Raw Data'!C300)&gt; 0),"",_xlfn.REGEXEXTRACT(CELL("address",'Raw Data'!C300),"\$([A-Z]+)\$[0-9]+"))),_xlfn.REGEXEXTRACT(CELL("address",'Raw Data'!C300),"\$([A-Z]+)\$[0-9]+"))</f>
        <v/>
      </c>
      <c r="D300" s="7" t="str" cm="1">
        <f t="array" aca="1" ref="D300" ca="1">IFERROR(IF(OR('Raw Data'!D300="",LEN(TRIM('Raw Data'!D300))=0),"",IF(AND(ISNUMBER('Raw Data'!D300),'Raw Data'!D300&gt;=Configuration!$D$2),"",_xlfn.REGEXEXTRACT(CELL("address",'Raw Data'!D300),"\$([A-Z]+)\$[0-9]+"))),_xlfn.REGEXEXTRACT(CELL("address",D300), "\$([A-Z]+)\$[0-9]+"))</f>
        <v/>
      </c>
      <c r="E300" s="7" t="str" cm="1">
        <f t="array" aca="1" ref="E300" ca="1">IFERROR(IF(OR('Raw Data'!E300="",LEN(TRIM('Raw Data'!E300))=0),"",IF(AND(ISNUMBER('Raw Data'!E300), IFERROR('Raw Data'!E300 = ROUND('Raw Data'!E300, 2),FALSE)),"",_xlfn.REGEXEXTRACT(CELL("address",E300), "\$([A-Z]+)\$[0-9]+"))),_xlfn.REGEXEXTRACT(CELL("address",E300), "\$([A-Z]+)\$[0-9]+"))</f>
        <v/>
      </c>
      <c r="F300" s="7" t="str" cm="1">
        <f t="array" aca="1" ref="F300" ca="1">IFERROR(IF(OR('Raw Data'!F300="",LEN(TRIM('Raw Data'!F300))=0),"",IF(AND(ISNUMBER('Raw Data'!F300), IFERROR('Raw Data'!F300 = ROUND('Raw Data'!F300, 2),FALSE)),"",_xlfn.REGEXEXTRACT(CELL("address",F300), "\$([A-Z]+)\$[0-9]+"))),_xlfn.REGEXEXTRACT(CELL("address",F300), "\$([A-Z]+)\$[0-9]+"))</f>
        <v/>
      </c>
      <c r="G300" s="7" t="str" cm="1">
        <f t="array" aca="1" ref="G300" ca="1">IFERROR(IF(OR('Raw Data'!G300="",LEN(TRIM('Raw Data'!G300))=0),"",IF(AND(ISNUMBER('Raw Data'!G300), IFERROR('Raw Data'!G300 = ROUND('Raw Data'!G300, 2),FALSE)),"",_xlfn.REGEXEXTRACT(CELL("address",G300), "\$([A-Z]+)\$[0-9]+"))),_xlfn.REGEXEXTRACT(CELL("address",G300), "\$([A-Z]+)\$[0-9]+"))</f>
        <v/>
      </c>
      <c r="H300" s="7" t="str" cm="1">
        <f t="array" aca="1" ref="H300" ca="1">IFERROR(IF(OR('Raw Data'!H300="",LEN(TRIM('Raw Data'!H300))=0),"",IF(AND(ISNUMBER('Raw Data'!H300), IFERROR('Raw Data'!H300 = ROUND('Raw Data'!H300, 2),FALSE)),"",_xlfn.REGEXEXTRACT(CELL("address",H300), "\$([A-Z]+)\$[0-9]+"))),_xlfn.REGEXEXTRACT(CELL("address",H300), "\$([A-Z]+)\$[0-9]+"))</f>
        <v/>
      </c>
      <c r="I300" s="7" t="str" cm="1">
        <f t="array" aca="1" ref="I300" ca="1">IFERROR(IF(OR('Raw Data'!I300="",LEN(TRIM('Raw Data'!I300))=0),"",IF(AND(ISNUMBER('Raw Data'!I300), IFERROR('Raw Data'!I300 = ROUND('Raw Data'!I300, 2),FALSE)),"",_xlfn.REGEXEXTRACT(CELL("address",I300), "\$([A-Z]+)\$[0-9]+"))),_xlfn.REGEXEXTRACT(CELL("address",I300), "\$([A-Z]+)\$[0-9]+"))</f>
        <v/>
      </c>
      <c r="J300" s="7" t="str" cm="1">
        <f t="array" aca="1" ref="J300" ca="1">IFERROR(IF(OR('Raw Data'!J300="",LEN(TRIM('Raw Data'!J300))=0),"",IF(AND(ISNUMBER('Raw Data'!J300), IFERROR('Raw Data'!J300 = ROUND('Raw Data'!J300, 2),FALSE)),"",_xlfn.REGEXEXTRACT(CELL("address",J300), "\$([A-Z]+)\$[0-9]+"))),_xlfn.REGEXEXTRACT(CELL("address",J300), "\$([A-Z]+)\$[0-9]+"))</f>
        <v/>
      </c>
      <c r="K300" s="7" t="str" cm="1">
        <f t="array" aca="1" ref="K300" ca="1">IFERROR(IF(OR('Raw Data'!K300="",LEN(TRIM('Raw Data'!K300))=0),"",IF(AND(ISNUMBER('Raw Data'!K300), IFERROR('Raw Data'!K300 = ROUND('Raw Data'!K300, 2),FALSE)),"",_xlfn.REGEXEXTRACT(CELL("address",K300), "\$([A-Z]+)\$[0-9]+"))),_xlfn.REGEXEXTRACT(CELL("address",K300), "\$([A-Z]+)\$[0-9]+"))</f>
        <v/>
      </c>
      <c r="L300" s="7" t="str" cm="1">
        <f t="array" aca="1" ref="L300" ca="1">IFERROR(IF(OR('Raw Data'!L300="",LEN(TRIM('Raw Data'!L300))=0),"",IF(AND(ISNUMBER('Raw Data'!L300), IFERROR('Raw Data'!L300 = ROUND('Raw Data'!L300, 2),FALSE)),"",_xlfn.REGEXEXTRACT(CELL("address",L300), "\$([A-Z]+)\$[0-9]+"))),_xlfn.REGEXEXTRACT(CELL("address",L300), "\$([A-Z]+)\$[0-9]+"))</f>
        <v/>
      </c>
      <c r="M300" s="7" t="str" cm="1">
        <f t="array" aca="1" ref="M300" ca="1">IFERROR(IF(OR('Raw Data'!M300="",LEN(TRIM('Raw Data'!M300))=0),"",IF(AND(ISNUMBER('Raw Data'!M300), IFERROR('Raw Data'!M300 = ROUND('Raw Data'!M300, 2),FALSE)),"",_xlfn.REGEXEXTRACT(CELL("address",M300), "\$([A-Z]+)\$[0-9]+"))),_xlfn.REGEXEXTRACT(CELL("address",M300), "\$([A-Z]+)\$[0-9]+"))</f>
        <v/>
      </c>
      <c r="N300" s="7" t="str" cm="1">
        <f t="array" aca="1" ref="N300" ca="1">IFERROR(IF(OR('Raw Data'!N300="",LEN(TRIM('Raw Data'!N300))=0),"",IF(AND(ISNUMBER('Raw Data'!N300), IFERROR('Raw Data'!N300 = ROUND('Raw Data'!N300, 2),FALSE)),"",_xlfn.REGEXEXTRACT(CELL("address",N300), "\$([A-Z]+)\$[0-9]+"))),_xlfn.REGEXEXTRACT(CELL("address",N300), "\$([A-Z]+)\$[0-9]+"))</f>
        <v/>
      </c>
      <c r="O300" s="7" t="str" cm="1">
        <f t="array" aca="1" ref="O300" ca="1">IFERROR(IF(OR('Raw Data'!O300="",LEN(TRIM('Raw Data'!O300))=0),"",IF(AND(ISNUMBER('Raw Data'!O300), IFERROR('Raw Data'!O300 = ROUND('Raw Data'!O300, 2),FALSE)),"",_xlfn.REGEXEXTRACT(CELL("address",O300), "\$([A-Z]+)\$[0-9]+"))),_xlfn.REGEXEXTRACT(CELL("address",O300), "\$([A-Z]+)\$[0-9]+"))</f>
        <v/>
      </c>
      <c r="P300" s="7" t="str" cm="1">
        <f t="array" aca="1" ref="P300" ca="1">IFERROR(IF(OR('Raw Data'!P300="",LEN(TRIM('Raw Data'!P300))=0),"",IF(AND(ISNUMBER('Raw Data'!P300), IFERROR('Raw Data'!P300 = ROUND('Raw Data'!P300, 2),FALSE)),"",_xlfn.REGEXEXTRACT(CELL("address",P300), "\$([A-Z]+)\$[0-9]+"))),_xlfn.REGEXEXTRACT(CELL("address",P300), "\$([A-Z]+)\$[0-9]+"))</f>
        <v/>
      </c>
      <c r="Q300" s="7" t="str" cm="1">
        <f t="array" aca="1" ref="Q300" ca="1">IFERROR(IF(OR('Raw Data'!Q300="",LEN(TRIM('Raw Data'!Q300))=0),"",IF(AND(ISNUMBER('Raw Data'!Q300), IFERROR('Raw Data'!Q300 = ROUND('Raw Data'!Q300, 2),FALSE)),"",_xlfn.REGEXEXTRACT(CELL("address",Q300), "\$([A-Z]+)\$[0-9]+"))),_xlfn.REGEXEXTRACT(CELL("address",Q300), "\$([A-Z]+)\$[0-9]+"))</f>
        <v/>
      </c>
      <c r="R300" s="7" t="str" cm="1">
        <f t="array" aca="1" ref="R300" ca="1">IFERROR(IF(OR('Raw Data'!R300="",LEN(TRIM('Raw Data'!R300))=0),"",IF(AND(ISNUMBER('Raw Data'!R300), IFERROR('Raw Data'!R300 = ROUND('Raw Data'!R300, 2),FALSE)),"",_xlfn.REGEXEXTRACT(CELL("address",R300), "\$([A-Z]+)\$[0-9]+"))),_xlfn.REGEXEXTRACT(CELL("address",R300), "\$([A-Z]+)\$[0-9]+"))</f>
        <v/>
      </c>
      <c r="S300" s="7" t="str" cm="1">
        <f t="array" aca="1" ref="S300" ca="1">IFERROR(IF(OR('Raw Data'!S300="",LEN(TRIM('Raw Data'!S300))=0),"",IF(AND(ISNUMBER('Raw Data'!S300), IFERROR('Raw Data'!S300 = ROUND('Raw Data'!S300, 2),FALSE)),"",_xlfn.REGEXEXTRACT(CELL("address",S300), "\$([A-Z]+)\$[0-9]+"))),_xlfn.REGEXEXTRACT(CELL("address",S300), "\$([A-Z]+)\$[0-9]+"))</f>
        <v/>
      </c>
      <c r="T300" s="7" t="str" cm="1">
        <f t="array" aca="1" ref="T300" ca="1">IFERROR(IF(OR('Raw Data'!T300="",LEN(TRIM('Raw Data'!T300))=0),"",IF(AND(ISNUMBER('Raw Data'!T300), IFERROR('Raw Data'!T300 = ROUND('Raw Data'!T300, 2),FALSE)),"",_xlfn.REGEXEXTRACT(CELL("address",T300), "\$([A-Z]+)\$[0-9]+"))),_xlfn.REGEXEXTRACT(CELL("address",T300), "\$([A-Z]+)\$[0-9]+"))</f>
        <v/>
      </c>
      <c r="U300" s="7" t="str" cm="1">
        <f t="array" aca="1" ref="U300" ca="1">IFERROR(IF(OR('Raw Data'!U300="",LEN(TRIM('Raw Data'!U300))=0),"",IF(AND(ISNUMBER('Raw Data'!U300), IFERROR('Raw Data'!U300 = ROUND('Raw Data'!U300, 2),FALSE)),"",_xlfn.REGEXEXTRACT(CELL("address",U300), "\$([A-Z]+)\$[0-9]+"))),_xlfn.REGEXEXTRACT(CELL("address",U300), "\$([A-Z]+)\$[0-9]+"))</f>
        <v/>
      </c>
      <c r="V300" s="7" t="str" cm="1">
        <f t="array" aca="1" ref="V300" ca="1">IFERROR(IF(OR('Raw Data'!V300="",LEN(TRIM('Raw Data'!V300))=0),"",IF(AND(ISNUMBER('Raw Data'!V300), IFERROR('Raw Data'!V300 = ROUND('Raw Data'!V300, 2),FALSE)),"",_xlfn.REGEXEXTRACT(CELL("address",V300), "\$([A-Z]+)\$[0-9]+"))),_xlfn.REGEXEXTRACT(CELL("address",V300), "\$([A-Z]+)\$[0-9]+"))</f>
        <v/>
      </c>
      <c r="W300" s="7" t="str" cm="1">
        <f t="array" aca="1" ref="W300" ca="1">IFERROR(IF(OR('Raw Data'!W300="",LEN(TRIM('Raw Data'!W300))=0),"",IF(AND(ISNUMBER('Raw Data'!W300), IFERROR('Raw Data'!W300 = ROUND('Raw Data'!W300, 2),FALSE)),"",_xlfn.REGEXEXTRACT(CELL("address",W300), "\$([A-Z]+)\$[0-9]+"))),_xlfn.REGEXEXTRACT(CELL("address",W300), "\$([A-Z]+)\$[0-9]+"))</f>
        <v/>
      </c>
      <c r="X300" s="7" t="str" cm="1">
        <f t="array" aca="1" ref="X300" ca="1">IFERROR(IF(OR('Raw Data'!X300="",LEN(TRIM('Raw Data'!X300))=0),"",IF(AND(ISNUMBER('Raw Data'!X300), IFERROR('Raw Data'!X300 = ROUND('Raw Data'!X300, 2),FALSE)),"",_xlfn.REGEXEXTRACT(CELL("address",X300), "\$([A-Z]+)\$[0-9]+"))),_xlfn.REGEXEXTRACT(CELL("address",X300), "\$([A-Z]+)\$[0-9]+"))</f>
        <v/>
      </c>
      <c r="Y300" s="7" t="str" cm="1">
        <f t="array" aca="1" ref="Y300" ca="1">IFERROR(IF(OR('Raw Data'!Y300="",LEN(TRIM('Raw Data'!Y300))=0),"",IF(AND(ISNUMBER('Raw Data'!Y300), IFERROR('Raw Data'!Y300 = ROUND('Raw Data'!Y300, 2),FALSE)),"",_xlfn.REGEXEXTRACT(CELL("address",Y300), "\$([A-Z]+)\$[0-9]+"))),_xlfn.REGEXEXTRACT(CELL("address",Y300), "\$([A-Z]+)\$[0-9]+"))</f>
        <v/>
      </c>
      <c r="Z300" s="7" t="str" cm="1">
        <f t="array" aca="1" ref="Z300" ca="1">IFERROR(IF(OR('Raw Data'!Z300="",LEN(TRIM('Raw Data'!Z300))=0),"",IF(AND(ISNUMBER('Raw Data'!Z300), IFERROR('Raw Data'!Z300 = ROUND('Raw Data'!Z300, 2),FALSE)),"",_xlfn.REGEXEXTRACT(CELL("address",Z300), "\$([A-Z]+)\$[0-9]+"))),_xlfn.REGEXEXTRACT(CELL("address",Z300), "\$([A-Z]+)\$[0-9]+"))</f>
        <v/>
      </c>
      <c r="AA300" s="7" t="str" cm="1">
        <f t="array" aca="1" ref="AA300" ca="1">IFERROR(IF(OR('Raw Data'!AA300="",LEN(TRIM('Raw Data'!AA300))=0),"",IF(AND(ISNUMBER('Raw Data'!AA300), IFERROR('Raw Data'!AA300 = ROUND('Raw Data'!AA300, 2),FALSE)),"",_xlfn.REGEXEXTRACT(CELL("address",AA300), "\$([A-Z]+)\$[0-9]+"))),_xlfn.REGEXEXTRACT(CELL("address",AA300), "\$([A-Z]+)\$[0-9]+"))</f>
        <v/>
      </c>
      <c r="AB300" s="7" t="str" cm="1">
        <f t="array" aca="1" ref="AB300" ca="1">IFERROR(IF(OR('Raw Data'!AB300="",LEN(TRIM('Raw Data'!AB300))=0),"",IF(AND(ISNUMBER('Raw Data'!AB300), IFERROR('Raw Data'!AB300 = ROUND('Raw Data'!AB300, 2),FALSE)),"",_xlfn.REGEXEXTRACT(CELL("address",AB300), "\$([A-Z]+)\$[0-9]+"))),_xlfn.REGEXEXTRACT(CELL("address",AB300), "\$([A-Z]+)\$[0-9]+"))</f>
        <v/>
      </c>
      <c r="AC300" s="7" t="str" cm="1">
        <f t="array" aca="1" ref="AC300" ca="1">IFERROR(IF(OR('Raw Data'!AC300="",LEN(TRIM('Raw Data'!AC300))=0),"",IF(AND(ISNUMBER('Raw Data'!AC300), IFERROR('Raw Data'!AC300 = ROUND('Raw Data'!AC300, 2),FALSE)),"",_xlfn.REGEXEXTRACT(CELL("address",AC300), "\$([A-Z]+)\$[0-9]+"))),_xlfn.REGEXEXTRACT(CELL("address",AC300), "\$([A-Z]+)\$[0-9]+"))</f>
        <v/>
      </c>
      <c r="AD300" s="7" t="str" cm="1">
        <f t="array" aca="1" ref="AD300" ca="1">IFERROR(IF(OR('Raw Data'!AD300="",LEN(TRIM('Raw Data'!AD300))=0),"",IF(AND(ISNUMBER('Raw Data'!AD300), IFERROR('Raw Data'!AD300 = ROUND('Raw Data'!AD300, 2),FALSE)),"",_xlfn.REGEXEXTRACT(CELL("address",AD300), "\$([A-Z]+)\$[0-9]+"))),_xlfn.REGEXEXTRACT(CELL("address",AD300), "\$([A-Z]+)\$[0-9]+"))</f>
        <v/>
      </c>
      <c r="AE300" s="7" t="str" cm="1">
        <f t="array" aca="1" ref="AE300" ca="1">IFERROR(IF(OR('Raw Data'!AE300="",LEN(TRIM('Raw Data'!AE300))=0),"",IF(AND(ISNUMBER('Raw Data'!AE300), IFERROR('Raw Data'!AE300 = ROUND('Raw Data'!AE300, 2),FALSE)),"",_xlfn.REGEXEXTRACT(CELL("address",AE300), "\$([A-Z]+)\$[0-9]+"))),_xlfn.REGEXEXTRACT(CELL("address",AE300), "\$([A-Z]+)\$[0-9]+"))</f>
        <v/>
      </c>
      <c r="AF300" s="7" t="str" cm="1">
        <f t="array" aca="1" ref="AF300" ca="1">IFERROR(IF(OR('Raw Data'!AF300="",LEN(TRIM('Raw Data'!AF300))=0),"",IF(AND(ISNUMBER('Raw Data'!AF300), IFERROR('Raw Data'!AF300 = ROUND('Raw Data'!AF300, 2),FALSE)),"",_xlfn.REGEXEXTRACT(CELL("address",AF300), "\$([A-Z]+)\$[0-9]+"))),_xlfn.REGEXEXTRACT(CELL("address",AF300), "\$([A-Z]+)\$[0-9]+"))</f>
        <v/>
      </c>
      <c r="AG300" s="7" t="str" cm="1">
        <f t="array" aca="1" ref="AG300" ca="1">IFERROR(IF(OR('Raw Data'!AG300="",LEN(TRIM('Raw Data'!AG300))=0),"",IF(AND(ISNUMBER('Raw Data'!AG300), IFERROR('Raw Data'!AG300 = ROUND('Raw Data'!AG300, 2),FALSE)),"",_xlfn.REGEXEXTRACT(CELL("address",AG300), "\$([A-Z]+)\$[0-9]+"))),_xlfn.REGEXEXTRACT(CELL("address",AG300), "\$([A-Z]+)\$[0-9]+"))</f>
        <v/>
      </c>
      <c r="AH300" s="7" t="str" cm="1">
        <f t="array" aca="1" ref="AH300" ca="1">IFERROR(IF(OR('Raw Data'!AH300="",LEN(TRIM('Raw Data'!AH300))=0),"",IF(AND(ISNUMBER('Raw Data'!AH300), IFERROR('Raw Data'!AH300 = ROUND('Raw Data'!AH300, 2),FALSE)),"",_xlfn.REGEXEXTRACT(CELL("address",AH300), "\$([A-Z]+)\$[0-9]+"))),_xlfn.REGEXEXTRACT(CELL("address",AH300), "\$([A-Z]+)\$[0-9]+"))</f>
        <v/>
      </c>
      <c r="AI300" s="7" t="str" cm="1">
        <f t="array" aca="1" ref="AI300" ca="1">IFERROR(IF(OR('Raw Data'!AI300="",LEN(TRIM('Raw Data'!AI300))=0),"",IF(AND(ISNUMBER('Raw Data'!AI300), IFERROR('Raw Data'!AI300 = ROUND('Raw Data'!AI300, 2),FALSE)),"",_xlfn.REGEXEXTRACT(CELL("address",AI300), "\$([A-Z]+)\$[0-9]+"))),_xlfn.REGEXEXTRACT(CELL("address",AI300), "\$([A-Z]+)\$[0-9]+"))</f>
        <v/>
      </c>
      <c r="AJ300" s="7" t="str" cm="1">
        <f t="array" aca="1" ref="AJ300" ca="1">IFERROR(IF(OR('Raw Data'!AJ300="",LEN(TRIM('Raw Data'!AJ300))=0),"",IF(AND(ISNUMBER('Raw Data'!AJ300), IFERROR('Raw Data'!AJ300 = ROUND('Raw Data'!AJ300, 2),FALSE)),"",_xlfn.REGEXEXTRACT(CELL("address",AJ300), "\$([A-Z]+)\$[0-9]+"))),_xlfn.REGEXEXTRACT(CELL("address",AJ300),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A273-7225-45FB-B37A-9935C30A43B1}">
  <dimension ref="B8:AJ300"/>
  <sheetViews>
    <sheetView topLeftCell="A220" zoomScale="55" zoomScaleNormal="55" workbookViewId="0">
      <selection activeCell="F14" sqref="F14"/>
    </sheetView>
  </sheetViews>
  <sheetFormatPr defaultRowHeight="15" x14ac:dyDescent="0.25"/>
  <cols>
    <col min="2" max="6" width="13.42578125" style="8" customWidth="1"/>
    <col min="7" max="36" width="13.42578125" customWidth="1"/>
  </cols>
  <sheetData>
    <row r="8" spans="2:36" s="8" customFormat="1" x14ac:dyDescent="0.25">
      <c r="B8" s="7" t="s">
        <v>39</v>
      </c>
      <c r="C8" s="7" t="s">
        <v>40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2:36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  <c r="AE9" s="11" t="s">
        <v>29</v>
      </c>
      <c r="AF9" s="1" t="s">
        <v>30</v>
      </c>
      <c r="AG9" s="1" t="s">
        <v>31</v>
      </c>
      <c r="AH9" s="11" t="s">
        <v>32</v>
      </c>
      <c r="AI9" s="1" t="s">
        <v>33</v>
      </c>
      <c r="AJ9" s="1" t="s">
        <v>34</v>
      </c>
    </row>
    <row r="10" spans="2:36" x14ac:dyDescent="0.25">
      <c r="B10" s="7" t="str" cm="1">
        <f t="array" aca="1" ref="B10" ca="1">IF(OR('Raw Data'!B10="",LEN(TRIM('Raw Data'!B10))=0,Validate_Empty!B10&lt;&gt;"",Validate_Value!B10&lt;&gt;""),"",IF('Raw Data'!B10 = Condition!B10,"",_xlfn.REGEXEXTRACT(CELL("address",'Raw Data'!B10),"\$([A-Z]+)\$[0-9]+")))</f>
        <v/>
      </c>
      <c r="C10" s="7" t="str" cm="1">
        <f t="array" aca="1" ref="C10" ca="1">IF(OR('Raw Data'!C10="",LEN(TRIM('Raw Data'!C10))=0,Validate_Empty!C10&lt;&gt;"",Validate_Value!C10&lt;&gt;""),"",IF('Raw Data'!C10 = Condition!C10,"",_xlfn.REGEXEXTRACT(CELL("address",'Raw Data'!C10),"\$([A-Z]+)\$[0-9]+")))</f>
        <v/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2:36" x14ac:dyDescent="0.25">
      <c r="B11" s="7" t="str" cm="1">
        <f t="array" aca="1" ref="B11" ca="1">IF(OR('Raw Data'!B11="",LEN(TRIM('Raw Data'!B11))=0,Validate_Empty!B11&lt;&gt;"",Validate_Value!B11&lt;&gt;""),"",IF('Raw Data'!B11 = Condition!B11,"",_xlfn.REGEXEXTRACT(CELL("address",'Raw Data'!B11),"\$([A-Z]+)\$[0-9]+")))</f>
        <v/>
      </c>
      <c r="C11" s="7" t="str" cm="1">
        <f t="array" aca="1" ref="C11" ca="1">IF(OR('Raw Data'!C11="",LEN(TRIM('Raw Data'!C11))=0,Validate_Empty!C11&lt;&gt;"",Validate_Value!C11&lt;&gt;""),"",IF('Raw Data'!C11 = Condition!C11,"",_xlfn.REGEXEXTRACT(CELL("address",'Raw Data'!C11),"\$([A-Z]+)\$[0-9]+")))</f>
        <v/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2:36" x14ac:dyDescent="0.25">
      <c r="B12" s="7" t="str" cm="1">
        <f t="array" aca="1" ref="B12" ca="1">IF(OR('Raw Data'!B12="",LEN(TRIM('Raw Data'!B12))=0,Validate_Empty!B12&lt;&gt;"",Validate_Value!B12&lt;&gt;""),"",IF('Raw Data'!B12 = Condition!B12,"",_xlfn.REGEXEXTRACT(CELL("address",'Raw Data'!B12),"\$([A-Z]+)\$[0-9]+")))</f>
        <v/>
      </c>
      <c r="C12" s="7" t="str" cm="1">
        <f t="array" aca="1" ref="C12" ca="1">IF(OR('Raw Data'!C12="",LEN(TRIM('Raw Data'!C12))=0,Validate_Empty!C12&lt;&gt;"",Validate_Value!C12&lt;&gt;""),"",IF('Raw Data'!C12 = Condition!C12,"",_xlfn.REGEXEXTRACT(CELL("address",'Raw Data'!C12),"\$([A-Z]+)\$[0-9]+")))</f>
        <v/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2:36" x14ac:dyDescent="0.25">
      <c r="B13" s="7" t="str" cm="1">
        <f t="array" aca="1" ref="B13" ca="1">IF(OR('Raw Data'!B13="",LEN(TRIM('Raw Data'!B13))=0,Validate_Empty!B13&lt;&gt;"",Validate_Value!B13&lt;&gt;""),"",IF('Raw Data'!B13 = Condition!B13,"",_xlfn.REGEXEXTRACT(CELL("address",'Raw Data'!B13),"\$([A-Z]+)\$[0-9]+")))</f>
        <v/>
      </c>
      <c r="C13" s="7" t="str" cm="1">
        <f t="array" aca="1" ref="C13" ca="1">IF(OR('Raw Data'!C13="",LEN(TRIM('Raw Data'!C13))=0,Validate_Empty!C13&lt;&gt;"",Validate_Value!C13&lt;&gt;""),"",IF('Raw Data'!C13 = Condition!C13,"",_xlfn.REGEXEXTRACT(CELL("address",'Raw Data'!C13),"\$([A-Z]+)\$[0-9]+")))</f>
        <v/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2:36" x14ac:dyDescent="0.25">
      <c r="B14" s="7" t="str" cm="1">
        <f t="array" aca="1" ref="B14" ca="1">IF(OR('Raw Data'!B14="",LEN(TRIM('Raw Data'!B14))=0,Validate_Empty!B14&lt;&gt;"",Validate_Value!B14&lt;&gt;""),"",IF('Raw Data'!B14 = Condition!B14,"",_xlfn.REGEXEXTRACT(CELL("address",'Raw Data'!B14),"\$([A-Z]+)\$[0-9]+")))</f>
        <v/>
      </c>
      <c r="C14" s="7" t="str" cm="1">
        <f t="array" aca="1" ref="C14" ca="1">IF(OR('Raw Data'!C14="",LEN(TRIM('Raw Data'!C14))=0,Validate_Empty!C14&lt;&gt;"",Validate_Value!C14&lt;&gt;""),"",IF('Raw Data'!C14 = Condition!C14,"",_xlfn.REGEXEXTRACT(CELL("address",'Raw Data'!C14),"\$([A-Z]+)\$[0-9]+")))</f>
        <v/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2:36" x14ac:dyDescent="0.25">
      <c r="B15" s="7" t="str" cm="1">
        <f t="array" aca="1" ref="B15" ca="1">IF(OR('Raw Data'!B15="",LEN(TRIM('Raw Data'!B15))=0,Validate_Empty!B15&lt;&gt;"",Validate_Value!B15&lt;&gt;""),"",IF('Raw Data'!B15 = Condition!B15,"",_xlfn.REGEXEXTRACT(CELL("address",'Raw Data'!B15),"\$([A-Z]+)\$[0-9]+")))</f>
        <v/>
      </c>
      <c r="C15" s="7" t="str" cm="1">
        <f t="array" aca="1" ref="C15" ca="1">IF(OR('Raw Data'!C15="",LEN(TRIM('Raw Data'!C15))=0,Validate_Empty!C15&lt;&gt;"",Validate_Value!C15&lt;&gt;""),"",IF('Raw Data'!C15 = Condition!C15,"",_xlfn.REGEXEXTRACT(CELL("address",'Raw Data'!C15),"\$([A-Z]+)\$[0-9]+")))</f>
        <v/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2:36" x14ac:dyDescent="0.25">
      <c r="B16" s="7" t="str" cm="1">
        <f t="array" aca="1" ref="B16" ca="1">IF(OR('Raw Data'!B16="",LEN(TRIM('Raw Data'!B16))=0,Validate_Empty!B16&lt;&gt;"",Validate_Value!B16&lt;&gt;""),"",IF('Raw Data'!B16 = Condition!B16,"",_xlfn.REGEXEXTRACT(CELL("address",'Raw Data'!B16),"\$([A-Z]+)\$[0-9]+")))</f>
        <v/>
      </c>
      <c r="C16" s="7" t="str" cm="1">
        <f t="array" aca="1" ref="C16" ca="1">IF(OR('Raw Data'!C16="",LEN(TRIM('Raw Data'!C16))=0,Validate_Empty!C16&lt;&gt;"",Validate_Value!C16&lt;&gt;""),"",IF('Raw Data'!C16 = Condition!C16,"",_xlfn.REGEXEXTRACT(CELL("address",'Raw Data'!C16),"\$([A-Z]+)\$[0-9]+")))</f>
        <v/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2:36" x14ac:dyDescent="0.25">
      <c r="B17" s="7" t="str" cm="1">
        <f t="array" aca="1" ref="B17" ca="1">IF(OR('Raw Data'!B17="",LEN(TRIM('Raw Data'!B17))=0,Validate_Empty!B17&lt;&gt;"",Validate_Value!B17&lt;&gt;""),"",IF('Raw Data'!B17 = Condition!B17,"",_xlfn.REGEXEXTRACT(CELL("address",'Raw Data'!B17),"\$([A-Z]+)\$[0-9]+")))</f>
        <v/>
      </c>
      <c r="C17" s="7" t="str" cm="1">
        <f t="array" aca="1" ref="C17" ca="1">IF(OR('Raw Data'!C17="",LEN(TRIM('Raw Data'!C17))=0,Validate_Empty!C17&lt;&gt;"",Validate_Value!C17&lt;&gt;""),"",IF('Raw Data'!C17 = Condition!C17,"",_xlfn.REGEXEXTRACT(CELL("address",'Raw Data'!C17),"\$([A-Z]+)\$[0-9]+")))</f>
        <v/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2:36" x14ac:dyDescent="0.25">
      <c r="B18" s="7" t="str" cm="1">
        <f t="array" aca="1" ref="B18" ca="1">IF(OR('Raw Data'!B18="",LEN(TRIM('Raw Data'!B18))=0,Validate_Empty!B18&lt;&gt;"",Validate_Value!B18&lt;&gt;""),"",IF('Raw Data'!B18 = Condition!B18,"",_xlfn.REGEXEXTRACT(CELL("address",'Raw Data'!B18),"\$([A-Z]+)\$[0-9]+")))</f>
        <v/>
      </c>
      <c r="C18" s="7" t="str" cm="1">
        <f t="array" aca="1" ref="C18" ca="1">IF(OR('Raw Data'!C18="",LEN(TRIM('Raw Data'!C18))=0,Validate_Empty!C18&lt;&gt;"",Validate_Value!C18&lt;&gt;""),"",IF('Raw Data'!C18 = Condition!C18,"",_xlfn.REGEXEXTRACT(CELL("address",'Raw Data'!C18),"\$([A-Z]+)\$[0-9]+")))</f>
        <v/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2:36" x14ac:dyDescent="0.25">
      <c r="B19" s="7" t="str" cm="1">
        <f t="array" aca="1" ref="B19" ca="1">IF(OR('Raw Data'!B19="",LEN(TRIM('Raw Data'!B19))=0,Validate_Empty!B19&lt;&gt;"",Validate_Value!B19&lt;&gt;""),"",IF('Raw Data'!B19 = Condition!B19,"",_xlfn.REGEXEXTRACT(CELL("address",'Raw Data'!B19),"\$([A-Z]+)\$[0-9]+")))</f>
        <v/>
      </c>
      <c r="C19" s="7" t="str" cm="1">
        <f t="array" aca="1" ref="C19" ca="1">IF(OR('Raw Data'!C19="",LEN(TRIM('Raw Data'!C19))=0,Validate_Empty!C19&lt;&gt;"",Validate_Value!C19&lt;&gt;""),"",IF('Raw Data'!C19 = Condition!C19,"",_xlfn.REGEXEXTRACT(CELL("address",'Raw Data'!C19),"\$([A-Z]+)\$[0-9]+")))</f>
        <v/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2:36" x14ac:dyDescent="0.25">
      <c r="B20" s="7" t="str" cm="1">
        <f t="array" aca="1" ref="B20" ca="1">IF(OR('Raw Data'!B20="",LEN(TRIM('Raw Data'!B20))=0,Validate_Empty!B20&lt;&gt;"",Validate_Value!B20&lt;&gt;""),"",IF('Raw Data'!B20 = Condition!B20,"",_xlfn.REGEXEXTRACT(CELL("address",'Raw Data'!B20),"\$([A-Z]+)\$[0-9]+")))</f>
        <v/>
      </c>
      <c r="C20" s="7" t="str" cm="1">
        <f t="array" aca="1" ref="C20" ca="1">IF(OR('Raw Data'!C20="",LEN(TRIM('Raw Data'!C20))=0,Validate_Empty!C20&lt;&gt;"",Validate_Value!C20&lt;&gt;""),"",IF('Raw Data'!C20 = Condition!C20,"",_xlfn.REGEXEXTRACT(CELL("address",'Raw Data'!C20),"\$([A-Z]+)\$[0-9]+")))</f>
        <v/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2:36" x14ac:dyDescent="0.25">
      <c r="B21" s="7" t="str" cm="1">
        <f t="array" aca="1" ref="B21" ca="1">IF(OR('Raw Data'!B21="",LEN(TRIM('Raw Data'!B21))=0,Validate_Empty!B21&lt;&gt;"",Validate_Value!B21&lt;&gt;""),"",IF('Raw Data'!B21 = Condition!B21,"",_xlfn.REGEXEXTRACT(CELL("address",'Raw Data'!B21),"\$([A-Z]+)\$[0-9]+")))</f>
        <v/>
      </c>
      <c r="C21" s="7" t="str" cm="1">
        <f t="array" aca="1" ref="C21" ca="1">IF(OR('Raw Data'!C21="",LEN(TRIM('Raw Data'!C21))=0,Validate_Empty!C21&lt;&gt;"",Validate_Value!C21&lt;&gt;""),"",IF('Raw Data'!C21 = Condition!C21,"",_xlfn.REGEXEXTRACT(CELL("address",'Raw Data'!C21),"\$([A-Z]+)\$[0-9]+")))</f>
        <v/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2:36" x14ac:dyDescent="0.25">
      <c r="B22" s="7" t="str" cm="1">
        <f t="array" aca="1" ref="B22" ca="1">IF(OR('Raw Data'!B22="",LEN(TRIM('Raw Data'!B22))=0,Validate_Empty!B22&lt;&gt;"",Validate_Value!B22&lt;&gt;""),"",IF('Raw Data'!B22 = Condition!B22,"",_xlfn.REGEXEXTRACT(CELL("address",'Raw Data'!B22),"\$([A-Z]+)\$[0-9]+")))</f>
        <v/>
      </c>
      <c r="C22" s="7" t="str" cm="1">
        <f t="array" aca="1" ref="C22" ca="1">IF(OR('Raw Data'!C22="",LEN(TRIM('Raw Data'!C22))=0,Validate_Empty!C22&lt;&gt;"",Validate_Value!C22&lt;&gt;""),"",IF('Raw Data'!C22 = Condition!C22,"",_xlfn.REGEXEXTRACT(CELL("address",'Raw Data'!C22),"\$([A-Z]+)\$[0-9]+")))</f>
        <v/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2:36" x14ac:dyDescent="0.25">
      <c r="B23" s="7" t="str" cm="1">
        <f t="array" aca="1" ref="B23" ca="1">IF(OR('Raw Data'!B23="",LEN(TRIM('Raw Data'!B23))=0,Validate_Empty!B23&lt;&gt;"",Validate_Value!B23&lt;&gt;""),"",IF('Raw Data'!B23 = Condition!B23,"",_xlfn.REGEXEXTRACT(CELL("address",'Raw Data'!B23),"\$([A-Z]+)\$[0-9]+")))</f>
        <v/>
      </c>
      <c r="C23" s="7" t="str" cm="1">
        <f t="array" aca="1" ref="C23" ca="1">IF(OR('Raw Data'!C23="",LEN(TRIM('Raw Data'!C23))=0,Validate_Empty!C23&lt;&gt;"",Validate_Value!C23&lt;&gt;""),"",IF('Raw Data'!C23 = Condition!C23,"",_xlfn.REGEXEXTRACT(CELL("address",'Raw Data'!C23),"\$([A-Z]+)\$[0-9]+")))</f>
        <v/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2:36" x14ac:dyDescent="0.25">
      <c r="B24" s="7" t="str" cm="1">
        <f t="array" aca="1" ref="B24" ca="1">IF(OR('Raw Data'!B24="",LEN(TRIM('Raw Data'!B24))=0,Validate_Empty!B24&lt;&gt;"",Validate_Value!B24&lt;&gt;""),"",IF('Raw Data'!B24 = Condition!B24,"",_xlfn.REGEXEXTRACT(CELL("address",'Raw Data'!B24),"\$([A-Z]+)\$[0-9]+")))</f>
        <v/>
      </c>
      <c r="C24" s="7" t="str" cm="1">
        <f t="array" aca="1" ref="C24" ca="1">IF(OR('Raw Data'!C24="",LEN(TRIM('Raw Data'!C24))=0,Validate_Empty!C24&lt;&gt;"",Validate_Value!C24&lt;&gt;""),"",IF('Raw Data'!C24 = Condition!C24,"",_xlfn.REGEXEXTRACT(CELL("address",'Raw Data'!C24),"\$([A-Z]+)\$[0-9]+")))</f>
        <v/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2:36" x14ac:dyDescent="0.25">
      <c r="B25" s="7" t="str" cm="1">
        <f t="array" aca="1" ref="B25" ca="1">IF(OR('Raw Data'!B25="",LEN(TRIM('Raw Data'!B25))=0,Validate_Empty!B25&lt;&gt;"",Validate_Value!B25&lt;&gt;""),"",IF('Raw Data'!B25 = Condition!B25,"",_xlfn.REGEXEXTRACT(CELL("address",'Raw Data'!B25),"\$([A-Z]+)\$[0-9]+")))</f>
        <v/>
      </c>
      <c r="C25" s="7" t="str" cm="1">
        <f t="array" aca="1" ref="C25" ca="1">IF(OR('Raw Data'!C25="",LEN(TRIM('Raw Data'!C25))=0,Validate_Empty!C25&lt;&gt;"",Validate_Value!C25&lt;&gt;""),"",IF('Raw Data'!C25 = Condition!C25,"",_xlfn.REGEXEXTRACT(CELL("address",'Raw Data'!C25),"\$([A-Z]+)\$[0-9]+")))</f>
        <v/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2:36" x14ac:dyDescent="0.25">
      <c r="B26" s="7" t="str" cm="1">
        <f t="array" aca="1" ref="B26" ca="1">IF(OR('Raw Data'!B26="",LEN(TRIM('Raw Data'!B26))=0,Validate_Empty!B26&lt;&gt;"",Validate_Value!B26&lt;&gt;""),"",IF('Raw Data'!B26 = Condition!B26,"",_xlfn.REGEXEXTRACT(CELL("address",'Raw Data'!B26),"\$([A-Z]+)\$[0-9]+")))</f>
        <v/>
      </c>
      <c r="C26" s="7" t="str" cm="1">
        <f t="array" aca="1" ref="C26" ca="1">IF(OR('Raw Data'!C26="",LEN(TRIM('Raw Data'!C26))=0,Validate_Empty!C26&lt;&gt;"",Validate_Value!C26&lt;&gt;""),"",IF('Raw Data'!C26 = Condition!C26,"",_xlfn.REGEXEXTRACT(CELL("address",'Raw Data'!C26),"\$([A-Z]+)\$[0-9]+")))</f>
        <v/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2:36" x14ac:dyDescent="0.25">
      <c r="B27" s="7" t="str" cm="1">
        <f t="array" aca="1" ref="B27" ca="1">IF(OR('Raw Data'!B27="",LEN(TRIM('Raw Data'!B27))=0,Validate_Empty!B27&lt;&gt;"",Validate_Value!B27&lt;&gt;""),"",IF('Raw Data'!B27 = Condition!B27,"",_xlfn.REGEXEXTRACT(CELL("address",'Raw Data'!B27),"\$([A-Z]+)\$[0-9]+")))</f>
        <v/>
      </c>
      <c r="C27" s="7" t="str" cm="1">
        <f t="array" aca="1" ref="C27" ca="1">IF(OR('Raw Data'!C27="",LEN(TRIM('Raw Data'!C27))=0,Validate_Empty!C27&lt;&gt;"",Validate_Value!C27&lt;&gt;""),"",IF('Raw Data'!C27 = Condition!C27,"",_xlfn.REGEXEXTRACT(CELL("address",'Raw Data'!C27),"\$([A-Z]+)\$[0-9]+")))</f>
        <v/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2:36" x14ac:dyDescent="0.25">
      <c r="B28" s="7" t="str" cm="1">
        <f t="array" aca="1" ref="B28" ca="1">IF(OR('Raw Data'!B28="",LEN(TRIM('Raw Data'!B28))=0,Validate_Empty!B28&lt;&gt;"",Validate_Value!B28&lt;&gt;""),"",IF('Raw Data'!B28 = Condition!B28,"",_xlfn.REGEXEXTRACT(CELL("address",'Raw Data'!B28),"\$([A-Z]+)\$[0-9]+")))</f>
        <v/>
      </c>
      <c r="C28" s="7" t="str" cm="1">
        <f t="array" aca="1" ref="C28" ca="1">IF(OR('Raw Data'!C28="",LEN(TRIM('Raw Data'!C28))=0,Validate_Empty!C28&lt;&gt;"",Validate_Value!C28&lt;&gt;""),"",IF('Raw Data'!C28 = Condition!C28,"",_xlfn.REGEXEXTRACT(CELL("address",'Raw Data'!C28),"\$([A-Z]+)\$[0-9]+")))</f>
        <v/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2:36" x14ac:dyDescent="0.25">
      <c r="B29" s="7" t="str" cm="1">
        <f t="array" aca="1" ref="B29" ca="1">IF(OR('Raw Data'!B29="",LEN(TRIM('Raw Data'!B29))=0,Validate_Empty!B29&lt;&gt;"",Validate_Value!B29&lt;&gt;""),"",IF('Raw Data'!B29 = Condition!B29,"",_xlfn.REGEXEXTRACT(CELL("address",'Raw Data'!B29),"\$([A-Z]+)\$[0-9]+")))</f>
        <v/>
      </c>
      <c r="C29" s="7" t="str" cm="1">
        <f t="array" aca="1" ref="C29" ca="1">IF(OR('Raw Data'!C29="",LEN(TRIM('Raw Data'!C29))=0,Validate_Empty!C29&lt;&gt;"",Validate_Value!C29&lt;&gt;""),"",IF('Raw Data'!C29 = Condition!C29,"",_xlfn.REGEXEXTRACT(CELL("address",'Raw Data'!C29),"\$([A-Z]+)\$[0-9]+")))</f>
        <v/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2:36" x14ac:dyDescent="0.25">
      <c r="B30" s="7" t="str" cm="1">
        <f t="array" aca="1" ref="B30" ca="1">IF(OR('Raw Data'!B30="",LEN(TRIM('Raw Data'!B30))=0,Validate_Empty!B30&lt;&gt;"",Validate_Value!B30&lt;&gt;""),"",IF('Raw Data'!B30 = Condition!B30,"",_xlfn.REGEXEXTRACT(CELL("address",'Raw Data'!B30),"\$([A-Z]+)\$[0-9]+")))</f>
        <v/>
      </c>
      <c r="C30" s="7" t="str" cm="1">
        <f t="array" aca="1" ref="C30" ca="1">IF(OR('Raw Data'!C30="",LEN(TRIM('Raw Data'!C30))=0,Validate_Empty!C30&lt;&gt;"",Validate_Value!C30&lt;&gt;""),"",IF('Raw Data'!C30 = Condition!C30,"",_xlfn.REGEXEXTRACT(CELL("address",'Raw Data'!C30),"\$([A-Z]+)\$[0-9]+")))</f>
        <v/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2:36" x14ac:dyDescent="0.25">
      <c r="B31" s="7" t="str" cm="1">
        <f t="array" aca="1" ref="B31" ca="1">IF(OR('Raw Data'!B31="",LEN(TRIM('Raw Data'!B31))=0,Validate_Empty!B31&lt;&gt;"",Validate_Value!B31&lt;&gt;""),"",IF('Raw Data'!B31 = Condition!B31,"",_xlfn.REGEXEXTRACT(CELL("address",'Raw Data'!B31),"\$([A-Z]+)\$[0-9]+")))</f>
        <v/>
      </c>
      <c r="C31" s="7" t="str" cm="1">
        <f t="array" aca="1" ref="C31" ca="1">IF(OR('Raw Data'!C31="",LEN(TRIM('Raw Data'!C31))=0,Validate_Empty!C31&lt;&gt;"",Validate_Value!C31&lt;&gt;""),"",IF('Raw Data'!C31 = Condition!C31,"",_xlfn.REGEXEXTRACT(CELL("address",'Raw Data'!C31),"\$([A-Z]+)\$[0-9]+")))</f>
        <v/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2:36" x14ac:dyDescent="0.25">
      <c r="B32" s="7" t="str" cm="1">
        <f t="array" aca="1" ref="B32" ca="1">IF(OR('Raw Data'!B32="",LEN(TRIM('Raw Data'!B32))=0,Validate_Empty!B32&lt;&gt;"",Validate_Value!B32&lt;&gt;""),"",IF('Raw Data'!B32 = Condition!B32,"",_xlfn.REGEXEXTRACT(CELL("address",'Raw Data'!B32),"\$([A-Z]+)\$[0-9]+")))</f>
        <v/>
      </c>
      <c r="C32" s="7" t="str" cm="1">
        <f t="array" aca="1" ref="C32" ca="1">IF(OR('Raw Data'!C32="",LEN(TRIM('Raw Data'!C32))=0,Validate_Empty!C32&lt;&gt;"",Validate_Value!C32&lt;&gt;""),"",IF('Raw Data'!C32 = Condition!C32,"",_xlfn.REGEXEXTRACT(CELL("address",'Raw Data'!C32),"\$([A-Z]+)\$[0-9]+")))</f>
        <v/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2:36" x14ac:dyDescent="0.25">
      <c r="B33" s="7" t="str" cm="1">
        <f t="array" aca="1" ref="B33" ca="1">IF(OR('Raw Data'!B33="",LEN(TRIM('Raw Data'!B33))=0,Validate_Empty!B33&lt;&gt;"",Validate_Value!B33&lt;&gt;""),"",IF('Raw Data'!B33 = Condition!B33,"",_xlfn.REGEXEXTRACT(CELL("address",'Raw Data'!B33),"\$([A-Z]+)\$[0-9]+")))</f>
        <v/>
      </c>
      <c r="C33" s="7" t="str" cm="1">
        <f t="array" aca="1" ref="C33" ca="1">IF(OR('Raw Data'!C33="",LEN(TRIM('Raw Data'!C33))=0,Validate_Empty!C33&lt;&gt;"",Validate_Value!C33&lt;&gt;""),"",IF('Raw Data'!C33 = Condition!C33,"",_xlfn.REGEXEXTRACT(CELL("address",'Raw Data'!C33),"\$([A-Z]+)\$[0-9]+")))</f>
        <v/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2:36" x14ac:dyDescent="0.25">
      <c r="B34" s="7" t="str" cm="1">
        <f t="array" aca="1" ref="B34" ca="1">IF(OR('Raw Data'!B34="",LEN(TRIM('Raw Data'!B34))=0,Validate_Empty!B34&lt;&gt;"",Validate_Value!B34&lt;&gt;""),"",IF('Raw Data'!B34 = Condition!B34,"",_xlfn.REGEXEXTRACT(CELL("address",'Raw Data'!B34),"\$([A-Z]+)\$[0-9]+")))</f>
        <v/>
      </c>
      <c r="C34" s="7" t="str" cm="1">
        <f t="array" aca="1" ref="C34" ca="1">IF(OR('Raw Data'!C34="",LEN(TRIM('Raw Data'!C34))=0,Validate_Empty!C34&lt;&gt;"",Validate_Value!C34&lt;&gt;""),"",IF('Raw Data'!C34 = Condition!C34,"",_xlfn.REGEXEXTRACT(CELL("address",'Raw Data'!C34),"\$([A-Z]+)\$[0-9]+")))</f>
        <v/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2:36" x14ac:dyDescent="0.25">
      <c r="B35" s="7" t="str" cm="1">
        <f t="array" aca="1" ref="B35" ca="1">IF(OR('Raw Data'!B35="",LEN(TRIM('Raw Data'!B35))=0,Validate_Empty!B35&lt;&gt;"",Validate_Value!B35&lt;&gt;""),"",IF('Raw Data'!B35 = Condition!B35,"",_xlfn.REGEXEXTRACT(CELL("address",'Raw Data'!B35),"\$([A-Z]+)\$[0-9]+")))</f>
        <v/>
      </c>
      <c r="C35" s="7" t="str" cm="1">
        <f t="array" aca="1" ref="C35" ca="1">IF(OR('Raw Data'!C35="",LEN(TRIM('Raw Data'!C35))=0,Validate_Empty!C35&lt;&gt;"",Validate_Value!C35&lt;&gt;""),"",IF('Raw Data'!C35 = Condition!C35,"",_xlfn.REGEXEXTRACT(CELL("address",'Raw Data'!C35),"\$([A-Z]+)\$[0-9]+")))</f>
        <v/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2:36" x14ac:dyDescent="0.25">
      <c r="B36" s="7" t="str" cm="1">
        <f t="array" aca="1" ref="B36" ca="1">IF(OR('Raw Data'!B36="",LEN(TRIM('Raw Data'!B36))=0,Validate_Empty!B36&lt;&gt;"",Validate_Value!B36&lt;&gt;""),"",IF('Raw Data'!B36 = Condition!B36,"",_xlfn.REGEXEXTRACT(CELL("address",'Raw Data'!B36),"\$([A-Z]+)\$[0-9]+")))</f>
        <v/>
      </c>
      <c r="C36" s="7" t="str" cm="1">
        <f t="array" aca="1" ref="C36" ca="1">IF(OR('Raw Data'!C36="",LEN(TRIM('Raw Data'!C36))=0,Validate_Empty!C36&lt;&gt;"",Validate_Value!C36&lt;&gt;""),"",IF('Raw Data'!C36 = Condition!C36,"",_xlfn.REGEXEXTRACT(CELL("address",'Raw Data'!C36),"\$([A-Z]+)\$[0-9]+")))</f>
        <v/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2:36" x14ac:dyDescent="0.25">
      <c r="B37" s="7" t="str" cm="1">
        <f t="array" aca="1" ref="B37" ca="1">IF(OR('Raw Data'!B37="",LEN(TRIM('Raw Data'!B37))=0,Validate_Empty!B37&lt;&gt;"",Validate_Value!B37&lt;&gt;""),"",IF('Raw Data'!B37 = Condition!B37,"",_xlfn.REGEXEXTRACT(CELL("address",'Raw Data'!B37),"\$([A-Z]+)\$[0-9]+")))</f>
        <v/>
      </c>
      <c r="C37" s="7" t="str" cm="1">
        <f t="array" aca="1" ref="C37" ca="1">IF(OR('Raw Data'!C37="",LEN(TRIM('Raw Data'!C37))=0,Validate_Empty!C37&lt;&gt;"",Validate_Value!C37&lt;&gt;""),"",IF('Raw Data'!C37 = Condition!C37,"",_xlfn.REGEXEXTRACT(CELL("address",'Raw Data'!C37),"\$([A-Z]+)\$[0-9]+")))</f>
        <v/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2:36" x14ac:dyDescent="0.25">
      <c r="B38" s="7" t="str" cm="1">
        <f t="array" aca="1" ref="B38" ca="1">IF(OR('Raw Data'!B38="",LEN(TRIM('Raw Data'!B38))=0,Validate_Empty!B38&lt;&gt;"",Validate_Value!B38&lt;&gt;""),"",IF('Raw Data'!B38 = Condition!B38,"",_xlfn.REGEXEXTRACT(CELL("address",'Raw Data'!B38),"\$([A-Z]+)\$[0-9]+")))</f>
        <v/>
      </c>
      <c r="C38" s="7" t="str" cm="1">
        <f t="array" aca="1" ref="C38" ca="1">IF(OR('Raw Data'!C38="",LEN(TRIM('Raw Data'!C38))=0,Validate_Empty!C38&lt;&gt;"",Validate_Value!C38&lt;&gt;""),"",IF('Raw Data'!C38 = Condition!C38,"",_xlfn.REGEXEXTRACT(CELL("address",'Raw Data'!C38),"\$([A-Z]+)\$[0-9]+")))</f>
        <v/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2:36" x14ac:dyDescent="0.25">
      <c r="B39" s="7" t="str" cm="1">
        <f t="array" aca="1" ref="B39" ca="1">IF(OR('Raw Data'!B39="",LEN(TRIM('Raw Data'!B39))=0,Validate_Empty!B39&lt;&gt;"",Validate_Value!B39&lt;&gt;""),"",IF('Raw Data'!B39 = Condition!B39,"",_xlfn.REGEXEXTRACT(CELL("address",'Raw Data'!B39),"\$([A-Z]+)\$[0-9]+")))</f>
        <v/>
      </c>
      <c r="C39" s="7" t="str" cm="1">
        <f t="array" aca="1" ref="C39" ca="1">IF(OR('Raw Data'!C39="",LEN(TRIM('Raw Data'!C39))=0,Validate_Empty!C39&lt;&gt;"",Validate_Value!C39&lt;&gt;""),"",IF('Raw Data'!C39 = Condition!C39,"",_xlfn.REGEXEXTRACT(CELL("address",'Raw Data'!C39),"\$([A-Z]+)\$[0-9]+")))</f>
        <v/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2:36" x14ac:dyDescent="0.25">
      <c r="B40" s="7" t="str" cm="1">
        <f t="array" aca="1" ref="B40" ca="1">IF(OR('Raw Data'!B40="",LEN(TRIM('Raw Data'!B40))=0,Validate_Empty!B40&lt;&gt;"",Validate_Value!B40&lt;&gt;""),"",IF('Raw Data'!B40 = Condition!B40,"",_xlfn.REGEXEXTRACT(CELL("address",'Raw Data'!B40),"\$([A-Z]+)\$[0-9]+")))</f>
        <v/>
      </c>
      <c r="C40" s="7" t="str" cm="1">
        <f t="array" aca="1" ref="C40" ca="1">IF(OR('Raw Data'!C40="",LEN(TRIM('Raw Data'!C40))=0,Validate_Empty!C40&lt;&gt;"",Validate_Value!C40&lt;&gt;""),"",IF('Raw Data'!C40 = Condition!C40,"",_xlfn.REGEXEXTRACT(CELL("address",'Raw Data'!C40),"\$([A-Z]+)\$[0-9]+")))</f>
        <v/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2:36" x14ac:dyDescent="0.25">
      <c r="B41" s="7" t="str" cm="1">
        <f t="array" aca="1" ref="B41" ca="1">IF(OR('Raw Data'!B41="",LEN(TRIM('Raw Data'!B41))=0,Validate_Empty!B41&lt;&gt;"",Validate_Value!B41&lt;&gt;""),"",IF('Raw Data'!B41 = Condition!B41,"",_xlfn.REGEXEXTRACT(CELL("address",'Raw Data'!B41),"\$([A-Z]+)\$[0-9]+")))</f>
        <v/>
      </c>
      <c r="C41" s="7" t="str" cm="1">
        <f t="array" aca="1" ref="C41" ca="1">IF(OR('Raw Data'!C41="",LEN(TRIM('Raw Data'!C41))=0,Validate_Empty!C41&lt;&gt;"",Validate_Value!C41&lt;&gt;""),"",IF('Raw Data'!C41 = Condition!C41,"",_xlfn.REGEXEXTRACT(CELL("address",'Raw Data'!C41),"\$([A-Z]+)\$[0-9]+")))</f>
        <v/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2:36" x14ac:dyDescent="0.25">
      <c r="B42" s="7" t="str" cm="1">
        <f t="array" aca="1" ref="B42" ca="1">IF(OR('Raw Data'!B42="",LEN(TRIM('Raw Data'!B42))=0,Validate_Empty!B42&lt;&gt;"",Validate_Value!B42&lt;&gt;""),"",IF('Raw Data'!B42 = Condition!B42,"",_xlfn.REGEXEXTRACT(CELL("address",'Raw Data'!B42),"\$([A-Z]+)\$[0-9]+")))</f>
        <v/>
      </c>
      <c r="C42" s="7" t="str" cm="1">
        <f t="array" aca="1" ref="C42" ca="1">IF(OR('Raw Data'!C42="",LEN(TRIM('Raw Data'!C42))=0,Validate_Empty!C42&lt;&gt;"",Validate_Value!C42&lt;&gt;""),"",IF('Raw Data'!C42 = Condition!C42,"",_xlfn.REGEXEXTRACT(CELL("address",'Raw Data'!C42),"\$([A-Z]+)\$[0-9]+")))</f>
        <v/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2:36" x14ac:dyDescent="0.25">
      <c r="B43" s="7" t="str" cm="1">
        <f t="array" aca="1" ref="B43" ca="1">IF(OR('Raw Data'!B43="",LEN(TRIM('Raw Data'!B43))=0,Validate_Empty!B43&lt;&gt;"",Validate_Value!B43&lt;&gt;""),"",IF('Raw Data'!B43 = Condition!B43,"",_xlfn.REGEXEXTRACT(CELL("address",'Raw Data'!B43),"\$([A-Z]+)\$[0-9]+")))</f>
        <v/>
      </c>
      <c r="C43" s="7" t="str" cm="1">
        <f t="array" aca="1" ref="C43" ca="1">IF(OR('Raw Data'!C43="",LEN(TRIM('Raw Data'!C43))=0,Validate_Empty!C43&lt;&gt;"",Validate_Value!C43&lt;&gt;""),"",IF('Raw Data'!C43 = Condition!C43,"",_xlfn.REGEXEXTRACT(CELL("address",'Raw Data'!C43),"\$([A-Z]+)\$[0-9]+")))</f>
        <v/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2:36" x14ac:dyDescent="0.25">
      <c r="B44" s="7" t="str" cm="1">
        <f t="array" aca="1" ref="B44" ca="1">IF(OR('Raw Data'!B44="",LEN(TRIM('Raw Data'!B44))=0,Validate_Empty!B44&lt;&gt;"",Validate_Value!B44&lt;&gt;""),"",IF('Raw Data'!B44 = Condition!B44,"",_xlfn.REGEXEXTRACT(CELL("address",'Raw Data'!B44),"\$([A-Z]+)\$[0-9]+")))</f>
        <v/>
      </c>
      <c r="C44" s="7" t="str" cm="1">
        <f t="array" aca="1" ref="C44" ca="1">IF(OR('Raw Data'!C44="",LEN(TRIM('Raw Data'!C44))=0,Validate_Empty!C44&lt;&gt;"",Validate_Value!C44&lt;&gt;""),"",IF('Raw Data'!C44 = Condition!C44,"",_xlfn.REGEXEXTRACT(CELL("address",'Raw Data'!C44),"\$([A-Z]+)\$[0-9]+")))</f>
        <v/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2:36" x14ac:dyDescent="0.25">
      <c r="B45" s="7" t="str" cm="1">
        <f t="array" aca="1" ref="B45" ca="1">IF(OR('Raw Data'!B45="",LEN(TRIM('Raw Data'!B45))=0,Validate_Empty!B45&lt;&gt;"",Validate_Value!B45&lt;&gt;""),"",IF('Raw Data'!B45 = Condition!B45,"",_xlfn.REGEXEXTRACT(CELL("address",'Raw Data'!B45),"\$([A-Z]+)\$[0-9]+")))</f>
        <v/>
      </c>
      <c r="C45" s="7" t="str" cm="1">
        <f t="array" aca="1" ref="C45" ca="1">IF(OR('Raw Data'!C45="",LEN(TRIM('Raw Data'!C45))=0,Validate_Empty!C45&lt;&gt;"",Validate_Value!C45&lt;&gt;""),"",IF('Raw Data'!C45 = Condition!C45,"",_xlfn.REGEXEXTRACT(CELL("address",'Raw Data'!C45),"\$([A-Z]+)\$[0-9]+")))</f>
        <v/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2:36" x14ac:dyDescent="0.25">
      <c r="B46" s="7" t="str" cm="1">
        <f t="array" aca="1" ref="B46" ca="1">IF(OR('Raw Data'!B46="",LEN(TRIM('Raw Data'!B46))=0,Validate_Empty!B46&lt;&gt;"",Validate_Value!B46&lt;&gt;""),"",IF('Raw Data'!B46 = Condition!B46,"",_xlfn.REGEXEXTRACT(CELL("address",'Raw Data'!B46),"\$([A-Z]+)\$[0-9]+")))</f>
        <v/>
      </c>
      <c r="C46" s="7" t="str" cm="1">
        <f t="array" aca="1" ref="C46" ca="1">IF(OR('Raw Data'!C46="",LEN(TRIM('Raw Data'!C46))=0,Validate_Empty!C46&lt;&gt;"",Validate_Value!C46&lt;&gt;""),"",IF('Raw Data'!C46 = Condition!C46,"",_xlfn.REGEXEXTRACT(CELL("address",'Raw Data'!C46),"\$([A-Z]+)\$[0-9]+")))</f>
        <v/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2:36" x14ac:dyDescent="0.25">
      <c r="B47" s="7" t="str" cm="1">
        <f t="array" aca="1" ref="B47" ca="1">IF(OR('Raw Data'!B47="",LEN(TRIM('Raw Data'!B47))=0,Validate_Empty!B47&lt;&gt;"",Validate_Value!B47&lt;&gt;""),"",IF('Raw Data'!B47 = Condition!B47,"",_xlfn.REGEXEXTRACT(CELL("address",'Raw Data'!B47),"\$([A-Z]+)\$[0-9]+")))</f>
        <v/>
      </c>
      <c r="C47" s="7" t="str" cm="1">
        <f t="array" aca="1" ref="C47" ca="1">IF(OR('Raw Data'!C47="",LEN(TRIM('Raw Data'!C47))=0,Validate_Empty!C47&lt;&gt;"",Validate_Value!C47&lt;&gt;""),"",IF('Raw Data'!C47 = Condition!C47,"",_xlfn.REGEXEXTRACT(CELL("address",'Raw Data'!C47),"\$([A-Z]+)\$[0-9]+")))</f>
        <v/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2:36" x14ac:dyDescent="0.25">
      <c r="B48" s="7" t="str" cm="1">
        <f t="array" aca="1" ref="B48" ca="1">IF(OR('Raw Data'!B48="",LEN(TRIM('Raw Data'!B48))=0,Validate_Empty!B48&lt;&gt;"",Validate_Value!B48&lt;&gt;""),"",IF('Raw Data'!B48 = Condition!B48,"",_xlfn.REGEXEXTRACT(CELL("address",'Raw Data'!B48),"\$([A-Z]+)\$[0-9]+")))</f>
        <v/>
      </c>
      <c r="C48" s="7" t="str" cm="1">
        <f t="array" aca="1" ref="C48" ca="1">IF(OR('Raw Data'!C48="",LEN(TRIM('Raw Data'!C48))=0,Validate_Empty!C48&lt;&gt;"",Validate_Value!C48&lt;&gt;""),"",IF('Raw Data'!C48 = Condition!C48,"",_xlfn.REGEXEXTRACT(CELL("address",'Raw Data'!C48),"\$([A-Z]+)\$[0-9]+")))</f>
        <v/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2:36" x14ac:dyDescent="0.25">
      <c r="B49" s="7" t="str" cm="1">
        <f t="array" aca="1" ref="B49" ca="1">IF(OR('Raw Data'!B49="",LEN(TRIM('Raw Data'!B49))=0,Validate_Empty!B49&lt;&gt;"",Validate_Value!B49&lt;&gt;""),"",IF('Raw Data'!B49 = Condition!B49,"",_xlfn.REGEXEXTRACT(CELL("address",'Raw Data'!B49),"\$([A-Z]+)\$[0-9]+")))</f>
        <v/>
      </c>
      <c r="C49" s="7" t="str" cm="1">
        <f t="array" aca="1" ref="C49" ca="1">IF(OR('Raw Data'!C49="",LEN(TRIM('Raw Data'!C49))=0,Validate_Empty!C49&lt;&gt;"",Validate_Value!C49&lt;&gt;""),"",IF('Raw Data'!C49 = Condition!C49,"",_xlfn.REGEXEXTRACT(CELL("address",'Raw Data'!C49),"\$([A-Z]+)\$[0-9]+")))</f>
        <v/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2:36" x14ac:dyDescent="0.25">
      <c r="B50" s="7" t="str" cm="1">
        <f t="array" aca="1" ref="B50" ca="1">IF(OR('Raw Data'!B50="",LEN(TRIM('Raw Data'!B50))=0,Validate_Empty!B50&lt;&gt;"",Validate_Value!B50&lt;&gt;""),"",IF('Raw Data'!B50 = Condition!B50,"",_xlfn.REGEXEXTRACT(CELL("address",'Raw Data'!B50),"\$([A-Z]+)\$[0-9]+")))</f>
        <v/>
      </c>
      <c r="C50" s="7" t="str" cm="1">
        <f t="array" aca="1" ref="C50" ca="1">IF(OR('Raw Data'!C50="",LEN(TRIM('Raw Data'!C50))=0,Validate_Empty!C50&lt;&gt;"",Validate_Value!C50&lt;&gt;""),"",IF('Raw Data'!C50 = Condition!C50,"",_xlfn.REGEXEXTRACT(CELL("address",'Raw Data'!C50),"\$([A-Z]+)\$[0-9]+")))</f>
        <v/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2:36" x14ac:dyDescent="0.25">
      <c r="B51" s="7" t="str" cm="1">
        <f t="array" aca="1" ref="B51" ca="1">IF(OR('Raw Data'!B51="",LEN(TRIM('Raw Data'!B51))=0,Validate_Empty!B51&lt;&gt;"",Validate_Value!B51&lt;&gt;""),"",IF('Raw Data'!B51 = Condition!B51,"",_xlfn.REGEXEXTRACT(CELL("address",'Raw Data'!B51),"\$([A-Z]+)\$[0-9]+")))</f>
        <v/>
      </c>
      <c r="C51" s="7" t="str" cm="1">
        <f t="array" aca="1" ref="C51" ca="1">IF(OR('Raw Data'!C51="",LEN(TRIM('Raw Data'!C51))=0,Validate_Empty!C51&lt;&gt;"",Validate_Value!C51&lt;&gt;""),"",IF('Raw Data'!C51 = Condition!C51,"",_xlfn.REGEXEXTRACT(CELL("address",'Raw Data'!C51),"\$([A-Z]+)\$[0-9]+")))</f>
        <v/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2:36" x14ac:dyDescent="0.25">
      <c r="B52" s="7" t="str" cm="1">
        <f t="array" aca="1" ref="B52" ca="1">IF(OR('Raw Data'!B52="",LEN(TRIM('Raw Data'!B52))=0,Validate_Empty!B52&lt;&gt;"",Validate_Value!B52&lt;&gt;""),"",IF('Raw Data'!B52 = Condition!B52,"",_xlfn.REGEXEXTRACT(CELL("address",'Raw Data'!B52),"\$([A-Z]+)\$[0-9]+")))</f>
        <v/>
      </c>
      <c r="C52" s="7" t="str" cm="1">
        <f t="array" aca="1" ref="C52" ca="1">IF(OR('Raw Data'!C52="",LEN(TRIM('Raw Data'!C52))=0,Validate_Empty!C52&lt;&gt;"",Validate_Value!C52&lt;&gt;""),"",IF('Raw Data'!C52 = Condition!C52,"",_xlfn.REGEXEXTRACT(CELL("address",'Raw Data'!C52),"\$([A-Z]+)\$[0-9]+")))</f>
        <v/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2:36" x14ac:dyDescent="0.25">
      <c r="B53" s="7" t="str" cm="1">
        <f t="array" aca="1" ref="B53" ca="1">IF(OR('Raw Data'!B53="",LEN(TRIM('Raw Data'!B53))=0,Validate_Empty!B53&lt;&gt;"",Validate_Value!B53&lt;&gt;""),"",IF('Raw Data'!B53 = Condition!B53,"",_xlfn.REGEXEXTRACT(CELL("address",'Raw Data'!B53),"\$([A-Z]+)\$[0-9]+")))</f>
        <v/>
      </c>
      <c r="C53" s="7" t="str" cm="1">
        <f t="array" aca="1" ref="C53" ca="1">IF(OR('Raw Data'!C53="",LEN(TRIM('Raw Data'!C53))=0,Validate_Empty!C53&lt;&gt;"",Validate_Value!C53&lt;&gt;""),"",IF('Raw Data'!C53 = Condition!C53,"",_xlfn.REGEXEXTRACT(CELL("address",'Raw Data'!C53),"\$([A-Z]+)\$[0-9]+")))</f>
        <v/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2:36" x14ac:dyDescent="0.25">
      <c r="B54" s="7" t="str" cm="1">
        <f t="array" aca="1" ref="B54" ca="1">IF(OR('Raw Data'!B54="",LEN(TRIM('Raw Data'!B54))=0,Validate_Empty!B54&lt;&gt;"",Validate_Value!B54&lt;&gt;""),"",IF('Raw Data'!B54 = Condition!B54,"",_xlfn.REGEXEXTRACT(CELL("address",'Raw Data'!B54),"\$([A-Z]+)\$[0-9]+")))</f>
        <v/>
      </c>
      <c r="C54" s="7" t="str" cm="1">
        <f t="array" aca="1" ref="C54" ca="1">IF(OR('Raw Data'!C54="",LEN(TRIM('Raw Data'!C54))=0,Validate_Empty!C54&lt;&gt;"",Validate_Value!C54&lt;&gt;""),"",IF('Raw Data'!C54 = Condition!C54,"",_xlfn.REGEXEXTRACT(CELL("address",'Raw Data'!C54),"\$([A-Z]+)\$[0-9]+")))</f>
        <v/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2:36" x14ac:dyDescent="0.25">
      <c r="B55" s="7" t="str" cm="1">
        <f t="array" aca="1" ref="B55" ca="1">IF(OR('Raw Data'!B55="",LEN(TRIM('Raw Data'!B55))=0,Validate_Empty!B55&lt;&gt;"",Validate_Value!B55&lt;&gt;""),"",IF('Raw Data'!B55 = Condition!B55,"",_xlfn.REGEXEXTRACT(CELL("address",'Raw Data'!B55),"\$([A-Z]+)\$[0-9]+")))</f>
        <v/>
      </c>
      <c r="C55" s="7" t="str" cm="1">
        <f t="array" aca="1" ref="C55" ca="1">IF(OR('Raw Data'!C55="",LEN(TRIM('Raw Data'!C55))=0,Validate_Empty!C55&lt;&gt;"",Validate_Value!C55&lt;&gt;""),"",IF('Raw Data'!C55 = Condition!C55,"",_xlfn.REGEXEXTRACT(CELL("address",'Raw Data'!C55),"\$([A-Z]+)\$[0-9]+")))</f>
        <v/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2:36" x14ac:dyDescent="0.25">
      <c r="B56" s="7" t="str" cm="1">
        <f t="array" aca="1" ref="B56" ca="1">IF(OR('Raw Data'!B56="",LEN(TRIM('Raw Data'!B56))=0,Validate_Empty!B56&lt;&gt;"",Validate_Value!B56&lt;&gt;""),"",IF('Raw Data'!B56 = Condition!B56,"",_xlfn.REGEXEXTRACT(CELL("address",'Raw Data'!B56),"\$([A-Z]+)\$[0-9]+")))</f>
        <v/>
      </c>
      <c r="C56" s="7" t="str" cm="1">
        <f t="array" aca="1" ref="C56" ca="1">IF(OR('Raw Data'!C56="",LEN(TRIM('Raw Data'!C56))=0,Validate_Empty!C56&lt;&gt;"",Validate_Value!C56&lt;&gt;""),"",IF('Raw Data'!C56 = Condition!C56,"",_xlfn.REGEXEXTRACT(CELL("address",'Raw Data'!C56),"\$([A-Z]+)\$[0-9]+")))</f>
        <v/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2:36" x14ac:dyDescent="0.25">
      <c r="B57" s="7" t="str" cm="1">
        <f t="array" aca="1" ref="B57" ca="1">IF(OR('Raw Data'!B57="",LEN(TRIM('Raw Data'!B57))=0,Validate_Empty!B57&lt;&gt;"",Validate_Value!B57&lt;&gt;""),"",IF('Raw Data'!B57 = Condition!B57,"",_xlfn.REGEXEXTRACT(CELL("address",'Raw Data'!B57),"\$([A-Z]+)\$[0-9]+")))</f>
        <v/>
      </c>
      <c r="C57" s="7" t="str" cm="1">
        <f t="array" aca="1" ref="C57" ca="1">IF(OR('Raw Data'!C57="",LEN(TRIM('Raw Data'!C57))=0,Validate_Empty!C57&lt;&gt;"",Validate_Value!C57&lt;&gt;""),"",IF('Raw Data'!C57 = Condition!C57,"",_xlfn.REGEXEXTRACT(CELL("address",'Raw Data'!C57),"\$([A-Z]+)\$[0-9]+")))</f>
        <v/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2:36" x14ac:dyDescent="0.25">
      <c r="B58" s="7" t="str" cm="1">
        <f t="array" aca="1" ref="B58" ca="1">IF(OR('Raw Data'!B58="",LEN(TRIM('Raw Data'!B58))=0,Validate_Empty!B58&lt;&gt;"",Validate_Value!B58&lt;&gt;""),"",IF('Raw Data'!B58 = Condition!B58,"",_xlfn.REGEXEXTRACT(CELL("address",'Raw Data'!B58),"\$([A-Z]+)\$[0-9]+")))</f>
        <v/>
      </c>
      <c r="C58" s="7" t="str" cm="1">
        <f t="array" aca="1" ref="C58" ca="1">IF(OR('Raw Data'!C58="",LEN(TRIM('Raw Data'!C58))=0,Validate_Empty!C58&lt;&gt;"",Validate_Value!C58&lt;&gt;""),"",IF('Raw Data'!C58 = Condition!C58,"",_xlfn.REGEXEXTRACT(CELL("address",'Raw Data'!C58),"\$([A-Z]+)\$[0-9]+")))</f>
        <v/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2:36" x14ac:dyDescent="0.25">
      <c r="B59" s="7" t="str" cm="1">
        <f t="array" aca="1" ref="B59" ca="1">IF(OR('Raw Data'!B59="",LEN(TRIM('Raw Data'!B59))=0,Validate_Empty!B59&lt;&gt;"",Validate_Value!B59&lt;&gt;""),"",IF('Raw Data'!B59 = Condition!B59,"",_xlfn.REGEXEXTRACT(CELL("address",'Raw Data'!B59),"\$([A-Z]+)\$[0-9]+")))</f>
        <v/>
      </c>
      <c r="C59" s="7" t="str" cm="1">
        <f t="array" aca="1" ref="C59" ca="1">IF(OR('Raw Data'!C59="",LEN(TRIM('Raw Data'!C59))=0,Validate_Empty!C59&lt;&gt;"",Validate_Value!C59&lt;&gt;""),"",IF('Raw Data'!C59 = Condition!C59,"",_xlfn.REGEXEXTRACT(CELL("address",'Raw Data'!C59),"\$([A-Z]+)\$[0-9]+")))</f>
        <v/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2:36" x14ac:dyDescent="0.25">
      <c r="B60" s="7" t="str" cm="1">
        <f t="array" aca="1" ref="B60" ca="1">IF(OR('Raw Data'!B60="",LEN(TRIM('Raw Data'!B60))=0,Validate_Empty!B60&lt;&gt;"",Validate_Value!B60&lt;&gt;""),"",IF('Raw Data'!B60 = Condition!B60,"",_xlfn.REGEXEXTRACT(CELL("address",'Raw Data'!B60),"\$([A-Z]+)\$[0-9]+")))</f>
        <v/>
      </c>
      <c r="C60" s="7" t="str" cm="1">
        <f t="array" aca="1" ref="C60" ca="1">IF(OR('Raw Data'!C60="",LEN(TRIM('Raw Data'!C60))=0,Validate_Empty!C60&lt;&gt;"",Validate_Value!C60&lt;&gt;""),"",IF('Raw Data'!C60 = Condition!C60,"",_xlfn.REGEXEXTRACT(CELL("address",'Raw Data'!C60),"\$([A-Z]+)\$[0-9]+")))</f>
        <v/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2:36" x14ac:dyDescent="0.25">
      <c r="B61" s="7" t="str" cm="1">
        <f t="array" aca="1" ref="B61" ca="1">IF(OR('Raw Data'!B61="",LEN(TRIM('Raw Data'!B61))=0,Validate_Empty!B61&lt;&gt;"",Validate_Value!B61&lt;&gt;""),"",IF('Raw Data'!B61 = Condition!B61,"",_xlfn.REGEXEXTRACT(CELL("address",'Raw Data'!B61),"\$([A-Z]+)\$[0-9]+")))</f>
        <v/>
      </c>
      <c r="C61" s="7" t="str" cm="1">
        <f t="array" aca="1" ref="C61" ca="1">IF(OR('Raw Data'!C61="",LEN(TRIM('Raw Data'!C61))=0,Validate_Empty!C61&lt;&gt;"",Validate_Value!C61&lt;&gt;""),"",IF('Raw Data'!C61 = Condition!C61,"",_xlfn.REGEXEXTRACT(CELL("address",'Raw Data'!C61),"\$([A-Z]+)\$[0-9]+")))</f>
        <v/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2:36" x14ac:dyDescent="0.25">
      <c r="B62" s="7" t="str" cm="1">
        <f t="array" aca="1" ref="B62" ca="1">IF(OR('Raw Data'!B62="",LEN(TRIM('Raw Data'!B62))=0,Validate_Empty!B62&lt;&gt;"",Validate_Value!B62&lt;&gt;""),"",IF('Raw Data'!B62 = Condition!B62,"",_xlfn.REGEXEXTRACT(CELL("address",'Raw Data'!B62),"\$([A-Z]+)\$[0-9]+")))</f>
        <v/>
      </c>
      <c r="C62" s="7" t="str" cm="1">
        <f t="array" aca="1" ref="C62" ca="1">IF(OR('Raw Data'!C62="",LEN(TRIM('Raw Data'!C62))=0,Validate_Empty!C62&lt;&gt;"",Validate_Value!C62&lt;&gt;""),"",IF('Raw Data'!C62 = Condition!C62,"",_xlfn.REGEXEXTRACT(CELL("address",'Raw Data'!C62),"\$([A-Z]+)\$[0-9]+")))</f>
        <v/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2:36" x14ac:dyDescent="0.25">
      <c r="B63" s="7" t="str" cm="1">
        <f t="array" aca="1" ref="B63" ca="1">IF(OR('Raw Data'!B63="",LEN(TRIM('Raw Data'!B63))=0,Validate_Empty!B63&lt;&gt;"",Validate_Value!B63&lt;&gt;""),"",IF('Raw Data'!B63 = Condition!B63,"",_xlfn.REGEXEXTRACT(CELL("address",'Raw Data'!B63),"\$([A-Z]+)\$[0-9]+")))</f>
        <v/>
      </c>
      <c r="C63" s="7" t="str" cm="1">
        <f t="array" aca="1" ref="C63" ca="1">IF(OR('Raw Data'!C63="",LEN(TRIM('Raw Data'!C63))=0,Validate_Empty!C63&lt;&gt;"",Validate_Value!C63&lt;&gt;""),"",IF('Raw Data'!C63 = Condition!C63,"",_xlfn.REGEXEXTRACT(CELL("address",'Raw Data'!C63),"\$([A-Z]+)\$[0-9]+")))</f>
        <v/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2:36" x14ac:dyDescent="0.25">
      <c r="B64" s="7" t="str" cm="1">
        <f t="array" aca="1" ref="B64" ca="1">IF(OR('Raw Data'!B64="",LEN(TRIM('Raw Data'!B64))=0,Validate_Empty!B64&lt;&gt;"",Validate_Value!B64&lt;&gt;""),"",IF('Raw Data'!B64 = Condition!B64,"",_xlfn.REGEXEXTRACT(CELL("address",'Raw Data'!B64),"\$([A-Z]+)\$[0-9]+")))</f>
        <v/>
      </c>
      <c r="C64" s="7" t="str" cm="1">
        <f t="array" aca="1" ref="C64" ca="1">IF(OR('Raw Data'!C64="",LEN(TRIM('Raw Data'!C64))=0,Validate_Empty!C64&lt;&gt;"",Validate_Value!C64&lt;&gt;""),"",IF('Raw Data'!C64 = Condition!C64,"",_xlfn.REGEXEXTRACT(CELL("address",'Raw Data'!C64),"\$([A-Z]+)\$[0-9]+")))</f>
        <v/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2:36" x14ac:dyDescent="0.25">
      <c r="B65" s="7" t="str" cm="1">
        <f t="array" aca="1" ref="B65" ca="1">IF(OR('Raw Data'!B65="",LEN(TRIM('Raw Data'!B65))=0,Validate_Empty!B65&lt;&gt;"",Validate_Value!B65&lt;&gt;""),"",IF('Raw Data'!B65 = Condition!B65,"",_xlfn.REGEXEXTRACT(CELL("address",'Raw Data'!B65),"\$([A-Z]+)\$[0-9]+")))</f>
        <v/>
      </c>
      <c r="C65" s="7" t="str" cm="1">
        <f t="array" aca="1" ref="C65" ca="1">IF(OR('Raw Data'!C65="",LEN(TRIM('Raw Data'!C65))=0,Validate_Empty!C65&lt;&gt;"",Validate_Value!C65&lt;&gt;""),"",IF('Raw Data'!C65 = Condition!C65,"",_xlfn.REGEXEXTRACT(CELL("address",'Raw Data'!C65),"\$([A-Z]+)\$[0-9]+")))</f>
        <v/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2:36" x14ac:dyDescent="0.25">
      <c r="B66" s="7" t="str" cm="1">
        <f t="array" aca="1" ref="B66" ca="1">IF(OR('Raw Data'!B66="",LEN(TRIM('Raw Data'!B66))=0,Validate_Empty!B66&lt;&gt;"",Validate_Value!B66&lt;&gt;""),"",IF('Raw Data'!B66 = Condition!B66,"",_xlfn.REGEXEXTRACT(CELL("address",'Raw Data'!B66),"\$([A-Z]+)\$[0-9]+")))</f>
        <v/>
      </c>
      <c r="C66" s="7" t="str" cm="1">
        <f t="array" aca="1" ref="C66" ca="1">IF(OR('Raw Data'!C66="",LEN(TRIM('Raw Data'!C66))=0,Validate_Empty!C66&lt;&gt;"",Validate_Value!C66&lt;&gt;""),"",IF('Raw Data'!C66 = Condition!C66,"",_xlfn.REGEXEXTRACT(CELL("address",'Raw Data'!C66),"\$([A-Z]+)\$[0-9]+")))</f>
        <v/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2:36" x14ac:dyDescent="0.25">
      <c r="B67" s="7" t="str" cm="1">
        <f t="array" aca="1" ref="B67" ca="1">IF(OR('Raw Data'!B67="",LEN(TRIM('Raw Data'!B67))=0,Validate_Empty!B67&lt;&gt;"",Validate_Value!B67&lt;&gt;""),"",IF('Raw Data'!B67 = Condition!B67,"",_xlfn.REGEXEXTRACT(CELL("address",'Raw Data'!B67),"\$([A-Z]+)\$[0-9]+")))</f>
        <v/>
      </c>
      <c r="C67" s="7" t="str" cm="1">
        <f t="array" aca="1" ref="C67" ca="1">IF(OR('Raw Data'!C67="",LEN(TRIM('Raw Data'!C67))=0,Validate_Empty!C67&lt;&gt;"",Validate_Value!C67&lt;&gt;""),"",IF('Raw Data'!C67 = Condition!C67,"",_xlfn.REGEXEXTRACT(CELL("address",'Raw Data'!C67),"\$([A-Z]+)\$[0-9]+")))</f>
        <v/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2:36" x14ac:dyDescent="0.25">
      <c r="B68" s="7" t="str" cm="1">
        <f t="array" aca="1" ref="B68" ca="1">IF(OR('Raw Data'!B68="",LEN(TRIM('Raw Data'!B68))=0,Validate_Empty!B68&lt;&gt;"",Validate_Value!B68&lt;&gt;""),"",IF('Raw Data'!B68 = Condition!B68,"",_xlfn.REGEXEXTRACT(CELL("address",'Raw Data'!B68),"\$([A-Z]+)\$[0-9]+")))</f>
        <v/>
      </c>
      <c r="C68" s="7" t="str" cm="1">
        <f t="array" aca="1" ref="C68" ca="1">IF(OR('Raw Data'!C68="",LEN(TRIM('Raw Data'!C68))=0,Validate_Empty!C68&lt;&gt;"",Validate_Value!C68&lt;&gt;""),"",IF('Raw Data'!C68 = Condition!C68,"",_xlfn.REGEXEXTRACT(CELL("address",'Raw Data'!C68),"\$([A-Z]+)\$[0-9]+")))</f>
        <v/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2:36" x14ac:dyDescent="0.25">
      <c r="B69" s="7" t="str" cm="1">
        <f t="array" aca="1" ref="B69" ca="1">IF(OR('Raw Data'!B69="",LEN(TRIM('Raw Data'!B69))=0,Validate_Empty!B69&lt;&gt;"",Validate_Value!B69&lt;&gt;""),"",IF('Raw Data'!B69 = Condition!B69,"",_xlfn.REGEXEXTRACT(CELL("address",'Raw Data'!B69),"\$([A-Z]+)\$[0-9]+")))</f>
        <v/>
      </c>
      <c r="C69" s="7" t="str" cm="1">
        <f t="array" aca="1" ref="C69" ca="1">IF(OR('Raw Data'!C69="",LEN(TRIM('Raw Data'!C69))=0,Validate_Empty!C69&lt;&gt;"",Validate_Value!C69&lt;&gt;""),"",IF('Raw Data'!C69 = Condition!C69,"",_xlfn.REGEXEXTRACT(CELL("address",'Raw Data'!C69),"\$([A-Z]+)\$[0-9]+")))</f>
        <v/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2:36" x14ac:dyDescent="0.25">
      <c r="B70" s="7" t="str" cm="1">
        <f t="array" aca="1" ref="B70" ca="1">IF(OR('Raw Data'!B70="",LEN(TRIM('Raw Data'!B70))=0,Validate_Empty!B70&lt;&gt;"",Validate_Value!B70&lt;&gt;""),"",IF('Raw Data'!B70 = Condition!B70,"",_xlfn.REGEXEXTRACT(CELL("address",'Raw Data'!B70),"\$([A-Z]+)\$[0-9]+")))</f>
        <v/>
      </c>
      <c r="C70" s="7" t="str" cm="1">
        <f t="array" aca="1" ref="C70" ca="1">IF(OR('Raw Data'!C70="",LEN(TRIM('Raw Data'!C70))=0,Validate_Empty!C70&lt;&gt;"",Validate_Value!C70&lt;&gt;""),"",IF('Raw Data'!C70 = Condition!C70,"",_xlfn.REGEXEXTRACT(CELL("address",'Raw Data'!C70),"\$([A-Z]+)\$[0-9]+")))</f>
        <v/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2:36" x14ac:dyDescent="0.25">
      <c r="B71" s="7" t="str" cm="1">
        <f t="array" aca="1" ref="B71" ca="1">IF(OR('Raw Data'!B71="",LEN(TRIM('Raw Data'!B71))=0,Validate_Empty!B71&lt;&gt;"",Validate_Value!B71&lt;&gt;""),"",IF('Raw Data'!B71 = Condition!B71,"",_xlfn.REGEXEXTRACT(CELL("address",'Raw Data'!B71),"\$([A-Z]+)\$[0-9]+")))</f>
        <v/>
      </c>
      <c r="C71" s="7" t="str" cm="1">
        <f t="array" aca="1" ref="C71" ca="1">IF(OR('Raw Data'!C71="",LEN(TRIM('Raw Data'!C71))=0,Validate_Empty!C71&lt;&gt;"",Validate_Value!C71&lt;&gt;""),"",IF('Raw Data'!C71 = Condition!C71,"",_xlfn.REGEXEXTRACT(CELL("address",'Raw Data'!C71),"\$([A-Z]+)\$[0-9]+")))</f>
        <v/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2:36" x14ac:dyDescent="0.25">
      <c r="B72" s="7" t="str" cm="1">
        <f t="array" aca="1" ref="B72" ca="1">IF(OR('Raw Data'!B72="",LEN(TRIM('Raw Data'!B72))=0,Validate_Empty!B72&lt;&gt;"",Validate_Value!B72&lt;&gt;""),"",IF('Raw Data'!B72 = Condition!B72,"",_xlfn.REGEXEXTRACT(CELL("address",'Raw Data'!B72),"\$([A-Z]+)\$[0-9]+")))</f>
        <v/>
      </c>
      <c r="C72" s="7" t="str" cm="1">
        <f t="array" aca="1" ref="C72" ca="1">IF(OR('Raw Data'!C72="",LEN(TRIM('Raw Data'!C72))=0,Validate_Empty!C72&lt;&gt;"",Validate_Value!C72&lt;&gt;""),"",IF('Raw Data'!C72 = Condition!C72,"",_xlfn.REGEXEXTRACT(CELL("address",'Raw Data'!C72),"\$([A-Z]+)\$[0-9]+")))</f>
        <v/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2:36" x14ac:dyDescent="0.25">
      <c r="B73" s="7" t="str" cm="1">
        <f t="array" aca="1" ref="B73" ca="1">IF(OR('Raw Data'!B73="",LEN(TRIM('Raw Data'!B73))=0,Validate_Empty!B73&lt;&gt;"",Validate_Value!B73&lt;&gt;""),"",IF('Raw Data'!B73 = Condition!B73,"",_xlfn.REGEXEXTRACT(CELL("address",'Raw Data'!B73),"\$([A-Z]+)\$[0-9]+")))</f>
        <v/>
      </c>
      <c r="C73" s="7" t="str" cm="1">
        <f t="array" aca="1" ref="C73" ca="1">IF(OR('Raw Data'!C73="",LEN(TRIM('Raw Data'!C73))=0,Validate_Empty!C73&lt;&gt;"",Validate_Value!C73&lt;&gt;""),"",IF('Raw Data'!C73 = Condition!C73,"",_xlfn.REGEXEXTRACT(CELL("address",'Raw Data'!C73),"\$([A-Z]+)\$[0-9]+")))</f>
        <v/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2:36" x14ac:dyDescent="0.25">
      <c r="B74" s="7" t="str" cm="1">
        <f t="array" aca="1" ref="B74" ca="1">IF(OR('Raw Data'!B74="",LEN(TRIM('Raw Data'!B74))=0,Validate_Empty!B74&lt;&gt;"",Validate_Value!B74&lt;&gt;""),"",IF('Raw Data'!B74 = Condition!B74,"",_xlfn.REGEXEXTRACT(CELL("address",'Raw Data'!B74),"\$([A-Z]+)\$[0-9]+")))</f>
        <v/>
      </c>
      <c r="C74" s="7" t="str" cm="1">
        <f t="array" aca="1" ref="C74" ca="1">IF(OR('Raw Data'!C74="",LEN(TRIM('Raw Data'!C74))=0,Validate_Empty!C74&lt;&gt;"",Validate_Value!C74&lt;&gt;""),"",IF('Raw Data'!C74 = Condition!C74,"",_xlfn.REGEXEXTRACT(CELL("address",'Raw Data'!C74),"\$([A-Z]+)\$[0-9]+")))</f>
        <v/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2:36" x14ac:dyDescent="0.25">
      <c r="B75" s="7" t="str" cm="1">
        <f t="array" aca="1" ref="B75" ca="1">IF(OR('Raw Data'!B75="",LEN(TRIM('Raw Data'!B75))=0,Validate_Empty!B75&lt;&gt;"",Validate_Value!B75&lt;&gt;""),"",IF('Raw Data'!B75 = Condition!B75,"",_xlfn.REGEXEXTRACT(CELL("address",'Raw Data'!B75),"\$([A-Z]+)\$[0-9]+")))</f>
        <v/>
      </c>
      <c r="C75" s="7" t="str" cm="1">
        <f t="array" aca="1" ref="C75" ca="1">IF(OR('Raw Data'!C75="",LEN(TRIM('Raw Data'!C75))=0,Validate_Empty!C75&lt;&gt;"",Validate_Value!C75&lt;&gt;""),"",IF('Raw Data'!C75 = Condition!C75,"",_xlfn.REGEXEXTRACT(CELL("address",'Raw Data'!C75),"\$([A-Z]+)\$[0-9]+")))</f>
        <v/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2:36" x14ac:dyDescent="0.25">
      <c r="B76" s="7" t="str" cm="1">
        <f t="array" aca="1" ref="B76" ca="1">IF(OR('Raw Data'!B76="",LEN(TRIM('Raw Data'!B76))=0,Validate_Empty!B76&lt;&gt;"",Validate_Value!B76&lt;&gt;""),"",IF('Raw Data'!B76 = Condition!B76,"",_xlfn.REGEXEXTRACT(CELL("address",'Raw Data'!B76),"\$([A-Z]+)\$[0-9]+")))</f>
        <v/>
      </c>
      <c r="C76" s="7" t="str" cm="1">
        <f t="array" aca="1" ref="C76" ca="1">IF(OR('Raw Data'!C76="",LEN(TRIM('Raw Data'!C76))=0,Validate_Empty!C76&lt;&gt;"",Validate_Value!C76&lt;&gt;""),"",IF('Raw Data'!C76 = Condition!C76,"",_xlfn.REGEXEXTRACT(CELL("address",'Raw Data'!C76),"\$([A-Z]+)\$[0-9]+")))</f>
        <v/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2:36" x14ac:dyDescent="0.25">
      <c r="B77" s="7" t="str" cm="1">
        <f t="array" aca="1" ref="B77" ca="1">IF(OR('Raw Data'!B77="",LEN(TRIM('Raw Data'!B77))=0,Validate_Empty!B77&lt;&gt;"",Validate_Value!B77&lt;&gt;""),"",IF('Raw Data'!B77 = Condition!B77,"",_xlfn.REGEXEXTRACT(CELL("address",'Raw Data'!B77),"\$([A-Z]+)\$[0-9]+")))</f>
        <v/>
      </c>
      <c r="C77" s="7" t="str" cm="1">
        <f t="array" aca="1" ref="C77" ca="1">IF(OR('Raw Data'!C77="",LEN(TRIM('Raw Data'!C77))=0,Validate_Empty!C77&lt;&gt;"",Validate_Value!C77&lt;&gt;""),"",IF('Raw Data'!C77 = Condition!C77,"",_xlfn.REGEXEXTRACT(CELL("address",'Raw Data'!C77),"\$([A-Z]+)\$[0-9]+")))</f>
        <v/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2:36" x14ac:dyDescent="0.25">
      <c r="B78" s="7" t="str" cm="1">
        <f t="array" aca="1" ref="B78" ca="1">IF(OR('Raw Data'!B78="",LEN(TRIM('Raw Data'!B78))=0,Validate_Empty!B78&lt;&gt;"",Validate_Value!B78&lt;&gt;""),"",IF('Raw Data'!B78 = Condition!B78,"",_xlfn.REGEXEXTRACT(CELL("address",'Raw Data'!B78),"\$([A-Z]+)\$[0-9]+")))</f>
        <v/>
      </c>
      <c r="C78" s="7" t="str" cm="1">
        <f t="array" aca="1" ref="C78" ca="1">IF(OR('Raw Data'!C78="",LEN(TRIM('Raw Data'!C78))=0,Validate_Empty!C78&lt;&gt;"",Validate_Value!C78&lt;&gt;""),"",IF('Raw Data'!C78 = Condition!C78,"",_xlfn.REGEXEXTRACT(CELL("address",'Raw Data'!C78),"\$([A-Z]+)\$[0-9]+")))</f>
        <v/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2:36" x14ac:dyDescent="0.25">
      <c r="B79" s="7" t="str" cm="1">
        <f t="array" aca="1" ref="B79" ca="1">IF(OR('Raw Data'!B79="",LEN(TRIM('Raw Data'!B79))=0,Validate_Empty!B79&lt;&gt;"",Validate_Value!B79&lt;&gt;""),"",IF('Raw Data'!B79 = Condition!B79,"",_xlfn.REGEXEXTRACT(CELL("address",'Raw Data'!B79),"\$([A-Z]+)\$[0-9]+")))</f>
        <v/>
      </c>
      <c r="C79" s="7" t="str" cm="1">
        <f t="array" aca="1" ref="C79" ca="1">IF(OR('Raw Data'!C79="",LEN(TRIM('Raw Data'!C79))=0,Validate_Empty!C79&lt;&gt;"",Validate_Value!C79&lt;&gt;""),"",IF('Raw Data'!C79 = Condition!C79,"",_xlfn.REGEXEXTRACT(CELL("address",'Raw Data'!C79),"\$([A-Z]+)\$[0-9]+")))</f>
        <v/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2:36" x14ac:dyDescent="0.25">
      <c r="B80" s="7" t="str" cm="1">
        <f t="array" aca="1" ref="B80" ca="1">IF(OR('Raw Data'!B80="",LEN(TRIM('Raw Data'!B80))=0,Validate_Empty!B80&lt;&gt;"",Validate_Value!B80&lt;&gt;""),"",IF('Raw Data'!B80 = Condition!B80,"",_xlfn.REGEXEXTRACT(CELL("address",'Raw Data'!B80),"\$([A-Z]+)\$[0-9]+")))</f>
        <v/>
      </c>
      <c r="C80" s="7" t="str" cm="1">
        <f t="array" aca="1" ref="C80" ca="1">IF(OR('Raw Data'!C80="",LEN(TRIM('Raw Data'!C80))=0,Validate_Empty!C80&lt;&gt;"",Validate_Value!C80&lt;&gt;""),"",IF('Raw Data'!C80 = Condition!C80,"",_xlfn.REGEXEXTRACT(CELL("address",'Raw Data'!C80),"\$([A-Z]+)\$[0-9]+")))</f>
        <v/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2:36" x14ac:dyDescent="0.25">
      <c r="B81" s="7" t="str" cm="1">
        <f t="array" aca="1" ref="B81" ca="1">IF(OR('Raw Data'!B81="",LEN(TRIM('Raw Data'!B81))=0,Validate_Empty!B81&lt;&gt;"",Validate_Value!B81&lt;&gt;""),"",IF('Raw Data'!B81 = Condition!B81,"",_xlfn.REGEXEXTRACT(CELL("address",'Raw Data'!B81),"\$([A-Z]+)\$[0-9]+")))</f>
        <v/>
      </c>
      <c r="C81" s="7" t="str" cm="1">
        <f t="array" aca="1" ref="C81" ca="1">IF(OR('Raw Data'!C81="",LEN(TRIM('Raw Data'!C81))=0,Validate_Empty!C81&lt;&gt;"",Validate_Value!C81&lt;&gt;""),"",IF('Raw Data'!C81 = Condition!C81,"",_xlfn.REGEXEXTRACT(CELL("address",'Raw Data'!C81),"\$([A-Z]+)\$[0-9]+")))</f>
        <v/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2:36" x14ac:dyDescent="0.25">
      <c r="B82" s="7" t="str" cm="1">
        <f t="array" aca="1" ref="B82" ca="1">IF(OR('Raw Data'!B82="",LEN(TRIM('Raw Data'!B82))=0,Validate_Empty!B82&lt;&gt;"",Validate_Value!B82&lt;&gt;""),"",IF('Raw Data'!B82 = Condition!B82,"",_xlfn.REGEXEXTRACT(CELL("address",'Raw Data'!B82),"\$([A-Z]+)\$[0-9]+")))</f>
        <v/>
      </c>
      <c r="C82" s="7" t="str" cm="1">
        <f t="array" aca="1" ref="C82" ca="1">IF(OR('Raw Data'!C82="",LEN(TRIM('Raw Data'!C82))=0,Validate_Empty!C82&lt;&gt;"",Validate_Value!C82&lt;&gt;""),"",IF('Raw Data'!C82 = Condition!C82,"",_xlfn.REGEXEXTRACT(CELL("address",'Raw Data'!C82),"\$([A-Z]+)\$[0-9]+")))</f>
        <v/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2:36" x14ac:dyDescent="0.25">
      <c r="B83" s="7" t="str" cm="1">
        <f t="array" aca="1" ref="B83" ca="1">IF(OR('Raw Data'!B83="",LEN(TRIM('Raw Data'!B83))=0,Validate_Empty!B83&lt;&gt;"",Validate_Value!B83&lt;&gt;""),"",IF('Raw Data'!B83 = Condition!B83,"",_xlfn.REGEXEXTRACT(CELL("address",'Raw Data'!B83),"\$([A-Z]+)\$[0-9]+")))</f>
        <v/>
      </c>
      <c r="C83" s="7" t="str" cm="1">
        <f t="array" aca="1" ref="C83" ca="1">IF(OR('Raw Data'!C83="",LEN(TRIM('Raw Data'!C83))=0,Validate_Empty!C83&lt;&gt;"",Validate_Value!C83&lt;&gt;""),"",IF('Raw Data'!C83 = Condition!C83,"",_xlfn.REGEXEXTRACT(CELL("address",'Raw Data'!C83),"\$([A-Z]+)\$[0-9]+")))</f>
        <v/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2:36" x14ac:dyDescent="0.25">
      <c r="B84" s="7" t="str" cm="1">
        <f t="array" aca="1" ref="B84" ca="1">IF(OR('Raw Data'!B84="",LEN(TRIM('Raw Data'!B84))=0,Validate_Empty!B84&lt;&gt;"",Validate_Value!B84&lt;&gt;""),"",IF('Raw Data'!B84 = Condition!B84,"",_xlfn.REGEXEXTRACT(CELL("address",'Raw Data'!B84),"\$([A-Z]+)\$[0-9]+")))</f>
        <v/>
      </c>
      <c r="C84" s="7" t="str" cm="1">
        <f t="array" aca="1" ref="C84" ca="1">IF(OR('Raw Data'!C84="",LEN(TRIM('Raw Data'!C84))=0,Validate_Empty!C84&lt;&gt;"",Validate_Value!C84&lt;&gt;""),"",IF('Raw Data'!C84 = Condition!C84,"",_xlfn.REGEXEXTRACT(CELL("address",'Raw Data'!C84),"\$([A-Z]+)\$[0-9]+")))</f>
        <v/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2:36" x14ac:dyDescent="0.25">
      <c r="B85" s="7" t="str" cm="1">
        <f t="array" aca="1" ref="B85" ca="1">IF(OR('Raw Data'!B85="",LEN(TRIM('Raw Data'!B85))=0,Validate_Empty!B85&lt;&gt;"",Validate_Value!B85&lt;&gt;""),"",IF('Raw Data'!B85 = Condition!B85,"",_xlfn.REGEXEXTRACT(CELL("address",'Raw Data'!B85),"\$([A-Z]+)\$[0-9]+")))</f>
        <v/>
      </c>
      <c r="C85" s="7" t="str" cm="1">
        <f t="array" aca="1" ref="C85" ca="1">IF(OR('Raw Data'!C85="",LEN(TRIM('Raw Data'!C85))=0,Validate_Empty!C85&lt;&gt;"",Validate_Value!C85&lt;&gt;""),"",IF('Raw Data'!C85 = Condition!C85,"",_xlfn.REGEXEXTRACT(CELL("address",'Raw Data'!C85),"\$([A-Z]+)\$[0-9]+")))</f>
        <v/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2:36" x14ac:dyDescent="0.25">
      <c r="B86" s="7" t="str" cm="1">
        <f t="array" aca="1" ref="B86" ca="1">IF(OR('Raw Data'!B86="",LEN(TRIM('Raw Data'!B86))=0,Validate_Empty!B86&lt;&gt;"",Validate_Value!B86&lt;&gt;""),"",IF('Raw Data'!B86 = Condition!B86,"",_xlfn.REGEXEXTRACT(CELL("address",'Raw Data'!B86),"\$([A-Z]+)\$[0-9]+")))</f>
        <v/>
      </c>
      <c r="C86" s="7" t="str" cm="1">
        <f t="array" aca="1" ref="C86" ca="1">IF(OR('Raw Data'!C86="",LEN(TRIM('Raw Data'!C86))=0,Validate_Empty!C86&lt;&gt;"",Validate_Value!C86&lt;&gt;""),"",IF('Raw Data'!C86 = Condition!C86,"",_xlfn.REGEXEXTRACT(CELL("address",'Raw Data'!C86),"\$([A-Z]+)\$[0-9]+")))</f>
        <v/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2:36" x14ac:dyDescent="0.25">
      <c r="B87" s="7" t="str" cm="1">
        <f t="array" aca="1" ref="B87" ca="1">IF(OR('Raw Data'!B87="",LEN(TRIM('Raw Data'!B87))=0,Validate_Empty!B87&lt;&gt;"",Validate_Value!B87&lt;&gt;""),"",IF('Raw Data'!B87 = Condition!B87,"",_xlfn.REGEXEXTRACT(CELL("address",'Raw Data'!B87),"\$([A-Z]+)\$[0-9]+")))</f>
        <v/>
      </c>
      <c r="C87" s="7" t="str" cm="1">
        <f t="array" aca="1" ref="C87" ca="1">IF(OR('Raw Data'!C87="",LEN(TRIM('Raw Data'!C87))=0,Validate_Empty!C87&lt;&gt;"",Validate_Value!C87&lt;&gt;""),"",IF('Raw Data'!C87 = Condition!C87,"",_xlfn.REGEXEXTRACT(CELL("address",'Raw Data'!C87),"\$([A-Z]+)\$[0-9]+")))</f>
        <v/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2:36" x14ac:dyDescent="0.25">
      <c r="B88" s="7" t="str" cm="1">
        <f t="array" aca="1" ref="B88" ca="1">IF(OR('Raw Data'!B88="",LEN(TRIM('Raw Data'!B88))=0,Validate_Empty!B88&lt;&gt;"",Validate_Value!B88&lt;&gt;""),"",IF('Raw Data'!B88 = Condition!B88,"",_xlfn.REGEXEXTRACT(CELL("address",'Raw Data'!B88),"\$([A-Z]+)\$[0-9]+")))</f>
        <v/>
      </c>
      <c r="C88" s="7" t="str" cm="1">
        <f t="array" aca="1" ref="C88" ca="1">IF(OR('Raw Data'!C88="",LEN(TRIM('Raw Data'!C88))=0,Validate_Empty!C88&lt;&gt;"",Validate_Value!C88&lt;&gt;""),"",IF('Raw Data'!C88 = Condition!C88,"",_xlfn.REGEXEXTRACT(CELL("address",'Raw Data'!C88),"\$([A-Z]+)\$[0-9]+")))</f>
        <v/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2:36" x14ac:dyDescent="0.25">
      <c r="B89" s="7" t="str" cm="1">
        <f t="array" aca="1" ref="B89" ca="1">IF(OR('Raw Data'!B89="",LEN(TRIM('Raw Data'!B89))=0,Validate_Empty!B89&lt;&gt;"",Validate_Value!B89&lt;&gt;""),"",IF('Raw Data'!B89 = Condition!B89,"",_xlfn.REGEXEXTRACT(CELL("address",'Raw Data'!B89),"\$([A-Z]+)\$[0-9]+")))</f>
        <v/>
      </c>
      <c r="C89" s="7" t="str" cm="1">
        <f t="array" aca="1" ref="C89" ca="1">IF(OR('Raw Data'!C89="",LEN(TRIM('Raw Data'!C89))=0,Validate_Empty!C89&lt;&gt;"",Validate_Value!C89&lt;&gt;""),"",IF('Raw Data'!C89 = Condition!C89,"",_xlfn.REGEXEXTRACT(CELL("address",'Raw Data'!C89),"\$([A-Z]+)\$[0-9]+")))</f>
        <v/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2:36" x14ac:dyDescent="0.25">
      <c r="B90" s="7" t="str" cm="1">
        <f t="array" aca="1" ref="B90" ca="1">IF(OR('Raw Data'!B90="",LEN(TRIM('Raw Data'!B90))=0,Validate_Empty!B90&lt;&gt;"",Validate_Value!B90&lt;&gt;""),"",IF('Raw Data'!B90 = Condition!B90,"",_xlfn.REGEXEXTRACT(CELL("address",'Raw Data'!B90),"\$([A-Z]+)\$[0-9]+")))</f>
        <v/>
      </c>
      <c r="C90" s="7" t="str" cm="1">
        <f t="array" aca="1" ref="C90" ca="1">IF(OR('Raw Data'!C90="",LEN(TRIM('Raw Data'!C90))=0,Validate_Empty!C90&lt;&gt;"",Validate_Value!C90&lt;&gt;""),"",IF('Raw Data'!C90 = Condition!C90,"",_xlfn.REGEXEXTRACT(CELL("address",'Raw Data'!C90),"\$([A-Z]+)\$[0-9]+")))</f>
        <v/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2:36" x14ac:dyDescent="0.25">
      <c r="B91" s="7" t="str" cm="1">
        <f t="array" aca="1" ref="B91" ca="1">IF(OR('Raw Data'!B91="",LEN(TRIM('Raw Data'!B91))=0,Validate_Empty!B91&lt;&gt;"",Validate_Value!B91&lt;&gt;""),"",IF('Raw Data'!B91 = Condition!B91,"",_xlfn.REGEXEXTRACT(CELL("address",'Raw Data'!B91),"\$([A-Z]+)\$[0-9]+")))</f>
        <v/>
      </c>
      <c r="C91" s="7" t="str" cm="1">
        <f t="array" aca="1" ref="C91" ca="1">IF(OR('Raw Data'!C91="",LEN(TRIM('Raw Data'!C91))=0,Validate_Empty!C91&lt;&gt;"",Validate_Value!C91&lt;&gt;""),"",IF('Raw Data'!C91 = Condition!C91,"",_xlfn.REGEXEXTRACT(CELL("address",'Raw Data'!C91),"\$([A-Z]+)\$[0-9]+")))</f>
        <v/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2:36" x14ac:dyDescent="0.25">
      <c r="B92" s="7" t="str" cm="1">
        <f t="array" aca="1" ref="B92" ca="1">IF(OR('Raw Data'!B92="",LEN(TRIM('Raw Data'!B92))=0,Validate_Empty!B92&lt;&gt;"",Validate_Value!B92&lt;&gt;""),"",IF('Raw Data'!B92 = Condition!B92,"",_xlfn.REGEXEXTRACT(CELL("address",'Raw Data'!B92),"\$([A-Z]+)\$[0-9]+")))</f>
        <v/>
      </c>
      <c r="C92" s="7" t="str" cm="1">
        <f t="array" aca="1" ref="C92" ca="1">IF(OR('Raw Data'!C92="",LEN(TRIM('Raw Data'!C92))=0,Validate_Empty!C92&lt;&gt;"",Validate_Value!C92&lt;&gt;""),"",IF('Raw Data'!C92 = Condition!C92,"",_xlfn.REGEXEXTRACT(CELL("address",'Raw Data'!C92),"\$([A-Z]+)\$[0-9]+")))</f>
        <v/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2:36" x14ac:dyDescent="0.25">
      <c r="B93" s="7" t="str" cm="1">
        <f t="array" aca="1" ref="B93" ca="1">IF(OR('Raw Data'!B93="",LEN(TRIM('Raw Data'!B93))=0,Validate_Empty!B93&lt;&gt;"",Validate_Value!B93&lt;&gt;""),"",IF('Raw Data'!B93 = Condition!B93,"",_xlfn.REGEXEXTRACT(CELL("address",'Raw Data'!B93),"\$([A-Z]+)\$[0-9]+")))</f>
        <v/>
      </c>
      <c r="C93" s="7" t="str" cm="1">
        <f t="array" aca="1" ref="C93" ca="1">IF(OR('Raw Data'!C93="",LEN(TRIM('Raw Data'!C93))=0,Validate_Empty!C93&lt;&gt;"",Validate_Value!C93&lt;&gt;""),"",IF('Raw Data'!C93 = Condition!C93,"",_xlfn.REGEXEXTRACT(CELL("address",'Raw Data'!C93),"\$([A-Z]+)\$[0-9]+")))</f>
        <v/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2:36" x14ac:dyDescent="0.25">
      <c r="B94" s="7" t="str" cm="1">
        <f t="array" aca="1" ref="B94" ca="1">IF(OR('Raw Data'!B94="",LEN(TRIM('Raw Data'!B94))=0,Validate_Empty!B94&lt;&gt;"",Validate_Value!B94&lt;&gt;""),"",IF('Raw Data'!B94 = Condition!B94,"",_xlfn.REGEXEXTRACT(CELL("address",'Raw Data'!B94),"\$([A-Z]+)\$[0-9]+")))</f>
        <v/>
      </c>
      <c r="C94" s="7" t="str" cm="1">
        <f t="array" aca="1" ref="C94" ca="1">IF(OR('Raw Data'!C94="",LEN(TRIM('Raw Data'!C94))=0,Validate_Empty!C94&lt;&gt;"",Validate_Value!C94&lt;&gt;""),"",IF('Raw Data'!C94 = Condition!C94,"",_xlfn.REGEXEXTRACT(CELL("address",'Raw Data'!C94),"\$([A-Z]+)\$[0-9]+")))</f>
        <v/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2:36" x14ac:dyDescent="0.25">
      <c r="B95" s="7" t="str" cm="1">
        <f t="array" aca="1" ref="B95" ca="1">IF(OR('Raw Data'!B95="",LEN(TRIM('Raw Data'!B95))=0,Validate_Empty!B95&lt;&gt;"",Validate_Value!B95&lt;&gt;""),"",IF('Raw Data'!B95 = Condition!B95,"",_xlfn.REGEXEXTRACT(CELL("address",'Raw Data'!B95),"\$([A-Z]+)\$[0-9]+")))</f>
        <v/>
      </c>
      <c r="C95" s="7" t="str" cm="1">
        <f t="array" aca="1" ref="C95" ca="1">IF(OR('Raw Data'!C95="",LEN(TRIM('Raw Data'!C95))=0,Validate_Empty!C95&lt;&gt;"",Validate_Value!C95&lt;&gt;""),"",IF('Raw Data'!C95 = Condition!C95,"",_xlfn.REGEXEXTRACT(CELL("address",'Raw Data'!C95),"\$([A-Z]+)\$[0-9]+")))</f>
        <v/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2:36" x14ac:dyDescent="0.25">
      <c r="B96" s="7" t="str" cm="1">
        <f t="array" aca="1" ref="B96" ca="1">IF(OR('Raw Data'!B96="",LEN(TRIM('Raw Data'!B96))=0,Validate_Empty!B96&lt;&gt;"",Validate_Value!B96&lt;&gt;""),"",IF('Raw Data'!B96 = Condition!B96,"",_xlfn.REGEXEXTRACT(CELL("address",'Raw Data'!B96),"\$([A-Z]+)\$[0-9]+")))</f>
        <v/>
      </c>
      <c r="C96" s="7" t="str" cm="1">
        <f t="array" aca="1" ref="C96" ca="1">IF(OR('Raw Data'!C96="",LEN(TRIM('Raw Data'!C96))=0,Validate_Empty!C96&lt;&gt;"",Validate_Value!C96&lt;&gt;""),"",IF('Raw Data'!C96 = Condition!C96,"",_xlfn.REGEXEXTRACT(CELL("address",'Raw Data'!C96),"\$([A-Z]+)\$[0-9]+")))</f>
        <v/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2:36" x14ac:dyDescent="0.25">
      <c r="B97" s="7" t="str" cm="1">
        <f t="array" aca="1" ref="B97" ca="1">IF(OR('Raw Data'!B97="",LEN(TRIM('Raw Data'!B97))=0,Validate_Empty!B97&lt;&gt;"",Validate_Value!B97&lt;&gt;""),"",IF('Raw Data'!B97 = Condition!B97,"",_xlfn.REGEXEXTRACT(CELL("address",'Raw Data'!B97),"\$([A-Z]+)\$[0-9]+")))</f>
        <v/>
      </c>
      <c r="C97" s="7" t="str" cm="1">
        <f t="array" aca="1" ref="C97" ca="1">IF(OR('Raw Data'!C97="",LEN(TRIM('Raw Data'!C97))=0,Validate_Empty!C97&lt;&gt;"",Validate_Value!C97&lt;&gt;""),"",IF('Raw Data'!C97 = Condition!C97,"",_xlfn.REGEXEXTRACT(CELL("address",'Raw Data'!C97),"\$([A-Z]+)\$[0-9]+")))</f>
        <v/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2:36" x14ac:dyDescent="0.25">
      <c r="B98" s="7" t="str" cm="1">
        <f t="array" aca="1" ref="B98" ca="1">IF(OR('Raw Data'!B98="",LEN(TRIM('Raw Data'!B98))=0,Validate_Empty!B98&lt;&gt;"",Validate_Value!B98&lt;&gt;""),"",IF('Raw Data'!B98 = Condition!B98,"",_xlfn.REGEXEXTRACT(CELL("address",'Raw Data'!B98),"\$([A-Z]+)\$[0-9]+")))</f>
        <v/>
      </c>
      <c r="C98" s="7" t="str" cm="1">
        <f t="array" aca="1" ref="C98" ca="1">IF(OR('Raw Data'!C98="",LEN(TRIM('Raw Data'!C98))=0,Validate_Empty!C98&lt;&gt;"",Validate_Value!C98&lt;&gt;""),"",IF('Raw Data'!C98 = Condition!C98,"",_xlfn.REGEXEXTRACT(CELL("address",'Raw Data'!C98),"\$([A-Z]+)\$[0-9]+")))</f>
        <v/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2:36" x14ac:dyDescent="0.25">
      <c r="B99" s="7" t="str" cm="1">
        <f t="array" aca="1" ref="B99" ca="1">IF(OR('Raw Data'!B99="",LEN(TRIM('Raw Data'!B99))=0,Validate_Empty!B99&lt;&gt;"",Validate_Value!B99&lt;&gt;""),"",IF('Raw Data'!B99 = Condition!B99,"",_xlfn.REGEXEXTRACT(CELL("address",'Raw Data'!B99),"\$([A-Z]+)\$[0-9]+")))</f>
        <v/>
      </c>
      <c r="C99" s="7" t="str" cm="1">
        <f t="array" aca="1" ref="C99" ca="1">IF(OR('Raw Data'!C99="",LEN(TRIM('Raw Data'!C99))=0,Validate_Empty!C99&lt;&gt;"",Validate_Value!C99&lt;&gt;""),"",IF('Raw Data'!C99 = Condition!C99,"",_xlfn.REGEXEXTRACT(CELL("address",'Raw Data'!C99),"\$([A-Z]+)\$[0-9]+")))</f>
        <v/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2:36" x14ac:dyDescent="0.25">
      <c r="B100" s="7" t="str" cm="1">
        <f t="array" aca="1" ref="B100" ca="1">IF(OR('Raw Data'!B100="",LEN(TRIM('Raw Data'!B100))=0,Validate_Empty!B100&lt;&gt;"",Validate_Value!B100&lt;&gt;""),"",IF('Raw Data'!B100 = Condition!B100,"",_xlfn.REGEXEXTRACT(CELL("address",'Raw Data'!B100),"\$([A-Z]+)\$[0-9]+")))</f>
        <v/>
      </c>
      <c r="C100" s="7" t="str" cm="1">
        <f t="array" aca="1" ref="C100" ca="1">IF(OR('Raw Data'!C100="",LEN(TRIM('Raw Data'!C100))=0,Validate_Empty!C100&lt;&gt;"",Validate_Value!C100&lt;&gt;""),"",IF('Raw Data'!C100 = Condition!C100,"",_xlfn.REGEXEXTRACT(CELL("address",'Raw Data'!C100),"\$([A-Z]+)\$[0-9]+")))</f>
        <v/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2:36" x14ac:dyDescent="0.25">
      <c r="B101" s="7" t="str" cm="1">
        <f t="array" aca="1" ref="B101" ca="1">IF(OR('Raw Data'!B101="",LEN(TRIM('Raw Data'!B101))=0,Validate_Empty!B101&lt;&gt;"",Validate_Value!B101&lt;&gt;""),"",IF('Raw Data'!B101 = Condition!B101,"",_xlfn.REGEXEXTRACT(CELL("address",'Raw Data'!B101),"\$([A-Z]+)\$[0-9]+")))</f>
        <v/>
      </c>
      <c r="C101" s="7" t="str" cm="1">
        <f t="array" aca="1" ref="C101" ca="1">IF(OR('Raw Data'!C101="",LEN(TRIM('Raw Data'!C101))=0,Validate_Empty!C101&lt;&gt;"",Validate_Value!C101&lt;&gt;""),"",IF('Raw Data'!C101 = Condition!C101,"",_xlfn.REGEXEXTRACT(CELL("address",'Raw Data'!C101),"\$([A-Z]+)\$[0-9]+")))</f>
        <v/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2:36" x14ac:dyDescent="0.25">
      <c r="B102" s="7" t="str" cm="1">
        <f t="array" aca="1" ref="B102" ca="1">IF(OR('Raw Data'!B102="",LEN(TRIM('Raw Data'!B102))=0,Validate_Empty!B102&lt;&gt;"",Validate_Value!B102&lt;&gt;""),"",IF('Raw Data'!B102 = Condition!B102,"",_xlfn.REGEXEXTRACT(CELL("address",'Raw Data'!B102),"\$([A-Z]+)\$[0-9]+")))</f>
        <v/>
      </c>
      <c r="C102" s="7" t="str" cm="1">
        <f t="array" aca="1" ref="C102" ca="1">IF(OR('Raw Data'!C102="",LEN(TRIM('Raw Data'!C102))=0,Validate_Empty!C102&lt;&gt;"",Validate_Value!C102&lt;&gt;""),"",IF('Raw Data'!C102 = Condition!C102,"",_xlfn.REGEXEXTRACT(CELL("address",'Raw Data'!C102),"\$([A-Z]+)\$[0-9]+")))</f>
        <v/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2:36" x14ac:dyDescent="0.25">
      <c r="B103" s="7" t="str" cm="1">
        <f t="array" aca="1" ref="B103" ca="1">IF(OR('Raw Data'!B103="",LEN(TRIM('Raw Data'!B103))=0,Validate_Empty!B103&lt;&gt;"",Validate_Value!B103&lt;&gt;""),"",IF('Raw Data'!B103 = Condition!B103,"",_xlfn.REGEXEXTRACT(CELL("address",'Raw Data'!B103),"\$([A-Z]+)\$[0-9]+")))</f>
        <v/>
      </c>
      <c r="C103" s="7" t="str" cm="1">
        <f t="array" aca="1" ref="C103" ca="1">IF(OR('Raw Data'!C103="",LEN(TRIM('Raw Data'!C103))=0,Validate_Empty!C103&lt;&gt;"",Validate_Value!C103&lt;&gt;""),"",IF('Raw Data'!C103 = Condition!C103,"",_xlfn.REGEXEXTRACT(CELL("address",'Raw Data'!C103),"\$([A-Z]+)\$[0-9]+")))</f>
        <v/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2:36" x14ac:dyDescent="0.25">
      <c r="B104" s="7" t="str" cm="1">
        <f t="array" aca="1" ref="B104" ca="1">IF(OR('Raw Data'!B104="",LEN(TRIM('Raw Data'!B104))=0,Validate_Empty!B104&lt;&gt;"",Validate_Value!B104&lt;&gt;""),"",IF('Raw Data'!B104 = Condition!B104,"",_xlfn.REGEXEXTRACT(CELL("address",'Raw Data'!B104),"\$([A-Z]+)\$[0-9]+")))</f>
        <v/>
      </c>
      <c r="C104" s="7" t="str" cm="1">
        <f t="array" aca="1" ref="C104" ca="1">IF(OR('Raw Data'!C104="",LEN(TRIM('Raw Data'!C104))=0,Validate_Empty!C104&lt;&gt;"",Validate_Value!C104&lt;&gt;""),"",IF('Raw Data'!C104 = Condition!C104,"",_xlfn.REGEXEXTRACT(CELL("address",'Raw Data'!C104),"\$([A-Z]+)\$[0-9]+")))</f>
        <v/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2:36" x14ac:dyDescent="0.25">
      <c r="B105" s="7" t="str" cm="1">
        <f t="array" aca="1" ref="B105" ca="1">IF(OR('Raw Data'!B105="",LEN(TRIM('Raw Data'!B105))=0,Validate_Empty!B105&lt;&gt;"",Validate_Value!B105&lt;&gt;""),"",IF('Raw Data'!B105 = Condition!B105,"",_xlfn.REGEXEXTRACT(CELL("address",'Raw Data'!B105),"\$([A-Z]+)\$[0-9]+")))</f>
        <v/>
      </c>
      <c r="C105" s="7" t="str" cm="1">
        <f t="array" aca="1" ref="C105" ca="1">IF(OR('Raw Data'!C105="",LEN(TRIM('Raw Data'!C105))=0,Validate_Empty!C105&lt;&gt;"",Validate_Value!C105&lt;&gt;""),"",IF('Raw Data'!C105 = Condition!C105,"",_xlfn.REGEXEXTRACT(CELL("address",'Raw Data'!C105),"\$([A-Z]+)\$[0-9]+")))</f>
        <v/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2:36" x14ac:dyDescent="0.25">
      <c r="B106" s="7" t="str" cm="1">
        <f t="array" aca="1" ref="B106" ca="1">IF(OR('Raw Data'!B106="",LEN(TRIM('Raw Data'!B106))=0,Validate_Empty!B106&lt;&gt;"",Validate_Value!B106&lt;&gt;""),"",IF('Raw Data'!B106 = Condition!B106,"",_xlfn.REGEXEXTRACT(CELL("address",'Raw Data'!B106),"\$([A-Z]+)\$[0-9]+")))</f>
        <v/>
      </c>
      <c r="C106" s="7" t="str" cm="1">
        <f t="array" aca="1" ref="C106" ca="1">IF(OR('Raw Data'!C106="",LEN(TRIM('Raw Data'!C106))=0,Validate_Empty!C106&lt;&gt;"",Validate_Value!C106&lt;&gt;""),"",IF('Raw Data'!C106 = Condition!C106,"",_xlfn.REGEXEXTRACT(CELL("address",'Raw Data'!C106),"\$([A-Z]+)\$[0-9]+")))</f>
        <v/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2:36" x14ac:dyDescent="0.25">
      <c r="B107" s="7" t="str" cm="1">
        <f t="array" aca="1" ref="B107" ca="1">IF(OR('Raw Data'!B107="",LEN(TRIM('Raw Data'!B107))=0,Validate_Empty!B107&lt;&gt;"",Validate_Value!B107&lt;&gt;""),"",IF('Raw Data'!B107 = Condition!B107,"",_xlfn.REGEXEXTRACT(CELL("address",'Raw Data'!B107),"\$([A-Z]+)\$[0-9]+")))</f>
        <v/>
      </c>
      <c r="C107" s="7" t="str" cm="1">
        <f t="array" aca="1" ref="C107" ca="1">IF(OR('Raw Data'!C107="",LEN(TRIM('Raw Data'!C107))=0,Validate_Empty!C107&lt;&gt;"",Validate_Value!C107&lt;&gt;""),"",IF('Raw Data'!C107 = Condition!C107,"",_xlfn.REGEXEXTRACT(CELL("address",'Raw Data'!C107),"\$([A-Z]+)\$[0-9]+")))</f>
        <v/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2:36" x14ac:dyDescent="0.25">
      <c r="B108" s="7" t="str" cm="1">
        <f t="array" aca="1" ref="B108" ca="1">IF(OR('Raw Data'!B108="",LEN(TRIM('Raw Data'!B108))=0,Validate_Empty!B108&lt;&gt;"",Validate_Value!B108&lt;&gt;""),"",IF('Raw Data'!B108 = Condition!B108,"",_xlfn.REGEXEXTRACT(CELL("address",'Raw Data'!B108),"\$([A-Z]+)\$[0-9]+")))</f>
        <v/>
      </c>
      <c r="C108" s="7" t="str" cm="1">
        <f t="array" aca="1" ref="C108" ca="1">IF(OR('Raw Data'!C108="",LEN(TRIM('Raw Data'!C108))=0,Validate_Empty!C108&lt;&gt;"",Validate_Value!C108&lt;&gt;""),"",IF('Raw Data'!C108 = Condition!C108,"",_xlfn.REGEXEXTRACT(CELL("address",'Raw Data'!C108),"\$([A-Z]+)\$[0-9]+")))</f>
        <v/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2:36" x14ac:dyDescent="0.25">
      <c r="B109" s="7" t="str" cm="1">
        <f t="array" aca="1" ref="B109" ca="1">IF(OR('Raw Data'!B109="",LEN(TRIM('Raw Data'!B109))=0,Validate_Empty!B109&lt;&gt;"",Validate_Value!B109&lt;&gt;""),"",IF('Raw Data'!B109 = Condition!B109,"",_xlfn.REGEXEXTRACT(CELL("address",'Raw Data'!B109),"\$([A-Z]+)\$[0-9]+")))</f>
        <v/>
      </c>
      <c r="C109" s="7" t="str" cm="1">
        <f t="array" aca="1" ref="C109" ca="1">IF(OR('Raw Data'!C109="",LEN(TRIM('Raw Data'!C109))=0,Validate_Empty!C109&lt;&gt;"",Validate_Value!C109&lt;&gt;""),"",IF('Raw Data'!C109 = Condition!C109,"",_xlfn.REGEXEXTRACT(CELL("address",'Raw Data'!C109),"\$([A-Z]+)\$[0-9]+")))</f>
        <v/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2:36" x14ac:dyDescent="0.25">
      <c r="B110" s="7" t="str" cm="1">
        <f t="array" aca="1" ref="B110" ca="1">IF(OR('Raw Data'!B110="",LEN(TRIM('Raw Data'!B110))=0,Validate_Empty!B110&lt;&gt;"",Validate_Value!B110&lt;&gt;""),"",IF('Raw Data'!B110 = Condition!B110,"",_xlfn.REGEXEXTRACT(CELL("address",'Raw Data'!B110),"\$([A-Z]+)\$[0-9]+")))</f>
        <v/>
      </c>
      <c r="C110" s="7" t="str" cm="1">
        <f t="array" aca="1" ref="C110" ca="1">IF(OR('Raw Data'!C110="",LEN(TRIM('Raw Data'!C110))=0,Validate_Empty!C110&lt;&gt;"",Validate_Value!C110&lt;&gt;""),"",IF('Raw Data'!C110 = Condition!C110,"",_xlfn.REGEXEXTRACT(CELL("address",'Raw Data'!C110),"\$([A-Z]+)\$[0-9]+")))</f>
        <v/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2:36" x14ac:dyDescent="0.25">
      <c r="B111" s="7" t="str" cm="1">
        <f t="array" aca="1" ref="B111" ca="1">IF(OR('Raw Data'!B111="",LEN(TRIM('Raw Data'!B111))=0,Validate_Empty!B111&lt;&gt;"",Validate_Value!B111&lt;&gt;""),"",IF('Raw Data'!B111 = Condition!B111,"",_xlfn.REGEXEXTRACT(CELL("address",'Raw Data'!B111),"\$([A-Z]+)\$[0-9]+")))</f>
        <v/>
      </c>
      <c r="C111" s="7" t="str" cm="1">
        <f t="array" aca="1" ref="C111" ca="1">IF(OR('Raw Data'!C111="",LEN(TRIM('Raw Data'!C111))=0,Validate_Empty!C111&lt;&gt;"",Validate_Value!C111&lt;&gt;""),"",IF('Raw Data'!C111 = Condition!C111,"",_xlfn.REGEXEXTRACT(CELL("address",'Raw Data'!C111),"\$([A-Z]+)\$[0-9]+")))</f>
        <v/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2:36" x14ac:dyDescent="0.25">
      <c r="B112" s="7" t="str" cm="1">
        <f t="array" aca="1" ref="B112" ca="1">IF(OR('Raw Data'!B112="",LEN(TRIM('Raw Data'!B112))=0,Validate_Empty!B112&lt;&gt;"",Validate_Value!B112&lt;&gt;""),"",IF('Raw Data'!B112 = Condition!B112,"",_xlfn.REGEXEXTRACT(CELL("address",'Raw Data'!B112),"\$([A-Z]+)\$[0-9]+")))</f>
        <v/>
      </c>
      <c r="C112" s="7" t="str" cm="1">
        <f t="array" aca="1" ref="C112" ca="1">IF(OR('Raw Data'!C112="",LEN(TRIM('Raw Data'!C112))=0,Validate_Empty!C112&lt;&gt;"",Validate_Value!C112&lt;&gt;""),"",IF('Raw Data'!C112 = Condition!C112,"",_xlfn.REGEXEXTRACT(CELL("address",'Raw Data'!C112),"\$([A-Z]+)\$[0-9]+")))</f>
        <v/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2:36" x14ac:dyDescent="0.25">
      <c r="B113" s="7" t="str" cm="1">
        <f t="array" aca="1" ref="B113" ca="1">IF(OR('Raw Data'!B113="",LEN(TRIM('Raw Data'!B113))=0,Validate_Empty!B113&lt;&gt;"",Validate_Value!B113&lt;&gt;""),"",IF('Raw Data'!B113 = Condition!B113,"",_xlfn.REGEXEXTRACT(CELL("address",'Raw Data'!B113),"\$([A-Z]+)\$[0-9]+")))</f>
        <v/>
      </c>
      <c r="C113" s="7" t="str" cm="1">
        <f t="array" aca="1" ref="C113" ca="1">IF(OR('Raw Data'!C113="",LEN(TRIM('Raw Data'!C113))=0,Validate_Empty!C113&lt;&gt;"",Validate_Value!C113&lt;&gt;""),"",IF('Raw Data'!C113 = Condition!C113,"",_xlfn.REGEXEXTRACT(CELL("address",'Raw Data'!C113),"\$([A-Z]+)\$[0-9]+")))</f>
        <v/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2:36" x14ac:dyDescent="0.25">
      <c r="B114" s="7" t="str" cm="1">
        <f t="array" aca="1" ref="B114" ca="1">IF(OR('Raw Data'!B114="",LEN(TRIM('Raw Data'!B114))=0,Validate_Empty!B114&lt;&gt;"",Validate_Value!B114&lt;&gt;""),"",IF('Raw Data'!B114 = Condition!B114,"",_xlfn.REGEXEXTRACT(CELL("address",'Raw Data'!B114),"\$([A-Z]+)\$[0-9]+")))</f>
        <v/>
      </c>
      <c r="C114" s="7" t="str" cm="1">
        <f t="array" aca="1" ref="C114" ca="1">IF(OR('Raw Data'!C114="",LEN(TRIM('Raw Data'!C114))=0,Validate_Empty!C114&lt;&gt;"",Validate_Value!C114&lt;&gt;""),"",IF('Raw Data'!C114 = Condition!C114,"",_xlfn.REGEXEXTRACT(CELL("address",'Raw Data'!C114),"\$([A-Z]+)\$[0-9]+")))</f>
        <v/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2:36" x14ac:dyDescent="0.25">
      <c r="B115" s="7" t="str" cm="1">
        <f t="array" aca="1" ref="B115" ca="1">IF(OR('Raw Data'!B115="",LEN(TRIM('Raw Data'!B115))=0,Validate_Empty!B115&lt;&gt;"",Validate_Value!B115&lt;&gt;""),"",IF('Raw Data'!B115 = Condition!B115,"",_xlfn.REGEXEXTRACT(CELL("address",'Raw Data'!B115),"\$([A-Z]+)\$[0-9]+")))</f>
        <v/>
      </c>
      <c r="C115" s="7" t="str" cm="1">
        <f t="array" aca="1" ref="C115" ca="1">IF(OR('Raw Data'!C115="",LEN(TRIM('Raw Data'!C115))=0,Validate_Empty!C115&lt;&gt;"",Validate_Value!C115&lt;&gt;""),"",IF('Raw Data'!C115 = Condition!C115,"",_xlfn.REGEXEXTRACT(CELL("address",'Raw Data'!C115),"\$([A-Z]+)\$[0-9]+")))</f>
        <v/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2:36" x14ac:dyDescent="0.25">
      <c r="B116" s="7" t="str" cm="1">
        <f t="array" aca="1" ref="B116" ca="1">IF(OR('Raw Data'!B116="",LEN(TRIM('Raw Data'!B116))=0,Validate_Empty!B116&lt;&gt;"",Validate_Value!B116&lt;&gt;""),"",IF('Raw Data'!B116 = Condition!B116,"",_xlfn.REGEXEXTRACT(CELL("address",'Raw Data'!B116),"\$([A-Z]+)\$[0-9]+")))</f>
        <v/>
      </c>
      <c r="C116" s="7" t="str" cm="1">
        <f t="array" aca="1" ref="C116" ca="1">IF(OR('Raw Data'!C116="",LEN(TRIM('Raw Data'!C116))=0,Validate_Empty!C116&lt;&gt;"",Validate_Value!C116&lt;&gt;""),"",IF('Raw Data'!C116 = Condition!C116,"",_xlfn.REGEXEXTRACT(CELL("address",'Raw Data'!C116),"\$([A-Z]+)\$[0-9]+")))</f>
        <v/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2:36" x14ac:dyDescent="0.25">
      <c r="B117" s="7" t="str" cm="1">
        <f t="array" aca="1" ref="B117" ca="1">IF(OR('Raw Data'!B117="",LEN(TRIM('Raw Data'!B117))=0,Validate_Empty!B117&lt;&gt;"",Validate_Value!B117&lt;&gt;""),"",IF('Raw Data'!B117 = Condition!B117,"",_xlfn.REGEXEXTRACT(CELL("address",'Raw Data'!B117),"\$([A-Z]+)\$[0-9]+")))</f>
        <v/>
      </c>
      <c r="C117" s="7" t="str" cm="1">
        <f t="array" aca="1" ref="C117" ca="1">IF(OR('Raw Data'!C117="",LEN(TRIM('Raw Data'!C117))=0,Validate_Empty!C117&lt;&gt;"",Validate_Value!C117&lt;&gt;""),"",IF('Raw Data'!C117 = Condition!C117,"",_xlfn.REGEXEXTRACT(CELL("address",'Raw Data'!C117),"\$([A-Z]+)\$[0-9]+")))</f>
        <v/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2:36" x14ac:dyDescent="0.25">
      <c r="B118" s="7" t="str" cm="1">
        <f t="array" aca="1" ref="B118" ca="1">IF(OR('Raw Data'!B118="",LEN(TRIM('Raw Data'!B118))=0,Validate_Empty!B118&lt;&gt;"",Validate_Value!B118&lt;&gt;""),"",IF('Raw Data'!B118 = Condition!B118,"",_xlfn.REGEXEXTRACT(CELL("address",'Raw Data'!B118),"\$([A-Z]+)\$[0-9]+")))</f>
        <v/>
      </c>
      <c r="C118" s="7" t="str" cm="1">
        <f t="array" aca="1" ref="C118" ca="1">IF(OR('Raw Data'!C118="",LEN(TRIM('Raw Data'!C118))=0,Validate_Empty!C118&lt;&gt;"",Validate_Value!C118&lt;&gt;""),"",IF('Raw Data'!C118 = Condition!C118,"",_xlfn.REGEXEXTRACT(CELL("address",'Raw Data'!C118),"\$([A-Z]+)\$[0-9]+")))</f>
        <v/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2:36" x14ac:dyDescent="0.25">
      <c r="B119" s="7" t="str" cm="1">
        <f t="array" aca="1" ref="B119" ca="1">IF(OR('Raw Data'!B119="",LEN(TRIM('Raw Data'!B119))=0,Validate_Empty!B119&lt;&gt;"",Validate_Value!B119&lt;&gt;""),"",IF('Raw Data'!B119 = Condition!B119,"",_xlfn.REGEXEXTRACT(CELL("address",'Raw Data'!B119),"\$([A-Z]+)\$[0-9]+")))</f>
        <v/>
      </c>
      <c r="C119" s="7" t="str" cm="1">
        <f t="array" aca="1" ref="C119" ca="1">IF(OR('Raw Data'!C119="",LEN(TRIM('Raw Data'!C119))=0,Validate_Empty!C119&lt;&gt;"",Validate_Value!C119&lt;&gt;""),"",IF('Raw Data'!C119 = Condition!C119,"",_xlfn.REGEXEXTRACT(CELL("address",'Raw Data'!C119),"\$([A-Z]+)\$[0-9]+")))</f>
        <v/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2:36" x14ac:dyDescent="0.25">
      <c r="B120" s="7" t="str" cm="1">
        <f t="array" aca="1" ref="B120" ca="1">IF(OR('Raw Data'!B120="",LEN(TRIM('Raw Data'!B120))=0,Validate_Empty!B120&lt;&gt;"",Validate_Value!B120&lt;&gt;""),"",IF('Raw Data'!B120 = Condition!B120,"",_xlfn.REGEXEXTRACT(CELL("address",'Raw Data'!B120),"\$([A-Z]+)\$[0-9]+")))</f>
        <v/>
      </c>
      <c r="C120" s="7" t="str" cm="1">
        <f t="array" aca="1" ref="C120" ca="1">IF(OR('Raw Data'!C120="",LEN(TRIM('Raw Data'!C120))=0,Validate_Empty!C120&lt;&gt;"",Validate_Value!C120&lt;&gt;""),"",IF('Raw Data'!C120 = Condition!C120,"",_xlfn.REGEXEXTRACT(CELL("address",'Raw Data'!C120),"\$([A-Z]+)\$[0-9]+")))</f>
        <v/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2:36" x14ac:dyDescent="0.25">
      <c r="B121" s="7" t="str" cm="1">
        <f t="array" aca="1" ref="B121" ca="1">IF(OR('Raw Data'!B121="",LEN(TRIM('Raw Data'!B121))=0,Validate_Empty!B121&lt;&gt;"",Validate_Value!B121&lt;&gt;""),"",IF('Raw Data'!B121 = Condition!B121,"",_xlfn.REGEXEXTRACT(CELL("address",'Raw Data'!B121),"\$([A-Z]+)\$[0-9]+")))</f>
        <v/>
      </c>
      <c r="C121" s="7" t="str" cm="1">
        <f t="array" aca="1" ref="C121" ca="1">IF(OR('Raw Data'!C121="",LEN(TRIM('Raw Data'!C121))=0,Validate_Empty!C121&lt;&gt;"",Validate_Value!C121&lt;&gt;""),"",IF('Raw Data'!C121 = Condition!C121,"",_xlfn.REGEXEXTRACT(CELL("address",'Raw Data'!C121),"\$([A-Z]+)\$[0-9]+")))</f>
        <v/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2:36" x14ac:dyDescent="0.25">
      <c r="B122" s="7" t="str" cm="1">
        <f t="array" aca="1" ref="B122" ca="1">IF(OR('Raw Data'!B122="",LEN(TRIM('Raw Data'!B122))=0,Validate_Empty!B122&lt;&gt;"",Validate_Value!B122&lt;&gt;""),"",IF('Raw Data'!B122 = Condition!B122,"",_xlfn.REGEXEXTRACT(CELL("address",'Raw Data'!B122),"\$([A-Z]+)\$[0-9]+")))</f>
        <v/>
      </c>
      <c r="C122" s="7" t="str" cm="1">
        <f t="array" aca="1" ref="C122" ca="1">IF(OR('Raw Data'!C122="",LEN(TRIM('Raw Data'!C122))=0,Validate_Empty!C122&lt;&gt;"",Validate_Value!C122&lt;&gt;""),"",IF('Raw Data'!C122 = Condition!C122,"",_xlfn.REGEXEXTRACT(CELL("address",'Raw Data'!C122),"\$([A-Z]+)\$[0-9]+")))</f>
        <v/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2:36" x14ac:dyDescent="0.25">
      <c r="B123" s="7" t="str" cm="1">
        <f t="array" aca="1" ref="B123" ca="1">IF(OR('Raw Data'!B123="",LEN(TRIM('Raw Data'!B123))=0,Validate_Empty!B123&lt;&gt;"",Validate_Value!B123&lt;&gt;""),"",IF('Raw Data'!B123 = Condition!B123,"",_xlfn.REGEXEXTRACT(CELL("address",'Raw Data'!B123),"\$([A-Z]+)\$[0-9]+")))</f>
        <v/>
      </c>
      <c r="C123" s="7" t="str" cm="1">
        <f t="array" aca="1" ref="C123" ca="1">IF(OR('Raw Data'!C123="",LEN(TRIM('Raw Data'!C123))=0,Validate_Empty!C123&lt;&gt;"",Validate_Value!C123&lt;&gt;""),"",IF('Raw Data'!C123 = Condition!C123,"",_xlfn.REGEXEXTRACT(CELL("address",'Raw Data'!C123),"\$([A-Z]+)\$[0-9]+")))</f>
        <v/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2:36" x14ac:dyDescent="0.25">
      <c r="B124" s="7" t="str" cm="1">
        <f t="array" aca="1" ref="B124" ca="1">IF(OR('Raw Data'!B124="",LEN(TRIM('Raw Data'!B124))=0,Validate_Empty!B124&lt;&gt;"",Validate_Value!B124&lt;&gt;""),"",IF('Raw Data'!B124 = Condition!B124,"",_xlfn.REGEXEXTRACT(CELL("address",'Raw Data'!B124),"\$([A-Z]+)\$[0-9]+")))</f>
        <v/>
      </c>
      <c r="C124" s="7" t="str" cm="1">
        <f t="array" aca="1" ref="C124" ca="1">IF(OR('Raw Data'!C124="",LEN(TRIM('Raw Data'!C124))=0,Validate_Empty!C124&lt;&gt;"",Validate_Value!C124&lt;&gt;""),"",IF('Raw Data'!C124 = Condition!C124,"",_xlfn.REGEXEXTRACT(CELL("address",'Raw Data'!C124),"\$([A-Z]+)\$[0-9]+")))</f>
        <v/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2:36" x14ac:dyDescent="0.25">
      <c r="B125" s="7" t="str" cm="1">
        <f t="array" aca="1" ref="B125" ca="1">IF(OR('Raw Data'!B125="",LEN(TRIM('Raw Data'!B125))=0,Validate_Empty!B125&lt;&gt;"",Validate_Value!B125&lt;&gt;""),"",IF('Raw Data'!B125 = Condition!B125,"",_xlfn.REGEXEXTRACT(CELL("address",'Raw Data'!B125),"\$([A-Z]+)\$[0-9]+")))</f>
        <v/>
      </c>
      <c r="C125" s="7" t="str" cm="1">
        <f t="array" aca="1" ref="C125" ca="1">IF(OR('Raw Data'!C125="",LEN(TRIM('Raw Data'!C125))=0,Validate_Empty!C125&lt;&gt;"",Validate_Value!C125&lt;&gt;""),"",IF('Raw Data'!C125 = Condition!C125,"",_xlfn.REGEXEXTRACT(CELL("address",'Raw Data'!C125),"\$([A-Z]+)\$[0-9]+")))</f>
        <v/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2:36" x14ac:dyDescent="0.25">
      <c r="B126" s="7" t="str" cm="1">
        <f t="array" aca="1" ref="B126" ca="1">IF(OR('Raw Data'!B126="",LEN(TRIM('Raw Data'!B126))=0,Validate_Empty!B126&lt;&gt;"",Validate_Value!B126&lt;&gt;""),"",IF('Raw Data'!B126 = Condition!B126,"",_xlfn.REGEXEXTRACT(CELL("address",'Raw Data'!B126),"\$([A-Z]+)\$[0-9]+")))</f>
        <v/>
      </c>
      <c r="C126" s="7" t="str" cm="1">
        <f t="array" aca="1" ref="C126" ca="1">IF(OR('Raw Data'!C126="",LEN(TRIM('Raw Data'!C126))=0,Validate_Empty!C126&lt;&gt;"",Validate_Value!C126&lt;&gt;""),"",IF('Raw Data'!C126 = Condition!C126,"",_xlfn.REGEXEXTRACT(CELL("address",'Raw Data'!C126),"\$([A-Z]+)\$[0-9]+")))</f>
        <v/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2:36" x14ac:dyDescent="0.25">
      <c r="B127" s="7" t="str" cm="1">
        <f t="array" aca="1" ref="B127" ca="1">IF(OR('Raw Data'!B127="",LEN(TRIM('Raw Data'!B127))=0,Validate_Empty!B127&lt;&gt;"",Validate_Value!B127&lt;&gt;""),"",IF('Raw Data'!B127 = Condition!B127,"",_xlfn.REGEXEXTRACT(CELL("address",'Raw Data'!B127),"\$([A-Z]+)\$[0-9]+")))</f>
        <v/>
      </c>
      <c r="C127" s="7" t="str" cm="1">
        <f t="array" aca="1" ref="C127" ca="1">IF(OR('Raw Data'!C127="",LEN(TRIM('Raw Data'!C127))=0,Validate_Empty!C127&lt;&gt;"",Validate_Value!C127&lt;&gt;""),"",IF('Raw Data'!C127 = Condition!C127,"",_xlfn.REGEXEXTRACT(CELL("address",'Raw Data'!C127),"\$([A-Z]+)\$[0-9]+")))</f>
        <v/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2:36" x14ac:dyDescent="0.25">
      <c r="B128" s="7" t="str" cm="1">
        <f t="array" aca="1" ref="B128" ca="1">IF(OR('Raw Data'!B128="",LEN(TRIM('Raw Data'!B128))=0,Validate_Empty!B128&lt;&gt;"",Validate_Value!B128&lt;&gt;""),"",IF('Raw Data'!B128 = Condition!B128,"",_xlfn.REGEXEXTRACT(CELL("address",'Raw Data'!B128),"\$([A-Z]+)\$[0-9]+")))</f>
        <v/>
      </c>
      <c r="C128" s="7" t="str" cm="1">
        <f t="array" aca="1" ref="C128" ca="1">IF(OR('Raw Data'!C128="",LEN(TRIM('Raw Data'!C128))=0,Validate_Empty!C128&lt;&gt;"",Validate_Value!C128&lt;&gt;""),"",IF('Raw Data'!C128 = Condition!C128,"",_xlfn.REGEXEXTRACT(CELL("address",'Raw Data'!C128),"\$([A-Z]+)\$[0-9]+")))</f>
        <v/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2:36" x14ac:dyDescent="0.25">
      <c r="B129" s="7" t="str" cm="1">
        <f t="array" aca="1" ref="B129" ca="1">IF(OR('Raw Data'!B129="",LEN(TRIM('Raw Data'!B129))=0,Validate_Empty!B129&lt;&gt;"",Validate_Value!B129&lt;&gt;""),"",IF('Raw Data'!B129 = Condition!B129,"",_xlfn.REGEXEXTRACT(CELL("address",'Raw Data'!B129),"\$([A-Z]+)\$[0-9]+")))</f>
        <v/>
      </c>
      <c r="C129" s="7" t="str" cm="1">
        <f t="array" aca="1" ref="C129" ca="1">IF(OR('Raw Data'!C129="",LEN(TRIM('Raw Data'!C129))=0,Validate_Empty!C129&lt;&gt;"",Validate_Value!C129&lt;&gt;""),"",IF('Raw Data'!C129 = Condition!C129,"",_xlfn.REGEXEXTRACT(CELL("address",'Raw Data'!C129),"\$([A-Z]+)\$[0-9]+")))</f>
        <v/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2:36" x14ac:dyDescent="0.25">
      <c r="B130" s="7" t="str" cm="1">
        <f t="array" aca="1" ref="B130" ca="1">IF(OR('Raw Data'!B130="",LEN(TRIM('Raw Data'!B130))=0,Validate_Empty!B130&lt;&gt;"",Validate_Value!B130&lt;&gt;""),"",IF('Raw Data'!B130 = Condition!B130,"",_xlfn.REGEXEXTRACT(CELL("address",'Raw Data'!B130),"\$([A-Z]+)\$[0-9]+")))</f>
        <v/>
      </c>
      <c r="C130" s="7" t="str" cm="1">
        <f t="array" aca="1" ref="C130" ca="1">IF(OR('Raw Data'!C130="",LEN(TRIM('Raw Data'!C130))=0,Validate_Empty!C130&lt;&gt;"",Validate_Value!C130&lt;&gt;""),"",IF('Raw Data'!C130 = Condition!C130,"",_xlfn.REGEXEXTRACT(CELL("address",'Raw Data'!C130),"\$([A-Z]+)\$[0-9]+")))</f>
        <v/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2:36" x14ac:dyDescent="0.25">
      <c r="B131" s="7" t="str" cm="1">
        <f t="array" aca="1" ref="B131" ca="1">IF(OR('Raw Data'!B131="",LEN(TRIM('Raw Data'!B131))=0,Validate_Empty!B131&lt;&gt;"",Validate_Value!B131&lt;&gt;""),"",IF('Raw Data'!B131 = Condition!B131,"",_xlfn.REGEXEXTRACT(CELL("address",'Raw Data'!B131),"\$([A-Z]+)\$[0-9]+")))</f>
        <v/>
      </c>
      <c r="C131" s="7" t="str" cm="1">
        <f t="array" aca="1" ref="C131" ca="1">IF(OR('Raw Data'!C131="",LEN(TRIM('Raw Data'!C131))=0,Validate_Empty!C131&lt;&gt;"",Validate_Value!C131&lt;&gt;""),"",IF('Raw Data'!C131 = Condition!C131,"",_xlfn.REGEXEXTRACT(CELL("address",'Raw Data'!C131),"\$([A-Z]+)\$[0-9]+")))</f>
        <v/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2:36" x14ac:dyDescent="0.25">
      <c r="B132" s="7" t="str" cm="1">
        <f t="array" aca="1" ref="B132" ca="1">IF(OR('Raw Data'!B132="",LEN(TRIM('Raw Data'!B132))=0,Validate_Empty!B132&lt;&gt;"",Validate_Value!B132&lt;&gt;""),"",IF('Raw Data'!B132 = Condition!B132,"",_xlfn.REGEXEXTRACT(CELL("address",'Raw Data'!B132),"\$([A-Z]+)\$[0-9]+")))</f>
        <v/>
      </c>
      <c r="C132" s="7" t="str" cm="1">
        <f t="array" aca="1" ref="C132" ca="1">IF(OR('Raw Data'!C132="",LEN(TRIM('Raw Data'!C132))=0,Validate_Empty!C132&lt;&gt;"",Validate_Value!C132&lt;&gt;""),"",IF('Raw Data'!C132 = Condition!C132,"",_xlfn.REGEXEXTRACT(CELL("address",'Raw Data'!C132),"\$([A-Z]+)\$[0-9]+")))</f>
        <v/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2:36" x14ac:dyDescent="0.25">
      <c r="B133" s="7" t="str" cm="1">
        <f t="array" aca="1" ref="B133" ca="1">IF(OR('Raw Data'!B133="",LEN(TRIM('Raw Data'!B133))=0,Validate_Empty!B133&lt;&gt;"",Validate_Value!B133&lt;&gt;""),"",IF('Raw Data'!B133 = Condition!B133,"",_xlfn.REGEXEXTRACT(CELL("address",'Raw Data'!B133),"\$([A-Z]+)\$[0-9]+")))</f>
        <v/>
      </c>
      <c r="C133" s="7" t="str" cm="1">
        <f t="array" aca="1" ref="C133" ca="1">IF(OR('Raw Data'!C133="",LEN(TRIM('Raw Data'!C133))=0,Validate_Empty!C133&lt;&gt;"",Validate_Value!C133&lt;&gt;""),"",IF('Raw Data'!C133 = Condition!C133,"",_xlfn.REGEXEXTRACT(CELL("address",'Raw Data'!C133),"\$([A-Z]+)\$[0-9]+")))</f>
        <v/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2:36" x14ac:dyDescent="0.25">
      <c r="B134" s="7" t="str" cm="1">
        <f t="array" aca="1" ref="B134" ca="1">IF(OR('Raw Data'!B134="",LEN(TRIM('Raw Data'!B134))=0,Validate_Empty!B134&lt;&gt;"",Validate_Value!B134&lt;&gt;""),"",IF('Raw Data'!B134 = Condition!B134,"",_xlfn.REGEXEXTRACT(CELL("address",'Raw Data'!B134),"\$([A-Z]+)\$[0-9]+")))</f>
        <v/>
      </c>
      <c r="C134" s="7" t="str" cm="1">
        <f t="array" aca="1" ref="C134" ca="1">IF(OR('Raw Data'!C134="",LEN(TRIM('Raw Data'!C134))=0,Validate_Empty!C134&lt;&gt;"",Validate_Value!C134&lt;&gt;""),"",IF('Raw Data'!C134 = Condition!C134,"",_xlfn.REGEXEXTRACT(CELL("address",'Raw Data'!C134),"\$([A-Z]+)\$[0-9]+")))</f>
        <v/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2:36" x14ac:dyDescent="0.25">
      <c r="B135" s="7" t="str" cm="1">
        <f t="array" aca="1" ref="B135" ca="1">IF(OR('Raw Data'!B135="",LEN(TRIM('Raw Data'!B135))=0,Validate_Empty!B135&lt;&gt;"",Validate_Value!B135&lt;&gt;""),"",IF('Raw Data'!B135 = Condition!B135,"",_xlfn.REGEXEXTRACT(CELL("address",'Raw Data'!B135),"\$([A-Z]+)\$[0-9]+")))</f>
        <v/>
      </c>
      <c r="C135" s="7" t="str" cm="1">
        <f t="array" aca="1" ref="C135" ca="1">IF(OR('Raw Data'!C135="",LEN(TRIM('Raw Data'!C135))=0,Validate_Empty!C135&lt;&gt;"",Validate_Value!C135&lt;&gt;""),"",IF('Raw Data'!C135 = Condition!C135,"",_xlfn.REGEXEXTRACT(CELL("address",'Raw Data'!C135),"\$([A-Z]+)\$[0-9]+")))</f>
        <v/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2:36" x14ac:dyDescent="0.25">
      <c r="B136" s="7" t="str" cm="1">
        <f t="array" aca="1" ref="B136" ca="1">IF(OR('Raw Data'!B136="",LEN(TRIM('Raw Data'!B136))=0,Validate_Empty!B136&lt;&gt;"",Validate_Value!B136&lt;&gt;""),"",IF('Raw Data'!B136 = Condition!B136,"",_xlfn.REGEXEXTRACT(CELL("address",'Raw Data'!B136),"\$([A-Z]+)\$[0-9]+")))</f>
        <v/>
      </c>
      <c r="C136" s="7" t="str" cm="1">
        <f t="array" aca="1" ref="C136" ca="1">IF(OR('Raw Data'!C136="",LEN(TRIM('Raw Data'!C136))=0,Validate_Empty!C136&lt;&gt;"",Validate_Value!C136&lt;&gt;""),"",IF('Raw Data'!C136 = Condition!C136,"",_xlfn.REGEXEXTRACT(CELL("address",'Raw Data'!C136),"\$([A-Z]+)\$[0-9]+")))</f>
        <v/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2:36" x14ac:dyDescent="0.25">
      <c r="B137" s="7" t="str" cm="1">
        <f t="array" aca="1" ref="B137" ca="1">IF(OR('Raw Data'!B137="",LEN(TRIM('Raw Data'!B137))=0,Validate_Empty!B137&lt;&gt;"",Validate_Value!B137&lt;&gt;""),"",IF('Raw Data'!B137 = Condition!B137,"",_xlfn.REGEXEXTRACT(CELL("address",'Raw Data'!B137),"\$([A-Z]+)\$[0-9]+")))</f>
        <v/>
      </c>
      <c r="C137" s="7" t="str" cm="1">
        <f t="array" aca="1" ref="C137" ca="1">IF(OR('Raw Data'!C137="",LEN(TRIM('Raw Data'!C137))=0,Validate_Empty!C137&lt;&gt;"",Validate_Value!C137&lt;&gt;""),"",IF('Raw Data'!C137 = Condition!C137,"",_xlfn.REGEXEXTRACT(CELL("address",'Raw Data'!C137),"\$([A-Z]+)\$[0-9]+")))</f>
        <v/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2:36" x14ac:dyDescent="0.25">
      <c r="B138" s="7" t="str" cm="1">
        <f t="array" aca="1" ref="B138" ca="1">IF(OR('Raw Data'!B138="",LEN(TRIM('Raw Data'!B138))=0,Validate_Empty!B138&lt;&gt;"",Validate_Value!B138&lt;&gt;""),"",IF('Raw Data'!B138 = Condition!B138,"",_xlfn.REGEXEXTRACT(CELL("address",'Raw Data'!B138),"\$([A-Z]+)\$[0-9]+")))</f>
        <v/>
      </c>
      <c r="C138" s="7" t="str" cm="1">
        <f t="array" aca="1" ref="C138" ca="1">IF(OR('Raw Data'!C138="",LEN(TRIM('Raw Data'!C138))=0,Validate_Empty!C138&lt;&gt;"",Validate_Value!C138&lt;&gt;""),"",IF('Raw Data'!C138 = Condition!C138,"",_xlfn.REGEXEXTRACT(CELL("address",'Raw Data'!C138),"\$([A-Z]+)\$[0-9]+")))</f>
        <v/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2:36" x14ac:dyDescent="0.25">
      <c r="B139" s="7" t="str" cm="1">
        <f t="array" aca="1" ref="B139" ca="1">IF(OR('Raw Data'!B139="",LEN(TRIM('Raw Data'!B139))=0,Validate_Empty!B139&lt;&gt;"",Validate_Value!B139&lt;&gt;""),"",IF('Raw Data'!B139 = Condition!B139,"",_xlfn.REGEXEXTRACT(CELL("address",'Raw Data'!B139),"\$([A-Z]+)\$[0-9]+")))</f>
        <v/>
      </c>
      <c r="C139" s="7" t="str" cm="1">
        <f t="array" aca="1" ref="C139" ca="1">IF(OR('Raw Data'!C139="",LEN(TRIM('Raw Data'!C139))=0,Validate_Empty!C139&lt;&gt;"",Validate_Value!C139&lt;&gt;""),"",IF('Raw Data'!C139 = Condition!C139,"",_xlfn.REGEXEXTRACT(CELL("address",'Raw Data'!C139),"\$([A-Z]+)\$[0-9]+")))</f>
        <v/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2:36" x14ac:dyDescent="0.25">
      <c r="B140" s="7" t="str" cm="1">
        <f t="array" aca="1" ref="B140" ca="1">IF(OR('Raw Data'!B140="",LEN(TRIM('Raw Data'!B140))=0,Validate_Empty!B140&lt;&gt;"",Validate_Value!B140&lt;&gt;""),"",IF('Raw Data'!B140 = Condition!B140,"",_xlfn.REGEXEXTRACT(CELL("address",'Raw Data'!B140),"\$([A-Z]+)\$[0-9]+")))</f>
        <v/>
      </c>
      <c r="C140" s="7" t="str" cm="1">
        <f t="array" aca="1" ref="C140" ca="1">IF(OR('Raw Data'!C140="",LEN(TRIM('Raw Data'!C140))=0,Validate_Empty!C140&lt;&gt;"",Validate_Value!C140&lt;&gt;""),"",IF('Raw Data'!C140 = Condition!C140,"",_xlfn.REGEXEXTRACT(CELL("address",'Raw Data'!C140),"\$([A-Z]+)\$[0-9]+")))</f>
        <v/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2:36" x14ac:dyDescent="0.25">
      <c r="B141" s="7" t="str" cm="1">
        <f t="array" aca="1" ref="B141" ca="1">IF(OR('Raw Data'!B141="",LEN(TRIM('Raw Data'!B141))=0,Validate_Empty!B141&lt;&gt;"",Validate_Value!B141&lt;&gt;""),"",IF('Raw Data'!B141 = Condition!B141,"",_xlfn.REGEXEXTRACT(CELL("address",'Raw Data'!B141),"\$([A-Z]+)\$[0-9]+")))</f>
        <v/>
      </c>
      <c r="C141" s="7" t="str" cm="1">
        <f t="array" aca="1" ref="C141" ca="1">IF(OR('Raw Data'!C141="",LEN(TRIM('Raw Data'!C141))=0,Validate_Empty!C141&lt;&gt;"",Validate_Value!C141&lt;&gt;""),"",IF('Raw Data'!C141 = Condition!C141,"",_xlfn.REGEXEXTRACT(CELL("address",'Raw Data'!C141),"\$([A-Z]+)\$[0-9]+")))</f>
        <v/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2:36" x14ac:dyDescent="0.25">
      <c r="B142" s="7" t="str" cm="1">
        <f t="array" aca="1" ref="B142" ca="1">IF(OR('Raw Data'!B142="",LEN(TRIM('Raw Data'!B142))=0,Validate_Empty!B142&lt;&gt;"",Validate_Value!B142&lt;&gt;""),"",IF('Raw Data'!B142 = Condition!B142,"",_xlfn.REGEXEXTRACT(CELL("address",'Raw Data'!B142),"\$([A-Z]+)\$[0-9]+")))</f>
        <v/>
      </c>
      <c r="C142" s="7" t="str" cm="1">
        <f t="array" aca="1" ref="C142" ca="1">IF(OR('Raw Data'!C142="",LEN(TRIM('Raw Data'!C142))=0,Validate_Empty!C142&lt;&gt;"",Validate_Value!C142&lt;&gt;""),"",IF('Raw Data'!C142 = Condition!C142,"",_xlfn.REGEXEXTRACT(CELL("address",'Raw Data'!C142),"\$([A-Z]+)\$[0-9]+")))</f>
        <v/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2:36" x14ac:dyDescent="0.25">
      <c r="B143" s="7" t="str" cm="1">
        <f t="array" aca="1" ref="B143" ca="1">IF(OR('Raw Data'!B143="",LEN(TRIM('Raw Data'!B143))=0,Validate_Empty!B143&lt;&gt;"",Validate_Value!B143&lt;&gt;""),"",IF('Raw Data'!B143 = Condition!B143,"",_xlfn.REGEXEXTRACT(CELL("address",'Raw Data'!B143),"\$([A-Z]+)\$[0-9]+")))</f>
        <v/>
      </c>
      <c r="C143" s="7" t="str" cm="1">
        <f t="array" aca="1" ref="C143" ca="1">IF(OR('Raw Data'!C143="",LEN(TRIM('Raw Data'!C143))=0,Validate_Empty!C143&lt;&gt;"",Validate_Value!C143&lt;&gt;""),"",IF('Raw Data'!C143 = Condition!C143,"",_xlfn.REGEXEXTRACT(CELL("address",'Raw Data'!C143),"\$([A-Z]+)\$[0-9]+")))</f>
        <v/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2:36" x14ac:dyDescent="0.25">
      <c r="B144" s="7" t="str" cm="1">
        <f t="array" aca="1" ref="B144" ca="1">IF(OR('Raw Data'!B144="",LEN(TRIM('Raw Data'!B144))=0,Validate_Empty!B144&lt;&gt;"",Validate_Value!B144&lt;&gt;""),"",IF('Raw Data'!B144 = Condition!B144,"",_xlfn.REGEXEXTRACT(CELL("address",'Raw Data'!B144),"\$([A-Z]+)\$[0-9]+")))</f>
        <v/>
      </c>
      <c r="C144" s="7" t="str" cm="1">
        <f t="array" aca="1" ref="C144" ca="1">IF(OR('Raw Data'!C144="",LEN(TRIM('Raw Data'!C144))=0,Validate_Empty!C144&lt;&gt;"",Validate_Value!C144&lt;&gt;""),"",IF('Raw Data'!C144 = Condition!C144,"",_xlfn.REGEXEXTRACT(CELL("address",'Raw Data'!C144),"\$([A-Z]+)\$[0-9]+")))</f>
        <v/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2:36" x14ac:dyDescent="0.25">
      <c r="B145" s="7" t="str" cm="1">
        <f t="array" aca="1" ref="B145" ca="1">IF(OR('Raw Data'!B145="",LEN(TRIM('Raw Data'!B145))=0,Validate_Empty!B145&lt;&gt;"",Validate_Value!B145&lt;&gt;""),"",IF('Raw Data'!B145 = Condition!B145,"",_xlfn.REGEXEXTRACT(CELL("address",'Raw Data'!B145),"\$([A-Z]+)\$[0-9]+")))</f>
        <v/>
      </c>
      <c r="C145" s="7" t="str" cm="1">
        <f t="array" aca="1" ref="C145" ca="1">IF(OR('Raw Data'!C145="",LEN(TRIM('Raw Data'!C145))=0,Validate_Empty!C145&lt;&gt;"",Validate_Value!C145&lt;&gt;""),"",IF('Raw Data'!C145 = Condition!C145,"",_xlfn.REGEXEXTRACT(CELL("address",'Raw Data'!C145),"\$([A-Z]+)\$[0-9]+")))</f>
        <v/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2:36" x14ac:dyDescent="0.25">
      <c r="B146" s="7" t="str" cm="1">
        <f t="array" aca="1" ref="B146" ca="1">IF(OR('Raw Data'!B146="",LEN(TRIM('Raw Data'!B146))=0,Validate_Empty!B146&lt;&gt;"",Validate_Value!B146&lt;&gt;""),"",IF('Raw Data'!B146 = Condition!B146,"",_xlfn.REGEXEXTRACT(CELL("address",'Raw Data'!B146),"\$([A-Z]+)\$[0-9]+")))</f>
        <v/>
      </c>
      <c r="C146" s="7" t="str" cm="1">
        <f t="array" aca="1" ref="C146" ca="1">IF(OR('Raw Data'!C146="",LEN(TRIM('Raw Data'!C146))=0,Validate_Empty!C146&lt;&gt;"",Validate_Value!C146&lt;&gt;""),"",IF('Raw Data'!C146 = Condition!C146,"",_xlfn.REGEXEXTRACT(CELL("address",'Raw Data'!C146),"\$([A-Z]+)\$[0-9]+")))</f>
        <v/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2:36" x14ac:dyDescent="0.25">
      <c r="B147" s="7" t="str" cm="1">
        <f t="array" aca="1" ref="B147" ca="1">IF(OR('Raw Data'!B147="",LEN(TRIM('Raw Data'!B147))=0,Validate_Empty!B147&lt;&gt;"",Validate_Value!B147&lt;&gt;""),"",IF('Raw Data'!B147 = Condition!B147,"",_xlfn.REGEXEXTRACT(CELL("address",'Raw Data'!B147),"\$([A-Z]+)\$[0-9]+")))</f>
        <v/>
      </c>
      <c r="C147" s="7" t="str" cm="1">
        <f t="array" aca="1" ref="C147" ca="1">IF(OR('Raw Data'!C147="",LEN(TRIM('Raw Data'!C147))=0,Validate_Empty!C147&lt;&gt;"",Validate_Value!C147&lt;&gt;""),"",IF('Raw Data'!C147 = Condition!C147,"",_xlfn.REGEXEXTRACT(CELL("address",'Raw Data'!C147),"\$([A-Z]+)\$[0-9]+")))</f>
        <v/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2:36" x14ac:dyDescent="0.25">
      <c r="B148" s="7" t="str" cm="1">
        <f t="array" aca="1" ref="B148" ca="1">IF(OR('Raw Data'!B148="",LEN(TRIM('Raw Data'!B148))=0,Validate_Empty!B148&lt;&gt;"",Validate_Value!B148&lt;&gt;""),"",IF('Raw Data'!B148 = Condition!B148,"",_xlfn.REGEXEXTRACT(CELL("address",'Raw Data'!B148),"\$([A-Z]+)\$[0-9]+")))</f>
        <v/>
      </c>
      <c r="C148" s="7" t="str" cm="1">
        <f t="array" aca="1" ref="C148" ca="1">IF(OR('Raw Data'!C148="",LEN(TRIM('Raw Data'!C148))=0,Validate_Empty!C148&lt;&gt;"",Validate_Value!C148&lt;&gt;""),"",IF('Raw Data'!C148 = Condition!C148,"",_xlfn.REGEXEXTRACT(CELL("address",'Raw Data'!C148),"\$([A-Z]+)\$[0-9]+")))</f>
        <v/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2:36" x14ac:dyDescent="0.25">
      <c r="B149" s="7" t="str" cm="1">
        <f t="array" aca="1" ref="B149" ca="1">IF(OR('Raw Data'!B149="",LEN(TRIM('Raw Data'!B149))=0,Validate_Empty!B149&lt;&gt;"",Validate_Value!B149&lt;&gt;""),"",IF('Raw Data'!B149 = Condition!B149,"",_xlfn.REGEXEXTRACT(CELL("address",'Raw Data'!B149),"\$([A-Z]+)\$[0-9]+")))</f>
        <v/>
      </c>
      <c r="C149" s="7" t="str" cm="1">
        <f t="array" aca="1" ref="C149" ca="1">IF(OR('Raw Data'!C149="",LEN(TRIM('Raw Data'!C149))=0,Validate_Empty!C149&lt;&gt;"",Validate_Value!C149&lt;&gt;""),"",IF('Raw Data'!C149 = Condition!C149,"",_xlfn.REGEXEXTRACT(CELL("address",'Raw Data'!C149),"\$([A-Z]+)\$[0-9]+")))</f>
        <v/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2:36" x14ac:dyDescent="0.25">
      <c r="B150" s="7" t="str" cm="1">
        <f t="array" aca="1" ref="B150" ca="1">IF(OR('Raw Data'!B150="",LEN(TRIM('Raw Data'!B150))=0,Validate_Empty!B150&lt;&gt;"",Validate_Value!B150&lt;&gt;""),"",IF('Raw Data'!B150 = Condition!B150,"",_xlfn.REGEXEXTRACT(CELL("address",'Raw Data'!B150),"\$([A-Z]+)\$[0-9]+")))</f>
        <v/>
      </c>
      <c r="C150" s="7" t="str" cm="1">
        <f t="array" aca="1" ref="C150" ca="1">IF(OR('Raw Data'!C150="",LEN(TRIM('Raw Data'!C150))=0,Validate_Empty!C150&lt;&gt;"",Validate_Value!C150&lt;&gt;""),"",IF('Raw Data'!C150 = Condition!C150,"",_xlfn.REGEXEXTRACT(CELL("address",'Raw Data'!C150),"\$([A-Z]+)\$[0-9]+")))</f>
        <v/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2:36" x14ac:dyDescent="0.25">
      <c r="B151" s="7" t="str" cm="1">
        <f t="array" aca="1" ref="B151" ca="1">IF(OR('Raw Data'!B151="",LEN(TRIM('Raw Data'!B151))=0,Validate_Empty!B151&lt;&gt;"",Validate_Value!B151&lt;&gt;""),"",IF('Raw Data'!B151 = Condition!B151,"",_xlfn.REGEXEXTRACT(CELL("address",'Raw Data'!B151),"\$([A-Z]+)\$[0-9]+")))</f>
        <v/>
      </c>
      <c r="C151" s="7" t="str" cm="1">
        <f t="array" aca="1" ref="C151" ca="1">IF(OR('Raw Data'!C151="",LEN(TRIM('Raw Data'!C151))=0,Validate_Empty!C151&lt;&gt;"",Validate_Value!C151&lt;&gt;""),"",IF('Raw Data'!C151 = Condition!C151,"",_xlfn.REGEXEXTRACT(CELL("address",'Raw Data'!C151),"\$([A-Z]+)\$[0-9]+")))</f>
        <v/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2:36" x14ac:dyDescent="0.25">
      <c r="B152" s="7" t="str" cm="1">
        <f t="array" aca="1" ref="B152" ca="1">IF(OR('Raw Data'!B152="",LEN(TRIM('Raw Data'!B152))=0,Validate_Empty!B152&lt;&gt;"",Validate_Value!B152&lt;&gt;""),"",IF('Raw Data'!B152 = Condition!B152,"",_xlfn.REGEXEXTRACT(CELL("address",'Raw Data'!B152),"\$([A-Z]+)\$[0-9]+")))</f>
        <v/>
      </c>
      <c r="C152" s="7" t="str" cm="1">
        <f t="array" aca="1" ref="C152" ca="1">IF(OR('Raw Data'!C152="",LEN(TRIM('Raw Data'!C152))=0,Validate_Empty!C152&lt;&gt;"",Validate_Value!C152&lt;&gt;""),"",IF('Raw Data'!C152 = Condition!C152,"",_xlfn.REGEXEXTRACT(CELL("address",'Raw Data'!C152),"\$([A-Z]+)\$[0-9]+")))</f>
        <v/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2:36" x14ac:dyDescent="0.25">
      <c r="B153" s="7" t="str" cm="1">
        <f t="array" aca="1" ref="B153" ca="1">IF(OR('Raw Data'!B153="",LEN(TRIM('Raw Data'!B153))=0,Validate_Empty!B153&lt;&gt;"",Validate_Value!B153&lt;&gt;""),"",IF('Raw Data'!B153 = Condition!B153,"",_xlfn.REGEXEXTRACT(CELL("address",'Raw Data'!B153),"\$([A-Z]+)\$[0-9]+")))</f>
        <v/>
      </c>
      <c r="C153" s="7" t="str" cm="1">
        <f t="array" aca="1" ref="C153" ca="1">IF(OR('Raw Data'!C153="",LEN(TRIM('Raw Data'!C153))=0,Validate_Empty!C153&lt;&gt;"",Validate_Value!C153&lt;&gt;""),"",IF('Raw Data'!C153 = Condition!C153,"",_xlfn.REGEXEXTRACT(CELL("address",'Raw Data'!C153),"\$([A-Z]+)\$[0-9]+")))</f>
        <v/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2:36" x14ac:dyDescent="0.25">
      <c r="B154" s="7" t="str" cm="1">
        <f t="array" aca="1" ref="B154" ca="1">IF(OR('Raw Data'!B154="",LEN(TRIM('Raw Data'!B154))=0,Validate_Empty!B154&lt;&gt;"",Validate_Value!B154&lt;&gt;""),"",IF('Raw Data'!B154 = Condition!B154,"",_xlfn.REGEXEXTRACT(CELL("address",'Raw Data'!B154),"\$([A-Z]+)\$[0-9]+")))</f>
        <v/>
      </c>
      <c r="C154" s="7" t="str" cm="1">
        <f t="array" aca="1" ref="C154" ca="1">IF(OR('Raw Data'!C154="",LEN(TRIM('Raw Data'!C154))=0,Validate_Empty!C154&lt;&gt;"",Validate_Value!C154&lt;&gt;""),"",IF('Raw Data'!C154 = Condition!C154,"",_xlfn.REGEXEXTRACT(CELL("address",'Raw Data'!C154),"\$([A-Z]+)\$[0-9]+")))</f>
        <v/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2:36" x14ac:dyDescent="0.25">
      <c r="B155" s="7" t="str" cm="1">
        <f t="array" aca="1" ref="B155" ca="1">IF(OR('Raw Data'!B155="",LEN(TRIM('Raw Data'!B155))=0,Validate_Empty!B155&lt;&gt;"",Validate_Value!B155&lt;&gt;""),"",IF('Raw Data'!B155 = Condition!B155,"",_xlfn.REGEXEXTRACT(CELL("address",'Raw Data'!B155),"\$([A-Z]+)\$[0-9]+")))</f>
        <v/>
      </c>
      <c r="C155" s="7" t="str" cm="1">
        <f t="array" aca="1" ref="C155" ca="1">IF(OR('Raw Data'!C155="",LEN(TRIM('Raw Data'!C155))=0,Validate_Empty!C155&lt;&gt;"",Validate_Value!C155&lt;&gt;""),"",IF('Raw Data'!C155 = Condition!C155,"",_xlfn.REGEXEXTRACT(CELL("address",'Raw Data'!C155),"\$([A-Z]+)\$[0-9]+")))</f>
        <v/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spans="2:36" x14ac:dyDescent="0.25">
      <c r="B156" s="7" t="str" cm="1">
        <f t="array" aca="1" ref="B156" ca="1">IF(OR('Raw Data'!B156="",LEN(TRIM('Raw Data'!B156))=0,Validate_Empty!B156&lt;&gt;"",Validate_Value!B156&lt;&gt;""),"",IF('Raw Data'!B156 = Condition!B156,"",_xlfn.REGEXEXTRACT(CELL("address",'Raw Data'!B156),"\$([A-Z]+)\$[0-9]+")))</f>
        <v/>
      </c>
      <c r="C156" s="7" t="str" cm="1">
        <f t="array" aca="1" ref="C156" ca="1">IF(OR('Raw Data'!C156="",LEN(TRIM('Raw Data'!C156))=0,Validate_Empty!C156&lt;&gt;"",Validate_Value!C156&lt;&gt;""),"",IF('Raw Data'!C156 = Condition!C156,"",_xlfn.REGEXEXTRACT(CELL("address",'Raw Data'!C156),"\$([A-Z]+)\$[0-9]+")))</f>
        <v/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2:36" x14ac:dyDescent="0.25">
      <c r="B157" s="7" t="str" cm="1">
        <f t="array" aca="1" ref="B157" ca="1">IF(OR('Raw Data'!B157="",LEN(TRIM('Raw Data'!B157))=0,Validate_Empty!B157&lt;&gt;"",Validate_Value!B157&lt;&gt;""),"",IF('Raw Data'!B157 = Condition!B157,"",_xlfn.REGEXEXTRACT(CELL("address",'Raw Data'!B157),"\$([A-Z]+)\$[0-9]+")))</f>
        <v/>
      </c>
      <c r="C157" s="7" t="str" cm="1">
        <f t="array" aca="1" ref="C157" ca="1">IF(OR('Raw Data'!C157="",LEN(TRIM('Raw Data'!C157))=0,Validate_Empty!C157&lt;&gt;"",Validate_Value!C157&lt;&gt;""),"",IF('Raw Data'!C157 = Condition!C157,"",_xlfn.REGEXEXTRACT(CELL("address",'Raw Data'!C157),"\$([A-Z]+)\$[0-9]+")))</f>
        <v/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2:36" x14ac:dyDescent="0.25">
      <c r="B158" s="7" t="str" cm="1">
        <f t="array" aca="1" ref="B158" ca="1">IF(OR('Raw Data'!B158="",LEN(TRIM('Raw Data'!B158))=0,Validate_Empty!B158&lt;&gt;"",Validate_Value!B158&lt;&gt;""),"",IF('Raw Data'!B158 = Condition!B158,"",_xlfn.REGEXEXTRACT(CELL("address",'Raw Data'!B158),"\$([A-Z]+)\$[0-9]+")))</f>
        <v/>
      </c>
      <c r="C158" s="7" t="str" cm="1">
        <f t="array" aca="1" ref="C158" ca="1">IF(OR('Raw Data'!C158="",LEN(TRIM('Raw Data'!C158))=0,Validate_Empty!C158&lt;&gt;"",Validate_Value!C158&lt;&gt;""),"",IF('Raw Data'!C158 = Condition!C158,"",_xlfn.REGEXEXTRACT(CELL("address",'Raw Data'!C158),"\$([A-Z]+)\$[0-9]+")))</f>
        <v/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spans="2:36" x14ac:dyDescent="0.25">
      <c r="B159" s="7" t="str" cm="1">
        <f t="array" aca="1" ref="B159" ca="1">IF(OR('Raw Data'!B159="",LEN(TRIM('Raw Data'!B159))=0,Validate_Empty!B159&lt;&gt;"",Validate_Value!B159&lt;&gt;""),"",IF('Raw Data'!B159 = Condition!B159,"",_xlfn.REGEXEXTRACT(CELL("address",'Raw Data'!B159),"\$([A-Z]+)\$[0-9]+")))</f>
        <v/>
      </c>
      <c r="C159" s="7" t="str" cm="1">
        <f t="array" aca="1" ref="C159" ca="1">IF(OR('Raw Data'!C159="",LEN(TRIM('Raw Data'!C159))=0,Validate_Empty!C159&lt;&gt;"",Validate_Value!C159&lt;&gt;""),"",IF('Raw Data'!C159 = Condition!C159,"",_xlfn.REGEXEXTRACT(CELL("address",'Raw Data'!C159),"\$([A-Z]+)\$[0-9]+")))</f>
        <v/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spans="2:36" x14ac:dyDescent="0.25">
      <c r="B160" s="7" t="str" cm="1">
        <f t="array" aca="1" ref="B160" ca="1">IF(OR('Raw Data'!B160="",LEN(TRIM('Raw Data'!B160))=0,Validate_Empty!B160&lt;&gt;"",Validate_Value!B160&lt;&gt;""),"",IF('Raw Data'!B160 = Condition!B160,"",_xlfn.REGEXEXTRACT(CELL("address",'Raw Data'!B160),"\$([A-Z]+)\$[0-9]+")))</f>
        <v/>
      </c>
      <c r="C160" s="7" t="str" cm="1">
        <f t="array" aca="1" ref="C160" ca="1">IF(OR('Raw Data'!C160="",LEN(TRIM('Raw Data'!C160))=0,Validate_Empty!C160&lt;&gt;"",Validate_Value!C160&lt;&gt;""),"",IF('Raw Data'!C160 = Condition!C160,"",_xlfn.REGEXEXTRACT(CELL("address",'Raw Data'!C160),"\$([A-Z]+)\$[0-9]+")))</f>
        <v/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2:36" x14ac:dyDescent="0.25">
      <c r="B161" s="7" t="str" cm="1">
        <f t="array" aca="1" ref="B161" ca="1">IF(OR('Raw Data'!B161="",LEN(TRIM('Raw Data'!B161))=0,Validate_Empty!B161&lt;&gt;"",Validate_Value!B161&lt;&gt;""),"",IF('Raw Data'!B161 = Condition!B161,"",_xlfn.REGEXEXTRACT(CELL("address",'Raw Data'!B161),"\$([A-Z]+)\$[0-9]+")))</f>
        <v/>
      </c>
      <c r="C161" s="7" t="str" cm="1">
        <f t="array" aca="1" ref="C161" ca="1">IF(OR('Raw Data'!C161="",LEN(TRIM('Raw Data'!C161))=0,Validate_Empty!C161&lt;&gt;"",Validate_Value!C161&lt;&gt;""),"",IF('Raw Data'!C161 = Condition!C161,"",_xlfn.REGEXEXTRACT(CELL("address",'Raw Data'!C161),"\$([A-Z]+)\$[0-9]+")))</f>
        <v/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2:36" x14ac:dyDescent="0.25">
      <c r="B162" s="7" t="str" cm="1">
        <f t="array" aca="1" ref="B162" ca="1">IF(OR('Raw Data'!B162="",LEN(TRIM('Raw Data'!B162))=0,Validate_Empty!B162&lt;&gt;"",Validate_Value!B162&lt;&gt;""),"",IF('Raw Data'!B162 = Condition!B162,"",_xlfn.REGEXEXTRACT(CELL("address",'Raw Data'!B162),"\$([A-Z]+)\$[0-9]+")))</f>
        <v/>
      </c>
      <c r="C162" s="7" t="str" cm="1">
        <f t="array" aca="1" ref="C162" ca="1">IF(OR('Raw Data'!C162="",LEN(TRIM('Raw Data'!C162))=0,Validate_Empty!C162&lt;&gt;"",Validate_Value!C162&lt;&gt;""),"",IF('Raw Data'!C162 = Condition!C162,"",_xlfn.REGEXEXTRACT(CELL("address",'Raw Data'!C162),"\$([A-Z]+)\$[0-9]+")))</f>
        <v/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spans="2:36" x14ac:dyDescent="0.25">
      <c r="B163" s="7" t="str" cm="1">
        <f t="array" aca="1" ref="B163" ca="1">IF(OR('Raw Data'!B163="",LEN(TRIM('Raw Data'!B163))=0,Validate_Empty!B163&lt;&gt;"",Validate_Value!B163&lt;&gt;""),"",IF('Raw Data'!B163 = Condition!B163,"",_xlfn.REGEXEXTRACT(CELL("address",'Raw Data'!B163),"\$([A-Z]+)\$[0-9]+")))</f>
        <v/>
      </c>
      <c r="C163" s="7" t="str" cm="1">
        <f t="array" aca="1" ref="C163" ca="1">IF(OR('Raw Data'!C163="",LEN(TRIM('Raw Data'!C163))=0,Validate_Empty!C163&lt;&gt;"",Validate_Value!C163&lt;&gt;""),"",IF('Raw Data'!C163 = Condition!C163,"",_xlfn.REGEXEXTRACT(CELL("address",'Raw Data'!C163),"\$([A-Z]+)\$[0-9]+")))</f>
        <v/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2:36" x14ac:dyDescent="0.25">
      <c r="B164" s="7" t="str" cm="1">
        <f t="array" aca="1" ref="B164" ca="1">IF(OR('Raw Data'!B164="",LEN(TRIM('Raw Data'!B164))=0,Validate_Empty!B164&lt;&gt;"",Validate_Value!B164&lt;&gt;""),"",IF('Raw Data'!B164 = Condition!B164,"",_xlfn.REGEXEXTRACT(CELL("address",'Raw Data'!B164),"\$([A-Z]+)\$[0-9]+")))</f>
        <v/>
      </c>
      <c r="C164" s="7" t="str" cm="1">
        <f t="array" aca="1" ref="C164" ca="1">IF(OR('Raw Data'!C164="",LEN(TRIM('Raw Data'!C164))=0,Validate_Empty!C164&lt;&gt;"",Validate_Value!C164&lt;&gt;""),"",IF('Raw Data'!C164 = Condition!C164,"",_xlfn.REGEXEXTRACT(CELL("address",'Raw Data'!C164),"\$([A-Z]+)\$[0-9]+")))</f>
        <v/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2:36" x14ac:dyDescent="0.25">
      <c r="B165" s="7" t="str" cm="1">
        <f t="array" aca="1" ref="B165" ca="1">IF(OR('Raw Data'!B165="",LEN(TRIM('Raw Data'!B165))=0,Validate_Empty!B165&lt;&gt;"",Validate_Value!B165&lt;&gt;""),"",IF('Raw Data'!B165 = Condition!B165,"",_xlfn.REGEXEXTRACT(CELL("address",'Raw Data'!B165),"\$([A-Z]+)\$[0-9]+")))</f>
        <v/>
      </c>
      <c r="C165" s="7" t="str" cm="1">
        <f t="array" aca="1" ref="C165" ca="1">IF(OR('Raw Data'!C165="",LEN(TRIM('Raw Data'!C165))=0,Validate_Empty!C165&lt;&gt;"",Validate_Value!C165&lt;&gt;""),"",IF('Raw Data'!C165 = Condition!C165,"",_xlfn.REGEXEXTRACT(CELL("address",'Raw Data'!C165),"\$([A-Z]+)\$[0-9]+")))</f>
        <v/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2:36" x14ac:dyDescent="0.25">
      <c r="B166" s="7" t="str" cm="1">
        <f t="array" aca="1" ref="B166" ca="1">IF(OR('Raw Data'!B166="",LEN(TRIM('Raw Data'!B166))=0,Validate_Empty!B166&lt;&gt;"",Validate_Value!B166&lt;&gt;""),"",IF('Raw Data'!B166 = Condition!B166,"",_xlfn.REGEXEXTRACT(CELL("address",'Raw Data'!B166),"\$([A-Z]+)\$[0-9]+")))</f>
        <v/>
      </c>
      <c r="C166" s="7" t="str" cm="1">
        <f t="array" aca="1" ref="C166" ca="1">IF(OR('Raw Data'!C166="",LEN(TRIM('Raw Data'!C166))=0,Validate_Empty!C166&lt;&gt;"",Validate_Value!C166&lt;&gt;""),"",IF('Raw Data'!C166 = Condition!C166,"",_xlfn.REGEXEXTRACT(CELL("address",'Raw Data'!C166),"\$([A-Z]+)\$[0-9]+")))</f>
        <v/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2:36" x14ac:dyDescent="0.25">
      <c r="B167" s="7" t="str" cm="1">
        <f t="array" aca="1" ref="B167" ca="1">IF(OR('Raw Data'!B167="",LEN(TRIM('Raw Data'!B167))=0,Validate_Empty!B167&lt;&gt;"",Validate_Value!B167&lt;&gt;""),"",IF('Raw Data'!B167 = Condition!B167,"",_xlfn.REGEXEXTRACT(CELL("address",'Raw Data'!B167),"\$([A-Z]+)\$[0-9]+")))</f>
        <v/>
      </c>
      <c r="C167" s="7" t="str" cm="1">
        <f t="array" aca="1" ref="C167" ca="1">IF(OR('Raw Data'!C167="",LEN(TRIM('Raw Data'!C167))=0,Validate_Empty!C167&lt;&gt;"",Validate_Value!C167&lt;&gt;""),"",IF('Raw Data'!C167 = Condition!C167,"",_xlfn.REGEXEXTRACT(CELL("address",'Raw Data'!C167),"\$([A-Z]+)\$[0-9]+")))</f>
        <v/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spans="2:36" x14ac:dyDescent="0.25">
      <c r="B168" s="7" t="str" cm="1">
        <f t="array" aca="1" ref="B168" ca="1">IF(OR('Raw Data'!B168="",LEN(TRIM('Raw Data'!B168))=0,Validate_Empty!B168&lt;&gt;"",Validate_Value!B168&lt;&gt;""),"",IF('Raw Data'!B168 = Condition!B168,"",_xlfn.REGEXEXTRACT(CELL("address",'Raw Data'!B168),"\$([A-Z]+)\$[0-9]+")))</f>
        <v/>
      </c>
      <c r="C168" s="7" t="str" cm="1">
        <f t="array" aca="1" ref="C168" ca="1">IF(OR('Raw Data'!C168="",LEN(TRIM('Raw Data'!C168))=0,Validate_Empty!C168&lt;&gt;"",Validate_Value!C168&lt;&gt;""),"",IF('Raw Data'!C168 = Condition!C168,"",_xlfn.REGEXEXTRACT(CELL("address",'Raw Data'!C168),"\$([A-Z]+)\$[0-9]+")))</f>
        <v/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2:36" x14ac:dyDescent="0.25">
      <c r="B169" s="7" t="str" cm="1">
        <f t="array" aca="1" ref="B169" ca="1">IF(OR('Raw Data'!B169="",LEN(TRIM('Raw Data'!B169))=0,Validate_Empty!B169&lt;&gt;"",Validate_Value!B169&lt;&gt;""),"",IF('Raw Data'!B169 = Condition!B169,"",_xlfn.REGEXEXTRACT(CELL("address",'Raw Data'!B169),"\$([A-Z]+)\$[0-9]+")))</f>
        <v/>
      </c>
      <c r="C169" s="7" t="str" cm="1">
        <f t="array" aca="1" ref="C169" ca="1">IF(OR('Raw Data'!C169="",LEN(TRIM('Raw Data'!C169))=0,Validate_Empty!C169&lt;&gt;"",Validate_Value!C169&lt;&gt;""),"",IF('Raw Data'!C169 = Condition!C169,"",_xlfn.REGEXEXTRACT(CELL("address",'Raw Data'!C169),"\$([A-Z]+)\$[0-9]+")))</f>
        <v/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2:36" x14ac:dyDescent="0.25">
      <c r="B170" s="7" t="str" cm="1">
        <f t="array" aca="1" ref="B170" ca="1">IF(OR('Raw Data'!B170="",LEN(TRIM('Raw Data'!B170))=0,Validate_Empty!B170&lt;&gt;"",Validate_Value!B170&lt;&gt;""),"",IF('Raw Data'!B170 = Condition!B170,"",_xlfn.REGEXEXTRACT(CELL("address",'Raw Data'!B170),"\$([A-Z]+)\$[0-9]+")))</f>
        <v/>
      </c>
      <c r="C170" s="7" t="str" cm="1">
        <f t="array" aca="1" ref="C170" ca="1">IF(OR('Raw Data'!C170="",LEN(TRIM('Raw Data'!C170))=0,Validate_Empty!C170&lt;&gt;"",Validate_Value!C170&lt;&gt;""),"",IF('Raw Data'!C170 = Condition!C170,"",_xlfn.REGEXEXTRACT(CELL("address",'Raw Data'!C170),"\$([A-Z]+)\$[0-9]+")))</f>
        <v/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spans="2:36" x14ac:dyDescent="0.25">
      <c r="B171" s="7" t="str" cm="1">
        <f t="array" aca="1" ref="B171" ca="1">IF(OR('Raw Data'!B171="",LEN(TRIM('Raw Data'!B171))=0,Validate_Empty!B171&lt;&gt;"",Validate_Value!B171&lt;&gt;""),"",IF('Raw Data'!B171 = Condition!B171,"",_xlfn.REGEXEXTRACT(CELL("address",'Raw Data'!B171),"\$([A-Z]+)\$[0-9]+")))</f>
        <v/>
      </c>
      <c r="C171" s="7" t="str" cm="1">
        <f t="array" aca="1" ref="C171" ca="1">IF(OR('Raw Data'!C171="",LEN(TRIM('Raw Data'!C171))=0,Validate_Empty!C171&lt;&gt;"",Validate_Value!C171&lt;&gt;""),"",IF('Raw Data'!C171 = Condition!C171,"",_xlfn.REGEXEXTRACT(CELL("address",'Raw Data'!C171),"\$([A-Z]+)\$[0-9]+")))</f>
        <v/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spans="2:36" x14ac:dyDescent="0.25">
      <c r="B172" s="7" t="str" cm="1">
        <f t="array" aca="1" ref="B172" ca="1">IF(OR('Raw Data'!B172="",LEN(TRIM('Raw Data'!B172))=0,Validate_Empty!B172&lt;&gt;"",Validate_Value!B172&lt;&gt;""),"",IF('Raw Data'!B172 = Condition!B172,"",_xlfn.REGEXEXTRACT(CELL("address",'Raw Data'!B172),"\$([A-Z]+)\$[0-9]+")))</f>
        <v/>
      </c>
      <c r="C172" s="7" t="str" cm="1">
        <f t="array" aca="1" ref="C172" ca="1">IF(OR('Raw Data'!C172="",LEN(TRIM('Raw Data'!C172))=0,Validate_Empty!C172&lt;&gt;"",Validate_Value!C172&lt;&gt;""),"",IF('Raw Data'!C172 = Condition!C172,"",_xlfn.REGEXEXTRACT(CELL("address",'Raw Data'!C172),"\$([A-Z]+)\$[0-9]+")))</f>
        <v/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2:36" x14ac:dyDescent="0.25">
      <c r="B173" s="7" t="str" cm="1">
        <f t="array" aca="1" ref="B173" ca="1">IF(OR('Raw Data'!B173="",LEN(TRIM('Raw Data'!B173))=0,Validate_Empty!B173&lt;&gt;"",Validate_Value!B173&lt;&gt;""),"",IF('Raw Data'!B173 = Condition!B173,"",_xlfn.REGEXEXTRACT(CELL("address",'Raw Data'!B173),"\$([A-Z]+)\$[0-9]+")))</f>
        <v/>
      </c>
      <c r="C173" s="7" t="str" cm="1">
        <f t="array" aca="1" ref="C173" ca="1">IF(OR('Raw Data'!C173="",LEN(TRIM('Raw Data'!C173))=0,Validate_Empty!C173&lt;&gt;"",Validate_Value!C173&lt;&gt;""),"",IF('Raw Data'!C173 = Condition!C173,"",_xlfn.REGEXEXTRACT(CELL("address",'Raw Data'!C173),"\$([A-Z]+)\$[0-9]+")))</f>
        <v/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2:36" x14ac:dyDescent="0.25">
      <c r="B174" s="7" t="str" cm="1">
        <f t="array" aca="1" ref="B174" ca="1">IF(OR('Raw Data'!B174="",LEN(TRIM('Raw Data'!B174))=0,Validate_Empty!B174&lt;&gt;"",Validate_Value!B174&lt;&gt;""),"",IF('Raw Data'!B174 = Condition!B174,"",_xlfn.REGEXEXTRACT(CELL("address",'Raw Data'!B174),"\$([A-Z]+)\$[0-9]+")))</f>
        <v/>
      </c>
      <c r="C174" s="7" t="str" cm="1">
        <f t="array" aca="1" ref="C174" ca="1">IF(OR('Raw Data'!C174="",LEN(TRIM('Raw Data'!C174))=0,Validate_Empty!C174&lt;&gt;"",Validate_Value!C174&lt;&gt;""),"",IF('Raw Data'!C174 = Condition!C174,"",_xlfn.REGEXEXTRACT(CELL("address",'Raw Data'!C174),"\$([A-Z]+)\$[0-9]+")))</f>
        <v/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spans="2:36" x14ac:dyDescent="0.25">
      <c r="B175" s="7" t="str" cm="1">
        <f t="array" aca="1" ref="B175" ca="1">IF(OR('Raw Data'!B175="",LEN(TRIM('Raw Data'!B175))=0,Validate_Empty!B175&lt;&gt;"",Validate_Value!B175&lt;&gt;""),"",IF('Raw Data'!B175 = Condition!B175,"",_xlfn.REGEXEXTRACT(CELL("address",'Raw Data'!B175),"\$([A-Z]+)\$[0-9]+")))</f>
        <v/>
      </c>
      <c r="C175" s="7" t="str" cm="1">
        <f t="array" aca="1" ref="C175" ca="1">IF(OR('Raw Data'!C175="",LEN(TRIM('Raw Data'!C175))=0,Validate_Empty!C175&lt;&gt;"",Validate_Value!C175&lt;&gt;""),"",IF('Raw Data'!C175 = Condition!C175,"",_xlfn.REGEXEXTRACT(CELL("address",'Raw Data'!C175),"\$([A-Z]+)\$[0-9]+")))</f>
        <v/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spans="2:36" x14ac:dyDescent="0.25">
      <c r="B176" s="7" t="str" cm="1">
        <f t="array" aca="1" ref="B176" ca="1">IF(OR('Raw Data'!B176="",LEN(TRIM('Raw Data'!B176))=0,Validate_Empty!B176&lt;&gt;"",Validate_Value!B176&lt;&gt;""),"",IF('Raw Data'!B176 = Condition!B176,"",_xlfn.REGEXEXTRACT(CELL("address",'Raw Data'!B176),"\$([A-Z]+)\$[0-9]+")))</f>
        <v/>
      </c>
      <c r="C176" s="7" t="str" cm="1">
        <f t="array" aca="1" ref="C176" ca="1">IF(OR('Raw Data'!C176="",LEN(TRIM('Raw Data'!C176))=0,Validate_Empty!C176&lt;&gt;"",Validate_Value!C176&lt;&gt;""),"",IF('Raw Data'!C176 = Condition!C176,"",_xlfn.REGEXEXTRACT(CELL("address",'Raw Data'!C176),"\$([A-Z]+)\$[0-9]+")))</f>
        <v/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2:36" x14ac:dyDescent="0.25">
      <c r="B177" s="7" t="str" cm="1">
        <f t="array" aca="1" ref="B177" ca="1">IF(OR('Raw Data'!B177="",LEN(TRIM('Raw Data'!B177))=0,Validate_Empty!B177&lt;&gt;"",Validate_Value!B177&lt;&gt;""),"",IF('Raw Data'!B177 = Condition!B177,"",_xlfn.REGEXEXTRACT(CELL("address",'Raw Data'!B177),"\$([A-Z]+)\$[0-9]+")))</f>
        <v/>
      </c>
      <c r="C177" s="7" t="str" cm="1">
        <f t="array" aca="1" ref="C177" ca="1">IF(OR('Raw Data'!C177="",LEN(TRIM('Raw Data'!C177))=0,Validate_Empty!C177&lt;&gt;"",Validate_Value!C177&lt;&gt;""),"",IF('Raw Data'!C177 = Condition!C177,"",_xlfn.REGEXEXTRACT(CELL("address",'Raw Data'!C177),"\$([A-Z]+)\$[0-9]+")))</f>
        <v/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2:36" x14ac:dyDescent="0.25">
      <c r="B178" s="7" t="str" cm="1">
        <f t="array" aca="1" ref="B178" ca="1">IF(OR('Raw Data'!B178="",LEN(TRIM('Raw Data'!B178))=0,Validate_Empty!B178&lt;&gt;"",Validate_Value!B178&lt;&gt;""),"",IF('Raw Data'!B178 = Condition!B178,"",_xlfn.REGEXEXTRACT(CELL("address",'Raw Data'!B178),"\$([A-Z]+)\$[0-9]+")))</f>
        <v/>
      </c>
      <c r="C178" s="7" t="str" cm="1">
        <f t="array" aca="1" ref="C178" ca="1">IF(OR('Raw Data'!C178="",LEN(TRIM('Raw Data'!C178))=0,Validate_Empty!C178&lt;&gt;"",Validate_Value!C178&lt;&gt;""),"",IF('Raw Data'!C178 = Condition!C178,"",_xlfn.REGEXEXTRACT(CELL("address",'Raw Data'!C178),"\$([A-Z]+)\$[0-9]+")))</f>
        <v/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2:36" x14ac:dyDescent="0.25">
      <c r="B179" s="7" t="str" cm="1">
        <f t="array" aca="1" ref="B179" ca="1">IF(OR('Raw Data'!B179="",LEN(TRIM('Raw Data'!B179))=0,Validate_Empty!B179&lt;&gt;"",Validate_Value!B179&lt;&gt;""),"",IF('Raw Data'!B179 = Condition!B179,"",_xlfn.REGEXEXTRACT(CELL("address",'Raw Data'!B179),"\$([A-Z]+)\$[0-9]+")))</f>
        <v/>
      </c>
      <c r="C179" s="7" t="str" cm="1">
        <f t="array" aca="1" ref="C179" ca="1">IF(OR('Raw Data'!C179="",LEN(TRIM('Raw Data'!C179))=0,Validate_Empty!C179&lt;&gt;"",Validate_Value!C179&lt;&gt;""),"",IF('Raw Data'!C179 = Condition!C179,"",_xlfn.REGEXEXTRACT(CELL("address",'Raw Data'!C179),"\$([A-Z]+)\$[0-9]+")))</f>
        <v/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spans="2:36" x14ac:dyDescent="0.25">
      <c r="B180" s="7" t="str" cm="1">
        <f t="array" aca="1" ref="B180" ca="1">IF(OR('Raw Data'!B180="",LEN(TRIM('Raw Data'!B180))=0,Validate_Empty!B180&lt;&gt;"",Validate_Value!B180&lt;&gt;""),"",IF('Raw Data'!B180 = Condition!B180,"",_xlfn.REGEXEXTRACT(CELL("address",'Raw Data'!B180),"\$([A-Z]+)\$[0-9]+")))</f>
        <v/>
      </c>
      <c r="C180" s="7" t="str" cm="1">
        <f t="array" aca="1" ref="C180" ca="1">IF(OR('Raw Data'!C180="",LEN(TRIM('Raw Data'!C180))=0,Validate_Empty!C180&lt;&gt;"",Validate_Value!C180&lt;&gt;""),"",IF('Raw Data'!C180 = Condition!C180,"",_xlfn.REGEXEXTRACT(CELL("address",'Raw Data'!C180),"\$([A-Z]+)\$[0-9]+")))</f>
        <v/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2:36" x14ac:dyDescent="0.25">
      <c r="B181" s="7" t="str" cm="1">
        <f t="array" aca="1" ref="B181" ca="1">IF(OR('Raw Data'!B181="",LEN(TRIM('Raw Data'!B181))=0,Validate_Empty!B181&lt;&gt;"",Validate_Value!B181&lt;&gt;""),"",IF('Raw Data'!B181 = Condition!B181,"",_xlfn.REGEXEXTRACT(CELL("address",'Raw Data'!B181),"\$([A-Z]+)\$[0-9]+")))</f>
        <v/>
      </c>
      <c r="C181" s="7" t="str" cm="1">
        <f t="array" aca="1" ref="C181" ca="1">IF(OR('Raw Data'!C181="",LEN(TRIM('Raw Data'!C181))=0,Validate_Empty!C181&lt;&gt;"",Validate_Value!C181&lt;&gt;""),"",IF('Raw Data'!C181 = Condition!C181,"",_xlfn.REGEXEXTRACT(CELL("address",'Raw Data'!C181),"\$([A-Z]+)\$[0-9]+")))</f>
        <v/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2:36" x14ac:dyDescent="0.25">
      <c r="B182" s="7" t="str" cm="1">
        <f t="array" aca="1" ref="B182" ca="1">IF(OR('Raw Data'!B182="",LEN(TRIM('Raw Data'!B182))=0,Validate_Empty!B182&lt;&gt;"",Validate_Value!B182&lt;&gt;""),"",IF('Raw Data'!B182 = Condition!B182,"",_xlfn.REGEXEXTRACT(CELL("address",'Raw Data'!B182),"\$([A-Z]+)\$[0-9]+")))</f>
        <v/>
      </c>
      <c r="C182" s="7" t="str" cm="1">
        <f t="array" aca="1" ref="C182" ca="1">IF(OR('Raw Data'!C182="",LEN(TRIM('Raw Data'!C182))=0,Validate_Empty!C182&lt;&gt;"",Validate_Value!C182&lt;&gt;""),"",IF('Raw Data'!C182 = Condition!C182,"",_xlfn.REGEXEXTRACT(CELL("address",'Raw Data'!C182),"\$([A-Z]+)\$[0-9]+")))</f>
        <v/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spans="2:36" x14ac:dyDescent="0.25">
      <c r="B183" s="7" t="str" cm="1">
        <f t="array" aca="1" ref="B183" ca="1">IF(OR('Raw Data'!B183="",LEN(TRIM('Raw Data'!B183))=0,Validate_Empty!B183&lt;&gt;"",Validate_Value!B183&lt;&gt;""),"",IF('Raw Data'!B183 = Condition!B183,"",_xlfn.REGEXEXTRACT(CELL("address",'Raw Data'!B183),"\$([A-Z]+)\$[0-9]+")))</f>
        <v/>
      </c>
      <c r="C183" s="7" t="str" cm="1">
        <f t="array" aca="1" ref="C183" ca="1">IF(OR('Raw Data'!C183="",LEN(TRIM('Raw Data'!C183))=0,Validate_Empty!C183&lt;&gt;"",Validate_Value!C183&lt;&gt;""),"",IF('Raw Data'!C183 = Condition!C183,"",_xlfn.REGEXEXTRACT(CELL("address",'Raw Data'!C183),"\$([A-Z]+)\$[0-9]+")))</f>
        <v/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spans="2:36" x14ac:dyDescent="0.25">
      <c r="B184" s="7" t="str" cm="1">
        <f t="array" aca="1" ref="B184" ca="1">IF(OR('Raw Data'!B184="",LEN(TRIM('Raw Data'!B184))=0,Validate_Empty!B184&lt;&gt;"",Validate_Value!B184&lt;&gt;""),"",IF('Raw Data'!B184 = Condition!B184,"",_xlfn.REGEXEXTRACT(CELL("address",'Raw Data'!B184),"\$([A-Z]+)\$[0-9]+")))</f>
        <v/>
      </c>
      <c r="C184" s="7" t="str" cm="1">
        <f t="array" aca="1" ref="C184" ca="1">IF(OR('Raw Data'!C184="",LEN(TRIM('Raw Data'!C184))=0,Validate_Empty!C184&lt;&gt;"",Validate_Value!C184&lt;&gt;""),"",IF('Raw Data'!C184 = Condition!C184,"",_xlfn.REGEXEXTRACT(CELL("address",'Raw Data'!C184),"\$([A-Z]+)\$[0-9]+")))</f>
        <v/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2:36" x14ac:dyDescent="0.25">
      <c r="B185" s="7" t="str" cm="1">
        <f t="array" aca="1" ref="B185" ca="1">IF(OR('Raw Data'!B185="",LEN(TRIM('Raw Data'!B185))=0,Validate_Empty!B185&lt;&gt;"",Validate_Value!B185&lt;&gt;""),"",IF('Raw Data'!B185 = Condition!B185,"",_xlfn.REGEXEXTRACT(CELL("address",'Raw Data'!B185),"\$([A-Z]+)\$[0-9]+")))</f>
        <v/>
      </c>
      <c r="C185" s="7" t="str" cm="1">
        <f t="array" aca="1" ref="C185" ca="1">IF(OR('Raw Data'!C185="",LEN(TRIM('Raw Data'!C185))=0,Validate_Empty!C185&lt;&gt;"",Validate_Value!C185&lt;&gt;""),"",IF('Raw Data'!C185 = Condition!C185,"",_xlfn.REGEXEXTRACT(CELL("address",'Raw Data'!C185),"\$([A-Z]+)\$[0-9]+")))</f>
        <v/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2:36" x14ac:dyDescent="0.25">
      <c r="B186" s="7" t="str" cm="1">
        <f t="array" aca="1" ref="B186" ca="1">IF(OR('Raw Data'!B186="",LEN(TRIM('Raw Data'!B186))=0,Validate_Empty!B186&lt;&gt;"",Validate_Value!B186&lt;&gt;""),"",IF('Raw Data'!B186 = Condition!B186,"",_xlfn.REGEXEXTRACT(CELL("address",'Raw Data'!B186),"\$([A-Z]+)\$[0-9]+")))</f>
        <v/>
      </c>
      <c r="C186" s="7" t="str" cm="1">
        <f t="array" aca="1" ref="C186" ca="1">IF(OR('Raw Data'!C186="",LEN(TRIM('Raw Data'!C186))=0,Validate_Empty!C186&lt;&gt;"",Validate_Value!C186&lt;&gt;""),"",IF('Raw Data'!C186 = Condition!C186,"",_xlfn.REGEXEXTRACT(CELL("address",'Raw Data'!C186),"\$([A-Z]+)\$[0-9]+")))</f>
        <v/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spans="2:36" x14ac:dyDescent="0.25">
      <c r="B187" s="7" t="str" cm="1">
        <f t="array" aca="1" ref="B187" ca="1">IF(OR('Raw Data'!B187="",LEN(TRIM('Raw Data'!B187))=0,Validate_Empty!B187&lt;&gt;"",Validate_Value!B187&lt;&gt;""),"",IF('Raw Data'!B187 = Condition!B187,"",_xlfn.REGEXEXTRACT(CELL("address",'Raw Data'!B187),"\$([A-Z]+)\$[0-9]+")))</f>
        <v/>
      </c>
      <c r="C187" s="7" t="str" cm="1">
        <f t="array" aca="1" ref="C187" ca="1">IF(OR('Raw Data'!C187="",LEN(TRIM('Raw Data'!C187))=0,Validate_Empty!C187&lt;&gt;"",Validate_Value!C187&lt;&gt;""),"",IF('Raw Data'!C187 = Condition!C187,"",_xlfn.REGEXEXTRACT(CELL("address",'Raw Data'!C187),"\$([A-Z]+)\$[0-9]+")))</f>
        <v/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spans="2:36" x14ac:dyDescent="0.25">
      <c r="B188" s="7" t="str" cm="1">
        <f t="array" aca="1" ref="B188" ca="1">IF(OR('Raw Data'!B188="",LEN(TRIM('Raw Data'!B188))=0,Validate_Empty!B188&lt;&gt;"",Validate_Value!B188&lt;&gt;""),"",IF('Raw Data'!B188 = Condition!B188,"",_xlfn.REGEXEXTRACT(CELL("address",'Raw Data'!B188),"\$([A-Z]+)\$[0-9]+")))</f>
        <v/>
      </c>
      <c r="C188" s="7" t="str" cm="1">
        <f t="array" aca="1" ref="C188" ca="1">IF(OR('Raw Data'!C188="",LEN(TRIM('Raw Data'!C188))=0,Validate_Empty!C188&lt;&gt;"",Validate_Value!C188&lt;&gt;""),"",IF('Raw Data'!C188 = Condition!C188,"",_xlfn.REGEXEXTRACT(CELL("address",'Raw Data'!C188),"\$([A-Z]+)\$[0-9]+")))</f>
        <v/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2:36" x14ac:dyDescent="0.25">
      <c r="B189" s="7" t="str" cm="1">
        <f t="array" aca="1" ref="B189" ca="1">IF(OR('Raw Data'!B189="",LEN(TRIM('Raw Data'!B189))=0,Validate_Empty!B189&lt;&gt;"",Validate_Value!B189&lt;&gt;""),"",IF('Raw Data'!B189 = Condition!B189,"",_xlfn.REGEXEXTRACT(CELL("address",'Raw Data'!B189),"\$([A-Z]+)\$[0-9]+")))</f>
        <v/>
      </c>
      <c r="C189" s="7" t="str" cm="1">
        <f t="array" aca="1" ref="C189" ca="1">IF(OR('Raw Data'!C189="",LEN(TRIM('Raw Data'!C189))=0,Validate_Empty!C189&lt;&gt;"",Validate_Value!C189&lt;&gt;""),"",IF('Raw Data'!C189 = Condition!C189,"",_xlfn.REGEXEXTRACT(CELL("address",'Raw Data'!C189),"\$([A-Z]+)\$[0-9]+")))</f>
        <v/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2:36" x14ac:dyDescent="0.25">
      <c r="B190" s="7" t="str" cm="1">
        <f t="array" aca="1" ref="B190" ca="1">IF(OR('Raw Data'!B190="",LEN(TRIM('Raw Data'!B190))=0,Validate_Empty!B190&lt;&gt;"",Validate_Value!B190&lt;&gt;""),"",IF('Raw Data'!B190 = Condition!B190,"",_xlfn.REGEXEXTRACT(CELL("address",'Raw Data'!B190),"\$([A-Z]+)\$[0-9]+")))</f>
        <v/>
      </c>
      <c r="C190" s="7" t="str" cm="1">
        <f t="array" aca="1" ref="C190" ca="1">IF(OR('Raw Data'!C190="",LEN(TRIM('Raw Data'!C190))=0,Validate_Empty!C190&lt;&gt;"",Validate_Value!C190&lt;&gt;""),"",IF('Raw Data'!C190 = Condition!C190,"",_xlfn.REGEXEXTRACT(CELL("address",'Raw Data'!C190),"\$([A-Z]+)\$[0-9]+")))</f>
        <v/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2:36" x14ac:dyDescent="0.25">
      <c r="B191" s="7" t="str" cm="1">
        <f t="array" aca="1" ref="B191" ca="1">IF(OR('Raw Data'!B191="",LEN(TRIM('Raw Data'!B191))=0,Validate_Empty!B191&lt;&gt;"",Validate_Value!B191&lt;&gt;""),"",IF('Raw Data'!B191 = Condition!B191,"",_xlfn.REGEXEXTRACT(CELL("address",'Raw Data'!B191),"\$([A-Z]+)\$[0-9]+")))</f>
        <v/>
      </c>
      <c r="C191" s="7" t="str" cm="1">
        <f t="array" aca="1" ref="C191" ca="1">IF(OR('Raw Data'!C191="",LEN(TRIM('Raw Data'!C191))=0,Validate_Empty!C191&lt;&gt;"",Validate_Value!C191&lt;&gt;""),"",IF('Raw Data'!C191 = Condition!C191,"",_xlfn.REGEXEXTRACT(CELL("address",'Raw Data'!C191),"\$([A-Z]+)\$[0-9]+")))</f>
        <v/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spans="2:36" x14ac:dyDescent="0.25">
      <c r="B192" s="7" t="str" cm="1">
        <f t="array" aca="1" ref="B192" ca="1">IF(OR('Raw Data'!B192="",LEN(TRIM('Raw Data'!B192))=0,Validate_Empty!B192&lt;&gt;"",Validate_Value!B192&lt;&gt;""),"",IF('Raw Data'!B192 = Condition!B192,"",_xlfn.REGEXEXTRACT(CELL("address",'Raw Data'!B192),"\$([A-Z]+)\$[0-9]+")))</f>
        <v/>
      </c>
      <c r="C192" s="7" t="str" cm="1">
        <f t="array" aca="1" ref="C192" ca="1">IF(OR('Raw Data'!C192="",LEN(TRIM('Raw Data'!C192))=0,Validate_Empty!C192&lt;&gt;"",Validate_Value!C192&lt;&gt;""),"",IF('Raw Data'!C192 = Condition!C192,"",_xlfn.REGEXEXTRACT(CELL("address",'Raw Data'!C192),"\$([A-Z]+)\$[0-9]+")))</f>
        <v/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spans="2:36" x14ac:dyDescent="0.25">
      <c r="B193" s="7" t="str" cm="1">
        <f t="array" aca="1" ref="B193" ca="1">IF(OR('Raw Data'!B193="",LEN(TRIM('Raw Data'!B193))=0,Validate_Empty!B193&lt;&gt;"",Validate_Value!B193&lt;&gt;""),"",IF('Raw Data'!B193 = Condition!B193,"",_xlfn.REGEXEXTRACT(CELL("address",'Raw Data'!B193),"\$([A-Z]+)\$[0-9]+")))</f>
        <v/>
      </c>
      <c r="C193" s="7" t="str" cm="1">
        <f t="array" aca="1" ref="C193" ca="1">IF(OR('Raw Data'!C193="",LEN(TRIM('Raw Data'!C193))=0,Validate_Empty!C193&lt;&gt;"",Validate_Value!C193&lt;&gt;""),"",IF('Raw Data'!C193 = Condition!C193,"",_xlfn.REGEXEXTRACT(CELL("address",'Raw Data'!C193),"\$([A-Z]+)\$[0-9]+")))</f>
        <v/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spans="2:36" x14ac:dyDescent="0.25">
      <c r="B194" s="7" t="str" cm="1">
        <f t="array" aca="1" ref="B194" ca="1">IF(OR('Raw Data'!B194="",LEN(TRIM('Raw Data'!B194))=0,Validate_Empty!B194&lt;&gt;"",Validate_Value!B194&lt;&gt;""),"",IF('Raw Data'!B194 = Condition!B194,"",_xlfn.REGEXEXTRACT(CELL("address",'Raw Data'!B194),"\$([A-Z]+)\$[0-9]+")))</f>
        <v/>
      </c>
      <c r="C194" s="7" t="str" cm="1">
        <f t="array" aca="1" ref="C194" ca="1">IF(OR('Raw Data'!C194="",LEN(TRIM('Raw Data'!C194))=0,Validate_Empty!C194&lt;&gt;"",Validate_Value!C194&lt;&gt;""),"",IF('Raw Data'!C194 = Condition!C194,"",_xlfn.REGEXEXTRACT(CELL("address",'Raw Data'!C194),"\$([A-Z]+)\$[0-9]+")))</f>
        <v/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spans="2:36" x14ac:dyDescent="0.25">
      <c r="B195" s="7" t="str" cm="1">
        <f t="array" aca="1" ref="B195" ca="1">IF(OR('Raw Data'!B195="",LEN(TRIM('Raw Data'!B195))=0,Validate_Empty!B195&lt;&gt;"",Validate_Value!B195&lt;&gt;""),"",IF('Raw Data'!B195 = Condition!B195,"",_xlfn.REGEXEXTRACT(CELL("address",'Raw Data'!B195),"\$([A-Z]+)\$[0-9]+")))</f>
        <v/>
      </c>
      <c r="C195" s="7" t="str" cm="1">
        <f t="array" aca="1" ref="C195" ca="1">IF(OR('Raw Data'!C195="",LEN(TRIM('Raw Data'!C195))=0,Validate_Empty!C195&lt;&gt;"",Validate_Value!C195&lt;&gt;""),"",IF('Raw Data'!C195 = Condition!C195,"",_xlfn.REGEXEXTRACT(CELL("address",'Raw Data'!C195),"\$([A-Z]+)\$[0-9]+")))</f>
        <v/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spans="2:36" x14ac:dyDescent="0.25">
      <c r="B196" s="7" t="str" cm="1">
        <f t="array" aca="1" ref="B196" ca="1">IF(OR('Raw Data'!B196="",LEN(TRIM('Raw Data'!B196))=0,Validate_Empty!B196&lt;&gt;"",Validate_Value!B196&lt;&gt;""),"",IF('Raw Data'!B196 = Condition!B196,"",_xlfn.REGEXEXTRACT(CELL("address",'Raw Data'!B196),"\$([A-Z]+)\$[0-9]+")))</f>
        <v/>
      </c>
      <c r="C196" s="7" t="str" cm="1">
        <f t="array" aca="1" ref="C196" ca="1">IF(OR('Raw Data'!C196="",LEN(TRIM('Raw Data'!C196))=0,Validate_Empty!C196&lt;&gt;"",Validate_Value!C196&lt;&gt;""),"",IF('Raw Data'!C196 = Condition!C196,"",_xlfn.REGEXEXTRACT(CELL("address",'Raw Data'!C196),"\$([A-Z]+)\$[0-9]+")))</f>
        <v/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spans="2:36" x14ac:dyDescent="0.25">
      <c r="B197" s="7" t="str" cm="1">
        <f t="array" aca="1" ref="B197" ca="1">IF(OR('Raw Data'!B197="",LEN(TRIM('Raw Data'!B197))=0,Validate_Empty!B197&lt;&gt;"",Validate_Value!B197&lt;&gt;""),"",IF('Raw Data'!B197 = Condition!B197,"",_xlfn.REGEXEXTRACT(CELL("address",'Raw Data'!B197),"\$([A-Z]+)\$[0-9]+")))</f>
        <v/>
      </c>
      <c r="C197" s="7" t="str" cm="1">
        <f t="array" aca="1" ref="C197" ca="1">IF(OR('Raw Data'!C197="",LEN(TRIM('Raw Data'!C197))=0,Validate_Empty!C197&lt;&gt;"",Validate_Value!C197&lt;&gt;""),"",IF('Raw Data'!C197 = Condition!C197,"",_xlfn.REGEXEXTRACT(CELL("address",'Raw Data'!C197),"\$([A-Z]+)\$[0-9]+")))</f>
        <v/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spans="2:36" x14ac:dyDescent="0.25">
      <c r="B198" s="7" t="str" cm="1">
        <f t="array" aca="1" ref="B198" ca="1">IF(OR('Raw Data'!B198="",LEN(TRIM('Raw Data'!B198))=0,Validate_Empty!B198&lt;&gt;"",Validate_Value!B198&lt;&gt;""),"",IF('Raw Data'!B198 = Condition!B198,"",_xlfn.REGEXEXTRACT(CELL("address",'Raw Data'!B198),"\$([A-Z]+)\$[0-9]+")))</f>
        <v/>
      </c>
      <c r="C198" s="7" t="str" cm="1">
        <f t="array" aca="1" ref="C198" ca="1">IF(OR('Raw Data'!C198="",LEN(TRIM('Raw Data'!C198))=0,Validate_Empty!C198&lt;&gt;"",Validate_Value!C198&lt;&gt;""),"",IF('Raw Data'!C198 = Condition!C198,"",_xlfn.REGEXEXTRACT(CELL("address",'Raw Data'!C198),"\$([A-Z]+)\$[0-9]+")))</f>
        <v/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spans="2:36" x14ac:dyDescent="0.25">
      <c r="B199" s="7" t="str" cm="1">
        <f t="array" aca="1" ref="B199" ca="1">IF(OR('Raw Data'!B199="",LEN(TRIM('Raw Data'!B199))=0,Validate_Empty!B199&lt;&gt;"",Validate_Value!B199&lt;&gt;""),"",IF('Raw Data'!B199 = Condition!B199,"",_xlfn.REGEXEXTRACT(CELL("address",'Raw Data'!B199),"\$([A-Z]+)\$[0-9]+")))</f>
        <v/>
      </c>
      <c r="C199" s="7" t="str" cm="1">
        <f t="array" aca="1" ref="C199" ca="1">IF(OR('Raw Data'!C199="",LEN(TRIM('Raw Data'!C199))=0,Validate_Empty!C199&lt;&gt;"",Validate_Value!C199&lt;&gt;""),"",IF('Raw Data'!C199 = Condition!C199,"",_xlfn.REGEXEXTRACT(CELL("address",'Raw Data'!C199),"\$([A-Z]+)\$[0-9]+")))</f>
        <v/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spans="2:36" x14ac:dyDescent="0.25">
      <c r="B200" s="7" t="str" cm="1">
        <f t="array" aca="1" ref="B200" ca="1">IF(OR('Raw Data'!B200="",LEN(TRIM('Raw Data'!B200))=0,Validate_Empty!B200&lt;&gt;"",Validate_Value!B200&lt;&gt;""),"",IF('Raw Data'!B200 = Condition!B200,"",_xlfn.REGEXEXTRACT(CELL("address",'Raw Data'!B200),"\$([A-Z]+)\$[0-9]+")))</f>
        <v/>
      </c>
      <c r="C200" s="7" t="str" cm="1">
        <f t="array" aca="1" ref="C200" ca="1">IF(OR('Raw Data'!C200="",LEN(TRIM('Raw Data'!C200))=0,Validate_Empty!C200&lt;&gt;"",Validate_Value!C200&lt;&gt;""),"",IF('Raw Data'!C200 = Condition!C200,"",_xlfn.REGEXEXTRACT(CELL("address",'Raw Data'!C200),"\$([A-Z]+)\$[0-9]+")))</f>
        <v/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spans="2:36" x14ac:dyDescent="0.25">
      <c r="B201" s="7" t="str" cm="1">
        <f t="array" aca="1" ref="B201" ca="1">IF(OR('Raw Data'!B201="",LEN(TRIM('Raw Data'!B201))=0,Validate_Empty!B201&lt;&gt;"",Validate_Value!B201&lt;&gt;""),"",IF('Raw Data'!B201 = Condition!B201,"",_xlfn.REGEXEXTRACT(CELL("address",'Raw Data'!B201),"\$([A-Z]+)\$[0-9]+")))</f>
        <v/>
      </c>
      <c r="C201" s="7" t="str" cm="1">
        <f t="array" aca="1" ref="C201" ca="1">IF(OR('Raw Data'!C201="",LEN(TRIM('Raw Data'!C201))=0,Validate_Empty!C201&lt;&gt;"",Validate_Value!C201&lt;&gt;""),"",IF('Raw Data'!C201 = Condition!C201,"",_xlfn.REGEXEXTRACT(CELL("address",'Raw Data'!C201),"\$([A-Z]+)\$[0-9]+")))</f>
        <v/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spans="2:36" x14ac:dyDescent="0.25">
      <c r="B202" s="7" t="str" cm="1">
        <f t="array" aca="1" ref="B202" ca="1">IF(OR('Raw Data'!B202="",LEN(TRIM('Raw Data'!B202))=0,Validate_Empty!B202&lt;&gt;"",Validate_Value!B202&lt;&gt;""),"",IF('Raw Data'!B202 = Condition!B202,"",_xlfn.REGEXEXTRACT(CELL("address",'Raw Data'!B202),"\$([A-Z]+)\$[0-9]+")))</f>
        <v/>
      </c>
      <c r="C202" s="7" t="str" cm="1">
        <f t="array" aca="1" ref="C202" ca="1">IF(OR('Raw Data'!C202="",LEN(TRIM('Raw Data'!C202))=0,Validate_Empty!C202&lt;&gt;"",Validate_Value!C202&lt;&gt;""),"",IF('Raw Data'!C202 = Condition!C202,"",_xlfn.REGEXEXTRACT(CELL("address",'Raw Data'!C202),"\$([A-Z]+)\$[0-9]+")))</f>
        <v/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spans="2:36" x14ac:dyDescent="0.25">
      <c r="B203" s="7" t="str" cm="1">
        <f t="array" aca="1" ref="B203" ca="1">IF(OR('Raw Data'!B203="",LEN(TRIM('Raw Data'!B203))=0,Validate_Empty!B203&lt;&gt;"",Validate_Value!B203&lt;&gt;""),"",IF('Raw Data'!B203 = Condition!B203,"",_xlfn.REGEXEXTRACT(CELL("address",'Raw Data'!B203),"\$([A-Z]+)\$[0-9]+")))</f>
        <v/>
      </c>
      <c r="C203" s="7" t="str" cm="1">
        <f t="array" aca="1" ref="C203" ca="1">IF(OR('Raw Data'!C203="",LEN(TRIM('Raw Data'!C203))=0,Validate_Empty!C203&lt;&gt;"",Validate_Value!C203&lt;&gt;""),"",IF('Raw Data'!C203 = Condition!C203,"",_xlfn.REGEXEXTRACT(CELL("address",'Raw Data'!C203),"\$([A-Z]+)\$[0-9]+")))</f>
        <v/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spans="2:36" x14ac:dyDescent="0.25">
      <c r="B204" s="7" t="str" cm="1">
        <f t="array" aca="1" ref="B204" ca="1">IF(OR('Raw Data'!B204="",LEN(TRIM('Raw Data'!B204))=0,Validate_Empty!B204&lt;&gt;"",Validate_Value!B204&lt;&gt;""),"",IF('Raw Data'!B204 = Condition!B204,"",_xlfn.REGEXEXTRACT(CELL("address",'Raw Data'!B204),"\$([A-Z]+)\$[0-9]+")))</f>
        <v/>
      </c>
      <c r="C204" s="7" t="str" cm="1">
        <f t="array" aca="1" ref="C204" ca="1">IF(OR('Raw Data'!C204="",LEN(TRIM('Raw Data'!C204))=0,Validate_Empty!C204&lt;&gt;"",Validate_Value!C204&lt;&gt;""),"",IF('Raw Data'!C204 = Condition!C204,"",_xlfn.REGEXEXTRACT(CELL("address",'Raw Data'!C204),"\$([A-Z]+)\$[0-9]+")))</f>
        <v/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spans="2:36" x14ac:dyDescent="0.25">
      <c r="B205" s="7" t="str" cm="1">
        <f t="array" aca="1" ref="B205" ca="1">IF(OR('Raw Data'!B205="",LEN(TRIM('Raw Data'!B205))=0,Validate_Empty!B205&lt;&gt;"",Validate_Value!B205&lt;&gt;""),"",IF('Raw Data'!B205 = Condition!B205,"",_xlfn.REGEXEXTRACT(CELL("address",'Raw Data'!B205),"\$([A-Z]+)\$[0-9]+")))</f>
        <v/>
      </c>
      <c r="C205" s="7" t="str" cm="1">
        <f t="array" aca="1" ref="C205" ca="1">IF(OR('Raw Data'!C205="",LEN(TRIM('Raw Data'!C205))=0,Validate_Empty!C205&lt;&gt;"",Validate_Value!C205&lt;&gt;""),"",IF('Raw Data'!C205 = Condition!C205,"",_xlfn.REGEXEXTRACT(CELL("address",'Raw Data'!C205),"\$([A-Z]+)\$[0-9]+")))</f>
        <v/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spans="2:36" x14ac:dyDescent="0.25">
      <c r="B206" s="7" t="str" cm="1">
        <f t="array" aca="1" ref="B206" ca="1">IF(OR('Raw Data'!B206="",LEN(TRIM('Raw Data'!B206))=0,Validate_Empty!B206&lt;&gt;"",Validate_Value!B206&lt;&gt;""),"",IF('Raw Data'!B206 = Condition!B206,"",_xlfn.REGEXEXTRACT(CELL("address",'Raw Data'!B206),"\$([A-Z]+)\$[0-9]+")))</f>
        <v/>
      </c>
      <c r="C206" s="7" t="str" cm="1">
        <f t="array" aca="1" ref="C206" ca="1">IF(OR('Raw Data'!C206="",LEN(TRIM('Raw Data'!C206))=0,Validate_Empty!C206&lt;&gt;"",Validate_Value!C206&lt;&gt;""),"",IF('Raw Data'!C206 = Condition!C206,"",_xlfn.REGEXEXTRACT(CELL("address",'Raw Data'!C206),"\$([A-Z]+)\$[0-9]+")))</f>
        <v/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spans="2:36" x14ac:dyDescent="0.25">
      <c r="B207" s="7" t="str" cm="1">
        <f t="array" aca="1" ref="B207" ca="1">IF(OR('Raw Data'!B207="",LEN(TRIM('Raw Data'!B207))=0,Validate_Empty!B207&lt;&gt;"",Validate_Value!B207&lt;&gt;""),"",IF('Raw Data'!B207 = Condition!B207,"",_xlfn.REGEXEXTRACT(CELL("address",'Raw Data'!B207),"\$([A-Z]+)\$[0-9]+")))</f>
        <v/>
      </c>
      <c r="C207" s="7" t="str" cm="1">
        <f t="array" aca="1" ref="C207" ca="1">IF(OR('Raw Data'!C207="",LEN(TRIM('Raw Data'!C207))=0,Validate_Empty!C207&lt;&gt;"",Validate_Value!C207&lt;&gt;""),"",IF('Raw Data'!C207 = Condition!C207,"",_xlfn.REGEXEXTRACT(CELL("address",'Raw Data'!C207),"\$([A-Z]+)\$[0-9]+")))</f>
        <v/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spans="2:36" x14ac:dyDescent="0.25">
      <c r="B208" s="7" t="str" cm="1">
        <f t="array" aca="1" ref="B208" ca="1">IF(OR('Raw Data'!B208="",LEN(TRIM('Raw Data'!B208))=0,Validate_Empty!B208&lt;&gt;"",Validate_Value!B208&lt;&gt;""),"",IF('Raw Data'!B208 = Condition!B208,"",_xlfn.REGEXEXTRACT(CELL("address",'Raw Data'!B208),"\$([A-Z]+)\$[0-9]+")))</f>
        <v/>
      </c>
      <c r="C208" s="7" t="str" cm="1">
        <f t="array" aca="1" ref="C208" ca="1">IF(OR('Raw Data'!C208="",LEN(TRIM('Raw Data'!C208))=0,Validate_Empty!C208&lt;&gt;"",Validate_Value!C208&lt;&gt;""),"",IF('Raw Data'!C208 = Condition!C208,"",_xlfn.REGEXEXTRACT(CELL("address",'Raw Data'!C208),"\$([A-Z]+)\$[0-9]+")))</f>
        <v/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spans="2:36" x14ac:dyDescent="0.25">
      <c r="B209" s="7" t="str" cm="1">
        <f t="array" aca="1" ref="B209" ca="1">IF(OR('Raw Data'!B209="",LEN(TRIM('Raw Data'!B209))=0,Validate_Empty!B209&lt;&gt;"",Validate_Value!B209&lt;&gt;""),"",IF('Raw Data'!B209 = Condition!B209,"",_xlfn.REGEXEXTRACT(CELL("address",'Raw Data'!B209),"\$([A-Z]+)\$[0-9]+")))</f>
        <v/>
      </c>
      <c r="C209" s="7" t="str" cm="1">
        <f t="array" aca="1" ref="C209" ca="1">IF(OR('Raw Data'!C209="",LEN(TRIM('Raw Data'!C209))=0,Validate_Empty!C209&lt;&gt;"",Validate_Value!C209&lt;&gt;""),"",IF('Raw Data'!C209 = Condition!C209,"",_xlfn.REGEXEXTRACT(CELL("address",'Raw Data'!C209),"\$([A-Z]+)\$[0-9]+")))</f>
        <v/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spans="2:36" x14ac:dyDescent="0.25">
      <c r="B210" s="7" t="str" cm="1">
        <f t="array" aca="1" ref="B210" ca="1">IF(OR('Raw Data'!B210="",LEN(TRIM('Raw Data'!B210))=0,Validate_Empty!B210&lt;&gt;"",Validate_Value!B210&lt;&gt;""),"",IF('Raw Data'!B210 = Condition!B210,"",_xlfn.REGEXEXTRACT(CELL("address",'Raw Data'!B210),"\$([A-Z]+)\$[0-9]+")))</f>
        <v/>
      </c>
      <c r="C210" s="7" t="str" cm="1">
        <f t="array" aca="1" ref="C210" ca="1">IF(OR('Raw Data'!C210="",LEN(TRIM('Raw Data'!C210))=0,Validate_Empty!C210&lt;&gt;"",Validate_Value!C210&lt;&gt;""),"",IF('Raw Data'!C210 = Condition!C210,"",_xlfn.REGEXEXTRACT(CELL("address",'Raw Data'!C210),"\$([A-Z]+)\$[0-9]+")))</f>
        <v/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spans="2:36" x14ac:dyDescent="0.25">
      <c r="B211" s="7" t="str" cm="1">
        <f t="array" aca="1" ref="B211" ca="1">IF(OR('Raw Data'!B211="",LEN(TRIM('Raw Data'!B211))=0,Validate_Empty!B211&lt;&gt;"",Validate_Value!B211&lt;&gt;""),"",IF('Raw Data'!B211 = Condition!B211,"",_xlfn.REGEXEXTRACT(CELL("address",'Raw Data'!B211),"\$([A-Z]+)\$[0-9]+")))</f>
        <v/>
      </c>
      <c r="C211" s="7" t="str" cm="1">
        <f t="array" aca="1" ref="C211" ca="1">IF(OR('Raw Data'!C211="",LEN(TRIM('Raw Data'!C211))=0,Validate_Empty!C211&lt;&gt;"",Validate_Value!C211&lt;&gt;""),"",IF('Raw Data'!C211 = Condition!C211,"",_xlfn.REGEXEXTRACT(CELL("address",'Raw Data'!C211),"\$([A-Z]+)\$[0-9]+")))</f>
        <v/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spans="2:36" x14ac:dyDescent="0.25">
      <c r="B212" s="7" t="str" cm="1">
        <f t="array" aca="1" ref="B212" ca="1">IF(OR('Raw Data'!B212="",LEN(TRIM('Raw Data'!B212))=0,Validate_Empty!B212&lt;&gt;"",Validate_Value!B212&lt;&gt;""),"",IF('Raw Data'!B212 = Condition!B212,"",_xlfn.REGEXEXTRACT(CELL("address",'Raw Data'!B212),"\$([A-Z]+)\$[0-9]+")))</f>
        <v/>
      </c>
      <c r="C212" s="7" t="str" cm="1">
        <f t="array" aca="1" ref="C212" ca="1">IF(OR('Raw Data'!C212="",LEN(TRIM('Raw Data'!C212))=0,Validate_Empty!C212&lt;&gt;"",Validate_Value!C212&lt;&gt;""),"",IF('Raw Data'!C212 = Condition!C212,"",_xlfn.REGEXEXTRACT(CELL("address",'Raw Data'!C212),"\$([A-Z]+)\$[0-9]+")))</f>
        <v/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spans="2:36" x14ac:dyDescent="0.25">
      <c r="B213" s="7" t="str" cm="1">
        <f t="array" aca="1" ref="B213" ca="1">IF(OR('Raw Data'!B213="",LEN(TRIM('Raw Data'!B213))=0,Validate_Empty!B213&lt;&gt;"",Validate_Value!B213&lt;&gt;""),"",IF('Raw Data'!B213 = Condition!B213,"",_xlfn.REGEXEXTRACT(CELL("address",'Raw Data'!B213),"\$([A-Z]+)\$[0-9]+")))</f>
        <v/>
      </c>
      <c r="C213" s="7" t="str" cm="1">
        <f t="array" aca="1" ref="C213" ca="1">IF(OR('Raw Data'!C213="",LEN(TRIM('Raw Data'!C213))=0,Validate_Empty!C213&lt;&gt;"",Validate_Value!C213&lt;&gt;""),"",IF('Raw Data'!C213 = Condition!C213,"",_xlfn.REGEXEXTRACT(CELL("address",'Raw Data'!C213),"\$([A-Z]+)\$[0-9]+")))</f>
        <v/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spans="2:36" x14ac:dyDescent="0.25">
      <c r="B214" s="7" t="str" cm="1">
        <f t="array" aca="1" ref="B214" ca="1">IF(OR('Raw Data'!B214="",LEN(TRIM('Raw Data'!B214))=0,Validate_Empty!B214&lt;&gt;"",Validate_Value!B214&lt;&gt;""),"",IF('Raw Data'!B214 = Condition!B214,"",_xlfn.REGEXEXTRACT(CELL("address",'Raw Data'!B214),"\$([A-Z]+)\$[0-9]+")))</f>
        <v/>
      </c>
      <c r="C214" s="7" t="str" cm="1">
        <f t="array" aca="1" ref="C214" ca="1">IF(OR('Raw Data'!C214="",LEN(TRIM('Raw Data'!C214))=0,Validate_Empty!C214&lt;&gt;"",Validate_Value!C214&lt;&gt;""),"",IF('Raw Data'!C214 = Condition!C214,"",_xlfn.REGEXEXTRACT(CELL("address",'Raw Data'!C214),"\$([A-Z]+)\$[0-9]+")))</f>
        <v/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spans="2:36" x14ac:dyDescent="0.25">
      <c r="B215" s="7" t="str" cm="1">
        <f t="array" aca="1" ref="B215" ca="1">IF(OR('Raw Data'!B215="",LEN(TRIM('Raw Data'!B215))=0,Validate_Empty!B215&lt;&gt;"",Validate_Value!B215&lt;&gt;""),"",IF('Raw Data'!B215 = Condition!B215,"",_xlfn.REGEXEXTRACT(CELL("address",'Raw Data'!B215),"\$([A-Z]+)\$[0-9]+")))</f>
        <v/>
      </c>
      <c r="C215" s="7" t="str" cm="1">
        <f t="array" aca="1" ref="C215" ca="1">IF(OR('Raw Data'!C215="",LEN(TRIM('Raw Data'!C215))=0,Validate_Empty!C215&lt;&gt;"",Validate_Value!C215&lt;&gt;""),"",IF('Raw Data'!C215 = Condition!C215,"",_xlfn.REGEXEXTRACT(CELL("address",'Raw Data'!C215),"\$([A-Z]+)\$[0-9]+")))</f>
        <v/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spans="2:36" x14ac:dyDescent="0.25">
      <c r="B216" s="7" t="str" cm="1">
        <f t="array" aca="1" ref="B216" ca="1">IF(OR('Raw Data'!B216="",LEN(TRIM('Raw Data'!B216))=0,Validate_Empty!B216&lt;&gt;"",Validate_Value!B216&lt;&gt;""),"",IF('Raw Data'!B216 = Condition!B216,"",_xlfn.REGEXEXTRACT(CELL("address",'Raw Data'!B216),"\$([A-Z]+)\$[0-9]+")))</f>
        <v/>
      </c>
      <c r="C216" s="7" t="str" cm="1">
        <f t="array" aca="1" ref="C216" ca="1">IF(OR('Raw Data'!C216="",LEN(TRIM('Raw Data'!C216))=0,Validate_Empty!C216&lt;&gt;"",Validate_Value!C216&lt;&gt;""),"",IF('Raw Data'!C216 = Condition!C216,"",_xlfn.REGEXEXTRACT(CELL("address",'Raw Data'!C216),"\$([A-Z]+)\$[0-9]+")))</f>
        <v/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spans="2:36" x14ac:dyDescent="0.25">
      <c r="B217" s="7" t="str" cm="1">
        <f t="array" aca="1" ref="B217" ca="1">IF(OR('Raw Data'!B217="",LEN(TRIM('Raw Data'!B217))=0,Validate_Empty!B217&lt;&gt;"",Validate_Value!B217&lt;&gt;""),"",IF('Raw Data'!B217 = Condition!B217,"",_xlfn.REGEXEXTRACT(CELL("address",'Raw Data'!B217),"\$([A-Z]+)\$[0-9]+")))</f>
        <v/>
      </c>
      <c r="C217" s="7" t="str" cm="1">
        <f t="array" aca="1" ref="C217" ca="1">IF(OR('Raw Data'!C217="",LEN(TRIM('Raw Data'!C217))=0,Validate_Empty!C217&lt;&gt;"",Validate_Value!C217&lt;&gt;""),"",IF('Raw Data'!C217 = Condition!C217,"",_xlfn.REGEXEXTRACT(CELL("address",'Raw Data'!C217),"\$([A-Z]+)\$[0-9]+")))</f>
        <v/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spans="2:36" x14ac:dyDescent="0.25">
      <c r="B218" s="7" t="str" cm="1">
        <f t="array" aca="1" ref="B218" ca="1">IF(OR('Raw Data'!B218="",LEN(TRIM('Raw Data'!B218))=0,Validate_Empty!B218&lt;&gt;"",Validate_Value!B218&lt;&gt;""),"",IF('Raw Data'!B218 = Condition!B218,"",_xlfn.REGEXEXTRACT(CELL("address",'Raw Data'!B218),"\$([A-Z]+)\$[0-9]+")))</f>
        <v/>
      </c>
      <c r="C218" s="7" t="str" cm="1">
        <f t="array" aca="1" ref="C218" ca="1">IF(OR('Raw Data'!C218="",LEN(TRIM('Raw Data'!C218))=0,Validate_Empty!C218&lt;&gt;"",Validate_Value!C218&lt;&gt;""),"",IF('Raw Data'!C218 = Condition!C218,"",_xlfn.REGEXEXTRACT(CELL("address",'Raw Data'!C218),"\$([A-Z]+)\$[0-9]+")))</f>
        <v/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spans="2:36" x14ac:dyDescent="0.25">
      <c r="B219" s="7" t="str" cm="1">
        <f t="array" aca="1" ref="B219" ca="1">IF(OR('Raw Data'!B219="",LEN(TRIM('Raw Data'!B219))=0,Validate_Empty!B219&lt;&gt;"",Validate_Value!B219&lt;&gt;""),"",IF('Raw Data'!B219 = Condition!B219,"",_xlfn.REGEXEXTRACT(CELL("address",'Raw Data'!B219),"\$([A-Z]+)\$[0-9]+")))</f>
        <v/>
      </c>
      <c r="C219" s="7" t="str" cm="1">
        <f t="array" aca="1" ref="C219" ca="1">IF(OR('Raw Data'!C219="",LEN(TRIM('Raw Data'!C219))=0,Validate_Empty!C219&lt;&gt;"",Validate_Value!C219&lt;&gt;""),"",IF('Raw Data'!C219 = Condition!C219,"",_xlfn.REGEXEXTRACT(CELL("address",'Raw Data'!C219),"\$([A-Z]+)\$[0-9]+")))</f>
        <v/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spans="2:36" x14ac:dyDescent="0.25">
      <c r="B220" s="7" t="str" cm="1">
        <f t="array" aca="1" ref="B220" ca="1">IF(OR('Raw Data'!B220="",LEN(TRIM('Raw Data'!B220))=0,Validate_Empty!B220&lt;&gt;"",Validate_Value!B220&lt;&gt;""),"",IF('Raw Data'!B220 = Condition!B220,"",_xlfn.REGEXEXTRACT(CELL("address",'Raw Data'!B220),"\$([A-Z]+)\$[0-9]+")))</f>
        <v/>
      </c>
      <c r="C220" s="7" t="str" cm="1">
        <f t="array" aca="1" ref="C220" ca="1">IF(OR('Raw Data'!C220="",LEN(TRIM('Raw Data'!C220))=0,Validate_Empty!C220&lt;&gt;"",Validate_Value!C220&lt;&gt;""),"",IF('Raw Data'!C220 = Condition!C220,"",_xlfn.REGEXEXTRACT(CELL("address",'Raw Data'!C220),"\$([A-Z]+)\$[0-9]+")))</f>
        <v/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spans="2:36" x14ac:dyDescent="0.25">
      <c r="B221" s="7" t="str" cm="1">
        <f t="array" aca="1" ref="B221" ca="1">IF(OR('Raw Data'!B221="",LEN(TRIM('Raw Data'!B221))=0,Validate_Empty!B221&lt;&gt;"",Validate_Value!B221&lt;&gt;""),"",IF('Raw Data'!B221 = Condition!B221,"",_xlfn.REGEXEXTRACT(CELL("address",'Raw Data'!B221),"\$([A-Z]+)\$[0-9]+")))</f>
        <v/>
      </c>
      <c r="C221" s="7" t="str" cm="1">
        <f t="array" aca="1" ref="C221" ca="1">IF(OR('Raw Data'!C221="",LEN(TRIM('Raw Data'!C221))=0,Validate_Empty!C221&lt;&gt;"",Validate_Value!C221&lt;&gt;""),"",IF('Raw Data'!C221 = Condition!C221,"",_xlfn.REGEXEXTRACT(CELL("address",'Raw Data'!C221),"\$([A-Z]+)\$[0-9]+")))</f>
        <v/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spans="2:36" x14ac:dyDescent="0.25">
      <c r="B222" s="7" t="str" cm="1">
        <f t="array" aca="1" ref="B222" ca="1">IF(OR('Raw Data'!B222="",LEN(TRIM('Raw Data'!B222))=0,Validate_Empty!B222&lt;&gt;"",Validate_Value!B222&lt;&gt;""),"",IF('Raw Data'!B222 = Condition!B222,"",_xlfn.REGEXEXTRACT(CELL("address",'Raw Data'!B222),"\$([A-Z]+)\$[0-9]+")))</f>
        <v/>
      </c>
      <c r="C222" s="7" t="str" cm="1">
        <f t="array" aca="1" ref="C222" ca="1">IF(OR('Raw Data'!C222="",LEN(TRIM('Raw Data'!C222))=0,Validate_Empty!C222&lt;&gt;"",Validate_Value!C222&lt;&gt;""),"",IF('Raw Data'!C222 = Condition!C222,"",_xlfn.REGEXEXTRACT(CELL("address",'Raw Data'!C222),"\$([A-Z]+)\$[0-9]+")))</f>
        <v/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spans="2:36" x14ac:dyDescent="0.25">
      <c r="B223" s="7" t="str" cm="1">
        <f t="array" aca="1" ref="B223" ca="1">IF(OR('Raw Data'!B223="",LEN(TRIM('Raw Data'!B223))=0,Validate_Empty!B223&lt;&gt;"",Validate_Value!B223&lt;&gt;""),"",IF('Raw Data'!B223 = Condition!B223,"",_xlfn.REGEXEXTRACT(CELL("address",'Raw Data'!B223),"\$([A-Z]+)\$[0-9]+")))</f>
        <v/>
      </c>
      <c r="C223" s="7" t="str" cm="1">
        <f t="array" aca="1" ref="C223" ca="1">IF(OR('Raw Data'!C223="",LEN(TRIM('Raw Data'!C223))=0,Validate_Empty!C223&lt;&gt;"",Validate_Value!C223&lt;&gt;""),"",IF('Raw Data'!C223 = Condition!C223,"",_xlfn.REGEXEXTRACT(CELL("address",'Raw Data'!C223),"\$([A-Z]+)\$[0-9]+")))</f>
        <v/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spans="2:36" x14ac:dyDescent="0.25">
      <c r="B224" s="7" t="str" cm="1">
        <f t="array" aca="1" ref="B224" ca="1">IF(OR('Raw Data'!B224="",LEN(TRIM('Raw Data'!B224))=0,Validate_Empty!B224&lt;&gt;"",Validate_Value!B224&lt;&gt;""),"",IF('Raw Data'!B224 = Condition!B224,"",_xlfn.REGEXEXTRACT(CELL("address",'Raw Data'!B224),"\$([A-Z]+)\$[0-9]+")))</f>
        <v/>
      </c>
      <c r="C224" s="7" t="str" cm="1">
        <f t="array" aca="1" ref="C224" ca="1">IF(OR('Raw Data'!C224="",LEN(TRIM('Raw Data'!C224))=0,Validate_Empty!C224&lt;&gt;"",Validate_Value!C224&lt;&gt;""),"",IF('Raw Data'!C224 = Condition!C224,"",_xlfn.REGEXEXTRACT(CELL("address",'Raw Data'!C224),"\$([A-Z]+)\$[0-9]+")))</f>
        <v/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spans="2:36" x14ac:dyDescent="0.25">
      <c r="B225" s="7" t="str" cm="1">
        <f t="array" aca="1" ref="B225" ca="1">IF(OR('Raw Data'!B225="",LEN(TRIM('Raw Data'!B225))=0,Validate_Empty!B225&lt;&gt;"",Validate_Value!B225&lt;&gt;""),"",IF('Raw Data'!B225 = Condition!B225,"",_xlfn.REGEXEXTRACT(CELL("address",'Raw Data'!B225),"\$([A-Z]+)\$[0-9]+")))</f>
        <v/>
      </c>
      <c r="C225" s="7" t="str" cm="1">
        <f t="array" aca="1" ref="C225" ca="1">IF(OR('Raw Data'!C225="",LEN(TRIM('Raw Data'!C225))=0,Validate_Empty!C225&lt;&gt;"",Validate_Value!C225&lt;&gt;""),"",IF('Raw Data'!C225 = Condition!C225,"",_xlfn.REGEXEXTRACT(CELL("address",'Raw Data'!C225),"\$([A-Z]+)\$[0-9]+")))</f>
        <v/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spans="2:36" x14ac:dyDescent="0.25">
      <c r="B226" s="7" t="str" cm="1">
        <f t="array" aca="1" ref="B226" ca="1">IF(OR('Raw Data'!B226="",LEN(TRIM('Raw Data'!B226))=0,Validate_Empty!B226&lt;&gt;"",Validate_Value!B226&lt;&gt;""),"",IF('Raw Data'!B226 = Condition!B226,"",_xlfn.REGEXEXTRACT(CELL("address",'Raw Data'!B226),"\$([A-Z]+)\$[0-9]+")))</f>
        <v/>
      </c>
      <c r="C226" s="7" t="str" cm="1">
        <f t="array" aca="1" ref="C226" ca="1">IF(OR('Raw Data'!C226="",LEN(TRIM('Raw Data'!C226))=0,Validate_Empty!C226&lt;&gt;"",Validate_Value!C226&lt;&gt;""),"",IF('Raw Data'!C226 = Condition!C226,"",_xlfn.REGEXEXTRACT(CELL("address",'Raw Data'!C226),"\$([A-Z]+)\$[0-9]+")))</f>
        <v/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spans="2:36" x14ac:dyDescent="0.25">
      <c r="B227" s="7" t="str" cm="1">
        <f t="array" aca="1" ref="B227" ca="1">IF(OR('Raw Data'!B227="",LEN(TRIM('Raw Data'!B227))=0,Validate_Empty!B227&lt;&gt;"",Validate_Value!B227&lt;&gt;""),"",IF('Raw Data'!B227 = Condition!B227,"",_xlfn.REGEXEXTRACT(CELL("address",'Raw Data'!B227),"\$([A-Z]+)\$[0-9]+")))</f>
        <v/>
      </c>
      <c r="C227" s="7" t="str" cm="1">
        <f t="array" aca="1" ref="C227" ca="1">IF(OR('Raw Data'!C227="",LEN(TRIM('Raw Data'!C227))=0,Validate_Empty!C227&lt;&gt;"",Validate_Value!C227&lt;&gt;""),"",IF('Raw Data'!C227 = Condition!C227,"",_xlfn.REGEXEXTRACT(CELL("address",'Raw Data'!C227),"\$([A-Z]+)\$[0-9]+")))</f>
        <v/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spans="2:36" x14ac:dyDescent="0.25">
      <c r="B228" s="7" t="str" cm="1">
        <f t="array" aca="1" ref="B228" ca="1">IF(OR('Raw Data'!B228="",LEN(TRIM('Raw Data'!B228))=0,Validate_Empty!B228&lt;&gt;"",Validate_Value!B228&lt;&gt;""),"",IF('Raw Data'!B228 = Condition!B228,"",_xlfn.REGEXEXTRACT(CELL("address",'Raw Data'!B228),"\$([A-Z]+)\$[0-9]+")))</f>
        <v/>
      </c>
      <c r="C228" s="7" t="str" cm="1">
        <f t="array" aca="1" ref="C228" ca="1">IF(OR('Raw Data'!C228="",LEN(TRIM('Raw Data'!C228))=0,Validate_Empty!C228&lt;&gt;"",Validate_Value!C228&lt;&gt;""),"",IF('Raw Data'!C228 = Condition!C228,"",_xlfn.REGEXEXTRACT(CELL("address",'Raw Data'!C228),"\$([A-Z]+)\$[0-9]+")))</f>
        <v/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spans="2:36" x14ac:dyDescent="0.25">
      <c r="B229" s="7" t="str" cm="1">
        <f t="array" aca="1" ref="B229" ca="1">IF(OR('Raw Data'!B229="",LEN(TRIM('Raw Data'!B229))=0,Validate_Empty!B229&lt;&gt;"",Validate_Value!B229&lt;&gt;""),"",IF('Raw Data'!B229 = Condition!B229,"",_xlfn.REGEXEXTRACT(CELL("address",'Raw Data'!B229),"\$([A-Z]+)\$[0-9]+")))</f>
        <v/>
      </c>
      <c r="C229" s="7" t="str" cm="1">
        <f t="array" aca="1" ref="C229" ca="1">IF(OR('Raw Data'!C229="",LEN(TRIM('Raw Data'!C229))=0,Validate_Empty!C229&lt;&gt;"",Validate_Value!C229&lt;&gt;""),"",IF('Raw Data'!C229 = Condition!C229,"",_xlfn.REGEXEXTRACT(CELL("address",'Raw Data'!C229),"\$([A-Z]+)\$[0-9]+")))</f>
        <v/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spans="2:36" x14ac:dyDescent="0.25">
      <c r="B230" s="7" t="str" cm="1">
        <f t="array" aca="1" ref="B230" ca="1">IF(OR('Raw Data'!B230="",LEN(TRIM('Raw Data'!B230))=0,Validate_Empty!B230&lt;&gt;"",Validate_Value!B230&lt;&gt;""),"",IF('Raw Data'!B230 = Condition!B230,"",_xlfn.REGEXEXTRACT(CELL("address",'Raw Data'!B230),"\$([A-Z]+)\$[0-9]+")))</f>
        <v/>
      </c>
      <c r="C230" s="7" t="str" cm="1">
        <f t="array" aca="1" ref="C230" ca="1">IF(OR('Raw Data'!C230="",LEN(TRIM('Raw Data'!C230))=0,Validate_Empty!C230&lt;&gt;"",Validate_Value!C230&lt;&gt;""),"",IF('Raw Data'!C230 = Condition!C230,"",_xlfn.REGEXEXTRACT(CELL("address",'Raw Data'!C230),"\$([A-Z]+)\$[0-9]+")))</f>
        <v/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spans="2:36" x14ac:dyDescent="0.25">
      <c r="B231" s="7" t="str" cm="1">
        <f t="array" aca="1" ref="B231" ca="1">IF(OR('Raw Data'!B231="",LEN(TRIM('Raw Data'!B231))=0,Validate_Empty!B231&lt;&gt;"",Validate_Value!B231&lt;&gt;""),"",IF('Raw Data'!B231 = Condition!B231,"",_xlfn.REGEXEXTRACT(CELL("address",'Raw Data'!B231),"\$([A-Z]+)\$[0-9]+")))</f>
        <v/>
      </c>
      <c r="C231" s="7" t="str" cm="1">
        <f t="array" aca="1" ref="C231" ca="1">IF(OR('Raw Data'!C231="",LEN(TRIM('Raw Data'!C231))=0,Validate_Empty!C231&lt;&gt;"",Validate_Value!C231&lt;&gt;""),"",IF('Raw Data'!C231 = Condition!C231,"",_xlfn.REGEXEXTRACT(CELL("address",'Raw Data'!C231),"\$([A-Z]+)\$[0-9]+")))</f>
        <v/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spans="2:36" x14ac:dyDescent="0.25">
      <c r="B232" s="7" t="str" cm="1">
        <f t="array" aca="1" ref="B232" ca="1">IF(OR('Raw Data'!B232="",LEN(TRIM('Raw Data'!B232))=0,Validate_Empty!B232&lt;&gt;"",Validate_Value!B232&lt;&gt;""),"",IF('Raw Data'!B232 = Condition!B232,"",_xlfn.REGEXEXTRACT(CELL("address",'Raw Data'!B232),"\$([A-Z]+)\$[0-9]+")))</f>
        <v/>
      </c>
      <c r="C232" s="7" t="str" cm="1">
        <f t="array" aca="1" ref="C232" ca="1">IF(OR('Raw Data'!C232="",LEN(TRIM('Raw Data'!C232))=0,Validate_Empty!C232&lt;&gt;"",Validate_Value!C232&lt;&gt;""),"",IF('Raw Data'!C232 = Condition!C232,"",_xlfn.REGEXEXTRACT(CELL("address",'Raw Data'!C232),"\$([A-Z]+)\$[0-9]+")))</f>
        <v/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spans="2:36" x14ac:dyDescent="0.25">
      <c r="B233" s="7" t="str" cm="1">
        <f t="array" aca="1" ref="B233" ca="1">IF(OR('Raw Data'!B233="",LEN(TRIM('Raw Data'!B233))=0,Validate_Empty!B233&lt;&gt;"",Validate_Value!B233&lt;&gt;""),"",IF('Raw Data'!B233 = Condition!B233,"",_xlfn.REGEXEXTRACT(CELL("address",'Raw Data'!B233),"\$([A-Z]+)\$[0-9]+")))</f>
        <v/>
      </c>
      <c r="C233" s="7" t="str" cm="1">
        <f t="array" aca="1" ref="C233" ca="1">IF(OR('Raw Data'!C233="",LEN(TRIM('Raw Data'!C233))=0,Validate_Empty!C233&lt;&gt;"",Validate_Value!C233&lt;&gt;""),"",IF('Raw Data'!C233 = Condition!C233,"",_xlfn.REGEXEXTRACT(CELL("address",'Raw Data'!C233),"\$([A-Z]+)\$[0-9]+")))</f>
        <v/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spans="2:36" x14ac:dyDescent="0.25">
      <c r="B234" s="7" t="str" cm="1">
        <f t="array" aca="1" ref="B234" ca="1">IF(OR('Raw Data'!B234="",LEN(TRIM('Raw Data'!B234))=0,Validate_Empty!B234&lt;&gt;"",Validate_Value!B234&lt;&gt;""),"",IF('Raw Data'!B234 = Condition!B234,"",_xlfn.REGEXEXTRACT(CELL("address",'Raw Data'!B234),"\$([A-Z]+)\$[0-9]+")))</f>
        <v/>
      </c>
      <c r="C234" s="7" t="str" cm="1">
        <f t="array" aca="1" ref="C234" ca="1">IF(OR('Raw Data'!C234="",LEN(TRIM('Raw Data'!C234))=0,Validate_Empty!C234&lt;&gt;"",Validate_Value!C234&lt;&gt;""),"",IF('Raw Data'!C234 = Condition!C234,"",_xlfn.REGEXEXTRACT(CELL("address",'Raw Data'!C234),"\$([A-Z]+)\$[0-9]+")))</f>
        <v/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spans="2:36" x14ac:dyDescent="0.25">
      <c r="B235" s="7" t="str" cm="1">
        <f t="array" aca="1" ref="B235" ca="1">IF(OR('Raw Data'!B235="",LEN(TRIM('Raw Data'!B235))=0,Validate_Empty!B235&lt;&gt;"",Validate_Value!B235&lt;&gt;""),"",IF('Raw Data'!B235 = Condition!B235,"",_xlfn.REGEXEXTRACT(CELL("address",'Raw Data'!B235),"\$([A-Z]+)\$[0-9]+")))</f>
        <v/>
      </c>
      <c r="C235" s="7" t="str" cm="1">
        <f t="array" aca="1" ref="C235" ca="1">IF(OR('Raw Data'!C235="",LEN(TRIM('Raw Data'!C235))=0,Validate_Empty!C235&lt;&gt;"",Validate_Value!C235&lt;&gt;""),"",IF('Raw Data'!C235 = Condition!C235,"",_xlfn.REGEXEXTRACT(CELL("address",'Raw Data'!C235),"\$([A-Z]+)\$[0-9]+")))</f>
        <v/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spans="2:36" x14ac:dyDescent="0.25">
      <c r="B236" s="7" t="str" cm="1">
        <f t="array" aca="1" ref="B236" ca="1">IF(OR('Raw Data'!B236="",LEN(TRIM('Raw Data'!B236))=0,Validate_Empty!B236&lt;&gt;"",Validate_Value!B236&lt;&gt;""),"",IF('Raw Data'!B236 = Condition!B236,"",_xlfn.REGEXEXTRACT(CELL("address",'Raw Data'!B236),"\$([A-Z]+)\$[0-9]+")))</f>
        <v/>
      </c>
      <c r="C236" s="7" t="str" cm="1">
        <f t="array" aca="1" ref="C236" ca="1">IF(OR('Raw Data'!C236="",LEN(TRIM('Raw Data'!C236))=0,Validate_Empty!C236&lt;&gt;"",Validate_Value!C236&lt;&gt;""),"",IF('Raw Data'!C236 = Condition!C236,"",_xlfn.REGEXEXTRACT(CELL("address",'Raw Data'!C236),"\$([A-Z]+)\$[0-9]+")))</f>
        <v/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spans="2:36" x14ac:dyDescent="0.25">
      <c r="B237" s="7" t="str" cm="1">
        <f t="array" aca="1" ref="B237" ca="1">IF(OR('Raw Data'!B237="",LEN(TRIM('Raw Data'!B237))=0,Validate_Empty!B237&lt;&gt;"",Validate_Value!B237&lt;&gt;""),"",IF('Raw Data'!B237 = Condition!B237,"",_xlfn.REGEXEXTRACT(CELL("address",'Raw Data'!B237),"\$([A-Z]+)\$[0-9]+")))</f>
        <v/>
      </c>
      <c r="C237" s="7" t="str" cm="1">
        <f t="array" aca="1" ref="C237" ca="1">IF(OR('Raw Data'!C237="",LEN(TRIM('Raw Data'!C237))=0,Validate_Empty!C237&lt;&gt;"",Validate_Value!C237&lt;&gt;""),"",IF('Raw Data'!C237 = Condition!C237,"",_xlfn.REGEXEXTRACT(CELL("address",'Raw Data'!C237),"\$([A-Z]+)\$[0-9]+")))</f>
        <v/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spans="2:36" x14ac:dyDescent="0.25">
      <c r="B238" s="7" t="str" cm="1">
        <f t="array" aca="1" ref="B238" ca="1">IF(OR('Raw Data'!B238="",LEN(TRIM('Raw Data'!B238))=0,Validate_Empty!B238&lt;&gt;"",Validate_Value!B238&lt;&gt;""),"",IF('Raw Data'!B238 = Condition!B238,"",_xlfn.REGEXEXTRACT(CELL("address",'Raw Data'!B238),"\$([A-Z]+)\$[0-9]+")))</f>
        <v/>
      </c>
      <c r="C238" s="7" t="str" cm="1">
        <f t="array" aca="1" ref="C238" ca="1">IF(OR('Raw Data'!C238="",LEN(TRIM('Raw Data'!C238))=0,Validate_Empty!C238&lt;&gt;"",Validate_Value!C238&lt;&gt;""),"",IF('Raw Data'!C238 = Condition!C238,"",_xlfn.REGEXEXTRACT(CELL("address",'Raw Data'!C238),"\$([A-Z]+)\$[0-9]+")))</f>
        <v/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spans="2:36" x14ac:dyDescent="0.25">
      <c r="B239" s="7" t="str" cm="1">
        <f t="array" aca="1" ref="B239" ca="1">IF(OR('Raw Data'!B239="",LEN(TRIM('Raw Data'!B239))=0,Validate_Empty!B239&lt;&gt;"",Validate_Value!B239&lt;&gt;""),"",IF('Raw Data'!B239 = Condition!B239,"",_xlfn.REGEXEXTRACT(CELL("address",'Raw Data'!B239),"\$([A-Z]+)\$[0-9]+")))</f>
        <v/>
      </c>
      <c r="C239" s="7" t="str" cm="1">
        <f t="array" aca="1" ref="C239" ca="1">IF(OR('Raw Data'!C239="",LEN(TRIM('Raw Data'!C239))=0,Validate_Empty!C239&lt;&gt;"",Validate_Value!C239&lt;&gt;""),"",IF('Raw Data'!C239 = Condition!C239,"",_xlfn.REGEXEXTRACT(CELL("address",'Raw Data'!C239),"\$([A-Z]+)\$[0-9]+")))</f>
        <v/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spans="2:36" x14ac:dyDescent="0.25">
      <c r="B240" s="7" t="str" cm="1">
        <f t="array" aca="1" ref="B240" ca="1">IF(OR('Raw Data'!B240="",LEN(TRIM('Raw Data'!B240))=0,Validate_Empty!B240&lt;&gt;"",Validate_Value!B240&lt;&gt;""),"",IF('Raw Data'!B240 = Condition!B240,"",_xlfn.REGEXEXTRACT(CELL("address",'Raw Data'!B240),"\$([A-Z]+)\$[0-9]+")))</f>
        <v/>
      </c>
      <c r="C240" s="7" t="str" cm="1">
        <f t="array" aca="1" ref="C240" ca="1">IF(OR('Raw Data'!C240="",LEN(TRIM('Raw Data'!C240))=0,Validate_Empty!C240&lt;&gt;"",Validate_Value!C240&lt;&gt;""),"",IF('Raw Data'!C240 = Condition!C240,"",_xlfn.REGEXEXTRACT(CELL("address",'Raw Data'!C240),"\$([A-Z]+)\$[0-9]+")))</f>
        <v/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spans="2:36" x14ac:dyDescent="0.25">
      <c r="B241" s="7" t="str" cm="1">
        <f t="array" aca="1" ref="B241" ca="1">IF(OR('Raw Data'!B241="",LEN(TRIM('Raw Data'!B241))=0,Validate_Empty!B241&lt;&gt;"",Validate_Value!B241&lt;&gt;""),"",IF('Raw Data'!B241 = Condition!B241,"",_xlfn.REGEXEXTRACT(CELL("address",'Raw Data'!B241),"\$([A-Z]+)\$[0-9]+")))</f>
        <v/>
      </c>
      <c r="C241" s="7" t="str" cm="1">
        <f t="array" aca="1" ref="C241" ca="1">IF(OR('Raw Data'!C241="",LEN(TRIM('Raw Data'!C241))=0,Validate_Empty!C241&lt;&gt;"",Validate_Value!C241&lt;&gt;""),"",IF('Raw Data'!C241 = Condition!C241,"",_xlfn.REGEXEXTRACT(CELL("address",'Raw Data'!C241),"\$([A-Z]+)\$[0-9]+")))</f>
        <v/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spans="2:36" x14ac:dyDescent="0.25">
      <c r="B242" s="7" t="str" cm="1">
        <f t="array" aca="1" ref="B242" ca="1">IF(OR('Raw Data'!B242="",LEN(TRIM('Raw Data'!B242))=0,Validate_Empty!B242&lt;&gt;"",Validate_Value!B242&lt;&gt;""),"",IF('Raw Data'!B242 = Condition!B242,"",_xlfn.REGEXEXTRACT(CELL("address",'Raw Data'!B242),"\$([A-Z]+)\$[0-9]+")))</f>
        <v/>
      </c>
      <c r="C242" s="7" t="str" cm="1">
        <f t="array" aca="1" ref="C242" ca="1">IF(OR('Raw Data'!C242="",LEN(TRIM('Raw Data'!C242))=0,Validate_Empty!C242&lt;&gt;"",Validate_Value!C242&lt;&gt;""),"",IF('Raw Data'!C242 = Condition!C242,"",_xlfn.REGEXEXTRACT(CELL("address",'Raw Data'!C242),"\$([A-Z]+)\$[0-9]+")))</f>
        <v/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spans="2:36" x14ac:dyDescent="0.25">
      <c r="B243" s="7" t="str" cm="1">
        <f t="array" aca="1" ref="B243" ca="1">IF(OR('Raw Data'!B243="",LEN(TRIM('Raw Data'!B243))=0,Validate_Empty!B243&lt;&gt;"",Validate_Value!B243&lt;&gt;""),"",IF('Raw Data'!B243 = Condition!B243,"",_xlfn.REGEXEXTRACT(CELL("address",'Raw Data'!B243),"\$([A-Z]+)\$[0-9]+")))</f>
        <v/>
      </c>
      <c r="C243" s="7" t="str" cm="1">
        <f t="array" aca="1" ref="C243" ca="1">IF(OR('Raw Data'!C243="",LEN(TRIM('Raw Data'!C243))=0,Validate_Empty!C243&lt;&gt;"",Validate_Value!C243&lt;&gt;""),"",IF('Raw Data'!C243 = Condition!C243,"",_xlfn.REGEXEXTRACT(CELL("address",'Raw Data'!C243),"\$([A-Z]+)\$[0-9]+")))</f>
        <v/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spans="2:36" x14ac:dyDescent="0.25">
      <c r="B244" s="7" t="str" cm="1">
        <f t="array" aca="1" ref="B244" ca="1">IF(OR('Raw Data'!B244="",LEN(TRIM('Raw Data'!B244))=0,Validate_Empty!B244&lt;&gt;"",Validate_Value!B244&lt;&gt;""),"",IF('Raw Data'!B244 = Condition!B244,"",_xlfn.REGEXEXTRACT(CELL("address",'Raw Data'!B244),"\$([A-Z]+)\$[0-9]+")))</f>
        <v/>
      </c>
      <c r="C244" s="7" t="str" cm="1">
        <f t="array" aca="1" ref="C244" ca="1">IF(OR('Raw Data'!C244="",LEN(TRIM('Raw Data'!C244))=0,Validate_Empty!C244&lt;&gt;"",Validate_Value!C244&lt;&gt;""),"",IF('Raw Data'!C244 = Condition!C244,"",_xlfn.REGEXEXTRACT(CELL("address",'Raw Data'!C244),"\$([A-Z]+)\$[0-9]+")))</f>
        <v/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spans="2:36" x14ac:dyDescent="0.25">
      <c r="B245" s="7" t="str" cm="1">
        <f t="array" aca="1" ref="B245" ca="1">IF(OR('Raw Data'!B245="",LEN(TRIM('Raw Data'!B245))=0,Validate_Empty!B245&lt;&gt;"",Validate_Value!B245&lt;&gt;""),"",IF('Raw Data'!B245 = Condition!B245,"",_xlfn.REGEXEXTRACT(CELL("address",'Raw Data'!B245),"\$([A-Z]+)\$[0-9]+")))</f>
        <v/>
      </c>
      <c r="C245" s="7" t="str" cm="1">
        <f t="array" aca="1" ref="C245" ca="1">IF(OR('Raw Data'!C245="",LEN(TRIM('Raw Data'!C245))=0,Validate_Empty!C245&lt;&gt;"",Validate_Value!C245&lt;&gt;""),"",IF('Raw Data'!C245 = Condition!C245,"",_xlfn.REGEXEXTRACT(CELL("address",'Raw Data'!C245),"\$([A-Z]+)\$[0-9]+")))</f>
        <v/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spans="2:36" x14ac:dyDescent="0.25">
      <c r="B246" s="7" t="str" cm="1">
        <f t="array" aca="1" ref="B246" ca="1">IF(OR('Raw Data'!B246="",LEN(TRIM('Raw Data'!B246))=0,Validate_Empty!B246&lt;&gt;"",Validate_Value!B246&lt;&gt;""),"",IF('Raw Data'!B246 = Condition!B246,"",_xlfn.REGEXEXTRACT(CELL("address",'Raw Data'!B246),"\$([A-Z]+)\$[0-9]+")))</f>
        <v/>
      </c>
      <c r="C246" s="7" t="str" cm="1">
        <f t="array" aca="1" ref="C246" ca="1">IF(OR('Raw Data'!C246="",LEN(TRIM('Raw Data'!C246))=0,Validate_Empty!C246&lt;&gt;"",Validate_Value!C246&lt;&gt;""),"",IF('Raw Data'!C246 = Condition!C246,"",_xlfn.REGEXEXTRACT(CELL("address",'Raw Data'!C246),"\$([A-Z]+)\$[0-9]+")))</f>
        <v/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spans="2:36" x14ac:dyDescent="0.25">
      <c r="B247" s="7" t="str" cm="1">
        <f t="array" aca="1" ref="B247" ca="1">IF(OR('Raw Data'!B247="",LEN(TRIM('Raw Data'!B247))=0,Validate_Empty!B247&lt;&gt;"",Validate_Value!B247&lt;&gt;""),"",IF('Raw Data'!B247 = Condition!B247,"",_xlfn.REGEXEXTRACT(CELL("address",'Raw Data'!B247),"\$([A-Z]+)\$[0-9]+")))</f>
        <v/>
      </c>
      <c r="C247" s="7" t="str" cm="1">
        <f t="array" aca="1" ref="C247" ca="1">IF(OR('Raw Data'!C247="",LEN(TRIM('Raw Data'!C247))=0,Validate_Empty!C247&lt;&gt;"",Validate_Value!C247&lt;&gt;""),"",IF('Raw Data'!C247 = Condition!C247,"",_xlfn.REGEXEXTRACT(CELL("address",'Raw Data'!C247),"\$([A-Z]+)\$[0-9]+")))</f>
        <v/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spans="2:36" x14ac:dyDescent="0.25">
      <c r="B248" s="7" t="str" cm="1">
        <f t="array" aca="1" ref="B248" ca="1">IF(OR('Raw Data'!B248="",LEN(TRIM('Raw Data'!B248))=0,Validate_Empty!B248&lt;&gt;"",Validate_Value!B248&lt;&gt;""),"",IF('Raw Data'!B248 = Condition!B248,"",_xlfn.REGEXEXTRACT(CELL("address",'Raw Data'!B248),"\$([A-Z]+)\$[0-9]+")))</f>
        <v/>
      </c>
      <c r="C248" s="7" t="str" cm="1">
        <f t="array" aca="1" ref="C248" ca="1">IF(OR('Raw Data'!C248="",LEN(TRIM('Raw Data'!C248))=0,Validate_Empty!C248&lt;&gt;"",Validate_Value!C248&lt;&gt;""),"",IF('Raw Data'!C248 = Condition!C248,"",_xlfn.REGEXEXTRACT(CELL("address",'Raw Data'!C248),"\$([A-Z]+)\$[0-9]+")))</f>
        <v/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spans="2:36" x14ac:dyDescent="0.25">
      <c r="B249" s="7" t="str" cm="1">
        <f t="array" aca="1" ref="B249" ca="1">IF(OR('Raw Data'!B249="",LEN(TRIM('Raw Data'!B249))=0,Validate_Empty!B249&lt;&gt;"",Validate_Value!B249&lt;&gt;""),"",IF('Raw Data'!B249 = Condition!B249,"",_xlfn.REGEXEXTRACT(CELL("address",'Raw Data'!B249),"\$([A-Z]+)\$[0-9]+")))</f>
        <v/>
      </c>
      <c r="C249" s="7" t="str" cm="1">
        <f t="array" aca="1" ref="C249" ca="1">IF(OR('Raw Data'!C249="",LEN(TRIM('Raw Data'!C249))=0,Validate_Empty!C249&lt;&gt;"",Validate_Value!C249&lt;&gt;""),"",IF('Raw Data'!C249 = Condition!C249,"",_xlfn.REGEXEXTRACT(CELL("address",'Raw Data'!C249),"\$([A-Z]+)\$[0-9]+")))</f>
        <v/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spans="2:36" x14ac:dyDescent="0.25">
      <c r="B250" s="7" t="str" cm="1">
        <f t="array" aca="1" ref="B250" ca="1">IF(OR('Raw Data'!B250="",LEN(TRIM('Raw Data'!B250))=0,Validate_Empty!B250&lt;&gt;"",Validate_Value!B250&lt;&gt;""),"",IF('Raw Data'!B250 = Condition!B250,"",_xlfn.REGEXEXTRACT(CELL("address",'Raw Data'!B250),"\$([A-Z]+)\$[0-9]+")))</f>
        <v/>
      </c>
      <c r="C250" s="7" t="str" cm="1">
        <f t="array" aca="1" ref="C250" ca="1">IF(OR('Raw Data'!C250="",LEN(TRIM('Raw Data'!C250))=0,Validate_Empty!C250&lt;&gt;"",Validate_Value!C250&lt;&gt;""),"",IF('Raw Data'!C250 = Condition!C250,"",_xlfn.REGEXEXTRACT(CELL("address",'Raw Data'!C250),"\$([A-Z]+)\$[0-9]+")))</f>
        <v/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spans="2:36" x14ac:dyDescent="0.25">
      <c r="B251" s="7" t="str" cm="1">
        <f t="array" aca="1" ref="B251" ca="1">IF(OR('Raw Data'!B251="",LEN(TRIM('Raw Data'!B251))=0,Validate_Empty!B251&lt;&gt;"",Validate_Value!B251&lt;&gt;""),"",IF('Raw Data'!B251 = Condition!B251,"",_xlfn.REGEXEXTRACT(CELL("address",'Raw Data'!B251),"\$([A-Z]+)\$[0-9]+")))</f>
        <v/>
      </c>
      <c r="C251" s="7" t="str" cm="1">
        <f t="array" aca="1" ref="C251" ca="1">IF(OR('Raw Data'!C251="",LEN(TRIM('Raw Data'!C251))=0,Validate_Empty!C251&lt;&gt;"",Validate_Value!C251&lt;&gt;""),"",IF('Raw Data'!C251 = Condition!C251,"",_xlfn.REGEXEXTRACT(CELL("address",'Raw Data'!C251),"\$([A-Z]+)\$[0-9]+")))</f>
        <v/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spans="2:36" x14ac:dyDescent="0.25">
      <c r="B252" s="7" t="str" cm="1">
        <f t="array" aca="1" ref="B252" ca="1">IF(OR('Raw Data'!B252="",LEN(TRIM('Raw Data'!B252))=0,Validate_Empty!B252&lt;&gt;"",Validate_Value!B252&lt;&gt;""),"",IF('Raw Data'!B252 = Condition!B252,"",_xlfn.REGEXEXTRACT(CELL("address",'Raw Data'!B252),"\$([A-Z]+)\$[0-9]+")))</f>
        <v/>
      </c>
      <c r="C252" s="7" t="str" cm="1">
        <f t="array" aca="1" ref="C252" ca="1">IF(OR('Raw Data'!C252="",LEN(TRIM('Raw Data'!C252))=0,Validate_Empty!C252&lt;&gt;"",Validate_Value!C252&lt;&gt;""),"",IF('Raw Data'!C252 = Condition!C252,"",_xlfn.REGEXEXTRACT(CELL("address",'Raw Data'!C252),"\$([A-Z]+)\$[0-9]+")))</f>
        <v/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spans="2:36" x14ac:dyDescent="0.25">
      <c r="B253" s="7" t="str" cm="1">
        <f t="array" aca="1" ref="B253" ca="1">IF(OR('Raw Data'!B253="",LEN(TRIM('Raw Data'!B253))=0,Validate_Empty!B253&lt;&gt;"",Validate_Value!B253&lt;&gt;""),"",IF('Raw Data'!B253 = Condition!B253,"",_xlfn.REGEXEXTRACT(CELL("address",'Raw Data'!B253),"\$([A-Z]+)\$[0-9]+")))</f>
        <v/>
      </c>
      <c r="C253" s="7" t="str" cm="1">
        <f t="array" aca="1" ref="C253" ca="1">IF(OR('Raw Data'!C253="",LEN(TRIM('Raw Data'!C253))=0,Validate_Empty!C253&lt;&gt;"",Validate_Value!C253&lt;&gt;""),"",IF('Raw Data'!C253 = Condition!C253,"",_xlfn.REGEXEXTRACT(CELL("address",'Raw Data'!C253),"\$([A-Z]+)\$[0-9]+")))</f>
        <v/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spans="2:36" x14ac:dyDescent="0.25">
      <c r="B254" s="7" t="str" cm="1">
        <f t="array" aca="1" ref="B254" ca="1">IF(OR('Raw Data'!B254="",LEN(TRIM('Raw Data'!B254))=0,Validate_Empty!B254&lt;&gt;"",Validate_Value!B254&lt;&gt;""),"",IF('Raw Data'!B254 = Condition!B254,"",_xlfn.REGEXEXTRACT(CELL("address",'Raw Data'!B254),"\$([A-Z]+)\$[0-9]+")))</f>
        <v/>
      </c>
      <c r="C254" s="7" t="str" cm="1">
        <f t="array" aca="1" ref="C254" ca="1">IF(OR('Raw Data'!C254="",LEN(TRIM('Raw Data'!C254))=0,Validate_Empty!C254&lt;&gt;"",Validate_Value!C254&lt;&gt;""),"",IF('Raw Data'!C254 = Condition!C254,"",_xlfn.REGEXEXTRACT(CELL("address",'Raw Data'!C254),"\$([A-Z]+)\$[0-9]+")))</f>
        <v/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spans="2:36" x14ac:dyDescent="0.25">
      <c r="B255" s="7" t="str" cm="1">
        <f t="array" aca="1" ref="B255" ca="1">IF(OR('Raw Data'!B255="",LEN(TRIM('Raw Data'!B255))=0,Validate_Empty!B255&lt;&gt;"",Validate_Value!B255&lt;&gt;""),"",IF('Raw Data'!B255 = Condition!B255,"",_xlfn.REGEXEXTRACT(CELL("address",'Raw Data'!B255),"\$([A-Z]+)\$[0-9]+")))</f>
        <v/>
      </c>
      <c r="C255" s="7" t="str" cm="1">
        <f t="array" aca="1" ref="C255" ca="1">IF(OR('Raw Data'!C255="",LEN(TRIM('Raw Data'!C255))=0,Validate_Empty!C255&lt;&gt;"",Validate_Value!C255&lt;&gt;""),"",IF('Raw Data'!C255 = Condition!C255,"",_xlfn.REGEXEXTRACT(CELL("address",'Raw Data'!C255),"\$([A-Z]+)\$[0-9]+")))</f>
        <v/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spans="2:36" x14ac:dyDescent="0.25">
      <c r="B256" s="7" t="str" cm="1">
        <f t="array" aca="1" ref="B256" ca="1">IF(OR('Raw Data'!B256="",LEN(TRIM('Raw Data'!B256))=0,Validate_Empty!B256&lt;&gt;"",Validate_Value!B256&lt;&gt;""),"",IF('Raw Data'!B256 = Condition!B256,"",_xlfn.REGEXEXTRACT(CELL("address",'Raw Data'!B256),"\$([A-Z]+)\$[0-9]+")))</f>
        <v/>
      </c>
      <c r="C256" s="7" t="str" cm="1">
        <f t="array" aca="1" ref="C256" ca="1">IF(OR('Raw Data'!C256="",LEN(TRIM('Raw Data'!C256))=0,Validate_Empty!C256&lt;&gt;"",Validate_Value!C256&lt;&gt;""),"",IF('Raw Data'!C256 = Condition!C256,"",_xlfn.REGEXEXTRACT(CELL("address",'Raw Data'!C256),"\$([A-Z]+)\$[0-9]+")))</f>
        <v/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spans="2:36" x14ac:dyDescent="0.25">
      <c r="B257" s="7" t="str" cm="1">
        <f t="array" aca="1" ref="B257" ca="1">IF(OR('Raw Data'!B257="",LEN(TRIM('Raw Data'!B257))=0,Validate_Empty!B257&lt;&gt;"",Validate_Value!B257&lt;&gt;""),"",IF('Raw Data'!B257 = Condition!B257,"",_xlfn.REGEXEXTRACT(CELL("address",'Raw Data'!B257),"\$([A-Z]+)\$[0-9]+")))</f>
        <v/>
      </c>
      <c r="C257" s="7" t="str" cm="1">
        <f t="array" aca="1" ref="C257" ca="1">IF(OR('Raw Data'!C257="",LEN(TRIM('Raw Data'!C257))=0,Validate_Empty!C257&lt;&gt;"",Validate_Value!C257&lt;&gt;""),"",IF('Raw Data'!C257 = Condition!C257,"",_xlfn.REGEXEXTRACT(CELL("address",'Raw Data'!C257),"\$([A-Z]+)\$[0-9]+")))</f>
        <v/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spans="2:36" x14ac:dyDescent="0.25">
      <c r="B258" s="7" t="str" cm="1">
        <f t="array" aca="1" ref="B258" ca="1">IF(OR('Raw Data'!B258="",LEN(TRIM('Raw Data'!B258))=0,Validate_Empty!B258&lt;&gt;"",Validate_Value!B258&lt;&gt;""),"",IF('Raw Data'!B258 = Condition!B258,"",_xlfn.REGEXEXTRACT(CELL("address",'Raw Data'!B258),"\$([A-Z]+)\$[0-9]+")))</f>
        <v/>
      </c>
      <c r="C258" s="7" t="str" cm="1">
        <f t="array" aca="1" ref="C258" ca="1">IF(OR('Raw Data'!C258="",LEN(TRIM('Raw Data'!C258))=0,Validate_Empty!C258&lt;&gt;"",Validate_Value!C258&lt;&gt;""),"",IF('Raw Data'!C258 = Condition!C258,"",_xlfn.REGEXEXTRACT(CELL("address",'Raw Data'!C258),"\$([A-Z]+)\$[0-9]+")))</f>
        <v/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spans="2:36" x14ac:dyDescent="0.25">
      <c r="B259" s="7" t="str" cm="1">
        <f t="array" aca="1" ref="B259" ca="1">IF(OR('Raw Data'!B259="",LEN(TRIM('Raw Data'!B259))=0,Validate_Empty!B259&lt;&gt;"",Validate_Value!B259&lt;&gt;""),"",IF('Raw Data'!B259 = Condition!B259,"",_xlfn.REGEXEXTRACT(CELL("address",'Raw Data'!B259),"\$([A-Z]+)\$[0-9]+")))</f>
        <v/>
      </c>
      <c r="C259" s="7" t="str" cm="1">
        <f t="array" aca="1" ref="C259" ca="1">IF(OR('Raw Data'!C259="",LEN(TRIM('Raw Data'!C259))=0,Validate_Empty!C259&lt;&gt;"",Validate_Value!C259&lt;&gt;""),"",IF('Raw Data'!C259 = Condition!C259,"",_xlfn.REGEXEXTRACT(CELL("address",'Raw Data'!C259),"\$([A-Z]+)\$[0-9]+")))</f>
        <v/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spans="2:36" x14ac:dyDescent="0.25">
      <c r="B260" s="7" t="str" cm="1">
        <f t="array" aca="1" ref="B260" ca="1">IF(OR('Raw Data'!B260="",LEN(TRIM('Raw Data'!B260))=0,Validate_Empty!B260&lt;&gt;"",Validate_Value!B260&lt;&gt;""),"",IF('Raw Data'!B260 = Condition!B260,"",_xlfn.REGEXEXTRACT(CELL("address",'Raw Data'!B260),"\$([A-Z]+)\$[0-9]+")))</f>
        <v/>
      </c>
      <c r="C260" s="7" t="str" cm="1">
        <f t="array" aca="1" ref="C260" ca="1">IF(OR('Raw Data'!C260="",LEN(TRIM('Raw Data'!C260))=0,Validate_Empty!C260&lt;&gt;"",Validate_Value!C260&lt;&gt;""),"",IF('Raw Data'!C260 = Condition!C260,"",_xlfn.REGEXEXTRACT(CELL("address",'Raw Data'!C260),"\$([A-Z]+)\$[0-9]+")))</f>
        <v/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spans="2:36" x14ac:dyDescent="0.25">
      <c r="B261" s="7" t="str" cm="1">
        <f t="array" aca="1" ref="B261" ca="1">IF(OR('Raw Data'!B261="",LEN(TRIM('Raw Data'!B261))=0,Validate_Empty!B261&lt;&gt;"",Validate_Value!B261&lt;&gt;""),"",IF('Raw Data'!B261 = Condition!B261,"",_xlfn.REGEXEXTRACT(CELL("address",'Raw Data'!B261),"\$([A-Z]+)\$[0-9]+")))</f>
        <v/>
      </c>
      <c r="C261" s="7" t="str" cm="1">
        <f t="array" aca="1" ref="C261" ca="1">IF(OR('Raw Data'!C261="",LEN(TRIM('Raw Data'!C261))=0,Validate_Empty!C261&lt;&gt;"",Validate_Value!C261&lt;&gt;""),"",IF('Raw Data'!C261 = Condition!C261,"",_xlfn.REGEXEXTRACT(CELL("address",'Raw Data'!C261),"\$([A-Z]+)\$[0-9]+")))</f>
        <v/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spans="2:36" x14ac:dyDescent="0.25">
      <c r="B262" s="7" t="str" cm="1">
        <f t="array" aca="1" ref="B262" ca="1">IF(OR('Raw Data'!B262="",LEN(TRIM('Raw Data'!B262))=0,Validate_Empty!B262&lt;&gt;"",Validate_Value!B262&lt;&gt;""),"",IF('Raw Data'!B262 = Condition!B262,"",_xlfn.REGEXEXTRACT(CELL("address",'Raw Data'!B262),"\$([A-Z]+)\$[0-9]+")))</f>
        <v/>
      </c>
      <c r="C262" s="7" t="str" cm="1">
        <f t="array" aca="1" ref="C262" ca="1">IF(OR('Raw Data'!C262="",LEN(TRIM('Raw Data'!C262))=0,Validate_Empty!C262&lt;&gt;"",Validate_Value!C262&lt;&gt;""),"",IF('Raw Data'!C262 = Condition!C262,"",_xlfn.REGEXEXTRACT(CELL("address",'Raw Data'!C262),"\$([A-Z]+)\$[0-9]+")))</f>
        <v/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spans="2:36" x14ac:dyDescent="0.25">
      <c r="B263" s="7" t="str" cm="1">
        <f t="array" aca="1" ref="B263" ca="1">IF(OR('Raw Data'!B263="",LEN(TRIM('Raw Data'!B263))=0,Validate_Empty!B263&lt;&gt;"",Validate_Value!B263&lt;&gt;""),"",IF('Raw Data'!B263 = Condition!B263,"",_xlfn.REGEXEXTRACT(CELL("address",'Raw Data'!B263),"\$([A-Z]+)\$[0-9]+")))</f>
        <v/>
      </c>
      <c r="C263" s="7" t="str" cm="1">
        <f t="array" aca="1" ref="C263" ca="1">IF(OR('Raw Data'!C263="",LEN(TRIM('Raw Data'!C263))=0,Validate_Empty!C263&lt;&gt;"",Validate_Value!C263&lt;&gt;""),"",IF('Raw Data'!C263 = Condition!C263,"",_xlfn.REGEXEXTRACT(CELL("address",'Raw Data'!C263),"\$([A-Z]+)\$[0-9]+")))</f>
        <v/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spans="2:36" x14ac:dyDescent="0.25">
      <c r="B264" s="7" t="str" cm="1">
        <f t="array" aca="1" ref="B264" ca="1">IF(OR('Raw Data'!B264="",LEN(TRIM('Raw Data'!B264))=0,Validate_Empty!B264&lt;&gt;"",Validate_Value!B264&lt;&gt;""),"",IF('Raw Data'!B264 = Condition!B264,"",_xlfn.REGEXEXTRACT(CELL("address",'Raw Data'!B264),"\$([A-Z]+)\$[0-9]+")))</f>
        <v/>
      </c>
      <c r="C264" s="7" t="str" cm="1">
        <f t="array" aca="1" ref="C264" ca="1">IF(OR('Raw Data'!C264="",LEN(TRIM('Raw Data'!C264))=0,Validate_Empty!C264&lt;&gt;"",Validate_Value!C264&lt;&gt;""),"",IF('Raw Data'!C264 = Condition!C264,"",_xlfn.REGEXEXTRACT(CELL("address",'Raw Data'!C264),"\$([A-Z]+)\$[0-9]+")))</f>
        <v/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spans="2:36" x14ac:dyDescent="0.25">
      <c r="B265" s="7" t="str" cm="1">
        <f t="array" aca="1" ref="B265" ca="1">IF(OR('Raw Data'!B265="",LEN(TRIM('Raw Data'!B265))=0,Validate_Empty!B265&lt;&gt;"",Validate_Value!B265&lt;&gt;""),"",IF('Raw Data'!B265 = Condition!B265,"",_xlfn.REGEXEXTRACT(CELL("address",'Raw Data'!B265),"\$([A-Z]+)\$[0-9]+")))</f>
        <v/>
      </c>
      <c r="C265" s="7" t="str" cm="1">
        <f t="array" aca="1" ref="C265" ca="1">IF(OR('Raw Data'!C265="",LEN(TRIM('Raw Data'!C265))=0,Validate_Empty!C265&lt;&gt;"",Validate_Value!C265&lt;&gt;""),"",IF('Raw Data'!C265 = Condition!C265,"",_xlfn.REGEXEXTRACT(CELL("address",'Raw Data'!C265),"\$([A-Z]+)\$[0-9]+")))</f>
        <v/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spans="2:36" x14ac:dyDescent="0.25">
      <c r="B266" s="7" t="str" cm="1">
        <f t="array" aca="1" ref="B266" ca="1">IF(OR('Raw Data'!B266="",LEN(TRIM('Raw Data'!B266))=0,Validate_Empty!B266&lt;&gt;"",Validate_Value!B266&lt;&gt;""),"",IF('Raw Data'!B266 = Condition!B266,"",_xlfn.REGEXEXTRACT(CELL("address",'Raw Data'!B266),"\$([A-Z]+)\$[0-9]+")))</f>
        <v/>
      </c>
      <c r="C266" s="7" t="str" cm="1">
        <f t="array" aca="1" ref="C266" ca="1">IF(OR('Raw Data'!C266="",LEN(TRIM('Raw Data'!C266))=0,Validate_Empty!C266&lt;&gt;"",Validate_Value!C266&lt;&gt;""),"",IF('Raw Data'!C266 = Condition!C266,"",_xlfn.REGEXEXTRACT(CELL("address",'Raw Data'!C266),"\$([A-Z]+)\$[0-9]+")))</f>
        <v/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spans="2:36" x14ac:dyDescent="0.25">
      <c r="B267" s="7" t="str" cm="1">
        <f t="array" aca="1" ref="B267" ca="1">IF(OR('Raw Data'!B267="",LEN(TRIM('Raw Data'!B267))=0,Validate_Empty!B267&lt;&gt;"",Validate_Value!B267&lt;&gt;""),"",IF('Raw Data'!B267 = Condition!B267,"",_xlfn.REGEXEXTRACT(CELL("address",'Raw Data'!B267),"\$([A-Z]+)\$[0-9]+")))</f>
        <v/>
      </c>
      <c r="C267" s="7" t="str" cm="1">
        <f t="array" aca="1" ref="C267" ca="1">IF(OR('Raw Data'!C267="",LEN(TRIM('Raw Data'!C267))=0,Validate_Empty!C267&lt;&gt;"",Validate_Value!C267&lt;&gt;""),"",IF('Raw Data'!C267 = Condition!C267,"",_xlfn.REGEXEXTRACT(CELL("address",'Raw Data'!C267),"\$([A-Z]+)\$[0-9]+")))</f>
        <v/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spans="2:36" x14ac:dyDescent="0.25">
      <c r="B268" s="7" t="str" cm="1">
        <f t="array" aca="1" ref="B268" ca="1">IF(OR('Raw Data'!B268="",LEN(TRIM('Raw Data'!B268))=0,Validate_Empty!B268&lt;&gt;"",Validate_Value!B268&lt;&gt;""),"",IF('Raw Data'!B268 = Condition!B268,"",_xlfn.REGEXEXTRACT(CELL("address",'Raw Data'!B268),"\$([A-Z]+)\$[0-9]+")))</f>
        <v/>
      </c>
      <c r="C268" s="7" t="str" cm="1">
        <f t="array" aca="1" ref="C268" ca="1">IF(OR('Raw Data'!C268="",LEN(TRIM('Raw Data'!C268))=0,Validate_Empty!C268&lt;&gt;"",Validate_Value!C268&lt;&gt;""),"",IF('Raw Data'!C268 = Condition!C268,"",_xlfn.REGEXEXTRACT(CELL("address",'Raw Data'!C268),"\$([A-Z]+)\$[0-9]+")))</f>
        <v/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spans="2:36" x14ac:dyDescent="0.25">
      <c r="B269" s="7" t="str" cm="1">
        <f t="array" aca="1" ref="B269" ca="1">IF(OR('Raw Data'!B269="",LEN(TRIM('Raw Data'!B269))=0,Validate_Empty!B269&lt;&gt;"",Validate_Value!B269&lt;&gt;""),"",IF('Raw Data'!B269 = Condition!B269,"",_xlfn.REGEXEXTRACT(CELL("address",'Raw Data'!B269),"\$([A-Z]+)\$[0-9]+")))</f>
        <v/>
      </c>
      <c r="C269" s="7" t="str" cm="1">
        <f t="array" aca="1" ref="C269" ca="1">IF(OR('Raw Data'!C269="",LEN(TRIM('Raw Data'!C269))=0,Validate_Empty!C269&lt;&gt;"",Validate_Value!C269&lt;&gt;""),"",IF('Raw Data'!C269 = Condition!C269,"",_xlfn.REGEXEXTRACT(CELL("address",'Raw Data'!C269),"\$([A-Z]+)\$[0-9]+")))</f>
        <v/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spans="2:36" x14ac:dyDescent="0.25">
      <c r="B270" s="7" t="str" cm="1">
        <f t="array" aca="1" ref="B270" ca="1">IF(OR('Raw Data'!B270="",LEN(TRIM('Raw Data'!B270))=0,Validate_Empty!B270&lt;&gt;"",Validate_Value!B270&lt;&gt;""),"",IF('Raw Data'!B270 = Condition!B270,"",_xlfn.REGEXEXTRACT(CELL("address",'Raw Data'!B270),"\$([A-Z]+)\$[0-9]+")))</f>
        <v/>
      </c>
      <c r="C270" s="7" t="str" cm="1">
        <f t="array" aca="1" ref="C270" ca="1">IF(OR('Raw Data'!C270="",LEN(TRIM('Raw Data'!C270))=0,Validate_Empty!C270&lt;&gt;"",Validate_Value!C270&lt;&gt;""),"",IF('Raw Data'!C270 = Condition!C270,"",_xlfn.REGEXEXTRACT(CELL("address",'Raw Data'!C270),"\$([A-Z]+)\$[0-9]+")))</f>
        <v/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spans="2:36" x14ac:dyDescent="0.25">
      <c r="B271" s="7" t="str" cm="1">
        <f t="array" aca="1" ref="B271" ca="1">IF(OR('Raw Data'!B271="",LEN(TRIM('Raw Data'!B271))=0,Validate_Empty!B271&lt;&gt;"",Validate_Value!B271&lt;&gt;""),"",IF('Raw Data'!B271 = Condition!B271,"",_xlfn.REGEXEXTRACT(CELL("address",'Raw Data'!B271),"\$([A-Z]+)\$[0-9]+")))</f>
        <v/>
      </c>
      <c r="C271" s="7" t="str" cm="1">
        <f t="array" aca="1" ref="C271" ca="1">IF(OR('Raw Data'!C271="",LEN(TRIM('Raw Data'!C271))=0,Validate_Empty!C271&lt;&gt;"",Validate_Value!C271&lt;&gt;""),"",IF('Raw Data'!C271 = Condition!C271,"",_xlfn.REGEXEXTRACT(CELL("address",'Raw Data'!C271),"\$([A-Z]+)\$[0-9]+")))</f>
        <v/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spans="2:36" x14ac:dyDescent="0.25">
      <c r="B272" s="7" t="str" cm="1">
        <f t="array" aca="1" ref="B272" ca="1">IF(OR('Raw Data'!B272="",LEN(TRIM('Raw Data'!B272))=0,Validate_Empty!B272&lt;&gt;"",Validate_Value!B272&lt;&gt;""),"",IF('Raw Data'!B272 = Condition!B272,"",_xlfn.REGEXEXTRACT(CELL("address",'Raw Data'!B272),"\$([A-Z]+)\$[0-9]+")))</f>
        <v/>
      </c>
      <c r="C272" s="7" t="str" cm="1">
        <f t="array" aca="1" ref="C272" ca="1">IF(OR('Raw Data'!C272="",LEN(TRIM('Raw Data'!C272))=0,Validate_Empty!C272&lt;&gt;"",Validate_Value!C272&lt;&gt;""),"",IF('Raw Data'!C272 = Condition!C272,"",_xlfn.REGEXEXTRACT(CELL("address",'Raw Data'!C272),"\$([A-Z]+)\$[0-9]+")))</f>
        <v/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spans="2:36" x14ac:dyDescent="0.25">
      <c r="B273" s="7" t="str" cm="1">
        <f t="array" aca="1" ref="B273" ca="1">IF(OR('Raw Data'!B273="",LEN(TRIM('Raw Data'!B273))=0,Validate_Empty!B273&lt;&gt;"",Validate_Value!B273&lt;&gt;""),"",IF('Raw Data'!B273 = Condition!B273,"",_xlfn.REGEXEXTRACT(CELL("address",'Raw Data'!B273),"\$([A-Z]+)\$[0-9]+")))</f>
        <v/>
      </c>
      <c r="C273" s="7" t="str" cm="1">
        <f t="array" aca="1" ref="C273" ca="1">IF(OR('Raw Data'!C273="",LEN(TRIM('Raw Data'!C273))=0,Validate_Empty!C273&lt;&gt;"",Validate_Value!C273&lt;&gt;""),"",IF('Raw Data'!C273 = Condition!C273,"",_xlfn.REGEXEXTRACT(CELL("address",'Raw Data'!C273),"\$([A-Z]+)\$[0-9]+")))</f>
        <v/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spans="2:36" x14ac:dyDescent="0.25">
      <c r="B274" s="7" t="str" cm="1">
        <f t="array" aca="1" ref="B274" ca="1">IF(OR('Raw Data'!B274="",LEN(TRIM('Raw Data'!B274))=0,Validate_Empty!B274&lt;&gt;"",Validate_Value!B274&lt;&gt;""),"",IF('Raw Data'!B274 = Condition!B274,"",_xlfn.REGEXEXTRACT(CELL("address",'Raw Data'!B274),"\$([A-Z]+)\$[0-9]+")))</f>
        <v/>
      </c>
      <c r="C274" s="7" t="str" cm="1">
        <f t="array" aca="1" ref="C274" ca="1">IF(OR('Raw Data'!C274="",LEN(TRIM('Raw Data'!C274))=0,Validate_Empty!C274&lt;&gt;"",Validate_Value!C274&lt;&gt;""),"",IF('Raw Data'!C274 = Condition!C274,"",_xlfn.REGEXEXTRACT(CELL("address",'Raw Data'!C274),"\$([A-Z]+)\$[0-9]+")))</f>
        <v/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spans="2:36" x14ac:dyDescent="0.25">
      <c r="B275" s="7" t="str" cm="1">
        <f t="array" aca="1" ref="B275" ca="1">IF(OR('Raw Data'!B275="",LEN(TRIM('Raw Data'!B275))=0,Validate_Empty!B275&lt;&gt;"",Validate_Value!B275&lt;&gt;""),"",IF('Raw Data'!B275 = Condition!B275,"",_xlfn.REGEXEXTRACT(CELL("address",'Raw Data'!B275),"\$([A-Z]+)\$[0-9]+")))</f>
        <v/>
      </c>
      <c r="C275" s="7" t="str" cm="1">
        <f t="array" aca="1" ref="C275" ca="1">IF(OR('Raw Data'!C275="",LEN(TRIM('Raw Data'!C275))=0,Validate_Empty!C275&lt;&gt;"",Validate_Value!C275&lt;&gt;""),"",IF('Raw Data'!C275 = Condition!C275,"",_xlfn.REGEXEXTRACT(CELL("address",'Raw Data'!C275),"\$([A-Z]+)\$[0-9]+")))</f>
        <v/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spans="2:36" x14ac:dyDescent="0.25">
      <c r="B276" s="7" t="str" cm="1">
        <f t="array" aca="1" ref="B276" ca="1">IF(OR('Raw Data'!B276="",LEN(TRIM('Raw Data'!B276))=0,Validate_Empty!B276&lt;&gt;"",Validate_Value!B276&lt;&gt;""),"",IF('Raw Data'!B276 = Condition!B276,"",_xlfn.REGEXEXTRACT(CELL("address",'Raw Data'!B276),"\$([A-Z]+)\$[0-9]+")))</f>
        <v/>
      </c>
      <c r="C276" s="7" t="str" cm="1">
        <f t="array" aca="1" ref="C276" ca="1">IF(OR('Raw Data'!C276="",LEN(TRIM('Raw Data'!C276))=0,Validate_Empty!C276&lt;&gt;"",Validate_Value!C276&lt;&gt;""),"",IF('Raw Data'!C276 = Condition!C276,"",_xlfn.REGEXEXTRACT(CELL("address",'Raw Data'!C276),"\$([A-Z]+)\$[0-9]+")))</f>
        <v/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spans="2:36" x14ac:dyDescent="0.25">
      <c r="B277" s="7" t="str" cm="1">
        <f t="array" aca="1" ref="B277" ca="1">IF(OR('Raw Data'!B277="",LEN(TRIM('Raw Data'!B277))=0,Validate_Empty!B277&lt;&gt;"",Validate_Value!B277&lt;&gt;""),"",IF('Raw Data'!B277 = Condition!B277,"",_xlfn.REGEXEXTRACT(CELL("address",'Raw Data'!B277),"\$([A-Z]+)\$[0-9]+")))</f>
        <v/>
      </c>
      <c r="C277" s="7" t="str" cm="1">
        <f t="array" aca="1" ref="C277" ca="1">IF(OR('Raw Data'!C277="",LEN(TRIM('Raw Data'!C277))=0,Validate_Empty!C277&lt;&gt;"",Validate_Value!C277&lt;&gt;""),"",IF('Raw Data'!C277 = Condition!C277,"",_xlfn.REGEXEXTRACT(CELL("address",'Raw Data'!C277),"\$([A-Z]+)\$[0-9]+")))</f>
        <v/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spans="2:36" x14ac:dyDescent="0.25">
      <c r="B278" s="7" t="str" cm="1">
        <f t="array" aca="1" ref="B278" ca="1">IF(OR('Raw Data'!B278="",LEN(TRIM('Raw Data'!B278))=0,Validate_Empty!B278&lt;&gt;"",Validate_Value!B278&lt;&gt;""),"",IF('Raw Data'!B278 = Condition!B278,"",_xlfn.REGEXEXTRACT(CELL("address",'Raw Data'!B278),"\$([A-Z]+)\$[0-9]+")))</f>
        <v/>
      </c>
      <c r="C278" s="7" t="str" cm="1">
        <f t="array" aca="1" ref="C278" ca="1">IF(OR('Raw Data'!C278="",LEN(TRIM('Raw Data'!C278))=0,Validate_Empty!C278&lt;&gt;"",Validate_Value!C278&lt;&gt;""),"",IF('Raw Data'!C278 = Condition!C278,"",_xlfn.REGEXEXTRACT(CELL("address",'Raw Data'!C278),"\$([A-Z]+)\$[0-9]+")))</f>
        <v/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spans="2:36" x14ac:dyDescent="0.25">
      <c r="B279" s="7" t="str" cm="1">
        <f t="array" aca="1" ref="B279" ca="1">IF(OR('Raw Data'!B279="",LEN(TRIM('Raw Data'!B279))=0,Validate_Empty!B279&lt;&gt;"",Validate_Value!B279&lt;&gt;""),"",IF('Raw Data'!B279 = Condition!B279,"",_xlfn.REGEXEXTRACT(CELL("address",'Raw Data'!B279),"\$([A-Z]+)\$[0-9]+")))</f>
        <v/>
      </c>
      <c r="C279" s="7" t="str" cm="1">
        <f t="array" aca="1" ref="C279" ca="1">IF(OR('Raw Data'!C279="",LEN(TRIM('Raw Data'!C279))=0,Validate_Empty!C279&lt;&gt;"",Validate_Value!C279&lt;&gt;""),"",IF('Raw Data'!C279 = Condition!C279,"",_xlfn.REGEXEXTRACT(CELL("address",'Raw Data'!C279),"\$([A-Z]+)\$[0-9]+")))</f>
        <v/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spans="2:36" x14ac:dyDescent="0.25">
      <c r="B280" s="7" t="str" cm="1">
        <f t="array" aca="1" ref="B280" ca="1">IF(OR('Raw Data'!B280="",LEN(TRIM('Raw Data'!B280))=0,Validate_Empty!B280&lt;&gt;"",Validate_Value!B280&lt;&gt;""),"",IF('Raw Data'!B280 = Condition!B280,"",_xlfn.REGEXEXTRACT(CELL("address",'Raw Data'!B280),"\$([A-Z]+)\$[0-9]+")))</f>
        <v/>
      </c>
      <c r="C280" s="7" t="str" cm="1">
        <f t="array" aca="1" ref="C280" ca="1">IF(OR('Raw Data'!C280="",LEN(TRIM('Raw Data'!C280))=0,Validate_Empty!C280&lt;&gt;"",Validate_Value!C280&lt;&gt;""),"",IF('Raw Data'!C280 = Condition!C280,"",_xlfn.REGEXEXTRACT(CELL("address",'Raw Data'!C280),"\$([A-Z]+)\$[0-9]+")))</f>
        <v/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spans="2:36" x14ac:dyDescent="0.25">
      <c r="B281" s="7" t="str" cm="1">
        <f t="array" aca="1" ref="B281" ca="1">IF(OR('Raw Data'!B281="",LEN(TRIM('Raw Data'!B281))=0,Validate_Empty!B281&lt;&gt;"",Validate_Value!B281&lt;&gt;""),"",IF('Raw Data'!B281 = Condition!B281,"",_xlfn.REGEXEXTRACT(CELL("address",'Raw Data'!B281),"\$([A-Z]+)\$[0-9]+")))</f>
        <v/>
      </c>
      <c r="C281" s="7" t="str" cm="1">
        <f t="array" aca="1" ref="C281" ca="1">IF(OR('Raw Data'!C281="",LEN(TRIM('Raw Data'!C281))=0,Validate_Empty!C281&lt;&gt;"",Validate_Value!C281&lt;&gt;""),"",IF('Raw Data'!C281 = Condition!C281,"",_xlfn.REGEXEXTRACT(CELL("address",'Raw Data'!C281),"\$([A-Z]+)\$[0-9]+")))</f>
        <v/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spans="2:36" x14ac:dyDescent="0.25">
      <c r="B282" s="7" t="str" cm="1">
        <f t="array" aca="1" ref="B282" ca="1">IF(OR('Raw Data'!B282="",LEN(TRIM('Raw Data'!B282))=0,Validate_Empty!B282&lt;&gt;"",Validate_Value!B282&lt;&gt;""),"",IF('Raw Data'!B282 = Condition!B282,"",_xlfn.REGEXEXTRACT(CELL("address",'Raw Data'!B282),"\$([A-Z]+)\$[0-9]+")))</f>
        <v/>
      </c>
      <c r="C282" s="7" t="str" cm="1">
        <f t="array" aca="1" ref="C282" ca="1">IF(OR('Raw Data'!C282="",LEN(TRIM('Raw Data'!C282))=0,Validate_Empty!C282&lt;&gt;"",Validate_Value!C282&lt;&gt;""),"",IF('Raw Data'!C282 = Condition!C282,"",_xlfn.REGEXEXTRACT(CELL("address",'Raw Data'!C282),"\$([A-Z]+)\$[0-9]+")))</f>
        <v/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spans="2:36" x14ac:dyDescent="0.25">
      <c r="B283" s="7" t="str" cm="1">
        <f t="array" aca="1" ref="B283" ca="1">IF(OR('Raw Data'!B283="",LEN(TRIM('Raw Data'!B283))=0,Validate_Empty!B283&lt;&gt;"",Validate_Value!B283&lt;&gt;""),"",IF('Raw Data'!B283 = Condition!B283,"",_xlfn.REGEXEXTRACT(CELL("address",'Raw Data'!B283),"\$([A-Z]+)\$[0-9]+")))</f>
        <v/>
      </c>
      <c r="C283" s="7" t="str" cm="1">
        <f t="array" aca="1" ref="C283" ca="1">IF(OR('Raw Data'!C283="",LEN(TRIM('Raw Data'!C283))=0,Validate_Empty!C283&lt;&gt;"",Validate_Value!C283&lt;&gt;""),"",IF('Raw Data'!C283 = Condition!C283,"",_xlfn.REGEXEXTRACT(CELL("address",'Raw Data'!C283),"\$([A-Z]+)\$[0-9]+")))</f>
        <v/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spans="2:36" x14ac:dyDescent="0.25">
      <c r="B284" s="7" t="str" cm="1">
        <f t="array" aca="1" ref="B284" ca="1">IF(OR('Raw Data'!B284="",LEN(TRIM('Raw Data'!B284))=0,Validate_Empty!B284&lt;&gt;"",Validate_Value!B284&lt;&gt;""),"",IF('Raw Data'!B284 = Condition!B284,"",_xlfn.REGEXEXTRACT(CELL("address",'Raw Data'!B284),"\$([A-Z]+)\$[0-9]+")))</f>
        <v/>
      </c>
      <c r="C284" s="7" t="str" cm="1">
        <f t="array" aca="1" ref="C284" ca="1">IF(OR('Raw Data'!C284="",LEN(TRIM('Raw Data'!C284))=0,Validate_Empty!C284&lt;&gt;"",Validate_Value!C284&lt;&gt;""),"",IF('Raw Data'!C284 = Condition!C284,"",_xlfn.REGEXEXTRACT(CELL("address",'Raw Data'!C284),"\$([A-Z]+)\$[0-9]+")))</f>
        <v/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spans="2:36" x14ac:dyDescent="0.25">
      <c r="B285" s="7" t="str" cm="1">
        <f t="array" aca="1" ref="B285" ca="1">IF(OR('Raw Data'!B285="",LEN(TRIM('Raw Data'!B285))=0,Validate_Empty!B285&lt;&gt;"",Validate_Value!B285&lt;&gt;""),"",IF('Raw Data'!B285 = Condition!B285,"",_xlfn.REGEXEXTRACT(CELL("address",'Raw Data'!B285),"\$([A-Z]+)\$[0-9]+")))</f>
        <v/>
      </c>
      <c r="C285" s="7" t="str" cm="1">
        <f t="array" aca="1" ref="C285" ca="1">IF(OR('Raw Data'!C285="",LEN(TRIM('Raw Data'!C285))=0,Validate_Empty!C285&lt;&gt;"",Validate_Value!C285&lt;&gt;""),"",IF('Raw Data'!C285 = Condition!C285,"",_xlfn.REGEXEXTRACT(CELL("address",'Raw Data'!C285),"\$([A-Z]+)\$[0-9]+")))</f>
        <v/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spans="2:36" x14ac:dyDescent="0.25">
      <c r="B286" s="7" t="str" cm="1">
        <f t="array" aca="1" ref="B286" ca="1">IF(OR('Raw Data'!B286="",LEN(TRIM('Raw Data'!B286))=0,Validate_Empty!B286&lt;&gt;"",Validate_Value!B286&lt;&gt;""),"",IF('Raw Data'!B286 = Condition!B286,"",_xlfn.REGEXEXTRACT(CELL("address",'Raw Data'!B286),"\$([A-Z]+)\$[0-9]+")))</f>
        <v/>
      </c>
      <c r="C286" s="7" t="str" cm="1">
        <f t="array" aca="1" ref="C286" ca="1">IF(OR('Raw Data'!C286="",LEN(TRIM('Raw Data'!C286))=0,Validate_Empty!C286&lt;&gt;"",Validate_Value!C286&lt;&gt;""),"",IF('Raw Data'!C286 = Condition!C286,"",_xlfn.REGEXEXTRACT(CELL("address",'Raw Data'!C286),"\$([A-Z]+)\$[0-9]+")))</f>
        <v/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spans="2:36" x14ac:dyDescent="0.25">
      <c r="B287" s="7" t="str" cm="1">
        <f t="array" aca="1" ref="B287" ca="1">IF(OR('Raw Data'!B287="",LEN(TRIM('Raw Data'!B287))=0,Validate_Empty!B287&lt;&gt;"",Validate_Value!B287&lt;&gt;""),"",IF('Raw Data'!B287 = Condition!B287,"",_xlfn.REGEXEXTRACT(CELL("address",'Raw Data'!B287),"\$([A-Z]+)\$[0-9]+")))</f>
        <v/>
      </c>
      <c r="C287" s="7" t="str" cm="1">
        <f t="array" aca="1" ref="C287" ca="1">IF(OR('Raw Data'!C287="",LEN(TRIM('Raw Data'!C287))=0,Validate_Empty!C287&lt;&gt;"",Validate_Value!C287&lt;&gt;""),"",IF('Raw Data'!C287 = Condition!C287,"",_xlfn.REGEXEXTRACT(CELL("address",'Raw Data'!C287),"\$([A-Z]+)\$[0-9]+")))</f>
        <v/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spans="2:36" x14ac:dyDescent="0.25">
      <c r="B288" s="7" t="str" cm="1">
        <f t="array" aca="1" ref="B288" ca="1">IF(OR('Raw Data'!B288="",LEN(TRIM('Raw Data'!B288))=0,Validate_Empty!B288&lt;&gt;"",Validate_Value!B288&lt;&gt;""),"",IF('Raw Data'!B288 = Condition!B288,"",_xlfn.REGEXEXTRACT(CELL("address",'Raw Data'!B288),"\$([A-Z]+)\$[0-9]+")))</f>
        <v/>
      </c>
      <c r="C288" s="7" t="str" cm="1">
        <f t="array" aca="1" ref="C288" ca="1">IF(OR('Raw Data'!C288="",LEN(TRIM('Raw Data'!C288))=0,Validate_Empty!C288&lt;&gt;"",Validate_Value!C288&lt;&gt;""),"",IF('Raw Data'!C288 = Condition!C288,"",_xlfn.REGEXEXTRACT(CELL("address",'Raw Data'!C288),"\$([A-Z]+)\$[0-9]+")))</f>
        <v/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spans="2:36" x14ac:dyDescent="0.25">
      <c r="B289" s="7" t="str" cm="1">
        <f t="array" aca="1" ref="B289" ca="1">IF(OR('Raw Data'!B289="",LEN(TRIM('Raw Data'!B289))=0,Validate_Empty!B289&lt;&gt;"",Validate_Value!B289&lt;&gt;""),"",IF('Raw Data'!B289 = Condition!B289,"",_xlfn.REGEXEXTRACT(CELL("address",'Raw Data'!B289),"\$([A-Z]+)\$[0-9]+")))</f>
        <v/>
      </c>
      <c r="C289" s="7" t="str" cm="1">
        <f t="array" aca="1" ref="C289" ca="1">IF(OR('Raw Data'!C289="",LEN(TRIM('Raw Data'!C289))=0,Validate_Empty!C289&lt;&gt;"",Validate_Value!C289&lt;&gt;""),"",IF('Raw Data'!C289 = Condition!C289,"",_xlfn.REGEXEXTRACT(CELL("address",'Raw Data'!C289),"\$([A-Z]+)\$[0-9]+")))</f>
        <v/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spans="2:36" x14ac:dyDescent="0.25">
      <c r="B290" s="7" t="str" cm="1">
        <f t="array" aca="1" ref="B290" ca="1">IF(OR('Raw Data'!B290="",LEN(TRIM('Raw Data'!B290))=0,Validate_Empty!B290&lt;&gt;"",Validate_Value!B290&lt;&gt;""),"",IF('Raw Data'!B290 = Condition!B290,"",_xlfn.REGEXEXTRACT(CELL("address",'Raw Data'!B290),"\$([A-Z]+)\$[0-9]+")))</f>
        <v/>
      </c>
      <c r="C290" s="7" t="str" cm="1">
        <f t="array" aca="1" ref="C290" ca="1">IF(OR('Raw Data'!C290="",LEN(TRIM('Raw Data'!C290))=0,Validate_Empty!C290&lt;&gt;"",Validate_Value!C290&lt;&gt;""),"",IF('Raw Data'!C290 = Condition!C290,"",_xlfn.REGEXEXTRACT(CELL("address",'Raw Data'!C290),"\$([A-Z]+)\$[0-9]+")))</f>
        <v/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spans="2:36" x14ac:dyDescent="0.25">
      <c r="B291" s="7" t="str" cm="1">
        <f t="array" aca="1" ref="B291" ca="1">IF(OR('Raw Data'!B291="",LEN(TRIM('Raw Data'!B291))=0,Validate_Empty!B291&lt;&gt;"",Validate_Value!B291&lt;&gt;""),"",IF('Raw Data'!B291 = Condition!B291,"",_xlfn.REGEXEXTRACT(CELL("address",'Raw Data'!B291),"\$([A-Z]+)\$[0-9]+")))</f>
        <v/>
      </c>
      <c r="C291" s="7" t="str" cm="1">
        <f t="array" aca="1" ref="C291" ca="1">IF(OR('Raw Data'!C291="",LEN(TRIM('Raw Data'!C291))=0,Validate_Empty!C291&lt;&gt;"",Validate_Value!C291&lt;&gt;""),"",IF('Raw Data'!C291 = Condition!C291,"",_xlfn.REGEXEXTRACT(CELL("address",'Raw Data'!C291),"\$([A-Z]+)\$[0-9]+")))</f>
        <v/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spans="2:36" x14ac:dyDescent="0.25">
      <c r="B292" s="7" t="str" cm="1">
        <f t="array" aca="1" ref="B292" ca="1">IF(OR('Raw Data'!B292="",LEN(TRIM('Raw Data'!B292))=0,Validate_Empty!B292&lt;&gt;"",Validate_Value!B292&lt;&gt;""),"",IF('Raw Data'!B292 = Condition!B292,"",_xlfn.REGEXEXTRACT(CELL("address",'Raw Data'!B292),"\$([A-Z]+)\$[0-9]+")))</f>
        <v/>
      </c>
      <c r="C292" s="7" t="str" cm="1">
        <f t="array" aca="1" ref="C292" ca="1">IF(OR('Raw Data'!C292="",LEN(TRIM('Raw Data'!C292))=0,Validate_Empty!C292&lt;&gt;"",Validate_Value!C292&lt;&gt;""),"",IF('Raw Data'!C292 = Condition!C292,"",_xlfn.REGEXEXTRACT(CELL("address",'Raw Data'!C292),"\$([A-Z]+)\$[0-9]+")))</f>
        <v/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spans="2:36" x14ac:dyDescent="0.25">
      <c r="B293" s="7" t="str" cm="1">
        <f t="array" aca="1" ref="B293" ca="1">IF(OR('Raw Data'!B293="",LEN(TRIM('Raw Data'!B293))=0,Validate_Empty!B293&lt;&gt;"",Validate_Value!B293&lt;&gt;""),"",IF('Raw Data'!B293 = Condition!B293,"",_xlfn.REGEXEXTRACT(CELL("address",'Raw Data'!B293),"\$([A-Z]+)\$[0-9]+")))</f>
        <v/>
      </c>
      <c r="C293" s="7" t="str" cm="1">
        <f t="array" aca="1" ref="C293" ca="1">IF(OR('Raw Data'!C293="",LEN(TRIM('Raw Data'!C293))=0,Validate_Empty!C293&lt;&gt;"",Validate_Value!C293&lt;&gt;""),"",IF('Raw Data'!C293 = Condition!C293,"",_xlfn.REGEXEXTRACT(CELL("address",'Raw Data'!C293),"\$([A-Z]+)\$[0-9]+")))</f>
        <v/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spans="2:36" x14ac:dyDescent="0.25">
      <c r="B294" s="7" t="str" cm="1">
        <f t="array" aca="1" ref="B294" ca="1">IF(OR('Raw Data'!B294="",LEN(TRIM('Raw Data'!B294))=0,Validate_Empty!B294&lt;&gt;"",Validate_Value!B294&lt;&gt;""),"",IF('Raw Data'!B294 = Condition!B294,"",_xlfn.REGEXEXTRACT(CELL("address",'Raw Data'!B294),"\$([A-Z]+)\$[0-9]+")))</f>
        <v/>
      </c>
      <c r="C294" s="7" t="str" cm="1">
        <f t="array" aca="1" ref="C294" ca="1">IF(OR('Raw Data'!C294="",LEN(TRIM('Raw Data'!C294))=0,Validate_Empty!C294&lt;&gt;"",Validate_Value!C294&lt;&gt;""),"",IF('Raw Data'!C294 = Condition!C294,"",_xlfn.REGEXEXTRACT(CELL("address",'Raw Data'!C294),"\$([A-Z]+)\$[0-9]+")))</f>
        <v/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spans="2:36" x14ac:dyDescent="0.25">
      <c r="B295" s="7" t="str" cm="1">
        <f t="array" aca="1" ref="B295" ca="1">IF(OR('Raw Data'!B295="",LEN(TRIM('Raw Data'!B295))=0,Validate_Empty!B295&lt;&gt;"",Validate_Value!B295&lt;&gt;""),"",IF('Raw Data'!B295 = Condition!B295,"",_xlfn.REGEXEXTRACT(CELL("address",'Raw Data'!B295),"\$([A-Z]+)\$[0-9]+")))</f>
        <v/>
      </c>
      <c r="C295" s="7" t="str" cm="1">
        <f t="array" aca="1" ref="C295" ca="1">IF(OR('Raw Data'!C295="",LEN(TRIM('Raw Data'!C295))=0,Validate_Empty!C295&lt;&gt;"",Validate_Value!C295&lt;&gt;""),"",IF('Raw Data'!C295 = Condition!C295,"",_xlfn.REGEXEXTRACT(CELL("address",'Raw Data'!C295),"\$([A-Z]+)\$[0-9]+")))</f>
        <v/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spans="2:36" x14ac:dyDescent="0.25">
      <c r="B296" s="7" t="str" cm="1">
        <f t="array" aca="1" ref="B296" ca="1">IF(OR('Raw Data'!B296="",LEN(TRIM('Raw Data'!B296))=0,Validate_Empty!B296&lt;&gt;"",Validate_Value!B296&lt;&gt;""),"",IF('Raw Data'!B296 = Condition!B296,"",_xlfn.REGEXEXTRACT(CELL("address",'Raw Data'!B296),"\$([A-Z]+)\$[0-9]+")))</f>
        <v/>
      </c>
      <c r="C296" s="7" t="str" cm="1">
        <f t="array" aca="1" ref="C296" ca="1">IF(OR('Raw Data'!C296="",LEN(TRIM('Raw Data'!C296))=0,Validate_Empty!C296&lt;&gt;"",Validate_Value!C296&lt;&gt;""),"",IF('Raw Data'!C296 = Condition!C296,"",_xlfn.REGEXEXTRACT(CELL("address",'Raw Data'!C296),"\$([A-Z]+)\$[0-9]+")))</f>
        <v/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spans="2:36" x14ac:dyDescent="0.25">
      <c r="B297" s="7" t="str" cm="1">
        <f t="array" aca="1" ref="B297" ca="1">IF(OR('Raw Data'!B297="",LEN(TRIM('Raw Data'!B297))=0,Validate_Empty!B297&lt;&gt;"",Validate_Value!B297&lt;&gt;""),"",IF('Raw Data'!B297 = Condition!B297,"",_xlfn.REGEXEXTRACT(CELL("address",'Raw Data'!B297),"\$([A-Z]+)\$[0-9]+")))</f>
        <v/>
      </c>
      <c r="C297" s="7" t="str" cm="1">
        <f t="array" aca="1" ref="C297" ca="1">IF(OR('Raw Data'!C297="",LEN(TRIM('Raw Data'!C297))=0,Validate_Empty!C297&lt;&gt;"",Validate_Value!C297&lt;&gt;""),"",IF('Raw Data'!C297 = Condition!C297,"",_xlfn.REGEXEXTRACT(CELL("address",'Raw Data'!C297),"\$([A-Z]+)\$[0-9]+")))</f>
        <v/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spans="2:36" x14ac:dyDescent="0.25">
      <c r="B298" s="7" t="str" cm="1">
        <f t="array" aca="1" ref="B298" ca="1">IF(OR('Raw Data'!B298="",LEN(TRIM('Raw Data'!B298))=0,Validate_Empty!B298&lt;&gt;"",Validate_Value!B298&lt;&gt;""),"",IF('Raw Data'!B298 = Condition!B298,"",_xlfn.REGEXEXTRACT(CELL("address",'Raw Data'!B298),"\$([A-Z]+)\$[0-9]+")))</f>
        <v/>
      </c>
      <c r="C298" s="7" t="str" cm="1">
        <f t="array" aca="1" ref="C298" ca="1">IF(OR('Raw Data'!C298="",LEN(TRIM('Raw Data'!C298))=0,Validate_Empty!C298&lt;&gt;"",Validate_Value!C298&lt;&gt;""),"",IF('Raw Data'!C298 = Condition!C298,"",_xlfn.REGEXEXTRACT(CELL("address",'Raw Data'!C298),"\$([A-Z]+)\$[0-9]+")))</f>
        <v/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spans="2:36" x14ac:dyDescent="0.25">
      <c r="B299" s="7" t="str" cm="1">
        <f t="array" aca="1" ref="B299" ca="1">IF(OR('Raw Data'!B299="",LEN(TRIM('Raw Data'!B299))=0,Validate_Empty!B299&lt;&gt;"",Validate_Value!B299&lt;&gt;""),"",IF('Raw Data'!B299 = Condition!B299,"",_xlfn.REGEXEXTRACT(CELL("address",'Raw Data'!B299),"\$([A-Z]+)\$[0-9]+")))</f>
        <v/>
      </c>
      <c r="C299" s="7" t="str" cm="1">
        <f t="array" aca="1" ref="C299" ca="1">IF(OR('Raw Data'!C299="",LEN(TRIM('Raw Data'!C299))=0,Validate_Empty!C299&lt;&gt;"",Validate_Value!C299&lt;&gt;""),"",IF('Raw Data'!C299 = Condition!C299,"",_xlfn.REGEXEXTRACT(CELL("address",'Raw Data'!C299),"\$([A-Z]+)\$[0-9]+")))</f>
        <v/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spans="2:36" x14ac:dyDescent="0.25">
      <c r="B300" s="7" t="str" cm="1">
        <f t="array" aca="1" ref="B300" ca="1">IF(OR('Raw Data'!B300="",LEN(TRIM('Raw Data'!B300))=0,Validate_Empty!B300&lt;&gt;"",Validate_Value!B300&lt;&gt;""),"",IF('Raw Data'!B300 = Condition!B300,"",_xlfn.REGEXEXTRACT(CELL("address",'Raw Data'!B300),"\$([A-Z]+)\$[0-9]+")))</f>
        <v/>
      </c>
      <c r="C300" s="7" t="str" cm="1">
        <f t="array" aca="1" ref="C300" ca="1">IF(OR('Raw Data'!C300="",LEN(TRIM('Raw Data'!C300))=0,Validate_Empty!C300&lt;&gt;"",Validate_Value!C300&lt;&gt;""),"",IF('Raw Data'!C300 = Condition!C300,"",_xlfn.REGEXEXTRACT(CELL("address",'Raw Data'!C300),"\$([A-Z]+)\$[0-9]+")))</f>
        <v/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D587-69F5-4824-8181-A14755F77D96}">
  <dimension ref="B8:AJ249"/>
  <sheetViews>
    <sheetView tabSelected="1" zoomScale="70" zoomScaleNormal="70" workbookViewId="0">
      <selection activeCell="F25" sqref="F25"/>
    </sheetView>
  </sheetViews>
  <sheetFormatPr defaultRowHeight="15" x14ac:dyDescent="0.25"/>
  <cols>
    <col min="2" max="2" width="21.85546875" bestFit="1" customWidth="1"/>
    <col min="3" max="3" width="9.85546875" bestFit="1" customWidth="1"/>
  </cols>
  <sheetData>
    <row r="8" spans="2:36" x14ac:dyDescent="0.25">
      <c r="B8" t="s">
        <v>48</v>
      </c>
    </row>
    <row r="9" spans="2:36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  <c r="AE9" s="11" t="s">
        <v>29</v>
      </c>
      <c r="AF9" s="1" t="s">
        <v>30</v>
      </c>
      <c r="AG9" s="1" t="s">
        <v>31</v>
      </c>
      <c r="AH9" s="11" t="s">
        <v>32</v>
      </c>
      <c r="AI9" s="1" t="s">
        <v>33</v>
      </c>
      <c r="AJ9" s="1" t="s">
        <v>34</v>
      </c>
    </row>
    <row r="10" spans="2:36" x14ac:dyDescent="0.25">
      <c r="B10" t="s">
        <v>54</v>
      </c>
      <c r="C10" t="s">
        <v>55</v>
      </c>
    </row>
    <row r="11" spans="2:36" x14ac:dyDescent="0.25">
      <c r="B11" t="s">
        <v>54</v>
      </c>
      <c r="C11" t="s">
        <v>56</v>
      </c>
    </row>
    <row r="12" spans="2:36" x14ac:dyDescent="0.25">
      <c r="B12" t="s">
        <v>54</v>
      </c>
      <c r="C12" t="s">
        <v>57</v>
      </c>
    </row>
    <row r="13" spans="2:36" x14ac:dyDescent="0.25">
      <c r="B13" t="s">
        <v>54</v>
      </c>
      <c r="C13" t="s">
        <v>58</v>
      </c>
    </row>
    <row r="14" spans="2:36" x14ac:dyDescent="0.25">
      <c r="B14" t="s">
        <v>54</v>
      </c>
      <c r="C14" t="s">
        <v>59</v>
      </c>
    </row>
    <row r="15" spans="2:36" x14ac:dyDescent="0.25">
      <c r="B15" t="s">
        <v>54</v>
      </c>
      <c r="C15" t="s">
        <v>60</v>
      </c>
    </row>
    <row r="16" spans="2:36" x14ac:dyDescent="0.25">
      <c r="B16" t="s">
        <v>54</v>
      </c>
      <c r="C16" t="s">
        <v>61</v>
      </c>
    </row>
    <row r="17" spans="2:3" x14ac:dyDescent="0.25">
      <c r="B17" t="s">
        <v>54</v>
      </c>
      <c r="C17" t="s">
        <v>62</v>
      </c>
    </row>
    <row r="18" spans="2:3" x14ac:dyDescent="0.25">
      <c r="B18" t="s">
        <v>54</v>
      </c>
      <c r="C18" t="s">
        <v>63</v>
      </c>
    </row>
    <row r="19" spans="2:3" x14ac:dyDescent="0.25">
      <c r="B19" t="s">
        <v>54</v>
      </c>
      <c r="C19" t="s">
        <v>64</v>
      </c>
    </row>
    <row r="20" spans="2:3" x14ac:dyDescent="0.25">
      <c r="B20" t="s">
        <v>54</v>
      </c>
      <c r="C20" t="s">
        <v>65</v>
      </c>
    </row>
    <row r="21" spans="2:3" x14ac:dyDescent="0.25">
      <c r="B21" t="s">
        <v>54</v>
      </c>
      <c r="C21" t="s">
        <v>66</v>
      </c>
    </row>
    <row r="22" spans="2:3" x14ac:dyDescent="0.25">
      <c r="B22" t="s">
        <v>54</v>
      </c>
      <c r="C22" t="s">
        <v>67</v>
      </c>
    </row>
    <row r="23" spans="2:3" x14ac:dyDescent="0.25">
      <c r="B23" t="s">
        <v>54</v>
      </c>
      <c r="C23" t="s">
        <v>68</v>
      </c>
    </row>
    <row r="24" spans="2:3" x14ac:dyDescent="0.25">
      <c r="B24" t="s">
        <v>54</v>
      </c>
      <c r="C24" t="s">
        <v>69</v>
      </c>
    </row>
    <row r="25" spans="2:3" x14ac:dyDescent="0.25">
      <c r="B25" t="s">
        <v>54</v>
      </c>
      <c r="C25" t="s">
        <v>70</v>
      </c>
    </row>
    <row r="26" spans="2:3" x14ac:dyDescent="0.25">
      <c r="B26" t="s">
        <v>54</v>
      </c>
      <c r="C26" t="s">
        <v>71</v>
      </c>
    </row>
    <row r="27" spans="2:3" x14ac:dyDescent="0.25">
      <c r="B27" t="s">
        <v>54</v>
      </c>
      <c r="C27" t="s">
        <v>72</v>
      </c>
    </row>
    <row r="28" spans="2:3" x14ac:dyDescent="0.25">
      <c r="B28" t="s">
        <v>54</v>
      </c>
      <c r="C28" t="s">
        <v>73</v>
      </c>
    </row>
    <row r="29" spans="2:3" x14ac:dyDescent="0.25">
      <c r="B29" t="s">
        <v>54</v>
      </c>
      <c r="C29" t="s">
        <v>74</v>
      </c>
    </row>
    <row r="30" spans="2:3" x14ac:dyDescent="0.25">
      <c r="B30" t="s">
        <v>54</v>
      </c>
      <c r="C30" t="s">
        <v>75</v>
      </c>
    </row>
    <row r="31" spans="2:3" x14ac:dyDescent="0.25">
      <c r="B31" t="s">
        <v>54</v>
      </c>
      <c r="C31" t="s">
        <v>76</v>
      </c>
    </row>
    <row r="32" spans="2:3" x14ac:dyDescent="0.25">
      <c r="B32" t="s">
        <v>54</v>
      </c>
      <c r="C32" t="s">
        <v>77</v>
      </c>
    </row>
    <row r="33" spans="2:3" x14ac:dyDescent="0.25">
      <c r="B33" t="s">
        <v>54</v>
      </c>
      <c r="C33" t="s">
        <v>78</v>
      </c>
    </row>
    <row r="34" spans="2:3" x14ac:dyDescent="0.25">
      <c r="B34" t="s">
        <v>79</v>
      </c>
      <c r="C34" t="s">
        <v>55</v>
      </c>
    </row>
    <row r="35" spans="2:3" x14ac:dyDescent="0.25">
      <c r="B35" t="s">
        <v>79</v>
      </c>
      <c r="C35" t="s">
        <v>56</v>
      </c>
    </row>
    <row r="36" spans="2:3" x14ac:dyDescent="0.25">
      <c r="B36" t="s">
        <v>79</v>
      </c>
      <c r="C36" t="s">
        <v>57</v>
      </c>
    </row>
    <row r="37" spans="2:3" x14ac:dyDescent="0.25">
      <c r="B37" t="s">
        <v>79</v>
      </c>
      <c r="C37" t="s">
        <v>58</v>
      </c>
    </row>
    <row r="38" spans="2:3" x14ac:dyDescent="0.25">
      <c r="B38" t="s">
        <v>79</v>
      </c>
      <c r="C38" t="s">
        <v>59</v>
      </c>
    </row>
    <row r="39" spans="2:3" x14ac:dyDescent="0.25">
      <c r="B39" t="s">
        <v>79</v>
      </c>
      <c r="C39" t="s">
        <v>60</v>
      </c>
    </row>
    <row r="40" spans="2:3" x14ac:dyDescent="0.25">
      <c r="B40" t="s">
        <v>79</v>
      </c>
      <c r="C40" t="s">
        <v>61</v>
      </c>
    </row>
    <row r="41" spans="2:3" x14ac:dyDescent="0.25">
      <c r="B41" t="s">
        <v>79</v>
      </c>
      <c r="C41" t="s">
        <v>62</v>
      </c>
    </row>
    <row r="42" spans="2:3" x14ac:dyDescent="0.25">
      <c r="B42" t="s">
        <v>79</v>
      </c>
      <c r="C42" t="s">
        <v>63</v>
      </c>
    </row>
    <row r="43" spans="2:3" x14ac:dyDescent="0.25">
      <c r="B43" t="s">
        <v>79</v>
      </c>
      <c r="C43" t="s">
        <v>64</v>
      </c>
    </row>
    <row r="44" spans="2:3" x14ac:dyDescent="0.25">
      <c r="B44" t="s">
        <v>79</v>
      </c>
      <c r="C44" t="s">
        <v>65</v>
      </c>
    </row>
    <row r="45" spans="2:3" x14ac:dyDescent="0.25">
      <c r="B45" t="s">
        <v>79</v>
      </c>
      <c r="C45" t="s">
        <v>66</v>
      </c>
    </row>
    <row r="46" spans="2:3" x14ac:dyDescent="0.25">
      <c r="B46" t="s">
        <v>79</v>
      </c>
      <c r="C46" t="s">
        <v>67</v>
      </c>
    </row>
    <row r="47" spans="2:3" x14ac:dyDescent="0.25">
      <c r="B47" t="s">
        <v>79</v>
      </c>
      <c r="C47" t="s">
        <v>68</v>
      </c>
    </row>
    <row r="48" spans="2:3" x14ac:dyDescent="0.25">
      <c r="B48" t="s">
        <v>79</v>
      </c>
      <c r="C48" t="s">
        <v>69</v>
      </c>
    </row>
    <row r="49" spans="2:3" x14ac:dyDescent="0.25">
      <c r="B49" t="s">
        <v>79</v>
      </c>
      <c r="C49" t="s">
        <v>70</v>
      </c>
    </row>
    <row r="50" spans="2:3" x14ac:dyDescent="0.25">
      <c r="B50" t="s">
        <v>79</v>
      </c>
      <c r="C50" t="s">
        <v>71</v>
      </c>
    </row>
    <row r="51" spans="2:3" x14ac:dyDescent="0.25">
      <c r="B51" t="s">
        <v>79</v>
      </c>
      <c r="C51" t="s">
        <v>72</v>
      </c>
    </row>
    <row r="52" spans="2:3" x14ac:dyDescent="0.25">
      <c r="B52" t="s">
        <v>79</v>
      </c>
      <c r="C52" t="s">
        <v>73</v>
      </c>
    </row>
    <row r="53" spans="2:3" x14ac:dyDescent="0.25">
      <c r="B53" t="s">
        <v>79</v>
      </c>
      <c r="C53" t="s">
        <v>74</v>
      </c>
    </row>
    <row r="54" spans="2:3" x14ac:dyDescent="0.25">
      <c r="B54" t="s">
        <v>79</v>
      </c>
      <c r="C54" t="s">
        <v>75</v>
      </c>
    </row>
    <row r="55" spans="2:3" x14ac:dyDescent="0.25">
      <c r="B55" t="s">
        <v>79</v>
      </c>
      <c r="C55" t="s">
        <v>76</v>
      </c>
    </row>
    <row r="56" spans="2:3" x14ac:dyDescent="0.25">
      <c r="B56" t="s">
        <v>79</v>
      </c>
      <c r="C56" t="s">
        <v>77</v>
      </c>
    </row>
    <row r="57" spans="2:3" x14ac:dyDescent="0.25">
      <c r="B57" t="s">
        <v>79</v>
      </c>
      <c r="C57" t="s">
        <v>78</v>
      </c>
    </row>
    <row r="58" spans="2:3" x14ac:dyDescent="0.25">
      <c r="B58" t="s">
        <v>80</v>
      </c>
      <c r="C58" t="s">
        <v>55</v>
      </c>
    </row>
    <row r="59" spans="2:3" x14ac:dyDescent="0.25">
      <c r="B59" t="s">
        <v>80</v>
      </c>
      <c r="C59" t="s">
        <v>56</v>
      </c>
    </row>
    <row r="60" spans="2:3" x14ac:dyDescent="0.25">
      <c r="B60" t="s">
        <v>80</v>
      </c>
      <c r="C60" t="s">
        <v>57</v>
      </c>
    </row>
    <row r="61" spans="2:3" x14ac:dyDescent="0.25">
      <c r="B61" t="s">
        <v>80</v>
      </c>
      <c r="C61" t="s">
        <v>58</v>
      </c>
    </row>
    <row r="62" spans="2:3" x14ac:dyDescent="0.25">
      <c r="B62" t="s">
        <v>80</v>
      </c>
      <c r="C62" t="s">
        <v>59</v>
      </c>
    </row>
    <row r="63" spans="2:3" x14ac:dyDescent="0.25">
      <c r="B63" t="s">
        <v>80</v>
      </c>
      <c r="C63" t="s">
        <v>60</v>
      </c>
    </row>
    <row r="64" spans="2:3" x14ac:dyDescent="0.25">
      <c r="B64" t="s">
        <v>80</v>
      </c>
      <c r="C64" t="s">
        <v>61</v>
      </c>
    </row>
    <row r="65" spans="2:3" x14ac:dyDescent="0.25">
      <c r="B65" t="s">
        <v>80</v>
      </c>
      <c r="C65" t="s">
        <v>62</v>
      </c>
    </row>
    <row r="66" spans="2:3" x14ac:dyDescent="0.25">
      <c r="B66" t="s">
        <v>80</v>
      </c>
      <c r="C66" t="s">
        <v>63</v>
      </c>
    </row>
    <row r="67" spans="2:3" x14ac:dyDescent="0.25">
      <c r="B67" t="s">
        <v>80</v>
      </c>
      <c r="C67" t="s">
        <v>64</v>
      </c>
    </row>
    <row r="68" spans="2:3" x14ac:dyDescent="0.25">
      <c r="B68" t="s">
        <v>80</v>
      </c>
      <c r="C68" t="s">
        <v>65</v>
      </c>
    </row>
    <row r="69" spans="2:3" x14ac:dyDescent="0.25">
      <c r="B69" t="s">
        <v>80</v>
      </c>
      <c r="C69" t="s">
        <v>66</v>
      </c>
    </row>
    <row r="70" spans="2:3" x14ac:dyDescent="0.25">
      <c r="B70" t="s">
        <v>80</v>
      </c>
      <c r="C70" t="s">
        <v>67</v>
      </c>
    </row>
    <row r="71" spans="2:3" x14ac:dyDescent="0.25">
      <c r="B71" t="s">
        <v>80</v>
      </c>
      <c r="C71" t="s">
        <v>68</v>
      </c>
    </row>
    <row r="72" spans="2:3" x14ac:dyDescent="0.25">
      <c r="B72" t="s">
        <v>80</v>
      </c>
      <c r="C72" t="s">
        <v>69</v>
      </c>
    </row>
    <row r="73" spans="2:3" x14ac:dyDescent="0.25">
      <c r="B73" t="s">
        <v>80</v>
      </c>
      <c r="C73" t="s">
        <v>70</v>
      </c>
    </row>
    <row r="74" spans="2:3" x14ac:dyDescent="0.25">
      <c r="B74" t="s">
        <v>80</v>
      </c>
      <c r="C74" t="s">
        <v>71</v>
      </c>
    </row>
    <row r="75" spans="2:3" x14ac:dyDescent="0.25">
      <c r="B75" t="s">
        <v>80</v>
      </c>
      <c r="C75" t="s">
        <v>72</v>
      </c>
    </row>
    <row r="76" spans="2:3" x14ac:dyDescent="0.25">
      <c r="B76" t="s">
        <v>80</v>
      </c>
      <c r="C76" t="s">
        <v>73</v>
      </c>
    </row>
    <row r="77" spans="2:3" x14ac:dyDescent="0.25">
      <c r="B77" t="s">
        <v>80</v>
      </c>
      <c r="C77" t="s">
        <v>74</v>
      </c>
    </row>
    <row r="78" spans="2:3" x14ac:dyDescent="0.25">
      <c r="B78" t="s">
        <v>80</v>
      </c>
      <c r="C78" t="s">
        <v>75</v>
      </c>
    </row>
    <row r="79" spans="2:3" x14ac:dyDescent="0.25">
      <c r="B79" t="s">
        <v>80</v>
      </c>
      <c r="C79" t="s">
        <v>76</v>
      </c>
    </row>
    <row r="80" spans="2:3" x14ac:dyDescent="0.25">
      <c r="B80" t="s">
        <v>80</v>
      </c>
      <c r="C80" t="s">
        <v>77</v>
      </c>
    </row>
    <row r="81" spans="2:3" x14ac:dyDescent="0.25">
      <c r="B81" t="s">
        <v>80</v>
      </c>
      <c r="C81" t="s">
        <v>78</v>
      </c>
    </row>
    <row r="82" spans="2:3" x14ac:dyDescent="0.25">
      <c r="B82" t="s">
        <v>81</v>
      </c>
      <c r="C82" t="s">
        <v>55</v>
      </c>
    </row>
    <row r="83" spans="2:3" x14ac:dyDescent="0.25">
      <c r="B83" t="s">
        <v>81</v>
      </c>
      <c r="C83" t="s">
        <v>56</v>
      </c>
    </row>
    <row r="84" spans="2:3" x14ac:dyDescent="0.25">
      <c r="B84" t="s">
        <v>81</v>
      </c>
      <c r="C84" t="s">
        <v>57</v>
      </c>
    </row>
    <row r="85" spans="2:3" x14ac:dyDescent="0.25">
      <c r="B85" t="s">
        <v>81</v>
      </c>
      <c r="C85" t="s">
        <v>58</v>
      </c>
    </row>
    <row r="86" spans="2:3" x14ac:dyDescent="0.25">
      <c r="B86" t="s">
        <v>81</v>
      </c>
      <c r="C86" t="s">
        <v>59</v>
      </c>
    </row>
    <row r="87" spans="2:3" x14ac:dyDescent="0.25">
      <c r="B87" t="s">
        <v>81</v>
      </c>
      <c r="C87" t="s">
        <v>60</v>
      </c>
    </row>
    <row r="88" spans="2:3" x14ac:dyDescent="0.25">
      <c r="B88" t="s">
        <v>81</v>
      </c>
      <c r="C88" t="s">
        <v>61</v>
      </c>
    </row>
    <row r="89" spans="2:3" x14ac:dyDescent="0.25">
      <c r="B89" t="s">
        <v>81</v>
      </c>
      <c r="C89" t="s">
        <v>62</v>
      </c>
    </row>
    <row r="90" spans="2:3" x14ac:dyDescent="0.25">
      <c r="B90" t="s">
        <v>81</v>
      </c>
      <c r="C90" t="s">
        <v>63</v>
      </c>
    </row>
    <row r="91" spans="2:3" x14ac:dyDescent="0.25">
      <c r="B91" t="s">
        <v>81</v>
      </c>
      <c r="C91" t="s">
        <v>64</v>
      </c>
    </row>
    <row r="92" spans="2:3" x14ac:dyDescent="0.25">
      <c r="B92" t="s">
        <v>81</v>
      </c>
      <c r="C92" t="s">
        <v>65</v>
      </c>
    </row>
    <row r="93" spans="2:3" x14ac:dyDescent="0.25">
      <c r="B93" t="s">
        <v>81</v>
      </c>
      <c r="C93" t="s">
        <v>66</v>
      </c>
    </row>
    <row r="94" spans="2:3" x14ac:dyDescent="0.25">
      <c r="B94" t="s">
        <v>81</v>
      </c>
      <c r="C94" t="s">
        <v>67</v>
      </c>
    </row>
    <row r="95" spans="2:3" x14ac:dyDescent="0.25">
      <c r="B95" t="s">
        <v>81</v>
      </c>
      <c r="C95" t="s">
        <v>68</v>
      </c>
    </row>
    <row r="96" spans="2:3" x14ac:dyDescent="0.25">
      <c r="B96" t="s">
        <v>81</v>
      </c>
      <c r="C96" t="s">
        <v>69</v>
      </c>
    </row>
    <row r="97" spans="2:3" x14ac:dyDescent="0.25">
      <c r="B97" t="s">
        <v>81</v>
      </c>
      <c r="C97" t="s">
        <v>70</v>
      </c>
    </row>
    <row r="98" spans="2:3" x14ac:dyDescent="0.25">
      <c r="B98" t="s">
        <v>81</v>
      </c>
      <c r="C98" t="s">
        <v>71</v>
      </c>
    </row>
    <row r="99" spans="2:3" x14ac:dyDescent="0.25">
      <c r="B99" t="s">
        <v>81</v>
      </c>
      <c r="C99" t="s">
        <v>72</v>
      </c>
    </row>
    <row r="100" spans="2:3" x14ac:dyDescent="0.25">
      <c r="B100" t="s">
        <v>81</v>
      </c>
      <c r="C100" t="s">
        <v>73</v>
      </c>
    </row>
    <row r="101" spans="2:3" x14ac:dyDescent="0.25">
      <c r="B101" t="s">
        <v>81</v>
      </c>
      <c r="C101" t="s">
        <v>74</v>
      </c>
    </row>
    <row r="102" spans="2:3" x14ac:dyDescent="0.25">
      <c r="B102" t="s">
        <v>81</v>
      </c>
      <c r="C102" t="s">
        <v>75</v>
      </c>
    </row>
    <row r="103" spans="2:3" x14ac:dyDescent="0.25">
      <c r="B103" t="s">
        <v>81</v>
      </c>
      <c r="C103" t="s">
        <v>76</v>
      </c>
    </row>
    <row r="104" spans="2:3" x14ac:dyDescent="0.25">
      <c r="B104" t="s">
        <v>81</v>
      </c>
      <c r="C104" t="s">
        <v>77</v>
      </c>
    </row>
    <row r="105" spans="2:3" x14ac:dyDescent="0.25">
      <c r="B105" t="s">
        <v>81</v>
      </c>
      <c r="C105" t="s">
        <v>78</v>
      </c>
    </row>
    <row r="106" spans="2:3" x14ac:dyDescent="0.25">
      <c r="B106" t="s">
        <v>82</v>
      </c>
      <c r="C106" t="s">
        <v>55</v>
      </c>
    </row>
    <row r="107" spans="2:3" x14ac:dyDescent="0.25">
      <c r="B107" t="s">
        <v>82</v>
      </c>
      <c r="C107" t="s">
        <v>56</v>
      </c>
    </row>
    <row r="108" spans="2:3" x14ac:dyDescent="0.25">
      <c r="B108" t="s">
        <v>82</v>
      </c>
      <c r="C108" t="s">
        <v>57</v>
      </c>
    </row>
    <row r="109" spans="2:3" x14ac:dyDescent="0.25">
      <c r="B109" t="s">
        <v>82</v>
      </c>
      <c r="C109" t="s">
        <v>58</v>
      </c>
    </row>
    <row r="110" spans="2:3" x14ac:dyDescent="0.25">
      <c r="B110" t="s">
        <v>82</v>
      </c>
      <c r="C110" t="s">
        <v>59</v>
      </c>
    </row>
    <row r="111" spans="2:3" x14ac:dyDescent="0.25">
      <c r="B111" t="s">
        <v>82</v>
      </c>
      <c r="C111" t="s">
        <v>60</v>
      </c>
    </row>
    <row r="112" spans="2:3" x14ac:dyDescent="0.25">
      <c r="B112" t="s">
        <v>82</v>
      </c>
      <c r="C112" t="s">
        <v>61</v>
      </c>
    </row>
    <row r="113" spans="2:3" x14ac:dyDescent="0.25">
      <c r="B113" t="s">
        <v>82</v>
      </c>
      <c r="C113" t="s">
        <v>62</v>
      </c>
    </row>
    <row r="114" spans="2:3" x14ac:dyDescent="0.25">
      <c r="B114" t="s">
        <v>82</v>
      </c>
      <c r="C114" t="s">
        <v>63</v>
      </c>
    </row>
    <row r="115" spans="2:3" x14ac:dyDescent="0.25">
      <c r="B115" t="s">
        <v>82</v>
      </c>
      <c r="C115" t="s">
        <v>64</v>
      </c>
    </row>
    <row r="116" spans="2:3" x14ac:dyDescent="0.25">
      <c r="B116" t="s">
        <v>82</v>
      </c>
      <c r="C116" t="s">
        <v>65</v>
      </c>
    </row>
    <row r="117" spans="2:3" x14ac:dyDescent="0.25">
      <c r="B117" t="s">
        <v>82</v>
      </c>
      <c r="C117" t="s">
        <v>66</v>
      </c>
    </row>
    <row r="118" spans="2:3" x14ac:dyDescent="0.25">
      <c r="B118" t="s">
        <v>82</v>
      </c>
      <c r="C118" t="s">
        <v>67</v>
      </c>
    </row>
    <row r="119" spans="2:3" x14ac:dyDescent="0.25">
      <c r="B119" t="s">
        <v>82</v>
      </c>
      <c r="C119" t="s">
        <v>68</v>
      </c>
    </row>
    <row r="120" spans="2:3" x14ac:dyDescent="0.25">
      <c r="B120" t="s">
        <v>82</v>
      </c>
      <c r="C120" t="s">
        <v>69</v>
      </c>
    </row>
    <row r="121" spans="2:3" x14ac:dyDescent="0.25">
      <c r="B121" t="s">
        <v>82</v>
      </c>
      <c r="C121" t="s">
        <v>70</v>
      </c>
    </row>
    <row r="122" spans="2:3" x14ac:dyDescent="0.25">
      <c r="B122" t="s">
        <v>82</v>
      </c>
      <c r="C122" t="s">
        <v>71</v>
      </c>
    </row>
    <row r="123" spans="2:3" x14ac:dyDescent="0.25">
      <c r="B123" t="s">
        <v>82</v>
      </c>
      <c r="C123" t="s">
        <v>72</v>
      </c>
    </row>
    <row r="124" spans="2:3" x14ac:dyDescent="0.25">
      <c r="B124" t="s">
        <v>82</v>
      </c>
      <c r="C124" t="s">
        <v>73</v>
      </c>
    </row>
    <row r="125" spans="2:3" x14ac:dyDescent="0.25">
      <c r="B125" t="s">
        <v>82</v>
      </c>
      <c r="C125" t="s">
        <v>74</v>
      </c>
    </row>
    <row r="126" spans="2:3" x14ac:dyDescent="0.25">
      <c r="B126" t="s">
        <v>82</v>
      </c>
      <c r="C126" t="s">
        <v>75</v>
      </c>
    </row>
    <row r="127" spans="2:3" x14ac:dyDescent="0.25">
      <c r="B127" t="s">
        <v>82</v>
      </c>
      <c r="C127" t="s">
        <v>76</v>
      </c>
    </row>
    <row r="128" spans="2:3" x14ac:dyDescent="0.25">
      <c r="B128" t="s">
        <v>82</v>
      </c>
      <c r="C128" t="s">
        <v>77</v>
      </c>
    </row>
    <row r="129" spans="2:3" x14ac:dyDescent="0.25">
      <c r="B129" t="s">
        <v>82</v>
      </c>
      <c r="C129" t="s">
        <v>78</v>
      </c>
    </row>
    <row r="130" spans="2:3" x14ac:dyDescent="0.25">
      <c r="B130" t="s">
        <v>83</v>
      </c>
      <c r="C130" t="s">
        <v>88</v>
      </c>
    </row>
    <row r="131" spans="2:3" x14ac:dyDescent="0.25">
      <c r="B131" t="s">
        <v>83</v>
      </c>
      <c r="C131" t="s">
        <v>88</v>
      </c>
    </row>
    <row r="132" spans="2:3" x14ac:dyDescent="0.25">
      <c r="B132" t="s">
        <v>83</v>
      </c>
      <c r="C132" t="s">
        <v>88</v>
      </c>
    </row>
    <row r="133" spans="2:3" x14ac:dyDescent="0.25">
      <c r="B133" t="s">
        <v>83</v>
      </c>
      <c r="C133" t="s">
        <v>88</v>
      </c>
    </row>
    <row r="134" spans="2:3" x14ac:dyDescent="0.25">
      <c r="B134" t="s">
        <v>83</v>
      </c>
      <c r="C134" t="s">
        <v>88</v>
      </c>
    </row>
    <row r="135" spans="2:3" x14ac:dyDescent="0.25">
      <c r="B135" t="s">
        <v>83</v>
      </c>
      <c r="C135" t="s">
        <v>88</v>
      </c>
    </row>
    <row r="136" spans="2:3" x14ac:dyDescent="0.25">
      <c r="B136" t="s">
        <v>83</v>
      </c>
      <c r="C136" t="s">
        <v>88</v>
      </c>
    </row>
    <row r="137" spans="2:3" x14ac:dyDescent="0.25">
      <c r="B137" t="s">
        <v>83</v>
      </c>
      <c r="C137" t="s">
        <v>88</v>
      </c>
    </row>
    <row r="138" spans="2:3" x14ac:dyDescent="0.25">
      <c r="B138" t="s">
        <v>83</v>
      </c>
      <c r="C138" t="s">
        <v>88</v>
      </c>
    </row>
    <row r="139" spans="2:3" x14ac:dyDescent="0.25">
      <c r="B139" t="s">
        <v>83</v>
      </c>
      <c r="C139" t="s">
        <v>88</v>
      </c>
    </row>
    <row r="140" spans="2:3" x14ac:dyDescent="0.25">
      <c r="B140" t="s">
        <v>83</v>
      </c>
      <c r="C140" t="s">
        <v>88</v>
      </c>
    </row>
    <row r="141" spans="2:3" x14ac:dyDescent="0.25">
      <c r="B141" t="s">
        <v>83</v>
      </c>
      <c r="C141" t="s">
        <v>88</v>
      </c>
    </row>
    <row r="142" spans="2:3" x14ac:dyDescent="0.25">
      <c r="B142" t="s">
        <v>83</v>
      </c>
      <c r="C142" t="s">
        <v>88</v>
      </c>
    </row>
    <row r="143" spans="2:3" x14ac:dyDescent="0.25">
      <c r="B143" t="s">
        <v>83</v>
      </c>
      <c r="C143" t="s">
        <v>88</v>
      </c>
    </row>
    <row r="144" spans="2:3" x14ac:dyDescent="0.25">
      <c r="B144" t="s">
        <v>83</v>
      </c>
      <c r="C144" t="s">
        <v>88</v>
      </c>
    </row>
    <row r="145" spans="2:3" x14ac:dyDescent="0.25">
      <c r="B145" t="s">
        <v>83</v>
      </c>
      <c r="C145" t="s">
        <v>88</v>
      </c>
    </row>
    <row r="146" spans="2:3" x14ac:dyDescent="0.25">
      <c r="B146" t="s">
        <v>83</v>
      </c>
      <c r="C146" t="s">
        <v>88</v>
      </c>
    </row>
    <row r="147" spans="2:3" x14ac:dyDescent="0.25">
      <c r="B147" t="s">
        <v>83</v>
      </c>
      <c r="C147" t="s">
        <v>88</v>
      </c>
    </row>
    <row r="148" spans="2:3" x14ac:dyDescent="0.25">
      <c r="B148" t="s">
        <v>83</v>
      </c>
      <c r="C148" t="s">
        <v>88</v>
      </c>
    </row>
    <row r="149" spans="2:3" x14ac:dyDescent="0.25">
      <c r="B149" t="s">
        <v>83</v>
      </c>
      <c r="C149" t="s">
        <v>88</v>
      </c>
    </row>
    <row r="150" spans="2:3" x14ac:dyDescent="0.25">
      <c r="B150" t="s">
        <v>83</v>
      </c>
      <c r="C150" t="s">
        <v>88</v>
      </c>
    </row>
    <row r="151" spans="2:3" x14ac:dyDescent="0.25">
      <c r="B151" t="s">
        <v>83</v>
      </c>
      <c r="C151" t="s">
        <v>88</v>
      </c>
    </row>
    <row r="152" spans="2:3" x14ac:dyDescent="0.25">
      <c r="B152" t="s">
        <v>83</v>
      </c>
      <c r="C152" t="s">
        <v>88</v>
      </c>
    </row>
    <row r="153" spans="2:3" x14ac:dyDescent="0.25">
      <c r="B153" t="s">
        <v>83</v>
      </c>
      <c r="C153" t="s">
        <v>88</v>
      </c>
    </row>
    <row r="154" spans="2:3" x14ac:dyDescent="0.25">
      <c r="B154" t="s">
        <v>84</v>
      </c>
      <c r="C154" t="s">
        <v>88</v>
      </c>
    </row>
    <row r="155" spans="2:3" x14ac:dyDescent="0.25">
      <c r="B155" t="s">
        <v>84</v>
      </c>
      <c r="C155" t="s">
        <v>88</v>
      </c>
    </row>
    <row r="156" spans="2:3" x14ac:dyDescent="0.25">
      <c r="B156" t="s">
        <v>84</v>
      </c>
      <c r="C156" t="s">
        <v>88</v>
      </c>
    </row>
    <row r="157" spans="2:3" x14ac:dyDescent="0.25">
      <c r="B157" t="s">
        <v>84</v>
      </c>
      <c r="C157" t="s">
        <v>88</v>
      </c>
    </row>
    <row r="158" spans="2:3" x14ac:dyDescent="0.25">
      <c r="B158" t="s">
        <v>84</v>
      </c>
      <c r="C158" t="s">
        <v>88</v>
      </c>
    </row>
    <row r="159" spans="2:3" x14ac:dyDescent="0.25">
      <c r="B159" t="s">
        <v>84</v>
      </c>
      <c r="C159" t="s">
        <v>88</v>
      </c>
    </row>
    <row r="160" spans="2:3" x14ac:dyDescent="0.25">
      <c r="B160" t="s">
        <v>84</v>
      </c>
      <c r="C160" t="s">
        <v>88</v>
      </c>
    </row>
    <row r="161" spans="2:3" x14ac:dyDescent="0.25">
      <c r="B161" t="s">
        <v>84</v>
      </c>
      <c r="C161" t="s">
        <v>88</v>
      </c>
    </row>
    <row r="162" spans="2:3" x14ac:dyDescent="0.25">
      <c r="B162" t="s">
        <v>84</v>
      </c>
      <c r="C162" t="s">
        <v>88</v>
      </c>
    </row>
    <row r="163" spans="2:3" x14ac:dyDescent="0.25">
      <c r="B163" t="s">
        <v>84</v>
      </c>
      <c r="C163" t="s">
        <v>88</v>
      </c>
    </row>
    <row r="164" spans="2:3" x14ac:dyDescent="0.25">
      <c r="B164" t="s">
        <v>84</v>
      </c>
      <c r="C164" t="s">
        <v>88</v>
      </c>
    </row>
    <row r="165" spans="2:3" x14ac:dyDescent="0.25">
      <c r="B165" t="s">
        <v>84</v>
      </c>
      <c r="C165" t="s">
        <v>88</v>
      </c>
    </row>
    <row r="166" spans="2:3" x14ac:dyDescent="0.25">
      <c r="B166" t="s">
        <v>84</v>
      </c>
      <c r="C166" t="s">
        <v>88</v>
      </c>
    </row>
    <row r="167" spans="2:3" x14ac:dyDescent="0.25">
      <c r="B167" t="s">
        <v>84</v>
      </c>
      <c r="C167" t="s">
        <v>88</v>
      </c>
    </row>
    <row r="168" spans="2:3" x14ac:dyDescent="0.25">
      <c r="B168" t="s">
        <v>84</v>
      </c>
      <c r="C168" t="s">
        <v>88</v>
      </c>
    </row>
    <row r="169" spans="2:3" x14ac:dyDescent="0.25">
      <c r="B169" t="s">
        <v>84</v>
      </c>
      <c r="C169" t="s">
        <v>88</v>
      </c>
    </row>
    <row r="170" spans="2:3" x14ac:dyDescent="0.25">
      <c r="B170" t="s">
        <v>84</v>
      </c>
      <c r="C170" t="s">
        <v>88</v>
      </c>
    </row>
    <row r="171" spans="2:3" x14ac:dyDescent="0.25">
      <c r="B171" t="s">
        <v>84</v>
      </c>
      <c r="C171" t="s">
        <v>88</v>
      </c>
    </row>
    <row r="172" spans="2:3" x14ac:dyDescent="0.25">
      <c r="B172" t="s">
        <v>84</v>
      </c>
      <c r="C172" t="s">
        <v>88</v>
      </c>
    </row>
    <row r="173" spans="2:3" x14ac:dyDescent="0.25">
      <c r="B173" t="s">
        <v>84</v>
      </c>
      <c r="C173" t="s">
        <v>88</v>
      </c>
    </row>
    <row r="174" spans="2:3" x14ac:dyDescent="0.25">
      <c r="B174" t="s">
        <v>84</v>
      </c>
      <c r="C174" t="s">
        <v>88</v>
      </c>
    </row>
    <row r="175" spans="2:3" x14ac:dyDescent="0.25">
      <c r="B175" t="s">
        <v>84</v>
      </c>
      <c r="C175" t="s">
        <v>88</v>
      </c>
    </row>
    <row r="176" spans="2:3" x14ac:dyDescent="0.25">
      <c r="B176" t="s">
        <v>84</v>
      </c>
      <c r="C176" t="s">
        <v>88</v>
      </c>
    </row>
    <row r="177" spans="2:3" x14ac:dyDescent="0.25">
      <c r="B177" t="s">
        <v>84</v>
      </c>
      <c r="C177" t="s">
        <v>88</v>
      </c>
    </row>
    <row r="178" spans="2:3" x14ac:dyDescent="0.25">
      <c r="B178" t="s">
        <v>85</v>
      </c>
      <c r="C178" t="s">
        <v>88</v>
      </c>
    </row>
    <row r="179" spans="2:3" x14ac:dyDescent="0.25">
      <c r="B179" t="s">
        <v>85</v>
      </c>
      <c r="C179" t="s">
        <v>88</v>
      </c>
    </row>
    <row r="180" spans="2:3" x14ac:dyDescent="0.25">
      <c r="B180" t="s">
        <v>85</v>
      </c>
      <c r="C180" t="s">
        <v>88</v>
      </c>
    </row>
    <row r="181" spans="2:3" x14ac:dyDescent="0.25">
      <c r="B181" t="s">
        <v>85</v>
      </c>
      <c r="C181" t="s">
        <v>88</v>
      </c>
    </row>
    <row r="182" spans="2:3" x14ac:dyDescent="0.25">
      <c r="B182" t="s">
        <v>85</v>
      </c>
      <c r="C182" t="s">
        <v>88</v>
      </c>
    </row>
    <row r="183" spans="2:3" x14ac:dyDescent="0.25">
      <c r="B183" t="s">
        <v>85</v>
      </c>
      <c r="C183" t="s">
        <v>88</v>
      </c>
    </row>
    <row r="184" spans="2:3" x14ac:dyDescent="0.25">
      <c r="B184" t="s">
        <v>85</v>
      </c>
      <c r="C184" t="s">
        <v>88</v>
      </c>
    </row>
    <row r="185" spans="2:3" x14ac:dyDescent="0.25">
      <c r="B185" t="s">
        <v>85</v>
      </c>
      <c r="C185" t="s">
        <v>88</v>
      </c>
    </row>
    <row r="186" spans="2:3" x14ac:dyDescent="0.25">
      <c r="B186" t="s">
        <v>85</v>
      </c>
      <c r="C186" t="s">
        <v>88</v>
      </c>
    </row>
    <row r="187" spans="2:3" x14ac:dyDescent="0.25">
      <c r="B187" t="s">
        <v>85</v>
      </c>
      <c r="C187" t="s">
        <v>88</v>
      </c>
    </row>
    <row r="188" spans="2:3" x14ac:dyDescent="0.25">
      <c r="B188" t="s">
        <v>85</v>
      </c>
      <c r="C188" t="s">
        <v>88</v>
      </c>
    </row>
    <row r="189" spans="2:3" x14ac:dyDescent="0.25">
      <c r="B189" t="s">
        <v>85</v>
      </c>
      <c r="C189" t="s">
        <v>88</v>
      </c>
    </row>
    <row r="190" spans="2:3" x14ac:dyDescent="0.25">
      <c r="B190" t="s">
        <v>85</v>
      </c>
      <c r="C190" t="s">
        <v>88</v>
      </c>
    </row>
    <row r="191" spans="2:3" x14ac:dyDescent="0.25">
      <c r="B191" t="s">
        <v>85</v>
      </c>
      <c r="C191" t="s">
        <v>88</v>
      </c>
    </row>
    <row r="192" spans="2:3" x14ac:dyDescent="0.25">
      <c r="B192" t="s">
        <v>85</v>
      </c>
      <c r="C192" t="s">
        <v>88</v>
      </c>
    </row>
    <row r="193" spans="2:3" x14ac:dyDescent="0.25">
      <c r="B193" t="s">
        <v>85</v>
      </c>
      <c r="C193" t="s">
        <v>88</v>
      </c>
    </row>
    <row r="194" spans="2:3" x14ac:dyDescent="0.25">
      <c r="B194" t="s">
        <v>85</v>
      </c>
      <c r="C194" t="s">
        <v>88</v>
      </c>
    </row>
    <row r="195" spans="2:3" x14ac:dyDescent="0.25">
      <c r="B195" t="s">
        <v>85</v>
      </c>
      <c r="C195" t="s">
        <v>88</v>
      </c>
    </row>
    <row r="196" spans="2:3" x14ac:dyDescent="0.25">
      <c r="B196" t="s">
        <v>85</v>
      </c>
      <c r="C196" t="s">
        <v>88</v>
      </c>
    </row>
    <row r="197" spans="2:3" x14ac:dyDescent="0.25">
      <c r="B197" t="s">
        <v>85</v>
      </c>
      <c r="C197" t="s">
        <v>88</v>
      </c>
    </row>
    <row r="198" spans="2:3" x14ac:dyDescent="0.25">
      <c r="B198" t="s">
        <v>85</v>
      </c>
      <c r="C198" t="s">
        <v>88</v>
      </c>
    </row>
    <row r="199" spans="2:3" x14ac:dyDescent="0.25">
      <c r="B199" t="s">
        <v>85</v>
      </c>
      <c r="C199" t="s">
        <v>88</v>
      </c>
    </row>
    <row r="200" spans="2:3" x14ac:dyDescent="0.25">
      <c r="B200" t="s">
        <v>85</v>
      </c>
      <c r="C200" t="s">
        <v>88</v>
      </c>
    </row>
    <row r="201" spans="2:3" x14ac:dyDescent="0.25">
      <c r="B201" t="s">
        <v>85</v>
      </c>
      <c r="C201" t="s">
        <v>88</v>
      </c>
    </row>
    <row r="202" spans="2:3" x14ac:dyDescent="0.25">
      <c r="B202" t="s">
        <v>86</v>
      </c>
      <c r="C202" t="s">
        <v>88</v>
      </c>
    </row>
    <row r="203" spans="2:3" x14ac:dyDescent="0.25">
      <c r="B203" t="s">
        <v>86</v>
      </c>
      <c r="C203" t="s">
        <v>88</v>
      </c>
    </row>
    <row r="204" spans="2:3" x14ac:dyDescent="0.25">
      <c r="B204" t="s">
        <v>86</v>
      </c>
      <c r="C204" t="s">
        <v>88</v>
      </c>
    </row>
    <row r="205" spans="2:3" x14ac:dyDescent="0.25">
      <c r="B205" t="s">
        <v>86</v>
      </c>
      <c r="C205" t="s">
        <v>88</v>
      </c>
    </row>
    <row r="206" spans="2:3" x14ac:dyDescent="0.25">
      <c r="B206" t="s">
        <v>86</v>
      </c>
      <c r="C206" t="s">
        <v>88</v>
      </c>
    </row>
    <row r="207" spans="2:3" x14ac:dyDescent="0.25">
      <c r="B207" t="s">
        <v>86</v>
      </c>
      <c r="C207" t="s">
        <v>88</v>
      </c>
    </row>
    <row r="208" spans="2:3" x14ac:dyDescent="0.25">
      <c r="B208" t="s">
        <v>86</v>
      </c>
      <c r="C208" t="s">
        <v>88</v>
      </c>
    </row>
    <row r="209" spans="2:3" x14ac:dyDescent="0.25">
      <c r="B209" t="s">
        <v>86</v>
      </c>
      <c r="C209" t="s">
        <v>88</v>
      </c>
    </row>
    <row r="210" spans="2:3" x14ac:dyDescent="0.25">
      <c r="B210" t="s">
        <v>86</v>
      </c>
      <c r="C210" t="s">
        <v>88</v>
      </c>
    </row>
    <row r="211" spans="2:3" x14ac:dyDescent="0.25">
      <c r="B211" t="s">
        <v>86</v>
      </c>
      <c r="C211" t="s">
        <v>88</v>
      </c>
    </row>
    <row r="212" spans="2:3" x14ac:dyDescent="0.25">
      <c r="B212" t="s">
        <v>86</v>
      </c>
      <c r="C212" t="s">
        <v>88</v>
      </c>
    </row>
    <row r="213" spans="2:3" x14ac:dyDescent="0.25">
      <c r="B213" t="s">
        <v>86</v>
      </c>
      <c r="C213" t="s">
        <v>88</v>
      </c>
    </row>
    <row r="214" spans="2:3" x14ac:dyDescent="0.25">
      <c r="B214" t="s">
        <v>86</v>
      </c>
      <c r="C214" t="s">
        <v>88</v>
      </c>
    </row>
    <row r="215" spans="2:3" x14ac:dyDescent="0.25">
      <c r="B215" t="s">
        <v>86</v>
      </c>
      <c r="C215" t="s">
        <v>88</v>
      </c>
    </row>
    <row r="216" spans="2:3" x14ac:dyDescent="0.25">
      <c r="B216" t="s">
        <v>86</v>
      </c>
      <c r="C216" t="s">
        <v>88</v>
      </c>
    </row>
    <row r="217" spans="2:3" x14ac:dyDescent="0.25">
      <c r="B217" t="s">
        <v>86</v>
      </c>
      <c r="C217" t="s">
        <v>88</v>
      </c>
    </row>
    <row r="218" spans="2:3" x14ac:dyDescent="0.25">
      <c r="B218" t="s">
        <v>86</v>
      </c>
      <c r="C218" t="s">
        <v>88</v>
      </c>
    </row>
    <row r="219" spans="2:3" x14ac:dyDescent="0.25">
      <c r="B219" t="s">
        <v>86</v>
      </c>
      <c r="C219" t="s">
        <v>88</v>
      </c>
    </row>
    <row r="220" spans="2:3" x14ac:dyDescent="0.25">
      <c r="B220" t="s">
        <v>86</v>
      </c>
      <c r="C220" t="s">
        <v>88</v>
      </c>
    </row>
    <row r="221" spans="2:3" x14ac:dyDescent="0.25">
      <c r="B221" t="s">
        <v>86</v>
      </c>
      <c r="C221" t="s">
        <v>88</v>
      </c>
    </row>
    <row r="222" spans="2:3" x14ac:dyDescent="0.25">
      <c r="B222" t="s">
        <v>86</v>
      </c>
      <c r="C222" t="s">
        <v>88</v>
      </c>
    </row>
    <row r="223" spans="2:3" x14ac:dyDescent="0.25">
      <c r="B223" t="s">
        <v>86</v>
      </c>
      <c r="C223" t="s">
        <v>88</v>
      </c>
    </row>
    <row r="224" spans="2:3" x14ac:dyDescent="0.25">
      <c r="B224" t="s">
        <v>86</v>
      </c>
      <c r="C224" t="s">
        <v>88</v>
      </c>
    </row>
    <row r="225" spans="2:3" x14ac:dyDescent="0.25">
      <c r="B225" t="s">
        <v>86</v>
      </c>
      <c r="C225" t="s">
        <v>88</v>
      </c>
    </row>
    <row r="226" spans="2:3" x14ac:dyDescent="0.25">
      <c r="B226" t="s">
        <v>87</v>
      </c>
      <c r="C226" t="s">
        <v>88</v>
      </c>
    </row>
    <row r="227" spans="2:3" x14ac:dyDescent="0.25">
      <c r="B227" t="s">
        <v>87</v>
      </c>
      <c r="C227" t="s">
        <v>88</v>
      </c>
    </row>
    <row r="228" spans="2:3" x14ac:dyDescent="0.25">
      <c r="B228" t="s">
        <v>87</v>
      </c>
      <c r="C228" t="s">
        <v>88</v>
      </c>
    </row>
    <row r="229" spans="2:3" x14ac:dyDescent="0.25">
      <c r="B229" t="s">
        <v>87</v>
      </c>
      <c r="C229" t="s">
        <v>88</v>
      </c>
    </row>
    <row r="230" spans="2:3" x14ac:dyDescent="0.25">
      <c r="B230" t="s">
        <v>87</v>
      </c>
      <c r="C230" t="s">
        <v>88</v>
      </c>
    </row>
    <row r="231" spans="2:3" x14ac:dyDescent="0.25">
      <c r="B231" t="s">
        <v>87</v>
      </c>
      <c r="C231" t="s">
        <v>88</v>
      </c>
    </row>
    <row r="232" spans="2:3" x14ac:dyDescent="0.25">
      <c r="B232" t="s">
        <v>87</v>
      </c>
      <c r="C232" t="s">
        <v>88</v>
      </c>
    </row>
    <row r="233" spans="2:3" x14ac:dyDescent="0.25">
      <c r="B233" t="s">
        <v>87</v>
      </c>
      <c r="C233" t="s">
        <v>88</v>
      </c>
    </row>
    <row r="234" spans="2:3" x14ac:dyDescent="0.25">
      <c r="B234" t="s">
        <v>87</v>
      </c>
      <c r="C234" t="s">
        <v>88</v>
      </c>
    </row>
    <row r="235" spans="2:3" x14ac:dyDescent="0.25">
      <c r="B235" t="s">
        <v>87</v>
      </c>
      <c r="C235" t="s">
        <v>88</v>
      </c>
    </row>
    <row r="236" spans="2:3" x14ac:dyDescent="0.25">
      <c r="B236" t="s">
        <v>87</v>
      </c>
      <c r="C236" t="s">
        <v>88</v>
      </c>
    </row>
    <row r="237" spans="2:3" x14ac:dyDescent="0.25">
      <c r="B237" t="s">
        <v>87</v>
      </c>
      <c r="C237" t="s">
        <v>88</v>
      </c>
    </row>
    <row r="238" spans="2:3" x14ac:dyDescent="0.25">
      <c r="B238" t="s">
        <v>87</v>
      </c>
      <c r="C238" t="s">
        <v>88</v>
      </c>
    </row>
    <row r="239" spans="2:3" x14ac:dyDescent="0.25">
      <c r="B239" t="s">
        <v>87</v>
      </c>
      <c r="C239" t="s">
        <v>88</v>
      </c>
    </row>
    <row r="240" spans="2:3" x14ac:dyDescent="0.25">
      <c r="B240" t="s">
        <v>87</v>
      </c>
      <c r="C240" t="s">
        <v>88</v>
      </c>
    </row>
    <row r="241" spans="2:3" x14ac:dyDescent="0.25">
      <c r="B241" t="s">
        <v>87</v>
      </c>
      <c r="C241" t="s">
        <v>88</v>
      </c>
    </row>
    <row r="242" spans="2:3" x14ac:dyDescent="0.25">
      <c r="B242" t="s">
        <v>87</v>
      </c>
      <c r="C242" t="s">
        <v>88</v>
      </c>
    </row>
    <row r="243" spans="2:3" x14ac:dyDescent="0.25">
      <c r="B243" t="s">
        <v>87</v>
      </c>
      <c r="C243" t="s">
        <v>88</v>
      </c>
    </row>
    <row r="244" spans="2:3" x14ac:dyDescent="0.25">
      <c r="B244" t="s">
        <v>87</v>
      </c>
      <c r="C244" t="s">
        <v>88</v>
      </c>
    </row>
    <row r="245" spans="2:3" x14ac:dyDescent="0.25">
      <c r="B245" t="s">
        <v>87</v>
      </c>
      <c r="C245" t="s">
        <v>88</v>
      </c>
    </row>
    <row r="246" spans="2:3" x14ac:dyDescent="0.25">
      <c r="B246" t="s">
        <v>87</v>
      </c>
      <c r="C246" t="s">
        <v>88</v>
      </c>
    </row>
    <row r="247" spans="2:3" x14ac:dyDescent="0.25">
      <c r="B247" t="s">
        <v>87</v>
      </c>
      <c r="C247" t="s">
        <v>88</v>
      </c>
    </row>
    <row r="248" spans="2:3" x14ac:dyDescent="0.25">
      <c r="B248" t="s">
        <v>87</v>
      </c>
      <c r="C248" t="s">
        <v>88</v>
      </c>
    </row>
    <row r="249" spans="2:3" x14ac:dyDescent="0.25">
      <c r="B249" t="s">
        <v>87</v>
      </c>
      <c r="C249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H3"/>
  <sheetViews>
    <sheetView workbookViewId="0">
      <selection activeCell="F10" sqref="F10"/>
    </sheetView>
  </sheetViews>
  <sheetFormatPr defaultRowHeight="15" x14ac:dyDescent="0.25"/>
  <cols>
    <col min="1" max="1" width="17.425781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19.7109375" customWidth="1"/>
    <col min="7" max="8" width="18.5703125" bestFit="1" customWidth="1"/>
  </cols>
  <sheetData>
    <row r="1" spans="1:8" x14ac:dyDescent="0.25">
      <c r="A1" t="s">
        <v>53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s="13" t="s">
        <v>49</v>
      </c>
      <c r="H1" s="13" t="s">
        <v>51</v>
      </c>
    </row>
    <row r="2" spans="1:8" x14ac:dyDescent="0.25">
      <c r="A2">
        <v>2</v>
      </c>
      <c r="B2" t="s">
        <v>46</v>
      </c>
      <c r="C2" t="s">
        <v>47</v>
      </c>
      <c r="D2" s="4">
        <v>45292</v>
      </c>
      <c r="E2" s="4">
        <v>46388</v>
      </c>
      <c r="F2" t="s">
        <v>50</v>
      </c>
      <c r="G2" s="8" t="s">
        <v>46</v>
      </c>
      <c r="H2" s="8" t="s">
        <v>52</v>
      </c>
    </row>
    <row r="3" spans="1:8" x14ac:dyDescent="0.25">
      <c r="F3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e" cm="1">
        <f t="array" aca="1" ref="B7" ca="1">IF('Raw Data'!#REF!="",_xlfn.REGEXEXTRACT(CELL("address",'Raw Data'!#REF!),"\$([A-Z]+)\$[0-9]+"),"")</f>
        <v>#REF!</v>
      </c>
      <c r="C7" t="e" cm="1">
        <f t="array" aca="1" ref="C7" ca="1">IF('Raw Data'!#REF!="",_xlfn.REGEXEXTRACT(CELL("address",'Raw Data'!#REF!),"\$([A-Z]+)\$[0-9]+"),"")</f>
        <v>#REF!</v>
      </c>
      <c r="D7" t="e" cm="1">
        <f t="array" aca="1" ref="D7" ca="1">IF('Raw Data'!#REF!="",_xlfn.REGEXEXTRACT(CELL("address",'Raw Data'!#REF!),"\$([A-Z]+)\$[0-9]+"),"")</f>
        <v>#REF!</v>
      </c>
      <c r="E7" t="e" cm="1">
        <f t="array" aca="1" ref="E7" ca="1">IF('Raw Data'!#REF!="",_xlfn.REGEXEXTRACT(CELL("address",'Raw Data'!#REF!),"\$([A-Z]+)\$[0-9]+"),"")</f>
        <v>#REF!</v>
      </c>
      <c r="F7" t="e" cm="1">
        <f t="array" aca="1" ref="F7" ca="1">IF('Raw Data'!#REF!="",_xlfn.REGEXEXTRACT(CELL("address",'Raw Data'!#REF!),"\$([A-Z]+)\$[0-9]+"),"")</f>
        <v>#REF!</v>
      </c>
      <c r="G7" t="e" cm="1">
        <f t="array" aca="1" ref="G7" ca="1">IF('Raw Data'!#REF!="",_xlfn.REGEXEXTRACT(CELL("address",'Raw Data'!#REF!),"\$([A-Z]+)\$[0-9]+"),"")</f>
        <v>#REF!</v>
      </c>
      <c r="H7" t="e" cm="1">
        <f t="array" aca="1" ref="H7" ca="1">IF('Raw Data'!#REF!="",_xlfn.REGEXEXTRACT(CELL("address",'Raw Data'!#REF!),"\$([A-Z]+)\$[0-9]+"),"")</f>
        <v>#REF!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/>
      </c>
      <c r="I10" t="str" cm="1">
        <f t="array" aca="1" ref="I10" ca="1">IF('Raw Data'!H10="",_xlfn.REGEXEXTRACT(CELL("address",'Raw Data'!H10),"\$([A-Z]+)\$[0-9]+"),"")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/>
      </c>
      <c r="I11" t="str" cm="1">
        <f t="array" aca="1" ref="I11" ca="1">IF('Raw Data'!H11="",_xlfn.REGEXEXTRACT(CELL("address",'Raw Data'!H11),"\$([A-Z]+)\$[0-9]+"),"")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/>
      </c>
      <c r="I12" t="str" cm="1">
        <f t="array" aca="1" ref="I12" ca="1">IF('Raw Data'!H12="",_xlfn.REGEXEXTRACT(CELL("address",'Raw Data'!H12),"\$([A-Z]+)\$[0-9]+"),"")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/>
      </c>
      <c r="I13" t="str" cm="1">
        <f t="array" aca="1" ref="I13" ca="1">IF('Raw Data'!H13="",_xlfn.REGEXEXTRACT(CELL("address",'Raw Data'!H13),"\$([A-Z]+)\$[0-9]+"),"")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/>
      </c>
      <c r="I14" t="str" cm="1">
        <f t="array" aca="1" ref="I14" ca="1">IF('Raw Data'!H14="",_xlfn.REGEXEXTRACT(CELL("address",'Raw Data'!H14),"\$([A-Z]+)\$[0-9]+"),"")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/>
      </c>
      <c r="I15" t="str" cm="1">
        <f t="array" aca="1" ref="I15" ca="1">IF('Raw Data'!H15="",_xlfn.REGEXEXTRACT(CELL("address",'Raw Data'!H15),"\$([A-Z]+)\$[0-9]+"),"")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/>
      </c>
      <c r="I16" t="str" cm="1">
        <f t="array" aca="1" ref="I16" ca="1">IF('Raw Data'!H16="",_xlfn.REGEXEXTRACT(CELL("address",'Raw Data'!H16),"\$([A-Z]+)\$[0-9]+"),"")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/>
      </c>
      <c r="I17" t="str" cm="1">
        <f t="array" aca="1" ref="I17" ca="1">IF('Raw Data'!H17="",_xlfn.REGEXEXTRACT(CELL("address",'Raw Data'!H17),"\$([A-Z]+)\$[0-9]+"),"")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/>
      </c>
      <c r="I18" t="str" cm="1">
        <f t="array" aca="1" ref="I18" ca="1">IF('Raw Data'!H18="",_xlfn.REGEXEXTRACT(CELL("address",'Raw Data'!H18),"\$([A-Z]+)\$[0-9]+"),"")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/>
      </c>
      <c r="I19" t="str" cm="1">
        <f t="array" aca="1" ref="I19" ca="1">IF('Raw Data'!H19="",_xlfn.REGEXEXTRACT(CELL("address",'Raw Data'!H19),"\$([A-Z]+)\$[0-9]+"),"")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/>
      </c>
      <c r="I20" t="str" cm="1">
        <f t="array" aca="1" ref="I20" ca="1">IF('Raw Data'!H20="",_xlfn.REGEXEXTRACT(CELL("address",'Raw Data'!H20),"\$([A-Z]+)\$[0-9]+"),"")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/>
      </c>
      <c r="I21" t="str" cm="1">
        <f t="array" aca="1" ref="I21" ca="1">IF('Raw Data'!H21="",_xlfn.REGEXEXTRACT(CELL("address",'Raw Data'!H21),"\$([A-Z]+)\$[0-9]+"),"")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/>
      </c>
      <c r="I22" t="str" cm="1">
        <f t="array" aca="1" ref="I22" ca="1">IF('Raw Data'!H22="",_xlfn.REGEXEXTRACT(CELL("address",'Raw Data'!H22),"\$([A-Z]+)\$[0-9]+"),"")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/>
      </c>
      <c r="I23" t="str" cm="1">
        <f t="array" aca="1" ref="I23" ca="1">IF('Raw Data'!H23="",_xlfn.REGEXEXTRACT(CELL("address",'Raw Data'!H23),"\$([A-Z]+)\$[0-9]+"),"")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/>
      </c>
      <c r="I24" t="str" cm="1">
        <f t="array" aca="1" ref="I24" ca="1">IF('Raw Data'!H24="",_xlfn.REGEXEXTRACT(CELL("address",'Raw Data'!H24),"\$([A-Z]+)\$[0-9]+"),"")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/>
      </c>
      <c r="I25" t="str" cm="1">
        <f t="array" aca="1" ref="I25" ca="1">IF('Raw Data'!H25="",_xlfn.REGEXEXTRACT(CELL("address",'Raw Data'!H25),"\$([A-Z]+)\$[0-9]+"),"")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/>
      </c>
      <c r="I26" t="str" cm="1">
        <f t="array" aca="1" ref="I26" ca="1">IF('Raw Data'!H26="",_xlfn.REGEXEXTRACT(CELL("address",'Raw Data'!H26),"\$([A-Z]+)\$[0-9]+"),"")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/>
      </c>
      <c r="I27" t="str" cm="1">
        <f t="array" aca="1" ref="I27" ca="1">IF('Raw Data'!H27="",_xlfn.REGEXEXTRACT(CELL("address",'Raw Data'!H27),"\$([A-Z]+)\$[0-9]+"),"")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/>
      </c>
      <c r="I28" t="str" cm="1">
        <f t="array" aca="1" ref="I28" ca="1">IF('Raw Data'!H28="",_xlfn.REGEXEXTRACT(CELL("address",'Raw Data'!H28),"\$([A-Z]+)\$[0-9]+"),"")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/>
      </c>
      <c r="I29" t="str" cm="1">
        <f t="array" aca="1" ref="I29" ca="1">IF('Raw Data'!H29="",_xlfn.REGEXEXTRACT(CELL("address",'Raw Data'!H29),"\$([A-Z]+)\$[0-9]+"),"")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/>
      </c>
      <c r="I30" t="str" cm="1">
        <f t="array" aca="1" ref="I30" ca="1">IF('Raw Data'!H30="",_xlfn.REGEXEXTRACT(CELL("address",'Raw Data'!H30),"\$([A-Z]+)\$[0-9]+"),"")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/>
      </c>
      <c r="I31" t="str" cm="1">
        <f t="array" aca="1" ref="I31" ca="1">IF('Raw Data'!H31="",_xlfn.REGEXEXTRACT(CELL("address",'Raw Data'!H31),"\$([A-Z]+)\$[0-9]+"),"")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/>
      </c>
      <c r="I32" t="str" cm="1">
        <f t="array" aca="1" ref="I32" ca="1">IF('Raw Data'!H32="",_xlfn.REGEXEXTRACT(CELL("address",'Raw Data'!H32),"\$([A-Z]+)\$[0-9]+"),"")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/>
      </c>
      <c r="I33" t="str" cm="1">
        <f t="array" aca="1" ref="I33" ca="1">IF('Raw Data'!H33="",_xlfn.REGEXEXTRACT(CELL("address",'Raw Data'!H33),"\$([A-Z]+)\$[0-9]+"),"")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>$F$34</v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>$G$34</v>
      </c>
      <c r="I34" t="str" cm="1">
        <f t="array" aca="1" ref="I34" ca="1">IF('Raw Data'!H34="",_xlfn.REGEXEXTRACT(CELL("address",'Raw Data'!H34),"\$([A-Z]+)\$[0-9]+"),"")</f>
        <v/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>$F$35</v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>$G$35</v>
      </c>
      <c r="I35" t="str" cm="1">
        <f t="array" aca="1" ref="I35" ca="1">IF('Raw Data'!H35="",_xlfn.REGEXEXTRACT(CELL("address",'Raw Data'!H35),"\$([A-Z]+)\$[0-9]+"),"")</f>
        <v/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>$F$36</v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>$G$36</v>
      </c>
      <c r="I36" t="str" cm="1">
        <f t="array" aca="1" ref="I36" ca="1">IF('Raw Data'!H36="",_xlfn.REGEXEXTRACT(CELL("address",'Raw Data'!H36),"\$([A-Z]+)\$[0-9]+"),"")</f>
        <v/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>$F$37</v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>$G$37</v>
      </c>
      <c r="I37" t="str" cm="1">
        <f t="array" aca="1" ref="I37" ca="1">IF('Raw Data'!H37="",_xlfn.REGEXEXTRACT(CELL("address",'Raw Data'!H37),"\$([A-Z]+)\$[0-9]+"),"")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>$F$38</v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>$G$38</v>
      </c>
      <c r="I38" t="str" cm="1">
        <f t="array" aca="1" ref="I38" ca="1">IF('Raw Data'!H38="",_xlfn.REGEXEXTRACT(CELL("address",'Raw Data'!H38),"\$([A-Z]+)\$[0-9]+"),"")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>$F$39</v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>$G$39</v>
      </c>
      <c r="I39" t="str" cm="1">
        <f t="array" aca="1" ref="I39" ca="1">IF('Raw Data'!H39="",_xlfn.REGEXEXTRACT(CELL("address",'Raw Data'!H39),"\$([A-Z]+)\$[0-9]+"),"")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>$F$40</v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>$G$40</v>
      </c>
      <c r="I40" t="str" cm="1">
        <f t="array" aca="1" ref="I40" ca="1">IF('Raw Data'!H40="",_xlfn.REGEXEXTRACT(CELL("address",'Raw Data'!H40),"\$([A-Z]+)\$[0-9]+"),"")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>$F$41</v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>$G$41</v>
      </c>
      <c r="I41" t="str" cm="1">
        <f t="array" aca="1" ref="I41" ca="1">IF('Raw Data'!H41="",_xlfn.REGEXEXTRACT(CELL("address",'Raw Data'!H41),"\$([A-Z]+)\$[0-9]+"),"")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>$F$42</v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>$G$42</v>
      </c>
      <c r="I42" t="str" cm="1">
        <f t="array" aca="1" ref="I42" ca="1">IF('Raw Data'!H42="",_xlfn.REGEXEXTRACT(CELL("address",'Raw Data'!H42),"\$([A-Z]+)\$[0-9]+"),"")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>$F$43</v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>$G$43</v>
      </c>
      <c r="I43" t="str" cm="1">
        <f t="array" aca="1" ref="I43" ca="1">IF('Raw Data'!H43="",_xlfn.REGEXEXTRACT(CELL("address",'Raw Data'!H43),"\$([A-Z]+)\$[0-9]+"),"")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>$F$44</v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>$G$44</v>
      </c>
      <c r="I44" t="str" cm="1">
        <f t="array" aca="1" ref="I44" ca="1">IF('Raw Data'!H44="",_xlfn.REGEXEXTRACT(CELL("address",'Raw Data'!H44),"\$([A-Z]+)\$[0-9]+"),"")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>$F$45</v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>$G$45</v>
      </c>
      <c r="I45" t="str" cm="1">
        <f t="array" aca="1" ref="I45" ca="1">IF('Raw Data'!H45="",_xlfn.REGEXEXTRACT(CELL("address",'Raw Data'!H45),"\$([A-Z]+)\$[0-9]+"),"")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>$F$46</v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>$G$46</v>
      </c>
      <c r="I46" t="str" cm="1">
        <f t="array" aca="1" ref="I46" ca="1">IF('Raw Data'!H46="",_xlfn.REGEXEXTRACT(CELL("address",'Raw Data'!H46),"\$([A-Z]+)\$[0-9]+"),"")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>$F$47</v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>$G$47</v>
      </c>
      <c r="I47" t="str" cm="1">
        <f t="array" aca="1" ref="I47" ca="1">IF('Raw Data'!H47="",_xlfn.REGEXEXTRACT(CELL("address",'Raw Data'!H47),"\$([A-Z]+)\$[0-9]+"),"")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>$F$48</v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>$G$48</v>
      </c>
      <c r="I48" t="str" cm="1">
        <f t="array" aca="1" ref="I48" ca="1">IF('Raw Data'!H48="",_xlfn.REGEXEXTRACT(CELL("address",'Raw Data'!H48),"\$([A-Z]+)\$[0-9]+"),"")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>$F$49</v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>$G$49</v>
      </c>
      <c r="I49" t="str" cm="1">
        <f t="array" aca="1" ref="I49" ca="1">IF('Raw Data'!H49="",_xlfn.REGEXEXTRACT(CELL("address",'Raw Data'!H49),"\$([A-Z]+)\$[0-9]+"),"")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>$F$50</v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>$G$50</v>
      </c>
      <c r="I50" t="str" cm="1">
        <f t="array" aca="1" ref="I50" ca="1">IF('Raw Data'!H50="",_xlfn.REGEXEXTRACT(CELL("address",'Raw Data'!H50),"\$([A-Z]+)\$[0-9]+"),"")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>$F$51</v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>$G$51</v>
      </c>
      <c r="I51" t="str" cm="1">
        <f t="array" aca="1" ref="I51" ca="1">IF('Raw Data'!H51="",_xlfn.REGEXEXTRACT(CELL("address",'Raw Data'!H51),"\$([A-Z]+)\$[0-9]+"),"")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>$F$52</v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>$G$52</v>
      </c>
      <c r="I52" t="str" cm="1">
        <f t="array" aca="1" ref="I52" ca="1">IF('Raw Data'!H52="",_xlfn.REGEXEXTRACT(CELL("address",'Raw Data'!H52),"\$([A-Z]+)\$[0-9]+"),"")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>$F$53</v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>$G$53</v>
      </c>
      <c r="I53" t="str" cm="1">
        <f t="array" aca="1" ref="I53" ca="1">IF('Raw Data'!H53="",_xlfn.REGEXEXTRACT(CELL("address",'Raw Data'!H53),"\$([A-Z]+)\$[0-9]+"),"")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>$F$54</v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>$G$54</v>
      </c>
      <c r="I54" t="str" cm="1">
        <f t="array" aca="1" ref="I54" ca="1">IF('Raw Data'!H54="",_xlfn.REGEXEXTRACT(CELL("address",'Raw Data'!H54),"\$([A-Z]+)\$[0-9]+"),"")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>$F$55</v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>$G$55</v>
      </c>
      <c r="I55" t="str" cm="1">
        <f t="array" aca="1" ref="I55" ca="1">IF('Raw Data'!H55="",_xlfn.REGEXEXTRACT(CELL("address",'Raw Data'!H55),"\$([A-Z]+)\$[0-9]+"),"")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>$F$56</v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>$G$56</v>
      </c>
      <c r="I56" t="str" cm="1">
        <f t="array" aca="1" ref="I56" ca="1">IF('Raw Data'!H56="",_xlfn.REGEXEXTRACT(CELL("address",'Raw Data'!H56),"\$([A-Z]+)\$[0-9]+"),"")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>$F$57</v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>$G$57</v>
      </c>
      <c r="I57" t="str" cm="1">
        <f t="array" aca="1" ref="I57" ca="1">IF('Raw Data'!H57="",_xlfn.REGEXEXTRACT(CELL("address",'Raw Data'!H57),"\$([A-Z]+)\$[0-9]+"),"")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>$F$58</v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>$G$58</v>
      </c>
      <c r="I58" t="str" cm="1">
        <f t="array" aca="1" ref="I58" ca="1">IF('Raw Data'!H58="",_xlfn.REGEXEXTRACT(CELL("address",'Raw Data'!H58),"\$([A-Z]+)\$[0-9]+"),"")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>$F$59</v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>$G$59</v>
      </c>
      <c r="I59" t="str" cm="1">
        <f t="array" aca="1" ref="I59" ca="1">IF('Raw Data'!H59="",_xlfn.REGEXEXTRACT(CELL("address",'Raw Data'!H59),"\$([A-Z]+)\$[0-9]+"),"")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>$F$60</v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>$G$60</v>
      </c>
      <c r="I60" t="str" cm="1">
        <f t="array" aca="1" ref="I60" ca="1">IF('Raw Data'!H60="",_xlfn.REGEXEXTRACT(CELL("address",'Raw Data'!H60),"\$([A-Z]+)\$[0-9]+"),"")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>$F$61</v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>$G$61</v>
      </c>
      <c r="I61" t="str" cm="1">
        <f t="array" aca="1" ref="I61" ca="1">IF('Raw Data'!H61="",_xlfn.REGEXEXTRACT(CELL("address",'Raw Data'!H61),"\$([A-Z]+)\$[0-9]+"),"")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>$F$62</v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>$G$62</v>
      </c>
      <c r="I62" t="str" cm="1">
        <f t="array" aca="1" ref="I62" ca="1">IF('Raw Data'!H62="",_xlfn.REGEXEXTRACT(CELL("address",'Raw Data'!H62),"\$([A-Z]+)\$[0-9]+"),"")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>$F$63</v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>$G$63</v>
      </c>
      <c r="I63" t="str" cm="1">
        <f t="array" aca="1" ref="I63" ca="1">IF('Raw Data'!H63="",_xlfn.REGEXEXTRACT(CELL("address",'Raw Data'!H63),"\$([A-Z]+)\$[0-9]+"),"")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>$F$64</v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>$G$64</v>
      </c>
      <c r="I64" t="str" cm="1">
        <f t="array" aca="1" ref="I64" ca="1">IF('Raw Data'!H64="",_xlfn.REGEXEXTRACT(CELL("address",'Raw Data'!H64),"\$([A-Z]+)\$[0-9]+"),"")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>$F$65</v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>$G$65</v>
      </c>
      <c r="I65" t="str" cm="1">
        <f t="array" aca="1" ref="I65" ca="1">IF('Raw Data'!H65="",_xlfn.REGEXEXTRACT(CELL("address",'Raw Data'!H65),"\$([A-Z]+)\$[0-9]+"),"")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>$F$66</v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>$G$66</v>
      </c>
      <c r="I66" t="str" cm="1">
        <f t="array" aca="1" ref="I66" ca="1">IF('Raw Data'!H66="",_xlfn.REGEXEXTRACT(CELL("address",'Raw Data'!H66),"\$([A-Z]+)\$[0-9]+"),"")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>$F$67</v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>$G$67</v>
      </c>
      <c r="I67" t="str" cm="1">
        <f t="array" aca="1" ref="I67" ca="1">IF('Raw Data'!H67="",_xlfn.REGEXEXTRACT(CELL("address",'Raw Data'!H67),"\$([A-Z]+)\$[0-9]+"),"")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>$F$68</v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>$G$68</v>
      </c>
      <c r="I68" t="str" cm="1">
        <f t="array" aca="1" ref="I68" ca="1">IF('Raw Data'!H68="",_xlfn.REGEXEXTRACT(CELL("address",'Raw Data'!H68),"\$([A-Z]+)\$[0-9]+"),"")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>$F$69</v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>$G$69</v>
      </c>
      <c r="I69" t="str" cm="1">
        <f t="array" aca="1" ref="I69" ca="1">IF('Raw Data'!H69="",_xlfn.REGEXEXTRACT(CELL("address",'Raw Data'!H69),"\$([A-Z]+)\$[0-9]+"),"")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>$F$70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>$G$70</v>
      </c>
      <c r="I70" t="str" cm="1">
        <f t="array" aca="1" ref="I70" ca="1">IF('Raw Data'!H70="",_xlfn.REGEXEXTRACT(CELL("address",'Raw Data'!H70),"\$([A-Z]+)\$[0-9]+"),"")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>$F$71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>$G$71</v>
      </c>
      <c r="I71" t="str" cm="1">
        <f t="array" aca="1" ref="I71" ca="1">IF('Raw Data'!H71="",_xlfn.REGEXEXTRACT(CELL("address",'Raw Data'!H71),"\$([A-Z]+)\$[0-9]+"),"")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>$F$72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>$G$72</v>
      </c>
      <c r="I72" t="str" cm="1">
        <f t="array" aca="1" ref="I72" ca="1">IF('Raw Data'!H72="",_xlfn.REGEXEXTRACT(CELL("address",'Raw Data'!H72),"\$([A-Z]+)\$[0-9]+"),"")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>$F$73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>$G$73</v>
      </c>
      <c r="I73" t="str" cm="1">
        <f t="array" aca="1" ref="I73" ca="1">IF('Raw Data'!H73="",_xlfn.REGEXEXTRACT(CELL("address",'Raw Data'!H73),"\$([A-Z]+)\$[0-9]+"),"")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>$F$74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>$G$74</v>
      </c>
      <c r="I74" t="str" cm="1">
        <f t="array" aca="1" ref="I74" ca="1">IF('Raw Data'!H74="",_xlfn.REGEXEXTRACT(CELL("address",'Raw Data'!H74),"\$([A-Z]+)\$[0-9]+"),"")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>$F$75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>$G$75</v>
      </c>
      <c r="I75" t="str" cm="1">
        <f t="array" aca="1" ref="I75" ca="1">IF('Raw Data'!H75="",_xlfn.REGEXEXTRACT(CELL("address",'Raw Data'!H75),"\$([A-Z]+)\$[0-9]+"),"")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>$F$76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>$G$76</v>
      </c>
      <c r="I76" t="str" cm="1">
        <f t="array" aca="1" ref="I76" ca="1">IF('Raw Data'!H76="",_xlfn.REGEXEXTRACT(CELL("address",'Raw Data'!H76),"\$([A-Z]+)\$[0-9]+"),"")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>$F$77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>$G$77</v>
      </c>
      <c r="I77" t="str" cm="1">
        <f t="array" aca="1" ref="I77" ca="1">IF('Raw Data'!H77="",_xlfn.REGEXEXTRACT(CELL("address",'Raw Data'!H77),"\$([A-Z]+)\$[0-9]+"),"")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>$F$78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>$G$78</v>
      </c>
      <c r="I78" t="str" cm="1">
        <f t="array" aca="1" ref="I78" ca="1">IF('Raw Data'!H78="",_xlfn.REGEXEXTRACT(CELL("address",'Raw Data'!H78),"\$([A-Z]+)\$[0-9]+"),"")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>$F$79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>$G$79</v>
      </c>
      <c r="I79" t="str" cm="1">
        <f t="array" aca="1" ref="I79" ca="1">IF('Raw Data'!H79="",_xlfn.REGEXEXTRACT(CELL("address",'Raw Data'!H79),"\$([A-Z]+)\$[0-9]+"),"")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>$F$80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>$G$80</v>
      </c>
      <c r="I80" t="str" cm="1">
        <f t="array" aca="1" ref="I80" ca="1">IF('Raw Data'!H80="",_xlfn.REGEXEXTRACT(CELL("address",'Raw Data'!H80),"\$([A-Z]+)\$[0-9]+"),"")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>$F$81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>$G$81</v>
      </c>
      <c r="I81" t="str" cm="1">
        <f t="array" aca="1" ref="I81" ca="1">IF('Raw Data'!H81="",_xlfn.REGEXEXTRACT(CELL("address",'Raw Data'!H81),"\$([A-Z]+)\$[0-9]+"),"")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>$F$82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>$G$82</v>
      </c>
      <c r="I82" t="str" cm="1">
        <f t="array" aca="1" ref="I82" ca="1">IF('Raw Data'!H82="",_xlfn.REGEXEXTRACT(CELL("address",'Raw Data'!H82),"\$([A-Z]+)\$[0-9]+"),"")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>$F$83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>$G$83</v>
      </c>
      <c r="I83" t="str" cm="1">
        <f t="array" aca="1" ref="I83" ca="1">IF('Raw Data'!H83="",_xlfn.REGEXEXTRACT(CELL("address",'Raw Data'!H83),"\$([A-Z]+)\$[0-9]+"),"")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>$F$84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>$G$84</v>
      </c>
      <c r="I84" t="str" cm="1">
        <f t="array" aca="1" ref="I84" ca="1">IF('Raw Data'!H84="",_xlfn.REGEXEXTRACT(CELL("address",'Raw Data'!H84),"\$([A-Z]+)\$[0-9]+"),"")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>$F$85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>$G$85</v>
      </c>
      <c r="I85" t="str" cm="1">
        <f t="array" aca="1" ref="I85" ca="1">IF('Raw Data'!H85="",_xlfn.REGEXEXTRACT(CELL("address",'Raw Data'!H85),"\$([A-Z]+)\$[0-9]+"),"")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>$F$86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>$G$86</v>
      </c>
      <c r="I86" t="str" cm="1">
        <f t="array" aca="1" ref="I86" ca="1">IF('Raw Data'!H86="",_xlfn.REGEXEXTRACT(CELL("address",'Raw Data'!H86),"\$([A-Z]+)\$[0-9]+"),"")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>$F$87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>$G$87</v>
      </c>
      <c r="I87" t="str" cm="1">
        <f t="array" aca="1" ref="I87" ca="1">IF('Raw Data'!H87="",_xlfn.REGEXEXTRACT(CELL("address",'Raw Data'!H87),"\$([A-Z]+)\$[0-9]+"),"")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>$F$88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>$G$88</v>
      </c>
      <c r="I88" t="str" cm="1">
        <f t="array" aca="1" ref="I88" ca="1">IF('Raw Data'!H88="",_xlfn.REGEXEXTRACT(CELL("address",'Raw Data'!H88),"\$([A-Z]+)\$[0-9]+"),"")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>$F$89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>$G$89</v>
      </c>
      <c r="I89" t="str" cm="1">
        <f t="array" aca="1" ref="I89" ca="1">IF('Raw Data'!H89="",_xlfn.REGEXEXTRACT(CELL("address",'Raw Data'!H89),"\$([A-Z]+)\$[0-9]+"),"")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>$F$90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>$G$90</v>
      </c>
      <c r="I90" t="str" cm="1">
        <f t="array" aca="1" ref="I90" ca="1">IF('Raw Data'!H90="",_xlfn.REGEXEXTRACT(CELL("address",'Raw Data'!H90),"\$([A-Z]+)\$[0-9]+"),"")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>$F$91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>$G$91</v>
      </c>
      <c r="I91" t="str" cm="1">
        <f t="array" aca="1" ref="I91" ca="1">IF('Raw Data'!H91="",_xlfn.REGEXEXTRACT(CELL("address",'Raw Data'!H91),"\$([A-Z]+)\$[0-9]+"),"")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>$F$92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>$G$92</v>
      </c>
      <c r="I92" t="str" cm="1">
        <f t="array" aca="1" ref="I92" ca="1">IF('Raw Data'!H92="",_xlfn.REGEXEXTRACT(CELL("address",'Raw Data'!H92),"\$([A-Z]+)\$[0-9]+"),"")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>$F$93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>$G$93</v>
      </c>
      <c r="I93" t="str" cm="1">
        <f t="array" aca="1" ref="I93" ca="1">IF('Raw Data'!H93="",_xlfn.REGEXEXTRACT(CELL("address",'Raw Data'!H93),"\$([A-Z]+)\$[0-9]+"),"")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>$F$94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>$G$94</v>
      </c>
      <c r="I94" t="str" cm="1">
        <f t="array" aca="1" ref="I94" ca="1">IF('Raw Data'!H94="",_xlfn.REGEXEXTRACT(CELL("address",'Raw Data'!H94),"\$([A-Z]+)\$[0-9]+"),"")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>$F$95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>$G$95</v>
      </c>
      <c r="I95" t="str" cm="1">
        <f t="array" aca="1" ref="I95" ca="1">IF('Raw Data'!H95="",_xlfn.REGEXEXTRACT(CELL("address",'Raw Data'!H95),"\$([A-Z]+)\$[0-9]+"),"")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>$F$96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>$G$96</v>
      </c>
      <c r="I96" t="str" cm="1">
        <f t="array" aca="1" ref="I96" ca="1">IF('Raw Data'!H96="",_xlfn.REGEXEXTRACT(CELL("address",'Raw Data'!H96),"\$([A-Z]+)\$[0-9]+"),"")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>$F$97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>$G$97</v>
      </c>
      <c r="I97" t="str" cm="1">
        <f t="array" aca="1" ref="I97" ca="1">IF('Raw Data'!H97="",_xlfn.REGEXEXTRACT(CELL("address",'Raw Data'!H97),"\$([A-Z]+)\$[0-9]+"),"")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>$F$98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>$G$98</v>
      </c>
      <c r="I98" t="str" cm="1">
        <f t="array" aca="1" ref="I98" ca="1">IF('Raw Data'!H98="",_xlfn.REGEXEXTRACT(CELL("address",'Raw Data'!H98),"\$([A-Z]+)\$[0-9]+"),"")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>$F$99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>$G$99</v>
      </c>
      <c r="I99" t="str" cm="1">
        <f t="array" aca="1" ref="I99" ca="1">IF('Raw Data'!H99="",_xlfn.REGEXEXTRACT(CELL("address",'Raw Data'!H99),"\$([A-Z]+)\$[0-9]+"),"")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>$F$100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>$G$100</v>
      </c>
      <c r="I100" t="str" cm="1">
        <f t="array" aca="1" ref="I100" ca="1">IF('Raw Data'!H100="",_xlfn.REGEXEXTRACT(CELL("address",'Raw Data'!H100),"\$([A-Z]+)\$[0-9]+"),"")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>$F$101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>$G$101</v>
      </c>
      <c r="I101" t="str" cm="1">
        <f t="array" aca="1" ref="I101" ca="1">IF('Raw Data'!H101="",_xlfn.REGEXEXTRACT(CELL("address",'Raw Data'!H101),"\$([A-Z]+)\$[0-9]+"),"")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>$F$102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>$G$102</v>
      </c>
      <c r="I102" t="str" cm="1">
        <f t="array" aca="1" ref="I102" ca="1">IF('Raw Data'!H102="",_xlfn.REGEXEXTRACT(CELL("address",'Raw Data'!H102),"\$([A-Z]+)\$[0-9]+"),"")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>$F$103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>$G$103</v>
      </c>
      <c r="I103" t="str" cm="1">
        <f t="array" aca="1" ref="I103" ca="1">IF('Raw Data'!H103="",_xlfn.REGEXEXTRACT(CELL("address",'Raw Data'!H103),"\$([A-Z]+)\$[0-9]+"),"")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>$F$104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>$G$104</v>
      </c>
      <c r="I104" t="str" cm="1">
        <f t="array" aca="1" ref="I104" ca="1">IF('Raw Data'!H104="",_xlfn.REGEXEXTRACT(CELL("address",'Raw Data'!H104),"\$([A-Z]+)\$[0-9]+"),"")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>$F$105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>$G$105</v>
      </c>
      <c r="I105" t="str" cm="1">
        <f t="array" aca="1" ref="I105" ca="1">IF('Raw Data'!H105="",_xlfn.REGEXEXTRACT(CELL("address",'Raw Data'!H105),"\$([A-Z]+)\$[0-9]+"),"")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>$F$106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>$G$106</v>
      </c>
      <c r="I106" t="str" cm="1">
        <f t="array" aca="1" ref="I106" ca="1">IF('Raw Data'!H106="",_xlfn.REGEXEXTRACT(CELL("address",'Raw Data'!H106),"\$([A-Z]+)\$[0-9]+"),"")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>$F$107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>$G$107</v>
      </c>
      <c r="I107" t="str" cm="1">
        <f t="array" aca="1" ref="I107" ca="1">IF('Raw Data'!H107="",_xlfn.REGEXEXTRACT(CELL("address",'Raw Data'!H107),"\$([A-Z]+)\$[0-9]+"),"")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>$F$108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>$G$108</v>
      </c>
      <c r="I108" t="str" cm="1">
        <f t="array" aca="1" ref="I108" ca="1">IF('Raw Data'!H108="",_xlfn.REGEXEXTRACT(CELL("address",'Raw Data'!H108),"\$([A-Z]+)\$[0-9]+"),"")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>$F$109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>$G$109</v>
      </c>
      <c r="I109" t="str" cm="1">
        <f t="array" aca="1" ref="I109" ca="1">IF('Raw Data'!H109="",_xlfn.REGEXEXTRACT(CELL("address",'Raw Data'!H109),"\$([A-Z]+)\$[0-9]+"),"")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>$F$110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>$G$110</v>
      </c>
      <c r="I110" t="str" cm="1">
        <f t="array" aca="1" ref="I110" ca="1">IF('Raw Data'!H110="",_xlfn.REGEXEXTRACT(CELL("address",'Raw Data'!H110),"\$([A-Z]+)\$[0-9]+"),"")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>$F$111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>$G$111</v>
      </c>
      <c r="I111" t="str" cm="1">
        <f t="array" aca="1" ref="I111" ca="1">IF('Raw Data'!H111="",_xlfn.REGEXEXTRACT(CELL("address",'Raw Data'!H111),"\$([A-Z]+)\$[0-9]+"),"")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>$F$112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>$G$112</v>
      </c>
      <c r="I112" t="str" cm="1">
        <f t="array" aca="1" ref="I112" ca="1">IF('Raw Data'!H112="",_xlfn.REGEXEXTRACT(CELL("address",'Raw Data'!H112),"\$([A-Z]+)\$[0-9]+"),"")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>$F$113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>$G$113</v>
      </c>
      <c r="I113" t="str" cm="1">
        <f t="array" aca="1" ref="I113" ca="1">IF('Raw Data'!H113="",_xlfn.REGEXEXTRACT(CELL("address",'Raw Data'!H113),"\$([A-Z]+)\$[0-9]+"),"")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>$F$114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>$G$114</v>
      </c>
      <c r="I114" t="str" cm="1">
        <f t="array" aca="1" ref="I114" ca="1">IF('Raw Data'!H114="",_xlfn.REGEXEXTRACT(CELL("address",'Raw Data'!H114),"\$([A-Z]+)\$[0-9]+"),"")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>$F$115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>$G$115</v>
      </c>
      <c r="I115" t="str" cm="1">
        <f t="array" aca="1" ref="I115" ca="1">IF('Raw Data'!H115="",_xlfn.REGEXEXTRACT(CELL("address",'Raw Data'!H115),"\$([A-Z]+)\$[0-9]+"),"")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>$F$116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>$G$116</v>
      </c>
      <c r="I116" t="str" cm="1">
        <f t="array" aca="1" ref="I116" ca="1">IF('Raw Data'!H116="",_xlfn.REGEXEXTRACT(CELL("address",'Raw Data'!H116),"\$([A-Z]+)\$[0-9]+"),"")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>$F$117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>$G$117</v>
      </c>
      <c r="I117" t="str" cm="1">
        <f t="array" aca="1" ref="I117" ca="1">IF('Raw Data'!H117="",_xlfn.REGEXEXTRACT(CELL("address",'Raw Data'!H117),"\$([A-Z]+)\$[0-9]+"),"")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>$F$118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>$G$118</v>
      </c>
      <c r="I118" t="str" cm="1">
        <f t="array" aca="1" ref="I118" ca="1">IF('Raw Data'!H118="",_xlfn.REGEXEXTRACT(CELL("address",'Raw Data'!H118),"\$([A-Z]+)\$[0-9]+"),"")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>$F$119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>$G$119</v>
      </c>
      <c r="I119" t="str" cm="1">
        <f t="array" aca="1" ref="I119" ca="1">IF('Raw Data'!H119="",_xlfn.REGEXEXTRACT(CELL("address",'Raw Data'!H119),"\$([A-Z]+)\$[0-9]+"),"")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>$F$120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>$G$120</v>
      </c>
      <c r="I120" t="str" cm="1">
        <f t="array" aca="1" ref="I120" ca="1">IF('Raw Data'!H120="",_xlfn.REGEXEXTRACT(CELL("address",'Raw Data'!H120),"\$([A-Z]+)\$[0-9]+"),"")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>$F$121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>$G$121</v>
      </c>
      <c r="I121" t="str" cm="1">
        <f t="array" aca="1" ref="I121" ca="1">IF('Raw Data'!H121="",_xlfn.REGEXEXTRACT(CELL("address",'Raw Data'!H121),"\$([A-Z]+)\$[0-9]+"),"")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>$F$122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>$G$122</v>
      </c>
      <c r="I122" t="str" cm="1">
        <f t="array" aca="1" ref="I122" ca="1">IF('Raw Data'!H122="",_xlfn.REGEXEXTRACT(CELL("address",'Raw Data'!H122),"\$([A-Z]+)\$[0-9]+"),"")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>$F$123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>$G$123</v>
      </c>
      <c r="I123" t="str" cm="1">
        <f t="array" aca="1" ref="I123" ca="1">IF('Raw Data'!H123="",_xlfn.REGEXEXTRACT(CELL("address",'Raw Data'!H123),"\$([A-Z]+)\$[0-9]+"),"")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>$F$124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>$G$124</v>
      </c>
      <c r="I124" t="str" cm="1">
        <f t="array" aca="1" ref="I124" ca="1">IF('Raw Data'!H124="",_xlfn.REGEXEXTRACT(CELL("address",'Raw Data'!H124),"\$([A-Z]+)\$[0-9]+"),"")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>$F$125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>$G$125</v>
      </c>
      <c r="I125" t="str" cm="1">
        <f t="array" aca="1" ref="I125" ca="1">IF('Raw Data'!H125="",_xlfn.REGEXEXTRACT(CELL("address",'Raw Data'!H125),"\$([A-Z]+)\$[0-9]+"),"")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>$F$126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>$G$126</v>
      </c>
      <c r="I126" t="str" cm="1">
        <f t="array" aca="1" ref="I126" ca="1">IF('Raw Data'!H126="",_xlfn.REGEXEXTRACT(CELL("address",'Raw Data'!H126),"\$([A-Z]+)\$[0-9]+"),"")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>$F$127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>$G$127</v>
      </c>
      <c r="I127" t="str" cm="1">
        <f t="array" aca="1" ref="I127" ca="1">IF('Raw Data'!H127="",_xlfn.REGEXEXTRACT(CELL("address",'Raw Data'!H127),"\$([A-Z]+)\$[0-9]+"),"")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>$F$128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>$G$128</v>
      </c>
      <c r="I128" t="str" cm="1">
        <f t="array" aca="1" ref="I128" ca="1">IF('Raw Data'!H128="",_xlfn.REGEXEXTRACT(CELL("address",'Raw Data'!H128),"\$([A-Z]+)\$[0-9]+"),"")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>$F$129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>$G$129</v>
      </c>
      <c r="I129" t="str" cm="1">
        <f t="array" aca="1" ref="I129" ca="1">IF('Raw Data'!H129="",_xlfn.REGEXEXTRACT(CELL("address",'Raw Data'!H129),"\$([A-Z]+)\$[0-9]+"),"")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>$D$130</v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>$F$130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>$G$130</v>
      </c>
      <c r="I130" t="str" cm="1">
        <f t="array" aca="1" ref="I130" ca="1">IF('Raw Data'!H130="",_xlfn.REGEXEXTRACT(CELL("address",'Raw Data'!H130),"\$([A-Z]+)\$[0-9]+"),"")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>$D$131</v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>$F$131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>$G$131</v>
      </c>
      <c r="I131" t="str" cm="1">
        <f t="array" aca="1" ref="I131" ca="1">IF('Raw Data'!H131="",_xlfn.REGEXEXTRACT(CELL("address",'Raw Data'!H131),"\$([A-Z]+)\$[0-9]+"),"")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>$D$132</v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>$F$132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>$G$132</v>
      </c>
      <c r="I132" t="str" cm="1">
        <f t="array" aca="1" ref="I132" ca="1">IF('Raw Data'!H132="",_xlfn.REGEXEXTRACT(CELL("address",'Raw Data'!H132),"\$([A-Z]+)\$[0-9]+"),"")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>$D$133</v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>$F$133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>$G$133</v>
      </c>
      <c r="I133" t="str" cm="1">
        <f t="array" aca="1" ref="I133" ca="1">IF('Raw Data'!H133="",_xlfn.REGEXEXTRACT(CELL("address",'Raw Data'!H133),"\$([A-Z]+)\$[0-9]+"),"")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>$D$134</v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>$F$134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>$G$134</v>
      </c>
      <c r="I134" t="str" cm="1">
        <f t="array" aca="1" ref="I134" ca="1">IF('Raw Data'!H134="",_xlfn.REGEXEXTRACT(CELL("address",'Raw Data'!H134),"\$([A-Z]+)\$[0-9]+"),"")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>$D$135</v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>$F$135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>$G$135</v>
      </c>
      <c r="I135" t="str" cm="1">
        <f t="array" aca="1" ref="I135" ca="1">IF('Raw Data'!H135="",_xlfn.REGEXEXTRACT(CELL("address",'Raw Data'!H135),"\$([A-Z]+)\$[0-9]+"),"")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>$D$136</v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>$F$136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>$G$136</v>
      </c>
      <c r="I136" t="str" cm="1">
        <f t="array" aca="1" ref="I136" ca="1">IF('Raw Data'!H136="",_xlfn.REGEXEXTRACT(CELL("address",'Raw Data'!H136),"\$([A-Z]+)\$[0-9]+"),"")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>$D$137</v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>$F$137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>$G$137</v>
      </c>
      <c r="I137" t="str" cm="1">
        <f t="array" aca="1" ref="I137" ca="1">IF('Raw Data'!H137="",_xlfn.REGEXEXTRACT(CELL("address",'Raw Data'!H137),"\$([A-Z]+)\$[0-9]+"),"")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>$D$138</v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>$F$138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>$G$138</v>
      </c>
      <c r="I138" t="str" cm="1">
        <f t="array" aca="1" ref="I138" ca="1">IF('Raw Data'!H138="",_xlfn.REGEXEXTRACT(CELL("address",'Raw Data'!H138),"\$([A-Z]+)\$[0-9]+"),"")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>$D$139</v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>$F$139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>$G$139</v>
      </c>
      <c r="I139" t="str" cm="1">
        <f t="array" aca="1" ref="I139" ca="1">IF('Raw Data'!H139="",_xlfn.REGEXEXTRACT(CELL("address",'Raw Data'!H139),"\$([A-Z]+)\$[0-9]+"),"")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>$D$140</v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>$F$140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>$G$140</v>
      </c>
      <c r="I140" t="str" cm="1">
        <f t="array" aca="1" ref="I140" ca="1">IF('Raw Data'!H140="",_xlfn.REGEXEXTRACT(CELL("address",'Raw Data'!H140),"\$([A-Z]+)\$[0-9]+"),"")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>$D$141</v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>$F$141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>$G$141</v>
      </c>
      <c r="I141" t="str" cm="1">
        <f t="array" aca="1" ref="I141" ca="1">IF('Raw Data'!H141="",_xlfn.REGEXEXTRACT(CELL("address",'Raw Data'!H141),"\$([A-Z]+)\$[0-9]+"),"")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>$D$142</v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>$F$142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>$G$142</v>
      </c>
      <c r="I142" t="str" cm="1">
        <f t="array" aca="1" ref="I142" ca="1">IF('Raw Data'!H142="",_xlfn.REGEXEXTRACT(CELL("address",'Raw Data'!H142),"\$([A-Z]+)\$[0-9]+"),"")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>$D$143</v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>$F$143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>$G$143</v>
      </c>
      <c r="I143" t="str" cm="1">
        <f t="array" aca="1" ref="I143" ca="1">IF('Raw Data'!H143="",_xlfn.REGEXEXTRACT(CELL("address",'Raw Data'!H143),"\$([A-Z]+)\$[0-9]+"),"")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>$D$144</v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>$F$144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>$G$144</v>
      </c>
      <c r="I144" t="str" cm="1">
        <f t="array" aca="1" ref="I144" ca="1">IF('Raw Data'!H144="",_xlfn.REGEXEXTRACT(CELL("address",'Raw Data'!H144),"\$([A-Z]+)\$[0-9]+"),"")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>$D$145</v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>$F$145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>$G$145</v>
      </c>
      <c r="I145" t="str" cm="1">
        <f t="array" aca="1" ref="I145" ca="1">IF('Raw Data'!H145="",_xlfn.REGEXEXTRACT(CELL("address",'Raw Data'!H145),"\$([A-Z]+)\$[0-9]+"),"")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>$D$146</v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>$F$146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>$G$146</v>
      </c>
      <c r="I146" t="str" cm="1">
        <f t="array" aca="1" ref="I146" ca="1">IF('Raw Data'!H146="",_xlfn.REGEXEXTRACT(CELL("address",'Raw Data'!H146),"\$([A-Z]+)\$[0-9]+"),"")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>$D$147</v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>$F$147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>$G$147</v>
      </c>
      <c r="I147" t="str" cm="1">
        <f t="array" aca="1" ref="I147" ca="1">IF('Raw Data'!H147="",_xlfn.REGEXEXTRACT(CELL("address",'Raw Data'!H147),"\$([A-Z]+)\$[0-9]+"),"")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>$D$148</v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>$F$148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>$G$148</v>
      </c>
      <c r="I148" t="str" cm="1">
        <f t="array" aca="1" ref="I148" ca="1">IF('Raw Data'!H148="",_xlfn.REGEXEXTRACT(CELL("address",'Raw Data'!H148),"\$([A-Z]+)\$[0-9]+"),"")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>$D$149</v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>$F$149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>$G$149</v>
      </c>
      <c r="I149" t="str" cm="1">
        <f t="array" aca="1" ref="I149" ca="1">IF('Raw Data'!H149="",_xlfn.REGEXEXTRACT(CELL("address",'Raw Data'!H149),"\$([A-Z]+)\$[0-9]+"),"")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>$D$150</v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>$F$150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>$G$150</v>
      </c>
      <c r="I150" t="str" cm="1">
        <f t="array" aca="1" ref="I150" ca="1">IF('Raw Data'!H150="",_xlfn.REGEXEXTRACT(CELL("address",'Raw Data'!H150),"\$([A-Z]+)\$[0-9]+"),"")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>$D$151</v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>$F$151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>$G$151</v>
      </c>
      <c r="I151" t="str" cm="1">
        <f t="array" aca="1" ref="I151" ca="1">IF('Raw Data'!H151="",_xlfn.REGEXEXTRACT(CELL("address",'Raw Data'!H151),"\$([A-Z]+)\$[0-9]+"),"")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>$D$152</v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>$F$152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>$G$152</v>
      </c>
      <c r="I152" t="str" cm="1">
        <f t="array" aca="1" ref="I152" ca="1">IF('Raw Data'!H152="",_xlfn.REGEXEXTRACT(CELL("address",'Raw Data'!H152),"\$([A-Z]+)\$[0-9]+"),"")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>$D$153</v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>$F$153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>$G$153</v>
      </c>
      <c r="I153" t="str" cm="1">
        <f t="array" aca="1" ref="I153" ca="1">IF('Raw Data'!H153="",_xlfn.REGEXEXTRACT(CELL("address",'Raw Data'!H153),"\$([A-Z]+)\$[0-9]+"),"")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>$D$154</v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>$F$154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>$G$154</v>
      </c>
      <c r="I154" t="str" cm="1">
        <f t="array" aca="1" ref="I154" ca="1">IF('Raw Data'!H154="",_xlfn.REGEXEXTRACT(CELL("address",'Raw Data'!H154),"\$([A-Z]+)\$[0-9]+"),"")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>$D$155</v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>$F$155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>$G$155</v>
      </c>
      <c r="I155" t="str" cm="1">
        <f t="array" aca="1" ref="I155" ca="1">IF('Raw Data'!H155="",_xlfn.REGEXEXTRACT(CELL("address",'Raw Data'!H155),"\$([A-Z]+)\$[0-9]+"),"")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>$D$156</v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>$F$156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>$G$156</v>
      </c>
      <c r="I156" t="str" cm="1">
        <f t="array" aca="1" ref="I156" ca="1">IF('Raw Data'!H156="",_xlfn.REGEXEXTRACT(CELL("address",'Raw Data'!H156),"\$([A-Z]+)\$[0-9]+"),"")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>$D$157</v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>$F$157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>$G$157</v>
      </c>
      <c r="I157" t="str" cm="1">
        <f t="array" aca="1" ref="I157" ca="1">IF('Raw Data'!H157="",_xlfn.REGEXEXTRACT(CELL("address",'Raw Data'!H157),"\$([A-Z]+)\$[0-9]+"),"")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>$D$158</v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>$F$158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>$G$158</v>
      </c>
      <c r="I158" t="str" cm="1">
        <f t="array" aca="1" ref="I158" ca="1">IF('Raw Data'!H158="",_xlfn.REGEXEXTRACT(CELL("address",'Raw Data'!H158),"\$([A-Z]+)\$[0-9]+"),"")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>$D$159</v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>$F$159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>$G$159</v>
      </c>
      <c r="I159" t="str" cm="1">
        <f t="array" aca="1" ref="I159" ca="1">IF('Raw Data'!H159="",_xlfn.REGEXEXTRACT(CELL("address",'Raw Data'!H159),"\$([A-Z]+)\$[0-9]+"),"")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>$D$160</v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>$F$160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>$G$160</v>
      </c>
      <c r="I160" t="str" cm="1">
        <f t="array" aca="1" ref="I160" ca="1">IF('Raw Data'!H160="",_xlfn.REGEXEXTRACT(CELL("address",'Raw Data'!H160),"\$([A-Z]+)\$[0-9]+"),"")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>$D$161</v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>$F$161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>$G$161</v>
      </c>
      <c r="I161" t="str" cm="1">
        <f t="array" aca="1" ref="I161" ca="1">IF('Raw Data'!H161="",_xlfn.REGEXEXTRACT(CELL("address",'Raw Data'!H161),"\$([A-Z]+)\$[0-9]+"),"")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>$D$162</v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>$F$162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>$G$162</v>
      </c>
      <c r="I162" t="str" cm="1">
        <f t="array" aca="1" ref="I162" ca="1">IF('Raw Data'!H162="",_xlfn.REGEXEXTRACT(CELL("address",'Raw Data'!H162),"\$([A-Z]+)\$[0-9]+"),"")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>$D$163</v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>$F$163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>$G$163</v>
      </c>
      <c r="I163" t="str" cm="1">
        <f t="array" aca="1" ref="I163" ca="1">IF('Raw Data'!H163="",_xlfn.REGEXEXTRACT(CELL("address",'Raw Data'!H163),"\$([A-Z]+)\$[0-9]+"),"")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>$D$164</v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>$F$164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>$G$164</v>
      </c>
      <c r="I164" t="str" cm="1">
        <f t="array" aca="1" ref="I164" ca="1">IF('Raw Data'!H164="",_xlfn.REGEXEXTRACT(CELL("address",'Raw Data'!H164),"\$([A-Z]+)\$[0-9]+"),"")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>$D$165</v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>$F$165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>$G$165</v>
      </c>
      <c r="I165" t="str" cm="1">
        <f t="array" aca="1" ref="I165" ca="1">IF('Raw Data'!H165="",_xlfn.REGEXEXTRACT(CELL("address",'Raw Data'!H165),"\$([A-Z]+)\$[0-9]+"),"")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>$D$166</v>
      </c>
      <c r="E166" t="str" cm="1">
        <f t="array" aca="1" ref="E166" ca="1">IF('Raw Data'!E166="",_xlfn.REGEXEXTRACT(CELL("address",'Raw Data'!E166),"\$([A-Z]+)\$[0-9]+"),"")</f>
        <v/>
      </c>
      <c r="F166" t="str" cm="1">
        <f t="array" aca="1" ref="F166" ca="1">IF('Raw Data'!F166="",_xlfn.REGEXEXTRACT(CELL("address",'Raw Data'!F166),"\$([A-Z]+)\$[0-9]+"),"")</f>
        <v>$F$166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>$G$166</v>
      </c>
      <c r="I166" t="str" cm="1">
        <f t="array" aca="1" ref="I166" ca="1">IF('Raw Data'!H166="",_xlfn.REGEXEXTRACT(CELL("address",'Raw Data'!H166),"\$([A-Z]+)\$[0-9]+"),"")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>$D$167</v>
      </c>
      <c r="E167" t="str" cm="1">
        <f t="array" aca="1" ref="E167" ca="1">IF('Raw Data'!E167="",_xlfn.REGEXEXTRACT(CELL("address",'Raw Data'!E167),"\$([A-Z]+)\$[0-9]+"),"")</f>
        <v/>
      </c>
      <c r="F167" t="str" cm="1">
        <f t="array" aca="1" ref="F167" ca="1">IF('Raw Data'!F167="",_xlfn.REGEXEXTRACT(CELL("address",'Raw Data'!F167),"\$([A-Z]+)\$[0-9]+"),"")</f>
        <v>$F$167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>$G$167</v>
      </c>
      <c r="I167" t="str" cm="1">
        <f t="array" aca="1" ref="I167" ca="1">IF('Raw Data'!H167="",_xlfn.REGEXEXTRACT(CELL("address",'Raw Data'!H167),"\$([A-Z]+)\$[0-9]+"),"")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>$D$168</v>
      </c>
      <c r="E168" t="str" cm="1">
        <f t="array" aca="1" ref="E168" ca="1">IF('Raw Data'!E168="",_xlfn.REGEXEXTRACT(CELL("address",'Raw Data'!E168),"\$([A-Z]+)\$[0-9]+"),"")</f>
        <v/>
      </c>
      <c r="F168" t="str" cm="1">
        <f t="array" aca="1" ref="F168" ca="1">IF('Raw Data'!F168="",_xlfn.REGEXEXTRACT(CELL("address",'Raw Data'!F168),"\$([A-Z]+)\$[0-9]+"),"")</f>
        <v>$F$168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>$G$168</v>
      </c>
      <c r="I168" t="str" cm="1">
        <f t="array" aca="1" ref="I168" ca="1">IF('Raw Data'!H168="",_xlfn.REGEXEXTRACT(CELL("address",'Raw Data'!H168),"\$([A-Z]+)\$[0-9]+"),"")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>$D$169</v>
      </c>
      <c r="E169" t="str" cm="1">
        <f t="array" aca="1" ref="E169" ca="1">IF('Raw Data'!E169="",_xlfn.REGEXEXTRACT(CELL("address",'Raw Data'!E169),"\$([A-Z]+)\$[0-9]+"),"")</f>
        <v/>
      </c>
      <c r="F169" t="str" cm="1">
        <f t="array" aca="1" ref="F169" ca="1">IF('Raw Data'!F169="",_xlfn.REGEXEXTRACT(CELL("address",'Raw Data'!F169),"\$([A-Z]+)\$[0-9]+"),"")</f>
        <v>$F$169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>$G$169</v>
      </c>
      <c r="I169" t="str" cm="1">
        <f t="array" aca="1" ref="I169" ca="1">IF('Raw Data'!H169="",_xlfn.REGEXEXTRACT(CELL("address",'Raw Data'!H169),"\$([A-Z]+)\$[0-9]+"),"")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>$D$170</v>
      </c>
      <c r="E170" t="str" cm="1">
        <f t="array" aca="1" ref="E170" ca="1">IF('Raw Data'!E170="",_xlfn.REGEXEXTRACT(CELL("address",'Raw Data'!E170),"\$([A-Z]+)\$[0-9]+"),"")</f>
        <v/>
      </c>
      <c r="F170" t="str" cm="1">
        <f t="array" aca="1" ref="F170" ca="1">IF('Raw Data'!F170="",_xlfn.REGEXEXTRACT(CELL("address",'Raw Data'!F170),"\$([A-Z]+)\$[0-9]+"),"")</f>
        <v>$F$170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>$G$170</v>
      </c>
      <c r="I170" t="str" cm="1">
        <f t="array" aca="1" ref="I170" ca="1">IF('Raw Data'!H170="",_xlfn.REGEXEXTRACT(CELL("address",'Raw Data'!H170),"\$([A-Z]+)\$[0-9]+"),"")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>$D$171</v>
      </c>
      <c r="E171" t="str" cm="1">
        <f t="array" aca="1" ref="E171" ca="1">IF('Raw Data'!E171="",_xlfn.REGEXEXTRACT(CELL("address",'Raw Data'!E171),"\$([A-Z]+)\$[0-9]+"),"")</f>
        <v/>
      </c>
      <c r="F171" t="str" cm="1">
        <f t="array" aca="1" ref="F171" ca="1">IF('Raw Data'!F171="",_xlfn.REGEXEXTRACT(CELL("address",'Raw Data'!F171),"\$([A-Z]+)\$[0-9]+"),"")</f>
        <v>$F$171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>$G$171</v>
      </c>
      <c r="I171" t="str" cm="1">
        <f t="array" aca="1" ref="I171" ca="1">IF('Raw Data'!H171="",_xlfn.REGEXEXTRACT(CELL("address",'Raw Data'!H171),"\$([A-Z]+)\$[0-9]+"),"")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>$D$172</v>
      </c>
      <c r="E172" t="str" cm="1">
        <f t="array" aca="1" ref="E172" ca="1">IF('Raw Data'!E172="",_xlfn.REGEXEXTRACT(CELL("address",'Raw Data'!E172),"\$([A-Z]+)\$[0-9]+"),"")</f>
        <v/>
      </c>
      <c r="F172" t="str" cm="1">
        <f t="array" aca="1" ref="F172" ca="1">IF('Raw Data'!F172="",_xlfn.REGEXEXTRACT(CELL("address",'Raw Data'!F172),"\$([A-Z]+)\$[0-9]+"),"")</f>
        <v>$F$172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>$G$172</v>
      </c>
      <c r="I172" t="str" cm="1">
        <f t="array" aca="1" ref="I172" ca="1">IF('Raw Data'!H172="",_xlfn.REGEXEXTRACT(CELL("address",'Raw Data'!H172),"\$([A-Z]+)\$[0-9]+"),"")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>$D$173</v>
      </c>
      <c r="E173" t="str" cm="1">
        <f t="array" aca="1" ref="E173" ca="1">IF('Raw Data'!E173="",_xlfn.REGEXEXTRACT(CELL("address",'Raw Data'!E173),"\$([A-Z]+)\$[0-9]+"),"")</f>
        <v/>
      </c>
      <c r="F173" t="str" cm="1">
        <f t="array" aca="1" ref="F173" ca="1">IF('Raw Data'!F173="",_xlfn.REGEXEXTRACT(CELL("address",'Raw Data'!F173),"\$([A-Z]+)\$[0-9]+"),"")</f>
        <v>$F$173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>$G$173</v>
      </c>
      <c r="I173" t="str" cm="1">
        <f t="array" aca="1" ref="I173" ca="1">IF('Raw Data'!H173="",_xlfn.REGEXEXTRACT(CELL("address",'Raw Data'!H173),"\$([A-Z]+)\$[0-9]+"),"")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>$D$174</v>
      </c>
      <c r="E174" t="str" cm="1">
        <f t="array" aca="1" ref="E174" ca="1">IF('Raw Data'!E174="",_xlfn.REGEXEXTRACT(CELL("address",'Raw Data'!E174),"\$([A-Z]+)\$[0-9]+"),"")</f>
        <v/>
      </c>
      <c r="F174" t="str" cm="1">
        <f t="array" aca="1" ref="F174" ca="1">IF('Raw Data'!F174="",_xlfn.REGEXEXTRACT(CELL("address",'Raw Data'!F174),"\$([A-Z]+)\$[0-9]+"),"")</f>
        <v>$F$174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>$G$174</v>
      </c>
      <c r="I174" t="str" cm="1">
        <f t="array" aca="1" ref="I174" ca="1">IF('Raw Data'!H174="",_xlfn.REGEXEXTRACT(CELL("address",'Raw Data'!H174),"\$([A-Z]+)\$[0-9]+"),"")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>$D$175</v>
      </c>
      <c r="E175" t="str" cm="1">
        <f t="array" aca="1" ref="E175" ca="1">IF('Raw Data'!E175="",_xlfn.REGEXEXTRACT(CELL("address",'Raw Data'!E175),"\$([A-Z]+)\$[0-9]+"),"")</f>
        <v/>
      </c>
      <c r="F175" t="str" cm="1">
        <f t="array" aca="1" ref="F175" ca="1">IF('Raw Data'!F175="",_xlfn.REGEXEXTRACT(CELL("address",'Raw Data'!F175),"\$([A-Z]+)\$[0-9]+"),"")</f>
        <v>$F$175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>$G$175</v>
      </c>
      <c r="I175" t="str" cm="1">
        <f t="array" aca="1" ref="I175" ca="1">IF('Raw Data'!H175="",_xlfn.REGEXEXTRACT(CELL("address",'Raw Data'!H175),"\$([A-Z]+)\$[0-9]+"),"")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>$D$176</v>
      </c>
      <c r="E176" t="str" cm="1">
        <f t="array" aca="1" ref="E176" ca="1">IF('Raw Data'!E176="",_xlfn.REGEXEXTRACT(CELL("address",'Raw Data'!E176),"\$([A-Z]+)\$[0-9]+"),"")</f>
        <v/>
      </c>
      <c r="F176" t="str" cm="1">
        <f t="array" aca="1" ref="F176" ca="1">IF('Raw Data'!F176="",_xlfn.REGEXEXTRACT(CELL("address",'Raw Data'!F176),"\$([A-Z]+)\$[0-9]+"),"")</f>
        <v>$F$176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>$G$176</v>
      </c>
      <c r="I176" t="str" cm="1">
        <f t="array" aca="1" ref="I176" ca="1">IF('Raw Data'!H176="",_xlfn.REGEXEXTRACT(CELL("address",'Raw Data'!H176),"\$([A-Z]+)\$[0-9]+"),"")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>$D$177</v>
      </c>
      <c r="E177" t="str" cm="1">
        <f t="array" aca="1" ref="E177" ca="1">IF('Raw Data'!E177="",_xlfn.REGEXEXTRACT(CELL("address",'Raw Data'!E177),"\$([A-Z]+)\$[0-9]+"),"")</f>
        <v/>
      </c>
      <c r="F177" t="str" cm="1">
        <f t="array" aca="1" ref="F177" ca="1">IF('Raw Data'!F177="",_xlfn.REGEXEXTRACT(CELL("address",'Raw Data'!F177),"\$([A-Z]+)\$[0-9]+"),"")</f>
        <v>$F$177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>$G$177</v>
      </c>
      <c r="I177" t="str" cm="1">
        <f t="array" aca="1" ref="I177" ca="1">IF('Raw Data'!H177="",_xlfn.REGEXEXTRACT(CELL("address",'Raw Data'!H177),"\$([A-Z]+)\$[0-9]+"),"")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>$D$178</v>
      </c>
      <c r="E178" t="str" cm="1">
        <f t="array" aca="1" ref="E178" ca="1">IF('Raw Data'!E178="",_xlfn.REGEXEXTRACT(CELL("address",'Raw Data'!E178),"\$([A-Z]+)\$[0-9]+"),"")</f>
        <v>$E$178</v>
      </c>
      <c r="F178" t="str" cm="1">
        <f t="array" aca="1" ref="F178" ca="1">IF('Raw Data'!F178="",_xlfn.REGEXEXTRACT(CELL("address",'Raw Data'!F178),"\$([A-Z]+)\$[0-9]+"),"")</f>
        <v>$F$178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>$G$178</v>
      </c>
      <c r="I178" t="str" cm="1">
        <f t="array" aca="1" ref="I178" ca="1">IF('Raw Data'!H178="",_xlfn.REGEXEXTRACT(CELL("address",'Raw Data'!H178),"\$([A-Z]+)\$[0-9]+"),"")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>$D$179</v>
      </c>
      <c r="E179" t="str" cm="1">
        <f t="array" aca="1" ref="E179" ca="1">IF('Raw Data'!E179="",_xlfn.REGEXEXTRACT(CELL("address",'Raw Data'!E179),"\$([A-Z]+)\$[0-9]+"),"")</f>
        <v>$E$179</v>
      </c>
      <c r="F179" t="str" cm="1">
        <f t="array" aca="1" ref="F179" ca="1">IF('Raw Data'!F179="",_xlfn.REGEXEXTRACT(CELL("address",'Raw Data'!F179),"\$([A-Z]+)\$[0-9]+"),"")</f>
        <v>$F$179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>$G$179</v>
      </c>
      <c r="I179" t="str" cm="1">
        <f t="array" aca="1" ref="I179" ca="1">IF('Raw Data'!H179="",_xlfn.REGEXEXTRACT(CELL("address",'Raw Data'!H179),"\$([A-Z]+)\$[0-9]+"),"")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>$D$180</v>
      </c>
      <c r="E180" t="str" cm="1">
        <f t="array" aca="1" ref="E180" ca="1">IF('Raw Data'!E180="",_xlfn.REGEXEXTRACT(CELL("address",'Raw Data'!E180),"\$([A-Z]+)\$[0-9]+"),"")</f>
        <v>$E$180</v>
      </c>
      <c r="F180" t="str" cm="1">
        <f t="array" aca="1" ref="F180" ca="1">IF('Raw Data'!F180="",_xlfn.REGEXEXTRACT(CELL("address",'Raw Data'!F180),"\$([A-Z]+)\$[0-9]+"),"")</f>
        <v>$F$180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>$G$180</v>
      </c>
      <c r="I180" t="str" cm="1">
        <f t="array" aca="1" ref="I180" ca="1">IF('Raw Data'!H180="",_xlfn.REGEXEXTRACT(CELL("address",'Raw Data'!H180),"\$([A-Z]+)\$[0-9]+"),"")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>$D$181</v>
      </c>
      <c r="E181" t="str" cm="1">
        <f t="array" aca="1" ref="E181" ca="1">IF('Raw Data'!E181="",_xlfn.REGEXEXTRACT(CELL("address",'Raw Data'!E181),"\$([A-Z]+)\$[0-9]+"),"")</f>
        <v>$E$181</v>
      </c>
      <c r="F181" t="str" cm="1">
        <f t="array" aca="1" ref="F181" ca="1">IF('Raw Data'!F181="",_xlfn.REGEXEXTRACT(CELL("address",'Raw Data'!F181),"\$([A-Z]+)\$[0-9]+"),"")</f>
        <v>$F$181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>$G$181</v>
      </c>
      <c r="I181" t="str" cm="1">
        <f t="array" aca="1" ref="I181" ca="1">IF('Raw Data'!H181="",_xlfn.REGEXEXTRACT(CELL("address",'Raw Data'!H181),"\$([A-Z]+)\$[0-9]+"),"")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>$D$182</v>
      </c>
      <c r="E182" t="str" cm="1">
        <f t="array" aca="1" ref="E182" ca="1">IF('Raw Data'!E182="",_xlfn.REGEXEXTRACT(CELL("address",'Raw Data'!E182),"\$([A-Z]+)\$[0-9]+"),"")</f>
        <v>$E$182</v>
      </c>
      <c r="F182" t="str" cm="1">
        <f t="array" aca="1" ref="F182" ca="1">IF('Raw Data'!F182="",_xlfn.REGEXEXTRACT(CELL("address",'Raw Data'!F182),"\$([A-Z]+)\$[0-9]+"),"")</f>
        <v>$F$182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>$G$182</v>
      </c>
      <c r="I182" t="str" cm="1">
        <f t="array" aca="1" ref="I182" ca="1">IF('Raw Data'!H182="",_xlfn.REGEXEXTRACT(CELL("address",'Raw Data'!H182),"\$([A-Z]+)\$[0-9]+"),"")</f>
        <v/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>$D$183</v>
      </c>
      <c r="E183" t="str" cm="1">
        <f t="array" aca="1" ref="E183" ca="1">IF('Raw Data'!E183="",_xlfn.REGEXEXTRACT(CELL("address",'Raw Data'!E183),"\$([A-Z]+)\$[0-9]+"),"")</f>
        <v>$E$183</v>
      </c>
      <c r="F183" t="str" cm="1">
        <f t="array" aca="1" ref="F183" ca="1">IF('Raw Data'!F183="",_xlfn.REGEXEXTRACT(CELL("address",'Raw Data'!F183),"\$([A-Z]+)\$[0-9]+"),"")</f>
        <v>$F$183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>$G$183</v>
      </c>
      <c r="I183" t="str" cm="1">
        <f t="array" aca="1" ref="I183" ca="1">IF('Raw Data'!H183="",_xlfn.REGEXEXTRACT(CELL("address",'Raw Data'!H183),"\$([A-Z]+)\$[0-9]+"),"")</f>
        <v/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>$D$184</v>
      </c>
      <c r="E184" t="str" cm="1">
        <f t="array" aca="1" ref="E184" ca="1">IF('Raw Data'!E184="",_xlfn.REGEXEXTRACT(CELL("address",'Raw Data'!E184),"\$([A-Z]+)\$[0-9]+"),"")</f>
        <v>$E$184</v>
      </c>
      <c r="F184" t="str" cm="1">
        <f t="array" aca="1" ref="F184" ca="1">IF('Raw Data'!F184="",_xlfn.REGEXEXTRACT(CELL("address",'Raw Data'!F184),"\$([A-Z]+)\$[0-9]+"),"")</f>
        <v>$F$184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>$G$184</v>
      </c>
      <c r="I184" t="str" cm="1">
        <f t="array" aca="1" ref="I184" ca="1">IF('Raw Data'!H184="",_xlfn.REGEXEXTRACT(CELL("address",'Raw Data'!H184),"\$([A-Z]+)\$[0-9]+"),"")</f>
        <v/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>$D$185</v>
      </c>
      <c r="E185" t="str" cm="1">
        <f t="array" aca="1" ref="E185" ca="1">IF('Raw Data'!E185="",_xlfn.REGEXEXTRACT(CELL("address",'Raw Data'!E185),"\$([A-Z]+)\$[0-9]+"),"")</f>
        <v>$E$185</v>
      </c>
      <c r="F185" t="str" cm="1">
        <f t="array" aca="1" ref="F185" ca="1">IF('Raw Data'!F185="",_xlfn.REGEXEXTRACT(CELL("address",'Raw Data'!F185),"\$([A-Z]+)\$[0-9]+"),"")</f>
        <v>$F$185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>$G$185</v>
      </c>
      <c r="I185" t="str" cm="1">
        <f t="array" aca="1" ref="I185" ca="1">IF('Raw Data'!H185="",_xlfn.REGEXEXTRACT(CELL("address",'Raw Data'!H185),"\$([A-Z]+)\$[0-9]+"),"")</f>
        <v/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>$D$186</v>
      </c>
      <c r="E186" t="str" cm="1">
        <f t="array" aca="1" ref="E186" ca="1">IF('Raw Data'!E186="",_xlfn.REGEXEXTRACT(CELL("address",'Raw Data'!E186),"\$([A-Z]+)\$[0-9]+"),"")</f>
        <v>$E$186</v>
      </c>
      <c r="F186" t="str" cm="1">
        <f t="array" aca="1" ref="F186" ca="1">IF('Raw Data'!F186="",_xlfn.REGEXEXTRACT(CELL("address",'Raw Data'!F186),"\$([A-Z]+)\$[0-9]+"),"")</f>
        <v>$F$186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>$G$186</v>
      </c>
      <c r="I186" t="str" cm="1">
        <f t="array" aca="1" ref="I186" ca="1">IF('Raw Data'!H186="",_xlfn.REGEXEXTRACT(CELL("address",'Raw Data'!H186),"\$([A-Z]+)\$[0-9]+"),"")</f>
        <v/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>$D$187</v>
      </c>
      <c r="E187" t="str" cm="1">
        <f t="array" aca="1" ref="E187" ca="1">IF('Raw Data'!E187="",_xlfn.REGEXEXTRACT(CELL("address",'Raw Data'!E187),"\$([A-Z]+)\$[0-9]+"),"")</f>
        <v>$E$187</v>
      </c>
      <c r="F187" t="str" cm="1">
        <f t="array" aca="1" ref="F187" ca="1">IF('Raw Data'!F187="",_xlfn.REGEXEXTRACT(CELL("address",'Raw Data'!F187),"\$([A-Z]+)\$[0-9]+"),"")</f>
        <v>$F$187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>$G$187</v>
      </c>
      <c r="I187" t="str" cm="1">
        <f t="array" aca="1" ref="I187" ca="1">IF('Raw Data'!H187="",_xlfn.REGEXEXTRACT(CELL("address",'Raw Data'!H187),"\$([A-Z]+)\$[0-9]+"),"")</f>
        <v/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>$D$188</v>
      </c>
      <c r="E188" t="str" cm="1">
        <f t="array" aca="1" ref="E188" ca="1">IF('Raw Data'!E188="",_xlfn.REGEXEXTRACT(CELL("address",'Raw Data'!E188),"\$([A-Z]+)\$[0-9]+"),"")</f>
        <v>$E$188</v>
      </c>
      <c r="F188" t="str" cm="1">
        <f t="array" aca="1" ref="F188" ca="1">IF('Raw Data'!F188="",_xlfn.REGEXEXTRACT(CELL("address",'Raw Data'!F188),"\$([A-Z]+)\$[0-9]+"),"")</f>
        <v>$F$188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>$G$188</v>
      </c>
      <c r="I188" t="str" cm="1">
        <f t="array" aca="1" ref="I188" ca="1">IF('Raw Data'!H188="",_xlfn.REGEXEXTRACT(CELL("address",'Raw Data'!H188),"\$([A-Z]+)\$[0-9]+"),"")</f>
        <v/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>$D$189</v>
      </c>
      <c r="E189" t="str" cm="1">
        <f t="array" aca="1" ref="E189" ca="1">IF('Raw Data'!E189="",_xlfn.REGEXEXTRACT(CELL("address",'Raw Data'!E189),"\$([A-Z]+)\$[0-9]+"),"")</f>
        <v>$E$189</v>
      </c>
      <c r="F189" t="str" cm="1">
        <f t="array" aca="1" ref="F189" ca="1">IF('Raw Data'!F189="",_xlfn.REGEXEXTRACT(CELL("address",'Raw Data'!F189),"\$([A-Z]+)\$[0-9]+"),"")</f>
        <v>$F$189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>$G$189</v>
      </c>
      <c r="I189" t="str" cm="1">
        <f t="array" aca="1" ref="I189" ca="1">IF('Raw Data'!H189="",_xlfn.REGEXEXTRACT(CELL("address",'Raw Data'!H189),"\$([A-Z]+)\$[0-9]+"),"")</f>
        <v/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>$D$190</v>
      </c>
      <c r="E190" t="str" cm="1">
        <f t="array" aca="1" ref="E190" ca="1">IF('Raw Data'!E190="",_xlfn.REGEXEXTRACT(CELL("address",'Raw Data'!E190),"\$([A-Z]+)\$[0-9]+"),"")</f>
        <v>$E$190</v>
      </c>
      <c r="F190" t="str" cm="1">
        <f t="array" aca="1" ref="F190" ca="1">IF('Raw Data'!F190="",_xlfn.REGEXEXTRACT(CELL("address",'Raw Data'!F190),"\$([A-Z]+)\$[0-9]+"),"")</f>
        <v>$F$190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>$G$190</v>
      </c>
      <c r="I190" t="str" cm="1">
        <f t="array" aca="1" ref="I190" ca="1">IF('Raw Data'!H190="",_xlfn.REGEXEXTRACT(CELL("address",'Raw Data'!H190),"\$([A-Z]+)\$[0-9]+"),"")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>$D$191</v>
      </c>
      <c r="E191" t="str" cm="1">
        <f t="array" aca="1" ref="E191" ca="1">IF('Raw Data'!E191="",_xlfn.REGEXEXTRACT(CELL("address",'Raw Data'!E191),"\$([A-Z]+)\$[0-9]+"),"")</f>
        <v>$E$191</v>
      </c>
      <c r="F191" t="str" cm="1">
        <f t="array" aca="1" ref="F191" ca="1">IF('Raw Data'!F191="",_xlfn.REGEXEXTRACT(CELL("address",'Raw Data'!F191),"\$([A-Z]+)\$[0-9]+"),"")</f>
        <v>$F$191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>$G$191</v>
      </c>
      <c r="I191" t="str" cm="1">
        <f t="array" aca="1" ref="I191" ca="1">IF('Raw Data'!H191="",_xlfn.REGEXEXTRACT(CELL("address",'Raw Data'!H191),"\$([A-Z]+)\$[0-9]+"),"")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>$D$192</v>
      </c>
      <c r="E192" t="str" cm="1">
        <f t="array" aca="1" ref="E192" ca="1">IF('Raw Data'!E192="",_xlfn.REGEXEXTRACT(CELL("address",'Raw Data'!E192),"\$([A-Z]+)\$[0-9]+"),"")</f>
        <v>$E$192</v>
      </c>
      <c r="F192" t="str" cm="1">
        <f t="array" aca="1" ref="F192" ca="1">IF('Raw Data'!F192="",_xlfn.REGEXEXTRACT(CELL("address",'Raw Data'!F192),"\$([A-Z]+)\$[0-9]+"),"")</f>
        <v>$F$192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>$G$192</v>
      </c>
      <c r="I192" t="str" cm="1">
        <f t="array" aca="1" ref="I192" ca="1">IF('Raw Data'!H192="",_xlfn.REGEXEXTRACT(CELL("address",'Raw Data'!H192),"\$([A-Z]+)\$[0-9]+"),"")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>$D$193</v>
      </c>
      <c r="E193" t="str" cm="1">
        <f t="array" aca="1" ref="E193" ca="1">IF('Raw Data'!E193="",_xlfn.REGEXEXTRACT(CELL("address",'Raw Data'!E193),"\$([A-Z]+)\$[0-9]+"),"")</f>
        <v>$E$193</v>
      </c>
      <c r="F193" t="str" cm="1">
        <f t="array" aca="1" ref="F193" ca="1">IF('Raw Data'!F193="",_xlfn.REGEXEXTRACT(CELL("address",'Raw Data'!F193),"\$([A-Z]+)\$[0-9]+"),"")</f>
        <v>$F$193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>$G$193</v>
      </c>
      <c r="I193" t="str" cm="1">
        <f t="array" aca="1" ref="I193" ca="1">IF('Raw Data'!H193="",_xlfn.REGEXEXTRACT(CELL("address",'Raw Data'!H193),"\$([A-Z]+)\$[0-9]+"),"")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>$D$194</v>
      </c>
      <c r="E194" t="str" cm="1">
        <f t="array" aca="1" ref="E194" ca="1">IF('Raw Data'!E194="",_xlfn.REGEXEXTRACT(CELL("address",'Raw Data'!E194),"\$([A-Z]+)\$[0-9]+"),"")</f>
        <v>$E$194</v>
      </c>
      <c r="F194" t="str" cm="1">
        <f t="array" aca="1" ref="F194" ca="1">IF('Raw Data'!F194="",_xlfn.REGEXEXTRACT(CELL("address",'Raw Data'!F194),"\$([A-Z]+)\$[0-9]+"),"")</f>
        <v>$F$194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>$G$194</v>
      </c>
      <c r="I194" t="str" cm="1">
        <f t="array" aca="1" ref="I194" ca="1">IF('Raw Data'!H194="",_xlfn.REGEXEXTRACT(CELL("address",'Raw Data'!H194),"\$([A-Z]+)\$[0-9]+"),"")</f>
        <v/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>$D$195</v>
      </c>
      <c r="E195" t="str" cm="1">
        <f t="array" aca="1" ref="E195" ca="1">IF('Raw Data'!E195="",_xlfn.REGEXEXTRACT(CELL("address",'Raw Data'!E195),"\$([A-Z]+)\$[0-9]+"),"")</f>
        <v>$E$195</v>
      </c>
      <c r="F195" t="str" cm="1">
        <f t="array" aca="1" ref="F195" ca="1">IF('Raw Data'!F195="",_xlfn.REGEXEXTRACT(CELL("address",'Raw Data'!F195),"\$([A-Z]+)\$[0-9]+"),"")</f>
        <v>$F$195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>$G$195</v>
      </c>
      <c r="I195" t="str" cm="1">
        <f t="array" aca="1" ref="I195" ca="1">IF('Raw Data'!H195="",_xlfn.REGEXEXTRACT(CELL("address",'Raw Data'!H195),"\$([A-Z]+)\$[0-9]+"),"")</f>
        <v/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>$D$196</v>
      </c>
      <c r="E196" t="str" cm="1">
        <f t="array" aca="1" ref="E196" ca="1">IF('Raw Data'!E196="",_xlfn.REGEXEXTRACT(CELL("address",'Raw Data'!E196),"\$([A-Z]+)\$[0-9]+"),"")</f>
        <v>$E$196</v>
      </c>
      <c r="F196" t="str" cm="1">
        <f t="array" aca="1" ref="F196" ca="1">IF('Raw Data'!F196="",_xlfn.REGEXEXTRACT(CELL("address",'Raw Data'!F196),"\$([A-Z]+)\$[0-9]+"),"")</f>
        <v>$F$196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>$G$196</v>
      </c>
      <c r="I196" t="str" cm="1">
        <f t="array" aca="1" ref="I196" ca="1">IF('Raw Data'!H196="",_xlfn.REGEXEXTRACT(CELL("address",'Raw Data'!H196),"\$([A-Z]+)\$[0-9]+"),"")</f>
        <v/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>$D$197</v>
      </c>
      <c r="E197" t="str" cm="1">
        <f t="array" aca="1" ref="E197" ca="1">IF('Raw Data'!E197="",_xlfn.REGEXEXTRACT(CELL("address",'Raw Data'!E197),"\$([A-Z]+)\$[0-9]+"),"")</f>
        <v>$E$197</v>
      </c>
      <c r="F197" t="str" cm="1">
        <f t="array" aca="1" ref="F197" ca="1">IF('Raw Data'!F197="",_xlfn.REGEXEXTRACT(CELL("address",'Raw Data'!F197),"\$([A-Z]+)\$[0-9]+"),"")</f>
        <v>$F$197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>$G$197</v>
      </c>
      <c r="I197" t="str" cm="1">
        <f t="array" aca="1" ref="I197" ca="1">IF('Raw Data'!H197="",_xlfn.REGEXEXTRACT(CELL("address",'Raw Data'!H197),"\$([A-Z]+)\$[0-9]+"),"")</f>
        <v/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>$D$198</v>
      </c>
      <c r="E198" t="str" cm="1">
        <f t="array" aca="1" ref="E198" ca="1">IF('Raw Data'!E198="",_xlfn.REGEXEXTRACT(CELL("address",'Raw Data'!E198),"\$([A-Z]+)\$[0-9]+"),"")</f>
        <v>$E$198</v>
      </c>
      <c r="F198" t="str" cm="1">
        <f t="array" aca="1" ref="F198" ca="1">IF('Raw Data'!F198="",_xlfn.REGEXEXTRACT(CELL("address",'Raw Data'!F198),"\$([A-Z]+)\$[0-9]+"),"")</f>
        <v>$F$198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>$G$198</v>
      </c>
      <c r="I198" t="str" cm="1">
        <f t="array" aca="1" ref="I198" ca="1">IF('Raw Data'!H198="",_xlfn.REGEXEXTRACT(CELL("address",'Raw Data'!H198),"\$([A-Z]+)\$[0-9]+"),"")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>$D$199</v>
      </c>
      <c r="E199" t="str" cm="1">
        <f t="array" aca="1" ref="E199" ca="1">IF('Raw Data'!E199="",_xlfn.REGEXEXTRACT(CELL("address",'Raw Data'!E199),"\$([A-Z]+)\$[0-9]+"),"")</f>
        <v>$E$199</v>
      </c>
      <c r="F199" t="str" cm="1">
        <f t="array" aca="1" ref="F199" ca="1">IF('Raw Data'!F199="",_xlfn.REGEXEXTRACT(CELL("address",'Raw Data'!F199),"\$([A-Z]+)\$[0-9]+"),"")</f>
        <v>$F$199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>$G$199</v>
      </c>
      <c r="I199" t="str" cm="1">
        <f t="array" aca="1" ref="I199" ca="1">IF('Raw Data'!H199="",_xlfn.REGEXEXTRACT(CELL("address",'Raw Data'!H199),"\$([A-Z]+)\$[0-9]+"),"")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>$D$200</v>
      </c>
      <c r="E200" t="str" cm="1">
        <f t="array" aca="1" ref="E200" ca="1">IF('Raw Data'!E200="",_xlfn.REGEXEXTRACT(CELL("address",'Raw Data'!E200),"\$([A-Z]+)\$[0-9]+"),"")</f>
        <v>$E$200</v>
      </c>
      <c r="F200" t="str" cm="1">
        <f t="array" aca="1" ref="F200" ca="1">IF('Raw Data'!F200="",_xlfn.REGEXEXTRACT(CELL("address",'Raw Data'!F200),"\$([A-Z]+)\$[0-9]+"),"")</f>
        <v>$F$200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>$G$200</v>
      </c>
      <c r="I200" t="str" cm="1">
        <f t="array" aca="1" ref="I200" ca="1">IF('Raw Data'!H200="",_xlfn.REGEXEXTRACT(CELL("address",'Raw Data'!H200),"\$([A-Z]+)\$[0-9]+"),"")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>$D$201</v>
      </c>
      <c r="E201" t="str" cm="1">
        <f t="array" aca="1" ref="E201" ca="1">IF('Raw Data'!E201="",_xlfn.REGEXEXTRACT(CELL("address",'Raw Data'!E201),"\$([A-Z]+)\$[0-9]+"),"")</f>
        <v>$E$201</v>
      </c>
      <c r="F201" t="str" cm="1">
        <f t="array" aca="1" ref="F201" ca="1">IF('Raw Data'!F201="",_xlfn.REGEXEXTRACT(CELL("address",'Raw Data'!F201),"\$([A-Z]+)\$[0-9]+"),"")</f>
        <v>$F$201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>$G$201</v>
      </c>
      <c r="I201" t="str" cm="1">
        <f t="array" aca="1" ref="I201" ca="1">IF('Raw Data'!H201="",_xlfn.REGEXEXTRACT(CELL("address",'Raw Data'!H201),"\$([A-Z]+)\$[0-9]+"),"")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>$D$202</v>
      </c>
      <c r="E202" t="str" cm="1">
        <f t="array" aca="1" ref="E202" ca="1">IF('Raw Data'!E202="",_xlfn.REGEXEXTRACT(CELL("address",'Raw Data'!E202),"\$([A-Z]+)\$[0-9]+"),"")</f>
        <v>$E$202</v>
      </c>
      <c r="F202" t="str" cm="1">
        <f t="array" aca="1" ref="F202" ca="1">IF('Raw Data'!F202="",_xlfn.REGEXEXTRACT(CELL("address",'Raw Data'!F202),"\$([A-Z]+)\$[0-9]+"),"")</f>
        <v>$F$202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>$G$202</v>
      </c>
      <c r="I202" t="str" cm="1">
        <f t="array" aca="1" ref="I202" ca="1">IF('Raw Data'!H202="",_xlfn.REGEXEXTRACT(CELL("address",'Raw Data'!H202),"\$([A-Z]+)\$[0-9]+"),"")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>$D$203</v>
      </c>
      <c r="E203" t="str" cm="1">
        <f t="array" aca="1" ref="E203" ca="1">IF('Raw Data'!E203="",_xlfn.REGEXEXTRACT(CELL("address",'Raw Data'!E203),"\$([A-Z]+)\$[0-9]+"),"")</f>
        <v>$E$203</v>
      </c>
      <c r="F203" t="str" cm="1">
        <f t="array" aca="1" ref="F203" ca="1">IF('Raw Data'!F203="",_xlfn.REGEXEXTRACT(CELL("address",'Raw Data'!F203),"\$([A-Z]+)\$[0-9]+"),"")</f>
        <v>$F$203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>$G$203</v>
      </c>
      <c r="I203" t="str" cm="1">
        <f t="array" aca="1" ref="I203" ca="1">IF('Raw Data'!H203="",_xlfn.REGEXEXTRACT(CELL("address",'Raw Data'!H203),"\$([A-Z]+)\$[0-9]+"),"")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>$D$204</v>
      </c>
      <c r="E204" t="str" cm="1">
        <f t="array" aca="1" ref="E204" ca="1">IF('Raw Data'!E204="",_xlfn.REGEXEXTRACT(CELL("address",'Raw Data'!E204),"\$([A-Z]+)\$[0-9]+"),"")</f>
        <v>$E$204</v>
      </c>
      <c r="F204" t="str" cm="1">
        <f t="array" aca="1" ref="F204" ca="1">IF('Raw Data'!F204="",_xlfn.REGEXEXTRACT(CELL("address",'Raw Data'!F204),"\$([A-Z]+)\$[0-9]+"),"")</f>
        <v>$F$204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>$G$204</v>
      </c>
      <c r="I204" t="str" cm="1">
        <f t="array" aca="1" ref="I204" ca="1">IF('Raw Data'!H204="",_xlfn.REGEXEXTRACT(CELL("address",'Raw Data'!H204),"\$([A-Z]+)\$[0-9]+"),"")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>$D$205</v>
      </c>
      <c r="E205" t="str" cm="1">
        <f t="array" aca="1" ref="E205" ca="1">IF('Raw Data'!E205="",_xlfn.REGEXEXTRACT(CELL("address",'Raw Data'!E205),"\$([A-Z]+)\$[0-9]+"),"")</f>
        <v>$E$205</v>
      </c>
      <c r="F205" t="str" cm="1">
        <f t="array" aca="1" ref="F205" ca="1">IF('Raw Data'!F205="",_xlfn.REGEXEXTRACT(CELL("address",'Raw Data'!F205),"\$([A-Z]+)\$[0-9]+"),"")</f>
        <v>$F$205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>$G$205</v>
      </c>
      <c r="I205" t="str" cm="1">
        <f t="array" aca="1" ref="I205" ca="1">IF('Raw Data'!H205="",_xlfn.REGEXEXTRACT(CELL("address",'Raw Data'!H205),"\$([A-Z]+)\$[0-9]+"),"")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>$D$206</v>
      </c>
      <c r="E206" t="str" cm="1">
        <f t="array" aca="1" ref="E206" ca="1">IF('Raw Data'!E206="",_xlfn.REGEXEXTRACT(CELL("address",'Raw Data'!E206),"\$([A-Z]+)\$[0-9]+"),"")</f>
        <v>$E$206</v>
      </c>
      <c r="F206" t="str" cm="1">
        <f t="array" aca="1" ref="F206" ca="1">IF('Raw Data'!F206="",_xlfn.REGEXEXTRACT(CELL("address",'Raw Data'!F206),"\$([A-Z]+)\$[0-9]+"),"")</f>
        <v>$F$206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>$G$206</v>
      </c>
      <c r="I206" t="str" cm="1">
        <f t="array" aca="1" ref="I206" ca="1">IF('Raw Data'!H206="",_xlfn.REGEXEXTRACT(CELL("address",'Raw Data'!H206),"\$([A-Z]+)\$[0-9]+"),"")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>$D$207</v>
      </c>
      <c r="E207" t="str" cm="1">
        <f t="array" aca="1" ref="E207" ca="1">IF('Raw Data'!E207="",_xlfn.REGEXEXTRACT(CELL("address",'Raw Data'!E207),"\$([A-Z]+)\$[0-9]+"),"")</f>
        <v>$E$207</v>
      </c>
      <c r="F207" t="str" cm="1">
        <f t="array" aca="1" ref="F207" ca="1">IF('Raw Data'!F207="",_xlfn.REGEXEXTRACT(CELL("address",'Raw Data'!F207),"\$([A-Z]+)\$[0-9]+"),"")</f>
        <v>$F$207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>$G$207</v>
      </c>
      <c r="I207" t="str" cm="1">
        <f t="array" aca="1" ref="I207" ca="1">IF('Raw Data'!H207="",_xlfn.REGEXEXTRACT(CELL("address",'Raw Data'!H207),"\$([A-Z]+)\$[0-9]+"),"")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>$D$208</v>
      </c>
      <c r="E208" t="str" cm="1">
        <f t="array" aca="1" ref="E208" ca="1">IF('Raw Data'!E208="",_xlfn.REGEXEXTRACT(CELL("address",'Raw Data'!E208),"\$([A-Z]+)\$[0-9]+"),"")</f>
        <v>$E$208</v>
      </c>
      <c r="F208" t="str" cm="1">
        <f t="array" aca="1" ref="F208" ca="1">IF('Raw Data'!F208="",_xlfn.REGEXEXTRACT(CELL("address",'Raw Data'!F208),"\$([A-Z]+)\$[0-9]+"),"")</f>
        <v>$F$208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>$G$208</v>
      </c>
      <c r="I208" t="str" cm="1">
        <f t="array" aca="1" ref="I208" ca="1">IF('Raw Data'!H208="",_xlfn.REGEXEXTRACT(CELL("address",'Raw Data'!H208),"\$([A-Z]+)\$[0-9]+"),"")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>$D$209</v>
      </c>
      <c r="E209" t="str" cm="1">
        <f t="array" aca="1" ref="E209" ca="1">IF('Raw Data'!E209="",_xlfn.REGEXEXTRACT(CELL("address",'Raw Data'!E209),"\$([A-Z]+)\$[0-9]+"),"")</f>
        <v>$E$209</v>
      </c>
      <c r="F209" t="str" cm="1">
        <f t="array" aca="1" ref="F209" ca="1">IF('Raw Data'!F209="",_xlfn.REGEXEXTRACT(CELL("address",'Raw Data'!F209),"\$([A-Z]+)\$[0-9]+"),"")</f>
        <v>$F$209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>$G$209</v>
      </c>
      <c r="I209" t="str" cm="1">
        <f t="array" aca="1" ref="I209" ca="1">IF('Raw Data'!H209="",_xlfn.REGEXEXTRACT(CELL("address",'Raw Data'!H209),"\$([A-Z]+)\$[0-9]+"),"")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>$D$210</v>
      </c>
      <c r="E210" t="str" cm="1">
        <f t="array" aca="1" ref="E210" ca="1">IF('Raw Data'!E210="",_xlfn.REGEXEXTRACT(CELL("address",'Raw Data'!E210),"\$([A-Z]+)\$[0-9]+"),"")</f>
        <v>$E$210</v>
      </c>
      <c r="F210" t="str" cm="1">
        <f t="array" aca="1" ref="F210" ca="1">IF('Raw Data'!F210="",_xlfn.REGEXEXTRACT(CELL("address",'Raw Data'!F210),"\$([A-Z]+)\$[0-9]+"),"")</f>
        <v>$F$210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>$G$210</v>
      </c>
      <c r="I210" t="str" cm="1">
        <f t="array" aca="1" ref="I210" ca="1">IF('Raw Data'!H210="",_xlfn.REGEXEXTRACT(CELL("address",'Raw Data'!H210),"\$([A-Z]+)\$[0-9]+"),"")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>$D$211</v>
      </c>
      <c r="E211" t="str" cm="1">
        <f t="array" aca="1" ref="E211" ca="1">IF('Raw Data'!E211="",_xlfn.REGEXEXTRACT(CELL("address",'Raw Data'!E211),"\$([A-Z]+)\$[0-9]+"),"")</f>
        <v>$E$211</v>
      </c>
      <c r="F211" t="str" cm="1">
        <f t="array" aca="1" ref="F211" ca="1">IF('Raw Data'!F211="",_xlfn.REGEXEXTRACT(CELL("address",'Raw Data'!F211),"\$([A-Z]+)\$[0-9]+"),"")</f>
        <v>$F$211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>$G$211</v>
      </c>
      <c r="I211" t="str" cm="1">
        <f t="array" aca="1" ref="I211" ca="1">IF('Raw Data'!H211="",_xlfn.REGEXEXTRACT(CELL("address",'Raw Data'!H211),"\$([A-Z]+)\$[0-9]+"),"")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>$D$212</v>
      </c>
      <c r="E212" t="str" cm="1">
        <f t="array" aca="1" ref="E212" ca="1">IF('Raw Data'!E212="",_xlfn.REGEXEXTRACT(CELL("address",'Raw Data'!E212),"\$([A-Z]+)\$[0-9]+"),"")</f>
        <v>$E$212</v>
      </c>
      <c r="F212" t="str" cm="1">
        <f t="array" aca="1" ref="F212" ca="1">IF('Raw Data'!F212="",_xlfn.REGEXEXTRACT(CELL("address",'Raw Data'!F212),"\$([A-Z]+)\$[0-9]+"),"")</f>
        <v>$F$212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>$G$212</v>
      </c>
      <c r="I212" t="str" cm="1">
        <f t="array" aca="1" ref="I212" ca="1">IF('Raw Data'!H212="",_xlfn.REGEXEXTRACT(CELL("address",'Raw Data'!H212),"\$([A-Z]+)\$[0-9]+"),"")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>$D$213</v>
      </c>
      <c r="E213" t="str" cm="1">
        <f t="array" aca="1" ref="E213" ca="1">IF('Raw Data'!E213="",_xlfn.REGEXEXTRACT(CELL("address",'Raw Data'!E213),"\$([A-Z]+)\$[0-9]+"),"")</f>
        <v>$E$213</v>
      </c>
      <c r="F213" t="str" cm="1">
        <f t="array" aca="1" ref="F213" ca="1">IF('Raw Data'!F213="",_xlfn.REGEXEXTRACT(CELL("address",'Raw Data'!F213),"\$([A-Z]+)\$[0-9]+"),"")</f>
        <v>$F$213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>$G$213</v>
      </c>
      <c r="I213" t="str" cm="1">
        <f t="array" aca="1" ref="I213" ca="1">IF('Raw Data'!H213="",_xlfn.REGEXEXTRACT(CELL("address",'Raw Data'!H213),"\$([A-Z]+)\$[0-9]+"),"")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>$D$214</v>
      </c>
      <c r="E214" t="str" cm="1">
        <f t="array" aca="1" ref="E214" ca="1">IF('Raw Data'!E214="",_xlfn.REGEXEXTRACT(CELL("address",'Raw Data'!E214),"\$([A-Z]+)\$[0-9]+"),"")</f>
        <v>$E$214</v>
      </c>
      <c r="F214" t="str" cm="1">
        <f t="array" aca="1" ref="F214" ca="1">IF('Raw Data'!F214="",_xlfn.REGEXEXTRACT(CELL("address",'Raw Data'!F214),"\$([A-Z]+)\$[0-9]+"),"")</f>
        <v>$F$214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>$G$214</v>
      </c>
      <c r="I214" t="str" cm="1">
        <f t="array" aca="1" ref="I214" ca="1">IF('Raw Data'!H214="",_xlfn.REGEXEXTRACT(CELL("address",'Raw Data'!H214),"\$([A-Z]+)\$[0-9]+"),"")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>$D$215</v>
      </c>
      <c r="E215" t="str" cm="1">
        <f t="array" aca="1" ref="E215" ca="1">IF('Raw Data'!E215="",_xlfn.REGEXEXTRACT(CELL("address",'Raw Data'!E215),"\$([A-Z]+)\$[0-9]+"),"")</f>
        <v>$E$215</v>
      </c>
      <c r="F215" t="str" cm="1">
        <f t="array" aca="1" ref="F215" ca="1">IF('Raw Data'!F215="",_xlfn.REGEXEXTRACT(CELL("address",'Raw Data'!F215),"\$([A-Z]+)\$[0-9]+"),"")</f>
        <v>$F$215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>$G$215</v>
      </c>
      <c r="I215" t="str" cm="1">
        <f t="array" aca="1" ref="I215" ca="1">IF('Raw Data'!H215="",_xlfn.REGEXEXTRACT(CELL("address",'Raw Data'!H215),"\$([A-Z]+)\$[0-9]+"),"")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>$D$216</v>
      </c>
      <c r="E216" t="str" cm="1">
        <f t="array" aca="1" ref="E216" ca="1">IF('Raw Data'!E216="",_xlfn.REGEXEXTRACT(CELL("address",'Raw Data'!E216),"\$([A-Z]+)\$[0-9]+"),"")</f>
        <v>$E$216</v>
      </c>
      <c r="F216" t="str" cm="1">
        <f t="array" aca="1" ref="F216" ca="1">IF('Raw Data'!F216="",_xlfn.REGEXEXTRACT(CELL("address",'Raw Data'!F216),"\$([A-Z]+)\$[0-9]+"),"")</f>
        <v>$F$216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>$G$216</v>
      </c>
      <c r="I216" t="str" cm="1">
        <f t="array" aca="1" ref="I216" ca="1">IF('Raw Data'!H216="",_xlfn.REGEXEXTRACT(CELL("address",'Raw Data'!H216),"\$([A-Z]+)\$[0-9]+"),"")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>$D$217</v>
      </c>
      <c r="E217" t="str" cm="1">
        <f t="array" aca="1" ref="E217" ca="1">IF('Raw Data'!E217="",_xlfn.REGEXEXTRACT(CELL("address",'Raw Data'!E217),"\$([A-Z]+)\$[0-9]+"),"")</f>
        <v>$E$217</v>
      </c>
      <c r="F217" t="str" cm="1">
        <f t="array" aca="1" ref="F217" ca="1">IF('Raw Data'!F217="",_xlfn.REGEXEXTRACT(CELL("address",'Raw Data'!F217),"\$([A-Z]+)\$[0-9]+"),"")</f>
        <v>$F$217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>$G$217</v>
      </c>
      <c r="I217" t="str" cm="1">
        <f t="array" aca="1" ref="I217" ca="1">IF('Raw Data'!H217="",_xlfn.REGEXEXTRACT(CELL("address",'Raw Data'!H217),"\$([A-Z]+)\$[0-9]+"),"")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>$D$218</v>
      </c>
      <c r="E218" t="str" cm="1">
        <f t="array" aca="1" ref="E218" ca="1">IF('Raw Data'!E218="",_xlfn.REGEXEXTRACT(CELL("address",'Raw Data'!E218),"\$([A-Z]+)\$[0-9]+"),"")</f>
        <v>$E$218</v>
      </c>
      <c r="F218" t="str" cm="1">
        <f t="array" aca="1" ref="F218" ca="1">IF('Raw Data'!F218="",_xlfn.REGEXEXTRACT(CELL("address",'Raw Data'!F218),"\$([A-Z]+)\$[0-9]+"),"")</f>
        <v>$F$218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>$G$218</v>
      </c>
      <c r="I218" t="str" cm="1">
        <f t="array" aca="1" ref="I218" ca="1">IF('Raw Data'!H218="",_xlfn.REGEXEXTRACT(CELL("address",'Raw Data'!H218),"\$([A-Z]+)\$[0-9]+"),"")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>$D$219</v>
      </c>
      <c r="E219" t="str" cm="1">
        <f t="array" aca="1" ref="E219" ca="1">IF('Raw Data'!E219="",_xlfn.REGEXEXTRACT(CELL("address",'Raw Data'!E219),"\$([A-Z]+)\$[0-9]+"),"")</f>
        <v>$E$219</v>
      </c>
      <c r="F219" t="str" cm="1">
        <f t="array" aca="1" ref="F219" ca="1">IF('Raw Data'!F219="",_xlfn.REGEXEXTRACT(CELL("address",'Raw Data'!F219),"\$([A-Z]+)\$[0-9]+"),"")</f>
        <v>$F$219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>$G$219</v>
      </c>
      <c r="I219" t="str" cm="1">
        <f t="array" aca="1" ref="I219" ca="1">IF('Raw Data'!H219="",_xlfn.REGEXEXTRACT(CELL("address",'Raw Data'!H219),"\$([A-Z]+)\$[0-9]+"),"")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>$D$220</v>
      </c>
      <c r="E220" t="str" cm="1">
        <f t="array" aca="1" ref="E220" ca="1">IF('Raw Data'!E220="",_xlfn.REGEXEXTRACT(CELL("address",'Raw Data'!E220),"\$([A-Z]+)\$[0-9]+"),"")</f>
        <v>$E$220</v>
      </c>
      <c r="F220" t="str" cm="1">
        <f t="array" aca="1" ref="F220" ca="1">IF('Raw Data'!F220="",_xlfn.REGEXEXTRACT(CELL("address",'Raw Data'!F220),"\$([A-Z]+)\$[0-9]+"),"")</f>
        <v>$F$220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>$G$220</v>
      </c>
      <c r="I220" t="str" cm="1">
        <f t="array" aca="1" ref="I220" ca="1">IF('Raw Data'!H220="",_xlfn.REGEXEXTRACT(CELL("address",'Raw Data'!H220),"\$([A-Z]+)\$[0-9]+"),"")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>$D$221</v>
      </c>
      <c r="E221" t="str" cm="1">
        <f t="array" aca="1" ref="E221" ca="1">IF('Raw Data'!E221="",_xlfn.REGEXEXTRACT(CELL("address",'Raw Data'!E221),"\$([A-Z]+)\$[0-9]+"),"")</f>
        <v>$E$221</v>
      </c>
      <c r="F221" t="str" cm="1">
        <f t="array" aca="1" ref="F221" ca="1">IF('Raw Data'!F221="",_xlfn.REGEXEXTRACT(CELL("address",'Raw Data'!F221),"\$([A-Z]+)\$[0-9]+"),"")</f>
        <v>$F$221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>$G$221</v>
      </c>
      <c r="I221" t="str" cm="1">
        <f t="array" aca="1" ref="I221" ca="1">IF('Raw Data'!H221="",_xlfn.REGEXEXTRACT(CELL("address",'Raw Data'!H221),"\$([A-Z]+)\$[0-9]+"),"")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>$D$222</v>
      </c>
      <c r="E222" t="str" cm="1">
        <f t="array" aca="1" ref="E222" ca="1">IF('Raw Data'!E222="",_xlfn.REGEXEXTRACT(CELL("address",'Raw Data'!E222),"\$([A-Z]+)\$[0-9]+"),"")</f>
        <v>$E$222</v>
      </c>
      <c r="F222" t="str" cm="1">
        <f t="array" aca="1" ref="F222" ca="1">IF('Raw Data'!F222="",_xlfn.REGEXEXTRACT(CELL("address",'Raw Data'!F222),"\$([A-Z]+)\$[0-9]+"),"")</f>
        <v>$F$222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>$G$222</v>
      </c>
      <c r="I222" t="str" cm="1">
        <f t="array" aca="1" ref="I222" ca="1">IF('Raw Data'!H222="",_xlfn.REGEXEXTRACT(CELL("address",'Raw Data'!H222),"\$([A-Z]+)\$[0-9]+"),"")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>$D$223</v>
      </c>
      <c r="E223" t="str" cm="1">
        <f t="array" aca="1" ref="E223" ca="1">IF('Raw Data'!E223="",_xlfn.REGEXEXTRACT(CELL("address",'Raw Data'!E223),"\$([A-Z]+)\$[0-9]+"),"")</f>
        <v>$E$223</v>
      </c>
      <c r="F223" t="str" cm="1">
        <f t="array" aca="1" ref="F223" ca="1">IF('Raw Data'!F223="",_xlfn.REGEXEXTRACT(CELL("address",'Raw Data'!F223),"\$([A-Z]+)\$[0-9]+"),"")</f>
        <v>$F$223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>$G$223</v>
      </c>
      <c r="I223" t="str" cm="1">
        <f t="array" aca="1" ref="I223" ca="1">IF('Raw Data'!H223="",_xlfn.REGEXEXTRACT(CELL("address",'Raw Data'!H223),"\$([A-Z]+)\$[0-9]+"),"")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>$D$224</v>
      </c>
      <c r="E224" t="str" cm="1">
        <f t="array" aca="1" ref="E224" ca="1">IF('Raw Data'!E224="",_xlfn.REGEXEXTRACT(CELL("address",'Raw Data'!E224),"\$([A-Z]+)\$[0-9]+"),"")</f>
        <v>$E$224</v>
      </c>
      <c r="F224" t="str" cm="1">
        <f t="array" aca="1" ref="F224" ca="1">IF('Raw Data'!F224="",_xlfn.REGEXEXTRACT(CELL("address",'Raw Data'!F224),"\$([A-Z]+)\$[0-9]+"),"")</f>
        <v>$F$224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>$G$224</v>
      </c>
      <c r="I224" t="str" cm="1">
        <f t="array" aca="1" ref="I224" ca="1">IF('Raw Data'!H224="",_xlfn.REGEXEXTRACT(CELL("address",'Raw Data'!H224),"\$([A-Z]+)\$[0-9]+"),"")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>$D$225</v>
      </c>
      <c r="E225" t="str" cm="1">
        <f t="array" aca="1" ref="E225" ca="1">IF('Raw Data'!E225="",_xlfn.REGEXEXTRACT(CELL("address",'Raw Data'!E225),"\$([A-Z]+)\$[0-9]+"),"")</f>
        <v>$E$225</v>
      </c>
      <c r="F225" t="str" cm="1">
        <f t="array" aca="1" ref="F225" ca="1">IF('Raw Data'!F225="",_xlfn.REGEXEXTRACT(CELL("address",'Raw Data'!F225),"\$([A-Z]+)\$[0-9]+"),"")</f>
        <v>$F$225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>$G$225</v>
      </c>
      <c r="I225" t="str" cm="1">
        <f t="array" aca="1" ref="I225" ca="1">IF('Raw Data'!H225="",_xlfn.REGEXEXTRACT(CELL("address",'Raw Data'!H225),"\$([A-Z]+)\$[0-9]+"),"")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>$D$226</v>
      </c>
      <c r="E226" t="str" cm="1">
        <f t="array" aca="1" ref="E226" ca="1">IF('Raw Data'!E226="",_xlfn.REGEXEXTRACT(CELL("address",'Raw Data'!E226),"\$([A-Z]+)\$[0-9]+"),"")</f>
        <v>$E$226</v>
      </c>
      <c r="F226" t="str" cm="1">
        <f t="array" aca="1" ref="F226" ca="1">IF('Raw Data'!F226="",_xlfn.REGEXEXTRACT(CELL("address",'Raw Data'!F226),"\$([A-Z]+)\$[0-9]+"),"")</f>
        <v>$F$226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>$G$226</v>
      </c>
      <c r="I226" t="str" cm="1">
        <f t="array" aca="1" ref="I226" ca="1">IF('Raw Data'!H226="",_xlfn.REGEXEXTRACT(CELL("address",'Raw Data'!H226),"\$([A-Z]+)\$[0-9]+"),"")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>$D$227</v>
      </c>
      <c r="E227" t="str" cm="1">
        <f t="array" aca="1" ref="E227" ca="1">IF('Raw Data'!E227="",_xlfn.REGEXEXTRACT(CELL("address",'Raw Data'!E227),"\$([A-Z]+)\$[0-9]+"),"")</f>
        <v>$E$227</v>
      </c>
      <c r="F227" t="str" cm="1">
        <f t="array" aca="1" ref="F227" ca="1">IF('Raw Data'!F227="",_xlfn.REGEXEXTRACT(CELL("address",'Raw Data'!F227),"\$([A-Z]+)\$[0-9]+"),"")</f>
        <v>$F$227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>$G$227</v>
      </c>
      <c r="I227" t="str" cm="1">
        <f t="array" aca="1" ref="I227" ca="1">IF('Raw Data'!H227="",_xlfn.REGEXEXTRACT(CELL("address",'Raw Data'!H227),"\$([A-Z]+)\$[0-9]+"),"")</f>
        <v/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>$D$228</v>
      </c>
      <c r="E228" t="str" cm="1">
        <f t="array" aca="1" ref="E228" ca="1">IF('Raw Data'!E228="",_xlfn.REGEXEXTRACT(CELL("address",'Raw Data'!E228),"\$([A-Z]+)\$[0-9]+"),"")</f>
        <v>$E$228</v>
      </c>
      <c r="F228" t="str" cm="1">
        <f t="array" aca="1" ref="F228" ca="1">IF('Raw Data'!F228="",_xlfn.REGEXEXTRACT(CELL("address",'Raw Data'!F228),"\$([A-Z]+)\$[0-9]+"),"")</f>
        <v>$F$228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>$G$228</v>
      </c>
      <c r="I228" t="str" cm="1">
        <f t="array" aca="1" ref="I228" ca="1">IF('Raw Data'!H228="",_xlfn.REGEXEXTRACT(CELL("address",'Raw Data'!H228),"\$([A-Z]+)\$[0-9]+"),"")</f>
        <v/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>$D$229</v>
      </c>
      <c r="E229" t="str" cm="1">
        <f t="array" aca="1" ref="E229" ca="1">IF('Raw Data'!E229="",_xlfn.REGEXEXTRACT(CELL("address",'Raw Data'!E229),"\$([A-Z]+)\$[0-9]+"),"")</f>
        <v>$E$229</v>
      </c>
      <c r="F229" t="str" cm="1">
        <f t="array" aca="1" ref="F229" ca="1">IF('Raw Data'!F229="",_xlfn.REGEXEXTRACT(CELL("address",'Raw Data'!F229),"\$([A-Z]+)\$[0-9]+"),"")</f>
        <v>$F$229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>$G$229</v>
      </c>
      <c r="I229" t="str" cm="1">
        <f t="array" aca="1" ref="I229" ca="1">IF('Raw Data'!H229="",_xlfn.REGEXEXTRACT(CELL("address",'Raw Data'!H229),"\$([A-Z]+)\$[0-9]+"),"")</f>
        <v/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>$D$230</v>
      </c>
      <c r="E230" t="str" cm="1">
        <f t="array" aca="1" ref="E230" ca="1">IF('Raw Data'!E230="",_xlfn.REGEXEXTRACT(CELL("address",'Raw Data'!E230),"\$([A-Z]+)\$[0-9]+"),"")</f>
        <v>$E$230</v>
      </c>
      <c r="F230" t="str" cm="1">
        <f t="array" aca="1" ref="F230" ca="1">IF('Raw Data'!F230="",_xlfn.REGEXEXTRACT(CELL("address",'Raw Data'!F230),"\$([A-Z]+)\$[0-9]+"),"")</f>
        <v>$F$230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>$G$230</v>
      </c>
      <c r="I230" t="str" cm="1">
        <f t="array" aca="1" ref="I230" ca="1">IF('Raw Data'!H230="",_xlfn.REGEXEXTRACT(CELL("address",'Raw Data'!H230),"\$([A-Z]+)\$[0-9]+"),"")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>$D$231</v>
      </c>
      <c r="E231" t="str" cm="1">
        <f t="array" aca="1" ref="E231" ca="1">IF('Raw Data'!E231="",_xlfn.REGEXEXTRACT(CELL("address",'Raw Data'!E231),"\$([A-Z]+)\$[0-9]+"),"")</f>
        <v>$E$231</v>
      </c>
      <c r="F231" t="str" cm="1">
        <f t="array" aca="1" ref="F231" ca="1">IF('Raw Data'!F231="",_xlfn.REGEXEXTRACT(CELL("address",'Raw Data'!F231),"\$([A-Z]+)\$[0-9]+"),"")</f>
        <v>$F$231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>$G$231</v>
      </c>
      <c r="I231" t="str" cm="1">
        <f t="array" aca="1" ref="I231" ca="1">IF('Raw Data'!H231="",_xlfn.REGEXEXTRACT(CELL("address",'Raw Data'!H231),"\$([A-Z]+)\$[0-9]+"),"")</f>
        <v/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>$D$232</v>
      </c>
      <c r="E232" t="str" cm="1">
        <f t="array" aca="1" ref="E232" ca="1">IF('Raw Data'!E232="",_xlfn.REGEXEXTRACT(CELL("address",'Raw Data'!E232),"\$([A-Z]+)\$[0-9]+"),"")</f>
        <v>$E$232</v>
      </c>
      <c r="F232" t="str" cm="1">
        <f t="array" aca="1" ref="F232" ca="1">IF('Raw Data'!F232="",_xlfn.REGEXEXTRACT(CELL("address",'Raw Data'!F232),"\$([A-Z]+)\$[0-9]+"),"")</f>
        <v>$F$232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>$G$232</v>
      </c>
      <c r="I232" t="str" cm="1">
        <f t="array" aca="1" ref="I232" ca="1">IF('Raw Data'!H232="",_xlfn.REGEXEXTRACT(CELL("address",'Raw Data'!H232),"\$([A-Z]+)\$[0-9]+"),"")</f>
        <v/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>$D$233</v>
      </c>
      <c r="E233" t="str" cm="1">
        <f t="array" aca="1" ref="E233" ca="1">IF('Raw Data'!E233="",_xlfn.REGEXEXTRACT(CELL("address",'Raw Data'!E233),"\$([A-Z]+)\$[0-9]+"),"")</f>
        <v>$E$233</v>
      </c>
      <c r="F233" t="str" cm="1">
        <f t="array" aca="1" ref="F233" ca="1">IF('Raw Data'!F233="",_xlfn.REGEXEXTRACT(CELL("address",'Raw Data'!F233),"\$([A-Z]+)\$[0-9]+"),"")</f>
        <v>$F$233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>$G$233</v>
      </c>
      <c r="I233" t="str" cm="1">
        <f t="array" aca="1" ref="I233" ca="1">IF('Raw Data'!H233="",_xlfn.REGEXEXTRACT(CELL("address",'Raw Data'!H233),"\$([A-Z]+)\$[0-9]+"),"")</f>
        <v/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>$D$234</v>
      </c>
      <c r="E234" t="str" cm="1">
        <f t="array" aca="1" ref="E234" ca="1">IF('Raw Data'!E234="",_xlfn.REGEXEXTRACT(CELL("address",'Raw Data'!E234),"\$([A-Z]+)\$[0-9]+"),"")</f>
        <v>$E$234</v>
      </c>
      <c r="F234" t="str" cm="1">
        <f t="array" aca="1" ref="F234" ca="1">IF('Raw Data'!F234="",_xlfn.REGEXEXTRACT(CELL("address",'Raw Data'!F234),"\$([A-Z]+)\$[0-9]+"),"")</f>
        <v>$F$234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>$G$234</v>
      </c>
      <c r="I234" t="str" cm="1">
        <f t="array" aca="1" ref="I234" ca="1">IF('Raw Data'!H234="",_xlfn.REGEXEXTRACT(CELL("address",'Raw Data'!H234),"\$([A-Z]+)\$[0-9]+"),"")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>$D$235</v>
      </c>
      <c r="E235" t="str" cm="1">
        <f t="array" aca="1" ref="E235" ca="1">IF('Raw Data'!E235="",_xlfn.REGEXEXTRACT(CELL("address",'Raw Data'!E235),"\$([A-Z]+)\$[0-9]+"),"")</f>
        <v>$E$235</v>
      </c>
      <c r="F235" t="str" cm="1">
        <f t="array" aca="1" ref="F235" ca="1">IF('Raw Data'!F235="",_xlfn.REGEXEXTRACT(CELL("address",'Raw Data'!F235),"\$([A-Z]+)\$[0-9]+"),"")</f>
        <v>$F$235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>$G$235</v>
      </c>
      <c r="I235" t="str" cm="1">
        <f t="array" aca="1" ref="I235" ca="1">IF('Raw Data'!H235="",_xlfn.REGEXEXTRACT(CELL("address",'Raw Data'!H235),"\$([A-Z]+)\$[0-9]+"),"")</f>
        <v/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>$D$236</v>
      </c>
      <c r="E236" t="str" cm="1">
        <f t="array" aca="1" ref="E236" ca="1">IF('Raw Data'!E236="",_xlfn.REGEXEXTRACT(CELL("address",'Raw Data'!E236),"\$([A-Z]+)\$[0-9]+"),"")</f>
        <v>$E$236</v>
      </c>
      <c r="F236" t="str" cm="1">
        <f t="array" aca="1" ref="F236" ca="1">IF('Raw Data'!F236="",_xlfn.REGEXEXTRACT(CELL("address",'Raw Data'!F236),"\$([A-Z]+)\$[0-9]+"),"")</f>
        <v>$F$236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>$G$236</v>
      </c>
      <c r="I236" t="str" cm="1">
        <f t="array" aca="1" ref="I236" ca="1">IF('Raw Data'!H236="",_xlfn.REGEXEXTRACT(CELL("address",'Raw Data'!H236),"\$([A-Z]+)\$[0-9]+"),"")</f>
        <v/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>$D$237</v>
      </c>
      <c r="E237" t="str" cm="1">
        <f t="array" aca="1" ref="E237" ca="1">IF('Raw Data'!E237="",_xlfn.REGEXEXTRACT(CELL("address",'Raw Data'!E237),"\$([A-Z]+)\$[0-9]+"),"")</f>
        <v>$E$237</v>
      </c>
      <c r="F237" t="str" cm="1">
        <f t="array" aca="1" ref="F237" ca="1">IF('Raw Data'!F237="",_xlfn.REGEXEXTRACT(CELL("address",'Raw Data'!F237),"\$([A-Z]+)\$[0-9]+"),"")</f>
        <v>$F$237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>$G$237</v>
      </c>
      <c r="I237" t="str" cm="1">
        <f t="array" aca="1" ref="I237" ca="1">IF('Raw Data'!H237="",_xlfn.REGEXEXTRACT(CELL("address",'Raw Data'!H237),"\$([A-Z]+)\$[0-9]+"),"")</f>
        <v/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>$D$238</v>
      </c>
      <c r="E238" t="str" cm="1">
        <f t="array" aca="1" ref="E238" ca="1">IF('Raw Data'!E238="",_xlfn.REGEXEXTRACT(CELL("address",'Raw Data'!E238),"\$([A-Z]+)\$[0-9]+"),"")</f>
        <v>$E$238</v>
      </c>
      <c r="F238" t="str" cm="1">
        <f t="array" aca="1" ref="F238" ca="1">IF('Raw Data'!F238="",_xlfn.REGEXEXTRACT(CELL("address",'Raw Data'!F238),"\$([A-Z]+)\$[0-9]+"),"")</f>
        <v>$F$238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>$G$238</v>
      </c>
      <c r="I238" t="str" cm="1">
        <f t="array" aca="1" ref="I238" ca="1">IF('Raw Data'!H238="",_xlfn.REGEXEXTRACT(CELL("address",'Raw Data'!H238),"\$([A-Z]+)\$[0-9]+"),"")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>$D$239</v>
      </c>
      <c r="E239" t="str" cm="1">
        <f t="array" aca="1" ref="E239" ca="1">IF('Raw Data'!E239="",_xlfn.REGEXEXTRACT(CELL("address",'Raw Data'!E239),"\$([A-Z]+)\$[0-9]+"),"")</f>
        <v>$E$239</v>
      </c>
      <c r="F239" t="str" cm="1">
        <f t="array" aca="1" ref="F239" ca="1">IF('Raw Data'!F239="",_xlfn.REGEXEXTRACT(CELL("address",'Raw Data'!F239),"\$([A-Z]+)\$[0-9]+"),"")</f>
        <v>$F$239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>$G$239</v>
      </c>
      <c r="I239" t="str" cm="1">
        <f t="array" aca="1" ref="I239" ca="1">IF('Raw Data'!H239="",_xlfn.REGEXEXTRACT(CELL("address",'Raw Data'!H239),"\$([A-Z]+)\$[0-9]+"),"")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>$D$240</v>
      </c>
      <c r="E240" t="str" cm="1">
        <f t="array" aca="1" ref="E240" ca="1">IF('Raw Data'!E240="",_xlfn.REGEXEXTRACT(CELL("address",'Raw Data'!E240),"\$([A-Z]+)\$[0-9]+"),"")</f>
        <v>$E$240</v>
      </c>
      <c r="F240" t="str" cm="1">
        <f t="array" aca="1" ref="F240" ca="1">IF('Raw Data'!F240="",_xlfn.REGEXEXTRACT(CELL("address",'Raw Data'!F240),"\$([A-Z]+)\$[0-9]+"),"")</f>
        <v>$F$240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>$G$240</v>
      </c>
      <c r="I240" t="str" cm="1">
        <f t="array" aca="1" ref="I240" ca="1">IF('Raw Data'!H240="",_xlfn.REGEXEXTRACT(CELL("address",'Raw Data'!H240),"\$([A-Z]+)\$[0-9]+"),"")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>$D$241</v>
      </c>
      <c r="E241" t="str" cm="1">
        <f t="array" aca="1" ref="E241" ca="1">IF('Raw Data'!E241="",_xlfn.REGEXEXTRACT(CELL("address",'Raw Data'!E241),"\$([A-Z]+)\$[0-9]+"),"")</f>
        <v>$E$241</v>
      </c>
      <c r="F241" t="str" cm="1">
        <f t="array" aca="1" ref="F241" ca="1">IF('Raw Data'!F241="",_xlfn.REGEXEXTRACT(CELL("address",'Raw Data'!F241),"\$([A-Z]+)\$[0-9]+"),"")</f>
        <v>$F$241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>$G$241</v>
      </c>
      <c r="I241" t="str" cm="1">
        <f t="array" aca="1" ref="I241" ca="1">IF('Raw Data'!H241="",_xlfn.REGEXEXTRACT(CELL("address",'Raw Data'!H241),"\$([A-Z]+)\$[0-9]+"),"")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>$D$242</v>
      </c>
      <c r="E242" t="str" cm="1">
        <f t="array" aca="1" ref="E242" ca="1">IF('Raw Data'!E242="",_xlfn.REGEXEXTRACT(CELL("address",'Raw Data'!E242),"\$([A-Z]+)\$[0-9]+"),"")</f>
        <v>$E$242</v>
      </c>
      <c r="F242" t="str" cm="1">
        <f t="array" aca="1" ref="F242" ca="1">IF('Raw Data'!F242="",_xlfn.REGEXEXTRACT(CELL("address",'Raw Data'!F242),"\$([A-Z]+)\$[0-9]+"),"")</f>
        <v>$F$242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>$G$242</v>
      </c>
      <c r="I242" t="str" cm="1">
        <f t="array" aca="1" ref="I242" ca="1">IF('Raw Data'!H242="",_xlfn.REGEXEXTRACT(CELL("address",'Raw Data'!H242),"\$([A-Z]+)\$[0-9]+"),"")</f>
        <v/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>$D$243</v>
      </c>
      <c r="E243" t="str" cm="1">
        <f t="array" aca="1" ref="E243" ca="1">IF('Raw Data'!E243="",_xlfn.REGEXEXTRACT(CELL("address",'Raw Data'!E243),"\$([A-Z]+)\$[0-9]+"),"")</f>
        <v>$E$243</v>
      </c>
      <c r="F243" t="str" cm="1">
        <f t="array" aca="1" ref="F243" ca="1">IF('Raw Data'!F243="",_xlfn.REGEXEXTRACT(CELL("address",'Raw Data'!F243),"\$([A-Z]+)\$[0-9]+"),"")</f>
        <v>$F$243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>$G$243</v>
      </c>
      <c r="I243" t="str" cm="1">
        <f t="array" aca="1" ref="I243" ca="1">IF('Raw Data'!H243="",_xlfn.REGEXEXTRACT(CELL("address",'Raw Data'!H243),"\$([A-Z]+)\$[0-9]+"),"")</f>
        <v/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>$D$244</v>
      </c>
      <c r="E244" t="str" cm="1">
        <f t="array" aca="1" ref="E244" ca="1">IF('Raw Data'!E244="",_xlfn.REGEXEXTRACT(CELL("address",'Raw Data'!E244),"\$([A-Z]+)\$[0-9]+"),"")</f>
        <v>$E$244</v>
      </c>
      <c r="F244" t="str" cm="1">
        <f t="array" aca="1" ref="F244" ca="1">IF('Raw Data'!F244="",_xlfn.REGEXEXTRACT(CELL("address",'Raw Data'!F244),"\$([A-Z]+)\$[0-9]+"),"")</f>
        <v>$F$244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>$G$244</v>
      </c>
      <c r="I244" t="str" cm="1">
        <f t="array" aca="1" ref="I244" ca="1">IF('Raw Data'!H244="",_xlfn.REGEXEXTRACT(CELL("address",'Raw Data'!H244),"\$([A-Z]+)\$[0-9]+"),"")</f>
        <v/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>$D$245</v>
      </c>
      <c r="E245" t="str" cm="1">
        <f t="array" aca="1" ref="E245" ca="1">IF('Raw Data'!E245="",_xlfn.REGEXEXTRACT(CELL("address",'Raw Data'!E245),"\$([A-Z]+)\$[0-9]+"),"")</f>
        <v>$E$245</v>
      </c>
      <c r="F245" t="str" cm="1">
        <f t="array" aca="1" ref="F245" ca="1">IF('Raw Data'!F245="",_xlfn.REGEXEXTRACT(CELL("address",'Raw Data'!F245),"\$([A-Z]+)\$[0-9]+"),"")</f>
        <v>$F$245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>$G$245</v>
      </c>
      <c r="I245" t="str" cm="1">
        <f t="array" aca="1" ref="I245" ca="1">IF('Raw Data'!H245="",_xlfn.REGEXEXTRACT(CELL("address",'Raw Data'!H245),"\$([A-Z]+)\$[0-9]+"),"")</f>
        <v/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>$D$246</v>
      </c>
      <c r="E246" t="str" cm="1">
        <f t="array" aca="1" ref="E246" ca="1">IF('Raw Data'!E246="",_xlfn.REGEXEXTRACT(CELL("address",'Raw Data'!E246),"\$([A-Z]+)\$[0-9]+"),"")</f>
        <v>$E$246</v>
      </c>
      <c r="F246" t="str" cm="1">
        <f t="array" aca="1" ref="F246" ca="1">IF('Raw Data'!F246="",_xlfn.REGEXEXTRACT(CELL("address",'Raw Data'!F246),"\$([A-Z]+)\$[0-9]+"),"")</f>
        <v>$F$246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>$G$246</v>
      </c>
      <c r="I246" t="str" cm="1">
        <f t="array" aca="1" ref="I246" ca="1">IF('Raw Data'!H246="",_xlfn.REGEXEXTRACT(CELL("address",'Raw Data'!H246),"\$([A-Z]+)\$[0-9]+"),"")</f>
        <v/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>$D$247</v>
      </c>
      <c r="E247" t="str" cm="1">
        <f t="array" aca="1" ref="E247" ca="1">IF('Raw Data'!E247="",_xlfn.REGEXEXTRACT(CELL("address",'Raw Data'!E247),"\$([A-Z]+)\$[0-9]+"),"")</f>
        <v>$E$247</v>
      </c>
      <c r="F247" t="str" cm="1">
        <f t="array" aca="1" ref="F247" ca="1">IF('Raw Data'!F247="",_xlfn.REGEXEXTRACT(CELL("address",'Raw Data'!F247),"\$([A-Z]+)\$[0-9]+"),"")</f>
        <v>$F$247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>$G$247</v>
      </c>
      <c r="I247" t="str" cm="1">
        <f t="array" aca="1" ref="I247" ca="1">IF('Raw Data'!H247="",_xlfn.REGEXEXTRACT(CELL("address",'Raw Data'!H247),"\$([A-Z]+)\$[0-9]+"),"")</f>
        <v/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>$D$248</v>
      </c>
      <c r="E248" t="str" cm="1">
        <f t="array" aca="1" ref="E248" ca="1">IF('Raw Data'!E248="",_xlfn.REGEXEXTRACT(CELL("address",'Raw Data'!E248),"\$([A-Z]+)\$[0-9]+"),"")</f>
        <v>$E$248</v>
      </c>
      <c r="F248" t="str" cm="1">
        <f t="array" aca="1" ref="F248" ca="1">IF('Raw Data'!F248="",_xlfn.REGEXEXTRACT(CELL("address",'Raw Data'!F248),"\$([A-Z]+)\$[0-9]+"),"")</f>
        <v>$F$248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>$G$248</v>
      </c>
      <c r="I248" t="str" cm="1">
        <f t="array" aca="1" ref="I248" ca="1">IF('Raw Data'!H248="",_xlfn.REGEXEXTRACT(CELL("address",'Raw Data'!H248),"\$([A-Z]+)\$[0-9]+"),"")</f>
        <v/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>$D$249</v>
      </c>
      <c r="E249" t="str" cm="1">
        <f t="array" aca="1" ref="E249" ca="1">IF('Raw Data'!E249="",_xlfn.REGEXEXTRACT(CELL("address",'Raw Data'!E249),"\$([A-Z]+)\$[0-9]+"),"")</f>
        <v>$E$249</v>
      </c>
      <c r="F249" t="str" cm="1">
        <f t="array" aca="1" ref="F249" ca="1">IF('Raw Data'!F249="",_xlfn.REGEXEXTRACT(CELL("address",'Raw Data'!F249),"\$([A-Z]+)\$[0-9]+"),"")</f>
        <v>$F$249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>$G$249</v>
      </c>
      <c r="I249" t="str" cm="1">
        <f t="array" aca="1" ref="I249" ca="1">IF('Raw Data'!H249="",_xlfn.REGEXEXTRACT(CELL("address",'Raw Data'!H249),"\$([A-Z]+)\$[0-9]+"),"")</f>
        <v/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>$C$250</v>
      </c>
      <c r="D250" t="str" cm="1">
        <f t="array" aca="1" ref="D250" ca="1">IF('Raw Data'!D250="",_xlfn.REGEXEXTRACT(CELL("address",'Raw Data'!D250),"\$([A-Z]+)\$[0-9]+"),"")</f>
        <v>$D$250</v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>$G$250</v>
      </c>
      <c r="I250" t="str" cm="1">
        <f t="array" aca="1" ref="I250" ca="1">IF('Raw Data'!H250="",_xlfn.REGEXEXTRACT(CELL("address",'Raw Data'!H250),"\$([A-Z]+)\$[0-9]+"),"")</f>
        <v>$H$250</v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>$C$251</v>
      </c>
      <c r="D251" t="str" cm="1">
        <f t="array" aca="1" ref="D251" ca="1">IF('Raw Data'!D251="",_xlfn.REGEXEXTRACT(CELL("address",'Raw Data'!D251),"\$([A-Z]+)\$[0-9]+"),"")</f>
        <v>$D$251</v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>$G$251</v>
      </c>
      <c r="I251" t="str" cm="1">
        <f t="array" aca="1" ref="I251" ca="1">IF('Raw Data'!H251="",_xlfn.REGEXEXTRACT(CELL("address",'Raw Data'!H251),"\$([A-Z]+)\$[0-9]+"),"")</f>
        <v>$H$251</v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>$C$252</v>
      </c>
      <c r="D252" t="str" cm="1">
        <f t="array" aca="1" ref="D252" ca="1">IF('Raw Data'!D252="",_xlfn.REGEXEXTRACT(CELL("address",'Raw Data'!D252),"\$([A-Z]+)\$[0-9]+"),"")</f>
        <v>$D$252</v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>$G$252</v>
      </c>
      <c r="I252" t="str" cm="1">
        <f t="array" aca="1" ref="I252" ca="1">IF('Raw Data'!H252="",_xlfn.REGEXEXTRACT(CELL("address",'Raw Data'!H252),"\$([A-Z]+)\$[0-9]+"),"")</f>
        <v>$H$252</v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>$C$253</v>
      </c>
      <c r="D253" t="str" cm="1">
        <f t="array" aca="1" ref="D253" ca="1">IF('Raw Data'!D253="",_xlfn.REGEXEXTRACT(CELL("address",'Raw Data'!D253),"\$([A-Z]+)\$[0-9]+"),"")</f>
        <v>$D$253</v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>$G$253</v>
      </c>
      <c r="I253" t="str" cm="1">
        <f t="array" aca="1" ref="I253" ca="1">IF('Raw Data'!H253="",_xlfn.REGEXEXTRACT(CELL("address",'Raw Data'!H253),"\$([A-Z]+)\$[0-9]+"),"")</f>
        <v>$H$253</v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>$C$254</v>
      </c>
      <c r="D254" t="str" cm="1">
        <f t="array" aca="1" ref="D254" ca="1">IF('Raw Data'!D254="",_xlfn.REGEXEXTRACT(CELL("address",'Raw Data'!D254),"\$([A-Z]+)\$[0-9]+"),"")</f>
        <v>$D$254</v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>$G$254</v>
      </c>
      <c r="I254" t="str" cm="1">
        <f t="array" aca="1" ref="I254" ca="1">IF('Raw Data'!H254="",_xlfn.REGEXEXTRACT(CELL("address",'Raw Data'!H254),"\$([A-Z]+)\$[0-9]+"),"")</f>
        <v>$H$254</v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>$C$255</v>
      </c>
      <c r="D255" t="str" cm="1">
        <f t="array" aca="1" ref="D255" ca="1">IF('Raw Data'!D255="",_xlfn.REGEXEXTRACT(CELL("address",'Raw Data'!D255),"\$([A-Z]+)\$[0-9]+"),"")</f>
        <v>$D$255</v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>$G$255</v>
      </c>
      <c r="I255" t="str" cm="1">
        <f t="array" aca="1" ref="I255" ca="1">IF('Raw Data'!H255="",_xlfn.REGEXEXTRACT(CELL("address",'Raw Data'!H255),"\$([A-Z]+)\$[0-9]+"),"")</f>
        <v>$H$255</v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>$C$256</v>
      </c>
      <c r="D256" t="str" cm="1">
        <f t="array" aca="1" ref="D256" ca="1">IF('Raw Data'!D256="",_xlfn.REGEXEXTRACT(CELL("address",'Raw Data'!D256),"\$([A-Z]+)\$[0-9]+"),"")</f>
        <v>$D$256</v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>$G$256</v>
      </c>
      <c r="I256" t="str" cm="1">
        <f t="array" aca="1" ref="I256" ca="1">IF('Raw Data'!H256="",_xlfn.REGEXEXTRACT(CELL("address",'Raw Data'!H256),"\$([A-Z]+)\$[0-9]+"),"")</f>
        <v>$H$256</v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>$C$257</v>
      </c>
      <c r="D257" t="str" cm="1">
        <f t="array" aca="1" ref="D257" ca="1">IF('Raw Data'!D257="",_xlfn.REGEXEXTRACT(CELL("address",'Raw Data'!D257),"\$([A-Z]+)\$[0-9]+"),"")</f>
        <v>$D$257</v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>$G$257</v>
      </c>
      <c r="I257" t="str" cm="1">
        <f t="array" aca="1" ref="I257" ca="1">IF('Raw Data'!H257="",_xlfn.REGEXEXTRACT(CELL("address",'Raw Data'!H257),"\$([A-Z]+)\$[0-9]+"),"")</f>
        <v>$H$257</v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>$C$258</v>
      </c>
      <c r="D258" t="str" cm="1">
        <f t="array" aca="1" ref="D258" ca="1">IF('Raw Data'!D258="",_xlfn.REGEXEXTRACT(CELL("address",'Raw Data'!D258),"\$([A-Z]+)\$[0-9]+"),"")</f>
        <v>$D$258</v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>$G$258</v>
      </c>
      <c r="I258" t="str" cm="1">
        <f t="array" aca="1" ref="I258" ca="1">IF('Raw Data'!H258="",_xlfn.REGEXEXTRACT(CELL("address",'Raw Data'!H258),"\$([A-Z]+)\$[0-9]+"),"")</f>
        <v>$H$258</v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>$C$259</v>
      </c>
      <c r="D259" t="str" cm="1">
        <f t="array" aca="1" ref="D259" ca="1">IF('Raw Data'!D259="",_xlfn.REGEXEXTRACT(CELL("address",'Raw Data'!D259),"\$([A-Z]+)\$[0-9]+"),"")</f>
        <v>$D$259</v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>$G$259</v>
      </c>
      <c r="I259" t="str" cm="1">
        <f t="array" aca="1" ref="I259" ca="1">IF('Raw Data'!H259="",_xlfn.REGEXEXTRACT(CELL("address",'Raw Data'!H259),"\$([A-Z]+)\$[0-9]+"),"")</f>
        <v>$H$259</v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>$G$261</v>
      </c>
      <c r="I261" t="str" cm="1">
        <f t="array" aca="1" ref="I261" ca="1">IF('Raw Data'!H261="",_xlfn.REGEXEXTRACT(CELL("address",'Raw Data'!H261),"\$([A-Z]+)\$[0-9]+"),"")</f>
        <v>$H$261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>$G$265</v>
      </c>
      <c r="I265" t="str" cm="1">
        <f t="array" aca="1" ref="I265" ca="1">IF('Raw Data'!H265="",_xlfn.REGEXEXTRACT(CELL("address",'Raw Data'!H265),"\$([A-Z]+)\$[0-9]+"),"")</f>
        <v>$H$265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>$G$269</v>
      </c>
      <c r="I269" t="str" cm="1">
        <f t="array" aca="1" ref="I269" ca="1">IF('Raw Data'!H269="",_xlfn.REGEXEXTRACT(CELL("address",'Raw Data'!H269),"\$([A-Z]+)\$[0-9]+"),"")</f>
        <v>$H$269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>$G$273</v>
      </c>
      <c r="I273" t="str" cm="1">
        <f t="array" aca="1" ref="I273" ca="1">IF('Raw Data'!H273="",_xlfn.REGEXEXTRACT(CELL("address",'Raw Data'!H273),"\$([A-Z]+)\$[0-9]+"),"")</f>
        <v>$H$273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>$G$277</v>
      </c>
      <c r="I277" t="str" cm="1">
        <f t="array" aca="1" ref="I277" ca="1">IF('Raw Data'!H277="",_xlfn.REGEXEXTRACT(CELL("address",'Raw Data'!H277),"\$([A-Z]+)\$[0-9]+"),"")</f>
        <v>$H$277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>$G$281</v>
      </c>
      <c r="I281" t="str" cm="1">
        <f t="array" aca="1" ref="I281" ca="1">IF('Raw Data'!H281="",_xlfn.REGEXEXTRACT(CELL("address",'Raw Data'!H281),"\$([A-Z]+)\$[0-9]+"),"")</f>
        <v>$H$281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>$G$285</v>
      </c>
      <c r="I285" t="str" cm="1">
        <f t="array" aca="1" ref="I285" ca="1">IF('Raw Data'!H285="",_xlfn.REGEXEXTRACT(CELL("address",'Raw Data'!H285),"\$([A-Z]+)\$[0-9]+"),"")</f>
        <v>$H$285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>$G$289</v>
      </c>
      <c r="I289" t="str" cm="1">
        <f t="array" aca="1" ref="I289" ca="1">IF('Raw Data'!H289="",_xlfn.REGEXEXTRACT(CELL("address",'Raw Data'!H289),"\$([A-Z]+)\$[0-9]+"),"")</f>
        <v>$H$289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>$G$293</v>
      </c>
      <c r="I293" t="str" cm="1">
        <f t="array" aca="1" ref="I293" ca="1">IF('Raw Data'!H293="",_xlfn.REGEXEXTRACT(CELL("address",'Raw Data'!H293),"\$([A-Z]+)\$[0-9]+"),"")</f>
        <v>$H$293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3A6A8F-F077-483E-B2D7-EB6F56E76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66182D-89AE-463C-8565-396A954D7E2C}">
  <ds:schemaRefs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105f6f6b-27db-4f49-a63a-89e0dc0cf9c4"/>
    <ds:schemaRef ds:uri="http://schemas.microsoft.com/office/2006/documentManagement/types"/>
    <ds:schemaRef ds:uri="http://schemas.openxmlformats.org/package/2006/metadata/core-properties"/>
    <ds:schemaRef ds:uri="7c50c559-fa5a-43f4-984b-5769aabd1a15"/>
    <ds:schemaRef ds:uri="5e1c2f93-a2fb-4cf1-9521-08720b4e64d5"/>
    <ds:schemaRef ds:uri="82bfd1a8-954c-439e-a286-ef353ebc026f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Validate_Empty</vt:lpstr>
      <vt:lpstr>Validate_Value</vt:lpstr>
      <vt:lpstr>Validate_Condition</vt:lpstr>
      <vt:lpstr>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