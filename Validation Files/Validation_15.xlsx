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F939861D-02EF-4C3D-8C46-3539CC6ECCC2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figuration" sheetId="9" r:id="rId5"/>
    <sheet name="Validate_Type" sheetId="7" state="hidden" r:id="rId6"/>
  </sheets>
  <definedNames>
    <definedName name="_xlnm._FilterDatabase" localSheetId="2" hidden="1">Validate_Value!$B$9:$AD$300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 a="1"/>
  <c r="B10" i="8" s="1"/>
  <c r="C10" i="8" a="1"/>
  <c r="C10" i="8" s="1"/>
  <c r="D10" i="8" a="1"/>
  <c r="D10" i="8" s="1"/>
  <c r="F10" i="8" a="1"/>
  <c r="F10" i="8" s="1"/>
  <c r="G10" i="8" a="1"/>
  <c r="G10" i="8" s="1"/>
  <c r="H10" i="8" a="1"/>
  <c r="H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V10" i="8" a="1"/>
  <c r="V10" i="8" s="1"/>
  <c r="W10" i="8" a="1"/>
  <c r="W10" i="8" s="1"/>
  <c r="X10" i="8" a="1"/>
  <c r="X10" i="8" s="1"/>
  <c r="Y10" i="8" a="1"/>
  <c r="Y10" i="8" s="1"/>
  <c r="Z10" i="8" a="1"/>
  <c r="Z10" i="8" s="1"/>
  <c r="AA10" i="8" a="1"/>
  <c r="AA10" i="8" s="1"/>
  <c r="AB10" i="8" a="1"/>
  <c r="AB10" i="8" s="1"/>
  <c r="AC10" i="8" a="1"/>
  <c r="AC10" i="8" s="1"/>
  <c r="AD10" i="8" a="1"/>
  <c r="AD10" i="8" s="1"/>
  <c r="B11" i="8" a="1"/>
  <c r="B11" i="8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X11" i="8" a="1"/>
  <c r="X11" i="8" s="1"/>
  <c r="Y11" i="8" a="1"/>
  <c r="Y11" i="8" s="1"/>
  <c r="Z11" i="8" a="1"/>
  <c r="Z11" i="8" s="1"/>
  <c r="AA11" i="8" a="1"/>
  <c r="AA11" i="8" s="1"/>
  <c r="AB11" i="8" a="1"/>
  <c r="AB11" i="8" s="1"/>
  <c r="AC11" i="8" a="1"/>
  <c r="AC11" i="8" s="1"/>
  <c r="AD11" i="8" a="1"/>
  <c r="AD11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AC12" i="8" a="1"/>
  <c r="AC12" i="8" s="1"/>
  <c r="AD12" i="8" a="1"/>
  <c r="AD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AC16" i="8" a="1"/>
  <c r="AC16" i="8" s="1"/>
  <c r="AD16" i="8" a="1"/>
  <c r="AD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AC17" i="8" a="1"/>
  <c r="AC17" i="8" s="1"/>
  <c r="AD17" i="8" a="1"/>
  <c r="AD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C20" i="8" a="1"/>
  <c r="AC20" i="8" s="1"/>
  <c r="AD20" i="8" a="1"/>
  <c r="AD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AC28" i="8" a="1"/>
  <c r="AC28" i="8" s="1"/>
  <c r="AD28" i="8" a="1"/>
  <c r="AD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C32" i="8" a="1"/>
  <c r="AC32" i="8" s="1"/>
  <c r="AD32" i="8" a="1"/>
  <c r="AD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B35" i="8" a="1"/>
  <c r="B35" i="8" s="1"/>
  <c r="C35" i="8" a="1"/>
  <c r="C35" i="8" s="1"/>
  <c r="D35" i="8" a="1"/>
  <c r="D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D38" i="8" a="1"/>
  <c r="AD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AC40" i="8" a="1"/>
  <c r="AC40" i="8" s="1"/>
  <c r="AD40" i="8" a="1"/>
  <c r="AD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AC41" i="8" a="1"/>
  <c r="AC41" i="8" s="1"/>
  <c r="AD41" i="8" a="1"/>
  <c r="AD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B60" i="8" a="1"/>
  <c r="B60" i="8" s="1"/>
  <c r="C60" i="8" a="1"/>
  <c r="C60" i="8" s="1"/>
  <c r="D60" i="8" a="1"/>
  <c r="D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B85" i="8" a="1"/>
  <c r="B85" i="8" s="1"/>
  <c r="C85" i="8" a="1"/>
  <c r="C85" i="8" s="1"/>
  <c r="D85" i="8" a="1"/>
  <c r="D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AC90" i="8" a="1"/>
  <c r="AC90" i="8" s="1"/>
  <c r="AD90" i="8" a="1"/>
  <c r="AD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AC92" i="8" a="1"/>
  <c r="AC92" i="8" s="1"/>
  <c r="AD92" i="8" a="1"/>
  <c r="AD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AC93" i="8" a="1"/>
  <c r="AC93" i="8" s="1"/>
  <c r="AD93" i="8" a="1"/>
  <c r="AD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B110" i="8" a="1"/>
  <c r="B110" i="8" s="1"/>
  <c r="C110" i="8" a="1"/>
  <c r="C110" i="8" s="1"/>
  <c r="D110" i="8" a="1"/>
  <c r="D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AC134" i="8" a="1"/>
  <c r="AC134" i="8" s="1"/>
  <c r="AD134" i="8" a="1"/>
  <c r="AD134" i="8" s="1"/>
  <c r="B135" i="8" a="1"/>
  <c r="B135" i="8" s="1"/>
  <c r="C135" i="8" a="1"/>
  <c r="C135" i="8" s="1"/>
  <c r="D135" i="8" a="1"/>
  <c r="D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AC135" i="8" a="1"/>
  <c r="AC135" i="8" s="1"/>
  <c r="AD135" i="8" a="1"/>
  <c r="AD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AC136" i="8" a="1"/>
  <c r="AC136" i="8" s="1"/>
  <c r="AD136" i="8" a="1"/>
  <c r="AD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AC137" i="8" a="1"/>
  <c r="AC137" i="8" s="1"/>
  <c r="AD137" i="8" a="1"/>
  <c r="AD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B160" i="8" a="1"/>
  <c r="B160" i="8" s="1"/>
  <c r="C160" i="8" a="1"/>
  <c r="C160" i="8" s="1"/>
  <c r="D160" i="8" a="1"/>
  <c r="D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B185" i="8" a="1"/>
  <c r="B185" i="8" s="1"/>
  <c r="C185" i="8" a="1"/>
  <c r="C185" i="8" s="1"/>
  <c r="D185" i="8" a="1"/>
  <c r="D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B210" i="8" a="1"/>
  <c r="B210" i="8" s="1"/>
  <c r="C210" i="8" a="1"/>
  <c r="C210" i="8" s="1"/>
  <c r="D210" i="8" a="1"/>
  <c r="D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B235" i="8" a="1"/>
  <c r="B235" i="8" s="1"/>
  <c r="C235" i="8" a="1"/>
  <c r="C235" i="8" s="1"/>
  <c r="D235" i="8" a="1"/>
  <c r="D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B250" i="8" a="1"/>
  <c r="B250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B251" i="8" a="1"/>
  <c r="B251" i="8" s="1"/>
  <c r="C251" i="8" a="1"/>
  <c r="C251" i="8" s="1"/>
  <c r="D251" i="8" a="1"/>
  <c r="D251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AC251" i="8" a="1"/>
  <c r="AC251" i="8" s="1"/>
  <c r="AD251" i="8" a="1"/>
  <c r="AD251" i="8" s="1"/>
  <c r="B252" i="8" a="1"/>
  <c r="B252" i="8" s="1"/>
  <c r="C252" i="8" a="1"/>
  <c r="C252" i="8" s="1"/>
  <c r="D252" i="8" a="1"/>
  <c r="D252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AC252" i="8" a="1"/>
  <c r="AC252" i="8" s="1"/>
  <c r="AD252" i="8" a="1"/>
  <c r="AD252" i="8" s="1"/>
  <c r="B253" i="8" a="1"/>
  <c r="B253" i="8" s="1"/>
  <c r="C253" i="8" a="1"/>
  <c r="C253" i="8" s="1"/>
  <c r="D253" i="8" a="1"/>
  <c r="D253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AC253" i="8" a="1"/>
  <c r="AC253" i="8" s="1"/>
  <c r="AD253" i="8" a="1"/>
  <c r="AD253" i="8" s="1"/>
  <c r="B254" i="8" a="1"/>
  <c r="B254" i="8" s="1"/>
  <c r="C254" i="8" a="1"/>
  <c r="C254" i="8" s="1"/>
  <c r="D254" i="8" a="1"/>
  <c r="D254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Z254" i="8" a="1"/>
  <c r="Z254" i="8" s="1"/>
  <c r="AA254" i="8" a="1"/>
  <c r="AA254" i="8" s="1"/>
  <c r="AB254" i="8" a="1"/>
  <c r="AB254" i="8" s="1"/>
  <c r="AC254" i="8" a="1"/>
  <c r="AC254" i="8" s="1"/>
  <c r="AD254" i="8" a="1"/>
  <c r="AD254" i="8" s="1"/>
  <c r="B255" i="8" a="1"/>
  <c r="B255" i="8" s="1"/>
  <c r="C255" i="8" a="1"/>
  <c r="C255" i="8" s="1"/>
  <c r="D255" i="8" a="1"/>
  <c r="D255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Z255" i="8" a="1"/>
  <c r="Z255" i="8" s="1"/>
  <c r="AA255" i="8" a="1"/>
  <c r="AA255" i="8" s="1"/>
  <c r="AB255" i="8" a="1"/>
  <c r="AB255" i="8" s="1"/>
  <c r="AC255" i="8" a="1"/>
  <c r="AC255" i="8" s="1"/>
  <c r="AD255" i="8" a="1"/>
  <c r="AD255" i="8" s="1"/>
  <c r="B256" i="8" a="1"/>
  <c r="B256" i="8" s="1"/>
  <c r="C256" i="8" a="1"/>
  <c r="C256" i="8" s="1"/>
  <c r="D256" i="8" a="1"/>
  <c r="D256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Z256" i="8" a="1"/>
  <c r="Z256" i="8" s="1"/>
  <c r="AA256" i="8" a="1"/>
  <c r="AA256" i="8" s="1"/>
  <c r="AB256" i="8" a="1"/>
  <c r="AB256" i="8" s="1"/>
  <c r="AC256" i="8" a="1"/>
  <c r="AC256" i="8" s="1"/>
  <c r="AD256" i="8" a="1"/>
  <c r="AD256" i="8" s="1"/>
  <c r="B257" i="8" a="1"/>
  <c r="B257" i="8" s="1"/>
  <c r="C257" i="8" a="1"/>
  <c r="C257" i="8" s="1"/>
  <c r="D257" i="8" a="1"/>
  <c r="D257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Z257" i="8" a="1"/>
  <c r="Z257" i="8" s="1"/>
  <c r="AA257" i="8" a="1"/>
  <c r="AA257" i="8" s="1"/>
  <c r="AB257" i="8" a="1"/>
  <c r="AB257" i="8" s="1"/>
  <c r="AC257" i="8" a="1"/>
  <c r="AC257" i="8" s="1"/>
  <c r="AD257" i="8" a="1"/>
  <c r="AD257" i="8" s="1"/>
  <c r="B258" i="8" a="1"/>
  <c r="B258" i="8" s="1"/>
  <c r="C258" i="8" a="1"/>
  <c r="C258" i="8" s="1"/>
  <c r="D258" i="8" a="1"/>
  <c r="D258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AC258" i="8" a="1"/>
  <c r="AC258" i="8" s="1"/>
  <c r="AD258" i="8" a="1"/>
  <c r="AD258" i="8" s="1"/>
  <c r="B259" i="8" a="1"/>
  <c r="B259" i="8" s="1"/>
  <c r="C259" i="8" a="1"/>
  <c r="C259" i="8" s="1"/>
  <c r="D259" i="8" a="1"/>
  <c r="D259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AC259" i="8" a="1"/>
  <c r="AC259" i="8" s="1"/>
  <c r="AD259" i="8" a="1"/>
  <c r="AD259" i="8" s="1"/>
  <c r="E135" i="8" a="1"/>
  <c r="E10" i="8" a="1"/>
  <c r="E85" i="8" a="1"/>
  <c r="E160" i="8" a="1"/>
  <c r="E210" i="8" a="1"/>
  <c r="E235" i="8" a="1"/>
  <c r="E110" i="8" a="1"/>
  <c r="E185" i="8" a="1"/>
  <c r="E35" i="8" a="1"/>
  <c r="E60" i="8" a="1"/>
  <c r="E60" i="8" l="1"/>
  <c r="E35" i="8"/>
  <c r="E185" i="8"/>
  <c r="E110" i="8"/>
  <c r="E235" i="8"/>
  <c r="E210" i="8"/>
  <c r="E160" i="8"/>
  <c r="E85" i="8"/>
  <c r="E10" i="8"/>
  <c r="E135" i="8"/>
  <c r="B260" i="8" a="1"/>
  <c r="B260" i="8" s="1"/>
  <c r="C260" i="8" a="1"/>
  <c r="C260" i="8" s="1"/>
  <c r="D260" i="8" a="1"/>
  <c r="D260" i="8" s="1"/>
  <c r="B261" i="8" a="1"/>
  <c r="B261" i="8" s="1"/>
  <c r="C261" i="8" a="1"/>
  <c r="C261" i="8" s="1"/>
  <c r="D261" i="8" a="1"/>
  <c r="D261" i="8" s="1"/>
  <c r="B262" i="8" a="1"/>
  <c r="B262" i="8" s="1"/>
  <c r="C262" i="8" a="1"/>
  <c r="C262" i="8" s="1"/>
  <c r="D262" i="8" a="1"/>
  <c r="D262" i="8" s="1"/>
  <c r="B263" i="8" a="1"/>
  <c r="B263" i="8" s="1"/>
  <c r="C263" i="8" a="1"/>
  <c r="C263" i="8" s="1"/>
  <c r="D263" i="8" a="1"/>
  <c r="D263" i="8" s="1"/>
  <c r="B264" i="8" a="1"/>
  <c r="B264" i="8" s="1"/>
  <c r="C264" i="8" a="1"/>
  <c r="C264" i="8" s="1"/>
  <c r="D264" i="8" a="1"/>
  <c r="D264" i="8" s="1"/>
  <c r="B265" i="8" a="1"/>
  <c r="B265" i="8" s="1"/>
  <c r="C265" i="8" a="1"/>
  <c r="C265" i="8" s="1"/>
  <c r="D265" i="8" a="1"/>
  <c r="D265" i="8" s="1"/>
  <c r="B266" i="8" a="1"/>
  <c r="B266" i="8" s="1"/>
  <c r="C266" i="8" a="1"/>
  <c r="C266" i="8" s="1"/>
  <c r="D266" i="8" a="1"/>
  <c r="D266" i="8" s="1"/>
  <c r="B267" i="8" a="1"/>
  <c r="B267" i="8" s="1"/>
  <c r="C267" i="8" a="1"/>
  <c r="C267" i="8" s="1"/>
  <c r="D267" i="8" a="1"/>
  <c r="D267" i="8" s="1"/>
  <c r="B268" i="8" a="1"/>
  <c r="B268" i="8" s="1"/>
  <c r="C268" i="8" a="1"/>
  <c r="C268" i="8" s="1"/>
  <c r="D268" i="8" a="1"/>
  <c r="D268" i="8" s="1"/>
  <c r="B269" i="8" a="1"/>
  <c r="B269" i="8" s="1"/>
  <c r="C269" i="8" a="1"/>
  <c r="C269" i="8" s="1"/>
  <c r="D269" i="8" a="1"/>
  <c r="D269" i="8" s="1"/>
  <c r="B270" i="8" a="1"/>
  <c r="B270" i="8" s="1"/>
  <c r="C270" i="8" a="1"/>
  <c r="C270" i="8" s="1"/>
  <c r="D270" i="8" a="1"/>
  <c r="D270" i="8" s="1"/>
  <c r="B271" i="8" a="1"/>
  <c r="B271" i="8" s="1"/>
  <c r="C271" i="8" a="1"/>
  <c r="C271" i="8" s="1"/>
  <c r="D271" i="8" a="1"/>
  <c r="D271" i="8" s="1"/>
  <c r="B272" i="8" a="1"/>
  <c r="B272" i="8" s="1"/>
  <c r="C272" i="8" a="1"/>
  <c r="C272" i="8" s="1"/>
  <c r="D272" i="8" a="1"/>
  <c r="D272" i="8" s="1"/>
  <c r="B273" i="8" a="1"/>
  <c r="B273" i="8" s="1"/>
  <c r="C273" i="8" a="1"/>
  <c r="C273" i="8" s="1"/>
  <c r="D273" i="8" a="1"/>
  <c r="D273" i="8" s="1"/>
  <c r="B274" i="8" a="1"/>
  <c r="B274" i="8" s="1"/>
  <c r="C274" i="8" a="1"/>
  <c r="C274" i="8" s="1"/>
  <c r="D274" i="8" a="1"/>
  <c r="D274" i="8" s="1"/>
  <c r="B275" i="8" a="1"/>
  <c r="B275" i="8" s="1"/>
  <c r="C275" i="8" a="1"/>
  <c r="C275" i="8" s="1"/>
  <c r="D275" i="8" a="1"/>
  <c r="D275" i="8" s="1"/>
  <c r="B276" i="8" a="1"/>
  <c r="B276" i="8" s="1"/>
  <c r="C276" i="8" a="1"/>
  <c r="C276" i="8" s="1"/>
  <c r="D276" i="8" a="1"/>
  <c r="D276" i="8" s="1"/>
  <c r="B277" i="8" a="1"/>
  <c r="B277" i="8" s="1"/>
  <c r="C277" i="8" a="1"/>
  <c r="C277" i="8" s="1"/>
  <c r="D277" i="8" a="1"/>
  <c r="D277" i="8" s="1"/>
  <c r="B278" i="8" a="1"/>
  <c r="B278" i="8" s="1"/>
  <c r="C278" i="8" a="1"/>
  <c r="C278" i="8" s="1"/>
  <c r="D278" i="8" a="1"/>
  <c r="D278" i="8" s="1"/>
  <c r="B279" i="8" a="1"/>
  <c r="B279" i="8" s="1"/>
  <c r="C279" i="8" a="1"/>
  <c r="C279" i="8" s="1"/>
  <c r="D279" i="8" a="1"/>
  <c r="D279" i="8" s="1"/>
  <c r="B280" i="8" a="1"/>
  <c r="B280" i="8" s="1"/>
  <c r="C280" i="8" a="1"/>
  <c r="C280" i="8" s="1"/>
  <c r="D280" i="8" a="1"/>
  <c r="D280" i="8" s="1"/>
  <c r="B281" i="8" a="1"/>
  <c r="B281" i="8" s="1"/>
  <c r="C281" i="8" a="1"/>
  <c r="C281" i="8" s="1"/>
  <c r="D281" i="8" a="1"/>
  <c r="D281" i="8" s="1"/>
  <c r="B282" i="8" a="1"/>
  <c r="B282" i="8" s="1"/>
  <c r="C282" i="8" a="1"/>
  <c r="C282" i="8" s="1"/>
  <c r="D282" i="8" a="1"/>
  <c r="D282" i="8" s="1"/>
  <c r="B283" i="8" a="1"/>
  <c r="B283" i="8" s="1"/>
  <c r="C283" i="8" a="1"/>
  <c r="C283" i="8" s="1"/>
  <c r="D283" i="8" a="1"/>
  <c r="D283" i="8" s="1"/>
  <c r="B284" i="8" a="1"/>
  <c r="B284" i="8" s="1"/>
  <c r="C284" i="8" a="1"/>
  <c r="C284" i="8" s="1"/>
  <c r="D284" i="8" a="1"/>
  <c r="D284" i="8" s="1"/>
  <c r="B285" i="8" a="1"/>
  <c r="B285" i="8" s="1"/>
  <c r="C285" i="8" a="1"/>
  <c r="C285" i="8" s="1"/>
  <c r="D285" i="8" a="1"/>
  <c r="D285" i="8" s="1"/>
  <c r="B286" i="8" a="1"/>
  <c r="B286" i="8" s="1"/>
  <c r="C286" i="8" a="1"/>
  <c r="C286" i="8" s="1"/>
  <c r="D286" i="8" a="1"/>
  <c r="D286" i="8" s="1"/>
  <c r="B287" i="8" a="1"/>
  <c r="B287" i="8" s="1"/>
  <c r="C287" i="8" a="1"/>
  <c r="C287" i="8" s="1"/>
  <c r="D287" i="8" a="1"/>
  <c r="D287" i="8" s="1"/>
  <c r="B288" i="8" a="1"/>
  <c r="B288" i="8" s="1"/>
  <c r="C288" i="8" a="1"/>
  <c r="C288" i="8" s="1"/>
  <c r="D288" i="8" a="1"/>
  <c r="D288" i="8" s="1"/>
  <c r="B289" i="8" a="1"/>
  <c r="B289" i="8" s="1"/>
  <c r="C289" i="8" a="1"/>
  <c r="C289" i="8" s="1"/>
  <c r="D289" i="8" a="1"/>
  <c r="D289" i="8" s="1"/>
  <c r="B290" i="8" a="1"/>
  <c r="B290" i="8" s="1"/>
  <c r="C290" i="8" a="1"/>
  <c r="C290" i="8" s="1"/>
  <c r="D290" i="8" a="1"/>
  <c r="D290" i="8" s="1"/>
  <c r="B291" i="8" a="1"/>
  <c r="B291" i="8" s="1"/>
  <c r="C291" i="8" a="1"/>
  <c r="C291" i="8" s="1"/>
  <c r="D291" i="8" a="1"/>
  <c r="D291" i="8" s="1"/>
  <c r="B292" i="8" a="1"/>
  <c r="B292" i="8" s="1"/>
  <c r="C292" i="8" a="1"/>
  <c r="C292" i="8" s="1"/>
  <c r="D292" i="8" a="1"/>
  <c r="D292" i="8" s="1"/>
  <c r="B293" i="8" a="1"/>
  <c r="B293" i="8" s="1"/>
  <c r="C293" i="8" a="1"/>
  <c r="C293" i="8" s="1"/>
  <c r="D293" i="8" a="1"/>
  <c r="D293" i="8" s="1"/>
  <c r="B294" i="8" a="1"/>
  <c r="B294" i="8" s="1"/>
  <c r="C294" i="8" a="1"/>
  <c r="C294" i="8" s="1"/>
  <c r="D294" i="8" a="1"/>
  <c r="D294" i="8" s="1"/>
  <c r="B295" i="8" a="1"/>
  <c r="B295" i="8" s="1"/>
  <c r="C295" i="8" a="1"/>
  <c r="C295" i="8" s="1"/>
  <c r="D295" i="8" a="1"/>
  <c r="D295" i="8" s="1"/>
  <c r="B296" i="8" a="1"/>
  <c r="B296" i="8" s="1"/>
  <c r="C296" i="8" a="1"/>
  <c r="C296" i="8" s="1"/>
  <c r="D296" i="8" a="1"/>
  <c r="D296" i="8" s="1"/>
  <c r="B297" i="8" a="1"/>
  <c r="B297" i="8" s="1"/>
  <c r="C297" i="8" a="1"/>
  <c r="C297" i="8" s="1"/>
  <c r="D297" i="8" a="1"/>
  <c r="D297" i="8" s="1"/>
  <c r="B298" i="8" a="1"/>
  <c r="B298" i="8" s="1"/>
  <c r="C298" i="8" a="1"/>
  <c r="C298" i="8" s="1"/>
  <c r="D298" i="8" a="1"/>
  <c r="D298" i="8" s="1"/>
  <c r="B299" i="8" a="1"/>
  <c r="B299" i="8" s="1"/>
  <c r="C299" i="8" a="1"/>
  <c r="C299" i="8" s="1"/>
  <c r="D299" i="8" a="1"/>
  <c r="D299" i="8" s="1"/>
  <c r="B300" i="8" a="1"/>
  <c r="B300" i="8" s="1"/>
  <c r="C300" i="8" a="1"/>
  <c r="C300" i="8" s="1"/>
  <c r="D300" i="8" a="1"/>
  <c r="D300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AC260" i="8" a="1"/>
  <c r="AC260" i="8" s="1"/>
  <c r="AD260" i="8" a="1"/>
  <c r="AD260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AC261" i="8" a="1"/>
  <c r="AC261" i="8" s="1"/>
  <c r="AD261" i="8" a="1"/>
  <c r="AD261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AC262" i="8" a="1"/>
  <c r="AC262" i="8" s="1"/>
  <c r="AD262" i="8" a="1"/>
  <c r="AD262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AC263" i="8" a="1"/>
  <c r="AC263" i="8" s="1"/>
  <c r="AD263" i="8" a="1"/>
  <c r="AD263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AC264" i="8" a="1"/>
  <c r="AC264" i="8" s="1"/>
  <c r="AD264" i="8" a="1"/>
  <c r="AD264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AC265" i="8" a="1"/>
  <c r="AC265" i="8" s="1"/>
  <c r="AD265" i="8" a="1"/>
  <c r="AD265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AC266" i="8" a="1"/>
  <c r="AC266" i="8" s="1"/>
  <c r="AD266" i="8" a="1"/>
  <c r="AD266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AC267" i="8" a="1"/>
  <c r="AC267" i="8" s="1"/>
  <c r="AD267" i="8" a="1"/>
  <c r="AD267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AC268" i="8" a="1"/>
  <c r="AC268" i="8" s="1"/>
  <c r="AD268" i="8" a="1"/>
  <c r="AD268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AC269" i="8" a="1"/>
  <c r="AC269" i="8" s="1"/>
  <c r="AD269" i="8" a="1"/>
  <c r="AD269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AC270" i="8" a="1"/>
  <c r="AC270" i="8" s="1"/>
  <c r="AD270" i="8" a="1"/>
  <c r="AD270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AC271" i="8" a="1"/>
  <c r="AC271" i="8" s="1"/>
  <c r="AD271" i="8" a="1"/>
  <c r="AD271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AC272" i="8" a="1"/>
  <c r="AC272" i="8" s="1"/>
  <c r="AD272" i="8" a="1"/>
  <c r="AD272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AC273" i="8" a="1"/>
  <c r="AC273" i="8" s="1"/>
  <c r="AD273" i="8" a="1"/>
  <c r="AD273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AC274" i="8" a="1"/>
  <c r="AC274" i="8" s="1"/>
  <c r="AD274" i="8" a="1"/>
  <c r="AD274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AC275" i="8" a="1"/>
  <c r="AC275" i="8" s="1"/>
  <c r="AD275" i="8" a="1"/>
  <c r="AD275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AC276" i="8" a="1"/>
  <c r="AC276" i="8" s="1"/>
  <c r="AD276" i="8" a="1"/>
  <c r="AD276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AC277" i="8" a="1"/>
  <c r="AC277" i="8" s="1"/>
  <c r="AD277" i="8" a="1"/>
  <c r="AD277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AC278" i="8" a="1"/>
  <c r="AC278" i="8" s="1"/>
  <c r="AD278" i="8" a="1"/>
  <c r="AD278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AC279" i="8" a="1"/>
  <c r="AC279" i="8" s="1"/>
  <c r="AD279" i="8" a="1"/>
  <c r="AD279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AC280" i="8" a="1"/>
  <c r="AC280" i="8" s="1"/>
  <c r="AD280" i="8" a="1"/>
  <c r="AD280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AC281" i="8" a="1"/>
  <c r="AC281" i="8" s="1"/>
  <c r="AD281" i="8" a="1"/>
  <c r="AD281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AC282" i="8" a="1"/>
  <c r="AC282" i="8" s="1"/>
  <c r="AD282" i="8" a="1"/>
  <c r="AD282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AC283" i="8" a="1"/>
  <c r="AC283" i="8" s="1"/>
  <c r="AD283" i="8" a="1"/>
  <c r="AD283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AC284" i="8" a="1"/>
  <c r="AC284" i="8" s="1"/>
  <c r="AD284" i="8" a="1"/>
  <c r="AD284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AC285" i="8" a="1"/>
  <c r="AC285" i="8" s="1"/>
  <c r="AD285" i="8" a="1"/>
  <c r="AD285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AC286" i="8" a="1"/>
  <c r="AC286" i="8" s="1"/>
  <c r="AD286" i="8" a="1"/>
  <c r="AD286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AC287" i="8" a="1"/>
  <c r="AC287" i="8" s="1"/>
  <c r="AD287" i="8" a="1"/>
  <c r="AD287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AC288" i="8" a="1"/>
  <c r="AC288" i="8" s="1"/>
  <c r="AD288" i="8" a="1"/>
  <c r="AD288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AC289" i="8" a="1"/>
  <c r="AC289" i="8" s="1"/>
  <c r="AD289" i="8" a="1"/>
  <c r="AD289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AC290" i="8" a="1"/>
  <c r="AC290" i="8" s="1"/>
  <c r="AD290" i="8" a="1"/>
  <c r="AD290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AC291" i="8" a="1"/>
  <c r="AC291" i="8" s="1"/>
  <c r="AD291" i="8" a="1"/>
  <c r="AD291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AC292" i="8" a="1"/>
  <c r="AC292" i="8" s="1"/>
  <c r="AD292" i="8" a="1"/>
  <c r="AD292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AC293" i="8" a="1"/>
  <c r="AC293" i="8" s="1"/>
  <c r="AD293" i="8" a="1"/>
  <c r="AD293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AC294" i="8" a="1"/>
  <c r="AC294" i="8" s="1"/>
  <c r="AD294" i="8" a="1"/>
  <c r="AD294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AC295" i="8" a="1"/>
  <c r="AC295" i="8" s="1"/>
  <c r="AD295" i="8" a="1"/>
  <c r="AD295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AC296" i="8" a="1"/>
  <c r="AC296" i="8" s="1"/>
  <c r="AD296" i="8" a="1"/>
  <c r="AD296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AC297" i="8" a="1"/>
  <c r="AC297" i="8" s="1"/>
  <c r="AD297" i="8" a="1"/>
  <c r="AD297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AC298" i="8" a="1"/>
  <c r="AC298" i="8" s="1"/>
  <c r="AD298" i="8" a="1"/>
  <c r="AD298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AC299" i="8" a="1"/>
  <c r="AC299" i="8" s="1"/>
  <c r="AD299" i="8" a="1"/>
  <c r="AD299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A300" i="8" a="1"/>
  <c r="AA300" i="8" s="1"/>
  <c r="AB300" i="8" a="1"/>
  <c r="AB300" i="8" s="1"/>
  <c r="AC300" i="8" a="1"/>
  <c r="AC300" i="8" s="1"/>
  <c r="AD300" i="8" a="1"/>
  <c r="AD300" i="8" s="1"/>
  <c r="C300" i="10" a="1"/>
  <c r="C294" i="10" a="1"/>
  <c r="C287" i="10" a="1"/>
  <c r="C281" i="10" a="1"/>
  <c r="C273" i="10" a="1"/>
  <c r="C265" i="10" a="1"/>
  <c r="C257" i="10" a="1"/>
  <c r="C249" i="10" a="1"/>
  <c r="C241" i="10" a="1"/>
  <c r="C233" i="10" a="1"/>
  <c r="C225" i="10" a="1"/>
  <c r="C217" i="10" a="1"/>
  <c r="C209" i="10" a="1"/>
  <c r="C201" i="10" a="1"/>
  <c r="C193" i="10" a="1"/>
  <c r="C185" i="10" a="1"/>
  <c r="C177" i="10" a="1"/>
  <c r="C169" i="10" a="1"/>
  <c r="C161" i="10" a="1"/>
  <c r="C153" i="10" a="1"/>
  <c r="C145" i="10" a="1"/>
  <c r="C137" i="10" a="1"/>
  <c r="C129" i="10" a="1"/>
  <c r="C121" i="10" a="1"/>
  <c r="C113" i="10" a="1"/>
  <c r="C105" i="10" a="1"/>
  <c r="C97" i="10" a="1"/>
  <c r="C89" i="10" a="1"/>
  <c r="C81" i="10" a="1"/>
  <c r="C73" i="10" a="1"/>
  <c r="C65" i="10" a="1"/>
  <c r="C57" i="10" a="1"/>
  <c r="C49" i="10" a="1"/>
  <c r="C41" i="10" a="1"/>
  <c r="C33" i="10" a="1"/>
  <c r="C25" i="10" a="1"/>
  <c r="C17" i="10" a="1"/>
  <c r="C299" i="10" a="1"/>
  <c r="C293" i="10" a="1"/>
  <c r="C280" i="10" a="1"/>
  <c r="C272" i="10" a="1"/>
  <c r="C264" i="10" a="1"/>
  <c r="C256" i="10" a="1"/>
  <c r="C248" i="10" a="1"/>
  <c r="C240" i="10" a="1"/>
  <c r="C232" i="10" a="1"/>
  <c r="C224" i="10" a="1"/>
  <c r="C216" i="10" a="1"/>
  <c r="C208" i="10" a="1"/>
  <c r="C200" i="10" a="1"/>
  <c r="C192" i="10" a="1"/>
  <c r="C184" i="10" a="1"/>
  <c r="C176" i="10" a="1"/>
  <c r="C168" i="10" a="1"/>
  <c r="C160" i="10" a="1"/>
  <c r="C152" i="10" a="1"/>
  <c r="C144" i="10" a="1"/>
  <c r="C136" i="10" a="1"/>
  <c r="C128" i="10" a="1"/>
  <c r="C120" i="10" a="1"/>
  <c r="C112" i="10" a="1"/>
  <c r="C104" i="10" a="1"/>
  <c r="C96" i="10" a="1"/>
  <c r="C88" i="10" a="1"/>
  <c r="C80" i="10" a="1"/>
  <c r="C72" i="10" a="1"/>
  <c r="C64" i="10" a="1"/>
  <c r="C56" i="10" a="1"/>
  <c r="C48" i="10" a="1"/>
  <c r="C40" i="10" a="1"/>
  <c r="C32" i="10" a="1"/>
  <c r="C24" i="10" a="1"/>
  <c r="C16" i="10" a="1"/>
  <c r="C258" i="10" a="1"/>
  <c r="C292" i="10" a="1"/>
  <c r="C286" i="10" a="1"/>
  <c r="C279" i="10" a="1"/>
  <c r="C271" i="10" a="1"/>
  <c r="C263" i="10" a="1"/>
  <c r="C255" i="10" a="1"/>
  <c r="C247" i="10" a="1"/>
  <c r="C239" i="10" a="1"/>
  <c r="C231" i="10" a="1"/>
  <c r="C223" i="10" a="1"/>
  <c r="C215" i="10" a="1"/>
  <c r="C207" i="10" a="1"/>
  <c r="C199" i="10" a="1"/>
  <c r="C191" i="10" a="1"/>
  <c r="C183" i="10" a="1"/>
  <c r="C175" i="10" a="1"/>
  <c r="C167" i="10" a="1"/>
  <c r="C159" i="10" a="1"/>
  <c r="C151" i="10" a="1"/>
  <c r="C143" i="10" a="1"/>
  <c r="C135" i="10" a="1"/>
  <c r="C127" i="10" a="1"/>
  <c r="C119" i="10" a="1"/>
  <c r="C111" i="10" a="1"/>
  <c r="C103" i="10" a="1"/>
  <c r="C95" i="10" a="1"/>
  <c r="C87" i="10" a="1"/>
  <c r="C79" i="10" a="1"/>
  <c r="C71" i="10" a="1"/>
  <c r="C63" i="10" a="1"/>
  <c r="C55" i="10" a="1"/>
  <c r="C47" i="10" a="1"/>
  <c r="C39" i="10" a="1"/>
  <c r="C31" i="10" a="1"/>
  <c r="C23" i="10" a="1"/>
  <c r="C15" i="10" a="1"/>
  <c r="C266" i="10" a="1"/>
  <c r="C234" i="10" a="1"/>
  <c r="C202" i="10" a="1"/>
  <c r="C162" i="10" a="1"/>
  <c r="C122" i="10" a="1"/>
  <c r="C82" i="10" a="1"/>
  <c r="C26" i="10" a="1"/>
  <c r="C298" i="10" a="1"/>
  <c r="C291" i="10" a="1"/>
  <c r="C285" i="10" a="1"/>
  <c r="C278" i="10" a="1"/>
  <c r="C270" i="10" a="1"/>
  <c r="C262" i="10" a="1"/>
  <c r="C254" i="10" a="1"/>
  <c r="C246" i="10" a="1"/>
  <c r="C238" i="10" a="1"/>
  <c r="C230" i="10" a="1"/>
  <c r="C222" i="10" a="1"/>
  <c r="C214" i="10" a="1"/>
  <c r="C206" i="10" a="1"/>
  <c r="C198" i="10" a="1"/>
  <c r="C190" i="10" a="1"/>
  <c r="C182" i="10" a="1"/>
  <c r="C174" i="10" a="1"/>
  <c r="C166" i="10" a="1"/>
  <c r="C158" i="10" a="1"/>
  <c r="C150" i="10" a="1"/>
  <c r="C142" i="10" a="1"/>
  <c r="C134" i="10" a="1"/>
  <c r="C126" i="10" a="1"/>
  <c r="C118" i="10" a="1"/>
  <c r="C110" i="10" a="1"/>
  <c r="C102" i="10" a="1"/>
  <c r="C94" i="10" a="1"/>
  <c r="C86" i="10" a="1"/>
  <c r="C78" i="10" a="1"/>
  <c r="C70" i="10" a="1"/>
  <c r="C62" i="10" a="1"/>
  <c r="C54" i="10" a="1"/>
  <c r="C46" i="10" a="1"/>
  <c r="C38" i="10" a="1"/>
  <c r="C30" i="10" a="1"/>
  <c r="C22" i="10" a="1"/>
  <c r="C14" i="10" a="1"/>
  <c r="C274" i="10" a="1"/>
  <c r="C226" i="10" a="1"/>
  <c r="C186" i="10" a="1"/>
  <c r="C146" i="10" a="1"/>
  <c r="C114" i="10" a="1"/>
  <c r="C74" i="10" a="1"/>
  <c r="C58" i="10" a="1"/>
  <c r="C18" i="10" a="1"/>
  <c r="C297" i="10" a="1"/>
  <c r="C284" i="10" a="1"/>
  <c r="C277" i="10" a="1"/>
  <c r="C269" i="10" a="1"/>
  <c r="C261" i="10" a="1"/>
  <c r="C253" i="10" a="1"/>
  <c r="C245" i="10" a="1"/>
  <c r="C237" i="10" a="1"/>
  <c r="C229" i="10" a="1"/>
  <c r="C221" i="10" a="1"/>
  <c r="C213" i="10" a="1"/>
  <c r="C205" i="10" a="1"/>
  <c r="C197" i="10" a="1"/>
  <c r="C189" i="10" a="1"/>
  <c r="C181" i="10" a="1"/>
  <c r="C173" i="10" a="1"/>
  <c r="C165" i="10" a="1"/>
  <c r="C157" i="10" a="1"/>
  <c r="C149" i="10" a="1"/>
  <c r="C141" i="10" a="1"/>
  <c r="C133" i="10" a="1"/>
  <c r="C125" i="10" a="1"/>
  <c r="C117" i="10" a="1"/>
  <c r="C109" i="10" a="1"/>
  <c r="C101" i="10" a="1"/>
  <c r="C93" i="10" a="1"/>
  <c r="C85" i="10" a="1"/>
  <c r="C77" i="10" a="1"/>
  <c r="C69" i="10" a="1"/>
  <c r="C61" i="10" a="1"/>
  <c r="C53" i="10" a="1"/>
  <c r="C45" i="10" a="1"/>
  <c r="C37" i="10" a="1"/>
  <c r="C29" i="10" a="1"/>
  <c r="C21" i="10" a="1"/>
  <c r="C13" i="10" a="1"/>
  <c r="C288" i="10" a="1"/>
  <c r="C242" i="10" a="1"/>
  <c r="C210" i="10" a="1"/>
  <c r="C170" i="10" a="1"/>
  <c r="C130" i="10" a="1"/>
  <c r="C106" i="10" a="1"/>
  <c r="C66" i="10" a="1"/>
  <c r="C42" i="10" a="1"/>
  <c r="C10" i="10" a="1"/>
  <c r="C296" i="10" a="1"/>
  <c r="C290" i="10" a="1"/>
  <c r="C283" i="10" a="1"/>
  <c r="C276" i="10" a="1"/>
  <c r="C268" i="10" a="1"/>
  <c r="C260" i="10" a="1"/>
  <c r="C252" i="10" a="1"/>
  <c r="C244" i="10" a="1"/>
  <c r="C236" i="10" a="1"/>
  <c r="C228" i="10" a="1"/>
  <c r="C220" i="10" a="1"/>
  <c r="C212" i="10" a="1"/>
  <c r="C204" i="10" a="1"/>
  <c r="C196" i="10" a="1"/>
  <c r="C188" i="10" a="1"/>
  <c r="C180" i="10" a="1"/>
  <c r="C172" i="10" a="1"/>
  <c r="C164" i="10" a="1"/>
  <c r="C156" i="10" a="1"/>
  <c r="C148" i="10" a="1"/>
  <c r="C140" i="10" a="1"/>
  <c r="C132" i="10" a="1"/>
  <c r="C124" i="10" a="1"/>
  <c r="C116" i="10" a="1"/>
  <c r="C108" i="10" a="1"/>
  <c r="C100" i="10" a="1"/>
  <c r="C92" i="10" a="1"/>
  <c r="C84" i="10" a="1"/>
  <c r="C76" i="10" a="1"/>
  <c r="C68" i="10" a="1"/>
  <c r="C60" i="10" a="1"/>
  <c r="C52" i="10" a="1"/>
  <c r="C44" i="10" a="1"/>
  <c r="C36" i="10" a="1"/>
  <c r="C28" i="10" a="1"/>
  <c r="C20" i="10" a="1"/>
  <c r="C12" i="10" a="1"/>
  <c r="C250" i="10" a="1"/>
  <c r="C194" i="10" a="1"/>
  <c r="C154" i="10" a="1"/>
  <c r="C98" i="10" a="1"/>
  <c r="C50" i="10" a="1"/>
  <c r="C295" i="10" a="1"/>
  <c r="C289" i="10" a="1"/>
  <c r="C275" i="10" a="1"/>
  <c r="C267" i="10" a="1"/>
  <c r="C259" i="10" a="1"/>
  <c r="C251" i="10" a="1"/>
  <c r="C243" i="10" a="1"/>
  <c r="C235" i="10" a="1"/>
  <c r="C227" i="10" a="1"/>
  <c r="C219" i="10" a="1"/>
  <c r="C211" i="10" a="1"/>
  <c r="C203" i="10" a="1"/>
  <c r="C195" i="10" a="1"/>
  <c r="C187" i="10" a="1"/>
  <c r="C179" i="10" a="1"/>
  <c r="C171" i="10" a="1"/>
  <c r="C163" i="10" a="1"/>
  <c r="C155" i="10" a="1"/>
  <c r="C147" i="10" a="1"/>
  <c r="C139" i="10" a="1"/>
  <c r="C131" i="10" a="1"/>
  <c r="C123" i="10" a="1"/>
  <c r="C115" i="10" a="1"/>
  <c r="C107" i="10" a="1"/>
  <c r="C99" i="10" a="1"/>
  <c r="C91" i="10" a="1"/>
  <c r="C83" i="10" a="1"/>
  <c r="C75" i="10" a="1"/>
  <c r="C67" i="10" a="1"/>
  <c r="C59" i="10" a="1"/>
  <c r="C51" i="10" a="1"/>
  <c r="C43" i="10" a="1"/>
  <c r="C35" i="10" a="1"/>
  <c r="C27" i="10" a="1"/>
  <c r="C19" i="10" a="1"/>
  <c r="C11" i="10" a="1"/>
  <c r="C282" i="10" a="1"/>
  <c r="C218" i="10" a="1"/>
  <c r="C178" i="10" a="1"/>
  <c r="C138" i="10" a="1"/>
  <c r="C90" i="10" a="1"/>
  <c r="C34" i="10" a="1"/>
  <c r="D134" i="10" a="1"/>
  <c r="D172" i="10" a="1"/>
  <c r="D202" i="10" a="1"/>
  <c r="D153" i="10" a="1"/>
  <c r="D55" i="10" a="1"/>
  <c r="D64" i="10" a="1"/>
  <c r="D152" i="10" a="1"/>
  <c r="D265" i="10" a="1"/>
  <c r="D167" i="10" a="1"/>
  <c r="D85" i="10" a="1"/>
  <c r="D136" i="10" a="1"/>
  <c r="D213" i="10" a="1"/>
  <c r="D295" i="10" a="1"/>
  <c r="D143" i="10" a="1"/>
  <c r="D257" i="10" a="1"/>
  <c r="D278" i="10" a="1"/>
  <c r="D297" i="10" a="1"/>
  <c r="D25" i="10" a="1"/>
  <c r="D253" i="10" a="1"/>
  <c r="D234" i="10" a="1"/>
  <c r="D212" i="10" a="1"/>
  <c r="D186" i="10" a="1"/>
  <c r="D19" i="10" a="1"/>
  <c r="D114" i="10" a="1"/>
  <c r="D91" i="10" a="1"/>
  <c r="D26" i="10" a="1"/>
  <c r="D79" i="10" a="1"/>
  <c r="D254" i="10" a="1"/>
  <c r="D276" i="10" a="1"/>
  <c r="D137" i="10" a="1"/>
  <c r="D231" i="10" a="1"/>
  <c r="D86" i="10" a="1"/>
  <c r="D111" i="10" a="1"/>
  <c r="D249" i="10" a="1"/>
  <c r="D15" i="10" a="1"/>
  <c r="D243" i="10" a="1"/>
  <c r="D210" i="10" a="1"/>
  <c r="D188" i="10" a="1"/>
  <c r="D88" i="10" a="1"/>
  <c r="D103" i="10" a="1"/>
  <c r="D263" i="10" a="1"/>
  <c r="D34" i="10" a="1"/>
  <c r="D24" i="10" a="1"/>
  <c r="D72" i="10" a="1"/>
  <c r="D84" i="10" a="1"/>
  <c r="D28" i="10" a="1"/>
  <c r="D236" i="10" a="1"/>
  <c r="D175" i="10" a="1"/>
  <c r="D56" i="10" a="1"/>
  <c r="D300" i="10" a="1"/>
  <c r="D215" i="10" a="1"/>
  <c r="D233" i="10" a="1"/>
  <c r="D94" i="10" a="1"/>
  <c r="D145" i="10" a="1"/>
  <c r="D11" i="10" a="1"/>
  <c r="D49" i="10" a="1"/>
  <c r="D221" i="10" a="1"/>
  <c r="D220" i="10" a="1"/>
  <c r="D222" i="10" a="1"/>
  <c r="D227" i="10" a="1"/>
  <c r="D31" i="10" a="1"/>
  <c r="D125" i="10" a="1"/>
  <c r="D150" i="10" a="1"/>
  <c r="D73" i="10" a="1"/>
  <c r="D197" i="10" a="1"/>
  <c r="D159" i="10" a="1"/>
  <c r="D68" i="10" a="1"/>
  <c r="D36" i="10" a="1"/>
  <c r="D154" i="10" a="1"/>
  <c r="D82" i="10" a="1"/>
  <c r="D29" i="10" a="1"/>
  <c r="D131" i="10" a="1"/>
  <c r="D32" i="10" a="1"/>
  <c r="D194" i="10" a="1"/>
  <c r="D293" i="10" a="1"/>
  <c r="D65" i="10" a="1"/>
  <c r="D16" i="10" a="1"/>
  <c r="D228" i="10" a="1"/>
  <c r="D23" i="10" a="1"/>
  <c r="D174" i="10" a="1"/>
  <c r="D158" i="10" a="1"/>
  <c r="D74" i="10" a="1"/>
  <c r="D38" i="10" a="1"/>
  <c r="D118" i="10" a="1"/>
  <c r="D92" i="10" a="1"/>
  <c r="D238" i="10" a="1"/>
  <c r="D21" i="10" a="1"/>
  <c r="D214" i="10" a="1"/>
  <c r="D42" i="10" a="1"/>
  <c r="D237" i="10" a="1"/>
  <c r="D67" i="10" a="1"/>
  <c r="D126" i="10" a="1"/>
  <c r="D285" i="10" a="1"/>
  <c r="D120" i="10" a="1"/>
  <c r="D123" i="10" a="1"/>
  <c r="D296" i="10" a="1"/>
  <c r="D267" i="10" a="1"/>
  <c r="D47" i="10" a="1"/>
  <c r="D98" i="10" a="1"/>
  <c r="D112" i="10" a="1"/>
  <c r="D141" i="10" a="1"/>
  <c r="D75" i="10" a="1"/>
  <c r="D176" i="10" a="1"/>
  <c r="D181" i="10" a="1"/>
  <c r="D160" i="10" a="1"/>
  <c r="D287" i="10" a="1"/>
  <c r="D289" i="10" a="1"/>
  <c r="D132" i="10" a="1"/>
  <c r="D171" i="10" a="1"/>
  <c r="D250" i="10" a="1"/>
  <c r="D156" i="10" a="1"/>
  <c r="D204" i="10" a="1"/>
  <c r="D78" i="10" a="1"/>
  <c r="D164" i="10" a="1"/>
  <c r="D199" i="10" a="1"/>
  <c r="D162" i="10" a="1"/>
  <c r="D35" i="10" a="1"/>
  <c r="D102" i="10" a="1"/>
  <c r="D30" i="10" a="1"/>
  <c r="D51" i="10" a="1"/>
  <c r="D96" i="10" a="1"/>
  <c r="D17" i="10" a="1"/>
  <c r="D70" i="10" a="1"/>
  <c r="D69" i="10" a="1"/>
  <c r="D43" i="10" a="1"/>
  <c r="D248" i="10" a="1"/>
  <c r="D299" i="10" a="1"/>
  <c r="D53" i="10" a="1"/>
  <c r="D33" i="10" a="1"/>
  <c r="D119" i="10" a="1"/>
  <c r="D292" i="10" a="1"/>
  <c r="D185" i="10" a="1"/>
  <c r="D14" i="10" a="1"/>
  <c r="D157" i="10" a="1"/>
  <c r="D87" i="10" a="1"/>
  <c r="D218" i="10" a="1"/>
  <c r="D81" i="10" a="1"/>
  <c r="D41" i="10" a="1"/>
  <c r="D288" i="10" a="1"/>
  <c r="D107" i="10" a="1"/>
  <c r="D117" i="10" a="1"/>
  <c r="D191" i="10" a="1"/>
  <c r="D209" i="10" a="1"/>
  <c r="D207" i="10" a="1"/>
  <c r="D259" i="10" a="1"/>
  <c r="D52" i="10" a="1"/>
  <c r="D225" i="10" a="1"/>
  <c r="D101" i="10" a="1"/>
  <c r="D173" i="10" a="1"/>
  <c r="D179" i="10" a="1"/>
  <c r="D216" i="10" a="1"/>
  <c r="D242" i="10" a="1"/>
  <c r="D246" i="10" a="1"/>
  <c r="D135" i="10" a="1"/>
  <c r="D110" i="10" a="1"/>
  <c r="D245" i="10" a="1"/>
  <c r="D226" i="10" a="1"/>
  <c r="D166" i="10" a="1"/>
  <c r="D20" i="10" a="1"/>
  <c r="D80" i="10" a="1"/>
  <c r="D279" i="10" a="1"/>
  <c r="D190" i="10" a="1"/>
  <c r="D241" i="10" a="1"/>
  <c r="D130" i="10" a="1"/>
  <c r="D77" i="10" a="1"/>
  <c r="D60" i="10" a="1"/>
  <c r="D256" i="10" a="1"/>
  <c r="D262" i="10" a="1"/>
  <c r="D235" i="10" a="1"/>
  <c r="D180" i="10" a="1"/>
  <c r="D193" i="10" a="1"/>
  <c r="D280" i="10" a="1"/>
  <c r="D93" i="10" a="1"/>
  <c r="D224" i="10" a="1"/>
  <c r="D189" i="10" a="1"/>
  <c r="D201" i="10" a="1"/>
  <c r="D71" i="10" a="1"/>
  <c r="D142" i="10" a="1"/>
  <c r="D58" i="10" a="1"/>
  <c r="D187" i="10" a="1"/>
  <c r="D149" i="10" a="1"/>
  <c r="D294" i="10" a="1"/>
  <c r="D106" i="10" a="1"/>
  <c r="D286" i="10" a="1"/>
  <c r="D240" i="10" a="1"/>
  <c r="D283" i="10" a="1"/>
  <c r="D264" i="10" a="1"/>
  <c r="D211" i="10" a="1"/>
  <c r="D203" i="10" a="1"/>
  <c r="D128" i="10" a="1"/>
  <c r="D275" i="10" a="1"/>
  <c r="D148" i="10" a="1"/>
  <c r="D229" i="10" a="1"/>
  <c r="D95" i="10" a="1"/>
  <c r="D61" i="10" a="1"/>
  <c r="D133" i="10" a="1"/>
  <c r="D183" i="10" a="1"/>
  <c r="D139" i="10" a="1"/>
  <c r="D27" i="10" a="1"/>
  <c r="D192" i="10" a="1"/>
  <c r="D260" i="10" a="1"/>
  <c r="D104" i="10" a="1"/>
  <c r="D124" i="10" a="1"/>
  <c r="D177" i="10" a="1"/>
  <c r="D57" i="10" a="1"/>
  <c r="D284" i="10" a="1"/>
  <c r="D138" i="10" a="1"/>
  <c r="D105" i="10" a="1"/>
  <c r="D255" i="10" a="1"/>
  <c r="D277" i="10" a="1"/>
  <c r="D48" i="10" a="1"/>
  <c r="D261" i="10" a="1"/>
  <c r="D208" i="10" a="1"/>
  <c r="D205" i="10" a="1"/>
  <c r="D198" i="10" a="1"/>
  <c r="D169" i="10" a="1"/>
  <c r="D63" i="10" a="1"/>
  <c r="D290" i="10" a="1"/>
  <c r="D165" i="10" a="1"/>
  <c r="D46" i="10" a="1"/>
  <c r="D45" i="10" a="1"/>
  <c r="D161" i="10" a="1"/>
  <c r="D239" i="10" a="1"/>
  <c r="D274" i="10" a="1"/>
  <c r="D115" i="10" a="1"/>
  <c r="D217" i="10" a="1"/>
  <c r="D195" i="10" a="1"/>
  <c r="D62" i="10" a="1"/>
  <c r="D151" i="10" a="1"/>
  <c r="D184" i="10" a="1"/>
  <c r="D182" i="10" a="1"/>
  <c r="D121" i="10" a="1"/>
  <c r="D200" i="10" a="1"/>
  <c r="D251" i="10" a="1"/>
  <c r="D39" i="10" a="1"/>
  <c r="D116" i="10" a="1"/>
  <c r="D268" i="10" a="1"/>
  <c r="D252" i="10" a="1"/>
  <c r="D76" i="10" a="1"/>
  <c r="D40" i="10" a="1"/>
  <c r="D44" i="10" a="1"/>
  <c r="D97" i="10" a="1"/>
  <c r="D269" i="10" a="1"/>
  <c r="D244" i="10" a="1"/>
  <c r="D270" i="10" a="1"/>
  <c r="D282" i="10" a="1"/>
  <c r="D170" i="10" a="1"/>
  <c r="D100" i="10" a="1"/>
  <c r="D127" i="10" a="1"/>
  <c r="D178" i="10" a="1"/>
  <c r="D219" i="10" a="1"/>
  <c r="D99" i="10" a="1"/>
  <c r="D140" i="10" a="1"/>
  <c r="D109" i="10" a="1"/>
  <c r="D281" i="10" a="1"/>
  <c r="D37" i="10" a="1"/>
  <c r="D163" i="10" a="1"/>
  <c r="D108" i="10" a="1"/>
  <c r="D83" i="10" a="1"/>
  <c r="D223" i="10" a="1"/>
  <c r="D129" i="10" a="1"/>
  <c r="D232" i="10" a="1"/>
  <c r="D12" i="10" a="1"/>
  <c r="D113" i="10" a="1"/>
  <c r="D247" i="10" a="1"/>
  <c r="D155" i="10" a="1"/>
  <c r="D59" i="10" a="1"/>
  <c r="D89" i="10" a="1"/>
  <c r="D122" i="10" a="1"/>
  <c r="D50" i="10" a="1"/>
  <c r="D147" i="10" a="1"/>
  <c r="D146" i="10" a="1"/>
  <c r="D18" i="10" a="1"/>
  <c r="D22" i="10" a="1"/>
  <c r="D90" i="10" a="1"/>
  <c r="D54" i="10" a="1"/>
  <c r="D258" i="10" a="1"/>
  <c r="D230" i="10" a="1"/>
  <c r="D144" i="10" a="1"/>
  <c r="D168" i="10" a="1"/>
  <c r="D272" i="10" a="1"/>
  <c r="D196" i="10" a="1"/>
  <c r="D266" i="10" a="1"/>
  <c r="D13" i="10" a="1"/>
  <c r="D298" i="10" a="1"/>
  <c r="D291" i="10" a="1"/>
  <c r="D273" i="10" a="1"/>
  <c r="D66" i="10" a="1"/>
  <c r="D206" i="10" a="1"/>
  <c r="D271" i="10" a="1"/>
  <c r="D10" i="10" a="1"/>
  <c r="D32" i="10" l="1"/>
  <c r="D229" i="10"/>
  <c r="D155" i="10"/>
  <c r="D262" i="10"/>
  <c r="D131" i="10"/>
  <c r="D10" i="10"/>
  <c r="D247" i="10"/>
  <c r="D256" i="10"/>
  <c r="D29" i="10"/>
  <c r="D296" i="10"/>
  <c r="D113" i="10"/>
  <c r="D60" i="10"/>
  <c r="D82" i="10"/>
  <c r="D148" i="10"/>
  <c r="D12" i="10"/>
  <c r="D77" i="10"/>
  <c r="D154" i="10"/>
  <c r="D271" i="10"/>
  <c r="D232" i="10"/>
  <c r="D130" i="10"/>
  <c r="D36" i="10"/>
  <c r="D123" i="10"/>
  <c r="D129" i="10"/>
  <c r="D241" i="10"/>
  <c r="D68" i="10"/>
  <c r="D275" i="10"/>
  <c r="D223" i="10"/>
  <c r="D190" i="10"/>
  <c r="D159" i="10"/>
  <c r="D206" i="10"/>
  <c r="D83" i="10"/>
  <c r="D279" i="10"/>
  <c r="D197" i="10"/>
  <c r="D120" i="10"/>
  <c r="D108" i="10"/>
  <c r="D80" i="10"/>
  <c r="D73" i="10"/>
  <c r="D128" i="10"/>
  <c r="D163" i="10"/>
  <c r="D20" i="10"/>
  <c r="D150" i="10"/>
  <c r="D66" i="10"/>
  <c r="D37" i="10"/>
  <c r="D166" i="10"/>
  <c r="D125" i="10"/>
  <c r="D285" i="10"/>
  <c r="D281" i="10"/>
  <c r="D226" i="10"/>
  <c r="D31" i="10"/>
  <c r="D203" i="10"/>
  <c r="D109" i="10"/>
  <c r="D245" i="10"/>
  <c r="D227" i="10"/>
  <c r="D273" i="10"/>
  <c r="D140" i="10"/>
  <c r="D110" i="10"/>
  <c r="D222" i="10"/>
  <c r="D126" i="10"/>
  <c r="D99" i="10"/>
  <c r="D135" i="10"/>
  <c r="D220" i="10"/>
  <c r="D291" i="10"/>
  <c r="D219" i="10"/>
  <c r="D246" i="10"/>
  <c r="D221" i="10"/>
  <c r="D211" i="10"/>
  <c r="D178" i="10"/>
  <c r="D242" i="10"/>
  <c r="D49" i="10"/>
  <c r="D67" i="10"/>
  <c r="D127" i="10"/>
  <c r="D216" i="10"/>
  <c r="D11" i="10"/>
  <c r="D298" i="10"/>
  <c r="D100" i="10"/>
  <c r="D179" i="10"/>
  <c r="D145" i="10"/>
  <c r="D264" i="10"/>
  <c r="D170" i="10"/>
  <c r="D173" i="10"/>
  <c r="D94" i="10"/>
  <c r="D237" i="10"/>
  <c r="D282" i="10"/>
  <c r="D101" i="10"/>
  <c r="D233" i="10"/>
  <c r="D283" i="10"/>
  <c r="D270" i="10"/>
  <c r="D225" i="10"/>
  <c r="D215" i="10"/>
  <c r="D13" i="10"/>
  <c r="D244" i="10"/>
  <c r="D52" i="10"/>
  <c r="D300" i="10"/>
  <c r="D42" i="10"/>
  <c r="D269" i="10"/>
  <c r="D259" i="10"/>
  <c r="D56" i="10"/>
  <c r="D266" i="10"/>
  <c r="D97" i="10"/>
  <c r="D207" i="10"/>
  <c r="D175" i="10"/>
  <c r="D240" i="10"/>
  <c r="D44" i="10"/>
  <c r="D209" i="10"/>
  <c r="D236" i="10"/>
  <c r="D214" i="10"/>
  <c r="D40" i="10"/>
  <c r="D191" i="10"/>
  <c r="D28" i="10"/>
  <c r="D196" i="10"/>
  <c r="D76" i="10"/>
  <c r="D117" i="10"/>
  <c r="D84" i="10"/>
  <c r="D286" i="10"/>
  <c r="D252" i="10"/>
  <c r="D107" i="10"/>
  <c r="D72" i="10"/>
  <c r="D21" i="10"/>
  <c r="D268" i="10"/>
  <c r="D288" i="10"/>
  <c r="D24" i="10"/>
  <c r="D106" i="10"/>
  <c r="D116" i="10"/>
  <c r="D41" i="10"/>
  <c r="D34" i="10"/>
  <c r="D272" i="10"/>
  <c r="D39" i="10"/>
  <c r="D81" i="10"/>
  <c r="D263" i="10"/>
  <c r="D238" i="10"/>
  <c r="D251" i="10"/>
  <c r="D218" i="10"/>
  <c r="D103" i="10"/>
  <c r="D168" i="10"/>
  <c r="D200" i="10"/>
  <c r="D87" i="10"/>
  <c r="D88" i="10"/>
  <c r="D294" i="10"/>
  <c r="D121" i="10"/>
  <c r="D157" i="10"/>
  <c r="D188" i="10"/>
  <c r="D144" i="10"/>
  <c r="D182" i="10"/>
  <c r="D14" i="10"/>
  <c r="D210" i="10"/>
  <c r="D149" i="10"/>
  <c r="D184" i="10"/>
  <c r="D185" i="10"/>
  <c r="D243" i="10"/>
  <c r="D92" i="10"/>
  <c r="D151" i="10"/>
  <c r="D292" i="10"/>
  <c r="D15" i="10"/>
  <c r="D187" i="10"/>
  <c r="D62" i="10"/>
  <c r="D119" i="10"/>
  <c r="D249" i="10"/>
  <c r="D230" i="10"/>
  <c r="D195" i="10"/>
  <c r="D33" i="10"/>
  <c r="D111" i="10"/>
  <c r="D118" i="10"/>
  <c r="D217" i="10"/>
  <c r="D53" i="10"/>
  <c r="D86" i="10"/>
  <c r="D258" i="10"/>
  <c r="D115" i="10"/>
  <c r="D299" i="10"/>
  <c r="D231" i="10"/>
  <c r="D58" i="10"/>
  <c r="D274" i="10"/>
  <c r="D248" i="10"/>
  <c r="D137" i="10"/>
  <c r="D38" i="10"/>
  <c r="D239" i="10"/>
  <c r="D43" i="10"/>
  <c r="D276" i="10"/>
  <c r="D54" i="10"/>
  <c r="D161" i="10"/>
  <c r="D69" i="10"/>
  <c r="D254" i="10"/>
  <c r="D142" i="10"/>
  <c r="D45" i="10"/>
  <c r="D70" i="10"/>
  <c r="D79" i="10"/>
  <c r="D74" i="10"/>
  <c r="D46" i="10"/>
  <c r="D17" i="10"/>
  <c r="D26" i="10"/>
  <c r="D90" i="10"/>
  <c r="D165" i="10"/>
  <c r="D96" i="10"/>
  <c r="D91" i="10"/>
  <c r="D71" i="10"/>
  <c r="D290" i="10"/>
  <c r="D51" i="10"/>
  <c r="D114" i="10"/>
  <c r="D158" i="10"/>
  <c r="D63" i="10"/>
  <c r="D30" i="10"/>
  <c r="D19" i="10"/>
  <c r="D22" i="10"/>
  <c r="D169" i="10"/>
  <c r="D102" i="10"/>
  <c r="D186" i="10"/>
  <c r="D201" i="10"/>
  <c r="D198" i="10"/>
  <c r="D35" i="10"/>
  <c r="D212" i="10"/>
  <c r="D174" i="10"/>
  <c r="D205" i="10"/>
  <c r="D162" i="10"/>
  <c r="D234" i="10"/>
  <c r="D189" i="10"/>
  <c r="D208" i="10"/>
  <c r="D199" i="10"/>
  <c r="D253" i="10"/>
  <c r="D18" i="10"/>
  <c r="D261" i="10"/>
  <c r="D164" i="10"/>
  <c r="D25" i="10"/>
  <c r="D23" i="10"/>
  <c r="D48" i="10"/>
  <c r="D78" i="10"/>
  <c r="D297" i="10"/>
  <c r="D224" i="10"/>
  <c r="D277" i="10"/>
  <c r="D204" i="10"/>
  <c r="D278" i="10"/>
  <c r="D146" i="10"/>
  <c r="D255" i="10"/>
  <c r="D156" i="10"/>
  <c r="D257" i="10"/>
  <c r="D228" i="10"/>
  <c r="D105" i="10"/>
  <c r="D250" i="10"/>
  <c r="D143" i="10"/>
  <c r="D147" i="10"/>
  <c r="D138" i="10"/>
  <c r="D171" i="10"/>
  <c r="D295" i="10"/>
  <c r="D93" i="10"/>
  <c r="D284" i="10"/>
  <c r="D132" i="10"/>
  <c r="D213" i="10"/>
  <c r="D16" i="10"/>
  <c r="D57" i="10"/>
  <c r="D289" i="10"/>
  <c r="D136" i="10"/>
  <c r="D50" i="10"/>
  <c r="D177" i="10"/>
  <c r="D287" i="10"/>
  <c r="D85" i="10"/>
  <c r="D280" i="10"/>
  <c r="D124" i="10"/>
  <c r="D160" i="10"/>
  <c r="D167" i="10"/>
  <c r="D122" i="10"/>
  <c r="D104" i="10"/>
  <c r="D181" i="10"/>
  <c r="D265" i="10"/>
  <c r="D193" i="10"/>
  <c r="D260" i="10"/>
  <c r="D176" i="10"/>
  <c r="D152" i="10"/>
  <c r="D65" i="10"/>
  <c r="D192" i="10"/>
  <c r="D75" i="10"/>
  <c r="D64" i="10"/>
  <c r="D89" i="10"/>
  <c r="D27" i="10"/>
  <c r="D141" i="10"/>
  <c r="D55" i="10"/>
  <c r="D180" i="10"/>
  <c r="D139" i="10"/>
  <c r="D112" i="10"/>
  <c r="D153" i="10"/>
  <c r="D293" i="10"/>
  <c r="D183" i="10"/>
  <c r="D98" i="10"/>
  <c r="D202" i="10"/>
  <c r="D59" i="10"/>
  <c r="D133" i="10"/>
  <c r="D47" i="10"/>
  <c r="D172" i="10"/>
  <c r="D235" i="10"/>
  <c r="D61" i="10"/>
  <c r="D267" i="10"/>
  <c r="D134" i="10"/>
  <c r="D194" i="10"/>
  <c r="D95" i="10"/>
  <c r="C34" i="10"/>
  <c r="C90" i="10"/>
  <c r="C138" i="10"/>
  <c r="C178" i="10"/>
  <c r="C218" i="10"/>
  <c r="C282" i="10"/>
  <c r="C11" i="10"/>
  <c r="C19" i="10"/>
  <c r="C27" i="10"/>
  <c r="C35" i="10"/>
  <c r="C43" i="10"/>
  <c r="C51" i="10"/>
  <c r="C59" i="10"/>
  <c r="C67" i="10"/>
  <c r="C75" i="10"/>
  <c r="C83" i="10"/>
  <c r="C91" i="10"/>
  <c r="C99" i="10"/>
  <c r="C107" i="10"/>
  <c r="C115" i="10"/>
  <c r="C123" i="10"/>
  <c r="C131" i="10"/>
  <c r="C139" i="10"/>
  <c r="C147" i="10"/>
  <c r="C155" i="10"/>
  <c r="C163" i="10"/>
  <c r="C171" i="10"/>
  <c r="C179" i="10"/>
  <c r="C187" i="10"/>
  <c r="C195" i="10"/>
  <c r="C203" i="10"/>
  <c r="C211" i="10"/>
  <c r="C219" i="10"/>
  <c r="C227" i="10"/>
  <c r="C235" i="10"/>
  <c r="C243" i="10"/>
  <c r="C251" i="10"/>
  <c r="C259" i="10"/>
  <c r="C267" i="10"/>
  <c r="C275" i="10"/>
  <c r="C289" i="10"/>
  <c r="C295" i="10"/>
  <c r="C50" i="10"/>
  <c r="C98" i="10"/>
  <c r="C154" i="10"/>
  <c r="C194" i="10"/>
  <c r="C250" i="10"/>
  <c r="C12" i="10"/>
  <c r="C20" i="10"/>
  <c r="C28" i="10"/>
  <c r="C36" i="10"/>
  <c r="C44" i="10"/>
  <c r="C52" i="10"/>
  <c r="C60" i="10"/>
  <c r="C68" i="10"/>
  <c r="C76" i="10"/>
  <c r="C84" i="10"/>
  <c r="C92" i="10"/>
  <c r="C100" i="10"/>
  <c r="C108" i="10"/>
  <c r="C116" i="10"/>
  <c r="C124" i="10"/>
  <c r="C132" i="10"/>
  <c r="C140" i="10"/>
  <c r="C148" i="10"/>
  <c r="C156" i="10"/>
  <c r="C164" i="10"/>
  <c r="C172" i="10"/>
  <c r="C180" i="10"/>
  <c r="C188" i="10"/>
  <c r="C196" i="10"/>
  <c r="C204" i="10"/>
  <c r="C212" i="10"/>
  <c r="C220" i="10"/>
  <c r="C228" i="10"/>
  <c r="C236" i="10"/>
  <c r="C244" i="10"/>
  <c r="C252" i="10"/>
  <c r="C260" i="10"/>
  <c r="C268" i="10"/>
  <c r="C276" i="10"/>
  <c r="C283" i="10"/>
  <c r="C290" i="10"/>
  <c r="C296" i="10"/>
  <c r="C10" i="10"/>
  <c r="C42" i="10"/>
  <c r="C66" i="10"/>
  <c r="C106" i="10"/>
  <c r="C130" i="10"/>
  <c r="C170" i="10"/>
  <c r="C210" i="10"/>
  <c r="C242" i="10"/>
  <c r="C288" i="10"/>
  <c r="C13" i="10"/>
  <c r="C21" i="10"/>
  <c r="C29" i="10"/>
  <c r="C37" i="10"/>
  <c r="C45" i="10"/>
  <c r="C53" i="10"/>
  <c r="C61" i="10"/>
  <c r="C69" i="10"/>
  <c r="C77" i="10"/>
  <c r="C85" i="10"/>
  <c r="C93" i="10"/>
  <c r="C101" i="10"/>
  <c r="C109" i="10"/>
  <c r="C117" i="10"/>
  <c r="C125" i="10"/>
  <c r="C133" i="10"/>
  <c r="C141" i="10"/>
  <c r="C149" i="10"/>
  <c r="C157" i="10"/>
  <c r="C165" i="10"/>
  <c r="C173" i="10"/>
  <c r="C181" i="10"/>
  <c r="C189" i="10"/>
  <c r="C197" i="10"/>
  <c r="C205" i="10"/>
  <c r="C213" i="10"/>
  <c r="C221" i="10"/>
  <c r="C229" i="10"/>
  <c r="C237" i="10"/>
  <c r="C245" i="10"/>
  <c r="C253" i="10"/>
  <c r="C261" i="10"/>
  <c r="C269" i="10"/>
  <c r="C277" i="10"/>
  <c r="C284" i="10"/>
  <c r="C297" i="10"/>
  <c r="C18" i="10"/>
  <c r="C58" i="10"/>
  <c r="C74" i="10"/>
  <c r="C114" i="10"/>
  <c r="C146" i="10"/>
  <c r="C186" i="10"/>
  <c r="C226" i="10"/>
  <c r="C274" i="10"/>
  <c r="C14" i="10"/>
  <c r="C22" i="10"/>
  <c r="C30" i="10"/>
  <c r="C38" i="10"/>
  <c r="C46" i="10"/>
  <c r="C54" i="10"/>
  <c r="C62" i="10"/>
  <c r="C70" i="10"/>
  <c r="C78" i="10"/>
  <c r="C86" i="10"/>
  <c r="C94" i="10"/>
  <c r="C102" i="10"/>
  <c r="C110" i="10"/>
  <c r="C118" i="10"/>
  <c r="C126" i="10"/>
  <c r="C134" i="10"/>
  <c r="C142" i="10"/>
  <c r="C150" i="10"/>
  <c r="C158" i="10"/>
  <c r="C166" i="10"/>
  <c r="C174" i="10"/>
  <c r="C182" i="10"/>
  <c r="C190" i="10"/>
  <c r="C198" i="10"/>
  <c r="C206" i="10"/>
  <c r="C214" i="10"/>
  <c r="C222" i="10"/>
  <c r="C230" i="10"/>
  <c r="C238" i="10"/>
  <c r="C246" i="10"/>
  <c r="C254" i="10"/>
  <c r="C262" i="10"/>
  <c r="C270" i="10"/>
  <c r="C278" i="10"/>
  <c r="C285" i="10"/>
  <c r="C291" i="10"/>
  <c r="C298" i="10"/>
  <c r="C26" i="10"/>
  <c r="C82" i="10"/>
  <c r="C122" i="10"/>
  <c r="C162" i="10"/>
  <c r="C202" i="10"/>
  <c r="C234" i="10"/>
  <c r="C266" i="10"/>
  <c r="C15" i="10"/>
  <c r="C23" i="10"/>
  <c r="C31" i="10"/>
  <c r="C39" i="10"/>
  <c r="C47" i="10"/>
  <c r="C55" i="10"/>
  <c r="C63" i="10"/>
  <c r="C71" i="10"/>
  <c r="C79" i="10"/>
  <c r="C87" i="10"/>
  <c r="C95" i="10"/>
  <c r="C103" i="10"/>
  <c r="C111" i="10"/>
  <c r="C119" i="10"/>
  <c r="C127" i="10"/>
  <c r="C135" i="10"/>
  <c r="C143" i="10"/>
  <c r="C151" i="10"/>
  <c r="C159" i="10"/>
  <c r="C167" i="10"/>
  <c r="C175" i="10"/>
  <c r="C183" i="10"/>
  <c r="C191" i="10"/>
  <c r="C199" i="10"/>
  <c r="C207" i="10"/>
  <c r="C215" i="10"/>
  <c r="C223" i="10"/>
  <c r="C231" i="10"/>
  <c r="C239" i="10"/>
  <c r="C247" i="10"/>
  <c r="C255" i="10"/>
  <c r="C263" i="10"/>
  <c r="C271" i="10"/>
  <c r="C279" i="10"/>
  <c r="C286" i="10"/>
  <c r="C292" i="10"/>
  <c r="C258" i="10"/>
  <c r="C16" i="10"/>
  <c r="C24" i="10"/>
  <c r="C32" i="10"/>
  <c r="C40" i="10"/>
  <c r="C48" i="10"/>
  <c r="C56" i="10"/>
  <c r="C64" i="10"/>
  <c r="C72" i="10"/>
  <c r="C80" i="10"/>
  <c r="C88" i="10"/>
  <c r="C96" i="10"/>
  <c r="C104" i="10"/>
  <c r="C112" i="10"/>
  <c r="C120" i="10"/>
  <c r="C128" i="10"/>
  <c r="C136" i="10"/>
  <c r="C144" i="10"/>
  <c r="C152" i="10"/>
  <c r="C160" i="10"/>
  <c r="C168" i="10"/>
  <c r="C176" i="10"/>
  <c r="C184" i="10"/>
  <c r="C192" i="10"/>
  <c r="C200" i="10"/>
  <c r="C208" i="10"/>
  <c r="C216" i="10"/>
  <c r="C224" i="10"/>
  <c r="C232" i="10"/>
  <c r="C240" i="10"/>
  <c r="C248" i="10"/>
  <c r="C256" i="10"/>
  <c r="C264" i="10"/>
  <c r="C272" i="10"/>
  <c r="C280" i="10"/>
  <c r="C293" i="10"/>
  <c r="C299" i="10"/>
  <c r="C17" i="10"/>
  <c r="C25" i="10"/>
  <c r="C33" i="10"/>
  <c r="C41" i="10"/>
  <c r="C49" i="10"/>
  <c r="C57" i="10"/>
  <c r="C65" i="10"/>
  <c r="C73" i="10"/>
  <c r="C81" i="10"/>
  <c r="C89" i="10"/>
  <c r="C97" i="10"/>
  <c r="C105" i="10"/>
  <c r="C113" i="10"/>
  <c r="C121" i="10"/>
  <c r="C129" i="10"/>
  <c r="C137" i="10"/>
  <c r="C145" i="10"/>
  <c r="C153" i="10"/>
  <c r="C161" i="10"/>
  <c r="C169" i="10"/>
  <c r="C177" i="10"/>
  <c r="C185" i="10"/>
  <c r="C193" i="10"/>
  <c r="C201" i="10"/>
  <c r="C209" i="10"/>
  <c r="C217" i="10"/>
  <c r="C225" i="10"/>
  <c r="C233" i="10"/>
  <c r="C241" i="10"/>
  <c r="C249" i="10"/>
  <c r="C257" i="10"/>
  <c r="C265" i="10"/>
  <c r="C273" i="10"/>
  <c r="C281" i="10"/>
  <c r="C287" i="10"/>
  <c r="C294" i="10"/>
  <c r="C300" i="10"/>
  <c r="B10" i="6" a="1"/>
  <c r="B10" i="6" l="1"/>
  <c r="C89" i="6" a="1"/>
  <c r="B37" i="6" a="1"/>
  <c r="C184" i="6" a="1"/>
  <c r="B80" i="6" a="1"/>
  <c r="C108" i="6" a="1"/>
  <c r="C244" i="6" a="1"/>
  <c r="C246" i="6" a="1"/>
  <c r="C50" i="6" a="1"/>
  <c r="B235" i="6" a="1"/>
  <c r="B33" i="6" a="1"/>
  <c r="B177" i="6" a="1"/>
  <c r="C33" i="6" a="1"/>
  <c r="B257" i="6" a="1"/>
  <c r="C88" i="6" a="1"/>
  <c r="B173" i="6" a="1"/>
  <c r="B70" i="6" a="1"/>
  <c r="C159" i="6" a="1"/>
  <c r="C154" i="6" a="1"/>
  <c r="C157" i="6" a="1"/>
  <c r="B247" i="6" a="1"/>
  <c r="B180" i="6" a="1"/>
  <c r="B112" i="6" a="1"/>
  <c r="C155" i="6" a="1"/>
  <c r="C111" i="6" a="1"/>
  <c r="B156" i="6" a="1"/>
  <c r="B14" i="6" a="1"/>
  <c r="C103" i="6" a="1"/>
  <c r="C227" i="6" a="1"/>
  <c r="C220" i="6" a="1"/>
  <c r="C202" i="6" a="1"/>
  <c r="B60" i="6" a="1"/>
  <c r="B219" i="6" a="1"/>
  <c r="C132" i="6" a="1"/>
  <c r="B224" i="6" a="1"/>
  <c r="B212" i="6" a="1"/>
  <c r="C109" i="6" a="1"/>
  <c r="C92" i="6" a="1"/>
  <c r="C98" i="6" a="1"/>
  <c r="B102" i="6" a="1"/>
  <c r="C149" i="6" a="1"/>
  <c r="C214" i="6" a="1"/>
  <c r="B109" i="6" a="1"/>
  <c r="B23" i="6" a="1"/>
  <c r="C236" i="6" a="1"/>
  <c r="B152" i="6" a="1"/>
  <c r="B115" i="6" a="1"/>
  <c r="C167" i="6" a="1"/>
  <c r="C161" i="6" a="1"/>
  <c r="C74" i="6" a="1"/>
  <c r="C224" i="6" a="1"/>
  <c r="B226" i="6" a="1"/>
  <c r="C15" i="6" a="1"/>
  <c r="C258" i="6" a="1"/>
  <c r="B133" i="6" a="1"/>
  <c r="C121" i="6" a="1"/>
  <c r="C32" i="6" a="1"/>
  <c r="B69" i="6" a="1"/>
  <c r="B107" i="6" a="1"/>
  <c r="B135" i="6" a="1"/>
  <c r="C104" i="6" a="1"/>
  <c r="B94" i="6" a="1"/>
  <c r="C82" i="6" a="1"/>
  <c r="C133" i="6" a="1"/>
  <c r="C106" i="6" a="1"/>
  <c r="C237" i="6" a="1"/>
  <c r="C139" i="6" a="1"/>
  <c r="C153" i="6" a="1"/>
  <c r="C182" i="6" a="1"/>
  <c r="B132" i="6" a="1"/>
  <c r="C203" i="6" a="1"/>
  <c r="B166" i="6" a="1"/>
  <c r="C241" i="6" a="1"/>
  <c r="C254" i="6" a="1"/>
  <c r="C239" i="6" a="1"/>
  <c r="B87" i="6" a="1"/>
  <c r="C58" i="6" a="1"/>
  <c r="B188" i="6" a="1"/>
  <c r="B197" i="6" a="1"/>
  <c r="B95" i="6" a="1"/>
  <c r="C228" i="6" a="1"/>
  <c r="C93" i="6" a="1"/>
  <c r="B131" i="6" a="1"/>
  <c r="C87" i="6" a="1"/>
  <c r="B259" i="6" a="1"/>
  <c r="C105" i="6" a="1"/>
  <c r="B18" i="6" a="1"/>
  <c r="C124" i="6" a="1"/>
  <c r="B207" i="6" a="1"/>
  <c r="C197" i="6" a="1"/>
  <c r="B221" i="6" a="1"/>
  <c r="C77" i="6" a="1"/>
  <c r="C194" i="6" a="1"/>
  <c r="C120" i="6" a="1"/>
  <c r="B123" i="6" a="1"/>
  <c r="B190" i="6" a="1"/>
  <c r="C168" i="6" a="1"/>
  <c r="C61" i="6" a="1"/>
  <c r="C117" i="6" a="1"/>
  <c r="B189" i="6" a="1"/>
  <c r="C231" i="6" a="1"/>
  <c r="C144" i="6" a="1"/>
  <c r="B230" i="6" a="1"/>
  <c r="B27" i="6" a="1"/>
  <c r="B199" i="6" a="1"/>
  <c r="C95" i="6" a="1"/>
  <c r="B179" i="6" a="1"/>
  <c r="C66" i="6" a="1"/>
  <c r="C114" i="6" a="1"/>
  <c r="B84" i="6" a="1"/>
  <c r="B211" i="6" a="1"/>
  <c r="B53" i="6" a="1"/>
  <c r="C76" i="6" a="1"/>
  <c r="B99" i="6" a="1"/>
  <c r="C20" i="6" a="1"/>
  <c r="B122" i="6" a="1"/>
  <c r="B209" i="6" a="1"/>
  <c r="B93" i="6" a="1"/>
  <c r="B41" i="6" a="1"/>
  <c r="C183" i="6" a="1"/>
  <c r="C68" i="6" a="1"/>
  <c r="C90" i="6" a="1"/>
  <c r="C160" i="6" a="1"/>
  <c r="C251" i="6" a="1"/>
  <c r="B214" i="6" a="1"/>
  <c r="B85" i="6" a="1"/>
  <c r="C128" i="6" a="1"/>
  <c r="C64" i="6" a="1"/>
  <c r="B103" i="6" a="1"/>
  <c r="B143" i="6" a="1"/>
  <c r="B119" i="6" a="1"/>
  <c r="C179" i="6" a="1"/>
  <c r="C116" i="6" a="1"/>
  <c r="C78" i="6" a="1"/>
  <c r="C69" i="6" a="1"/>
  <c r="C177" i="6" a="1"/>
  <c r="B216" i="6" a="1"/>
  <c r="C67" i="6" a="1"/>
  <c r="C130" i="6" a="1"/>
  <c r="B22" i="6" a="1"/>
  <c r="B232" i="6" a="1"/>
  <c r="B171" i="6" a="1"/>
  <c r="B217" i="6" a="1"/>
  <c r="B78" i="6" a="1"/>
  <c r="C253" i="6" a="1"/>
  <c r="B194" i="6" a="1"/>
  <c r="C42" i="6" a="1"/>
  <c r="C238" i="6" a="1"/>
  <c r="C196" i="6" a="1"/>
  <c r="C70" i="6" a="1"/>
  <c r="C219" i="6" a="1"/>
  <c r="B206" i="6" a="1"/>
  <c r="B57" i="6" a="1"/>
  <c r="B91" i="6" a="1"/>
  <c r="C178" i="6" a="1"/>
  <c r="C173" i="6" a="1"/>
  <c r="B236" i="6" a="1"/>
  <c r="B31" i="6" a="1"/>
  <c r="C206" i="6" a="1"/>
  <c r="B65" i="6" a="1"/>
  <c r="B169" i="6" a="1"/>
  <c r="B252" i="6" a="1"/>
  <c r="C73" i="6" a="1"/>
  <c r="C44" i="6" a="1"/>
  <c r="B164" i="6" a="1"/>
  <c r="B240" i="6" a="1"/>
  <c r="B142" i="6" a="1"/>
  <c r="C100" i="6" a="1"/>
  <c r="B167" i="6" a="1"/>
  <c r="C242" i="6" a="1"/>
  <c r="C200" i="6" a="1"/>
  <c r="B24" i="6" a="1"/>
  <c r="B128" i="6" a="1"/>
  <c r="C83" i="6" a="1"/>
  <c r="C169" i="6" a="1"/>
  <c r="C181" i="6" a="1"/>
  <c r="C110" i="6" a="1"/>
  <c r="C137" i="6" a="1"/>
  <c r="B13" i="6" a="1"/>
  <c r="C16" i="6" a="1"/>
  <c r="C148" i="6" a="1"/>
  <c r="B242" i="6" a="1"/>
  <c r="B48" i="6" a="1"/>
  <c r="C39" i="6" a="1"/>
  <c r="B210" i="6" a="1"/>
  <c r="C135" i="6" a="1"/>
  <c r="B81" i="6" a="1"/>
  <c r="B59" i="6" a="1"/>
  <c r="C43" i="6" a="1"/>
  <c r="B26" i="6" a="1"/>
  <c r="C215" i="6" a="1"/>
  <c r="C175" i="6" a="1"/>
  <c r="B111" i="6" a="1"/>
  <c r="B151" i="6" a="1"/>
  <c r="B90" i="6" a="1"/>
  <c r="B38" i="6" a="1"/>
  <c r="C141" i="6" a="1"/>
  <c r="B50" i="6" a="1"/>
  <c r="B82" i="6" a="1"/>
  <c r="C146" i="6" a="1"/>
  <c r="C96" i="6" a="1"/>
  <c r="B35" i="6" a="1"/>
  <c r="C38" i="6" a="1"/>
  <c r="C170" i="6" a="1"/>
  <c r="C174" i="6" a="1"/>
  <c r="B159" i="6" a="1"/>
  <c r="C212" i="6" a="1"/>
  <c r="B104" i="6" a="1"/>
  <c r="B234" i="6" a="1"/>
  <c r="C195" i="6" a="1"/>
  <c r="C86" i="6" a="1"/>
  <c r="C209" i="6" a="1"/>
  <c r="B96" i="6" a="1"/>
  <c r="C142" i="6" a="1"/>
  <c r="B110" i="6" a="1"/>
  <c r="B144" i="6" a="1"/>
  <c r="B73" i="6" a="1"/>
  <c r="B28" i="6" a="1"/>
  <c r="C176" i="6" a="1"/>
  <c r="C201" i="6" a="1"/>
  <c r="C84" i="6" a="1"/>
  <c r="B258" i="6" a="1"/>
  <c r="B241" i="6" a="1"/>
  <c r="B74" i="6" a="1"/>
  <c r="C51" i="6" a="1"/>
  <c r="C138" i="6" a="1"/>
  <c r="C102" i="6" a="1"/>
  <c r="B220" i="6" a="1"/>
  <c r="B237" i="6" a="1"/>
  <c r="B121" i="6" a="1"/>
  <c r="C199" i="6" a="1"/>
  <c r="B79" i="6" a="1"/>
  <c r="B17" i="6" a="1"/>
  <c r="C91" i="6" a="1"/>
  <c r="B213" i="6" a="1"/>
  <c r="C147" i="6" a="1"/>
  <c r="B116" i="6" a="1"/>
  <c r="C31" i="6" a="1"/>
  <c r="B195" i="6" a="1"/>
  <c r="C101" i="6" a="1"/>
  <c r="B168" i="6" a="1"/>
  <c r="C54" i="6" a="1"/>
  <c r="B67" i="6" a="1"/>
  <c r="C99" i="6" a="1"/>
  <c r="B72" i="6" a="1"/>
  <c r="B153" i="6" a="1"/>
  <c r="B30" i="6" a="1"/>
  <c r="C145" i="6" a="1"/>
  <c r="C21" i="6" a="1"/>
  <c r="B97" i="6" a="1"/>
  <c r="C225" i="6" a="1"/>
  <c r="B163" i="6" a="1"/>
  <c r="C192" i="6" a="1"/>
  <c r="C62" i="6" a="1"/>
  <c r="C172" i="6" a="1"/>
  <c r="C166" i="6" a="1"/>
  <c r="C34" i="6" a="1"/>
  <c r="C217" i="6" a="1"/>
  <c r="B157" i="6" a="1"/>
  <c r="B238" i="6" a="1"/>
  <c r="C57" i="6" a="1"/>
  <c r="C233" i="6" a="1"/>
  <c r="B140" i="6" a="1"/>
  <c r="C226" i="6" a="1"/>
  <c r="C250" i="6" a="1"/>
  <c r="C65" i="6" a="1"/>
  <c r="C205" i="6" a="1"/>
  <c r="B130" i="6" a="1"/>
  <c r="B136" i="6" a="1"/>
  <c r="B172" i="6" a="1"/>
  <c r="C55" i="6" a="1"/>
  <c r="B208" i="6" a="1"/>
  <c r="C63" i="6" a="1"/>
  <c r="B192" i="6" a="1"/>
  <c r="B105" i="6" a="1"/>
  <c r="B32" i="6" a="1"/>
  <c r="C72" i="6" a="1"/>
  <c r="C19" i="6" a="1"/>
  <c r="C163" i="6" a="1"/>
  <c r="B231" i="6" a="1"/>
  <c r="C35" i="6" a="1"/>
  <c r="B141" i="6" a="1"/>
  <c r="C229" i="6" a="1"/>
  <c r="C230" i="6" a="1"/>
  <c r="B39" i="6" a="1"/>
  <c r="C112" i="6" a="1"/>
  <c r="B64" i="6" a="1"/>
  <c r="B86" i="6" a="1"/>
  <c r="B55" i="6" a="1"/>
  <c r="B29" i="6" a="1"/>
  <c r="B185" i="6" a="1"/>
  <c r="C125" i="6" a="1"/>
  <c r="B106" i="6" a="1"/>
  <c r="C59" i="6" a="1"/>
  <c r="C185" i="6" a="1"/>
  <c r="B198" i="6" a="1"/>
  <c r="B228" i="6" a="1"/>
  <c r="C232" i="6" a="1"/>
  <c r="C189" i="6" a="1"/>
  <c r="C187" i="6" a="1"/>
  <c r="B162" i="6" a="1"/>
  <c r="B255" i="6" a="1"/>
  <c r="B137" i="6" a="1"/>
  <c r="B46" i="6" a="1"/>
  <c r="B183" i="6" a="1"/>
  <c r="B233" i="6" a="1"/>
  <c r="C94" i="6" a="1"/>
  <c r="B101" i="6" a="1"/>
  <c r="B178" i="6" a="1"/>
  <c r="C17" i="6" a="1"/>
  <c r="B256" i="6" a="1"/>
  <c r="B147" i="6" a="1"/>
  <c r="C85" i="6" a="1"/>
  <c r="B129" i="6" a="1"/>
  <c r="B174" i="6" a="1"/>
  <c r="B239" i="6" a="1"/>
  <c r="C218" i="6" a="1"/>
  <c r="C30" i="6" a="1"/>
  <c r="B205" i="6" a="1"/>
  <c r="B45" i="6" a="1"/>
  <c r="B19" i="6" a="1"/>
  <c r="B204" i="6" a="1"/>
  <c r="B155" i="6" a="1"/>
  <c r="C27" i="6" a="1"/>
  <c r="B175" i="6" a="1"/>
  <c r="B76" i="6" a="1"/>
  <c r="B201" i="6" a="1"/>
  <c r="C221" i="6" a="1"/>
  <c r="C45" i="6" a="1"/>
  <c r="C126" i="6" a="1"/>
  <c r="B146" i="6" a="1"/>
  <c r="C107" i="6" a="1"/>
  <c r="B12" i="6" a="1"/>
  <c r="B200" i="6" a="1"/>
  <c r="C165" i="6" a="1"/>
  <c r="B225" i="6" a="1"/>
  <c r="C235" i="6" a="1"/>
  <c r="C37" i="6" a="1"/>
  <c r="B68" i="6" a="1"/>
  <c r="B203" i="6" a="1"/>
  <c r="C256" i="6" a="1"/>
  <c r="B251" i="6" a="1"/>
  <c r="B150" i="6" a="1"/>
  <c r="B248" i="6" a="1"/>
  <c r="C14" i="6" a="1"/>
  <c r="C143" i="6" a="1"/>
  <c r="B54" i="6" a="1"/>
  <c r="B16" i="6" a="1"/>
  <c r="B47" i="6" a="1"/>
  <c r="C123" i="6" a="1"/>
  <c r="B148" i="6" a="1"/>
  <c r="C113" i="6" a="1"/>
  <c r="B56" i="6" a="1"/>
  <c r="B20" i="6" a="1"/>
  <c r="B249" i="6" a="1"/>
  <c r="B186" i="6" a="1"/>
  <c r="B215" i="6" a="1"/>
  <c r="C140" i="6" a="1"/>
  <c r="C255" i="6" a="1"/>
  <c r="C22" i="6" a="1"/>
  <c r="B145" i="6" a="1"/>
  <c r="C248" i="6" a="1"/>
  <c r="C12" i="6" a="1"/>
  <c r="B71" i="6" a="1"/>
  <c r="C53" i="6" a="1"/>
  <c r="B165" i="6" a="1"/>
  <c r="B75" i="6" a="1"/>
  <c r="B108" i="6" a="1"/>
  <c r="B161" i="6" a="1"/>
  <c r="B229" i="6" a="1"/>
  <c r="C158" i="6" a="1"/>
  <c r="B43" i="6" a="1"/>
  <c r="C180" i="6" a="1"/>
  <c r="C80" i="6" a="1"/>
  <c r="B100" i="6" a="1"/>
  <c r="B243" i="6" a="1"/>
  <c r="B21" i="6" a="1"/>
  <c r="C122" i="6" a="1"/>
  <c r="C136" i="6" a="1"/>
  <c r="B184" i="6" a="1"/>
  <c r="B126" i="6" a="1"/>
  <c r="B202" i="6" a="1"/>
  <c r="C211" i="6" a="1"/>
  <c r="C41" i="6" a="1"/>
  <c r="B139" i="6" a="1"/>
  <c r="B58" i="6" a="1"/>
  <c r="B92" i="6" a="1"/>
  <c r="B181" i="6" a="1"/>
  <c r="B11" i="6" a="1"/>
  <c r="C115" i="6" a="1"/>
  <c r="C249" i="6" a="1"/>
  <c r="C257" i="6" a="1"/>
  <c r="B254" i="6" a="1"/>
  <c r="B36" i="6" a="1"/>
  <c r="B218" i="6" a="1"/>
  <c r="B117" i="6" a="1"/>
  <c r="C204" i="6" a="1"/>
  <c r="B114" i="6" a="1"/>
  <c r="B246" i="6" a="1"/>
  <c r="B25" i="6" a="1"/>
  <c r="B42" i="6" a="1"/>
  <c r="B244" i="6" a="1"/>
  <c r="B118" i="6" a="1"/>
  <c r="B113" i="6" a="1"/>
  <c r="C152" i="6" a="1"/>
  <c r="B98" i="6" a="1"/>
  <c r="B15" i="6" a="1"/>
  <c r="B253" i="6" a="1"/>
  <c r="B223" i="6" a="1"/>
  <c r="C52" i="6" a="1"/>
  <c r="C131" i="6" a="1"/>
  <c r="C156" i="6" a="1"/>
  <c r="C210" i="6" a="1"/>
  <c r="B250" i="6" a="1"/>
  <c r="C234" i="6" a="1"/>
  <c r="C36" i="6" a="1"/>
  <c r="B49" i="6" a="1"/>
  <c r="C222" i="6" a="1"/>
  <c r="B124" i="6" a="1"/>
  <c r="C207" i="6" a="1"/>
  <c r="C40" i="6" a="1"/>
  <c r="C134" i="6" a="1"/>
  <c r="B158" i="6" a="1"/>
  <c r="C71" i="6" a="1"/>
  <c r="B62" i="6" a="1"/>
  <c r="C188" i="6" a="1"/>
  <c r="B89" i="6" a="1"/>
  <c r="B170" i="6" a="1"/>
  <c r="B134" i="6" a="1"/>
  <c r="C164" i="6" a="1"/>
  <c r="C216" i="6" a="1"/>
  <c r="B61" i="6" a="1"/>
  <c r="C247" i="6" a="1"/>
  <c r="C81" i="6" a="1"/>
  <c r="C223" i="6" a="1"/>
  <c r="C97" i="6" a="1"/>
  <c r="C191" i="6" a="1"/>
  <c r="C213" i="6" a="1"/>
  <c r="B196" i="6" a="1"/>
  <c r="B193" i="6" a="1"/>
  <c r="C127" i="6" a="1"/>
  <c r="C28" i="6" a="1"/>
  <c r="B83" i="6" a="1"/>
  <c r="B127" i="6" a="1"/>
  <c r="C46" i="6" a="1"/>
  <c r="B149" i="6" a="1"/>
  <c r="B138" i="6" a="1"/>
  <c r="C47" i="6" a="1"/>
  <c r="B160" i="6" a="1"/>
  <c r="C49" i="6" a="1"/>
  <c r="B44" i="6" a="1"/>
  <c r="B227" i="6" a="1"/>
  <c r="C150" i="6" a="1"/>
  <c r="C24" i="6" a="1"/>
  <c r="C240" i="6" a="1"/>
  <c r="C129" i="6" a="1"/>
  <c r="C26" i="6" a="1"/>
  <c r="C23" i="6" a="1"/>
  <c r="C60" i="6" a="1"/>
  <c r="B182" i="6" a="1"/>
  <c r="C259" i="6" a="1"/>
  <c r="C186" i="6" a="1"/>
  <c r="B51" i="6" a="1"/>
  <c r="C25" i="6" a="1"/>
  <c r="B222" i="6" a="1"/>
  <c r="C151" i="6" a="1"/>
  <c r="B77" i="6" a="1"/>
  <c r="B154" i="6" a="1"/>
  <c r="B88" i="6" a="1"/>
  <c r="C29" i="6" a="1"/>
  <c r="C193" i="6" a="1"/>
  <c r="B34" i="6" a="1"/>
  <c r="B245" i="6" a="1"/>
  <c r="C208" i="6" a="1"/>
  <c r="C162" i="6" a="1"/>
  <c r="C118" i="6" a="1"/>
  <c r="C79" i="6" a="1"/>
  <c r="C75" i="6" a="1"/>
  <c r="B176" i="6" a="1"/>
  <c r="C171" i="6" a="1"/>
  <c r="C18" i="6" a="1"/>
  <c r="C190" i="6" a="1"/>
  <c r="C243" i="6" a="1"/>
  <c r="B63" i="6" a="1"/>
  <c r="B125" i="6" a="1"/>
  <c r="B187" i="6" a="1"/>
  <c r="C56" i="6" a="1"/>
  <c r="B52" i="6" a="1"/>
  <c r="C48" i="6" a="1"/>
  <c r="B191" i="6" a="1"/>
  <c r="C252" i="6" a="1"/>
  <c r="B40" i="6" a="1"/>
  <c r="C119" i="6" a="1"/>
  <c r="B66" i="6" a="1"/>
  <c r="B120" i="6" a="1"/>
  <c r="C198" i="6" a="1"/>
  <c r="C245" i="6" a="1"/>
  <c r="C13" i="6" a="1"/>
  <c r="C11" i="6" a="1"/>
  <c r="C263" i="6" a="1"/>
  <c r="C275" i="6" a="1"/>
  <c r="B283" i="6" a="1"/>
  <c r="C273" i="6" a="1"/>
  <c r="C295" i="6" a="1"/>
  <c r="B276" i="6" a="1"/>
  <c r="B290" i="6" a="1"/>
  <c r="C262" i="6" a="1"/>
  <c r="B289" i="6" a="1"/>
  <c r="C285" i="6" a="1"/>
  <c r="B268" i="6" a="1"/>
  <c r="B266" i="6" a="1"/>
  <c r="B292" i="6" a="1"/>
  <c r="C270" i="6" a="1"/>
  <c r="C279" i="6" a="1"/>
  <c r="C292" i="6" a="1"/>
  <c r="B271" i="6" a="1"/>
  <c r="C261" i="6" a="1"/>
  <c r="B265" i="6" a="1"/>
  <c r="C288" i="6" a="1"/>
  <c r="B287" i="6" a="1"/>
  <c r="B269" i="6" a="1"/>
  <c r="C282" i="6" a="1"/>
  <c r="B280" i="6" a="1"/>
  <c r="C289" i="6" a="1"/>
  <c r="C267" i="6" a="1"/>
  <c r="C277" i="6" a="1"/>
  <c r="C291" i="6" a="1"/>
  <c r="B294" i="6" a="1"/>
  <c r="B264" i="6" a="1"/>
  <c r="C278" i="6" a="1"/>
  <c r="B273" i="6" a="1"/>
  <c r="B261" i="6" a="1"/>
  <c r="C293" i="6" a="1"/>
  <c r="C286" i="6" a="1"/>
  <c r="B284" i="6" a="1"/>
  <c r="C269" i="6" a="1"/>
  <c r="C281" i="6" a="1"/>
  <c r="B288" i="6" a="1"/>
  <c r="C294" i="6" a="1"/>
  <c r="B282" i="6" a="1"/>
  <c r="C280" i="6" a="1"/>
  <c r="B295" i="6" a="1"/>
  <c r="C283" i="6" a="1"/>
  <c r="B260" i="6" a="1"/>
  <c r="C268" i="6" a="1"/>
  <c r="B275" i="6" a="1"/>
  <c r="C264" i="6" a="1"/>
  <c r="C287" i="6" a="1"/>
  <c r="C274" i="6" a="1"/>
  <c r="B262" i="6" a="1"/>
  <c r="C260" i="6" a="1"/>
  <c r="B281" i="6" a="1"/>
  <c r="B277" i="6" a="1"/>
  <c r="C271" i="6" a="1"/>
  <c r="B267" i="6" a="1"/>
  <c r="B263" i="6" a="1"/>
  <c r="B279" i="6" a="1"/>
  <c r="C272" i="6" a="1"/>
  <c r="B291" i="6" a="1"/>
  <c r="B278" i="6" a="1"/>
  <c r="B286" i="6" a="1"/>
  <c r="B270" i="6" a="1"/>
  <c r="C266" i="6" a="1"/>
  <c r="B272" i="6" a="1"/>
  <c r="B274" i="6" a="1"/>
  <c r="B293" i="6" a="1"/>
  <c r="C265" i="6" a="1"/>
  <c r="C276" i="6" a="1"/>
  <c r="C290" i="6" a="1"/>
  <c r="C284" i="6" a="1"/>
  <c r="B285" i="6" a="1"/>
  <c r="B36" i="6" l="1"/>
  <c r="B32" i="6"/>
  <c r="B28" i="6"/>
  <c r="B24" i="6"/>
  <c r="B20" i="6"/>
  <c r="B16" i="6"/>
  <c r="B12" i="6"/>
  <c r="B35" i="6"/>
  <c r="B31" i="6"/>
  <c r="B27" i="6"/>
  <c r="B23" i="6"/>
  <c r="B19" i="6"/>
  <c r="B15" i="6"/>
  <c r="B11" i="6"/>
  <c r="B34" i="6"/>
  <c r="B30" i="6"/>
  <c r="B26" i="6"/>
  <c r="B22" i="6"/>
  <c r="B18" i="6"/>
  <c r="B14" i="6"/>
  <c r="B33" i="6"/>
  <c r="B29" i="6"/>
  <c r="B25" i="6"/>
  <c r="B21" i="6"/>
  <c r="B17" i="6"/>
  <c r="B13" i="6"/>
  <c r="C286" i="6"/>
  <c r="C254" i="6"/>
  <c r="C222" i="6"/>
  <c r="C190" i="6"/>
  <c r="C158" i="6"/>
  <c r="C126" i="6"/>
  <c r="C122" i="6"/>
  <c r="C278" i="6"/>
  <c r="C246" i="6"/>
  <c r="C214" i="6"/>
  <c r="C182" i="6"/>
  <c r="C150" i="6"/>
  <c r="C118" i="6"/>
  <c r="C250" i="6"/>
  <c r="C274" i="6"/>
  <c r="C242" i="6"/>
  <c r="C210" i="6"/>
  <c r="C178" i="6"/>
  <c r="C146" i="6"/>
  <c r="C114" i="6"/>
  <c r="C154" i="6"/>
  <c r="C270" i="6"/>
  <c r="C238" i="6"/>
  <c r="C206" i="6"/>
  <c r="C174" i="6"/>
  <c r="C142" i="6"/>
  <c r="C110" i="6"/>
  <c r="C186" i="6"/>
  <c r="C266" i="6"/>
  <c r="C234" i="6"/>
  <c r="C202" i="6"/>
  <c r="C170" i="6"/>
  <c r="C138" i="6"/>
  <c r="C106" i="6"/>
  <c r="C218" i="6"/>
  <c r="C294" i="6"/>
  <c r="C262" i="6"/>
  <c r="C230" i="6"/>
  <c r="C198" i="6"/>
  <c r="C166" i="6"/>
  <c r="C134" i="6"/>
  <c r="C102" i="6"/>
  <c r="C282" i="6"/>
  <c r="C290" i="6"/>
  <c r="C258" i="6"/>
  <c r="C226" i="6"/>
  <c r="C194" i="6"/>
  <c r="C162" i="6"/>
  <c r="C130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293" i="6"/>
  <c r="C289" i="6"/>
  <c r="C285" i="6"/>
  <c r="C281" i="6"/>
  <c r="C277" i="6"/>
  <c r="C273" i="6"/>
  <c r="C269" i="6"/>
  <c r="C265" i="6"/>
  <c r="C261" i="6"/>
  <c r="C257" i="6"/>
  <c r="C253" i="6"/>
  <c r="C249" i="6"/>
  <c r="C245" i="6"/>
  <c r="C241" i="6"/>
  <c r="C237" i="6"/>
  <c r="C233" i="6"/>
  <c r="C229" i="6"/>
  <c r="C225" i="6"/>
  <c r="C221" i="6"/>
  <c r="C217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200" i="6"/>
  <c r="C196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100" i="6"/>
  <c r="C96" i="6"/>
  <c r="C92" i="6"/>
  <c r="C88" i="6"/>
  <c r="C84" i="6"/>
  <c r="C80" i="6"/>
  <c r="C76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295" i="6"/>
  <c r="C291" i="6"/>
  <c r="C287" i="6"/>
  <c r="C283" i="6"/>
  <c r="C279" i="6"/>
  <c r="C275" i="6"/>
  <c r="C271" i="6"/>
  <c r="C267" i="6"/>
  <c r="C263" i="6"/>
  <c r="C259" i="6"/>
  <c r="C255" i="6"/>
  <c r="C251" i="6"/>
  <c r="C247" i="6"/>
  <c r="C243" i="6"/>
  <c r="C239" i="6"/>
  <c r="C235" i="6"/>
  <c r="C231" i="6"/>
  <c r="C227" i="6"/>
  <c r="C223" i="6"/>
  <c r="C219" i="6"/>
  <c r="C215" i="6"/>
  <c r="C211" i="6"/>
  <c r="C207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135" i="6"/>
  <c r="C131" i="6"/>
  <c r="C127" i="6"/>
  <c r="C123" i="6"/>
  <c r="C119" i="6"/>
  <c r="C115" i="6"/>
  <c r="C111" i="6"/>
  <c r="C107" i="6"/>
  <c r="C103" i="6"/>
  <c r="C99" i="6"/>
  <c r="C95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B294" i="6"/>
  <c r="B290" i="6"/>
  <c r="B286" i="6"/>
  <c r="B282" i="6"/>
  <c r="B278" i="6"/>
  <c r="B274" i="6"/>
  <c r="B270" i="6"/>
  <c r="B266" i="6"/>
  <c r="B262" i="6"/>
  <c r="B258" i="6"/>
  <c r="B254" i="6"/>
  <c r="B250" i="6"/>
  <c r="B246" i="6"/>
  <c r="B242" i="6"/>
  <c r="B238" i="6"/>
  <c r="B234" i="6"/>
  <c r="B230" i="6"/>
  <c r="B226" i="6"/>
  <c r="B222" i="6"/>
  <c r="B218" i="6"/>
  <c r="B214" i="6"/>
  <c r="B210" i="6"/>
  <c r="B206" i="6"/>
  <c r="B202" i="6"/>
  <c r="B198" i="6"/>
  <c r="B194" i="6"/>
  <c r="B190" i="6"/>
  <c r="B186" i="6"/>
  <c r="B182" i="6"/>
  <c r="B178" i="6"/>
  <c r="B174" i="6"/>
  <c r="B170" i="6"/>
  <c r="B166" i="6"/>
  <c r="B162" i="6"/>
  <c r="B158" i="6"/>
  <c r="B154" i="6"/>
  <c r="B150" i="6"/>
  <c r="B146" i="6"/>
  <c r="B142" i="6"/>
  <c r="B138" i="6"/>
  <c r="B134" i="6"/>
  <c r="B130" i="6"/>
  <c r="B126" i="6"/>
  <c r="B122" i="6"/>
  <c r="B118" i="6"/>
  <c r="B114" i="6"/>
  <c r="B110" i="6"/>
  <c r="B106" i="6"/>
  <c r="B102" i="6"/>
  <c r="B98" i="6"/>
  <c r="B94" i="6"/>
  <c r="B90" i="6"/>
  <c r="B86" i="6"/>
  <c r="B82" i="6"/>
  <c r="B78" i="6"/>
  <c r="B74" i="6"/>
  <c r="B70" i="6"/>
  <c r="B66" i="6"/>
  <c r="B62" i="6"/>
  <c r="B58" i="6"/>
  <c r="B54" i="6"/>
  <c r="B50" i="6"/>
  <c r="B46" i="6"/>
  <c r="B42" i="6"/>
  <c r="B38" i="6"/>
  <c r="B293" i="6"/>
  <c r="B289" i="6"/>
  <c r="B285" i="6"/>
  <c r="B281" i="6"/>
  <c r="B277" i="6"/>
  <c r="B273" i="6"/>
  <c r="B269" i="6"/>
  <c r="B265" i="6"/>
  <c r="B261" i="6"/>
  <c r="B257" i="6"/>
  <c r="B253" i="6"/>
  <c r="B249" i="6"/>
  <c r="B245" i="6"/>
  <c r="B241" i="6"/>
  <c r="B237" i="6"/>
  <c r="B233" i="6"/>
  <c r="B229" i="6"/>
  <c r="B225" i="6"/>
  <c r="B221" i="6"/>
  <c r="B217" i="6"/>
  <c r="B213" i="6"/>
  <c r="B209" i="6"/>
  <c r="B205" i="6"/>
  <c r="B201" i="6"/>
  <c r="B197" i="6"/>
  <c r="B193" i="6"/>
  <c r="B189" i="6"/>
  <c r="B185" i="6"/>
  <c r="B181" i="6"/>
  <c r="B177" i="6"/>
  <c r="B173" i="6"/>
  <c r="B169" i="6"/>
  <c r="B165" i="6"/>
  <c r="B161" i="6"/>
  <c r="B157" i="6"/>
  <c r="B153" i="6"/>
  <c r="B149" i="6"/>
  <c r="B145" i="6"/>
  <c r="B141" i="6"/>
  <c r="B137" i="6"/>
  <c r="B133" i="6"/>
  <c r="B129" i="6"/>
  <c r="B125" i="6"/>
  <c r="B121" i="6"/>
  <c r="B117" i="6"/>
  <c r="B113" i="6"/>
  <c r="B109" i="6"/>
  <c r="B105" i="6"/>
  <c r="B101" i="6"/>
  <c r="B97" i="6"/>
  <c r="B93" i="6"/>
  <c r="B89" i="6"/>
  <c r="B85" i="6"/>
  <c r="B81" i="6"/>
  <c r="B77" i="6"/>
  <c r="B73" i="6"/>
  <c r="B69" i="6"/>
  <c r="B65" i="6"/>
  <c r="B61" i="6"/>
  <c r="B57" i="6"/>
  <c r="B53" i="6"/>
  <c r="B49" i="6"/>
  <c r="B45" i="6"/>
  <c r="B41" i="6"/>
  <c r="B37" i="6"/>
  <c r="B292" i="6"/>
  <c r="B288" i="6"/>
  <c r="B284" i="6"/>
  <c r="B280" i="6"/>
  <c r="B276" i="6"/>
  <c r="B272" i="6"/>
  <c r="B268" i="6"/>
  <c r="B264" i="6"/>
  <c r="B260" i="6"/>
  <c r="B256" i="6"/>
  <c r="B252" i="6"/>
  <c r="B248" i="6"/>
  <c r="B244" i="6"/>
  <c r="B240" i="6"/>
  <c r="B236" i="6"/>
  <c r="B232" i="6"/>
  <c r="B228" i="6"/>
  <c r="B224" i="6"/>
  <c r="B220" i="6"/>
  <c r="B216" i="6"/>
  <c r="B212" i="6"/>
  <c r="B208" i="6"/>
  <c r="B204" i="6"/>
  <c r="B200" i="6"/>
  <c r="B196" i="6"/>
  <c r="B192" i="6"/>
  <c r="B188" i="6"/>
  <c r="B184" i="6"/>
  <c r="B180" i="6"/>
  <c r="B176" i="6"/>
  <c r="B172" i="6"/>
  <c r="B168" i="6"/>
  <c r="B164" i="6"/>
  <c r="B160" i="6"/>
  <c r="B156" i="6"/>
  <c r="B152" i="6"/>
  <c r="B148" i="6"/>
  <c r="B144" i="6"/>
  <c r="B140" i="6"/>
  <c r="B136" i="6"/>
  <c r="B132" i="6"/>
  <c r="B128" i="6"/>
  <c r="B124" i="6"/>
  <c r="B120" i="6"/>
  <c r="B116" i="6"/>
  <c r="B112" i="6"/>
  <c r="B108" i="6"/>
  <c r="B104" i="6"/>
  <c r="B100" i="6"/>
  <c r="B96" i="6"/>
  <c r="B92" i="6"/>
  <c r="B88" i="6"/>
  <c r="B84" i="6"/>
  <c r="B80" i="6"/>
  <c r="B76" i="6"/>
  <c r="B72" i="6"/>
  <c r="B68" i="6"/>
  <c r="B64" i="6"/>
  <c r="B60" i="6"/>
  <c r="B56" i="6"/>
  <c r="B52" i="6"/>
  <c r="B48" i="6"/>
  <c r="B44" i="6"/>
  <c r="B40" i="6"/>
  <c r="B295" i="6"/>
  <c r="B291" i="6"/>
  <c r="B287" i="6"/>
  <c r="B283" i="6"/>
  <c r="B279" i="6"/>
  <c r="B275" i="6"/>
  <c r="B271" i="6"/>
  <c r="B267" i="6"/>
  <c r="B263" i="6"/>
  <c r="B259" i="6"/>
  <c r="B255" i="6"/>
  <c r="B251" i="6"/>
  <c r="B247" i="6"/>
  <c r="B243" i="6"/>
  <c r="B239" i="6"/>
  <c r="B235" i="6"/>
  <c r="B231" i="6"/>
  <c r="B227" i="6"/>
  <c r="B223" i="6"/>
  <c r="B219" i="6"/>
  <c r="B215" i="6"/>
  <c r="B211" i="6"/>
  <c r="B207" i="6"/>
  <c r="B203" i="6"/>
  <c r="B199" i="6"/>
  <c r="B195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135" i="6"/>
  <c r="B131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G16" i="7" l="1" a="1"/>
  <c r="G15" i="7" a="1"/>
  <c r="G14" i="7" a="1"/>
  <c r="G12" i="7" a="1"/>
  <c r="G10" i="7" a="1"/>
  <c r="G13" i="7" a="1"/>
  <c r="G11" i="7" a="1"/>
  <c r="G12" i="7" l="1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D13" i="7" a="1"/>
  <c r="B12" i="7" a="1"/>
  <c r="C15" i="7" a="1"/>
  <c r="H16" i="7" a="1"/>
  <c r="F16" i="7" a="1"/>
  <c r="C10" i="6" a="1"/>
  <c r="C14" i="7" a="1"/>
  <c r="C12" i="7" a="1"/>
  <c r="H12" i="7" a="1"/>
  <c r="F11" i="7" a="1"/>
  <c r="D16" i="7" a="1"/>
  <c r="B15" i="7" a="1"/>
  <c r="B13" i="7" a="1"/>
  <c r="B14" i="7" a="1"/>
  <c r="E15" i="7" a="1"/>
  <c r="D11" i="7" a="1"/>
  <c r="F12" i="7" a="1"/>
  <c r="B16" i="7" a="1"/>
  <c r="H14" i="7" a="1"/>
  <c r="E13" i="7" a="1"/>
  <c r="F13" i="7" a="1"/>
  <c r="D14" i="7" a="1"/>
  <c r="E16" i="7" a="1"/>
  <c r="D15" i="7" a="1"/>
  <c r="C10" i="7" a="1"/>
  <c r="H15" i="7" a="1"/>
  <c r="E12" i="7" a="1"/>
  <c r="F15" i="7" a="1"/>
  <c r="H13" i="7" a="1"/>
  <c r="C16" i="7" a="1"/>
  <c r="B11" i="7" a="1"/>
  <c r="H11" i="7" a="1"/>
  <c r="I10" i="7" a="1"/>
  <c r="C13" i="7" a="1"/>
  <c r="E14" i="7" a="1"/>
  <c r="B10" i="7" a="1"/>
  <c r="F14" i="7" a="1"/>
  <c r="H10" i="7" a="1"/>
  <c r="D10" i="7" a="1"/>
  <c r="E11" i="7" a="1"/>
  <c r="C11" i="7" a="1"/>
  <c r="E10" i="7" a="1"/>
  <c r="F10" i="7" a="1"/>
  <c r="H14" i="7" l="1"/>
  <c r="C10" i="7"/>
  <c r="C12" i="7"/>
  <c r="C10" i="6"/>
  <c r="F14" i="7"/>
  <c r="F15" i="7"/>
  <c r="F16" i="7"/>
  <c r="H16" i="7"/>
  <c r="H15" i="7"/>
  <c r="D15" i="7"/>
  <c r="B13" i="7"/>
  <c r="B10" i="7"/>
  <c r="H13" i="7"/>
  <c r="F13" i="7"/>
  <c r="E11" i="7"/>
  <c r="C15" i="7"/>
  <c r="F12" i="7"/>
  <c r="D11" i="7"/>
  <c r="B11" i="7"/>
  <c r="C13" i="7"/>
  <c r="B12" i="7"/>
  <c r="B16" i="7"/>
  <c r="D10" i="7"/>
  <c r="D14" i="7"/>
  <c r="F11" i="7"/>
  <c r="E15" i="7"/>
  <c r="H11" i="7"/>
  <c r="E12" i="7"/>
  <c r="C14" i="7"/>
  <c r="E16" i="7"/>
  <c r="B14" i="7"/>
  <c r="E14" i="7"/>
  <c r="H10" i="7"/>
  <c r="H12" i="7"/>
  <c r="C16" i="7"/>
  <c r="E10" i="7"/>
  <c r="E13" i="7"/>
  <c r="F10" i="7"/>
  <c r="D16" i="7"/>
  <c r="I10" i="7"/>
  <c r="B15" i="7"/>
  <c r="C11" i="7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D96" i="7" l="1" a="1"/>
  <c r="B220" i="7" a="1"/>
  <c r="B145" i="7" a="1"/>
  <c r="F17" i="7" a="1"/>
  <c r="E71" i="7" a="1"/>
  <c r="F92" i="7" a="1"/>
  <c r="I164" i="7" a="1"/>
  <c r="D181" i="7" a="1"/>
  <c r="B49" i="7" a="1"/>
  <c r="H127" i="7" a="1"/>
  <c r="B56" i="7" a="1"/>
  <c r="B25" i="7" a="1"/>
  <c r="I130" i="7" a="1"/>
  <c r="B138" i="7" a="1"/>
  <c r="B75" i="7" a="1"/>
  <c r="F118" i="7" a="1"/>
  <c r="C154" i="7" a="1"/>
  <c r="E116" i="7" a="1"/>
  <c r="C254" i="7" a="1"/>
  <c r="H89" i="7" a="1"/>
  <c r="H241" i="7" a="1"/>
  <c r="E117" i="7" a="1"/>
  <c r="D26" i="7" a="1"/>
  <c r="C149" i="7" a="1"/>
  <c r="H147" i="7" a="1"/>
  <c r="D90" i="7" a="1"/>
  <c r="H177" i="7" a="1"/>
  <c r="C52" i="7" a="1"/>
  <c r="H113" i="7" a="1"/>
  <c r="F18" i="7" a="1"/>
  <c r="F115" i="7" a="1"/>
  <c r="B112" i="7" a="1"/>
  <c r="B178" i="7" a="1"/>
  <c r="C170" i="7" a="1"/>
  <c r="F41" i="7" a="1"/>
  <c r="H161" i="7" a="1"/>
  <c r="H22" i="7" a="1"/>
  <c r="H110" i="7" a="1"/>
  <c r="H52" i="7" a="1"/>
  <c r="D246" i="7" a="1"/>
  <c r="C225" i="7" a="1"/>
  <c r="D43" i="7" a="1"/>
  <c r="E41" i="7" a="1"/>
  <c r="I230" i="7" a="1"/>
  <c r="B188" i="7" a="1"/>
  <c r="H240" i="7" a="1"/>
  <c r="I21" i="7" a="1"/>
  <c r="D73" i="7" a="1"/>
  <c r="I101" i="7" a="1"/>
  <c r="I149" i="7" a="1"/>
  <c r="F74" i="7" a="1"/>
  <c r="I197" i="7" a="1"/>
  <c r="H154" i="7" a="1"/>
  <c r="C185" i="7" a="1"/>
  <c r="D89" i="7" a="1"/>
  <c r="F37" i="7" a="1"/>
  <c r="D46" i="7" a="1"/>
  <c r="D217" i="7" a="1"/>
  <c r="C191" i="7" a="1"/>
  <c r="E109" i="7" a="1"/>
  <c r="I209" i="7" a="1"/>
  <c r="H216" i="7" a="1"/>
  <c r="E19" i="7" a="1"/>
  <c r="I125" i="7" a="1"/>
  <c r="C159" i="7" a="1"/>
  <c r="B106" i="7" a="1"/>
  <c r="D206" i="7" a="1"/>
  <c r="H212" i="7" a="1"/>
  <c r="C29" i="7" a="1"/>
  <c r="B221" i="7" a="1"/>
  <c r="D64" i="7" a="1"/>
  <c r="B217" i="7" a="1"/>
  <c r="H20" i="7" a="1"/>
  <c r="I180" i="7" a="1"/>
  <c r="E82" i="7" a="1"/>
  <c r="C245" i="7" a="1"/>
  <c r="C218" i="7" a="1"/>
  <c r="D213" i="7" a="1"/>
  <c r="I96" i="7" a="1"/>
  <c r="C171" i="7" a="1"/>
  <c r="H24" i="7" a="1"/>
  <c r="H54" i="7" a="1"/>
  <c r="H225" i="7" a="1"/>
  <c r="I117" i="7" a="1"/>
  <c r="B84" i="7" a="1"/>
  <c r="C208" i="7" a="1"/>
  <c r="B152" i="7" a="1"/>
  <c r="H106" i="7" a="1"/>
  <c r="H208" i="7" a="1"/>
  <c r="H107" i="7" a="1"/>
  <c r="E79" i="7" a="1"/>
  <c r="D255" i="7" a="1"/>
  <c r="C222" i="7" a="1"/>
  <c r="E33" i="7" a="1"/>
  <c r="H203" i="7" a="1"/>
  <c r="C199" i="7" a="1"/>
  <c r="E40" i="7" a="1"/>
  <c r="D207" i="7" a="1"/>
  <c r="H220" i="7" a="1"/>
  <c r="B205" i="7" a="1"/>
  <c r="C212" i="7" a="1"/>
  <c r="D83" i="7" a="1"/>
  <c r="E92" i="7" a="1"/>
  <c r="H31" i="7" a="1"/>
  <c r="F54" i="7" a="1"/>
  <c r="E65" i="7" a="1"/>
  <c r="D242" i="7" a="1"/>
  <c r="D86" i="7" a="1"/>
  <c r="E34" i="7" a="1"/>
  <c r="D97" i="7" a="1"/>
  <c r="I163" i="7" a="1"/>
  <c r="H222" i="7" a="1"/>
  <c r="I185" i="7" a="1"/>
  <c r="C111" i="7" a="1"/>
  <c r="H132" i="7" a="1"/>
  <c r="C230" i="7" a="1"/>
  <c r="D105" i="7" a="1"/>
  <c r="I256" i="7" a="1"/>
  <c r="B79" i="7" a="1"/>
  <c r="F99" i="7" a="1"/>
  <c r="H111" i="7" a="1"/>
  <c r="I147" i="7" a="1"/>
  <c r="B259" i="7" a="1"/>
  <c r="H182" i="7" a="1"/>
  <c r="C164" i="7" a="1"/>
  <c r="B135" i="7" a="1"/>
  <c r="H25" i="7" a="1"/>
  <c r="C53" i="7" a="1"/>
  <c r="I216" i="7" a="1"/>
  <c r="C144" i="7" a="1"/>
  <c r="D44" i="7" a="1"/>
  <c r="D197" i="7" a="1"/>
  <c r="I176" i="7" a="1"/>
  <c r="B255" i="7" a="1"/>
  <c r="E75" i="7" a="1"/>
  <c r="B177" i="7" a="1"/>
  <c r="B98" i="7" a="1"/>
  <c r="B202" i="7" a="1"/>
  <c r="E102" i="7" a="1"/>
  <c r="I81" i="7" a="1"/>
  <c r="B186" i="7" a="1"/>
  <c r="H244" i="7" a="1"/>
  <c r="B153" i="7" a="1"/>
  <c r="H130" i="7" a="1"/>
  <c r="C51" i="7" a="1"/>
  <c r="B87" i="7" a="1"/>
  <c r="C82" i="7" a="1"/>
  <c r="B258" i="7" a="1"/>
  <c r="C216" i="7" a="1"/>
  <c r="B99" i="7" a="1"/>
  <c r="E58" i="7" a="1"/>
  <c r="C202" i="7" a="1"/>
  <c r="F39" i="7" a="1"/>
  <c r="E86" i="7" a="1"/>
  <c r="B211" i="7" a="1"/>
  <c r="I34" i="7" a="1"/>
  <c r="C174" i="7" a="1"/>
  <c r="F106" i="7" a="1"/>
  <c r="B89" i="7" a="1"/>
  <c r="E94" i="7" a="1"/>
  <c r="H84" i="7" a="1"/>
  <c r="I98" i="7" a="1"/>
  <c r="C244" i="7" a="1"/>
  <c r="E123" i="7" a="1"/>
  <c r="D112" i="7" a="1"/>
  <c r="C41" i="7" a="1"/>
  <c r="H192" i="7" a="1"/>
  <c r="I199" i="7" a="1"/>
  <c r="H255" i="7" a="1"/>
  <c r="C242" i="7" a="1"/>
  <c r="H143" i="7" a="1"/>
  <c r="C95" i="7" a="1"/>
  <c r="D229" i="7" a="1"/>
  <c r="C252" i="7" a="1"/>
  <c r="C18" i="7" a="1"/>
  <c r="H44" i="7" a="1"/>
  <c r="D180" i="7" a="1"/>
  <c r="H114" i="7" a="1"/>
  <c r="D199" i="7" a="1"/>
  <c r="E103" i="7" a="1"/>
  <c r="C136" i="7" a="1"/>
  <c r="F90" i="7" a="1"/>
  <c r="D165" i="7" a="1"/>
  <c r="H229" i="7" a="1"/>
  <c r="B103" i="7" a="1"/>
  <c r="C166" i="7" a="1"/>
  <c r="F28" i="7" a="1"/>
  <c r="E43" i="7" a="1"/>
  <c r="D71" i="7" a="1"/>
  <c r="C173" i="7" a="1"/>
  <c r="C46" i="7" a="1"/>
  <c r="I252" i="7" a="1"/>
  <c r="H242" i="7" a="1"/>
  <c r="C68" i="7" a="1"/>
  <c r="D171" i="7" a="1"/>
  <c r="I240" i="7" a="1"/>
  <c r="F71" i="7" a="1"/>
  <c r="D142" i="7" a="1"/>
  <c r="C73" i="7" a="1"/>
  <c r="C250" i="7" a="1"/>
  <c r="D47" i="7" a="1"/>
  <c r="H48" i="7" a="1"/>
  <c r="F77" i="7" a="1"/>
  <c r="C25" i="7" a="1"/>
  <c r="I201" i="7" a="1"/>
  <c r="H171" i="7" a="1"/>
  <c r="I113" i="7" a="1"/>
  <c r="D161" i="7" a="1"/>
  <c r="E66" i="7" a="1"/>
  <c r="B183" i="7" a="1"/>
  <c r="F125" i="7" a="1"/>
  <c r="I239" i="7" a="1"/>
  <c r="D252" i="7" a="1"/>
  <c r="I107" i="7" a="1"/>
  <c r="E89" i="7" a="1"/>
  <c r="C161" i="7" a="1"/>
  <c r="I44" i="7" a="1"/>
  <c r="D141" i="7" a="1"/>
  <c r="H256" i="7" a="1"/>
  <c r="C36" i="7" a="1"/>
  <c r="C235" i="7" a="1"/>
  <c r="H185" i="7" a="1"/>
  <c r="I121" i="7" a="1"/>
  <c r="B140" i="7" a="1"/>
  <c r="C48" i="7" a="1"/>
  <c r="I235" i="7" a="1"/>
  <c r="B53" i="7" a="1"/>
  <c r="H197" i="7" a="1"/>
  <c r="I208" i="7" a="1"/>
  <c r="C248" i="7" a="1"/>
  <c r="D209" i="7" a="1"/>
  <c r="C259" i="7" a="1"/>
  <c r="D77" i="7" a="1"/>
  <c r="D192" i="7" a="1"/>
  <c r="D81" i="7" a="1"/>
  <c r="B257" i="7" a="1"/>
  <c r="I156" i="7" a="1"/>
  <c r="H58" i="7" a="1"/>
  <c r="D221" i="7" a="1"/>
  <c r="C55" i="7" a="1"/>
  <c r="F113" i="7" a="1"/>
  <c r="C241" i="7" a="1"/>
  <c r="B105" i="7" a="1"/>
  <c r="C178" i="7" a="1"/>
  <c r="F45" i="7" a="1"/>
  <c r="C169" i="7" a="1"/>
  <c r="E49" i="7" a="1"/>
  <c r="B69" i="7" a="1"/>
  <c r="B110" i="7" a="1"/>
  <c r="E127" i="7" a="1"/>
  <c r="I172" i="7" a="1"/>
  <c r="B247" i="7" a="1"/>
  <c r="B93" i="7" a="1"/>
  <c r="I114" i="7" a="1"/>
  <c r="E29" i="7" a="1"/>
  <c r="E128" i="7" a="1"/>
  <c r="C156" i="7" a="1"/>
  <c r="H257" i="7" a="1"/>
  <c r="F24" i="7" a="1"/>
  <c r="C119" i="7" a="1"/>
  <c r="C47" i="7" a="1"/>
  <c r="B209" i="7" a="1"/>
  <c r="H125" i="7" a="1"/>
  <c r="I122" i="7" a="1"/>
  <c r="C123" i="7" a="1"/>
  <c r="E119" i="7" a="1"/>
  <c r="B171" i="7" a="1"/>
  <c r="I15" i="7" a="1"/>
  <c r="H45" i="7" a="1"/>
  <c r="I193" i="7" a="1"/>
  <c r="H39" i="7" a="1"/>
  <c r="B90" i="7" a="1"/>
  <c r="B192" i="7" a="1"/>
  <c r="B204" i="7" a="1"/>
  <c r="H67" i="7" a="1"/>
  <c r="D258" i="7" a="1"/>
  <c r="D214" i="7" a="1"/>
  <c r="F55" i="7" a="1"/>
  <c r="B142" i="7" a="1"/>
  <c r="C96" i="7" a="1"/>
  <c r="D24" i="7" a="1"/>
  <c r="H26" i="7" a="1"/>
  <c r="I66" i="7" a="1"/>
  <c r="I151" i="7" a="1"/>
  <c r="C183" i="7" a="1"/>
  <c r="C74" i="7" a="1"/>
  <c r="H59" i="7" a="1"/>
  <c r="C239" i="7" a="1"/>
  <c r="E126" i="7" a="1"/>
  <c r="B190" i="7" a="1"/>
  <c r="C131" i="7" a="1"/>
  <c r="D152" i="7" a="1"/>
  <c r="D225" i="7" a="1"/>
  <c r="I105" i="7" a="1"/>
  <c r="I55" i="7" a="1"/>
  <c r="H254" i="7" a="1"/>
  <c r="F34" i="7" a="1"/>
  <c r="B54" i="7" a="1"/>
  <c r="D32" i="7" a="1"/>
  <c r="H167" i="7" a="1"/>
  <c r="D125" i="7" a="1"/>
  <c r="F49" i="7" a="1"/>
  <c r="B130" i="7" a="1"/>
  <c r="C124" i="7" a="1"/>
  <c r="H121" i="7" a="1"/>
  <c r="F63" i="7" a="1"/>
  <c r="D33" i="7" a="1"/>
  <c r="F129" i="7" a="1"/>
  <c r="F131" i="7" a="1"/>
  <c r="I198" i="7" a="1"/>
  <c r="C38" i="7" a="1"/>
  <c r="C132" i="7" a="1"/>
  <c r="C103" i="7" a="1"/>
  <c r="D241" i="7" a="1"/>
  <c r="F32" i="7" a="1"/>
  <c r="H163" i="7" a="1"/>
  <c r="B128" i="7" a="1"/>
  <c r="B95" i="7" a="1"/>
  <c r="E99" i="7" a="1"/>
  <c r="I233" i="7" a="1"/>
  <c r="B233" i="7" a="1"/>
  <c r="C49" i="7" a="1"/>
  <c r="C204" i="7" a="1"/>
  <c r="H18" i="7" a="1"/>
  <c r="D191" i="7" a="1"/>
  <c r="B21" i="7" a="1"/>
  <c r="I63" i="7" a="1"/>
  <c r="I212" i="7" a="1"/>
  <c r="H76" i="7" a="1"/>
  <c r="H258" i="7" a="1"/>
  <c r="F19" i="7" a="1"/>
  <c r="I223" i="7" a="1"/>
  <c r="C227" i="7" a="1"/>
  <c r="B239" i="7" a="1"/>
  <c r="I243" i="7" a="1"/>
  <c r="B108" i="7" a="1"/>
  <c r="E101" i="7" a="1"/>
  <c r="D227" i="7" a="1"/>
  <c r="D65" i="7" a="1"/>
  <c r="H140" i="7" a="1"/>
  <c r="B194" i="7" a="1"/>
  <c r="D29" i="7" a="1"/>
  <c r="B42" i="7" a="1"/>
  <c r="H200" i="7" a="1"/>
  <c r="B94" i="7" a="1"/>
  <c r="I219" i="7" a="1"/>
  <c r="D128" i="7" a="1"/>
  <c r="F81" i="7" a="1"/>
  <c r="I126" i="7" a="1"/>
  <c r="I91" i="7" a="1"/>
  <c r="C226" i="7" a="1"/>
  <c r="F123" i="7" a="1"/>
  <c r="H75" i="7" a="1"/>
  <c r="H102" i="7" a="1"/>
  <c r="D45" i="7" a="1"/>
  <c r="I175" i="7" a="1"/>
  <c r="F130" i="7" a="1"/>
  <c r="C99" i="7" a="1"/>
  <c r="B155" i="7" a="1"/>
  <c r="C19" i="7" a="1"/>
  <c r="B64" i="7" a="1"/>
  <c r="F31" i="7" a="1"/>
  <c r="D245" i="7" a="1"/>
  <c r="E39" i="7" a="1"/>
  <c r="H122" i="7" a="1"/>
  <c r="D104" i="7" a="1"/>
  <c r="B210" i="7" a="1"/>
  <c r="D212" i="7" a="1"/>
  <c r="H124" i="7" a="1"/>
  <c r="H91" i="7" a="1"/>
  <c r="B222" i="7" a="1"/>
  <c r="I255" i="7" a="1"/>
  <c r="B218" i="7" a="1"/>
  <c r="C177" i="7" a="1"/>
  <c r="H81" i="7" a="1"/>
  <c r="H168" i="7" a="1"/>
  <c r="B36" i="7" a="1"/>
  <c r="B17" i="7" a="1"/>
  <c r="H150" i="7" a="1"/>
  <c r="I11" i="7" a="1"/>
  <c r="C88" i="7" a="1"/>
  <c r="E124" i="7" a="1"/>
  <c r="H165" i="7" a="1"/>
  <c r="I192" i="7" a="1"/>
  <c r="E20" i="7" a="1"/>
  <c r="H87" i="7" a="1"/>
  <c r="I87" i="7" a="1"/>
  <c r="D63" i="7" a="1"/>
  <c r="D54" i="7" a="1"/>
  <c r="C160" i="7" a="1"/>
  <c r="B39" i="7" a="1"/>
  <c r="B243" i="7" a="1"/>
  <c r="B80" i="7" a="1"/>
  <c r="H43" i="7" a="1"/>
  <c r="D116" i="7" a="1"/>
  <c r="E28" i="7" a="1"/>
  <c r="C35" i="7" a="1"/>
  <c r="D138" i="7" a="1"/>
  <c r="D133" i="7" a="1"/>
  <c r="I51" i="7" a="1"/>
  <c r="C211" i="7" a="1"/>
  <c r="F93" i="7" a="1"/>
  <c r="H49" i="7" a="1"/>
  <c r="I217" i="7" a="1"/>
  <c r="B30" i="7" a="1"/>
  <c r="I259" i="7" a="1"/>
  <c r="H245" i="7" a="1"/>
  <c r="C201" i="7" a="1"/>
  <c r="I133" i="7" a="1"/>
  <c r="C87" i="7" a="1"/>
  <c r="B67" i="7" a="1"/>
  <c r="E21" i="7" a="1"/>
  <c r="F78" i="7" a="1"/>
  <c r="I83" i="7" a="1"/>
  <c r="H51" i="7" a="1"/>
  <c r="B76" i="7" a="1"/>
  <c r="D20" i="7" a="1"/>
  <c r="I152" i="7" a="1"/>
  <c r="I137" i="7" a="1"/>
  <c r="D156" i="7" a="1"/>
  <c r="B164" i="7" a="1"/>
  <c r="B206" i="7" a="1"/>
  <c r="E23" i="7" a="1"/>
  <c r="F120" i="7" a="1"/>
  <c r="I65" i="7" a="1"/>
  <c r="F66" i="7" a="1"/>
  <c r="F94" i="7" a="1"/>
  <c r="D203" i="7" a="1"/>
  <c r="F98" i="7" a="1"/>
  <c r="I140" i="7" a="1"/>
  <c r="H126" i="7" a="1"/>
  <c r="F68" i="7" a="1"/>
  <c r="B139" i="7" a="1"/>
  <c r="C140" i="7" a="1"/>
  <c r="I220" i="7" a="1"/>
  <c r="I45" i="7" a="1"/>
  <c r="C100" i="7" a="1"/>
  <c r="I124" i="7" a="1"/>
  <c r="H249" i="7" a="1"/>
  <c r="B176" i="7" a="1"/>
  <c r="B111" i="7" a="1"/>
  <c r="I88" i="7" a="1"/>
  <c r="D12" i="7" a="1"/>
  <c r="H109" i="7" a="1"/>
  <c r="H97" i="7" a="1"/>
  <c r="C172" i="7" a="1"/>
  <c r="I60" i="7" a="1"/>
  <c r="D194" i="7" a="1"/>
  <c r="F50" i="7" a="1"/>
  <c r="F70" i="7" a="1"/>
  <c r="I141" i="7" a="1"/>
  <c r="H115" i="7" a="1"/>
  <c r="C90" i="7" a="1"/>
  <c r="B100" i="7" a="1"/>
  <c r="H85" i="7" a="1"/>
  <c r="D50" i="7" a="1"/>
  <c r="I39" i="7" a="1"/>
  <c r="H23" i="7" a="1"/>
  <c r="H36" i="7" a="1"/>
  <c r="D131" i="7" a="1"/>
  <c r="E38" i="7" a="1"/>
  <c r="C64" i="7" a="1"/>
  <c r="C91" i="7" a="1"/>
  <c r="I228" i="7" a="1"/>
  <c r="C162" i="7" a="1"/>
  <c r="I50" i="7" a="1"/>
  <c r="H214" i="7" a="1"/>
  <c r="H136" i="7" a="1"/>
  <c r="C134" i="7" a="1"/>
  <c r="B96" i="7" a="1"/>
  <c r="C89" i="7" a="1"/>
  <c r="C223" i="7" a="1"/>
  <c r="I170" i="7" a="1"/>
  <c r="I160" i="7" a="1"/>
  <c r="I20" i="7" a="1"/>
  <c r="B214" i="7" a="1"/>
  <c r="D153" i="7" a="1"/>
  <c r="H71" i="7" a="1"/>
  <c r="F33" i="7" a="1"/>
  <c r="C76" i="7" a="1"/>
  <c r="B50" i="7" a="1"/>
  <c r="C253" i="7" a="1"/>
  <c r="I38" i="7" a="1"/>
  <c r="H233" i="7" a="1"/>
  <c r="I184" i="7" a="1"/>
  <c r="B132" i="7" a="1"/>
  <c r="H176" i="7" a="1"/>
  <c r="H104" i="7" a="1"/>
  <c r="D124" i="7" a="1"/>
  <c r="I186" i="7" a="1"/>
  <c r="E96" i="7" a="1"/>
  <c r="B150" i="7" a="1"/>
  <c r="B86" i="7" a="1"/>
  <c r="D179" i="7" a="1"/>
  <c r="E50" i="7" a="1"/>
  <c r="C229" i="7" a="1"/>
  <c r="B121" i="7" a="1"/>
  <c r="D145" i="7" a="1"/>
  <c r="H253" i="7" a="1"/>
  <c r="H194" i="7" a="1"/>
  <c r="C167" i="7" a="1"/>
  <c r="H166" i="7" a="1"/>
  <c r="D79" i="7" a="1"/>
  <c r="C43" i="7" a="1"/>
  <c r="C102" i="7" a="1"/>
  <c r="H69" i="7" a="1"/>
  <c r="D120" i="7" a="1"/>
  <c r="E88" i="7" a="1"/>
  <c r="B59" i="7" a="1"/>
  <c r="H189" i="7" a="1"/>
  <c r="B151" i="7" a="1"/>
  <c r="F29" i="7" a="1"/>
  <c r="C130" i="7" a="1"/>
  <c r="H191" i="7" a="1"/>
  <c r="C93" i="7" a="1"/>
  <c r="D42" i="7" a="1"/>
  <c r="H82" i="7" a="1"/>
  <c r="I23" i="7" a="1"/>
  <c r="H134" i="7" a="1"/>
  <c r="E105" i="7" a="1"/>
  <c r="D208" i="7" a="1"/>
  <c r="H159" i="7" a="1"/>
  <c r="D76" i="7" a="1"/>
  <c r="I108" i="7" a="1"/>
  <c r="E73" i="7" a="1"/>
  <c r="E55" i="7" a="1"/>
  <c r="D130" i="7" a="1"/>
  <c r="B201" i="7" a="1"/>
  <c r="H17" i="7" a="1"/>
  <c r="B184" i="7" a="1"/>
  <c r="C56" i="7" a="1"/>
  <c r="B104" i="7" a="1"/>
  <c r="F86" i="7" a="1"/>
  <c r="H117" i="7" a="1"/>
  <c r="B85" i="7" a="1"/>
  <c r="H156" i="7" a="1"/>
  <c r="E25" i="7" a="1"/>
  <c r="H96" i="7" a="1"/>
  <c r="C129" i="7" a="1"/>
  <c r="H88" i="7" a="1"/>
  <c r="D56" i="7" a="1"/>
  <c r="H61" i="7" a="1"/>
  <c r="B137" i="7" a="1"/>
  <c r="F73" i="7" a="1"/>
  <c r="C228" i="7" a="1"/>
  <c r="D177" i="7" a="1"/>
  <c r="E45" i="7" a="1"/>
  <c r="I36" i="7" a="1"/>
  <c r="H184" i="7" a="1"/>
  <c r="E61" i="7" a="1"/>
  <c r="I242" i="7" a="1"/>
  <c r="I194" i="7" a="1"/>
  <c r="I14" i="7" a="1"/>
  <c r="I13" i="7" a="1"/>
  <c r="C147" i="7" a="1"/>
  <c r="E64" i="7" a="1"/>
  <c r="I203" i="7" a="1"/>
  <c r="D240" i="7" a="1"/>
  <c r="I211" i="7" a="1"/>
  <c r="H232" i="7" a="1"/>
  <c r="D28" i="7" a="1"/>
  <c r="D78" i="7" a="1"/>
  <c r="H37" i="7" a="1"/>
  <c r="H250" i="7" a="1"/>
  <c r="C150" i="7" a="1"/>
  <c r="C122" i="7" a="1"/>
  <c r="E17" i="7" a="1"/>
  <c r="C128" i="7" a="1"/>
  <c r="D250" i="7" a="1"/>
  <c r="B51" i="7" a="1"/>
  <c r="B72" i="7" a="1"/>
  <c r="H173" i="7" a="1"/>
  <c r="I35" i="7" a="1"/>
  <c r="C54" i="7" a="1"/>
  <c r="F126" i="7" a="1"/>
  <c r="E51" i="7" a="1"/>
  <c r="E36" i="7" a="1"/>
  <c r="I70" i="7" a="1"/>
  <c r="H78" i="7" a="1"/>
  <c r="I205" i="7" a="1"/>
  <c r="I177" i="7" a="1"/>
  <c r="B68" i="7" a="1"/>
  <c r="B196" i="7" a="1"/>
  <c r="H195" i="7" a="1"/>
  <c r="E44" i="7" a="1"/>
  <c r="D157" i="7" a="1"/>
  <c r="F80" i="7" a="1"/>
  <c r="C98" i="7" a="1"/>
  <c r="C37" i="7" a="1"/>
  <c r="B26" i="7" a="1"/>
  <c r="B31" i="7" a="1"/>
  <c r="C80" i="7" a="1"/>
  <c r="C58" i="7" a="1"/>
  <c r="D51" i="7" a="1"/>
  <c r="B29" i="7" a="1"/>
  <c r="H224" i="7" a="1"/>
  <c r="I214" i="7" a="1"/>
  <c r="B57" i="7" a="1"/>
  <c r="E111" i="7" a="1"/>
  <c r="B254" i="7" a="1"/>
  <c r="D238" i="7" a="1"/>
  <c r="F46" i="7" a="1"/>
  <c r="B136" i="7" a="1"/>
  <c r="H172" i="7" a="1"/>
  <c r="D66" i="7" a="1"/>
  <c r="I28" i="7" a="1"/>
  <c r="I33" i="7" a="1"/>
  <c r="I116" i="7" a="1"/>
  <c r="I26" i="7" a="1"/>
  <c r="E129" i="7" a="1"/>
  <c r="H237" i="7" a="1"/>
  <c r="B197" i="7" a="1"/>
  <c r="F72" i="7" a="1"/>
  <c r="I22" i="7" a="1"/>
  <c r="I46" i="7" a="1"/>
  <c r="B169" i="7" a="1"/>
  <c r="B253" i="7" a="1"/>
  <c r="I166" i="7" a="1"/>
  <c r="H188" i="7" a="1"/>
  <c r="C175" i="7" a="1"/>
  <c r="I69" i="7" a="1"/>
  <c r="D175" i="7" a="1"/>
  <c r="E132" i="7" a="1"/>
  <c r="D205" i="7" a="1"/>
  <c r="C200" i="7" a="1"/>
  <c r="I218" i="7" a="1"/>
  <c r="H105" i="7" a="1"/>
  <c r="B115" i="7" a="1"/>
  <c r="F114" i="7" a="1"/>
  <c r="B235" i="7" a="1"/>
  <c r="I109" i="7" a="1"/>
  <c r="H221" i="7" a="1"/>
  <c r="I37" i="7" a="1"/>
  <c r="B58" i="7" a="1"/>
  <c r="C17" i="7" a="1"/>
  <c r="I146" i="7" a="1"/>
  <c r="C251" i="7" a="1"/>
  <c r="C23" i="7" a="1"/>
  <c r="D27" i="7" a="1"/>
  <c r="I25" i="7" a="1"/>
  <c r="B117" i="7" a="1"/>
  <c r="I238" i="7" a="1"/>
  <c r="I206" i="7" a="1"/>
  <c r="C115" i="7" a="1"/>
  <c r="F58" i="7" a="1"/>
  <c r="D223" i="7" a="1"/>
  <c r="H251" i="7" a="1"/>
  <c r="I250" i="7" a="1"/>
  <c r="B162" i="7" a="1"/>
  <c r="E63" i="7" a="1"/>
  <c r="E37" i="7" a="1"/>
  <c r="D18" i="7" a="1"/>
  <c r="D69" i="7" a="1"/>
  <c r="H170" i="7" a="1"/>
  <c r="E121" i="7" a="1"/>
  <c r="B20" i="7" a="1"/>
  <c r="H206" i="7" a="1"/>
  <c r="D222" i="7" a="1"/>
  <c r="F26" i="7" a="1"/>
  <c r="B144" i="7" a="1"/>
  <c r="D34" i="7" a="1"/>
  <c r="H93" i="7" a="1"/>
  <c r="D40" i="7" a="1"/>
  <c r="C195" i="7" a="1"/>
  <c r="D70" i="7" a="1"/>
  <c r="C198" i="7" a="1"/>
  <c r="H33" i="7" a="1"/>
  <c r="E18" i="7" a="1"/>
  <c r="C85" i="7" a="1"/>
  <c r="B46" i="7" a="1"/>
  <c r="D200" i="7" a="1"/>
  <c r="I189" i="7" a="1"/>
  <c r="C83" i="7" a="1"/>
  <c r="D170" i="7" a="1"/>
  <c r="H62" i="7" a="1"/>
  <c r="I72" i="7" a="1"/>
  <c r="F53" i="7" a="1"/>
  <c r="B166" i="7" a="1"/>
  <c r="F95" i="7" a="1"/>
  <c r="E59" i="7" a="1"/>
  <c r="B173" i="7" a="1"/>
  <c r="H80" i="7" a="1"/>
  <c r="C249" i="7" a="1"/>
  <c r="I57" i="7" a="1"/>
  <c r="F44" i="7" a="1"/>
  <c r="F116" i="7" a="1"/>
  <c r="H35" i="7" a="1"/>
  <c r="E74" i="7" a="1"/>
  <c r="C71" i="7" a="1"/>
  <c r="C240" i="7" a="1"/>
  <c r="B107" i="7" a="1"/>
  <c r="D253" i="7" a="1"/>
  <c r="F104" i="7" a="1"/>
  <c r="H21" i="7" a="1"/>
  <c r="F20" i="7" a="1"/>
  <c r="D216" i="7" a="1"/>
  <c r="I190" i="7" a="1"/>
  <c r="B82" i="7" a="1"/>
  <c r="B242" i="7" a="1"/>
  <c r="F101" i="7" a="1"/>
  <c r="I54" i="7" a="1"/>
  <c r="I195" i="7" a="1"/>
  <c r="C192" i="7" a="1"/>
  <c r="B37" i="7" a="1"/>
  <c r="D186" i="7" a="1"/>
  <c r="H29" i="7" a="1"/>
  <c r="H95" i="7" a="1"/>
  <c r="E97" i="7" a="1"/>
  <c r="I40" i="7" a="1"/>
  <c r="D254" i="7" a="1"/>
  <c r="I178" i="7" a="1"/>
  <c r="C125" i="7" a="1"/>
  <c r="H202" i="7" a="1"/>
  <c r="C221" i="7" a="1"/>
  <c r="C31" i="7" a="1"/>
  <c r="I191" i="7" a="1"/>
  <c r="H86" i="7" a="1"/>
  <c r="I227" i="7" a="1"/>
  <c r="H169" i="7" a="1"/>
  <c r="H223" i="7" a="1"/>
  <c r="I102" i="7" a="1"/>
  <c r="B256" i="7" a="1"/>
  <c r="C187" i="7" a="1"/>
  <c r="D91" i="7" a="1"/>
  <c r="E54" i="7" a="1"/>
  <c r="B78" i="7" a="1"/>
  <c r="D127" i="7" a="1"/>
  <c r="B231" i="7" a="1"/>
  <c r="D92" i="7" a="1"/>
  <c r="I187" i="7" a="1"/>
  <c r="H146" i="7" a="1"/>
  <c r="B119" i="7" a="1"/>
  <c r="H65" i="7" a="1"/>
  <c r="E52" i="7" a="1"/>
  <c r="F122" i="7" a="1"/>
  <c r="C78" i="7" a="1"/>
  <c r="H120" i="7" a="1"/>
  <c r="D184" i="7" a="1"/>
  <c r="F121" i="7" a="1"/>
  <c r="H42" i="7" a="1"/>
  <c r="F43" i="7" a="1"/>
  <c r="I103" i="7" a="1"/>
  <c r="D132" i="7" a="1"/>
  <c r="D247" i="7" a="1"/>
  <c r="D218" i="7" a="1"/>
  <c r="C165" i="7" a="1"/>
  <c r="B44" i="7" a="1"/>
  <c r="H66" i="7" a="1"/>
  <c r="B77" i="7" a="1"/>
  <c r="F87" i="7" a="1"/>
  <c r="D93" i="7" a="1"/>
  <c r="D198" i="7" a="1"/>
  <c r="H196" i="7" a="1"/>
  <c r="B60" i="7" a="1"/>
  <c r="I31" i="7" a="1"/>
  <c r="F21" i="7" a="1"/>
  <c r="B181" i="7" a="1"/>
  <c r="D36" i="7" a="1"/>
  <c r="I229" i="7" a="1"/>
  <c r="C40" i="7" a="1"/>
  <c r="I249" i="7" a="1"/>
  <c r="H162" i="7" a="1"/>
  <c r="I106" i="7" a="1"/>
  <c r="B238" i="7" a="1"/>
  <c r="B187" i="7" a="1"/>
  <c r="I56" i="7" a="1"/>
  <c r="B34" i="7" a="1"/>
  <c r="I171" i="7" a="1"/>
  <c r="F27" i="7" a="1"/>
  <c r="D233" i="7" a="1"/>
  <c r="C237" i="7" a="1"/>
  <c r="D75" i="7" a="1"/>
  <c r="F30" i="7" a="1"/>
  <c r="E30" i="7" a="1"/>
  <c r="B237" i="7" a="1"/>
  <c r="H79" i="7" a="1"/>
  <c r="I17" i="7" a="1"/>
  <c r="D137" i="7" a="1"/>
  <c r="I24" i="7" a="1"/>
  <c r="D230" i="7" a="1"/>
  <c r="B101" i="7" a="1"/>
  <c r="C84" i="7" a="1"/>
  <c r="D72" i="7" a="1"/>
  <c r="C137" i="7" a="1"/>
  <c r="D148" i="7" a="1"/>
  <c r="I53" i="7" a="1"/>
  <c r="C238" i="7" a="1"/>
  <c r="B234" i="7" a="1"/>
  <c r="C28" i="7" a="1"/>
  <c r="H56" i="7" a="1"/>
  <c r="F84" i="7" a="1"/>
  <c r="I236" i="7" a="1"/>
  <c r="H40" i="7" a="1"/>
  <c r="C67" i="7" a="1"/>
  <c r="B102" i="7" a="1"/>
  <c r="I89" i="7" a="1"/>
  <c r="C214" i="7" a="1"/>
  <c r="H153" i="7" a="1"/>
  <c r="B165" i="7" a="1"/>
  <c r="F75" i="7" a="1"/>
  <c r="C60" i="7" a="1"/>
  <c r="D74" i="7" a="1"/>
  <c r="H128" i="7" a="1"/>
  <c r="C126" i="7" a="1"/>
  <c r="B248" i="7" a="1"/>
  <c r="I244" i="7" a="1"/>
  <c r="C105" i="7" a="1"/>
  <c r="D193" i="7" a="1"/>
  <c r="I29" i="7" a="1"/>
  <c r="H218" i="7" a="1"/>
  <c r="B160" i="7" a="1"/>
  <c r="I128" i="7" a="1"/>
  <c r="I58" i="7" a="1"/>
  <c r="H100" i="7" a="1"/>
  <c r="I226" i="7" a="1"/>
  <c r="C20" i="7" a="1"/>
  <c r="H199" i="7" a="1"/>
  <c r="I153" i="7" a="1"/>
  <c r="I251" i="7" a="1"/>
  <c r="B62" i="7" a="1"/>
  <c r="D117" i="7" a="1"/>
  <c r="B45" i="7" a="1"/>
  <c r="B71" i="7" a="1"/>
  <c r="D61" i="7" a="1"/>
  <c r="F88" i="7" a="1"/>
  <c r="F112" i="7" a="1"/>
  <c r="D95" i="7" a="1"/>
  <c r="I245" i="7" a="1"/>
  <c r="D244" i="7" a="1"/>
  <c r="H181" i="7" a="1"/>
  <c r="D168" i="7" a="1"/>
  <c r="H92" i="7" a="1"/>
  <c r="C135" i="7" a="1"/>
  <c r="I120" i="7" a="1"/>
  <c r="F22" i="7" a="1"/>
  <c r="I118" i="7" a="1"/>
  <c r="H139" i="7" a="1"/>
  <c r="E81" i="7" a="1"/>
  <c r="B207" i="7" a="1"/>
  <c r="I84" i="7" a="1"/>
  <c r="C205" i="7" a="1"/>
  <c r="I165" i="7" a="1"/>
  <c r="C232" i="7" a="1"/>
  <c r="E46" i="7" a="1"/>
  <c r="H141" i="7" a="1"/>
  <c r="E48" i="7" a="1"/>
  <c r="C72" i="7" a="1"/>
  <c r="E76" i="7" a="1"/>
  <c r="B19" i="7" a="1"/>
  <c r="H131" i="7" a="1"/>
  <c r="C189" i="7" a="1"/>
  <c r="F100" i="7" a="1"/>
  <c r="B241" i="7" a="1"/>
  <c r="H259" i="7" a="1"/>
  <c r="I115" i="7" a="1"/>
  <c r="B143" i="7" a="1"/>
  <c r="I112" i="7" a="1"/>
  <c r="B122" i="7" a="1"/>
  <c r="B159" i="7" a="1"/>
  <c r="B22" i="7" a="1"/>
  <c r="I18" i="7" a="1"/>
  <c r="H108" i="7" a="1"/>
  <c r="C50" i="7" a="1"/>
  <c r="H112" i="7" a="1"/>
  <c r="C141" i="7" a="1"/>
  <c r="D189" i="7" a="1"/>
  <c r="D106" i="7" a="1"/>
  <c r="H235" i="7" a="1"/>
  <c r="C94" i="7" a="1"/>
  <c r="B189" i="7" a="1"/>
  <c r="H205" i="7" a="1"/>
  <c r="B70" i="7" a="1"/>
  <c r="B66" i="7" a="1"/>
  <c r="I162" i="7" a="1"/>
  <c r="I202" i="7" a="1"/>
  <c r="B203" i="7" a="1"/>
  <c r="D163" i="7" a="1"/>
  <c r="B215" i="7" a="1"/>
  <c r="D114" i="7" a="1"/>
  <c r="I48" i="7" a="1"/>
  <c r="H227" i="7" a="1"/>
  <c r="E113" i="7" a="1"/>
  <c r="B149" i="7" a="1"/>
  <c r="C45" i="7" a="1"/>
  <c r="C110" i="7" a="1"/>
  <c r="H186" i="7" a="1"/>
  <c r="B200" i="7" a="1"/>
  <c r="I204" i="7" a="1"/>
  <c r="H90" i="7" a="1"/>
  <c r="D167" i="7" a="1"/>
  <c r="B126" i="7" a="1"/>
  <c r="B28" i="7" a="1"/>
  <c r="C220" i="7" a="1"/>
  <c r="D182" i="7" a="1"/>
  <c r="B127" i="7" a="1"/>
  <c r="C42" i="7" a="1"/>
  <c r="D183" i="7" a="1"/>
  <c r="H41" i="7" a="1"/>
  <c r="D251" i="7" a="1"/>
  <c r="F117" i="7" a="1"/>
  <c r="H180" i="7" a="1"/>
  <c r="E83" i="7" a="1"/>
  <c r="E56" i="7" a="1"/>
  <c r="C127" i="7" a="1"/>
  <c r="I174" i="7" a="1"/>
  <c r="H119" i="7" a="1"/>
  <c r="I93" i="7" a="1"/>
  <c r="B148" i="7" a="1"/>
  <c r="I158" i="7" a="1"/>
  <c r="D211" i="7" a="1"/>
  <c r="D144" i="7" a="1"/>
  <c r="B81" i="7" a="1"/>
  <c r="I168" i="7" a="1"/>
  <c r="B170" i="7" a="1"/>
  <c r="D53" i="7" a="1"/>
  <c r="D202" i="7" a="1"/>
  <c r="C179" i="7" a="1"/>
  <c r="C215" i="7" a="1"/>
  <c r="I110" i="7" a="1"/>
  <c r="E70" i="7" a="1"/>
  <c r="H193" i="7" a="1"/>
  <c r="H68" i="7" a="1"/>
  <c r="I77" i="7" a="1"/>
  <c r="B40" i="7" a="1"/>
  <c r="D178" i="7" a="1"/>
  <c r="D68" i="7" a="1"/>
  <c r="B193" i="7" a="1"/>
  <c r="I241" i="7" a="1"/>
  <c r="H77" i="7" a="1"/>
  <c r="F59" i="7" a="1"/>
  <c r="H198" i="7" a="1"/>
  <c r="H73" i="7" a="1"/>
  <c r="C70" i="7" a="1"/>
  <c r="E84" i="7" a="1"/>
  <c r="F76" i="7" a="1"/>
  <c r="D102" i="7" a="1"/>
  <c r="B250" i="7" a="1"/>
  <c r="B157" i="7" a="1"/>
  <c r="C139" i="7" a="1"/>
  <c r="I200" i="7" a="1"/>
  <c r="E42" i="7" a="1"/>
  <c r="I232" i="7" a="1"/>
  <c r="B91" i="7" a="1"/>
  <c r="D172" i="7" a="1"/>
  <c r="H55" i="7" a="1"/>
  <c r="I144" i="7" a="1"/>
  <c r="H47" i="7" a="1"/>
  <c r="I74" i="7" a="1"/>
  <c r="I71" i="7" a="1"/>
  <c r="D176" i="7" a="1"/>
  <c r="I64" i="7" a="1"/>
  <c r="H116" i="7" a="1"/>
  <c r="I131" i="7" a="1"/>
  <c r="D59" i="7" a="1"/>
  <c r="B185" i="7" a="1"/>
  <c r="E90" i="7" a="1"/>
  <c r="F82" i="7" a="1"/>
  <c r="D147" i="7" a="1"/>
  <c r="B114" i="7" a="1"/>
  <c r="D151" i="7" a="1"/>
  <c r="I150" i="7" a="1"/>
  <c r="D41" i="7" a="1"/>
  <c r="D159" i="7" a="1"/>
  <c r="E98" i="7" a="1"/>
  <c r="I188" i="7" a="1"/>
  <c r="H101" i="7" a="1"/>
  <c r="D256" i="7" a="1"/>
  <c r="B156" i="7" a="1"/>
  <c r="C256" i="7" a="1"/>
  <c r="C176" i="7" a="1"/>
  <c r="H63" i="7" a="1"/>
  <c r="I123" i="7" a="1"/>
  <c r="D22" i="7" a="1"/>
  <c r="C116" i="7" a="1"/>
  <c r="B174" i="7" a="1"/>
  <c r="H135" i="7" a="1"/>
  <c r="B133" i="7" a="1"/>
  <c r="B249" i="7" a="1"/>
  <c r="C236" i="7" a="1"/>
  <c r="D57" i="7" a="1"/>
  <c r="C153" i="7" a="1"/>
  <c r="D248" i="7" a="1"/>
  <c r="B109" i="7" a="1"/>
  <c r="I179" i="7" a="1"/>
  <c r="C190" i="7" a="1"/>
  <c r="I16" i="7" a="1"/>
  <c r="E32" i="7" a="1"/>
  <c r="B175" i="7" a="1"/>
  <c r="B198" i="7" a="1"/>
  <c r="H217" i="7" a="1"/>
  <c r="I99" i="7" a="1"/>
  <c r="B191" i="7" a="1"/>
  <c r="C157" i="7" a="1"/>
  <c r="B226" i="7" a="1"/>
  <c r="I222" i="7" a="1"/>
  <c r="E131" i="7" a="1"/>
  <c r="D23" i="7" a="1"/>
  <c r="I225" i="7" a="1"/>
  <c r="H144" i="7" a="1"/>
  <c r="D146" i="7" a="1"/>
  <c r="D139" i="7" a="1"/>
  <c r="C203" i="7" a="1"/>
  <c r="H226" i="7" a="1"/>
  <c r="B223" i="7" a="1"/>
  <c r="F124" i="7" a="1"/>
  <c r="C255" i="7" a="1"/>
  <c r="D136" i="7" a="1"/>
  <c r="C143" i="7" a="1"/>
  <c r="C75" i="7" a="1"/>
  <c r="C209" i="7" a="1"/>
  <c r="B63" i="7" a="1"/>
  <c r="B147" i="7" a="1"/>
  <c r="D243" i="7" a="1"/>
  <c r="D195" i="7" a="1"/>
  <c r="F96" i="7" a="1"/>
  <c r="C180" i="7" a="1"/>
  <c r="C97" i="7" a="1"/>
  <c r="E104" i="7" a="1"/>
  <c r="I85" i="7" a="1"/>
  <c r="F91" i="7" a="1"/>
  <c r="C65" i="7" a="1"/>
  <c r="E125" i="7" a="1"/>
  <c r="B246" i="7" a="1"/>
  <c r="F108" i="7" a="1"/>
  <c r="I129" i="7" a="1"/>
  <c r="F105" i="7" a="1"/>
  <c r="H151" i="7" a="1"/>
  <c r="D129" i="7" a="1"/>
  <c r="C108" i="7" a="1"/>
  <c r="D231" i="7" a="1"/>
  <c r="H213" i="7" a="1"/>
  <c r="B32" i="7" a="1"/>
  <c r="I210" i="7" a="1"/>
  <c r="D196" i="7" a="1"/>
  <c r="I95" i="7" a="1"/>
  <c r="B134" i="7" a="1"/>
  <c r="C219" i="7" a="1"/>
  <c r="D204" i="7" a="1"/>
  <c r="F56" i="7" a="1"/>
  <c r="C69" i="7" a="1"/>
  <c r="I258" i="7" a="1"/>
  <c r="B251" i="7" a="1"/>
  <c r="B161" i="7" a="1"/>
  <c r="H179" i="7" a="1"/>
  <c r="D126" i="7" a="1"/>
  <c r="D158" i="7" a="1"/>
  <c r="C138" i="7" a="1"/>
  <c r="I145" i="7" a="1"/>
  <c r="D119" i="7" a="1"/>
  <c r="I196" i="7" a="1"/>
  <c r="H178" i="7" a="1"/>
  <c r="B73" i="7" a="1"/>
  <c r="E95" i="7" a="1"/>
  <c r="B43" i="7" a="1"/>
  <c r="I139" i="7" a="1"/>
  <c r="D52" i="7" a="1"/>
  <c r="C148" i="7" a="1"/>
  <c r="B179" i="7" a="1"/>
  <c r="C39" i="7" a="1"/>
  <c r="I154" i="7" a="1"/>
  <c r="B230" i="7" a="1"/>
  <c r="C234" i="7" a="1"/>
  <c r="D17" i="7" a="1"/>
  <c r="H142" i="7" a="1"/>
  <c r="I247" i="7" a="1"/>
  <c r="D219" i="7" a="1"/>
  <c r="C77" i="7" a="1"/>
  <c r="D31" i="7" a="1"/>
  <c r="H32" i="7" a="1"/>
  <c r="E77" i="7" a="1"/>
  <c r="D55" i="7" a="1"/>
  <c r="C151" i="7" a="1"/>
  <c r="I224" i="7" a="1"/>
  <c r="B227" i="7" a="1"/>
  <c r="H231" i="7" a="1"/>
  <c r="E133" i="7" a="1"/>
  <c r="F89" i="7" a="1"/>
  <c r="H30" i="7" a="1"/>
  <c r="I61" i="7" a="1"/>
  <c r="C32" i="7" a="1"/>
  <c r="H246" i="7" a="1"/>
  <c r="I59" i="7" a="1"/>
  <c r="E69" i="7" a="1"/>
  <c r="B116" i="7" a="1"/>
  <c r="I111" i="7" a="1"/>
  <c r="I183" i="7" a="1"/>
  <c r="I167" i="7" a="1"/>
  <c r="B27" i="7" a="1"/>
  <c r="C79" i="7" a="1"/>
  <c r="H210" i="7" a="1"/>
  <c r="C243" i="7" a="1"/>
  <c r="C86" i="7" a="1"/>
  <c r="I169" i="7" a="1"/>
  <c r="C206" i="7" a="1"/>
  <c r="H34" i="7" a="1"/>
  <c r="I27" i="7" a="1"/>
  <c r="E57" i="7" a="1"/>
  <c r="I47" i="7" a="1"/>
  <c r="E78" i="7" a="1"/>
  <c r="F48" i="7" a="1"/>
  <c r="C26" i="7" a="1"/>
  <c r="F52" i="7" a="1"/>
  <c r="B199" i="7" a="1"/>
  <c r="D234" i="7" a="1"/>
  <c r="C233" i="7" a="1"/>
  <c r="B146" i="7" a="1"/>
  <c r="H74" i="7" a="1"/>
  <c r="I181" i="7" a="1"/>
  <c r="D121" i="7" a="1"/>
  <c r="D58" i="7" a="1"/>
  <c r="D37" i="7" a="1"/>
  <c r="F23" i="7" a="1"/>
  <c r="D101" i="7" a="1"/>
  <c r="B236" i="7" a="1"/>
  <c r="D38" i="7" a="1"/>
  <c r="C145" i="7" a="1"/>
  <c r="F25" i="7" a="1"/>
  <c r="F67" i="7" a="1"/>
  <c r="F128" i="7" a="1"/>
  <c r="C193" i="7" a="1"/>
  <c r="C181" i="7" a="1"/>
  <c r="H38" i="7" a="1"/>
  <c r="B229" i="7" a="1"/>
  <c r="B113" i="7" a="1"/>
  <c r="B228" i="7" a="1"/>
  <c r="E67" i="7" a="1"/>
  <c r="B131" i="7" a="1"/>
  <c r="H50" i="7" a="1"/>
  <c r="D88" i="7" a="1"/>
  <c r="F132" i="7" a="1"/>
  <c r="D82" i="7" a="1"/>
  <c r="C33" i="7" a="1"/>
  <c r="H133" i="7" a="1"/>
  <c r="D19" i="7" a="1"/>
  <c r="C247" i="7" a="1"/>
  <c r="C120" i="7" a="1"/>
  <c r="C22" i="7" a="1"/>
  <c r="I159" i="7" a="1"/>
  <c r="F109" i="7" a="1"/>
  <c r="B195" i="7" a="1"/>
  <c r="I79" i="7" a="1"/>
  <c r="C246" i="7" a="1"/>
  <c r="D103" i="7" a="1"/>
  <c r="I231" i="7" a="1"/>
  <c r="B123" i="7" a="1"/>
  <c r="C194" i="7" a="1"/>
  <c r="B225" i="7" a="1"/>
  <c r="H243" i="7" a="1"/>
  <c r="D174" i="7" a="1"/>
  <c r="C24" i="7" a="1"/>
  <c r="D220" i="7" a="1"/>
  <c r="B213" i="7" a="1"/>
  <c r="E62" i="7" a="1"/>
  <c r="F38" i="7" a="1"/>
  <c r="I237" i="7" a="1"/>
  <c r="I30" i="7" a="1"/>
  <c r="C21" i="7" a="1"/>
  <c r="H238" i="7" a="1"/>
  <c r="D99" i="7" a="1"/>
  <c r="D115" i="7" a="1"/>
  <c r="I12" i="7" a="1"/>
  <c r="E130" i="7" a="1"/>
  <c r="B65" i="7" a="1"/>
  <c r="E114" i="7" a="1"/>
  <c r="D122" i="7" a="1"/>
  <c r="C142" i="7" a="1"/>
  <c r="H155" i="7" a="1"/>
  <c r="D249" i="7" a="1"/>
  <c r="H239" i="7" a="1"/>
  <c r="D39" i="7" a="1"/>
  <c r="I234" i="7" a="1"/>
  <c r="B41" i="7" a="1"/>
  <c r="H230" i="7" a="1"/>
  <c r="F40" i="7" a="1"/>
  <c r="E134" i="7" a="1"/>
  <c r="B92" i="7" a="1"/>
  <c r="B163" i="7" a="1"/>
  <c r="D25" i="7" a="1"/>
  <c r="H129" i="7" a="1"/>
  <c r="D155" i="7" a="1"/>
  <c r="H70" i="7" a="1"/>
  <c r="B216" i="7" a="1"/>
  <c r="D224" i="7" a="1"/>
  <c r="E26" i="7" a="1"/>
  <c r="B33" i="7" a="1"/>
  <c r="D118" i="7" a="1"/>
  <c r="D257" i="7" a="1"/>
  <c r="D48" i="7" a="1"/>
  <c r="F62" i="7" a="1"/>
  <c r="B158" i="7" a="1"/>
  <c r="E120" i="7" a="1"/>
  <c r="B18" i="7" a="1"/>
  <c r="I254" i="7" a="1"/>
  <c r="F47" i="7" a="1"/>
  <c r="I257" i="7" a="1"/>
  <c r="D164" i="7" a="1"/>
  <c r="H60" i="7" a="1"/>
  <c r="C59" i="7" a="1"/>
  <c r="H228" i="7" a="1"/>
  <c r="D80" i="7" a="1"/>
  <c r="H123" i="7" a="1"/>
  <c r="H174" i="7" a="1"/>
  <c r="D149" i="7" a="1"/>
  <c r="H137" i="7" a="1"/>
  <c r="B55" i="7" a="1"/>
  <c r="E24" i="7" a="1"/>
  <c r="C81" i="7" a="1"/>
  <c r="C224" i="7" a="1"/>
  <c r="H98" i="7" a="1"/>
  <c r="C92" i="7" a="1"/>
  <c r="H28" i="7" a="1"/>
  <c r="H190" i="7" a="1"/>
  <c r="E22" i="7" a="1"/>
  <c r="D150" i="7" a="1"/>
  <c r="D259" i="7" a="1"/>
  <c r="B244" i="7" a="1"/>
  <c r="C106" i="7" a="1"/>
  <c r="B141" i="7" a="1"/>
  <c r="B168" i="7" a="1"/>
  <c r="I68" i="7" a="1"/>
  <c r="C101" i="7" a="1"/>
  <c r="I100" i="7" a="1"/>
  <c r="E107" i="7" a="1"/>
  <c r="C163" i="7" a="1"/>
  <c r="D169" i="7" a="1"/>
  <c r="F83" i="7" a="1"/>
  <c r="I92" i="7" a="1"/>
  <c r="C210" i="7" a="1"/>
  <c r="I127" i="7" a="1"/>
  <c r="F57" i="7" a="1"/>
  <c r="E112" i="7" a="1"/>
  <c r="D237" i="7" a="1"/>
  <c r="C113" i="7" a="1"/>
  <c r="I213" i="7" a="1"/>
  <c r="I67" i="7" a="1"/>
  <c r="H94" i="7" a="1"/>
  <c r="H164" i="7" a="1"/>
  <c r="I119" i="7" a="1"/>
  <c r="C188" i="7" a="1"/>
  <c r="I136" i="7" a="1"/>
  <c r="H183" i="7" a="1"/>
  <c r="C112" i="7" a="1"/>
  <c r="E100" i="7" a="1"/>
  <c r="I135" i="7" a="1"/>
  <c r="C30" i="7" a="1"/>
  <c r="H27" i="7" a="1"/>
  <c r="H207" i="7" a="1"/>
  <c r="D188" i="7" a="1"/>
  <c r="E118" i="7" a="1"/>
  <c r="F97" i="7" a="1"/>
  <c r="B48" i="7" a="1"/>
  <c r="C168" i="7" a="1"/>
  <c r="D30" i="7" a="1"/>
  <c r="C121" i="7" a="1"/>
  <c r="C66" i="7" a="1"/>
  <c r="H187" i="7" a="1"/>
  <c r="H99" i="7" a="1"/>
  <c r="I41" i="7" a="1"/>
  <c r="D113" i="7" a="1"/>
  <c r="F119" i="7" a="1"/>
  <c r="C217" i="7" a="1"/>
  <c r="H138" i="7" a="1"/>
  <c r="D201" i="7" a="1"/>
  <c r="E87" i="7" a="1"/>
  <c r="D84" i="7" a="1"/>
  <c r="C133" i="7" a="1"/>
  <c r="B224" i="7" a="1"/>
  <c r="B38" i="7" a="1"/>
  <c r="D140" i="7" a="1"/>
  <c r="C257" i="7" a="1"/>
  <c r="E115" i="7" a="1"/>
  <c r="I52" i="7" a="1"/>
  <c r="B61" i="7" a="1"/>
  <c r="C231" i="7" a="1"/>
  <c r="C118" i="7" a="1"/>
  <c r="H46" i="7" a="1"/>
  <c r="F111" i="7" a="1"/>
  <c r="I157" i="7" a="1"/>
  <c r="B252" i="7" a="1"/>
  <c r="E122" i="7" a="1"/>
  <c r="D67" i="7" a="1"/>
  <c r="I142" i="7" a="1"/>
  <c r="C34" i="7" a="1"/>
  <c r="F61" i="7" a="1"/>
  <c r="E27" i="7" a="1"/>
  <c r="D143" i="7" a="1"/>
  <c r="F103" i="7" a="1"/>
  <c r="I42" i="7" a="1"/>
  <c r="H247" i="7" a="1"/>
  <c r="H152" i="7" a="1"/>
  <c r="H211" i="7" a="1"/>
  <c r="F42" i="7" a="1"/>
  <c r="H201" i="7" a="1"/>
  <c r="B35" i="7" a="1"/>
  <c r="D109" i="7" a="1"/>
  <c r="C63" i="7" a="1"/>
  <c r="D166" i="7" a="1"/>
  <c r="E53" i="7" a="1"/>
  <c r="F102" i="7" a="1"/>
  <c r="F127" i="7" a="1"/>
  <c r="C186" i="7" a="1"/>
  <c r="H209" i="7" a="1"/>
  <c r="D215" i="7" a="1"/>
  <c r="C207" i="7" a="1"/>
  <c r="D111" i="7" a="1"/>
  <c r="I132" i="7" a="1"/>
  <c r="I90" i="7" a="1"/>
  <c r="H149" i="7" a="1"/>
  <c r="H145" i="7" a="1"/>
  <c r="H175" i="7" a="1"/>
  <c r="E106" i="7" a="1"/>
  <c r="D187" i="7" a="1"/>
  <c r="C57" i="7" a="1"/>
  <c r="I246" i="7" a="1"/>
  <c r="D107" i="7" a="1"/>
  <c r="I80" i="7" a="1"/>
  <c r="H204" i="7" a="1"/>
  <c r="B23" i="7" a="1"/>
  <c r="H64" i="7" a="1"/>
  <c r="H157" i="7" a="1"/>
  <c r="F65" i="7" a="1"/>
  <c r="B182" i="7" a="1"/>
  <c r="I73" i="7" a="1"/>
  <c r="H252" i="7" a="1"/>
  <c r="D173" i="7" a="1"/>
  <c r="F133" i="7" a="1"/>
  <c r="B125" i="7" a="1"/>
  <c r="D228" i="7" a="1"/>
  <c r="D21" i="7" a="1"/>
  <c r="E108" i="7" a="1"/>
  <c r="B240" i="7" a="1"/>
  <c r="C184" i="7" a="1"/>
  <c r="B83" i="7" a="1"/>
  <c r="I207" i="7" a="1"/>
  <c r="H236" i="7" a="1"/>
  <c r="C196" i="7" a="1"/>
  <c r="D98" i="7" a="1"/>
  <c r="B74" i="7" a="1"/>
  <c r="C44" i="7" a="1"/>
  <c r="I78" i="7" a="1"/>
  <c r="I134" i="7" a="1"/>
  <c r="C117" i="7" a="1"/>
  <c r="B97" i="7" a="1"/>
  <c r="I62" i="7" a="1"/>
  <c r="I76" i="7" a="1"/>
  <c r="H103" i="7" a="1"/>
  <c r="F64" i="7" a="1"/>
  <c r="I32" i="7" a="1"/>
  <c r="C158" i="7" a="1"/>
  <c r="H158" i="7" a="1"/>
  <c r="I143" i="7" a="1"/>
  <c r="H53" i="7" a="1"/>
  <c r="D239" i="7" a="1"/>
  <c r="B180" i="7" a="1"/>
  <c r="E47" i="7" a="1"/>
  <c r="D123" i="7" a="1"/>
  <c r="D162" i="7" a="1"/>
  <c r="I43" i="7" a="1"/>
  <c r="H72" i="7" a="1"/>
  <c r="B47" i="7" a="1"/>
  <c r="H118" i="7" a="1"/>
  <c r="C27" i="7" a="1"/>
  <c r="C152" i="7" a="1"/>
  <c r="H148" i="7" a="1"/>
  <c r="C197" i="7" a="1"/>
  <c r="C62" i="7" a="1"/>
  <c r="I75" i="7" a="1"/>
  <c r="E72" i="7" a="1"/>
  <c r="C213" i="7" a="1"/>
  <c r="C107" i="7" a="1"/>
  <c r="B120" i="7" a="1"/>
  <c r="H57" i="7" a="1"/>
  <c r="I104" i="7" a="1"/>
  <c r="B245" i="7" a="1"/>
  <c r="D100" i="7" a="1"/>
  <c r="F107" i="7" a="1"/>
  <c r="I97" i="7" a="1"/>
  <c r="H215" i="7" a="1"/>
  <c r="C146" i="7" a="1"/>
  <c r="B52" i="7" a="1"/>
  <c r="E31" i="7" a="1"/>
  <c r="C109" i="7" a="1"/>
  <c r="E68" i="7" a="1"/>
  <c r="D232" i="7" a="1"/>
  <c r="B208" i="7" a="1"/>
  <c r="F69" i="7" a="1"/>
  <c r="I173" i="7" a="1"/>
  <c r="H219" i="7" a="1"/>
  <c r="D226" i="7" a="1"/>
  <c r="B88" i="7" a="1"/>
  <c r="I161" i="7" a="1"/>
  <c r="B167" i="7" a="1"/>
  <c r="H248" i="7" a="1"/>
  <c r="B154" i="7" a="1"/>
  <c r="I138" i="7" a="1"/>
  <c r="D134" i="7" a="1"/>
  <c r="I248" i="7" a="1"/>
  <c r="B24" i="7" a="1"/>
  <c r="D108" i="7" a="1"/>
  <c r="C258" i="7" a="1"/>
  <c r="D190" i="7" a="1"/>
  <c r="D62" i="7" a="1"/>
  <c r="B219" i="7" a="1"/>
  <c r="F134" i="7" a="1"/>
  <c r="F36" i="7" a="1"/>
  <c r="C61" i="7" a="1"/>
  <c r="I182" i="7" a="1"/>
  <c r="B118" i="7" a="1"/>
  <c r="F51" i="7" a="1"/>
  <c r="E80" i="7" a="1"/>
  <c r="E91" i="7" a="1"/>
  <c r="C182" i="7" a="1"/>
  <c r="H19" i="7" a="1"/>
  <c r="B124" i="7" a="1"/>
  <c r="I253" i="7" a="1"/>
  <c r="H83" i="7" a="1"/>
  <c r="I19" i="7" a="1"/>
  <c r="C104" i="7" a="1"/>
  <c r="I49" i="7" a="1"/>
  <c r="E93" i="7" a="1"/>
  <c r="B232" i="7" a="1"/>
  <c r="I221" i="7" a="1"/>
  <c r="D49" i="7" a="1"/>
  <c r="D94" i="7" a="1"/>
  <c r="I148" i="7" a="1"/>
  <c r="F79" i="7" a="1"/>
  <c r="B212" i="7" a="1"/>
  <c r="H160" i="7" a="1"/>
  <c r="I155" i="7" a="1"/>
  <c r="D87" i="7" a="1"/>
  <c r="I86" i="7" a="1"/>
  <c r="C114" i="7" a="1"/>
  <c r="B129" i="7" a="1"/>
  <c r="D236" i="7" a="1"/>
  <c r="H234" i="7" a="1"/>
  <c r="I215" i="7" a="1"/>
  <c r="C155" i="7" a="1"/>
  <c r="I82" i="7" a="1"/>
  <c r="D154" i="7" a="1"/>
  <c r="I94" i="7" a="1"/>
  <c r="B172" i="7" a="1"/>
  <c r="D60" i="7" a="1"/>
  <c r="D85" i="7" a="1"/>
  <c r="D185" i="7" a="1"/>
  <c r="D35" i="7" a="1"/>
  <c r="D160" i="7" a="1"/>
  <c r="D235" i="7" a="1"/>
  <c r="D110" i="7" a="1"/>
  <c r="D135" i="7" a="1"/>
  <c r="D210" i="7" a="1"/>
  <c r="B172" i="7" l="1"/>
  <c r="I94" i="7"/>
  <c r="D154" i="7"/>
  <c r="I82" i="7"/>
  <c r="C155" i="7"/>
  <c r="I215" i="7"/>
  <c r="H234" i="7"/>
  <c r="D236" i="7"/>
  <c r="B129" i="7"/>
  <c r="C114" i="7"/>
  <c r="I86" i="7"/>
  <c r="D87" i="7"/>
  <c r="I155" i="7"/>
  <c r="H160" i="7"/>
  <c r="B212" i="7"/>
  <c r="F79" i="7"/>
  <c r="I148" i="7"/>
  <c r="D94" i="7"/>
  <c r="D49" i="7"/>
  <c r="I221" i="7"/>
  <c r="B232" i="7"/>
  <c r="E93" i="7"/>
  <c r="I49" i="7"/>
  <c r="C104" i="7"/>
  <c r="I19" i="7"/>
  <c r="H83" i="7"/>
  <c r="I253" i="7"/>
  <c r="B124" i="7"/>
  <c r="H19" i="7"/>
  <c r="C182" i="7"/>
  <c r="E91" i="7"/>
  <c r="E80" i="7"/>
  <c r="F51" i="7"/>
  <c r="B118" i="7"/>
  <c r="I182" i="7"/>
  <c r="C61" i="7"/>
  <c r="F36" i="7"/>
  <c r="F134" i="7"/>
  <c r="B219" i="7"/>
  <c r="D62" i="7"/>
  <c r="D190" i="7"/>
  <c r="C258" i="7"/>
  <c r="D108" i="7"/>
  <c r="B24" i="7"/>
  <c r="I248" i="7"/>
  <c r="D134" i="7"/>
  <c r="I138" i="7"/>
  <c r="B154" i="7"/>
  <c r="H248" i="7"/>
  <c r="B167" i="7"/>
  <c r="I161" i="7"/>
  <c r="B88" i="7"/>
  <c r="D226" i="7"/>
  <c r="H219" i="7"/>
  <c r="I173" i="7"/>
  <c r="F69" i="7"/>
  <c r="B208" i="7"/>
  <c r="D232" i="7"/>
  <c r="E68" i="7"/>
  <c r="C109" i="7"/>
  <c r="E31" i="7"/>
  <c r="B52" i="7"/>
  <c r="C146" i="7"/>
  <c r="H215" i="7"/>
  <c r="I97" i="7"/>
  <c r="F107" i="7"/>
  <c r="D100" i="7"/>
  <c r="B245" i="7"/>
  <c r="I104" i="7"/>
  <c r="H57" i="7"/>
  <c r="B120" i="7"/>
  <c r="C107" i="7"/>
  <c r="C213" i="7"/>
  <c r="E72" i="7"/>
  <c r="I75" i="7"/>
  <c r="C62" i="7"/>
  <c r="C197" i="7"/>
  <c r="H148" i="7"/>
  <c r="C152" i="7"/>
  <c r="C27" i="7"/>
  <c r="H118" i="7"/>
  <c r="B47" i="7"/>
  <c r="H72" i="7"/>
  <c r="I43" i="7"/>
  <c r="D162" i="7"/>
  <c r="D123" i="7"/>
  <c r="E47" i="7"/>
  <c r="B180" i="7"/>
  <c r="D239" i="7"/>
  <c r="H53" i="7"/>
  <c r="I143" i="7"/>
  <c r="H158" i="7"/>
  <c r="C158" i="7"/>
  <c r="D210" i="7"/>
  <c r="I32" i="7"/>
  <c r="F64" i="7"/>
  <c r="H103" i="7"/>
  <c r="I76" i="7"/>
  <c r="I62" i="7"/>
  <c r="B97" i="7"/>
  <c r="C117" i="7"/>
  <c r="I134" i="7"/>
  <c r="I78" i="7"/>
  <c r="C44" i="7"/>
  <c r="B74" i="7"/>
  <c r="D98" i="7"/>
  <c r="C196" i="7"/>
  <c r="H236" i="7"/>
  <c r="I207" i="7"/>
  <c r="B83" i="7"/>
  <c r="C184" i="7"/>
  <c r="B240" i="7"/>
  <c r="D160" i="7"/>
  <c r="E108" i="7"/>
  <c r="D21" i="7"/>
  <c r="D228" i="7"/>
  <c r="B125" i="7"/>
  <c r="F133" i="7"/>
  <c r="D173" i="7"/>
  <c r="H252" i="7"/>
  <c r="I73" i="7"/>
  <c r="B182" i="7"/>
  <c r="F65" i="7"/>
  <c r="H157" i="7"/>
  <c r="H64" i="7"/>
  <c r="B23" i="7"/>
  <c r="H204" i="7"/>
  <c r="I80" i="7"/>
  <c r="D107" i="7"/>
  <c r="I246" i="7"/>
  <c r="C57" i="7"/>
  <c r="D187" i="7"/>
  <c r="E106" i="7"/>
  <c r="H175" i="7"/>
  <c r="H145" i="7"/>
  <c r="H149" i="7"/>
  <c r="I90" i="7"/>
  <c r="I132" i="7"/>
  <c r="D111" i="7"/>
  <c r="C207" i="7"/>
  <c r="D215" i="7"/>
  <c r="H209" i="7"/>
  <c r="C186" i="7"/>
  <c r="F127" i="7"/>
  <c r="F102" i="7"/>
  <c r="E53" i="7"/>
  <c r="D166" i="7"/>
  <c r="C63" i="7"/>
  <c r="D109" i="7"/>
  <c r="B35" i="7"/>
  <c r="H201" i="7"/>
  <c r="F42" i="7"/>
  <c r="H211" i="7"/>
  <c r="H152" i="7"/>
  <c r="H247" i="7"/>
  <c r="I42" i="7"/>
  <c r="F103" i="7"/>
  <c r="D143" i="7"/>
  <c r="E27" i="7"/>
  <c r="F61" i="7"/>
  <c r="C34" i="7"/>
  <c r="I142" i="7"/>
  <c r="D67" i="7"/>
  <c r="E122" i="7"/>
  <c r="B252" i="7"/>
  <c r="I157" i="7"/>
  <c r="F111" i="7"/>
  <c r="H46" i="7"/>
  <c r="C118" i="7"/>
  <c r="C231" i="7"/>
  <c r="B61" i="7"/>
  <c r="I52" i="7"/>
  <c r="E115" i="7"/>
  <c r="C257" i="7"/>
  <c r="D140" i="7"/>
  <c r="B38" i="7"/>
  <c r="B224" i="7"/>
  <c r="C133" i="7"/>
  <c r="D84" i="7"/>
  <c r="E87" i="7"/>
  <c r="D201" i="7"/>
  <c r="H138" i="7"/>
  <c r="C217" i="7"/>
  <c r="F119" i="7"/>
  <c r="D113" i="7"/>
  <c r="I41" i="7"/>
  <c r="H99" i="7"/>
  <c r="H187" i="7"/>
  <c r="C66" i="7"/>
  <c r="C121" i="7"/>
  <c r="D30" i="7"/>
  <c r="C168" i="7"/>
  <c r="B48" i="7"/>
  <c r="F97" i="7"/>
  <c r="E118" i="7"/>
  <c r="D188" i="7"/>
  <c r="H207" i="7"/>
  <c r="H27" i="7"/>
  <c r="C30" i="7"/>
  <c r="I135" i="7"/>
  <c r="E100" i="7"/>
  <c r="C112" i="7"/>
  <c r="H183" i="7"/>
  <c r="I136" i="7"/>
  <c r="C188" i="7"/>
  <c r="I119" i="7"/>
  <c r="H164" i="7"/>
  <c r="H94" i="7"/>
  <c r="I67" i="7"/>
  <c r="I213" i="7"/>
  <c r="C113" i="7"/>
  <c r="D237" i="7"/>
  <c r="E112" i="7"/>
  <c r="F57" i="7"/>
  <c r="I127" i="7"/>
  <c r="C210" i="7"/>
  <c r="I92" i="7"/>
  <c r="F83" i="7"/>
  <c r="D169" i="7"/>
  <c r="C163" i="7"/>
  <c r="E107" i="7"/>
  <c r="I100" i="7"/>
  <c r="C101" i="7"/>
  <c r="I68" i="7"/>
  <c r="B168" i="7"/>
  <c r="B141" i="7"/>
  <c r="C106" i="7"/>
  <c r="B244" i="7"/>
  <c r="D259" i="7"/>
  <c r="D150" i="7"/>
  <c r="E22" i="7"/>
  <c r="H190" i="7"/>
  <c r="H28" i="7"/>
  <c r="C92" i="7"/>
  <c r="H98" i="7"/>
  <c r="C224" i="7"/>
  <c r="C81" i="7"/>
  <c r="E24" i="7"/>
  <c r="B55" i="7"/>
  <c r="H137" i="7"/>
  <c r="D149" i="7"/>
  <c r="H174" i="7"/>
  <c r="H123" i="7"/>
  <c r="D80" i="7"/>
  <c r="H228" i="7"/>
  <c r="C59" i="7"/>
  <c r="H60" i="7"/>
  <c r="D164" i="7"/>
  <c r="I257" i="7"/>
  <c r="D235" i="7"/>
  <c r="F47" i="7"/>
  <c r="I254" i="7"/>
  <c r="B18" i="7"/>
  <c r="E120" i="7"/>
  <c r="B158" i="7"/>
  <c r="F62" i="7"/>
  <c r="D48" i="7"/>
  <c r="D257" i="7"/>
  <c r="D118" i="7"/>
  <c r="B33" i="7"/>
  <c r="E26" i="7"/>
  <c r="D224" i="7"/>
  <c r="B216" i="7"/>
  <c r="H70" i="7"/>
  <c r="D155" i="7"/>
  <c r="H129" i="7"/>
  <c r="D25" i="7"/>
  <c r="B163" i="7"/>
  <c r="B92" i="7"/>
  <c r="E134" i="7"/>
  <c r="F40" i="7"/>
  <c r="H230" i="7"/>
  <c r="B41" i="7"/>
  <c r="I234" i="7"/>
  <c r="D39" i="7"/>
  <c r="D135" i="7"/>
  <c r="H239" i="7"/>
  <c r="D249" i="7"/>
  <c r="H155" i="7"/>
  <c r="C142" i="7"/>
  <c r="D122" i="7"/>
  <c r="E114" i="7"/>
  <c r="B65" i="7"/>
  <c r="E130" i="7"/>
  <c r="I12" i="7"/>
  <c r="D115" i="7"/>
  <c r="D99" i="7"/>
  <c r="H238" i="7"/>
  <c r="C21" i="7"/>
  <c r="I30" i="7"/>
  <c r="I237" i="7"/>
  <c r="F38" i="7"/>
  <c r="E62" i="7"/>
  <c r="B213" i="7"/>
  <c r="D220" i="7"/>
  <c r="C24" i="7"/>
  <c r="D174" i="7"/>
  <c r="H243" i="7"/>
  <c r="B225" i="7"/>
  <c r="C194" i="7"/>
  <c r="B123" i="7"/>
  <c r="I231" i="7"/>
  <c r="D103" i="7"/>
  <c r="C246" i="7"/>
  <c r="I79" i="7"/>
  <c r="B195" i="7"/>
  <c r="F109" i="7"/>
  <c r="I159" i="7"/>
  <c r="C22" i="7"/>
  <c r="C120" i="7"/>
  <c r="C247" i="7"/>
  <c r="D19" i="7"/>
  <c r="H133" i="7"/>
  <c r="C33" i="7"/>
  <c r="D82" i="7"/>
  <c r="F132" i="7"/>
  <c r="D88" i="7"/>
  <c r="H50" i="7"/>
  <c r="B131" i="7"/>
  <c r="E67" i="7"/>
  <c r="B228" i="7"/>
  <c r="B113" i="7"/>
  <c r="B229" i="7"/>
  <c r="H38" i="7"/>
  <c r="C181" i="7"/>
  <c r="C193" i="7"/>
  <c r="F128" i="7"/>
  <c r="F67" i="7"/>
  <c r="F25" i="7"/>
  <c r="C145" i="7"/>
  <c r="D38" i="7"/>
  <c r="B236" i="7"/>
  <c r="D101" i="7"/>
  <c r="F23" i="7"/>
  <c r="D37" i="7"/>
  <c r="D58" i="7"/>
  <c r="D121" i="7"/>
  <c r="I181" i="7"/>
  <c r="H74" i="7"/>
  <c r="B146" i="7"/>
  <c r="C233" i="7"/>
  <c r="D234" i="7"/>
  <c r="B199" i="7"/>
  <c r="F52" i="7"/>
  <c r="C26" i="7"/>
  <c r="F48" i="7"/>
  <c r="E78" i="7"/>
  <c r="I47" i="7"/>
  <c r="E57" i="7"/>
  <c r="I27" i="7"/>
  <c r="H34" i="7"/>
  <c r="C206" i="7"/>
  <c r="I169" i="7"/>
  <c r="C86" i="7"/>
  <c r="C243" i="7"/>
  <c r="H210" i="7"/>
  <c r="C79" i="7"/>
  <c r="B27" i="7"/>
  <c r="I167" i="7"/>
  <c r="I183" i="7"/>
  <c r="I111" i="7"/>
  <c r="B116" i="7"/>
  <c r="E69" i="7"/>
  <c r="I59" i="7"/>
  <c r="H246" i="7"/>
  <c r="C32" i="7"/>
  <c r="I61" i="7"/>
  <c r="H30" i="7"/>
  <c r="F89" i="7"/>
  <c r="E133" i="7"/>
  <c r="H231" i="7"/>
  <c r="B227" i="7"/>
  <c r="I224" i="7"/>
  <c r="C151" i="7"/>
  <c r="D55" i="7"/>
  <c r="E77" i="7"/>
  <c r="H32" i="7"/>
  <c r="D31" i="7"/>
  <c r="C77" i="7"/>
  <c r="D219" i="7"/>
  <c r="I247" i="7"/>
  <c r="H142" i="7"/>
  <c r="D17" i="7"/>
  <c r="C234" i="7"/>
  <c r="B230" i="7"/>
  <c r="I154" i="7"/>
  <c r="C39" i="7"/>
  <c r="B179" i="7"/>
  <c r="C148" i="7"/>
  <c r="D52" i="7"/>
  <c r="I139" i="7"/>
  <c r="B43" i="7"/>
  <c r="E95" i="7"/>
  <c r="B73" i="7"/>
  <c r="H178" i="7"/>
  <c r="I196" i="7"/>
  <c r="D119" i="7"/>
  <c r="I145" i="7"/>
  <c r="C138" i="7"/>
  <c r="D158" i="7"/>
  <c r="D126" i="7"/>
  <c r="H179" i="7"/>
  <c r="B161" i="7"/>
  <c r="B251" i="7"/>
  <c r="I258" i="7"/>
  <c r="C69" i="7"/>
  <c r="F56" i="7"/>
  <c r="D204" i="7"/>
  <c r="C219" i="7"/>
  <c r="B134" i="7"/>
  <c r="I95" i="7"/>
  <c r="D196" i="7"/>
  <c r="I210" i="7"/>
  <c r="B32" i="7"/>
  <c r="H213" i="7"/>
  <c r="D231" i="7"/>
  <c r="C108" i="7"/>
  <c r="D129" i="7"/>
  <c r="H151" i="7"/>
  <c r="F105" i="7"/>
  <c r="I129" i="7"/>
  <c r="F108" i="7"/>
  <c r="B246" i="7"/>
  <c r="E125" i="7"/>
  <c r="C65" i="7"/>
  <c r="F91" i="7"/>
  <c r="I85" i="7"/>
  <c r="E104" i="7"/>
  <c r="C97" i="7"/>
  <c r="C180" i="7"/>
  <c r="F96" i="7"/>
  <c r="D195" i="7"/>
  <c r="D243" i="7"/>
  <c r="B147" i="7"/>
  <c r="B63" i="7"/>
  <c r="C209" i="7"/>
  <c r="C75" i="7"/>
  <c r="C143" i="7"/>
  <c r="D136" i="7"/>
  <c r="C255" i="7"/>
  <c r="F124" i="7"/>
  <c r="B223" i="7"/>
  <c r="H226" i="7"/>
  <c r="C203" i="7"/>
  <c r="D139" i="7"/>
  <c r="D146" i="7"/>
  <c r="H144" i="7"/>
  <c r="I225" i="7"/>
  <c r="D23" i="7"/>
  <c r="E131" i="7"/>
  <c r="I222" i="7"/>
  <c r="B226" i="7"/>
  <c r="C157" i="7"/>
  <c r="B191" i="7"/>
  <c r="I99" i="7"/>
  <c r="H217" i="7"/>
  <c r="B198" i="7"/>
  <c r="B175" i="7"/>
  <c r="E32" i="7"/>
  <c r="I16" i="7"/>
  <c r="C190" i="7"/>
  <c r="I179" i="7"/>
  <c r="B109" i="7"/>
  <c r="D248" i="7"/>
  <c r="C153" i="7"/>
  <c r="D57" i="7"/>
  <c r="C236" i="7"/>
  <c r="B249" i="7"/>
  <c r="B133" i="7"/>
  <c r="H135" i="7"/>
  <c r="B174" i="7"/>
  <c r="C116" i="7"/>
  <c r="D22" i="7"/>
  <c r="I123" i="7"/>
  <c r="H63" i="7"/>
  <c r="C176" i="7"/>
  <c r="C256" i="7"/>
  <c r="B156" i="7"/>
  <c r="D256" i="7"/>
  <c r="H101" i="7"/>
  <c r="I188" i="7"/>
  <c r="E98" i="7"/>
  <c r="D159" i="7"/>
  <c r="D41" i="7"/>
  <c r="I150" i="7"/>
  <c r="D151" i="7"/>
  <c r="B114" i="7"/>
  <c r="D147" i="7"/>
  <c r="F82" i="7"/>
  <c r="E90" i="7"/>
  <c r="B185" i="7"/>
  <c r="D59" i="7"/>
  <c r="I131" i="7"/>
  <c r="H116" i="7"/>
  <c r="I64" i="7"/>
  <c r="D176" i="7"/>
  <c r="I71" i="7"/>
  <c r="I74" i="7"/>
  <c r="H47" i="7"/>
  <c r="I144" i="7"/>
  <c r="H55" i="7"/>
  <c r="D172" i="7"/>
  <c r="B91" i="7"/>
  <c r="I232" i="7"/>
  <c r="E42" i="7"/>
  <c r="I200" i="7"/>
  <c r="C139" i="7"/>
  <c r="B157" i="7"/>
  <c r="B250" i="7"/>
  <c r="D102" i="7"/>
  <c r="F76" i="7"/>
  <c r="E84" i="7"/>
  <c r="C70" i="7"/>
  <c r="H73" i="7"/>
  <c r="H198" i="7"/>
  <c r="F59" i="7"/>
  <c r="H77" i="7"/>
  <c r="I241" i="7"/>
  <c r="B193" i="7"/>
  <c r="D68" i="7"/>
  <c r="D178" i="7"/>
  <c r="B40" i="7"/>
  <c r="I77" i="7"/>
  <c r="H68" i="7"/>
  <c r="H193" i="7"/>
  <c r="E70" i="7"/>
  <c r="I110" i="7"/>
  <c r="C215" i="7"/>
  <c r="C179" i="7"/>
  <c r="D202" i="7"/>
  <c r="D110" i="7"/>
  <c r="D53" i="7"/>
  <c r="B170" i="7"/>
  <c r="I168" i="7"/>
  <c r="B81" i="7"/>
  <c r="D144" i="7"/>
  <c r="D211" i="7"/>
  <c r="I158" i="7"/>
  <c r="B148" i="7"/>
  <c r="I93" i="7"/>
  <c r="H119" i="7"/>
  <c r="I174" i="7"/>
  <c r="C127" i="7"/>
  <c r="E56" i="7"/>
  <c r="E83" i="7"/>
  <c r="H180" i="7"/>
  <c r="F117" i="7"/>
  <c r="D251" i="7"/>
  <c r="H41" i="7"/>
  <c r="D183" i="7"/>
  <c r="C42" i="7"/>
  <c r="B127" i="7"/>
  <c r="D182" i="7"/>
  <c r="C220" i="7"/>
  <c r="B28" i="7"/>
  <c r="B126" i="7"/>
  <c r="D167" i="7"/>
  <c r="H90" i="7"/>
  <c r="I204" i="7"/>
  <c r="B200" i="7"/>
  <c r="H186" i="7"/>
  <c r="C110" i="7"/>
  <c r="C45" i="7"/>
  <c r="B149" i="7"/>
  <c r="E113" i="7"/>
  <c r="H227" i="7"/>
  <c r="I48" i="7"/>
  <c r="D114" i="7"/>
  <c r="B215" i="7"/>
  <c r="D163" i="7"/>
  <c r="B203" i="7"/>
  <c r="I202" i="7"/>
  <c r="I162" i="7"/>
  <c r="B66" i="7"/>
  <c r="B70" i="7"/>
  <c r="H205" i="7"/>
  <c r="B189" i="7"/>
  <c r="C94" i="7"/>
  <c r="H235" i="7"/>
  <c r="D106" i="7"/>
  <c r="D189" i="7"/>
  <c r="C141" i="7"/>
  <c r="H112" i="7"/>
  <c r="C50" i="7"/>
  <c r="H108" i="7"/>
  <c r="I18" i="7"/>
  <c r="B22" i="7"/>
  <c r="B159" i="7"/>
  <c r="B122" i="7"/>
  <c r="I112" i="7"/>
  <c r="B143" i="7"/>
  <c r="I115" i="7"/>
  <c r="H259" i="7"/>
  <c r="B241" i="7"/>
  <c r="F100" i="7"/>
  <c r="C189" i="7"/>
  <c r="H131" i="7"/>
  <c r="B19" i="7"/>
  <c r="E76" i="7"/>
  <c r="C72" i="7"/>
  <c r="E48" i="7"/>
  <c r="H141" i="7"/>
  <c r="E46" i="7"/>
  <c r="C232" i="7"/>
  <c r="I165" i="7"/>
  <c r="C205" i="7"/>
  <c r="I84" i="7"/>
  <c r="B207" i="7"/>
  <c r="E81" i="7"/>
  <c r="H139" i="7"/>
  <c r="I118" i="7"/>
  <c r="F22" i="7"/>
  <c r="I120" i="7"/>
  <c r="C135" i="7"/>
  <c r="H92" i="7"/>
  <c r="D168" i="7"/>
  <c r="H181" i="7"/>
  <c r="D244" i="7"/>
  <c r="I245" i="7"/>
  <c r="D95" i="7"/>
  <c r="F112" i="7"/>
  <c r="F88" i="7"/>
  <c r="D61" i="7"/>
  <c r="B71" i="7"/>
  <c r="B45" i="7"/>
  <c r="D117" i="7"/>
  <c r="B62" i="7"/>
  <c r="I251" i="7"/>
  <c r="I153" i="7"/>
  <c r="H199" i="7"/>
  <c r="C20" i="7"/>
  <c r="I226" i="7"/>
  <c r="H100" i="7"/>
  <c r="I58" i="7"/>
  <c r="I128" i="7"/>
  <c r="B160" i="7"/>
  <c r="H218" i="7"/>
  <c r="I29" i="7"/>
  <c r="D193" i="7"/>
  <c r="C105" i="7"/>
  <c r="I244" i="7"/>
  <c r="B248" i="7"/>
  <c r="C126" i="7"/>
  <c r="H128" i="7"/>
  <c r="D74" i="7"/>
  <c r="C60" i="7"/>
  <c r="F75" i="7"/>
  <c r="B165" i="7"/>
  <c r="H153" i="7"/>
  <c r="C214" i="7"/>
  <c r="I89" i="7"/>
  <c r="B102" i="7"/>
  <c r="C67" i="7"/>
  <c r="H40" i="7"/>
  <c r="I236" i="7"/>
  <c r="F84" i="7"/>
  <c r="H56" i="7"/>
  <c r="C28" i="7"/>
  <c r="B234" i="7"/>
  <c r="C238" i="7"/>
  <c r="I53" i="7"/>
  <c r="D148" i="7"/>
  <c r="C137" i="7"/>
  <c r="D72" i="7"/>
  <c r="C84" i="7"/>
  <c r="B101" i="7"/>
  <c r="D230" i="7"/>
  <c r="I24" i="7"/>
  <c r="D137" i="7"/>
  <c r="I17" i="7"/>
  <c r="H79" i="7"/>
  <c r="B237" i="7"/>
  <c r="E30" i="7"/>
  <c r="F30" i="7"/>
  <c r="D75" i="7"/>
  <c r="C237" i="7"/>
  <c r="D233" i="7"/>
  <c r="F27" i="7"/>
  <c r="I171" i="7"/>
  <c r="B34" i="7"/>
  <c r="I56" i="7"/>
  <c r="B187" i="7"/>
  <c r="B238" i="7"/>
  <c r="I106" i="7"/>
  <c r="H162" i="7"/>
  <c r="I249" i="7"/>
  <c r="C40" i="7"/>
  <c r="I229" i="7"/>
  <c r="D36" i="7"/>
  <c r="B181" i="7"/>
  <c r="F21" i="7"/>
  <c r="I31" i="7"/>
  <c r="B60" i="7"/>
  <c r="H196" i="7"/>
  <c r="D198" i="7"/>
  <c r="D93" i="7"/>
  <c r="F87" i="7"/>
  <c r="B77" i="7"/>
  <c r="H66" i="7"/>
  <c r="B44" i="7"/>
  <c r="C165" i="7"/>
  <c r="D218" i="7"/>
  <c r="D247" i="7"/>
  <c r="D132" i="7"/>
  <c r="I103" i="7"/>
  <c r="F43" i="7"/>
  <c r="H42" i="7"/>
  <c r="F121" i="7"/>
  <c r="D184" i="7"/>
  <c r="H120" i="7"/>
  <c r="C78" i="7"/>
  <c r="F122" i="7"/>
  <c r="E52" i="7"/>
  <c r="H65" i="7"/>
  <c r="B119" i="7"/>
  <c r="H146" i="7"/>
  <c r="I187" i="7"/>
  <c r="D92" i="7"/>
  <c r="B231" i="7"/>
  <c r="D127" i="7"/>
  <c r="B78" i="7"/>
  <c r="E54" i="7"/>
  <c r="D91" i="7"/>
  <c r="C187" i="7"/>
  <c r="B256" i="7"/>
  <c r="I102" i="7"/>
  <c r="H223" i="7"/>
  <c r="H169" i="7"/>
  <c r="I227" i="7"/>
  <c r="H86" i="7"/>
  <c r="I191" i="7"/>
  <c r="C31" i="7"/>
  <c r="C221" i="7"/>
  <c r="H202" i="7"/>
  <c r="C125" i="7"/>
  <c r="I178" i="7"/>
  <c r="D254" i="7"/>
  <c r="I40" i="7"/>
  <c r="E97" i="7"/>
  <c r="H95" i="7"/>
  <c r="H29" i="7"/>
  <c r="D186" i="7"/>
  <c r="B37" i="7"/>
  <c r="C192" i="7"/>
  <c r="I195" i="7"/>
  <c r="I54" i="7"/>
  <c r="F101" i="7"/>
  <c r="B242" i="7"/>
  <c r="B82" i="7"/>
  <c r="I190" i="7"/>
  <c r="D216" i="7"/>
  <c r="F20" i="7"/>
  <c r="H21" i="7"/>
  <c r="D60" i="7"/>
  <c r="F104" i="7"/>
  <c r="D253" i="7"/>
  <c r="B107" i="7"/>
  <c r="C240" i="7"/>
  <c r="C71" i="7"/>
  <c r="E74" i="7"/>
  <c r="H35" i="7"/>
  <c r="F116" i="7"/>
  <c r="F44" i="7"/>
  <c r="I57" i="7"/>
  <c r="C249" i="7"/>
  <c r="H80" i="7"/>
  <c r="B173" i="7"/>
  <c r="E59" i="7"/>
  <c r="F95" i="7"/>
  <c r="B166" i="7"/>
  <c r="F53" i="7"/>
  <c r="I72" i="7"/>
  <c r="H62" i="7"/>
  <c r="D170" i="7"/>
  <c r="C83" i="7"/>
  <c r="I189" i="7"/>
  <c r="D200" i="7"/>
  <c r="D85" i="7"/>
  <c r="B46" i="7"/>
  <c r="C85" i="7"/>
  <c r="E18" i="7"/>
  <c r="H33" i="7"/>
  <c r="C198" i="7"/>
  <c r="D70" i="7"/>
  <c r="C195" i="7"/>
  <c r="D40" i="7"/>
  <c r="H93" i="7"/>
  <c r="D34" i="7"/>
  <c r="B144" i="7"/>
  <c r="F26" i="7"/>
  <c r="D222" i="7"/>
  <c r="H206" i="7"/>
  <c r="B20" i="7"/>
  <c r="E121" i="7"/>
  <c r="H170" i="7"/>
  <c r="D69" i="7"/>
  <c r="D18" i="7"/>
  <c r="E37" i="7"/>
  <c r="E63" i="7"/>
  <c r="B162" i="7"/>
  <c r="I250" i="7"/>
  <c r="H251" i="7"/>
  <c r="D223" i="7"/>
  <c r="F58" i="7"/>
  <c r="C115" i="7"/>
  <c r="I206" i="7"/>
  <c r="I238" i="7"/>
  <c r="B117" i="7"/>
  <c r="I25" i="7"/>
  <c r="D27" i="7"/>
  <c r="C23" i="7"/>
  <c r="C251" i="7"/>
  <c r="I146" i="7"/>
  <c r="C17" i="7"/>
  <c r="B58" i="7"/>
  <c r="I37" i="7"/>
  <c r="H221" i="7"/>
  <c r="I109" i="7"/>
  <c r="B235" i="7"/>
  <c r="F114" i="7"/>
  <c r="B115" i="7"/>
  <c r="H105" i="7"/>
  <c r="I218" i="7"/>
  <c r="C200" i="7"/>
  <c r="D205" i="7"/>
  <c r="E132" i="7"/>
  <c r="D175" i="7"/>
  <c r="I69" i="7"/>
  <c r="C175" i="7"/>
  <c r="H188" i="7"/>
  <c r="I166" i="7"/>
  <c r="B253" i="7"/>
  <c r="B169" i="7"/>
  <c r="I46" i="7"/>
  <c r="I22" i="7"/>
  <c r="F72" i="7"/>
  <c r="B197" i="7"/>
  <c r="H237" i="7"/>
  <c r="E129" i="7"/>
  <c r="I26" i="7"/>
  <c r="I116" i="7"/>
  <c r="I33" i="7"/>
  <c r="I28" i="7"/>
  <c r="D66" i="7"/>
  <c r="H172" i="7"/>
  <c r="B136" i="7"/>
  <c r="F46" i="7"/>
  <c r="D238" i="7"/>
  <c r="B254" i="7"/>
  <c r="E111" i="7"/>
  <c r="B57" i="7"/>
  <c r="I214" i="7"/>
  <c r="H224" i="7"/>
  <c r="B29" i="7"/>
  <c r="D51" i="7"/>
  <c r="C58" i="7"/>
  <c r="C80" i="7"/>
  <c r="B31" i="7"/>
  <c r="B26" i="7"/>
  <c r="C37" i="7"/>
  <c r="C98" i="7"/>
  <c r="F80" i="7"/>
  <c r="D157" i="7"/>
  <c r="E44" i="7"/>
  <c r="H195" i="7"/>
  <c r="B196" i="7"/>
  <c r="B68" i="7"/>
  <c r="I177" i="7"/>
  <c r="I205" i="7"/>
  <c r="H78" i="7"/>
  <c r="I70" i="7"/>
  <c r="E36" i="7"/>
  <c r="E51" i="7"/>
  <c r="F126" i="7"/>
  <c r="C54" i="7"/>
  <c r="I35" i="7"/>
  <c r="H173" i="7"/>
  <c r="B72" i="7"/>
  <c r="B51" i="7"/>
  <c r="D250" i="7"/>
  <c r="C128" i="7"/>
  <c r="E17" i="7"/>
  <c r="C122" i="7"/>
  <c r="C150" i="7"/>
  <c r="H250" i="7"/>
  <c r="H37" i="7"/>
  <c r="D78" i="7"/>
  <c r="D28" i="7"/>
  <c r="H232" i="7"/>
  <c r="I211" i="7"/>
  <c r="D240" i="7"/>
  <c r="I203" i="7"/>
  <c r="E64" i="7"/>
  <c r="C147" i="7"/>
  <c r="I13" i="7"/>
  <c r="I14" i="7"/>
  <c r="I194" i="7"/>
  <c r="I242" i="7"/>
  <c r="E61" i="7"/>
  <c r="H184" i="7"/>
  <c r="I36" i="7"/>
  <c r="E45" i="7"/>
  <c r="D177" i="7"/>
  <c r="C228" i="7"/>
  <c r="F73" i="7"/>
  <c r="B137" i="7"/>
  <c r="H61" i="7"/>
  <c r="D56" i="7"/>
  <c r="H88" i="7"/>
  <c r="C129" i="7"/>
  <c r="H96" i="7"/>
  <c r="E25" i="7"/>
  <c r="H156" i="7"/>
  <c r="B85" i="7"/>
  <c r="H117" i="7"/>
  <c r="F86" i="7"/>
  <c r="B104" i="7"/>
  <c r="C56" i="7"/>
  <c r="B184" i="7"/>
  <c r="H17" i="7"/>
  <c r="B201" i="7"/>
  <c r="D130" i="7"/>
  <c r="E55" i="7"/>
  <c r="E73" i="7"/>
  <c r="I108" i="7"/>
  <c r="D76" i="7"/>
  <c r="H159" i="7"/>
  <c r="D208" i="7"/>
  <c r="E105" i="7"/>
  <c r="H134" i="7"/>
  <c r="I23" i="7"/>
  <c r="H82" i="7"/>
  <c r="D42" i="7"/>
  <c r="C93" i="7"/>
  <c r="H191" i="7"/>
  <c r="C130" i="7"/>
  <c r="F29" i="7"/>
  <c r="B151" i="7"/>
  <c r="H189" i="7"/>
  <c r="B59" i="7"/>
  <c r="E88" i="7"/>
  <c r="D120" i="7"/>
  <c r="H69" i="7"/>
  <c r="C102" i="7"/>
  <c r="C43" i="7"/>
  <c r="D79" i="7"/>
  <c r="H166" i="7"/>
  <c r="C167" i="7"/>
  <c r="H194" i="7"/>
  <c r="H253" i="7"/>
  <c r="D145" i="7"/>
  <c r="B121" i="7"/>
  <c r="C229" i="7"/>
  <c r="E50" i="7"/>
  <c r="D179" i="7"/>
  <c r="B86" i="7"/>
  <c r="B150" i="7"/>
  <c r="E96" i="7"/>
  <c r="I186" i="7"/>
  <c r="D124" i="7"/>
  <c r="H104" i="7"/>
  <c r="H176" i="7"/>
  <c r="B132" i="7"/>
  <c r="I184" i="7"/>
  <c r="H233" i="7"/>
  <c r="I38" i="7"/>
  <c r="C253" i="7"/>
  <c r="B50" i="7"/>
  <c r="C76" i="7"/>
  <c r="F33" i="7"/>
  <c r="H71" i="7"/>
  <c r="D153" i="7"/>
  <c r="B214" i="7"/>
  <c r="I20" i="7"/>
  <c r="I160" i="7"/>
  <c r="I170" i="7"/>
  <c r="C223" i="7"/>
  <c r="C89" i="7"/>
  <c r="B96" i="7"/>
  <c r="C134" i="7"/>
  <c r="H136" i="7"/>
  <c r="H214" i="7"/>
  <c r="I50" i="7"/>
  <c r="C162" i="7"/>
  <c r="I228" i="7"/>
  <c r="C91" i="7"/>
  <c r="C64" i="7"/>
  <c r="E38" i="7"/>
  <c r="D131" i="7"/>
  <c r="H36" i="7"/>
  <c r="H23" i="7"/>
  <c r="I39" i="7"/>
  <c r="D50" i="7"/>
  <c r="H85" i="7"/>
  <c r="B100" i="7"/>
  <c r="C90" i="7"/>
  <c r="H115" i="7"/>
  <c r="I141" i="7"/>
  <c r="F70" i="7"/>
  <c r="F50" i="7"/>
  <c r="D194" i="7"/>
  <c r="I60" i="7"/>
  <c r="C172" i="7"/>
  <c r="H97" i="7"/>
  <c r="H109" i="7"/>
  <c r="D12" i="7"/>
  <c r="I88" i="7"/>
  <c r="B111" i="7"/>
  <c r="B176" i="7"/>
  <c r="H249" i="7"/>
  <c r="I124" i="7"/>
  <c r="C100" i="7"/>
  <c r="I45" i="7"/>
  <c r="I220" i="7"/>
  <c r="C140" i="7"/>
  <c r="B139" i="7"/>
  <c r="F68" i="7"/>
  <c r="H126" i="7"/>
  <c r="I140" i="7"/>
  <c r="F98" i="7"/>
  <c r="D203" i="7"/>
  <c r="F94" i="7"/>
  <c r="F66" i="7"/>
  <c r="I65" i="7"/>
  <c r="F120" i="7"/>
  <c r="E23" i="7"/>
  <c r="B206" i="7"/>
  <c r="B164" i="7"/>
  <c r="D156" i="7"/>
  <c r="I137" i="7"/>
  <c r="I152" i="7"/>
  <c r="D20" i="7"/>
  <c r="B76" i="7"/>
  <c r="H51" i="7"/>
  <c r="I83" i="7"/>
  <c r="F78" i="7"/>
  <c r="E21" i="7"/>
  <c r="B67" i="7"/>
  <c r="C87" i="7"/>
  <c r="I133" i="7"/>
  <c r="C201" i="7"/>
  <c r="H245" i="7"/>
  <c r="I259" i="7"/>
  <c r="B30" i="7"/>
  <c r="I217" i="7"/>
  <c r="H49" i="7"/>
  <c r="F93" i="7"/>
  <c r="C211" i="7"/>
  <c r="I51" i="7"/>
  <c r="D133" i="7"/>
  <c r="D138" i="7"/>
  <c r="C35" i="7"/>
  <c r="E28" i="7"/>
  <c r="D116" i="7"/>
  <c r="H43" i="7"/>
  <c r="B80" i="7"/>
  <c r="B243" i="7"/>
  <c r="B39" i="7"/>
  <c r="C160" i="7"/>
  <c r="D54" i="7"/>
  <c r="D63" i="7"/>
  <c r="I87" i="7"/>
  <c r="H87" i="7"/>
  <c r="E20" i="7"/>
  <c r="I192" i="7"/>
  <c r="H165" i="7"/>
  <c r="E124" i="7"/>
  <c r="C88" i="7"/>
  <c r="I11" i="7"/>
  <c r="H150" i="7"/>
  <c r="B17" i="7"/>
  <c r="B36" i="7"/>
  <c r="H168" i="7"/>
  <c r="H81" i="7"/>
  <c r="C177" i="7"/>
  <c r="B218" i="7"/>
  <c r="I255" i="7"/>
  <c r="B222" i="7"/>
  <c r="H91" i="7"/>
  <c r="H124" i="7"/>
  <c r="D212" i="7"/>
  <c r="B210" i="7"/>
  <c r="D104" i="7"/>
  <c r="H122" i="7"/>
  <c r="E39" i="7"/>
  <c r="D245" i="7"/>
  <c r="F31" i="7"/>
  <c r="B64" i="7"/>
  <c r="C19" i="7"/>
  <c r="B155" i="7"/>
  <c r="C99" i="7"/>
  <c r="F130" i="7"/>
  <c r="I175" i="7"/>
  <c r="D45" i="7"/>
  <c r="H102" i="7"/>
  <c r="H75" i="7"/>
  <c r="F123" i="7"/>
  <c r="C226" i="7"/>
  <c r="I91" i="7"/>
  <c r="I126" i="7"/>
  <c r="F81" i="7"/>
  <c r="D128" i="7"/>
  <c r="I219" i="7"/>
  <c r="B94" i="7"/>
  <c r="H200" i="7"/>
  <c r="B42" i="7"/>
  <c r="D29" i="7"/>
  <c r="B194" i="7"/>
  <c r="H140" i="7"/>
  <c r="D65" i="7"/>
  <c r="D227" i="7"/>
  <c r="E101" i="7"/>
  <c r="B108" i="7"/>
  <c r="I243" i="7"/>
  <c r="B239" i="7"/>
  <c r="C227" i="7"/>
  <c r="I223" i="7"/>
  <c r="F19" i="7"/>
  <c r="H258" i="7"/>
  <c r="H76" i="7"/>
  <c r="I212" i="7"/>
  <c r="I63" i="7"/>
  <c r="B21" i="7"/>
  <c r="D191" i="7"/>
  <c r="H18" i="7"/>
  <c r="C204" i="7"/>
  <c r="C49" i="7"/>
  <c r="B233" i="7"/>
  <c r="I233" i="7"/>
  <c r="E99" i="7"/>
  <c r="B95" i="7"/>
  <c r="B128" i="7"/>
  <c r="H163" i="7"/>
  <c r="F32" i="7"/>
  <c r="D241" i="7"/>
  <c r="C103" i="7"/>
  <c r="C132" i="7"/>
  <c r="C38" i="7"/>
  <c r="I198" i="7"/>
  <c r="F131" i="7"/>
  <c r="F129" i="7"/>
  <c r="D33" i="7"/>
  <c r="D185" i="7"/>
  <c r="F63" i="7"/>
  <c r="H121" i="7"/>
  <c r="C124" i="7"/>
  <c r="B130" i="7"/>
  <c r="F49" i="7"/>
  <c r="D125" i="7"/>
  <c r="H167" i="7"/>
  <c r="D32" i="7"/>
  <c r="B54" i="7"/>
  <c r="F34" i="7"/>
  <c r="H254" i="7"/>
  <c r="I55" i="7"/>
  <c r="I105" i="7"/>
  <c r="D225" i="7"/>
  <c r="D152" i="7"/>
  <c r="C131" i="7"/>
  <c r="B190" i="7"/>
  <c r="E126" i="7"/>
  <c r="C239" i="7"/>
  <c r="H59" i="7"/>
  <c r="C74" i="7"/>
  <c r="C183" i="7"/>
  <c r="I151" i="7"/>
  <c r="I66" i="7"/>
  <c r="H26" i="7"/>
  <c r="D24" i="7"/>
  <c r="C96" i="7"/>
  <c r="B142" i="7"/>
  <c r="F55" i="7"/>
  <c r="D214" i="7"/>
  <c r="D258" i="7"/>
  <c r="H67" i="7"/>
  <c r="B204" i="7"/>
  <c r="B192" i="7"/>
  <c r="B90" i="7"/>
  <c r="H39" i="7"/>
  <c r="I193" i="7"/>
  <c r="H45" i="7"/>
  <c r="I15" i="7"/>
  <c r="B171" i="7"/>
  <c r="E119" i="7"/>
  <c r="C123" i="7"/>
  <c r="I122" i="7"/>
  <c r="H125" i="7"/>
  <c r="B209" i="7"/>
  <c r="C47" i="7"/>
  <c r="C119" i="7"/>
  <c r="F24" i="7"/>
  <c r="H257" i="7"/>
  <c r="C156" i="7"/>
  <c r="E128" i="7"/>
  <c r="E29" i="7"/>
  <c r="I114" i="7"/>
  <c r="B93" i="7"/>
  <c r="B247" i="7"/>
  <c r="I172" i="7"/>
  <c r="E127" i="7"/>
  <c r="B110" i="7"/>
  <c r="B69" i="7"/>
  <c r="E49" i="7"/>
  <c r="C169" i="7"/>
  <c r="F45" i="7"/>
  <c r="C178" i="7"/>
  <c r="B105" i="7"/>
  <c r="C241" i="7"/>
  <c r="F113" i="7"/>
  <c r="C55" i="7"/>
  <c r="D221" i="7"/>
  <c r="H58" i="7"/>
  <c r="I156" i="7"/>
  <c r="B257" i="7"/>
  <c r="D81" i="7"/>
  <c r="D192" i="7"/>
  <c r="D77" i="7"/>
  <c r="C259" i="7"/>
  <c r="D209" i="7"/>
  <c r="C248" i="7"/>
  <c r="I208" i="7"/>
  <c r="H197" i="7"/>
  <c r="B53" i="7"/>
  <c r="I235" i="7"/>
  <c r="C48" i="7"/>
  <c r="B140" i="7"/>
  <c r="I121" i="7"/>
  <c r="H185" i="7"/>
  <c r="C235" i="7"/>
  <c r="C36" i="7"/>
  <c r="H256" i="7"/>
  <c r="D141" i="7"/>
  <c r="I44" i="7"/>
  <c r="C161" i="7"/>
  <c r="E89" i="7"/>
  <c r="I107" i="7"/>
  <c r="D252" i="7"/>
  <c r="I239" i="7"/>
  <c r="F125" i="7"/>
  <c r="B183" i="7"/>
  <c r="E66" i="7"/>
  <c r="D161" i="7"/>
  <c r="D35" i="7"/>
  <c r="I113" i="7"/>
  <c r="H171" i="7"/>
  <c r="I201" i="7"/>
  <c r="C25" i="7"/>
  <c r="F77" i="7"/>
  <c r="H48" i="7"/>
  <c r="D47" i="7"/>
  <c r="C250" i="7"/>
  <c r="C73" i="7"/>
  <c r="D142" i="7"/>
  <c r="F71" i="7"/>
  <c r="I240" i="7"/>
  <c r="D171" i="7"/>
  <c r="C68" i="7"/>
  <c r="H242" i="7"/>
  <c r="I252" i="7"/>
  <c r="C46" i="7"/>
  <c r="C173" i="7"/>
  <c r="D71" i="7"/>
  <c r="E43" i="7"/>
  <c r="F28" i="7"/>
  <c r="C166" i="7"/>
  <c r="B103" i="7"/>
  <c r="H229" i="7"/>
  <c r="D165" i="7"/>
  <c r="F90" i="7"/>
  <c r="C136" i="7"/>
  <c r="E103" i="7"/>
  <c r="D199" i="7"/>
  <c r="H114" i="7"/>
  <c r="D180" i="7"/>
  <c r="H44" i="7"/>
  <c r="C18" i="7"/>
  <c r="C252" i="7"/>
  <c r="D229" i="7"/>
  <c r="C95" i="7"/>
  <c r="H143" i="7"/>
  <c r="C242" i="7"/>
  <c r="H255" i="7"/>
  <c r="I199" i="7"/>
  <c r="H192" i="7"/>
  <c r="C41" i="7"/>
  <c r="D112" i="7"/>
  <c r="E123" i="7"/>
  <c r="C244" i="7"/>
  <c r="I98" i="7"/>
  <c r="H84" i="7"/>
  <c r="E94" i="7"/>
  <c r="B89" i="7"/>
  <c r="F106" i="7"/>
  <c r="C174" i="7"/>
  <c r="I34" i="7"/>
  <c r="B211" i="7"/>
  <c r="E86" i="7"/>
  <c r="F39" i="7"/>
  <c r="C202" i="7"/>
  <c r="E58" i="7"/>
  <c r="B99" i="7"/>
  <c r="C216" i="7"/>
  <c r="B258" i="7"/>
  <c r="C82" i="7"/>
  <c r="B87" i="7"/>
  <c r="C51" i="7"/>
  <c r="H130" i="7"/>
  <c r="B153" i="7"/>
  <c r="H244" i="7"/>
  <c r="B186" i="7"/>
  <c r="I81" i="7"/>
  <c r="E102" i="7"/>
  <c r="B202" i="7"/>
  <c r="B98" i="7"/>
  <c r="B177" i="7"/>
  <c r="E75" i="7"/>
  <c r="B255" i="7"/>
  <c r="I176" i="7"/>
  <c r="D197" i="7"/>
  <c r="D44" i="7"/>
  <c r="C144" i="7"/>
  <c r="I216" i="7"/>
  <c r="C53" i="7"/>
  <c r="H25" i="7"/>
  <c r="B135" i="7"/>
  <c r="C164" i="7"/>
  <c r="H182" i="7"/>
  <c r="B259" i="7"/>
  <c r="I147" i="7"/>
  <c r="H111" i="7"/>
  <c r="F99" i="7"/>
  <c r="B79" i="7"/>
  <c r="I256" i="7"/>
  <c r="D105" i="7"/>
  <c r="C230" i="7"/>
  <c r="H132" i="7"/>
  <c r="C111" i="7"/>
  <c r="I185" i="7"/>
  <c r="H222" i="7"/>
  <c r="I163" i="7"/>
  <c r="D97" i="7"/>
  <c r="E34" i="7"/>
  <c r="D86" i="7"/>
  <c r="D242" i="7"/>
  <c r="E65" i="7"/>
  <c r="F54" i="7"/>
  <c r="H31" i="7"/>
  <c r="E92" i="7"/>
  <c r="D83" i="7"/>
  <c r="C212" i="7"/>
  <c r="B205" i="7"/>
  <c r="H220" i="7"/>
  <c r="D207" i="7"/>
  <c r="E40" i="7"/>
  <c r="C199" i="7"/>
  <c r="H203" i="7"/>
  <c r="E33" i="7"/>
  <c r="C222" i="7"/>
  <c r="D255" i="7"/>
  <c r="E79" i="7"/>
  <c r="H107" i="7"/>
  <c r="H208" i="7"/>
  <c r="H106" i="7"/>
  <c r="B152" i="7"/>
  <c r="C208" i="7"/>
  <c r="B84" i="7"/>
  <c r="I117" i="7"/>
  <c r="H225" i="7"/>
  <c r="H54" i="7"/>
  <c r="H24" i="7"/>
  <c r="C171" i="7"/>
  <c r="I96" i="7"/>
  <c r="D213" i="7"/>
  <c r="C218" i="7"/>
  <c r="C245" i="7"/>
  <c r="E82" i="7"/>
  <c r="I180" i="7"/>
  <c r="H20" i="7"/>
  <c r="B217" i="7"/>
  <c r="D64" i="7"/>
  <c r="B221" i="7"/>
  <c r="C29" i="7"/>
  <c r="H212" i="7"/>
  <c r="D206" i="7"/>
  <c r="B106" i="7"/>
  <c r="C159" i="7"/>
  <c r="I125" i="7"/>
  <c r="E19" i="7"/>
  <c r="H216" i="7"/>
  <c r="I209" i="7"/>
  <c r="E109" i="7"/>
  <c r="C191" i="7"/>
  <c r="D217" i="7"/>
  <c r="D46" i="7"/>
  <c r="F37" i="7"/>
  <c r="D89" i="7"/>
  <c r="C185" i="7"/>
  <c r="H154" i="7"/>
  <c r="I197" i="7"/>
  <c r="F74" i="7"/>
  <c r="I149" i="7"/>
  <c r="I101" i="7"/>
  <c r="D73" i="7"/>
  <c r="I21" i="7"/>
  <c r="H240" i="7"/>
  <c r="B188" i="7"/>
  <c r="I230" i="7"/>
  <c r="E41" i="7"/>
  <c r="D43" i="7"/>
  <c r="C225" i="7"/>
  <c r="D246" i="7"/>
  <c r="H52" i="7"/>
  <c r="H110" i="7"/>
  <c r="H22" i="7"/>
  <c r="H161" i="7"/>
  <c r="F41" i="7"/>
  <c r="C170" i="7"/>
  <c r="B178" i="7"/>
  <c r="B112" i="7"/>
  <c r="F115" i="7"/>
  <c r="F18" i="7"/>
  <c r="H113" i="7"/>
  <c r="C52" i="7"/>
  <c r="H177" i="7"/>
  <c r="D90" i="7"/>
  <c r="H147" i="7"/>
  <c r="C149" i="7"/>
  <c r="D26" i="7"/>
  <c r="E117" i="7"/>
  <c r="H241" i="7"/>
  <c r="H89" i="7"/>
  <c r="C254" i="7"/>
  <c r="E116" i="7"/>
  <c r="C154" i="7"/>
  <c r="F118" i="7"/>
  <c r="B75" i="7"/>
  <c r="B138" i="7"/>
  <c r="I130" i="7"/>
  <c r="B25" i="7"/>
  <c r="B56" i="7"/>
  <c r="H127" i="7"/>
  <c r="B49" i="7"/>
  <c r="D181" i="7"/>
  <c r="I164" i="7"/>
  <c r="F92" i="7"/>
  <c r="E71" i="7"/>
  <c r="F17" i="7"/>
  <c r="B145" i="7"/>
  <c r="B220" i="7"/>
  <c r="D96" i="7"/>
  <c r="F189" i="7" l="1" a="1"/>
  <c r="F296" i="7" a="1"/>
  <c r="D282" i="7" a="1"/>
  <c r="F277" i="7" a="1"/>
  <c r="E185" i="7" a="1"/>
  <c r="F164" i="7" a="1"/>
  <c r="I266" i="7" a="1"/>
  <c r="D273" i="7" a="1"/>
  <c r="H279" i="7" a="1"/>
  <c r="F187" i="7" a="1"/>
  <c r="I292" i="7" a="1"/>
  <c r="F222" i="7" a="1"/>
  <c r="E110" i="7" a="1"/>
  <c r="F226" i="7" a="1"/>
  <c r="B290" i="7" a="1"/>
  <c r="E194" i="7" a="1"/>
  <c r="E158" i="7" a="1"/>
  <c r="I284" i="7" a="1"/>
  <c r="D288" i="7" a="1"/>
  <c r="B277" i="7" a="1"/>
  <c r="H277" i="7" a="1"/>
  <c r="E60" i="7" a="1"/>
  <c r="F149" i="7" a="1"/>
  <c r="H4" i="7" a="1"/>
  <c r="D262" i="7" a="1"/>
  <c r="C5" i="7" a="1"/>
  <c r="F182" i="7" a="1"/>
  <c r="E243" i="7" a="1"/>
  <c r="E4" i="7" a="1"/>
  <c r="I283" i="7" a="1"/>
  <c r="E265" i="7" a="1"/>
  <c r="F284" i="7" a="1"/>
  <c r="F198" i="7" a="1"/>
  <c r="F279" i="7" a="1"/>
  <c r="E173" i="7" a="1"/>
  <c r="C296" i="7" a="1"/>
  <c r="E287" i="7" a="1"/>
  <c r="E153" i="7" a="1"/>
  <c r="F272" i="7" a="1"/>
  <c r="E5" i="7" a="1"/>
  <c r="F280" i="7" a="1"/>
  <c r="F223" i="7" a="1"/>
  <c r="I269" i="7" a="1"/>
  <c r="B273" i="7" a="1"/>
  <c r="E300" i="7" a="1"/>
  <c r="F230" i="7" a="1"/>
  <c r="H276" i="7" a="1"/>
  <c r="F6" i="7" a="1"/>
  <c r="I273" i="7" a="1"/>
  <c r="E189" i="7" a="1"/>
  <c r="B6" i="7" a="1"/>
  <c r="E297" i="7" a="1"/>
  <c r="I270" i="7" a="1"/>
  <c r="H286" i="7" a="1"/>
  <c r="D265" i="7" a="1"/>
  <c r="H2" i="7" a="1"/>
  <c r="E251" i="7" a="1"/>
  <c r="C277" i="7" a="1"/>
  <c r="F152" i="7" a="1"/>
  <c r="C298" i="7" a="1"/>
  <c r="E151" i="7" a="1"/>
  <c r="H275" i="7" a="1"/>
  <c r="F193" i="7" a="1"/>
  <c r="E222" i="7" a="1"/>
  <c r="D294" i="7" a="1"/>
  <c r="B280" i="7" a="1"/>
  <c r="F199" i="7" a="1"/>
  <c r="B4" i="7" a="1"/>
  <c r="F239" i="7" a="1"/>
  <c r="E221" i="7" a="1"/>
  <c r="I294" i="7" a="1"/>
  <c r="C281" i="7" a="1"/>
  <c r="E179" i="7" a="1"/>
  <c r="E263" i="7" a="1"/>
  <c r="E156" i="7" a="1"/>
  <c r="F157" i="7" a="1"/>
  <c r="F252" i="7" a="1"/>
  <c r="E211" i="7" a="1"/>
  <c r="D297" i="7" a="1"/>
  <c r="F141" i="7" a="1"/>
  <c r="E182" i="7" a="1"/>
  <c r="F295" i="7" a="1"/>
  <c r="H300" i="7" a="1"/>
  <c r="B266" i="7" a="1"/>
  <c r="E208" i="7" a="1"/>
  <c r="E253" i="7" a="1"/>
  <c r="F216" i="7" a="1"/>
  <c r="E261" i="7" a="1"/>
  <c r="F275" i="7" a="1"/>
  <c r="H293" i="7" a="1"/>
  <c r="F233" i="7" a="1"/>
  <c r="I279" i="7" a="1"/>
  <c r="E279" i="7" a="1"/>
  <c r="E175" i="7" a="1"/>
  <c r="F138" i="7" a="1"/>
  <c r="E237" i="7" a="1"/>
  <c r="F297" i="7" a="1"/>
  <c r="E295" i="7" a="1"/>
  <c r="E147" i="7" a="1"/>
  <c r="F228" i="7" a="1"/>
  <c r="I6" i="7" a="1"/>
  <c r="E6" i="7" a="1"/>
  <c r="F212" i="7" a="1"/>
  <c r="E159" i="7" a="1"/>
  <c r="F256" i="7" a="1"/>
  <c r="E180" i="7" a="1"/>
  <c r="E272" i="7" a="1"/>
  <c r="F263" i="7" a="1"/>
  <c r="D285" i="7" a="1"/>
  <c r="F142" i="7" a="1"/>
  <c r="E252" i="7" a="1"/>
  <c r="D298" i="7" a="1"/>
  <c r="H282" i="7" a="1"/>
  <c r="E209" i="7" a="1"/>
  <c r="F271" i="7" a="1"/>
  <c r="F300" i="7" a="1"/>
  <c r="B299" i="7" a="1"/>
  <c r="B270" i="7" a="1"/>
  <c r="D269" i="7" a="1"/>
  <c r="I4" i="7" a="1"/>
  <c r="F267" i="7" a="1"/>
  <c r="H270" i="7" a="1"/>
  <c r="E135" i="7" a="1"/>
  <c r="E143" i="7" a="1"/>
  <c r="F110" i="7" a="1"/>
  <c r="E259" i="7" a="1"/>
  <c r="H263" i="7" a="1"/>
  <c r="C285" i="7" a="1"/>
  <c r="H284" i="7" a="1"/>
  <c r="F209" i="7" a="1"/>
  <c r="F4" i="7" a="1"/>
  <c r="F291" i="7" a="1"/>
  <c r="H268" i="7" a="1"/>
  <c r="H294" i="7" a="1"/>
  <c r="F240" i="7" a="1"/>
  <c r="E275" i="7" a="1"/>
  <c r="E192" i="7" a="1"/>
  <c r="E240" i="7" a="1"/>
  <c r="E234" i="7" a="1"/>
  <c r="F5" i="7" a="1"/>
  <c r="E165" i="7" a="1"/>
  <c r="E178" i="7" a="1"/>
  <c r="F170" i="7" a="1"/>
  <c r="I295" i="7" a="1"/>
  <c r="E207" i="7" a="1"/>
  <c r="C276" i="7" a="1"/>
  <c r="E292" i="7" a="1"/>
  <c r="D280" i="7" a="1"/>
  <c r="E249" i="7" a="1"/>
  <c r="F260" i="7" a="1"/>
  <c r="I291" i="7" a="1"/>
  <c r="C6" i="7" a="1"/>
  <c r="E155" i="7" a="1"/>
  <c r="D291" i="7" a="1"/>
  <c r="F179" i="7" a="1"/>
  <c r="H287" i="7" a="1"/>
  <c r="D5" i="7" a="1"/>
  <c r="F183" i="7" a="1"/>
  <c r="E225" i="7" a="1"/>
  <c r="F169" i="7" a="1"/>
  <c r="E299" i="7" a="1"/>
  <c r="F220" i="7" a="1"/>
  <c r="E196" i="7" a="1"/>
  <c r="B267" i="7" a="1"/>
  <c r="E247" i="7" a="1"/>
  <c r="F208" i="7" a="1"/>
  <c r="C269" i="7" a="1"/>
  <c r="C297" i="7" a="1"/>
  <c r="F206" i="7" a="1"/>
  <c r="F192" i="7" a="1"/>
  <c r="C278" i="7" a="1"/>
  <c r="F140" i="7" a="1"/>
  <c r="I289" i="7" a="1"/>
  <c r="F242" i="7" a="1"/>
  <c r="E163" i="7" a="1"/>
  <c r="F163" i="7" a="1"/>
  <c r="F262" i="7" a="1"/>
  <c r="F148" i="7" a="1"/>
  <c r="F210" i="7" a="1"/>
  <c r="I274" i="7" a="1"/>
  <c r="C265" i="7" a="1"/>
  <c r="F219" i="7" a="1"/>
  <c r="F229" i="7" a="1"/>
  <c r="H298" i="7" a="1"/>
  <c r="E230" i="7" a="1"/>
  <c r="B288" i="7" a="1"/>
  <c r="E205" i="7" a="1"/>
  <c r="F214" i="7" a="1"/>
  <c r="E168" i="7" a="1"/>
  <c r="D300" i="7" a="1"/>
  <c r="D2" i="7" a="1"/>
  <c r="I264" i="7" a="1"/>
  <c r="I271" i="7" a="1"/>
  <c r="I297" i="7" a="1"/>
  <c r="F154" i="7" a="1"/>
  <c r="D278" i="7" a="1"/>
  <c r="E198" i="7" a="1"/>
  <c r="E264" i="7" a="1"/>
  <c r="B261" i="7" a="1"/>
  <c r="E281" i="7" a="1"/>
  <c r="E213" i="7" a="1"/>
  <c r="I263" i="7" a="1"/>
  <c r="C261" i="7" a="1"/>
  <c r="D286" i="7" a="1"/>
  <c r="H297" i="7" a="1"/>
  <c r="E228" i="7" a="1"/>
  <c r="E255" i="7" a="1"/>
  <c r="F276" i="7" a="1"/>
  <c r="E219" i="7" a="1"/>
  <c r="E199" i="7" a="1"/>
  <c r="I288" i="7" a="1"/>
  <c r="D263" i="7" a="1"/>
  <c r="E200" i="7" a="1"/>
  <c r="F155" i="7" a="1"/>
  <c r="C274" i="7" a="1"/>
  <c r="F176" i="7" a="1"/>
  <c r="F285" i="7" a="1"/>
  <c r="F264" i="7" a="1"/>
  <c r="F151" i="7" a="1"/>
  <c r="I276" i="7" a="1"/>
  <c r="E148" i="7" a="1"/>
  <c r="C287" i="7" a="1"/>
  <c r="E239" i="7" a="1"/>
  <c r="E144" i="7" a="1"/>
  <c r="I275" i="7" a="1"/>
  <c r="E177" i="7" a="1"/>
  <c r="C290" i="7" a="1"/>
  <c r="E186" i="7" a="1"/>
  <c r="B264" i="7" a="1"/>
  <c r="E280" i="7" a="1"/>
  <c r="D295" i="7" a="1"/>
  <c r="B279" i="7" a="1"/>
  <c r="F217" i="7" a="1"/>
  <c r="F294" i="7" a="1"/>
  <c r="E233" i="7" a="1"/>
  <c r="F197" i="7" a="1"/>
  <c r="E262" i="7" a="1"/>
  <c r="E154" i="7" a="1"/>
  <c r="C272" i="7" a="1"/>
  <c r="F201" i="7" a="1"/>
  <c r="D299" i="7" a="1"/>
  <c r="E224" i="7" a="1"/>
  <c r="F188" i="7" a="1"/>
  <c r="C294" i="7" a="1"/>
  <c r="E277" i="7" a="1"/>
  <c r="E167" i="7" a="1"/>
  <c r="C275" i="7" a="1"/>
  <c r="F160" i="7" a="1"/>
  <c r="F166" i="7" a="1"/>
  <c r="F235" i="7" a="1"/>
  <c r="E170" i="7" a="1"/>
  <c r="C266" i="7" a="1"/>
  <c r="F175" i="7" a="1"/>
  <c r="C279" i="7" a="1"/>
  <c r="F218" i="7" a="1"/>
  <c r="E139" i="7" a="1"/>
  <c r="F172" i="7" a="1"/>
  <c r="C2" i="7" a="1"/>
  <c r="E191" i="7" a="1"/>
  <c r="F194" i="7" a="1"/>
  <c r="F261" i="7" a="1"/>
  <c r="E183" i="7" a="1"/>
  <c r="F204" i="7" a="1"/>
  <c r="F231" i="7" a="1"/>
  <c r="H267" i="7" a="1"/>
  <c r="F255" i="7" a="1"/>
  <c r="F162" i="7" a="1"/>
  <c r="E171" i="7" a="1"/>
  <c r="E218" i="7" a="1"/>
  <c r="B275" i="7" a="1"/>
  <c r="F266" i="7" a="1"/>
  <c r="B265" i="7" a="1"/>
  <c r="E242" i="7" a="1"/>
  <c r="I281" i="7" a="1"/>
  <c r="E141" i="7" a="1"/>
  <c r="E3" i="7" a="1"/>
  <c r="F190" i="7" a="1"/>
  <c r="H289" i="7" a="1"/>
  <c r="B2" i="7" a="1"/>
  <c r="F299" i="7" a="1"/>
  <c r="E283" i="7" a="1"/>
  <c r="D4" i="7" a="1"/>
  <c r="F181" i="7" a="1"/>
  <c r="F241" i="7" a="1"/>
  <c r="E285" i="7" a="1"/>
  <c r="F143" i="7" a="1"/>
  <c r="C283" i="7" a="1"/>
  <c r="F159" i="7" a="1"/>
  <c r="B272" i="7" a="1"/>
  <c r="E137" i="7" a="1"/>
  <c r="F293" i="7" a="1"/>
  <c r="I3" i="7" a="1"/>
  <c r="D6" i="7" a="1"/>
  <c r="I300" i="7" a="1"/>
  <c r="F245" i="7" a="1"/>
  <c r="E258" i="7" a="1"/>
  <c r="F286" i="7" a="1"/>
  <c r="E161" i="7" a="1"/>
  <c r="E160" i="7" a="1"/>
  <c r="H299" i="7" a="1"/>
  <c r="F227" i="7" a="1"/>
  <c r="C300" i="7" a="1"/>
  <c r="F139" i="7" a="1"/>
  <c r="E220" i="7" a="1"/>
  <c r="D272" i="7" a="1"/>
  <c r="E294" i="7" a="1"/>
  <c r="E244" i="7" a="1"/>
  <c r="C289" i="7" a="1"/>
  <c r="I299" i="7" a="1"/>
  <c r="C264" i="7" a="1"/>
  <c r="C260" i="7" a="1"/>
  <c r="B274" i="7" a="1"/>
  <c r="E210" i="7" a="1"/>
  <c r="I296" i="7" a="1"/>
  <c r="H260" i="7" a="1"/>
  <c r="E162" i="7" a="1"/>
  <c r="H273" i="7" a="1"/>
  <c r="E136" i="7" a="1"/>
  <c r="E223" i="7" a="1"/>
  <c r="F178" i="7" a="1"/>
  <c r="H290" i="7" a="1"/>
  <c r="D292" i="7" a="1"/>
  <c r="E176" i="7" a="1"/>
  <c r="E274" i="7" a="1"/>
  <c r="H266" i="7" a="1"/>
  <c r="E215" i="7" a="1"/>
  <c r="E212" i="7" a="1"/>
  <c r="F234" i="7" a="1"/>
  <c r="C282" i="7" a="1"/>
  <c r="D264" i="7" a="1"/>
  <c r="D281" i="7" a="1"/>
  <c r="F278" i="7" a="1"/>
  <c r="F258" i="7" a="1"/>
  <c r="F35" i="7" a="1"/>
  <c r="F213" i="7" a="1"/>
  <c r="E214" i="7" a="1"/>
  <c r="H281" i="7" a="1"/>
  <c r="F236" i="7" a="1"/>
  <c r="B296" i="7" a="1"/>
  <c r="F203" i="7" a="1"/>
  <c r="B283" i="7" a="1"/>
  <c r="I268" i="7" a="1"/>
  <c r="D266" i="7" a="1"/>
  <c r="I261" i="7" a="1"/>
  <c r="F150" i="7" a="1"/>
  <c r="F274" i="7" a="1"/>
  <c r="F251" i="7" a="1"/>
  <c r="C288" i="7" a="1"/>
  <c r="F165" i="7" a="1"/>
  <c r="E202" i="7" a="1"/>
  <c r="F238" i="7" a="1"/>
  <c r="H262" i="7" a="1"/>
  <c r="F232" i="7" a="1"/>
  <c r="I286" i="7" a="1"/>
  <c r="C280" i="7" a="1"/>
  <c r="I282" i="7" a="1"/>
  <c r="E203" i="7" a="1"/>
  <c r="F248" i="7" a="1"/>
  <c r="E231" i="7" a="1"/>
  <c r="B291" i="7" a="1"/>
  <c r="E269" i="7" a="1"/>
  <c r="E204" i="7" a="1"/>
  <c r="F195" i="7" a="1"/>
  <c r="B293" i="7" a="1"/>
  <c r="H288" i="7" a="1"/>
  <c r="D279" i="7" a="1"/>
  <c r="D261" i="7" a="1"/>
  <c r="F259" i="7" a="1"/>
  <c r="C262" i="7" a="1"/>
  <c r="H269" i="7" a="1"/>
  <c r="D274" i="7" a="1"/>
  <c r="E217" i="7" a="1"/>
  <c r="F3" i="7" a="1"/>
  <c r="F136" i="7" a="1"/>
  <c r="B268" i="7" a="1"/>
  <c r="E227" i="7" a="1"/>
  <c r="E145" i="7" a="1"/>
  <c r="C267" i="7" a="1"/>
  <c r="H274" i="7" a="1"/>
  <c r="E164" i="7" a="1"/>
  <c r="F85" i="7" a="1"/>
  <c r="H3" i="7" a="1"/>
  <c r="F173" i="7" a="1"/>
  <c r="F265" i="7" a="1"/>
  <c r="E142" i="7" a="1"/>
  <c r="E266" i="7" a="1"/>
  <c r="H292" i="7" a="1"/>
  <c r="F270" i="7" a="1"/>
  <c r="F287" i="7" a="1"/>
  <c r="D271" i="7" a="1"/>
  <c r="B263" i="7" a="1"/>
  <c r="F177" i="7" a="1"/>
  <c r="B278" i="7" a="1"/>
  <c r="F135" i="7" a="1"/>
  <c r="C293" i="7" a="1"/>
  <c r="E246" i="7" a="1"/>
  <c r="H272" i="7" a="1"/>
  <c r="C268" i="7" a="1"/>
  <c r="B289" i="7" a="1"/>
  <c r="I290" i="7" a="1"/>
  <c r="C271" i="7" a="1"/>
  <c r="E193" i="7" a="1"/>
  <c r="D289" i="7" a="1"/>
  <c r="H271" i="7" a="1"/>
  <c r="H6" i="7" a="1"/>
  <c r="D3" i="7" a="1"/>
  <c r="I298" i="7" a="1"/>
  <c r="E273" i="7" a="1"/>
  <c r="E172" i="7" a="1"/>
  <c r="B292" i="7" a="1"/>
  <c r="F156" i="7" a="1"/>
  <c r="F257" i="7" a="1"/>
  <c r="D290" i="7" a="1"/>
  <c r="H280" i="7" a="1"/>
  <c r="E260" i="7" a="1"/>
  <c r="E245" i="7" a="1"/>
  <c r="B287" i="7" a="1"/>
  <c r="F289" i="7" a="1"/>
  <c r="E216" i="7" a="1"/>
  <c r="E35" i="7" a="1"/>
  <c r="E85" i="7" a="1"/>
  <c r="F254" i="7" a="1"/>
  <c r="F225" i="7" a="1"/>
  <c r="B298" i="7" a="1"/>
  <c r="D275" i="7" a="1"/>
  <c r="E276" i="7" a="1"/>
  <c r="H291" i="7" a="1"/>
  <c r="E169" i="7" a="1"/>
  <c r="F244" i="7" a="1"/>
  <c r="D277" i="7" a="1"/>
  <c r="D293" i="7" a="1"/>
  <c r="B282" i="7" a="1"/>
  <c r="E149" i="7" a="1"/>
  <c r="E254" i="7" a="1"/>
  <c r="F153" i="7" a="1"/>
  <c r="E226" i="7" a="1"/>
  <c r="C3" i="7" a="1"/>
  <c r="D276" i="7" a="1"/>
  <c r="D284" i="7" a="1"/>
  <c r="F202" i="7" a="1"/>
  <c r="B281" i="7" a="1"/>
  <c r="F215" i="7" a="1"/>
  <c r="E238" i="7" a="1"/>
  <c r="D287" i="7" a="1"/>
  <c r="F137" i="7" a="1"/>
  <c r="I262" i="7" a="1"/>
  <c r="E248" i="7" a="1"/>
  <c r="B285" i="7" a="1"/>
  <c r="H5" i="7" a="1"/>
  <c r="B294" i="7" a="1"/>
  <c r="F191" i="7" a="1"/>
  <c r="E284" i="7" a="1"/>
  <c r="B284" i="7" a="1"/>
  <c r="F250" i="7" a="1"/>
  <c r="F205" i="7" a="1"/>
  <c r="F186" i="7" a="1"/>
  <c r="H296" i="7" a="1"/>
  <c r="F211" i="7" a="1"/>
  <c r="E157" i="7" a="1"/>
  <c r="H283" i="7" a="1"/>
  <c r="F60" i="7" a="1"/>
  <c r="E232" i="7" a="1"/>
  <c r="C284" i="7" a="1"/>
  <c r="E201" i="7" a="1"/>
  <c r="F145" i="7" a="1"/>
  <c r="C291" i="7" a="1"/>
  <c r="E188" i="7" a="1"/>
  <c r="F147" i="7" a="1"/>
  <c r="I5" i="7" a="1"/>
  <c r="F288" i="7" a="1"/>
  <c r="E174" i="7" a="1"/>
  <c r="H261" i="7" a="1"/>
  <c r="F283" i="7" a="1"/>
  <c r="F246" i="7" a="1"/>
  <c r="E152" i="7" a="1"/>
  <c r="F144" i="7" a="1"/>
  <c r="I265" i="7" a="1"/>
  <c r="F290" i="7" a="1"/>
  <c r="F292" i="7" a="1"/>
  <c r="E270" i="7" a="1"/>
  <c r="F161" i="7" a="1"/>
  <c r="C273" i="7" a="1"/>
  <c r="F185" i="7" a="1"/>
  <c r="B269" i="7" a="1"/>
  <c r="B286" i="7" a="1"/>
  <c r="H295" i="7" a="1"/>
  <c r="F298" i="7" a="1"/>
  <c r="H264" i="7" a="1"/>
  <c r="E229" i="7" a="1"/>
  <c r="C292" i="7" a="1"/>
  <c r="E184" i="7" a="1"/>
  <c r="E195" i="7" a="1"/>
  <c r="E181" i="7" a="1"/>
  <c r="E293" i="7" a="1"/>
  <c r="H265" i="7" a="1"/>
  <c r="F196" i="7" a="1"/>
  <c r="F281" i="7" a="1"/>
  <c r="C286" i="7" a="1"/>
  <c r="E257" i="7" a="1"/>
  <c r="E278" i="7" a="1"/>
  <c r="I293" i="7" a="1"/>
  <c r="E296" i="7" a="1"/>
  <c r="I272" i="7" a="1"/>
  <c r="C263" i="7" a="1"/>
  <c r="I285" i="7" a="1"/>
  <c r="E290" i="7" a="1"/>
  <c r="F224" i="7" a="1"/>
  <c r="F168" i="7" a="1"/>
  <c r="E267" i="7" a="1"/>
  <c r="E289" i="7" a="1"/>
  <c r="E286" i="7" a="1"/>
  <c r="I267" i="7" a="1"/>
  <c r="E150" i="7" a="1"/>
  <c r="E256" i="7" a="1"/>
  <c r="B3" i="7" a="1"/>
  <c r="E190" i="7" a="1"/>
  <c r="F282" i="7" a="1"/>
  <c r="C295" i="7" a="1"/>
  <c r="F237" i="7" a="1"/>
  <c r="D267" i="7" a="1"/>
  <c r="F243" i="7" a="1"/>
  <c r="I287" i="7" a="1"/>
  <c r="E235" i="7" a="1"/>
  <c r="D268" i="7" a="1"/>
  <c r="B5" i="7" a="1"/>
  <c r="E166" i="7" a="1"/>
  <c r="E271" i="7" a="1"/>
  <c r="E282" i="7" a="1"/>
  <c r="F167" i="7" a="1"/>
  <c r="C270" i="7" a="1"/>
  <c r="E241" i="7" a="1"/>
  <c r="E291" i="7" a="1"/>
  <c r="E140" i="7" a="1"/>
  <c r="B276" i="7" a="1"/>
  <c r="E298" i="7" a="1"/>
  <c r="B295" i="7" a="1"/>
  <c r="I2" i="7" a="1"/>
  <c r="E288" i="7" a="1"/>
  <c r="B297" i="7" a="1"/>
  <c r="F207" i="7" a="1"/>
  <c r="H278" i="7" a="1"/>
  <c r="D283" i="7" a="1"/>
  <c r="F180" i="7" a="1"/>
  <c r="F273" i="7" a="1"/>
  <c r="H285" i="7" a="1"/>
  <c r="F184" i="7" a="1"/>
  <c r="E206" i="7" a="1"/>
  <c r="I280" i="7" a="1"/>
  <c r="F200" i="7" a="1"/>
  <c r="I278" i="7" a="1"/>
  <c r="I277" i="7" a="1"/>
  <c r="F174" i="7" a="1"/>
  <c r="F268" i="7" a="1"/>
  <c r="D296" i="7" a="1"/>
  <c r="F158" i="7" a="1"/>
  <c r="E268" i="7" a="1"/>
  <c r="C299" i="7" a="1"/>
  <c r="F247" i="7" a="1"/>
  <c r="B262" i="7" a="1"/>
  <c r="E2" i="7" a="1"/>
  <c r="B300" i="7" a="1"/>
  <c r="C4" i="7" a="1"/>
  <c r="E197" i="7" a="1"/>
  <c r="E236" i="7" a="1"/>
  <c r="E146" i="7" a="1"/>
  <c r="D260" i="7" a="1"/>
  <c r="E250" i="7" a="1"/>
  <c r="B260" i="7" a="1"/>
  <c r="F146" i="7" a="1"/>
  <c r="D270" i="7" a="1"/>
  <c r="F221" i="7" a="1"/>
  <c r="F249" i="7" a="1"/>
  <c r="F253" i="7" a="1"/>
  <c r="F2" i="7" a="1"/>
  <c r="F171" i="7" a="1"/>
  <c r="E138" i="7" a="1"/>
  <c r="F269" i="7" a="1"/>
  <c r="I260" i="7" a="1"/>
  <c r="B271" i="7" a="1"/>
  <c r="E187" i="7" a="1"/>
  <c r="E187" i="7" l="1"/>
  <c r="B271" i="7"/>
  <c r="I260" i="7"/>
  <c r="F269" i="7"/>
  <c r="E138" i="7"/>
  <c r="F171" i="7"/>
  <c r="F2" i="7"/>
  <c r="F253" i="7"/>
  <c r="F249" i="7"/>
  <c r="F221" i="7"/>
  <c r="D270" i="7"/>
  <c r="F146" i="7"/>
  <c r="B260" i="7"/>
  <c r="E250" i="7"/>
  <c r="D260" i="7"/>
  <c r="E146" i="7"/>
  <c r="E236" i="7"/>
  <c r="E197" i="7"/>
  <c r="C4" i="7"/>
  <c r="B300" i="7"/>
  <c r="E2" i="7"/>
  <c r="B262" i="7"/>
  <c r="F247" i="7"/>
  <c r="C299" i="7"/>
  <c r="E268" i="7"/>
  <c r="F158" i="7"/>
  <c r="D296" i="7"/>
  <c r="F268" i="7"/>
  <c r="F174" i="7"/>
  <c r="I277" i="7"/>
  <c r="I278" i="7"/>
  <c r="F200" i="7"/>
  <c r="I280" i="7"/>
  <c r="E206" i="7"/>
  <c r="F184" i="7"/>
  <c r="H285" i="7"/>
  <c r="F273" i="7"/>
  <c r="F180" i="7"/>
  <c r="D283" i="7"/>
  <c r="H278" i="7"/>
  <c r="F207" i="7"/>
  <c r="B297" i="7"/>
  <c r="E288" i="7"/>
  <c r="I2" i="7"/>
  <c r="B295" i="7"/>
  <c r="E298" i="7"/>
  <c r="B276" i="7"/>
  <c r="E140" i="7"/>
  <c r="E291" i="7"/>
  <c r="E241" i="7"/>
  <c r="C270" i="7"/>
  <c r="F167" i="7"/>
  <c r="E282" i="7"/>
  <c r="E271" i="7"/>
  <c r="E166" i="7"/>
  <c r="B5" i="7"/>
  <c r="D268" i="7"/>
  <c r="E235" i="7"/>
  <c r="I287" i="7"/>
  <c r="F243" i="7"/>
  <c r="D267" i="7"/>
  <c r="F237" i="7"/>
  <c r="C295" i="7"/>
  <c r="F282" i="7"/>
  <c r="E190" i="7"/>
  <c r="B3" i="7"/>
  <c r="E256" i="7"/>
  <c r="E150" i="7"/>
  <c r="I267" i="7"/>
  <c r="E286" i="7"/>
  <c r="E289" i="7"/>
  <c r="E267" i="7"/>
  <c r="F168" i="7"/>
  <c r="F224" i="7"/>
  <c r="E290" i="7"/>
  <c r="I285" i="7"/>
  <c r="C263" i="7"/>
  <c r="I272" i="7"/>
  <c r="E296" i="7"/>
  <c r="I293" i="7"/>
  <c r="E278" i="7"/>
  <c r="E257" i="7"/>
  <c r="C286" i="7"/>
  <c r="F281" i="7"/>
  <c r="F196" i="7"/>
  <c r="H265" i="7"/>
  <c r="E293" i="7"/>
  <c r="E181" i="7"/>
  <c r="E195" i="7"/>
  <c r="E184" i="7"/>
  <c r="C292" i="7"/>
  <c r="E229" i="7"/>
  <c r="H264" i="7"/>
  <c r="F298" i="7"/>
  <c r="H295" i="7"/>
  <c r="B286" i="7"/>
  <c r="B269" i="7"/>
  <c r="F185" i="7"/>
  <c r="C273" i="7"/>
  <c r="F161" i="7"/>
  <c r="E270" i="7"/>
  <c r="F292" i="7"/>
  <c r="F290" i="7"/>
  <c r="I265" i="7"/>
  <c r="F144" i="7"/>
  <c r="E152" i="7"/>
  <c r="F246" i="7"/>
  <c r="F283" i="7"/>
  <c r="H261" i="7"/>
  <c r="E174" i="7"/>
  <c r="F288" i="7"/>
  <c r="I5" i="7"/>
  <c r="F147" i="7"/>
  <c r="E188" i="7"/>
  <c r="C291" i="7"/>
  <c r="F145" i="7"/>
  <c r="E201" i="7"/>
  <c r="C284" i="7"/>
  <c r="E232" i="7"/>
  <c r="F60" i="7"/>
  <c r="H283" i="7"/>
  <c r="E157" i="7"/>
  <c r="F211" i="7"/>
  <c r="H296" i="7"/>
  <c r="F186" i="7"/>
  <c r="F205" i="7"/>
  <c r="F250" i="7"/>
  <c r="B284" i="7"/>
  <c r="E284" i="7"/>
  <c r="F191" i="7"/>
  <c r="B294" i="7"/>
  <c r="H5" i="7"/>
  <c r="B285" i="7"/>
  <c r="E248" i="7"/>
  <c r="I262" i="7"/>
  <c r="F137" i="7"/>
  <c r="D287" i="7"/>
  <c r="E238" i="7"/>
  <c r="F215" i="7"/>
  <c r="B281" i="7"/>
  <c r="F202" i="7"/>
  <c r="D284" i="7"/>
  <c r="D276" i="7"/>
  <c r="C3" i="7"/>
  <c r="E226" i="7"/>
  <c r="F153" i="7"/>
  <c r="E254" i="7"/>
  <c r="E149" i="7"/>
  <c r="B282" i="7"/>
  <c r="D293" i="7"/>
  <c r="D277" i="7"/>
  <c r="F244" i="7"/>
  <c r="E169" i="7"/>
  <c r="H291" i="7"/>
  <c r="E276" i="7"/>
  <c r="D275" i="7"/>
  <c r="B298" i="7"/>
  <c r="F225" i="7"/>
  <c r="F254" i="7"/>
  <c r="E85" i="7"/>
  <c r="E35" i="7"/>
  <c r="E216" i="7"/>
  <c r="F289" i="7"/>
  <c r="B287" i="7"/>
  <c r="E245" i="7"/>
  <c r="E260" i="7"/>
  <c r="H280" i="7"/>
  <c r="D290" i="7"/>
  <c r="F257" i="7"/>
  <c r="F156" i="7"/>
  <c r="B292" i="7"/>
  <c r="E172" i="7"/>
  <c r="E273" i="7"/>
  <c r="I298" i="7"/>
  <c r="D3" i="7"/>
  <c r="H6" i="7"/>
  <c r="H271" i="7"/>
  <c r="D289" i="7"/>
  <c r="E193" i="7"/>
  <c r="C271" i="7"/>
  <c r="I290" i="7"/>
  <c r="B289" i="7"/>
  <c r="C268" i="7"/>
  <c r="H272" i="7"/>
  <c r="E246" i="7"/>
  <c r="C293" i="7"/>
  <c r="F135" i="7"/>
  <c r="B278" i="7"/>
  <c r="F177" i="7"/>
  <c r="B263" i="7"/>
  <c r="D271" i="7"/>
  <c r="F287" i="7"/>
  <c r="F270" i="7"/>
  <c r="H292" i="7"/>
  <c r="E266" i="7"/>
  <c r="E142" i="7"/>
  <c r="F265" i="7"/>
  <c r="F173" i="7"/>
  <c r="H3" i="7"/>
  <c r="F85" i="7"/>
  <c r="E164" i="7"/>
  <c r="H274" i="7"/>
  <c r="C267" i="7"/>
  <c r="E145" i="7"/>
  <c r="E227" i="7"/>
  <c r="B268" i="7"/>
  <c r="F136" i="7"/>
  <c r="F3" i="7"/>
  <c r="E217" i="7"/>
  <c r="D274" i="7"/>
  <c r="H269" i="7"/>
  <c r="C262" i="7"/>
  <c r="F259" i="7"/>
  <c r="D261" i="7"/>
  <c r="D279" i="7"/>
  <c r="H288" i="7"/>
  <c r="B293" i="7"/>
  <c r="F195" i="7"/>
  <c r="E204" i="7"/>
  <c r="E269" i="7"/>
  <c r="B291" i="7"/>
  <c r="E231" i="7"/>
  <c r="F248" i="7"/>
  <c r="E203" i="7"/>
  <c r="I282" i="7"/>
  <c r="C280" i="7"/>
  <c r="I286" i="7"/>
  <c r="F232" i="7"/>
  <c r="H262" i="7"/>
  <c r="F238" i="7"/>
  <c r="E202" i="7"/>
  <c r="F165" i="7"/>
  <c r="C288" i="7"/>
  <c r="F251" i="7"/>
  <c r="F274" i="7"/>
  <c r="F150" i="7"/>
  <c r="I261" i="7"/>
  <c r="D266" i="7"/>
  <c r="I268" i="7"/>
  <c r="B283" i="7"/>
  <c r="F203" i="7"/>
  <c r="B296" i="7"/>
  <c r="F236" i="7"/>
  <c r="H281" i="7"/>
  <c r="E214" i="7"/>
  <c r="F213" i="7"/>
  <c r="F35" i="7"/>
  <c r="F258" i="7"/>
  <c r="F278" i="7"/>
  <c r="D281" i="7"/>
  <c r="D264" i="7"/>
  <c r="C282" i="7"/>
  <c r="F234" i="7"/>
  <c r="E212" i="7"/>
  <c r="E215" i="7"/>
  <c r="H266" i="7"/>
  <c r="E274" i="7"/>
  <c r="E176" i="7"/>
  <c r="D292" i="7"/>
  <c r="H290" i="7"/>
  <c r="F178" i="7"/>
  <c r="E223" i="7"/>
  <c r="E136" i="7"/>
  <c r="H273" i="7"/>
  <c r="E162" i="7"/>
  <c r="H260" i="7"/>
  <c r="I296" i="7"/>
  <c r="E210" i="7"/>
  <c r="B274" i="7"/>
  <c r="C260" i="7"/>
  <c r="C264" i="7"/>
  <c r="I299" i="7"/>
  <c r="C289" i="7"/>
  <c r="E244" i="7"/>
  <c r="E294" i="7"/>
  <c r="D272" i="7"/>
  <c r="E220" i="7"/>
  <c r="F139" i="7"/>
  <c r="C300" i="7"/>
  <c r="F227" i="7"/>
  <c r="H299" i="7"/>
  <c r="E160" i="7"/>
  <c r="E161" i="7"/>
  <c r="F286" i="7"/>
  <c r="E258" i="7"/>
  <c r="F245" i="7"/>
  <c r="I300" i="7"/>
  <c r="D6" i="7"/>
  <c r="I3" i="7"/>
  <c r="F293" i="7"/>
  <c r="E137" i="7"/>
  <c r="B272" i="7"/>
  <c r="F159" i="7"/>
  <c r="C283" i="7"/>
  <c r="F143" i="7"/>
  <c r="E285" i="7"/>
  <c r="F241" i="7"/>
  <c r="F181" i="7"/>
  <c r="D4" i="7"/>
  <c r="E283" i="7"/>
  <c r="F299" i="7"/>
  <c r="B2" i="7"/>
  <c r="H289" i="7"/>
  <c r="F190" i="7"/>
  <c r="E3" i="7"/>
  <c r="E141" i="7"/>
  <c r="I281" i="7"/>
  <c r="E242" i="7"/>
  <c r="B265" i="7"/>
  <c r="F266" i="7"/>
  <c r="B275" i="7"/>
  <c r="E218" i="7"/>
  <c r="E171" i="7"/>
  <c r="F162" i="7"/>
  <c r="F255" i="7"/>
  <c r="H267" i="7"/>
  <c r="F231" i="7"/>
  <c r="F204" i="7"/>
  <c r="E183" i="7"/>
  <c r="F261" i="7"/>
  <c r="F194" i="7"/>
  <c r="E191" i="7"/>
  <c r="C2" i="7"/>
  <c r="F172" i="7"/>
  <c r="E139" i="7"/>
  <c r="F218" i="7"/>
  <c r="C279" i="7"/>
  <c r="F175" i="7"/>
  <c r="C266" i="7"/>
  <c r="E170" i="7"/>
  <c r="F235" i="7"/>
  <c r="F166" i="7"/>
  <c r="F160" i="7"/>
  <c r="C275" i="7"/>
  <c r="E167" i="7"/>
  <c r="E277" i="7"/>
  <c r="C294" i="7"/>
  <c r="F188" i="7"/>
  <c r="E224" i="7"/>
  <c r="D299" i="7"/>
  <c r="F201" i="7"/>
  <c r="C272" i="7"/>
  <c r="E154" i="7"/>
  <c r="E262" i="7"/>
  <c r="F197" i="7"/>
  <c r="E233" i="7"/>
  <c r="F294" i="7"/>
  <c r="F217" i="7"/>
  <c r="B279" i="7"/>
  <c r="D295" i="7"/>
  <c r="E280" i="7"/>
  <c r="B264" i="7"/>
  <c r="E186" i="7"/>
  <c r="C290" i="7"/>
  <c r="E177" i="7"/>
  <c r="I275" i="7"/>
  <c r="E144" i="7"/>
  <c r="E239" i="7"/>
  <c r="C287" i="7"/>
  <c r="E148" i="7"/>
  <c r="I276" i="7"/>
  <c r="F151" i="7"/>
  <c r="F264" i="7"/>
  <c r="F285" i="7"/>
  <c r="F176" i="7"/>
  <c r="C274" i="7"/>
  <c r="F155" i="7"/>
  <c r="E200" i="7"/>
  <c r="D263" i="7"/>
  <c r="I288" i="7"/>
  <c r="E199" i="7"/>
  <c r="E219" i="7"/>
  <c r="F276" i="7"/>
  <c r="E255" i="7"/>
  <c r="E228" i="7"/>
  <c r="H297" i="7"/>
  <c r="D286" i="7"/>
  <c r="C261" i="7"/>
  <c r="I263" i="7"/>
  <c r="E213" i="7"/>
  <c r="E281" i="7"/>
  <c r="B261" i="7"/>
  <c r="E264" i="7"/>
  <c r="E198" i="7"/>
  <c r="D278" i="7"/>
  <c r="F154" i="7"/>
  <c r="I297" i="7"/>
  <c r="I271" i="7"/>
  <c r="I264" i="7"/>
  <c r="D2" i="7"/>
  <c r="D300" i="7"/>
  <c r="E168" i="7"/>
  <c r="F214" i="7"/>
  <c r="E205" i="7"/>
  <c r="B288" i="7"/>
  <c r="E230" i="7"/>
  <c r="H298" i="7"/>
  <c r="F229" i="7"/>
  <c r="F219" i="7"/>
  <c r="C265" i="7"/>
  <c r="I274" i="7"/>
  <c r="F210" i="7"/>
  <c r="F148" i="7"/>
  <c r="F262" i="7"/>
  <c r="F163" i="7"/>
  <c r="E163" i="7"/>
  <c r="F242" i="7"/>
  <c r="I289" i="7"/>
  <c r="F140" i="7"/>
  <c r="C278" i="7"/>
  <c r="F192" i="7"/>
  <c r="F206" i="7"/>
  <c r="C297" i="7"/>
  <c r="C269" i="7"/>
  <c r="F208" i="7"/>
  <c r="E247" i="7"/>
  <c r="B267" i="7"/>
  <c r="E196" i="7"/>
  <c r="F220" i="7"/>
  <c r="E299" i="7"/>
  <c r="F169" i="7"/>
  <c r="E225" i="7"/>
  <c r="F183" i="7"/>
  <c r="D5" i="7"/>
  <c r="H287" i="7"/>
  <c r="F179" i="7"/>
  <c r="D291" i="7"/>
  <c r="E155" i="7"/>
  <c r="C6" i="7"/>
  <c r="I291" i="7"/>
  <c r="F260" i="7"/>
  <c r="E249" i="7"/>
  <c r="D280" i="7"/>
  <c r="E292" i="7"/>
  <c r="C276" i="7"/>
  <c r="E207" i="7"/>
  <c r="I295" i="7"/>
  <c r="F170" i="7"/>
  <c r="E178" i="7"/>
  <c r="E165" i="7"/>
  <c r="F5" i="7"/>
  <c r="E234" i="7"/>
  <c r="E240" i="7"/>
  <c r="E192" i="7"/>
  <c r="E275" i="7"/>
  <c r="F240" i="7"/>
  <c r="H294" i="7"/>
  <c r="H268" i="7"/>
  <c r="F291" i="7"/>
  <c r="F4" i="7"/>
  <c r="F209" i="7"/>
  <c r="H284" i="7"/>
  <c r="C285" i="7"/>
  <c r="H263" i="7"/>
  <c r="E259" i="7"/>
  <c r="F110" i="7"/>
  <c r="E143" i="7"/>
  <c r="E135" i="7"/>
  <c r="H270" i="7"/>
  <c r="F267" i="7"/>
  <c r="I4" i="7"/>
  <c r="D269" i="7"/>
  <c r="B270" i="7"/>
  <c r="B299" i="7"/>
  <c r="F300" i="7"/>
  <c r="F271" i="7"/>
  <c r="E209" i="7"/>
  <c r="H282" i="7"/>
  <c r="D298" i="7"/>
  <c r="E252" i="7"/>
  <c r="F142" i="7"/>
  <c r="D285" i="7"/>
  <c r="F263" i="7"/>
  <c r="E272" i="7"/>
  <c r="E180" i="7"/>
  <c r="F256" i="7"/>
  <c r="E159" i="7"/>
  <c r="F212" i="7"/>
  <c r="E6" i="7"/>
  <c r="I6" i="7"/>
  <c r="F228" i="7"/>
  <c r="E147" i="7"/>
  <c r="E295" i="7"/>
  <c r="F297" i="7"/>
  <c r="E237" i="7"/>
  <c r="F138" i="7"/>
  <c r="E175" i="7"/>
  <c r="E279" i="7"/>
  <c r="I279" i="7"/>
  <c r="F233" i="7"/>
  <c r="H293" i="7"/>
  <c r="F275" i="7"/>
  <c r="E261" i="7"/>
  <c r="F216" i="7"/>
  <c r="E253" i="7"/>
  <c r="E208" i="7"/>
  <c r="B266" i="7"/>
  <c r="H300" i="7"/>
  <c r="F295" i="7"/>
  <c r="E182" i="7"/>
  <c r="F141" i="7"/>
  <c r="D297" i="7"/>
  <c r="E211" i="7"/>
  <c r="F252" i="7"/>
  <c r="F157" i="7"/>
  <c r="E156" i="7"/>
  <c r="E263" i="7"/>
  <c r="E179" i="7"/>
  <c r="C281" i="7"/>
  <c r="I294" i="7"/>
  <c r="E221" i="7"/>
  <c r="F239" i="7"/>
  <c r="B4" i="7"/>
  <c r="F199" i="7"/>
  <c r="B280" i="7"/>
  <c r="D294" i="7"/>
  <c r="E222" i="7"/>
  <c r="F193" i="7"/>
  <c r="H275" i="7"/>
  <c r="E151" i="7"/>
  <c r="C298" i="7"/>
  <c r="F152" i="7"/>
  <c r="C277" i="7"/>
  <c r="E251" i="7"/>
  <c r="H2" i="7"/>
  <c r="D265" i="7"/>
  <c r="H286" i="7"/>
  <c r="I270" i="7"/>
  <c r="E297" i="7"/>
  <c r="B6" i="7"/>
  <c r="E189" i="7"/>
  <c r="I273" i="7"/>
  <c r="F6" i="7"/>
  <c r="H276" i="7"/>
  <c r="F230" i="7"/>
  <c r="E300" i="7"/>
  <c r="B273" i="7"/>
  <c r="I269" i="7"/>
  <c r="F223" i="7"/>
  <c r="F280" i="7"/>
  <c r="E5" i="7"/>
  <c r="F272" i="7"/>
  <c r="E153" i="7"/>
  <c r="E287" i="7"/>
  <c r="C296" i="7"/>
  <c r="E173" i="7"/>
  <c r="F279" i="7"/>
  <c r="F198" i="7"/>
  <c r="F284" i="7"/>
  <c r="E265" i="7"/>
  <c r="I283" i="7"/>
  <c r="E4" i="7"/>
  <c r="E243" i="7"/>
  <c r="F182" i="7"/>
  <c r="C5" i="7"/>
  <c r="D262" i="7"/>
  <c r="H4" i="7"/>
  <c r="F149" i="7"/>
  <c r="E60" i="7"/>
  <c r="H277" i="7"/>
  <c r="B277" i="7"/>
  <c r="D288" i="7"/>
  <c r="I284" i="7"/>
  <c r="E158" i="7"/>
  <c r="E194" i="7"/>
  <c r="B290" i="7"/>
  <c r="F226" i="7"/>
  <c r="E110" i="7"/>
  <c r="F222" i="7"/>
  <c r="I292" i="7"/>
  <c r="F187" i="7"/>
  <c r="H279" i="7"/>
  <c r="D273" i="7"/>
  <c r="I266" i="7"/>
  <c r="F164" i="7"/>
  <c r="E185" i="7"/>
  <c r="F277" i="7"/>
  <c r="D282" i="7"/>
  <c r="F296" i="7"/>
  <c r="F18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<sst xmlns="http://schemas.openxmlformats.org/spreadsheetml/2006/main" count="913" uniqueCount="84">
  <si>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</si>
  <si>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</si>
  <si>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</si>
  <si>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</si>
  <si>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</si>
  <si>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</si>
  <si>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</si>
  <si>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</si>
  <si>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</si>
  <si>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</si>
  <si>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</si>
  <si>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</si>
  <si>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</si>
  <si>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</si>
  <si>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</si>
  <si>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</si>
  <si>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</si>
  <si>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</si>
  <si>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</si>
  <si>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</si>
  <si>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</si>
  <si>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</si>
  <si>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</si>
  <si>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</si>
  <si>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</si>
  <si>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</si>
  <si>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</si>
  <si>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</si>
  <si>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</si>
  <si>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Overall Project</t>
  </si>
  <si>
    <t>Summary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</si>
  <si>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</si>
  <si>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</si>
  <si>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</si>
  <si>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</si>
  <si>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</si>
  <si>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</si>
  <si>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</si>
  <si>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</si>
  <si>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</si>
  <si>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</si>
  <si>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</si>
  <si>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</si>
  <si>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</si>
  <si>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</si>
  <si>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</si>
  <si>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</si>
  <si>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</si>
  <si>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</si>
  <si>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</si>
  <si>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</si>
  <si>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</si>
  <si>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</si>
  <si>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</si>
  <si>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</si>
  <si>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Engineering</t>
  </si>
  <si>
    <t>Procurement</t>
  </si>
  <si>
    <t>Construction</t>
  </si>
  <si>
    <t>Project Management</t>
  </si>
  <si>
    <t>N/A</t>
  </si>
  <si>
    <t>HUC</t>
  </si>
  <si>
    <t>Offshore Carried Over Punch List Rectification</t>
  </si>
  <si>
    <t>Services To NSE</t>
  </si>
  <si>
    <t>Subcontract To NSE</t>
  </si>
  <si>
    <t>Warranty Claim</t>
  </si>
  <si>
    <t>NVARCHAR(20)</t>
  </si>
  <si>
    <t>NVARCHAR(255)</t>
  </si>
  <si>
    <t>DATE</t>
  </si>
  <si>
    <t>DECIMAL(13,2) [Percentage]</t>
  </si>
  <si>
    <t>DECIMAL(13,2)</t>
  </si>
  <si>
    <t>Yes</t>
  </si>
  <si>
    <t>range_start</t>
  </si>
  <si>
    <t>range_stop</t>
  </si>
  <si>
    <t>project_active_start</t>
  </si>
  <si>
    <t>project_inactive_end</t>
  </si>
  <si>
    <t>relate_document</t>
  </si>
  <si>
    <t>B10</t>
  </si>
  <si>
    <t>AD?</t>
  </si>
  <si>
    <t>col_number</t>
  </si>
  <si>
    <t>QA001</t>
  </si>
  <si>
    <t>QAE001</t>
  </si>
  <si>
    <t>QAP001</t>
  </si>
  <si>
    <t>QAC001</t>
  </si>
  <si>
    <t>QAM001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</si>
</sst>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AD259"/>
  <sheetViews>
    <sheetView tabSelected="1" topLeftCell="E7" zoomScale="85" zoomScaleNormal="85" workbookViewId="0">
      <selection activeCell="F11" sqref="F11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21.5703125" customWidth="1"/>
    <col min="24" max="24" width="16.42578125" customWidth="1"/>
  </cols>
  <sheetData>
    <row r="1" spans="2:30" x14ac:dyDescent="0.25">
      <c r="G1" s="5"/>
      <c r="H1" s="5"/>
    </row>
    <row r="9" spans="2:30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</row>
    <row r="10" spans="2:30" x14ac:dyDescent="0.25">
      <c r="B10" t="s">
        <v>79</v>
      </c>
      <c r="C10" s="9" t="s">
        <v>29</v>
      </c>
      <c r="D10" s="10" t="s">
        <v>30</v>
      </c>
      <c r="E10" s="2"/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30" x14ac:dyDescent="0.25">
      <c r="B11" t="s">
        <v>79</v>
      </c>
      <c r="C11" s="9" t="s">
        <v>29</v>
      </c>
      <c r="D11" s="10" t="s">
        <v>31</v>
      </c>
      <c r="E11" s="2">
        <v>45536</v>
      </c>
      <c r="F11">
        <v>0.03</v>
      </c>
      <c r="G11">
        <v>0</v>
      </c>
      <c r="H11">
        <v>0</v>
      </c>
      <c r="I11">
        <v>0</v>
      </c>
      <c r="J11">
        <v>402109.02</v>
      </c>
      <c r="K11">
        <v>508493.02</v>
      </c>
      <c r="L11">
        <v>910602.04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402109.02</v>
      </c>
      <c r="W11">
        <v>508493.02</v>
      </c>
      <c r="X11">
        <v>910602.04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2:30" x14ac:dyDescent="0.25">
      <c r="B12" t="s">
        <v>79</v>
      </c>
      <c r="C12" s="9" t="s">
        <v>29</v>
      </c>
      <c r="D12" s="10" t="s">
        <v>32</v>
      </c>
      <c r="E12" s="2">
        <v>45566</v>
      </c>
      <c r="F12">
        <v>0.11</v>
      </c>
      <c r="G12">
        <v>0</v>
      </c>
      <c r="H12">
        <v>402109.02</v>
      </c>
      <c r="I12">
        <v>402109.02</v>
      </c>
      <c r="J12">
        <v>859171.26</v>
      </c>
      <c r="K12">
        <v>911124.69</v>
      </c>
      <c r="L12">
        <v>1770295.95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402109.02</v>
      </c>
      <c r="U12">
        <v>402109.02</v>
      </c>
      <c r="V12">
        <v>1261280.28</v>
      </c>
      <c r="W12">
        <v>1419617.71</v>
      </c>
      <c r="X12">
        <v>2680897.9900000002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2:30" x14ac:dyDescent="0.25">
      <c r="B13" t="s">
        <v>79</v>
      </c>
      <c r="C13" s="9" t="s">
        <v>29</v>
      </c>
      <c r="D13" s="10" t="s">
        <v>33</v>
      </c>
      <c r="E13" s="2">
        <v>45597</v>
      </c>
      <c r="F13">
        <v>0.19</v>
      </c>
      <c r="G13">
        <v>0</v>
      </c>
      <c r="H13">
        <v>859171.26</v>
      </c>
      <c r="I13">
        <v>859171.26</v>
      </c>
      <c r="J13">
        <v>-1261280.28</v>
      </c>
      <c r="K13">
        <v>-1419617.71</v>
      </c>
      <c r="L13">
        <v>-2680897.9900000002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1261280.28</v>
      </c>
      <c r="U13">
        <v>1261280.28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2:30" x14ac:dyDescent="0.25">
      <c r="B14" t="s">
        <v>79</v>
      </c>
      <c r="C14" s="9" t="s">
        <v>29</v>
      </c>
      <c r="D14" s="10" t="s">
        <v>34</v>
      </c>
      <c r="E14" s="2">
        <v>45627</v>
      </c>
      <c r="F14">
        <v>0.24</v>
      </c>
      <c r="G14">
        <v>0</v>
      </c>
      <c r="H14">
        <v>1400573.84</v>
      </c>
      <c r="I14">
        <v>1400573.84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2661854.12</v>
      </c>
      <c r="U14">
        <v>2661854.12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2:30" x14ac:dyDescent="0.25">
      <c r="B15" t="s">
        <v>79</v>
      </c>
      <c r="C15" s="9" t="s">
        <v>29</v>
      </c>
      <c r="D15" s="10" t="s">
        <v>35</v>
      </c>
      <c r="E15" s="2">
        <v>45658</v>
      </c>
      <c r="F15">
        <v>0.31</v>
      </c>
      <c r="G15">
        <v>0</v>
      </c>
      <c r="H15">
        <v>1582457.8</v>
      </c>
      <c r="I15">
        <v>1582457.8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4244311.92</v>
      </c>
      <c r="U15">
        <v>4244311.92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2:30" x14ac:dyDescent="0.25">
      <c r="B16" t="s">
        <v>79</v>
      </c>
      <c r="C16" s="9" t="s">
        <v>29</v>
      </c>
      <c r="D16" s="10" t="s">
        <v>36</v>
      </c>
      <c r="E16" s="2">
        <v>45689</v>
      </c>
      <c r="F16">
        <v>0.46</v>
      </c>
      <c r="G16">
        <v>0</v>
      </c>
      <c r="H16">
        <v>1453772.75</v>
      </c>
      <c r="I16">
        <v>1453772.75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5698084.6699999999</v>
      </c>
      <c r="U16">
        <v>5698084.6699999999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2:30" x14ac:dyDescent="0.25">
      <c r="B17" t="s">
        <v>79</v>
      </c>
      <c r="C17" s="9" t="s">
        <v>29</v>
      </c>
      <c r="D17" s="10" t="s">
        <v>37</v>
      </c>
      <c r="E17" s="2">
        <v>45717</v>
      </c>
      <c r="F17">
        <v>0.62</v>
      </c>
      <c r="G17">
        <v>0</v>
      </c>
      <c r="H17">
        <v>2080094.71</v>
      </c>
      <c r="I17">
        <v>2080094.71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7778179.3800000008</v>
      </c>
      <c r="U17">
        <v>7778179.3800000008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2:30" x14ac:dyDescent="0.25">
      <c r="B18" t="s">
        <v>79</v>
      </c>
      <c r="C18" s="9" t="s">
        <v>29</v>
      </c>
      <c r="D18" s="10" t="s">
        <v>38</v>
      </c>
      <c r="E18" s="2">
        <v>45748</v>
      </c>
      <c r="F18">
        <v>0.78</v>
      </c>
      <c r="G18">
        <v>0</v>
      </c>
      <c r="H18">
        <v>1558161.19</v>
      </c>
      <c r="I18">
        <v>1558161.19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9336340.5700000003</v>
      </c>
      <c r="U18">
        <v>9336340.5700000003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2:30" x14ac:dyDescent="0.25">
      <c r="B19" t="s">
        <v>79</v>
      </c>
      <c r="C19" s="9" t="s">
        <v>29</v>
      </c>
      <c r="D19" s="10" t="s">
        <v>39</v>
      </c>
      <c r="E19" s="2">
        <v>45778</v>
      </c>
      <c r="F19">
        <v>0.79</v>
      </c>
      <c r="G19">
        <v>0</v>
      </c>
      <c r="H19">
        <v>1467853.71</v>
      </c>
      <c r="I19">
        <v>1467853.71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10804194.280000001</v>
      </c>
      <c r="U19">
        <v>10804194.280000001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2:30" x14ac:dyDescent="0.25">
      <c r="B20" t="s">
        <v>79</v>
      </c>
      <c r="C20" s="9" t="s">
        <v>29</v>
      </c>
      <c r="D20" s="10" t="s">
        <v>40</v>
      </c>
      <c r="E20" s="2">
        <v>45809</v>
      </c>
      <c r="F20">
        <v>0.82</v>
      </c>
      <c r="G20">
        <v>0</v>
      </c>
      <c r="H20">
        <v>1035421.42</v>
      </c>
      <c r="I20">
        <v>1035421.42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11839615.699999999</v>
      </c>
      <c r="U20">
        <v>11839615.699999999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2:30" x14ac:dyDescent="0.25">
      <c r="B21" t="s">
        <v>79</v>
      </c>
      <c r="C21" s="9" t="s">
        <v>29</v>
      </c>
      <c r="D21" s="10" t="s">
        <v>41</v>
      </c>
      <c r="E21" s="2">
        <v>45839</v>
      </c>
      <c r="F21">
        <v>0.87</v>
      </c>
      <c r="G21">
        <v>0</v>
      </c>
      <c r="H21">
        <v>1358709.9</v>
      </c>
      <c r="I21">
        <v>1358709.9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13198325.600000001</v>
      </c>
      <c r="U21">
        <v>13198325.600000001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2:30" x14ac:dyDescent="0.25">
      <c r="B22" t="s">
        <v>79</v>
      </c>
      <c r="C22" s="9" t="s">
        <v>29</v>
      </c>
      <c r="D22" s="10" t="s">
        <v>42</v>
      </c>
      <c r="E22" s="2">
        <v>45870</v>
      </c>
      <c r="F22">
        <v>0.92</v>
      </c>
      <c r="G22">
        <v>0</v>
      </c>
      <c r="H22">
        <v>701573.75</v>
      </c>
      <c r="I22">
        <v>701573.75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13899899.350000001</v>
      </c>
      <c r="U22">
        <v>13899899.350000001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2:30" x14ac:dyDescent="0.25">
      <c r="B23" t="s">
        <v>79</v>
      </c>
      <c r="C23" s="9" t="s">
        <v>29</v>
      </c>
      <c r="D23" s="10" t="s">
        <v>43</v>
      </c>
      <c r="E23" s="2">
        <v>45901</v>
      </c>
      <c r="F23">
        <v>0.94</v>
      </c>
      <c r="G23">
        <v>0</v>
      </c>
      <c r="H23">
        <v>678974.44</v>
      </c>
      <c r="I23">
        <v>678974.44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14578873.790000001</v>
      </c>
      <c r="U23">
        <v>14578873.790000001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2:30" x14ac:dyDescent="0.25">
      <c r="B24" t="s">
        <v>79</v>
      </c>
      <c r="C24" s="9" t="s">
        <v>29</v>
      </c>
      <c r="D24" s="10" t="s">
        <v>44</v>
      </c>
      <c r="E24" s="2">
        <v>45931</v>
      </c>
      <c r="F24">
        <v>0.95</v>
      </c>
      <c r="G24">
        <v>0</v>
      </c>
      <c r="H24">
        <v>583019.1</v>
      </c>
      <c r="I24">
        <v>583019.1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15161892.890000001</v>
      </c>
      <c r="U24">
        <v>15161892.890000001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2:30" x14ac:dyDescent="0.25">
      <c r="B25" t="s">
        <v>79</v>
      </c>
      <c r="C25" s="9" t="s">
        <v>29</v>
      </c>
      <c r="D25" s="10" t="s">
        <v>45</v>
      </c>
      <c r="E25" s="2">
        <v>45962</v>
      </c>
      <c r="F25">
        <v>0.98</v>
      </c>
      <c r="G25">
        <v>0</v>
      </c>
      <c r="H25">
        <v>715212.58</v>
      </c>
      <c r="I25">
        <v>715212.58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15877105.470000001</v>
      </c>
      <c r="U25">
        <v>15877105.470000001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2:30" x14ac:dyDescent="0.25">
      <c r="B26" t="s">
        <v>79</v>
      </c>
      <c r="C26" s="9" t="s">
        <v>29</v>
      </c>
      <c r="D26" s="10" t="s">
        <v>46</v>
      </c>
      <c r="E26" s="2">
        <v>45992</v>
      </c>
      <c r="F26">
        <v>1</v>
      </c>
      <c r="G26">
        <v>0</v>
      </c>
      <c r="H26">
        <v>755491.88</v>
      </c>
      <c r="I26">
        <v>755491.88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16632597.35</v>
      </c>
      <c r="U26">
        <v>16632597.35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2:30" x14ac:dyDescent="0.25">
      <c r="B27" t="s">
        <v>79</v>
      </c>
      <c r="C27" s="9" t="s">
        <v>29</v>
      </c>
      <c r="D27" s="10" t="s">
        <v>47</v>
      </c>
      <c r="E27" s="2">
        <v>46023</v>
      </c>
      <c r="F27">
        <v>1</v>
      </c>
      <c r="G27">
        <v>0</v>
      </c>
      <c r="H27">
        <v>218425.21</v>
      </c>
      <c r="I27">
        <v>218425.21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16851022.559999999</v>
      </c>
      <c r="U27">
        <v>16851022.559999999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2:30" x14ac:dyDescent="0.25">
      <c r="B28" t="s">
        <v>79</v>
      </c>
      <c r="C28" s="9" t="s">
        <v>29</v>
      </c>
      <c r="D28" s="10" t="s">
        <v>48</v>
      </c>
      <c r="E28" s="2">
        <v>46054</v>
      </c>
      <c r="F28">
        <v>1</v>
      </c>
      <c r="G28">
        <v>0</v>
      </c>
      <c r="H28">
        <v>75655.56</v>
      </c>
      <c r="I28">
        <v>75655.56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16926678.119999997</v>
      </c>
      <c r="U28">
        <v>16926678.119999997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2:30" x14ac:dyDescent="0.25">
      <c r="B29" t="s">
        <v>79</v>
      </c>
      <c r="C29" s="9" t="s">
        <v>29</v>
      </c>
      <c r="D29" s="10" t="s">
        <v>49</v>
      </c>
      <c r="E29" s="2">
        <v>46082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16926678.119999997</v>
      </c>
      <c r="U29">
        <v>16926678.119999997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2:30" x14ac:dyDescent="0.25">
      <c r="B30" t="s">
        <v>79</v>
      </c>
      <c r="C30" s="9" t="s">
        <v>29</v>
      </c>
      <c r="D30" s="10" t="s">
        <v>50</v>
      </c>
      <c r="E30" s="2">
        <v>46113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16926678.119999997</v>
      </c>
      <c r="U30">
        <v>16926678.119999997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2:30" x14ac:dyDescent="0.25">
      <c r="B31" t="s">
        <v>79</v>
      </c>
      <c r="C31" s="9" t="s">
        <v>29</v>
      </c>
      <c r="D31" s="10" t="s">
        <v>51</v>
      </c>
      <c r="E31" s="2">
        <v>46143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16926678.119999997</v>
      </c>
      <c r="U31">
        <v>16926678.119999997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2:30" x14ac:dyDescent="0.25">
      <c r="B32" t="s">
        <v>79</v>
      </c>
      <c r="C32" s="9" t="s">
        <v>29</v>
      </c>
      <c r="D32" s="10" t="s">
        <v>52</v>
      </c>
      <c r="E32" s="2">
        <v>46174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16926678.119999997</v>
      </c>
      <c r="U32">
        <v>16926678.119999997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2:30" x14ac:dyDescent="0.25">
      <c r="B33" t="s">
        <v>79</v>
      </c>
      <c r="C33" s="9" t="s">
        <v>29</v>
      </c>
      <c r="D33" s="10" t="s">
        <v>53</v>
      </c>
      <c r="E33" s="2">
        <v>46204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16926678.119999997</v>
      </c>
      <c r="U33">
        <v>16926678.119999997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30" x14ac:dyDescent="0.25">
      <c r="B34" t="s">
        <v>79</v>
      </c>
      <c r="C34" s="9" t="s">
        <v>29</v>
      </c>
      <c r="D34" s="10" t="s">
        <v>54</v>
      </c>
      <c r="E34" s="2">
        <v>46235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16926678.119999997</v>
      </c>
      <c r="U34">
        <v>16926678.119999997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2:30" x14ac:dyDescent="0.25">
      <c r="B35" t="s">
        <v>80</v>
      </c>
      <c r="C35" s="9" t="s">
        <v>55</v>
      </c>
      <c r="D35" s="10" t="s">
        <v>30</v>
      </c>
      <c r="E35" s="2"/>
      <c r="G35">
        <v>0</v>
      </c>
      <c r="H35">
        <v>3808634.6700000004</v>
      </c>
      <c r="I35">
        <v>3808634.6700000004</v>
      </c>
      <c r="J35">
        <v>0</v>
      </c>
      <c r="K35">
        <v>0</v>
      </c>
      <c r="L35">
        <v>0</v>
      </c>
      <c r="AA35">
        <v>0</v>
      </c>
      <c r="AD35">
        <v>0</v>
      </c>
    </row>
    <row r="36" spans="2:30" x14ac:dyDescent="0.25">
      <c r="B36" t="s">
        <v>80</v>
      </c>
      <c r="C36" s="9" t="s">
        <v>55</v>
      </c>
      <c r="D36" s="10" t="s">
        <v>31</v>
      </c>
      <c r="E36" s="2">
        <v>45536</v>
      </c>
      <c r="F36">
        <v>0.03</v>
      </c>
      <c r="G36">
        <v>0</v>
      </c>
      <c r="H36">
        <v>0</v>
      </c>
      <c r="I36">
        <v>0</v>
      </c>
      <c r="J36">
        <v>41258</v>
      </c>
      <c r="K36">
        <v>41258</v>
      </c>
      <c r="L36">
        <v>82516</v>
      </c>
      <c r="O36">
        <v>0</v>
      </c>
      <c r="R36">
        <v>0</v>
      </c>
      <c r="S36">
        <v>0</v>
      </c>
      <c r="T36">
        <v>0</v>
      </c>
      <c r="U36">
        <v>0</v>
      </c>
      <c r="V36">
        <v>41258</v>
      </c>
      <c r="W36">
        <v>41258</v>
      </c>
      <c r="X36">
        <v>82516</v>
      </c>
      <c r="AA36">
        <v>0</v>
      </c>
      <c r="AD36">
        <v>0</v>
      </c>
    </row>
    <row r="37" spans="2:30" x14ac:dyDescent="0.25">
      <c r="B37" t="s">
        <v>80</v>
      </c>
      <c r="C37" s="9" t="s">
        <v>55</v>
      </c>
      <c r="D37" s="10" t="s">
        <v>32</v>
      </c>
      <c r="E37" s="2">
        <v>45566</v>
      </c>
      <c r="F37">
        <v>0.42</v>
      </c>
      <c r="G37">
        <v>0</v>
      </c>
      <c r="H37">
        <v>41258</v>
      </c>
      <c r="I37">
        <v>41258</v>
      </c>
      <c r="J37">
        <v>302067.5</v>
      </c>
      <c r="K37">
        <v>329126</v>
      </c>
      <c r="L37">
        <v>631193.5</v>
      </c>
      <c r="O37">
        <v>0</v>
      </c>
      <c r="R37">
        <v>0</v>
      </c>
      <c r="S37">
        <v>0</v>
      </c>
      <c r="T37">
        <v>41258</v>
      </c>
      <c r="U37">
        <v>41258</v>
      </c>
      <c r="V37">
        <v>343325.5</v>
      </c>
      <c r="W37">
        <v>370384</v>
      </c>
      <c r="X37">
        <v>713709.5</v>
      </c>
      <c r="AA37">
        <v>0</v>
      </c>
      <c r="AD37">
        <v>0</v>
      </c>
    </row>
    <row r="38" spans="2:30" x14ac:dyDescent="0.25">
      <c r="B38" t="s">
        <v>80</v>
      </c>
      <c r="C38" s="9" t="s">
        <v>55</v>
      </c>
      <c r="D38" s="10" t="s">
        <v>33</v>
      </c>
      <c r="E38" s="2">
        <v>45597</v>
      </c>
      <c r="F38">
        <v>0.86</v>
      </c>
      <c r="G38">
        <v>0</v>
      </c>
      <c r="H38">
        <v>302067.5</v>
      </c>
      <c r="I38">
        <v>302067.5</v>
      </c>
      <c r="J38">
        <v>-343325.5</v>
      </c>
      <c r="K38">
        <v>-370384</v>
      </c>
      <c r="L38">
        <v>-713709.5</v>
      </c>
      <c r="O38">
        <v>0</v>
      </c>
      <c r="R38">
        <v>0</v>
      </c>
      <c r="S38">
        <v>0</v>
      </c>
      <c r="T38">
        <v>343325.5</v>
      </c>
      <c r="U38">
        <v>343325.5</v>
      </c>
      <c r="V38">
        <v>0</v>
      </c>
      <c r="W38">
        <v>0</v>
      </c>
      <c r="X38">
        <v>0</v>
      </c>
      <c r="AA38">
        <v>0</v>
      </c>
      <c r="AD38">
        <v>0</v>
      </c>
    </row>
    <row r="39" spans="2:30" x14ac:dyDescent="0.25">
      <c r="B39" t="s">
        <v>80</v>
      </c>
      <c r="C39" s="9" t="s">
        <v>55</v>
      </c>
      <c r="D39" s="10" t="s">
        <v>34</v>
      </c>
      <c r="E39" s="2">
        <v>45627</v>
      </c>
      <c r="F39">
        <v>0.99</v>
      </c>
      <c r="G39">
        <v>0</v>
      </c>
      <c r="H39">
        <v>519025.64</v>
      </c>
      <c r="I39">
        <v>519025.64</v>
      </c>
      <c r="J39">
        <v>0</v>
      </c>
      <c r="K39">
        <v>0</v>
      </c>
      <c r="L39">
        <v>0</v>
      </c>
      <c r="O39">
        <v>0</v>
      </c>
      <c r="R39">
        <v>0</v>
      </c>
      <c r="S39">
        <v>0</v>
      </c>
      <c r="T39">
        <v>862351.14</v>
      </c>
      <c r="U39">
        <v>862351.14</v>
      </c>
      <c r="V39">
        <v>0</v>
      </c>
      <c r="W39">
        <v>0</v>
      </c>
      <c r="X39">
        <v>0</v>
      </c>
      <c r="AA39">
        <v>0</v>
      </c>
      <c r="AD39">
        <v>0</v>
      </c>
    </row>
    <row r="40" spans="2:30" x14ac:dyDescent="0.25">
      <c r="B40" t="s">
        <v>80</v>
      </c>
      <c r="C40" s="9" t="s">
        <v>55</v>
      </c>
      <c r="D40" s="10" t="s">
        <v>35</v>
      </c>
      <c r="E40" s="2">
        <v>45658</v>
      </c>
      <c r="F40">
        <v>1</v>
      </c>
      <c r="G40">
        <v>0</v>
      </c>
      <c r="H40">
        <v>667571.28</v>
      </c>
      <c r="I40">
        <v>667571.28</v>
      </c>
      <c r="J40">
        <v>0</v>
      </c>
      <c r="K40">
        <v>0</v>
      </c>
      <c r="L40">
        <v>0</v>
      </c>
      <c r="O40">
        <v>0</v>
      </c>
      <c r="R40">
        <v>0</v>
      </c>
      <c r="S40">
        <v>0</v>
      </c>
      <c r="T40">
        <v>1529922.42</v>
      </c>
      <c r="U40">
        <v>1529922.42</v>
      </c>
      <c r="V40">
        <v>0</v>
      </c>
      <c r="W40">
        <v>0</v>
      </c>
      <c r="X40">
        <v>0</v>
      </c>
      <c r="AA40">
        <v>0</v>
      </c>
      <c r="AD40">
        <v>0</v>
      </c>
    </row>
    <row r="41" spans="2:30" x14ac:dyDescent="0.25">
      <c r="B41" t="s">
        <v>80</v>
      </c>
      <c r="C41" s="9" t="s">
        <v>55</v>
      </c>
      <c r="D41" s="10" t="s">
        <v>36</v>
      </c>
      <c r="E41" s="2">
        <v>45689</v>
      </c>
      <c r="F41">
        <v>1</v>
      </c>
      <c r="G41">
        <v>0</v>
      </c>
      <c r="H41">
        <v>528070.25</v>
      </c>
      <c r="I41">
        <v>528070.25</v>
      </c>
      <c r="J41">
        <v>0</v>
      </c>
      <c r="K41">
        <v>0</v>
      </c>
      <c r="L41">
        <v>0</v>
      </c>
      <c r="O41">
        <v>0</v>
      </c>
      <c r="R41">
        <v>0</v>
      </c>
      <c r="S41">
        <v>0</v>
      </c>
      <c r="T41">
        <v>2057992.67</v>
      </c>
      <c r="U41">
        <v>2057992.67</v>
      </c>
      <c r="V41">
        <v>0</v>
      </c>
      <c r="W41">
        <v>0</v>
      </c>
      <c r="X41">
        <v>0</v>
      </c>
      <c r="AA41">
        <v>0</v>
      </c>
      <c r="AD41">
        <v>0</v>
      </c>
    </row>
    <row r="42" spans="2:30" x14ac:dyDescent="0.25">
      <c r="B42" t="s">
        <v>80</v>
      </c>
      <c r="C42" s="9" t="s">
        <v>55</v>
      </c>
      <c r="D42" s="10" t="s">
        <v>37</v>
      </c>
      <c r="E42" s="2">
        <v>45717</v>
      </c>
      <c r="F42">
        <v>1</v>
      </c>
      <c r="G42">
        <v>0</v>
      </c>
      <c r="H42">
        <v>760644.5</v>
      </c>
      <c r="I42">
        <v>760644.5</v>
      </c>
      <c r="J42">
        <v>0</v>
      </c>
      <c r="K42">
        <v>0</v>
      </c>
      <c r="L42">
        <v>0</v>
      </c>
      <c r="O42">
        <v>0</v>
      </c>
      <c r="R42">
        <v>0</v>
      </c>
      <c r="S42">
        <v>0</v>
      </c>
      <c r="T42">
        <v>2818637.17</v>
      </c>
      <c r="U42">
        <v>2818637.17</v>
      </c>
      <c r="V42">
        <v>0</v>
      </c>
      <c r="W42">
        <v>0</v>
      </c>
      <c r="X42">
        <v>0</v>
      </c>
      <c r="AA42">
        <v>0</v>
      </c>
      <c r="AD42">
        <v>0</v>
      </c>
    </row>
    <row r="43" spans="2:30" x14ac:dyDescent="0.25">
      <c r="B43" t="s">
        <v>80</v>
      </c>
      <c r="C43" s="9" t="s">
        <v>55</v>
      </c>
      <c r="D43" s="10" t="s">
        <v>38</v>
      </c>
      <c r="E43" s="2">
        <v>45748</v>
      </c>
      <c r="F43">
        <v>1</v>
      </c>
      <c r="G43">
        <v>0</v>
      </c>
      <c r="H43">
        <v>467442.03</v>
      </c>
      <c r="I43">
        <v>467442.03</v>
      </c>
      <c r="J43">
        <v>0</v>
      </c>
      <c r="K43">
        <v>0</v>
      </c>
      <c r="L43">
        <v>0</v>
      </c>
      <c r="O43">
        <v>0</v>
      </c>
      <c r="R43">
        <v>0</v>
      </c>
      <c r="S43">
        <v>0</v>
      </c>
      <c r="T43">
        <v>3286079.2</v>
      </c>
      <c r="U43">
        <v>3286079.2</v>
      </c>
      <c r="V43">
        <v>0</v>
      </c>
      <c r="W43">
        <v>0</v>
      </c>
      <c r="X43">
        <v>0</v>
      </c>
      <c r="AA43">
        <v>0</v>
      </c>
      <c r="AD43">
        <v>0</v>
      </c>
    </row>
    <row r="44" spans="2:30" x14ac:dyDescent="0.25">
      <c r="B44" t="s">
        <v>80</v>
      </c>
      <c r="C44" s="9" t="s">
        <v>55</v>
      </c>
      <c r="D44" s="10" t="s">
        <v>39</v>
      </c>
      <c r="E44" s="2">
        <v>45778</v>
      </c>
      <c r="F44">
        <v>1</v>
      </c>
      <c r="G44">
        <v>0</v>
      </c>
      <c r="H44">
        <v>111884.75</v>
      </c>
      <c r="I44">
        <v>111884.75</v>
      </c>
      <c r="J44">
        <v>0</v>
      </c>
      <c r="K44">
        <v>0</v>
      </c>
      <c r="L44">
        <v>0</v>
      </c>
      <c r="O44">
        <v>0</v>
      </c>
      <c r="R44">
        <v>0</v>
      </c>
      <c r="S44">
        <v>0</v>
      </c>
      <c r="T44">
        <v>3397963.95</v>
      </c>
      <c r="U44">
        <v>3397963.95</v>
      </c>
      <c r="V44">
        <v>0</v>
      </c>
      <c r="W44">
        <v>0</v>
      </c>
      <c r="X44">
        <v>0</v>
      </c>
      <c r="AA44">
        <v>0</v>
      </c>
      <c r="AD44">
        <v>0</v>
      </c>
    </row>
    <row r="45" spans="2:30" x14ac:dyDescent="0.25">
      <c r="B45" t="s">
        <v>80</v>
      </c>
      <c r="C45" s="9" t="s">
        <v>55</v>
      </c>
      <c r="D45" s="10" t="s">
        <v>40</v>
      </c>
      <c r="E45" s="2">
        <v>45809</v>
      </c>
      <c r="F45">
        <v>1</v>
      </c>
      <c r="G45">
        <v>0</v>
      </c>
      <c r="H45">
        <v>37581.25</v>
      </c>
      <c r="I45">
        <v>37581.25</v>
      </c>
      <c r="J45">
        <v>0</v>
      </c>
      <c r="K45">
        <v>0</v>
      </c>
      <c r="L45">
        <v>0</v>
      </c>
      <c r="O45">
        <v>0</v>
      </c>
      <c r="R45">
        <v>0</v>
      </c>
      <c r="S45">
        <v>0</v>
      </c>
      <c r="T45">
        <v>3435545.2</v>
      </c>
      <c r="U45">
        <v>3435545.2</v>
      </c>
      <c r="V45">
        <v>0</v>
      </c>
      <c r="W45">
        <v>0</v>
      </c>
      <c r="X45">
        <v>0</v>
      </c>
      <c r="AA45">
        <v>0</v>
      </c>
      <c r="AD45">
        <v>0</v>
      </c>
    </row>
    <row r="46" spans="2:30" x14ac:dyDescent="0.25">
      <c r="B46" t="s">
        <v>80</v>
      </c>
      <c r="C46" s="9" t="s">
        <v>55</v>
      </c>
      <c r="D46" s="10" t="s">
        <v>41</v>
      </c>
      <c r="E46" s="2">
        <v>45839</v>
      </c>
      <c r="F46">
        <v>1</v>
      </c>
      <c r="G46">
        <v>0</v>
      </c>
      <c r="H46">
        <v>91268.75</v>
      </c>
      <c r="I46">
        <v>91268.75</v>
      </c>
      <c r="J46">
        <v>0</v>
      </c>
      <c r="K46">
        <v>0</v>
      </c>
      <c r="L46">
        <v>0</v>
      </c>
      <c r="O46">
        <v>0</v>
      </c>
      <c r="R46">
        <v>0</v>
      </c>
      <c r="S46">
        <v>0</v>
      </c>
      <c r="T46">
        <v>3526813.95</v>
      </c>
      <c r="U46">
        <v>3526813.95</v>
      </c>
      <c r="V46">
        <v>0</v>
      </c>
      <c r="W46">
        <v>0</v>
      </c>
      <c r="X46">
        <v>0</v>
      </c>
      <c r="AA46">
        <v>0</v>
      </c>
      <c r="AD46">
        <v>0</v>
      </c>
    </row>
    <row r="47" spans="2:30" x14ac:dyDescent="0.25">
      <c r="B47" t="s">
        <v>80</v>
      </c>
      <c r="C47" s="9" t="s">
        <v>55</v>
      </c>
      <c r="D47" s="10" t="s">
        <v>42</v>
      </c>
      <c r="E47" s="2">
        <v>45870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R47">
        <v>0</v>
      </c>
      <c r="S47">
        <v>0</v>
      </c>
      <c r="T47">
        <v>3526813.95</v>
      </c>
      <c r="U47">
        <v>3526813.95</v>
      </c>
      <c r="V47">
        <v>0</v>
      </c>
      <c r="W47">
        <v>0</v>
      </c>
      <c r="X47">
        <v>0</v>
      </c>
      <c r="AA47">
        <v>0</v>
      </c>
      <c r="AD47">
        <v>0</v>
      </c>
    </row>
    <row r="48" spans="2:30" x14ac:dyDescent="0.25">
      <c r="B48" t="s">
        <v>80</v>
      </c>
      <c r="C48" s="9" t="s">
        <v>55</v>
      </c>
      <c r="D48" s="10" t="s">
        <v>43</v>
      </c>
      <c r="E48" s="2">
        <v>45901</v>
      </c>
      <c r="F48">
        <v>1</v>
      </c>
      <c r="G48">
        <v>0</v>
      </c>
      <c r="H48">
        <v>3436</v>
      </c>
      <c r="I48">
        <v>3436</v>
      </c>
      <c r="J48">
        <v>0</v>
      </c>
      <c r="K48">
        <v>0</v>
      </c>
      <c r="L48">
        <v>0</v>
      </c>
      <c r="O48">
        <v>0</v>
      </c>
      <c r="R48">
        <v>0</v>
      </c>
      <c r="S48">
        <v>0</v>
      </c>
      <c r="T48">
        <v>3530249.95</v>
      </c>
      <c r="U48">
        <v>3530249.95</v>
      </c>
      <c r="V48">
        <v>0</v>
      </c>
      <c r="W48">
        <v>0</v>
      </c>
      <c r="X48">
        <v>0</v>
      </c>
      <c r="AA48">
        <v>0</v>
      </c>
      <c r="AD48">
        <v>0</v>
      </c>
    </row>
    <row r="49" spans="2:30" x14ac:dyDescent="0.25">
      <c r="B49" t="s">
        <v>80</v>
      </c>
      <c r="C49" s="9" t="s">
        <v>55</v>
      </c>
      <c r="D49" s="10" t="s">
        <v>44</v>
      </c>
      <c r="E49" s="2">
        <v>45931</v>
      </c>
      <c r="F49">
        <v>1</v>
      </c>
      <c r="G49">
        <v>0</v>
      </c>
      <c r="H49">
        <v>30709.25</v>
      </c>
      <c r="I49">
        <v>30709.25</v>
      </c>
      <c r="J49">
        <v>0</v>
      </c>
      <c r="K49">
        <v>0</v>
      </c>
      <c r="L49">
        <v>0</v>
      </c>
      <c r="O49">
        <v>0</v>
      </c>
      <c r="R49">
        <v>0</v>
      </c>
      <c r="S49">
        <v>0</v>
      </c>
      <c r="T49">
        <v>3560959.2</v>
      </c>
      <c r="U49">
        <v>3560959.2</v>
      </c>
      <c r="V49">
        <v>0</v>
      </c>
      <c r="W49">
        <v>0</v>
      </c>
      <c r="X49">
        <v>0</v>
      </c>
      <c r="AA49">
        <v>0</v>
      </c>
      <c r="AD49">
        <v>0</v>
      </c>
    </row>
    <row r="50" spans="2:30" x14ac:dyDescent="0.25">
      <c r="B50" t="s">
        <v>80</v>
      </c>
      <c r="C50" s="9" t="s">
        <v>55</v>
      </c>
      <c r="D50" s="10" t="s">
        <v>45</v>
      </c>
      <c r="E50" s="2">
        <v>45962</v>
      </c>
      <c r="F50">
        <v>1</v>
      </c>
      <c r="G50">
        <v>0</v>
      </c>
      <c r="H50">
        <v>61332.6</v>
      </c>
      <c r="I50">
        <v>61332.6</v>
      </c>
      <c r="J50">
        <v>0</v>
      </c>
      <c r="K50">
        <v>0</v>
      </c>
      <c r="L50">
        <v>0</v>
      </c>
      <c r="O50">
        <v>0</v>
      </c>
      <c r="R50">
        <v>0</v>
      </c>
      <c r="S50">
        <v>0</v>
      </c>
      <c r="T50">
        <v>3622291.8</v>
      </c>
      <c r="U50">
        <v>3622291.8</v>
      </c>
      <c r="V50">
        <v>0</v>
      </c>
      <c r="W50">
        <v>0</v>
      </c>
      <c r="X50">
        <v>0</v>
      </c>
      <c r="AA50">
        <v>0</v>
      </c>
      <c r="AD50">
        <v>0</v>
      </c>
    </row>
    <row r="51" spans="2:30" x14ac:dyDescent="0.25">
      <c r="B51" t="s">
        <v>80</v>
      </c>
      <c r="C51" s="9" t="s">
        <v>55</v>
      </c>
      <c r="D51" s="10" t="s">
        <v>46</v>
      </c>
      <c r="E51" s="2">
        <v>45992</v>
      </c>
      <c r="F51">
        <v>1</v>
      </c>
      <c r="G51">
        <v>0</v>
      </c>
      <c r="H51">
        <v>170880.87</v>
      </c>
      <c r="I51">
        <v>170880.87</v>
      </c>
      <c r="J51">
        <v>0</v>
      </c>
      <c r="K51">
        <v>0</v>
      </c>
      <c r="L51">
        <v>0</v>
      </c>
      <c r="O51">
        <v>0</v>
      </c>
      <c r="R51">
        <v>0</v>
      </c>
      <c r="S51">
        <v>0</v>
      </c>
      <c r="T51">
        <v>3793172.67</v>
      </c>
      <c r="U51">
        <v>3793172.67</v>
      </c>
      <c r="V51">
        <v>0</v>
      </c>
      <c r="W51">
        <v>0</v>
      </c>
      <c r="X51">
        <v>0</v>
      </c>
      <c r="AA51">
        <v>0</v>
      </c>
      <c r="AD51">
        <v>0</v>
      </c>
    </row>
    <row r="52" spans="2:30" x14ac:dyDescent="0.25">
      <c r="B52" t="s">
        <v>80</v>
      </c>
      <c r="C52" s="9" t="s">
        <v>55</v>
      </c>
      <c r="D52" s="10" t="s">
        <v>47</v>
      </c>
      <c r="E52" s="2">
        <v>46023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O52">
        <v>0</v>
      </c>
      <c r="R52">
        <v>0</v>
      </c>
      <c r="S52">
        <v>0</v>
      </c>
      <c r="T52">
        <v>3793172.67</v>
      </c>
      <c r="U52">
        <v>3793172.67</v>
      </c>
      <c r="V52">
        <v>0</v>
      </c>
      <c r="W52">
        <v>0</v>
      </c>
      <c r="X52">
        <v>0</v>
      </c>
      <c r="AA52">
        <v>0</v>
      </c>
      <c r="AD52">
        <v>0</v>
      </c>
    </row>
    <row r="53" spans="2:30" x14ac:dyDescent="0.25">
      <c r="B53" t="s">
        <v>80</v>
      </c>
      <c r="C53" s="9" t="s">
        <v>55</v>
      </c>
      <c r="D53" s="10" t="s">
        <v>48</v>
      </c>
      <c r="E53" s="2">
        <v>46054</v>
      </c>
      <c r="F53">
        <v>1</v>
      </c>
      <c r="G53">
        <v>0</v>
      </c>
      <c r="H53">
        <v>15462</v>
      </c>
      <c r="I53">
        <v>15462</v>
      </c>
      <c r="J53">
        <v>0</v>
      </c>
      <c r="K53">
        <v>0</v>
      </c>
      <c r="L53">
        <v>0</v>
      </c>
      <c r="O53">
        <v>0</v>
      </c>
      <c r="R53">
        <v>0</v>
      </c>
      <c r="S53">
        <v>0</v>
      </c>
      <c r="T53">
        <v>3808634.67</v>
      </c>
      <c r="U53">
        <v>3808634.67</v>
      </c>
      <c r="V53">
        <v>0</v>
      </c>
      <c r="W53">
        <v>0</v>
      </c>
      <c r="X53">
        <v>0</v>
      </c>
      <c r="AA53">
        <v>0</v>
      </c>
      <c r="AD53">
        <v>0</v>
      </c>
    </row>
    <row r="54" spans="2:30" x14ac:dyDescent="0.25">
      <c r="B54" t="s">
        <v>80</v>
      </c>
      <c r="C54" s="9" t="s">
        <v>55</v>
      </c>
      <c r="D54" s="10" t="s">
        <v>49</v>
      </c>
      <c r="E54" s="2">
        <v>46082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O54">
        <v>0</v>
      </c>
      <c r="R54">
        <v>0</v>
      </c>
      <c r="S54">
        <v>0</v>
      </c>
      <c r="T54">
        <v>3808634.67</v>
      </c>
      <c r="U54">
        <v>3808634.67</v>
      </c>
      <c r="V54">
        <v>0</v>
      </c>
      <c r="W54">
        <v>0</v>
      </c>
      <c r="X54">
        <v>0</v>
      </c>
      <c r="AA54">
        <v>0</v>
      </c>
      <c r="AD54">
        <v>0</v>
      </c>
    </row>
    <row r="55" spans="2:30" x14ac:dyDescent="0.25">
      <c r="B55" t="s">
        <v>80</v>
      </c>
      <c r="C55" s="9" t="s">
        <v>55</v>
      </c>
      <c r="D55" s="10" t="s">
        <v>50</v>
      </c>
      <c r="E55" s="2">
        <v>46113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O55">
        <v>0</v>
      </c>
      <c r="R55">
        <v>0</v>
      </c>
      <c r="S55">
        <v>0</v>
      </c>
      <c r="T55">
        <v>3808634.67</v>
      </c>
      <c r="U55">
        <v>3808634.67</v>
      </c>
      <c r="V55">
        <v>0</v>
      </c>
      <c r="W55">
        <v>0</v>
      </c>
      <c r="X55">
        <v>0</v>
      </c>
      <c r="AA55">
        <v>0</v>
      </c>
      <c r="AD55">
        <v>0</v>
      </c>
    </row>
    <row r="56" spans="2:30" x14ac:dyDescent="0.25">
      <c r="B56" t="s">
        <v>80</v>
      </c>
      <c r="C56" s="9" t="s">
        <v>55</v>
      </c>
      <c r="D56" s="10" t="s">
        <v>51</v>
      </c>
      <c r="E56" s="2">
        <v>46143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O56">
        <v>0</v>
      </c>
      <c r="R56">
        <v>0</v>
      </c>
      <c r="S56">
        <v>0</v>
      </c>
      <c r="T56">
        <v>3808634.67</v>
      </c>
      <c r="U56">
        <v>3808634.67</v>
      </c>
      <c r="V56">
        <v>0</v>
      </c>
      <c r="W56">
        <v>0</v>
      </c>
      <c r="X56">
        <v>0</v>
      </c>
      <c r="AA56">
        <v>0</v>
      </c>
      <c r="AD56">
        <v>0</v>
      </c>
    </row>
    <row r="57" spans="2:30" x14ac:dyDescent="0.25">
      <c r="B57" t="s">
        <v>80</v>
      </c>
      <c r="C57" s="9" t="s">
        <v>55</v>
      </c>
      <c r="D57" s="10" t="s">
        <v>52</v>
      </c>
      <c r="E57" s="2">
        <v>46174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O57">
        <v>0</v>
      </c>
      <c r="R57">
        <v>0</v>
      </c>
      <c r="S57">
        <v>0</v>
      </c>
      <c r="T57">
        <v>3808634.67</v>
      </c>
      <c r="U57">
        <v>3808634.67</v>
      </c>
      <c r="V57">
        <v>0</v>
      </c>
      <c r="W57">
        <v>0</v>
      </c>
      <c r="X57">
        <v>0</v>
      </c>
      <c r="AA57">
        <v>0</v>
      </c>
      <c r="AD57">
        <v>0</v>
      </c>
    </row>
    <row r="58" spans="2:30" x14ac:dyDescent="0.25">
      <c r="B58" t="s">
        <v>80</v>
      </c>
      <c r="C58" s="9" t="s">
        <v>55</v>
      </c>
      <c r="D58" s="10" t="s">
        <v>53</v>
      </c>
      <c r="E58" s="2">
        <v>46204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O58">
        <v>0</v>
      </c>
      <c r="R58">
        <v>0</v>
      </c>
      <c r="S58">
        <v>0</v>
      </c>
      <c r="T58">
        <v>3808634.67</v>
      </c>
      <c r="U58">
        <v>3808634.67</v>
      </c>
      <c r="V58">
        <v>0</v>
      </c>
      <c r="W58">
        <v>0</v>
      </c>
      <c r="X58">
        <v>0</v>
      </c>
      <c r="AA58">
        <v>0</v>
      </c>
      <c r="AD58">
        <v>0</v>
      </c>
    </row>
    <row r="59" spans="2:30" x14ac:dyDescent="0.25">
      <c r="B59" t="s">
        <v>80</v>
      </c>
      <c r="C59" s="9" t="s">
        <v>55</v>
      </c>
      <c r="D59" s="10" t="s">
        <v>54</v>
      </c>
      <c r="E59" s="2">
        <v>46235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O59">
        <v>0</v>
      </c>
      <c r="R59">
        <v>0</v>
      </c>
      <c r="S59">
        <v>0</v>
      </c>
      <c r="T59">
        <v>3808634.67</v>
      </c>
      <c r="U59">
        <v>3808634.67</v>
      </c>
      <c r="V59">
        <v>0</v>
      </c>
      <c r="W59">
        <v>0</v>
      </c>
      <c r="X59">
        <v>0</v>
      </c>
      <c r="AA59">
        <v>0</v>
      </c>
      <c r="AD59">
        <v>0</v>
      </c>
    </row>
    <row r="60" spans="2:30" x14ac:dyDescent="0.25">
      <c r="B60" t="s">
        <v>81</v>
      </c>
      <c r="C60" s="9" t="s">
        <v>56</v>
      </c>
      <c r="D60" s="10" t="s">
        <v>30</v>
      </c>
      <c r="E60" s="2"/>
      <c r="G60">
        <v>0</v>
      </c>
      <c r="H60">
        <v>1800963.16</v>
      </c>
      <c r="I60">
        <v>1800963.16</v>
      </c>
      <c r="J60">
        <v>0</v>
      </c>
      <c r="K60">
        <v>0</v>
      </c>
      <c r="L60">
        <v>0</v>
      </c>
    </row>
    <row r="61" spans="2:30" x14ac:dyDescent="0.25">
      <c r="B61" t="s">
        <v>81</v>
      </c>
      <c r="C61" s="9" t="s">
        <v>56</v>
      </c>
      <c r="D61" s="10" t="s">
        <v>31</v>
      </c>
      <c r="E61" s="2">
        <v>45536</v>
      </c>
      <c r="F61">
        <v>0</v>
      </c>
      <c r="G61">
        <v>0</v>
      </c>
      <c r="H61">
        <v>0</v>
      </c>
      <c r="I61">
        <v>0</v>
      </c>
      <c r="J61">
        <v>51665.62</v>
      </c>
      <c r="K61">
        <v>51665.62</v>
      </c>
      <c r="L61">
        <v>103331.24</v>
      </c>
      <c r="S61">
        <v>0</v>
      </c>
      <c r="T61">
        <v>0</v>
      </c>
      <c r="U61">
        <v>0</v>
      </c>
      <c r="V61">
        <v>51665.62</v>
      </c>
      <c r="W61">
        <v>51665.62</v>
      </c>
      <c r="X61">
        <v>103331.24</v>
      </c>
    </row>
    <row r="62" spans="2:30" x14ac:dyDescent="0.25">
      <c r="B62" t="s">
        <v>81</v>
      </c>
      <c r="C62" s="9" t="s">
        <v>56</v>
      </c>
      <c r="D62" s="10" t="s">
        <v>32</v>
      </c>
      <c r="E62" s="2">
        <v>45566</v>
      </c>
      <c r="F62">
        <v>0.2</v>
      </c>
      <c r="G62">
        <v>0</v>
      </c>
      <c r="H62">
        <v>51665.62</v>
      </c>
      <c r="I62">
        <v>51665.62</v>
      </c>
      <c r="J62">
        <v>225388.96</v>
      </c>
      <c r="K62">
        <v>225388.96</v>
      </c>
      <c r="L62">
        <v>450777.92</v>
      </c>
      <c r="O62">
        <v>0</v>
      </c>
      <c r="R62">
        <v>0</v>
      </c>
      <c r="S62">
        <v>0</v>
      </c>
      <c r="T62">
        <v>51665.62</v>
      </c>
      <c r="U62">
        <v>51665.62</v>
      </c>
      <c r="V62">
        <v>277054.58</v>
      </c>
      <c r="W62">
        <v>277054.58</v>
      </c>
      <c r="X62">
        <v>554109.16</v>
      </c>
      <c r="AA62">
        <v>0</v>
      </c>
      <c r="AD62">
        <v>0</v>
      </c>
    </row>
    <row r="63" spans="2:30" x14ac:dyDescent="0.25">
      <c r="B63" t="s">
        <v>81</v>
      </c>
      <c r="C63" s="9" t="s">
        <v>56</v>
      </c>
      <c r="D63" s="10" t="s">
        <v>33</v>
      </c>
      <c r="E63" s="2">
        <v>45597</v>
      </c>
      <c r="F63">
        <v>0.48</v>
      </c>
      <c r="G63">
        <v>0</v>
      </c>
      <c r="H63">
        <v>225388.96</v>
      </c>
      <c r="I63">
        <v>225388.96</v>
      </c>
      <c r="J63">
        <v>-277054.58</v>
      </c>
      <c r="K63">
        <v>-277054.58</v>
      </c>
      <c r="L63">
        <v>-554109.16</v>
      </c>
      <c r="O63">
        <v>0</v>
      </c>
      <c r="R63">
        <v>0</v>
      </c>
      <c r="S63">
        <v>0</v>
      </c>
      <c r="T63">
        <v>277054.58</v>
      </c>
      <c r="U63">
        <v>277054.58</v>
      </c>
      <c r="V63">
        <v>0</v>
      </c>
      <c r="W63">
        <v>0</v>
      </c>
      <c r="X63">
        <v>0</v>
      </c>
      <c r="AA63">
        <v>0</v>
      </c>
      <c r="AD63">
        <v>0</v>
      </c>
    </row>
    <row r="64" spans="2:30" x14ac:dyDescent="0.25">
      <c r="B64" t="s">
        <v>81</v>
      </c>
      <c r="C64" s="9" t="s">
        <v>56</v>
      </c>
      <c r="D64" s="10" t="s">
        <v>34</v>
      </c>
      <c r="E64" s="2">
        <v>45627</v>
      </c>
      <c r="F64">
        <v>0.59</v>
      </c>
      <c r="G64">
        <v>0</v>
      </c>
      <c r="H64">
        <v>297870.17</v>
      </c>
      <c r="I64">
        <v>297870.17</v>
      </c>
      <c r="J64">
        <v>0</v>
      </c>
      <c r="K64">
        <v>0</v>
      </c>
      <c r="L64">
        <v>0</v>
      </c>
      <c r="O64">
        <v>0</v>
      </c>
      <c r="R64">
        <v>0</v>
      </c>
      <c r="S64">
        <v>0</v>
      </c>
      <c r="T64">
        <v>574924.75</v>
      </c>
      <c r="U64">
        <v>574924.75</v>
      </c>
      <c r="V64">
        <v>0</v>
      </c>
      <c r="W64">
        <v>0</v>
      </c>
      <c r="X64">
        <v>0</v>
      </c>
      <c r="AA64">
        <v>0</v>
      </c>
      <c r="AD64">
        <v>0</v>
      </c>
    </row>
    <row r="65" spans="2:30" x14ac:dyDescent="0.25">
      <c r="B65" t="s">
        <v>81</v>
      </c>
      <c r="C65" s="9" t="s">
        <v>56</v>
      </c>
      <c r="D65" s="10" t="s">
        <v>35</v>
      </c>
      <c r="E65" s="2">
        <v>45658</v>
      </c>
      <c r="F65">
        <v>0.75</v>
      </c>
      <c r="G65">
        <v>0</v>
      </c>
      <c r="H65">
        <v>361768.41</v>
      </c>
      <c r="I65">
        <v>361768.41</v>
      </c>
      <c r="J65">
        <v>0</v>
      </c>
      <c r="K65">
        <v>0</v>
      </c>
      <c r="L65">
        <v>0</v>
      </c>
      <c r="O65">
        <v>0</v>
      </c>
      <c r="R65">
        <v>0</v>
      </c>
      <c r="S65">
        <v>0</v>
      </c>
      <c r="T65">
        <v>936693.16</v>
      </c>
      <c r="U65">
        <v>936693.16</v>
      </c>
      <c r="V65">
        <v>0</v>
      </c>
      <c r="W65">
        <v>0</v>
      </c>
      <c r="X65">
        <v>0</v>
      </c>
      <c r="AA65">
        <v>0</v>
      </c>
      <c r="AD65">
        <v>0</v>
      </c>
    </row>
    <row r="66" spans="2:30" x14ac:dyDescent="0.25">
      <c r="B66" t="s">
        <v>81</v>
      </c>
      <c r="C66" s="9" t="s">
        <v>56</v>
      </c>
      <c r="D66" s="10" t="s">
        <v>36</v>
      </c>
      <c r="E66" s="2">
        <v>45689</v>
      </c>
      <c r="F66">
        <v>0.96</v>
      </c>
      <c r="G66">
        <v>0</v>
      </c>
      <c r="H66">
        <v>230628.75</v>
      </c>
      <c r="I66">
        <v>230628.75</v>
      </c>
      <c r="J66">
        <v>0</v>
      </c>
      <c r="K66">
        <v>0</v>
      </c>
      <c r="L66">
        <v>0</v>
      </c>
      <c r="O66">
        <v>0</v>
      </c>
      <c r="R66">
        <v>0</v>
      </c>
      <c r="S66">
        <v>0</v>
      </c>
      <c r="T66">
        <v>1167321.9099999999</v>
      </c>
      <c r="U66">
        <v>1167321.9099999999</v>
      </c>
      <c r="V66">
        <v>0</v>
      </c>
      <c r="W66">
        <v>0</v>
      </c>
      <c r="X66">
        <v>0</v>
      </c>
      <c r="AA66">
        <v>0</v>
      </c>
      <c r="AD66">
        <v>0</v>
      </c>
    </row>
    <row r="67" spans="2:30" x14ac:dyDescent="0.25">
      <c r="B67" t="s">
        <v>81</v>
      </c>
      <c r="C67" s="9" t="s">
        <v>56</v>
      </c>
      <c r="D67" s="10" t="s">
        <v>37</v>
      </c>
      <c r="E67" s="2">
        <v>45717</v>
      </c>
      <c r="F67">
        <v>1</v>
      </c>
      <c r="G67">
        <v>0</v>
      </c>
      <c r="H67">
        <v>248234.25</v>
      </c>
      <c r="I67">
        <v>248234.25</v>
      </c>
      <c r="J67">
        <v>0</v>
      </c>
      <c r="K67">
        <v>0</v>
      </c>
      <c r="L67">
        <v>0</v>
      </c>
      <c r="O67">
        <v>0</v>
      </c>
      <c r="R67">
        <v>0</v>
      </c>
      <c r="S67">
        <v>0</v>
      </c>
      <c r="T67">
        <v>1415556.16</v>
      </c>
      <c r="U67">
        <v>1415556.16</v>
      </c>
      <c r="V67">
        <v>0</v>
      </c>
      <c r="W67">
        <v>0</v>
      </c>
      <c r="X67">
        <v>0</v>
      </c>
      <c r="AA67">
        <v>0</v>
      </c>
      <c r="AD67">
        <v>0</v>
      </c>
    </row>
    <row r="68" spans="2:30" x14ac:dyDescent="0.25">
      <c r="B68" t="s">
        <v>81</v>
      </c>
      <c r="C68" s="9" t="s">
        <v>56</v>
      </c>
      <c r="D68" s="10" t="s">
        <v>38</v>
      </c>
      <c r="E68" s="2">
        <v>45748</v>
      </c>
      <c r="F68">
        <v>1</v>
      </c>
      <c r="G68">
        <v>0</v>
      </c>
      <c r="H68">
        <v>149118.75</v>
      </c>
      <c r="I68">
        <v>149118.75</v>
      </c>
      <c r="J68">
        <v>0</v>
      </c>
      <c r="K68">
        <v>0</v>
      </c>
      <c r="L68">
        <v>0</v>
      </c>
      <c r="O68">
        <v>0</v>
      </c>
      <c r="R68">
        <v>0</v>
      </c>
      <c r="S68">
        <v>0</v>
      </c>
      <c r="T68">
        <v>1564674.91</v>
      </c>
      <c r="U68">
        <v>1564674.91</v>
      </c>
      <c r="V68">
        <v>0</v>
      </c>
      <c r="W68">
        <v>0</v>
      </c>
      <c r="X68">
        <v>0</v>
      </c>
      <c r="AA68">
        <v>0</v>
      </c>
      <c r="AD68">
        <v>0</v>
      </c>
    </row>
    <row r="69" spans="2:30" x14ac:dyDescent="0.25">
      <c r="B69" t="s">
        <v>81</v>
      </c>
      <c r="C69" s="9" t="s">
        <v>56</v>
      </c>
      <c r="D69" s="10" t="s">
        <v>39</v>
      </c>
      <c r="E69" s="2">
        <v>45778</v>
      </c>
      <c r="F69">
        <v>1</v>
      </c>
      <c r="G69">
        <v>0</v>
      </c>
      <c r="H69">
        <v>73210.5</v>
      </c>
      <c r="I69">
        <v>73210.5</v>
      </c>
      <c r="J69">
        <v>0</v>
      </c>
      <c r="K69">
        <v>0</v>
      </c>
      <c r="L69">
        <v>0</v>
      </c>
      <c r="O69">
        <v>0</v>
      </c>
      <c r="R69">
        <v>0</v>
      </c>
      <c r="S69">
        <v>0</v>
      </c>
      <c r="T69">
        <v>1637885.41</v>
      </c>
      <c r="U69">
        <v>1637885.41</v>
      </c>
      <c r="V69">
        <v>0</v>
      </c>
      <c r="W69">
        <v>0</v>
      </c>
      <c r="X69">
        <v>0</v>
      </c>
      <c r="AA69">
        <v>0</v>
      </c>
      <c r="AD69">
        <v>0</v>
      </c>
    </row>
    <row r="70" spans="2:30" x14ac:dyDescent="0.25">
      <c r="B70" t="s">
        <v>81</v>
      </c>
      <c r="C70" s="9" t="s">
        <v>56</v>
      </c>
      <c r="D70" s="10" t="s">
        <v>40</v>
      </c>
      <c r="E70" s="2">
        <v>45809</v>
      </c>
      <c r="F70">
        <v>1</v>
      </c>
      <c r="G70">
        <v>0</v>
      </c>
      <c r="H70">
        <v>63747.75</v>
      </c>
      <c r="I70">
        <v>63747.75</v>
      </c>
      <c r="J70">
        <v>0</v>
      </c>
      <c r="K70">
        <v>0</v>
      </c>
      <c r="L70">
        <v>0</v>
      </c>
      <c r="O70">
        <v>0</v>
      </c>
      <c r="R70">
        <v>0</v>
      </c>
      <c r="S70">
        <v>0</v>
      </c>
      <c r="T70">
        <v>1701633.16</v>
      </c>
      <c r="U70">
        <v>1701633.16</v>
      </c>
      <c r="V70">
        <v>0</v>
      </c>
      <c r="W70">
        <v>0</v>
      </c>
      <c r="X70">
        <v>0</v>
      </c>
      <c r="AA70">
        <v>0</v>
      </c>
      <c r="AD70">
        <v>0</v>
      </c>
    </row>
    <row r="71" spans="2:30" x14ac:dyDescent="0.25">
      <c r="B71" t="s">
        <v>81</v>
      </c>
      <c r="C71" s="9" t="s">
        <v>56</v>
      </c>
      <c r="D71" s="10" t="s">
        <v>41</v>
      </c>
      <c r="E71" s="2">
        <v>45839</v>
      </c>
      <c r="F71">
        <v>1</v>
      </c>
      <c r="G71">
        <v>0</v>
      </c>
      <c r="H71">
        <v>29213.25</v>
      </c>
      <c r="I71">
        <v>29213.25</v>
      </c>
      <c r="J71">
        <v>0</v>
      </c>
      <c r="K71">
        <v>0</v>
      </c>
      <c r="L71">
        <v>0</v>
      </c>
      <c r="O71">
        <v>0</v>
      </c>
      <c r="R71">
        <v>0</v>
      </c>
      <c r="S71">
        <v>0</v>
      </c>
      <c r="T71">
        <v>1730846.41</v>
      </c>
      <c r="U71">
        <v>1730846.41</v>
      </c>
      <c r="V71">
        <v>0</v>
      </c>
      <c r="W71">
        <v>0</v>
      </c>
      <c r="X71">
        <v>0</v>
      </c>
      <c r="AA71">
        <v>0</v>
      </c>
      <c r="AD71">
        <v>0</v>
      </c>
    </row>
    <row r="72" spans="2:30" x14ac:dyDescent="0.25">
      <c r="B72" t="s">
        <v>81</v>
      </c>
      <c r="C72" s="9" t="s">
        <v>56</v>
      </c>
      <c r="D72" s="10" t="s">
        <v>42</v>
      </c>
      <c r="E72" s="2">
        <v>45870</v>
      </c>
      <c r="F72">
        <v>1</v>
      </c>
      <c r="G72">
        <v>0</v>
      </c>
      <c r="H72">
        <v>16021.5</v>
      </c>
      <c r="I72">
        <v>16021.5</v>
      </c>
      <c r="J72">
        <v>0</v>
      </c>
      <c r="K72">
        <v>0</v>
      </c>
      <c r="L72">
        <v>0</v>
      </c>
      <c r="O72">
        <v>0</v>
      </c>
      <c r="R72">
        <v>0</v>
      </c>
      <c r="S72">
        <v>0</v>
      </c>
      <c r="T72">
        <v>1746867.91</v>
      </c>
      <c r="U72">
        <v>1746867.91</v>
      </c>
      <c r="V72">
        <v>0</v>
      </c>
      <c r="W72">
        <v>0</v>
      </c>
      <c r="X72">
        <v>0</v>
      </c>
      <c r="AA72">
        <v>0</v>
      </c>
      <c r="AD72">
        <v>0</v>
      </c>
    </row>
    <row r="73" spans="2:30" x14ac:dyDescent="0.25">
      <c r="B73" t="s">
        <v>81</v>
      </c>
      <c r="C73" s="9" t="s">
        <v>56</v>
      </c>
      <c r="D73" s="10" t="s">
        <v>43</v>
      </c>
      <c r="E73" s="2">
        <v>45901</v>
      </c>
      <c r="F73">
        <v>1</v>
      </c>
      <c r="G73">
        <v>0</v>
      </c>
      <c r="H73">
        <v>20691</v>
      </c>
      <c r="I73">
        <v>20691</v>
      </c>
      <c r="J73">
        <v>0</v>
      </c>
      <c r="K73">
        <v>0</v>
      </c>
      <c r="L73">
        <v>0</v>
      </c>
      <c r="O73">
        <v>0</v>
      </c>
      <c r="R73">
        <v>0</v>
      </c>
      <c r="S73">
        <v>0</v>
      </c>
      <c r="T73">
        <v>1767558.91</v>
      </c>
      <c r="U73">
        <v>1767558.91</v>
      </c>
      <c r="V73">
        <v>0</v>
      </c>
      <c r="W73">
        <v>0</v>
      </c>
      <c r="X73">
        <v>0</v>
      </c>
      <c r="AA73">
        <v>0</v>
      </c>
      <c r="AD73">
        <v>0</v>
      </c>
    </row>
    <row r="74" spans="2:30" x14ac:dyDescent="0.25">
      <c r="B74" t="s">
        <v>81</v>
      </c>
      <c r="C74" s="9" t="s">
        <v>56</v>
      </c>
      <c r="D74" s="10" t="s">
        <v>44</v>
      </c>
      <c r="E74" s="2">
        <v>45931</v>
      </c>
      <c r="F74">
        <v>1</v>
      </c>
      <c r="G74">
        <v>0</v>
      </c>
      <c r="H74">
        <v>12853.5</v>
      </c>
      <c r="I74">
        <v>12853.5</v>
      </c>
      <c r="J74">
        <v>0</v>
      </c>
      <c r="K74">
        <v>0</v>
      </c>
      <c r="L74">
        <v>0</v>
      </c>
      <c r="O74">
        <v>0</v>
      </c>
      <c r="R74">
        <v>0</v>
      </c>
      <c r="S74">
        <v>0</v>
      </c>
      <c r="T74">
        <v>1780412.41</v>
      </c>
      <c r="U74">
        <v>1780412.41</v>
      </c>
      <c r="V74">
        <v>0</v>
      </c>
      <c r="W74">
        <v>0</v>
      </c>
      <c r="X74">
        <v>0</v>
      </c>
      <c r="AA74">
        <v>0</v>
      </c>
      <c r="AD74">
        <v>0</v>
      </c>
    </row>
    <row r="75" spans="2:30" x14ac:dyDescent="0.25">
      <c r="B75" t="s">
        <v>81</v>
      </c>
      <c r="C75" s="9" t="s">
        <v>56</v>
      </c>
      <c r="D75" s="10" t="s">
        <v>45</v>
      </c>
      <c r="E75" s="2">
        <v>45962</v>
      </c>
      <c r="F75">
        <v>1</v>
      </c>
      <c r="G75">
        <v>0</v>
      </c>
      <c r="H75">
        <v>15807</v>
      </c>
      <c r="I75">
        <v>15807</v>
      </c>
      <c r="J75">
        <v>0</v>
      </c>
      <c r="K75">
        <v>0</v>
      </c>
      <c r="L75">
        <v>0</v>
      </c>
      <c r="O75">
        <v>0</v>
      </c>
      <c r="R75">
        <v>0</v>
      </c>
      <c r="S75">
        <v>0</v>
      </c>
      <c r="T75">
        <v>1796219.41</v>
      </c>
      <c r="U75">
        <v>1796219.41</v>
      </c>
      <c r="V75">
        <v>0</v>
      </c>
      <c r="W75">
        <v>0</v>
      </c>
      <c r="X75">
        <v>0</v>
      </c>
      <c r="AA75">
        <v>0</v>
      </c>
      <c r="AD75">
        <v>0</v>
      </c>
    </row>
    <row r="76" spans="2:30" x14ac:dyDescent="0.25">
      <c r="B76" t="s">
        <v>81</v>
      </c>
      <c r="C76" s="9" t="s">
        <v>56</v>
      </c>
      <c r="D76" s="10" t="s">
        <v>46</v>
      </c>
      <c r="E76" s="2">
        <v>45992</v>
      </c>
      <c r="F76">
        <v>1</v>
      </c>
      <c r="G76">
        <v>0</v>
      </c>
      <c r="H76">
        <v>825</v>
      </c>
      <c r="I76">
        <v>825</v>
      </c>
      <c r="J76">
        <v>0</v>
      </c>
      <c r="K76">
        <v>0</v>
      </c>
      <c r="L76">
        <v>0</v>
      </c>
      <c r="O76">
        <v>0</v>
      </c>
      <c r="R76">
        <v>0</v>
      </c>
      <c r="S76">
        <v>0</v>
      </c>
      <c r="T76">
        <v>1797044.41</v>
      </c>
      <c r="U76">
        <v>1797044.41</v>
      </c>
      <c r="V76">
        <v>0</v>
      </c>
      <c r="W76">
        <v>0</v>
      </c>
      <c r="X76">
        <v>0</v>
      </c>
      <c r="AA76">
        <v>0</v>
      </c>
      <c r="AD76">
        <v>0</v>
      </c>
    </row>
    <row r="77" spans="2:30" x14ac:dyDescent="0.25">
      <c r="B77" t="s">
        <v>81</v>
      </c>
      <c r="C77" s="9" t="s">
        <v>56</v>
      </c>
      <c r="D77" s="10" t="s">
        <v>47</v>
      </c>
      <c r="E77" s="2">
        <v>46023</v>
      </c>
      <c r="F77">
        <v>1</v>
      </c>
      <c r="G77">
        <v>0</v>
      </c>
      <c r="H77">
        <v>3918.75</v>
      </c>
      <c r="I77">
        <v>3918.75</v>
      </c>
      <c r="J77">
        <v>0</v>
      </c>
      <c r="K77">
        <v>0</v>
      </c>
      <c r="L77">
        <v>0</v>
      </c>
      <c r="O77">
        <v>0</v>
      </c>
      <c r="R77">
        <v>0</v>
      </c>
      <c r="S77">
        <v>0</v>
      </c>
      <c r="T77">
        <v>1800963.16</v>
      </c>
      <c r="U77">
        <v>1800963.16</v>
      </c>
      <c r="V77">
        <v>0</v>
      </c>
      <c r="W77">
        <v>0</v>
      </c>
      <c r="X77">
        <v>0</v>
      </c>
      <c r="AA77">
        <v>0</v>
      </c>
      <c r="AD77">
        <v>0</v>
      </c>
    </row>
    <row r="78" spans="2:30" x14ac:dyDescent="0.25">
      <c r="B78" t="s">
        <v>81</v>
      </c>
      <c r="C78" s="9" t="s">
        <v>56</v>
      </c>
      <c r="D78" s="10" t="s">
        <v>48</v>
      </c>
      <c r="E78" s="2">
        <v>46054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O78">
        <v>0</v>
      </c>
      <c r="R78">
        <v>0</v>
      </c>
      <c r="S78">
        <v>0</v>
      </c>
      <c r="T78">
        <v>1800963.16</v>
      </c>
      <c r="U78">
        <v>1800963.16</v>
      </c>
      <c r="V78">
        <v>0</v>
      </c>
      <c r="W78">
        <v>0</v>
      </c>
      <c r="X78">
        <v>0</v>
      </c>
      <c r="AA78">
        <v>0</v>
      </c>
      <c r="AD78">
        <v>0</v>
      </c>
    </row>
    <row r="79" spans="2:30" x14ac:dyDescent="0.25">
      <c r="B79" t="s">
        <v>81</v>
      </c>
      <c r="C79" s="9" t="s">
        <v>56</v>
      </c>
      <c r="D79" s="10" t="s">
        <v>49</v>
      </c>
      <c r="E79" s="2">
        <v>46082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O79">
        <v>0</v>
      </c>
      <c r="R79">
        <v>0</v>
      </c>
      <c r="S79">
        <v>0</v>
      </c>
      <c r="T79">
        <v>1800963.16</v>
      </c>
      <c r="U79">
        <v>1800963.16</v>
      </c>
      <c r="V79">
        <v>0</v>
      </c>
      <c r="W79">
        <v>0</v>
      </c>
      <c r="X79">
        <v>0</v>
      </c>
      <c r="AA79">
        <v>0</v>
      </c>
      <c r="AD79">
        <v>0</v>
      </c>
    </row>
    <row r="80" spans="2:30" x14ac:dyDescent="0.25">
      <c r="B80" t="s">
        <v>81</v>
      </c>
      <c r="C80" s="9" t="s">
        <v>56</v>
      </c>
      <c r="D80" s="10" t="s">
        <v>50</v>
      </c>
      <c r="E80" s="2">
        <v>46113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O80">
        <v>0</v>
      </c>
      <c r="R80">
        <v>0</v>
      </c>
      <c r="S80">
        <v>0</v>
      </c>
      <c r="T80">
        <v>1800963.16</v>
      </c>
      <c r="U80">
        <v>1800963.16</v>
      </c>
      <c r="V80">
        <v>0</v>
      </c>
      <c r="W80">
        <v>0</v>
      </c>
      <c r="X80">
        <v>0</v>
      </c>
      <c r="AA80">
        <v>0</v>
      </c>
      <c r="AD80">
        <v>0</v>
      </c>
    </row>
    <row r="81" spans="2:30" x14ac:dyDescent="0.25">
      <c r="B81" t="s">
        <v>81</v>
      </c>
      <c r="C81" s="9" t="s">
        <v>56</v>
      </c>
      <c r="D81" s="10" t="s">
        <v>51</v>
      </c>
      <c r="E81" s="2">
        <v>46143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O81">
        <v>0</v>
      </c>
      <c r="R81">
        <v>0</v>
      </c>
      <c r="S81">
        <v>0</v>
      </c>
      <c r="T81">
        <v>1800963.16</v>
      </c>
      <c r="U81">
        <v>1800963.16</v>
      </c>
      <c r="V81">
        <v>0</v>
      </c>
      <c r="W81">
        <v>0</v>
      </c>
      <c r="X81">
        <v>0</v>
      </c>
      <c r="AA81">
        <v>0</v>
      </c>
      <c r="AD81">
        <v>0</v>
      </c>
    </row>
    <row r="82" spans="2:30" x14ac:dyDescent="0.25">
      <c r="B82" t="s">
        <v>81</v>
      </c>
      <c r="C82" s="9" t="s">
        <v>56</v>
      </c>
      <c r="D82" s="10" t="s">
        <v>52</v>
      </c>
      <c r="E82" s="2">
        <v>46174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O82">
        <v>0</v>
      </c>
      <c r="R82">
        <v>0</v>
      </c>
      <c r="S82">
        <v>0</v>
      </c>
      <c r="T82">
        <v>1800963.16</v>
      </c>
      <c r="U82">
        <v>1800963.16</v>
      </c>
      <c r="V82">
        <v>0</v>
      </c>
      <c r="W82">
        <v>0</v>
      </c>
      <c r="X82">
        <v>0</v>
      </c>
      <c r="AA82">
        <v>0</v>
      </c>
      <c r="AD82">
        <v>0</v>
      </c>
    </row>
    <row r="83" spans="2:30" x14ac:dyDescent="0.25">
      <c r="B83" t="s">
        <v>81</v>
      </c>
      <c r="C83" s="9" t="s">
        <v>56</v>
      </c>
      <c r="D83" s="10" t="s">
        <v>53</v>
      </c>
      <c r="E83" s="2">
        <v>46204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O83">
        <v>0</v>
      </c>
      <c r="R83">
        <v>0</v>
      </c>
      <c r="S83">
        <v>0</v>
      </c>
      <c r="T83">
        <v>1800963.16</v>
      </c>
      <c r="U83">
        <v>1800963.16</v>
      </c>
      <c r="V83">
        <v>0</v>
      </c>
      <c r="W83">
        <v>0</v>
      </c>
      <c r="X83">
        <v>0</v>
      </c>
      <c r="AA83">
        <v>0</v>
      </c>
      <c r="AD83">
        <v>0</v>
      </c>
    </row>
    <row r="84" spans="2:30" x14ac:dyDescent="0.25">
      <c r="B84" t="s">
        <v>81</v>
      </c>
      <c r="C84" s="9" t="s">
        <v>56</v>
      </c>
      <c r="D84" s="10" t="s">
        <v>54</v>
      </c>
      <c r="E84" s="2">
        <v>46235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O84">
        <v>0</v>
      </c>
      <c r="R84">
        <v>0</v>
      </c>
      <c r="S84">
        <v>0</v>
      </c>
      <c r="T84">
        <v>1800963.16</v>
      </c>
      <c r="U84">
        <v>1800963.16</v>
      </c>
      <c r="V84">
        <v>0</v>
      </c>
      <c r="W84">
        <v>0</v>
      </c>
      <c r="X84">
        <v>0</v>
      </c>
      <c r="AA84">
        <v>0</v>
      </c>
      <c r="AD84">
        <v>0</v>
      </c>
    </row>
    <row r="85" spans="2:30" x14ac:dyDescent="0.25">
      <c r="B85" t="s">
        <v>82</v>
      </c>
      <c r="C85" s="9" t="s">
        <v>57</v>
      </c>
      <c r="D85" s="10" t="s">
        <v>30</v>
      </c>
      <c r="E85" s="2"/>
      <c r="G85">
        <v>0</v>
      </c>
      <c r="H85">
        <v>7924419.3700000001</v>
      </c>
      <c r="I85">
        <v>7924419.3700000001</v>
      </c>
      <c r="J85">
        <v>0</v>
      </c>
      <c r="K85">
        <v>0</v>
      </c>
      <c r="L85">
        <v>0</v>
      </c>
    </row>
    <row r="86" spans="2:30" x14ac:dyDescent="0.25">
      <c r="B86" t="s">
        <v>82</v>
      </c>
      <c r="C86" s="9" t="s">
        <v>57</v>
      </c>
      <c r="D86" s="10" t="s">
        <v>31</v>
      </c>
      <c r="E86" s="2">
        <v>45536</v>
      </c>
      <c r="F86">
        <v>0</v>
      </c>
      <c r="G86">
        <v>0</v>
      </c>
      <c r="H86">
        <v>0</v>
      </c>
      <c r="I86">
        <v>0</v>
      </c>
      <c r="J86">
        <v>5075</v>
      </c>
      <c r="K86">
        <v>10025</v>
      </c>
      <c r="L86">
        <v>15100</v>
      </c>
      <c r="S86">
        <v>0</v>
      </c>
      <c r="T86">
        <v>0</v>
      </c>
      <c r="U86">
        <v>0</v>
      </c>
      <c r="V86">
        <v>5075</v>
      </c>
      <c r="W86">
        <v>10025</v>
      </c>
      <c r="X86">
        <v>15100</v>
      </c>
    </row>
    <row r="87" spans="2:30" x14ac:dyDescent="0.25">
      <c r="B87" t="s">
        <v>82</v>
      </c>
      <c r="C87" s="9" t="s">
        <v>57</v>
      </c>
      <c r="D87" s="10" t="s">
        <v>32</v>
      </c>
      <c r="E87" s="2">
        <v>45566</v>
      </c>
      <c r="F87">
        <v>0</v>
      </c>
      <c r="G87">
        <v>0</v>
      </c>
      <c r="H87">
        <v>5075</v>
      </c>
      <c r="I87">
        <v>5075</v>
      </c>
      <c r="J87">
        <v>47125</v>
      </c>
      <c r="K87">
        <v>59630</v>
      </c>
      <c r="L87">
        <v>106755</v>
      </c>
      <c r="O87">
        <v>0</v>
      </c>
      <c r="R87">
        <v>0</v>
      </c>
      <c r="S87">
        <v>0</v>
      </c>
      <c r="T87">
        <v>5075</v>
      </c>
      <c r="U87">
        <v>5075</v>
      </c>
      <c r="V87">
        <v>52200</v>
      </c>
      <c r="W87">
        <v>69655</v>
      </c>
      <c r="X87">
        <v>121855</v>
      </c>
      <c r="AA87">
        <v>0</v>
      </c>
      <c r="AD87">
        <v>0</v>
      </c>
    </row>
    <row r="88" spans="2:30" x14ac:dyDescent="0.25">
      <c r="B88" t="s">
        <v>82</v>
      </c>
      <c r="C88" s="9" t="s">
        <v>57</v>
      </c>
      <c r="D88" s="10" t="s">
        <v>33</v>
      </c>
      <c r="E88" s="2">
        <v>45597</v>
      </c>
      <c r="F88">
        <v>0</v>
      </c>
      <c r="G88">
        <v>0</v>
      </c>
      <c r="H88">
        <v>47125</v>
      </c>
      <c r="I88">
        <v>47125</v>
      </c>
      <c r="J88">
        <v>-52200</v>
      </c>
      <c r="K88">
        <v>-69655</v>
      </c>
      <c r="L88">
        <v>-121855</v>
      </c>
      <c r="O88">
        <v>0</v>
      </c>
      <c r="R88">
        <v>0</v>
      </c>
      <c r="S88">
        <v>0</v>
      </c>
      <c r="T88">
        <v>52200</v>
      </c>
      <c r="U88">
        <v>52200</v>
      </c>
      <c r="V88">
        <v>0</v>
      </c>
      <c r="W88">
        <v>0</v>
      </c>
      <c r="X88">
        <v>0</v>
      </c>
      <c r="AA88">
        <v>0</v>
      </c>
      <c r="AD88">
        <v>0</v>
      </c>
    </row>
    <row r="89" spans="2:30" x14ac:dyDescent="0.25">
      <c r="B89" t="s">
        <v>82</v>
      </c>
      <c r="C89" s="9" t="s">
        <v>57</v>
      </c>
      <c r="D89" s="10" t="s">
        <v>34</v>
      </c>
      <c r="E89" s="2">
        <v>45627</v>
      </c>
      <c r="F89">
        <v>0.03</v>
      </c>
      <c r="G89">
        <v>0</v>
      </c>
      <c r="H89">
        <v>303786.25</v>
      </c>
      <c r="I89">
        <v>303786.25</v>
      </c>
      <c r="J89">
        <v>0</v>
      </c>
      <c r="K89">
        <v>0</v>
      </c>
      <c r="L89">
        <v>0</v>
      </c>
      <c r="O89">
        <v>0</v>
      </c>
      <c r="R89">
        <v>0</v>
      </c>
      <c r="S89">
        <v>0</v>
      </c>
      <c r="T89">
        <v>355986.25</v>
      </c>
      <c r="U89">
        <v>355986.25</v>
      </c>
      <c r="V89">
        <v>0</v>
      </c>
      <c r="W89">
        <v>0</v>
      </c>
      <c r="X89">
        <v>0</v>
      </c>
      <c r="AA89">
        <v>0</v>
      </c>
      <c r="AD89">
        <v>0</v>
      </c>
    </row>
    <row r="90" spans="2:30" x14ac:dyDescent="0.25">
      <c r="B90" t="s">
        <v>82</v>
      </c>
      <c r="C90" s="9" t="s">
        <v>57</v>
      </c>
      <c r="D90" s="10" t="s">
        <v>35</v>
      </c>
      <c r="E90" s="2">
        <v>45658</v>
      </c>
      <c r="F90">
        <v>0.09</v>
      </c>
      <c r="G90">
        <v>0</v>
      </c>
      <c r="H90">
        <v>306271.25</v>
      </c>
      <c r="I90">
        <v>306271.25</v>
      </c>
      <c r="J90">
        <v>0</v>
      </c>
      <c r="K90">
        <v>0</v>
      </c>
      <c r="L90">
        <v>0</v>
      </c>
      <c r="O90">
        <v>0</v>
      </c>
      <c r="R90">
        <v>0</v>
      </c>
      <c r="S90">
        <v>0</v>
      </c>
      <c r="T90">
        <v>662257.5</v>
      </c>
      <c r="U90">
        <v>662257.5</v>
      </c>
      <c r="V90">
        <v>0</v>
      </c>
      <c r="W90">
        <v>0</v>
      </c>
      <c r="X90">
        <v>0</v>
      </c>
      <c r="AA90">
        <v>0</v>
      </c>
      <c r="AD90">
        <v>0</v>
      </c>
    </row>
    <row r="91" spans="2:30" x14ac:dyDescent="0.25">
      <c r="B91" t="s">
        <v>82</v>
      </c>
      <c r="C91" s="9" t="s">
        <v>57</v>
      </c>
      <c r="D91" s="10" t="s">
        <v>36</v>
      </c>
      <c r="E91" s="2">
        <v>45689</v>
      </c>
      <c r="F91">
        <v>0.25</v>
      </c>
      <c r="G91">
        <v>0</v>
      </c>
      <c r="H91">
        <v>421135.75</v>
      </c>
      <c r="I91">
        <v>421135.75</v>
      </c>
      <c r="J91">
        <v>0</v>
      </c>
      <c r="K91">
        <v>0</v>
      </c>
      <c r="L91">
        <v>0</v>
      </c>
      <c r="O91">
        <v>0</v>
      </c>
      <c r="R91">
        <v>0</v>
      </c>
      <c r="S91">
        <v>0</v>
      </c>
      <c r="T91">
        <v>1083393.25</v>
      </c>
      <c r="U91">
        <v>1083393.25</v>
      </c>
      <c r="V91">
        <v>0</v>
      </c>
      <c r="W91">
        <v>0</v>
      </c>
      <c r="X91">
        <v>0</v>
      </c>
      <c r="AA91">
        <v>0</v>
      </c>
      <c r="AD91">
        <v>0</v>
      </c>
    </row>
    <row r="92" spans="2:30" x14ac:dyDescent="0.25">
      <c r="B92" t="s">
        <v>82</v>
      </c>
      <c r="C92" s="9" t="s">
        <v>57</v>
      </c>
      <c r="D92" s="10" t="s">
        <v>37</v>
      </c>
      <c r="E92" s="2">
        <v>45717</v>
      </c>
      <c r="F92">
        <v>0.46</v>
      </c>
      <c r="G92">
        <v>0</v>
      </c>
      <c r="H92">
        <v>760778.28</v>
      </c>
      <c r="I92">
        <v>760778.28</v>
      </c>
      <c r="J92">
        <v>0</v>
      </c>
      <c r="K92">
        <v>0</v>
      </c>
      <c r="L92">
        <v>0</v>
      </c>
      <c r="O92">
        <v>0</v>
      </c>
      <c r="R92">
        <v>0</v>
      </c>
      <c r="S92">
        <v>0</v>
      </c>
      <c r="T92">
        <v>1844171.53</v>
      </c>
      <c r="U92">
        <v>1844171.53</v>
      </c>
      <c r="V92">
        <v>0</v>
      </c>
      <c r="W92">
        <v>0</v>
      </c>
      <c r="X92">
        <v>0</v>
      </c>
      <c r="AA92">
        <v>0</v>
      </c>
      <c r="AD92">
        <v>0</v>
      </c>
    </row>
    <row r="93" spans="2:30" x14ac:dyDescent="0.25">
      <c r="B93" t="s">
        <v>82</v>
      </c>
      <c r="C93" s="9" t="s">
        <v>57</v>
      </c>
      <c r="D93" s="10" t="s">
        <v>38</v>
      </c>
      <c r="E93" s="2">
        <v>45748</v>
      </c>
      <c r="F93">
        <v>0.69</v>
      </c>
      <c r="G93">
        <v>0</v>
      </c>
      <c r="H93">
        <v>648784.25</v>
      </c>
      <c r="I93">
        <v>648784.25</v>
      </c>
      <c r="J93">
        <v>0</v>
      </c>
      <c r="K93">
        <v>0</v>
      </c>
      <c r="L93">
        <v>0</v>
      </c>
      <c r="O93">
        <v>0</v>
      </c>
      <c r="R93">
        <v>0</v>
      </c>
      <c r="S93">
        <v>0</v>
      </c>
      <c r="T93">
        <v>2492955.7799999998</v>
      </c>
      <c r="U93">
        <v>2492955.7799999998</v>
      </c>
      <c r="V93">
        <v>0</v>
      </c>
      <c r="W93">
        <v>0</v>
      </c>
      <c r="X93">
        <v>0</v>
      </c>
      <c r="AA93">
        <v>0</v>
      </c>
      <c r="AD93">
        <v>0</v>
      </c>
    </row>
    <row r="94" spans="2:30" x14ac:dyDescent="0.25">
      <c r="B94" t="s">
        <v>82</v>
      </c>
      <c r="C94" s="9" t="s">
        <v>57</v>
      </c>
      <c r="D94" s="10" t="s">
        <v>39</v>
      </c>
      <c r="E94" s="2">
        <v>45778</v>
      </c>
      <c r="F94">
        <v>0.7</v>
      </c>
      <c r="G94">
        <v>0</v>
      </c>
      <c r="H94">
        <v>971273.58</v>
      </c>
      <c r="I94">
        <v>971273.58</v>
      </c>
      <c r="J94">
        <v>0</v>
      </c>
      <c r="K94">
        <v>0</v>
      </c>
      <c r="L94">
        <v>0</v>
      </c>
      <c r="O94">
        <v>0</v>
      </c>
      <c r="R94">
        <v>0</v>
      </c>
      <c r="S94">
        <v>0</v>
      </c>
      <c r="T94">
        <v>3464229.36</v>
      </c>
      <c r="U94">
        <v>3464229.36</v>
      </c>
      <c r="V94">
        <v>0</v>
      </c>
      <c r="W94">
        <v>0</v>
      </c>
      <c r="X94">
        <v>0</v>
      </c>
      <c r="AA94">
        <v>0</v>
      </c>
      <c r="AD94">
        <v>0</v>
      </c>
    </row>
    <row r="95" spans="2:30" x14ac:dyDescent="0.25">
      <c r="B95" t="s">
        <v>82</v>
      </c>
      <c r="C95" s="9" t="s">
        <v>57</v>
      </c>
      <c r="D95" s="10" t="s">
        <v>40</v>
      </c>
      <c r="E95" s="2">
        <v>45809</v>
      </c>
      <c r="F95">
        <v>0.75</v>
      </c>
      <c r="G95">
        <v>0</v>
      </c>
      <c r="H95">
        <v>706659.62</v>
      </c>
      <c r="I95">
        <v>706659.62</v>
      </c>
      <c r="J95">
        <v>0</v>
      </c>
      <c r="K95">
        <v>0</v>
      </c>
      <c r="L95">
        <v>0</v>
      </c>
      <c r="O95">
        <v>0</v>
      </c>
      <c r="R95">
        <v>0</v>
      </c>
      <c r="S95">
        <v>0</v>
      </c>
      <c r="T95">
        <v>4170888.98</v>
      </c>
      <c r="U95">
        <v>4170888.98</v>
      </c>
      <c r="V95">
        <v>0</v>
      </c>
      <c r="W95">
        <v>0</v>
      </c>
      <c r="X95">
        <v>0</v>
      </c>
      <c r="AA95">
        <v>0</v>
      </c>
      <c r="AD95">
        <v>0</v>
      </c>
    </row>
    <row r="96" spans="2:30" x14ac:dyDescent="0.25">
      <c r="B96" t="s">
        <v>82</v>
      </c>
      <c r="C96" s="9" t="s">
        <v>57</v>
      </c>
      <c r="D96" s="10" t="s">
        <v>41</v>
      </c>
      <c r="E96" s="2">
        <v>45839</v>
      </c>
      <c r="F96">
        <v>0.81</v>
      </c>
      <c r="G96">
        <v>0</v>
      </c>
      <c r="H96">
        <v>975970.94</v>
      </c>
      <c r="I96">
        <v>975970.94</v>
      </c>
      <c r="J96">
        <v>0</v>
      </c>
      <c r="K96">
        <v>0</v>
      </c>
      <c r="L96">
        <v>0</v>
      </c>
      <c r="O96">
        <v>0</v>
      </c>
      <c r="R96">
        <v>0</v>
      </c>
      <c r="S96">
        <v>0</v>
      </c>
      <c r="T96">
        <v>5146859.92</v>
      </c>
      <c r="U96">
        <v>5146859.92</v>
      </c>
      <c r="V96">
        <v>0</v>
      </c>
      <c r="W96">
        <v>0</v>
      </c>
      <c r="X96">
        <v>0</v>
      </c>
      <c r="AA96">
        <v>0</v>
      </c>
      <c r="AD96">
        <v>0</v>
      </c>
    </row>
    <row r="97" spans="2:30" x14ac:dyDescent="0.25">
      <c r="B97" t="s">
        <v>82</v>
      </c>
      <c r="C97" s="9" t="s">
        <v>57</v>
      </c>
      <c r="D97" s="10" t="s">
        <v>42</v>
      </c>
      <c r="E97" s="2">
        <v>45870</v>
      </c>
      <c r="F97">
        <v>0.88</v>
      </c>
      <c r="G97">
        <v>0</v>
      </c>
      <c r="H97">
        <v>587334.41</v>
      </c>
      <c r="I97">
        <v>587334.41</v>
      </c>
      <c r="J97">
        <v>0</v>
      </c>
      <c r="K97">
        <v>0</v>
      </c>
      <c r="L97">
        <v>0</v>
      </c>
      <c r="O97">
        <v>0</v>
      </c>
      <c r="R97">
        <v>0</v>
      </c>
      <c r="S97">
        <v>0</v>
      </c>
      <c r="T97">
        <v>5734194.3300000001</v>
      </c>
      <c r="U97">
        <v>5734194.3300000001</v>
      </c>
      <c r="V97">
        <v>0</v>
      </c>
      <c r="W97">
        <v>0</v>
      </c>
      <c r="X97">
        <v>0</v>
      </c>
      <c r="AA97">
        <v>0</v>
      </c>
      <c r="AD97">
        <v>0</v>
      </c>
    </row>
    <row r="98" spans="2:30" x14ac:dyDescent="0.25">
      <c r="B98" t="s">
        <v>82</v>
      </c>
      <c r="C98" s="9" t="s">
        <v>57</v>
      </c>
      <c r="D98" s="10" t="s">
        <v>43</v>
      </c>
      <c r="E98" s="2">
        <v>45901</v>
      </c>
      <c r="F98">
        <v>0.92</v>
      </c>
      <c r="G98">
        <v>0</v>
      </c>
      <c r="H98">
        <v>552355.12</v>
      </c>
      <c r="I98">
        <v>552355.12</v>
      </c>
      <c r="J98">
        <v>0</v>
      </c>
      <c r="K98">
        <v>0</v>
      </c>
      <c r="L98">
        <v>0</v>
      </c>
      <c r="O98">
        <v>0</v>
      </c>
      <c r="R98">
        <v>0</v>
      </c>
      <c r="S98">
        <v>0</v>
      </c>
      <c r="T98">
        <v>6286549.4500000002</v>
      </c>
      <c r="U98">
        <v>6286549.4500000002</v>
      </c>
      <c r="V98">
        <v>0</v>
      </c>
      <c r="W98">
        <v>0</v>
      </c>
      <c r="X98">
        <v>0</v>
      </c>
      <c r="AA98">
        <v>0</v>
      </c>
      <c r="AD98">
        <v>0</v>
      </c>
    </row>
    <row r="99" spans="2:30" x14ac:dyDescent="0.25">
      <c r="B99" t="s">
        <v>82</v>
      </c>
      <c r="C99" s="9" t="s">
        <v>57</v>
      </c>
      <c r="D99" s="10" t="s">
        <v>44</v>
      </c>
      <c r="E99" s="2">
        <v>45931</v>
      </c>
      <c r="F99">
        <v>0.93</v>
      </c>
      <c r="G99">
        <v>0</v>
      </c>
      <c r="H99">
        <v>460630.75</v>
      </c>
      <c r="I99">
        <v>460630.75</v>
      </c>
      <c r="J99">
        <v>0</v>
      </c>
      <c r="K99">
        <v>0</v>
      </c>
      <c r="L99">
        <v>0</v>
      </c>
      <c r="O99">
        <v>0</v>
      </c>
      <c r="R99">
        <v>0</v>
      </c>
      <c r="S99">
        <v>0</v>
      </c>
      <c r="T99">
        <v>6747180.2000000002</v>
      </c>
      <c r="U99">
        <v>6747180.2000000002</v>
      </c>
      <c r="V99">
        <v>0</v>
      </c>
      <c r="W99">
        <v>0</v>
      </c>
      <c r="X99">
        <v>0</v>
      </c>
      <c r="AA99">
        <v>0</v>
      </c>
      <c r="AD99">
        <v>0</v>
      </c>
    </row>
    <row r="100" spans="2:30" x14ac:dyDescent="0.25">
      <c r="B100" t="s">
        <v>82</v>
      </c>
      <c r="C100" s="9" t="s">
        <v>57</v>
      </c>
      <c r="D100" s="10" t="s">
        <v>45</v>
      </c>
      <c r="E100" s="2">
        <v>45962</v>
      </c>
      <c r="F100">
        <v>0.97</v>
      </c>
      <c r="G100">
        <v>0</v>
      </c>
      <c r="H100">
        <v>519082.5</v>
      </c>
      <c r="I100">
        <v>519082.5</v>
      </c>
      <c r="J100">
        <v>0</v>
      </c>
      <c r="K100">
        <v>0</v>
      </c>
      <c r="L100">
        <v>0</v>
      </c>
      <c r="O100">
        <v>0</v>
      </c>
      <c r="R100">
        <v>0</v>
      </c>
      <c r="S100">
        <v>0</v>
      </c>
      <c r="T100">
        <v>7266262.7000000002</v>
      </c>
      <c r="U100">
        <v>7266262.7000000002</v>
      </c>
      <c r="V100">
        <v>0</v>
      </c>
      <c r="W100">
        <v>0</v>
      </c>
      <c r="X100">
        <v>0</v>
      </c>
      <c r="AA100">
        <v>0</v>
      </c>
      <c r="AD100">
        <v>0</v>
      </c>
    </row>
    <row r="101" spans="2:30" x14ac:dyDescent="0.25">
      <c r="B101" t="s">
        <v>82</v>
      </c>
      <c r="C101" s="9" t="s">
        <v>57</v>
      </c>
      <c r="D101" s="10" t="s">
        <v>46</v>
      </c>
      <c r="E101" s="2">
        <v>45992</v>
      </c>
      <c r="F101">
        <v>1</v>
      </c>
      <c r="G101">
        <v>0</v>
      </c>
      <c r="H101">
        <v>499134.17</v>
      </c>
      <c r="I101">
        <v>499134.17</v>
      </c>
      <c r="J101">
        <v>0</v>
      </c>
      <c r="K101">
        <v>0</v>
      </c>
      <c r="L101">
        <v>0</v>
      </c>
      <c r="O101">
        <v>0</v>
      </c>
      <c r="R101">
        <v>0</v>
      </c>
      <c r="S101">
        <v>0</v>
      </c>
      <c r="T101">
        <v>7765396.8700000001</v>
      </c>
      <c r="U101">
        <v>7765396.8700000001</v>
      </c>
      <c r="V101">
        <v>0</v>
      </c>
      <c r="W101">
        <v>0</v>
      </c>
      <c r="X101">
        <v>0</v>
      </c>
      <c r="AA101">
        <v>0</v>
      </c>
      <c r="AD101">
        <v>0</v>
      </c>
    </row>
    <row r="102" spans="2:30" x14ac:dyDescent="0.25">
      <c r="B102" t="s">
        <v>82</v>
      </c>
      <c r="C102" s="9" t="s">
        <v>57</v>
      </c>
      <c r="D102" s="10" t="s">
        <v>47</v>
      </c>
      <c r="E102" s="2">
        <v>46023</v>
      </c>
      <c r="F102">
        <v>1</v>
      </c>
      <c r="G102">
        <v>0</v>
      </c>
      <c r="H102">
        <v>134557.5</v>
      </c>
      <c r="I102">
        <v>134557.5</v>
      </c>
      <c r="J102">
        <v>0</v>
      </c>
      <c r="K102">
        <v>0</v>
      </c>
      <c r="L102">
        <v>0</v>
      </c>
      <c r="O102">
        <v>0</v>
      </c>
      <c r="R102">
        <v>0</v>
      </c>
      <c r="S102">
        <v>0</v>
      </c>
      <c r="T102">
        <v>7899954.3700000001</v>
      </c>
      <c r="U102">
        <v>7899954.3700000001</v>
      </c>
      <c r="V102">
        <v>0</v>
      </c>
      <c r="W102">
        <v>0</v>
      </c>
      <c r="X102">
        <v>0</v>
      </c>
      <c r="AA102">
        <v>0</v>
      </c>
      <c r="AD102">
        <v>0</v>
      </c>
    </row>
    <row r="103" spans="2:30" x14ac:dyDescent="0.25">
      <c r="B103" t="s">
        <v>82</v>
      </c>
      <c r="C103" s="9" t="s">
        <v>57</v>
      </c>
      <c r="D103" s="10" t="s">
        <v>48</v>
      </c>
      <c r="E103" s="2">
        <v>46054</v>
      </c>
      <c r="F103">
        <v>1</v>
      </c>
      <c r="G103">
        <v>0</v>
      </c>
      <c r="H103">
        <v>24465</v>
      </c>
      <c r="I103">
        <v>24465</v>
      </c>
      <c r="J103">
        <v>0</v>
      </c>
      <c r="K103">
        <v>0</v>
      </c>
      <c r="L103">
        <v>0</v>
      </c>
      <c r="O103">
        <v>0</v>
      </c>
      <c r="R103">
        <v>0</v>
      </c>
      <c r="S103">
        <v>0</v>
      </c>
      <c r="T103">
        <v>7924419.3700000001</v>
      </c>
      <c r="U103">
        <v>7924419.3700000001</v>
      </c>
      <c r="V103">
        <v>0</v>
      </c>
      <c r="W103">
        <v>0</v>
      </c>
      <c r="X103">
        <v>0</v>
      </c>
      <c r="AA103">
        <v>0</v>
      </c>
      <c r="AD103">
        <v>0</v>
      </c>
    </row>
    <row r="104" spans="2:30" x14ac:dyDescent="0.25">
      <c r="B104" t="s">
        <v>82</v>
      </c>
      <c r="C104" s="9" t="s">
        <v>57</v>
      </c>
      <c r="D104" s="10" t="s">
        <v>49</v>
      </c>
      <c r="E104" s="2">
        <v>46082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0</v>
      </c>
      <c r="R104">
        <v>0</v>
      </c>
      <c r="S104">
        <v>0</v>
      </c>
      <c r="T104">
        <v>7924419.3700000001</v>
      </c>
      <c r="U104">
        <v>7924419.3700000001</v>
      </c>
      <c r="V104">
        <v>0</v>
      </c>
      <c r="W104">
        <v>0</v>
      </c>
      <c r="X104">
        <v>0</v>
      </c>
      <c r="AA104">
        <v>0</v>
      </c>
      <c r="AD104">
        <v>0</v>
      </c>
    </row>
    <row r="105" spans="2:30" x14ac:dyDescent="0.25">
      <c r="B105" t="s">
        <v>82</v>
      </c>
      <c r="C105" s="9" t="s">
        <v>57</v>
      </c>
      <c r="D105" s="10" t="s">
        <v>50</v>
      </c>
      <c r="E105" s="2">
        <v>46113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0</v>
      </c>
      <c r="R105">
        <v>0</v>
      </c>
      <c r="S105">
        <v>0</v>
      </c>
      <c r="T105">
        <v>7924419.3700000001</v>
      </c>
      <c r="U105">
        <v>7924419.3700000001</v>
      </c>
      <c r="V105">
        <v>0</v>
      </c>
      <c r="W105">
        <v>0</v>
      </c>
      <c r="X105">
        <v>0</v>
      </c>
      <c r="AA105">
        <v>0</v>
      </c>
      <c r="AD105">
        <v>0</v>
      </c>
    </row>
    <row r="106" spans="2:30" x14ac:dyDescent="0.25">
      <c r="B106" t="s">
        <v>82</v>
      </c>
      <c r="C106" s="9" t="s">
        <v>57</v>
      </c>
      <c r="D106" s="10" t="s">
        <v>51</v>
      </c>
      <c r="E106" s="2">
        <v>46143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0</v>
      </c>
      <c r="R106">
        <v>0</v>
      </c>
      <c r="S106">
        <v>0</v>
      </c>
      <c r="T106">
        <v>7924419.3700000001</v>
      </c>
      <c r="U106">
        <v>7924419.3700000001</v>
      </c>
      <c r="V106">
        <v>0</v>
      </c>
      <c r="W106">
        <v>0</v>
      </c>
      <c r="X106">
        <v>0</v>
      </c>
      <c r="AA106">
        <v>0</v>
      </c>
      <c r="AD106">
        <v>0</v>
      </c>
    </row>
    <row r="107" spans="2:30" x14ac:dyDescent="0.25">
      <c r="B107" t="s">
        <v>82</v>
      </c>
      <c r="C107" s="9" t="s">
        <v>57</v>
      </c>
      <c r="D107" s="10" t="s">
        <v>52</v>
      </c>
      <c r="E107" s="2">
        <v>46174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0</v>
      </c>
      <c r="R107">
        <v>0</v>
      </c>
      <c r="S107">
        <v>0</v>
      </c>
      <c r="T107">
        <v>7924419.3700000001</v>
      </c>
      <c r="U107">
        <v>7924419.3700000001</v>
      </c>
      <c r="V107">
        <v>0</v>
      </c>
      <c r="W107">
        <v>0</v>
      </c>
      <c r="X107">
        <v>0</v>
      </c>
      <c r="AA107">
        <v>0</v>
      </c>
      <c r="AD107">
        <v>0</v>
      </c>
    </row>
    <row r="108" spans="2:30" x14ac:dyDescent="0.25">
      <c r="B108" t="s">
        <v>82</v>
      </c>
      <c r="C108" s="9" t="s">
        <v>57</v>
      </c>
      <c r="D108" s="10" t="s">
        <v>53</v>
      </c>
      <c r="E108" s="2">
        <v>46204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O108">
        <v>0</v>
      </c>
      <c r="R108">
        <v>0</v>
      </c>
      <c r="S108">
        <v>0</v>
      </c>
      <c r="T108">
        <v>7924419.3700000001</v>
      </c>
      <c r="U108">
        <v>7924419.3700000001</v>
      </c>
      <c r="V108">
        <v>0</v>
      </c>
      <c r="W108">
        <v>0</v>
      </c>
      <c r="X108">
        <v>0</v>
      </c>
      <c r="AA108">
        <v>0</v>
      </c>
      <c r="AD108">
        <v>0</v>
      </c>
    </row>
    <row r="109" spans="2:30" x14ac:dyDescent="0.25">
      <c r="B109" t="s">
        <v>82</v>
      </c>
      <c r="C109" s="9" t="s">
        <v>57</v>
      </c>
      <c r="D109" s="10" t="s">
        <v>54</v>
      </c>
      <c r="E109" s="2">
        <v>46235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O109">
        <v>0</v>
      </c>
      <c r="R109">
        <v>0</v>
      </c>
      <c r="S109">
        <v>0</v>
      </c>
      <c r="T109">
        <v>7924419.3700000001</v>
      </c>
      <c r="U109">
        <v>7924419.3700000001</v>
      </c>
      <c r="V109">
        <v>0</v>
      </c>
      <c r="W109">
        <v>0</v>
      </c>
      <c r="X109">
        <v>0</v>
      </c>
      <c r="AA109">
        <v>0</v>
      </c>
      <c r="AD109">
        <v>0</v>
      </c>
    </row>
    <row r="110" spans="2:30" x14ac:dyDescent="0.25">
      <c r="B110" t="s">
        <v>83</v>
      </c>
      <c r="C110" s="9" t="s">
        <v>58</v>
      </c>
      <c r="D110" s="10" t="s">
        <v>30</v>
      </c>
      <c r="E110" s="2"/>
      <c r="G110">
        <v>0</v>
      </c>
      <c r="H110">
        <v>3392660.919999999</v>
      </c>
      <c r="I110">
        <v>3392660.919999999</v>
      </c>
      <c r="J110">
        <v>0</v>
      </c>
      <c r="K110">
        <v>0</v>
      </c>
      <c r="L110">
        <v>0</v>
      </c>
    </row>
    <row r="111" spans="2:30" x14ac:dyDescent="0.25">
      <c r="B111" t="s">
        <v>83</v>
      </c>
      <c r="C111" s="9" t="s">
        <v>58</v>
      </c>
      <c r="D111" s="10" t="s">
        <v>31</v>
      </c>
      <c r="E111" s="2">
        <v>45536</v>
      </c>
      <c r="F111">
        <v>0.64</v>
      </c>
      <c r="G111">
        <v>0</v>
      </c>
      <c r="H111">
        <v>0</v>
      </c>
      <c r="I111">
        <v>0</v>
      </c>
      <c r="J111">
        <v>304110.40000000002</v>
      </c>
      <c r="K111">
        <v>405544.4</v>
      </c>
      <c r="L111">
        <v>709654.8</v>
      </c>
      <c r="S111">
        <v>0</v>
      </c>
      <c r="T111">
        <v>0</v>
      </c>
      <c r="U111">
        <v>0</v>
      </c>
      <c r="V111">
        <v>304110.40000000002</v>
      </c>
      <c r="W111">
        <v>405544.4</v>
      </c>
      <c r="X111">
        <v>709654.8</v>
      </c>
    </row>
    <row r="112" spans="2:30" x14ac:dyDescent="0.25">
      <c r="B112" t="s">
        <v>83</v>
      </c>
      <c r="C112" s="9" t="s">
        <v>58</v>
      </c>
      <c r="D112" s="10" t="s">
        <v>32</v>
      </c>
      <c r="E112" s="2">
        <v>45566</v>
      </c>
      <c r="F112">
        <v>1</v>
      </c>
      <c r="G112">
        <v>0</v>
      </c>
      <c r="H112">
        <v>304110.40000000002</v>
      </c>
      <c r="I112">
        <v>304110.40000000002</v>
      </c>
      <c r="J112">
        <v>284589.8</v>
      </c>
      <c r="K112">
        <v>296979.73</v>
      </c>
      <c r="L112">
        <v>581569.53</v>
      </c>
      <c r="O112">
        <v>0</v>
      </c>
      <c r="R112">
        <v>0</v>
      </c>
      <c r="S112">
        <v>0</v>
      </c>
      <c r="T112">
        <v>304110.40000000002</v>
      </c>
      <c r="U112">
        <v>304110.40000000002</v>
      </c>
      <c r="V112">
        <v>588700.19999999995</v>
      </c>
      <c r="W112">
        <v>702524.13</v>
      </c>
      <c r="X112">
        <v>1291224.33</v>
      </c>
      <c r="AA112">
        <v>0</v>
      </c>
      <c r="AD112">
        <v>0</v>
      </c>
    </row>
    <row r="113" spans="2:30" x14ac:dyDescent="0.25">
      <c r="B113" t="s">
        <v>83</v>
      </c>
      <c r="C113" s="9" t="s">
        <v>58</v>
      </c>
      <c r="D113" s="10" t="s">
        <v>33</v>
      </c>
      <c r="E113" s="2">
        <v>45597</v>
      </c>
      <c r="F113">
        <v>1</v>
      </c>
      <c r="G113">
        <v>0</v>
      </c>
      <c r="H113">
        <v>284589.8</v>
      </c>
      <c r="I113">
        <v>284589.8</v>
      </c>
      <c r="J113">
        <v>-588700.19999999995</v>
      </c>
      <c r="K113">
        <v>-702524.13</v>
      </c>
      <c r="L113">
        <v>-1291224.33</v>
      </c>
      <c r="O113">
        <v>0</v>
      </c>
      <c r="R113">
        <v>0</v>
      </c>
      <c r="S113">
        <v>0</v>
      </c>
      <c r="T113">
        <v>588700.19999999995</v>
      </c>
      <c r="U113">
        <v>588700.19999999995</v>
      </c>
      <c r="V113">
        <v>0</v>
      </c>
      <c r="W113">
        <v>0</v>
      </c>
      <c r="X113">
        <v>0</v>
      </c>
      <c r="AA113">
        <v>0</v>
      </c>
      <c r="AD113">
        <v>0</v>
      </c>
    </row>
    <row r="114" spans="2:30" x14ac:dyDescent="0.25">
      <c r="B114" t="s">
        <v>83</v>
      </c>
      <c r="C114" s="9" t="s">
        <v>58</v>
      </c>
      <c r="D114" s="10" t="s">
        <v>34</v>
      </c>
      <c r="E114" s="2">
        <v>45627</v>
      </c>
      <c r="F114">
        <v>1</v>
      </c>
      <c r="G114">
        <v>0</v>
      </c>
      <c r="H114">
        <v>279891.78000000003</v>
      </c>
      <c r="I114">
        <v>279891.78000000003</v>
      </c>
      <c r="J114">
        <v>0</v>
      </c>
      <c r="K114">
        <v>0</v>
      </c>
      <c r="L114">
        <v>0</v>
      </c>
      <c r="O114">
        <v>0</v>
      </c>
      <c r="R114">
        <v>0</v>
      </c>
      <c r="S114">
        <v>0</v>
      </c>
      <c r="T114">
        <v>868591.98</v>
      </c>
      <c r="U114">
        <v>868591.98</v>
      </c>
      <c r="V114">
        <v>0</v>
      </c>
      <c r="W114">
        <v>0</v>
      </c>
      <c r="X114">
        <v>0</v>
      </c>
      <c r="AA114">
        <v>0</v>
      </c>
      <c r="AD114">
        <v>0</v>
      </c>
    </row>
    <row r="115" spans="2:30" x14ac:dyDescent="0.25">
      <c r="B115" t="s">
        <v>83</v>
      </c>
      <c r="C115" s="9" t="s">
        <v>58</v>
      </c>
      <c r="D115" s="10" t="s">
        <v>35</v>
      </c>
      <c r="E115" s="2">
        <v>45658</v>
      </c>
      <c r="F115">
        <v>1</v>
      </c>
      <c r="G115">
        <v>0</v>
      </c>
      <c r="H115">
        <v>246846.86</v>
      </c>
      <c r="I115">
        <v>246846.86</v>
      </c>
      <c r="J115">
        <v>0</v>
      </c>
      <c r="K115">
        <v>0</v>
      </c>
      <c r="L115">
        <v>0</v>
      </c>
      <c r="O115">
        <v>0</v>
      </c>
      <c r="R115">
        <v>0</v>
      </c>
      <c r="S115">
        <v>0</v>
      </c>
      <c r="T115">
        <v>1115438.8400000001</v>
      </c>
      <c r="U115">
        <v>1115438.8400000001</v>
      </c>
      <c r="V115">
        <v>0</v>
      </c>
      <c r="W115">
        <v>0</v>
      </c>
      <c r="X115">
        <v>0</v>
      </c>
      <c r="AA115">
        <v>0</v>
      </c>
      <c r="AD115">
        <v>0</v>
      </c>
    </row>
    <row r="116" spans="2:30" x14ac:dyDescent="0.25">
      <c r="B116" t="s">
        <v>83</v>
      </c>
      <c r="C116" s="9" t="s">
        <v>58</v>
      </c>
      <c r="D116" s="10" t="s">
        <v>36</v>
      </c>
      <c r="E116" s="2">
        <v>45689</v>
      </c>
      <c r="F116">
        <v>1</v>
      </c>
      <c r="G116">
        <v>0</v>
      </c>
      <c r="H116">
        <v>273938</v>
      </c>
      <c r="I116">
        <v>273938</v>
      </c>
      <c r="J116">
        <v>0</v>
      </c>
      <c r="K116">
        <v>0</v>
      </c>
      <c r="L116">
        <v>0</v>
      </c>
      <c r="O116">
        <v>0</v>
      </c>
      <c r="R116">
        <v>0</v>
      </c>
      <c r="S116">
        <v>0</v>
      </c>
      <c r="T116">
        <v>1389376.84</v>
      </c>
      <c r="U116">
        <v>1389376.84</v>
      </c>
      <c r="V116">
        <v>0</v>
      </c>
      <c r="W116">
        <v>0</v>
      </c>
      <c r="X116">
        <v>0</v>
      </c>
      <c r="AA116">
        <v>0</v>
      </c>
      <c r="AD116">
        <v>0</v>
      </c>
    </row>
    <row r="117" spans="2:30" x14ac:dyDescent="0.25">
      <c r="B117" t="s">
        <v>83</v>
      </c>
      <c r="C117" s="9" t="s">
        <v>58</v>
      </c>
      <c r="D117" s="10" t="s">
        <v>37</v>
      </c>
      <c r="E117" s="2">
        <v>45717</v>
      </c>
      <c r="F117">
        <v>1</v>
      </c>
      <c r="G117">
        <v>0</v>
      </c>
      <c r="H117">
        <v>310437.68</v>
      </c>
      <c r="I117">
        <v>310437.68</v>
      </c>
      <c r="J117">
        <v>0</v>
      </c>
      <c r="K117">
        <v>0</v>
      </c>
      <c r="L117">
        <v>0</v>
      </c>
      <c r="O117">
        <v>0</v>
      </c>
      <c r="R117">
        <v>0</v>
      </c>
      <c r="S117">
        <v>0</v>
      </c>
      <c r="T117">
        <v>1699814.52</v>
      </c>
      <c r="U117">
        <v>1699814.52</v>
      </c>
      <c r="V117">
        <v>0</v>
      </c>
      <c r="W117">
        <v>0</v>
      </c>
      <c r="X117">
        <v>0</v>
      </c>
      <c r="AA117">
        <v>0</v>
      </c>
      <c r="AD117">
        <v>0</v>
      </c>
    </row>
    <row r="118" spans="2:30" x14ac:dyDescent="0.25">
      <c r="B118" t="s">
        <v>83</v>
      </c>
      <c r="C118" s="9" t="s">
        <v>58</v>
      </c>
      <c r="D118" s="10" t="s">
        <v>38</v>
      </c>
      <c r="E118" s="2">
        <v>45748</v>
      </c>
      <c r="F118">
        <v>1</v>
      </c>
      <c r="G118">
        <v>0</v>
      </c>
      <c r="H118">
        <v>292816.15999999997</v>
      </c>
      <c r="I118">
        <v>292816.15999999997</v>
      </c>
      <c r="J118">
        <v>0</v>
      </c>
      <c r="K118">
        <v>0</v>
      </c>
      <c r="L118">
        <v>0</v>
      </c>
      <c r="O118">
        <v>0</v>
      </c>
      <c r="R118">
        <v>0</v>
      </c>
      <c r="S118">
        <v>0</v>
      </c>
      <c r="T118">
        <v>1992630.68</v>
      </c>
      <c r="U118">
        <v>1992630.68</v>
      </c>
      <c r="V118">
        <v>0</v>
      </c>
      <c r="W118">
        <v>0</v>
      </c>
      <c r="X118">
        <v>0</v>
      </c>
      <c r="AA118">
        <v>0</v>
      </c>
      <c r="AD118">
        <v>0</v>
      </c>
    </row>
    <row r="119" spans="2:30" x14ac:dyDescent="0.25">
      <c r="B119" t="s">
        <v>83</v>
      </c>
      <c r="C119" s="9" t="s">
        <v>58</v>
      </c>
      <c r="D119" s="10" t="s">
        <v>39</v>
      </c>
      <c r="E119" s="2">
        <v>45778</v>
      </c>
      <c r="F119">
        <v>1</v>
      </c>
      <c r="G119">
        <v>0</v>
      </c>
      <c r="H119">
        <v>311484.88</v>
      </c>
      <c r="I119">
        <v>311484.88</v>
      </c>
      <c r="J119">
        <v>0</v>
      </c>
      <c r="K119">
        <v>0</v>
      </c>
      <c r="L119">
        <v>0</v>
      </c>
      <c r="O119">
        <v>0</v>
      </c>
      <c r="R119">
        <v>0</v>
      </c>
      <c r="S119">
        <v>0</v>
      </c>
      <c r="T119">
        <v>2304115.56</v>
      </c>
      <c r="U119">
        <v>2304115.56</v>
      </c>
      <c r="V119">
        <v>0</v>
      </c>
      <c r="W119">
        <v>0</v>
      </c>
      <c r="X119">
        <v>0</v>
      </c>
      <c r="AA119">
        <v>0</v>
      </c>
      <c r="AD119">
        <v>0</v>
      </c>
    </row>
    <row r="120" spans="2:30" x14ac:dyDescent="0.25">
      <c r="B120" t="s">
        <v>83</v>
      </c>
      <c r="C120" s="9" t="s">
        <v>58</v>
      </c>
      <c r="D120" s="10" t="s">
        <v>40</v>
      </c>
      <c r="E120" s="2">
        <v>45809</v>
      </c>
      <c r="F120">
        <v>1</v>
      </c>
      <c r="G120">
        <v>0</v>
      </c>
      <c r="H120">
        <v>227432.8</v>
      </c>
      <c r="I120">
        <v>227432.8</v>
      </c>
      <c r="J120">
        <v>0</v>
      </c>
      <c r="K120">
        <v>0</v>
      </c>
      <c r="L120">
        <v>0</v>
      </c>
      <c r="O120">
        <v>0</v>
      </c>
      <c r="R120">
        <v>0</v>
      </c>
      <c r="S120">
        <v>0</v>
      </c>
      <c r="T120">
        <v>2531548.36</v>
      </c>
      <c r="U120">
        <v>2531548.36</v>
      </c>
      <c r="V120">
        <v>0</v>
      </c>
      <c r="W120">
        <v>0</v>
      </c>
      <c r="X120">
        <v>0</v>
      </c>
      <c r="AA120">
        <v>0</v>
      </c>
      <c r="AD120">
        <v>0</v>
      </c>
    </row>
    <row r="121" spans="2:30" x14ac:dyDescent="0.25">
      <c r="B121" t="s">
        <v>83</v>
      </c>
      <c r="C121" s="9" t="s">
        <v>58</v>
      </c>
      <c r="D121" s="10" t="s">
        <v>41</v>
      </c>
      <c r="E121" s="2">
        <v>45839</v>
      </c>
      <c r="F121">
        <v>1</v>
      </c>
      <c r="G121">
        <v>0</v>
      </c>
      <c r="H121">
        <v>262256.96000000002</v>
      </c>
      <c r="I121">
        <v>262256.96000000002</v>
      </c>
      <c r="J121">
        <v>0</v>
      </c>
      <c r="K121">
        <v>0</v>
      </c>
      <c r="L121">
        <v>0</v>
      </c>
      <c r="O121">
        <v>0</v>
      </c>
      <c r="R121">
        <v>0</v>
      </c>
      <c r="S121">
        <v>0</v>
      </c>
      <c r="T121">
        <v>2793805.32</v>
      </c>
      <c r="U121">
        <v>2793805.32</v>
      </c>
      <c r="V121">
        <v>0</v>
      </c>
      <c r="W121">
        <v>0</v>
      </c>
      <c r="X121">
        <v>0</v>
      </c>
      <c r="AA121">
        <v>0</v>
      </c>
      <c r="AD121">
        <v>0</v>
      </c>
    </row>
    <row r="122" spans="2:30" x14ac:dyDescent="0.25">
      <c r="B122" t="s">
        <v>83</v>
      </c>
      <c r="C122" s="9" t="s">
        <v>58</v>
      </c>
      <c r="D122" s="10" t="s">
        <v>42</v>
      </c>
      <c r="E122" s="2">
        <v>45870</v>
      </c>
      <c r="F122">
        <v>1</v>
      </c>
      <c r="G122">
        <v>0</v>
      </c>
      <c r="H122">
        <v>98217.84</v>
      </c>
      <c r="I122">
        <v>98217.84</v>
      </c>
      <c r="J122">
        <v>0</v>
      </c>
      <c r="K122">
        <v>0</v>
      </c>
      <c r="L122">
        <v>0</v>
      </c>
      <c r="O122">
        <v>0</v>
      </c>
      <c r="R122">
        <v>0</v>
      </c>
      <c r="S122">
        <v>0</v>
      </c>
      <c r="T122">
        <v>2892023.16</v>
      </c>
      <c r="U122">
        <v>2892023.16</v>
      </c>
      <c r="V122">
        <v>0</v>
      </c>
      <c r="W122">
        <v>0</v>
      </c>
      <c r="X122">
        <v>0</v>
      </c>
      <c r="AA122">
        <v>0</v>
      </c>
      <c r="AD122">
        <v>0</v>
      </c>
    </row>
    <row r="123" spans="2:30" x14ac:dyDescent="0.25">
      <c r="B123" t="s">
        <v>83</v>
      </c>
      <c r="C123" s="9" t="s">
        <v>58</v>
      </c>
      <c r="D123" s="10" t="s">
        <v>43</v>
      </c>
      <c r="E123" s="2">
        <v>45901</v>
      </c>
      <c r="F123">
        <v>1</v>
      </c>
      <c r="G123">
        <v>0</v>
      </c>
      <c r="H123">
        <v>102492.32</v>
      </c>
      <c r="I123">
        <v>102492.32</v>
      </c>
      <c r="J123">
        <v>0</v>
      </c>
      <c r="K123">
        <v>0</v>
      </c>
      <c r="L123">
        <v>0</v>
      </c>
      <c r="O123">
        <v>0</v>
      </c>
      <c r="R123">
        <v>0</v>
      </c>
      <c r="S123">
        <v>0</v>
      </c>
      <c r="T123">
        <v>2994515.48</v>
      </c>
      <c r="U123">
        <v>2994515.48</v>
      </c>
      <c r="V123">
        <v>0</v>
      </c>
      <c r="W123">
        <v>0</v>
      </c>
      <c r="X123">
        <v>0</v>
      </c>
      <c r="AA123">
        <v>0</v>
      </c>
      <c r="AD123">
        <v>0</v>
      </c>
    </row>
    <row r="124" spans="2:30" x14ac:dyDescent="0.25">
      <c r="B124" t="s">
        <v>83</v>
      </c>
      <c r="C124" s="9" t="s">
        <v>58</v>
      </c>
      <c r="D124" s="10" t="s">
        <v>44</v>
      </c>
      <c r="E124" s="2">
        <v>45931</v>
      </c>
      <c r="F124">
        <v>1</v>
      </c>
      <c r="G124">
        <v>0</v>
      </c>
      <c r="H124">
        <v>78825.600000000006</v>
      </c>
      <c r="I124">
        <v>78825.600000000006</v>
      </c>
      <c r="J124">
        <v>0</v>
      </c>
      <c r="K124">
        <v>0</v>
      </c>
      <c r="L124">
        <v>0</v>
      </c>
      <c r="O124">
        <v>0</v>
      </c>
      <c r="R124">
        <v>0</v>
      </c>
      <c r="S124">
        <v>0</v>
      </c>
      <c r="T124">
        <v>3073341.08</v>
      </c>
      <c r="U124">
        <v>3073341.08</v>
      </c>
      <c r="V124">
        <v>0</v>
      </c>
      <c r="W124">
        <v>0</v>
      </c>
      <c r="X124">
        <v>0</v>
      </c>
      <c r="AA124">
        <v>0</v>
      </c>
      <c r="AD124">
        <v>0</v>
      </c>
    </row>
    <row r="125" spans="2:30" x14ac:dyDescent="0.25">
      <c r="B125" t="s">
        <v>83</v>
      </c>
      <c r="C125" s="9" t="s">
        <v>58</v>
      </c>
      <c r="D125" s="10" t="s">
        <v>45</v>
      </c>
      <c r="E125" s="2">
        <v>45962</v>
      </c>
      <c r="F125">
        <v>1</v>
      </c>
      <c r="G125">
        <v>0</v>
      </c>
      <c r="H125">
        <v>118990.48</v>
      </c>
      <c r="I125">
        <v>118990.48</v>
      </c>
      <c r="J125">
        <v>0</v>
      </c>
      <c r="K125">
        <v>0</v>
      </c>
      <c r="L125">
        <v>0</v>
      </c>
      <c r="O125">
        <v>0</v>
      </c>
      <c r="R125">
        <v>0</v>
      </c>
      <c r="S125">
        <v>0</v>
      </c>
      <c r="T125">
        <v>3192331.56</v>
      </c>
      <c r="U125">
        <v>3192331.56</v>
      </c>
      <c r="V125">
        <v>0</v>
      </c>
      <c r="W125">
        <v>0</v>
      </c>
      <c r="X125">
        <v>0</v>
      </c>
      <c r="AA125">
        <v>0</v>
      </c>
      <c r="AD125">
        <v>0</v>
      </c>
    </row>
    <row r="126" spans="2:30" x14ac:dyDescent="0.25">
      <c r="B126" t="s">
        <v>83</v>
      </c>
      <c r="C126" s="9" t="s">
        <v>58</v>
      </c>
      <c r="D126" s="10" t="s">
        <v>46</v>
      </c>
      <c r="E126" s="2">
        <v>45992</v>
      </c>
      <c r="F126">
        <v>1</v>
      </c>
      <c r="G126">
        <v>0</v>
      </c>
      <c r="H126">
        <v>84651.839999999997</v>
      </c>
      <c r="I126">
        <v>84651.839999999997</v>
      </c>
      <c r="J126">
        <v>0</v>
      </c>
      <c r="K126">
        <v>0</v>
      </c>
      <c r="L126">
        <v>0</v>
      </c>
      <c r="O126">
        <v>0</v>
      </c>
      <c r="R126">
        <v>0</v>
      </c>
      <c r="S126">
        <v>0</v>
      </c>
      <c r="T126">
        <v>3276983.4</v>
      </c>
      <c r="U126">
        <v>3276983.4</v>
      </c>
      <c r="V126">
        <v>0</v>
      </c>
      <c r="W126">
        <v>0</v>
      </c>
      <c r="X126">
        <v>0</v>
      </c>
      <c r="AA126">
        <v>0</v>
      </c>
      <c r="AD126">
        <v>0</v>
      </c>
    </row>
    <row r="127" spans="2:30" x14ac:dyDescent="0.25">
      <c r="B127" t="s">
        <v>83</v>
      </c>
      <c r="C127" s="9" t="s">
        <v>58</v>
      </c>
      <c r="D127" s="10" t="s">
        <v>47</v>
      </c>
      <c r="E127" s="2">
        <v>46023</v>
      </c>
      <c r="F127">
        <v>1</v>
      </c>
      <c r="G127">
        <v>0</v>
      </c>
      <c r="H127">
        <v>79948.960000000006</v>
      </c>
      <c r="I127">
        <v>79948.960000000006</v>
      </c>
      <c r="J127">
        <v>0</v>
      </c>
      <c r="K127">
        <v>0</v>
      </c>
      <c r="L127">
        <v>0</v>
      </c>
      <c r="O127">
        <v>0</v>
      </c>
      <c r="R127">
        <v>0</v>
      </c>
      <c r="S127">
        <v>0</v>
      </c>
      <c r="T127">
        <v>3356932.36</v>
      </c>
      <c r="U127">
        <v>3356932.36</v>
      </c>
      <c r="V127">
        <v>0</v>
      </c>
      <c r="W127">
        <v>0</v>
      </c>
      <c r="X127">
        <v>0</v>
      </c>
      <c r="AA127">
        <v>0</v>
      </c>
      <c r="AD127">
        <v>0</v>
      </c>
    </row>
    <row r="128" spans="2:30" x14ac:dyDescent="0.25">
      <c r="B128" t="s">
        <v>83</v>
      </c>
      <c r="C128" s="9" t="s">
        <v>58</v>
      </c>
      <c r="D128" s="10" t="s">
        <v>48</v>
      </c>
      <c r="E128" s="2">
        <v>46054</v>
      </c>
      <c r="F128">
        <v>1</v>
      </c>
      <c r="G128">
        <v>0</v>
      </c>
      <c r="H128">
        <v>35728.559999999998</v>
      </c>
      <c r="I128">
        <v>35728.559999999998</v>
      </c>
      <c r="J128">
        <v>0</v>
      </c>
      <c r="K128">
        <v>0</v>
      </c>
      <c r="L128">
        <v>0</v>
      </c>
      <c r="O128">
        <v>0</v>
      </c>
      <c r="R128">
        <v>0</v>
      </c>
      <c r="S128">
        <v>0</v>
      </c>
      <c r="T128">
        <v>3392660.92</v>
      </c>
      <c r="U128">
        <v>3392660.92</v>
      </c>
      <c r="V128">
        <v>0</v>
      </c>
      <c r="W128">
        <v>0</v>
      </c>
      <c r="X128">
        <v>0</v>
      </c>
      <c r="AA128">
        <v>0</v>
      </c>
      <c r="AD128">
        <v>0</v>
      </c>
    </row>
    <row r="129" spans="2:30" x14ac:dyDescent="0.25">
      <c r="B129" t="s">
        <v>83</v>
      </c>
      <c r="C129" s="9" t="s">
        <v>58</v>
      </c>
      <c r="D129" s="10" t="s">
        <v>49</v>
      </c>
      <c r="E129" s="2">
        <v>46082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0</v>
      </c>
      <c r="R129">
        <v>0</v>
      </c>
      <c r="S129">
        <v>0</v>
      </c>
      <c r="T129">
        <v>3392660.92</v>
      </c>
      <c r="U129">
        <v>3392660.92</v>
      </c>
      <c r="V129">
        <v>0</v>
      </c>
      <c r="W129">
        <v>0</v>
      </c>
      <c r="X129">
        <v>0</v>
      </c>
      <c r="AA129">
        <v>0</v>
      </c>
      <c r="AD129">
        <v>0</v>
      </c>
    </row>
    <row r="130" spans="2:30" x14ac:dyDescent="0.25">
      <c r="B130" t="s">
        <v>83</v>
      </c>
      <c r="C130" s="9" t="s">
        <v>58</v>
      </c>
      <c r="D130" s="10" t="s">
        <v>50</v>
      </c>
      <c r="E130" s="2">
        <v>46113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O130">
        <v>0</v>
      </c>
      <c r="R130">
        <v>0</v>
      </c>
      <c r="S130">
        <v>0</v>
      </c>
      <c r="T130">
        <v>3392660.92</v>
      </c>
      <c r="U130">
        <v>3392660.92</v>
      </c>
      <c r="V130">
        <v>0</v>
      </c>
      <c r="W130">
        <v>0</v>
      </c>
      <c r="X130">
        <v>0</v>
      </c>
      <c r="AA130">
        <v>0</v>
      </c>
      <c r="AD130">
        <v>0</v>
      </c>
    </row>
    <row r="131" spans="2:30" x14ac:dyDescent="0.25">
      <c r="B131" t="s">
        <v>83</v>
      </c>
      <c r="C131" s="9" t="s">
        <v>58</v>
      </c>
      <c r="D131" s="10" t="s">
        <v>51</v>
      </c>
      <c r="E131" s="2">
        <v>46143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O131">
        <v>0</v>
      </c>
      <c r="R131">
        <v>0</v>
      </c>
      <c r="S131">
        <v>0</v>
      </c>
      <c r="T131">
        <v>3392660.92</v>
      </c>
      <c r="U131">
        <v>3392660.92</v>
      </c>
      <c r="V131">
        <v>0</v>
      </c>
      <c r="W131">
        <v>0</v>
      </c>
      <c r="X131">
        <v>0</v>
      </c>
      <c r="AA131">
        <v>0</v>
      </c>
      <c r="AD131">
        <v>0</v>
      </c>
    </row>
    <row r="132" spans="2:30" x14ac:dyDescent="0.25">
      <c r="B132" t="s">
        <v>83</v>
      </c>
      <c r="C132" s="9" t="s">
        <v>58</v>
      </c>
      <c r="D132" s="10" t="s">
        <v>52</v>
      </c>
      <c r="E132" s="2">
        <v>46174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O132">
        <v>0</v>
      </c>
      <c r="R132">
        <v>0</v>
      </c>
      <c r="S132">
        <v>0</v>
      </c>
      <c r="T132">
        <v>3392660.92</v>
      </c>
      <c r="U132">
        <v>3392660.92</v>
      </c>
      <c r="V132">
        <v>0</v>
      </c>
      <c r="W132">
        <v>0</v>
      </c>
      <c r="X132">
        <v>0</v>
      </c>
      <c r="AA132">
        <v>0</v>
      </c>
      <c r="AD132">
        <v>0</v>
      </c>
    </row>
    <row r="133" spans="2:30" x14ac:dyDescent="0.25">
      <c r="B133" t="s">
        <v>83</v>
      </c>
      <c r="C133" s="9" t="s">
        <v>58</v>
      </c>
      <c r="D133" s="10" t="s">
        <v>53</v>
      </c>
      <c r="E133" s="2">
        <v>46204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0</v>
      </c>
      <c r="R133">
        <v>0</v>
      </c>
      <c r="S133">
        <v>0</v>
      </c>
      <c r="T133">
        <v>3392660.92</v>
      </c>
      <c r="U133">
        <v>3392660.92</v>
      </c>
      <c r="V133">
        <v>0</v>
      </c>
      <c r="W133">
        <v>0</v>
      </c>
      <c r="X133">
        <v>0</v>
      </c>
      <c r="AA133">
        <v>0</v>
      </c>
      <c r="AD133">
        <v>0</v>
      </c>
    </row>
    <row r="134" spans="2:30" x14ac:dyDescent="0.25">
      <c r="B134" t="s">
        <v>83</v>
      </c>
      <c r="C134" s="9" t="s">
        <v>58</v>
      </c>
      <c r="D134" s="10" t="s">
        <v>54</v>
      </c>
      <c r="E134" s="2">
        <v>46235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O134">
        <v>0</v>
      </c>
      <c r="R134">
        <v>0</v>
      </c>
      <c r="S134">
        <v>0</v>
      </c>
      <c r="T134">
        <v>3392660.92</v>
      </c>
      <c r="U134">
        <v>3392660.92</v>
      </c>
      <c r="V134">
        <v>0</v>
      </c>
      <c r="W134">
        <v>0</v>
      </c>
      <c r="X134">
        <v>0</v>
      </c>
      <c r="AA134">
        <v>0</v>
      </c>
      <c r="AD134">
        <v>0</v>
      </c>
    </row>
    <row r="135" spans="2:30" x14ac:dyDescent="0.25">
      <c r="B135" t="s">
        <v>59</v>
      </c>
      <c r="C135" s="9" t="s">
        <v>60</v>
      </c>
      <c r="D135" s="10" t="s">
        <v>30</v>
      </c>
      <c r="E135" s="2"/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2:30" x14ac:dyDescent="0.25">
      <c r="B136" t="s">
        <v>59</v>
      </c>
      <c r="C136" s="9" t="s">
        <v>60</v>
      </c>
      <c r="D136" s="10" t="s">
        <v>31</v>
      </c>
      <c r="E136" s="2"/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2:30" x14ac:dyDescent="0.25">
      <c r="B137" t="s">
        <v>59</v>
      </c>
      <c r="C137" s="9" t="s">
        <v>60</v>
      </c>
      <c r="D137" s="10" t="s">
        <v>32</v>
      </c>
      <c r="E137" s="2"/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AA137">
        <v>0</v>
      </c>
      <c r="AD137">
        <v>0</v>
      </c>
    </row>
    <row r="138" spans="2:30" x14ac:dyDescent="0.25">
      <c r="B138" t="s">
        <v>59</v>
      </c>
      <c r="C138" t="s">
        <v>60</v>
      </c>
      <c r="D138" s="3" t="s">
        <v>33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AA138">
        <v>0</v>
      </c>
      <c r="AD138">
        <v>0</v>
      </c>
    </row>
    <row r="139" spans="2:30" x14ac:dyDescent="0.25">
      <c r="B139" t="s">
        <v>59</v>
      </c>
      <c r="C139" t="s">
        <v>60</v>
      </c>
      <c r="D139" s="3" t="s">
        <v>34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AA139">
        <v>0</v>
      </c>
      <c r="AD139">
        <v>0</v>
      </c>
    </row>
    <row r="140" spans="2:30" x14ac:dyDescent="0.25">
      <c r="B140" t="s">
        <v>59</v>
      </c>
      <c r="C140" t="s">
        <v>60</v>
      </c>
      <c r="D140" s="3" t="s">
        <v>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AA140">
        <v>0</v>
      </c>
      <c r="AD140">
        <v>0</v>
      </c>
    </row>
    <row r="141" spans="2:30" x14ac:dyDescent="0.25">
      <c r="B141" t="s">
        <v>59</v>
      </c>
      <c r="C141" t="s">
        <v>60</v>
      </c>
      <c r="D141" s="3" t="s">
        <v>36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0</v>
      </c>
      <c r="R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AA141">
        <v>0</v>
      </c>
      <c r="AD141">
        <v>0</v>
      </c>
    </row>
    <row r="142" spans="2:30" x14ac:dyDescent="0.25">
      <c r="B142" t="s">
        <v>59</v>
      </c>
      <c r="C142" t="s">
        <v>60</v>
      </c>
      <c r="D142" s="3" t="s">
        <v>37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AA142">
        <v>0</v>
      </c>
      <c r="AD142">
        <v>0</v>
      </c>
    </row>
    <row r="143" spans="2:30" x14ac:dyDescent="0.25">
      <c r="B143" t="s">
        <v>59</v>
      </c>
      <c r="C143" t="s">
        <v>60</v>
      </c>
      <c r="D143" s="3" t="s">
        <v>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AA143">
        <v>0</v>
      </c>
      <c r="AD143">
        <v>0</v>
      </c>
    </row>
    <row r="144" spans="2:30" x14ac:dyDescent="0.25">
      <c r="B144" t="s">
        <v>59</v>
      </c>
      <c r="C144" t="s">
        <v>60</v>
      </c>
      <c r="D144" s="3" t="s">
        <v>39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AA144">
        <v>0</v>
      </c>
      <c r="AD144">
        <v>0</v>
      </c>
    </row>
    <row r="145" spans="2:30" x14ac:dyDescent="0.25">
      <c r="B145" t="s">
        <v>59</v>
      </c>
      <c r="C145" t="s">
        <v>60</v>
      </c>
      <c r="D145" s="3" t="s">
        <v>40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A145">
        <v>0</v>
      </c>
      <c r="AD145">
        <v>0</v>
      </c>
    </row>
    <row r="146" spans="2:30" x14ac:dyDescent="0.25">
      <c r="B146" t="s">
        <v>59</v>
      </c>
      <c r="C146" t="s">
        <v>60</v>
      </c>
      <c r="D146" s="3" t="s">
        <v>41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AA146">
        <v>0</v>
      </c>
      <c r="AD146">
        <v>0</v>
      </c>
    </row>
    <row r="147" spans="2:30" x14ac:dyDescent="0.25">
      <c r="B147" t="s">
        <v>59</v>
      </c>
      <c r="C147" t="s">
        <v>60</v>
      </c>
      <c r="D147" s="3" t="s">
        <v>42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AA147">
        <v>0</v>
      </c>
      <c r="AD147">
        <v>0</v>
      </c>
    </row>
    <row r="148" spans="2:30" x14ac:dyDescent="0.25">
      <c r="B148" t="s">
        <v>59</v>
      </c>
      <c r="C148" t="s">
        <v>60</v>
      </c>
      <c r="D148" s="3" t="s">
        <v>43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AA148">
        <v>0</v>
      </c>
      <c r="AD148">
        <v>0</v>
      </c>
    </row>
    <row r="149" spans="2:30" x14ac:dyDescent="0.25">
      <c r="B149" t="s">
        <v>59</v>
      </c>
      <c r="C149" t="s">
        <v>60</v>
      </c>
      <c r="D149" s="3" t="s">
        <v>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AA149">
        <v>0</v>
      </c>
      <c r="AD149">
        <v>0</v>
      </c>
    </row>
    <row r="150" spans="2:30" x14ac:dyDescent="0.25">
      <c r="B150" t="s">
        <v>59</v>
      </c>
      <c r="C150" t="s">
        <v>60</v>
      </c>
      <c r="D150" s="3" t="s">
        <v>45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AA150">
        <v>0</v>
      </c>
      <c r="AD150">
        <v>0</v>
      </c>
    </row>
    <row r="151" spans="2:30" x14ac:dyDescent="0.25">
      <c r="B151" t="s">
        <v>59</v>
      </c>
      <c r="C151" t="s">
        <v>60</v>
      </c>
      <c r="D151" s="3" t="s">
        <v>46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AA151">
        <v>0</v>
      </c>
      <c r="AD151">
        <v>0</v>
      </c>
    </row>
    <row r="152" spans="2:30" x14ac:dyDescent="0.25">
      <c r="B152" t="s">
        <v>59</v>
      </c>
      <c r="C152" t="s">
        <v>60</v>
      </c>
      <c r="D152" s="3" t="s">
        <v>47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AA152">
        <v>0</v>
      </c>
      <c r="AD152">
        <v>0</v>
      </c>
    </row>
    <row r="153" spans="2:30" x14ac:dyDescent="0.25">
      <c r="B153" t="s">
        <v>59</v>
      </c>
      <c r="C153" t="s">
        <v>60</v>
      </c>
      <c r="D153" s="3" t="s">
        <v>48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AA153">
        <v>0</v>
      </c>
      <c r="AD153">
        <v>0</v>
      </c>
    </row>
    <row r="154" spans="2:30" x14ac:dyDescent="0.25">
      <c r="B154" t="s">
        <v>59</v>
      </c>
      <c r="C154" t="s">
        <v>60</v>
      </c>
      <c r="D154" s="3" t="s">
        <v>49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AA154">
        <v>0</v>
      </c>
      <c r="AD154">
        <v>0</v>
      </c>
    </row>
    <row r="155" spans="2:30" x14ac:dyDescent="0.25">
      <c r="B155" t="s">
        <v>59</v>
      </c>
      <c r="C155" t="s">
        <v>60</v>
      </c>
      <c r="D155" s="3" t="s">
        <v>50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AA155">
        <v>0</v>
      </c>
      <c r="AD155">
        <v>0</v>
      </c>
    </row>
    <row r="156" spans="2:30" x14ac:dyDescent="0.25">
      <c r="B156" t="s">
        <v>59</v>
      </c>
      <c r="C156" t="s">
        <v>60</v>
      </c>
      <c r="D156" s="3" t="s">
        <v>51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AA156">
        <v>0</v>
      </c>
      <c r="AD156">
        <v>0</v>
      </c>
    </row>
    <row r="157" spans="2:30" x14ac:dyDescent="0.25">
      <c r="B157" t="s">
        <v>59</v>
      </c>
      <c r="C157" t="s">
        <v>60</v>
      </c>
      <c r="D157" s="3" t="s">
        <v>52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AA157">
        <v>0</v>
      </c>
      <c r="AD157">
        <v>0</v>
      </c>
    </row>
    <row r="158" spans="2:30" x14ac:dyDescent="0.25">
      <c r="B158" t="s">
        <v>59</v>
      </c>
      <c r="C158" t="s">
        <v>60</v>
      </c>
      <c r="D158" s="3" t="s">
        <v>53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AA158">
        <v>0</v>
      </c>
      <c r="AD158">
        <v>0</v>
      </c>
    </row>
    <row r="159" spans="2:30" x14ac:dyDescent="0.25">
      <c r="B159" t="s">
        <v>59</v>
      </c>
      <c r="C159" t="s">
        <v>60</v>
      </c>
      <c r="D159" s="3" t="s">
        <v>54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0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AA159">
        <v>0</v>
      </c>
      <c r="AD159">
        <v>0</v>
      </c>
    </row>
    <row r="160" spans="2:30" x14ac:dyDescent="0.25">
      <c r="B160" t="s">
        <v>59</v>
      </c>
      <c r="C160" t="s">
        <v>61</v>
      </c>
      <c r="D160" s="3" t="s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2:30" x14ac:dyDescent="0.25">
      <c r="B161" t="s">
        <v>59</v>
      </c>
      <c r="C161" t="s">
        <v>61</v>
      </c>
      <c r="D161" s="3" t="s">
        <v>31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2:30" x14ac:dyDescent="0.25">
      <c r="B162" t="s">
        <v>59</v>
      </c>
      <c r="C162" t="s">
        <v>61</v>
      </c>
      <c r="D162" s="3" t="s">
        <v>32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AA162">
        <v>0</v>
      </c>
      <c r="AD162">
        <v>0</v>
      </c>
    </row>
    <row r="163" spans="2:30" x14ac:dyDescent="0.25">
      <c r="B163" t="s">
        <v>59</v>
      </c>
      <c r="C163" t="s">
        <v>61</v>
      </c>
      <c r="D163" s="3" t="s">
        <v>33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AA163">
        <v>0</v>
      </c>
      <c r="AD163">
        <v>0</v>
      </c>
    </row>
    <row r="164" spans="2:30" x14ac:dyDescent="0.25">
      <c r="B164" t="s">
        <v>59</v>
      </c>
      <c r="C164" t="s">
        <v>61</v>
      </c>
      <c r="D164" s="3" t="s">
        <v>34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AA164">
        <v>0</v>
      </c>
      <c r="AD164">
        <v>0</v>
      </c>
    </row>
    <row r="165" spans="2:30" x14ac:dyDescent="0.25">
      <c r="B165" t="s">
        <v>59</v>
      </c>
      <c r="C165" t="s">
        <v>61</v>
      </c>
      <c r="D165" s="3" t="s">
        <v>35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AA165">
        <v>0</v>
      </c>
      <c r="AD165">
        <v>0</v>
      </c>
    </row>
    <row r="166" spans="2:30" x14ac:dyDescent="0.25">
      <c r="B166" t="s">
        <v>59</v>
      </c>
      <c r="C166" t="s">
        <v>61</v>
      </c>
      <c r="D166" s="3" t="s">
        <v>36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AA166">
        <v>0</v>
      </c>
      <c r="AD166">
        <v>0</v>
      </c>
    </row>
    <row r="167" spans="2:30" x14ac:dyDescent="0.25">
      <c r="B167" t="s">
        <v>59</v>
      </c>
      <c r="C167" t="s">
        <v>61</v>
      </c>
      <c r="D167" s="3" t="s">
        <v>37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AA167">
        <v>0</v>
      </c>
      <c r="AD167">
        <v>0</v>
      </c>
    </row>
    <row r="168" spans="2:30" x14ac:dyDescent="0.25">
      <c r="B168" t="s">
        <v>59</v>
      </c>
      <c r="C168" t="s">
        <v>61</v>
      </c>
      <c r="D168" s="3" t="s">
        <v>38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AA168">
        <v>0</v>
      </c>
      <c r="AD168">
        <v>0</v>
      </c>
    </row>
    <row r="169" spans="2:30" x14ac:dyDescent="0.25">
      <c r="B169" t="s">
        <v>59</v>
      </c>
      <c r="C169" t="s">
        <v>61</v>
      </c>
      <c r="D169" s="3" t="s">
        <v>39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AA169">
        <v>0</v>
      </c>
      <c r="AD169">
        <v>0</v>
      </c>
    </row>
    <row r="170" spans="2:30" x14ac:dyDescent="0.25">
      <c r="B170" t="s">
        <v>59</v>
      </c>
      <c r="C170" t="s">
        <v>61</v>
      </c>
      <c r="D170" s="3" t="s">
        <v>40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AA170">
        <v>0</v>
      </c>
      <c r="AD170">
        <v>0</v>
      </c>
    </row>
    <row r="171" spans="2:30" x14ac:dyDescent="0.25">
      <c r="B171" t="s">
        <v>59</v>
      </c>
      <c r="C171" t="s">
        <v>61</v>
      </c>
      <c r="D171" s="3" t="s">
        <v>41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AA171">
        <v>0</v>
      </c>
      <c r="AD171">
        <v>0</v>
      </c>
    </row>
    <row r="172" spans="2:30" x14ac:dyDescent="0.25">
      <c r="B172" t="s">
        <v>59</v>
      </c>
      <c r="C172" t="s">
        <v>61</v>
      </c>
      <c r="D172" s="3" t="s">
        <v>42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AA172">
        <v>0</v>
      </c>
      <c r="AD172">
        <v>0</v>
      </c>
    </row>
    <row r="173" spans="2:30" x14ac:dyDescent="0.25">
      <c r="B173" t="s">
        <v>59</v>
      </c>
      <c r="C173" t="s">
        <v>61</v>
      </c>
      <c r="D173" s="3" t="s">
        <v>43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AA173">
        <v>0</v>
      </c>
      <c r="AD173">
        <v>0</v>
      </c>
    </row>
    <row r="174" spans="2:30" x14ac:dyDescent="0.25">
      <c r="B174" t="s">
        <v>59</v>
      </c>
      <c r="C174" t="s">
        <v>61</v>
      </c>
      <c r="D174" s="3" t="s">
        <v>44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AA174">
        <v>0</v>
      </c>
      <c r="AD174">
        <v>0</v>
      </c>
    </row>
    <row r="175" spans="2:30" x14ac:dyDescent="0.25">
      <c r="B175" t="s">
        <v>59</v>
      </c>
      <c r="C175" t="s">
        <v>61</v>
      </c>
      <c r="D175" s="3" t="s">
        <v>45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AA175">
        <v>0</v>
      </c>
      <c r="AD175">
        <v>0</v>
      </c>
    </row>
    <row r="176" spans="2:30" x14ac:dyDescent="0.25">
      <c r="B176" t="s">
        <v>59</v>
      </c>
      <c r="C176" t="s">
        <v>61</v>
      </c>
      <c r="D176" s="3" t="s">
        <v>46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AA176">
        <v>0</v>
      </c>
      <c r="AD176">
        <v>0</v>
      </c>
    </row>
    <row r="177" spans="2:30" x14ac:dyDescent="0.25">
      <c r="B177" t="s">
        <v>59</v>
      </c>
      <c r="C177" t="s">
        <v>61</v>
      </c>
      <c r="D177" s="3" t="s">
        <v>47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0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AA177">
        <v>0</v>
      </c>
      <c r="AD177">
        <v>0</v>
      </c>
    </row>
    <row r="178" spans="2:30" x14ac:dyDescent="0.25">
      <c r="B178" t="s">
        <v>59</v>
      </c>
      <c r="C178" t="s">
        <v>61</v>
      </c>
      <c r="D178" s="3" t="s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AA178">
        <v>0</v>
      </c>
      <c r="AD178">
        <v>0</v>
      </c>
    </row>
    <row r="179" spans="2:30" x14ac:dyDescent="0.25">
      <c r="B179" t="s">
        <v>59</v>
      </c>
      <c r="C179" t="s">
        <v>61</v>
      </c>
      <c r="D179" s="3" t="s">
        <v>49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AA179">
        <v>0</v>
      </c>
      <c r="AD179">
        <v>0</v>
      </c>
    </row>
    <row r="180" spans="2:30" x14ac:dyDescent="0.25">
      <c r="B180" t="s">
        <v>59</v>
      </c>
      <c r="C180" t="s">
        <v>61</v>
      </c>
      <c r="D180" s="3" t="s">
        <v>50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AA180">
        <v>0</v>
      </c>
      <c r="AD180">
        <v>0</v>
      </c>
    </row>
    <row r="181" spans="2:30" x14ac:dyDescent="0.25">
      <c r="B181" t="s">
        <v>59</v>
      </c>
      <c r="C181" t="s">
        <v>61</v>
      </c>
      <c r="D181" s="3" t="s">
        <v>51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AA181">
        <v>0</v>
      </c>
      <c r="AD181">
        <v>0</v>
      </c>
    </row>
    <row r="182" spans="2:30" x14ac:dyDescent="0.25">
      <c r="B182" t="s">
        <v>59</v>
      </c>
      <c r="C182" t="s">
        <v>61</v>
      </c>
      <c r="D182" s="3" t="s">
        <v>52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AA182">
        <v>0</v>
      </c>
      <c r="AD182">
        <v>0</v>
      </c>
    </row>
    <row r="183" spans="2:30" x14ac:dyDescent="0.25">
      <c r="B183" t="s">
        <v>59</v>
      </c>
      <c r="C183" t="s">
        <v>61</v>
      </c>
      <c r="D183" s="3" t="s">
        <v>53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AA183">
        <v>0</v>
      </c>
      <c r="AD183">
        <v>0</v>
      </c>
    </row>
    <row r="184" spans="2:30" x14ac:dyDescent="0.25">
      <c r="B184" t="s">
        <v>59</v>
      </c>
      <c r="C184" t="s">
        <v>61</v>
      </c>
      <c r="D184" s="3" t="s">
        <v>54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AA184">
        <v>0</v>
      </c>
      <c r="AD184">
        <v>0</v>
      </c>
    </row>
    <row r="185" spans="2:30" x14ac:dyDescent="0.25">
      <c r="B185" t="s">
        <v>59</v>
      </c>
      <c r="C185" t="s">
        <v>62</v>
      </c>
      <c r="D185" s="3" t="s">
        <v>30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2:30" x14ac:dyDescent="0.25">
      <c r="B186" t="s">
        <v>59</v>
      </c>
      <c r="C186" t="s">
        <v>62</v>
      </c>
      <c r="D186" s="3" t="s">
        <v>31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2:30" x14ac:dyDescent="0.25">
      <c r="B187" t="s">
        <v>59</v>
      </c>
      <c r="C187" t="s">
        <v>62</v>
      </c>
      <c r="D187" s="3" t="s">
        <v>32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AA187">
        <v>0</v>
      </c>
      <c r="AD187">
        <v>0</v>
      </c>
    </row>
    <row r="188" spans="2:30" x14ac:dyDescent="0.25">
      <c r="B188" t="s">
        <v>59</v>
      </c>
      <c r="C188" t="s">
        <v>62</v>
      </c>
      <c r="D188" s="3" t="s">
        <v>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AA188">
        <v>0</v>
      </c>
      <c r="AD188">
        <v>0</v>
      </c>
    </row>
    <row r="189" spans="2:30" x14ac:dyDescent="0.25">
      <c r="B189" t="s">
        <v>59</v>
      </c>
      <c r="C189" t="s">
        <v>62</v>
      </c>
      <c r="D189" s="3" t="s">
        <v>34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AA189">
        <v>0</v>
      </c>
      <c r="AD189">
        <v>0</v>
      </c>
    </row>
    <row r="190" spans="2:30" x14ac:dyDescent="0.25">
      <c r="B190" t="s">
        <v>59</v>
      </c>
      <c r="C190" t="s">
        <v>62</v>
      </c>
      <c r="D190" s="3" t="s">
        <v>35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AA190">
        <v>0</v>
      </c>
      <c r="AD190">
        <v>0</v>
      </c>
    </row>
    <row r="191" spans="2:30" x14ac:dyDescent="0.25">
      <c r="B191" t="s">
        <v>59</v>
      </c>
      <c r="C191" t="s">
        <v>62</v>
      </c>
      <c r="D191" s="3" t="s">
        <v>36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AA191">
        <v>0</v>
      </c>
      <c r="AD191">
        <v>0</v>
      </c>
    </row>
    <row r="192" spans="2:30" x14ac:dyDescent="0.25">
      <c r="B192" t="s">
        <v>59</v>
      </c>
      <c r="C192" t="s">
        <v>62</v>
      </c>
      <c r="D192" s="3" t="s">
        <v>37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AA192">
        <v>0</v>
      </c>
      <c r="AD192">
        <v>0</v>
      </c>
    </row>
    <row r="193" spans="2:30" x14ac:dyDescent="0.25">
      <c r="B193" t="s">
        <v>59</v>
      </c>
      <c r="C193" t="s">
        <v>62</v>
      </c>
      <c r="D193" s="3" t="s">
        <v>38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AA193">
        <v>0</v>
      </c>
      <c r="AD193">
        <v>0</v>
      </c>
    </row>
    <row r="194" spans="2:30" x14ac:dyDescent="0.25">
      <c r="B194" t="s">
        <v>59</v>
      </c>
      <c r="C194" t="s">
        <v>62</v>
      </c>
      <c r="D194" s="3" t="s">
        <v>39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AA194">
        <v>0</v>
      </c>
      <c r="AD194">
        <v>0</v>
      </c>
    </row>
    <row r="195" spans="2:30" x14ac:dyDescent="0.25">
      <c r="B195" t="s">
        <v>59</v>
      </c>
      <c r="C195" t="s">
        <v>62</v>
      </c>
      <c r="D195" s="3" t="s">
        <v>40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AA195">
        <v>0</v>
      </c>
      <c r="AD195">
        <v>0</v>
      </c>
    </row>
    <row r="196" spans="2:30" x14ac:dyDescent="0.25">
      <c r="B196" t="s">
        <v>59</v>
      </c>
      <c r="C196" t="s">
        <v>62</v>
      </c>
      <c r="D196" s="3" t="s">
        <v>41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AA196">
        <v>0</v>
      </c>
      <c r="AD196">
        <v>0</v>
      </c>
    </row>
    <row r="197" spans="2:30" x14ac:dyDescent="0.25">
      <c r="B197" t="s">
        <v>59</v>
      </c>
      <c r="C197" t="s">
        <v>62</v>
      </c>
      <c r="D197" s="3" t="s">
        <v>42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AA197">
        <v>0</v>
      </c>
      <c r="AD197">
        <v>0</v>
      </c>
    </row>
    <row r="198" spans="2:30" x14ac:dyDescent="0.25">
      <c r="B198" t="s">
        <v>59</v>
      </c>
      <c r="C198" t="s">
        <v>62</v>
      </c>
      <c r="D198" s="3" t="s">
        <v>43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AA198">
        <v>0</v>
      </c>
      <c r="AD198">
        <v>0</v>
      </c>
    </row>
    <row r="199" spans="2:30" x14ac:dyDescent="0.25">
      <c r="B199" t="s">
        <v>59</v>
      </c>
      <c r="C199" t="s">
        <v>62</v>
      </c>
      <c r="D199" s="3" t="s">
        <v>44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AA199">
        <v>0</v>
      </c>
      <c r="AD199">
        <v>0</v>
      </c>
    </row>
    <row r="200" spans="2:30" x14ac:dyDescent="0.25">
      <c r="B200" t="s">
        <v>59</v>
      </c>
      <c r="C200" t="s">
        <v>62</v>
      </c>
      <c r="D200" s="3" t="s">
        <v>45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AA200">
        <v>0</v>
      </c>
      <c r="AD200">
        <v>0</v>
      </c>
    </row>
    <row r="201" spans="2:30" x14ac:dyDescent="0.25">
      <c r="B201" t="s">
        <v>59</v>
      </c>
      <c r="C201" t="s">
        <v>62</v>
      </c>
      <c r="D201" s="3" t="s">
        <v>46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AA201">
        <v>0</v>
      </c>
      <c r="AD201">
        <v>0</v>
      </c>
    </row>
    <row r="202" spans="2:30" x14ac:dyDescent="0.25">
      <c r="B202" t="s">
        <v>59</v>
      </c>
      <c r="C202" t="s">
        <v>62</v>
      </c>
      <c r="D202" s="3" t="s">
        <v>47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AA202">
        <v>0</v>
      </c>
      <c r="AD202">
        <v>0</v>
      </c>
    </row>
    <row r="203" spans="2:30" x14ac:dyDescent="0.25">
      <c r="B203" t="s">
        <v>59</v>
      </c>
      <c r="C203" t="s">
        <v>62</v>
      </c>
      <c r="D203" s="3" t="s">
        <v>48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AA203">
        <v>0</v>
      </c>
      <c r="AD203">
        <v>0</v>
      </c>
    </row>
    <row r="204" spans="2:30" x14ac:dyDescent="0.25">
      <c r="B204" t="s">
        <v>59</v>
      </c>
      <c r="C204" t="s">
        <v>62</v>
      </c>
      <c r="D204" s="3" t="s">
        <v>49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AA204">
        <v>0</v>
      </c>
      <c r="AD204">
        <v>0</v>
      </c>
    </row>
    <row r="205" spans="2:30" x14ac:dyDescent="0.25">
      <c r="B205" t="s">
        <v>59</v>
      </c>
      <c r="C205" t="s">
        <v>62</v>
      </c>
      <c r="D205" s="3" t="s">
        <v>50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AA205">
        <v>0</v>
      </c>
      <c r="AD205">
        <v>0</v>
      </c>
    </row>
    <row r="206" spans="2:30" x14ac:dyDescent="0.25">
      <c r="B206" t="s">
        <v>59</v>
      </c>
      <c r="C206" t="s">
        <v>62</v>
      </c>
      <c r="D206" s="3" t="s">
        <v>51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AA206">
        <v>0</v>
      </c>
      <c r="AD206">
        <v>0</v>
      </c>
    </row>
    <row r="207" spans="2:30" x14ac:dyDescent="0.25">
      <c r="B207" t="s">
        <v>59</v>
      </c>
      <c r="C207" t="s">
        <v>62</v>
      </c>
      <c r="D207" s="3" t="s">
        <v>52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AA207">
        <v>0</v>
      </c>
      <c r="AD207">
        <v>0</v>
      </c>
    </row>
    <row r="208" spans="2:30" x14ac:dyDescent="0.25">
      <c r="B208" t="s">
        <v>59</v>
      </c>
      <c r="C208" t="s">
        <v>62</v>
      </c>
      <c r="D208" s="3" t="s">
        <v>53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O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AA208">
        <v>0</v>
      </c>
      <c r="AD208">
        <v>0</v>
      </c>
    </row>
    <row r="209" spans="2:30" x14ac:dyDescent="0.25">
      <c r="B209" t="s">
        <v>59</v>
      </c>
      <c r="C209" t="s">
        <v>62</v>
      </c>
      <c r="D209" s="3" t="s">
        <v>54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AA209">
        <v>0</v>
      </c>
      <c r="AD209">
        <v>0</v>
      </c>
    </row>
    <row r="210" spans="2:30" x14ac:dyDescent="0.25">
      <c r="B210" t="s">
        <v>59</v>
      </c>
      <c r="C210" t="s">
        <v>63</v>
      </c>
      <c r="D210" s="3" t="s">
        <v>30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AA210">
        <v>0</v>
      </c>
    </row>
    <row r="211" spans="2:30" x14ac:dyDescent="0.25">
      <c r="B211" t="s">
        <v>59</v>
      </c>
      <c r="C211" t="s">
        <v>63</v>
      </c>
      <c r="D211" s="3" t="s">
        <v>31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AA211">
        <v>0</v>
      </c>
    </row>
    <row r="212" spans="2:30" x14ac:dyDescent="0.25">
      <c r="B212" t="s">
        <v>59</v>
      </c>
      <c r="C212" t="s">
        <v>63</v>
      </c>
      <c r="D212" s="3" t="s">
        <v>32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AA212">
        <v>0</v>
      </c>
      <c r="AD212">
        <v>0</v>
      </c>
    </row>
    <row r="213" spans="2:30" x14ac:dyDescent="0.25">
      <c r="B213" t="s">
        <v>59</v>
      </c>
      <c r="C213" t="s">
        <v>63</v>
      </c>
      <c r="D213" s="3" t="s">
        <v>33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AA213">
        <v>0</v>
      </c>
      <c r="AD213">
        <v>0</v>
      </c>
    </row>
    <row r="214" spans="2:30" x14ac:dyDescent="0.25">
      <c r="B214" t="s">
        <v>59</v>
      </c>
      <c r="C214" t="s">
        <v>63</v>
      </c>
      <c r="D214" s="3" t="s">
        <v>34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O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AA214">
        <v>0</v>
      </c>
      <c r="AD214">
        <v>0</v>
      </c>
    </row>
    <row r="215" spans="2:30" x14ac:dyDescent="0.25">
      <c r="B215" t="s">
        <v>59</v>
      </c>
      <c r="C215" t="s">
        <v>63</v>
      </c>
      <c r="D215" s="3" t="s">
        <v>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AA215">
        <v>0</v>
      </c>
      <c r="AD215">
        <v>0</v>
      </c>
    </row>
    <row r="216" spans="2:30" x14ac:dyDescent="0.25">
      <c r="B216" t="s">
        <v>59</v>
      </c>
      <c r="C216" t="s">
        <v>63</v>
      </c>
      <c r="D216" s="3" t="s">
        <v>36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AA216">
        <v>0</v>
      </c>
      <c r="AD216">
        <v>0</v>
      </c>
    </row>
    <row r="217" spans="2:30" x14ac:dyDescent="0.25">
      <c r="B217" t="s">
        <v>59</v>
      </c>
      <c r="C217" t="s">
        <v>63</v>
      </c>
      <c r="D217" s="3" t="s">
        <v>37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AA217">
        <v>0</v>
      </c>
      <c r="AD217">
        <v>0</v>
      </c>
    </row>
    <row r="218" spans="2:30" x14ac:dyDescent="0.25">
      <c r="B218" t="s">
        <v>59</v>
      </c>
      <c r="C218" t="s">
        <v>63</v>
      </c>
      <c r="D218" s="3" t="s">
        <v>38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AA218">
        <v>0</v>
      </c>
      <c r="AD218">
        <v>0</v>
      </c>
    </row>
    <row r="219" spans="2:30" x14ac:dyDescent="0.25">
      <c r="B219" t="s">
        <v>59</v>
      </c>
      <c r="C219" t="s">
        <v>63</v>
      </c>
      <c r="D219" s="3" t="s">
        <v>39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AA219">
        <v>0</v>
      </c>
      <c r="AD219">
        <v>0</v>
      </c>
    </row>
    <row r="220" spans="2:30" x14ac:dyDescent="0.25">
      <c r="B220" t="s">
        <v>59</v>
      </c>
      <c r="C220" t="s">
        <v>63</v>
      </c>
      <c r="D220" s="3" t="s">
        <v>40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AA220">
        <v>0</v>
      </c>
      <c r="AD220">
        <v>0</v>
      </c>
    </row>
    <row r="221" spans="2:30" x14ac:dyDescent="0.25">
      <c r="B221" t="s">
        <v>59</v>
      </c>
      <c r="C221" t="s">
        <v>63</v>
      </c>
      <c r="D221" s="3" t="s">
        <v>41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AA221">
        <v>0</v>
      </c>
      <c r="AD221">
        <v>0</v>
      </c>
    </row>
    <row r="222" spans="2:30" x14ac:dyDescent="0.25">
      <c r="B222" t="s">
        <v>59</v>
      </c>
      <c r="C222" t="s">
        <v>63</v>
      </c>
      <c r="D222" s="3" t="s">
        <v>42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AA222">
        <v>0</v>
      </c>
      <c r="AD222">
        <v>0</v>
      </c>
    </row>
    <row r="223" spans="2:30" x14ac:dyDescent="0.25">
      <c r="B223" t="s">
        <v>59</v>
      </c>
      <c r="C223" t="s">
        <v>63</v>
      </c>
      <c r="D223" s="3" t="s">
        <v>43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AA223">
        <v>0</v>
      </c>
      <c r="AD223">
        <v>0</v>
      </c>
    </row>
    <row r="224" spans="2:30" x14ac:dyDescent="0.25">
      <c r="B224" t="s">
        <v>59</v>
      </c>
      <c r="C224" t="s">
        <v>63</v>
      </c>
      <c r="D224" s="3" t="s">
        <v>44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AA224">
        <v>0</v>
      </c>
      <c r="AD224">
        <v>0</v>
      </c>
    </row>
    <row r="225" spans="2:30" x14ac:dyDescent="0.25">
      <c r="B225" t="s">
        <v>59</v>
      </c>
      <c r="C225" t="s">
        <v>63</v>
      </c>
      <c r="D225" s="3" t="s">
        <v>45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AA225">
        <v>0</v>
      </c>
      <c r="AD225">
        <v>0</v>
      </c>
    </row>
    <row r="226" spans="2:30" x14ac:dyDescent="0.25">
      <c r="B226" t="s">
        <v>59</v>
      </c>
      <c r="C226" t="s">
        <v>63</v>
      </c>
      <c r="D226" s="3" t="s">
        <v>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AA226">
        <v>0</v>
      </c>
      <c r="AD226">
        <v>0</v>
      </c>
    </row>
    <row r="227" spans="2:30" x14ac:dyDescent="0.25">
      <c r="B227" t="s">
        <v>59</v>
      </c>
      <c r="C227" t="s">
        <v>63</v>
      </c>
      <c r="D227" s="3" t="s">
        <v>47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0</v>
      </c>
      <c r="R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AA227">
        <v>0</v>
      </c>
      <c r="AD227">
        <v>0</v>
      </c>
    </row>
    <row r="228" spans="2:30" x14ac:dyDescent="0.25">
      <c r="B228" t="s">
        <v>59</v>
      </c>
      <c r="C228" t="s">
        <v>63</v>
      </c>
      <c r="D228" s="3" t="s">
        <v>48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AA228">
        <v>0</v>
      </c>
      <c r="AD228">
        <v>0</v>
      </c>
    </row>
    <row r="229" spans="2:30" x14ac:dyDescent="0.25">
      <c r="B229" t="s">
        <v>59</v>
      </c>
      <c r="C229" t="s">
        <v>63</v>
      </c>
      <c r="D229" s="3" t="s">
        <v>49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O229">
        <v>0</v>
      </c>
      <c r="R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AA229">
        <v>0</v>
      </c>
      <c r="AD229">
        <v>0</v>
      </c>
    </row>
    <row r="230" spans="2:30" x14ac:dyDescent="0.25">
      <c r="B230" t="s">
        <v>59</v>
      </c>
      <c r="C230" t="s">
        <v>63</v>
      </c>
      <c r="D230" s="3" t="s">
        <v>50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0</v>
      </c>
      <c r="R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AA230">
        <v>0</v>
      </c>
      <c r="AD230">
        <v>0</v>
      </c>
    </row>
    <row r="231" spans="2:30" x14ac:dyDescent="0.25">
      <c r="B231" t="s">
        <v>59</v>
      </c>
      <c r="C231" t="s">
        <v>63</v>
      </c>
      <c r="D231" s="3" t="s">
        <v>51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O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AA231">
        <v>0</v>
      </c>
      <c r="AD231">
        <v>0</v>
      </c>
    </row>
    <row r="232" spans="2:30" x14ac:dyDescent="0.25">
      <c r="B232" t="s">
        <v>59</v>
      </c>
      <c r="C232" t="s">
        <v>63</v>
      </c>
      <c r="D232" s="3" t="s">
        <v>52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0</v>
      </c>
      <c r="R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AA232">
        <v>0</v>
      </c>
      <c r="AD232">
        <v>0</v>
      </c>
    </row>
    <row r="233" spans="2:30" x14ac:dyDescent="0.25">
      <c r="B233" t="s">
        <v>59</v>
      </c>
      <c r="C233" t="s">
        <v>63</v>
      </c>
      <c r="D233" s="3" t="s">
        <v>53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0</v>
      </c>
      <c r="R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AA233">
        <v>0</v>
      </c>
      <c r="AD233">
        <v>0</v>
      </c>
    </row>
    <row r="234" spans="2:30" x14ac:dyDescent="0.25">
      <c r="B234" t="s">
        <v>59</v>
      </c>
      <c r="C234" t="s">
        <v>63</v>
      </c>
      <c r="D234" s="3" t="s">
        <v>54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0</v>
      </c>
      <c r="R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AA234">
        <v>0</v>
      </c>
      <c r="AD234">
        <v>0</v>
      </c>
    </row>
    <row r="235" spans="2:30" x14ac:dyDescent="0.25">
      <c r="B235" t="s">
        <v>59</v>
      </c>
      <c r="C235" t="s">
        <v>64</v>
      </c>
      <c r="D235" s="3" t="s">
        <v>30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2:30" x14ac:dyDescent="0.25">
      <c r="B236" t="s">
        <v>59</v>
      </c>
      <c r="C236" t="s">
        <v>64</v>
      </c>
      <c r="D236" s="3" t="s">
        <v>31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2:30" x14ac:dyDescent="0.25">
      <c r="B237" t="s">
        <v>59</v>
      </c>
      <c r="C237" t="s">
        <v>64</v>
      </c>
      <c r="D237" s="3" t="s">
        <v>32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0</v>
      </c>
      <c r="R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AA237">
        <v>0</v>
      </c>
      <c r="AD237">
        <v>0</v>
      </c>
    </row>
    <row r="238" spans="2:30" x14ac:dyDescent="0.25">
      <c r="B238" t="s">
        <v>59</v>
      </c>
      <c r="C238" t="s">
        <v>64</v>
      </c>
      <c r="D238" s="3" t="s">
        <v>33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AA238">
        <v>0</v>
      </c>
      <c r="AD238">
        <v>0</v>
      </c>
    </row>
    <row r="239" spans="2:30" x14ac:dyDescent="0.25">
      <c r="B239" t="s">
        <v>59</v>
      </c>
      <c r="C239" t="s">
        <v>64</v>
      </c>
      <c r="D239" s="3" t="s">
        <v>34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AA239">
        <v>0</v>
      </c>
      <c r="AD239">
        <v>0</v>
      </c>
    </row>
    <row r="240" spans="2:30" x14ac:dyDescent="0.25">
      <c r="B240" t="s">
        <v>59</v>
      </c>
      <c r="C240" t="s">
        <v>64</v>
      </c>
      <c r="D240" s="3" t="s">
        <v>35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AA240">
        <v>0</v>
      </c>
      <c r="AD240">
        <v>0</v>
      </c>
    </row>
    <row r="241" spans="2:30" x14ac:dyDescent="0.25">
      <c r="B241" t="s">
        <v>59</v>
      </c>
      <c r="C241" t="s">
        <v>64</v>
      </c>
      <c r="D241" s="3" t="s">
        <v>36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AA241">
        <v>0</v>
      </c>
      <c r="AD241">
        <v>0</v>
      </c>
    </row>
    <row r="242" spans="2:30" x14ac:dyDescent="0.25">
      <c r="B242" t="s">
        <v>59</v>
      </c>
      <c r="C242" t="s">
        <v>64</v>
      </c>
      <c r="D242" s="3" t="s">
        <v>37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0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AA242">
        <v>0</v>
      </c>
      <c r="AD242">
        <v>0</v>
      </c>
    </row>
    <row r="243" spans="2:30" x14ac:dyDescent="0.25">
      <c r="B243" t="s">
        <v>59</v>
      </c>
      <c r="C243" t="s">
        <v>64</v>
      </c>
      <c r="D243" s="3" t="s">
        <v>38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O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AA243">
        <v>0</v>
      </c>
      <c r="AD243">
        <v>0</v>
      </c>
    </row>
    <row r="244" spans="2:30" x14ac:dyDescent="0.25">
      <c r="B244" t="s">
        <v>59</v>
      </c>
      <c r="C244" t="s">
        <v>64</v>
      </c>
      <c r="D244" s="3" t="s">
        <v>39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O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AA244">
        <v>0</v>
      </c>
      <c r="AD244">
        <v>0</v>
      </c>
    </row>
    <row r="245" spans="2:30" x14ac:dyDescent="0.25">
      <c r="B245" t="s">
        <v>59</v>
      </c>
      <c r="C245" t="s">
        <v>64</v>
      </c>
      <c r="D245" s="3" t="s">
        <v>40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O245">
        <v>0</v>
      </c>
      <c r="R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AA245">
        <v>0</v>
      </c>
      <c r="AD245">
        <v>0</v>
      </c>
    </row>
    <row r="246" spans="2:30" x14ac:dyDescent="0.25">
      <c r="B246" t="s">
        <v>59</v>
      </c>
      <c r="C246" t="s">
        <v>64</v>
      </c>
      <c r="D246" s="3" t="s">
        <v>41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0</v>
      </c>
      <c r="R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AA246">
        <v>0</v>
      </c>
      <c r="AD246">
        <v>0</v>
      </c>
    </row>
    <row r="247" spans="2:30" x14ac:dyDescent="0.25">
      <c r="B247" t="s">
        <v>59</v>
      </c>
      <c r="C247" t="s">
        <v>64</v>
      </c>
      <c r="D247" s="3" t="s">
        <v>42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0</v>
      </c>
      <c r="R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AA247">
        <v>0</v>
      </c>
      <c r="AD247">
        <v>0</v>
      </c>
    </row>
    <row r="248" spans="2:30" x14ac:dyDescent="0.25">
      <c r="B248" t="s">
        <v>59</v>
      </c>
      <c r="C248" t="s">
        <v>64</v>
      </c>
      <c r="D248" s="3" t="s">
        <v>43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AA248">
        <v>0</v>
      </c>
      <c r="AD248">
        <v>0</v>
      </c>
    </row>
    <row r="249" spans="2:30" x14ac:dyDescent="0.25">
      <c r="B249" t="s">
        <v>59</v>
      </c>
      <c r="C249" t="s">
        <v>64</v>
      </c>
      <c r="D249" s="3" t="s">
        <v>44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0</v>
      </c>
      <c r="R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AA249">
        <v>0</v>
      </c>
      <c r="AD249">
        <v>0</v>
      </c>
    </row>
    <row r="250" spans="2:30" x14ac:dyDescent="0.25">
      <c r="B250" t="s">
        <v>59</v>
      </c>
      <c r="C250" t="s">
        <v>64</v>
      </c>
      <c r="D250" s="3" t="s">
        <v>45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AA250">
        <v>0</v>
      </c>
      <c r="AD250">
        <v>0</v>
      </c>
    </row>
    <row r="251" spans="2:30" x14ac:dyDescent="0.25">
      <c r="B251" t="s">
        <v>59</v>
      </c>
      <c r="C251" t="s">
        <v>64</v>
      </c>
      <c r="D251" s="3" t="s">
        <v>46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AA251">
        <v>0</v>
      </c>
      <c r="AD251">
        <v>0</v>
      </c>
    </row>
    <row r="252" spans="2:30" x14ac:dyDescent="0.25">
      <c r="B252" t="s">
        <v>59</v>
      </c>
      <c r="C252" t="s">
        <v>64</v>
      </c>
      <c r="D252" s="3" t="s">
        <v>47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0</v>
      </c>
      <c r="R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AA252">
        <v>0</v>
      </c>
      <c r="AD252">
        <v>0</v>
      </c>
    </row>
    <row r="253" spans="2:30" x14ac:dyDescent="0.25">
      <c r="B253" t="s">
        <v>59</v>
      </c>
      <c r="C253" t="s">
        <v>64</v>
      </c>
      <c r="D253" s="3" t="s">
        <v>48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O253">
        <v>0</v>
      </c>
      <c r="R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AA253">
        <v>0</v>
      </c>
      <c r="AD253">
        <v>0</v>
      </c>
    </row>
    <row r="254" spans="2:30" x14ac:dyDescent="0.25">
      <c r="B254" t="s">
        <v>59</v>
      </c>
      <c r="C254" t="s">
        <v>64</v>
      </c>
      <c r="D254" s="3" t="s">
        <v>49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0</v>
      </c>
      <c r="R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AA254">
        <v>0</v>
      </c>
      <c r="AD254">
        <v>0</v>
      </c>
    </row>
    <row r="255" spans="2:30" x14ac:dyDescent="0.25">
      <c r="B255" t="s">
        <v>59</v>
      </c>
      <c r="C255" t="s">
        <v>64</v>
      </c>
      <c r="D255" s="3" t="s">
        <v>50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O255">
        <v>0</v>
      </c>
      <c r="R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AA255">
        <v>0</v>
      </c>
      <c r="AD255">
        <v>0</v>
      </c>
    </row>
    <row r="256" spans="2:30" x14ac:dyDescent="0.25">
      <c r="B256" t="s">
        <v>59</v>
      </c>
      <c r="C256" t="s">
        <v>64</v>
      </c>
      <c r="D256" s="3" t="s">
        <v>51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AA256">
        <v>0</v>
      </c>
      <c r="AD256">
        <v>0</v>
      </c>
    </row>
    <row r="257" spans="2:30" x14ac:dyDescent="0.25">
      <c r="B257" t="s">
        <v>59</v>
      </c>
      <c r="C257" t="s">
        <v>64</v>
      </c>
      <c r="D257" s="3" t="s">
        <v>52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0</v>
      </c>
      <c r="R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AA257">
        <v>0</v>
      </c>
      <c r="AD257">
        <v>0</v>
      </c>
    </row>
    <row r="258" spans="2:30" x14ac:dyDescent="0.25">
      <c r="B258" t="s">
        <v>59</v>
      </c>
      <c r="C258" t="s">
        <v>64</v>
      </c>
      <c r="D258" s="3" t="s">
        <v>53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AA258">
        <v>0</v>
      </c>
      <c r="AD258">
        <v>0</v>
      </c>
    </row>
    <row r="259" spans="2:30" x14ac:dyDescent="0.25">
      <c r="B259" t="s">
        <v>59</v>
      </c>
      <c r="C259" t="s">
        <v>64</v>
      </c>
      <c r="D259" s="3" t="s">
        <v>54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AA259">
        <v>0</v>
      </c>
      <c r="AD259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AD924"/>
  <sheetViews>
    <sheetView topLeftCell="A4" zoomScaleNormal="100" workbookViewId="0">
      <selection activeCell="C11" sqref="C11"/>
    </sheetView>
  </sheetViews>
  <sheetFormatPr defaultRowHeight="15" x14ac:dyDescent="0.25"/>
  <sheetData>
    <row r="8" spans="2:30" x14ac:dyDescent="0.25">
      <c r="B8" s="13" t="b">
        <v>1</v>
      </c>
      <c r="C8" s="13" t="b">
        <v>1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  <c r="AA8" s="13" t="b">
        <v>0</v>
      </c>
      <c r="AB8" s="13" t="b">
        <v>0</v>
      </c>
      <c r="AC8" s="14" t="b">
        <v>0</v>
      </c>
      <c r="AD8" s="12" t="b">
        <v>0</v>
      </c>
    </row>
    <row r="9" spans="2:30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</row>
    <row r="10" spans="2:30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30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2:30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2:30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2:30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2:30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2:30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2:29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2:29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2:29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2:29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2:29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2:29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29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29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2:29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29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2:29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29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2:29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29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2:29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2:29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2:29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2:29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2:29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2:29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2:29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2:29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2:29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2:29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2:29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2:29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2:29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2:29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2:29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2:29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2:29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2:29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2:29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2:29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2:29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2:29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2:29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2:29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2:29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2:29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2:29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2:29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2:29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2:29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2:29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2:29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2:29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2:29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2:29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2:29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2:29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2:29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2:29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2:29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2:29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2:29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2:29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2:29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2:29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2:29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2:29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2:29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2:29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2:29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2:29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2:29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2:29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2:29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2:29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2:29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2:29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2:29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2:29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2:29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2:29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2:29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2:29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2:29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2:29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2:29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2:29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2:29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2:29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2:29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2:29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2:29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2:29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2:29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2:29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2:29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2:29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2:29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2:29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2:29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2:29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2:29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2:29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2:29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2:29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2:29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2:29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2:29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2:29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2:29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2:29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2:29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2:29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2:29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2:29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2:29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2:29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2:29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2:29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2:29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2:29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2:29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2:29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2:29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2:29" ht="13.15" customHeight="1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2:29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2:29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2:29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2:29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2:29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2:29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2:29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2:29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2:29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2:29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2:29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2:29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2:29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2:29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2:29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2:29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2:29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2:29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2:29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2:29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2:29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2:29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2:29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2:29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2:29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2:29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2:29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2:29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2:29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2:29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2:29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2:29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2:29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2:29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2:29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2:29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2:29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2:29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2:29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2:29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2:29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2:29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2:29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2:29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2:29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2:29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2:29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2:29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2:29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2:29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2:29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2:29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2:29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2:29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2:29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2:29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2:29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2:29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2:29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2:29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2:29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2:29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2:29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2:29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2:29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2:29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2:29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2:29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2:29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2:29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2:29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2:29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2:29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2:29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2:29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2:29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2:29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2:29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2:29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2:29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2:29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2:29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2:29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2:29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2:29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2:29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2:29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2:29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2:29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2:29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2:29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2:29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2:29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2:29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2:29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2:29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2:29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2:29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2:29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2:29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2:29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2:29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2:29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2:29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2:29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2:29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2:29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2:29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2:29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2:29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2:29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2:29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2:29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2:29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2:29" x14ac:dyDescent="0.25">
      <c r="B250" s="6" t="str" cm="1">
        <f t="array" aca="1" ref="B250" ca="1">IFERROR(IF(OR('Raw Data'!B250="",LEN(TRIM('Raw Data'!B250))=0),_xlfn.REGEXEXTRACT(CELL("address",'Raw Data'!B250),"\$([A-Z]+)\$[0-9]+"),""),"")</f>
        <v/>
      </c>
      <c r="C250" s="6" t="str" cm="1">
        <f t="array" aca="1" ref="C250" ca="1">IFERROR(IF(OR('Raw Data'!C250="",LEN(TRIM('Raw Data'!C250))=0),_xlfn.REGEXEXTRACT(CELL("address",'Raw Data'!C250),"\$([A-Z]+)\$[0-9]+"),""),"")</f>
        <v/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2:29" x14ac:dyDescent="0.25">
      <c r="B251" s="6" t="str" cm="1">
        <f t="array" aca="1" ref="B251" ca="1">IFERROR(IF(OR('Raw Data'!B251="",LEN(TRIM('Raw Data'!B251))=0),_xlfn.REGEXEXTRACT(CELL("address",'Raw Data'!B251),"\$([A-Z]+)\$[0-9]+"),""),"")</f>
        <v/>
      </c>
      <c r="C251" s="6" t="str" cm="1">
        <f t="array" aca="1" ref="C251" ca="1">IFERROR(IF(OR('Raw Data'!C251="",LEN(TRIM('Raw Data'!C251))=0),_xlfn.REGEXEXTRACT(CELL("address",'Raw Data'!C251),"\$([A-Z]+)\$[0-9]+"),""),"")</f>
        <v/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2:29" x14ac:dyDescent="0.25">
      <c r="B252" s="6" t="str" cm="1">
        <f t="array" aca="1" ref="B252" ca="1">IFERROR(IF(OR('Raw Data'!B252="",LEN(TRIM('Raw Data'!B252))=0),_xlfn.REGEXEXTRACT(CELL("address",'Raw Data'!B252),"\$([A-Z]+)\$[0-9]+"),""),"")</f>
        <v/>
      </c>
      <c r="C252" s="6" t="str" cm="1">
        <f t="array" aca="1" ref="C252" ca="1">IFERROR(IF(OR('Raw Data'!C252="",LEN(TRIM('Raw Data'!C252))=0),_xlfn.REGEXEXTRACT(CELL("address",'Raw Data'!C252),"\$([A-Z]+)\$[0-9]+"),""),"")</f>
        <v/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2:29" x14ac:dyDescent="0.25">
      <c r="B253" s="6" t="str" cm="1">
        <f t="array" aca="1" ref="B253" ca="1">IFERROR(IF(OR('Raw Data'!B253="",LEN(TRIM('Raw Data'!B253))=0),_xlfn.REGEXEXTRACT(CELL("address",'Raw Data'!B253),"\$([A-Z]+)\$[0-9]+"),""),"")</f>
        <v/>
      </c>
      <c r="C253" s="6" t="str" cm="1">
        <f t="array" aca="1" ref="C253" ca="1">IFERROR(IF(OR('Raw Data'!C253="",LEN(TRIM('Raw Data'!C253))=0),_xlfn.REGEXEXTRACT(CELL("address",'Raw Data'!C253),"\$([A-Z]+)\$[0-9]+"),""),"")</f>
        <v/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2:29" x14ac:dyDescent="0.25">
      <c r="B254" s="6" t="str" cm="1">
        <f t="array" aca="1" ref="B254" ca="1">IFERROR(IF(OR('Raw Data'!B254="",LEN(TRIM('Raw Data'!B254))=0),_xlfn.REGEXEXTRACT(CELL("address",'Raw Data'!B254),"\$([A-Z]+)\$[0-9]+"),""),"")</f>
        <v/>
      </c>
      <c r="C254" s="6" t="str" cm="1">
        <f t="array" aca="1" ref="C254" ca="1">IFERROR(IF(OR('Raw Data'!C254="",LEN(TRIM('Raw Data'!C254))=0),_xlfn.REGEXEXTRACT(CELL("address",'Raw Data'!C254),"\$([A-Z]+)\$[0-9]+"),""),"")</f>
        <v/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2:29" x14ac:dyDescent="0.25">
      <c r="B255" s="6" t="str" cm="1">
        <f t="array" aca="1" ref="B255" ca="1">IFERROR(IF(OR('Raw Data'!B255="",LEN(TRIM('Raw Data'!B255))=0),_xlfn.REGEXEXTRACT(CELL("address",'Raw Data'!B255),"\$([A-Z]+)\$[0-9]+"),""),"")</f>
        <v/>
      </c>
      <c r="C255" s="6" t="str" cm="1">
        <f t="array" aca="1" ref="C255" ca="1">IFERROR(IF(OR('Raw Data'!C255="",LEN(TRIM('Raw Data'!C255))=0),_xlfn.REGEXEXTRACT(CELL("address",'Raw Data'!C255),"\$([A-Z]+)\$[0-9]+"),""),"")</f>
        <v/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2:29" x14ac:dyDescent="0.25">
      <c r="B256" s="6" t="str" cm="1">
        <f t="array" aca="1" ref="B256" ca="1">IFERROR(IF(OR('Raw Data'!B256="",LEN(TRIM('Raw Data'!B256))=0),_xlfn.REGEXEXTRACT(CELL("address",'Raw Data'!B256),"\$([A-Z]+)\$[0-9]+"),""),"")</f>
        <v/>
      </c>
      <c r="C256" s="6" t="str" cm="1">
        <f t="array" aca="1" ref="C256" ca="1">IFERROR(IF(OR('Raw Data'!C256="",LEN(TRIM('Raw Data'!C256))=0),_xlfn.REGEXEXTRACT(CELL("address",'Raw Data'!C256),"\$([A-Z]+)\$[0-9]+"),""),"")</f>
        <v/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2:29" x14ac:dyDescent="0.25">
      <c r="B257" s="6" t="str" cm="1">
        <f t="array" aca="1" ref="B257" ca="1">IFERROR(IF(OR('Raw Data'!B257="",LEN(TRIM('Raw Data'!B257))=0),_xlfn.REGEXEXTRACT(CELL("address",'Raw Data'!B257),"\$([A-Z]+)\$[0-9]+"),""),"")</f>
        <v/>
      </c>
      <c r="C257" s="6" t="str" cm="1">
        <f t="array" aca="1" ref="C257" ca="1">IFERROR(IF(OR('Raw Data'!C257="",LEN(TRIM('Raw Data'!C257))=0),_xlfn.REGEXEXTRACT(CELL("address",'Raw Data'!C257),"\$([A-Z]+)\$[0-9]+"),""),"")</f>
        <v/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2:29" x14ac:dyDescent="0.25">
      <c r="B258" s="6" t="str" cm="1">
        <f t="array" aca="1" ref="B258" ca="1">IFERROR(IF(OR('Raw Data'!B258="",LEN(TRIM('Raw Data'!B258))=0),_xlfn.REGEXEXTRACT(CELL("address",'Raw Data'!B258),"\$([A-Z]+)\$[0-9]+"),""),"")</f>
        <v/>
      </c>
      <c r="C258" s="6" t="str" cm="1">
        <f t="array" aca="1" ref="C258" ca="1">IFERROR(IF(OR('Raw Data'!C258="",LEN(TRIM('Raw Data'!C258))=0),_xlfn.REGEXEXTRACT(CELL("address",'Raw Data'!C258),"\$([A-Z]+)\$[0-9]+"),""),"")</f>
        <v/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2:29" x14ac:dyDescent="0.25">
      <c r="B259" s="6" t="str" cm="1">
        <f t="array" aca="1" ref="B259" ca="1">IFERROR(IF(OR('Raw Data'!B259="",LEN(TRIM('Raw Data'!B259))=0),_xlfn.REGEXEXTRACT(CELL("address",'Raw Data'!B259),"\$([A-Z]+)\$[0-9]+"),""),"")</f>
        <v/>
      </c>
      <c r="C259" s="6" t="str" cm="1">
        <f t="array" aca="1" ref="C259" ca="1">IFERROR(IF(OR('Raw Data'!C259="",LEN(TRIM('Raw Data'!C259))=0),_xlfn.REGEXEXTRACT(CELL("address",'Raw Data'!C259),"\$([A-Z]+)\$[0-9]+"),""),"")</f>
        <v/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2:29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2:29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2:29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2:29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2:29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2:29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2:29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2:29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2:29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2:29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2:29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2:29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2:29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2:29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2:29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2:29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2:29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2:29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2:29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2:29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2:29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2:29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2:29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2:29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2:29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2:29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2:29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2:29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2:29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2:29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2:29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2:29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2:29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2:29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2:29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2:29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2:29" x14ac:dyDescent="0.25">
      <c r="B296" s="6"/>
      <c r="C296" s="6"/>
      <c r="D296" s="6"/>
      <c r="E296" s="6"/>
    </row>
    <row r="297" spans="2:29" x14ac:dyDescent="0.25">
      <c r="B297" s="6"/>
      <c r="C297" s="6"/>
      <c r="D297" s="6"/>
      <c r="E297" s="6"/>
    </row>
    <row r="298" spans="2:29" x14ac:dyDescent="0.25">
      <c r="B298" s="6"/>
      <c r="C298" s="6"/>
      <c r="D298" s="6"/>
      <c r="E298" s="6"/>
    </row>
    <row r="299" spans="2:29" x14ac:dyDescent="0.25">
      <c r="B299" s="6"/>
      <c r="C299" s="6"/>
      <c r="D299" s="6"/>
      <c r="E299" s="6"/>
    </row>
    <row r="300" spans="2:29" x14ac:dyDescent="0.25">
      <c r="B300" s="6"/>
      <c r="C300" s="6"/>
      <c r="D300" s="6"/>
      <c r="E300" s="6"/>
    </row>
    <row r="301" spans="2:29" x14ac:dyDescent="0.25">
      <c r="B301" s="6"/>
      <c r="C301" s="6"/>
      <c r="D301" s="6"/>
      <c r="E301" s="6"/>
    </row>
    <row r="302" spans="2:29" x14ac:dyDescent="0.25">
      <c r="B302" s="6"/>
      <c r="C302" s="6"/>
      <c r="D302" s="6"/>
      <c r="E302" s="6"/>
    </row>
    <row r="303" spans="2:29" x14ac:dyDescent="0.25">
      <c r="B303" s="6"/>
      <c r="C303" s="6"/>
      <c r="D303" s="6"/>
      <c r="E303" s="6"/>
    </row>
    <row r="304" spans="2:29" x14ac:dyDescent="0.25">
      <c r="B304" s="6"/>
      <c r="C304" s="6"/>
      <c r="D304" s="6"/>
      <c r="E304" s="6"/>
    </row>
    <row r="305" spans="2:5" x14ac:dyDescent="0.25">
      <c r="B305" s="6"/>
      <c r="C305" s="6"/>
      <c r="D305" s="6"/>
      <c r="E305" s="6"/>
    </row>
    <row r="306" spans="2:5" x14ac:dyDescent="0.25">
      <c r="B306" s="6"/>
      <c r="C306" s="6"/>
      <c r="D306" s="6"/>
      <c r="E306" s="6"/>
    </row>
    <row r="307" spans="2:5" x14ac:dyDescent="0.25">
      <c r="B307" s="6"/>
      <c r="C307" s="6"/>
      <c r="D307" s="6"/>
      <c r="E307" s="6"/>
    </row>
    <row r="308" spans="2:5" x14ac:dyDescent="0.25">
      <c r="B308" s="6"/>
      <c r="C308" s="6"/>
      <c r="D308" s="6"/>
      <c r="E308" s="6"/>
    </row>
    <row r="309" spans="2:5" x14ac:dyDescent="0.25">
      <c r="B309" s="6"/>
      <c r="C309" s="6"/>
      <c r="D309" s="6"/>
      <c r="E309" s="6"/>
    </row>
    <row r="310" spans="2:5" x14ac:dyDescent="0.25">
      <c r="B310" s="6"/>
      <c r="C310" s="6"/>
      <c r="D310" s="6"/>
      <c r="E310" s="6"/>
    </row>
    <row r="311" spans="2:5" x14ac:dyDescent="0.25">
      <c r="B311" s="6"/>
      <c r="C311" s="6"/>
      <c r="D311" s="6"/>
      <c r="E311" s="6"/>
    </row>
    <row r="312" spans="2:5" x14ac:dyDescent="0.25">
      <c r="B312" s="6"/>
      <c r="C312" s="6"/>
      <c r="D312" s="6"/>
      <c r="E312" s="6"/>
    </row>
    <row r="313" spans="2:5" x14ac:dyDescent="0.25">
      <c r="B313" s="6"/>
      <c r="C313" s="6"/>
      <c r="D313" s="6"/>
      <c r="E313" s="6"/>
    </row>
    <row r="314" spans="2:5" x14ac:dyDescent="0.25">
      <c r="B314" s="6"/>
      <c r="C314" s="6"/>
      <c r="D314" s="6"/>
      <c r="E314" s="6"/>
    </row>
    <row r="315" spans="2:5" x14ac:dyDescent="0.25">
      <c r="B315" s="6"/>
      <c r="C315" s="6"/>
      <c r="D315" s="6"/>
      <c r="E315" s="6"/>
    </row>
    <row r="316" spans="2:5" x14ac:dyDescent="0.25">
      <c r="B316" s="6"/>
      <c r="C316" s="6"/>
      <c r="D316" s="6"/>
      <c r="E316" s="6"/>
    </row>
    <row r="317" spans="2:5" x14ac:dyDescent="0.25">
      <c r="B317" s="6"/>
      <c r="C317" s="6"/>
      <c r="D317" s="6"/>
      <c r="E317" s="6"/>
    </row>
    <row r="318" spans="2:5" x14ac:dyDescent="0.25">
      <c r="B318" s="6"/>
      <c r="C318" s="6"/>
      <c r="D318" s="6"/>
      <c r="E318" s="6"/>
    </row>
    <row r="319" spans="2:5" x14ac:dyDescent="0.25">
      <c r="B319" s="6"/>
      <c r="C319" s="6"/>
      <c r="D319" s="6"/>
      <c r="E319" s="6"/>
    </row>
    <row r="320" spans="2:5" x14ac:dyDescent="0.25">
      <c r="B320" s="6"/>
      <c r="C320" s="6"/>
      <c r="D320" s="6"/>
      <c r="E320" s="6"/>
    </row>
    <row r="321" spans="2:5" x14ac:dyDescent="0.25">
      <c r="B321" s="6"/>
      <c r="C321" s="6"/>
      <c r="D321" s="6"/>
      <c r="E321" s="6"/>
    </row>
    <row r="322" spans="2:5" x14ac:dyDescent="0.25">
      <c r="B322" s="6"/>
      <c r="C322" s="6"/>
      <c r="D322" s="6"/>
      <c r="E322" s="6"/>
    </row>
    <row r="323" spans="2:5" x14ac:dyDescent="0.25">
      <c r="B323" s="6"/>
      <c r="C323" s="6"/>
      <c r="D323" s="6"/>
      <c r="E323" s="6"/>
    </row>
    <row r="324" spans="2:5" x14ac:dyDescent="0.25">
      <c r="B324" s="6"/>
      <c r="C324" s="6"/>
      <c r="D324" s="6"/>
      <c r="E324" s="6"/>
    </row>
    <row r="325" spans="2:5" x14ac:dyDescent="0.25">
      <c r="B325" s="6"/>
      <c r="C325" s="6"/>
      <c r="D325" s="6"/>
      <c r="E325" s="6"/>
    </row>
    <row r="326" spans="2:5" x14ac:dyDescent="0.25">
      <c r="B326" s="6"/>
      <c r="C326" s="6"/>
      <c r="D326" s="6"/>
      <c r="E326" s="6"/>
    </row>
    <row r="327" spans="2:5" x14ac:dyDescent="0.25">
      <c r="B327" s="6"/>
      <c r="C327" s="6"/>
      <c r="D327" s="6"/>
      <c r="E327" s="6"/>
    </row>
    <row r="328" spans="2:5" x14ac:dyDescent="0.25">
      <c r="B328" s="6"/>
      <c r="C328" s="6"/>
      <c r="D328" s="6"/>
      <c r="E328" s="6"/>
    </row>
    <row r="329" spans="2:5" x14ac:dyDescent="0.25">
      <c r="B329" s="6"/>
      <c r="C329" s="6"/>
      <c r="D329" s="6"/>
      <c r="E329" s="6"/>
    </row>
    <row r="330" spans="2:5" x14ac:dyDescent="0.25">
      <c r="B330" s="6"/>
      <c r="C330" s="6"/>
      <c r="D330" s="6"/>
      <c r="E330" s="6"/>
    </row>
    <row r="331" spans="2:5" x14ac:dyDescent="0.25">
      <c r="B331" s="6"/>
      <c r="C331" s="6"/>
      <c r="D331" s="6"/>
      <c r="E331" s="6"/>
    </row>
    <row r="332" spans="2:5" x14ac:dyDescent="0.25">
      <c r="B332" s="6"/>
      <c r="C332" s="6"/>
      <c r="D332" s="6"/>
      <c r="E332" s="6"/>
    </row>
    <row r="333" spans="2:5" x14ac:dyDescent="0.25">
      <c r="B333" s="6"/>
      <c r="C333" s="6"/>
      <c r="D333" s="6"/>
      <c r="E333" s="6"/>
    </row>
    <row r="334" spans="2:5" x14ac:dyDescent="0.25">
      <c r="B334" s="6"/>
      <c r="C334" s="6"/>
      <c r="D334" s="6"/>
      <c r="E334" s="6"/>
    </row>
    <row r="335" spans="2:5" x14ac:dyDescent="0.25">
      <c r="B335" s="6"/>
      <c r="C335" s="6"/>
      <c r="D335" s="6"/>
      <c r="E335" s="6"/>
    </row>
    <row r="336" spans="2:5" x14ac:dyDescent="0.25">
      <c r="B336" s="6"/>
      <c r="C336" s="6"/>
      <c r="D336" s="6"/>
      <c r="E336" s="6"/>
    </row>
    <row r="337" spans="2:5" x14ac:dyDescent="0.25">
      <c r="B337" s="6"/>
      <c r="C337" s="6"/>
      <c r="D337" s="6"/>
      <c r="E337" s="6"/>
    </row>
    <row r="338" spans="2:5" x14ac:dyDescent="0.25">
      <c r="B338" s="6"/>
      <c r="C338" s="6"/>
      <c r="D338" s="6"/>
      <c r="E338" s="6"/>
    </row>
    <row r="339" spans="2:5" x14ac:dyDescent="0.25">
      <c r="B339" s="6"/>
      <c r="C339" s="6"/>
      <c r="D339" s="6"/>
      <c r="E339" s="6"/>
    </row>
    <row r="340" spans="2:5" x14ac:dyDescent="0.25">
      <c r="B340" s="6"/>
      <c r="C340" s="6"/>
      <c r="D340" s="6"/>
      <c r="E340" s="6"/>
    </row>
    <row r="341" spans="2:5" x14ac:dyDescent="0.25">
      <c r="B341" s="6"/>
      <c r="C341" s="6"/>
      <c r="D341" s="6"/>
      <c r="E341" s="6"/>
    </row>
    <row r="342" spans="2:5" x14ac:dyDescent="0.25">
      <c r="B342" s="6"/>
      <c r="C342" s="6"/>
      <c r="D342" s="6"/>
      <c r="E342" s="6"/>
    </row>
    <row r="343" spans="2:5" x14ac:dyDescent="0.25">
      <c r="B343" s="6"/>
      <c r="C343" s="6"/>
      <c r="D343" s="6"/>
      <c r="E343" s="6"/>
    </row>
    <row r="344" spans="2:5" x14ac:dyDescent="0.25">
      <c r="B344" s="6"/>
      <c r="C344" s="6"/>
      <c r="D344" s="6"/>
      <c r="E344" s="6"/>
    </row>
    <row r="345" spans="2:5" x14ac:dyDescent="0.25">
      <c r="B345" s="6"/>
      <c r="C345" s="6"/>
      <c r="D345" s="6"/>
      <c r="E345" s="6"/>
    </row>
    <row r="346" spans="2:5" x14ac:dyDescent="0.25">
      <c r="B346" s="6"/>
      <c r="C346" s="6"/>
      <c r="D346" s="6"/>
      <c r="E346" s="6"/>
    </row>
    <row r="347" spans="2:5" x14ac:dyDescent="0.25">
      <c r="B347" s="6"/>
      <c r="C347" s="6"/>
      <c r="D347" s="6"/>
      <c r="E347" s="6"/>
    </row>
    <row r="348" spans="2:5" x14ac:dyDescent="0.25">
      <c r="B348" s="6"/>
      <c r="C348" s="6"/>
      <c r="D348" s="6"/>
      <c r="E348" s="6"/>
    </row>
    <row r="349" spans="2:5" x14ac:dyDescent="0.25">
      <c r="B349" s="6"/>
      <c r="C349" s="6"/>
      <c r="D349" s="6"/>
      <c r="E349" s="6"/>
    </row>
    <row r="350" spans="2:5" x14ac:dyDescent="0.25">
      <c r="B350" s="6"/>
      <c r="C350" s="6"/>
      <c r="D350" s="6"/>
      <c r="E350" s="6"/>
    </row>
    <row r="351" spans="2:5" x14ac:dyDescent="0.25">
      <c r="B351" s="6"/>
      <c r="C351" s="6"/>
      <c r="D351" s="6"/>
      <c r="E351" s="6"/>
    </row>
    <row r="352" spans="2:5" x14ac:dyDescent="0.25">
      <c r="B352" s="6"/>
      <c r="C352" s="6"/>
      <c r="D352" s="6"/>
      <c r="E352" s="6"/>
    </row>
    <row r="353" spans="2:5" x14ac:dyDescent="0.25">
      <c r="B353" s="6"/>
      <c r="C353" s="6"/>
      <c r="D353" s="6"/>
      <c r="E353" s="6"/>
    </row>
    <row r="354" spans="2:5" x14ac:dyDescent="0.25">
      <c r="B354" s="6"/>
      <c r="C354" s="6"/>
      <c r="D354" s="6"/>
      <c r="E354" s="6"/>
    </row>
    <row r="355" spans="2:5" x14ac:dyDescent="0.25">
      <c r="B355" s="6"/>
      <c r="C355" s="6"/>
      <c r="D355" s="6"/>
      <c r="E355" s="6"/>
    </row>
    <row r="356" spans="2:5" x14ac:dyDescent="0.25">
      <c r="B356" s="6"/>
      <c r="C356" s="6"/>
      <c r="D356" s="6"/>
      <c r="E356" s="6"/>
    </row>
    <row r="357" spans="2:5" x14ac:dyDescent="0.25">
      <c r="B357" s="6"/>
      <c r="C357" s="6"/>
      <c r="D357" s="6"/>
      <c r="E357" s="6"/>
    </row>
    <row r="358" spans="2:5" x14ac:dyDescent="0.25">
      <c r="B358" s="6"/>
      <c r="C358" s="6"/>
      <c r="D358" s="6"/>
      <c r="E358" s="6"/>
    </row>
    <row r="359" spans="2:5" x14ac:dyDescent="0.25">
      <c r="B359" s="6"/>
      <c r="C359" s="6"/>
      <c r="D359" s="6"/>
      <c r="E359" s="6"/>
    </row>
    <row r="360" spans="2:5" x14ac:dyDescent="0.25">
      <c r="B360" s="6"/>
      <c r="C360" s="6"/>
      <c r="D360" s="6"/>
      <c r="E360" s="6"/>
    </row>
    <row r="361" spans="2:5" x14ac:dyDescent="0.25">
      <c r="B361" s="6"/>
      <c r="C361" s="6"/>
      <c r="D361" s="6"/>
      <c r="E361" s="6"/>
    </row>
    <row r="362" spans="2:5" x14ac:dyDescent="0.25">
      <c r="B362" s="6"/>
      <c r="C362" s="6"/>
      <c r="D362" s="6"/>
      <c r="E362" s="6"/>
    </row>
    <row r="363" spans="2:5" x14ac:dyDescent="0.25">
      <c r="B363" s="6"/>
      <c r="C363" s="6"/>
      <c r="D363" s="6"/>
      <c r="E363" s="6"/>
    </row>
    <row r="364" spans="2:5" x14ac:dyDescent="0.25">
      <c r="B364" s="6"/>
      <c r="C364" s="6"/>
      <c r="D364" s="6"/>
      <c r="E364" s="6"/>
    </row>
    <row r="365" spans="2:5" x14ac:dyDescent="0.25">
      <c r="B365" s="6"/>
      <c r="C365" s="6"/>
      <c r="D365" s="6"/>
      <c r="E365" s="6"/>
    </row>
    <row r="366" spans="2:5" x14ac:dyDescent="0.25">
      <c r="B366" s="6"/>
      <c r="C366" s="6"/>
      <c r="D366" s="6"/>
      <c r="E366" s="6"/>
    </row>
    <row r="367" spans="2:5" x14ac:dyDescent="0.25">
      <c r="B367" s="6"/>
      <c r="C367" s="6"/>
      <c r="D367" s="6"/>
      <c r="E367" s="6"/>
    </row>
    <row r="368" spans="2:5" x14ac:dyDescent="0.25">
      <c r="B368" s="6"/>
      <c r="C368" s="6"/>
      <c r="D368" s="6"/>
      <c r="E368" s="6"/>
    </row>
    <row r="369" spans="2:5" x14ac:dyDescent="0.25">
      <c r="B369" s="6"/>
      <c r="C369" s="6"/>
      <c r="D369" s="6"/>
      <c r="E369" s="6"/>
    </row>
    <row r="370" spans="2:5" x14ac:dyDescent="0.25">
      <c r="B370" s="6"/>
      <c r="C370" s="6"/>
      <c r="D370" s="6"/>
      <c r="E370" s="6"/>
    </row>
    <row r="371" spans="2:5" x14ac:dyDescent="0.25">
      <c r="B371" s="6"/>
      <c r="C371" s="6"/>
      <c r="D371" s="6"/>
      <c r="E371" s="6"/>
    </row>
    <row r="372" spans="2:5" x14ac:dyDescent="0.25">
      <c r="B372" s="6"/>
      <c r="C372" s="6"/>
      <c r="D372" s="6"/>
      <c r="E372" s="6"/>
    </row>
    <row r="373" spans="2:5" x14ac:dyDescent="0.25">
      <c r="B373" s="6"/>
      <c r="C373" s="6"/>
      <c r="D373" s="6"/>
      <c r="E373" s="6"/>
    </row>
    <row r="374" spans="2:5" x14ac:dyDescent="0.25">
      <c r="B374" s="6"/>
      <c r="C374" s="6"/>
      <c r="D374" s="6"/>
      <c r="E374" s="6"/>
    </row>
    <row r="375" spans="2:5" x14ac:dyDescent="0.25">
      <c r="B375" s="6"/>
      <c r="C375" s="6"/>
      <c r="D375" s="6"/>
      <c r="E375" s="6"/>
    </row>
    <row r="376" spans="2:5" x14ac:dyDescent="0.25">
      <c r="B376" s="6"/>
      <c r="C376" s="6"/>
      <c r="D376" s="6"/>
      <c r="E376" s="6"/>
    </row>
    <row r="377" spans="2:5" x14ac:dyDescent="0.25">
      <c r="B377" s="6"/>
      <c r="C377" s="6"/>
      <c r="D377" s="6"/>
      <c r="E377" s="6"/>
    </row>
    <row r="378" spans="2:5" x14ac:dyDescent="0.25">
      <c r="B378" s="6"/>
      <c r="C378" s="6"/>
      <c r="D378" s="6"/>
      <c r="E378" s="6"/>
    </row>
    <row r="379" spans="2:5" x14ac:dyDescent="0.25">
      <c r="B379" s="6"/>
      <c r="C379" s="6"/>
      <c r="D379" s="6"/>
      <c r="E379" s="6"/>
    </row>
    <row r="380" spans="2:5" x14ac:dyDescent="0.25">
      <c r="B380" s="6"/>
      <c r="C380" s="6"/>
      <c r="D380" s="6"/>
      <c r="E380" s="6"/>
    </row>
    <row r="381" spans="2:5" x14ac:dyDescent="0.25">
      <c r="B381" s="6"/>
      <c r="C381" s="6"/>
      <c r="D381" s="6"/>
      <c r="E381" s="6"/>
    </row>
    <row r="382" spans="2:5" x14ac:dyDescent="0.25">
      <c r="B382" s="6"/>
      <c r="C382" s="6"/>
      <c r="D382" s="6"/>
      <c r="E382" s="6"/>
    </row>
    <row r="383" spans="2:5" x14ac:dyDescent="0.25">
      <c r="B383" s="6"/>
      <c r="C383" s="6"/>
      <c r="D383" s="6"/>
      <c r="E383" s="6"/>
    </row>
    <row r="384" spans="2:5" x14ac:dyDescent="0.25">
      <c r="B384" s="6"/>
      <c r="C384" s="6"/>
      <c r="D384" s="6"/>
      <c r="E384" s="6"/>
    </row>
    <row r="385" spans="2:5" x14ac:dyDescent="0.25">
      <c r="B385" s="6"/>
      <c r="C385" s="6"/>
      <c r="D385" s="6"/>
      <c r="E385" s="6"/>
    </row>
    <row r="386" spans="2:5" x14ac:dyDescent="0.25">
      <c r="B386" s="6"/>
      <c r="C386" s="6"/>
      <c r="D386" s="6"/>
      <c r="E386" s="6"/>
    </row>
    <row r="387" spans="2:5" x14ac:dyDescent="0.25">
      <c r="B387" s="6"/>
      <c r="C387" s="6"/>
      <c r="D387" s="6"/>
      <c r="E387" s="6"/>
    </row>
    <row r="388" spans="2:5" x14ac:dyDescent="0.25">
      <c r="B388" s="6"/>
      <c r="C388" s="6"/>
      <c r="D388" s="6"/>
      <c r="E388" s="6"/>
    </row>
    <row r="389" spans="2:5" x14ac:dyDescent="0.25">
      <c r="B389" s="6"/>
      <c r="C389" s="6"/>
      <c r="D389" s="6"/>
      <c r="E389" s="6"/>
    </row>
    <row r="390" spans="2:5" x14ac:dyDescent="0.25">
      <c r="B390" s="6"/>
      <c r="C390" s="6"/>
      <c r="D390" s="6"/>
      <c r="E390" s="6"/>
    </row>
    <row r="391" spans="2:5" x14ac:dyDescent="0.25">
      <c r="B391" s="6"/>
      <c r="C391" s="6"/>
      <c r="D391" s="6"/>
      <c r="E391" s="6"/>
    </row>
    <row r="392" spans="2:5" x14ac:dyDescent="0.25">
      <c r="B392" s="6"/>
      <c r="C392" s="6"/>
      <c r="D392" s="6"/>
      <c r="E392" s="6"/>
    </row>
    <row r="393" spans="2:5" x14ac:dyDescent="0.25">
      <c r="B393" s="6"/>
      <c r="C393" s="6"/>
      <c r="D393" s="6"/>
      <c r="E393" s="6"/>
    </row>
    <row r="394" spans="2:5" x14ac:dyDescent="0.25">
      <c r="B394" s="6"/>
      <c r="C394" s="6"/>
      <c r="D394" s="6"/>
      <c r="E394" s="6"/>
    </row>
    <row r="395" spans="2:5" x14ac:dyDescent="0.25">
      <c r="B395" s="6"/>
      <c r="C395" s="6"/>
      <c r="D395" s="6"/>
      <c r="E395" s="6"/>
    </row>
    <row r="396" spans="2:5" x14ac:dyDescent="0.25">
      <c r="B396" s="6"/>
      <c r="C396" s="6"/>
      <c r="D396" s="6"/>
      <c r="E396" s="6"/>
    </row>
    <row r="397" spans="2:5" x14ac:dyDescent="0.25">
      <c r="B397" s="6"/>
      <c r="C397" s="6"/>
      <c r="D397" s="6"/>
      <c r="E397" s="6"/>
    </row>
    <row r="398" spans="2:5" x14ac:dyDescent="0.25">
      <c r="B398" s="6"/>
      <c r="C398" s="6"/>
      <c r="D398" s="6"/>
      <c r="E398" s="6"/>
    </row>
    <row r="399" spans="2:5" x14ac:dyDescent="0.25">
      <c r="B399" s="6"/>
      <c r="C399" s="6"/>
      <c r="D399" s="6"/>
      <c r="E399" s="6"/>
    </row>
    <row r="400" spans="2:5" x14ac:dyDescent="0.25">
      <c r="B400" s="6"/>
      <c r="C400" s="6"/>
      <c r="D400" s="6"/>
      <c r="E400" s="6"/>
    </row>
    <row r="401" spans="2:5" x14ac:dyDescent="0.25">
      <c r="B401" s="6"/>
      <c r="C401" s="6"/>
      <c r="D401" s="6"/>
      <c r="E401" s="6"/>
    </row>
    <row r="402" spans="2:5" x14ac:dyDescent="0.25">
      <c r="B402" s="6"/>
      <c r="C402" s="6"/>
      <c r="D402" s="6"/>
      <c r="E402" s="6"/>
    </row>
    <row r="403" spans="2:5" x14ac:dyDescent="0.25">
      <c r="B403" s="6"/>
      <c r="C403" s="6"/>
      <c r="D403" s="6"/>
      <c r="E403" s="6"/>
    </row>
    <row r="404" spans="2:5" x14ac:dyDescent="0.25">
      <c r="B404" s="6"/>
      <c r="C404" s="6"/>
      <c r="D404" s="6"/>
      <c r="E404" s="6"/>
    </row>
    <row r="405" spans="2:5" x14ac:dyDescent="0.25">
      <c r="B405" s="6"/>
      <c r="C405" s="6"/>
      <c r="D405" s="6"/>
      <c r="E405" s="6"/>
    </row>
    <row r="406" spans="2:5" x14ac:dyDescent="0.25">
      <c r="B406" s="6"/>
      <c r="C406" s="6"/>
      <c r="D406" s="6"/>
      <c r="E406" s="6"/>
    </row>
    <row r="407" spans="2:5" x14ac:dyDescent="0.25">
      <c r="B407" s="6"/>
      <c r="C407" s="6"/>
      <c r="D407" s="6"/>
      <c r="E407" s="6"/>
    </row>
    <row r="408" spans="2:5" x14ac:dyDescent="0.25">
      <c r="B408" s="6"/>
      <c r="C408" s="6"/>
      <c r="D408" s="6"/>
      <c r="E408" s="6"/>
    </row>
    <row r="409" spans="2:5" x14ac:dyDescent="0.25">
      <c r="B409" s="6"/>
      <c r="C409" s="6"/>
      <c r="D409" s="6"/>
      <c r="E409" s="6"/>
    </row>
    <row r="410" spans="2:5" x14ac:dyDescent="0.25">
      <c r="B410" s="6"/>
      <c r="C410" s="6"/>
      <c r="D410" s="6"/>
      <c r="E410" s="6"/>
    </row>
    <row r="411" spans="2:5" x14ac:dyDescent="0.25">
      <c r="B411" s="6"/>
      <c r="C411" s="6"/>
      <c r="D411" s="6"/>
      <c r="E411" s="6"/>
    </row>
    <row r="412" spans="2:5" x14ac:dyDescent="0.25">
      <c r="B412" s="6"/>
      <c r="C412" s="6"/>
      <c r="D412" s="6"/>
      <c r="E412" s="6"/>
    </row>
    <row r="413" spans="2:5" x14ac:dyDescent="0.25">
      <c r="B413" s="6"/>
      <c r="C413" s="6"/>
      <c r="D413" s="6"/>
      <c r="E413" s="6"/>
    </row>
    <row r="414" spans="2:5" x14ac:dyDescent="0.25">
      <c r="B414" s="6"/>
      <c r="C414" s="6"/>
      <c r="D414" s="6"/>
      <c r="E414" s="6"/>
    </row>
    <row r="415" spans="2:5" x14ac:dyDescent="0.25">
      <c r="B415" s="6"/>
      <c r="C415" s="6"/>
      <c r="D415" s="6"/>
      <c r="E415" s="6"/>
    </row>
    <row r="416" spans="2:5" x14ac:dyDescent="0.25">
      <c r="B416" s="6"/>
      <c r="C416" s="6"/>
      <c r="D416" s="6"/>
      <c r="E416" s="6"/>
    </row>
    <row r="417" spans="2:5" x14ac:dyDescent="0.25">
      <c r="B417" s="6"/>
      <c r="C417" s="6"/>
      <c r="D417" s="6"/>
      <c r="E417" s="6"/>
    </row>
    <row r="418" spans="2:5" x14ac:dyDescent="0.25">
      <c r="B418" s="6"/>
      <c r="C418" s="6"/>
      <c r="D418" s="6"/>
      <c r="E418" s="6"/>
    </row>
    <row r="419" spans="2:5" x14ac:dyDescent="0.25">
      <c r="B419" s="6"/>
      <c r="C419" s="6"/>
      <c r="D419" s="6"/>
      <c r="E419" s="6"/>
    </row>
    <row r="420" spans="2:5" x14ac:dyDescent="0.25">
      <c r="B420" s="6"/>
      <c r="C420" s="6"/>
      <c r="D420" s="6"/>
      <c r="E420" s="6"/>
    </row>
    <row r="421" spans="2:5" x14ac:dyDescent="0.25">
      <c r="B421" s="6"/>
      <c r="C421" s="6"/>
      <c r="D421" s="6"/>
      <c r="E421" s="6"/>
    </row>
    <row r="422" spans="2:5" x14ac:dyDescent="0.25">
      <c r="B422" s="6"/>
      <c r="C422" s="6"/>
      <c r="D422" s="6"/>
      <c r="E422" s="6"/>
    </row>
    <row r="423" spans="2:5" x14ac:dyDescent="0.25">
      <c r="B423" s="6"/>
      <c r="C423" s="6"/>
      <c r="D423" s="6"/>
      <c r="E423" s="6"/>
    </row>
    <row r="424" spans="2:5" x14ac:dyDescent="0.25">
      <c r="B424" s="6"/>
      <c r="C424" s="6"/>
      <c r="D424" s="6"/>
      <c r="E424" s="6"/>
    </row>
    <row r="425" spans="2:5" x14ac:dyDescent="0.25">
      <c r="B425" s="6"/>
      <c r="C425" s="6"/>
      <c r="D425" s="6"/>
      <c r="E425" s="6"/>
    </row>
    <row r="426" spans="2:5" x14ac:dyDescent="0.25">
      <c r="B426" s="6"/>
      <c r="C426" s="6"/>
      <c r="D426" s="6"/>
      <c r="E426" s="6"/>
    </row>
    <row r="427" spans="2:5" x14ac:dyDescent="0.25">
      <c r="B427" s="6"/>
      <c r="C427" s="6"/>
      <c r="D427" s="6"/>
      <c r="E427" s="6"/>
    </row>
    <row r="428" spans="2:5" x14ac:dyDescent="0.25">
      <c r="B428" s="6"/>
      <c r="C428" s="6"/>
      <c r="D428" s="6"/>
      <c r="E428" s="6"/>
    </row>
    <row r="429" spans="2:5" x14ac:dyDescent="0.25">
      <c r="B429" s="6"/>
      <c r="C429" s="6"/>
      <c r="D429" s="6"/>
      <c r="E429" s="6"/>
    </row>
    <row r="430" spans="2:5" x14ac:dyDescent="0.25">
      <c r="B430" s="6"/>
      <c r="C430" s="6"/>
      <c r="D430" s="6"/>
      <c r="E430" s="6"/>
    </row>
    <row r="431" spans="2:5" x14ac:dyDescent="0.25">
      <c r="B431" s="6"/>
      <c r="C431" s="6"/>
      <c r="D431" s="6"/>
      <c r="E431" s="6"/>
    </row>
    <row r="432" spans="2:5" x14ac:dyDescent="0.25">
      <c r="B432" s="6"/>
      <c r="C432" s="6"/>
      <c r="D432" s="6"/>
      <c r="E432" s="6"/>
    </row>
    <row r="433" spans="2:5" x14ac:dyDescent="0.25">
      <c r="B433" s="6"/>
      <c r="C433" s="6"/>
      <c r="D433" s="6"/>
      <c r="E433" s="6"/>
    </row>
    <row r="434" spans="2:5" x14ac:dyDescent="0.25">
      <c r="B434" s="6"/>
      <c r="C434" s="6"/>
      <c r="D434" s="6"/>
      <c r="E434" s="6"/>
    </row>
    <row r="435" spans="2:5" x14ac:dyDescent="0.25">
      <c r="B435" s="6"/>
      <c r="C435" s="6"/>
      <c r="D435" s="6"/>
      <c r="E435" s="6"/>
    </row>
    <row r="436" spans="2:5" x14ac:dyDescent="0.25">
      <c r="B436" s="6"/>
      <c r="C436" s="6"/>
      <c r="D436" s="6"/>
      <c r="E436" s="6"/>
    </row>
    <row r="437" spans="2:5" x14ac:dyDescent="0.25">
      <c r="B437" s="6"/>
      <c r="C437" s="6"/>
      <c r="D437" s="6"/>
      <c r="E437" s="6"/>
    </row>
    <row r="438" spans="2:5" x14ac:dyDescent="0.25">
      <c r="B438" s="6"/>
      <c r="C438" s="6"/>
      <c r="D438" s="6"/>
      <c r="E438" s="6"/>
    </row>
    <row r="439" spans="2:5" x14ac:dyDescent="0.25">
      <c r="B439" s="6"/>
      <c r="C439" s="6"/>
      <c r="D439" s="6"/>
      <c r="E439" s="6"/>
    </row>
    <row r="440" spans="2:5" x14ac:dyDescent="0.25">
      <c r="B440" s="6"/>
      <c r="C440" s="6"/>
      <c r="D440" s="6"/>
      <c r="E440" s="6"/>
    </row>
    <row r="441" spans="2:5" x14ac:dyDescent="0.25">
      <c r="B441" s="6"/>
      <c r="C441" s="6"/>
      <c r="D441" s="6"/>
      <c r="E441" s="6"/>
    </row>
    <row r="442" spans="2:5" x14ac:dyDescent="0.25">
      <c r="B442" s="6"/>
      <c r="C442" s="6"/>
      <c r="D442" s="6"/>
      <c r="E442" s="6"/>
    </row>
    <row r="443" spans="2:5" x14ac:dyDescent="0.25">
      <c r="B443" s="6"/>
      <c r="C443" s="6"/>
      <c r="D443" s="6"/>
      <c r="E443" s="6"/>
    </row>
    <row r="444" spans="2:5" x14ac:dyDescent="0.25">
      <c r="B444" s="6"/>
      <c r="C444" s="6"/>
      <c r="D444" s="6"/>
      <c r="E444" s="6"/>
    </row>
    <row r="445" spans="2:5" x14ac:dyDescent="0.25">
      <c r="B445" s="6"/>
      <c r="C445" s="6"/>
      <c r="D445" s="6"/>
      <c r="E445" s="6"/>
    </row>
    <row r="446" spans="2:5" x14ac:dyDescent="0.25">
      <c r="B446" s="6"/>
      <c r="C446" s="6"/>
      <c r="D446" s="6"/>
      <c r="E446" s="6"/>
    </row>
    <row r="447" spans="2:5" x14ac:dyDescent="0.25">
      <c r="B447" s="6"/>
      <c r="C447" s="6"/>
      <c r="D447" s="6"/>
      <c r="E447" s="6"/>
    </row>
    <row r="448" spans="2:5" x14ac:dyDescent="0.25">
      <c r="B448" s="6"/>
      <c r="C448" s="6"/>
      <c r="D448" s="6"/>
      <c r="E448" s="6"/>
    </row>
    <row r="449" spans="2:5" x14ac:dyDescent="0.25">
      <c r="B449" s="6"/>
      <c r="C449" s="6"/>
      <c r="D449" s="6"/>
      <c r="E449" s="6"/>
    </row>
    <row r="450" spans="2:5" x14ac:dyDescent="0.25">
      <c r="B450" s="6"/>
      <c r="C450" s="6"/>
      <c r="D450" s="6"/>
      <c r="E450" s="6"/>
    </row>
    <row r="451" spans="2:5" x14ac:dyDescent="0.25">
      <c r="B451" s="6"/>
      <c r="C451" s="6"/>
      <c r="D451" s="6"/>
      <c r="E451" s="6"/>
    </row>
    <row r="452" spans="2:5" x14ac:dyDescent="0.25">
      <c r="B452" s="6"/>
      <c r="C452" s="6"/>
      <c r="D452" s="6"/>
      <c r="E452" s="6"/>
    </row>
    <row r="453" spans="2:5" x14ac:dyDescent="0.25">
      <c r="B453" s="6"/>
      <c r="C453" s="6"/>
      <c r="D453" s="6"/>
      <c r="E453" s="6"/>
    </row>
    <row r="454" spans="2:5" x14ac:dyDescent="0.25">
      <c r="B454" s="6"/>
      <c r="C454" s="6"/>
      <c r="D454" s="6"/>
      <c r="E454" s="6"/>
    </row>
    <row r="455" spans="2:5" x14ac:dyDescent="0.25">
      <c r="B455" s="6"/>
      <c r="C455" s="6"/>
      <c r="D455" s="6"/>
      <c r="E455" s="6"/>
    </row>
    <row r="456" spans="2:5" x14ac:dyDescent="0.25">
      <c r="B456" s="6"/>
      <c r="C456" s="6"/>
      <c r="D456" s="6"/>
      <c r="E456" s="6"/>
    </row>
    <row r="457" spans="2:5" x14ac:dyDescent="0.25">
      <c r="B457" s="6"/>
      <c r="C457" s="6"/>
      <c r="D457" s="6"/>
      <c r="E457" s="6"/>
    </row>
    <row r="458" spans="2:5" x14ac:dyDescent="0.25">
      <c r="B458" s="6"/>
      <c r="C458" s="6"/>
      <c r="D458" s="6"/>
      <c r="E458" s="6"/>
    </row>
    <row r="459" spans="2:5" x14ac:dyDescent="0.25">
      <c r="B459" s="6"/>
      <c r="C459" s="6"/>
      <c r="D459" s="6"/>
      <c r="E459" s="6"/>
    </row>
    <row r="460" spans="2:5" x14ac:dyDescent="0.25">
      <c r="B460" s="6"/>
      <c r="C460" s="6"/>
      <c r="D460" s="6"/>
      <c r="E460" s="6"/>
    </row>
    <row r="461" spans="2:5" x14ac:dyDescent="0.25">
      <c r="B461" s="6"/>
      <c r="C461" s="6"/>
      <c r="D461" s="6"/>
      <c r="E461" s="6"/>
    </row>
    <row r="462" spans="2:5" x14ac:dyDescent="0.25">
      <c r="B462" s="6"/>
      <c r="C462" s="6"/>
      <c r="D462" s="6"/>
      <c r="E462" s="6"/>
    </row>
    <row r="463" spans="2:5" x14ac:dyDescent="0.25">
      <c r="B463" s="6"/>
      <c r="C463" s="6"/>
      <c r="D463" s="6"/>
      <c r="E463" s="6"/>
    </row>
    <row r="464" spans="2:5" x14ac:dyDescent="0.25">
      <c r="B464" s="6"/>
      <c r="C464" s="6"/>
      <c r="D464" s="6"/>
      <c r="E464" s="6"/>
    </row>
    <row r="465" spans="2:5" x14ac:dyDescent="0.25">
      <c r="B465" s="6"/>
      <c r="C465" s="6"/>
      <c r="D465" s="6"/>
      <c r="E465" s="6"/>
    </row>
    <row r="466" spans="2:5" x14ac:dyDescent="0.25">
      <c r="B466" s="6"/>
      <c r="C466" s="6"/>
      <c r="D466" s="6"/>
      <c r="E466" s="6"/>
    </row>
    <row r="467" spans="2:5" x14ac:dyDescent="0.25">
      <c r="B467" s="6"/>
      <c r="C467" s="6"/>
      <c r="D467" s="6"/>
      <c r="E467" s="6"/>
    </row>
    <row r="468" spans="2:5" x14ac:dyDescent="0.25">
      <c r="B468" s="6"/>
      <c r="C468" s="6"/>
      <c r="D468" s="6"/>
      <c r="E468" s="6"/>
    </row>
    <row r="469" spans="2:5" x14ac:dyDescent="0.25">
      <c r="B469" s="6"/>
      <c r="C469" s="6"/>
      <c r="D469" s="6"/>
      <c r="E469" s="6"/>
    </row>
    <row r="470" spans="2:5" x14ac:dyDescent="0.25">
      <c r="B470" s="6"/>
      <c r="C470" s="6"/>
      <c r="D470" s="6"/>
      <c r="E470" s="6"/>
    </row>
    <row r="471" spans="2:5" x14ac:dyDescent="0.25">
      <c r="B471" s="6"/>
      <c r="C471" s="6"/>
      <c r="D471" s="6"/>
      <c r="E471" s="6"/>
    </row>
    <row r="472" spans="2:5" x14ac:dyDescent="0.25">
      <c r="B472" s="6"/>
      <c r="C472" s="6"/>
      <c r="D472" s="6"/>
      <c r="E472" s="6"/>
    </row>
    <row r="473" spans="2:5" x14ac:dyDescent="0.25">
      <c r="B473" s="6"/>
      <c r="C473" s="6"/>
      <c r="D473" s="6"/>
      <c r="E473" s="6"/>
    </row>
    <row r="474" spans="2:5" x14ac:dyDescent="0.25">
      <c r="B474" s="6"/>
      <c r="C474" s="6"/>
      <c r="D474" s="6"/>
      <c r="E474" s="6"/>
    </row>
    <row r="475" spans="2:5" x14ac:dyDescent="0.25">
      <c r="B475" s="6"/>
      <c r="C475" s="6"/>
      <c r="D475" s="6"/>
      <c r="E475" s="6"/>
    </row>
    <row r="476" spans="2:5" x14ac:dyDescent="0.25">
      <c r="B476" s="6"/>
      <c r="C476" s="6"/>
      <c r="D476" s="6"/>
      <c r="E476" s="6"/>
    </row>
    <row r="477" spans="2:5" x14ac:dyDescent="0.25">
      <c r="B477" s="6"/>
      <c r="C477" s="6"/>
      <c r="D477" s="6"/>
      <c r="E477" s="6"/>
    </row>
    <row r="478" spans="2:5" x14ac:dyDescent="0.25">
      <c r="B478" s="6"/>
      <c r="C478" s="6"/>
      <c r="D478" s="6"/>
      <c r="E478" s="6"/>
    </row>
    <row r="479" spans="2:5" x14ac:dyDescent="0.25">
      <c r="B479" s="6"/>
      <c r="C479" s="6"/>
      <c r="D479" s="6"/>
      <c r="E479" s="6"/>
    </row>
    <row r="480" spans="2:5" x14ac:dyDescent="0.25">
      <c r="B480" s="6"/>
      <c r="C480" s="6"/>
      <c r="D480" s="6"/>
      <c r="E480" s="6"/>
    </row>
    <row r="481" spans="2:5" x14ac:dyDescent="0.25">
      <c r="B481" s="6"/>
      <c r="C481" s="6"/>
      <c r="D481" s="6"/>
      <c r="E481" s="6"/>
    </row>
    <row r="482" spans="2:5" x14ac:dyDescent="0.25">
      <c r="B482" s="6"/>
      <c r="C482" s="6"/>
      <c r="D482" s="6"/>
      <c r="E482" s="6"/>
    </row>
    <row r="483" spans="2:5" x14ac:dyDescent="0.25">
      <c r="B483" s="6"/>
      <c r="C483" s="6"/>
      <c r="D483" s="6"/>
      <c r="E483" s="6"/>
    </row>
    <row r="484" spans="2:5" x14ac:dyDescent="0.25">
      <c r="B484" s="6"/>
      <c r="C484" s="6"/>
      <c r="D484" s="6"/>
      <c r="E484" s="6"/>
    </row>
    <row r="485" spans="2:5" x14ac:dyDescent="0.25">
      <c r="B485" s="6"/>
      <c r="C485" s="6"/>
      <c r="D485" s="6"/>
      <c r="E485" s="6"/>
    </row>
    <row r="486" spans="2:5" x14ac:dyDescent="0.25">
      <c r="B486" s="6"/>
      <c r="C486" s="6"/>
      <c r="D486" s="6"/>
      <c r="E486" s="6"/>
    </row>
    <row r="487" spans="2:5" x14ac:dyDescent="0.25">
      <c r="B487" s="6"/>
      <c r="C487" s="6"/>
      <c r="D487" s="6"/>
      <c r="E487" s="6"/>
    </row>
    <row r="488" spans="2:5" x14ac:dyDescent="0.25">
      <c r="B488" s="6"/>
      <c r="C488" s="6"/>
      <c r="D488" s="6"/>
      <c r="E488" s="6"/>
    </row>
    <row r="489" spans="2:5" x14ac:dyDescent="0.25">
      <c r="B489" s="6"/>
      <c r="C489" s="6"/>
      <c r="D489" s="6"/>
      <c r="E489" s="6"/>
    </row>
    <row r="490" spans="2:5" x14ac:dyDescent="0.25">
      <c r="B490" s="6"/>
      <c r="C490" s="6"/>
      <c r="D490" s="6"/>
      <c r="E490" s="6"/>
    </row>
    <row r="491" spans="2:5" x14ac:dyDescent="0.25">
      <c r="B491" s="6"/>
      <c r="C491" s="6"/>
      <c r="D491" s="6"/>
      <c r="E491" s="6"/>
    </row>
    <row r="492" spans="2:5" x14ac:dyDescent="0.25">
      <c r="B492" s="6"/>
      <c r="C492" s="6"/>
      <c r="D492" s="6"/>
      <c r="E492" s="6"/>
    </row>
    <row r="493" spans="2:5" x14ac:dyDescent="0.25">
      <c r="B493" s="6"/>
      <c r="C493" s="6"/>
      <c r="D493" s="6"/>
      <c r="E493" s="6"/>
    </row>
    <row r="494" spans="2:5" x14ac:dyDescent="0.25">
      <c r="B494" s="6"/>
      <c r="C494" s="6"/>
      <c r="D494" s="6"/>
      <c r="E494" s="6"/>
    </row>
    <row r="495" spans="2:5" x14ac:dyDescent="0.25">
      <c r="B495" s="6"/>
      <c r="C495" s="6"/>
      <c r="D495" s="6"/>
      <c r="E495" s="6"/>
    </row>
    <row r="496" spans="2:5" x14ac:dyDescent="0.25">
      <c r="B496" s="6"/>
      <c r="C496" s="6"/>
      <c r="D496" s="6"/>
      <c r="E496" s="6"/>
    </row>
    <row r="497" spans="2:5" x14ac:dyDescent="0.25">
      <c r="B497" s="6"/>
      <c r="C497" s="6"/>
      <c r="D497" s="6"/>
      <c r="E497" s="6"/>
    </row>
    <row r="498" spans="2:5" x14ac:dyDescent="0.25">
      <c r="B498" s="6"/>
      <c r="C498" s="6"/>
      <c r="D498" s="6"/>
      <c r="E498" s="6"/>
    </row>
    <row r="499" spans="2:5" x14ac:dyDescent="0.25">
      <c r="B499" s="6"/>
      <c r="C499" s="6"/>
      <c r="D499" s="6"/>
      <c r="E499" s="6"/>
    </row>
    <row r="500" spans="2:5" x14ac:dyDescent="0.25">
      <c r="B500" s="6"/>
      <c r="C500" s="6"/>
      <c r="D500" s="6"/>
      <c r="E500" s="6"/>
    </row>
    <row r="501" spans="2:5" x14ac:dyDescent="0.25">
      <c r="B501" s="6"/>
      <c r="C501" s="6"/>
      <c r="D501" s="6"/>
      <c r="E501" s="6"/>
    </row>
    <row r="502" spans="2:5" x14ac:dyDescent="0.25">
      <c r="B502" s="6"/>
      <c r="C502" s="6"/>
      <c r="D502" s="6"/>
      <c r="E502" s="6"/>
    </row>
    <row r="503" spans="2:5" x14ac:dyDescent="0.25">
      <c r="B503" s="6"/>
      <c r="C503" s="6"/>
      <c r="D503" s="6"/>
      <c r="E503" s="6"/>
    </row>
    <row r="504" spans="2:5" x14ac:dyDescent="0.25">
      <c r="B504" s="6"/>
      <c r="C504" s="6"/>
      <c r="D504" s="6"/>
      <c r="E504" s="6"/>
    </row>
    <row r="505" spans="2:5" x14ac:dyDescent="0.25">
      <c r="B505" s="6"/>
      <c r="C505" s="6"/>
      <c r="D505" s="6"/>
      <c r="E505" s="6"/>
    </row>
    <row r="506" spans="2:5" x14ac:dyDescent="0.25">
      <c r="B506" s="6"/>
      <c r="C506" s="6"/>
      <c r="D506" s="6"/>
      <c r="E506" s="6"/>
    </row>
    <row r="507" spans="2:5" x14ac:dyDescent="0.25">
      <c r="B507" s="6"/>
      <c r="C507" s="6"/>
      <c r="D507" s="6"/>
      <c r="E507" s="6"/>
    </row>
    <row r="508" spans="2:5" x14ac:dyDescent="0.25">
      <c r="B508" s="6"/>
      <c r="C508" s="6"/>
      <c r="D508" s="6"/>
      <c r="E508" s="6"/>
    </row>
    <row r="509" spans="2:5" x14ac:dyDescent="0.25">
      <c r="B509" s="6"/>
      <c r="C509" s="6"/>
      <c r="D509" s="6"/>
      <c r="E509" s="6"/>
    </row>
    <row r="510" spans="2:5" x14ac:dyDescent="0.25">
      <c r="B510" s="6"/>
      <c r="C510" s="6"/>
      <c r="D510" s="6"/>
      <c r="E510" s="6"/>
    </row>
    <row r="511" spans="2:5" x14ac:dyDescent="0.25">
      <c r="B511" s="6"/>
      <c r="C511" s="6"/>
      <c r="D511" s="6"/>
      <c r="E511" s="6"/>
    </row>
    <row r="512" spans="2:5" x14ac:dyDescent="0.25">
      <c r="B512" s="6"/>
      <c r="C512" s="6"/>
      <c r="D512" s="6"/>
      <c r="E512" s="6"/>
    </row>
    <row r="513" spans="2:5" x14ac:dyDescent="0.25">
      <c r="B513" s="6"/>
      <c r="C513" s="6"/>
      <c r="D513" s="6"/>
      <c r="E513" s="6"/>
    </row>
    <row r="514" spans="2:5" x14ac:dyDescent="0.25">
      <c r="B514" s="6"/>
      <c r="C514" s="6"/>
      <c r="D514" s="6"/>
      <c r="E514" s="6"/>
    </row>
    <row r="515" spans="2:5" x14ac:dyDescent="0.25">
      <c r="B515" s="6"/>
      <c r="C515" s="6"/>
      <c r="D515" s="6"/>
      <c r="E515" s="6"/>
    </row>
    <row r="516" spans="2:5" x14ac:dyDescent="0.25">
      <c r="B516" s="6"/>
      <c r="C516" s="6"/>
      <c r="D516" s="6"/>
      <c r="E516" s="6"/>
    </row>
    <row r="517" spans="2:5" x14ac:dyDescent="0.25">
      <c r="B517" s="6"/>
      <c r="C517" s="6"/>
      <c r="D517" s="6"/>
      <c r="E517" s="6"/>
    </row>
    <row r="518" spans="2:5" x14ac:dyDescent="0.25">
      <c r="B518" s="6"/>
      <c r="C518" s="6"/>
      <c r="D518" s="6"/>
      <c r="E518" s="6"/>
    </row>
    <row r="519" spans="2:5" x14ac:dyDescent="0.25">
      <c r="B519" s="6"/>
      <c r="C519" s="6"/>
      <c r="D519" s="6"/>
      <c r="E519" s="6"/>
    </row>
    <row r="520" spans="2:5" x14ac:dyDescent="0.25">
      <c r="B520" s="6"/>
      <c r="C520" s="6"/>
      <c r="D520" s="6"/>
      <c r="E520" s="6"/>
    </row>
    <row r="521" spans="2:5" x14ac:dyDescent="0.25">
      <c r="B521" s="6"/>
      <c r="C521" s="6"/>
      <c r="D521" s="6"/>
      <c r="E521" s="6"/>
    </row>
    <row r="522" spans="2:5" x14ac:dyDescent="0.25">
      <c r="B522" s="6"/>
      <c r="C522" s="6"/>
      <c r="D522" s="6"/>
      <c r="E522" s="6"/>
    </row>
    <row r="523" spans="2:5" x14ac:dyDescent="0.25">
      <c r="B523" s="6"/>
      <c r="C523" s="6"/>
      <c r="D523" s="6"/>
      <c r="E523" s="6"/>
    </row>
    <row r="524" spans="2:5" x14ac:dyDescent="0.25">
      <c r="B524" s="6"/>
      <c r="C524" s="6"/>
      <c r="D524" s="6"/>
      <c r="E524" s="6"/>
    </row>
    <row r="525" spans="2:5" x14ac:dyDescent="0.25">
      <c r="B525" s="6"/>
      <c r="C525" s="6"/>
      <c r="D525" s="6"/>
      <c r="E525" s="6"/>
    </row>
    <row r="526" spans="2:5" x14ac:dyDescent="0.25">
      <c r="B526" s="6"/>
      <c r="C526" s="6"/>
      <c r="D526" s="6"/>
      <c r="E526" s="6"/>
    </row>
    <row r="527" spans="2:5" x14ac:dyDescent="0.25">
      <c r="B527" s="6"/>
      <c r="C527" s="6"/>
      <c r="D527" s="6"/>
      <c r="E527" s="6"/>
    </row>
    <row r="528" spans="2:5" x14ac:dyDescent="0.25">
      <c r="B528" s="6"/>
      <c r="C528" s="6"/>
      <c r="D528" s="6"/>
      <c r="E528" s="6"/>
    </row>
    <row r="529" spans="2:5" x14ac:dyDescent="0.25">
      <c r="B529" s="6"/>
      <c r="C529" s="6"/>
      <c r="D529" s="6"/>
      <c r="E529" s="6"/>
    </row>
    <row r="530" spans="2:5" x14ac:dyDescent="0.25">
      <c r="B530" s="6"/>
      <c r="C530" s="6"/>
      <c r="D530" s="6"/>
      <c r="E530" s="6"/>
    </row>
    <row r="531" spans="2:5" x14ac:dyDescent="0.25">
      <c r="B531" s="6"/>
      <c r="C531" s="6"/>
      <c r="D531" s="6"/>
      <c r="E531" s="6"/>
    </row>
    <row r="532" spans="2:5" x14ac:dyDescent="0.25">
      <c r="B532" s="6"/>
      <c r="C532" s="6"/>
      <c r="D532" s="6"/>
      <c r="E532" s="6"/>
    </row>
    <row r="533" spans="2:5" x14ac:dyDescent="0.25">
      <c r="B533" s="6"/>
      <c r="C533" s="6"/>
      <c r="D533" s="6"/>
      <c r="E533" s="6"/>
    </row>
    <row r="534" spans="2:5" x14ac:dyDescent="0.25">
      <c r="B534" s="6"/>
      <c r="C534" s="6"/>
      <c r="D534" s="6"/>
      <c r="E534" s="6"/>
    </row>
    <row r="535" spans="2:5" x14ac:dyDescent="0.25">
      <c r="B535" s="6"/>
      <c r="C535" s="6"/>
      <c r="D535" s="6"/>
      <c r="E535" s="6"/>
    </row>
    <row r="536" spans="2:5" x14ac:dyDescent="0.25">
      <c r="B536" s="6"/>
      <c r="C536" s="6"/>
      <c r="D536" s="6"/>
      <c r="E536" s="6"/>
    </row>
    <row r="537" spans="2:5" x14ac:dyDescent="0.25">
      <c r="B537" s="6"/>
      <c r="C537" s="6"/>
      <c r="D537" s="6"/>
      <c r="E537" s="6"/>
    </row>
    <row r="538" spans="2:5" x14ac:dyDescent="0.25">
      <c r="B538" s="6"/>
      <c r="C538" s="6"/>
      <c r="D538" s="6"/>
      <c r="E538" s="6"/>
    </row>
    <row r="539" spans="2:5" x14ac:dyDescent="0.25">
      <c r="B539" s="6"/>
      <c r="C539" s="6"/>
      <c r="D539" s="6"/>
      <c r="E539" s="6"/>
    </row>
    <row r="540" spans="2:5" x14ac:dyDescent="0.25">
      <c r="B540" s="6"/>
      <c r="C540" s="6"/>
      <c r="D540" s="6"/>
      <c r="E540" s="6"/>
    </row>
    <row r="541" spans="2:5" x14ac:dyDescent="0.25">
      <c r="B541" s="6"/>
      <c r="C541" s="6"/>
      <c r="D541" s="6"/>
      <c r="E541" s="6"/>
    </row>
    <row r="542" spans="2:5" x14ac:dyDescent="0.25">
      <c r="B542" s="6"/>
      <c r="C542" s="6"/>
      <c r="D542" s="6"/>
      <c r="E542" s="6"/>
    </row>
    <row r="543" spans="2:5" x14ac:dyDescent="0.25">
      <c r="B543" s="6"/>
      <c r="C543" s="6"/>
      <c r="D543" s="6"/>
      <c r="E543" s="6"/>
    </row>
    <row r="544" spans="2:5" x14ac:dyDescent="0.25">
      <c r="B544" s="6"/>
      <c r="C544" s="6"/>
      <c r="D544" s="6"/>
      <c r="E544" s="6"/>
    </row>
    <row r="545" spans="2:5" x14ac:dyDescent="0.25">
      <c r="B545" s="6"/>
      <c r="C545" s="6"/>
      <c r="D545" s="6"/>
      <c r="E545" s="6"/>
    </row>
    <row r="546" spans="2:5" x14ac:dyDescent="0.25">
      <c r="B546" s="6"/>
      <c r="C546" s="6"/>
      <c r="D546" s="6"/>
      <c r="E546" s="6"/>
    </row>
    <row r="547" spans="2:5" x14ac:dyDescent="0.25">
      <c r="B547" s="6"/>
      <c r="C547" s="6"/>
      <c r="D547" s="6"/>
      <c r="E547" s="6"/>
    </row>
    <row r="548" spans="2:5" x14ac:dyDescent="0.25">
      <c r="B548" s="6"/>
      <c r="C548" s="6"/>
      <c r="D548" s="6"/>
      <c r="E548" s="6"/>
    </row>
    <row r="549" spans="2:5" x14ac:dyDescent="0.25">
      <c r="B549" s="6"/>
      <c r="C549" s="6"/>
      <c r="D549" s="6"/>
      <c r="E549" s="6"/>
    </row>
    <row r="550" spans="2:5" x14ac:dyDescent="0.25">
      <c r="B550" s="6"/>
      <c r="C550" s="6"/>
      <c r="D550" s="6"/>
      <c r="E550" s="6"/>
    </row>
    <row r="551" spans="2:5" x14ac:dyDescent="0.25">
      <c r="B551" s="6"/>
      <c r="C551" s="6"/>
      <c r="D551" s="6"/>
      <c r="E551" s="6"/>
    </row>
    <row r="552" spans="2:5" x14ac:dyDescent="0.25">
      <c r="B552" s="6"/>
      <c r="C552" s="6"/>
      <c r="D552" s="6"/>
      <c r="E552" s="6"/>
    </row>
    <row r="553" spans="2:5" x14ac:dyDescent="0.25">
      <c r="B553" s="6"/>
      <c r="C553" s="6"/>
      <c r="D553" s="6"/>
      <c r="E553" s="6"/>
    </row>
    <row r="554" spans="2:5" x14ac:dyDescent="0.25">
      <c r="B554" s="6"/>
      <c r="C554" s="6"/>
      <c r="D554" s="6"/>
      <c r="E554" s="6"/>
    </row>
    <row r="555" spans="2:5" x14ac:dyDescent="0.25">
      <c r="B555" s="6"/>
      <c r="C555" s="6"/>
      <c r="D555" s="6"/>
      <c r="E555" s="6"/>
    </row>
    <row r="556" spans="2:5" x14ac:dyDescent="0.25">
      <c r="B556" s="6"/>
      <c r="C556" s="6"/>
      <c r="D556" s="6"/>
      <c r="E556" s="6"/>
    </row>
    <row r="557" spans="2:5" x14ac:dyDescent="0.25">
      <c r="B557" s="6"/>
      <c r="C557" s="6"/>
      <c r="D557" s="6"/>
      <c r="E557" s="6"/>
    </row>
    <row r="558" spans="2:5" x14ac:dyDescent="0.25">
      <c r="B558" s="6"/>
      <c r="C558" s="6"/>
      <c r="D558" s="6"/>
      <c r="E558" s="6"/>
    </row>
    <row r="559" spans="2:5" x14ac:dyDescent="0.25">
      <c r="B559" s="6"/>
      <c r="C559" s="6"/>
      <c r="D559" s="6"/>
      <c r="E559" s="6"/>
    </row>
    <row r="560" spans="2:5" x14ac:dyDescent="0.25">
      <c r="B560" s="6"/>
      <c r="C560" s="6"/>
      <c r="D560" s="6"/>
      <c r="E560" s="6"/>
    </row>
    <row r="561" spans="2:5" x14ac:dyDescent="0.25">
      <c r="B561" s="6"/>
      <c r="C561" s="6"/>
      <c r="D561" s="6"/>
      <c r="E561" s="6"/>
    </row>
    <row r="562" spans="2:5" x14ac:dyDescent="0.25">
      <c r="B562" s="6"/>
      <c r="C562" s="6"/>
      <c r="D562" s="6"/>
      <c r="E562" s="6"/>
    </row>
    <row r="563" spans="2:5" x14ac:dyDescent="0.25">
      <c r="B563" s="6"/>
      <c r="C563" s="6"/>
      <c r="D563" s="6"/>
      <c r="E563" s="6"/>
    </row>
    <row r="564" spans="2:5" x14ac:dyDescent="0.25">
      <c r="B564" s="6"/>
      <c r="C564" s="6"/>
      <c r="D564" s="6"/>
      <c r="E564" s="6"/>
    </row>
    <row r="565" spans="2:5" x14ac:dyDescent="0.25">
      <c r="B565" s="6"/>
      <c r="C565" s="6"/>
      <c r="D565" s="6"/>
      <c r="E565" s="6"/>
    </row>
    <row r="566" spans="2:5" x14ac:dyDescent="0.25">
      <c r="B566" s="6"/>
      <c r="C566" s="6"/>
      <c r="D566" s="6"/>
      <c r="E566" s="6"/>
    </row>
    <row r="567" spans="2:5" x14ac:dyDescent="0.25">
      <c r="B567" s="6"/>
      <c r="C567" s="6"/>
      <c r="D567" s="6"/>
      <c r="E567" s="6"/>
    </row>
    <row r="568" spans="2:5" x14ac:dyDescent="0.25">
      <c r="B568" s="6"/>
      <c r="C568" s="6"/>
      <c r="D568" s="6"/>
      <c r="E568" s="6"/>
    </row>
    <row r="569" spans="2:5" x14ac:dyDescent="0.25">
      <c r="B569" s="6"/>
      <c r="C569" s="6"/>
      <c r="D569" s="6"/>
      <c r="E569" s="6"/>
    </row>
    <row r="570" spans="2:5" x14ac:dyDescent="0.25">
      <c r="B570" s="6"/>
      <c r="C570" s="6"/>
      <c r="D570" s="6"/>
      <c r="E570" s="6"/>
    </row>
    <row r="571" spans="2:5" x14ac:dyDescent="0.25">
      <c r="B571" s="6"/>
      <c r="C571" s="6"/>
      <c r="D571" s="6"/>
      <c r="E571" s="6"/>
    </row>
    <row r="572" spans="2:5" x14ac:dyDescent="0.25">
      <c r="B572" s="6"/>
      <c r="C572" s="6"/>
      <c r="D572" s="6"/>
      <c r="E572" s="6"/>
    </row>
    <row r="573" spans="2:5" x14ac:dyDescent="0.25">
      <c r="B573" s="6"/>
      <c r="C573" s="6"/>
      <c r="D573" s="6"/>
      <c r="E573" s="6"/>
    </row>
    <row r="574" spans="2:5" x14ac:dyDescent="0.25">
      <c r="B574" s="6"/>
      <c r="C574" s="6"/>
      <c r="D574" s="6"/>
      <c r="E574" s="6"/>
    </row>
    <row r="575" spans="2:5" x14ac:dyDescent="0.25">
      <c r="B575" s="6"/>
      <c r="C575" s="6"/>
      <c r="D575" s="6"/>
      <c r="E575" s="6"/>
    </row>
    <row r="576" spans="2:5" x14ac:dyDescent="0.25">
      <c r="B576" s="6"/>
      <c r="C576" s="6"/>
      <c r="D576" s="6"/>
      <c r="E576" s="6"/>
    </row>
    <row r="577" spans="2:5" x14ac:dyDescent="0.25">
      <c r="B577" s="6"/>
      <c r="C577" s="6"/>
      <c r="D577" s="6"/>
      <c r="E577" s="6"/>
    </row>
    <row r="578" spans="2:5" x14ac:dyDescent="0.25">
      <c r="B578" s="6"/>
      <c r="C578" s="6"/>
      <c r="D578" s="6"/>
      <c r="E578" s="6"/>
    </row>
    <row r="579" spans="2:5" x14ac:dyDescent="0.25">
      <c r="B579" s="6"/>
      <c r="C579" s="6"/>
      <c r="D579" s="6"/>
      <c r="E579" s="6"/>
    </row>
    <row r="580" spans="2:5" x14ac:dyDescent="0.25">
      <c r="B580" s="6"/>
      <c r="C580" s="6"/>
      <c r="D580" s="6"/>
      <c r="E580" s="6"/>
    </row>
    <row r="581" spans="2:5" x14ac:dyDescent="0.25">
      <c r="B581" s="6"/>
      <c r="C581" s="6"/>
      <c r="D581" s="6"/>
      <c r="E581" s="6"/>
    </row>
    <row r="582" spans="2:5" x14ac:dyDescent="0.25">
      <c r="B582" s="6"/>
      <c r="C582" s="6"/>
      <c r="D582" s="6"/>
      <c r="E582" s="6"/>
    </row>
    <row r="583" spans="2:5" x14ac:dyDescent="0.25">
      <c r="B583" s="6"/>
      <c r="C583" s="6"/>
      <c r="D583" s="6"/>
      <c r="E583" s="6"/>
    </row>
    <row r="584" spans="2:5" x14ac:dyDescent="0.25">
      <c r="B584" s="6"/>
      <c r="C584" s="6"/>
      <c r="D584" s="6"/>
      <c r="E584" s="6"/>
    </row>
    <row r="585" spans="2:5" x14ac:dyDescent="0.25">
      <c r="B585" s="6"/>
      <c r="C585" s="6"/>
      <c r="D585" s="6"/>
      <c r="E585" s="6"/>
    </row>
    <row r="586" spans="2:5" x14ac:dyDescent="0.25">
      <c r="B586" s="6"/>
      <c r="C586" s="6"/>
      <c r="D586" s="6"/>
      <c r="E586" s="6"/>
    </row>
    <row r="587" spans="2:5" x14ac:dyDescent="0.25">
      <c r="B587" s="6"/>
      <c r="C587" s="6"/>
      <c r="D587" s="6"/>
      <c r="E587" s="6"/>
    </row>
    <row r="588" spans="2:5" x14ac:dyDescent="0.25">
      <c r="B588" s="6"/>
      <c r="C588" s="6"/>
      <c r="D588" s="6"/>
      <c r="E588" s="6"/>
    </row>
    <row r="589" spans="2:5" x14ac:dyDescent="0.25">
      <c r="B589" s="6"/>
      <c r="C589" s="6"/>
      <c r="D589" s="6"/>
      <c r="E589" s="6"/>
    </row>
    <row r="590" spans="2:5" x14ac:dyDescent="0.25">
      <c r="B590" s="6"/>
      <c r="C590" s="6"/>
      <c r="D590" s="6"/>
      <c r="E590" s="6"/>
    </row>
    <row r="591" spans="2:5" x14ac:dyDescent="0.25">
      <c r="B591" s="6"/>
      <c r="C591" s="6"/>
      <c r="D591" s="6"/>
      <c r="E591" s="6"/>
    </row>
    <row r="592" spans="2:5" x14ac:dyDescent="0.25">
      <c r="B592" s="6"/>
      <c r="C592" s="6"/>
      <c r="D592" s="6"/>
      <c r="E592" s="6"/>
    </row>
    <row r="593" spans="2:5" x14ac:dyDescent="0.25">
      <c r="B593" s="6"/>
      <c r="C593" s="6"/>
      <c r="D593" s="6"/>
      <c r="E593" s="6"/>
    </row>
    <row r="594" spans="2:5" x14ac:dyDescent="0.25">
      <c r="B594" s="6"/>
      <c r="C594" s="6"/>
      <c r="D594" s="6"/>
      <c r="E594" s="6"/>
    </row>
    <row r="595" spans="2:5" x14ac:dyDescent="0.25">
      <c r="B595" s="6"/>
      <c r="C595" s="6"/>
      <c r="D595" s="6"/>
      <c r="E595" s="6"/>
    </row>
    <row r="596" spans="2:5" x14ac:dyDescent="0.25">
      <c r="B596" s="6"/>
      <c r="C596" s="6"/>
      <c r="D596" s="6"/>
      <c r="E596" s="6"/>
    </row>
    <row r="597" spans="2:5" x14ac:dyDescent="0.25">
      <c r="B597" s="6"/>
      <c r="C597" s="6"/>
      <c r="D597" s="6"/>
      <c r="E597" s="6"/>
    </row>
    <row r="598" spans="2:5" x14ac:dyDescent="0.25">
      <c r="B598" s="6"/>
      <c r="C598" s="6"/>
      <c r="D598" s="6"/>
      <c r="E598" s="6"/>
    </row>
    <row r="599" spans="2:5" x14ac:dyDescent="0.25">
      <c r="B599" s="6"/>
      <c r="C599" s="6"/>
      <c r="D599" s="6"/>
      <c r="E599" s="6"/>
    </row>
    <row r="600" spans="2:5" x14ac:dyDescent="0.25">
      <c r="B600" s="6"/>
      <c r="C600" s="6"/>
      <c r="D600" s="6"/>
      <c r="E600" s="6"/>
    </row>
    <row r="601" spans="2:5" x14ac:dyDescent="0.25">
      <c r="B601" s="6"/>
      <c r="C601" s="6"/>
      <c r="D601" s="6"/>
      <c r="E601" s="6"/>
    </row>
    <row r="602" spans="2:5" x14ac:dyDescent="0.25">
      <c r="B602" s="6"/>
      <c r="C602" s="6"/>
      <c r="D602" s="6"/>
      <c r="E602" s="6"/>
    </row>
    <row r="603" spans="2:5" x14ac:dyDescent="0.25">
      <c r="B603" s="6"/>
      <c r="C603" s="6"/>
      <c r="D603" s="6"/>
      <c r="E603" s="6"/>
    </row>
    <row r="604" spans="2:5" x14ac:dyDescent="0.25">
      <c r="B604" s="6"/>
      <c r="C604" s="6"/>
      <c r="D604" s="6"/>
      <c r="E604" s="6"/>
    </row>
    <row r="605" spans="2:5" x14ac:dyDescent="0.25">
      <c r="B605" s="6"/>
      <c r="C605" s="6"/>
      <c r="D605" s="6"/>
      <c r="E605" s="6"/>
    </row>
    <row r="606" spans="2:5" x14ac:dyDescent="0.25">
      <c r="B606" s="6"/>
      <c r="C606" s="6"/>
      <c r="D606" s="6"/>
      <c r="E606" s="6"/>
    </row>
    <row r="607" spans="2:5" x14ac:dyDescent="0.25">
      <c r="B607" s="6"/>
      <c r="C607" s="6"/>
      <c r="D607" s="6"/>
      <c r="E607" s="6"/>
    </row>
    <row r="608" spans="2:5" x14ac:dyDescent="0.25">
      <c r="B608" s="6"/>
      <c r="C608" s="6"/>
      <c r="D608" s="6"/>
      <c r="E608" s="6"/>
    </row>
    <row r="609" spans="2:5" x14ac:dyDescent="0.25">
      <c r="B609" s="6"/>
      <c r="C609" s="6"/>
      <c r="D609" s="6"/>
      <c r="E609" s="6"/>
    </row>
    <row r="610" spans="2:5" x14ac:dyDescent="0.25">
      <c r="B610" s="6"/>
      <c r="C610" s="6"/>
      <c r="D610" s="6"/>
      <c r="E610" s="6"/>
    </row>
    <row r="611" spans="2:5" x14ac:dyDescent="0.25">
      <c r="B611" s="6"/>
      <c r="C611" s="6"/>
      <c r="D611" s="6"/>
      <c r="E611" s="6"/>
    </row>
    <row r="612" spans="2:5" x14ac:dyDescent="0.25">
      <c r="B612" s="6"/>
      <c r="C612" s="6"/>
      <c r="D612" s="6"/>
      <c r="E612" s="6"/>
    </row>
    <row r="613" spans="2:5" x14ac:dyDescent="0.25">
      <c r="B613" s="6"/>
      <c r="C613" s="6"/>
      <c r="D613" s="6"/>
      <c r="E613" s="6"/>
    </row>
    <row r="614" spans="2:5" x14ac:dyDescent="0.25">
      <c r="B614" s="6"/>
      <c r="C614" s="6"/>
      <c r="D614" s="6"/>
      <c r="E614" s="6"/>
    </row>
    <row r="615" spans="2:5" x14ac:dyDescent="0.25">
      <c r="B615" s="6"/>
      <c r="C615" s="6"/>
      <c r="D615" s="6"/>
      <c r="E615" s="6"/>
    </row>
    <row r="616" spans="2:5" x14ac:dyDescent="0.25">
      <c r="B616" s="6"/>
      <c r="C616" s="6"/>
      <c r="D616" s="6"/>
      <c r="E616" s="6"/>
    </row>
    <row r="617" spans="2:5" x14ac:dyDescent="0.25">
      <c r="B617" s="6"/>
      <c r="C617" s="6"/>
      <c r="D617" s="6"/>
      <c r="E617" s="6"/>
    </row>
    <row r="618" spans="2:5" x14ac:dyDescent="0.25">
      <c r="B618" s="6"/>
      <c r="C618" s="6"/>
      <c r="D618" s="6"/>
      <c r="E618" s="6"/>
    </row>
    <row r="619" spans="2:5" x14ac:dyDescent="0.25">
      <c r="B619" s="6"/>
      <c r="C619" s="6"/>
      <c r="D619" s="6"/>
      <c r="E619" s="6"/>
    </row>
    <row r="620" spans="2:5" x14ac:dyDescent="0.25">
      <c r="B620" s="6"/>
      <c r="C620" s="6"/>
      <c r="D620" s="6"/>
      <c r="E620" s="6"/>
    </row>
    <row r="621" spans="2:5" x14ac:dyDescent="0.25">
      <c r="B621" s="6"/>
      <c r="C621" s="6"/>
      <c r="D621" s="6"/>
      <c r="E621" s="6"/>
    </row>
    <row r="622" spans="2:5" x14ac:dyDescent="0.25">
      <c r="B622" s="6"/>
      <c r="C622" s="6"/>
      <c r="D622" s="6"/>
      <c r="E622" s="6"/>
    </row>
    <row r="623" spans="2:5" x14ac:dyDescent="0.25">
      <c r="B623" s="6"/>
      <c r="C623" s="6"/>
      <c r="D623" s="6"/>
      <c r="E623" s="6"/>
    </row>
    <row r="624" spans="2:5" x14ac:dyDescent="0.25">
      <c r="B624" s="6"/>
      <c r="C624" s="6"/>
      <c r="D624" s="6"/>
      <c r="E624" s="6"/>
    </row>
    <row r="625" spans="2:5" x14ac:dyDescent="0.25">
      <c r="B625" s="6"/>
      <c r="C625" s="6"/>
      <c r="D625" s="6"/>
      <c r="E625" s="6"/>
    </row>
    <row r="626" spans="2:5" x14ac:dyDescent="0.25">
      <c r="B626" s="6"/>
      <c r="C626" s="6"/>
      <c r="D626" s="6"/>
      <c r="E626" s="6"/>
    </row>
    <row r="627" spans="2:5" x14ac:dyDescent="0.25">
      <c r="B627" s="6"/>
      <c r="C627" s="6"/>
      <c r="D627" s="6"/>
      <c r="E627" s="6"/>
    </row>
    <row r="628" spans="2:5" x14ac:dyDescent="0.25">
      <c r="B628" s="6"/>
      <c r="C628" s="6"/>
      <c r="D628" s="6"/>
      <c r="E628" s="6"/>
    </row>
    <row r="629" spans="2:5" x14ac:dyDescent="0.25">
      <c r="B629" s="6"/>
      <c r="C629" s="6"/>
      <c r="D629" s="6"/>
      <c r="E629" s="6"/>
    </row>
    <row r="630" spans="2:5" x14ac:dyDescent="0.25">
      <c r="B630" s="6"/>
      <c r="C630" s="6"/>
      <c r="D630" s="6"/>
      <c r="E630" s="6"/>
    </row>
    <row r="631" spans="2:5" x14ac:dyDescent="0.25">
      <c r="B631" s="6"/>
      <c r="C631" s="6"/>
      <c r="D631" s="6"/>
      <c r="E631" s="6"/>
    </row>
    <row r="632" spans="2:5" x14ac:dyDescent="0.25">
      <c r="B632" s="6"/>
      <c r="C632" s="6"/>
      <c r="D632" s="6"/>
      <c r="E632" s="6"/>
    </row>
    <row r="633" spans="2:5" x14ac:dyDescent="0.25">
      <c r="B633" s="6"/>
      <c r="C633" s="6"/>
      <c r="D633" s="6"/>
      <c r="E633" s="6"/>
    </row>
    <row r="634" spans="2:5" x14ac:dyDescent="0.25">
      <c r="B634" s="6"/>
      <c r="C634" s="6"/>
      <c r="D634" s="6"/>
      <c r="E634" s="6"/>
    </row>
    <row r="635" spans="2:5" x14ac:dyDescent="0.25">
      <c r="B635" s="6"/>
      <c r="C635" s="6"/>
      <c r="D635" s="6"/>
      <c r="E635" s="6"/>
    </row>
    <row r="636" spans="2:5" x14ac:dyDescent="0.25">
      <c r="B636" s="6"/>
      <c r="C636" s="6"/>
      <c r="D636" s="6"/>
      <c r="E636" s="6"/>
    </row>
    <row r="637" spans="2:5" x14ac:dyDescent="0.25">
      <c r="B637" s="6"/>
      <c r="C637" s="6"/>
      <c r="D637" s="6"/>
      <c r="E637" s="6"/>
    </row>
    <row r="638" spans="2:5" x14ac:dyDescent="0.25">
      <c r="B638" s="6"/>
      <c r="C638" s="6"/>
      <c r="D638" s="6"/>
      <c r="E638" s="6"/>
    </row>
    <row r="639" spans="2:5" x14ac:dyDescent="0.25">
      <c r="B639" s="6"/>
      <c r="C639" s="6"/>
      <c r="D639" s="6"/>
      <c r="E639" s="6"/>
    </row>
    <row r="640" spans="2:5" x14ac:dyDescent="0.25">
      <c r="B640" s="6"/>
      <c r="C640" s="6"/>
      <c r="D640" s="6"/>
      <c r="E640" s="6"/>
    </row>
    <row r="641" spans="2:5" x14ac:dyDescent="0.25">
      <c r="B641" s="6"/>
      <c r="C641" s="6"/>
      <c r="D641" s="6"/>
      <c r="E641" s="6"/>
    </row>
    <row r="642" spans="2:5" x14ac:dyDescent="0.25">
      <c r="B642" s="6"/>
      <c r="C642" s="6"/>
      <c r="D642" s="6"/>
      <c r="E642" s="6"/>
    </row>
    <row r="643" spans="2:5" x14ac:dyDescent="0.25">
      <c r="B643" s="6"/>
      <c r="C643" s="6"/>
      <c r="D643" s="6"/>
      <c r="E643" s="6"/>
    </row>
    <row r="644" spans="2:5" x14ac:dyDescent="0.25">
      <c r="B644" s="6"/>
      <c r="C644" s="6"/>
      <c r="D644" s="6"/>
      <c r="E644" s="6"/>
    </row>
    <row r="645" spans="2:5" x14ac:dyDescent="0.25">
      <c r="B645" s="6"/>
      <c r="C645" s="6"/>
      <c r="D645" s="6"/>
      <c r="E645" s="6"/>
    </row>
    <row r="646" spans="2:5" x14ac:dyDescent="0.25">
      <c r="B646" s="6"/>
      <c r="C646" s="6"/>
      <c r="D646" s="6"/>
      <c r="E646" s="6"/>
    </row>
    <row r="647" spans="2:5" x14ac:dyDescent="0.25">
      <c r="B647" s="6"/>
      <c r="C647" s="6"/>
      <c r="D647" s="6"/>
      <c r="E647" s="6"/>
    </row>
    <row r="648" spans="2:5" x14ac:dyDescent="0.25">
      <c r="B648" s="6"/>
      <c r="C648" s="6"/>
      <c r="D648" s="6"/>
      <c r="E648" s="6"/>
    </row>
    <row r="649" spans="2:5" x14ac:dyDescent="0.25">
      <c r="B649" s="6"/>
      <c r="C649" s="6"/>
      <c r="D649" s="6"/>
      <c r="E649" s="6"/>
    </row>
    <row r="650" spans="2:5" x14ac:dyDescent="0.25">
      <c r="B650" s="6"/>
      <c r="C650" s="6"/>
      <c r="D650" s="6"/>
      <c r="E650" s="6"/>
    </row>
    <row r="651" spans="2:5" x14ac:dyDescent="0.25">
      <c r="B651" s="6"/>
      <c r="C651" s="6"/>
      <c r="D651" s="6"/>
      <c r="E651" s="6"/>
    </row>
    <row r="652" spans="2:5" x14ac:dyDescent="0.25">
      <c r="B652" s="6"/>
      <c r="C652" s="6"/>
      <c r="D652" s="6"/>
      <c r="E652" s="6"/>
    </row>
    <row r="653" spans="2:5" x14ac:dyDescent="0.25">
      <c r="B653" s="6"/>
      <c r="C653" s="6"/>
      <c r="D653" s="6"/>
      <c r="E653" s="6"/>
    </row>
    <row r="654" spans="2:5" x14ac:dyDescent="0.25">
      <c r="B654" s="6"/>
      <c r="C654" s="6"/>
      <c r="D654" s="6"/>
      <c r="E654" s="6"/>
    </row>
    <row r="655" spans="2:5" x14ac:dyDescent="0.25">
      <c r="B655" s="6"/>
      <c r="C655" s="6"/>
      <c r="D655" s="6"/>
      <c r="E655" s="6"/>
    </row>
    <row r="656" spans="2:5" x14ac:dyDescent="0.25">
      <c r="B656" s="6"/>
      <c r="C656" s="6"/>
      <c r="D656" s="6"/>
      <c r="E656" s="6"/>
    </row>
    <row r="657" spans="2:5" x14ac:dyDescent="0.25">
      <c r="B657" s="6"/>
      <c r="C657" s="6"/>
      <c r="D657" s="6"/>
      <c r="E657" s="6"/>
    </row>
    <row r="658" spans="2:5" x14ac:dyDescent="0.25">
      <c r="B658" s="6"/>
      <c r="C658" s="6"/>
      <c r="D658" s="6"/>
      <c r="E658" s="6"/>
    </row>
    <row r="659" spans="2:5" x14ac:dyDescent="0.25">
      <c r="B659" s="6"/>
      <c r="C659" s="6"/>
      <c r="D659" s="6"/>
      <c r="E659" s="6"/>
    </row>
    <row r="660" spans="2:5" x14ac:dyDescent="0.25">
      <c r="B660" s="6"/>
      <c r="C660" s="6"/>
      <c r="D660" s="6"/>
      <c r="E660" s="6"/>
    </row>
    <row r="661" spans="2:5" x14ac:dyDescent="0.25">
      <c r="B661" s="6"/>
      <c r="C661" s="6"/>
      <c r="D661" s="6"/>
      <c r="E661" s="6"/>
    </row>
    <row r="662" spans="2:5" x14ac:dyDescent="0.25">
      <c r="B662" s="6"/>
      <c r="C662" s="6"/>
      <c r="D662" s="6"/>
      <c r="E662" s="6"/>
    </row>
    <row r="663" spans="2:5" x14ac:dyDescent="0.25">
      <c r="B663" s="6"/>
      <c r="C663" s="6"/>
      <c r="D663" s="6"/>
      <c r="E663" s="6"/>
    </row>
    <row r="664" spans="2:5" x14ac:dyDescent="0.25">
      <c r="B664" s="6"/>
      <c r="C664" s="6"/>
      <c r="D664" s="6"/>
      <c r="E664" s="6"/>
    </row>
    <row r="665" spans="2:5" x14ac:dyDescent="0.25">
      <c r="B665" s="6"/>
      <c r="C665" s="6"/>
      <c r="D665" s="6"/>
      <c r="E665" s="6"/>
    </row>
    <row r="666" spans="2:5" x14ac:dyDescent="0.25">
      <c r="B666" s="6"/>
      <c r="C666" s="6"/>
      <c r="D666" s="6"/>
      <c r="E666" s="6"/>
    </row>
    <row r="667" spans="2:5" x14ac:dyDescent="0.25">
      <c r="B667" s="6"/>
      <c r="C667" s="6"/>
      <c r="D667" s="6"/>
      <c r="E667" s="6"/>
    </row>
    <row r="668" spans="2:5" x14ac:dyDescent="0.25">
      <c r="B668" s="6"/>
      <c r="C668" s="6"/>
      <c r="D668" s="6"/>
      <c r="E668" s="6"/>
    </row>
    <row r="669" spans="2:5" x14ac:dyDescent="0.25">
      <c r="B669" s="6"/>
      <c r="C669" s="6"/>
      <c r="D669" s="6"/>
      <c r="E669" s="6"/>
    </row>
    <row r="670" spans="2:5" x14ac:dyDescent="0.25">
      <c r="B670" s="6"/>
      <c r="C670" s="6"/>
      <c r="D670" s="6"/>
      <c r="E670" s="6"/>
    </row>
    <row r="671" spans="2:5" x14ac:dyDescent="0.25">
      <c r="B671" s="6"/>
      <c r="C671" s="6"/>
      <c r="D671" s="6"/>
      <c r="E671" s="6"/>
    </row>
    <row r="672" spans="2:5" x14ac:dyDescent="0.25">
      <c r="B672" s="6"/>
      <c r="C672" s="6"/>
      <c r="D672" s="6"/>
      <c r="E672" s="6"/>
    </row>
    <row r="673" spans="2:5" x14ac:dyDescent="0.25">
      <c r="B673" s="6"/>
      <c r="C673" s="6"/>
      <c r="D673" s="6"/>
      <c r="E673" s="6"/>
    </row>
    <row r="674" spans="2:5" x14ac:dyDescent="0.25">
      <c r="B674" s="6"/>
      <c r="C674" s="6"/>
      <c r="D674" s="6"/>
      <c r="E674" s="6"/>
    </row>
    <row r="675" spans="2:5" x14ac:dyDescent="0.25">
      <c r="B675" s="6"/>
      <c r="C675" s="6"/>
      <c r="D675" s="6"/>
      <c r="E675" s="6"/>
    </row>
    <row r="676" spans="2:5" x14ac:dyDescent="0.25">
      <c r="B676" s="6"/>
      <c r="C676" s="6"/>
      <c r="D676" s="6"/>
      <c r="E676" s="6"/>
    </row>
    <row r="677" spans="2:5" x14ac:dyDescent="0.25">
      <c r="B677" s="6"/>
      <c r="C677" s="6"/>
      <c r="D677" s="6"/>
      <c r="E677" s="6"/>
    </row>
    <row r="678" spans="2:5" x14ac:dyDescent="0.25">
      <c r="B678" s="6"/>
      <c r="C678" s="6"/>
      <c r="D678" s="6"/>
      <c r="E678" s="6"/>
    </row>
    <row r="679" spans="2:5" x14ac:dyDescent="0.25">
      <c r="B679" s="6"/>
      <c r="C679" s="6"/>
      <c r="D679" s="6"/>
      <c r="E679" s="6"/>
    </row>
    <row r="680" spans="2:5" x14ac:dyDescent="0.25">
      <c r="B680" s="6"/>
      <c r="C680" s="6"/>
      <c r="D680" s="6"/>
      <c r="E680" s="6"/>
    </row>
    <row r="681" spans="2:5" x14ac:dyDescent="0.25">
      <c r="B681" s="6"/>
      <c r="C681" s="6"/>
      <c r="D681" s="6"/>
      <c r="E681" s="6"/>
    </row>
    <row r="682" spans="2:5" x14ac:dyDescent="0.25">
      <c r="B682" s="6"/>
      <c r="C682" s="6"/>
      <c r="D682" s="6"/>
      <c r="E682" s="6"/>
    </row>
    <row r="683" spans="2:5" x14ac:dyDescent="0.25">
      <c r="B683" s="6"/>
      <c r="C683" s="6"/>
      <c r="D683" s="6"/>
      <c r="E683" s="6"/>
    </row>
    <row r="684" spans="2:5" x14ac:dyDescent="0.25">
      <c r="B684" s="6"/>
      <c r="C684" s="6"/>
      <c r="D684" s="6"/>
      <c r="E684" s="6"/>
    </row>
    <row r="685" spans="2:5" x14ac:dyDescent="0.25">
      <c r="B685" s="6"/>
      <c r="C685" s="6"/>
      <c r="D685" s="6"/>
      <c r="E685" s="6"/>
    </row>
    <row r="686" spans="2:5" x14ac:dyDescent="0.25">
      <c r="B686" s="6"/>
      <c r="C686" s="6"/>
      <c r="D686" s="6"/>
      <c r="E686" s="6"/>
    </row>
    <row r="687" spans="2:5" x14ac:dyDescent="0.25">
      <c r="B687" s="6"/>
      <c r="C687" s="6"/>
      <c r="D687" s="6"/>
      <c r="E687" s="6"/>
    </row>
    <row r="688" spans="2:5" x14ac:dyDescent="0.25">
      <c r="B688" s="6"/>
      <c r="C688" s="6"/>
      <c r="D688" s="6"/>
      <c r="E688" s="6"/>
    </row>
    <row r="689" spans="2:5" x14ac:dyDescent="0.25">
      <c r="B689" s="6"/>
      <c r="C689" s="6"/>
      <c r="D689" s="6"/>
      <c r="E689" s="6"/>
    </row>
    <row r="690" spans="2:5" x14ac:dyDescent="0.25">
      <c r="B690" s="6"/>
      <c r="C690" s="6"/>
      <c r="D690" s="6"/>
      <c r="E690" s="6"/>
    </row>
    <row r="691" spans="2:5" x14ac:dyDescent="0.25">
      <c r="B691" s="6"/>
      <c r="C691" s="6"/>
      <c r="D691" s="6"/>
      <c r="E691" s="6"/>
    </row>
    <row r="692" spans="2:5" x14ac:dyDescent="0.25">
      <c r="B692" s="6"/>
      <c r="C692" s="6"/>
      <c r="D692" s="6"/>
      <c r="E692" s="6"/>
    </row>
    <row r="693" spans="2:5" x14ac:dyDescent="0.25">
      <c r="B693" s="6"/>
      <c r="C693" s="6"/>
      <c r="D693" s="6"/>
      <c r="E693" s="6"/>
    </row>
    <row r="694" spans="2:5" x14ac:dyDescent="0.25">
      <c r="B694" s="6"/>
      <c r="C694" s="6"/>
      <c r="D694" s="6"/>
      <c r="E694" s="6"/>
    </row>
    <row r="695" spans="2:5" x14ac:dyDescent="0.25">
      <c r="B695" s="6"/>
      <c r="C695" s="6"/>
      <c r="D695" s="6"/>
      <c r="E695" s="6"/>
    </row>
    <row r="696" spans="2:5" x14ac:dyDescent="0.25">
      <c r="B696" s="6"/>
      <c r="C696" s="6"/>
      <c r="D696" s="6"/>
      <c r="E696" s="6"/>
    </row>
    <row r="697" spans="2:5" x14ac:dyDescent="0.25">
      <c r="B697" s="6"/>
      <c r="C697" s="6"/>
      <c r="D697" s="6"/>
      <c r="E697" s="6"/>
    </row>
    <row r="698" spans="2:5" x14ac:dyDescent="0.25">
      <c r="B698" s="6"/>
      <c r="C698" s="6"/>
      <c r="D698" s="6"/>
      <c r="E698" s="6"/>
    </row>
    <row r="699" spans="2:5" x14ac:dyDescent="0.25">
      <c r="B699" s="6"/>
      <c r="C699" s="6"/>
      <c r="D699" s="6"/>
      <c r="E699" s="6"/>
    </row>
    <row r="700" spans="2:5" x14ac:dyDescent="0.25">
      <c r="B700" s="6"/>
      <c r="C700" s="6"/>
      <c r="D700" s="6"/>
      <c r="E700" s="6"/>
    </row>
    <row r="701" spans="2:5" x14ac:dyDescent="0.25">
      <c r="B701" s="6"/>
      <c r="C701" s="6"/>
      <c r="D701" s="6"/>
      <c r="E701" s="6"/>
    </row>
    <row r="702" spans="2:5" x14ac:dyDescent="0.25">
      <c r="B702" s="6"/>
      <c r="C702" s="6"/>
      <c r="D702" s="6"/>
      <c r="E702" s="6"/>
    </row>
    <row r="703" spans="2:5" x14ac:dyDescent="0.25">
      <c r="B703" s="6"/>
      <c r="C703" s="6"/>
      <c r="D703" s="6"/>
      <c r="E703" s="6"/>
    </row>
    <row r="704" spans="2:5" x14ac:dyDescent="0.25">
      <c r="B704" s="6"/>
      <c r="C704" s="6"/>
      <c r="D704" s="6"/>
      <c r="E704" s="6"/>
    </row>
    <row r="705" spans="2:5" x14ac:dyDescent="0.25">
      <c r="B705" s="6"/>
      <c r="C705" s="6"/>
      <c r="D705" s="6"/>
      <c r="E705" s="6"/>
    </row>
    <row r="706" spans="2:5" x14ac:dyDescent="0.25">
      <c r="B706" s="6"/>
      <c r="C706" s="6"/>
      <c r="D706" s="6"/>
      <c r="E706" s="6"/>
    </row>
    <row r="707" spans="2:5" x14ac:dyDescent="0.25">
      <c r="B707" s="6"/>
      <c r="C707" s="6"/>
      <c r="D707" s="6"/>
      <c r="E707" s="6"/>
    </row>
    <row r="708" spans="2:5" x14ac:dyDescent="0.25">
      <c r="B708" s="6"/>
      <c r="C708" s="6"/>
      <c r="D708" s="6"/>
      <c r="E708" s="6"/>
    </row>
    <row r="709" spans="2:5" x14ac:dyDescent="0.25">
      <c r="B709" s="6"/>
      <c r="C709" s="6"/>
      <c r="D709" s="6"/>
      <c r="E709" s="6"/>
    </row>
    <row r="710" spans="2:5" x14ac:dyDescent="0.25">
      <c r="B710" s="6"/>
      <c r="C710" s="6"/>
      <c r="D710" s="6"/>
      <c r="E710" s="6"/>
    </row>
    <row r="711" spans="2:5" x14ac:dyDescent="0.25">
      <c r="B711" s="6"/>
      <c r="C711" s="6"/>
      <c r="D711" s="6"/>
      <c r="E711" s="6"/>
    </row>
    <row r="712" spans="2:5" x14ac:dyDescent="0.25">
      <c r="B712" s="6"/>
      <c r="C712" s="6"/>
      <c r="D712" s="6"/>
      <c r="E712" s="6"/>
    </row>
    <row r="713" spans="2:5" x14ac:dyDescent="0.25">
      <c r="B713" s="6"/>
      <c r="C713" s="6"/>
      <c r="D713" s="6"/>
      <c r="E713" s="6"/>
    </row>
    <row r="714" spans="2:5" x14ac:dyDescent="0.25">
      <c r="B714" s="6"/>
      <c r="C714" s="6"/>
      <c r="D714" s="6"/>
      <c r="E714" s="6"/>
    </row>
    <row r="715" spans="2:5" x14ac:dyDescent="0.25">
      <c r="B715" s="6"/>
      <c r="C715" s="6"/>
      <c r="D715" s="6"/>
      <c r="E715" s="6"/>
    </row>
    <row r="716" spans="2:5" x14ac:dyDescent="0.25">
      <c r="B716" s="6"/>
      <c r="C716" s="6"/>
      <c r="D716" s="6"/>
      <c r="E716" s="6"/>
    </row>
    <row r="717" spans="2:5" x14ac:dyDescent="0.25">
      <c r="B717" s="6"/>
      <c r="C717" s="6"/>
      <c r="D717" s="6"/>
      <c r="E717" s="6"/>
    </row>
    <row r="718" spans="2:5" x14ac:dyDescent="0.25">
      <c r="B718" s="6"/>
      <c r="C718" s="6"/>
      <c r="D718" s="6"/>
      <c r="E718" s="6"/>
    </row>
    <row r="719" spans="2:5" x14ac:dyDescent="0.25">
      <c r="B719" s="6"/>
      <c r="C719" s="6"/>
      <c r="D719" s="6"/>
      <c r="E719" s="6"/>
    </row>
    <row r="720" spans="2:5" x14ac:dyDescent="0.25">
      <c r="B720" s="6"/>
      <c r="C720" s="6"/>
      <c r="D720" s="6"/>
      <c r="E720" s="6"/>
    </row>
    <row r="721" spans="2:5" x14ac:dyDescent="0.25">
      <c r="B721" s="6"/>
      <c r="C721" s="6"/>
      <c r="D721" s="6"/>
      <c r="E721" s="6"/>
    </row>
    <row r="722" spans="2:5" x14ac:dyDescent="0.25">
      <c r="B722" s="6"/>
      <c r="C722" s="6"/>
      <c r="D722" s="6"/>
      <c r="E722" s="6"/>
    </row>
    <row r="723" spans="2:5" x14ac:dyDescent="0.25">
      <c r="B723" s="6"/>
      <c r="C723" s="6"/>
      <c r="D723" s="6"/>
      <c r="E723" s="6"/>
    </row>
    <row r="724" spans="2:5" x14ac:dyDescent="0.25">
      <c r="B724" s="6"/>
      <c r="C724" s="6"/>
      <c r="D724" s="6"/>
      <c r="E724" s="6"/>
    </row>
    <row r="725" spans="2:5" x14ac:dyDescent="0.25">
      <c r="B725" s="6"/>
      <c r="C725" s="6"/>
      <c r="D725" s="6"/>
      <c r="E725" s="6"/>
    </row>
    <row r="726" spans="2:5" x14ac:dyDescent="0.25">
      <c r="B726" s="6"/>
      <c r="C726" s="6"/>
      <c r="D726" s="6"/>
      <c r="E726" s="6"/>
    </row>
    <row r="727" spans="2:5" x14ac:dyDescent="0.25">
      <c r="B727" s="6"/>
      <c r="C727" s="6"/>
      <c r="D727" s="6"/>
      <c r="E727" s="6"/>
    </row>
    <row r="728" spans="2:5" x14ac:dyDescent="0.25">
      <c r="B728" s="6"/>
      <c r="C728" s="6"/>
      <c r="D728" s="6"/>
      <c r="E728" s="6"/>
    </row>
    <row r="729" spans="2:5" x14ac:dyDescent="0.25">
      <c r="B729" s="6"/>
      <c r="C729" s="6"/>
      <c r="D729" s="6"/>
      <c r="E729" s="6"/>
    </row>
    <row r="730" spans="2:5" x14ac:dyDescent="0.25">
      <c r="B730" s="6"/>
      <c r="C730" s="6"/>
      <c r="D730" s="6"/>
      <c r="E730" s="6"/>
    </row>
    <row r="731" spans="2:5" x14ac:dyDescent="0.25">
      <c r="B731" s="6"/>
      <c r="C731" s="6"/>
      <c r="D731" s="6"/>
      <c r="E731" s="6"/>
    </row>
    <row r="732" spans="2:5" x14ac:dyDescent="0.25">
      <c r="B732" s="6"/>
      <c r="C732" s="6"/>
      <c r="D732" s="6"/>
      <c r="E732" s="6"/>
    </row>
    <row r="733" spans="2:5" x14ac:dyDescent="0.25">
      <c r="B733" s="6"/>
      <c r="C733" s="6"/>
      <c r="D733" s="6"/>
      <c r="E733" s="6"/>
    </row>
    <row r="734" spans="2:5" x14ac:dyDescent="0.25">
      <c r="B734" s="6"/>
      <c r="C734" s="6"/>
      <c r="D734" s="6"/>
      <c r="E734" s="6"/>
    </row>
    <row r="735" spans="2:5" x14ac:dyDescent="0.25">
      <c r="B735" s="6"/>
      <c r="C735" s="6"/>
      <c r="D735" s="6"/>
      <c r="E735" s="6"/>
    </row>
    <row r="736" spans="2:5" x14ac:dyDescent="0.25">
      <c r="B736" s="6"/>
      <c r="C736" s="6"/>
      <c r="D736" s="6"/>
      <c r="E736" s="6"/>
    </row>
    <row r="737" spans="2:5" x14ac:dyDescent="0.25">
      <c r="B737" s="6"/>
      <c r="C737" s="6"/>
      <c r="D737" s="6"/>
      <c r="E737" s="6"/>
    </row>
    <row r="738" spans="2:5" x14ac:dyDescent="0.25">
      <c r="B738" s="6"/>
      <c r="C738" s="6"/>
      <c r="D738" s="6"/>
      <c r="E738" s="6"/>
    </row>
    <row r="739" spans="2:5" x14ac:dyDescent="0.25">
      <c r="B739" s="6"/>
      <c r="C739" s="6"/>
      <c r="D739" s="6"/>
      <c r="E739" s="6"/>
    </row>
    <row r="740" spans="2:5" x14ac:dyDescent="0.25">
      <c r="B740" s="6"/>
      <c r="C740" s="6"/>
      <c r="D740" s="6"/>
      <c r="E740" s="6"/>
    </row>
    <row r="741" spans="2:5" x14ac:dyDescent="0.25">
      <c r="B741" s="6"/>
      <c r="C741" s="6"/>
      <c r="D741" s="6"/>
      <c r="E741" s="6"/>
    </row>
    <row r="742" spans="2:5" x14ac:dyDescent="0.25">
      <c r="B742" s="6"/>
      <c r="C742" s="6"/>
      <c r="D742" s="6"/>
      <c r="E742" s="6"/>
    </row>
    <row r="743" spans="2:5" x14ac:dyDescent="0.25">
      <c r="B743" s="6"/>
      <c r="C743" s="6"/>
      <c r="D743" s="6"/>
      <c r="E743" s="6"/>
    </row>
    <row r="744" spans="2:5" x14ac:dyDescent="0.25">
      <c r="B744" s="6"/>
      <c r="C744" s="6"/>
      <c r="D744" s="6"/>
      <c r="E744" s="6"/>
    </row>
    <row r="745" spans="2:5" x14ac:dyDescent="0.25">
      <c r="B745" s="6"/>
      <c r="C745" s="6"/>
      <c r="D745" s="6"/>
      <c r="E745" s="6"/>
    </row>
    <row r="746" spans="2:5" x14ac:dyDescent="0.25">
      <c r="B746" s="6"/>
      <c r="C746" s="6"/>
      <c r="D746" s="6"/>
      <c r="E746" s="6"/>
    </row>
    <row r="747" spans="2:5" x14ac:dyDescent="0.25">
      <c r="B747" s="6"/>
      <c r="C747" s="6"/>
      <c r="D747" s="6"/>
      <c r="E747" s="6"/>
    </row>
    <row r="748" spans="2:5" x14ac:dyDescent="0.25">
      <c r="B748" s="6"/>
      <c r="C748" s="6"/>
      <c r="D748" s="6"/>
      <c r="E748" s="6"/>
    </row>
    <row r="749" spans="2:5" x14ac:dyDescent="0.25">
      <c r="B749" s="6"/>
      <c r="C749" s="6"/>
      <c r="D749" s="6"/>
      <c r="E749" s="6"/>
    </row>
    <row r="750" spans="2:5" x14ac:dyDescent="0.25">
      <c r="B750" s="6"/>
      <c r="C750" s="6"/>
      <c r="D750" s="6"/>
      <c r="E750" s="6"/>
    </row>
    <row r="751" spans="2:5" x14ac:dyDescent="0.25">
      <c r="B751" s="6"/>
      <c r="C751" s="6"/>
      <c r="D751" s="6"/>
      <c r="E751" s="6"/>
    </row>
    <row r="752" spans="2:5" x14ac:dyDescent="0.25">
      <c r="B752" s="6"/>
      <c r="C752" s="6"/>
      <c r="D752" s="6"/>
      <c r="E752" s="6"/>
    </row>
    <row r="753" spans="2:5" x14ac:dyDescent="0.25">
      <c r="B753" s="6"/>
      <c r="C753" s="6"/>
      <c r="D753" s="6"/>
      <c r="E753" s="6"/>
    </row>
    <row r="754" spans="2:5" x14ac:dyDescent="0.25">
      <c r="B754" s="6"/>
      <c r="C754" s="6"/>
      <c r="D754" s="6"/>
      <c r="E754" s="6"/>
    </row>
    <row r="755" spans="2:5" x14ac:dyDescent="0.25">
      <c r="B755" s="6"/>
      <c r="C755" s="6"/>
      <c r="D755" s="6"/>
      <c r="E755" s="6"/>
    </row>
    <row r="756" spans="2:5" x14ac:dyDescent="0.25">
      <c r="B756" s="6"/>
      <c r="C756" s="6"/>
      <c r="D756" s="6"/>
      <c r="E756" s="6"/>
    </row>
    <row r="757" spans="2:5" x14ac:dyDescent="0.25">
      <c r="B757" s="6"/>
      <c r="C757" s="6"/>
      <c r="D757" s="6"/>
      <c r="E757" s="6"/>
    </row>
    <row r="758" spans="2:5" x14ac:dyDescent="0.25">
      <c r="B758" s="6"/>
      <c r="C758" s="6"/>
      <c r="D758" s="6"/>
      <c r="E758" s="6"/>
    </row>
    <row r="759" spans="2:5" x14ac:dyDescent="0.25">
      <c r="B759" s="6"/>
      <c r="C759" s="6"/>
      <c r="D759" s="6"/>
      <c r="E759" s="6"/>
    </row>
    <row r="760" spans="2:5" x14ac:dyDescent="0.25">
      <c r="B760" s="6"/>
      <c r="C760" s="6"/>
      <c r="D760" s="6"/>
      <c r="E760" s="6"/>
    </row>
    <row r="761" spans="2:5" x14ac:dyDescent="0.25">
      <c r="B761" s="6"/>
      <c r="C761" s="6"/>
      <c r="D761" s="6"/>
      <c r="E761" s="6"/>
    </row>
    <row r="762" spans="2:5" x14ac:dyDescent="0.25">
      <c r="B762" s="6"/>
      <c r="C762" s="6"/>
      <c r="D762" s="6"/>
      <c r="E762" s="6"/>
    </row>
    <row r="763" spans="2:5" x14ac:dyDescent="0.25">
      <c r="B763" s="6"/>
      <c r="C763" s="6"/>
      <c r="D763" s="6"/>
      <c r="E763" s="6"/>
    </row>
    <row r="764" spans="2:5" x14ac:dyDescent="0.25">
      <c r="B764" s="6"/>
      <c r="C764" s="6"/>
      <c r="D764" s="6"/>
      <c r="E764" s="6"/>
    </row>
    <row r="765" spans="2:5" x14ac:dyDescent="0.25">
      <c r="B765" s="6"/>
      <c r="C765" s="6"/>
      <c r="D765" s="6"/>
      <c r="E765" s="6"/>
    </row>
    <row r="766" spans="2:5" x14ac:dyDescent="0.25">
      <c r="B766" s="6"/>
      <c r="C766" s="6"/>
      <c r="D766" s="6"/>
      <c r="E766" s="6"/>
    </row>
    <row r="767" spans="2:5" x14ac:dyDescent="0.25">
      <c r="B767" s="6"/>
      <c r="C767" s="6"/>
      <c r="D767" s="6"/>
      <c r="E767" s="6"/>
    </row>
    <row r="768" spans="2:5" x14ac:dyDescent="0.25">
      <c r="B768" s="6"/>
      <c r="C768" s="6"/>
      <c r="D768" s="6"/>
      <c r="E768" s="6"/>
    </row>
    <row r="769" spans="2:5" x14ac:dyDescent="0.25">
      <c r="B769" s="6"/>
      <c r="C769" s="6"/>
      <c r="D769" s="6"/>
      <c r="E769" s="6"/>
    </row>
    <row r="770" spans="2:5" x14ac:dyDescent="0.25">
      <c r="B770" s="6"/>
      <c r="C770" s="6"/>
      <c r="D770" s="6"/>
      <c r="E770" s="6"/>
    </row>
    <row r="771" spans="2:5" x14ac:dyDescent="0.25">
      <c r="B771" s="6"/>
      <c r="C771" s="6"/>
      <c r="D771" s="6"/>
      <c r="E771" s="6"/>
    </row>
    <row r="772" spans="2:5" x14ac:dyDescent="0.25">
      <c r="B772" s="6"/>
      <c r="C772" s="6"/>
      <c r="D772" s="6"/>
      <c r="E772" s="6"/>
    </row>
    <row r="773" spans="2:5" x14ac:dyDescent="0.25">
      <c r="B773" s="6"/>
      <c r="C773" s="6"/>
      <c r="D773" s="6"/>
      <c r="E773" s="6"/>
    </row>
    <row r="774" spans="2:5" x14ac:dyDescent="0.25">
      <c r="B774" s="6"/>
      <c r="C774" s="6"/>
      <c r="D774" s="6"/>
      <c r="E774" s="6"/>
    </row>
    <row r="775" spans="2:5" x14ac:dyDescent="0.25">
      <c r="B775" s="6"/>
      <c r="C775" s="6"/>
      <c r="D775" s="6"/>
      <c r="E775" s="6"/>
    </row>
    <row r="776" spans="2:5" x14ac:dyDescent="0.25">
      <c r="B776" s="6"/>
      <c r="C776" s="6"/>
      <c r="D776" s="6"/>
      <c r="E776" s="6"/>
    </row>
    <row r="777" spans="2:5" x14ac:dyDescent="0.25">
      <c r="B777" s="6"/>
      <c r="C777" s="6"/>
      <c r="D777" s="6"/>
      <c r="E777" s="6"/>
    </row>
    <row r="778" spans="2:5" x14ac:dyDescent="0.25">
      <c r="B778" s="6"/>
      <c r="C778" s="6"/>
      <c r="D778" s="6"/>
      <c r="E778" s="6"/>
    </row>
    <row r="779" spans="2:5" x14ac:dyDescent="0.25">
      <c r="B779" s="6"/>
      <c r="C779" s="6"/>
      <c r="D779" s="6"/>
      <c r="E779" s="6"/>
    </row>
    <row r="780" spans="2:5" x14ac:dyDescent="0.25">
      <c r="B780" s="6"/>
      <c r="C780" s="6"/>
      <c r="D780" s="6"/>
      <c r="E780" s="6"/>
    </row>
    <row r="781" spans="2:5" x14ac:dyDescent="0.25">
      <c r="B781" s="6"/>
      <c r="C781" s="6"/>
      <c r="D781" s="6"/>
      <c r="E781" s="6"/>
    </row>
    <row r="782" spans="2:5" x14ac:dyDescent="0.25">
      <c r="B782" s="6"/>
      <c r="C782" s="6"/>
      <c r="D782" s="6"/>
      <c r="E782" s="6"/>
    </row>
    <row r="783" spans="2:5" x14ac:dyDescent="0.25">
      <c r="B783" s="6"/>
      <c r="C783" s="6"/>
      <c r="D783" s="6"/>
      <c r="E783" s="6"/>
    </row>
    <row r="784" spans="2:5" x14ac:dyDescent="0.25">
      <c r="B784" s="6"/>
      <c r="C784" s="6"/>
      <c r="D784" s="6"/>
      <c r="E784" s="6"/>
    </row>
    <row r="785" spans="2:5" x14ac:dyDescent="0.25">
      <c r="B785" s="6"/>
      <c r="C785" s="6"/>
      <c r="D785" s="6"/>
      <c r="E785" s="6"/>
    </row>
    <row r="786" spans="2:5" x14ac:dyDescent="0.25">
      <c r="B786" s="6"/>
      <c r="C786" s="6"/>
      <c r="D786" s="6"/>
      <c r="E786" s="6"/>
    </row>
    <row r="787" spans="2:5" x14ac:dyDescent="0.25">
      <c r="B787" s="6"/>
      <c r="C787" s="6"/>
      <c r="D787" s="6"/>
      <c r="E787" s="6"/>
    </row>
    <row r="788" spans="2:5" x14ac:dyDescent="0.25">
      <c r="B788" s="6"/>
      <c r="C788" s="6"/>
      <c r="D788" s="6"/>
      <c r="E788" s="6"/>
    </row>
    <row r="789" spans="2:5" x14ac:dyDescent="0.25">
      <c r="B789" s="6"/>
      <c r="C789" s="6"/>
      <c r="D789" s="6"/>
      <c r="E789" s="6"/>
    </row>
    <row r="790" spans="2:5" x14ac:dyDescent="0.25">
      <c r="B790" s="6"/>
      <c r="C790" s="6"/>
      <c r="D790" s="6"/>
      <c r="E790" s="6"/>
    </row>
    <row r="791" spans="2:5" x14ac:dyDescent="0.25">
      <c r="B791" s="6"/>
      <c r="C791" s="6"/>
      <c r="D791" s="6"/>
      <c r="E791" s="6"/>
    </row>
    <row r="792" spans="2:5" x14ac:dyDescent="0.25">
      <c r="B792" s="6"/>
      <c r="C792" s="6"/>
      <c r="D792" s="6"/>
      <c r="E792" s="6"/>
    </row>
    <row r="793" spans="2:5" x14ac:dyDescent="0.25">
      <c r="B793" s="6"/>
      <c r="C793" s="6"/>
      <c r="D793" s="6"/>
      <c r="E793" s="6"/>
    </row>
    <row r="794" spans="2:5" x14ac:dyDescent="0.25">
      <c r="B794" s="6"/>
      <c r="C794" s="6"/>
      <c r="D794" s="6"/>
      <c r="E794" s="6"/>
    </row>
    <row r="795" spans="2:5" x14ac:dyDescent="0.25">
      <c r="B795" s="6"/>
      <c r="C795" s="6"/>
      <c r="D795" s="6"/>
      <c r="E795" s="6"/>
    </row>
    <row r="796" spans="2:5" x14ac:dyDescent="0.25">
      <c r="B796" s="6"/>
      <c r="C796" s="6"/>
      <c r="D796" s="6"/>
      <c r="E796" s="6"/>
    </row>
    <row r="797" spans="2:5" x14ac:dyDescent="0.25">
      <c r="B797" s="6"/>
      <c r="C797" s="6"/>
      <c r="D797" s="6"/>
      <c r="E797" s="6"/>
    </row>
    <row r="798" spans="2:5" x14ac:dyDescent="0.25">
      <c r="B798" s="6"/>
      <c r="C798" s="6"/>
      <c r="D798" s="6"/>
      <c r="E798" s="6"/>
    </row>
    <row r="799" spans="2:5" x14ac:dyDescent="0.25">
      <c r="B799" s="6"/>
      <c r="C799" s="6"/>
      <c r="D799" s="6"/>
      <c r="E799" s="6"/>
    </row>
    <row r="800" spans="2:5" x14ac:dyDescent="0.25">
      <c r="B800" s="6"/>
      <c r="C800" s="6"/>
      <c r="D800" s="6"/>
      <c r="E800" s="6"/>
    </row>
    <row r="801" spans="2:5" x14ac:dyDescent="0.25">
      <c r="B801" s="6"/>
      <c r="C801" s="6"/>
      <c r="D801" s="6"/>
      <c r="E801" s="6"/>
    </row>
    <row r="802" spans="2:5" x14ac:dyDescent="0.25">
      <c r="B802" s="6"/>
      <c r="C802" s="6"/>
      <c r="D802" s="6"/>
      <c r="E802" s="6"/>
    </row>
    <row r="803" spans="2:5" x14ac:dyDescent="0.25">
      <c r="B803" s="6"/>
      <c r="C803" s="6"/>
      <c r="D803" s="6"/>
      <c r="E803" s="6"/>
    </row>
    <row r="804" spans="2:5" x14ac:dyDescent="0.25">
      <c r="B804" s="6"/>
      <c r="C804" s="6"/>
      <c r="D804" s="6"/>
      <c r="E804" s="6"/>
    </row>
    <row r="805" spans="2:5" x14ac:dyDescent="0.25">
      <c r="B805" s="6"/>
      <c r="C805" s="6"/>
      <c r="D805" s="6"/>
      <c r="E805" s="6"/>
    </row>
    <row r="806" spans="2:5" x14ac:dyDescent="0.25">
      <c r="B806" s="6"/>
      <c r="C806" s="6"/>
      <c r="D806" s="6"/>
      <c r="E806" s="6"/>
    </row>
    <row r="807" spans="2:5" x14ac:dyDescent="0.25">
      <c r="B807" s="6"/>
      <c r="C807" s="6"/>
      <c r="D807" s="6"/>
      <c r="E807" s="6"/>
    </row>
    <row r="808" spans="2:5" x14ac:dyDescent="0.25">
      <c r="B808" s="6"/>
      <c r="C808" s="6"/>
      <c r="D808" s="6"/>
      <c r="E808" s="6"/>
    </row>
    <row r="809" spans="2:5" x14ac:dyDescent="0.25">
      <c r="B809" s="6"/>
      <c r="C809" s="6"/>
      <c r="D809" s="6"/>
      <c r="E809" s="6"/>
    </row>
    <row r="810" spans="2:5" x14ac:dyDescent="0.25">
      <c r="B810" s="6"/>
      <c r="C810" s="6"/>
      <c r="D810" s="6"/>
      <c r="E810" s="6"/>
    </row>
    <row r="811" spans="2:5" x14ac:dyDescent="0.25">
      <c r="B811" s="6"/>
      <c r="C811" s="6"/>
      <c r="D811" s="6"/>
      <c r="E811" s="6"/>
    </row>
    <row r="812" spans="2:5" x14ac:dyDescent="0.25">
      <c r="B812" s="6"/>
      <c r="C812" s="6"/>
      <c r="D812" s="6"/>
      <c r="E812" s="6"/>
    </row>
    <row r="813" spans="2:5" x14ac:dyDescent="0.25">
      <c r="B813" s="6"/>
      <c r="C813" s="6"/>
      <c r="D813" s="6"/>
      <c r="E813" s="6"/>
    </row>
    <row r="814" spans="2:5" x14ac:dyDescent="0.25">
      <c r="B814" s="6"/>
      <c r="C814" s="6"/>
      <c r="D814" s="6"/>
      <c r="E814" s="6"/>
    </row>
    <row r="815" spans="2:5" x14ac:dyDescent="0.25">
      <c r="B815" s="6"/>
      <c r="C815" s="6"/>
      <c r="D815" s="6"/>
      <c r="E815" s="6"/>
    </row>
    <row r="816" spans="2:5" x14ac:dyDescent="0.25">
      <c r="B816" s="6"/>
      <c r="C816" s="6"/>
      <c r="D816" s="6"/>
      <c r="E816" s="6"/>
    </row>
    <row r="817" spans="2:5" x14ac:dyDescent="0.25">
      <c r="B817" s="6"/>
      <c r="C817" s="6"/>
      <c r="D817" s="6"/>
      <c r="E817" s="6"/>
    </row>
    <row r="818" spans="2:5" x14ac:dyDescent="0.25">
      <c r="B818" s="6"/>
      <c r="C818" s="6"/>
      <c r="D818" s="6"/>
      <c r="E818" s="6"/>
    </row>
    <row r="819" spans="2:5" x14ac:dyDescent="0.25">
      <c r="B819" s="6"/>
      <c r="C819" s="6"/>
      <c r="D819" s="6"/>
      <c r="E819" s="6"/>
    </row>
    <row r="820" spans="2:5" x14ac:dyDescent="0.25">
      <c r="B820" s="6"/>
      <c r="C820" s="6"/>
      <c r="D820" s="6"/>
      <c r="E820" s="6"/>
    </row>
    <row r="821" spans="2:5" x14ac:dyDescent="0.25">
      <c r="B821" s="6"/>
      <c r="C821" s="6"/>
      <c r="D821" s="6"/>
      <c r="E821" s="6"/>
    </row>
    <row r="822" spans="2:5" x14ac:dyDescent="0.25">
      <c r="B822" s="6"/>
      <c r="C822" s="6"/>
      <c r="D822" s="6"/>
      <c r="E822" s="6"/>
    </row>
    <row r="823" spans="2:5" x14ac:dyDescent="0.25">
      <c r="B823" s="6"/>
      <c r="C823" s="6"/>
      <c r="D823" s="6"/>
      <c r="E823" s="6"/>
    </row>
    <row r="824" spans="2:5" x14ac:dyDescent="0.25">
      <c r="B824" s="6"/>
      <c r="C824" s="6"/>
      <c r="D824" s="6"/>
      <c r="E824" s="6"/>
    </row>
    <row r="825" spans="2:5" x14ac:dyDescent="0.25">
      <c r="B825" s="6"/>
      <c r="C825" s="6"/>
      <c r="D825" s="6"/>
      <c r="E825" s="6"/>
    </row>
    <row r="826" spans="2:5" x14ac:dyDescent="0.25">
      <c r="B826" s="6"/>
      <c r="C826" s="6"/>
      <c r="D826" s="6"/>
      <c r="E826" s="6"/>
    </row>
    <row r="827" spans="2:5" x14ac:dyDescent="0.25">
      <c r="B827" s="6"/>
      <c r="C827" s="6"/>
      <c r="D827" s="6"/>
      <c r="E827" s="6"/>
    </row>
    <row r="828" spans="2:5" x14ac:dyDescent="0.25">
      <c r="B828" s="6"/>
      <c r="C828" s="6"/>
      <c r="D828" s="6"/>
      <c r="E828" s="6"/>
    </row>
    <row r="829" spans="2:5" x14ac:dyDescent="0.25">
      <c r="B829" s="6"/>
      <c r="C829" s="6"/>
      <c r="D829" s="6"/>
      <c r="E829" s="6"/>
    </row>
    <row r="830" spans="2:5" x14ac:dyDescent="0.25">
      <c r="B830" s="6"/>
      <c r="C830" s="6"/>
      <c r="D830" s="6"/>
      <c r="E830" s="6"/>
    </row>
    <row r="831" spans="2:5" x14ac:dyDescent="0.25">
      <c r="B831" s="6"/>
      <c r="C831" s="6"/>
      <c r="D831" s="6"/>
      <c r="E831" s="6"/>
    </row>
    <row r="832" spans="2:5" x14ac:dyDescent="0.25">
      <c r="B832" s="6"/>
      <c r="C832" s="6"/>
      <c r="D832" s="6"/>
      <c r="E832" s="6"/>
    </row>
    <row r="833" spans="2:5" x14ac:dyDescent="0.25">
      <c r="B833" s="6"/>
      <c r="C833" s="6"/>
      <c r="D833" s="6"/>
      <c r="E833" s="6"/>
    </row>
    <row r="834" spans="2:5" x14ac:dyDescent="0.25">
      <c r="B834" s="6"/>
      <c r="C834" s="6"/>
      <c r="D834" s="6"/>
      <c r="E834" s="6"/>
    </row>
    <row r="835" spans="2:5" x14ac:dyDescent="0.25">
      <c r="B835" s="6"/>
      <c r="C835" s="6"/>
      <c r="D835" s="6"/>
      <c r="E835" s="6"/>
    </row>
    <row r="836" spans="2:5" x14ac:dyDescent="0.25">
      <c r="B836" s="6"/>
      <c r="C836" s="6"/>
      <c r="D836" s="6"/>
      <c r="E836" s="6"/>
    </row>
    <row r="837" spans="2:5" x14ac:dyDescent="0.25">
      <c r="B837" s="6"/>
      <c r="C837" s="6"/>
      <c r="D837" s="6"/>
      <c r="E837" s="6"/>
    </row>
    <row r="838" spans="2:5" x14ac:dyDescent="0.25">
      <c r="B838" s="6"/>
      <c r="C838" s="6"/>
      <c r="D838" s="6"/>
      <c r="E838" s="6"/>
    </row>
    <row r="839" spans="2:5" x14ac:dyDescent="0.25">
      <c r="B839" s="6"/>
      <c r="C839" s="6"/>
      <c r="D839" s="6"/>
      <c r="E839" s="6"/>
    </row>
    <row r="840" spans="2:5" x14ac:dyDescent="0.25">
      <c r="B840" s="6"/>
      <c r="C840" s="6"/>
      <c r="D840" s="6"/>
      <c r="E840" s="6"/>
    </row>
    <row r="841" spans="2:5" x14ac:dyDescent="0.25">
      <c r="B841" s="6"/>
      <c r="C841" s="6"/>
      <c r="D841" s="6"/>
      <c r="E841" s="6"/>
    </row>
    <row r="842" spans="2:5" x14ac:dyDescent="0.25">
      <c r="B842" s="6"/>
      <c r="C842" s="6"/>
      <c r="D842" s="6"/>
      <c r="E842" s="6"/>
    </row>
    <row r="843" spans="2:5" x14ac:dyDescent="0.25">
      <c r="B843" s="6"/>
      <c r="C843" s="6"/>
      <c r="D843" s="6"/>
      <c r="E843" s="6"/>
    </row>
    <row r="844" spans="2:5" x14ac:dyDescent="0.25">
      <c r="B844" s="6"/>
      <c r="C844" s="6"/>
      <c r="D844" s="6"/>
      <c r="E844" s="6"/>
    </row>
    <row r="845" spans="2:5" x14ac:dyDescent="0.25">
      <c r="B845" s="6"/>
      <c r="C845" s="6"/>
      <c r="D845" s="6"/>
      <c r="E845" s="6"/>
    </row>
    <row r="846" spans="2:5" x14ac:dyDescent="0.25">
      <c r="B846" s="6"/>
      <c r="C846" s="6"/>
      <c r="D846" s="6"/>
      <c r="E846" s="6"/>
    </row>
    <row r="847" spans="2:5" x14ac:dyDescent="0.25">
      <c r="B847" s="6"/>
      <c r="C847" s="6"/>
      <c r="D847" s="6"/>
      <c r="E847" s="6"/>
    </row>
    <row r="848" spans="2:5" x14ac:dyDescent="0.25">
      <c r="B848" s="6"/>
      <c r="C848" s="6"/>
      <c r="D848" s="6"/>
      <c r="E848" s="6"/>
    </row>
    <row r="849" spans="2:5" x14ac:dyDescent="0.25">
      <c r="B849" s="6"/>
      <c r="C849" s="6"/>
      <c r="D849" s="6"/>
      <c r="E849" s="6"/>
    </row>
    <row r="850" spans="2:5" x14ac:dyDescent="0.25">
      <c r="B850" s="6"/>
      <c r="C850" s="6"/>
      <c r="D850" s="6"/>
      <c r="E850" s="6"/>
    </row>
    <row r="851" spans="2:5" x14ac:dyDescent="0.25">
      <c r="B851" s="6"/>
      <c r="C851" s="6"/>
      <c r="D851" s="6"/>
      <c r="E851" s="6"/>
    </row>
    <row r="852" spans="2:5" x14ac:dyDescent="0.25">
      <c r="B852" s="6"/>
      <c r="C852" s="6"/>
      <c r="D852" s="6"/>
      <c r="E852" s="6"/>
    </row>
    <row r="853" spans="2:5" x14ac:dyDescent="0.25">
      <c r="B853" s="6"/>
      <c r="C853" s="6"/>
      <c r="D853" s="6"/>
      <c r="E853" s="6"/>
    </row>
    <row r="854" spans="2:5" x14ac:dyDescent="0.25">
      <c r="B854" s="6"/>
      <c r="C854" s="6"/>
      <c r="D854" s="6"/>
      <c r="E854" s="6"/>
    </row>
    <row r="855" spans="2:5" x14ac:dyDescent="0.25">
      <c r="B855" s="6"/>
      <c r="C855" s="6"/>
      <c r="D855" s="6"/>
      <c r="E855" s="6"/>
    </row>
    <row r="856" spans="2:5" x14ac:dyDescent="0.25">
      <c r="B856" s="6"/>
      <c r="C856" s="6"/>
      <c r="D856" s="6"/>
      <c r="E856" s="6"/>
    </row>
    <row r="857" spans="2:5" x14ac:dyDescent="0.25">
      <c r="B857" s="6"/>
      <c r="C857" s="6"/>
      <c r="D857" s="6"/>
      <c r="E857" s="6"/>
    </row>
    <row r="858" spans="2:5" x14ac:dyDescent="0.25">
      <c r="B858" s="6"/>
      <c r="C858" s="6"/>
      <c r="D858" s="6"/>
      <c r="E858" s="6"/>
    </row>
    <row r="859" spans="2:5" x14ac:dyDescent="0.25">
      <c r="B859" s="6"/>
      <c r="C859" s="6"/>
      <c r="D859" s="6"/>
      <c r="E859" s="6"/>
    </row>
    <row r="860" spans="2:5" x14ac:dyDescent="0.25">
      <c r="B860" s="6"/>
      <c r="C860" s="6"/>
      <c r="D860" s="6"/>
      <c r="E860" s="6"/>
    </row>
    <row r="861" spans="2:5" x14ac:dyDescent="0.25">
      <c r="B861" s="6"/>
      <c r="C861" s="6"/>
      <c r="D861" s="6"/>
      <c r="E861" s="6"/>
    </row>
    <row r="862" spans="2:5" x14ac:dyDescent="0.25">
      <c r="B862" s="6"/>
      <c r="C862" s="6"/>
      <c r="D862" s="6"/>
      <c r="E862" s="6"/>
    </row>
    <row r="863" spans="2:5" x14ac:dyDescent="0.25">
      <c r="B863" s="6"/>
      <c r="C863" s="6"/>
      <c r="D863" s="6"/>
      <c r="E863" s="6"/>
    </row>
    <row r="864" spans="2:5" x14ac:dyDescent="0.25">
      <c r="B864" s="6"/>
      <c r="C864" s="6"/>
      <c r="D864" s="6"/>
      <c r="E864" s="6"/>
    </row>
    <row r="865" spans="2:5" x14ac:dyDescent="0.25">
      <c r="B865" s="6"/>
      <c r="C865" s="6"/>
      <c r="D865" s="6"/>
      <c r="E865" s="6"/>
    </row>
    <row r="866" spans="2:5" x14ac:dyDescent="0.25">
      <c r="B866" s="6"/>
      <c r="C866" s="6"/>
      <c r="D866" s="6"/>
      <c r="E866" s="6"/>
    </row>
    <row r="867" spans="2:5" x14ac:dyDescent="0.25">
      <c r="B867" s="6"/>
      <c r="C867" s="6"/>
      <c r="D867" s="6"/>
      <c r="E867" s="6"/>
    </row>
    <row r="868" spans="2:5" x14ac:dyDescent="0.25">
      <c r="B868" s="6"/>
      <c r="C868" s="6"/>
      <c r="D868" s="6"/>
      <c r="E868" s="6"/>
    </row>
    <row r="869" spans="2:5" x14ac:dyDescent="0.25">
      <c r="B869" s="6"/>
      <c r="C869" s="6"/>
      <c r="D869" s="6"/>
      <c r="E869" s="6"/>
    </row>
    <row r="870" spans="2:5" x14ac:dyDescent="0.25">
      <c r="B870" s="6"/>
      <c r="C870" s="6"/>
      <c r="D870" s="6"/>
      <c r="E870" s="6"/>
    </row>
    <row r="871" spans="2:5" x14ac:dyDescent="0.25">
      <c r="B871" s="6"/>
      <c r="C871" s="6"/>
      <c r="D871" s="6"/>
      <c r="E871" s="6"/>
    </row>
    <row r="872" spans="2:5" x14ac:dyDescent="0.25">
      <c r="B872" s="6"/>
      <c r="C872" s="6"/>
      <c r="D872" s="6"/>
      <c r="E872" s="6"/>
    </row>
    <row r="873" spans="2:5" x14ac:dyDescent="0.25">
      <c r="B873" s="6"/>
      <c r="C873" s="6"/>
      <c r="D873" s="6"/>
      <c r="E873" s="6"/>
    </row>
    <row r="874" spans="2:5" x14ac:dyDescent="0.25">
      <c r="B874" s="6"/>
      <c r="C874" s="6"/>
      <c r="D874" s="6"/>
      <c r="E874" s="6"/>
    </row>
    <row r="875" spans="2:5" x14ac:dyDescent="0.25">
      <c r="B875" s="6"/>
      <c r="C875" s="6"/>
      <c r="D875" s="6"/>
      <c r="E875" s="6"/>
    </row>
    <row r="876" spans="2:5" x14ac:dyDescent="0.25">
      <c r="B876" s="6"/>
      <c r="C876" s="6"/>
      <c r="D876" s="6"/>
      <c r="E876" s="6"/>
    </row>
    <row r="877" spans="2:5" x14ac:dyDescent="0.25">
      <c r="B877" s="6"/>
      <c r="C877" s="6"/>
      <c r="D877" s="6"/>
      <c r="E877" s="6"/>
    </row>
    <row r="878" spans="2:5" x14ac:dyDescent="0.25">
      <c r="B878" s="6"/>
      <c r="C878" s="6"/>
      <c r="D878" s="6"/>
      <c r="E878" s="6"/>
    </row>
    <row r="879" spans="2:5" x14ac:dyDescent="0.25">
      <c r="B879" s="6"/>
      <c r="C879" s="6"/>
      <c r="D879" s="6"/>
      <c r="E879" s="6"/>
    </row>
    <row r="880" spans="2:5" x14ac:dyDescent="0.25">
      <c r="B880" s="6"/>
      <c r="C880" s="6"/>
      <c r="D880" s="6"/>
      <c r="E880" s="6"/>
    </row>
    <row r="881" spans="2:5" x14ac:dyDescent="0.25">
      <c r="B881" s="6"/>
      <c r="C881" s="6"/>
      <c r="D881" s="6"/>
      <c r="E881" s="6"/>
    </row>
    <row r="882" spans="2:5" x14ac:dyDescent="0.25">
      <c r="B882" s="6"/>
      <c r="C882" s="6"/>
      <c r="D882" s="6"/>
      <c r="E882" s="6"/>
    </row>
    <row r="883" spans="2:5" x14ac:dyDescent="0.25">
      <c r="B883" s="6"/>
      <c r="C883" s="6"/>
      <c r="D883" s="6"/>
      <c r="E883" s="6"/>
    </row>
    <row r="884" spans="2:5" x14ac:dyDescent="0.25">
      <c r="B884" s="6"/>
      <c r="C884" s="6"/>
      <c r="D884" s="6"/>
      <c r="E884" s="6"/>
    </row>
    <row r="885" spans="2:5" x14ac:dyDescent="0.25">
      <c r="B885" s="6"/>
      <c r="C885" s="6"/>
      <c r="D885" s="6"/>
      <c r="E885" s="6"/>
    </row>
    <row r="886" spans="2:5" x14ac:dyDescent="0.25">
      <c r="B886" s="6"/>
      <c r="C886" s="6"/>
      <c r="D886" s="6"/>
      <c r="E886" s="6"/>
    </row>
    <row r="887" spans="2:5" x14ac:dyDescent="0.25">
      <c r="B887" s="6"/>
      <c r="C887" s="6"/>
      <c r="D887" s="6"/>
      <c r="E887" s="6"/>
    </row>
    <row r="888" spans="2:5" x14ac:dyDescent="0.25">
      <c r="B888" s="6"/>
      <c r="C888" s="6"/>
      <c r="D888" s="6"/>
      <c r="E888" s="6"/>
    </row>
    <row r="889" spans="2:5" x14ac:dyDescent="0.25">
      <c r="B889" s="6"/>
      <c r="C889" s="6"/>
      <c r="D889" s="6"/>
      <c r="E889" s="6"/>
    </row>
    <row r="890" spans="2:5" x14ac:dyDescent="0.25">
      <c r="B890" s="6"/>
      <c r="C890" s="6"/>
      <c r="D890" s="6"/>
      <c r="E890" s="6"/>
    </row>
    <row r="891" spans="2:5" x14ac:dyDescent="0.25">
      <c r="B891" s="6"/>
      <c r="C891" s="6"/>
      <c r="D891" s="6"/>
      <c r="E891" s="6"/>
    </row>
    <row r="892" spans="2:5" x14ac:dyDescent="0.25">
      <c r="B892" s="6"/>
      <c r="C892" s="6"/>
      <c r="D892" s="6"/>
      <c r="E892" s="6"/>
    </row>
    <row r="893" spans="2:5" x14ac:dyDescent="0.25">
      <c r="B893" s="6"/>
      <c r="C893" s="6"/>
      <c r="D893" s="6"/>
      <c r="E893" s="6"/>
    </row>
    <row r="894" spans="2:5" x14ac:dyDescent="0.25">
      <c r="B894" s="6"/>
      <c r="C894" s="6"/>
      <c r="D894" s="6"/>
      <c r="E894" s="6"/>
    </row>
    <row r="895" spans="2:5" x14ac:dyDescent="0.25">
      <c r="B895" s="6"/>
      <c r="C895" s="6"/>
      <c r="D895" s="6"/>
      <c r="E895" s="6"/>
    </row>
    <row r="896" spans="2:5" x14ac:dyDescent="0.25">
      <c r="B896" s="6"/>
      <c r="C896" s="6"/>
      <c r="D896" s="6"/>
      <c r="E896" s="6"/>
    </row>
    <row r="897" spans="2:5" x14ac:dyDescent="0.25">
      <c r="B897" s="6"/>
      <c r="C897" s="6"/>
      <c r="D897" s="6"/>
      <c r="E897" s="6"/>
    </row>
    <row r="898" spans="2:5" x14ac:dyDescent="0.25">
      <c r="B898" s="6"/>
      <c r="C898" s="6"/>
      <c r="D898" s="6"/>
      <c r="E898" s="6"/>
    </row>
    <row r="899" spans="2:5" x14ac:dyDescent="0.25">
      <c r="B899" s="6"/>
      <c r="C899" s="6"/>
      <c r="D899" s="6"/>
      <c r="E899" s="6"/>
    </row>
    <row r="900" spans="2:5" x14ac:dyDescent="0.25">
      <c r="B900" s="6"/>
      <c r="C900" s="6"/>
      <c r="D900" s="6"/>
      <c r="E900" s="6"/>
    </row>
    <row r="901" spans="2:5" x14ac:dyDescent="0.25">
      <c r="B901" s="6"/>
      <c r="C901" s="6"/>
      <c r="D901" s="6"/>
      <c r="E901" s="6"/>
    </row>
    <row r="902" spans="2:5" x14ac:dyDescent="0.25">
      <c r="B902" s="6"/>
      <c r="C902" s="6"/>
      <c r="D902" s="6"/>
      <c r="E902" s="6"/>
    </row>
    <row r="903" spans="2:5" x14ac:dyDescent="0.25">
      <c r="B903" s="6"/>
      <c r="C903" s="6"/>
      <c r="D903" s="6"/>
      <c r="E903" s="6"/>
    </row>
    <row r="904" spans="2:5" x14ac:dyDescent="0.25">
      <c r="B904" s="6"/>
      <c r="C904" s="6"/>
      <c r="D904" s="6"/>
      <c r="E904" s="6"/>
    </row>
    <row r="905" spans="2:5" x14ac:dyDescent="0.25">
      <c r="B905" s="6"/>
      <c r="C905" s="6"/>
      <c r="D905" s="6"/>
      <c r="E905" s="6"/>
    </row>
    <row r="906" spans="2:5" x14ac:dyDescent="0.25">
      <c r="B906" s="6"/>
      <c r="C906" s="6"/>
      <c r="D906" s="6"/>
      <c r="E906" s="6"/>
    </row>
    <row r="907" spans="2:5" x14ac:dyDescent="0.25">
      <c r="B907" s="6"/>
      <c r="C907" s="6"/>
      <c r="D907" s="6"/>
      <c r="E907" s="6"/>
    </row>
    <row r="908" spans="2:5" x14ac:dyDescent="0.25">
      <c r="B908" s="6"/>
      <c r="C908" s="6"/>
      <c r="D908" s="6"/>
      <c r="E908" s="6"/>
    </row>
    <row r="909" spans="2:5" x14ac:dyDescent="0.25">
      <c r="B909" s="6"/>
      <c r="C909" s="6"/>
      <c r="D909" s="6"/>
      <c r="E909" s="6"/>
    </row>
    <row r="910" spans="2:5" x14ac:dyDescent="0.25">
      <c r="B910" s="6"/>
      <c r="C910" s="6"/>
      <c r="D910" s="6"/>
      <c r="E910" s="6"/>
    </row>
    <row r="911" spans="2:5" x14ac:dyDescent="0.25">
      <c r="B911" s="6"/>
      <c r="C911" s="6"/>
      <c r="D911" s="6"/>
      <c r="E911" s="6"/>
    </row>
    <row r="912" spans="2:5" x14ac:dyDescent="0.25">
      <c r="B912" s="6"/>
      <c r="C912" s="6"/>
      <c r="D912" s="6"/>
      <c r="E912" s="6"/>
    </row>
    <row r="913" spans="2:5" x14ac:dyDescent="0.25">
      <c r="B913" s="6"/>
      <c r="C913" s="6"/>
      <c r="D913" s="6"/>
      <c r="E913" s="6"/>
    </row>
    <row r="914" spans="2:5" x14ac:dyDescent="0.25">
      <c r="B914" s="6"/>
      <c r="C914" s="6"/>
      <c r="D914" s="6"/>
      <c r="E914" s="6"/>
    </row>
    <row r="915" spans="2:5" x14ac:dyDescent="0.25">
      <c r="B915" s="6"/>
      <c r="C915" s="6"/>
      <c r="D915" s="6"/>
      <c r="E915" s="6"/>
    </row>
    <row r="916" spans="2:5" x14ac:dyDescent="0.25">
      <c r="B916" s="6"/>
      <c r="C916" s="6"/>
      <c r="D916" s="6"/>
      <c r="E916" s="6"/>
    </row>
    <row r="917" spans="2:5" x14ac:dyDescent="0.25">
      <c r="B917" s="6"/>
      <c r="C917" s="6"/>
      <c r="D917" s="6"/>
      <c r="E917" s="6"/>
    </row>
    <row r="918" spans="2:5" x14ac:dyDescent="0.25">
      <c r="B918" s="6"/>
      <c r="C918" s="6"/>
      <c r="D918" s="6"/>
      <c r="E918" s="6"/>
    </row>
    <row r="919" spans="2:5" x14ac:dyDescent="0.25">
      <c r="B919" s="6"/>
      <c r="C919" s="6"/>
      <c r="D919" s="6"/>
      <c r="E919" s="6"/>
    </row>
    <row r="920" spans="2:5" x14ac:dyDescent="0.25">
      <c r="B920" s="6"/>
      <c r="C920" s="6"/>
      <c r="D920" s="6"/>
      <c r="E920" s="6"/>
    </row>
    <row r="921" spans="2:5" x14ac:dyDescent="0.25">
      <c r="B921" s="6"/>
      <c r="C921" s="6"/>
      <c r="D921" s="6"/>
      <c r="E921" s="6"/>
    </row>
    <row r="922" spans="2:5" x14ac:dyDescent="0.25">
      <c r="B922" s="6"/>
      <c r="C922" s="6"/>
      <c r="D922" s="6"/>
      <c r="E922" s="6"/>
    </row>
    <row r="923" spans="2:5" x14ac:dyDescent="0.25">
      <c r="B923" s="6"/>
      <c r="C923" s="6"/>
      <c r="D923" s="6"/>
      <c r="E923" s="6"/>
    </row>
    <row r="924" spans="2:5" x14ac:dyDescent="0.25">
      <c r="B924" s="6"/>
      <c r="C924" s="6"/>
      <c r="D924" s="6"/>
      <c r="E924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AD300"/>
  <sheetViews>
    <sheetView zoomScale="70" zoomScaleNormal="70" workbookViewId="0">
      <selection activeCell="F10" sqref="F10"/>
    </sheetView>
  </sheetViews>
  <sheetFormatPr defaultRowHeight="15" x14ac:dyDescent="0.25"/>
  <cols>
    <col min="2" max="2" width="14.7109375" style="8" customWidth="1"/>
    <col min="3" max="3" width="16" style="8" customWidth="1"/>
    <col min="4" max="6" width="14.7109375" style="8" customWidth="1"/>
    <col min="7" max="30" width="14.7109375" customWidth="1"/>
  </cols>
  <sheetData>
    <row r="8" spans="2:30" s="16" customFormat="1" ht="30" x14ac:dyDescent="0.25">
      <c r="B8" s="15" t="s">
        <v>65</v>
      </c>
      <c r="C8" s="15" t="s">
        <v>66</v>
      </c>
      <c r="D8" s="15" t="s">
        <v>65</v>
      </c>
      <c r="E8" s="15" t="s">
        <v>67</v>
      </c>
      <c r="F8" s="15" t="s">
        <v>68</v>
      </c>
      <c r="G8" s="15" t="s">
        <v>69</v>
      </c>
      <c r="H8" s="15" t="s">
        <v>69</v>
      </c>
      <c r="I8" s="15" t="s">
        <v>69</v>
      </c>
      <c r="J8" s="15" t="s">
        <v>69</v>
      </c>
      <c r="K8" s="15" t="s">
        <v>69</v>
      </c>
      <c r="L8" s="15" t="s">
        <v>69</v>
      </c>
      <c r="M8" s="15" t="s">
        <v>69</v>
      </c>
      <c r="N8" s="15" t="s">
        <v>69</v>
      </c>
      <c r="O8" s="15" t="s">
        <v>69</v>
      </c>
      <c r="P8" s="15" t="s">
        <v>69</v>
      </c>
      <c r="Q8" s="15" t="s">
        <v>69</v>
      </c>
      <c r="R8" s="15" t="s">
        <v>69</v>
      </c>
      <c r="S8" s="15" t="s">
        <v>69</v>
      </c>
      <c r="T8" s="15" t="s">
        <v>69</v>
      </c>
      <c r="U8" s="15" t="s">
        <v>69</v>
      </c>
      <c r="V8" s="15" t="s">
        <v>69</v>
      </c>
      <c r="W8" s="15" t="s">
        <v>69</v>
      </c>
      <c r="X8" s="15" t="s">
        <v>69</v>
      </c>
      <c r="Y8" s="15" t="s">
        <v>69</v>
      </c>
      <c r="Z8" s="15" t="s">
        <v>69</v>
      </c>
      <c r="AA8" s="15" t="s">
        <v>69</v>
      </c>
      <c r="AB8" s="15" t="s">
        <v>69</v>
      </c>
      <c r="AC8" s="15" t="s">
        <v>69</v>
      </c>
      <c r="AD8" s="15" t="s">
        <v>69</v>
      </c>
    </row>
    <row r="9" spans="2:30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</row>
    <row r="10" spans="2:30" x14ac:dyDescent="0.25">
      <c r="B10" s="7" t="str" cm="1">
        <f t="array" aca="1" ref="B10" ca="1">IFERROR(IF(OR('Raw Data'!B10="",LEN(TRIM('Raw Data'!B10))=0),"",IF(AND(LEN('Raw Data'!B10) &lt;= 20,LEN('Raw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Data'!D10))=0),"",IF(AND(LEN('Raw Data'!D10) &lt;= 20,LEN('Raw Data'!D10)&gt; 0),"",_xlfn.REGEXEXTRACT(CELL("address",'Raw Data'!D10),"\$([A-Z]+)\$[0-9]+"))),_xlfn.REGEXEXTRACT(CELL("address",'Raw Data'!D10),"\$([A-Z]+)\$[0-9]+"))</f>
        <v/>
      </c>
      <c r="E10" s="7" t="str" cm="1">
        <f t="array" aca="1" ref="E10" ca="1">IFERROR(IF(OR('Raw Data'!E10="",LEN(TRIM('Raw Data'!E10))=0),"",IF(AND(ISNUMBER('Raw Data'!E10),'Raw Data'!E10&gt;=Configuration!$D$2),"",_xlfn.REGEXEXTRACT(CELL("address",'Raw Data'!E10),"\$([A-Z]+)\$[0-9]+"))),_xlfn.REGEXEXTRACT(CELL("address",E10),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4),FALSE)),"",_xlfn.REGEXEXTRACT(CELL("address",F10),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7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7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7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7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  <c r="Z10" s="7" t="str" cm="1">
        <f t="array" aca="1" ref="Z10" ca="1">IFERROR(IF(OR('Raw Data'!Z10="",LEN(TRIM('Raw Data'!Z10))=0),"",IF(AND(ISNUMBER('Raw Data'!Z10), IFERROR('Raw Data'!Z10 = ROUND('Raw Data'!Z10, 2),FALSE)),"",_xlfn.REGEXEXTRACT(CELL("address",Z10), "\$([A-Z]+)\$[0-9]+"))),_xlfn.REGEXEXTRACT(CELL("address",Z10), "\$([A-Z]+)\$[0-9]+"))</f>
        <v/>
      </c>
      <c r="AA10" s="7" t="str" cm="1">
        <f t="array" aca="1" ref="AA10" ca="1">IFERROR(IF(OR('Raw Data'!AA10="",LEN(TRIM('Raw Data'!AA10))=0),"",IF(AND(ISNUMBER('Raw Data'!AA10), IFERROR('Raw Data'!AA10 = ROUND('Raw Data'!AA10, 2),FALSE)),"",_xlfn.REGEXEXTRACT(CELL("address",AA10), "\$([A-Z]+)\$[0-9]+"))),_xlfn.REGEXEXTRACT(CELL("address",AA10), "\$([A-Z]+)\$[0-9]+"))</f>
        <v/>
      </c>
      <c r="AB10" s="7" t="str" cm="1">
        <f t="array" aca="1" ref="AB10" ca="1">IFERROR(IF(OR('Raw Data'!AB10="",LEN(TRIM('Raw Data'!AB10))=0),"",IF(AND(ISNUMBER('Raw Data'!AB10), IFERROR('Raw Data'!AB10 = ROUND('Raw Data'!AB10, 2),FALSE)),"",_xlfn.REGEXEXTRACT(CELL("address",AB10), "\$([A-Z]+)\$[0-9]+"))),_xlfn.REGEXEXTRACT(CELL("address",AB10), "\$([A-Z]+)\$[0-9]+"))</f>
        <v/>
      </c>
      <c r="AC10" s="7" t="str" cm="1">
        <f t="array" aca="1" ref="AC10" ca="1">IFERROR(IF(OR('Raw Data'!AC10="",LEN(TRIM('Raw Data'!AC10))=0),"",IF(AND(ISNUMBER('Raw Data'!AC10), IFERROR('Raw Data'!AC10 = ROUND('Raw Data'!AC10, 2),FALSE)),"",_xlfn.REGEXEXTRACT(CELL("address",AC10), "\$([A-Z]+)\$[0-9]+"))),_xlfn.REGEXEXTRACT(CELL("address",AC10), "\$([A-Z]+)\$[0-9]+"))</f>
        <v/>
      </c>
      <c r="AD10" s="7" t="str" cm="1">
        <f t="array" aca="1" ref="AD10" ca="1">IFERROR(IF(OR('Raw Data'!AD10="",LEN(TRIM('Raw Data'!AD10))=0),"",IF(AND(ISNUMBER('Raw Data'!AD10), IFERROR('Raw Data'!AD10 = ROUND('Raw Data'!AD10, 2),FALSE)),"",_xlfn.REGEXEXTRACT(CELL("address",AD10), "\$([A-Z]+)\$[0-9]+"))),_xlfn.REGEXEXTRACT(CELL("address",AD10), "\$([A-Z]+)\$[0-9]+"))</f>
        <v/>
      </c>
    </row>
    <row r="11" spans="2:30" x14ac:dyDescent="0.25">
      <c r="B11" s="7" t="str" cm="1">
        <f t="array" aca="1" ref="B11" ca="1">IFERROR(IF(OR('Raw Data'!B11="",LEN(TRIM('Raw Data'!B11))=0),"",IF(AND(LEN('Raw Data'!B11) &lt;= 20,LEN('Raw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20,LEN('Raw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Data'!E11))=0),"",IF(AND(ISNUMBER('Raw Data'!E11),'Raw Data'!E11&gt;=Configuration!$D$2),"",_xlfn.REGEXEXTRACT(CELL("address",'Raw Data'!E11),"\$([A-Z]+)\$[0-9]+"))),_xlfn.REGEXEXTRACT(CELL("address",E11),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4),FALSE)),"",_xlfn.REGEXEXTRACT(CELL("address",F11),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</row>
    <row r="12" spans="2:30" x14ac:dyDescent="0.25">
      <c r="B12" s="7" t="str" cm="1">
        <f t="array" aca="1" ref="B12" ca="1">IFERROR(IF(OR('Raw Data'!B12="",LEN(TRIM('Raw Data'!B12))=0),"",IF(AND(LEN('Raw Data'!B12) &lt;= 20,LEN('Raw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20,LEN('Raw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Data'!E12))=0),"",IF(AND(ISNUMBER('Raw Data'!E12),'Raw Data'!E12&gt;=Configuration!$D$2),"",_xlfn.REGEXEXTRACT(CELL("address",'Raw Data'!E12),"\$([A-Z]+)\$[0-9]+"))),_xlfn.REGEXEXTRACT(CELL("address",E12),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4),FALSE)),"",_xlfn.REGEXEXTRACT(CELL("address",F12),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</row>
    <row r="13" spans="2:30" x14ac:dyDescent="0.25">
      <c r="B13" s="7" t="str" cm="1">
        <f t="array" aca="1" ref="B13" ca="1">IFERROR(IF(OR('Raw Data'!B13="",LEN(TRIM('Raw Data'!B13))=0),"",IF(AND(LEN('Raw Data'!B13) &lt;= 20,LEN('Raw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20,LEN('Raw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Data'!E13))=0),"",IF(AND(ISNUMBER('Raw Data'!E13),'Raw Data'!E13&gt;=Configuration!$D$2),"",_xlfn.REGEXEXTRACT(CELL("address",'Raw Data'!E13),"\$([A-Z]+)\$[0-9]+"))),_xlfn.REGEXEXTRACT(CELL("address",E13),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4),FALSE)),"",_xlfn.REGEXEXTRACT(CELL("address",F13),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</row>
    <row r="14" spans="2:30" x14ac:dyDescent="0.25">
      <c r="B14" s="7" t="str" cm="1">
        <f t="array" aca="1" ref="B14" ca="1">IFERROR(IF(OR('Raw Data'!B14="",LEN(TRIM('Raw Data'!B14))=0),"",IF(AND(LEN('Raw Data'!B14) &lt;= 20,LEN('Raw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20,LEN('Raw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Data'!E14))=0),"",IF(AND(ISNUMBER('Raw Data'!E14),'Raw Data'!E14&gt;=Configuration!$D$2),"",_xlfn.REGEXEXTRACT(CELL("address",'Raw Data'!E14),"\$([A-Z]+)\$[0-9]+"))),_xlfn.REGEXEXTRACT(CELL("address",E14),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4),FALSE)),"",_xlfn.REGEXEXTRACT(CELL("address",F14),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</row>
    <row r="15" spans="2:30" x14ac:dyDescent="0.25">
      <c r="B15" s="7" t="str" cm="1">
        <f t="array" aca="1" ref="B15" ca="1">IFERROR(IF(OR('Raw Data'!B15="",LEN(TRIM('Raw Data'!B15))=0),"",IF(AND(LEN('Raw Data'!B15) &lt;= 20,LEN('Raw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20,LEN('Raw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Data'!E15))=0),"",IF(AND(ISNUMBER('Raw Data'!E15),'Raw Data'!E15&gt;=Configuration!$D$2),"",_xlfn.REGEXEXTRACT(CELL("address",'Raw Data'!E15),"\$([A-Z]+)\$[0-9]+"))),_xlfn.REGEXEXTRACT(CELL("address",E15),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4),FALSE)),"",_xlfn.REGEXEXTRACT(CELL("address",F15),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</row>
    <row r="16" spans="2:30" x14ac:dyDescent="0.25">
      <c r="B16" s="7" t="str" cm="1">
        <f t="array" aca="1" ref="B16" ca="1">IFERROR(IF(OR('Raw Data'!B16="",LEN(TRIM('Raw Data'!B16))=0),"",IF(AND(LEN('Raw Data'!B16) &lt;= 20,LEN('Raw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20,LEN('Raw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Data'!E16))=0),"",IF(AND(ISNUMBER('Raw Data'!E16),'Raw Data'!E16&gt;=Configuration!$D$2),"",_xlfn.REGEXEXTRACT(CELL("address",'Raw Data'!E16),"\$([A-Z]+)\$[0-9]+"))),_xlfn.REGEXEXTRACT(CELL("address",E16),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4),FALSE)),"",_xlfn.REGEXEXTRACT(CELL("address",F16),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</row>
    <row r="17" spans="2:30" x14ac:dyDescent="0.25">
      <c r="B17" s="7" t="str" cm="1">
        <f t="array" aca="1" ref="B17" ca="1">IFERROR(IF(OR('Raw Data'!B17="",LEN(TRIM('Raw Data'!B17))=0),"",IF(AND(LEN('Raw Data'!B17) &lt;= 20,LEN('Raw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20,LEN('Raw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Data'!E17))=0),"",IF(AND(ISNUMBER('Raw Data'!E17),'Raw Data'!E17&gt;=Configuration!$D$2),"",_xlfn.REGEXEXTRACT(CELL("address",'Raw Data'!E17),"\$([A-Z]+)\$[0-9]+"))),_xlfn.REGEXEXTRACT(CELL("address",E17),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4),FALSE)),"",_xlfn.REGEXEXTRACT(CELL("address",F17),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</row>
    <row r="18" spans="2:30" x14ac:dyDescent="0.25">
      <c r="B18" s="7" t="str" cm="1">
        <f t="array" aca="1" ref="B18" ca="1">IFERROR(IF(OR('Raw Data'!B18="",LEN(TRIM('Raw Data'!B18))=0),"",IF(AND(LEN('Raw Data'!B18) &lt;= 20,LEN('Raw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20,LEN('Raw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Data'!E18))=0),"",IF(AND(ISNUMBER('Raw Data'!E18),'Raw Data'!E18&gt;=Configuration!$D$2),"",_xlfn.REGEXEXTRACT(CELL("address",'Raw Data'!E18),"\$([A-Z]+)\$[0-9]+"))),_xlfn.REGEXEXTRACT(CELL("address",E18),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4),FALSE)),"",_xlfn.REGEXEXTRACT(CELL("address",F18),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</row>
    <row r="19" spans="2:30" x14ac:dyDescent="0.25">
      <c r="B19" s="7" t="str" cm="1">
        <f t="array" aca="1" ref="B19" ca="1">IFERROR(IF(OR('Raw Data'!B19="",LEN(TRIM('Raw Data'!B19))=0),"",IF(AND(LEN('Raw Data'!B19) &lt;= 20,LEN('Raw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20,LEN('Raw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Data'!E19))=0),"",IF(AND(ISNUMBER('Raw Data'!E19),'Raw Data'!E19&gt;=Configuration!$D$2),"",_xlfn.REGEXEXTRACT(CELL("address",'Raw Data'!E19),"\$([A-Z]+)\$[0-9]+"))),_xlfn.REGEXEXTRACT(CELL("address",E19),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4),FALSE)),"",_xlfn.REGEXEXTRACT(CELL("address",F19),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</row>
    <row r="20" spans="2:30" x14ac:dyDescent="0.25">
      <c r="B20" s="7" t="str" cm="1">
        <f t="array" aca="1" ref="B20" ca="1">IFERROR(IF(OR('Raw Data'!B20="",LEN(TRIM('Raw Data'!B20))=0),"",IF(AND(LEN('Raw Data'!B20) &lt;= 20,LEN('Raw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20,LEN('Raw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Data'!E20))=0),"",IF(AND(ISNUMBER('Raw Data'!E20),'Raw Data'!E20&gt;=Configuration!$D$2),"",_xlfn.REGEXEXTRACT(CELL("address",'Raw Data'!E20),"\$([A-Z]+)\$[0-9]+"))),_xlfn.REGEXEXTRACT(CELL("address",E20),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4),FALSE)),"",_xlfn.REGEXEXTRACT(CELL("address",F20),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</row>
    <row r="21" spans="2:30" x14ac:dyDescent="0.25">
      <c r="B21" s="7" t="str" cm="1">
        <f t="array" aca="1" ref="B21" ca="1">IFERROR(IF(OR('Raw Data'!B21="",LEN(TRIM('Raw Data'!B21))=0),"",IF(AND(LEN('Raw Data'!B21) &lt;= 20,LEN('Raw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20,LEN('Raw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Data'!E21))=0),"",IF(AND(ISNUMBER('Raw Data'!E21),'Raw Data'!E21&gt;=Configuration!$D$2),"",_xlfn.REGEXEXTRACT(CELL("address",'Raw Data'!E21),"\$([A-Z]+)\$[0-9]+"))),_xlfn.REGEXEXTRACT(CELL("address",E21),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4),FALSE)),"",_xlfn.REGEXEXTRACT(CELL("address",F21),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</row>
    <row r="22" spans="2:30" x14ac:dyDescent="0.25">
      <c r="B22" s="7" t="str" cm="1">
        <f t="array" aca="1" ref="B22" ca="1">IFERROR(IF(OR('Raw Data'!B22="",LEN(TRIM('Raw Data'!B22))=0),"",IF(AND(LEN('Raw Data'!B22) &lt;= 20,LEN('Raw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20,LEN('Raw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Data'!E22))=0),"",IF(AND(ISNUMBER('Raw Data'!E22),'Raw Data'!E22&gt;=Configuration!$D$2),"",_xlfn.REGEXEXTRACT(CELL("address",'Raw Data'!E22),"\$([A-Z]+)\$[0-9]+"))),_xlfn.REGEXEXTRACT(CELL("address",E22),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4),FALSE)),"",_xlfn.REGEXEXTRACT(CELL("address",F22),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</row>
    <row r="23" spans="2:30" x14ac:dyDescent="0.25">
      <c r="B23" s="7" t="str" cm="1">
        <f t="array" aca="1" ref="B23" ca="1">IFERROR(IF(OR('Raw Data'!B23="",LEN(TRIM('Raw Data'!B23))=0),"",IF(AND(LEN('Raw Data'!B23) &lt;= 20,LEN('Raw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20,LEN('Raw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Data'!E23))=0),"",IF(AND(ISNUMBER('Raw Data'!E23),'Raw Data'!E23&gt;=Configuration!$D$2),"",_xlfn.REGEXEXTRACT(CELL("address",'Raw Data'!E23),"\$([A-Z]+)\$[0-9]+"))),_xlfn.REGEXEXTRACT(CELL("address",E23),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4),FALSE)),"",_xlfn.REGEXEXTRACT(CELL("address",F23),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</row>
    <row r="24" spans="2:30" x14ac:dyDescent="0.25">
      <c r="B24" s="7" t="str" cm="1">
        <f t="array" aca="1" ref="B24" ca="1">IFERROR(IF(OR('Raw Data'!B24="",LEN(TRIM('Raw Data'!B24))=0),"",IF(AND(LEN('Raw Data'!B24) &lt;= 20,LEN('Raw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20,LEN('Raw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Data'!E24))=0),"",IF(AND(ISNUMBER('Raw Data'!E24),'Raw Data'!E24&gt;=Configuration!$D$2),"",_xlfn.REGEXEXTRACT(CELL("address",'Raw Data'!E24),"\$([A-Z]+)\$[0-9]+"))),_xlfn.REGEXEXTRACT(CELL("address",E24),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4),FALSE)),"",_xlfn.REGEXEXTRACT(CELL("address",F24),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</row>
    <row r="25" spans="2:30" x14ac:dyDescent="0.25">
      <c r="B25" s="7" t="str" cm="1">
        <f t="array" aca="1" ref="B25" ca="1">IFERROR(IF(OR('Raw Data'!B25="",LEN(TRIM('Raw Data'!B25))=0),"",IF(AND(LEN('Raw Data'!B25) &lt;= 20,LEN('Raw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20,LEN('Raw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Data'!E25))=0),"",IF(AND(ISNUMBER('Raw Data'!E25),'Raw Data'!E25&gt;=Configuration!$D$2),"",_xlfn.REGEXEXTRACT(CELL("address",'Raw Data'!E25),"\$([A-Z]+)\$[0-9]+"))),_xlfn.REGEXEXTRACT(CELL("address",E25),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4),FALSE)),"",_xlfn.REGEXEXTRACT(CELL("address",F25),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</row>
    <row r="26" spans="2:30" x14ac:dyDescent="0.25">
      <c r="B26" s="7" t="str" cm="1">
        <f t="array" aca="1" ref="B26" ca="1">IFERROR(IF(OR('Raw Data'!B26="",LEN(TRIM('Raw Data'!B26))=0),"",IF(AND(LEN('Raw Data'!B26) &lt;= 20,LEN('Raw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20,LEN('Raw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Data'!E26))=0),"",IF(AND(ISNUMBER('Raw Data'!E26),'Raw Data'!E26&gt;=Configuration!$D$2),"",_xlfn.REGEXEXTRACT(CELL("address",'Raw Data'!E26),"\$([A-Z]+)\$[0-9]+"))),_xlfn.REGEXEXTRACT(CELL("address",E26),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4),FALSE)),"",_xlfn.REGEXEXTRACT(CELL("address",F26),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</row>
    <row r="27" spans="2:30" x14ac:dyDescent="0.25">
      <c r="B27" s="7" t="str" cm="1">
        <f t="array" aca="1" ref="B27" ca="1">IFERROR(IF(OR('Raw Data'!B27="",LEN(TRIM('Raw Data'!B27))=0),"",IF(AND(LEN('Raw Data'!B27) &lt;= 20,LEN('Raw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20,LEN('Raw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Data'!E27))=0),"",IF(AND(ISNUMBER('Raw Data'!E27),'Raw Data'!E27&gt;=Configuration!$D$2),"",_xlfn.REGEXEXTRACT(CELL("address",'Raw Data'!E27),"\$([A-Z]+)\$[0-9]+"))),_xlfn.REGEXEXTRACT(CELL("address",E27),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4),FALSE)),"",_xlfn.REGEXEXTRACT(CELL("address",F27),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</row>
    <row r="28" spans="2:30" x14ac:dyDescent="0.25">
      <c r="B28" s="7" t="str" cm="1">
        <f t="array" aca="1" ref="B28" ca="1">IFERROR(IF(OR('Raw Data'!B28="",LEN(TRIM('Raw Data'!B28))=0),"",IF(AND(LEN('Raw Data'!B28) &lt;= 20,LEN('Raw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20,LEN('Raw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Data'!E28))=0),"",IF(AND(ISNUMBER('Raw Data'!E28),'Raw Data'!E28&gt;=Configuration!$D$2),"",_xlfn.REGEXEXTRACT(CELL("address",'Raw Data'!E28),"\$([A-Z]+)\$[0-9]+"))),_xlfn.REGEXEXTRACT(CELL("address",E28),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4),FALSE)),"",_xlfn.REGEXEXTRACT(CELL("address",F28),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</row>
    <row r="29" spans="2:30" x14ac:dyDescent="0.25">
      <c r="B29" s="7" t="str" cm="1">
        <f t="array" aca="1" ref="B29" ca="1">IFERROR(IF(OR('Raw Data'!B29="",LEN(TRIM('Raw Data'!B29))=0),"",IF(AND(LEN('Raw Data'!B29) &lt;= 20,LEN('Raw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20,LEN('Raw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Data'!E29))=0),"",IF(AND(ISNUMBER('Raw Data'!E29),'Raw Data'!E29&gt;=Configuration!$D$2),"",_xlfn.REGEXEXTRACT(CELL("address",'Raw Data'!E29),"\$([A-Z]+)\$[0-9]+"))),_xlfn.REGEXEXTRACT(CELL("address",E29),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4),FALSE)),"",_xlfn.REGEXEXTRACT(CELL("address",F29),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</row>
    <row r="30" spans="2:30" x14ac:dyDescent="0.25">
      <c r="B30" s="7" t="str" cm="1">
        <f t="array" aca="1" ref="B30" ca="1">IFERROR(IF(OR('Raw Data'!B30="",LEN(TRIM('Raw Data'!B30))=0),"",IF(AND(LEN('Raw Data'!B30) &lt;= 20,LEN('Raw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20,LEN('Raw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Data'!E30))=0),"",IF(AND(ISNUMBER('Raw Data'!E30),'Raw Data'!E30&gt;=Configuration!$D$2),"",_xlfn.REGEXEXTRACT(CELL("address",'Raw Data'!E30),"\$([A-Z]+)\$[0-9]+"))),_xlfn.REGEXEXTRACT(CELL("address",E30),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4),FALSE)),"",_xlfn.REGEXEXTRACT(CELL("address",F30),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</row>
    <row r="31" spans="2:30" x14ac:dyDescent="0.25">
      <c r="B31" s="7" t="str" cm="1">
        <f t="array" aca="1" ref="B31" ca="1">IFERROR(IF(OR('Raw Data'!B31="",LEN(TRIM('Raw Data'!B31))=0),"",IF(AND(LEN('Raw Data'!B31) &lt;= 20,LEN('Raw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20,LEN('Raw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Data'!E31))=0),"",IF(AND(ISNUMBER('Raw Data'!E31),'Raw Data'!E31&gt;=Configuration!$D$2),"",_xlfn.REGEXEXTRACT(CELL("address",'Raw Data'!E31),"\$([A-Z]+)\$[0-9]+"))),_xlfn.REGEXEXTRACT(CELL("address",E31),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4),FALSE)),"",_xlfn.REGEXEXTRACT(CELL("address",F31),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</row>
    <row r="32" spans="2:30" x14ac:dyDescent="0.25">
      <c r="B32" s="7" t="str" cm="1">
        <f t="array" aca="1" ref="B32" ca="1">IFERROR(IF(OR('Raw Data'!B32="",LEN(TRIM('Raw Data'!B32))=0),"",IF(AND(LEN('Raw Data'!B32) &lt;= 20,LEN('Raw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20,LEN('Raw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Data'!E32))=0),"",IF(AND(ISNUMBER('Raw Data'!E32),'Raw Data'!E32&gt;=Configuration!$D$2),"",_xlfn.REGEXEXTRACT(CELL("address",'Raw Data'!E32),"\$([A-Z]+)\$[0-9]+"))),_xlfn.REGEXEXTRACT(CELL("address",E32),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4),FALSE)),"",_xlfn.REGEXEXTRACT(CELL("address",F32),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</row>
    <row r="33" spans="2:30" x14ac:dyDescent="0.25">
      <c r="B33" s="7" t="str" cm="1">
        <f t="array" aca="1" ref="B33" ca="1">IFERROR(IF(OR('Raw Data'!B33="",LEN(TRIM('Raw Data'!B33))=0),"",IF(AND(LEN('Raw Data'!B33) &lt;= 20,LEN('Raw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20,LEN('Raw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Data'!E33))=0),"",IF(AND(ISNUMBER('Raw Data'!E33),'Raw Data'!E33&gt;=Configuration!$D$2),"",_xlfn.REGEXEXTRACT(CELL("address",'Raw Data'!E33),"\$([A-Z]+)\$[0-9]+"))),_xlfn.REGEXEXTRACT(CELL("address",E33),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4),FALSE)),"",_xlfn.REGEXEXTRACT(CELL("address",F33),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</row>
    <row r="34" spans="2:30" x14ac:dyDescent="0.25">
      <c r="B34" s="7" t="str" cm="1">
        <f t="array" aca="1" ref="B34" ca="1">IFERROR(IF(OR('Raw Data'!B34="",LEN(TRIM('Raw Data'!B34))=0),"",IF(AND(LEN('Raw Data'!B34) &lt;= 20,LEN('Raw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20,LEN('Raw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Data'!E34))=0),"",IF(AND(ISNUMBER('Raw Data'!E34),'Raw Data'!E34&gt;=Configuration!$D$2),"",_xlfn.REGEXEXTRACT(CELL("address",'Raw Data'!E34),"\$([A-Z]+)\$[0-9]+"))),_xlfn.REGEXEXTRACT(CELL("address",E34),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4),FALSE)),"",_xlfn.REGEXEXTRACT(CELL("address",F34),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</row>
    <row r="35" spans="2:30" x14ac:dyDescent="0.25">
      <c r="B35" s="7" t="str" cm="1">
        <f t="array" aca="1" ref="B35" ca="1">IFERROR(IF(OR('Raw Data'!B35="",LEN(TRIM('Raw Data'!B35))=0),"",IF(AND(LEN('Raw Data'!B35) &lt;= 20,LEN('Raw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20,LEN('Raw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Data'!E35))=0),"",IF(AND(ISNUMBER('Raw Data'!E35),'Raw Data'!E35&gt;=Configuration!$D$2),"",_xlfn.REGEXEXTRACT(CELL("address",'Raw Data'!E35),"\$([A-Z]+)\$[0-9]+"))),_xlfn.REGEXEXTRACT(CELL("address",E35),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4),FALSE)),"",_xlfn.REGEXEXTRACT(CELL("address",F35),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</row>
    <row r="36" spans="2:30" x14ac:dyDescent="0.25">
      <c r="B36" s="7" t="str" cm="1">
        <f t="array" aca="1" ref="B36" ca="1">IFERROR(IF(OR('Raw Data'!B36="",LEN(TRIM('Raw Data'!B36))=0),"",IF(AND(LEN('Raw Data'!B36) &lt;= 20,LEN('Raw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20,LEN('Raw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Data'!E36))=0),"",IF(AND(ISNUMBER('Raw Data'!E36),'Raw Data'!E36&gt;=Configuration!$D$2),"",_xlfn.REGEXEXTRACT(CELL("address",'Raw Data'!E36),"\$([A-Z]+)\$[0-9]+"))),_xlfn.REGEXEXTRACT(CELL("address",E36),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4),FALSE)),"",_xlfn.REGEXEXTRACT(CELL("address",F36),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</row>
    <row r="37" spans="2:30" x14ac:dyDescent="0.25">
      <c r="B37" s="7" t="str" cm="1">
        <f t="array" aca="1" ref="B37" ca="1">IFERROR(IF(OR('Raw Data'!B37="",LEN(TRIM('Raw Data'!B37))=0),"",IF(AND(LEN('Raw Data'!B37) &lt;= 20,LEN('Raw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20,LEN('Raw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Data'!E37))=0),"",IF(AND(ISNUMBER('Raw Data'!E37),'Raw Data'!E37&gt;=Configuration!$D$2),"",_xlfn.REGEXEXTRACT(CELL("address",'Raw Data'!E37),"\$([A-Z]+)\$[0-9]+"))),_xlfn.REGEXEXTRACT(CELL("address",E37),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4),FALSE)),"",_xlfn.REGEXEXTRACT(CELL("address",F37),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</row>
    <row r="38" spans="2:30" x14ac:dyDescent="0.25">
      <c r="B38" s="7" t="str" cm="1">
        <f t="array" aca="1" ref="B38" ca="1">IFERROR(IF(OR('Raw Data'!B38="",LEN(TRIM('Raw Data'!B38))=0),"",IF(AND(LEN('Raw Data'!B38) &lt;= 20,LEN('Raw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20,LEN('Raw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Data'!E38))=0),"",IF(AND(ISNUMBER('Raw Data'!E38),'Raw Data'!E38&gt;=Configuration!$D$2),"",_xlfn.REGEXEXTRACT(CELL("address",'Raw Data'!E38),"\$([A-Z]+)\$[0-9]+"))),_xlfn.REGEXEXTRACT(CELL("address",E38),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4),FALSE)),"",_xlfn.REGEXEXTRACT(CELL("address",F38),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</row>
    <row r="39" spans="2:30" x14ac:dyDescent="0.25">
      <c r="B39" s="7" t="str" cm="1">
        <f t="array" aca="1" ref="B39" ca="1">IFERROR(IF(OR('Raw Data'!B39="",LEN(TRIM('Raw Data'!B39))=0),"",IF(AND(LEN('Raw Data'!B39) &lt;= 20,LEN('Raw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20,LEN('Raw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Data'!E39))=0),"",IF(AND(ISNUMBER('Raw Data'!E39),'Raw Data'!E39&gt;=Configuration!$D$2),"",_xlfn.REGEXEXTRACT(CELL("address",'Raw Data'!E39),"\$([A-Z]+)\$[0-9]+"))),_xlfn.REGEXEXTRACT(CELL("address",E39),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4),FALSE)),"",_xlfn.REGEXEXTRACT(CELL("address",F39),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</row>
    <row r="40" spans="2:30" x14ac:dyDescent="0.25">
      <c r="B40" s="7" t="str" cm="1">
        <f t="array" aca="1" ref="B40" ca="1">IFERROR(IF(OR('Raw Data'!B40="",LEN(TRIM('Raw Data'!B40))=0),"",IF(AND(LEN('Raw Data'!B40) &lt;= 20,LEN('Raw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20,LEN('Raw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Data'!E40))=0),"",IF(AND(ISNUMBER('Raw Data'!E40),'Raw Data'!E40&gt;=Configuration!$D$2),"",_xlfn.REGEXEXTRACT(CELL("address",'Raw Data'!E40),"\$([A-Z]+)\$[0-9]+"))),_xlfn.REGEXEXTRACT(CELL("address",E40),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4),FALSE)),"",_xlfn.REGEXEXTRACT(CELL("address",F40),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</row>
    <row r="41" spans="2:30" x14ac:dyDescent="0.25">
      <c r="B41" s="7" t="str" cm="1">
        <f t="array" aca="1" ref="B41" ca="1">IFERROR(IF(OR('Raw Data'!B41="",LEN(TRIM('Raw Data'!B41))=0),"",IF(AND(LEN('Raw Data'!B41) &lt;= 20,LEN('Raw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20,LEN('Raw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Data'!E41))=0),"",IF(AND(ISNUMBER('Raw Data'!E41),'Raw Data'!E41&gt;=Configuration!$D$2),"",_xlfn.REGEXEXTRACT(CELL("address",'Raw Data'!E41),"\$([A-Z]+)\$[0-9]+"))),_xlfn.REGEXEXTRACT(CELL("address",E41),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4),FALSE)),"",_xlfn.REGEXEXTRACT(CELL("address",F41),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</row>
    <row r="42" spans="2:30" x14ac:dyDescent="0.25">
      <c r="B42" s="7" t="str" cm="1">
        <f t="array" aca="1" ref="B42" ca="1">IFERROR(IF(OR('Raw Data'!B42="",LEN(TRIM('Raw Data'!B42))=0),"",IF(AND(LEN('Raw Data'!B42) &lt;= 20,LEN('Raw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20,LEN('Raw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Data'!E42))=0),"",IF(AND(ISNUMBER('Raw Data'!E42),'Raw Data'!E42&gt;=Configuration!$D$2),"",_xlfn.REGEXEXTRACT(CELL("address",'Raw Data'!E42),"\$([A-Z]+)\$[0-9]+"))),_xlfn.REGEXEXTRACT(CELL("address",E42),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4),FALSE)),"",_xlfn.REGEXEXTRACT(CELL("address",F42),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</row>
    <row r="43" spans="2:30" x14ac:dyDescent="0.25">
      <c r="B43" s="7" t="str" cm="1">
        <f t="array" aca="1" ref="B43" ca="1">IFERROR(IF(OR('Raw Data'!B43="",LEN(TRIM('Raw Data'!B43))=0),"",IF(AND(LEN('Raw Data'!B43) &lt;= 20,LEN('Raw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20,LEN('Raw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Data'!E43))=0),"",IF(AND(ISNUMBER('Raw Data'!E43),'Raw Data'!E43&gt;=Configuration!$D$2),"",_xlfn.REGEXEXTRACT(CELL("address",'Raw Data'!E43),"\$([A-Z]+)\$[0-9]+"))),_xlfn.REGEXEXTRACT(CELL("address",E43),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4),FALSE)),"",_xlfn.REGEXEXTRACT(CELL("address",F43),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</row>
    <row r="44" spans="2:30" x14ac:dyDescent="0.25">
      <c r="B44" s="7" t="str" cm="1">
        <f t="array" aca="1" ref="B44" ca="1">IFERROR(IF(OR('Raw Data'!B44="",LEN(TRIM('Raw Data'!B44))=0),"",IF(AND(LEN('Raw Data'!B44) &lt;= 20,LEN('Raw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20,LEN('Raw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Data'!E44))=0),"",IF(AND(ISNUMBER('Raw Data'!E44),'Raw Data'!E44&gt;=Configuration!$D$2),"",_xlfn.REGEXEXTRACT(CELL("address",'Raw Data'!E44),"\$([A-Z]+)\$[0-9]+"))),_xlfn.REGEXEXTRACT(CELL("address",E44),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4),FALSE)),"",_xlfn.REGEXEXTRACT(CELL("address",F44),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</row>
    <row r="45" spans="2:30" x14ac:dyDescent="0.25">
      <c r="B45" s="7" t="str" cm="1">
        <f t="array" aca="1" ref="B45" ca="1">IFERROR(IF(OR('Raw Data'!B45="",LEN(TRIM('Raw Data'!B45))=0),"",IF(AND(LEN('Raw Data'!B45) &lt;= 20,LEN('Raw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20,LEN('Raw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Data'!E45))=0),"",IF(AND(ISNUMBER('Raw Data'!E45),'Raw Data'!E45&gt;=Configuration!$D$2),"",_xlfn.REGEXEXTRACT(CELL("address",'Raw Data'!E45),"\$([A-Z]+)\$[0-9]+"))),_xlfn.REGEXEXTRACT(CELL("address",E45),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4),FALSE)),"",_xlfn.REGEXEXTRACT(CELL("address",F45),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</row>
    <row r="46" spans="2:30" x14ac:dyDescent="0.25">
      <c r="B46" s="7" t="str" cm="1">
        <f t="array" aca="1" ref="B46" ca="1">IFERROR(IF(OR('Raw Data'!B46="",LEN(TRIM('Raw Data'!B46))=0),"",IF(AND(LEN('Raw Data'!B46) &lt;= 20,LEN('Raw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20,LEN('Raw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Data'!E46))=0),"",IF(AND(ISNUMBER('Raw Data'!E46),'Raw Data'!E46&gt;=Configuration!$D$2),"",_xlfn.REGEXEXTRACT(CELL("address",'Raw Data'!E46),"\$([A-Z]+)\$[0-9]+"))),_xlfn.REGEXEXTRACT(CELL("address",E46),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4),FALSE)),"",_xlfn.REGEXEXTRACT(CELL("address",F46),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</row>
    <row r="47" spans="2:30" x14ac:dyDescent="0.25">
      <c r="B47" s="7" t="str" cm="1">
        <f t="array" aca="1" ref="B47" ca="1">IFERROR(IF(OR('Raw Data'!B47="",LEN(TRIM('Raw Data'!B47))=0),"",IF(AND(LEN('Raw Data'!B47) &lt;= 20,LEN('Raw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20,LEN('Raw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Data'!E47))=0),"",IF(AND(ISNUMBER('Raw Data'!E47),'Raw Data'!E47&gt;=Configuration!$D$2),"",_xlfn.REGEXEXTRACT(CELL("address",'Raw Data'!E47),"\$([A-Z]+)\$[0-9]+"))),_xlfn.REGEXEXTRACT(CELL("address",E47),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4),FALSE)),"",_xlfn.REGEXEXTRACT(CELL("address",F47),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</row>
    <row r="48" spans="2:30" x14ac:dyDescent="0.25">
      <c r="B48" s="7" t="str" cm="1">
        <f t="array" aca="1" ref="B48" ca="1">IFERROR(IF(OR('Raw Data'!B48="",LEN(TRIM('Raw Data'!B48))=0),"",IF(AND(LEN('Raw Data'!B48) &lt;= 20,LEN('Raw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20,LEN('Raw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Data'!E48))=0),"",IF(AND(ISNUMBER('Raw Data'!E48),'Raw Data'!E48&gt;=Configuration!$D$2),"",_xlfn.REGEXEXTRACT(CELL("address",'Raw Data'!E48),"\$([A-Z]+)\$[0-9]+"))),_xlfn.REGEXEXTRACT(CELL("address",E48),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4),FALSE)),"",_xlfn.REGEXEXTRACT(CELL("address",F48),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</row>
    <row r="49" spans="2:30" x14ac:dyDescent="0.25">
      <c r="B49" s="7" t="str" cm="1">
        <f t="array" aca="1" ref="B49" ca="1">IFERROR(IF(OR('Raw Data'!B49="",LEN(TRIM('Raw Data'!B49))=0),"",IF(AND(LEN('Raw Data'!B49) &lt;= 20,LEN('Raw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20,LEN('Raw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Data'!E49))=0),"",IF(AND(ISNUMBER('Raw Data'!E49),'Raw Data'!E49&gt;=Configuration!$D$2),"",_xlfn.REGEXEXTRACT(CELL("address",'Raw Data'!E49),"\$([A-Z]+)\$[0-9]+"))),_xlfn.REGEXEXTRACT(CELL("address",E49),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4),FALSE)),"",_xlfn.REGEXEXTRACT(CELL("address",F49),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</row>
    <row r="50" spans="2:30" x14ac:dyDescent="0.25">
      <c r="B50" s="7" t="str" cm="1">
        <f t="array" aca="1" ref="B50" ca="1">IFERROR(IF(OR('Raw Data'!B50="",LEN(TRIM('Raw Data'!B50))=0),"",IF(AND(LEN('Raw Data'!B50) &lt;= 20,LEN('Raw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20,LEN('Raw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Data'!E50))=0),"",IF(AND(ISNUMBER('Raw Data'!E50),'Raw Data'!E50&gt;=Configuration!$D$2),"",_xlfn.REGEXEXTRACT(CELL("address",'Raw Data'!E50),"\$([A-Z]+)\$[0-9]+"))),_xlfn.REGEXEXTRACT(CELL("address",E50),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4),FALSE)),"",_xlfn.REGEXEXTRACT(CELL("address",F50),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</row>
    <row r="51" spans="2:30" x14ac:dyDescent="0.25">
      <c r="B51" s="7" t="str" cm="1">
        <f t="array" aca="1" ref="B51" ca="1">IFERROR(IF(OR('Raw Data'!B51="",LEN(TRIM('Raw Data'!B51))=0),"",IF(AND(LEN('Raw Data'!B51) &lt;= 20,LEN('Raw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20,LEN('Raw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Data'!E51))=0),"",IF(AND(ISNUMBER('Raw Data'!E51),'Raw Data'!E51&gt;=Configuration!$D$2),"",_xlfn.REGEXEXTRACT(CELL("address",'Raw Data'!E51),"\$([A-Z]+)\$[0-9]+"))),_xlfn.REGEXEXTRACT(CELL("address",E51),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4),FALSE)),"",_xlfn.REGEXEXTRACT(CELL("address",F51),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</row>
    <row r="52" spans="2:30" x14ac:dyDescent="0.25">
      <c r="B52" s="7" t="str" cm="1">
        <f t="array" aca="1" ref="B52" ca="1">IFERROR(IF(OR('Raw Data'!B52="",LEN(TRIM('Raw Data'!B52))=0),"",IF(AND(LEN('Raw Data'!B52) &lt;= 20,LEN('Raw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20,LEN('Raw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Data'!E52))=0),"",IF(AND(ISNUMBER('Raw Data'!E52),'Raw Data'!E52&gt;=Configuration!$D$2),"",_xlfn.REGEXEXTRACT(CELL("address",'Raw Data'!E52),"\$([A-Z]+)\$[0-9]+"))),_xlfn.REGEXEXTRACT(CELL("address",E52),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4),FALSE)),"",_xlfn.REGEXEXTRACT(CELL("address",F52),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</row>
    <row r="53" spans="2:30" x14ac:dyDescent="0.25">
      <c r="B53" s="7" t="str" cm="1">
        <f t="array" aca="1" ref="B53" ca="1">IFERROR(IF(OR('Raw Data'!B53="",LEN(TRIM('Raw Data'!B53))=0),"",IF(AND(LEN('Raw Data'!B53) &lt;= 20,LEN('Raw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20,LEN('Raw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Data'!E53))=0),"",IF(AND(ISNUMBER('Raw Data'!E53),'Raw Data'!E53&gt;=Configuration!$D$2),"",_xlfn.REGEXEXTRACT(CELL("address",'Raw Data'!E53),"\$([A-Z]+)\$[0-9]+"))),_xlfn.REGEXEXTRACT(CELL("address",E53),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4),FALSE)),"",_xlfn.REGEXEXTRACT(CELL("address",F53),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</row>
    <row r="54" spans="2:30" x14ac:dyDescent="0.25">
      <c r="B54" s="7" t="str" cm="1">
        <f t="array" aca="1" ref="B54" ca="1">IFERROR(IF(OR('Raw Data'!B54="",LEN(TRIM('Raw Data'!B54))=0),"",IF(AND(LEN('Raw Data'!B54) &lt;= 20,LEN('Raw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20,LEN('Raw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Data'!E54))=0),"",IF(AND(ISNUMBER('Raw Data'!E54),'Raw Data'!E54&gt;=Configuration!$D$2),"",_xlfn.REGEXEXTRACT(CELL("address",'Raw Data'!E54),"\$([A-Z]+)\$[0-9]+"))),_xlfn.REGEXEXTRACT(CELL("address",E54),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4),FALSE)),"",_xlfn.REGEXEXTRACT(CELL("address",F54),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</row>
    <row r="55" spans="2:30" x14ac:dyDescent="0.25">
      <c r="B55" s="7" t="str" cm="1">
        <f t="array" aca="1" ref="B55" ca="1">IFERROR(IF(OR('Raw Data'!B55="",LEN(TRIM('Raw Data'!B55))=0),"",IF(AND(LEN('Raw Data'!B55) &lt;= 20,LEN('Raw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20,LEN('Raw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Data'!E55))=0),"",IF(AND(ISNUMBER('Raw Data'!E55),'Raw Data'!E55&gt;=Configuration!$D$2),"",_xlfn.REGEXEXTRACT(CELL("address",'Raw Data'!E55),"\$([A-Z]+)\$[0-9]+"))),_xlfn.REGEXEXTRACT(CELL("address",E55),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4),FALSE)),"",_xlfn.REGEXEXTRACT(CELL("address",F55),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</row>
    <row r="56" spans="2:30" x14ac:dyDescent="0.25">
      <c r="B56" s="7" t="str" cm="1">
        <f t="array" aca="1" ref="B56" ca="1">IFERROR(IF(OR('Raw Data'!B56="",LEN(TRIM('Raw Data'!B56))=0),"",IF(AND(LEN('Raw Data'!B56) &lt;= 20,LEN('Raw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20,LEN('Raw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Data'!E56))=0),"",IF(AND(ISNUMBER('Raw Data'!E56),'Raw Data'!E56&gt;=Configuration!$D$2),"",_xlfn.REGEXEXTRACT(CELL("address",'Raw Data'!E56),"\$([A-Z]+)\$[0-9]+"))),_xlfn.REGEXEXTRACT(CELL("address",E56),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4),FALSE)),"",_xlfn.REGEXEXTRACT(CELL("address",F56),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</row>
    <row r="57" spans="2:30" x14ac:dyDescent="0.25">
      <c r="B57" s="7" t="str" cm="1">
        <f t="array" aca="1" ref="B57" ca="1">IFERROR(IF(OR('Raw Data'!B57="",LEN(TRIM('Raw Data'!B57))=0),"",IF(AND(LEN('Raw Data'!B57) &lt;= 20,LEN('Raw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20,LEN('Raw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Data'!E57))=0),"",IF(AND(ISNUMBER('Raw Data'!E57),'Raw Data'!E57&gt;=Configuration!$D$2),"",_xlfn.REGEXEXTRACT(CELL("address",'Raw Data'!E57),"\$([A-Z]+)\$[0-9]+"))),_xlfn.REGEXEXTRACT(CELL("address",E57),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4),FALSE)),"",_xlfn.REGEXEXTRACT(CELL("address",F57),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</row>
    <row r="58" spans="2:30" x14ac:dyDescent="0.25">
      <c r="B58" s="7" t="str" cm="1">
        <f t="array" aca="1" ref="B58" ca="1">IFERROR(IF(OR('Raw Data'!B58="",LEN(TRIM('Raw Data'!B58))=0),"",IF(AND(LEN('Raw Data'!B58) &lt;= 20,LEN('Raw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20,LEN('Raw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Data'!E58))=0),"",IF(AND(ISNUMBER('Raw Data'!E58),'Raw Data'!E58&gt;=Configuration!$D$2),"",_xlfn.REGEXEXTRACT(CELL("address",'Raw Data'!E58),"\$([A-Z]+)\$[0-9]+"))),_xlfn.REGEXEXTRACT(CELL("address",E58),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4),FALSE)),"",_xlfn.REGEXEXTRACT(CELL("address",F58),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</row>
    <row r="59" spans="2:30" x14ac:dyDescent="0.25">
      <c r="B59" s="7" t="str" cm="1">
        <f t="array" aca="1" ref="B59" ca="1">IFERROR(IF(OR('Raw Data'!B59="",LEN(TRIM('Raw Data'!B59))=0),"",IF(AND(LEN('Raw Data'!B59) &lt;= 20,LEN('Raw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20,LEN('Raw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Data'!E59))=0),"",IF(AND(ISNUMBER('Raw Data'!E59),'Raw Data'!E59&gt;=Configuration!$D$2),"",_xlfn.REGEXEXTRACT(CELL("address",'Raw Data'!E59),"\$([A-Z]+)\$[0-9]+"))),_xlfn.REGEXEXTRACT(CELL("address",E59),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4),FALSE)),"",_xlfn.REGEXEXTRACT(CELL("address",F59),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</row>
    <row r="60" spans="2:30" x14ac:dyDescent="0.25">
      <c r="B60" s="7" t="str" cm="1">
        <f t="array" aca="1" ref="B60" ca="1">IFERROR(IF(OR('Raw Data'!B60="",LEN(TRIM('Raw Data'!B60))=0),"",IF(AND(LEN('Raw Data'!B60) &lt;= 20,LEN('Raw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20,LEN('Raw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Data'!E60))=0),"",IF(AND(ISNUMBER('Raw Data'!E60),'Raw Data'!E60&gt;=Configuration!$D$2),"",_xlfn.REGEXEXTRACT(CELL("address",'Raw Data'!E60),"\$([A-Z]+)\$[0-9]+"))),_xlfn.REGEXEXTRACT(CELL("address",E60),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4),FALSE)),"",_xlfn.REGEXEXTRACT(CELL("address",F60),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</row>
    <row r="61" spans="2:30" x14ac:dyDescent="0.25">
      <c r="B61" s="7" t="str" cm="1">
        <f t="array" aca="1" ref="B61" ca="1">IFERROR(IF(OR('Raw Data'!B61="",LEN(TRIM('Raw Data'!B61))=0),"",IF(AND(LEN('Raw Data'!B61) &lt;= 20,LEN('Raw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20,LEN('Raw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Data'!E61))=0),"",IF(AND(ISNUMBER('Raw Data'!E61),'Raw Data'!E61&gt;=Configuration!$D$2),"",_xlfn.REGEXEXTRACT(CELL("address",'Raw Data'!E61),"\$([A-Z]+)\$[0-9]+"))),_xlfn.REGEXEXTRACT(CELL("address",E61),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4),FALSE)),"",_xlfn.REGEXEXTRACT(CELL("address",F61),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</row>
    <row r="62" spans="2:30" x14ac:dyDescent="0.25">
      <c r="B62" s="7" t="str" cm="1">
        <f t="array" aca="1" ref="B62" ca="1">IFERROR(IF(OR('Raw Data'!B62="",LEN(TRIM('Raw Data'!B62))=0),"",IF(AND(LEN('Raw Data'!B62) &lt;= 20,LEN('Raw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20,LEN('Raw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Data'!E62))=0),"",IF(AND(ISNUMBER('Raw Data'!E62),'Raw Data'!E62&gt;=Configuration!$D$2),"",_xlfn.REGEXEXTRACT(CELL("address",'Raw Data'!E62),"\$([A-Z]+)\$[0-9]+"))),_xlfn.REGEXEXTRACT(CELL("address",E62),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4),FALSE)),"",_xlfn.REGEXEXTRACT(CELL("address",F62),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</row>
    <row r="63" spans="2:30" x14ac:dyDescent="0.25">
      <c r="B63" s="7" t="str" cm="1">
        <f t="array" aca="1" ref="B63" ca="1">IFERROR(IF(OR('Raw Data'!B63="",LEN(TRIM('Raw Data'!B63))=0),"",IF(AND(LEN('Raw Data'!B63) &lt;= 20,LEN('Raw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20,LEN('Raw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Data'!E63))=0),"",IF(AND(ISNUMBER('Raw Data'!E63),'Raw Data'!E63&gt;=Configuration!$D$2),"",_xlfn.REGEXEXTRACT(CELL("address",'Raw Data'!E63),"\$([A-Z]+)\$[0-9]+"))),_xlfn.REGEXEXTRACT(CELL("address",E63),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4),FALSE)),"",_xlfn.REGEXEXTRACT(CELL("address",F63),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</row>
    <row r="64" spans="2:30" x14ac:dyDescent="0.25">
      <c r="B64" s="7" t="str" cm="1">
        <f t="array" aca="1" ref="B64" ca="1">IFERROR(IF(OR('Raw Data'!B64="",LEN(TRIM('Raw Data'!B64))=0),"",IF(AND(LEN('Raw Data'!B64) &lt;= 20,LEN('Raw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20,LEN('Raw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Data'!E64))=0),"",IF(AND(ISNUMBER('Raw Data'!E64),'Raw Data'!E64&gt;=Configuration!$D$2),"",_xlfn.REGEXEXTRACT(CELL("address",'Raw Data'!E64),"\$([A-Z]+)\$[0-9]+"))),_xlfn.REGEXEXTRACT(CELL("address",E64),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4),FALSE)),"",_xlfn.REGEXEXTRACT(CELL("address",F64),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</row>
    <row r="65" spans="2:30" x14ac:dyDescent="0.25">
      <c r="B65" s="7" t="str" cm="1">
        <f t="array" aca="1" ref="B65" ca="1">IFERROR(IF(OR('Raw Data'!B65="",LEN(TRIM('Raw Data'!B65))=0),"",IF(AND(LEN('Raw Data'!B65) &lt;= 20,LEN('Raw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20,LEN('Raw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Data'!E65))=0),"",IF(AND(ISNUMBER('Raw Data'!E65),'Raw Data'!E65&gt;=Configuration!$D$2),"",_xlfn.REGEXEXTRACT(CELL("address",'Raw Data'!E65),"\$([A-Z]+)\$[0-9]+"))),_xlfn.REGEXEXTRACT(CELL("address",E65),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4),FALSE)),"",_xlfn.REGEXEXTRACT(CELL("address",F65),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</row>
    <row r="66" spans="2:30" x14ac:dyDescent="0.25">
      <c r="B66" s="7" t="str" cm="1">
        <f t="array" aca="1" ref="B66" ca="1">IFERROR(IF(OR('Raw Data'!B66="",LEN(TRIM('Raw Data'!B66))=0),"",IF(AND(LEN('Raw Data'!B66) &lt;= 20,LEN('Raw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20,LEN('Raw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Data'!E66))=0),"",IF(AND(ISNUMBER('Raw Data'!E66),'Raw Data'!E66&gt;=Configuration!$D$2),"",_xlfn.REGEXEXTRACT(CELL("address",'Raw Data'!E66),"\$([A-Z]+)\$[0-9]+"))),_xlfn.REGEXEXTRACT(CELL("address",E66),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4),FALSE)),"",_xlfn.REGEXEXTRACT(CELL("address",F66),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</row>
    <row r="67" spans="2:30" x14ac:dyDescent="0.25">
      <c r="B67" s="7" t="str" cm="1">
        <f t="array" aca="1" ref="B67" ca="1">IFERROR(IF(OR('Raw Data'!B67="",LEN(TRIM('Raw Data'!B67))=0),"",IF(AND(LEN('Raw Data'!B67) &lt;= 20,LEN('Raw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20,LEN('Raw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Data'!E67))=0),"",IF(AND(ISNUMBER('Raw Data'!E67),'Raw Data'!E67&gt;=Configuration!$D$2),"",_xlfn.REGEXEXTRACT(CELL("address",'Raw Data'!E67),"\$([A-Z]+)\$[0-9]+"))),_xlfn.REGEXEXTRACT(CELL("address",E67),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4),FALSE)),"",_xlfn.REGEXEXTRACT(CELL("address",F67),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</row>
    <row r="68" spans="2:30" x14ac:dyDescent="0.25">
      <c r="B68" s="7" t="str" cm="1">
        <f t="array" aca="1" ref="B68" ca="1">IFERROR(IF(OR('Raw Data'!B68="",LEN(TRIM('Raw Data'!B68))=0),"",IF(AND(LEN('Raw Data'!B68) &lt;= 20,LEN('Raw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20,LEN('Raw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Data'!E68))=0),"",IF(AND(ISNUMBER('Raw Data'!E68),'Raw Data'!E68&gt;=Configuration!$D$2),"",_xlfn.REGEXEXTRACT(CELL("address",'Raw Data'!E68),"\$([A-Z]+)\$[0-9]+"))),_xlfn.REGEXEXTRACT(CELL("address",E68),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4),FALSE)),"",_xlfn.REGEXEXTRACT(CELL("address",F68),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</row>
    <row r="69" spans="2:30" x14ac:dyDescent="0.25">
      <c r="B69" s="7" t="str" cm="1">
        <f t="array" aca="1" ref="B69" ca="1">IFERROR(IF(OR('Raw Data'!B69="",LEN(TRIM('Raw Data'!B69))=0),"",IF(AND(LEN('Raw Data'!B69) &lt;= 20,LEN('Raw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20,LEN('Raw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Data'!E69))=0),"",IF(AND(ISNUMBER('Raw Data'!E69),'Raw Data'!E69&gt;=Configuration!$D$2),"",_xlfn.REGEXEXTRACT(CELL("address",'Raw Data'!E69),"\$([A-Z]+)\$[0-9]+"))),_xlfn.REGEXEXTRACT(CELL("address",E69),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4),FALSE)),"",_xlfn.REGEXEXTRACT(CELL("address",F69),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</row>
    <row r="70" spans="2:30" x14ac:dyDescent="0.25">
      <c r="B70" s="7" t="str" cm="1">
        <f t="array" aca="1" ref="B70" ca="1">IFERROR(IF(OR('Raw Data'!B70="",LEN(TRIM('Raw Data'!B70))=0),"",IF(AND(LEN('Raw Data'!B70) &lt;= 20,LEN('Raw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20,LEN('Raw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Data'!E70))=0),"",IF(AND(ISNUMBER('Raw Data'!E70),'Raw Data'!E70&gt;=Configuration!$D$2),"",_xlfn.REGEXEXTRACT(CELL("address",'Raw Data'!E70),"\$([A-Z]+)\$[0-9]+"))),_xlfn.REGEXEXTRACT(CELL("address",E70),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4),FALSE)),"",_xlfn.REGEXEXTRACT(CELL("address",F70),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</row>
    <row r="71" spans="2:30" x14ac:dyDescent="0.25">
      <c r="B71" s="7" t="str" cm="1">
        <f t="array" aca="1" ref="B71" ca="1">IFERROR(IF(OR('Raw Data'!B71="",LEN(TRIM('Raw Data'!B71))=0),"",IF(AND(LEN('Raw Data'!B71) &lt;= 20,LEN('Raw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20,LEN('Raw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Data'!E71))=0),"",IF(AND(ISNUMBER('Raw Data'!E71),'Raw Data'!E71&gt;=Configuration!$D$2),"",_xlfn.REGEXEXTRACT(CELL("address",'Raw Data'!E71),"\$([A-Z]+)\$[0-9]+"))),_xlfn.REGEXEXTRACT(CELL("address",E71),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4),FALSE)),"",_xlfn.REGEXEXTRACT(CELL("address",F71),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</row>
    <row r="72" spans="2:30" x14ac:dyDescent="0.25">
      <c r="B72" s="7" t="str" cm="1">
        <f t="array" aca="1" ref="B72" ca="1">IFERROR(IF(OR('Raw Data'!B72="",LEN(TRIM('Raw Data'!B72))=0),"",IF(AND(LEN('Raw Data'!B72) &lt;= 20,LEN('Raw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20,LEN('Raw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Data'!E72))=0),"",IF(AND(ISNUMBER('Raw Data'!E72),'Raw Data'!E72&gt;=Configuration!$D$2),"",_xlfn.REGEXEXTRACT(CELL("address",'Raw Data'!E72),"\$([A-Z]+)\$[0-9]+"))),_xlfn.REGEXEXTRACT(CELL("address",E72),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4),FALSE)),"",_xlfn.REGEXEXTRACT(CELL("address",F72),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</row>
    <row r="73" spans="2:30" x14ac:dyDescent="0.25">
      <c r="B73" s="7" t="str" cm="1">
        <f t="array" aca="1" ref="B73" ca="1">IFERROR(IF(OR('Raw Data'!B73="",LEN(TRIM('Raw Data'!B73))=0),"",IF(AND(LEN('Raw Data'!B73) &lt;= 20,LEN('Raw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20,LEN('Raw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Data'!E73))=0),"",IF(AND(ISNUMBER('Raw Data'!E73),'Raw Data'!E73&gt;=Configuration!$D$2),"",_xlfn.REGEXEXTRACT(CELL("address",'Raw Data'!E73),"\$([A-Z]+)\$[0-9]+"))),_xlfn.REGEXEXTRACT(CELL("address",E73),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4),FALSE)),"",_xlfn.REGEXEXTRACT(CELL("address",F73),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</row>
    <row r="74" spans="2:30" x14ac:dyDescent="0.25">
      <c r="B74" s="7" t="str" cm="1">
        <f t="array" aca="1" ref="B74" ca="1">IFERROR(IF(OR('Raw Data'!B74="",LEN(TRIM('Raw Data'!B74))=0),"",IF(AND(LEN('Raw Data'!B74) &lt;= 20,LEN('Raw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20,LEN('Raw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Data'!E74))=0),"",IF(AND(ISNUMBER('Raw Data'!E74),'Raw Data'!E74&gt;=Configuration!$D$2),"",_xlfn.REGEXEXTRACT(CELL("address",'Raw Data'!E74),"\$([A-Z]+)\$[0-9]+"))),_xlfn.REGEXEXTRACT(CELL("address",E74),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4),FALSE)),"",_xlfn.REGEXEXTRACT(CELL("address",F74),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</row>
    <row r="75" spans="2:30" x14ac:dyDescent="0.25">
      <c r="B75" s="7" t="str" cm="1">
        <f t="array" aca="1" ref="B75" ca="1">IFERROR(IF(OR('Raw Data'!B75="",LEN(TRIM('Raw Data'!B75))=0),"",IF(AND(LEN('Raw Data'!B75) &lt;= 20,LEN('Raw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20,LEN('Raw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Data'!E75))=0),"",IF(AND(ISNUMBER('Raw Data'!E75),'Raw Data'!E75&gt;=Configuration!$D$2),"",_xlfn.REGEXEXTRACT(CELL("address",'Raw Data'!E75),"\$([A-Z]+)\$[0-9]+"))),_xlfn.REGEXEXTRACT(CELL("address",E75),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4),FALSE)),"",_xlfn.REGEXEXTRACT(CELL("address",F75),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</row>
    <row r="76" spans="2:30" x14ac:dyDescent="0.25">
      <c r="B76" s="7" t="str" cm="1">
        <f t="array" aca="1" ref="B76" ca="1">IFERROR(IF(OR('Raw Data'!B76="",LEN(TRIM('Raw Data'!B76))=0),"",IF(AND(LEN('Raw Data'!B76) &lt;= 20,LEN('Raw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20,LEN('Raw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Data'!E76))=0),"",IF(AND(ISNUMBER('Raw Data'!E76),'Raw Data'!E76&gt;=Configuration!$D$2),"",_xlfn.REGEXEXTRACT(CELL("address",'Raw Data'!E76),"\$([A-Z]+)\$[0-9]+"))),_xlfn.REGEXEXTRACT(CELL("address",E76),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4),FALSE)),"",_xlfn.REGEXEXTRACT(CELL("address",F76),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</row>
    <row r="77" spans="2:30" x14ac:dyDescent="0.25">
      <c r="B77" s="7" t="str" cm="1">
        <f t="array" aca="1" ref="B77" ca="1">IFERROR(IF(OR('Raw Data'!B77="",LEN(TRIM('Raw Data'!B77))=0),"",IF(AND(LEN('Raw Data'!B77) &lt;= 20,LEN('Raw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20,LEN('Raw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Data'!E77))=0),"",IF(AND(ISNUMBER('Raw Data'!E77),'Raw Data'!E77&gt;=Configuration!$D$2),"",_xlfn.REGEXEXTRACT(CELL("address",'Raw Data'!E77),"\$([A-Z]+)\$[0-9]+"))),_xlfn.REGEXEXTRACT(CELL("address",E77),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4),FALSE)),"",_xlfn.REGEXEXTRACT(CELL("address",F77),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</row>
    <row r="78" spans="2:30" x14ac:dyDescent="0.25">
      <c r="B78" s="7" t="str" cm="1">
        <f t="array" aca="1" ref="B78" ca="1">IFERROR(IF(OR('Raw Data'!B78="",LEN(TRIM('Raw Data'!B78))=0),"",IF(AND(LEN('Raw Data'!B78) &lt;= 20,LEN('Raw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20,LEN('Raw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Data'!E78))=0),"",IF(AND(ISNUMBER('Raw Data'!E78),'Raw Data'!E78&gt;=Configuration!$D$2),"",_xlfn.REGEXEXTRACT(CELL("address",'Raw Data'!E78),"\$([A-Z]+)\$[0-9]+"))),_xlfn.REGEXEXTRACT(CELL("address",E78),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4),FALSE)),"",_xlfn.REGEXEXTRACT(CELL("address",F78),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</row>
    <row r="79" spans="2:30" x14ac:dyDescent="0.25">
      <c r="B79" s="7" t="str" cm="1">
        <f t="array" aca="1" ref="B79" ca="1">IFERROR(IF(OR('Raw Data'!B79="",LEN(TRIM('Raw Data'!B79))=0),"",IF(AND(LEN('Raw Data'!B79) &lt;= 20,LEN('Raw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20,LEN('Raw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Data'!E79))=0),"",IF(AND(ISNUMBER('Raw Data'!E79),'Raw Data'!E79&gt;=Configuration!$D$2),"",_xlfn.REGEXEXTRACT(CELL("address",'Raw Data'!E79),"\$([A-Z]+)\$[0-9]+"))),_xlfn.REGEXEXTRACT(CELL("address",E79),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4),FALSE)),"",_xlfn.REGEXEXTRACT(CELL("address",F79),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</row>
    <row r="80" spans="2:30" x14ac:dyDescent="0.25">
      <c r="B80" s="7" t="str" cm="1">
        <f t="array" aca="1" ref="B80" ca="1">IFERROR(IF(OR('Raw Data'!B80="",LEN(TRIM('Raw Data'!B80))=0),"",IF(AND(LEN('Raw Data'!B80) &lt;= 20,LEN('Raw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20,LEN('Raw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Data'!E80))=0),"",IF(AND(ISNUMBER('Raw Data'!E80),'Raw Data'!E80&gt;=Configuration!$D$2),"",_xlfn.REGEXEXTRACT(CELL("address",'Raw Data'!E80),"\$([A-Z]+)\$[0-9]+"))),_xlfn.REGEXEXTRACT(CELL("address",E80),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4),FALSE)),"",_xlfn.REGEXEXTRACT(CELL("address",F80),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</row>
    <row r="81" spans="2:30" x14ac:dyDescent="0.25">
      <c r="B81" s="7" t="str" cm="1">
        <f t="array" aca="1" ref="B81" ca="1">IFERROR(IF(OR('Raw Data'!B81="",LEN(TRIM('Raw Data'!B81))=0),"",IF(AND(LEN('Raw Data'!B81) &lt;= 20,LEN('Raw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20,LEN('Raw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Data'!E81))=0),"",IF(AND(ISNUMBER('Raw Data'!E81),'Raw Data'!E81&gt;=Configuration!$D$2),"",_xlfn.REGEXEXTRACT(CELL("address",'Raw Data'!E81),"\$([A-Z]+)\$[0-9]+"))),_xlfn.REGEXEXTRACT(CELL("address",E81),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4),FALSE)),"",_xlfn.REGEXEXTRACT(CELL("address",F81),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</row>
    <row r="82" spans="2:30" x14ac:dyDescent="0.25">
      <c r="B82" s="7" t="str" cm="1">
        <f t="array" aca="1" ref="B82" ca="1">IFERROR(IF(OR('Raw Data'!B82="",LEN(TRIM('Raw Data'!B82))=0),"",IF(AND(LEN('Raw Data'!B82) &lt;= 20,LEN('Raw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20,LEN('Raw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Data'!E82))=0),"",IF(AND(ISNUMBER('Raw Data'!E82),'Raw Data'!E82&gt;=Configuration!$D$2),"",_xlfn.REGEXEXTRACT(CELL("address",'Raw Data'!E82),"\$([A-Z]+)\$[0-9]+"))),_xlfn.REGEXEXTRACT(CELL("address",E82),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4),FALSE)),"",_xlfn.REGEXEXTRACT(CELL("address",F82),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</row>
    <row r="83" spans="2:30" x14ac:dyDescent="0.25">
      <c r="B83" s="7" t="str" cm="1">
        <f t="array" aca="1" ref="B83" ca="1">IFERROR(IF(OR('Raw Data'!B83="",LEN(TRIM('Raw Data'!B83))=0),"",IF(AND(LEN('Raw Data'!B83) &lt;= 20,LEN('Raw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20,LEN('Raw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Data'!E83))=0),"",IF(AND(ISNUMBER('Raw Data'!E83),'Raw Data'!E83&gt;=Configuration!$D$2),"",_xlfn.REGEXEXTRACT(CELL("address",'Raw Data'!E83),"\$([A-Z]+)\$[0-9]+"))),_xlfn.REGEXEXTRACT(CELL("address",E83),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4),FALSE)),"",_xlfn.REGEXEXTRACT(CELL("address",F83),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</row>
    <row r="84" spans="2:30" x14ac:dyDescent="0.25">
      <c r="B84" s="7" t="str" cm="1">
        <f t="array" aca="1" ref="B84" ca="1">IFERROR(IF(OR('Raw Data'!B84="",LEN(TRIM('Raw Data'!B84))=0),"",IF(AND(LEN('Raw Data'!B84) &lt;= 20,LEN('Raw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20,LEN('Raw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Data'!E84))=0),"",IF(AND(ISNUMBER('Raw Data'!E84),'Raw Data'!E84&gt;=Configuration!$D$2),"",_xlfn.REGEXEXTRACT(CELL("address",'Raw Data'!E84),"\$([A-Z]+)\$[0-9]+"))),_xlfn.REGEXEXTRACT(CELL("address",E84),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4),FALSE)),"",_xlfn.REGEXEXTRACT(CELL("address",F84),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</row>
    <row r="85" spans="2:30" x14ac:dyDescent="0.25">
      <c r="B85" s="7" t="str" cm="1">
        <f t="array" aca="1" ref="B85" ca="1">IFERROR(IF(OR('Raw Data'!B85="",LEN(TRIM('Raw Data'!B85))=0),"",IF(AND(LEN('Raw Data'!B85) &lt;= 20,LEN('Raw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20,LEN('Raw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Data'!E85))=0),"",IF(AND(ISNUMBER('Raw Data'!E85),'Raw Data'!E85&gt;=Configuration!$D$2),"",_xlfn.REGEXEXTRACT(CELL("address",'Raw Data'!E85),"\$([A-Z]+)\$[0-9]+"))),_xlfn.REGEXEXTRACT(CELL("address",E85),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4),FALSE)),"",_xlfn.REGEXEXTRACT(CELL("address",F85),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</row>
    <row r="86" spans="2:30" x14ac:dyDescent="0.25">
      <c r="B86" s="7" t="str" cm="1">
        <f t="array" aca="1" ref="B86" ca="1">IFERROR(IF(OR('Raw Data'!B86="",LEN(TRIM('Raw Data'!B86))=0),"",IF(AND(LEN('Raw Data'!B86) &lt;= 20,LEN('Raw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20,LEN('Raw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Data'!E86))=0),"",IF(AND(ISNUMBER('Raw Data'!E86),'Raw Data'!E86&gt;=Configuration!$D$2),"",_xlfn.REGEXEXTRACT(CELL("address",'Raw Data'!E86),"\$([A-Z]+)\$[0-9]+"))),_xlfn.REGEXEXTRACT(CELL("address",E86),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4),FALSE)),"",_xlfn.REGEXEXTRACT(CELL("address",F86),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</row>
    <row r="87" spans="2:30" x14ac:dyDescent="0.25">
      <c r="B87" s="7" t="str" cm="1">
        <f t="array" aca="1" ref="B87" ca="1">IFERROR(IF(OR('Raw Data'!B87="",LEN(TRIM('Raw Data'!B87))=0),"",IF(AND(LEN('Raw Data'!B87) &lt;= 20,LEN('Raw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20,LEN('Raw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Data'!E87))=0),"",IF(AND(ISNUMBER('Raw Data'!E87),'Raw Data'!E87&gt;=Configuration!$D$2),"",_xlfn.REGEXEXTRACT(CELL("address",'Raw Data'!E87),"\$([A-Z]+)\$[0-9]+"))),_xlfn.REGEXEXTRACT(CELL("address",E87),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4),FALSE)),"",_xlfn.REGEXEXTRACT(CELL("address",F87),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</row>
    <row r="88" spans="2:30" x14ac:dyDescent="0.25">
      <c r="B88" s="7" t="str" cm="1">
        <f t="array" aca="1" ref="B88" ca="1">IFERROR(IF(OR('Raw Data'!B88="",LEN(TRIM('Raw Data'!B88))=0),"",IF(AND(LEN('Raw Data'!B88) &lt;= 20,LEN('Raw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20,LEN('Raw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Data'!E88))=0),"",IF(AND(ISNUMBER('Raw Data'!E88),'Raw Data'!E88&gt;=Configuration!$D$2),"",_xlfn.REGEXEXTRACT(CELL("address",'Raw Data'!E88),"\$([A-Z]+)\$[0-9]+"))),_xlfn.REGEXEXTRACT(CELL("address",E88),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4),FALSE)),"",_xlfn.REGEXEXTRACT(CELL("address",F88),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</row>
    <row r="89" spans="2:30" x14ac:dyDescent="0.25">
      <c r="B89" s="7" t="str" cm="1">
        <f t="array" aca="1" ref="B89" ca="1">IFERROR(IF(OR('Raw Data'!B89="",LEN(TRIM('Raw Data'!B89))=0),"",IF(AND(LEN('Raw Data'!B89) &lt;= 20,LEN('Raw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20,LEN('Raw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Data'!E89))=0),"",IF(AND(ISNUMBER('Raw Data'!E89),'Raw Data'!E89&gt;=Configuration!$D$2),"",_xlfn.REGEXEXTRACT(CELL("address",'Raw Data'!E89),"\$([A-Z]+)\$[0-9]+"))),_xlfn.REGEXEXTRACT(CELL("address",E89),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4),FALSE)),"",_xlfn.REGEXEXTRACT(CELL("address",F89),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</row>
    <row r="90" spans="2:30" x14ac:dyDescent="0.25">
      <c r="B90" s="7" t="str" cm="1">
        <f t="array" aca="1" ref="B90" ca="1">IFERROR(IF(OR('Raw Data'!B90="",LEN(TRIM('Raw Data'!B90))=0),"",IF(AND(LEN('Raw Data'!B90) &lt;= 20,LEN('Raw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20,LEN('Raw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Data'!E90))=0),"",IF(AND(ISNUMBER('Raw Data'!E90),'Raw Data'!E90&gt;=Configuration!$D$2),"",_xlfn.REGEXEXTRACT(CELL("address",'Raw Data'!E90),"\$([A-Z]+)\$[0-9]+"))),_xlfn.REGEXEXTRACT(CELL("address",E90),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4),FALSE)),"",_xlfn.REGEXEXTRACT(CELL("address",F90),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</row>
    <row r="91" spans="2:30" x14ac:dyDescent="0.25">
      <c r="B91" s="7" t="str" cm="1">
        <f t="array" aca="1" ref="B91" ca="1">IFERROR(IF(OR('Raw Data'!B91="",LEN(TRIM('Raw Data'!B91))=0),"",IF(AND(LEN('Raw Data'!B91) &lt;= 20,LEN('Raw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20,LEN('Raw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Data'!E91))=0),"",IF(AND(ISNUMBER('Raw Data'!E91),'Raw Data'!E91&gt;=Configuration!$D$2),"",_xlfn.REGEXEXTRACT(CELL("address",'Raw Data'!E91),"\$([A-Z]+)\$[0-9]+"))),_xlfn.REGEXEXTRACT(CELL("address",E91),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4),FALSE)),"",_xlfn.REGEXEXTRACT(CELL("address",F91),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</row>
    <row r="92" spans="2:30" x14ac:dyDescent="0.25">
      <c r="B92" s="7" t="str" cm="1">
        <f t="array" aca="1" ref="B92" ca="1">IFERROR(IF(OR('Raw Data'!B92="",LEN(TRIM('Raw Data'!B92))=0),"",IF(AND(LEN('Raw Data'!B92) &lt;= 20,LEN('Raw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20,LEN('Raw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Data'!E92))=0),"",IF(AND(ISNUMBER('Raw Data'!E92),'Raw Data'!E92&gt;=Configuration!$D$2),"",_xlfn.REGEXEXTRACT(CELL("address",'Raw Data'!E92),"\$([A-Z]+)\$[0-9]+"))),_xlfn.REGEXEXTRACT(CELL("address",E92),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4),FALSE)),"",_xlfn.REGEXEXTRACT(CELL("address",F92),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</row>
    <row r="93" spans="2:30" x14ac:dyDescent="0.25">
      <c r="B93" s="7" t="str" cm="1">
        <f t="array" aca="1" ref="B93" ca="1">IFERROR(IF(OR('Raw Data'!B93="",LEN(TRIM('Raw Data'!B93))=0),"",IF(AND(LEN('Raw Data'!B93) &lt;= 20,LEN('Raw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20,LEN('Raw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Data'!E93))=0),"",IF(AND(ISNUMBER('Raw Data'!E93),'Raw Data'!E93&gt;=Configuration!$D$2),"",_xlfn.REGEXEXTRACT(CELL("address",'Raw Data'!E93),"\$([A-Z]+)\$[0-9]+"))),_xlfn.REGEXEXTRACT(CELL("address",E93),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4),FALSE)),"",_xlfn.REGEXEXTRACT(CELL("address",F93),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</row>
    <row r="94" spans="2:30" x14ac:dyDescent="0.25">
      <c r="B94" s="7" t="str" cm="1">
        <f t="array" aca="1" ref="B94" ca="1">IFERROR(IF(OR('Raw Data'!B94="",LEN(TRIM('Raw Data'!B94))=0),"",IF(AND(LEN('Raw Data'!B94) &lt;= 20,LEN('Raw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20,LEN('Raw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Data'!E94))=0),"",IF(AND(ISNUMBER('Raw Data'!E94),'Raw Data'!E94&gt;=Configuration!$D$2),"",_xlfn.REGEXEXTRACT(CELL("address",'Raw Data'!E94),"\$([A-Z]+)\$[0-9]+"))),_xlfn.REGEXEXTRACT(CELL("address",E94),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4),FALSE)),"",_xlfn.REGEXEXTRACT(CELL("address",F94),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</row>
    <row r="95" spans="2:30" x14ac:dyDescent="0.25">
      <c r="B95" s="7" t="str" cm="1">
        <f t="array" aca="1" ref="B95" ca="1">IFERROR(IF(OR('Raw Data'!B95="",LEN(TRIM('Raw Data'!B95))=0),"",IF(AND(LEN('Raw Data'!B95) &lt;= 20,LEN('Raw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20,LEN('Raw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Data'!E95))=0),"",IF(AND(ISNUMBER('Raw Data'!E95),'Raw Data'!E95&gt;=Configuration!$D$2),"",_xlfn.REGEXEXTRACT(CELL("address",'Raw Data'!E95),"\$([A-Z]+)\$[0-9]+"))),_xlfn.REGEXEXTRACT(CELL("address",E95),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4),FALSE)),"",_xlfn.REGEXEXTRACT(CELL("address",F95),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</row>
    <row r="96" spans="2:30" x14ac:dyDescent="0.25">
      <c r="B96" s="7" t="str" cm="1">
        <f t="array" aca="1" ref="B96" ca="1">IFERROR(IF(OR('Raw Data'!B96="",LEN(TRIM('Raw Data'!B96))=0),"",IF(AND(LEN('Raw Data'!B96) &lt;= 20,LEN('Raw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20,LEN('Raw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Data'!E96))=0),"",IF(AND(ISNUMBER('Raw Data'!E96),'Raw Data'!E96&gt;=Configuration!$D$2),"",_xlfn.REGEXEXTRACT(CELL("address",'Raw Data'!E96),"\$([A-Z]+)\$[0-9]+"))),_xlfn.REGEXEXTRACT(CELL("address",E96),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4),FALSE)),"",_xlfn.REGEXEXTRACT(CELL("address",F96),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</row>
    <row r="97" spans="2:30" x14ac:dyDescent="0.25">
      <c r="B97" s="7" t="str" cm="1">
        <f t="array" aca="1" ref="B97" ca="1">IFERROR(IF(OR('Raw Data'!B97="",LEN(TRIM('Raw Data'!B97))=0),"",IF(AND(LEN('Raw Data'!B97) &lt;= 20,LEN('Raw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20,LEN('Raw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Data'!E97))=0),"",IF(AND(ISNUMBER('Raw Data'!E97),'Raw Data'!E97&gt;=Configuration!$D$2),"",_xlfn.REGEXEXTRACT(CELL("address",'Raw Data'!E97),"\$([A-Z]+)\$[0-9]+"))),_xlfn.REGEXEXTRACT(CELL("address",E97),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4),FALSE)),"",_xlfn.REGEXEXTRACT(CELL("address",F97),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</row>
    <row r="98" spans="2:30" x14ac:dyDescent="0.25">
      <c r="B98" s="7" t="str" cm="1">
        <f t="array" aca="1" ref="B98" ca="1">IFERROR(IF(OR('Raw Data'!B98="",LEN(TRIM('Raw Data'!B98))=0),"",IF(AND(LEN('Raw Data'!B98) &lt;= 20,LEN('Raw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20,LEN('Raw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Data'!E98))=0),"",IF(AND(ISNUMBER('Raw Data'!E98),'Raw Data'!E98&gt;=Configuration!$D$2),"",_xlfn.REGEXEXTRACT(CELL("address",'Raw Data'!E98),"\$([A-Z]+)\$[0-9]+"))),_xlfn.REGEXEXTRACT(CELL("address",E98),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4),FALSE)),"",_xlfn.REGEXEXTRACT(CELL("address",F98),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</row>
    <row r="99" spans="2:30" x14ac:dyDescent="0.25">
      <c r="B99" s="7" t="str" cm="1">
        <f t="array" aca="1" ref="B99" ca="1">IFERROR(IF(OR('Raw Data'!B99="",LEN(TRIM('Raw Data'!B99))=0),"",IF(AND(LEN('Raw Data'!B99) &lt;= 20,LEN('Raw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20,LEN('Raw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Data'!E99))=0),"",IF(AND(ISNUMBER('Raw Data'!E99),'Raw Data'!E99&gt;=Configuration!$D$2),"",_xlfn.REGEXEXTRACT(CELL("address",'Raw Data'!E99),"\$([A-Z]+)\$[0-9]+"))),_xlfn.REGEXEXTRACT(CELL("address",E99),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4),FALSE)),"",_xlfn.REGEXEXTRACT(CELL("address",F99),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</row>
    <row r="100" spans="2:30" x14ac:dyDescent="0.25">
      <c r="B100" s="7" t="str" cm="1">
        <f t="array" aca="1" ref="B100" ca="1">IFERROR(IF(OR('Raw Data'!B100="",LEN(TRIM('Raw Data'!B100))=0),"",IF(AND(LEN('Raw Data'!B100) &lt;= 20,LEN('Raw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20,LEN('Raw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Data'!E100))=0),"",IF(AND(ISNUMBER('Raw Data'!E100),'Raw Data'!E100&gt;=Configuration!$D$2),"",_xlfn.REGEXEXTRACT(CELL("address",'Raw Data'!E100),"\$([A-Z]+)\$[0-9]+"))),_xlfn.REGEXEXTRACT(CELL("address",E100),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4),FALSE)),"",_xlfn.REGEXEXTRACT(CELL("address",F100),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</row>
    <row r="101" spans="2:30" x14ac:dyDescent="0.25">
      <c r="B101" s="7" t="str" cm="1">
        <f t="array" aca="1" ref="B101" ca="1">IFERROR(IF(OR('Raw Data'!B101="",LEN(TRIM('Raw Data'!B101))=0),"",IF(AND(LEN('Raw Data'!B101) &lt;= 20,LEN('Raw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20,LEN('Raw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Data'!E101))=0),"",IF(AND(ISNUMBER('Raw Data'!E101),'Raw Data'!E101&gt;=Configuration!$D$2),"",_xlfn.REGEXEXTRACT(CELL("address",'Raw Data'!E101),"\$([A-Z]+)\$[0-9]+"))),_xlfn.REGEXEXTRACT(CELL("address",E101),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4),FALSE)),"",_xlfn.REGEXEXTRACT(CELL("address",F101),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</row>
    <row r="102" spans="2:30" x14ac:dyDescent="0.25">
      <c r="B102" s="7" t="str" cm="1">
        <f t="array" aca="1" ref="B102" ca="1">IFERROR(IF(OR('Raw Data'!B102="",LEN(TRIM('Raw Data'!B102))=0),"",IF(AND(LEN('Raw Data'!B102) &lt;= 20,LEN('Raw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20,LEN('Raw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Data'!E102))=0),"",IF(AND(ISNUMBER('Raw Data'!E102),'Raw Data'!E102&gt;=Configuration!$D$2),"",_xlfn.REGEXEXTRACT(CELL("address",'Raw Data'!E102),"\$([A-Z]+)\$[0-9]+"))),_xlfn.REGEXEXTRACT(CELL("address",E102),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4),FALSE)),"",_xlfn.REGEXEXTRACT(CELL("address",F102),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</row>
    <row r="103" spans="2:30" x14ac:dyDescent="0.25">
      <c r="B103" s="7" t="str" cm="1">
        <f t="array" aca="1" ref="B103" ca="1">IFERROR(IF(OR('Raw Data'!B103="",LEN(TRIM('Raw Data'!B103))=0),"",IF(AND(LEN('Raw Data'!B103) &lt;= 20,LEN('Raw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20,LEN('Raw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Data'!E103))=0),"",IF(AND(ISNUMBER('Raw Data'!E103),'Raw Data'!E103&gt;=Configuration!$D$2),"",_xlfn.REGEXEXTRACT(CELL("address",'Raw Data'!E103),"\$([A-Z]+)\$[0-9]+"))),_xlfn.REGEXEXTRACT(CELL("address",E103),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4),FALSE)),"",_xlfn.REGEXEXTRACT(CELL("address",F103),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</row>
    <row r="104" spans="2:30" x14ac:dyDescent="0.25">
      <c r="B104" s="7" t="str" cm="1">
        <f t="array" aca="1" ref="B104" ca="1">IFERROR(IF(OR('Raw Data'!B104="",LEN(TRIM('Raw Data'!B104))=0),"",IF(AND(LEN('Raw Data'!B104) &lt;= 20,LEN('Raw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20,LEN('Raw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Data'!E104))=0),"",IF(AND(ISNUMBER('Raw Data'!E104),'Raw Data'!E104&gt;=Configuration!$D$2),"",_xlfn.REGEXEXTRACT(CELL("address",'Raw Data'!E104),"\$([A-Z]+)\$[0-9]+"))),_xlfn.REGEXEXTRACT(CELL("address",E104),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4),FALSE)),"",_xlfn.REGEXEXTRACT(CELL("address",F104),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</row>
    <row r="105" spans="2:30" x14ac:dyDescent="0.25">
      <c r="B105" s="7" t="str" cm="1">
        <f t="array" aca="1" ref="B105" ca="1">IFERROR(IF(OR('Raw Data'!B105="",LEN(TRIM('Raw Data'!B105))=0),"",IF(AND(LEN('Raw Data'!B105) &lt;= 20,LEN('Raw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20,LEN('Raw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Data'!E105))=0),"",IF(AND(ISNUMBER('Raw Data'!E105),'Raw Data'!E105&gt;=Configuration!$D$2),"",_xlfn.REGEXEXTRACT(CELL("address",'Raw Data'!E105),"\$([A-Z]+)\$[0-9]+"))),_xlfn.REGEXEXTRACT(CELL("address",E105),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4),FALSE)),"",_xlfn.REGEXEXTRACT(CELL("address",F105),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</row>
    <row r="106" spans="2:30" x14ac:dyDescent="0.25">
      <c r="B106" s="7" t="str" cm="1">
        <f t="array" aca="1" ref="B106" ca="1">IFERROR(IF(OR('Raw Data'!B106="",LEN(TRIM('Raw Data'!B106))=0),"",IF(AND(LEN('Raw Data'!B106) &lt;= 20,LEN('Raw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20,LEN('Raw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Data'!E106))=0),"",IF(AND(ISNUMBER('Raw Data'!E106),'Raw Data'!E106&gt;=Configuration!$D$2),"",_xlfn.REGEXEXTRACT(CELL("address",'Raw Data'!E106),"\$([A-Z]+)\$[0-9]+"))),_xlfn.REGEXEXTRACT(CELL("address",E106),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4),FALSE)),"",_xlfn.REGEXEXTRACT(CELL("address",F106),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</row>
    <row r="107" spans="2:30" x14ac:dyDescent="0.25">
      <c r="B107" s="7" t="str" cm="1">
        <f t="array" aca="1" ref="B107" ca="1">IFERROR(IF(OR('Raw Data'!B107="",LEN(TRIM('Raw Data'!B107))=0),"",IF(AND(LEN('Raw Data'!B107) &lt;= 20,LEN('Raw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20,LEN('Raw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Data'!E107))=0),"",IF(AND(ISNUMBER('Raw Data'!E107),'Raw Data'!E107&gt;=Configuration!$D$2),"",_xlfn.REGEXEXTRACT(CELL("address",'Raw Data'!E107),"\$([A-Z]+)\$[0-9]+"))),_xlfn.REGEXEXTRACT(CELL("address",E107),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4),FALSE)),"",_xlfn.REGEXEXTRACT(CELL("address",F107),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</row>
    <row r="108" spans="2:30" x14ac:dyDescent="0.25">
      <c r="B108" s="7" t="str" cm="1">
        <f t="array" aca="1" ref="B108" ca="1">IFERROR(IF(OR('Raw Data'!B108="",LEN(TRIM('Raw Data'!B108))=0),"",IF(AND(LEN('Raw Data'!B108) &lt;= 20,LEN('Raw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20,LEN('Raw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Data'!E108))=0),"",IF(AND(ISNUMBER('Raw Data'!E108),'Raw Data'!E108&gt;=Configuration!$D$2),"",_xlfn.REGEXEXTRACT(CELL("address",'Raw Data'!E108),"\$([A-Z]+)\$[0-9]+"))),_xlfn.REGEXEXTRACT(CELL("address",E108),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4),FALSE)),"",_xlfn.REGEXEXTRACT(CELL("address",F108),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</row>
    <row r="109" spans="2:30" x14ac:dyDescent="0.25">
      <c r="B109" s="7" t="str" cm="1">
        <f t="array" aca="1" ref="B109" ca="1">IFERROR(IF(OR('Raw Data'!B109="",LEN(TRIM('Raw Data'!B109))=0),"",IF(AND(LEN('Raw Data'!B109) &lt;= 20,LEN('Raw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20,LEN('Raw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Data'!E109))=0),"",IF(AND(ISNUMBER('Raw Data'!E109),'Raw Data'!E109&gt;=Configuration!$D$2),"",_xlfn.REGEXEXTRACT(CELL("address",'Raw Data'!E109),"\$([A-Z]+)\$[0-9]+"))),_xlfn.REGEXEXTRACT(CELL("address",E109),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4),FALSE)),"",_xlfn.REGEXEXTRACT(CELL("address",F109),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</row>
    <row r="110" spans="2:30" x14ac:dyDescent="0.25">
      <c r="B110" s="7" t="str" cm="1">
        <f t="array" aca="1" ref="B110" ca="1">IFERROR(IF(OR('Raw Data'!B110="",LEN(TRIM('Raw Data'!B110))=0),"",IF(AND(LEN('Raw Data'!B110) &lt;= 20,LEN('Raw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20,LEN('Raw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Data'!E110))=0),"",IF(AND(ISNUMBER('Raw Data'!E110),'Raw Data'!E110&gt;=Configuration!$D$2),"",_xlfn.REGEXEXTRACT(CELL("address",'Raw Data'!E110),"\$([A-Z]+)\$[0-9]+"))),_xlfn.REGEXEXTRACT(CELL("address",E110),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4),FALSE)),"",_xlfn.REGEXEXTRACT(CELL("address",F110),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</row>
    <row r="111" spans="2:30" x14ac:dyDescent="0.25">
      <c r="B111" s="7" t="str" cm="1">
        <f t="array" aca="1" ref="B111" ca="1">IFERROR(IF(OR('Raw Data'!B111="",LEN(TRIM('Raw Data'!B111))=0),"",IF(AND(LEN('Raw Data'!B111) &lt;= 20,LEN('Raw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20,LEN('Raw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Data'!E111))=0),"",IF(AND(ISNUMBER('Raw Data'!E111),'Raw Data'!E111&gt;=Configuration!$D$2),"",_xlfn.REGEXEXTRACT(CELL("address",'Raw Data'!E111),"\$([A-Z]+)\$[0-9]+"))),_xlfn.REGEXEXTRACT(CELL("address",E111),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4),FALSE)),"",_xlfn.REGEXEXTRACT(CELL("address",F111),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</row>
    <row r="112" spans="2:30" x14ac:dyDescent="0.25">
      <c r="B112" s="7" t="str" cm="1">
        <f t="array" aca="1" ref="B112" ca="1">IFERROR(IF(OR('Raw Data'!B112="",LEN(TRIM('Raw Data'!B112))=0),"",IF(AND(LEN('Raw Data'!B112) &lt;= 20,LEN('Raw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20,LEN('Raw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Data'!E112))=0),"",IF(AND(ISNUMBER('Raw Data'!E112),'Raw Data'!E112&gt;=Configuration!$D$2),"",_xlfn.REGEXEXTRACT(CELL("address",'Raw Data'!E112),"\$([A-Z]+)\$[0-9]+"))),_xlfn.REGEXEXTRACT(CELL("address",E112),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4),FALSE)),"",_xlfn.REGEXEXTRACT(CELL("address",F112),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</row>
    <row r="113" spans="2:30" x14ac:dyDescent="0.25">
      <c r="B113" s="7" t="str" cm="1">
        <f t="array" aca="1" ref="B113" ca="1">IFERROR(IF(OR('Raw Data'!B113="",LEN(TRIM('Raw Data'!B113))=0),"",IF(AND(LEN('Raw Data'!B113) &lt;= 20,LEN('Raw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20,LEN('Raw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Data'!E113))=0),"",IF(AND(ISNUMBER('Raw Data'!E113),'Raw Data'!E113&gt;=Configuration!$D$2),"",_xlfn.REGEXEXTRACT(CELL("address",'Raw Data'!E113),"\$([A-Z]+)\$[0-9]+"))),_xlfn.REGEXEXTRACT(CELL("address",E113),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4),FALSE)),"",_xlfn.REGEXEXTRACT(CELL("address",F113),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</row>
    <row r="114" spans="2:30" x14ac:dyDescent="0.25">
      <c r="B114" s="7" t="str" cm="1">
        <f t="array" aca="1" ref="B114" ca="1">IFERROR(IF(OR('Raw Data'!B114="",LEN(TRIM('Raw Data'!B114))=0),"",IF(AND(LEN('Raw Data'!B114) &lt;= 20,LEN('Raw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20,LEN('Raw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Data'!E114))=0),"",IF(AND(ISNUMBER('Raw Data'!E114),'Raw Data'!E114&gt;=Configuration!$D$2),"",_xlfn.REGEXEXTRACT(CELL("address",'Raw Data'!E114),"\$([A-Z]+)\$[0-9]+"))),_xlfn.REGEXEXTRACT(CELL("address",E114),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4),FALSE)),"",_xlfn.REGEXEXTRACT(CELL("address",F114),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</row>
    <row r="115" spans="2:30" x14ac:dyDescent="0.25">
      <c r="B115" s="7" t="str" cm="1">
        <f t="array" aca="1" ref="B115" ca="1">IFERROR(IF(OR('Raw Data'!B115="",LEN(TRIM('Raw Data'!B115))=0),"",IF(AND(LEN('Raw Data'!B115) &lt;= 20,LEN('Raw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20,LEN('Raw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Data'!E115))=0),"",IF(AND(ISNUMBER('Raw Data'!E115),'Raw Data'!E115&gt;=Configuration!$D$2),"",_xlfn.REGEXEXTRACT(CELL("address",'Raw Data'!E115),"\$([A-Z]+)\$[0-9]+"))),_xlfn.REGEXEXTRACT(CELL("address",E115),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4),FALSE)),"",_xlfn.REGEXEXTRACT(CELL("address",F115),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</row>
    <row r="116" spans="2:30" x14ac:dyDescent="0.25">
      <c r="B116" s="7" t="str" cm="1">
        <f t="array" aca="1" ref="B116" ca="1">IFERROR(IF(OR('Raw Data'!B116="",LEN(TRIM('Raw Data'!B116))=0),"",IF(AND(LEN('Raw Data'!B116) &lt;= 20,LEN('Raw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20,LEN('Raw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Data'!E116))=0),"",IF(AND(ISNUMBER('Raw Data'!E116),'Raw Data'!E116&gt;=Configuration!$D$2),"",_xlfn.REGEXEXTRACT(CELL("address",'Raw Data'!E116),"\$([A-Z]+)\$[0-9]+"))),_xlfn.REGEXEXTRACT(CELL("address",E116),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4),FALSE)),"",_xlfn.REGEXEXTRACT(CELL("address",F116),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</row>
    <row r="117" spans="2:30" x14ac:dyDescent="0.25">
      <c r="B117" s="7" t="str" cm="1">
        <f t="array" aca="1" ref="B117" ca="1">IFERROR(IF(OR('Raw Data'!B117="",LEN(TRIM('Raw Data'!B117))=0),"",IF(AND(LEN('Raw Data'!B117) &lt;= 20,LEN('Raw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20,LEN('Raw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Data'!E117))=0),"",IF(AND(ISNUMBER('Raw Data'!E117),'Raw Data'!E117&gt;=Configuration!$D$2),"",_xlfn.REGEXEXTRACT(CELL("address",'Raw Data'!E117),"\$([A-Z]+)\$[0-9]+"))),_xlfn.REGEXEXTRACT(CELL("address",E117),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4),FALSE)),"",_xlfn.REGEXEXTRACT(CELL("address",F117),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</row>
    <row r="118" spans="2:30" x14ac:dyDescent="0.25">
      <c r="B118" s="7" t="str" cm="1">
        <f t="array" aca="1" ref="B118" ca="1">IFERROR(IF(OR('Raw Data'!B118="",LEN(TRIM('Raw Data'!B118))=0),"",IF(AND(LEN('Raw Data'!B118) &lt;= 20,LEN('Raw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20,LEN('Raw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Data'!E118))=0),"",IF(AND(ISNUMBER('Raw Data'!E118),'Raw Data'!E118&gt;=Configuration!$D$2),"",_xlfn.REGEXEXTRACT(CELL("address",'Raw Data'!E118),"\$([A-Z]+)\$[0-9]+"))),_xlfn.REGEXEXTRACT(CELL("address",E118),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4),FALSE)),"",_xlfn.REGEXEXTRACT(CELL("address",F118),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</row>
    <row r="119" spans="2:30" x14ac:dyDescent="0.25">
      <c r="B119" s="7" t="str" cm="1">
        <f t="array" aca="1" ref="B119" ca="1">IFERROR(IF(OR('Raw Data'!B119="",LEN(TRIM('Raw Data'!B119))=0),"",IF(AND(LEN('Raw Data'!B119) &lt;= 20,LEN('Raw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20,LEN('Raw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Data'!E119))=0),"",IF(AND(ISNUMBER('Raw Data'!E119),'Raw Data'!E119&gt;=Configuration!$D$2),"",_xlfn.REGEXEXTRACT(CELL("address",'Raw Data'!E119),"\$([A-Z]+)\$[0-9]+"))),_xlfn.REGEXEXTRACT(CELL("address",E119),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4),FALSE)),"",_xlfn.REGEXEXTRACT(CELL("address",F119),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</row>
    <row r="120" spans="2:30" x14ac:dyDescent="0.25">
      <c r="B120" s="7" t="str" cm="1">
        <f t="array" aca="1" ref="B120" ca="1">IFERROR(IF(OR('Raw Data'!B120="",LEN(TRIM('Raw Data'!B120))=0),"",IF(AND(LEN('Raw Data'!B120) &lt;= 20,LEN('Raw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20,LEN('Raw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Data'!E120))=0),"",IF(AND(ISNUMBER('Raw Data'!E120),'Raw Data'!E120&gt;=Configuration!$D$2),"",_xlfn.REGEXEXTRACT(CELL("address",'Raw Data'!E120),"\$([A-Z]+)\$[0-9]+"))),_xlfn.REGEXEXTRACT(CELL("address",E120),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4),FALSE)),"",_xlfn.REGEXEXTRACT(CELL("address",F120),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</row>
    <row r="121" spans="2:30" x14ac:dyDescent="0.25">
      <c r="B121" s="7" t="str" cm="1">
        <f t="array" aca="1" ref="B121" ca="1">IFERROR(IF(OR('Raw Data'!B121="",LEN(TRIM('Raw Data'!B121))=0),"",IF(AND(LEN('Raw Data'!B121) &lt;= 20,LEN('Raw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20,LEN('Raw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Data'!E121))=0),"",IF(AND(ISNUMBER('Raw Data'!E121),'Raw Data'!E121&gt;=Configuration!$D$2),"",_xlfn.REGEXEXTRACT(CELL("address",'Raw Data'!E121),"\$([A-Z]+)\$[0-9]+"))),_xlfn.REGEXEXTRACT(CELL("address",E121),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4),FALSE)),"",_xlfn.REGEXEXTRACT(CELL("address",F121),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</row>
    <row r="122" spans="2:30" x14ac:dyDescent="0.25">
      <c r="B122" s="7" t="str" cm="1">
        <f t="array" aca="1" ref="B122" ca="1">IFERROR(IF(OR('Raw Data'!B122="",LEN(TRIM('Raw Data'!B122))=0),"",IF(AND(LEN('Raw Data'!B122) &lt;= 20,LEN('Raw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20,LEN('Raw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Data'!E122))=0),"",IF(AND(ISNUMBER('Raw Data'!E122),'Raw Data'!E122&gt;=Configuration!$D$2),"",_xlfn.REGEXEXTRACT(CELL("address",'Raw Data'!E122),"\$([A-Z]+)\$[0-9]+"))),_xlfn.REGEXEXTRACT(CELL("address",E122),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4),FALSE)),"",_xlfn.REGEXEXTRACT(CELL("address",F122),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</row>
    <row r="123" spans="2:30" x14ac:dyDescent="0.25">
      <c r="B123" s="7" t="str" cm="1">
        <f t="array" aca="1" ref="B123" ca="1">IFERROR(IF(OR('Raw Data'!B123="",LEN(TRIM('Raw Data'!B123))=0),"",IF(AND(LEN('Raw Data'!B123) &lt;= 20,LEN('Raw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20,LEN('Raw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Data'!E123))=0),"",IF(AND(ISNUMBER('Raw Data'!E123),'Raw Data'!E123&gt;=Configuration!$D$2),"",_xlfn.REGEXEXTRACT(CELL("address",'Raw Data'!E123),"\$([A-Z]+)\$[0-9]+"))),_xlfn.REGEXEXTRACT(CELL("address",E123),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4),FALSE)),"",_xlfn.REGEXEXTRACT(CELL("address",F123),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</row>
    <row r="124" spans="2:30" x14ac:dyDescent="0.25">
      <c r="B124" s="7" t="str" cm="1">
        <f t="array" aca="1" ref="B124" ca="1">IFERROR(IF(OR('Raw Data'!B124="",LEN(TRIM('Raw Data'!B124))=0),"",IF(AND(LEN('Raw Data'!B124) &lt;= 20,LEN('Raw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20,LEN('Raw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Data'!E124))=0),"",IF(AND(ISNUMBER('Raw Data'!E124),'Raw Data'!E124&gt;=Configuration!$D$2),"",_xlfn.REGEXEXTRACT(CELL("address",'Raw Data'!E124),"\$([A-Z]+)\$[0-9]+"))),_xlfn.REGEXEXTRACT(CELL("address",E124),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4),FALSE)),"",_xlfn.REGEXEXTRACT(CELL("address",F124),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</row>
    <row r="125" spans="2:30" x14ac:dyDescent="0.25">
      <c r="B125" s="7" t="str" cm="1">
        <f t="array" aca="1" ref="B125" ca="1">IFERROR(IF(OR('Raw Data'!B125="",LEN(TRIM('Raw Data'!B125))=0),"",IF(AND(LEN('Raw Data'!B125) &lt;= 20,LEN('Raw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20,LEN('Raw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Data'!E125))=0),"",IF(AND(ISNUMBER('Raw Data'!E125),'Raw Data'!E125&gt;=Configuration!$D$2),"",_xlfn.REGEXEXTRACT(CELL("address",'Raw Data'!E125),"\$([A-Z]+)\$[0-9]+"))),_xlfn.REGEXEXTRACT(CELL("address",E125),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4),FALSE)),"",_xlfn.REGEXEXTRACT(CELL("address",F125),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</row>
    <row r="126" spans="2:30" x14ac:dyDescent="0.25">
      <c r="B126" s="7" t="str" cm="1">
        <f t="array" aca="1" ref="B126" ca="1">IFERROR(IF(OR('Raw Data'!B126="",LEN(TRIM('Raw Data'!B126))=0),"",IF(AND(LEN('Raw Data'!B126) &lt;= 20,LEN('Raw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20,LEN('Raw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Data'!E126))=0),"",IF(AND(ISNUMBER('Raw Data'!E126),'Raw Data'!E126&gt;=Configuration!$D$2),"",_xlfn.REGEXEXTRACT(CELL("address",'Raw Data'!E126),"\$([A-Z]+)\$[0-9]+"))),_xlfn.REGEXEXTRACT(CELL("address",E126),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4),FALSE)),"",_xlfn.REGEXEXTRACT(CELL("address",F126),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</row>
    <row r="127" spans="2:30" x14ac:dyDescent="0.25">
      <c r="B127" s="7" t="str" cm="1">
        <f t="array" aca="1" ref="B127" ca="1">IFERROR(IF(OR('Raw Data'!B127="",LEN(TRIM('Raw Data'!B127))=0),"",IF(AND(LEN('Raw Data'!B127) &lt;= 20,LEN('Raw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20,LEN('Raw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Data'!E127))=0),"",IF(AND(ISNUMBER('Raw Data'!E127),'Raw Data'!E127&gt;=Configuration!$D$2),"",_xlfn.REGEXEXTRACT(CELL("address",'Raw Data'!E127),"\$([A-Z]+)\$[0-9]+"))),_xlfn.REGEXEXTRACT(CELL("address",E127),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4),FALSE)),"",_xlfn.REGEXEXTRACT(CELL("address",F127),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</row>
    <row r="128" spans="2:30" x14ac:dyDescent="0.25">
      <c r="B128" s="7" t="str" cm="1">
        <f t="array" aca="1" ref="B128" ca="1">IFERROR(IF(OR('Raw Data'!B128="",LEN(TRIM('Raw Data'!B128))=0),"",IF(AND(LEN('Raw Data'!B128) &lt;= 20,LEN('Raw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20,LEN('Raw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Data'!E128))=0),"",IF(AND(ISNUMBER('Raw Data'!E128),'Raw Data'!E128&gt;=Configuration!$D$2),"",_xlfn.REGEXEXTRACT(CELL("address",'Raw Data'!E128),"\$([A-Z]+)\$[0-9]+"))),_xlfn.REGEXEXTRACT(CELL("address",E128),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4),FALSE)),"",_xlfn.REGEXEXTRACT(CELL("address",F128),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</row>
    <row r="129" spans="2:30" x14ac:dyDescent="0.25">
      <c r="B129" s="7" t="str" cm="1">
        <f t="array" aca="1" ref="B129" ca="1">IFERROR(IF(OR('Raw Data'!B129="",LEN(TRIM('Raw Data'!B129))=0),"",IF(AND(LEN('Raw Data'!B129) &lt;= 20,LEN('Raw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20,LEN('Raw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Data'!E129))=0),"",IF(AND(ISNUMBER('Raw Data'!E129),'Raw Data'!E129&gt;=Configuration!$D$2),"",_xlfn.REGEXEXTRACT(CELL("address",'Raw Data'!E129),"\$([A-Z]+)\$[0-9]+"))),_xlfn.REGEXEXTRACT(CELL("address",E129),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4),FALSE)),"",_xlfn.REGEXEXTRACT(CELL("address",F129),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</row>
    <row r="130" spans="2:30" x14ac:dyDescent="0.25">
      <c r="B130" s="7" t="str" cm="1">
        <f t="array" aca="1" ref="B130" ca="1">IFERROR(IF(OR('Raw Data'!B130="",LEN(TRIM('Raw Data'!B130))=0),"",IF(AND(LEN('Raw Data'!B130) &lt;= 20,LEN('Raw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20,LEN('Raw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Data'!E130))=0),"",IF(AND(ISNUMBER('Raw Data'!E130),'Raw Data'!E130&gt;=Configuration!$D$2),"",_xlfn.REGEXEXTRACT(CELL("address",'Raw Data'!E130),"\$([A-Z]+)\$[0-9]+"))),_xlfn.REGEXEXTRACT(CELL("address",E130),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4),FALSE)),"",_xlfn.REGEXEXTRACT(CELL("address",F130),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</row>
    <row r="131" spans="2:30" x14ac:dyDescent="0.25">
      <c r="B131" s="7" t="str" cm="1">
        <f t="array" aca="1" ref="B131" ca="1">IFERROR(IF(OR('Raw Data'!B131="",LEN(TRIM('Raw Data'!B131))=0),"",IF(AND(LEN('Raw Data'!B131) &lt;= 20,LEN('Raw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20,LEN('Raw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Data'!E131))=0),"",IF(AND(ISNUMBER('Raw Data'!E131),'Raw Data'!E131&gt;=Configuration!$D$2),"",_xlfn.REGEXEXTRACT(CELL("address",'Raw Data'!E131),"\$([A-Z]+)\$[0-9]+"))),_xlfn.REGEXEXTRACT(CELL("address",E131),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4),FALSE)),"",_xlfn.REGEXEXTRACT(CELL("address",F131),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</row>
    <row r="132" spans="2:30" x14ac:dyDescent="0.25">
      <c r="B132" s="7" t="str" cm="1">
        <f t="array" aca="1" ref="B132" ca="1">IFERROR(IF(OR('Raw Data'!B132="",LEN(TRIM('Raw Data'!B132))=0),"",IF(AND(LEN('Raw Data'!B132) &lt;= 20,LEN('Raw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20,LEN('Raw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Data'!E132))=0),"",IF(AND(ISNUMBER('Raw Data'!E132),'Raw Data'!E132&gt;=Configuration!$D$2),"",_xlfn.REGEXEXTRACT(CELL("address",'Raw Data'!E132),"\$([A-Z]+)\$[0-9]+"))),_xlfn.REGEXEXTRACT(CELL("address",E132),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4),FALSE)),"",_xlfn.REGEXEXTRACT(CELL("address",F132),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</row>
    <row r="133" spans="2:30" x14ac:dyDescent="0.25">
      <c r="B133" s="7" t="str" cm="1">
        <f t="array" aca="1" ref="B133" ca="1">IFERROR(IF(OR('Raw Data'!B133="",LEN(TRIM('Raw Data'!B133))=0),"",IF(AND(LEN('Raw Data'!B133) &lt;= 20,LEN('Raw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20,LEN('Raw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Data'!E133))=0),"",IF(AND(ISNUMBER('Raw Data'!E133),'Raw Data'!E133&gt;=Configuration!$D$2),"",_xlfn.REGEXEXTRACT(CELL("address",'Raw Data'!E133),"\$([A-Z]+)\$[0-9]+"))),_xlfn.REGEXEXTRACT(CELL("address",E133),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4),FALSE)),"",_xlfn.REGEXEXTRACT(CELL("address",F133),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</row>
    <row r="134" spans="2:30" x14ac:dyDescent="0.25">
      <c r="B134" s="7" t="str" cm="1">
        <f t="array" aca="1" ref="B134" ca="1">IFERROR(IF(OR('Raw Data'!B134="",LEN(TRIM('Raw Data'!B134))=0),"",IF(AND(LEN('Raw Data'!B134) &lt;= 20,LEN('Raw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20,LEN('Raw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Data'!E134))=0),"",IF(AND(ISNUMBER('Raw Data'!E134),'Raw Data'!E134&gt;=Configuration!$D$2),"",_xlfn.REGEXEXTRACT(CELL("address",'Raw Data'!E134),"\$([A-Z]+)\$[0-9]+"))),_xlfn.REGEXEXTRACT(CELL("address",E134),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4),FALSE)),"",_xlfn.REGEXEXTRACT(CELL("address",F134),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</row>
    <row r="135" spans="2:30" x14ac:dyDescent="0.25">
      <c r="B135" s="7" t="str" cm="1">
        <f t="array" aca="1" ref="B135" ca="1">IFERROR(IF(OR('Raw Data'!B135="",LEN(TRIM('Raw Data'!B135))=0),"",IF(AND(LEN('Raw Data'!B135) &lt;= 20,LEN('Raw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20,LEN('Raw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Data'!E135))=0),"",IF(AND(ISNUMBER('Raw Data'!E135),'Raw Data'!E135&gt;=Configuration!$D$2),"",_xlfn.REGEXEXTRACT(CELL("address",'Raw Data'!E135),"\$([A-Z]+)\$[0-9]+"))),_xlfn.REGEXEXTRACT(CELL("address",E135),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4),FALSE)),"",_xlfn.REGEXEXTRACT(CELL("address",F135),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</row>
    <row r="136" spans="2:30" x14ac:dyDescent="0.25">
      <c r="B136" s="7" t="str" cm="1">
        <f t="array" aca="1" ref="B136" ca="1">IFERROR(IF(OR('Raw Data'!B136="",LEN(TRIM('Raw Data'!B136))=0),"",IF(AND(LEN('Raw Data'!B136) &lt;= 20,LEN('Raw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20,LEN('Raw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Data'!E136))=0),"",IF(AND(ISNUMBER('Raw Data'!E136),'Raw Data'!E136&gt;=Configuration!$D$2),"",_xlfn.REGEXEXTRACT(CELL("address",'Raw Data'!E136),"\$([A-Z]+)\$[0-9]+"))),_xlfn.REGEXEXTRACT(CELL("address",E136),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4),FALSE)),"",_xlfn.REGEXEXTRACT(CELL("address",F136),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</row>
    <row r="137" spans="2:30" x14ac:dyDescent="0.25">
      <c r="B137" s="7" t="str" cm="1">
        <f t="array" aca="1" ref="B137" ca="1">IFERROR(IF(OR('Raw Data'!B137="",LEN(TRIM('Raw Data'!B137))=0),"",IF(AND(LEN('Raw Data'!B137) &lt;= 20,LEN('Raw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20,LEN('Raw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Data'!E137))=0),"",IF(AND(ISNUMBER('Raw Data'!E137),'Raw Data'!E137&gt;=Configuration!$D$2),"",_xlfn.REGEXEXTRACT(CELL("address",'Raw Data'!E137),"\$([A-Z]+)\$[0-9]+"))),_xlfn.REGEXEXTRACT(CELL("address",E137),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4),FALSE)),"",_xlfn.REGEXEXTRACT(CELL("address",F137),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</row>
    <row r="138" spans="2:30" x14ac:dyDescent="0.25">
      <c r="B138" s="7" t="str" cm="1">
        <f t="array" aca="1" ref="B138" ca="1">IFERROR(IF(OR('Raw Data'!B138="",LEN(TRIM('Raw Data'!B138))=0),"",IF(AND(LEN('Raw Data'!B138) &lt;= 20,LEN('Raw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20,LEN('Raw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Data'!E138))=0),"",IF(AND(ISNUMBER('Raw Data'!E138),'Raw Data'!E138&gt;=Configuration!$D$2),"",_xlfn.REGEXEXTRACT(CELL("address",'Raw Data'!E138),"\$([A-Z]+)\$[0-9]+"))),_xlfn.REGEXEXTRACT(CELL("address",E138),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4),FALSE)),"",_xlfn.REGEXEXTRACT(CELL("address",F138),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</row>
    <row r="139" spans="2:30" x14ac:dyDescent="0.25">
      <c r="B139" s="7" t="str" cm="1">
        <f t="array" aca="1" ref="B139" ca="1">IFERROR(IF(OR('Raw Data'!B139="",LEN(TRIM('Raw Data'!B139))=0),"",IF(AND(LEN('Raw Data'!B139) &lt;= 20,LEN('Raw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20,LEN('Raw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Data'!E139))=0),"",IF(AND(ISNUMBER('Raw Data'!E139),'Raw Data'!E139&gt;=Configuration!$D$2),"",_xlfn.REGEXEXTRACT(CELL("address",'Raw Data'!E139),"\$([A-Z]+)\$[0-9]+"))),_xlfn.REGEXEXTRACT(CELL("address",E139),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4),FALSE)),"",_xlfn.REGEXEXTRACT(CELL("address",F139),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</row>
    <row r="140" spans="2:30" x14ac:dyDescent="0.25">
      <c r="B140" s="7" t="str" cm="1">
        <f t="array" aca="1" ref="B140" ca="1">IFERROR(IF(OR('Raw Data'!B140="",LEN(TRIM('Raw Data'!B140))=0),"",IF(AND(LEN('Raw Data'!B140) &lt;= 20,LEN('Raw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20,LEN('Raw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Data'!E140))=0),"",IF(AND(ISNUMBER('Raw Data'!E140),'Raw Data'!E140&gt;=Configuration!$D$2),"",_xlfn.REGEXEXTRACT(CELL("address",'Raw Data'!E140),"\$([A-Z]+)\$[0-9]+"))),_xlfn.REGEXEXTRACT(CELL("address",E140),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4),FALSE)),"",_xlfn.REGEXEXTRACT(CELL("address",F140),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</row>
    <row r="141" spans="2:30" x14ac:dyDescent="0.25">
      <c r="B141" s="7" t="str" cm="1">
        <f t="array" aca="1" ref="B141" ca="1">IFERROR(IF(OR('Raw Data'!B141="",LEN(TRIM('Raw Data'!B141))=0),"",IF(AND(LEN('Raw Data'!B141) &lt;= 20,LEN('Raw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20,LEN('Raw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Data'!E141))=0),"",IF(AND(ISNUMBER('Raw Data'!E141),'Raw Data'!E141&gt;=Configuration!$D$2),"",_xlfn.REGEXEXTRACT(CELL("address",'Raw Data'!E141),"\$([A-Z]+)\$[0-9]+"))),_xlfn.REGEXEXTRACT(CELL("address",E141),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4),FALSE)),"",_xlfn.REGEXEXTRACT(CELL("address",F141),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</row>
    <row r="142" spans="2:30" x14ac:dyDescent="0.25">
      <c r="B142" s="7" t="str" cm="1">
        <f t="array" aca="1" ref="B142" ca="1">IFERROR(IF(OR('Raw Data'!B142="",LEN(TRIM('Raw Data'!B142))=0),"",IF(AND(LEN('Raw Data'!B142) &lt;= 20,LEN('Raw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20,LEN('Raw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Data'!E142))=0),"",IF(AND(ISNUMBER('Raw Data'!E142),'Raw Data'!E142&gt;=Configuration!$D$2),"",_xlfn.REGEXEXTRACT(CELL("address",'Raw Data'!E142),"\$([A-Z]+)\$[0-9]+"))),_xlfn.REGEXEXTRACT(CELL("address",E142),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4),FALSE)),"",_xlfn.REGEXEXTRACT(CELL("address",F142),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</row>
    <row r="143" spans="2:30" x14ac:dyDescent="0.25">
      <c r="B143" s="7" t="str" cm="1">
        <f t="array" aca="1" ref="B143" ca="1">IFERROR(IF(OR('Raw Data'!B143="",LEN(TRIM('Raw Data'!B143))=0),"",IF(AND(LEN('Raw Data'!B143) &lt;= 20,LEN('Raw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20,LEN('Raw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Data'!E143))=0),"",IF(AND(ISNUMBER('Raw Data'!E143),'Raw Data'!E143&gt;=Configuration!$D$2),"",_xlfn.REGEXEXTRACT(CELL("address",'Raw Data'!E143),"\$([A-Z]+)\$[0-9]+"))),_xlfn.REGEXEXTRACT(CELL("address",E143),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4),FALSE)),"",_xlfn.REGEXEXTRACT(CELL("address",F143),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</row>
    <row r="144" spans="2:30" x14ac:dyDescent="0.25">
      <c r="B144" s="7" t="str" cm="1">
        <f t="array" aca="1" ref="B144" ca="1">IFERROR(IF(OR('Raw Data'!B144="",LEN(TRIM('Raw Data'!B144))=0),"",IF(AND(LEN('Raw Data'!B144) &lt;= 20,LEN('Raw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20,LEN('Raw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Data'!E144))=0),"",IF(AND(ISNUMBER('Raw Data'!E144),'Raw Data'!E144&gt;=Configuration!$D$2),"",_xlfn.REGEXEXTRACT(CELL("address",'Raw Data'!E144),"\$([A-Z]+)\$[0-9]+"))),_xlfn.REGEXEXTRACT(CELL("address",E144),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4),FALSE)),"",_xlfn.REGEXEXTRACT(CELL("address",F144),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</row>
    <row r="145" spans="2:30" x14ac:dyDescent="0.25">
      <c r="B145" s="7" t="str" cm="1">
        <f t="array" aca="1" ref="B145" ca="1">IFERROR(IF(OR('Raw Data'!B145="",LEN(TRIM('Raw Data'!B145))=0),"",IF(AND(LEN('Raw Data'!B145) &lt;= 20,LEN('Raw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20,LEN('Raw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Data'!E145))=0),"",IF(AND(ISNUMBER('Raw Data'!E145),'Raw Data'!E145&gt;=Configuration!$D$2),"",_xlfn.REGEXEXTRACT(CELL("address",'Raw Data'!E145),"\$([A-Z]+)\$[0-9]+"))),_xlfn.REGEXEXTRACT(CELL("address",E145),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4),FALSE)),"",_xlfn.REGEXEXTRACT(CELL("address",F145),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</row>
    <row r="146" spans="2:30" x14ac:dyDescent="0.25">
      <c r="B146" s="7" t="str" cm="1">
        <f t="array" aca="1" ref="B146" ca="1">IFERROR(IF(OR('Raw Data'!B146="",LEN(TRIM('Raw Data'!B146))=0),"",IF(AND(LEN('Raw Data'!B146) &lt;= 20,LEN('Raw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20,LEN('Raw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Data'!E146))=0),"",IF(AND(ISNUMBER('Raw Data'!E146),'Raw Data'!E146&gt;=Configuration!$D$2),"",_xlfn.REGEXEXTRACT(CELL("address",'Raw Data'!E146),"\$([A-Z]+)\$[0-9]+"))),_xlfn.REGEXEXTRACT(CELL("address",E146),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4),FALSE)),"",_xlfn.REGEXEXTRACT(CELL("address",F146),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</row>
    <row r="147" spans="2:30" x14ac:dyDescent="0.25">
      <c r="B147" s="7" t="str" cm="1">
        <f t="array" aca="1" ref="B147" ca="1">IFERROR(IF(OR('Raw Data'!B147="",LEN(TRIM('Raw Data'!B147))=0),"",IF(AND(LEN('Raw Data'!B147) &lt;= 20,LEN('Raw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20,LEN('Raw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Data'!E147))=0),"",IF(AND(ISNUMBER('Raw Data'!E147),'Raw Data'!E147&gt;=Configuration!$D$2),"",_xlfn.REGEXEXTRACT(CELL("address",'Raw Data'!E147),"\$([A-Z]+)\$[0-9]+"))),_xlfn.REGEXEXTRACT(CELL("address",E147),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4),FALSE)),"",_xlfn.REGEXEXTRACT(CELL("address",F147),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</row>
    <row r="148" spans="2:30" x14ac:dyDescent="0.25">
      <c r="B148" s="7" t="str" cm="1">
        <f t="array" aca="1" ref="B148" ca="1">IFERROR(IF(OR('Raw Data'!B148="",LEN(TRIM('Raw Data'!B148))=0),"",IF(AND(LEN('Raw Data'!B148) &lt;= 20,LEN('Raw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20,LEN('Raw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Data'!E148))=0),"",IF(AND(ISNUMBER('Raw Data'!E148),'Raw Data'!E148&gt;=Configuration!$D$2),"",_xlfn.REGEXEXTRACT(CELL("address",'Raw Data'!E148),"\$([A-Z]+)\$[0-9]+"))),_xlfn.REGEXEXTRACT(CELL("address",E148),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4),FALSE)),"",_xlfn.REGEXEXTRACT(CELL("address",F148),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</row>
    <row r="149" spans="2:30" x14ac:dyDescent="0.25">
      <c r="B149" s="7" t="str" cm="1">
        <f t="array" aca="1" ref="B149" ca="1">IFERROR(IF(OR('Raw Data'!B149="",LEN(TRIM('Raw Data'!B149))=0),"",IF(AND(LEN('Raw Data'!B149) &lt;= 20,LEN('Raw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20,LEN('Raw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Data'!E149))=0),"",IF(AND(ISNUMBER('Raw Data'!E149),'Raw Data'!E149&gt;=Configuration!$D$2),"",_xlfn.REGEXEXTRACT(CELL("address",'Raw Data'!E149),"\$([A-Z]+)\$[0-9]+"))),_xlfn.REGEXEXTRACT(CELL("address",E149),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4),FALSE)),"",_xlfn.REGEXEXTRACT(CELL("address",F149),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</row>
    <row r="150" spans="2:30" x14ac:dyDescent="0.25">
      <c r="B150" s="7" t="str" cm="1">
        <f t="array" aca="1" ref="B150" ca="1">IFERROR(IF(OR('Raw Data'!B150="",LEN(TRIM('Raw Data'!B150))=0),"",IF(AND(LEN('Raw Data'!B150) &lt;= 20,LEN('Raw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20,LEN('Raw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Data'!E150))=0),"",IF(AND(ISNUMBER('Raw Data'!E150),'Raw Data'!E150&gt;=Configuration!$D$2),"",_xlfn.REGEXEXTRACT(CELL("address",'Raw Data'!E150),"\$([A-Z]+)\$[0-9]+"))),_xlfn.REGEXEXTRACT(CELL("address",E150),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4),FALSE)),"",_xlfn.REGEXEXTRACT(CELL("address",F150),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</row>
    <row r="151" spans="2:30" x14ac:dyDescent="0.25">
      <c r="B151" s="7" t="str" cm="1">
        <f t="array" aca="1" ref="B151" ca="1">IFERROR(IF(OR('Raw Data'!B151="",LEN(TRIM('Raw Data'!B151))=0),"",IF(AND(LEN('Raw Data'!B151) &lt;= 20,LEN('Raw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20,LEN('Raw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Data'!E151))=0),"",IF(AND(ISNUMBER('Raw Data'!E151),'Raw Data'!E151&gt;=Configuration!$D$2),"",_xlfn.REGEXEXTRACT(CELL("address",'Raw Data'!E151),"\$([A-Z]+)\$[0-9]+"))),_xlfn.REGEXEXTRACT(CELL("address",E151),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4),FALSE)),"",_xlfn.REGEXEXTRACT(CELL("address",F151),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</row>
    <row r="152" spans="2:30" x14ac:dyDescent="0.25">
      <c r="B152" s="7" t="str" cm="1">
        <f t="array" aca="1" ref="B152" ca="1">IFERROR(IF(OR('Raw Data'!B152="",LEN(TRIM('Raw Data'!B152))=0),"",IF(AND(LEN('Raw Data'!B152) &lt;= 20,LEN('Raw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20,LEN('Raw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Data'!E152))=0),"",IF(AND(ISNUMBER('Raw Data'!E152),'Raw Data'!E152&gt;=Configuration!$D$2),"",_xlfn.REGEXEXTRACT(CELL("address",'Raw Data'!E152),"\$([A-Z]+)\$[0-9]+"))),_xlfn.REGEXEXTRACT(CELL("address",E152),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4),FALSE)),"",_xlfn.REGEXEXTRACT(CELL("address",F152),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</row>
    <row r="153" spans="2:30" x14ac:dyDescent="0.25">
      <c r="B153" s="7" t="str" cm="1">
        <f t="array" aca="1" ref="B153" ca="1">IFERROR(IF(OR('Raw Data'!B153="",LEN(TRIM('Raw Data'!B153))=0),"",IF(AND(LEN('Raw Data'!B153) &lt;= 20,LEN('Raw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20,LEN('Raw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Data'!E153))=0),"",IF(AND(ISNUMBER('Raw Data'!E153),'Raw Data'!E153&gt;=Configuration!$D$2),"",_xlfn.REGEXEXTRACT(CELL("address",'Raw Data'!E153),"\$([A-Z]+)\$[0-9]+"))),_xlfn.REGEXEXTRACT(CELL("address",E153),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4),FALSE)),"",_xlfn.REGEXEXTRACT(CELL("address",F153),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</row>
    <row r="154" spans="2:30" x14ac:dyDescent="0.25">
      <c r="B154" s="7" t="str" cm="1">
        <f t="array" aca="1" ref="B154" ca="1">IFERROR(IF(OR('Raw Data'!B154="",LEN(TRIM('Raw Data'!B154))=0),"",IF(AND(LEN('Raw Data'!B154) &lt;= 20,LEN('Raw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20,LEN('Raw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Data'!E154))=0),"",IF(AND(ISNUMBER('Raw Data'!E154),'Raw Data'!E154&gt;=Configuration!$D$2),"",_xlfn.REGEXEXTRACT(CELL("address",'Raw Data'!E154),"\$([A-Z]+)\$[0-9]+"))),_xlfn.REGEXEXTRACT(CELL("address",E154),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4),FALSE)),"",_xlfn.REGEXEXTRACT(CELL("address",F154),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</row>
    <row r="155" spans="2:30" x14ac:dyDescent="0.25">
      <c r="B155" s="7" t="str" cm="1">
        <f t="array" aca="1" ref="B155" ca="1">IFERROR(IF(OR('Raw Data'!B155="",LEN(TRIM('Raw Data'!B155))=0),"",IF(AND(LEN('Raw Data'!B155) &lt;= 20,LEN('Raw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20,LEN('Raw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Data'!E155))=0),"",IF(AND(ISNUMBER('Raw Data'!E155),'Raw Data'!E155&gt;=Configuration!$D$2),"",_xlfn.REGEXEXTRACT(CELL("address",'Raw Data'!E155),"\$([A-Z]+)\$[0-9]+"))),_xlfn.REGEXEXTRACT(CELL("address",E155),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4),FALSE)),"",_xlfn.REGEXEXTRACT(CELL("address",F155),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</row>
    <row r="156" spans="2:30" x14ac:dyDescent="0.25">
      <c r="B156" s="7" t="str" cm="1">
        <f t="array" aca="1" ref="B156" ca="1">IFERROR(IF(OR('Raw Data'!B156="",LEN(TRIM('Raw Data'!B156))=0),"",IF(AND(LEN('Raw Data'!B156) &lt;= 20,LEN('Raw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20,LEN('Raw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Data'!E156))=0),"",IF(AND(ISNUMBER('Raw Data'!E156),'Raw Data'!E156&gt;=Configuration!$D$2),"",_xlfn.REGEXEXTRACT(CELL("address",'Raw Data'!E156),"\$([A-Z]+)\$[0-9]+"))),_xlfn.REGEXEXTRACT(CELL("address",E156),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4),FALSE)),"",_xlfn.REGEXEXTRACT(CELL("address",F156),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</row>
    <row r="157" spans="2:30" x14ac:dyDescent="0.25">
      <c r="B157" s="7" t="str" cm="1">
        <f t="array" aca="1" ref="B157" ca="1">IFERROR(IF(OR('Raw Data'!B157="",LEN(TRIM('Raw Data'!B157))=0),"",IF(AND(LEN('Raw Data'!B157) &lt;= 20,LEN('Raw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20,LEN('Raw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Data'!E157))=0),"",IF(AND(ISNUMBER('Raw Data'!E157),'Raw Data'!E157&gt;=Configuration!$D$2),"",_xlfn.REGEXEXTRACT(CELL("address",'Raw Data'!E157),"\$([A-Z]+)\$[0-9]+"))),_xlfn.REGEXEXTRACT(CELL("address",E157),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4),FALSE)),"",_xlfn.REGEXEXTRACT(CELL("address",F157),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</row>
    <row r="158" spans="2:30" x14ac:dyDescent="0.25">
      <c r="B158" s="7" t="str" cm="1">
        <f t="array" aca="1" ref="B158" ca="1">IFERROR(IF(OR('Raw Data'!B158="",LEN(TRIM('Raw Data'!B158))=0),"",IF(AND(LEN('Raw Data'!B158) &lt;= 20,LEN('Raw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20,LEN('Raw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Data'!E158))=0),"",IF(AND(ISNUMBER('Raw Data'!E158),'Raw Data'!E158&gt;=Configuration!$D$2),"",_xlfn.REGEXEXTRACT(CELL("address",'Raw Data'!E158),"\$([A-Z]+)\$[0-9]+"))),_xlfn.REGEXEXTRACT(CELL("address",E158),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4),FALSE)),"",_xlfn.REGEXEXTRACT(CELL("address",F158),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</row>
    <row r="159" spans="2:30" x14ac:dyDescent="0.25">
      <c r="B159" s="7" t="str" cm="1">
        <f t="array" aca="1" ref="B159" ca="1">IFERROR(IF(OR('Raw Data'!B159="",LEN(TRIM('Raw Data'!B159))=0),"",IF(AND(LEN('Raw Data'!B159) &lt;= 20,LEN('Raw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20,LEN('Raw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Data'!E159))=0),"",IF(AND(ISNUMBER('Raw Data'!E159),'Raw Data'!E159&gt;=Configuration!$D$2),"",_xlfn.REGEXEXTRACT(CELL("address",'Raw Data'!E159),"\$([A-Z]+)\$[0-9]+"))),_xlfn.REGEXEXTRACT(CELL("address",E159),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4),FALSE)),"",_xlfn.REGEXEXTRACT(CELL("address",F159),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</row>
    <row r="160" spans="2:30" x14ac:dyDescent="0.25">
      <c r="B160" s="7" t="str" cm="1">
        <f t="array" aca="1" ref="B160" ca="1">IFERROR(IF(OR('Raw Data'!B160="",LEN(TRIM('Raw Data'!B160))=0),"",IF(AND(LEN('Raw Data'!B160) &lt;= 20,LEN('Raw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20,LEN('Raw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Data'!E160))=0),"",IF(AND(ISNUMBER('Raw Data'!E160),'Raw Data'!E160&gt;=Configuration!$D$2),"",_xlfn.REGEXEXTRACT(CELL("address",'Raw Data'!E160),"\$([A-Z]+)\$[0-9]+"))),_xlfn.REGEXEXTRACT(CELL("address",E160),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4),FALSE)),"",_xlfn.REGEXEXTRACT(CELL("address",F160),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</row>
    <row r="161" spans="2:30" x14ac:dyDescent="0.25">
      <c r="B161" s="7" t="str" cm="1">
        <f t="array" aca="1" ref="B161" ca="1">IFERROR(IF(OR('Raw Data'!B161="",LEN(TRIM('Raw Data'!B161))=0),"",IF(AND(LEN('Raw Data'!B161) &lt;= 20,LEN('Raw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20,LEN('Raw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Data'!E161))=0),"",IF(AND(ISNUMBER('Raw Data'!E161),'Raw Data'!E161&gt;=Configuration!$D$2),"",_xlfn.REGEXEXTRACT(CELL("address",'Raw Data'!E161),"\$([A-Z]+)\$[0-9]+"))),_xlfn.REGEXEXTRACT(CELL("address",E161),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4),FALSE)),"",_xlfn.REGEXEXTRACT(CELL("address",F161),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</row>
    <row r="162" spans="2:30" x14ac:dyDescent="0.25">
      <c r="B162" s="7" t="str" cm="1">
        <f t="array" aca="1" ref="B162" ca="1">IFERROR(IF(OR('Raw Data'!B162="",LEN(TRIM('Raw Data'!B162))=0),"",IF(AND(LEN('Raw Data'!B162) &lt;= 20,LEN('Raw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20,LEN('Raw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Data'!E162))=0),"",IF(AND(ISNUMBER('Raw Data'!E162),'Raw Data'!E162&gt;=Configuration!$D$2),"",_xlfn.REGEXEXTRACT(CELL("address",'Raw Data'!E162),"\$([A-Z]+)\$[0-9]+"))),_xlfn.REGEXEXTRACT(CELL("address",E162),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4),FALSE)),"",_xlfn.REGEXEXTRACT(CELL("address",F162),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</row>
    <row r="163" spans="2:30" x14ac:dyDescent="0.25">
      <c r="B163" s="7" t="str" cm="1">
        <f t="array" aca="1" ref="B163" ca="1">IFERROR(IF(OR('Raw Data'!B163="",LEN(TRIM('Raw Data'!B163))=0),"",IF(AND(LEN('Raw Data'!B163) &lt;= 20,LEN('Raw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20,LEN('Raw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Data'!E163))=0),"",IF(AND(ISNUMBER('Raw Data'!E163),'Raw Data'!E163&gt;=Configuration!$D$2),"",_xlfn.REGEXEXTRACT(CELL("address",'Raw Data'!E163),"\$([A-Z]+)\$[0-9]+"))),_xlfn.REGEXEXTRACT(CELL("address",E163),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4),FALSE)),"",_xlfn.REGEXEXTRACT(CELL("address",F163),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</row>
    <row r="164" spans="2:30" x14ac:dyDescent="0.25">
      <c r="B164" s="7" t="str" cm="1">
        <f t="array" aca="1" ref="B164" ca="1">IFERROR(IF(OR('Raw Data'!B164="",LEN(TRIM('Raw Data'!B164))=0),"",IF(AND(LEN('Raw Data'!B164) &lt;= 20,LEN('Raw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20,LEN('Raw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Data'!E164))=0),"",IF(AND(ISNUMBER('Raw Data'!E164),'Raw Data'!E164&gt;=Configuration!$D$2),"",_xlfn.REGEXEXTRACT(CELL("address",'Raw Data'!E164),"\$([A-Z]+)\$[0-9]+"))),_xlfn.REGEXEXTRACT(CELL("address",E164),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4),FALSE)),"",_xlfn.REGEXEXTRACT(CELL("address",F164),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</row>
    <row r="165" spans="2:30" x14ac:dyDescent="0.25">
      <c r="B165" s="7" t="str" cm="1">
        <f t="array" aca="1" ref="B165" ca="1">IFERROR(IF(OR('Raw Data'!B165="",LEN(TRIM('Raw Data'!B165))=0),"",IF(AND(LEN('Raw Data'!B165) &lt;= 20,LEN('Raw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20,LEN('Raw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Data'!E165))=0),"",IF(AND(ISNUMBER('Raw Data'!E165),'Raw Data'!E165&gt;=Configuration!$D$2),"",_xlfn.REGEXEXTRACT(CELL("address",'Raw Data'!E165),"\$([A-Z]+)\$[0-9]+"))),_xlfn.REGEXEXTRACT(CELL("address",E165),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4),FALSE)),"",_xlfn.REGEXEXTRACT(CELL("address",F165),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</row>
    <row r="166" spans="2:30" x14ac:dyDescent="0.25">
      <c r="B166" s="7" t="str" cm="1">
        <f t="array" aca="1" ref="B166" ca="1">IFERROR(IF(OR('Raw Data'!B166="",LEN(TRIM('Raw Data'!B166))=0),"",IF(AND(LEN('Raw Data'!B166) &lt;= 20,LEN('Raw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20,LEN('Raw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Data'!E166))=0),"",IF(AND(ISNUMBER('Raw Data'!E166),'Raw Data'!E166&gt;=Configuration!$D$2),"",_xlfn.REGEXEXTRACT(CELL("address",'Raw Data'!E166),"\$([A-Z]+)\$[0-9]+"))),_xlfn.REGEXEXTRACT(CELL("address",E166),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4),FALSE)),"",_xlfn.REGEXEXTRACT(CELL("address",F166),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</row>
    <row r="167" spans="2:30" x14ac:dyDescent="0.25">
      <c r="B167" s="7" t="str" cm="1">
        <f t="array" aca="1" ref="B167" ca="1">IFERROR(IF(OR('Raw Data'!B167="",LEN(TRIM('Raw Data'!B167))=0),"",IF(AND(LEN('Raw Data'!B167) &lt;= 20,LEN('Raw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20,LEN('Raw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Data'!E167))=0),"",IF(AND(ISNUMBER('Raw Data'!E167),'Raw Data'!E167&gt;=Configuration!$D$2),"",_xlfn.REGEXEXTRACT(CELL("address",'Raw Data'!E167),"\$([A-Z]+)\$[0-9]+"))),_xlfn.REGEXEXTRACT(CELL("address",E167),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4),FALSE)),"",_xlfn.REGEXEXTRACT(CELL("address",F167),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</row>
    <row r="168" spans="2:30" x14ac:dyDescent="0.25">
      <c r="B168" s="7" t="str" cm="1">
        <f t="array" aca="1" ref="B168" ca="1">IFERROR(IF(OR('Raw Data'!B168="",LEN(TRIM('Raw Data'!B168))=0),"",IF(AND(LEN('Raw Data'!B168) &lt;= 20,LEN('Raw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20,LEN('Raw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Data'!E168))=0),"",IF(AND(ISNUMBER('Raw Data'!E168),'Raw Data'!E168&gt;=Configuration!$D$2),"",_xlfn.REGEXEXTRACT(CELL("address",'Raw Data'!E168),"\$([A-Z]+)\$[0-9]+"))),_xlfn.REGEXEXTRACT(CELL("address",E168),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4),FALSE)),"",_xlfn.REGEXEXTRACT(CELL("address",F168),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</row>
    <row r="169" spans="2:30" x14ac:dyDescent="0.25">
      <c r="B169" s="7" t="str" cm="1">
        <f t="array" aca="1" ref="B169" ca="1">IFERROR(IF(OR('Raw Data'!B169="",LEN(TRIM('Raw Data'!B169))=0),"",IF(AND(LEN('Raw Data'!B169) &lt;= 20,LEN('Raw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20,LEN('Raw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Data'!E169))=0),"",IF(AND(ISNUMBER('Raw Data'!E169),'Raw Data'!E169&gt;=Configuration!$D$2),"",_xlfn.REGEXEXTRACT(CELL("address",'Raw Data'!E169),"\$([A-Z]+)\$[0-9]+"))),_xlfn.REGEXEXTRACT(CELL("address",E169),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4),FALSE)),"",_xlfn.REGEXEXTRACT(CELL("address",F169),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</row>
    <row r="170" spans="2:30" x14ac:dyDescent="0.25">
      <c r="B170" s="7" t="str" cm="1">
        <f t="array" aca="1" ref="B170" ca="1">IFERROR(IF(OR('Raw Data'!B170="",LEN(TRIM('Raw Data'!B170))=0),"",IF(AND(LEN('Raw Data'!B170) &lt;= 20,LEN('Raw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20,LEN('Raw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Data'!E170))=0),"",IF(AND(ISNUMBER('Raw Data'!E170),'Raw Data'!E170&gt;=Configuration!$D$2),"",_xlfn.REGEXEXTRACT(CELL("address",'Raw Data'!E170),"\$([A-Z]+)\$[0-9]+"))),_xlfn.REGEXEXTRACT(CELL("address",E170),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4),FALSE)),"",_xlfn.REGEXEXTRACT(CELL("address",F170),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</row>
    <row r="171" spans="2:30" x14ac:dyDescent="0.25">
      <c r="B171" s="7" t="str" cm="1">
        <f t="array" aca="1" ref="B171" ca="1">IFERROR(IF(OR('Raw Data'!B171="",LEN(TRIM('Raw Data'!B171))=0),"",IF(AND(LEN('Raw Data'!B171) &lt;= 20,LEN('Raw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20,LEN('Raw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Data'!E171))=0),"",IF(AND(ISNUMBER('Raw Data'!E171),'Raw Data'!E171&gt;=Configuration!$D$2),"",_xlfn.REGEXEXTRACT(CELL("address",'Raw Data'!E171),"\$([A-Z]+)\$[0-9]+"))),_xlfn.REGEXEXTRACT(CELL("address",E171),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4),FALSE)),"",_xlfn.REGEXEXTRACT(CELL("address",F171),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</row>
    <row r="172" spans="2:30" x14ac:dyDescent="0.25">
      <c r="B172" s="7" t="str" cm="1">
        <f t="array" aca="1" ref="B172" ca="1">IFERROR(IF(OR('Raw Data'!B172="",LEN(TRIM('Raw Data'!B172))=0),"",IF(AND(LEN('Raw Data'!B172) &lt;= 20,LEN('Raw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20,LEN('Raw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Data'!E172))=0),"",IF(AND(ISNUMBER('Raw Data'!E172),'Raw Data'!E172&gt;=Configuration!$D$2),"",_xlfn.REGEXEXTRACT(CELL("address",'Raw Data'!E172),"\$([A-Z]+)\$[0-9]+"))),_xlfn.REGEXEXTRACT(CELL("address",E172),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4),FALSE)),"",_xlfn.REGEXEXTRACT(CELL("address",F172),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</row>
    <row r="173" spans="2:30" x14ac:dyDescent="0.25">
      <c r="B173" s="7" t="str" cm="1">
        <f t="array" aca="1" ref="B173" ca="1">IFERROR(IF(OR('Raw Data'!B173="",LEN(TRIM('Raw Data'!B173))=0),"",IF(AND(LEN('Raw Data'!B173) &lt;= 20,LEN('Raw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20,LEN('Raw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Data'!E173))=0),"",IF(AND(ISNUMBER('Raw Data'!E173),'Raw Data'!E173&gt;=Configuration!$D$2),"",_xlfn.REGEXEXTRACT(CELL("address",'Raw Data'!E173),"\$([A-Z]+)\$[0-9]+"))),_xlfn.REGEXEXTRACT(CELL("address",E173),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4),FALSE)),"",_xlfn.REGEXEXTRACT(CELL("address",F173),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</row>
    <row r="174" spans="2:30" x14ac:dyDescent="0.25">
      <c r="B174" s="7" t="str" cm="1">
        <f t="array" aca="1" ref="B174" ca="1">IFERROR(IF(OR('Raw Data'!B174="",LEN(TRIM('Raw Data'!B174))=0),"",IF(AND(LEN('Raw Data'!B174) &lt;= 20,LEN('Raw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20,LEN('Raw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Data'!E174))=0),"",IF(AND(ISNUMBER('Raw Data'!E174),'Raw Data'!E174&gt;=Configuration!$D$2),"",_xlfn.REGEXEXTRACT(CELL("address",'Raw Data'!E174),"\$([A-Z]+)\$[0-9]+"))),_xlfn.REGEXEXTRACT(CELL("address",E174),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4),FALSE)),"",_xlfn.REGEXEXTRACT(CELL("address",F174),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</row>
    <row r="175" spans="2:30" x14ac:dyDescent="0.25">
      <c r="B175" s="7" t="str" cm="1">
        <f t="array" aca="1" ref="B175" ca="1">IFERROR(IF(OR('Raw Data'!B175="",LEN(TRIM('Raw Data'!B175))=0),"",IF(AND(LEN('Raw Data'!B175) &lt;= 20,LEN('Raw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20,LEN('Raw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Data'!E175))=0),"",IF(AND(ISNUMBER('Raw Data'!E175),'Raw Data'!E175&gt;=Configuration!$D$2),"",_xlfn.REGEXEXTRACT(CELL("address",'Raw Data'!E175),"\$([A-Z]+)\$[0-9]+"))),_xlfn.REGEXEXTRACT(CELL("address",E175),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4),FALSE)),"",_xlfn.REGEXEXTRACT(CELL("address",F175),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</row>
    <row r="176" spans="2:30" x14ac:dyDescent="0.25">
      <c r="B176" s="7" t="str" cm="1">
        <f t="array" aca="1" ref="B176" ca="1">IFERROR(IF(OR('Raw Data'!B176="",LEN(TRIM('Raw Data'!B176))=0),"",IF(AND(LEN('Raw Data'!B176) &lt;= 20,LEN('Raw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20,LEN('Raw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Data'!E176))=0),"",IF(AND(ISNUMBER('Raw Data'!E176),'Raw Data'!E176&gt;=Configuration!$D$2),"",_xlfn.REGEXEXTRACT(CELL("address",'Raw Data'!E176),"\$([A-Z]+)\$[0-9]+"))),_xlfn.REGEXEXTRACT(CELL("address",E176),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4),FALSE)),"",_xlfn.REGEXEXTRACT(CELL("address",F176),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</row>
    <row r="177" spans="2:30" x14ac:dyDescent="0.25">
      <c r="B177" s="7" t="str" cm="1">
        <f t="array" aca="1" ref="B177" ca="1">IFERROR(IF(OR('Raw Data'!B177="",LEN(TRIM('Raw Data'!B177))=0),"",IF(AND(LEN('Raw Data'!B177) &lt;= 20,LEN('Raw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20,LEN('Raw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Data'!E177))=0),"",IF(AND(ISNUMBER('Raw Data'!E177),'Raw Data'!E177&gt;=Configuration!$D$2),"",_xlfn.REGEXEXTRACT(CELL("address",'Raw Data'!E177),"\$([A-Z]+)\$[0-9]+"))),_xlfn.REGEXEXTRACT(CELL("address",E177),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4),FALSE)),"",_xlfn.REGEXEXTRACT(CELL("address",F177),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</row>
    <row r="178" spans="2:30" x14ac:dyDescent="0.25">
      <c r="B178" s="7" t="str" cm="1">
        <f t="array" aca="1" ref="B178" ca="1">IFERROR(IF(OR('Raw Data'!B178="",LEN(TRIM('Raw Data'!B178))=0),"",IF(AND(LEN('Raw Data'!B178) &lt;= 20,LEN('Raw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20,LEN('Raw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Data'!E178))=0),"",IF(AND(ISNUMBER('Raw Data'!E178),'Raw Data'!E178&gt;=Configuration!$D$2),"",_xlfn.REGEXEXTRACT(CELL("address",'Raw Data'!E178),"\$([A-Z]+)\$[0-9]+"))),_xlfn.REGEXEXTRACT(CELL("address",E178),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4),FALSE)),"",_xlfn.REGEXEXTRACT(CELL("address",F178),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</row>
    <row r="179" spans="2:30" x14ac:dyDescent="0.25">
      <c r="B179" s="7" t="str" cm="1">
        <f t="array" aca="1" ref="B179" ca="1">IFERROR(IF(OR('Raw Data'!B179="",LEN(TRIM('Raw Data'!B179))=0),"",IF(AND(LEN('Raw Data'!B179) &lt;= 20,LEN('Raw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20,LEN('Raw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Data'!E179))=0),"",IF(AND(ISNUMBER('Raw Data'!E179),'Raw Data'!E179&gt;=Configuration!$D$2),"",_xlfn.REGEXEXTRACT(CELL("address",'Raw Data'!E179),"\$([A-Z]+)\$[0-9]+"))),_xlfn.REGEXEXTRACT(CELL("address",E179),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4),FALSE)),"",_xlfn.REGEXEXTRACT(CELL("address",F179),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</row>
    <row r="180" spans="2:30" x14ac:dyDescent="0.25">
      <c r="B180" s="7" t="str" cm="1">
        <f t="array" aca="1" ref="B180" ca="1">IFERROR(IF(OR('Raw Data'!B180="",LEN(TRIM('Raw Data'!B180))=0),"",IF(AND(LEN('Raw Data'!B180) &lt;= 20,LEN('Raw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20,LEN('Raw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Data'!E180))=0),"",IF(AND(ISNUMBER('Raw Data'!E180),'Raw Data'!E180&gt;=Configuration!$D$2),"",_xlfn.REGEXEXTRACT(CELL("address",'Raw Data'!E180),"\$([A-Z]+)\$[0-9]+"))),_xlfn.REGEXEXTRACT(CELL("address",E180),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4),FALSE)),"",_xlfn.REGEXEXTRACT(CELL("address",F180),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</row>
    <row r="181" spans="2:30" x14ac:dyDescent="0.25">
      <c r="B181" s="7" t="str" cm="1">
        <f t="array" aca="1" ref="B181" ca="1">IFERROR(IF(OR('Raw Data'!B181="",LEN(TRIM('Raw Data'!B181))=0),"",IF(AND(LEN('Raw Data'!B181) &lt;= 20,LEN('Raw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20,LEN('Raw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Data'!E181))=0),"",IF(AND(ISNUMBER('Raw Data'!E181),'Raw Data'!E181&gt;=Configuration!$D$2),"",_xlfn.REGEXEXTRACT(CELL("address",'Raw Data'!E181),"\$([A-Z]+)\$[0-9]+"))),_xlfn.REGEXEXTRACT(CELL("address",E181),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4),FALSE)),"",_xlfn.REGEXEXTRACT(CELL("address",F181),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</row>
    <row r="182" spans="2:30" x14ac:dyDescent="0.25">
      <c r="B182" s="7" t="str" cm="1">
        <f t="array" aca="1" ref="B182" ca="1">IFERROR(IF(OR('Raw Data'!B182="",LEN(TRIM('Raw Data'!B182))=0),"",IF(AND(LEN('Raw Data'!B182) &lt;= 20,LEN('Raw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20,LEN('Raw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Data'!E182))=0),"",IF(AND(ISNUMBER('Raw Data'!E182),'Raw Data'!E182&gt;=Configuration!$D$2),"",_xlfn.REGEXEXTRACT(CELL("address",'Raw Data'!E182),"\$([A-Z]+)\$[0-9]+"))),_xlfn.REGEXEXTRACT(CELL("address",E182),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4),FALSE)),"",_xlfn.REGEXEXTRACT(CELL("address",F182),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</row>
    <row r="183" spans="2:30" x14ac:dyDescent="0.25">
      <c r="B183" s="7" t="str" cm="1">
        <f t="array" aca="1" ref="B183" ca="1">IFERROR(IF(OR('Raw Data'!B183="",LEN(TRIM('Raw Data'!B183))=0),"",IF(AND(LEN('Raw Data'!B183) &lt;= 20,LEN('Raw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20,LEN('Raw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Data'!E183))=0),"",IF(AND(ISNUMBER('Raw Data'!E183),'Raw Data'!E183&gt;=Configuration!$D$2),"",_xlfn.REGEXEXTRACT(CELL("address",'Raw Data'!E183),"\$([A-Z]+)\$[0-9]+"))),_xlfn.REGEXEXTRACT(CELL("address",E183),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4),FALSE)),"",_xlfn.REGEXEXTRACT(CELL("address",F183),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</row>
    <row r="184" spans="2:30" x14ac:dyDescent="0.25">
      <c r="B184" s="7" t="str" cm="1">
        <f t="array" aca="1" ref="B184" ca="1">IFERROR(IF(OR('Raw Data'!B184="",LEN(TRIM('Raw Data'!B184))=0),"",IF(AND(LEN('Raw Data'!B184) &lt;= 20,LEN('Raw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20,LEN('Raw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Data'!E184))=0),"",IF(AND(ISNUMBER('Raw Data'!E184),'Raw Data'!E184&gt;=Configuration!$D$2),"",_xlfn.REGEXEXTRACT(CELL("address",'Raw Data'!E184),"\$([A-Z]+)\$[0-9]+"))),_xlfn.REGEXEXTRACT(CELL("address",E184),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4),FALSE)),"",_xlfn.REGEXEXTRACT(CELL("address",F184),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</row>
    <row r="185" spans="2:30" x14ac:dyDescent="0.25">
      <c r="B185" s="7" t="str" cm="1">
        <f t="array" aca="1" ref="B185" ca="1">IFERROR(IF(OR('Raw Data'!B185="",LEN(TRIM('Raw Data'!B185))=0),"",IF(AND(LEN('Raw Data'!B185) &lt;= 20,LEN('Raw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20,LEN('Raw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Data'!E185))=0),"",IF(AND(ISNUMBER('Raw Data'!E185),'Raw Data'!E185&gt;=Configuration!$D$2),"",_xlfn.REGEXEXTRACT(CELL("address",'Raw Data'!E185),"\$([A-Z]+)\$[0-9]+"))),_xlfn.REGEXEXTRACT(CELL("address",E185),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4),FALSE)),"",_xlfn.REGEXEXTRACT(CELL("address",F185),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</row>
    <row r="186" spans="2:30" x14ac:dyDescent="0.25">
      <c r="B186" s="7" t="str" cm="1">
        <f t="array" aca="1" ref="B186" ca="1">IFERROR(IF(OR('Raw Data'!B186="",LEN(TRIM('Raw Data'!B186))=0),"",IF(AND(LEN('Raw Data'!B186) &lt;= 20,LEN('Raw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20,LEN('Raw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Data'!E186))=0),"",IF(AND(ISNUMBER('Raw Data'!E186),'Raw Data'!E186&gt;=Configuration!$D$2),"",_xlfn.REGEXEXTRACT(CELL("address",'Raw Data'!E186),"\$([A-Z]+)\$[0-9]+"))),_xlfn.REGEXEXTRACT(CELL("address",E186),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4),FALSE)),"",_xlfn.REGEXEXTRACT(CELL("address",F186),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</row>
    <row r="187" spans="2:30" x14ac:dyDescent="0.25">
      <c r="B187" s="7" t="str" cm="1">
        <f t="array" aca="1" ref="B187" ca="1">IFERROR(IF(OR('Raw Data'!B187="",LEN(TRIM('Raw Data'!B187))=0),"",IF(AND(LEN('Raw Data'!B187) &lt;= 20,LEN('Raw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20,LEN('Raw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Data'!E187))=0),"",IF(AND(ISNUMBER('Raw Data'!E187),'Raw Data'!E187&gt;=Configuration!$D$2),"",_xlfn.REGEXEXTRACT(CELL("address",'Raw Data'!E187),"\$([A-Z]+)\$[0-9]+"))),_xlfn.REGEXEXTRACT(CELL("address",E187),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4),FALSE)),"",_xlfn.REGEXEXTRACT(CELL("address",F187),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</row>
    <row r="188" spans="2:30" x14ac:dyDescent="0.25">
      <c r="B188" s="7" t="str" cm="1">
        <f t="array" aca="1" ref="B188" ca="1">IFERROR(IF(OR('Raw Data'!B188="",LEN(TRIM('Raw Data'!B188))=0),"",IF(AND(LEN('Raw Data'!B188) &lt;= 20,LEN('Raw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20,LEN('Raw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Data'!E188))=0),"",IF(AND(ISNUMBER('Raw Data'!E188),'Raw Data'!E188&gt;=Configuration!$D$2),"",_xlfn.REGEXEXTRACT(CELL("address",'Raw Data'!E188),"\$([A-Z]+)\$[0-9]+"))),_xlfn.REGEXEXTRACT(CELL("address",E188),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4),FALSE)),"",_xlfn.REGEXEXTRACT(CELL("address",F188),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</row>
    <row r="189" spans="2:30" x14ac:dyDescent="0.25">
      <c r="B189" s="7" t="str" cm="1">
        <f t="array" aca="1" ref="B189" ca="1">IFERROR(IF(OR('Raw Data'!B189="",LEN(TRIM('Raw Data'!B189))=0),"",IF(AND(LEN('Raw Data'!B189) &lt;= 20,LEN('Raw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20,LEN('Raw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Data'!E189))=0),"",IF(AND(ISNUMBER('Raw Data'!E189),'Raw Data'!E189&gt;=Configuration!$D$2),"",_xlfn.REGEXEXTRACT(CELL("address",'Raw Data'!E189),"\$([A-Z]+)\$[0-9]+"))),_xlfn.REGEXEXTRACT(CELL("address",E189),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4),FALSE)),"",_xlfn.REGEXEXTRACT(CELL("address",F189),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</row>
    <row r="190" spans="2:30" x14ac:dyDescent="0.25">
      <c r="B190" s="7" t="str" cm="1">
        <f t="array" aca="1" ref="B190" ca="1">IFERROR(IF(OR('Raw Data'!B190="",LEN(TRIM('Raw Data'!B190))=0),"",IF(AND(LEN('Raw Data'!B190) &lt;= 20,LEN('Raw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20,LEN('Raw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Data'!E190))=0),"",IF(AND(ISNUMBER('Raw Data'!E190),'Raw Data'!E190&gt;=Configuration!$D$2),"",_xlfn.REGEXEXTRACT(CELL("address",'Raw Data'!E190),"\$([A-Z]+)\$[0-9]+"))),_xlfn.REGEXEXTRACT(CELL("address",E190),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4),FALSE)),"",_xlfn.REGEXEXTRACT(CELL("address",F190),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</row>
    <row r="191" spans="2:30" x14ac:dyDescent="0.25">
      <c r="B191" s="7" t="str" cm="1">
        <f t="array" aca="1" ref="B191" ca="1">IFERROR(IF(OR('Raw Data'!B191="",LEN(TRIM('Raw Data'!B191))=0),"",IF(AND(LEN('Raw Data'!B191) &lt;= 20,LEN('Raw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20,LEN('Raw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Data'!E191))=0),"",IF(AND(ISNUMBER('Raw Data'!E191),'Raw Data'!E191&gt;=Configuration!$D$2),"",_xlfn.REGEXEXTRACT(CELL("address",'Raw Data'!E191),"\$([A-Z]+)\$[0-9]+"))),_xlfn.REGEXEXTRACT(CELL("address",E191),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4),FALSE)),"",_xlfn.REGEXEXTRACT(CELL("address",F191),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</row>
    <row r="192" spans="2:30" x14ac:dyDescent="0.25">
      <c r="B192" s="7" t="str" cm="1">
        <f t="array" aca="1" ref="B192" ca="1">IFERROR(IF(OR('Raw Data'!B192="",LEN(TRIM('Raw Data'!B192))=0),"",IF(AND(LEN('Raw Data'!B192) &lt;= 20,LEN('Raw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20,LEN('Raw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Data'!E192))=0),"",IF(AND(ISNUMBER('Raw Data'!E192),'Raw Data'!E192&gt;=Configuration!$D$2),"",_xlfn.REGEXEXTRACT(CELL("address",'Raw Data'!E192),"\$([A-Z]+)\$[0-9]+"))),_xlfn.REGEXEXTRACT(CELL("address",E192),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4),FALSE)),"",_xlfn.REGEXEXTRACT(CELL("address",F192),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</row>
    <row r="193" spans="2:30" x14ac:dyDescent="0.25">
      <c r="B193" s="7" t="str" cm="1">
        <f t="array" aca="1" ref="B193" ca="1">IFERROR(IF(OR('Raw Data'!B193="",LEN(TRIM('Raw Data'!B193))=0),"",IF(AND(LEN('Raw Data'!B193) &lt;= 20,LEN('Raw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20,LEN('Raw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Data'!E193))=0),"",IF(AND(ISNUMBER('Raw Data'!E193),'Raw Data'!E193&gt;=Configuration!$D$2),"",_xlfn.REGEXEXTRACT(CELL("address",'Raw Data'!E193),"\$([A-Z]+)\$[0-9]+"))),_xlfn.REGEXEXTRACT(CELL("address",E193),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4),FALSE)),"",_xlfn.REGEXEXTRACT(CELL("address",F193),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</row>
    <row r="194" spans="2:30" x14ac:dyDescent="0.25">
      <c r="B194" s="7" t="str" cm="1">
        <f t="array" aca="1" ref="B194" ca="1">IFERROR(IF(OR('Raw Data'!B194="",LEN(TRIM('Raw Data'!B194))=0),"",IF(AND(LEN('Raw Data'!B194) &lt;= 20,LEN('Raw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20,LEN('Raw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Data'!E194))=0),"",IF(AND(ISNUMBER('Raw Data'!E194),'Raw Data'!E194&gt;=Configuration!$D$2),"",_xlfn.REGEXEXTRACT(CELL("address",'Raw Data'!E194),"\$([A-Z]+)\$[0-9]+"))),_xlfn.REGEXEXTRACT(CELL("address",E194),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4),FALSE)),"",_xlfn.REGEXEXTRACT(CELL("address",F194),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</row>
    <row r="195" spans="2:30" x14ac:dyDescent="0.25">
      <c r="B195" s="7" t="str" cm="1">
        <f t="array" aca="1" ref="B195" ca="1">IFERROR(IF(OR('Raw Data'!B195="",LEN(TRIM('Raw Data'!B195))=0),"",IF(AND(LEN('Raw Data'!B195) &lt;= 20,LEN('Raw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20,LEN('Raw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Data'!E195))=0),"",IF(AND(ISNUMBER('Raw Data'!E195),'Raw Data'!E195&gt;=Configuration!$D$2),"",_xlfn.REGEXEXTRACT(CELL("address",'Raw Data'!E195),"\$([A-Z]+)\$[0-9]+"))),_xlfn.REGEXEXTRACT(CELL("address",E195),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4),FALSE)),"",_xlfn.REGEXEXTRACT(CELL("address",F195),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</row>
    <row r="196" spans="2:30" x14ac:dyDescent="0.25">
      <c r="B196" s="7" t="str" cm="1">
        <f t="array" aca="1" ref="B196" ca="1">IFERROR(IF(OR('Raw Data'!B196="",LEN(TRIM('Raw Data'!B196))=0),"",IF(AND(LEN('Raw Data'!B196) &lt;= 20,LEN('Raw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20,LEN('Raw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Data'!E196))=0),"",IF(AND(ISNUMBER('Raw Data'!E196),'Raw Data'!E196&gt;=Configuration!$D$2),"",_xlfn.REGEXEXTRACT(CELL("address",'Raw Data'!E196),"\$([A-Z]+)\$[0-9]+"))),_xlfn.REGEXEXTRACT(CELL("address",E196),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4),FALSE)),"",_xlfn.REGEXEXTRACT(CELL("address",F196),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</row>
    <row r="197" spans="2:30" x14ac:dyDescent="0.25">
      <c r="B197" s="7" t="str" cm="1">
        <f t="array" aca="1" ref="B197" ca="1">IFERROR(IF(OR('Raw Data'!B197="",LEN(TRIM('Raw Data'!B197))=0),"",IF(AND(LEN('Raw Data'!B197) &lt;= 20,LEN('Raw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20,LEN('Raw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Data'!E197))=0),"",IF(AND(ISNUMBER('Raw Data'!E197),'Raw Data'!E197&gt;=Configuration!$D$2),"",_xlfn.REGEXEXTRACT(CELL("address",'Raw Data'!E197),"\$([A-Z]+)\$[0-9]+"))),_xlfn.REGEXEXTRACT(CELL("address",E197),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4),FALSE)),"",_xlfn.REGEXEXTRACT(CELL("address",F197),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</row>
    <row r="198" spans="2:30" x14ac:dyDescent="0.25">
      <c r="B198" s="7" t="str" cm="1">
        <f t="array" aca="1" ref="B198" ca="1">IFERROR(IF(OR('Raw Data'!B198="",LEN(TRIM('Raw Data'!B198))=0),"",IF(AND(LEN('Raw Data'!B198) &lt;= 20,LEN('Raw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20,LEN('Raw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Data'!E198))=0),"",IF(AND(ISNUMBER('Raw Data'!E198),'Raw Data'!E198&gt;=Configuration!$D$2),"",_xlfn.REGEXEXTRACT(CELL("address",'Raw Data'!E198),"\$([A-Z]+)\$[0-9]+"))),_xlfn.REGEXEXTRACT(CELL("address",E198),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4),FALSE)),"",_xlfn.REGEXEXTRACT(CELL("address",F198),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</row>
    <row r="199" spans="2:30" x14ac:dyDescent="0.25">
      <c r="B199" s="7" t="str" cm="1">
        <f t="array" aca="1" ref="B199" ca="1">IFERROR(IF(OR('Raw Data'!B199="",LEN(TRIM('Raw Data'!B199))=0),"",IF(AND(LEN('Raw Data'!B199) &lt;= 20,LEN('Raw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20,LEN('Raw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Data'!E199))=0),"",IF(AND(ISNUMBER('Raw Data'!E199),'Raw Data'!E199&gt;=Configuration!$D$2),"",_xlfn.REGEXEXTRACT(CELL("address",'Raw Data'!E199),"\$([A-Z]+)\$[0-9]+"))),_xlfn.REGEXEXTRACT(CELL("address",E199),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4),FALSE)),"",_xlfn.REGEXEXTRACT(CELL("address",F199),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</row>
    <row r="200" spans="2:30" x14ac:dyDescent="0.25">
      <c r="B200" s="7" t="str" cm="1">
        <f t="array" aca="1" ref="B200" ca="1">IFERROR(IF(OR('Raw Data'!B200="",LEN(TRIM('Raw Data'!B200))=0),"",IF(AND(LEN('Raw Data'!B200) &lt;= 20,LEN('Raw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20,LEN('Raw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Data'!E200))=0),"",IF(AND(ISNUMBER('Raw Data'!E200),'Raw Data'!E200&gt;=Configuration!$D$2),"",_xlfn.REGEXEXTRACT(CELL("address",'Raw Data'!E200),"\$([A-Z]+)\$[0-9]+"))),_xlfn.REGEXEXTRACT(CELL("address",E200),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4),FALSE)),"",_xlfn.REGEXEXTRACT(CELL("address",F200),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</row>
    <row r="201" spans="2:30" x14ac:dyDescent="0.25">
      <c r="B201" s="7" t="str" cm="1">
        <f t="array" aca="1" ref="B201" ca="1">IFERROR(IF(OR('Raw Data'!B201="",LEN(TRIM('Raw Data'!B201))=0),"",IF(AND(LEN('Raw Data'!B201) &lt;= 20,LEN('Raw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20,LEN('Raw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Data'!E201))=0),"",IF(AND(ISNUMBER('Raw Data'!E201),'Raw Data'!E201&gt;=Configuration!$D$2),"",_xlfn.REGEXEXTRACT(CELL("address",'Raw Data'!E201),"\$([A-Z]+)\$[0-9]+"))),_xlfn.REGEXEXTRACT(CELL("address",E201),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4),FALSE)),"",_xlfn.REGEXEXTRACT(CELL("address",F201),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</row>
    <row r="202" spans="2:30" x14ac:dyDescent="0.25">
      <c r="B202" s="7" t="str" cm="1">
        <f t="array" aca="1" ref="B202" ca="1">IFERROR(IF(OR('Raw Data'!B202="",LEN(TRIM('Raw Data'!B202))=0),"",IF(AND(LEN('Raw Data'!B202) &lt;= 20,LEN('Raw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20,LEN('Raw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Data'!E202))=0),"",IF(AND(ISNUMBER('Raw Data'!E202),'Raw Data'!E202&gt;=Configuration!$D$2),"",_xlfn.REGEXEXTRACT(CELL("address",'Raw Data'!E202),"\$([A-Z]+)\$[0-9]+"))),_xlfn.REGEXEXTRACT(CELL("address",E202),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4),FALSE)),"",_xlfn.REGEXEXTRACT(CELL("address",F202),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</row>
    <row r="203" spans="2:30" x14ac:dyDescent="0.25">
      <c r="B203" s="7" t="str" cm="1">
        <f t="array" aca="1" ref="B203" ca="1">IFERROR(IF(OR('Raw Data'!B203="",LEN(TRIM('Raw Data'!B203))=0),"",IF(AND(LEN('Raw Data'!B203) &lt;= 20,LEN('Raw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20,LEN('Raw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Data'!E203))=0),"",IF(AND(ISNUMBER('Raw Data'!E203),'Raw Data'!E203&gt;=Configuration!$D$2),"",_xlfn.REGEXEXTRACT(CELL("address",'Raw Data'!E203),"\$([A-Z]+)\$[0-9]+"))),_xlfn.REGEXEXTRACT(CELL("address",E203),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4),FALSE)),"",_xlfn.REGEXEXTRACT(CELL("address",F203),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</row>
    <row r="204" spans="2:30" x14ac:dyDescent="0.25">
      <c r="B204" s="7" t="str" cm="1">
        <f t="array" aca="1" ref="B204" ca="1">IFERROR(IF(OR('Raw Data'!B204="",LEN(TRIM('Raw Data'!B204))=0),"",IF(AND(LEN('Raw Data'!B204) &lt;= 20,LEN('Raw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20,LEN('Raw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Data'!E204))=0),"",IF(AND(ISNUMBER('Raw Data'!E204),'Raw Data'!E204&gt;=Configuration!$D$2),"",_xlfn.REGEXEXTRACT(CELL("address",'Raw Data'!E204),"\$([A-Z]+)\$[0-9]+"))),_xlfn.REGEXEXTRACT(CELL("address",E204),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4),FALSE)),"",_xlfn.REGEXEXTRACT(CELL("address",F204),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</row>
    <row r="205" spans="2:30" x14ac:dyDescent="0.25">
      <c r="B205" s="7" t="str" cm="1">
        <f t="array" aca="1" ref="B205" ca="1">IFERROR(IF(OR('Raw Data'!B205="",LEN(TRIM('Raw Data'!B205))=0),"",IF(AND(LEN('Raw Data'!B205) &lt;= 20,LEN('Raw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20,LEN('Raw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Data'!E205))=0),"",IF(AND(ISNUMBER('Raw Data'!E205),'Raw Data'!E205&gt;=Configuration!$D$2),"",_xlfn.REGEXEXTRACT(CELL("address",'Raw Data'!E205),"\$([A-Z]+)\$[0-9]+"))),_xlfn.REGEXEXTRACT(CELL("address",E205),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4),FALSE)),"",_xlfn.REGEXEXTRACT(CELL("address",F205),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</row>
    <row r="206" spans="2:30" x14ac:dyDescent="0.25">
      <c r="B206" s="7" t="str" cm="1">
        <f t="array" aca="1" ref="B206" ca="1">IFERROR(IF(OR('Raw Data'!B206="",LEN(TRIM('Raw Data'!B206))=0),"",IF(AND(LEN('Raw Data'!B206) &lt;= 20,LEN('Raw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20,LEN('Raw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Data'!E206))=0),"",IF(AND(ISNUMBER('Raw Data'!E206),'Raw Data'!E206&gt;=Configuration!$D$2),"",_xlfn.REGEXEXTRACT(CELL("address",'Raw Data'!E206),"\$([A-Z]+)\$[0-9]+"))),_xlfn.REGEXEXTRACT(CELL("address",E206),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4),FALSE)),"",_xlfn.REGEXEXTRACT(CELL("address",F206),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</row>
    <row r="207" spans="2:30" x14ac:dyDescent="0.25">
      <c r="B207" s="7" t="str" cm="1">
        <f t="array" aca="1" ref="B207" ca="1">IFERROR(IF(OR('Raw Data'!B207="",LEN(TRIM('Raw Data'!B207))=0),"",IF(AND(LEN('Raw Data'!B207) &lt;= 20,LEN('Raw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20,LEN('Raw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Data'!E207))=0),"",IF(AND(ISNUMBER('Raw Data'!E207),'Raw Data'!E207&gt;=Configuration!$D$2),"",_xlfn.REGEXEXTRACT(CELL("address",'Raw Data'!E207),"\$([A-Z]+)\$[0-9]+"))),_xlfn.REGEXEXTRACT(CELL("address",E207),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4),FALSE)),"",_xlfn.REGEXEXTRACT(CELL("address",F207),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</row>
    <row r="208" spans="2:30" x14ac:dyDescent="0.25">
      <c r="B208" s="7" t="str" cm="1">
        <f t="array" aca="1" ref="B208" ca="1">IFERROR(IF(OR('Raw Data'!B208="",LEN(TRIM('Raw Data'!B208))=0),"",IF(AND(LEN('Raw Data'!B208) &lt;= 20,LEN('Raw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20,LEN('Raw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Data'!E208))=0),"",IF(AND(ISNUMBER('Raw Data'!E208),'Raw Data'!E208&gt;=Configuration!$D$2),"",_xlfn.REGEXEXTRACT(CELL("address",'Raw Data'!E208),"\$([A-Z]+)\$[0-9]+"))),_xlfn.REGEXEXTRACT(CELL("address",E208),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4),FALSE)),"",_xlfn.REGEXEXTRACT(CELL("address",F208),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</row>
    <row r="209" spans="2:30" x14ac:dyDescent="0.25">
      <c r="B209" s="7" t="str" cm="1">
        <f t="array" aca="1" ref="B209" ca="1">IFERROR(IF(OR('Raw Data'!B209="",LEN(TRIM('Raw Data'!B209))=0),"",IF(AND(LEN('Raw Data'!B209) &lt;= 20,LEN('Raw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20,LEN('Raw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Data'!E209))=0),"",IF(AND(ISNUMBER('Raw Data'!E209),'Raw Data'!E209&gt;=Configuration!$D$2),"",_xlfn.REGEXEXTRACT(CELL("address",'Raw Data'!E209),"\$([A-Z]+)\$[0-9]+"))),_xlfn.REGEXEXTRACT(CELL("address",E209),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4),FALSE)),"",_xlfn.REGEXEXTRACT(CELL("address",F209),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</row>
    <row r="210" spans="2:30" x14ac:dyDescent="0.25">
      <c r="B210" s="7" t="str" cm="1">
        <f t="array" aca="1" ref="B210" ca="1">IFERROR(IF(OR('Raw Data'!B210="",LEN(TRIM('Raw Data'!B210))=0),"",IF(AND(LEN('Raw Data'!B210) &lt;= 20,LEN('Raw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20,LEN('Raw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Data'!E210))=0),"",IF(AND(ISNUMBER('Raw Data'!E210),'Raw Data'!E210&gt;=Configuration!$D$2),"",_xlfn.REGEXEXTRACT(CELL("address",'Raw Data'!E210),"\$([A-Z]+)\$[0-9]+"))),_xlfn.REGEXEXTRACT(CELL("address",E210),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4),FALSE)),"",_xlfn.REGEXEXTRACT(CELL("address",F210),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</row>
    <row r="211" spans="2:30" x14ac:dyDescent="0.25">
      <c r="B211" s="7" t="str" cm="1">
        <f t="array" aca="1" ref="B211" ca="1">IFERROR(IF(OR('Raw Data'!B211="",LEN(TRIM('Raw Data'!B211))=0),"",IF(AND(LEN('Raw Data'!B211) &lt;= 20,LEN('Raw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20,LEN('Raw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Data'!E211))=0),"",IF(AND(ISNUMBER('Raw Data'!E211),'Raw Data'!E211&gt;=Configuration!$D$2),"",_xlfn.REGEXEXTRACT(CELL("address",'Raw Data'!E211),"\$([A-Z]+)\$[0-9]+"))),_xlfn.REGEXEXTRACT(CELL("address",E211),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4),FALSE)),"",_xlfn.REGEXEXTRACT(CELL("address",F211),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</row>
    <row r="212" spans="2:30" x14ac:dyDescent="0.25">
      <c r="B212" s="7" t="str" cm="1">
        <f t="array" aca="1" ref="B212" ca="1">IFERROR(IF(OR('Raw Data'!B212="",LEN(TRIM('Raw Data'!B212))=0),"",IF(AND(LEN('Raw Data'!B212) &lt;= 20,LEN('Raw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20,LEN('Raw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Data'!E212))=0),"",IF(AND(ISNUMBER('Raw Data'!E212),'Raw Data'!E212&gt;=Configuration!$D$2),"",_xlfn.REGEXEXTRACT(CELL("address",'Raw Data'!E212),"\$([A-Z]+)\$[0-9]+"))),_xlfn.REGEXEXTRACT(CELL("address",E212),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4),FALSE)),"",_xlfn.REGEXEXTRACT(CELL("address",F212),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</row>
    <row r="213" spans="2:30" x14ac:dyDescent="0.25">
      <c r="B213" s="7" t="str" cm="1">
        <f t="array" aca="1" ref="B213" ca="1">IFERROR(IF(OR('Raw Data'!B213="",LEN(TRIM('Raw Data'!B213))=0),"",IF(AND(LEN('Raw Data'!B213) &lt;= 20,LEN('Raw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20,LEN('Raw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Data'!E213))=0),"",IF(AND(ISNUMBER('Raw Data'!E213),'Raw Data'!E213&gt;=Configuration!$D$2),"",_xlfn.REGEXEXTRACT(CELL("address",'Raw Data'!E213),"\$([A-Z]+)\$[0-9]+"))),_xlfn.REGEXEXTRACT(CELL("address",E213),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4),FALSE)),"",_xlfn.REGEXEXTRACT(CELL("address",F213),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</row>
    <row r="214" spans="2:30" x14ac:dyDescent="0.25">
      <c r="B214" s="7" t="str" cm="1">
        <f t="array" aca="1" ref="B214" ca="1">IFERROR(IF(OR('Raw Data'!B214="",LEN(TRIM('Raw Data'!B214))=0),"",IF(AND(LEN('Raw Data'!B214) &lt;= 20,LEN('Raw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20,LEN('Raw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Data'!E214))=0),"",IF(AND(ISNUMBER('Raw Data'!E214),'Raw Data'!E214&gt;=Configuration!$D$2),"",_xlfn.REGEXEXTRACT(CELL("address",'Raw Data'!E214),"\$([A-Z]+)\$[0-9]+"))),_xlfn.REGEXEXTRACT(CELL("address",E214),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4),FALSE)),"",_xlfn.REGEXEXTRACT(CELL("address",F214),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</row>
    <row r="215" spans="2:30" x14ac:dyDescent="0.25">
      <c r="B215" s="7" t="str" cm="1">
        <f t="array" aca="1" ref="B215" ca="1">IFERROR(IF(OR('Raw Data'!B215="",LEN(TRIM('Raw Data'!B215))=0),"",IF(AND(LEN('Raw Data'!B215) &lt;= 20,LEN('Raw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20,LEN('Raw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Data'!E215))=0),"",IF(AND(ISNUMBER('Raw Data'!E215),'Raw Data'!E215&gt;=Configuration!$D$2),"",_xlfn.REGEXEXTRACT(CELL("address",'Raw Data'!E215),"\$([A-Z]+)\$[0-9]+"))),_xlfn.REGEXEXTRACT(CELL("address",E215),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4),FALSE)),"",_xlfn.REGEXEXTRACT(CELL("address",F215),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</row>
    <row r="216" spans="2:30" x14ac:dyDescent="0.25">
      <c r="B216" s="7" t="str" cm="1">
        <f t="array" aca="1" ref="B216" ca="1">IFERROR(IF(OR('Raw Data'!B216="",LEN(TRIM('Raw Data'!B216))=0),"",IF(AND(LEN('Raw Data'!B216) &lt;= 20,LEN('Raw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20,LEN('Raw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Data'!E216))=0),"",IF(AND(ISNUMBER('Raw Data'!E216),'Raw Data'!E216&gt;=Configuration!$D$2),"",_xlfn.REGEXEXTRACT(CELL("address",'Raw Data'!E216),"\$([A-Z]+)\$[0-9]+"))),_xlfn.REGEXEXTRACT(CELL("address",E216),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4),FALSE)),"",_xlfn.REGEXEXTRACT(CELL("address",F216),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</row>
    <row r="217" spans="2:30" x14ac:dyDescent="0.25">
      <c r="B217" s="7" t="str" cm="1">
        <f t="array" aca="1" ref="B217" ca="1">IFERROR(IF(OR('Raw Data'!B217="",LEN(TRIM('Raw Data'!B217))=0),"",IF(AND(LEN('Raw Data'!B217) &lt;= 20,LEN('Raw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20,LEN('Raw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Data'!E217))=0),"",IF(AND(ISNUMBER('Raw Data'!E217),'Raw Data'!E217&gt;=Configuration!$D$2),"",_xlfn.REGEXEXTRACT(CELL("address",'Raw Data'!E217),"\$([A-Z]+)\$[0-9]+"))),_xlfn.REGEXEXTRACT(CELL("address",E217),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4),FALSE)),"",_xlfn.REGEXEXTRACT(CELL("address",F217),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</row>
    <row r="218" spans="2:30" x14ac:dyDescent="0.25">
      <c r="B218" s="7" t="str" cm="1">
        <f t="array" aca="1" ref="B218" ca="1">IFERROR(IF(OR('Raw Data'!B218="",LEN(TRIM('Raw Data'!B218))=0),"",IF(AND(LEN('Raw Data'!B218) &lt;= 20,LEN('Raw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20,LEN('Raw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Data'!E218))=0),"",IF(AND(ISNUMBER('Raw Data'!E218),'Raw Data'!E218&gt;=Configuration!$D$2),"",_xlfn.REGEXEXTRACT(CELL("address",'Raw Data'!E218),"\$([A-Z]+)\$[0-9]+"))),_xlfn.REGEXEXTRACT(CELL("address",E218),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4),FALSE)),"",_xlfn.REGEXEXTRACT(CELL("address",F218),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</row>
    <row r="219" spans="2:30" x14ac:dyDescent="0.25">
      <c r="B219" s="7" t="str" cm="1">
        <f t="array" aca="1" ref="B219" ca="1">IFERROR(IF(OR('Raw Data'!B219="",LEN(TRIM('Raw Data'!B219))=0),"",IF(AND(LEN('Raw Data'!B219) &lt;= 20,LEN('Raw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20,LEN('Raw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Data'!E219))=0),"",IF(AND(ISNUMBER('Raw Data'!E219),'Raw Data'!E219&gt;=Configuration!$D$2),"",_xlfn.REGEXEXTRACT(CELL("address",'Raw Data'!E219),"\$([A-Z]+)\$[0-9]+"))),_xlfn.REGEXEXTRACT(CELL("address",E219),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4),FALSE)),"",_xlfn.REGEXEXTRACT(CELL("address",F219),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</row>
    <row r="220" spans="2:30" x14ac:dyDescent="0.25">
      <c r="B220" s="7" t="str" cm="1">
        <f t="array" aca="1" ref="B220" ca="1">IFERROR(IF(OR('Raw Data'!B220="",LEN(TRIM('Raw Data'!B220))=0),"",IF(AND(LEN('Raw Data'!B220) &lt;= 20,LEN('Raw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20,LEN('Raw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Data'!E220))=0),"",IF(AND(ISNUMBER('Raw Data'!E220),'Raw Data'!E220&gt;=Configuration!$D$2),"",_xlfn.REGEXEXTRACT(CELL("address",'Raw Data'!E220),"\$([A-Z]+)\$[0-9]+"))),_xlfn.REGEXEXTRACT(CELL("address",E220),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4),FALSE)),"",_xlfn.REGEXEXTRACT(CELL("address",F220),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</row>
    <row r="221" spans="2:30" x14ac:dyDescent="0.25">
      <c r="B221" s="7" t="str" cm="1">
        <f t="array" aca="1" ref="B221" ca="1">IFERROR(IF(OR('Raw Data'!B221="",LEN(TRIM('Raw Data'!B221))=0),"",IF(AND(LEN('Raw Data'!B221) &lt;= 20,LEN('Raw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20,LEN('Raw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Data'!E221))=0),"",IF(AND(ISNUMBER('Raw Data'!E221),'Raw Data'!E221&gt;=Configuration!$D$2),"",_xlfn.REGEXEXTRACT(CELL("address",'Raw Data'!E221),"\$([A-Z]+)\$[0-9]+"))),_xlfn.REGEXEXTRACT(CELL("address",E221),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4),FALSE)),"",_xlfn.REGEXEXTRACT(CELL("address",F221),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</row>
    <row r="222" spans="2:30" x14ac:dyDescent="0.25">
      <c r="B222" s="7" t="str" cm="1">
        <f t="array" aca="1" ref="B222" ca="1">IFERROR(IF(OR('Raw Data'!B222="",LEN(TRIM('Raw Data'!B222))=0),"",IF(AND(LEN('Raw Data'!B222) &lt;= 20,LEN('Raw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20,LEN('Raw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Data'!E222))=0),"",IF(AND(ISNUMBER('Raw Data'!E222),'Raw Data'!E222&gt;=Configuration!$D$2),"",_xlfn.REGEXEXTRACT(CELL("address",'Raw Data'!E222),"\$([A-Z]+)\$[0-9]+"))),_xlfn.REGEXEXTRACT(CELL("address",E222),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4),FALSE)),"",_xlfn.REGEXEXTRACT(CELL("address",F222),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</row>
    <row r="223" spans="2:30" x14ac:dyDescent="0.25">
      <c r="B223" s="7" t="str" cm="1">
        <f t="array" aca="1" ref="B223" ca="1">IFERROR(IF(OR('Raw Data'!B223="",LEN(TRIM('Raw Data'!B223))=0),"",IF(AND(LEN('Raw Data'!B223) &lt;= 20,LEN('Raw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20,LEN('Raw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Data'!E223))=0),"",IF(AND(ISNUMBER('Raw Data'!E223),'Raw Data'!E223&gt;=Configuration!$D$2),"",_xlfn.REGEXEXTRACT(CELL("address",'Raw Data'!E223),"\$([A-Z]+)\$[0-9]+"))),_xlfn.REGEXEXTRACT(CELL("address",E223),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4),FALSE)),"",_xlfn.REGEXEXTRACT(CELL("address",F223),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</row>
    <row r="224" spans="2:30" x14ac:dyDescent="0.25">
      <c r="B224" s="7" t="str" cm="1">
        <f t="array" aca="1" ref="B224" ca="1">IFERROR(IF(OR('Raw Data'!B224="",LEN(TRIM('Raw Data'!B224))=0),"",IF(AND(LEN('Raw Data'!B224) &lt;= 20,LEN('Raw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20,LEN('Raw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Data'!E224))=0),"",IF(AND(ISNUMBER('Raw Data'!E224),'Raw Data'!E224&gt;=Configuration!$D$2),"",_xlfn.REGEXEXTRACT(CELL("address",'Raw Data'!E224),"\$([A-Z]+)\$[0-9]+"))),_xlfn.REGEXEXTRACT(CELL("address",E224),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4),FALSE)),"",_xlfn.REGEXEXTRACT(CELL("address",F224),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</row>
    <row r="225" spans="2:30" x14ac:dyDescent="0.25">
      <c r="B225" s="7" t="str" cm="1">
        <f t="array" aca="1" ref="B225" ca="1">IFERROR(IF(OR('Raw Data'!B225="",LEN(TRIM('Raw Data'!B225))=0),"",IF(AND(LEN('Raw Data'!B225) &lt;= 20,LEN('Raw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20,LEN('Raw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Data'!E225))=0),"",IF(AND(ISNUMBER('Raw Data'!E225),'Raw Data'!E225&gt;=Configuration!$D$2),"",_xlfn.REGEXEXTRACT(CELL("address",'Raw Data'!E225),"\$([A-Z]+)\$[0-9]+"))),_xlfn.REGEXEXTRACT(CELL("address",E225),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4),FALSE)),"",_xlfn.REGEXEXTRACT(CELL("address",F225),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</row>
    <row r="226" spans="2:30" x14ac:dyDescent="0.25">
      <c r="B226" s="7" t="str" cm="1">
        <f t="array" aca="1" ref="B226" ca="1">IFERROR(IF(OR('Raw Data'!B226="",LEN(TRIM('Raw Data'!B226))=0),"",IF(AND(LEN('Raw Data'!B226) &lt;= 20,LEN('Raw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20,LEN('Raw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Data'!E226))=0),"",IF(AND(ISNUMBER('Raw Data'!E226),'Raw Data'!E226&gt;=Configuration!$D$2),"",_xlfn.REGEXEXTRACT(CELL("address",'Raw Data'!E226),"\$([A-Z]+)\$[0-9]+"))),_xlfn.REGEXEXTRACT(CELL("address",E226),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4),FALSE)),"",_xlfn.REGEXEXTRACT(CELL("address",F226),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</row>
    <row r="227" spans="2:30" x14ac:dyDescent="0.25">
      <c r="B227" s="7" t="str" cm="1">
        <f t="array" aca="1" ref="B227" ca="1">IFERROR(IF(OR('Raw Data'!B227="",LEN(TRIM('Raw Data'!B227))=0),"",IF(AND(LEN('Raw Data'!B227) &lt;= 20,LEN('Raw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20,LEN('Raw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Data'!E227))=0),"",IF(AND(ISNUMBER('Raw Data'!E227),'Raw Data'!E227&gt;=Configuration!$D$2),"",_xlfn.REGEXEXTRACT(CELL("address",'Raw Data'!E227),"\$([A-Z]+)\$[0-9]+"))),_xlfn.REGEXEXTRACT(CELL("address",E227),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4),FALSE)),"",_xlfn.REGEXEXTRACT(CELL("address",F227),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</row>
    <row r="228" spans="2:30" x14ac:dyDescent="0.25">
      <c r="B228" s="7" t="str" cm="1">
        <f t="array" aca="1" ref="B228" ca="1">IFERROR(IF(OR('Raw Data'!B228="",LEN(TRIM('Raw Data'!B228))=0),"",IF(AND(LEN('Raw Data'!B228) &lt;= 20,LEN('Raw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20,LEN('Raw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Data'!E228))=0),"",IF(AND(ISNUMBER('Raw Data'!E228),'Raw Data'!E228&gt;=Configuration!$D$2),"",_xlfn.REGEXEXTRACT(CELL("address",'Raw Data'!E228),"\$([A-Z]+)\$[0-9]+"))),_xlfn.REGEXEXTRACT(CELL("address",E228),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4),FALSE)),"",_xlfn.REGEXEXTRACT(CELL("address",F228),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</row>
    <row r="229" spans="2:30" x14ac:dyDescent="0.25">
      <c r="B229" s="7" t="str" cm="1">
        <f t="array" aca="1" ref="B229" ca="1">IFERROR(IF(OR('Raw Data'!B229="",LEN(TRIM('Raw Data'!B229))=0),"",IF(AND(LEN('Raw Data'!B229) &lt;= 20,LEN('Raw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20,LEN('Raw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Data'!E229))=0),"",IF(AND(ISNUMBER('Raw Data'!E229),'Raw Data'!E229&gt;=Configuration!$D$2),"",_xlfn.REGEXEXTRACT(CELL("address",'Raw Data'!E229),"\$([A-Z]+)\$[0-9]+"))),_xlfn.REGEXEXTRACT(CELL("address",E229),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4),FALSE)),"",_xlfn.REGEXEXTRACT(CELL("address",F229),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</row>
    <row r="230" spans="2:30" x14ac:dyDescent="0.25">
      <c r="B230" s="7" t="str" cm="1">
        <f t="array" aca="1" ref="B230" ca="1">IFERROR(IF(OR('Raw Data'!B230="",LEN(TRIM('Raw Data'!B230))=0),"",IF(AND(LEN('Raw Data'!B230) &lt;= 20,LEN('Raw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20,LEN('Raw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Data'!E230))=0),"",IF(AND(ISNUMBER('Raw Data'!E230),'Raw Data'!E230&gt;=Configuration!$D$2),"",_xlfn.REGEXEXTRACT(CELL("address",'Raw Data'!E230),"\$([A-Z]+)\$[0-9]+"))),_xlfn.REGEXEXTRACT(CELL("address",E230),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4),FALSE)),"",_xlfn.REGEXEXTRACT(CELL("address",F230),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</row>
    <row r="231" spans="2:30" x14ac:dyDescent="0.25">
      <c r="B231" s="7" t="str" cm="1">
        <f t="array" aca="1" ref="B231" ca="1">IFERROR(IF(OR('Raw Data'!B231="",LEN(TRIM('Raw Data'!B231))=0),"",IF(AND(LEN('Raw Data'!B231) &lt;= 20,LEN('Raw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20,LEN('Raw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Data'!E231))=0),"",IF(AND(ISNUMBER('Raw Data'!E231),'Raw Data'!E231&gt;=Configuration!$D$2),"",_xlfn.REGEXEXTRACT(CELL("address",'Raw Data'!E231),"\$([A-Z]+)\$[0-9]+"))),_xlfn.REGEXEXTRACT(CELL("address",E231),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4),FALSE)),"",_xlfn.REGEXEXTRACT(CELL("address",F231),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</row>
    <row r="232" spans="2:30" x14ac:dyDescent="0.25">
      <c r="B232" s="7" t="str" cm="1">
        <f t="array" aca="1" ref="B232" ca="1">IFERROR(IF(OR('Raw Data'!B232="",LEN(TRIM('Raw Data'!B232))=0),"",IF(AND(LEN('Raw Data'!B232) &lt;= 20,LEN('Raw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20,LEN('Raw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Data'!E232))=0),"",IF(AND(ISNUMBER('Raw Data'!E232),'Raw Data'!E232&gt;=Configuration!$D$2),"",_xlfn.REGEXEXTRACT(CELL("address",'Raw Data'!E232),"\$([A-Z]+)\$[0-9]+"))),_xlfn.REGEXEXTRACT(CELL("address",E232),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4),FALSE)),"",_xlfn.REGEXEXTRACT(CELL("address",F232),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</row>
    <row r="233" spans="2:30" x14ac:dyDescent="0.25">
      <c r="B233" s="7" t="str" cm="1">
        <f t="array" aca="1" ref="B233" ca="1">IFERROR(IF(OR('Raw Data'!B233="",LEN(TRIM('Raw Data'!B233))=0),"",IF(AND(LEN('Raw Data'!B233) &lt;= 20,LEN('Raw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20,LEN('Raw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Data'!E233))=0),"",IF(AND(ISNUMBER('Raw Data'!E233),'Raw Data'!E233&gt;=Configuration!$D$2),"",_xlfn.REGEXEXTRACT(CELL("address",'Raw Data'!E233),"\$([A-Z]+)\$[0-9]+"))),_xlfn.REGEXEXTRACT(CELL("address",E233),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4),FALSE)),"",_xlfn.REGEXEXTRACT(CELL("address",F233),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</row>
    <row r="234" spans="2:30" x14ac:dyDescent="0.25">
      <c r="B234" s="7" t="str" cm="1">
        <f t="array" aca="1" ref="B234" ca="1">IFERROR(IF(OR('Raw Data'!B234="",LEN(TRIM('Raw Data'!B234))=0),"",IF(AND(LEN('Raw Data'!B234) &lt;= 20,LEN('Raw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20,LEN('Raw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Data'!E234))=0),"",IF(AND(ISNUMBER('Raw Data'!E234),'Raw Data'!E234&gt;=Configuration!$D$2),"",_xlfn.REGEXEXTRACT(CELL("address",'Raw Data'!E234),"\$([A-Z]+)\$[0-9]+"))),_xlfn.REGEXEXTRACT(CELL("address",E234),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4),FALSE)),"",_xlfn.REGEXEXTRACT(CELL("address",F234),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</row>
    <row r="235" spans="2:30" x14ac:dyDescent="0.25">
      <c r="B235" s="7" t="str" cm="1">
        <f t="array" aca="1" ref="B235" ca="1">IFERROR(IF(OR('Raw Data'!B235="",LEN(TRIM('Raw Data'!B235))=0),"",IF(AND(LEN('Raw Data'!B235) &lt;= 20,LEN('Raw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20,LEN('Raw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Data'!E235))=0),"",IF(AND(ISNUMBER('Raw Data'!E235),'Raw Data'!E235&gt;=Configuration!$D$2),"",_xlfn.REGEXEXTRACT(CELL("address",'Raw Data'!E235),"\$([A-Z]+)\$[0-9]+"))),_xlfn.REGEXEXTRACT(CELL("address",E235),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4),FALSE)),"",_xlfn.REGEXEXTRACT(CELL("address",F235),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</row>
    <row r="236" spans="2:30" x14ac:dyDescent="0.25">
      <c r="B236" s="7" t="str" cm="1">
        <f t="array" aca="1" ref="B236" ca="1">IFERROR(IF(OR('Raw Data'!B236="",LEN(TRIM('Raw Data'!B236))=0),"",IF(AND(LEN('Raw Data'!B236) &lt;= 20,LEN('Raw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20,LEN('Raw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Data'!E236))=0),"",IF(AND(ISNUMBER('Raw Data'!E236),'Raw Data'!E236&gt;=Configuration!$D$2),"",_xlfn.REGEXEXTRACT(CELL("address",'Raw Data'!E236),"\$([A-Z]+)\$[0-9]+"))),_xlfn.REGEXEXTRACT(CELL("address",E236),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4),FALSE)),"",_xlfn.REGEXEXTRACT(CELL("address",F236),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</row>
    <row r="237" spans="2:30" x14ac:dyDescent="0.25">
      <c r="B237" s="7" t="str" cm="1">
        <f t="array" aca="1" ref="B237" ca="1">IFERROR(IF(OR('Raw Data'!B237="",LEN(TRIM('Raw Data'!B237))=0),"",IF(AND(LEN('Raw Data'!B237) &lt;= 20,LEN('Raw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20,LEN('Raw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Data'!E237))=0),"",IF(AND(ISNUMBER('Raw Data'!E237),'Raw Data'!E237&gt;=Configuration!$D$2),"",_xlfn.REGEXEXTRACT(CELL("address",'Raw Data'!E237),"\$([A-Z]+)\$[0-9]+"))),_xlfn.REGEXEXTRACT(CELL("address",E237),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4),FALSE)),"",_xlfn.REGEXEXTRACT(CELL("address",F237),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</row>
    <row r="238" spans="2:30" x14ac:dyDescent="0.25">
      <c r="B238" s="7" t="str" cm="1">
        <f t="array" aca="1" ref="B238" ca="1">IFERROR(IF(OR('Raw Data'!B238="",LEN(TRIM('Raw Data'!B238))=0),"",IF(AND(LEN('Raw Data'!B238) &lt;= 20,LEN('Raw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20,LEN('Raw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Data'!E238))=0),"",IF(AND(ISNUMBER('Raw Data'!E238),'Raw Data'!E238&gt;=Configuration!$D$2),"",_xlfn.REGEXEXTRACT(CELL("address",'Raw Data'!E238),"\$([A-Z]+)\$[0-9]+"))),_xlfn.REGEXEXTRACT(CELL("address",E238),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4),FALSE)),"",_xlfn.REGEXEXTRACT(CELL("address",F238),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</row>
    <row r="239" spans="2:30" x14ac:dyDescent="0.25">
      <c r="B239" s="7" t="str" cm="1">
        <f t="array" aca="1" ref="B239" ca="1">IFERROR(IF(OR('Raw Data'!B239="",LEN(TRIM('Raw Data'!B239))=0),"",IF(AND(LEN('Raw Data'!B239) &lt;= 20,LEN('Raw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20,LEN('Raw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Data'!E239))=0),"",IF(AND(ISNUMBER('Raw Data'!E239),'Raw Data'!E239&gt;=Configuration!$D$2),"",_xlfn.REGEXEXTRACT(CELL("address",'Raw Data'!E239),"\$([A-Z]+)\$[0-9]+"))),_xlfn.REGEXEXTRACT(CELL("address",E239),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4),FALSE)),"",_xlfn.REGEXEXTRACT(CELL("address",F239),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</row>
    <row r="240" spans="2:30" x14ac:dyDescent="0.25">
      <c r="B240" s="7" t="str" cm="1">
        <f t="array" aca="1" ref="B240" ca="1">IFERROR(IF(OR('Raw Data'!B240="",LEN(TRIM('Raw Data'!B240))=0),"",IF(AND(LEN('Raw Data'!B240) &lt;= 20,LEN('Raw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20,LEN('Raw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Data'!E240))=0),"",IF(AND(ISNUMBER('Raw Data'!E240),'Raw Data'!E240&gt;=Configuration!$D$2),"",_xlfn.REGEXEXTRACT(CELL("address",'Raw Data'!E240),"\$([A-Z]+)\$[0-9]+"))),_xlfn.REGEXEXTRACT(CELL("address",E240),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4),FALSE)),"",_xlfn.REGEXEXTRACT(CELL("address",F240),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</row>
    <row r="241" spans="2:30" x14ac:dyDescent="0.25">
      <c r="B241" s="7" t="str" cm="1">
        <f t="array" aca="1" ref="B241" ca="1">IFERROR(IF(OR('Raw Data'!B241="",LEN(TRIM('Raw Data'!B241))=0),"",IF(AND(LEN('Raw Data'!B241) &lt;= 20,LEN('Raw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20,LEN('Raw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Data'!E241))=0),"",IF(AND(ISNUMBER('Raw Data'!E241),'Raw Data'!E241&gt;=Configuration!$D$2),"",_xlfn.REGEXEXTRACT(CELL("address",'Raw Data'!E241),"\$([A-Z]+)\$[0-9]+"))),_xlfn.REGEXEXTRACT(CELL("address",E241),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4),FALSE)),"",_xlfn.REGEXEXTRACT(CELL("address",F241),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</row>
    <row r="242" spans="2:30" x14ac:dyDescent="0.25">
      <c r="B242" s="7" t="str" cm="1">
        <f t="array" aca="1" ref="B242" ca="1">IFERROR(IF(OR('Raw Data'!B242="",LEN(TRIM('Raw Data'!B242))=0),"",IF(AND(LEN('Raw Data'!B242) &lt;= 20,LEN('Raw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20,LEN('Raw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Data'!E242))=0),"",IF(AND(ISNUMBER('Raw Data'!E242),'Raw Data'!E242&gt;=Configuration!$D$2),"",_xlfn.REGEXEXTRACT(CELL("address",'Raw Data'!E242),"\$([A-Z]+)\$[0-9]+"))),_xlfn.REGEXEXTRACT(CELL("address",E242),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4),FALSE)),"",_xlfn.REGEXEXTRACT(CELL("address",F242),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</row>
    <row r="243" spans="2:30" x14ac:dyDescent="0.25">
      <c r="B243" s="7" t="str" cm="1">
        <f t="array" aca="1" ref="B243" ca="1">IFERROR(IF(OR('Raw Data'!B243="",LEN(TRIM('Raw Data'!B243))=0),"",IF(AND(LEN('Raw Data'!B243) &lt;= 20,LEN('Raw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20,LEN('Raw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Data'!E243))=0),"",IF(AND(ISNUMBER('Raw Data'!E243),'Raw Data'!E243&gt;=Configuration!$D$2),"",_xlfn.REGEXEXTRACT(CELL("address",'Raw Data'!E243),"\$([A-Z]+)\$[0-9]+"))),_xlfn.REGEXEXTRACT(CELL("address",E243),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4),FALSE)),"",_xlfn.REGEXEXTRACT(CELL("address",F243),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</row>
    <row r="244" spans="2:30" x14ac:dyDescent="0.25">
      <c r="B244" s="7" t="str" cm="1">
        <f t="array" aca="1" ref="B244" ca="1">IFERROR(IF(OR('Raw Data'!B244="",LEN(TRIM('Raw Data'!B244))=0),"",IF(AND(LEN('Raw Data'!B244) &lt;= 20,LEN('Raw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20,LEN('Raw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Data'!E244))=0),"",IF(AND(ISNUMBER('Raw Data'!E244),'Raw Data'!E244&gt;=Configuration!$D$2),"",_xlfn.REGEXEXTRACT(CELL("address",'Raw Data'!E244),"\$([A-Z]+)\$[0-9]+"))),_xlfn.REGEXEXTRACT(CELL("address",E244),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4),FALSE)),"",_xlfn.REGEXEXTRACT(CELL("address",F244),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</row>
    <row r="245" spans="2:30" x14ac:dyDescent="0.25">
      <c r="B245" s="7" t="str" cm="1">
        <f t="array" aca="1" ref="B245" ca="1">IFERROR(IF(OR('Raw Data'!B245="",LEN(TRIM('Raw Data'!B245))=0),"",IF(AND(LEN('Raw Data'!B245) &lt;= 20,LEN('Raw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20,LEN('Raw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Data'!E245))=0),"",IF(AND(ISNUMBER('Raw Data'!E245),'Raw Data'!E245&gt;=Configuration!$D$2),"",_xlfn.REGEXEXTRACT(CELL("address",'Raw Data'!E245),"\$([A-Z]+)\$[0-9]+"))),_xlfn.REGEXEXTRACT(CELL("address",E245),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4),FALSE)),"",_xlfn.REGEXEXTRACT(CELL("address",F245),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</row>
    <row r="246" spans="2:30" x14ac:dyDescent="0.25">
      <c r="B246" s="7" t="str" cm="1">
        <f t="array" aca="1" ref="B246" ca="1">IFERROR(IF(OR('Raw Data'!B246="",LEN(TRIM('Raw Data'!B246))=0),"",IF(AND(LEN('Raw Data'!B246) &lt;= 20,LEN('Raw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20,LEN('Raw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Data'!E246))=0),"",IF(AND(ISNUMBER('Raw Data'!E246),'Raw Data'!E246&gt;=Configuration!$D$2),"",_xlfn.REGEXEXTRACT(CELL("address",'Raw Data'!E246),"\$([A-Z]+)\$[0-9]+"))),_xlfn.REGEXEXTRACT(CELL("address",E246),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4),FALSE)),"",_xlfn.REGEXEXTRACT(CELL("address",F246),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</row>
    <row r="247" spans="2:30" x14ac:dyDescent="0.25">
      <c r="B247" s="7" t="str" cm="1">
        <f t="array" aca="1" ref="B247" ca="1">IFERROR(IF(OR('Raw Data'!B247="",LEN(TRIM('Raw Data'!B247))=0),"",IF(AND(LEN('Raw Data'!B247) &lt;= 20,LEN('Raw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20,LEN('Raw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Data'!E247))=0),"",IF(AND(ISNUMBER('Raw Data'!E247),'Raw Data'!E247&gt;=Configuration!$D$2),"",_xlfn.REGEXEXTRACT(CELL("address",'Raw Data'!E247),"\$([A-Z]+)\$[0-9]+"))),_xlfn.REGEXEXTRACT(CELL("address",E247),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4),FALSE)),"",_xlfn.REGEXEXTRACT(CELL("address",F247),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</row>
    <row r="248" spans="2:30" x14ac:dyDescent="0.25">
      <c r="B248" s="7" t="str" cm="1">
        <f t="array" aca="1" ref="B248" ca="1">IFERROR(IF(OR('Raw Data'!B248="",LEN(TRIM('Raw Data'!B248))=0),"",IF(AND(LEN('Raw Data'!B248) &lt;= 20,LEN('Raw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20,LEN('Raw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Data'!E248))=0),"",IF(AND(ISNUMBER('Raw Data'!E248),'Raw Data'!E248&gt;=Configuration!$D$2),"",_xlfn.REGEXEXTRACT(CELL("address",'Raw Data'!E248),"\$([A-Z]+)\$[0-9]+"))),_xlfn.REGEXEXTRACT(CELL("address",E248),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4),FALSE)),"",_xlfn.REGEXEXTRACT(CELL("address",F248),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</row>
    <row r="249" spans="2:30" x14ac:dyDescent="0.25">
      <c r="B249" s="7" t="str" cm="1">
        <f t="array" aca="1" ref="B249" ca="1">IFERROR(IF(OR('Raw Data'!B249="",LEN(TRIM('Raw Data'!B249))=0),"",IF(AND(LEN('Raw Data'!B249) &lt;= 20,LEN('Raw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20,LEN('Raw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Data'!E249))=0),"",IF(AND(ISNUMBER('Raw Data'!E249),'Raw Data'!E249&gt;=Configuration!$D$2),"",_xlfn.REGEXEXTRACT(CELL("address",'Raw Data'!E249),"\$([A-Z]+)\$[0-9]+"))),_xlfn.REGEXEXTRACT(CELL("address",E249),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4),FALSE)),"",_xlfn.REGEXEXTRACT(CELL("address",F249),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</row>
    <row r="250" spans="2:30" x14ac:dyDescent="0.25">
      <c r="B250" s="7" t="str" cm="1">
        <f t="array" aca="1" ref="B250" ca="1">IFERROR(IF(OR('Raw Data'!B250="",LEN(TRIM('Raw Data'!B250))=0),"",IF(AND(LEN('Raw Data'!B250) &lt;= 20,LEN('Raw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Data'!D250))=0),"",IF(AND(LEN('Raw Data'!D250) &lt;= 20,LEN('Raw Data'!D250)&gt; 0),"",_xlfn.REGEXEXTRACT(CELL("address",'Raw Data'!D250),"\$([A-Z]+)\$[0-9]+"))),_xlfn.REGEXEXTRACT(CELL("address",'Raw Data'!D250),"\$([A-Z]+)\$[0-9]+"))</f>
        <v/>
      </c>
      <c r="E250" s="7" t="str" cm="1">
        <f t="array" aca="1" ref="E250" ca="1">IFERROR(IF(OR('Raw Data'!E250="",LEN(TRIM('Raw Data'!E250))=0),"",IF(AND(ISNUMBER('Raw Data'!E250),'Raw Data'!E250&gt;=Configuration!$D$2),"",_xlfn.REGEXEXTRACT(CELL("address",'Raw Data'!E250),"\$([A-Z]+)\$[0-9]+"))),_xlfn.REGEXEXTRACT(CELL("address",E250), 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4),FALSE)),"",_xlfn.REGEXEXTRACT(CELL("address",F250),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7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7" t="str" cm="1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7" t="str" cm="1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</row>
    <row r="251" spans="2:30" x14ac:dyDescent="0.25">
      <c r="B251" s="7" t="str" cm="1">
        <f t="array" aca="1" ref="B251" ca="1">IFERROR(IF(OR('Raw Data'!B251="",LEN(TRIM('Raw Data'!B251))=0),"",IF(AND(LEN('Raw Data'!B251) &lt;= 20,LEN('Raw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Data'!D251))=0),"",IF(AND(LEN('Raw Data'!D251) &lt;= 20,LEN('Raw Data'!D251)&gt; 0),"",_xlfn.REGEXEXTRACT(CELL("address",'Raw Data'!D251),"\$([A-Z]+)\$[0-9]+"))),_xlfn.REGEXEXTRACT(CELL("address",'Raw Data'!D251),"\$([A-Z]+)\$[0-9]+"))</f>
        <v/>
      </c>
      <c r="E251" s="7" t="str" cm="1">
        <f t="array" aca="1" ref="E251" ca="1">IFERROR(IF(OR('Raw Data'!E251="",LEN(TRIM('Raw Data'!E251))=0),"",IF(AND(ISNUMBER('Raw Data'!E251),'Raw Data'!E251&gt;=Configuration!$D$2),"",_xlfn.REGEXEXTRACT(CELL("address",'Raw Data'!E251),"\$([A-Z]+)\$[0-9]+"))),_xlfn.REGEXEXTRACT(CELL("address",E251), 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4),FALSE)),"",_xlfn.REGEXEXTRACT(CELL("address",F251),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7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7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7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7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7" t="str" cm="1">
        <f t="array" aca="1" ref="P251" ca="1">IFERROR(IF(OR('Raw Data'!P251="",LEN(TRIM('Raw Data'!P251))=0),"",IF(AND(ISNUMBER('Raw Data'!P251), IFERROR('Raw Data'!P251 = ROUND('Raw Data'!P251, 2),FALSE)),"",_xlfn.REGEXEXTRACT(CELL("address",P251), "\$([A-Z]+)\$[0-9]+"))),_xlfn.REGEXEXTRACT(CELL("address",P251), "\$([A-Z]+)\$[0-9]+"))</f>
        <v/>
      </c>
      <c r="Q251" s="7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7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7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7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7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7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7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7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7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7" t="str" cm="1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7" t="str" cm="1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7" t="str" cm="1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  <c r="AC251" s="7" t="str" cm="1">
        <f t="array" aca="1" ref="AC251" ca="1">IFERROR(IF(OR('Raw Data'!AC251="",LEN(TRIM('Raw Data'!AC251))=0),"",IF(AND(ISNUMBER('Raw Data'!AC251), IFERROR('Raw Data'!AC251 = ROUND('Raw Data'!AC251, 2),FALSE)),"",_xlfn.REGEXEXTRACT(CELL("address",AC251), "\$([A-Z]+)\$[0-9]+"))),_xlfn.REGEXEXTRACT(CELL("address",AC251), "\$([A-Z]+)\$[0-9]+"))</f>
        <v/>
      </c>
      <c r="AD251" s="7" t="str" cm="1">
        <f t="array" aca="1" ref="AD251" ca="1">IFERROR(IF(OR('Raw Data'!AD251="",LEN(TRIM('Raw Data'!AD251))=0),"",IF(AND(ISNUMBER('Raw Data'!AD251), IFERROR('Raw Data'!AD251 = ROUND('Raw Data'!AD251, 2),FALSE)),"",_xlfn.REGEXEXTRACT(CELL("address",AD251), "\$([A-Z]+)\$[0-9]+"))),_xlfn.REGEXEXTRACT(CELL("address",AD251), "\$([A-Z]+)\$[0-9]+"))</f>
        <v/>
      </c>
    </row>
    <row r="252" spans="2:30" x14ac:dyDescent="0.25">
      <c r="B252" s="7" t="str" cm="1">
        <f t="array" aca="1" ref="B252" ca="1">IFERROR(IF(OR('Raw Data'!B252="",LEN(TRIM('Raw Data'!B252))=0),"",IF(AND(LEN('Raw Data'!B252) &lt;= 20,LEN('Raw Data'!B252)&gt; 0),"",_xlfn.REGEXEXTRACT(CELL("address",'Raw Data'!B252),"\$([A-Z]+)\$[0-9]+"))),_xlfn.REGEXEXTRACT(CELL("address",'Raw Data'!B252),"\$([A-Z]+)\$[0-9]+"))</f>
        <v/>
      </c>
      <c r="C252" s="7" t="str" cm="1">
        <f t="array" aca="1" ref="C252" ca="1">IFERROR(IF(OR('Raw Data'!C252="",LEN(TRIM('Raw Data'!C252))=0),"",IF(AND(LEN('Raw Data'!C252) &lt;= 255,LEN('Raw Data'!C252)&gt; 0),"",_xlfn.REGEXEXTRACT(CELL("address",'Raw Data'!C252),"\$([A-Z]+)\$[0-9]+"))),_xlfn.REGEXEXTRACT(CELL("address",'Raw Data'!C252),"\$([A-Z]+)\$[0-9]+"))</f>
        <v/>
      </c>
      <c r="D252" s="7" t="str" cm="1">
        <f t="array" aca="1" ref="D252" ca="1">IFERROR(IF(OR('Raw Data'!D252="",LEN(TRIM('Raw Data'!D252))=0),"",IF(AND(LEN('Raw Data'!D252) &lt;= 20,LEN('Raw Data'!D252)&gt; 0),"",_xlfn.REGEXEXTRACT(CELL("address",'Raw Data'!D252),"\$([A-Z]+)\$[0-9]+"))),_xlfn.REGEXEXTRACT(CELL("address",'Raw Data'!D252),"\$([A-Z]+)\$[0-9]+"))</f>
        <v/>
      </c>
      <c r="E252" s="7" t="str" cm="1">
        <f t="array" aca="1" ref="E252" ca="1">IFERROR(IF(OR('Raw Data'!E252="",LEN(TRIM('Raw Data'!E252))=0),"",IF(AND(ISNUMBER('Raw Data'!E252),'Raw Data'!E252&gt;=Configuration!$D$2),"",_xlfn.REGEXEXTRACT(CELL("address",'Raw Data'!E252),"\$([A-Z]+)\$[0-9]+"))),_xlfn.REGEXEXTRACT(CELL("address",E252), "\$([A-Z]+)\$[0-9]+"))</f>
        <v/>
      </c>
      <c r="F252" s="7" t="str" cm="1">
        <f t="array" aca="1" ref="F252" ca="1">IFERROR(IF(OR('Raw Data'!F252="",LEN(TRIM('Raw Data'!F252))=0),"",IF(AND(ISNUMBER('Raw Data'!F252), IFERROR('Raw Data'!F252 = ROUND('Raw Data'!F252, 4),FALSE)),"",_xlfn.REGEXEXTRACT(CELL("address",F252), "\$([A-Z]+)\$[0-9]+"))),_xlfn.REGEXEXTRACT(CELL("address",F252), "\$([A-Z]+)\$[0-9]+"))</f>
        <v/>
      </c>
      <c r="G252" s="7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7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7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7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7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7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7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7" t="str" cm="1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  <c r="O252" s="7" t="str" cm="1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7" t="str" cm="1">
        <f t="array" aca="1" ref="P252" ca="1">IFERROR(IF(OR('Raw Data'!P252="",LEN(TRIM('Raw Data'!P252))=0),"",IF(AND(ISNUMBER('Raw Data'!P252), IFERROR('Raw Data'!P252 = ROUND('Raw Data'!P252, 2),FALSE)),"",_xlfn.REGEXEXTRACT(CELL("address",P252), "\$([A-Z]+)\$[0-9]+"))),_xlfn.REGEXEXTRACT(CELL("address",P252), "\$([A-Z]+)\$[0-9]+"))</f>
        <v/>
      </c>
      <c r="Q252" s="7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7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7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7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7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7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7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7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7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7" t="str" cm="1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7" t="str" cm="1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7" t="str" cm="1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  <c r="AC252" s="7" t="str" cm="1">
        <f t="array" aca="1" ref="AC252" ca="1">IFERROR(IF(OR('Raw Data'!AC252="",LEN(TRIM('Raw Data'!AC252))=0),"",IF(AND(ISNUMBER('Raw Data'!AC252), IFERROR('Raw Data'!AC252 = ROUND('Raw Data'!AC252, 2),FALSE)),"",_xlfn.REGEXEXTRACT(CELL("address",AC252), "\$([A-Z]+)\$[0-9]+"))),_xlfn.REGEXEXTRACT(CELL("address",AC252), "\$([A-Z]+)\$[0-9]+"))</f>
        <v/>
      </c>
      <c r="AD252" s="7" t="str" cm="1">
        <f t="array" aca="1" ref="AD252" ca="1">IFERROR(IF(OR('Raw Data'!AD252="",LEN(TRIM('Raw Data'!AD252))=0),"",IF(AND(ISNUMBER('Raw Data'!AD252), IFERROR('Raw Data'!AD252 = ROUND('Raw Data'!AD252, 2),FALSE)),"",_xlfn.REGEXEXTRACT(CELL("address",AD252), "\$([A-Z]+)\$[0-9]+"))),_xlfn.REGEXEXTRACT(CELL("address",AD252), "\$([A-Z]+)\$[0-9]+"))</f>
        <v/>
      </c>
    </row>
    <row r="253" spans="2:30" x14ac:dyDescent="0.25">
      <c r="B253" s="7" t="str" cm="1">
        <f t="array" aca="1" ref="B253" ca="1">IFERROR(IF(OR('Raw Data'!B253="",LEN(TRIM('Raw Data'!B253))=0),"",IF(AND(LEN('Raw Data'!B253) &lt;= 20,LEN('Raw Data'!B253)&gt; 0),"",_xlfn.REGEXEXTRACT(CELL("address",'Raw Data'!B253),"\$([A-Z]+)\$[0-9]+"))),_xlfn.REGEXEXTRACT(CELL("address",'Raw Data'!B253),"\$([A-Z]+)\$[0-9]+"))</f>
        <v/>
      </c>
      <c r="C253" s="7" t="str" cm="1">
        <f t="array" aca="1" ref="C253" ca="1">IFERROR(IF(OR('Raw Data'!C253="",LEN(TRIM('Raw Data'!C253))=0),"",IF(AND(LEN('Raw Data'!C253) &lt;= 255,LEN('Raw Data'!C253)&gt; 0),"",_xlfn.REGEXEXTRACT(CELL("address",'Raw Data'!C253),"\$([A-Z]+)\$[0-9]+"))),_xlfn.REGEXEXTRACT(CELL("address",'Raw Data'!C253),"\$([A-Z]+)\$[0-9]+"))</f>
        <v/>
      </c>
      <c r="D253" s="7" t="str" cm="1">
        <f t="array" aca="1" ref="D253" ca="1">IFERROR(IF(OR('Raw Data'!D253="",LEN(TRIM('Raw Data'!D253))=0),"",IF(AND(LEN('Raw Data'!D253) &lt;= 20,LEN('Raw Data'!D253)&gt; 0),"",_xlfn.REGEXEXTRACT(CELL("address",'Raw Data'!D253),"\$([A-Z]+)\$[0-9]+"))),_xlfn.REGEXEXTRACT(CELL("address",'Raw Data'!D253),"\$([A-Z]+)\$[0-9]+"))</f>
        <v/>
      </c>
      <c r="E253" s="7" t="str" cm="1">
        <f t="array" aca="1" ref="E253" ca="1">IFERROR(IF(OR('Raw Data'!E253="",LEN(TRIM('Raw Data'!E253))=0),"",IF(AND(ISNUMBER('Raw Data'!E253),'Raw Data'!E253&gt;=Configuration!$D$2),"",_xlfn.REGEXEXTRACT(CELL("address",'Raw Data'!E253),"\$([A-Z]+)\$[0-9]+"))),_xlfn.REGEXEXTRACT(CELL("address",E253), "\$([A-Z]+)\$[0-9]+"))</f>
        <v/>
      </c>
      <c r="F253" s="7" t="str" cm="1">
        <f t="array" aca="1" ref="F253" ca="1">IFERROR(IF(OR('Raw Data'!F253="",LEN(TRIM('Raw Data'!F253))=0),"",IF(AND(ISNUMBER('Raw Data'!F253), IFERROR('Raw Data'!F253 = ROUND('Raw Data'!F253, 4),FALSE)),"",_xlfn.REGEXEXTRACT(CELL("address",F253), "\$([A-Z]+)\$[0-9]+"))),_xlfn.REGEXEXTRACT(CELL("address",F253), "\$([A-Z]+)\$[0-9]+"))</f>
        <v/>
      </c>
      <c r="G253" s="7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7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7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7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7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7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7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7" t="str" cm="1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  <c r="O253" s="7" t="str" cm="1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7" t="str" cm="1">
        <f t="array" aca="1" ref="P253" ca="1">IFERROR(IF(OR('Raw Data'!P253="",LEN(TRIM('Raw Data'!P253))=0),"",IF(AND(ISNUMBER('Raw Data'!P253), IFERROR('Raw Data'!P253 = ROUND('Raw Data'!P253, 2),FALSE)),"",_xlfn.REGEXEXTRACT(CELL("address",P253), "\$([A-Z]+)\$[0-9]+"))),_xlfn.REGEXEXTRACT(CELL("address",P253), "\$([A-Z]+)\$[0-9]+"))</f>
        <v/>
      </c>
      <c r="Q253" s="7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7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7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7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7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7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7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7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7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7" t="str" cm="1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7" t="str" cm="1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7" t="str" cm="1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  <c r="AC253" s="7" t="str" cm="1">
        <f t="array" aca="1" ref="AC253" ca="1">IFERROR(IF(OR('Raw Data'!AC253="",LEN(TRIM('Raw Data'!AC253))=0),"",IF(AND(ISNUMBER('Raw Data'!AC253), IFERROR('Raw Data'!AC253 = ROUND('Raw Data'!AC253, 2),FALSE)),"",_xlfn.REGEXEXTRACT(CELL("address",AC253), "\$([A-Z]+)\$[0-9]+"))),_xlfn.REGEXEXTRACT(CELL("address",AC253), "\$([A-Z]+)\$[0-9]+"))</f>
        <v/>
      </c>
      <c r="AD253" s="7" t="str" cm="1">
        <f t="array" aca="1" ref="AD253" ca="1">IFERROR(IF(OR('Raw Data'!AD253="",LEN(TRIM('Raw Data'!AD253))=0),"",IF(AND(ISNUMBER('Raw Data'!AD253), IFERROR('Raw Data'!AD253 = ROUND('Raw Data'!AD253, 2),FALSE)),"",_xlfn.REGEXEXTRACT(CELL("address",AD253), "\$([A-Z]+)\$[0-9]+"))),_xlfn.REGEXEXTRACT(CELL("address",AD253), "\$([A-Z]+)\$[0-9]+"))</f>
        <v/>
      </c>
    </row>
    <row r="254" spans="2:30" x14ac:dyDescent="0.25">
      <c r="B254" s="7" t="str" cm="1">
        <f t="array" aca="1" ref="B254" ca="1">IFERROR(IF(OR('Raw Data'!B254="",LEN(TRIM('Raw Data'!B254))=0),"",IF(AND(LEN('Raw Data'!B254) &lt;= 20,LEN('Raw Data'!B254)&gt; 0),"",_xlfn.REGEXEXTRACT(CELL("address",'Raw Data'!B254),"\$([A-Z]+)\$[0-9]+"))),_xlfn.REGEXEXTRACT(CELL("address",'Raw Data'!B254),"\$([A-Z]+)\$[0-9]+"))</f>
        <v/>
      </c>
      <c r="C254" s="7" t="str" cm="1">
        <f t="array" aca="1" ref="C254" ca="1">IFERROR(IF(OR('Raw Data'!C254="",LEN(TRIM('Raw Data'!C254))=0),"",IF(AND(LEN('Raw Data'!C254) &lt;= 255,LEN('Raw Data'!C254)&gt; 0),"",_xlfn.REGEXEXTRACT(CELL("address",'Raw Data'!C254),"\$([A-Z]+)\$[0-9]+"))),_xlfn.REGEXEXTRACT(CELL("address",'Raw Data'!C254),"\$([A-Z]+)\$[0-9]+"))</f>
        <v/>
      </c>
      <c r="D254" s="7" t="str" cm="1">
        <f t="array" aca="1" ref="D254" ca="1">IFERROR(IF(OR('Raw Data'!D254="",LEN(TRIM('Raw Data'!D254))=0),"",IF(AND(LEN('Raw Data'!D254) &lt;= 20,LEN('Raw Data'!D254)&gt; 0),"",_xlfn.REGEXEXTRACT(CELL("address",'Raw Data'!D254),"\$([A-Z]+)\$[0-9]+"))),_xlfn.REGEXEXTRACT(CELL("address",'Raw Data'!D254),"\$([A-Z]+)\$[0-9]+"))</f>
        <v/>
      </c>
      <c r="E254" s="7" t="str" cm="1">
        <f t="array" aca="1" ref="E254" ca="1">IFERROR(IF(OR('Raw Data'!E254="",LEN(TRIM('Raw Data'!E254))=0),"",IF(AND(ISNUMBER('Raw Data'!E254),'Raw Data'!E254&gt;=Configuration!$D$2),"",_xlfn.REGEXEXTRACT(CELL("address",'Raw Data'!E254),"\$([A-Z]+)\$[0-9]+"))),_xlfn.REGEXEXTRACT(CELL("address",E254), "\$([A-Z]+)\$[0-9]+"))</f>
        <v/>
      </c>
      <c r="F254" s="7" t="str" cm="1">
        <f t="array" aca="1" ref="F254" ca="1">IFERROR(IF(OR('Raw Data'!F254="",LEN(TRIM('Raw Data'!F254))=0),"",IF(AND(ISNUMBER('Raw Data'!F254), IFERROR('Raw Data'!F254 = ROUND('Raw Data'!F254, 4),FALSE)),"",_xlfn.REGEXEXTRACT(CELL("address",F254), "\$([A-Z]+)\$[0-9]+"))),_xlfn.REGEXEXTRACT(CELL("address",F254), "\$([A-Z]+)\$[0-9]+"))</f>
        <v/>
      </c>
      <c r="G254" s="7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7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7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7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7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7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7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7" t="str" cm="1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  <c r="O254" s="7" t="str" cm="1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7" t="str" cm="1">
        <f t="array" aca="1" ref="P254" ca="1">IFERROR(IF(OR('Raw Data'!P254="",LEN(TRIM('Raw Data'!P254))=0),"",IF(AND(ISNUMBER('Raw Data'!P254), IFERROR('Raw Data'!P254 = ROUND('Raw Data'!P254, 2),FALSE)),"",_xlfn.REGEXEXTRACT(CELL("address",P254), "\$([A-Z]+)\$[0-9]+"))),_xlfn.REGEXEXTRACT(CELL("address",P254), "\$([A-Z]+)\$[0-9]+"))</f>
        <v/>
      </c>
      <c r="Q254" s="7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7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7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7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7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7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7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7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7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7" t="str" cm="1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7" t="str" cm="1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7" t="str" cm="1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  <c r="AC254" s="7" t="str" cm="1">
        <f t="array" aca="1" ref="AC254" ca="1">IFERROR(IF(OR('Raw Data'!AC254="",LEN(TRIM('Raw Data'!AC254))=0),"",IF(AND(ISNUMBER('Raw Data'!AC254), IFERROR('Raw Data'!AC254 = ROUND('Raw Data'!AC254, 2),FALSE)),"",_xlfn.REGEXEXTRACT(CELL("address",AC254), "\$([A-Z]+)\$[0-9]+"))),_xlfn.REGEXEXTRACT(CELL("address",AC254), "\$([A-Z]+)\$[0-9]+"))</f>
        <v/>
      </c>
      <c r="AD254" s="7" t="str" cm="1">
        <f t="array" aca="1" ref="AD254" ca="1">IFERROR(IF(OR('Raw Data'!AD254="",LEN(TRIM('Raw Data'!AD254))=0),"",IF(AND(ISNUMBER('Raw Data'!AD254), IFERROR('Raw Data'!AD254 = ROUND('Raw Data'!AD254, 2),FALSE)),"",_xlfn.REGEXEXTRACT(CELL("address",AD254), "\$([A-Z]+)\$[0-9]+"))),_xlfn.REGEXEXTRACT(CELL("address",AD254), "\$([A-Z]+)\$[0-9]+"))</f>
        <v/>
      </c>
    </row>
    <row r="255" spans="2:30" x14ac:dyDescent="0.25">
      <c r="B255" s="7" t="str" cm="1">
        <f t="array" aca="1" ref="B255" ca="1">IFERROR(IF(OR('Raw Data'!B255="",LEN(TRIM('Raw Data'!B255))=0),"",IF(AND(LEN('Raw Data'!B255) &lt;= 20,LEN('Raw Data'!B255)&gt; 0),"",_xlfn.REGEXEXTRACT(CELL("address",'Raw Data'!B255),"\$([A-Z]+)\$[0-9]+"))),_xlfn.REGEXEXTRACT(CELL("address",'Raw Data'!B255),"\$([A-Z]+)\$[0-9]+"))</f>
        <v/>
      </c>
      <c r="C255" s="7" t="str" cm="1">
        <f t="array" aca="1" ref="C255" ca="1">IFERROR(IF(OR('Raw Data'!C255="",LEN(TRIM('Raw Data'!C255))=0),"",IF(AND(LEN('Raw Data'!C255) &lt;= 255,LEN('Raw Data'!C255)&gt; 0),"",_xlfn.REGEXEXTRACT(CELL("address",'Raw Data'!C255),"\$([A-Z]+)\$[0-9]+"))),_xlfn.REGEXEXTRACT(CELL("address",'Raw Data'!C255),"\$([A-Z]+)\$[0-9]+"))</f>
        <v/>
      </c>
      <c r="D255" s="7" t="str" cm="1">
        <f t="array" aca="1" ref="D255" ca="1">IFERROR(IF(OR('Raw Data'!D255="",LEN(TRIM('Raw Data'!D255))=0),"",IF(AND(LEN('Raw Data'!D255) &lt;= 20,LEN('Raw Data'!D255)&gt; 0),"",_xlfn.REGEXEXTRACT(CELL("address",'Raw Data'!D255),"\$([A-Z]+)\$[0-9]+"))),_xlfn.REGEXEXTRACT(CELL("address",'Raw Data'!D255),"\$([A-Z]+)\$[0-9]+"))</f>
        <v/>
      </c>
      <c r="E255" s="7" t="str" cm="1">
        <f t="array" aca="1" ref="E255" ca="1">IFERROR(IF(OR('Raw Data'!E255="",LEN(TRIM('Raw Data'!E255))=0),"",IF(AND(ISNUMBER('Raw Data'!E255),'Raw Data'!E255&gt;=Configuration!$D$2),"",_xlfn.REGEXEXTRACT(CELL("address",'Raw Data'!E255),"\$([A-Z]+)\$[0-9]+"))),_xlfn.REGEXEXTRACT(CELL("address",E255), "\$([A-Z]+)\$[0-9]+"))</f>
        <v/>
      </c>
      <c r="F255" s="7" t="str" cm="1">
        <f t="array" aca="1" ref="F255" ca="1">IFERROR(IF(OR('Raw Data'!F255="",LEN(TRIM('Raw Data'!F255))=0),"",IF(AND(ISNUMBER('Raw Data'!F255), IFERROR('Raw Data'!F255 = ROUND('Raw Data'!F255, 4),FALSE)),"",_xlfn.REGEXEXTRACT(CELL("address",F255), "\$([A-Z]+)\$[0-9]+"))),_xlfn.REGEXEXTRACT(CELL("address",F255), "\$([A-Z]+)\$[0-9]+"))</f>
        <v/>
      </c>
      <c r="G255" s="7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7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7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7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7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7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7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7" t="str" cm="1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  <c r="O255" s="7" t="str" cm="1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7" t="str" cm="1">
        <f t="array" aca="1" ref="P255" ca="1">IFERROR(IF(OR('Raw Data'!P255="",LEN(TRIM('Raw Data'!P255))=0),"",IF(AND(ISNUMBER('Raw Data'!P255), IFERROR('Raw Data'!P255 = ROUND('Raw Data'!P255, 2),FALSE)),"",_xlfn.REGEXEXTRACT(CELL("address",P255), "\$([A-Z]+)\$[0-9]+"))),_xlfn.REGEXEXTRACT(CELL("address",P255), "\$([A-Z]+)\$[0-9]+"))</f>
        <v/>
      </c>
      <c r="Q255" s="7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7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7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7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7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7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7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7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7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7" t="str" cm="1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7" t="str" cm="1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7" t="str" cm="1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  <c r="AC255" s="7" t="str" cm="1">
        <f t="array" aca="1" ref="AC255" ca="1">IFERROR(IF(OR('Raw Data'!AC255="",LEN(TRIM('Raw Data'!AC255))=0),"",IF(AND(ISNUMBER('Raw Data'!AC255), IFERROR('Raw Data'!AC255 = ROUND('Raw Data'!AC255, 2),FALSE)),"",_xlfn.REGEXEXTRACT(CELL("address",AC255), "\$([A-Z]+)\$[0-9]+"))),_xlfn.REGEXEXTRACT(CELL("address",AC255), "\$([A-Z]+)\$[0-9]+"))</f>
        <v/>
      </c>
      <c r="AD255" s="7" t="str" cm="1">
        <f t="array" aca="1" ref="AD255" ca="1">IFERROR(IF(OR('Raw Data'!AD255="",LEN(TRIM('Raw Data'!AD255))=0),"",IF(AND(ISNUMBER('Raw Data'!AD255), IFERROR('Raw Data'!AD255 = ROUND('Raw Data'!AD255, 2),FALSE)),"",_xlfn.REGEXEXTRACT(CELL("address",AD255), "\$([A-Z]+)\$[0-9]+"))),_xlfn.REGEXEXTRACT(CELL("address",AD255), "\$([A-Z]+)\$[0-9]+"))</f>
        <v/>
      </c>
    </row>
    <row r="256" spans="2:30" x14ac:dyDescent="0.25">
      <c r="B256" s="7" t="str" cm="1">
        <f t="array" aca="1" ref="B256" ca="1">IFERROR(IF(OR('Raw Data'!B256="",LEN(TRIM('Raw Data'!B256))=0),"",IF(AND(LEN('Raw Data'!B256) &lt;= 20,LEN('Raw Data'!B256)&gt; 0),"",_xlfn.REGEXEXTRACT(CELL("address",'Raw Data'!B256),"\$([A-Z]+)\$[0-9]+"))),_xlfn.REGEXEXTRACT(CELL("address",'Raw Data'!B256),"\$([A-Z]+)\$[0-9]+"))</f>
        <v/>
      </c>
      <c r="C256" s="7" t="str" cm="1">
        <f t="array" aca="1" ref="C256" ca="1">IFERROR(IF(OR('Raw Data'!C256="",LEN(TRIM('Raw Data'!C256))=0),"",IF(AND(LEN('Raw Data'!C256) &lt;= 255,LEN('Raw Data'!C256)&gt; 0),"",_xlfn.REGEXEXTRACT(CELL("address",'Raw Data'!C256),"\$([A-Z]+)\$[0-9]+"))),_xlfn.REGEXEXTRACT(CELL("address",'Raw Data'!C256),"\$([A-Z]+)\$[0-9]+"))</f>
        <v/>
      </c>
      <c r="D256" s="7" t="str" cm="1">
        <f t="array" aca="1" ref="D256" ca="1">IFERROR(IF(OR('Raw Data'!D256="",LEN(TRIM('Raw Data'!D256))=0),"",IF(AND(LEN('Raw Data'!D256) &lt;= 20,LEN('Raw Data'!D256)&gt; 0),"",_xlfn.REGEXEXTRACT(CELL("address",'Raw Data'!D256),"\$([A-Z]+)\$[0-9]+"))),_xlfn.REGEXEXTRACT(CELL("address",'Raw Data'!D256),"\$([A-Z]+)\$[0-9]+"))</f>
        <v/>
      </c>
      <c r="E256" s="7" t="str" cm="1">
        <f t="array" aca="1" ref="E256" ca="1">IFERROR(IF(OR('Raw Data'!E256="",LEN(TRIM('Raw Data'!E256))=0),"",IF(AND(ISNUMBER('Raw Data'!E256),'Raw Data'!E256&gt;=Configuration!$D$2),"",_xlfn.REGEXEXTRACT(CELL("address",'Raw Data'!E256),"\$([A-Z]+)\$[0-9]+"))),_xlfn.REGEXEXTRACT(CELL("address",E256), "\$([A-Z]+)\$[0-9]+"))</f>
        <v/>
      </c>
      <c r="F256" s="7" t="str" cm="1">
        <f t="array" aca="1" ref="F256" ca="1">IFERROR(IF(OR('Raw Data'!F256="",LEN(TRIM('Raw Data'!F256))=0),"",IF(AND(ISNUMBER('Raw Data'!F256), IFERROR('Raw Data'!F256 = ROUND('Raw Data'!F256, 4),FALSE)),"",_xlfn.REGEXEXTRACT(CELL("address",F256), "\$([A-Z]+)\$[0-9]+"))),_xlfn.REGEXEXTRACT(CELL("address",F256), "\$([A-Z]+)\$[0-9]+"))</f>
        <v/>
      </c>
      <c r="G256" s="7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7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7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7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7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7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7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7" t="str" cm="1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  <c r="O256" s="7" t="str" cm="1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7" t="str" cm="1">
        <f t="array" aca="1" ref="P256" ca="1">IFERROR(IF(OR('Raw Data'!P256="",LEN(TRIM('Raw Data'!P256))=0),"",IF(AND(ISNUMBER('Raw Data'!P256), IFERROR('Raw Data'!P256 = ROUND('Raw Data'!P256, 2),FALSE)),"",_xlfn.REGEXEXTRACT(CELL("address",P256), "\$([A-Z]+)\$[0-9]+"))),_xlfn.REGEXEXTRACT(CELL("address",P256), "\$([A-Z]+)\$[0-9]+"))</f>
        <v/>
      </c>
      <c r="Q256" s="7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7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7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7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7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7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7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7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7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7" t="str" cm="1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7" t="str" cm="1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7" t="str" cm="1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  <c r="AC256" s="7" t="str" cm="1">
        <f t="array" aca="1" ref="AC256" ca="1">IFERROR(IF(OR('Raw Data'!AC256="",LEN(TRIM('Raw Data'!AC256))=0),"",IF(AND(ISNUMBER('Raw Data'!AC256), IFERROR('Raw Data'!AC256 = ROUND('Raw Data'!AC256, 2),FALSE)),"",_xlfn.REGEXEXTRACT(CELL("address",AC256), "\$([A-Z]+)\$[0-9]+"))),_xlfn.REGEXEXTRACT(CELL("address",AC256), "\$([A-Z]+)\$[0-9]+"))</f>
        <v/>
      </c>
      <c r="AD256" s="7" t="str" cm="1">
        <f t="array" aca="1" ref="AD256" ca="1">IFERROR(IF(OR('Raw Data'!AD256="",LEN(TRIM('Raw Data'!AD256))=0),"",IF(AND(ISNUMBER('Raw Data'!AD256), IFERROR('Raw Data'!AD256 = ROUND('Raw Data'!AD256, 2),FALSE)),"",_xlfn.REGEXEXTRACT(CELL("address",AD256), "\$([A-Z]+)\$[0-9]+"))),_xlfn.REGEXEXTRACT(CELL("address",AD256), "\$([A-Z]+)\$[0-9]+"))</f>
        <v/>
      </c>
    </row>
    <row r="257" spans="2:30" x14ac:dyDescent="0.25">
      <c r="B257" s="7" t="str" cm="1">
        <f t="array" aca="1" ref="B257" ca="1">IFERROR(IF(OR('Raw Data'!B257="",LEN(TRIM('Raw Data'!B257))=0),"",IF(AND(LEN('Raw Data'!B257) &lt;= 20,LEN('Raw Data'!B257)&gt; 0),"",_xlfn.REGEXEXTRACT(CELL("address",'Raw Data'!B257),"\$([A-Z]+)\$[0-9]+"))),_xlfn.REGEXEXTRACT(CELL("address",'Raw Data'!B257),"\$([A-Z]+)\$[0-9]+"))</f>
        <v/>
      </c>
      <c r="C257" s="7" t="str" cm="1">
        <f t="array" aca="1" ref="C257" ca="1">IFERROR(IF(OR('Raw Data'!C257="",LEN(TRIM('Raw Data'!C257))=0),"",IF(AND(LEN('Raw Data'!C257) &lt;= 255,LEN('Raw Data'!C257)&gt; 0),"",_xlfn.REGEXEXTRACT(CELL("address",'Raw Data'!C257),"\$([A-Z]+)\$[0-9]+"))),_xlfn.REGEXEXTRACT(CELL("address",'Raw Data'!C257),"\$([A-Z]+)\$[0-9]+"))</f>
        <v/>
      </c>
      <c r="D257" s="7" t="str" cm="1">
        <f t="array" aca="1" ref="D257" ca="1">IFERROR(IF(OR('Raw Data'!D257="",LEN(TRIM('Raw Data'!D257))=0),"",IF(AND(LEN('Raw Data'!D257) &lt;= 20,LEN('Raw Data'!D257)&gt; 0),"",_xlfn.REGEXEXTRACT(CELL("address",'Raw Data'!D257),"\$([A-Z]+)\$[0-9]+"))),_xlfn.REGEXEXTRACT(CELL("address",'Raw Data'!D257),"\$([A-Z]+)\$[0-9]+"))</f>
        <v/>
      </c>
      <c r="E257" s="7" t="str" cm="1">
        <f t="array" aca="1" ref="E257" ca="1">IFERROR(IF(OR('Raw Data'!E257="",LEN(TRIM('Raw Data'!E257))=0),"",IF(AND(ISNUMBER('Raw Data'!E257),'Raw Data'!E257&gt;=Configuration!$D$2),"",_xlfn.REGEXEXTRACT(CELL("address",'Raw Data'!E257),"\$([A-Z]+)\$[0-9]+"))),_xlfn.REGEXEXTRACT(CELL("address",E257), "\$([A-Z]+)\$[0-9]+"))</f>
        <v/>
      </c>
      <c r="F257" s="7" t="str" cm="1">
        <f t="array" aca="1" ref="F257" ca="1">IFERROR(IF(OR('Raw Data'!F257="",LEN(TRIM('Raw Data'!F257))=0),"",IF(AND(ISNUMBER('Raw Data'!F257), IFERROR('Raw Data'!F257 = ROUND('Raw Data'!F257, 4),FALSE)),"",_xlfn.REGEXEXTRACT(CELL("address",F257), "\$([A-Z]+)\$[0-9]+"))),_xlfn.REGEXEXTRACT(CELL("address",F257), "\$([A-Z]+)\$[0-9]+"))</f>
        <v/>
      </c>
      <c r="G257" s="7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7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7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7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7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7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7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7" t="str" cm="1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  <c r="O257" s="7" t="str" cm="1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7" t="str" cm="1">
        <f t="array" aca="1" ref="P257" ca="1">IFERROR(IF(OR('Raw Data'!P257="",LEN(TRIM('Raw Data'!P257))=0),"",IF(AND(ISNUMBER('Raw Data'!P257), IFERROR('Raw Data'!P257 = ROUND('Raw Data'!P257, 2),FALSE)),"",_xlfn.REGEXEXTRACT(CELL("address",P257), "\$([A-Z]+)\$[0-9]+"))),_xlfn.REGEXEXTRACT(CELL("address",P257), "\$([A-Z]+)\$[0-9]+"))</f>
        <v/>
      </c>
      <c r="Q257" s="7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7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7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7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7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7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7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7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7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7" t="str" cm="1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7" t="str" cm="1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7" t="str" cm="1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  <c r="AC257" s="7" t="str" cm="1">
        <f t="array" aca="1" ref="AC257" ca="1">IFERROR(IF(OR('Raw Data'!AC257="",LEN(TRIM('Raw Data'!AC257))=0),"",IF(AND(ISNUMBER('Raw Data'!AC257), IFERROR('Raw Data'!AC257 = ROUND('Raw Data'!AC257, 2),FALSE)),"",_xlfn.REGEXEXTRACT(CELL("address",AC257), "\$([A-Z]+)\$[0-9]+"))),_xlfn.REGEXEXTRACT(CELL("address",AC257), "\$([A-Z]+)\$[0-9]+"))</f>
        <v/>
      </c>
      <c r="AD257" s="7" t="str" cm="1">
        <f t="array" aca="1" ref="AD257" ca="1">IFERROR(IF(OR('Raw Data'!AD257="",LEN(TRIM('Raw Data'!AD257))=0),"",IF(AND(ISNUMBER('Raw Data'!AD257), IFERROR('Raw Data'!AD257 = ROUND('Raw Data'!AD257, 2),FALSE)),"",_xlfn.REGEXEXTRACT(CELL("address",AD257), "\$([A-Z]+)\$[0-9]+"))),_xlfn.REGEXEXTRACT(CELL("address",AD257), "\$([A-Z]+)\$[0-9]+"))</f>
        <v/>
      </c>
    </row>
    <row r="258" spans="2:30" x14ac:dyDescent="0.25">
      <c r="B258" s="7" t="str" cm="1">
        <f t="array" aca="1" ref="B258" ca="1">IFERROR(IF(OR('Raw Data'!B258="",LEN(TRIM('Raw Data'!B258))=0),"",IF(AND(LEN('Raw Data'!B258) &lt;= 20,LEN('Raw Data'!B258)&gt; 0),"",_xlfn.REGEXEXTRACT(CELL("address",'Raw Data'!B258),"\$([A-Z]+)\$[0-9]+"))),_xlfn.REGEXEXTRACT(CELL("address",'Raw Data'!B258),"\$([A-Z]+)\$[0-9]+"))</f>
        <v/>
      </c>
      <c r="C258" s="7" t="str" cm="1">
        <f t="array" aca="1" ref="C258" ca="1">IFERROR(IF(OR('Raw Data'!C258="",LEN(TRIM('Raw Data'!C258))=0),"",IF(AND(LEN('Raw Data'!C258) &lt;= 255,LEN('Raw Data'!C258)&gt; 0),"",_xlfn.REGEXEXTRACT(CELL("address",'Raw Data'!C258),"\$([A-Z]+)\$[0-9]+"))),_xlfn.REGEXEXTRACT(CELL("address",'Raw Data'!C258),"\$([A-Z]+)\$[0-9]+"))</f>
        <v/>
      </c>
      <c r="D258" s="7" t="str" cm="1">
        <f t="array" aca="1" ref="D258" ca="1">IFERROR(IF(OR('Raw Data'!D258="",LEN(TRIM('Raw Data'!D258))=0),"",IF(AND(LEN('Raw Data'!D258) &lt;= 20,LEN('Raw Data'!D258)&gt; 0),"",_xlfn.REGEXEXTRACT(CELL("address",'Raw Data'!D258),"\$([A-Z]+)\$[0-9]+"))),_xlfn.REGEXEXTRACT(CELL("address",'Raw Data'!D258),"\$([A-Z]+)\$[0-9]+"))</f>
        <v/>
      </c>
      <c r="E258" s="7" t="str" cm="1">
        <f t="array" aca="1" ref="E258" ca="1">IFERROR(IF(OR('Raw Data'!E258="",LEN(TRIM('Raw Data'!E258))=0),"",IF(AND(ISNUMBER('Raw Data'!E258),'Raw Data'!E258&gt;=Configuration!$D$2),"",_xlfn.REGEXEXTRACT(CELL("address",'Raw Data'!E258),"\$([A-Z]+)\$[0-9]+"))),_xlfn.REGEXEXTRACT(CELL("address",E258), "\$([A-Z]+)\$[0-9]+"))</f>
        <v/>
      </c>
      <c r="F258" s="7" t="str" cm="1">
        <f t="array" aca="1" ref="F258" ca="1">IFERROR(IF(OR('Raw Data'!F258="",LEN(TRIM('Raw Data'!F258))=0),"",IF(AND(ISNUMBER('Raw Data'!F258), IFERROR('Raw Data'!F258 = ROUND('Raw Data'!F258, 4),FALSE)),"",_xlfn.REGEXEXTRACT(CELL("address",F258), "\$([A-Z]+)\$[0-9]+"))),_xlfn.REGEXEXTRACT(CELL("address",F258), "\$([A-Z]+)\$[0-9]+"))</f>
        <v/>
      </c>
      <c r="G258" s="7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7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7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7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7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7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7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7" t="str" cm="1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  <c r="O258" s="7" t="str" cm="1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7" t="str" cm="1">
        <f t="array" aca="1" ref="P258" ca="1">IFERROR(IF(OR('Raw Data'!P258="",LEN(TRIM('Raw Data'!P258))=0),"",IF(AND(ISNUMBER('Raw Data'!P258), IFERROR('Raw Data'!P258 = ROUND('Raw Data'!P258, 2),FALSE)),"",_xlfn.REGEXEXTRACT(CELL("address",P258), "\$([A-Z]+)\$[0-9]+"))),_xlfn.REGEXEXTRACT(CELL("address",P258), "\$([A-Z]+)\$[0-9]+"))</f>
        <v/>
      </c>
      <c r="Q258" s="7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7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7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7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7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7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7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7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7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7" t="str" cm="1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7" t="str" cm="1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7" t="str" cm="1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  <c r="AC258" s="7" t="str" cm="1">
        <f t="array" aca="1" ref="AC258" ca="1">IFERROR(IF(OR('Raw Data'!AC258="",LEN(TRIM('Raw Data'!AC258))=0),"",IF(AND(ISNUMBER('Raw Data'!AC258), IFERROR('Raw Data'!AC258 = ROUND('Raw Data'!AC258, 2),FALSE)),"",_xlfn.REGEXEXTRACT(CELL("address",AC258), "\$([A-Z]+)\$[0-9]+"))),_xlfn.REGEXEXTRACT(CELL("address",AC258), "\$([A-Z]+)\$[0-9]+"))</f>
        <v/>
      </c>
      <c r="AD258" s="7" t="str" cm="1">
        <f t="array" aca="1" ref="AD258" ca="1">IFERROR(IF(OR('Raw Data'!AD258="",LEN(TRIM('Raw Data'!AD258))=0),"",IF(AND(ISNUMBER('Raw Data'!AD258), IFERROR('Raw Data'!AD258 = ROUND('Raw Data'!AD258, 2),FALSE)),"",_xlfn.REGEXEXTRACT(CELL("address",AD258), "\$([A-Z]+)\$[0-9]+"))),_xlfn.REGEXEXTRACT(CELL("address",AD258), "\$([A-Z]+)\$[0-9]+"))</f>
        <v/>
      </c>
    </row>
    <row r="259" spans="2:30" x14ac:dyDescent="0.25">
      <c r="B259" s="7" t="str" cm="1">
        <f t="array" aca="1" ref="B259" ca="1">IFERROR(IF(OR('Raw Data'!B259="",LEN(TRIM('Raw Data'!B259))=0),"",IF(AND(LEN('Raw Data'!B259) &lt;= 20,LEN('Raw Data'!B259)&gt; 0),"",_xlfn.REGEXEXTRACT(CELL("address",'Raw Data'!B259),"\$([A-Z]+)\$[0-9]+"))),_xlfn.REGEXEXTRACT(CELL("address",'Raw Data'!B259),"\$([A-Z]+)\$[0-9]+"))</f>
        <v/>
      </c>
      <c r="C259" s="7" t="str" cm="1">
        <f t="array" aca="1" ref="C259" ca="1">IFERROR(IF(OR('Raw Data'!C259="",LEN(TRIM('Raw Data'!C259))=0),"",IF(AND(LEN('Raw Data'!C259) &lt;= 255,LEN('Raw Data'!C259)&gt; 0),"",_xlfn.REGEXEXTRACT(CELL("address",'Raw Data'!C259),"\$([A-Z]+)\$[0-9]+"))),_xlfn.REGEXEXTRACT(CELL("address",'Raw Data'!C259),"\$([A-Z]+)\$[0-9]+"))</f>
        <v/>
      </c>
      <c r="D259" s="7" t="str" cm="1">
        <f t="array" aca="1" ref="D259" ca="1">IFERROR(IF(OR('Raw Data'!D259="",LEN(TRIM('Raw Data'!D259))=0),"",IF(AND(LEN('Raw Data'!D259) &lt;= 20,LEN('Raw Data'!D259)&gt; 0),"",_xlfn.REGEXEXTRACT(CELL("address",'Raw Data'!D259),"\$([A-Z]+)\$[0-9]+"))),_xlfn.REGEXEXTRACT(CELL("address",'Raw Data'!D259),"\$([A-Z]+)\$[0-9]+"))</f>
        <v/>
      </c>
      <c r="E259" s="7" t="str" cm="1">
        <f t="array" aca="1" ref="E259" ca="1">IFERROR(IF(OR('Raw Data'!E259="",LEN(TRIM('Raw Data'!E259))=0),"",IF(AND(ISNUMBER('Raw Data'!E259),'Raw Data'!E259&gt;=Configuration!$D$2),"",_xlfn.REGEXEXTRACT(CELL("address",'Raw Data'!E259),"\$([A-Z]+)\$[0-9]+"))),_xlfn.REGEXEXTRACT(CELL("address",E259), "\$([A-Z]+)\$[0-9]+"))</f>
        <v/>
      </c>
      <c r="F259" s="7" t="str" cm="1">
        <f t="array" aca="1" ref="F259" ca="1">IFERROR(IF(OR('Raw Data'!F259="",LEN(TRIM('Raw Data'!F259))=0),"",IF(AND(ISNUMBER('Raw Data'!F259), IFERROR('Raw Data'!F259 = ROUND('Raw Data'!F259, 4),FALSE)),"",_xlfn.REGEXEXTRACT(CELL("address",F259), "\$([A-Z]+)\$[0-9]+"))),_xlfn.REGEXEXTRACT(CELL("address",F259), "\$([A-Z]+)\$[0-9]+"))</f>
        <v/>
      </c>
      <c r="G259" s="7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7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7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7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7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7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7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7" t="str" cm="1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  <c r="O259" s="7" t="str" cm="1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7" t="str" cm="1">
        <f t="array" aca="1" ref="P259" ca="1">IFERROR(IF(OR('Raw Data'!P259="",LEN(TRIM('Raw Data'!P259))=0),"",IF(AND(ISNUMBER('Raw Data'!P259), IFERROR('Raw Data'!P259 = ROUND('Raw Data'!P259, 2),FALSE)),"",_xlfn.REGEXEXTRACT(CELL("address",P259), "\$([A-Z]+)\$[0-9]+"))),_xlfn.REGEXEXTRACT(CELL("address",P259), "\$([A-Z]+)\$[0-9]+"))</f>
        <v/>
      </c>
      <c r="Q259" s="7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7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7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7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7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7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7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7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7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7" t="str" cm="1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7" t="str" cm="1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7" t="str" cm="1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  <c r="AC259" s="7" t="str" cm="1">
        <f t="array" aca="1" ref="AC259" ca="1">IFERROR(IF(OR('Raw Data'!AC259="",LEN(TRIM('Raw Data'!AC259))=0),"",IF(AND(ISNUMBER('Raw Data'!AC259), IFERROR('Raw Data'!AC259 = ROUND('Raw Data'!AC259, 2),FALSE)),"",_xlfn.REGEXEXTRACT(CELL("address",AC259), "\$([A-Z]+)\$[0-9]+"))),_xlfn.REGEXEXTRACT(CELL("address",AC259), "\$([A-Z]+)\$[0-9]+"))</f>
        <v/>
      </c>
      <c r="AD259" s="7" t="str" cm="1">
        <f t="array" aca="1" ref="AD259" ca="1">IFERROR(IF(OR('Raw Data'!AD259="",LEN(TRIM('Raw Data'!AD259))=0),"",IF(AND(ISNUMBER('Raw Data'!AD259), IFERROR('Raw Data'!AD259 = ROUND('Raw Data'!AD259, 2),FALSE)),"",_xlfn.REGEXEXTRACT(CELL("address",AD259), "\$([A-Z]+)\$[0-9]+"))),_xlfn.REGEXEXTRACT(CELL("address",AD259), "\$([A-Z]+)\$[0-9]+"))</f>
        <v/>
      </c>
    </row>
    <row r="260" spans="2:30" x14ac:dyDescent="0.25">
      <c r="B260" s="7" t="str" cm="1">
        <f t="array" aca="1" ref="B260" ca="1">IFERROR(IF(OR('Raw Data'!B260="",LEN(TRIM('Raw Data'!B260))=0),"",IF(AND(LEN('Raw Data'!B260) &lt;= 20,LEN('Raw Data'!B260)&gt; 0),"",_xlfn.REGEXEXTRACT(CELL("address",'Raw Data'!B260),"\$([A-Z]+)\$[0-9]+"))),_xlfn.REGEXEXTRACT(CELL("address",'Raw Data'!B260),"\$([A-Z]+)\$[0-9]+"))</f>
        <v/>
      </c>
      <c r="C260" s="7" t="str" cm="1">
        <f t="array" aca="1" ref="C260" ca="1">IFERROR(IF(OR('Raw Data'!C260="",LEN(TRIM('Raw Data'!C260))=0),"",IF(AND(LEN('Raw Data'!C260) &lt;= 255,LEN('Raw Data'!C260)&gt; 0),"",_xlfn.REGEXEXTRACT(CELL("address",'Raw Data'!C260),"\$([A-Z]+)\$[0-9]+"))),_xlfn.REGEXEXTRACT(CELL("address",'Raw Data'!C260),"\$([A-Z]+)\$[0-9]+"))</f>
        <v/>
      </c>
      <c r="D260" s="7" t="str" cm="1">
        <f t="array" aca="1" ref="D260" ca="1">IFERROR(IF(OR('Raw Data'!D260="",LEN(TRIM('Raw Data'!D260))=0),"",IF(AND(LEN('Raw Data'!D260) &lt;= 20,LEN('Raw Data'!D260)&gt; 0),"",_xlfn.REGEXEXTRACT(CELL("address",'Raw Data'!D260),"\$([A-Z]+)\$[0-9]+"))),_xlfn.REGEXEXTRACT(CELL("address",'Raw Data'!D260),"\$([A-Z]+)\$[0-9]+"))</f>
        <v/>
      </c>
      <c r="E260" s="7" t="str" cm="1">
        <f t="array" aca="1" ref="E260" ca="1">IFERROR(IF(OR('Raw Data'!E260="",LEN(TRIM('Raw Data'!E260))=0),"",IF(AND(ISNUMBER('Raw Data'!E260),'Raw Data'!E260&gt;=Configuration!$D$2),"",_xlfn.REGEXEXTRACT(CELL("address",'Raw Data'!E260),"\$([A-Z]+)\$[0-9]+"))),_xlfn.REGEXEXTRACT(CELL("address",E260), "\$([A-Z]+)\$[0-9]+"))</f>
        <v/>
      </c>
      <c r="F260" s="7" t="str" cm="1">
        <f t="array" aca="1" ref="F260" ca="1">IFERROR(IF(OR('Raw Data'!F260="",LEN(TRIM('Raw Data'!F260))=0),"",IF(AND(ISNUMBER('Raw Data'!F260), IFERROR('Raw Data'!F260 = ROUND('Raw Data'!F260, 4),FALSE)),"",_xlfn.REGEXEXTRACT(CELL("address",F260), "\$([A-Z]+)\$[0-9]+"))),_xlfn.REGEXEXTRACT(CELL("address",F260), "\$([A-Z]+)\$[0-9]+"))</f>
        <v/>
      </c>
      <c r="G260" s="7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7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7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7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7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7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7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7" t="str" cm="1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  <c r="O260" s="7" t="str" cm="1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7" t="str" cm="1">
        <f t="array" aca="1" ref="P260" ca="1">IFERROR(IF(OR('Raw Data'!P260="",LEN(TRIM('Raw Data'!P260))=0),"",IF(AND(ISNUMBER('Raw Data'!P260), IFERROR('Raw Data'!P260 = ROUND('Raw Data'!P260, 2),FALSE)),"",_xlfn.REGEXEXTRACT(CELL("address",P260), "\$([A-Z]+)\$[0-9]+"))),_xlfn.REGEXEXTRACT(CELL("address",P260), "\$([A-Z]+)\$[0-9]+"))</f>
        <v/>
      </c>
      <c r="Q260" s="7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7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7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7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7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7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7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7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7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7" t="str" cm="1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7" t="str" cm="1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7" t="str" cm="1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  <c r="AC260" s="7" t="str" cm="1">
        <f t="array" aca="1" ref="AC260" ca="1">IFERROR(IF(OR('Raw Data'!AC260="",LEN(TRIM('Raw Data'!AC260))=0),"",IF(AND(ISNUMBER('Raw Data'!AC260), IFERROR('Raw Data'!AC260 = ROUND('Raw Data'!AC260, 2),FALSE)),"",_xlfn.REGEXEXTRACT(CELL("address",AC260), "\$([A-Z]+)\$[0-9]+"))),_xlfn.REGEXEXTRACT(CELL("address",AC260), "\$([A-Z]+)\$[0-9]+"))</f>
        <v/>
      </c>
      <c r="AD260" s="7" t="str" cm="1">
        <f t="array" aca="1" ref="AD260" ca="1">IFERROR(IF(OR('Raw Data'!AD260="",LEN(TRIM('Raw Data'!AD260))=0),"",IF(AND(ISNUMBER('Raw Data'!AD260), IFERROR('Raw Data'!AD260 = ROUND('Raw Data'!AD260, 2),FALSE)),"",_xlfn.REGEXEXTRACT(CELL("address",AD260), "\$([A-Z]+)\$[0-9]+"))),_xlfn.REGEXEXTRACT(CELL("address",AD260), "\$([A-Z]+)\$[0-9]+"))</f>
        <v/>
      </c>
    </row>
    <row r="261" spans="2:30" x14ac:dyDescent="0.25">
      <c r="B261" s="7" t="str" cm="1">
        <f t="array" aca="1" ref="B261" ca="1">IFERROR(IF(OR('Raw Data'!B261="",LEN(TRIM('Raw Data'!B261))=0),"",IF(AND(LEN('Raw Data'!B261) &lt;= 20,LEN('Raw Data'!B261)&gt; 0),"",_xlfn.REGEXEXTRACT(CELL("address",'Raw Data'!B261),"\$([A-Z]+)\$[0-9]+"))),_xlfn.REGEXEXTRACT(CELL("address",'Raw Data'!B261),"\$([A-Z]+)\$[0-9]+"))</f>
        <v/>
      </c>
      <c r="C261" s="7" t="str" cm="1">
        <f t="array" aca="1" ref="C261" ca="1">IFERROR(IF(OR('Raw Data'!C261="",LEN(TRIM('Raw Data'!C261))=0),"",IF(AND(LEN('Raw Data'!C261) &lt;= 255,LEN('Raw Data'!C261)&gt; 0),"",_xlfn.REGEXEXTRACT(CELL("address",'Raw Data'!C261),"\$([A-Z]+)\$[0-9]+"))),_xlfn.REGEXEXTRACT(CELL("address",'Raw Data'!C261),"\$([A-Z]+)\$[0-9]+"))</f>
        <v/>
      </c>
      <c r="D261" s="7" t="str" cm="1">
        <f t="array" aca="1" ref="D261" ca="1">IFERROR(IF(OR('Raw Data'!D261="",LEN(TRIM('Raw Data'!D261))=0),"",IF(AND(LEN('Raw Data'!D261) &lt;= 20,LEN('Raw Data'!D261)&gt; 0),"",_xlfn.REGEXEXTRACT(CELL("address",'Raw Data'!D261),"\$([A-Z]+)\$[0-9]+"))),_xlfn.REGEXEXTRACT(CELL("address",'Raw Data'!D261),"\$([A-Z]+)\$[0-9]+"))</f>
        <v/>
      </c>
      <c r="E261" s="7" t="str" cm="1">
        <f t="array" aca="1" ref="E261" ca="1">IFERROR(IF(OR('Raw Data'!E261="",LEN(TRIM('Raw Data'!E261))=0),"",IF(AND(ISNUMBER('Raw Data'!E261),'Raw Data'!E261&gt;=Configuration!$D$2),"",_xlfn.REGEXEXTRACT(CELL("address",'Raw Data'!E261),"\$([A-Z]+)\$[0-9]+"))),_xlfn.REGEXEXTRACT(CELL("address",E261), "\$([A-Z]+)\$[0-9]+"))</f>
        <v/>
      </c>
      <c r="F261" s="7" t="str" cm="1">
        <f t="array" aca="1" ref="F261" ca="1">IFERROR(IF(OR('Raw Data'!F261="",LEN(TRIM('Raw Data'!F261))=0),"",IF(AND(ISNUMBER('Raw Data'!F261), IFERROR('Raw Data'!F261 = ROUND('Raw Data'!F261, 4),FALSE)),"",_xlfn.REGEXEXTRACT(CELL("address",F261), "\$([A-Z]+)\$[0-9]+"))),_xlfn.REGEXEXTRACT(CELL("address",F261), "\$([A-Z]+)\$[0-9]+"))</f>
        <v/>
      </c>
      <c r="G261" s="7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7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7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7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7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7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7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7" t="str" cm="1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  <c r="O261" s="7" t="str" cm="1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7" t="str" cm="1">
        <f t="array" aca="1" ref="P261" ca="1">IFERROR(IF(OR('Raw Data'!P261="",LEN(TRIM('Raw Data'!P261))=0),"",IF(AND(ISNUMBER('Raw Data'!P261), IFERROR('Raw Data'!P261 = ROUND('Raw Data'!P261, 2),FALSE)),"",_xlfn.REGEXEXTRACT(CELL("address",P261), "\$([A-Z]+)\$[0-9]+"))),_xlfn.REGEXEXTRACT(CELL("address",P261), "\$([A-Z]+)\$[0-9]+"))</f>
        <v/>
      </c>
      <c r="Q261" s="7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7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7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7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7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7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7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7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7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7" t="str" cm="1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7" t="str" cm="1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7" t="str" cm="1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  <c r="AC261" s="7" t="str" cm="1">
        <f t="array" aca="1" ref="AC261" ca="1">IFERROR(IF(OR('Raw Data'!AC261="",LEN(TRIM('Raw Data'!AC261))=0),"",IF(AND(ISNUMBER('Raw Data'!AC261), IFERROR('Raw Data'!AC261 = ROUND('Raw Data'!AC261, 2),FALSE)),"",_xlfn.REGEXEXTRACT(CELL("address",AC261), "\$([A-Z]+)\$[0-9]+"))),_xlfn.REGEXEXTRACT(CELL("address",AC261), "\$([A-Z]+)\$[0-9]+"))</f>
        <v/>
      </c>
      <c r="AD261" s="7" t="str" cm="1">
        <f t="array" aca="1" ref="AD261" ca="1">IFERROR(IF(OR('Raw Data'!AD261="",LEN(TRIM('Raw Data'!AD261))=0),"",IF(AND(ISNUMBER('Raw Data'!AD261), IFERROR('Raw Data'!AD261 = ROUND('Raw Data'!AD261, 2),FALSE)),"",_xlfn.REGEXEXTRACT(CELL("address",AD261), "\$([A-Z]+)\$[0-9]+"))),_xlfn.REGEXEXTRACT(CELL("address",AD261), "\$([A-Z]+)\$[0-9]+"))</f>
        <v/>
      </c>
    </row>
    <row r="262" spans="2:30" x14ac:dyDescent="0.25">
      <c r="B262" s="7" t="str" cm="1">
        <f t="array" aca="1" ref="B262" ca="1">IFERROR(IF(OR('Raw Data'!B262="",LEN(TRIM('Raw Data'!B262))=0),"",IF(AND(LEN('Raw Data'!B262) &lt;= 20,LEN('Raw Data'!B262)&gt; 0),"",_xlfn.REGEXEXTRACT(CELL("address",'Raw Data'!B262),"\$([A-Z]+)\$[0-9]+"))),_xlfn.REGEXEXTRACT(CELL("address",'Raw Data'!B262),"\$([A-Z]+)\$[0-9]+"))</f>
        <v/>
      </c>
      <c r="C262" s="7" t="str" cm="1">
        <f t="array" aca="1" ref="C262" ca="1">IFERROR(IF(OR('Raw Data'!C262="",LEN(TRIM('Raw Data'!C262))=0),"",IF(AND(LEN('Raw Data'!C262) &lt;= 255,LEN('Raw Data'!C262)&gt; 0),"",_xlfn.REGEXEXTRACT(CELL("address",'Raw Data'!C262),"\$([A-Z]+)\$[0-9]+"))),_xlfn.REGEXEXTRACT(CELL("address",'Raw Data'!C262),"\$([A-Z]+)\$[0-9]+"))</f>
        <v/>
      </c>
      <c r="D262" s="7" t="str" cm="1">
        <f t="array" aca="1" ref="D262" ca="1">IFERROR(IF(OR('Raw Data'!D262="",LEN(TRIM('Raw Data'!D262))=0),"",IF(AND(LEN('Raw Data'!D262) &lt;= 20,LEN('Raw Data'!D262)&gt; 0),"",_xlfn.REGEXEXTRACT(CELL("address",'Raw Data'!D262),"\$([A-Z]+)\$[0-9]+"))),_xlfn.REGEXEXTRACT(CELL("address",'Raw Data'!D262),"\$([A-Z]+)\$[0-9]+"))</f>
        <v/>
      </c>
      <c r="E262" s="7" t="str" cm="1">
        <f t="array" aca="1" ref="E262" ca="1">IFERROR(IF(OR('Raw Data'!E262="",LEN(TRIM('Raw Data'!E262))=0),"",IF(AND(ISNUMBER('Raw Data'!E262),'Raw Data'!E262&gt;=Configuration!$D$2),"",_xlfn.REGEXEXTRACT(CELL("address",'Raw Data'!E262),"\$([A-Z]+)\$[0-9]+"))),_xlfn.REGEXEXTRACT(CELL("address",E262), "\$([A-Z]+)\$[0-9]+"))</f>
        <v/>
      </c>
      <c r="F262" s="7" t="str" cm="1">
        <f t="array" aca="1" ref="F262" ca="1">IFERROR(IF(OR('Raw Data'!F262="",LEN(TRIM('Raw Data'!F262))=0),"",IF(AND(ISNUMBER('Raw Data'!F262), IFERROR('Raw Data'!F262 = ROUND('Raw Data'!F262, 4),FALSE)),"",_xlfn.REGEXEXTRACT(CELL("address",F262), "\$([A-Z]+)\$[0-9]+"))),_xlfn.REGEXEXTRACT(CELL("address",F262), "\$([A-Z]+)\$[0-9]+"))</f>
        <v/>
      </c>
      <c r="G262" s="7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7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7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7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7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7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7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7" t="str" cm="1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  <c r="O262" s="7" t="str" cm="1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7" t="str" cm="1">
        <f t="array" aca="1" ref="P262" ca="1">IFERROR(IF(OR('Raw Data'!P262="",LEN(TRIM('Raw Data'!P262))=0),"",IF(AND(ISNUMBER('Raw Data'!P262), IFERROR('Raw Data'!P262 = ROUND('Raw Data'!P262, 2),FALSE)),"",_xlfn.REGEXEXTRACT(CELL("address",P262), "\$([A-Z]+)\$[0-9]+"))),_xlfn.REGEXEXTRACT(CELL("address",P262), "\$([A-Z]+)\$[0-9]+"))</f>
        <v/>
      </c>
      <c r="Q262" s="7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7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7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7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7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7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7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7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7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7" t="str" cm="1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7" t="str" cm="1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7" t="str" cm="1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  <c r="AC262" s="7" t="str" cm="1">
        <f t="array" aca="1" ref="AC262" ca="1">IFERROR(IF(OR('Raw Data'!AC262="",LEN(TRIM('Raw Data'!AC262))=0),"",IF(AND(ISNUMBER('Raw Data'!AC262), IFERROR('Raw Data'!AC262 = ROUND('Raw Data'!AC262, 2),FALSE)),"",_xlfn.REGEXEXTRACT(CELL("address",AC262), "\$([A-Z]+)\$[0-9]+"))),_xlfn.REGEXEXTRACT(CELL("address",AC262), "\$([A-Z]+)\$[0-9]+"))</f>
        <v/>
      </c>
      <c r="AD262" s="7" t="str" cm="1">
        <f t="array" aca="1" ref="AD262" ca="1">IFERROR(IF(OR('Raw Data'!AD262="",LEN(TRIM('Raw Data'!AD262))=0),"",IF(AND(ISNUMBER('Raw Data'!AD262), IFERROR('Raw Data'!AD262 = ROUND('Raw Data'!AD262, 2),FALSE)),"",_xlfn.REGEXEXTRACT(CELL("address",AD262), "\$([A-Z]+)\$[0-9]+"))),_xlfn.REGEXEXTRACT(CELL("address",AD262), "\$([A-Z]+)\$[0-9]+"))</f>
        <v/>
      </c>
    </row>
    <row r="263" spans="2:30" x14ac:dyDescent="0.25">
      <c r="B263" s="7" t="str" cm="1">
        <f t="array" aca="1" ref="B263" ca="1">IFERROR(IF(OR('Raw Data'!B263="",LEN(TRIM('Raw Data'!B263))=0),"",IF(AND(LEN('Raw Data'!B263) &lt;= 20,LEN('Raw Data'!B263)&gt; 0),"",_xlfn.REGEXEXTRACT(CELL("address",'Raw Data'!B263),"\$([A-Z]+)\$[0-9]+"))),_xlfn.REGEXEXTRACT(CELL("address",'Raw Data'!B263),"\$([A-Z]+)\$[0-9]+"))</f>
        <v/>
      </c>
      <c r="C263" s="7" t="str" cm="1">
        <f t="array" aca="1" ref="C263" ca="1">IFERROR(IF(OR('Raw Data'!C263="",LEN(TRIM('Raw Data'!C263))=0),"",IF(AND(LEN('Raw Data'!C263) &lt;= 255,LEN('Raw Data'!C263)&gt; 0),"",_xlfn.REGEXEXTRACT(CELL("address",'Raw Data'!C263),"\$([A-Z]+)\$[0-9]+"))),_xlfn.REGEXEXTRACT(CELL("address",'Raw Data'!C263),"\$([A-Z]+)\$[0-9]+"))</f>
        <v/>
      </c>
      <c r="D263" s="7" t="str" cm="1">
        <f t="array" aca="1" ref="D263" ca="1">IFERROR(IF(OR('Raw Data'!D263="",LEN(TRIM('Raw Data'!D263))=0),"",IF(AND(LEN('Raw Data'!D263) &lt;= 20,LEN('Raw Data'!D263)&gt; 0),"",_xlfn.REGEXEXTRACT(CELL("address",'Raw Data'!D263),"\$([A-Z]+)\$[0-9]+"))),_xlfn.REGEXEXTRACT(CELL("address",'Raw Data'!D263),"\$([A-Z]+)\$[0-9]+"))</f>
        <v/>
      </c>
      <c r="E263" s="7" t="str" cm="1">
        <f t="array" aca="1" ref="E263" ca="1">IFERROR(IF(OR('Raw Data'!E263="",LEN(TRIM('Raw Data'!E263))=0),"",IF(AND(ISNUMBER('Raw Data'!E263),'Raw Data'!E263&gt;=Configuration!$D$2),"",_xlfn.REGEXEXTRACT(CELL("address",'Raw Data'!E263),"\$([A-Z]+)\$[0-9]+"))),_xlfn.REGEXEXTRACT(CELL("address",E263), "\$([A-Z]+)\$[0-9]+"))</f>
        <v/>
      </c>
      <c r="F263" s="7" t="str" cm="1">
        <f t="array" aca="1" ref="F263" ca="1">IFERROR(IF(OR('Raw Data'!F263="",LEN(TRIM('Raw Data'!F263))=0),"",IF(AND(ISNUMBER('Raw Data'!F263), IFERROR('Raw Data'!F263 = ROUND('Raw Data'!F263, 4),FALSE)),"",_xlfn.REGEXEXTRACT(CELL("address",F263), "\$([A-Z]+)\$[0-9]+"))),_xlfn.REGEXEXTRACT(CELL("address",F263), "\$([A-Z]+)\$[0-9]+"))</f>
        <v/>
      </c>
      <c r="G263" s="7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7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7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7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7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7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7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7" t="str" cm="1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  <c r="O263" s="7" t="str" cm="1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7" t="str" cm="1">
        <f t="array" aca="1" ref="P263" ca="1">IFERROR(IF(OR('Raw Data'!P263="",LEN(TRIM('Raw Data'!P263))=0),"",IF(AND(ISNUMBER('Raw Data'!P263), IFERROR('Raw Data'!P263 = ROUND('Raw Data'!P263, 2),FALSE)),"",_xlfn.REGEXEXTRACT(CELL("address",P263), "\$([A-Z]+)\$[0-9]+"))),_xlfn.REGEXEXTRACT(CELL("address",P263), "\$([A-Z]+)\$[0-9]+"))</f>
        <v/>
      </c>
      <c r="Q263" s="7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7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7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7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7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7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7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7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7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7" t="str" cm="1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7" t="str" cm="1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7" t="str" cm="1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  <c r="AC263" s="7" t="str" cm="1">
        <f t="array" aca="1" ref="AC263" ca="1">IFERROR(IF(OR('Raw Data'!AC263="",LEN(TRIM('Raw Data'!AC263))=0),"",IF(AND(ISNUMBER('Raw Data'!AC263), IFERROR('Raw Data'!AC263 = ROUND('Raw Data'!AC263, 2),FALSE)),"",_xlfn.REGEXEXTRACT(CELL("address",AC263), "\$([A-Z]+)\$[0-9]+"))),_xlfn.REGEXEXTRACT(CELL("address",AC263), "\$([A-Z]+)\$[0-9]+"))</f>
        <v/>
      </c>
      <c r="AD263" s="7" t="str" cm="1">
        <f t="array" aca="1" ref="AD263" ca="1">IFERROR(IF(OR('Raw Data'!AD263="",LEN(TRIM('Raw Data'!AD263))=0),"",IF(AND(ISNUMBER('Raw Data'!AD263), IFERROR('Raw Data'!AD263 = ROUND('Raw Data'!AD263, 2),FALSE)),"",_xlfn.REGEXEXTRACT(CELL("address",AD263), "\$([A-Z]+)\$[0-9]+"))),_xlfn.REGEXEXTRACT(CELL("address",AD263), "\$([A-Z]+)\$[0-9]+"))</f>
        <v/>
      </c>
    </row>
    <row r="264" spans="2:30" x14ac:dyDescent="0.25">
      <c r="B264" s="7" t="str" cm="1">
        <f t="array" aca="1" ref="B264" ca="1">IFERROR(IF(OR('Raw Data'!B264="",LEN(TRIM('Raw Data'!B264))=0),"",IF(AND(LEN('Raw Data'!B264) &lt;= 20,LEN('Raw Data'!B264)&gt; 0),"",_xlfn.REGEXEXTRACT(CELL("address",'Raw Data'!B264),"\$([A-Z]+)\$[0-9]+"))),_xlfn.REGEXEXTRACT(CELL("address",'Raw Data'!B264),"\$([A-Z]+)\$[0-9]+"))</f>
        <v/>
      </c>
      <c r="C264" s="7" t="str" cm="1">
        <f t="array" aca="1" ref="C264" ca="1">IFERROR(IF(OR('Raw Data'!C264="",LEN(TRIM('Raw Data'!C264))=0),"",IF(AND(LEN('Raw Data'!C264) &lt;= 255,LEN('Raw Data'!C264)&gt; 0),"",_xlfn.REGEXEXTRACT(CELL("address",'Raw Data'!C264),"\$([A-Z]+)\$[0-9]+"))),_xlfn.REGEXEXTRACT(CELL("address",'Raw Data'!C264),"\$([A-Z]+)\$[0-9]+"))</f>
        <v/>
      </c>
      <c r="D264" s="7" t="str" cm="1">
        <f t="array" aca="1" ref="D264" ca="1">IFERROR(IF(OR('Raw Data'!D264="",LEN(TRIM('Raw Data'!D264))=0),"",IF(AND(LEN('Raw Data'!D264) &lt;= 20,LEN('Raw Data'!D264)&gt; 0),"",_xlfn.REGEXEXTRACT(CELL("address",'Raw Data'!D264),"\$([A-Z]+)\$[0-9]+"))),_xlfn.REGEXEXTRACT(CELL("address",'Raw Data'!D264),"\$([A-Z]+)\$[0-9]+"))</f>
        <v/>
      </c>
      <c r="E264" s="7" t="str" cm="1">
        <f t="array" aca="1" ref="E264" ca="1">IFERROR(IF(OR('Raw Data'!E264="",LEN(TRIM('Raw Data'!E264))=0),"",IF(AND(ISNUMBER('Raw Data'!E264),'Raw Data'!E264&gt;=Configuration!$D$2),"",_xlfn.REGEXEXTRACT(CELL("address",'Raw Data'!E264),"\$([A-Z]+)\$[0-9]+"))),_xlfn.REGEXEXTRACT(CELL("address",E264), "\$([A-Z]+)\$[0-9]+"))</f>
        <v/>
      </c>
      <c r="F264" s="7" t="str" cm="1">
        <f t="array" aca="1" ref="F264" ca="1">IFERROR(IF(OR('Raw Data'!F264="",LEN(TRIM('Raw Data'!F264))=0),"",IF(AND(ISNUMBER('Raw Data'!F264), IFERROR('Raw Data'!F264 = ROUND('Raw Data'!F264, 4),FALSE)),"",_xlfn.REGEXEXTRACT(CELL("address",F264), "\$([A-Z]+)\$[0-9]+"))),_xlfn.REGEXEXTRACT(CELL("address",F264), "\$([A-Z]+)\$[0-9]+"))</f>
        <v/>
      </c>
      <c r="G264" s="7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7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7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7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7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7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7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7" t="str" cm="1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  <c r="O264" s="7" t="str" cm="1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7" t="str" cm="1">
        <f t="array" aca="1" ref="P264" ca="1">IFERROR(IF(OR('Raw Data'!P264="",LEN(TRIM('Raw Data'!P264))=0),"",IF(AND(ISNUMBER('Raw Data'!P264), IFERROR('Raw Data'!P264 = ROUND('Raw Data'!P264, 2),FALSE)),"",_xlfn.REGEXEXTRACT(CELL("address",P264), "\$([A-Z]+)\$[0-9]+"))),_xlfn.REGEXEXTRACT(CELL("address",P264), "\$([A-Z]+)\$[0-9]+"))</f>
        <v/>
      </c>
      <c r="Q264" s="7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7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7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7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7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7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7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7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7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7" t="str" cm="1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7" t="str" cm="1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7" t="str" cm="1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  <c r="AC264" s="7" t="str" cm="1">
        <f t="array" aca="1" ref="AC264" ca="1">IFERROR(IF(OR('Raw Data'!AC264="",LEN(TRIM('Raw Data'!AC264))=0),"",IF(AND(ISNUMBER('Raw Data'!AC264), IFERROR('Raw Data'!AC264 = ROUND('Raw Data'!AC264, 2),FALSE)),"",_xlfn.REGEXEXTRACT(CELL("address",AC264), "\$([A-Z]+)\$[0-9]+"))),_xlfn.REGEXEXTRACT(CELL("address",AC264), "\$([A-Z]+)\$[0-9]+"))</f>
        <v/>
      </c>
      <c r="AD264" s="7" t="str" cm="1">
        <f t="array" aca="1" ref="AD264" ca="1">IFERROR(IF(OR('Raw Data'!AD264="",LEN(TRIM('Raw Data'!AD264))=0),"",IF(AND(ISNUMBER('Raw Data'!AD264), IFERROR('Raw Data'!AD264 = ROUND('Raw Data'!AD264, 2),FALSE)),"",_xlfn.REGEXEXTRACT(CELL("address",AD264), "\$([A-Z]+)\$[0-9]+"))),_xlfn.REGEXEXTRACT(CELL("address",AD264), "\$([A-Z]+)\$[0-9]+"))</f>
        <v/>
      </c>
    </row>
    <row r="265" spans="2:30" x14ac:dyDescent="0.25">
      <c r="B265" s="7" t="str" cm="1">
        <f t="array" aca="1" ref="B265" ca="1">IFERROR(IF(OR('Raw Data'!B265="",LEN(TRIM('Raw Data'!B265))=0),"",IF(AND(LEN('Raw Data'!B265) &lt;= 20,LEN('Raw Data'!B265)&gt; 0),"",_xlfn.REGEXEXTRACT(CELL("address",'Raw Data'!B265),"\$([A-Z]+)\$[0-9]+"))),_xlfn.REGEXEXTRACT(CELL("address",'Raw Data'!B265),"\$([A-Z]+)\$[0-9]+"))</f>
        <v/>
      </c>
      <c r="C265" s="7" t="str" cm="1">
        <f t="array" aca="1" ref="C265" ca="1">IFERROR(IF(OR('Raw Data'!C265="",LEN(TRIM('Raw Data'!C265))=0),"",IF(AND(LEN('Raw Data'!C265) &lt;= 255,LEN('Raw Data'!C265)&gt; 0),"",_xlfn.REGEXEXTRACT(CELL("address",'Raw Data'!C265),"\$([A-Z]+)\$[0-9]+"))),_xlfn.REGEXEXTRACT(CELL("address",'Raw Data'!C265),"\$([A-Z]+)\$[0-9]+"))</f>
        <v/>
      </c>
      <c r="D265" s="7" t="str" cm="1">
        <f t="array" aca="1" ref="D265" ca="1">IFERROR(IF(OR('Raw Data'!D265="",LEN(TRIM('Raw Data'!D265))=0),"",IF(AND(LEN('Raw Data'!D265) &lt;= 20,LEN('Raw Data'!D265)&gt; 0),"",_xlfn.REGEXEXTRACT(CELL("address",'Raw Data'!D265),"\$([A-Z]+)\$[0-9]+"))),_xlfn.REGEXEXTRACT(CELL("address",'Raw Data'!D265),"\$([A-Z]+)\$[0-9]+"))</f>
        <v/>
      </c>
      <c r="E265" s="7" t="str" cm="1">
        <f t="array" aca="1" ref="E265" ca="1">IFERROR(IF(OR('Raw Data'!E265="",LEN(TRIM('Raw Data'!E265))=0),"",IF(AND(ISNUMBER('Raw Data'!E265),'Raw Data'!E265&gt;=Configuration!$D$2),"",_xlfn.REGEXEXTRACT(CELL("address",'Raw Data'!E265),"\$([A-Z]+)\$[0-9]+"))),_xlfn.REGEXEXTRACT(CELL("address",E265), "\$([A-Z]+)\$[0-9]+"))</f>
        <v/>
      </c>
      <c r="F265" s="7" t="str" cm="1">
        <f t="array" aca="1" ref="F265" ca="1">IFERROR(IF(OR('Raw Data'!F265="",LEN(TRIM('Raw Data'!F265))=0),"",IF(AND(ISNUMBER('Raw Data'!F265), IFERROR('Raw Data'!F265 = ROUND('Raw Data'!F265, 4),FALSE)),"",_xlfn.REGEXEXTRACT(CELL("address",F265), "\$([A-Z]+)\$[0-9]+"))),_xlfn.REGEXEXTRACT(CELL("address",F265), "\$([A-Z]+)\$[0-9]+"))</f>
        <v/>
      </c>
      <c r="G265" s="7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7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7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7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7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7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7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7" t="str" cm="1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  <c r="O265" s="7" t="str" cm="1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7" t="str" cm="1">
        <f t="array" aca="1" ref="P265" ca="1">IFERROR(IF(OR('Raw Data'!P265="",LEN(TRIM('Raw Data'!P265))=0),"",IF(AND(ISNUMBER('Raw Data'!P265), IFERROR('Raw Data'!P265 = ROUND('Raw Data'!P265, 2),FALSE)),"",_xlfn.REGEXEXTRACT(CELL("address",P265), "\$([A-Z]+)\$[0-9]+"))),_xlfn.REGEXEXTRACT(CELL("address",P265), "\$([A-Z]+)\$[0-9]+"))</f>
        <v/>
      </c>
      <c r="Q265" s="7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7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7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7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7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7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7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7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7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7" t="str" cm="1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7" t="str" cm="1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7" t="str" cm="1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  <c r="AC265" s="7" t="str" cm="1">
        <f t="array" aca="1" ref="AC265" ca="1">IFERROR(IF(OR('Raw Data'!AC265="",LEN(TRIM('Raw Data'!AC265))=0),"",IF(AND(ISNUMBER('Raw Data'!AC265), IFERROR('Raw Data'!AC265 = ROUND('Raw Data'!AC265, 2),FALSE)),"",_xlfn.REGEXEXTRACT(CELL("address",AC265), "\$([A-Z]+)\$[0-9]+"))),_xlfn.REGEXEXTRACT(CELL("address",AC265), "\$([A-Z]+)\$[0-9]+"))</f>
        <v/>
      </c>
      <c r="AD265" s="7" t="str" cm="1">
        <f t="array" aca="1" ref="AD265" ca="1">IFERROR(IF(OR('Raw Data'!AD265="",LEN(TRIM('Raw Data'!AD265))=0),"",IF(AND(ISNUMBER('Raw Data'!AD265), IFERROR('Raw Data'!AD265 = ROUND('Raw Data'!AD265, 2),FALSE)),"",_xlfn.REGEXEXTRACT(CELL("address",AD265), "\$([A-Z]+)\$[0-9]+"))),_xlfn.REGEXEXTRACT(CELL("address",AD265), "\$([A-Z]+)\$[0-9]+"))</f>
        <v/>
      </c>
    </row>
    <row r="266" spans="2:30" x14ac:dyDescent="0.25">
      <c r="B266" s="7" t="str" cm="1">
        <f t="array" aca="1" ref="B266" ca="1">IFERROR(IF(OR('Raw Data'!B266="",LEN(TRIM('Raw Data'!B266))=0),"",IF(AND(LEN('Raw Data'!B266) &lt;= 20,LEN('Raw Data'!B266)&gt; 0),"",_xlfn.REGEXEXTRACT(CELL("address",'Raw Data'!B266),"\$([A-Z]+)\$[0-9]+"))),_xlfn.REGEXEXTRACT(CELL("address",'Raw Data'!B266),"\$([A-Z]+)\$[0-9]+"))</f>
        <v/>
      </c>
      <c r="C266" s="7" t="str" cm="1">
        <f t="array" aca="1" ref="C266" ca="1">IFERROR(IF(OR('Raw Data'!C266="",LEN(TRIM('Raw Data'!C266))=0),"",IF(AND(LEN('Raw Data'!C266) &lt;= 255,LEN('Raw Data'!C266)&gt; 0),"",_xlfn.REGEXEXTRACT(CELL("address",'Raw Data'!C266),"\$([A-Z]+)\$[0-9]+"))),_xlfn.REGEXEXTRACT(CELL("address",'Raw Data'!C266),"\$([A-Z]+)\$[0-9]+"))</f>
        <v/>
      </c>
      <c r="D266" s="7" t="str" cm="1">
        <f t="array" aca="1" ref="D266" ca="1">IFERROR(IF(OR('Raw Data'!D266="",LEN(TRIM('Raw Data'!D266))=0),"",IF(AND(LEN('Raw Data'!D266) &lt;= 20,LEN('Raw Data'!D266)&gt; 0),"",_xlfn.REGEXEXTRACT(CELL("address",'Raw Data'!D266),"\$([A-Z]+)\$[0-9]+"))),_xlfn.REGEXEXTRACT(CELL("address",'Raw Data'!D266),"\$([A-Z]+)\$[0-9]+"))</f>
        <v/>
      </c>
      <c r="E266" s="7" t="str" cm="1">
        <f t="array" aca="1" ref="E266" ca="1">IFERROR(IF(OR('Raw Data'!E266="",LEN(TRIM('Raw Data'!E266))=0),"",IF(AND(ISNUMBER('Raw Data'!E266),'Raw Data'!E266&gt;=Configuration!$D$2),"",_xlfn.REGEXEXTRACT(CELL("address",'Raw Data'!E266),"\$([A-Z]+)\$[0-9]+"))),_xlfn.REGEXEXTRACT(CELL("address",E266), "\$([A-Z]+)\$[0-9]+"))</f>
        <v/>
      </c>
      <c r="F266" s="7" t="str" cm="1">
        <f t="array" aca="1" ref="F266" ca="1">IFERROR(IF(OR('Raw Data'!F266="",LEN(TRIM('Raw Data'!F266))=0),"",IF(AND(ISNUMBER('Raw Data'!F266), IFERROR('Raw Data'!F266 = ROUND('Raw Data'!F266, 4),FALSE)),"",_xlfn.REGEXEXTRACT(CELL("address",F266), "\$([A-Z]+)\$[0-9]+"))),_xlfn.REGEXEXTRACT(CELL("address",F266), "\$([A-Z]+)\$[0-9]+"))</f>
        <v/>
      </c>
      <c r="G266" s="7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7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7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7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7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7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7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7" t="str" cm="1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  <c r="O266" s="7" t="str" cm="1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7" t="str" cm="1">
        <f t="array" aca="1" ref="P266" ca="1">IFERROR(IF(OR('Raw Data'!P266="",LEN(TRIM('Raw Data'!P266))=0),"",IF(AND(ISNUMBER('Raw Data'!P266), IFERROR('Raw Data'!P266 = ROUND('Raw Data'!P266, 2),FALSE)),"",_xlfn.REGEXEXTRACT(CELL("address",P266), "\$([A-Z]+)\$[0-9]+"))),_xlfn.REGEXEXTRACT(CELL("address",P266), "\$([A-Z]+)\$[0-9]+"))</f>
        <v/>
      </c>
      <c r="Q266" s="7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7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7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7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7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7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7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7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7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7" t="str" cm="1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7" t="str" cm="1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7" t="str" cm="1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  <c r="AC266" s="7" t="str" cm="1">
        <f t="array" aca="1" ref="AC266" ca="1">IFERROR(IF(OR('Raw Data'!AC266="",LEN(TRIM('Raw Data'!AC266))=0),"",IF(AND(ISNUMBER('Raw Data'!AC266), IFERROR('Raw Data'!AC266 = ROUND('Raw Data'!AC266, 2),FALSE)),"",_xlfn.REGEXEXTRACT(CELL("address",AC266), "\$([A-Z]+)\$[0-9]+"))),_xlfn.REGEXEXTRACT(CELL("address",AC266), "\$([A-Z]+)\$[0-9]+"))</f>
        <v/>
      </c>
      <c r="AD266" s="7" t="str" cm="1">
        <f t="array" aca="1" ref="AD266" ca="1">IFERROR(IF(OR('Raw Data'!AD266="",LEN(TRIM('Raw Data'!AD266))=0),"",IF(AND(ISNUMBER('Raw Data'!AD266), IFERROR('Raw Data'!AD266 = ROUND('Raw Data'!AD266, 2),FALSE)),"",_xlfn.REGEXEXTRACT(CELL("address",AD266), "\$([A-Z]+)\$[0-9]+"))),_xlfn.REGEXEXTRACT(CELL("address",AD266), "\$([A-Z]+)\$[0-9]+"))</f>
        <v/>
      </c>
    </row>
    <row r="267" spans="2:30" x14ac:dyDescent="0.25">
      <c r="B267" s="7" t="str" cm="1">
        <f t="array" aca="1" ref="B267" ca="1">IFERROR(IF(OR('Raw Data'!B267="",LEN(TRIM('Raw Data'!B267))=0),"",IF(AND(LEN('Raw Data'!B267) &lt;= 20,LEN('Raw Data'!B267)&gt; 0),"",_xlfn.REGEXEXTRACT(CELL("address",'Raw Data'!B267),"\$([A-Z]+)\$[0-9]+"))),_xlfn.REGEXEXTRACT(CELL("address",'Raw Data'!B267),"\$([A-Z]+)\$[0-9]+"))</f>
        <v/>
      </c>
      <c r="C267" s="7" t="str" cm="1">
        <f t="array" aca="1" ref="C267" ca="1">IFERROR(IF(OR('Raw Data'!C267="",LEN(TRIM('Raw Data'!C267))=0),"",IF(AND(LEN('Raw Data'!C267) &lt;= 255,LEN('Raw Data'!C267)&gt; 0),"",_xlfn.REGEXEXTRACT(CELL("address",'Raw Data'!C267),"\$([A-Z]+)\$[0-9]+"))),_xlfn.REGEXEXTRACT(CELL("address",'Raw Data'!C267),"\$([A-Z]+)\$[0-9]+"))</f>
        <v/>
      </c>
      <c r="D267" s="7" t="str" cm="1">
        <f t="array" aca="1" ref="D267" ca="1">IFERROR(IF(OR('Raw Data'!D267="",LEN(TRIM('Raw Data'!D267))=0),"",IF(AND(LEN('Raw Data'!D267) &lt;= 20,LEN('Raw Data'!D267)&gt; 0),"",_xlfn.REGEXEXTRACT(CELL("address",'Raw Data'!D267),"\$([A-Z]+)\$[0-9]+"))),_xlfn.REGEXEXTRACT(CELL("address",'Raw Data'!D267),"\$([A-Z]+)\$[0-9]+"))</f>
        <v/>
      </c>
      <c r="E267" s="7" t="str" cm="1">
        <f t="array" aca="1" ref="E267" ca="1">IFERROR(IF(OR('Raw Data'!E267="",LEN(TRIM('Raw Data'!E267))=0),"",IF(AND(ISNUMBER('Raw Data'!E267),'Raw Data'!E267&gt;=Configuration!$D$2),"",_xlfn.REGEXEXTRACT(CELL("address",'Raw Data'!E267),"\$([A-Z]+)\$[0-9]+"))),_xlfn.REGEXEXTRACT(CELL("address",E267), "\$([A-Z]+)\$[0-9]+"))</f>
        <v/>
      </c>
      <c r="F267" s="7" t="str" cm="1">
        <f t="array" aca="1" ref="F267" ca="1">IFERROR(IF(OR('Raw Data'!F267="",LEN(TRIM('Raw Data'!F267))=0),"",IF(AND(ISNUMBER('Raw Data'!F267), IFERROR('Raw Data'!F267 = ROUND('Raw Data'!F267, 4),FALSE)),"",_xlfn.REGEXEXTRACT(CELL("address",F267), "\$([A-Z]+)\$[0-9]+"))),_xlfn.REGEXEXTRACT(CELL("address",F267), "\$([A-Z]+)\$[0-9]+"))</f>
        <v/>
      </c>
      <c r="G267" s="7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7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7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7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7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7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7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7" t="str" cm="1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  <c r="O267" s="7" t="str" cm="1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7" t="str" cm="1">
        <f t="array" aca="1" ref="P267" ca="1">IFERROR(IF(OR('Raw Data'!P267="",LEN(TRIM('Raw Data'!P267))=0),"",IF(AND(ISNUMBER('Raw Data'!P267), IFERROR('Raw Data'!P267 = ROUND('Raw Data'!P267, 2),FALSE)),"",_xlfn.REGEXEXTRACT(CELL("address",P267), "\$([A-Z]+)\$[0-9]+"))),_xlfn.REGEXEXTRACT(CELL("address",P267), "\$([A-Z]+)\$[0-9]+"))</f>
        <v/>
      </c>
      <c r="Q267" s="7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7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7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7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7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7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7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7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7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7" t="str" cm="1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7" t="str" cm="1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7" t="str" cm="1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  <c r="AC267" s="7" t="str" cm="1">
        <f t="array" aca="1" ref="AC267" ca="1">IFERROR(IF(OR('Raw Data'!AC267="",LEN(TRIM('Raw Data'!AC267))=0),"",IF(AND(ISNUMBER('Raw Data'!AC267), IFERROR('Raw Data'!AC267 = ROUND('Raw Data'!AC267, 2),FALSE)),"",_xlfn.REGEXEXTRACT(CELL("address",AC267), "\$([A-Z]+)\$[0-9]+"))),_xlfn.REGEXEXTRACT(CELL("address",AC267), "\$([A-Z]+)\$[0-9]+"))</f>
        <v/>
      </c>
      <c r="AD267" s="7" t="str" cm="1">
        <f t="array" aca="1" ref="AD267" ca="1">IFERROR(IF(OR('Raw Data'!AD267="",LEN(TRIM('Raw Data'!AD267))=0),"",IF(AND(ISNUMBER('Raw Data'!AD267), IFERROR('Raw Data'!AD267 = ROUND('Raw Data'!AD267, 2),FALSE)),"",_xlfn.REGEXEXTRACT(CELL("address",AD267), "\$([A-Z]+)\$[0-9]+"))),_xlfn.REGEXEXTRACT(CELL("address",AD267), "\$([A-Z]+)\$[0-9]+"))</f>
        <v/>
      </c>
    </row>
    <row r="268" spans="2:30" x14ac:dyDescent="0.25">
      <c r="B268" s="7" t="str" cm="1">
        <f t="array" aca="1" ref="B268" ca="1">IFERROR(IF(OR('Raw Data'!B268="",LEN(TRIM('Raw Data'!B268))=0),"",IF(AND(LEN('Raw Data'!B268) &lt;= 20,LEN('Raw Data'!B268)&gt; 0),"",_xlfn.REGEXEXTRACT(CELL("address",'Raw Data'!B268),"\$([A-Z]+)\$[0-9]+"))),_xlfn.REGEXEXTRACT(CELL("address",'Raw Data'!B268),"\$([A-Z]+)\$[0-9]+"))</f>
        <v/>
      </c>
      <c r="C268" s="7" t="str" cm="1">
        <f t="array" aca="1" ref="C268" ca="1">IFERROR(IF(OR('Raw Data'!C268="",LEN(TRIM('Raw Data'!C268))=0),"",IF(AND(LEN('Raw Data'!C268) &lt;= 255,LEN('Raw Data'!C268)&gt; 0),"",_xlfn.REGEXEXTRACT(CELL("address",'Raw Data'!C268),"\$([A-Z]+)\$[0-9]+"))),_xlfn.REGEXEXTRACT(CELL("address",'Raw Data'!C268),"\$([A-Z]+)\$[0-9]+"))</f>
        <v/>
      </c>
      <c r="D268" s="7" t="str" cm="1">
        <f t="array" aca="1" ref="D268" ca="1">IFERROR(IF(OR('Raw Data'!D268="",LEN(TRIM('Raw Data'!D268))=0),"",IF(AND(LEN('Raw Data'!D268) &lt;= 20,LEN('Raw Data'!D268)&gt; 0),"",_xlfn.REGEXEXTRACT(CELL("address",'Raw Data'!D268),"\$([A-Z]+)\$[0-9]+"))),_xlfn.REGEXEXTRACT(CELL("address",'Raw Data'!D268),"\$([A-Z]+)\$[0-9]+"))</f>
        <v/>
      </c>
      <c r="E268" s="7" t="str" cm="1">
        <f t="array" aca="1" ref="E268" ca="1">IFERROR(IF(OR('Raw Data'!E268="",LEN(TRIM('Raw Data'!E268))=0),"",IF(AND(ISNUMBER('Raw Data'!E268),'Raw Data'!E268&gt;=Configuration!$D$2),"",_xlfn.REGEXEXTRACT(CELL("address",'Raw Data'!E268),"\$([A-Z]+)\$[0-9]+"))),_xlfn.REGEXEXTRACT(CELL("address",E268), "\$([A-Z]+)\$[0-9]+"))</f>
        <v/>
      </c>
      <c r="F268" s="7" t="str" cm="1">
        <f t="array" aca="1" ref="F268" ca="1">IFERROR(IF(OR('Raw Data'!F268="",LEN(TRIM('Raw Data'!F268))=0),"",IF(AND(ISNUMBER('Raw Data'!F268), IFERROR('Raw Data'!F268 = ROUND('Raw Data'!F268, 4),FALSE)),"",_xlfn.REGEXEXTRACT(CELL("address",F268), "\$([A-Z]+)\$[0-9]+"))),_xlfn.REGEXEXTRACT(CELL("address",F268), "\$([A-Z]+)\$[0-9]+"))</f>
        <v/>
      </c>
      <c r="G268" s="7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7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7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7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7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7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7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7" t="str" cm="1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  <c r="O268" s="7" t="str" cm="1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7" t="str" cm="1">
        <f t="array" aca="1" ref="P268" ca="1">IFERROR(IF(OR('Raw Data'!P268="",LEN(TRIM('Raw Data'!P268))=0),"",IF(AND(ISNUMBER('Raw Data'!P268), IFERROR('Raw Data'!P268 = ROUND('Raw Data'!P268, 2),FALSE)),"",_xlfn.REGEXEXTRACT(CELL("address",P268), "\$([A-Z]+)\$[0-9]+"))),_xlfn.REGEXEXTRACT(CELL("address",P268), "\$([A-Z]+)\$[0-9]+"))</f>
        <v/>
      </c>
      <c r="Q268" s="7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7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7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7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7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7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7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7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7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7" t="str" cm="1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7" t="str" cm="1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7" t="str" cm="1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  <c r="AC268" s="7" t="str" cm="1">
        <f t="array" aca="1" ref="AC268" ca="1">IFERROR(IF(OR('Raw Data'!AC268="",LEN(TRIM('Raw Data'!AC268))=0),"",IF(AND(ISNUMBER('Raw Data'!AC268), IFERROR('Raw Data'!AC268 = ROUND('Raw Data'!AC268, 2),FALSE)),"",_xlfn.REGEXEXTRACT(CELL("address",AC268), "\$([A-Z]+)\$[0-9]+"))),_xlfn.REGEXEXTRACT(CELL("address",AC268), "\$([A-Z]+)\$[0-9]+"))</f>
        <v/>
      </c>
      <c r="AD268" s="7" t="str" cm="1">
        <f t="array" aca="1" ref="AD268" ca="1">IFERROR(IF(OR('Raw Data'!AD268="",LEN(TRIM('Raw Data'!AD268))=0),"",IF(AND(ISNUMBER('Raw Data'!AD268), IFERROR('Raw Data'!AD268 = ROUND('Raw Data'!AD268, 2),FALSE)),"",_xlfn.REGEXEXTRACT(CELL("address",AD268), "\$([A-Z]+)\$[0-9]+"))),_xlfn.REGEXEXTRACT(CELL("address",AD268), "\$([A-Z]+)\$[0-9]+"))</f>
        <v/>
      </c>
    </row>
    <row r="269" spans="2:30" x14ac:dyDescent="0.25">
      <c r="B269" s="7" t="str" cm="1">
        <f t="array" aca="1" ref="B269" ca="1">IFERROR(IF(OR('Raw Data'!B269="",LEN(TRIM('Raw Data'!B269))=0),"",IF(AND(LEN('Raw Data'!B269) &lt;= 20,LEN('Raw Data'!B269)&gt; 0),"",_xlfn.REGEXEXTRACT(CELL("address",'Raw Data'!B269),"\$([A-Z]+)\$[0-9]+"))),_xlfn.REGEXEXTRACT(CELL("address",'Raw Data'!B269),"\$([A-Z]+)\$[0-9]+"))</f>
        <v/>
      </c>
      <c r="C269" s="7" t="str" cm="1">
        <f t="array" aca="1" ref="C269" ca="1">IFERROR(IF(OR('Raw Data'!C269="",LEN(TRIM('Raw Data'!C269))=0),"",IF(AND(LEN('Raw Data'!C269) &lt;= 255,LEN('Raw Data'!C269)&gt; 0),"",_xlfn.REGEXEXTRACT(CELL("address",'Raw Data'!C269),"\$([A-Z]+)\$[0-9]+"))),_xlfn.REGEXEXTRACT(CELL("address",'Raw Data'!C269),"\$([A-Z]+)\$[0-9]+"))</f>
        <v/>
      </c>
      <c r="D269" s="7" t="str" cm="1">
        <f t="array" aca="1" ref="D269" ca="1">IFERROR(IF(OR('Raw Data'!D269="",LEN(TRIM('Raw Data'!D269))=0),"",IF(AND(LEN('Raw Data'!D269) &lt;= 20,LEN('Raw Data'!D269)&gt; 0),"",_xlfn.REGEXEXTRACT(CELL("address",'Raw Data'!D269),"\$([A-Z]+)\$[0-9]+"))),_xlfn.REGEXEXTRACT(CELL("address",'Raw Data'!D269),"\$([A-Z]+)\$[0-9]+"))</f>
        <v/>
      </c>
      <c r="E269" s="7" t="str" cm="1">
        <f t="array" aca="1" ref="E269" ca="1">IFERROR(IF(OR('Raw Data'!E269="",LEN(TRIM('Raw Data'!E269))=0),"",IF(AND(ISNUMBER('Raw Data'!E269),'Raw Data'!E269&gt;=Configuration!$D$2),"",_xlfn.REGEXEXTRACT(CELL("address",'Raw Data'!E269),"\$([A-Z]+)\$[0-9]+"))),_xlfn.REGEXEXTRACT(CELL("address",E269), "\$([A-Z]+)\$[0-9]+"))</f>
        <v/>
      </c>
      <c r="F269" s="7" t="str" cm="1">
        <f t="array" aca="1" ref="F269" ca="1">IFERROR(IF(OR('Raw Data'!F269="",LEN(TRIM('Raw Data'!F269))=0),"",IF(AND(ISNUMBER('Raw Data'!F269), IFERROR('Raw Data'!F269 = ROUND('Raw Data'!F269, 4),FALSE)),"",_xlfn.REGEXEXTRACT(CELL("address",F269), "\$([A-Z]+)\$[0-9]+"))),_xlfn.REGEXEXTRACT(CELL("address",F269), "\$([A-Z]+)\$[0-9]+"))</f>
        <v/>
      </c>
      <c r="G269" s="7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7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7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7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7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7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7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7" t="str" cm="1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  <c r="O269" s="7" t="str" cm="1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7" t="str" cm="1">
        <f t="array" aca="1" ref="P269" ca="1">IFERROR(IF(OR('Raw Data'!P269="",LEN(TRIM('Raw Data'!P269))=0),"",IF(AND(ISNUMBER('Raw Data'!P269), IFERROR('Raw Data'!P269 = ROUND('Raw Data'!P269, 2),FALSE)),"",_xlfn.REGEXEXTRACT(CELL("address",P269), "\$([A-Z]+)\$[0-9]+"))),_xlfn.REGEXEXTRACT(CELL("address",P269), "\$([A-Z]+)\$[0-9]+"))</f>
        <v/>
      </c>
      <c r="Q269" s="7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7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7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7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7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7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7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7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7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7" t="str" cm="1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7" t="str" cm="1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7" t="str" cm="1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  <c r="AC269" s="7" t="str" cm="1">
        <f t="array" aca="1" ref="AC269" ca="1">IFERROR(IF(OR('Raw Data'!AC269="",LEN(TRIM('Raw Data'!AC269))=0),"",IF(AND(ISNUMBER('Raw Data'!AC269), IFERROR('Raw Data'!AC269 = ROUND('Raw Data'!AC269, 2),FALSE)),"",_xlfn.REGEXEXTRACT(CELL("address",AC269), "\$([A-Z]+)\$[0-9]+"))),_xlfn.REGEXEXTRACT(CELL("address",AC269), "\$([A-Z]+)\$[0-9]+"))</f>
        <v/>
      </c>
      <c r="AD269" s="7" t="str" cm="1">
        <f t="array" aca="1" ref="AD269" ca="1">IFERROR(IF(OR('Raw Data'!AD269="",LEN(TRIM('Raw Data'!AD269))=0),"",IF(AND(ISNUMBER('Raw Data'!AD269), IFERROR('Raw Data'!AD269 = ROUND('Raw Data'!AD269, 2),FALSE)),"",_xlfn.REGEXEXTRACT(CELL("address",AD269), "\$([A-Z]+)\$[0-9]+"))),_xlfn.REGEXEXTRACT(CELL("address",AD269), "\$([A-Z]+)\$[0-9]+"))</f>
        <v/>
      </c>
    </row>
    <row r="270" spans="2:30" x14ac:dyDescent="0.25">
      <c r="B270" s="7" t="str" cm="1">
        <f t="array" aca="1" ref="B270" ca="1">IFERROR(IF(OR('Raw Data'!B270="",LEN(TRIM('Raw Data'!B270))=0),"",IF(AND(LEN('Raw Data'!B270) &lt;= 20,LEN('Raw Data'!B270)&gt; 0),"",_xlfn.REGEXEXTRACT(CELL("address",'Raw Data'!B270),"\$([A-Z]+)\$[0-9]+"))),_xlfn.REGEXEXTRACT(CELL("address",'Raw Data'!B270),"\$([A-Z]+)\$[0-9]+"))</f>
        <v/>
      </c>
      <c r="C270" s="7" t="str" cm="1">
        <f t="array" aca="1" ref="C270" ca="1">IFERROR(IF(OR('Raw Data'!C270="",LEN(TRIM('Raw Data'!C270))=0),"",IF(AND(LEN('Raw Data'!C270) &lt;= 255,LEN('Raw Data'!C270)&gt; 0),"",_xlfn.REGEXEXTRACT(CELL("address",'Raw Data'!C270),"\$([A-Z]+)\$[0-9]+"))),_xlfn.REGEXEXTRACT(CELL("address",'Raw Data'!C270),"\$([A-Z]+)\$[0-9]+"))</f>
        <v/>
      </c>
      <c r="D270" s="7" t="str" cm="1">
        <f t="array" aca="1" ref="D270" ca="1">IFERROR(IF(OR('Raw Data'!D270="",LEN(TRIM('Raw Data'!D270))=0),"",IF(AND(LEN('Raw Data'!D270) &lt;= 20,LEN('Raw Data'!D270)&gt; 0),"",_xlfn.REGEXEXTRACT(CELL("address",'Raw Data'!D270),"\$([A-Z]+)\$[0-9]+"))),_xlfn.REGEXEXTRACT(CELL("address",'Raw Data'!D270),"\$([A-Z]+)\$[0-9]+"))</f>
        <v/>
      </c>
      <c r="E270" s="7" t="str" cm="1">
        <f t="array" aca="1" ref="E270" ca="1">IFERROR(IF(OR('Raw Data'!E270="",LEN(TRIM('Raw Data'!E270))=0),"",IF(AND(ISNUMBER('Raw Data'!E270),'Raw Data'!E270&gt;=Configuration!$D$2),"",_xlfn.REGEXEXTRACT(CELL("address",'Raw Data'!E270),"\$([A-Z]+)\$[0-9]+"))),_xlfn.REGEXEXTRACT(CELL("address",E270), "\$([A-Z]+)\$[0-9]+"))</f>
        <v/>
      </c>
      <c r="F270" s="7" t="str" cm="1">
        <f t="array" aca="1" ref="F270" ca="1">IFERROR(IF(OR('Raw Data'!F270="",LEN(TRIM('Raw Data'!F270))=0),"",IF(AND(ISNUMBER('Raw Data'!F270), IFERROR('Raw Data'!F270 = ROUND('Raw Data'!F270, 4),FALSE)),"",_xlfn.REGEXEXTRACT(CELL("address",F270), "\$([A-Z]+)\$[0-9]+"))),_xlfn.REGEXEXTRACT(CELL("address",F270), "\$([A-Z]+)\$[0-9]+"))</f>
        <v/>
      </c>
      <c r="G270" s="7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7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7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7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7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7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7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7" t="str" cm="1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  <c r="O270" s="7" t="str" cm="1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7" t="str" cm="1">
        <f t="array" aca="1" ref="P270" ca="1">IFERROR(IF(OR('Raw Data'!P270="",LEN(TRIM('Raw Data'!P270))=0),"",IF(AND(ISNUMBER('Raw Data'!P270), IFERROR('Raw Data'!P270 = ROUND('Raw Data'!P270, 2),FALSE)),"",_xlfn.REGEXEXTRACT(CELL("address",P270), "\$([A-Z]+)\$[0-9]+"))),_xlfn.REGEXEXTRACT(CELL("address",P270), "\$([A-Z]+)\$[0-9]+"))</f>
        <v/>
      </c>
      <c r="Q270" s="7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7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7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7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7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7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7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7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7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7" t="str" cm="1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7" t="str" cm="1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7" t="str" cm="1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  <c r="AC270" s="7" t="str" cm="1">
        <f t="array" aca="1" ref="AC270" ca="1">IFERROR(IF(OR('Raw Data'!AC270="",LEN(TRIM('Raw Data'!AC270))=0),"",IF(AND(ISNUMBER('Raw Data'!AC270), IFERROR('Raw Data'!AC270 = ROUND('Raw Data'!AC270, 2),FALSE)),"",_xlfn.REGEXEXTRACT(CELL("address",AC270), "\$([A-Z]+)\$[0-9]+"))),_xlfn.REGEXEXTRACT(CELL("address",AC270), "\$([A-Z]+)\$[0-9]+"))</f>
        <v/>
      </c>
      <c r="AD270" s="7" t="str" cm="1">
        <f t="array" aca="1" ref="AD270" ca="1">IFERROR(IF(OR('Raw Data'!AD270="",LEN(TRIM('Raw Data'!AD270))=0),"",IF(AND(ISNUMBER('Raw Data'!AD270), IFERROR('Raw Data'!AD270 = ROUND('Raw Data'!AD270, 2),FALSE)),"",_xlfn.REGEXEXTRACT(CELL("address",AD270), "\$([A-Z]+)\$[0-9]+"))),_xlfn.REGEXEXTRACT(CELL("address",AD270), "\$([A-Z]+)\$[0-9]+"))</f>
        <v/>
      </c>
    </row>
    <row r="271" spans="2:30" x14ac:dyDescent="0.25">
      <c r="B271" s="7" t="str" cm="1">
        <f t="array" aca="1" ref="B271" ca="1">IFERROR(IF(OR('Raw Data'!B271="",LEN(TRIM('Raw Data'!B271))=0),"",IF(AND(LEN('Raw Data'!B271) &lt;= 20,LEN('Raw Data'!B271)&gt; 0),"",_xlfn.REGEXEXTRACT(CELL("address",'Raw Data'!B271),"\$([A-Z]+)\$[0-9]+"))),_xlfn.REGEXEXTRACT(CELL("address",'Raw Data'!B271),"\$([A-Z]+)\$[0-9]+"))</f>
        <v/>
      </c>
      <c r="C271" s="7" t="str" cm="1">
        <f t="array" aca="1" ref="C271" ca="1">IFERROR(IF(OR('Raw Data'!C271="",LEN(TRIM('Raw Data'!C271))=0),"",IF(AND(LEN('Raw Data'!C271) &lt;= 255,LEN('Raw Data'!C271)&gt; 0),"",_xlfn.REGEXEXTRACT(CELL("address",'Raw Data'!C271),"\$([A-Z]+)\$[0-9]+"))),_xlfn.REGEXEXTRACT(CELL("address",'Raw Data'!C271),"\$([A-Z]+)\$[0-9]+"))</f>
        <v/>
      </c>
      <c r="D271" s="7" t="str" cm="1">
        <f t="array" aca="1" ref="D271" ca="1">IFERROR(IF(OR('Raw Data'!D271="",LEN(TRIM('Raw Data'!D271))=0),"",IF(AND(LEN('Raw Data'!D271) &lt;= 20,LEN('Raw Data'!D271)&gt; 0),"",_xlfn.REGEXEXTRACT(CELL("address",'Raw Data'!D271),"\$([A-Z]+)\$[0-9]+"))),_xlfn.REGEXEXTRACT(CELL("address",'Raw Data'!D271),"\$([A-Z]+)\$[0-9]+"))</f>
        <v/>
      </c>
      <c r="E271" s="7" t="str" cm="1">
        <f t="array" aca="1" ref="E271" ca="1">IFERROR(IF(OR('Raw Data'!E271="",LEN(TRIM('Raw Data'!E271))=0),"",IF(AND(ISNUMBER('Raw Data'!E271),'Raw Data'!E271&gt;=Configuration!$D$2),"",_xlfn.REGEXEXTRACT(CELL("address",'Raw Data'!E271),"\$([A-Z]+)\$[0-9]+"))),_xlfn.REGEXEXTRACT(CELL("address",E271), "\$([A-Z]+)\$[0-9]+"))</f>
        <v/>
      </c>
      <c r="F271" s="7" t="str" cm="1">
        <f t="array" aca="1" ref="F271" ca="1">IFERROR(IF(OR('Raw Data'!F271="",LEN(TRIM('Raw Data'!F271))=0),"",IF(AND(ISNUMBER('Raw Data'!F271), IFERROR('Raw Data'!F271 = ROUND('Raw Data'!F271, 4),FALSE)),"",_xlfn.REGEXEXTRACT(CELL("address",F271), "\$([A-Z]+)\$[0-9]+"))),_xlfn.REGEXEXTRACT(CELL("address",F271), "\$([A-Z]+)\$[0-9]+"))</f>
        <v/>
      </c>
      <c r="G271" s="7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7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7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7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7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7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7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7" t="str" cm="1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  <c r="O271" s="7" t="str" cm="1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7" t="str" cm="1">
        <f t="array" aca="1" ref="P271" ca="1">IFERROR(IF(OR('Raw Data'!P271="",LEN(TRIM('Raw Data'!P271))=0),"",IF(AND(ISNUMBER('Raw Data'!P271), IFERROR('Raw Data'!P271 = ROUND('Raw Data'!P271, 2),FALSE)),"",_xlfn.REGEXEXTRACT(CELL("address",P271), "\$([A-Z]+)\$[0-9]+"))),_xlfn.REGEXEXTRACT(CELL("address",P271), "\$([A-Z]+)\$[0-9]+"))</f>
        <v/>
      </c>
      <c r="Q271" s="7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7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7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7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7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7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7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7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7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7" t="str" cm="1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7" t="str" cm="1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7" t="str" cm="1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  <c r="AC271" s="7" t="str" cm="1">
        <f t="array" aca="1" ref="AC271" ca="1">IFERROR(IF(OR('Raw Data'!AC271="",LEN(TRIM('Raw Data'!AC271))=0),"",IF(AND(ISNUMBER('Raw Data'!AC271), IFERROR('Raw Data'!AC271 = ROUND('Raw Data'!AC271, 2),FALSE)),"",_xlfn.REGEXEXTRACT(CELL("address",AC271), "\$([A-Z]+)\$[0-9]+"))),_xlfn.REGEXEXTRACT(CELL("address",AC271), "\$([A-Z]+)\$[0-9]+"))</f>
        <v/>
      </c>
      <c r="AD271" s="7" t="str" cm="1">
        <f t="array" aca="1" ref="AD271" ca="1">IFERROR(IF(OR('Raw Data'!AD271="",LEN(TRIM('Raw Data'!AD271))=0),"",IF(AND(ISNUMBER('Raw Data'!AD271), IFERROR('Raw Data'!AD271 = ROUND('Raw Data'!AD271, 2),FALSE)),"",_xlfn.REGEXEXTRACT(CELL("address",AD271), "\$([A-Z]+)\$[0-9]+"))),_xlfn.REGEXEXTRACT(CELL("address",AD271), "\$([A-Z]+)\$[0-9]+"))</f>
        <v/>
      </c>
    </row>
    <row r="272" spans="2:30" x14ac:dyDescent="0.25">
      <c r="B272" s="7" t="str" cm="1">
        <f t="array" aca="1" ref="B272" ca="1">IFERROR(IF(OR('Raw Data'!B272="",LEN(TRIM('Raw Data'!B272))=0),"",IF(AND(LEN('Raw Data'!B272) &lt;= 20,LEN('Raw Data'!B272)&gt; 0),"",_xlfn.REGEXEXTRACT(CELL("address",'Raw Data'!B272),"\$([A-Z]+)\$[0-9]+"))),_xlfn.REGEXEXTRACT(CELL("address",'Raw Data'!B272),"\$([A-Z]+)\$[0-9]+"))</f>
        <v/>
      </c>
      <c r="C272" s="7" t="str" cm="1">
        <f t="array" aca="1" ref="C272" ca="1">IFERROR(IF(OR('Raw Data'!C272="",LEN(TRIM('Raw Data'!C272))=0),"",IF(AND(LEN('Raw Data'!C272) &lt;= 255,LEN('Raw Data'!C272)&gt; 0),"",_xlfn.REGEXEXTRACT(CELL("address",'Raw Data'!C272),"\$([A-Z]+)\$[0-9]+"))),_xlfn.REGEXEXTRACT(CELL("address",'Raw Data'!C272),"\$([A-Z]+)\$[0-9]+"))</f>
        <v/>
      </c>
      <c r="D272" s="7" t="str" cm="1">
        <f t="array" aca="1" ref="D272" ca="1">IFERROR(IF(OR('Raw Data'!D272="",LEN(TRIM('Raw Data'!D272))=0),"",IF(AND(LEN('Raw Data'!D272) &lt;= 20,LEN('Raw Data'!D272)&gt; 0),"",_xlfn.REGEXEXTRACT(CELL("address",'Raw Data'!D272),"\$([A-Z]+)\$[0-9]+"))),_xlfn.REGEXEXTRACT(CELL("address",'Raw Data'!D272),"\$([A-Z]+)\$[0-9]+"))</f>
        <v/>
      </c>
      <c r="E272" s="7" t="str" cm="1">
        <f t="array" aca="1" ref="E272" ca="1">IFERROR(IF(OR('Raw Data'!E272="",LEN(TRIM('Raw Data'!E272))=0),"",IF(AND(ISNUMBER('Raw Data'!E272),'Raw Data'!E272&gt;=Configuration!$D$2),"",_xlfn.REGEXEXTRACT(CELL("address",'Raw Data'!E272),"\$([A-Z]+)\$[0-9]+"))),_xlfn.REGEXEXTRACT(CELL("address",E272), "\$([A-Z]+)\$[0-9]+"))</f>
        <v/>
      </c>
      <c r="F272" s="7" t="str" cm="1">
        <f t="array" aca="1" ref="F272" ca="1">IFERROR(IF(OR('Raw Data'!F272="",LEN(TRIM('Raw Data'!F272))=0),"",IF(AND(ISNUMBER('Raw Data'!F272), IFERROR('Raw Data'!F272 = ROUND('Raw Data'!F272, 4),FALSE)),"",_xlfn.REGEXEXTRACT(CELL("address",F272), "\$([A-Z]+)\$[0-9]+"))),_xlfn.REGEXEXTRACT(CELL("address",F272), "\$([A-Z]+)\$[0-9]+"))</f>
        <v/>
      </c>
      <c r="G272" s="7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7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7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7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7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7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7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7" t="str" cm="1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  <c r="O272" s="7" t="str" cm="1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7" t="str" cm="1">
        <f t="array" aca="1" ref="P272" ca="1">IFERROR(IF(OR('Raw Data'!P272="",LEN(TRIM('Raw Data'!P272))=0),"",IF(AND(ISNUMBER('Raw Data'!P272), IFERROR('Raw Data'!P272 = ROUND('Raw Data'!P272, 2),FALSE)),"",_xlfn.REGEXEXTRACT(CELL("address",P272), "\$([A-Z]+)\$[0-9]+"))),_xlfn.REGEXEXTRACT(CELL("address",P272), "\$([A-Z]+)\$[0-9]+"))</f>
        <v/>
      </c>
      <c r="Q272" s="7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7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7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7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7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7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7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7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7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7" t="str" cm="1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7" t="str" cm="1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7" t="str" cm="1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  <c r="AC272" s="7" t="str" cm="1">
        <f t="array" aca="1" ref="AC272" ca="1">IFERROR(IF(OR('Raw Data'!AC272="",LEN(TRIM('Raw Data'!AC272))=0),"",IF(AND(ISNUMBER('Raw Data'!AC272), IFERROR('Raw Data'!AC272 = ROUND('Raw Data'!AC272, 2),FALSE)),"",_xlfn.REGEXEXTRACT(CELL("address",AC272), "\$([A-Z]+)\$[0-9]+"))),_xlfn.REGEXEXTRACT(CELL("address",AC272), "\$([A-Z]+)\$[0-9]+"))</f>
        <v/>
      </c>
      <c r="AD272" s="7" t="str" cm="1">
        <f t="array" aca="1" ref="AD272" ca="1">IFERROR(IF(OR('Raw Data'!AD272="",LEN(TRIM('Raw Data'!AD272))=0),"",IF(AND(ISNUMBER('Raw Data'!AD272), IFERROR('Raw Data'!AD272 = ROUND('Raw Data'!AD272, 2),FALSE)),"",_xlfn.REGEXEXTRACT(CELL("address",AD272), "\$([A-Z]+)\$[0-9]+"))),_xlfn.REGEXEXTRACT(CELL("address",AD272), "\$([A-Z]+)\$[0-9]+"))</f>
        <v/>
      </c>
    </row>
    <row r="273" spans="2:30" x14ac:dyDescent="0.25">
      <c r="B273" s="7" t="str" cm="1">
        <f t="array" aca="1" ref="B273" ca="1">IFERROR(IF(OR('Raw Data'!B273="",LEN(TRIM('Raw Data'!B273))=0),"",IF(AND(LEN('Raw Data'!B273) &lt;= 20,LEN('Raw Data'!B273)&gt; 0),"",_xlfn.REGEXEXTRACT(CELL("address",'Raw Data'!B273),"\$([A-Z]+)\$[0-9]+"))),_xlfn.REGEXEXTRACT(CELL("address",'Raw Data'!B273),"\$([A-Z]+)\$[0-9]+"))</f>
        <v/>
      </c>
      <c r="C273" s="7" t="str" cm="1">
        <f t="array" aca="1" ref="C273" ca="1">IFERROR(IF(OR('Raw Data'!C273="",LEN(TRIM('Raw Data'!C273))=0),"",IF(AND(LEN('Raw Data'!C273) &lt;= 255,LEN('Raw Data'!C273)&gt; 0),"",_xlfn.REGEXEXTRACT(CELL("address",'Raw Data'!C273),"\$([A-Z]+)\$[0-9]+"))),_xlfn.REGEXEXTRACT(CELL("address",'Raw Data'!C273),"\$([A-Z]+)\$[0-9]+"))</f>
        <v/>
      </c>
      <c r="D273" s="7" t="str" cm="1">
        <f t="array" aca="1" ref="D273" ca="1">IFERROR(IF(OR('Raw Data'!D273="",LEN(TRIM('Raw Data'!D273))=0),"",IF(AND(LEN('Raw Data'!D273) &lt;= 20,LEN('Raw Data'!D273)&gt; 0),"",_xlfn.REGEXEXTRACT(CELL("address",'Raw Data'!D273),"\$([A-Z]+)\$[0-9]+"))),_xlfn.REGEXEXTRACT(CELL("address",'Raw Data'!D273),"\$([A-Z]+)\$[0-9]+"))</f>
        <v/>
      </c>
      <c r="E273" s="7" t="str" cm="1">
        <f t="array" aca="1" ref="E273" ca="1">IFERROR(IF(OR('Raw Data'!E273="",LEN(TRIM('Raw Data'!E273))=0),"",IF(AND(ISNUMBER('Raw Data'!E273),'Raw Data'!E273&gt;=Configuration!$D$2),"",_xlfn.REGEXEXTRACT(CELL("address",'Raw Data'!E273),"\$([A-Z]+)\$[0-9]+"))),_xlfn.REGEXEXTRACT(CELL("address",E273), "\$([A-Z]+)\$[0-9]+"))</f>
        <v/>
      </c>
      <c r="F273" s="7" t="str" cm="1">
        <f t="array" aca="1" ref="F273" ca="1">IFERROR(IF(OR('Raw Data'!F273="",LEN(TRIM('Raw Data'!F273))=0),"",IF(AND(ISNUMBER('Raw Data'!F273), IFERROR('Raw Data'!F273 = ROUND('Raw Data'!F273, 4),FALSE)),"",_xlfn.REGEXEXTRACT(CELL("address",F273), "\$([A-Z]+)\$[0-9]+"))),_xlfn.REGEXEXTRACT(CELL("address",F273), "\$([A-Z]+)\$[0-9]+"))</f>
        <v/>
      </c>
      <c r="G273" s="7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7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7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7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7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7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7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7" t="str" cm="1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  <c r="O273" s="7" t="str" cm="1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7" t="str" cm="1">
        <f t="array" aca="1" ref="P273" ca="1">IFERROR(IF(OR('Raw Data'!P273="",LEN(TRIM('Raw Data'!P273))=0),"",IF(AND(ISNUMBER('Raw Data'!P273), IFERROR('Raw Data'!P273 = ROUND('Raw Data'!P273, 2),FALSE)),"",_xlfn.REGEXEXTRACT(CELL("address",P273), "\$([A-Z]+)\$[0-9]+"))),_xlfn.REGEXEXTRACT(CELL("address",P273), "\$([A-Z]+)\$[0-9]+"))</f>
        <v/>
      </c>
      <c r="Q273" s="7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7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7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7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7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7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7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7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7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7" t="str" cm="1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7" t="str" cm="1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7" t="str" cm="1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  <c r="AC273" s="7" t="str" cm="1">
        <f t="array" aca="1" ref="AC273" ca="1">IFERROR(IF(OR('Raw Data'!AC273="",LEN(TRIM('Raw Data'!AC273))=0),"",IF(AND(ISNUMBER('Raw Data'!AC273), IFERROR('Raw Data'!AC273 = ROUND('Raw Data'!AC273, 2),FALSE)),"",_xlfn.REGEXEXTRACT(CELL("address",AC273), "\$([A-Z]+)\$[0-9]+"))),_xlfn.REGEXEXTRACT(CELL("address",AC273), "\$([A-Z]+)\$[0-9]+"))</f>
        <v/>
      </c>
      <c r="AD273" s="7" t="str" cm="1">
        <f t="array" aca="1" ref="AD273" ca="1">IFERROR(IF(OR('Raw Data'!AD273="",LEN(TRIM('Raw Data'!AD273))=0),"",IF(AND(ISNUMBER('Raw Data'!AD273), IFERROR('Raw Data'!AD273 = ROUND('Raw Data'!AD273, 2),FALSE)),"",_xlfn.REGEXEXTRACT(CELL("address",AD273), "\$([A-Z]+)\$[0-9]+"))),_xlfn.REGEXEXTRACT(CELL("address",AD273), "\$([A-Z]+)\$[0-9]+"))</f>
        <v/>
      </c>
    </row>
    <row r="274" spans="2:30" x14ac:dyDescent="0.25">
      <c r="B274" s="7" t="str" cm="1">
        <f t="array" aca="1" ref="B274" ca="1">IFERROR(IF(OR('Raw Data'!B274="",LEN(TRIM('Raw Data'!B274))=0),"",IF(AND(LEN('Raw Data'!B274) &lt;= 20,LEN('Raw Data'!B274)&gt; 0),"",_xlfn.REGEXEXTRACT(CELL("address",'Raw Data'!B274),"\$([A-Z]+)\$[0-9]+"))),_xlfn.REGEXEXTRACT(CELL("address",'Raw Data'!B274),"\$([A-Z]+)\$[0-9]+"))</f>
        <v/>
      </c>
      <c r="C274" s="7" t="str" cm="1">
        <f t="array" aca="1" ref="C274" ca="1">IFERROR(IF(OR('Raw Data'!C274="",LEN(TRIM('Raw Data'!C274))=0),"",IF(AND(LEN('Raw Data'!C274) &lt;= 255,LEN('Raw Data'!C274)&gt; 0),"",_xlfn.REGEXEXTRACT(CELL("address",'Raw Data'!C274),"\$([A-Z]+)\$[0-9]+"))),_xlfn.REGEXEXTRACT(CELL("address",'Raw Data'!C274),"\$([A-Z]+)\$[0-9]+"))</f>
        <v/>
      </c>
      <c r="D274" s="7" t="str" cm="1">
        <f t="array" aca="1" ref="D274" ca="1">IFERROR(IF(OR('Raw Data'!D274="",LEN(TRIM('Raw Data'!D274))=0),"",IF(AND(LEN('Raw Data'!D274) &lt;= 20,LEN('Raw Data'!D274)&gt; 0),"",_xlfn.REGEXEXTRACT(CELL("address",'Raw Data'!D274),"\$([A-Z]+)\$[0-9]+"))),_xlfn.REGEXEXTRACT(CELL("address",'Raw Data'!D274),"\$([A-Z]+)\$[0-9]+"))</f>
        <v/>
      </c>
      <c r="E274" s="7" t="str" cm="1">
        <f t="array" aca="1" ref="E274" ca="1">IFERROR(IF(OR('Raw Data'!E274="",LEN(TRIM('Raw Data'!E274))=0),"",IF(AND(ISNUMBER('Raw Data'!E274),'Raw Data'!E274&gt;=Configuration!$D$2),"",_xlfn.REGEXEXTRACT(CELL("address",'Raw Data'!E274),"\$([A-Z]+)\$[0-9]+"))),_xlfn.REGEXEXTRACT(CELL("address",E274), "\$([A-Z]+)\$[0-9]+"))</f>
        <v/>
      </c>
      <c r="F274" s="7" t="str" cm="1">
        <f t="array" aca="1" ref="F274" ca="1">IFERROR(IF(OR('Raw Data'!F274="",LEN(TRIM('Raw Data'!F274))=0),"",IF(AND(ISNUMBER('Raw Data'!F274), IFERROR('Raw Data'!F274 = ROUND('Raw Data'!F274, 4),FALSE)),"",_xlfn.REGEXEXTRACT(CELL("address",F274), "\$([A-Z]+)\$[0-9]+"))),_xlfn.REGEXEXTRACT(CELL("address",F274), "\$([A-Z]+)\$[0-9]+"))</f>
        <v/>
      </c>
      <c r="G274" s="7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7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7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7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7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7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7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7" t="str" cm="1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  <c r="O274" s="7" t="str" cm="1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7" t="str" cm="1">
        <f t="array" aca="1" ref="P274" ca="1">IFERROR(IF(OR('Raw Data'!P274="",LEN(TRIM('Raw Data'!P274))=0),"",IF(AND(ISNUMBER('Raw Data'!P274), IFERROR('Raw Data'!P274 = ROUND('Raw Data'!P274, 2),FALSE)),"",_xlfn.REGEXEXTRACT(CELL("address",P274), "\$([A-Z]+)\$[0-9]+"))),_xlfn.REGEXEXTRACT(CELL("address",P274), "\$([A-Z]+)\$[0-9]+"))</f>
        <v/>
      </c>
      <c r="Q274" s="7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7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7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7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7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7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7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7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7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7" t="str" cm="1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7" t="str" cm="1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7" t="str" cm="1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  <c r="AC274" s="7" t="str" cm="1">
        <f t="array" aca="1" ref="AC274" ca="1">IFERROR(IF(OR('Raw Data'!AC274="",LEN(TRIM('Raw Data'!AC274))=0),"",IF(AND(ISNUMBER('Raw Data'!AC274), IFERROR('Raw Data'!AC274 = ROUND('Raw Data'!AC274, 2),FALSE)),"",_xlfn.REGEXEXTRACT(CELL("address",AC274), "\$([A-Z]+)\$[0-9]+"))),_xlfn.REGEXEXTRACT(CELL("address",AC274), "\$([A-Z]+)\$[0-9]+"))</f>
        <v/>
      </c>
      <c r="AD274" s="7" t="str" cm="1">
        <f t="array" aca="1" ref="AD274" ca="1">IFERROR(IF(OR('Raw Data'!AD274="",LEN(TRIM('Raw Data'!AD274))=0),"",IF(AND(ISNUMBER('Raw Data'!AD274), IFERROR('Raw Data'!AD274 = ROUND('Raw Data'!AD274, 2),FALSE)),"",_xlfn.REGEXEXTRACT(CELL("address",AD274), "\$([A-Z]+)\$[0-9]+"))),_xlfn.REGEXEXTRACT(CELL("address",AD274), "\$([A-Z]+)\$[0-9]+"))</f>
        <v/>
      </c>
    </row>
    <row r="275" spans="2:30" x14ac:dyDescent="0.25">
      <c r="B275" s="7" t="str" cm="1">
        <f t="array" aca="1" ref="B275" ca="1">IFERROR(IF(OR('Raw Data'!B275="",LEN(TRIM('Raw Data'!B275))=0),"",IF(AND(LEN('Raw Data'!B275) &lt;= 20,LEN('Raw Data'!B275)&gt; 0),"",_xlfn.REGEXEXTRACT(CELL("address",'Raw Data'!B275),"\$([A-Z]+)\$[0-9]+"))),_xlfn.REGEXEXTRACT(CELL("address",'Raw Data'!B275),"\$([A-Z]+)\$[0-9]+"))</f>
        <v/>
      </c>
      <c r="C275" s="7" t="str" cm="1">
        <f t="array" aca="1" ref="C275" ca="1">IFERROR(IF(OR('Raw Data'!C275="",LEN(TRIM('Raw Data'!C275))=0),"",IF(AND(LEN('Raw Data'!C275) &lt;= 255,LEN('Raw Data'!C275)&gt; 0),"",_xlfn.REGEXEXTRACT(CELL("address",'Raw Data'!C275),"\$([A-Z]+)\$[0-9]+"))),_xlfn.REGEXEXTRACT(CELL("address",'Raw Data'!C275),"\$([A-Z]+)\$[0-9]+"))</f>
        <v/>
      </c>
      <c r="D275" s="7" t="str" cm="1">
        <f t="array" aca="1" ref="D275" ca="1">IFERROR(IF(OR('Raw Data'!D275="",LEN(TRIM('Raw Data'!D275))=0),"",IF(AND(LEN('Raw Data'!D275) &lt;= 20,LEN('Raw Data'!D275)&gt; 0),"",_xlfn.REGEXEXTRACT(CELL("address",'Raw Data'!D275),"\$([A-Z]+)\$[0-9]+"))),_xlfn.REGEXEXTRACT(CELL("address",'Raw Data'!D275),"\$([A-Z]+)\$[0-9]+"))</f>
        <v/>
      </c>
      <c r="E275" s="7" t="str" cm="1">
        <f t="array" aca="1" ref="E275" ca="1">IFERROR(IF(OR('Raw Data'!E275="",LEN(TRIM('Raw Data'!E275))=0),"",IF(AND(ISNUMBER('Raw Data'!E275),'Raw Data'!E275&gt;=Configuration!$D$2),"",_xlfn.REGEXEXTRACT(CELL("address",'Raw Data'!E275),"\$([A-Z]+)\$[0-9]+"))),_xlfn.REGEXEXTRACT(CELL("address",E275), "\$([A-Z]+)\$[0-9]+"))</f>
        <v/>
      </c>
      <c r="F275" s="7" t="str" cm="1">
        <f t="array" aca="1" ref="F275" ca="1">IFERROR(IF(OR('Raw Data'!F275="",LEN(TRIM('Raw Data'!F275))=0),"",IF(AND(ISNUMBER('Raw Data'!F275), IFERROR('Raw Data'!F275 = ROUND('Raw Data'!F275, 4),FALSE)),"",_xlfn.REGEXEXTRACT(CELL("address",F275), "\$([A-Z]+)\$[0-9]+"))),_xlfn.REGEXEXTRACT(CELL("address",F275), "\$([A-Z]+)\$[0-9]+"))</f>
        <v/>
      </c>
      <c r="G275" s="7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7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7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7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7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7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7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7" t="str" cm="1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  <c r="O275" s="7" t="str" cm="1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7" t="str" cm="1">
        <f t="array" aca="1" ref="P275" ca="1">IFERROR(IF(OR('Raw Data'!P275="",LEN(TRIM('Raw Data'!P275))=0),"",IF(AND(ISNUMBER('Raw Data'!P275), IFERROR('Raw Data'!P275 = ROUND('Raw Data'!P275, 2),FALSE)),"",_xlfn.REGEXEXTRACT(CELL("address",P275), "\$([A-Z]+)\$[0-9]+"))),_xlfn.REGEXEXTRACT(CELL("address",P275), "\$([A-Z]+)\$[0-9]+"))</f>
        <v/>
      </c>
      <c r="Q275" s="7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7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7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7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7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7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7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7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7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7" t="str" cm="1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7" t="str" cm="1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7" t="str" cm="1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  <c r="AC275" s="7" t="str" cm="1">
        <f t="array" aca="1" ref="AC275" ca="1">IFERROR(IF(OR('Raw Data'!AC275="",LEN(TRIM('Raw Data'!AC275))=0),"",IF(AND(ISNUMBER('Raw Data'!AC275), IFERROR('Raw Data'!AC275 = ROUND('Raw Data'!AC275, 2),FALSE)),"",_xlfn.REGEXEXTRACT(CELL("address",AC275), "\$([A-Z]+)\$[0-9]+"))),_xlfn.REGEXEXTRACT(CELL("address",AC275), "\$([A-Z]+)\$[0-9]+"))</f>
        <v/>
      </c>
      <c r="AD275" s="7" t="str" cm="1">
        <f t="array" aca="1" ref="AD275" ca="1">IFERROR(IF(OR('Raw Data'!AD275="",LEN(TRIM('Raw Data'!AD275))=0),"",IF(AND(ISNUMBER('Raw Data'!AD275), IFERROR('Raw Data'!AD275 = ROUND('Raw Data'!AD275, 2),FALSE)),"",_xlfn.REGEXEXTRACT(CELL("address",AD275), "\$([A-Z]+)\$[0-9]+"))),_xlfn.REGEXEXTRACT(CELL("address",AD275), "\$([A-Z]+)\$[0-9]+"))</f>
        <v/>
      </c>
    </row>
    <row r="276" spans="2:30" x14ac:dyDescent="0.25">
      <c r="B276" s="7" t="str" cm="1">
        <f t="array" aca="1" ref="B276" ca="1">IFERROR(IF(OR('Raw Data'!B276="",LEN(TRIM('Raw Data'!B276))=0),"",IF(AND(LEN('Raw Data'!B276) &lt;= 20,LEN('Raw Data'!B276)&gt; 0),"",_xlfn.REGEXEXTRACT(CELL("address",'Raw Data'!B276),"\$([A-Z]+)\$[0-9]+"))),_xlfn.REGEXEXTRACT(CELL("address",'Raw Data'!B276),"\$([A-Z]+)\$[0-9]+"))</f>
        <v/>
      </c>
      <c r="C276" s="7" t="str" cm="1">
        <f t="array" aca="1" ref="C276" ca="1">IFERROR(IF(OR('Raw Data'!C276="",LEN(TRIM('Raw Data'!C276))=0),"",IF(AND(LEN('Raw Data'!C276) &lt;= 255,LEN('Raw Data'!C276)&gt; 0),"",_xlfn.REGEXEXTRACT(CELL("address",'Raw Data'!C276),"\$([A-Z]+)\$[0-9]+"))),_xlfn.REGEXEXTRACT(CELL("address",'Raw Data'!C276),"\$([A-Z]+)\$[0-9]+"))</f>
        <v/>
      </c>
      <c r="D276" s="7" t="str" cm="1">
        <f t="array" aca="1" ref="D276" ca="1">IFERROR(IF(OR('Raw Data'!D276="",LEN(TRIM('Raw Data'!D276))=0),"",IF(AND(LEN('Raw Data'!D276) &lt;= 20,LEN('Raw Data'!D276)&gt; 0),"",_xlfn.REGEXEXTRACT(CELL("address",'Raw Data'!D276),"\$([A-Z]+)\$[0-9]+"))),_xlfn.REGEXEXTRACT(CELL("address",'Raw Data'!D276),"\$([A-Z]+)\$[0-9]+"))</f>
        <v/>
      </c>
      <c r="E276" s="7" t="str" cm="1">
        <f t="array" aca="1" ref="E276" ca="1">IFERROR(IF(OR('Raw Data'!E276="",LEN(TRIM('Raw Data'!E276))=0),"",IF(AND(ISNUMBER('Raw Data'!E276),'Raw Data'!E276&gt;=Configuration!$D$2),"",_xlfn.REGEXEXTRACT(CELL("address",'Raw Data'!E276),"\$([A-Z]+)\$[0-9]+"))),_xlfn.REGEXEXTRACT(CELL("address",E276), "\$([A-Z]+)\$[0-9]+"))</f>
        <v/>
      </c>
      <c r="F276" s="7" t="str" cm="1">
        <f t="array" aca="1" ref="F276" ca="1">IFERROR(IF(OR('Raw Data'!F276="",LEN(TRIM('Raw Data'!F276))=0),"",IF(AND(ISNUMBER('Raw Data'!F276), IFERROR('Raw Data'!F276 = ROUND('Raw Data'!F276, 4),FALSE)),"",_xlfn.REGEXEXTRACT(CELL("address",F276), "\$([A-Z]+)\$[0-9]+"))),_xlfn.REGEXEXTRACT(CELL("address",F276), "\$([A-Z]+)\$[0-9]+"))</f>
        <v/>
      </c>
      <c r="G276" s="7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7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7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7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7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7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7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7" t="str" cm="1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  <c r="O276" s="7" t="str" cm="1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7" t="str" cm="1">
        <f t="array" aca="1" ref="P276" ca="1">IFERROR(IF(OR('Raw Data'!P276="",LEN(TRIM('Raw Data'!P276))=0),"",IF(AND(ISNUMBER('Raw Data'!P276), IFERROR('Raw Data'!P276 = ROUND('Raw Data'!P276, 2),FALSE)),"",_xlfn.REGEXEXTRACT(CELL("address",P276), "\$([A-Z]+)\$[0-9]+"))),_xlfn.REGEXEXTRACT(CELL("address",P276), "\$([A-Z]+)\$[0-9]+"))</f>
        <v/>
      </c>
      <c r="Q276" s="7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7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7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7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7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7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7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7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7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7" t="str" cm="1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7" t="str" cm="1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7" t="str" cm="1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  <c r="AC276" s="7" t="str" cm="1">
        <f t="array" aca="1" ref="AC276" ca="1">IFERROR(IF(OR('Raw Data'!AC276="",LEN(TRIM('Raw Data'!AC276))=0),"",IF(AND(ISNUMBER('Raw Data'!AC276), IFERROR('Raw Data'!AC276 = ROUND('Raw Data'!AC276, 2),FALSE)),"",_xlfn.REGEXEXTRACT(CELL("address",AC276), "\$([A-Z]+)\$[0-9]+"))),_xlfn.REGEXEXTRACT(CELL("address",AC276), "\$([A-Z]+)\$[0-9]+"))</f>
        <v/>
      </c>
      <c r="AD276" s="7" t="str" cm="1">
        <f t="array" aca="1" ref="AD276" ca="1">IFERROR(IF(OR('Raw Data'!AD276="",LEN(TRIM('Raw Data'!AD276))=0),"",IF(AND(ISNUMBER('Raw Data'!AD276), IFERROR('Raw Data'!AD276 = ROUND('Raw Data'!AD276, 2),FALSE)),"",_xlfn.REGEXEXTRACT(CELL("address",AD276), "\$([A-Z]+)\$[0-9]+"))),_xlfn.REGEXEXTRACT(CELL("address",AD276), "\$([A-Z]+)\$[0-9]+"))</f>
        <v/>
      </c>
    </row>
    <row r="277" spans="2:30" x14ac:dyDescent="0.25">
      <c r="B277" s="7" t="str" cm="1">
        <f t="array" aca="1" ref="B277" ca="1">IFERROR(IF(OR('Raw Data'!B277="",LEN(TRIM('Raw Data'!B277))=0),"",IF(AND(LEN('Raw Data'!B277) &lt;= 20,LEN('Raw Data'!B277)&gt; 0),"",_xlfn.REGEXEXTRACT(CELL("address",'Raw Data'!B277),"\$([A-Z]+)\$[0-9]+"))),_xlfn.REGEXEXTRACT(CELL("address",'Raw Data'!B277),"\$([A-Z]+)\$[0-9]+"))</f>
        <v/>
      </c>
      <c r="C277" s="7" t="str" cm="1">
        <f t="array" aca="1" ref="C277" ca="1">IFERROR(IF(OR('Raw Data'!C277="",LEN(TRIM('Raw Data'!C277))=0),"",IF(AND(LEN('Raw Data'!C277) &lt;= 255,LEN('Raw Data'!C277)&gt; 0),"",_xlfn.REGEXEXTRACT(CELL("address",'Raw Data'!C277),"\$([A-Z]+)\$[0-9]+"))),_xlfn.REGEXEXTRACT(CELL("address",'Raw Data'!C277),"\$([A-Z]+)\$[0-9]+"))</f>
        <v/>
      </c>
      <c r="D277" s="7" t="str" cm="1">
        <f t="array" aca="1" ref="D277" ca="1">IFERROR(IF(OR('Raw Data'!D277="",LEN(TRIM('Raw Data'!D277))=0),"",IF(AND(LEN('Raw Data'!D277) &lt;= 20,LEN('Raw Data'!D277)&gt; 0),"",_xlfn.REGEXEXTRACT(CELL("address",'Raw Data'!D277),"\$([A-Z]+)\$[0-9]+"))),_xlfn.REGEXEXTRACT(CELL("address",'Raw Data'!D277),"\$([A-Z]+)\$[0-9]+"))</f>
        <v/>
      </c>
      <c r="E277" s="7" t="str" cm="1">
        <f t="array" aca="1" ref="E277" ca="1">IFERROR(IF(OR('Raw Data'!E277="",LEN(TRIM('Raw Data'!E277))=0),"",IF(AND(ISNUMBER('Raw Data'!E277),'Raw Data'!E277&gt;=Configuration!$D$2),"",_xlfn.REGEXEXTRACT(CELL("address",'Raw Data'!E277),"\$([A-Z]+)\$[0-9]+"))),_xlfn.REGEXEXTRACT(CELL("address",E277), "\$([A-Z]+)\$[0-9]+"))</f>
        <v/>
      </c>
      <c r="F277" s="7" t="str" cm="1">
        <f t="array" aca="1" ref="F277" ca="1">IFERROR(IF(OR('Raw Data'!F277="",LEN(TRIM('Raw Data'!F277))=0),"",IF(AND(ISNUMBER('Raw Data'!F277), IFERROR('Raw Data'!F277 = ROUND('Raw Data'!F277, 4),FALSE)),"",_xlfn.REGEXEXTRACT(CELL("address",F277), "\$([A-Z]+)\$[0-9]+"))),_xlfn.REGEXEXTRACT(CELL("address",F277), "\$([A-Z]+)\$[0-9]+"))</f>
        <v/>
      </c>
      <c r="G277" s="7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7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7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7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7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7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7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7" t="str" cm="1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  <c r="O277" s="7" t="str" cm="1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7" t="str" cm="1">
        <f t="array" aca="1" ref="P277" ca="1">IFERROR(IF(OR('Raw Data'!P277="",LEN(TRIM('Raw Data'!P277))=0),"",IF(AND(ISNUMBER('Raw Data'!P277), IFERROR('Raw Data'!P277 = ROUND('Raw Data'!P277, 2),FALSE)),"",_xlfn.REGEXEXTRACT(CELL("address",P277), "\$([A-Z]+)\$[0-9]+"))),_xlfn.REGEXEXTRACT(CELL("address",P277), "\$([A-Z]+)\$[0-9]+"))</f>
        <v/>
      </c>
      <c r="Q277" s="7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7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7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7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7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7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7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7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7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7" t="str" cm="1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7" t="str" cm="1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7" t="str" cm="1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  <c r="AC277" s="7" t="str" cm="1">
        <f t="array" aca="1" ref="AC277" ca="1">IFERROR(IF(OR('Raw Data'!AC277="",LEN(TRIM('Raw Data'!AC277))=0),"",IF(AND(ISNUMBER('Raw Data'!AC277), IFERROR('Raw Data'!AC277 = ROUND('Raw Data'!AC277, 2),FALSE)),"",_xlfn.REGEXEXTRACT(CELL("address",AC277), "\$([A-Z]+)\$[0-9]+"))),_xlfn.REGEXEXTRACT(CELL("address",AC277), "\$([A-Z]+)\$[0-9]+"))</f>
        <v/>
      </c>
      <c r="AD277" s="7" t="str" cm="1">
        <f t="array" aca="1" ref="AD277" ca="1">IFERROR(IF(OR('Raw Data'!AD277="",LEN(TRIM('Raw Data'!AD277))=0),"",IF(AND(ISNUMBER('Raw Data'!AD277), IFERROR('Raw Data'!AD277 = ROUND('Raw Data'!AD277, 2),FALSE)),"",_xlfn.REGEXEXTRACT(CELL("address",AD277), "\$([A-Z]+)\$[0-9]+"))),_xlfn.REGEXEXTRACT(CELL("address",AD277), "\$([A-Z]+)\$[0-9]+"))</f>
        <v/>
      </c>
    </row>
    <row r="278" spans="2:30" x14ac:dyDescent="0.25">
      <c r="B278" s="7" t="str" cm="1">
        <f t="array" aca="1" ref="B278" ca="1">IFERROR(IF(OR('Raw Data'!B278="",LEN(TRIM('Raw Data'!B278))=0),"",IF(AND(LEN('Raw Data'!B278) &lt;= 20,LEN('Raw Data'!B278)&gt; 0),"",_xlfn.REGEXEXTRACT(CELL("address",'Raw Data'!B278),"\$([A-Z]+)\$[0-9]+"))),_xlfn.REGEXEXTRACT(CELL("address",'Raw Data'!B278),"\$([A-Z]+)\$[0-9]+"))</f>
        <v/>
      </c>
      <c r="C278" s="7" t="str" cm="1">
        <f t="array" aca="1" ref="C278" ca="1">IFERROR(IF(OR('Raw Data'!C278="",LEN(TRIM('Raw Data'!C278))=0),"",IF(AND(LEN('Raw Data'!C278) &lt;= 255,LEN('Raw Data'!C278)&gt; 0),"",_xlfn.REGEXEXTRACT(CELL("address",'Raw Data'!C278),"\$([A-Z]+)\$[0-9]+"))),_xlfn.REGEXEXTRACT(CELL("address",'Raw Data'!C278),"\$([A-Z]+)\$[0-9]+"))</f>
        <v/>
      </c>
      <c r="D278" s="7" t="str" cm="1">
        <f t="array" aca="1" ref="D278" ca="1">IFERROR(IF(OR('Raw Data'!D278="",LEN(TRIM('Raw Data'!D278))=0),"",IF(AND(LEN('Raw Data'!D278) &lt;= 20,LEN('Raw Data'!D278)&gt; 0),"",_xlfn.REGEXEXTRACT(CELL("address",'Raw Data'!D278),"\$([A-Z]+)\$[0-9]+"))),_xlfn.REGEXEXTRACT(CELL("address",'Raw Data'!D278),"\$([A-Z]+)\$[0-9]+"))</f>
        <v/>
      </c>
      <c r="E278" s="7" t="str" cm="1">
        <f t="array" aca="1" ref="E278" ca="1">IFERROR(IF(OR('Raw Data'!E278="",LEN(TRIM('Raw Data'!E278))=0),"",IF(AND(ISNUMBER('Raw Data'!E278),'Raw Data'!E278&gt;=Configuration!$D$2),"",_xlfn.REGEXEXTRACT(CELL("address",'Raw Data'!E278),"\$([A-Z]+)\$[0-9]+"))),_xlfn.REGEXEXTRACT(CELL("address",E278), "\$([A-Z]+)\$[0-9]+"))</f>
        <v/>
      </c>
      <c r="F278" s="7" t="str" cm="1">
        <f t="array" aca="1" ref="F278" ca="1">IFERROR(IF(OR('Raw Data'!F278="",LEN(TRIM('Raw Data'!F278))=0),"",IF(AND(ISNUMBER('Raw Data'!F278), IFERROR('Raw Data'!F278 = ROUND('Raw Data'!F278, 4),FALSE)),"",_xlfn.REGEXEXTRACT(CELL("address",F278), "\$([A-Z]+)\$[0-9]+"))),_xlfn.REGEXEXTRACT(CELL("address",F278), "\$([A-Z]+)\$[0-9]+"))</f>
        <v/>
      </c>
      <c r="G278" s="7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7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7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7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7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7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7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7" t="str" cm="1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  <c r="O278" s="7" t="str" cm="1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7" t="str" cm="1">
        <f t="array" aca="1" ref="P278" ca="1">IFERROR(IF(OR('Raw Data'!P278="",LEN(TRIM('Raw Data'!P278))=0),"",IF(AND(ISNUMBER('Raw Data'!P278), IFERROR('Raw Data'!P278 = ROUND('Raw Data'!P278, 2),FALSE)),"",_xlfn.REGEXEXTRACT(CELL("address",P278), "\$([A-Z]+)\$[0-9]+"))),_xlfn.REGEXEXTRACT(CELL("address",P278), "\$([A-Z]+)\$[0-9]+"))</f>
        <v/>
      </c>
      <c r="Q278" s="7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7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7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7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7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7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7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7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7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7" t="str" cm="1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7" t="str" cm="1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7" t="str" cm="1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  <c r="AC278" s="7" t="str" cm="1">
        <f t="array" aca="1" ref="AC278" ca="1">IFERROR(IF(OR('Raw Data'!AC278="",LEN(TRIM('Raw Data'!AC278))=0),"",IF(AND(ISNUMBER('Raw Data'!AC278), IFERROR('Raw Data'!AC278 = ROUND('Raw Data'!AC278, 2),FALSE)),"",_xlfn.REGEXEXTRACT(CELL("address",AC278), "\$([A-Z]+)\$[0-9]+"))),_xlfn.REGEXEXTRACT(CELL("address",AC278), "\$([A-Z]+)\$[0-9]+"))</f>
        <v/>
      </c>
      <c r="AD278" s="7" t="str" cm="1">
        <f t="array" aca="1" ref="AD278" ca="1">IFERROR(IF(OR('Raw Data'!AD278="",LEN(TRIM('Raw Data'!AD278))=0),"",IF(AND(ISNUMBER('Raw Data'!AD278), IFERROR('Raw Data'!AD278 = ROUND('Raw Data'!AD278, 2),FALSE)),"",_xlfn.REGEXEXTRACT(CELL("address",AD278), "\$([A-Z]+)\$[0-9]+"))),_xlfn.REGEXEXTRACT(CELL("address",AD278), "\$([A-Z]+)\$[0-9]+"))</f>
        <v/>
      </c>
    </row>
    <row r="279" spans="2:30" x14ac:dyDescent="0.25">
      <c r="B279" s="7" t="str" cm="1">
        <f t="array" aca="1" ref="B279" ca="1">IFERROR(IF(OR('Raw Data'!B279="",LEN(TRIM('Raw Data'!B279))=0),"",IF(AND(LEN('Raw Data'!B279) &lt;= 20,LEN('Raw Data'!B279)&gt; 0),"",_xlfn.REGEXEXTRACT(CELL("address",'Raw Data'!B279),"\$([A-Z]+)\$[0-9]+"))),_xlfn.REGEXEXTRACT(CELL("address",'Raw Data'!B279),"\$([A-Z]+)\$[0-9]+"))</f>
        <v/>
      </c>
      <c r="C279" s="7" t="str" cm="1">
        <f t="array" aca="1" ref="C279" ca="1">IFERROR(IF(OR('Raw Data'!C279="",LEN(TRIM('Raw Data'!C279))=0),"",IF(AND(LEN('Raw Data'!C279) &lt;= 255,LEN('Raw Data'!C279)&gt; 0),"",_xlfn.REGEXEXTRACT(CELL("address",'Raw Data'!C279),"\$([A-Z]+)\$[0-9]+"))),_xlfn.REGEXEXTRACT(CELL("address",'Raw Data'!C279),"\$([A-Z]+)\$[0-9]+"))</f>
        <v/>
      </c>
      <c r="D279" s="7" t="str" cm="1">
        <f t="array" aca="1" ref="D279" ca="1">IFERROR(IF(OR('Raw Data'!D279="",LEN(TRIM('Raw Data'!D279))=0),"",IF(AND(LEN('Raw Data'!D279) &lt;= 20,LEN('Raw Data'!D279)&gt; 0),"",_xlfn.REGEXEXTRACT(CELL("address",'Raw Data'!D279),"\$([A-Z]+)\$[0-9]+"))),_xlfn.REGEXEXTRACT(CELL("address",'Raw Data'!D279),"\$([A-Z]+)\$[0-9]+"))</f>
        <v/>
      </c>
      <c r="E279" s="7" t="str" cm="1">
        <f t="array" aca="1" ref="E279" ca="1">IFERROR(IF(OR('Raw Data'!E279="",LEN(TRIM('Raw Data'!E279))=0),"",IF(AND(ISNUMBER('Raw Data'!E279),'Raw Data'!E279&gt;=Configuration!$D$2),"",_xlfn.REGEXEXTRACT(CELL("address",'Raw Data'!E279),"\$([A-Z]+)\$[0-9]+"))),_xlfn.REGEXEXTRACT(CELL("address",E279), "\$([A-Z]+)\$[0-9]+"))</f>
        <v/>
      </c>
      <c r="F279" s="7" t="str" cm="1">
        <f t="array" aca="1" ref="F279" ca="1">IFERROR(IF(OR('Raw Data'!F279="",LEN(TRIM('Raw Data'!F279))=0),"",IF(AND(ISNUMBER('Raw Data'!F279), IFERROR('Raw Data'!F279 = ROUND('Raw Data'!F279, 4),FALSE)),"",_xlfn.REGEXEXTRACT(CELL("address",F279), "\$([A-Z]+)\$[0-9]+"))),_xlfn.REGEXEXTRACT(CELL("address",F279), "\$([A-Z]+)\$[0-9]+"))</f>
        <v/>
      </c>
      <c r="G279" s="7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7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7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7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7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7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7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7" t="str" cm="1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  <c r="O279" s="7" t="str" cm="1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7" t="str" cm="1">
        <f t="array" aca="1" ref="P279" ca="1">IFERROR(IF(OR('Raw Data'!P279="",LEN(TRIM('Raw Data'!P279))=0),"",IF(AND(ISNUMBER('Raw Data'!P279), IFERROR('Raw Data'!P279 = ROUND('Raw Data'!P279, 2),FALSE)),"",_xlfn.REGEXEXTRACT(CELL("address",P279), "\$([A-Z]+)\$[0-9]+"))),_xlfn.REGEXEXTRACT(CELL("address",P279), "\$([A-Z]+)\$[0-9]+"))</f>
        <v/>
      </c>
      <c r="Q279" s="7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7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7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7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7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7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7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7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7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7" t="str" cm="1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7" t="str" cm="1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7" t="str" cm="1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  <c r="AC279" s="7" t="str" cm="1">
        <f t="array" aca="1" ref="AC279" ca="1">IFERROR(IF(OR('Raw Data'!AC279="",LEN(TRIM('Raw Data'!AC279))=0),"",IF(AND(ISNUMBER('Raw Data'!AC279), IFERROR('Raw Data'!AC279 = ROUND('Raw Data'!AC279, 2),FALSE)),"",_xlfn.REGEXEXTRACT(CELL("address",AC279), "\$([A-Z]+)\$[0-9]+"))),_xlfn.REGEXEXTRACT(CELL("address",AC279), "\$([A-Z]+)\$[0-9]+"))</f>
        <v/>
      </c>
      <c r="AD279" s="7" t="str" cm="1">
        <f t="array" aca="1" ref="AD279" ca="1">IFERROR(IF(OR('Raw Data'!AD279="",LEN(TRIM('Raw Data'!AD279))=0),"",IF(AND(ISNUMBER('Raw Data'!AD279), IFERROR('Raw Data'!AD279 = ROUND('Raw Data'!AD279, 2),FALSE)),"",_xlfn.REGEXEXTRACT(CELL("address",AD279), "\$([A-Z]+)\$[0-9]+"))),_xlfn.REGEXEXTRACT(CELL("address",AD279), "\$([A-Z]+)\$[0-9]+"))</f>
        <v/>
      </c>
    </row>
    <row r="280" spans="2:30" x14ac:dyDescent="0.25">
      <c r="B280" s="7" t="str" cm="1">
        <f t="array" aca="1" ref="B280" ca="1">IFERROR(IF(OR('Raw Data'!B280="",LEN(TRIM('Raw Data'!B280))=0),"",IF(AND(LEN('Raw Data'!B280) &lt;= 20,LEN('Raw Data'!B280)&gt; 0),"",_xlfn.REGEXEXTRACT(CELL("address",'Raw Data'!B280),"\$([A-Z]+)\$[0-9]+"))),_xlfn.REGEXEXTRACT(CELL("address",'Raw Data'!B280),"\$([A-Z]+)\$[0-9]+"))</f>
        <v/>
      </c>
      <c r="C280" s="7" t="str" cm="1">
        <f t="array" aca="1" ref="C280" ca="1">IFERROR(IF(OR('Raw Data'!C280="",LEN(TRIM('Raw Data'!C280))=0),"",IF(AND(LEN('Raw Data'!C280) &lt;= 255,LEN('Raw Data'!C280)&gt; 0),"",_xlfn.REGEXEXTRACT(CELL("address",'Raw Data'!C280),"\$([A-Z]+)\$[0-9]+"))),_xlfn.REGEXEXTRACT(CELL("address",'Raw Data'!C280),"\$([A-Z]+)\$[0-9]+"))</f>
        <v/>
      </c>
      <c r="D280" s="7" t="str" cm="1">
        <f t="array" aca="1" ref="D280" ca="1">IFERROR(IF(OR('Raw Data'!D280="",LEN(TRIM('Raw Data'!D280))=0),"",IF(AND(LEN('Raw Data'!D280) &lt;= 20,LEN('Raw Data'!D280)&gt; 0),"",_xlfn.REGEXEXTRACT(CELL("address",'Raw Data'!D280),"\$([A-Z]+)\$[0-9]+"))),_xlfn.REGEXEXTRACT(CELL("address",'Raw Data'!D280),"\$([A-Z]+)\$[0-9]+"))</f>
        <v/>
      </c>
      <c r="E280" s="7" t="str" cm="1">
        <f t="array" aca="1" ref="E280" ca="1">IFERROR(IF(OR('Raw Data'!E280="",LEN(TRIM('Raw Data'!E280))=0),"",IF(AND(ISNUMBER('Raw Data'!E280),'Raw Data'!E280&gt;=Configuration!$D$2),"",_xlfn.REGEXEXTRACT(CELL("address",'Raw Data'!E280),"\$([A-Z]+)\$[0-9]+"))),_xlfn.REGEXEXTRACT(CELL("address",E280), "\$([A-Z]+)\$[0-9]+"))</f>
        <v/>
      </c>
      <c r="F280" s="7" t="str" cm="1">
        <f t="array" aca="1" ref="F280" ca="1">IFERROR(IF(OR('Raw Data'!F280="",LEN(TRIM('Raw Data'!F280))=0),"",IF(AND(ISNUMBER('Raw Data'!F280), IFERROR('Raw Data'!F280 = ROUND('Raw Data'!F280, 4),FALSE)),"",_xlfn.REGEXEXTRACT(CELL("address",F280), "\$([A-Z]+)\$[0-9]+"))),_xlfn.REGEXEXTRACT(CELL("address",F280), "\$([A-Z]+)\$[0-9]+"))</f>
        <v/>
      </c>
      <c r="G280" s="7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7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7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7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7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7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7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7" t="str" cm="1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  <c r="O280" s="7" t="str" cm="1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7" t="str" cm="1">
        <f t="array" aca="1" ref="P280" ca="1">IFERROR(IF(OR('Raw Data'!P280="",LEN(TRIM('Raw Data'!P280))=0),"",IF(AND(ISNUMBER('Raw Data'!P280), IFERROR('Raw Data'!P280 = ROUND('Raw Data'!P280, 2),FALSE)),"",_xlfn.REGEXEXTRACT(CELL("address",P280), "\$([A-Z]+)\$[0-9]+"))),_xlfn.REGEXEXTRACT(CELL("address",P280), "\$([A-Z]+)\$[0-9]+"))</f>
        <v/>
      </c>
      <c r="Q280" s="7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7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7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7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7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7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7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7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7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7" t="str" cm="1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7" t="str" cm="1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7" t="str" cm="1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  <c r="AC280" s="7" t="str" cm="1">
        <f t="array" aca="1" ref="AC280" ca="1">IFERROR(IF(OR('Raw Data'!AC280="",LEN(TRIM('Raw Data'!AC280))=0),"",IF(AND(ISNUMBER('Raw Data'!AC280), IFERROR('Raw Data'!AC280 = ROUND('Raw Data'!AC280, 2),FALSE)),"",_xlfn.REGEXEXTRACT(CELL("address",AC280), "\$([A-Z]+)\$[0-9]+"))),_xlfn.REGEXEXTRACT(CELL("address",AC280), "\$([A-Z]+)\$[0-9]+"))</f>
        <v/>
      </c>
      <c r="AD280" s="7" t="str" cm="1">
        <f t="array" aca="1" ref="AD280" ca="1">IFERROR(IF(OR('Raw Data'!AD280="",LEN(TRIM('Raw Data'!AD280))=0),"",IF(AND(ISNUMBER('Raw Data'!AD280), IFERROR('Raw Data'!AD280 = ROUND('Raw Data'!AD280, 2),FALSE)),"",_xlfn.REGEXEXTRACT(CELL("address",AD280), "\$([A-Z]+)\$[0-9]+"))),_xlfn.REGEXEXTRACT(CELL("address",AD280), "\$([A-Z]+)\$[0-9]+"))</f>
        <v/>
      </c>
    </row>
    <row r="281" spans="2:30" x14ac:dyDescent="0.25">
      <c r="B281" s="7" t="str" cm="1">
        <f t="array" aca="1" ref="B281" ca="1">IFERROR(IF(OR('Raw Data'!B281="",LEN(TRIM('Raw Data'!B281))=0),"",IF(AND(LEN('Raw Data'!B281) &lt;= 20,LEN('Raw Data'!B281)&gt; 0),"",_xlfn.REGEXEXTRACT(CELL("address",'Raw Data'!B281),"\$([A-Z]+)\$[0-9]+"))),_xlfn.REGEXEXTRACT(CELL("address",'Raw Data'!B281),"\$([A-Z]+)\$[0-9]+"))</f>
        <v/>
      </c>
      <c r="C281" s="7" t="str" cm="1">
        <f t="array" aca="1" ref="C281" ca="1">IFERROR(IF(OR('Raw Data'!C281="",LEN(TRIM('Raw Data'!C281))=0),"",IF(AND(LEN('Raw Data'!C281) &lt;= 255,LEN('Raw Data'!C281)&gt; 0),"",_xlfn.REGEXEXTRACT(CELL("address",'Raw Data'!C281),"\$([A-Z]+)\$[0-9]+"))),_xlfn.REGEXEXTRACT(CELL("address",'Raw Data'!C281),"\$([A-Z]+)\$[0-9]+"))</f>
        <v/>
      </c>
      <c r="D281" s="7" t="str" cm="1">
        <f t="array" aca="1" ref="D281" ca="1">IFERROR(IF(OR('Raw Data'!D281="",LEN(TRIM('Raw Data'!D281))=0),"",IF(AND(LEN('Raw Data'!D281) &lt;= 20,LEN('Raw Data'!D281)&gt; 0),"",_xlfn.REGEXEXTRACT(CELL("address",'Raw Data'!D281),"\$([A-Z]+)\$[0-9]+"))),_xlfn.REGEXEXTRACT(CELL("address",'Raw Data'!D281),"\$([A-Z]+)\$[0-9]+"))</f>
        <v/>
      </c>
      <c r="E281" s="7" t="str" cm="1">
        <f t="array" aca="1" ref="E281" ca="1">IFERROR(IF(OR('Raw Data'!E281="",LEN(TRIM('Raw Data'!E281))=0),"",IF(AND(ISNUMBER('Raw Data'!E281),'Raw Data'!E281&gt;=Configuration!$D$2),"",_xlfn.REGEXEXTRACT(CELL("address",'Raw Data'!E281),"\$([A-Z]+)\$[0-9]+"))),_xlfn.REGEXEXTRACT(CELL("address",E281), "\$([A-Z]+)\$[0-9]+"))</f>
        <v/>
      </c>
      <c r="F281" s="7" t="str" cm="1">
        <f t="array" aca="1" ref="F281" ca="1">IFERROR(IF(OR('Raw Data'!F281="",LEN(TRIM('Raw Data'!F281))=0),"",IF(AND(ISNUMBER('Raw Data'!F281), IFERROR('Raw Data'!F281 = ROUND('Raw Data'!F281, 4),FALSE)),"",_xlfn.REGEXEXTRACT(CELL("address",F281), "\$([A-Z]+)\$[0-9]+"))),_xlfn.REGEXEXTRACT(CELL("address",F281), "\$([A-Z]+)\$[0-9]+"))</f>
        <v/>
      </c>
      <c r="G281" s="7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7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7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7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7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7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7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7" t="str" cm="1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  <c r="O281" s="7" t="str" cm="1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7" t="str" cm="1">
        <f t="array" aca="1" ref="P281" ca="1">IFERROR(IF(OR('Raw Data'!P281="",LEN(TRIM('Raw Data'!P281))=0),"",IF(AND(ISNUMBER('Raw Data'!P281), IFERROR('Raw Data'!P281 = ROUND('Raw Data'!P281, 2),FALSE)),"",_xlfn.REGEXEXTRACT(CELL("address",P281), "\$([A-Z]+)\$[0-9]+"))),_xlfn.REGEXEXTRACT(CELL("address",P281), "\$([A-Z]+)\$[0-9]+"))</f>
        <v/>
      </c>
      <c r="Q281" s="7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7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7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7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7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7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7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7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7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7" t="str" cm="1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7" t="str" cm="1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7" t="str" cm="1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  <c r="AC281" s="7" t="str" cm="1">
        <f t="array" aca="1" ref="AC281" ca="1">IFERROR(IF(OR('Raw Data'!AC281="",LEN(TRIM('Raw Data'!AC281))=0),"",IF(AND(ISNUMBER('Raw Data'!AC281), IFERROR('Raw Data'!AC281 = ROUND('Raw Data'!AC281, 2),FALSE)),"",_xlfn.REGEXEXTRACT(CELL("address",AC281), "\$([A-Z]+)\$[0-9]+"))),_xlfn.REGEXEXTRACT(CELL("address",AC281), "\$([A-Z]+)\$[0-9]+"))</f>
        <v/>
      </c>
      <c r="AD281" s="7" t="str" cm="1">
        <f t="array" aca="1" ref="AD281" ca="1">IFERROR(IF(OR('Raw Data'!AD281="",LEN(TRIM('Raw Data'!AD281))=0),"",IF(AND(ISNUMBER('Raw Data'!AD281), IFERROR('Raw Data'!AD281 = ROUND('Raw Data'!AD281, 2),FALSE)),"",_xlfn.REGEXEXTRACT(CELL("address",AD281), "\$([A-Z]+)\$[0-9]+"))),_xlfn.REGEXEXTRACT(CELL("address",AD281), "\$([A-Z]+)\$[0-9]+"))</f>
        <v/>
      </c>
    </row>
    <row r="282" spans="2:30" x14ac:dyDescent="0.25">
      <c r="B282" s="7" t="str" cm="1">
        <f t="array" aca="1" ref="B282" ca="1">IFERROR(IF(OR('Raw Data'!B282="",LEN(TRIM('Raw Data'!B282))=0),"",IF(AND(LEN('Raw Data'!B282) &lt;= 20,LEN('Raw Data'!B282)&gt; 0),"",_xlfn.REGEXEXTRACT(CELL("address",'Raw Data'!B282),"\$([A-Z]+)\$[0-9]+"))),_xlfn.REGEXEXTRACT(CELL("address",'Raw Data'!B282),"\$([A-Z]+)\$[0-9]+"))</f>
        <v/>
      </c>
      <c r="C282" s="7" t="str" cm="1">
        <f t="array" aca="1" ref="C282" ca="1">IFERROR(IF(OR('Raw Data'!C282="",LEN(TRIM('Raw Data'!C282))=0),"",IF(AND(LEN('Raw Data'!C282) &lt;= 255,LEN('Raw Data'!C282)&gt; 0),"",_xlfn.REGEXEXTRACT(CELL("address",'Raw Data'!C282),"\$([A-Z]+)\$[0-9]+"))),_xlfn.REGEXEXTRACT(CELL("address",'Raw Data'!C282),"\$([A-Z]+)\$[0-9]+"))</f>
        <v/>
      </c>
      <c r="D282" s="7" t="str" cm="1">
        <f t="array" aca="1" ref="D282" ca="1">IFERROR(IF(OR('Raw Data'!D282="",LEN(TRIM('Raw Data'!D282))=0),"",IF(AND(LEN('Raw Data'!D282) &lt;= 20,LEN('Raw Data'!D282)&gt; 0),"",_xlfn.REGEXEXTRACT(CELL("address",'Raw Data'!D282),"\$([A-Z]+)\$[0-9]+"))),_xlfn.REGEXEXTRACT(CELL("address",'Raw Data'!D282),"\$([A-Z]+)\$[0-9]+"))</f>
        <v/>
      </c>
      <c r="E282" s="7" t="str" cm="1">
        <f t="array" aca="1" ref="E282" ca="1">IFERROR(IF(OR('Raw Data'!E282="",LEN(TRIM('Raw Data'!E282))=0),"",IF(AND(ISNUMBER('Raw Data'!E282),'Raw Data'!E282&gt;=Configuration!$D$2),"",_xlfn.REGEXEXTRACT(CELL("address",'Raw Data'!E282),"\$([A-Z]+)\$[0-9]+"))),_xlfn.REGEXEXTRACT(CELL("address",E282), "\$([A-Z]+)\$[0-9]+"))</f>
        <v/>
      </c>
      <c r="F282" s="7" t="str" cm="1">
        <f t="array" aca="1" ref="F282" ca="1">IFERROR(IF(OR('Raw Data'!F282="",LEN(TRIM('Raw Data'!F282))=0),"",IF(AND(ISNUMBER('Raw Data'!F282), IFERROR('Raw Data'!F282 = ROUND('Raw Data'!F282, 4),FALSE)),"",_xlfn.REGEXEXTRACT(CELL("address",F282), "\$([A-Z]+)\$[0-9]+"))),_xlfn.REGEXEXTRACT(CELL("address",F282), "\$([A-Z]+)\$[0-9]+"))</f>
        <v/>
      </c>
      <c r="G282" s="7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7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7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7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7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7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7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7" t="str" cm="1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  <c r="O282" s="7" t="str" cm="1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7" t="str" cm="1">
        <f t="array" aca="1" ref="P282" ca="1">IFERROR(IF(OR('Raw Data'!P282="",LEN(TRIM('Raw Data'!P282))=0),"",IF(AND(ISNUMBER('Raw Data'!P282), IFERROR('Raw Data'!P282 = ROUND('Raw Data'!P282, 2),FALSE)),"",_xlfn.REGEXEXTRACT(CELL("address",P282), "\$([A-Z]+)\$[0-9]+"))),_xlfn.REGEXEXTRACT(CELL("address",P282), "\$([A-Z]+)\$[0-9]+"))</f>
        <v/>
      </c>
      <c r="Q282" s="7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7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7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7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7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7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7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7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7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7" t="str" cm="1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7" t="str" cm="1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7" t="str" cm="1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  <c r="AC282" s="7" t="str" cm="1">
        <f t="array" aca="1" ref="AC282" ca="1">IFERROR(IF(OR('Raw Data'!AC282="",LEN(TRIM('Raw Data'!AC282))=0),"",IF(AND(ISNUMBER('Raw Data'!AC282), IFERROR('Raw Data'!AC282 = ROUND('Raw Data'!AC282, 2),FALSE)),"",_xlfn.REGEXEXTRACT(CELL("address",AC282), "\$([A-Z]+)\$[0-9]+"))),_xlfn.REGEXEXTRACT(CELL("address",AC282), "\$([A-Z]+)\$[0-9]+"))</f>
        <v/>
      </c>
      <c r="AD282" s="7" t="str" cm="1">
        <f t="array" aca="1" ref="AD282" ca="1">IFERROR(IF(OR('Raw Data'!AD282="",LEN(TRIM('Raw Data'!AD282))=0),"",IF(AND(ISNUMBER('Raw Data'!AD282), IFERROR('Raw Data'!AD282 = ROUND('Raw Data'!AD282, 2),FALSE)),"",_xlfn.REGEXEXTRACT(CELL("address",AD282), "\$([A-Z]+)\$[0-9]+"))),_xlfn.REGEXEXTRACT(CELL("address",AD282), "\$([A-Z]+)\$[0-9]+"))</f>
        <v/>
      </c>
    </row>
    <row r="283" spans="2:30" x14ac:dyDescent="0.25">
      <c r="B283" s="7" t="str" cm="1">
        <f t="array" aca="1" ref="B283" ca="1">IFERROR(IF(OR('Raw Data'!B283="",LEN(TRIM('Raw Data'!B283))=0),"",IF(AND(LEN('Raw Data'!B283) &lt;= 20,LEN('Raw Data'!B283)&gt; 0),"",_xlfn.REGEXEXTRACT(CELL("address",'Raw Data'!B283),"\$([A-Z]+)\$[0-9]+"))),_xlfn.REGEXEXTRACT(CELL("address",'Raw Data'!B283),"\$([A-Z]+)\$[0-9]+"))</f>
        <v/>
      </c>
      <c r="C283" s="7" t="str" cm="1">
        <f t="array" aca="1" ref="C283" ca="1">IFERROR(IF(OR('Raw Data'!C283="",LEN(TRIM('Raw Data'!C283))=0),"",IF(AND(LEN('Raw Data'!C283) &lt;= 255,LEN('Raw Data'!C283)&gt; 0),"",_xlfn.REGEXEXTRACT(CELL("address",'Raw Data'!C283),"\$([A-Z]+)\$[0-9]+"))),_xlfn.REGEXEXTRACT(CELL("address",'Raw Data'!C283),"\$([A-Z]+)\$[0-9]+"))</f>
        <v/>
      </c>
      <c r="D283" s="7" t="str" cm="1">
        <f t="array" aca="1" ref="D283" ca="1">IFERROR(IF(OR('Raw Data'!D283="",LEN(TRIM('Raw Data'!D283))=0),"",IF(AND(LEN('Raw Data'!D283) &lt;= 20,LEN('Raw Data'!D283)&gt; 0),"",_xlfn.REGEXEXTRACT(CELL("address",'Raw Data'!D283),"\$([A-Z]+)\$[0-9]+"))),_xlfn.REGEXEXTRACT(CELL("address",'Raw Data'!D283),"\$([A-Z]+)\$[0-9]+"))</f>
        <v/>
      </c>
      <c r="E283" s="7" t="str" cm="1">
        <f t="array" aca="1" ref="E283" ca="1">IFERROR(IF(OR('Raw Data'!E283="",LEN(TRIM('Raw Data'!E283))=0),"",IF(AND(ISNUMBER('Raw Data'!E283),'Raw Data'!E283&gt;=Configuration!$D$2),"",_xlfn.REGEXEXTRACT(CELL("address",'Raw Data'!E283),"\$([A-Z]+)\$[0-9]+"))),_xlfn.REGEXEXTRACT(CELL("address",E283), "\$([A-Z]+)\$[0-9]+"))</f>
        <v/>
      </c>
      <c r="F283" s="7" t="str" cm="1">
        <f t="array" aca="1" ref="F283" ca="1">IFERROR(IF(OR('Raw Data'!F283="",LEN(TRIM('Raw Data'!F283))=0),"",IF(AND(ISNUMBER('Raw Data'!F283), IFERROR('Raw Data'!F283 = ROUND('Raw Data'!F283, 4),FALSE)),"",_xlfn.REGEXEXTRACT(CELL("address",F283), "\$([A-Z]+)\$[0-9]+"))),_xlfn.REGEXEXTRACT(CELL("address",F283), "\$([A-Z]+)\$[0-9]+"))</f>
        <v/>
      </c>
      <c r="G283" s="7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7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7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7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7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7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7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7" t="str" cm="1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  <c r="O283" s="7" t="str" cm="1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7" t="str" cm="1">
        <f t="array" aca="1" ref="P283" ca="1">IFERROR(IF(OR('Raw Data'!P283="",LEN(TRIM('Raw Data'!P283))=0),"",IF(AND(ISNUMBER('Raw Data'!P283), IFERROR('Raw Data'!P283 = ROUND('Raw Data'!P283, 2),FALSE)),"",_xlfn.REGEXEXTRACT(CELL("address",P283), "\$([A-Z]+)\$[0-9]+"))),_xlfn.REGEXEXTRACT(CELL("address",P283), "\$([A-Z]+)\$[0-9]+"))</f>
        <v/>
      </c>
      <c r="Q283" s="7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7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7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7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7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7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7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7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7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7" t="str" cm="1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7" t="str" cm="1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7" t="str" cm="1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  <c r="AC283" s="7" t="str" cm="1">
        <f t="array" aca="1" ref="AC283" ca="1">IFERROR(IF(OR('Raw Data'!AC283="",LEN(TRIM('Raw Data'!AC283))=0),"",IF(AND(ISNUMBER('Raw Data'!AC283), IFERROR('Raw Data'!AC283 = ROUND('Raw Data'!AC283, 2),FALSE)),"",_xlfn.REGEXEXTRACT(CELL("address",AC283), "\$([A-Z]+)\$[0-9]+"))),_xlfn.REGEXEXTRACT(CELL("address",AC283), "\$([A-Z]+)\$[0-9]+"))</f>
        <v/>
      </c>
      <c r="AD283" s="7" t="str" cm="1">
        <f t="array" aca="1" ref="AD283" ca="1">IFERROR(IF(OR('Raw Data'!AD283="",LEN(TRIM('Raw Data'!AD283))=0),"",IF(AND(ISNUMBER('Raw Data'!AD283), IFERROR('Raw Data'!AD283 = ROUND('Raw Data'!AD283, 2),FALSE)),"",_xlfn.REGEXEXTRACT(CELL("address",AD283), "\$([A-Z]+)\$[0-9]+"))),_xlfn.REGEXEXTRACT(CELL("address",AD283), "\$([A-Z]+)\$[0-9]+"))</f>
        <v/>
      </c>
    </row>
    <row r="284" spans="2:30" x14ac:dyDescent="0.25">
      <c r="B284" s="7" t="str" cm="1">
        <f t="array" aca="1" ref="B284" ca="1">IFERROR(IF(OR('Raw Data'!B284="",LEN(TRIM('Raw Data'!B284))=0),"",IF(AND(LEN('Raw Data'!B284) &lt;= 20,LEN('Raw Data'!B284)&gt; 0),"",_xlfn.REGEXEXTRACT(CELL("address",'Raw Data'!B284),"\$([A-Z]+)\$[0-9]+"))),_xlfn.REGEXEXTRACT(CELL("address",'Raw Data'!B284),"\$([A-Z]+)\$[0-9]+"))</f>
        <v/>
      </c>
      <c r="C284" s="7" t="str" cm="1">
        <f t="array" aca="1" ref="C284" ca="1">IFERROR(IF(OR('Raw Data'!C284="",LEN(TRIM('Raw Data'!C284))=0),"",IF(AND(LEN('Raw Data'!C284) &lt;= 255,LEN('Raw Data'!C284)&gt; 0),"",_xlfn.REGEXEXTRACT(CELL("address",'Raw Data'!C284),"\$([A-Z]+)\$[0-9]+"))),_xlfn.REGEXEXTRACT(CELL("address",'Raw Data'!C284),"\$([A-Z]+)\$[0-9]+"))</f>
        <v/>
      </c>
      <c r="D284" s="7" t="str" cm="1">
        <f t="array" aca="1" ref="D284" ca="1">IFERROR(IF(OR('Raw Data'!D284="",LEN(TRIM('Raw Data'!D284))=0),"",IF(AND(LEN('Raw Data'!D284) &lt;= 20,LEN('Raw Data'!D284)&gt; 0),"",_xlfn.REGEXEXTRACT(CELL("address",'Raw Data'!D284),"\$([A-Z]+)\$[0-9]+"))),_xlfn.REGEXEXTRACT(CELL("address",'Raw Data'!D284),"\$([A-Z]+)\$[0-9]+"))</f>
        <v/>
      </c>
      <c r="E284" s="7" t="str" cm="1">
        <f t="array" aca="1" ref="E284" ca="1">IFERROR(IF(OR('Raw Data'!E284="",LEN(TRIM('Raw Data'!E284))=0),"",IF(AND(ISNUMBER('Raw Data'!E284),'Raw Data'!E284&gt;=Configuration!$D$2),"",_xlfn.REGEXEXTRACT(CELL("address",'Raw Data'!E284),"\$([A-Z]+)\$[0-9]+"))),_xlfn.REGEXEXTRACT(CELL("address",E284), "\$([A-Z]+)\$[0-9]+"))</f>
        <v/>
      </c>
      <c r="F284" s="7" t="str" cm="1">
        <f t="array" aca="1" ref="F284" ca="1">IFERROR(IF(OR('Raw Data'!F284="",LEN(TRIM('Raw Data'!F284))=0),"",IF(AND(ISNUMBER('Raw Data'!F284), IFERROR('Raw Data'!F284 = ROUND('Raw Data'!F284, 4),FALSE)),"",_xlfn.REGEXEXTRACT(CELL("address",F284), "\$([A-Z]+)\$[0-9]+"))),_xlfn.REGEXEXTRACT(CELL("address",F284), "\$([A-Z]+)\$[0-9]+"))</f>
        <v/>
      </c>
      <c r="G284" s="7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7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7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7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7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7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7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7" t="str" cm="1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  <c r="O284" s="7" t="str" cm="1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7" t="str" cm="1">
        <f t="array" aca="1" ref="P284" ca="1">IFERROR(IF(OR('Raw Data'!P284="",LEN(TRIM('Raw Data'!P284))=0),"",IF(AND(ISNUMBER('Raw Data'!P284), IFERROR('Raw Data'!P284 = ROUND('Raw Data'!P284, 2),FALSE)),"",_xlfn.REGEXEXTRACT(CELL("address",P284), "\$([A-Z]+)\$[0-9]+"))),_xlfn.REGEXEXTRACT(CELL("address",P284), "\$([A-Z]+)\$[0-9]+"))</f>
        <v/>
      </c>
      <c r="Q284" s="7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7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7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7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7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7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7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7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7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7" t="str" cm="1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7" t="str" cm="1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7" t="str" cm="1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  <c r="AC284" s="7" t="str" cm="1">
        <f t="array" aca="1" ref="AC284" ca="1">IFERROR(IF(OR('Raw Data'!AC284="",LEN(TRIM('Raw Data'!AC284))=0),"",IF(AND(ISNUMBER('Raw Data'!AC284), IFERROR('Raw Data'!AC284 = ROUND('Raw Data'!AC284, 2),FALSE)),"",_xlfn.REGEXEXTRACT(CELL("address",AC284), "\$([A-Z]+)\$[0-9]+"))),_xlfn.REGEXEXTRACT(CELL("address",AC284), "\$([A-Z]+)\$[0-9]+"))</f>
        <v/>
      </c>
      <c r="AD284" s="7" t="str" cm="1">
        <f t="array" aca="1" ref="AD284" ca="1">IFERROR(IF(OR('Raw Data'!AD284="",LEN(TRIM('Raw Data'!AD284))=0),"",IF(AND(ISNUMBER('Raw Data'!AD284), IFERROR('Raw Data'!AD284 = ROUND('Raw Data'!AD284, 2),FALSE)),"",_xlfn.REGEXEXTRACT(CELL("address",AD284), "\$([A-Z]+)\$[0-9]+"))),_xlfn.REGEXEXTRACT(CELL("address",AD284), "\$([A-Z]+)\$[0-9]+"))</f>
        <v/>
      </c>
    </row>
    <row r="285" spans="2:30" x14ac:dyDescent="0.25">
      <c r="B285" s="7" t="str" cm="1">
        <f t="array" aca="1" ref="B285" ca="1">IFERROR(IF(OR('Raw Data'!B285="",LEN(TRIM('Raw Data'!B285))=0),"",IF(AND(LEN('Raw Data'!B285) &lt;= 20,LEN('Raw Data'!B285)&gt; 0),"",_xlfn.REGEXEXTRACT(CELL("address",'Raw Data'!B285),"\$([A-Z]+)\$[0-9]+"))),_xlfn.REGEXEXTRACT(CELL("address",'Raw Data'!B285),"\$([A-Z]+)\$[0-9]+"))</f>
        <v/>
      </c>
      <c r="C285" s="7" t="str" cm="1">
        <f t="array" aca="1" ref="C285" ca="1">IFERROR(IF(OR('Raw Data'!C285="",LEN(TRIM('Raw Data'!C285))=0),"",IF(AND(LEN('Raw Data'!C285) &lt;= 255,LEN('Raw Data'!C285)&gt; 0),"",_xlfn.REGEXEXTRACT(CELL("address",'Raw Data'!C285),"\$([A-Z]+)\$[0-9]+"))),_xlfn.REGEXEXTRACT(CELL("address",'Raw Data'!C285),"\$([A-Z]+)\$[0-9]+"))</f>
        <v/>
      </c>
      <c r="D285" s="7" t="str" cm="1">
        <f t="array" aca="1" ref="D285" ca="1">IFERROR(IF(OR('Raw Data'!D285="",LEN(TRIM('Raw Data'!D285))=0),"",IF(AND(LEN('Raw Data'!D285) &lt;= 20,LEN('Raw Data'!D285)&gt; 0),"",_xlfn.REGEXEXTRACT(CELL("address",'Raw Data'!D285),"\$([A-Z]+)\$[0-9]+"))),_xlfn.REGEXEXTRACT(CELL("address",'Raw Data'!D285),"\$([A-Z]+)\$[0-9]+"))</f>
        <v/>
      </c>
      <c r="E285" s="7" t="str" cm="1">
        <f t="array" aca="1" ref="E285" ca="1">IFERROR(IF(OR('Raw Data'!E285="",LEN(TRIM('Raw Data'!E285))=0),"",IF(AND(ISNUMBER('Raw Data'!E285),'Raw Data'!E285&gt;=Configuration!$D$2),"",_xlfn.REGEXEXTRACT(CELL("address",'Raw Data'!E285),"\$([A-Z]+)\$[0-9]+"))),_xlfn.REGEXEXTRACT(CELL("address",E285), "\$([A-Z]+)\$[0-9]+"))</f>
        <v/>
      </c>
      <c r="F285" s="7" t="str" cm="1">
        <f t="array" aca="1" ref="F285" ca="1">IFERROR(IF(OR('Raw Data'!F285="",LEN(TRIM('Raw Data'!F285))=0),"",IF(AND(ISNUMBER('Raw Data'!F285), IFERROR('Raw Data'!F285 = ROUND('Raw Data'!F285, 4),FALSE)),"",_xlfn.REGEXEXTRACT(CELL("address",F285), "\$([A-Z]+)\$[0-9]+"))),_xlfn.REGEXEXTRACT(CELL("address",F285), "\$([A-Z]+)\$[0-9]+"))</f>
        <v/>
      </c>
      <c r="G285" s="7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7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7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7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7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7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7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7" t="str" cm="1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  <c r="O285" s="7" t="str" cm="1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7" t="str" cm="1">
        <f t="array" aca="1" ref="P285" ca="1">IFERROR(IF(OR('Raw Data'!P285="",LEN(TRIM('Raw Data'!P285))=0),"",IF(AND(ISNUMBER('Raw Data'!P285), IFERROR('Raw Data'!P285 = ROUND('Raw Data'!P285, 2),FALSE)),"",_xlfn.REGEXEXTRACT(CELL("address",P285), "\$([A-Z]+)\$[0-9]+"))),_xlfn.REGEXEXTRACT(CELL("address",P285), "\$([A-Z]+)\$[0-9]+"))</f>
        <v/>
      </c>
      <c r="Q285" s="7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7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7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7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7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7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7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7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7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7" t="str" cm="1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7" t="str" cm="1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7" t="str" cm="1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  <c r="AC285" s="7" t="str" cm="1">
        <f t="array" aca="1" ref="AC285" ca="1">IFERROR(IF(OR('Raw Data'!AC285="",LEN(TRIM('Raw Data'!AC285))=0),"",IF(AND(ISNUMBER('Raw Data'!AC285), IFERROR('Raw Data'!AC285 = ROUND('Raw Data'!AC285, 2),FALSE)),"",_xlfn.REGEXEXTRACT(CELL("address",AC285), "\$([A-Z]+)\$[0-9]+"))),_xlfn.REGEXEXTRACT(CELL("address",AC285), "\$([A-Z]+)\$[0-9]+"))</f>
        <v/>
      </c>
      <c r="AD285" s="7" t="str" cm="1">
        <f t="array" aca="1" ref="AD285" ca="1">IFERROR(IF(OR('Raw Data'!AD285="",LEN(TRIM('Raw Data'!AD285))=0),"",IF(AND(ISNUMBER('Raw Data'!AD285), IFERROR('Raw Data'!AD285 = ROUND('Raw Data'!AD285, 2),FALSE)),"",_xlfn.REGEXEXTRACT(CELL("address",AD285), "\$([A-Z]+)\$[0-9]+"))),_xlfn.REGEXEXTRACT(CELL("address",AD285), "\$([A-Z]+)\$[0-9]+"))</f>
        <v/>
      </c>
    </row>
    <row r="286" spans="2:30" x14ac:dyDescent="0.25">
      <c r="B286" s="7" t="str" cm="1">
        <f t="array" aca="1" ref="B286" ca="1">IFERROR(IF(OR('Raw Data'!B286="",LEN(TRIM('Raw Data'!B286))=0),"",IF(AND(LEN('Raw Data'!B286) &lt;= 20,LEN('Raw Data'!B286)&gt; 0),"",_xlfn.REGEXEXTRACT(CELL("address",'Raw Data'!B286),"\$([A-Z]+)\$[0-9]+"))),_xlfn.REGEXEXTRACT(CELL("address",'Raw Data'!B286),"\$([A-Z]+)\$[0-9]+"))</f>
        <v/>
      </c>
      <c r="C286" s="7" t="str" cm="1">
        <f t="array" aca="1" ref="C286" ca="1">IFERROR(IF(OR('Raw Data'!C286="",LEN(TRIM('Raw Data'!C286))=0),"",IF(AND(LEN('Raw Data'!C286) &lt;= 255,LEN('Raw Data'!C286)&gt; 0),"",_xlfn.REGEXEXTRACT(CELL("address",'Raw Data'!C286),"\$([A-Z]+)\$[0-9]+"))),_xlfn.REGEXEXTRACT(CELL("address",'Raw Data'!C286),"\$([A-Z]+)\$[0-9]+"))</f>
        <v/>
      </c>
      <c r="D286" s="7" t="str" cm="1">
        <f t="array" aca="1" ref="D286" ca="1">IFERROR(IF(OR('Raw Data'!D286="",LEN(TRIM('Raw Data'!D286))=0),"",IF(AND(LEN('Raw Data'!D286) &lt;= 20,LEN('Raw Data'!D286)&gt; 0),"",_xlfn.REGEXEXTRACT(CELL("address",'Raw Data'!D286),"\$([A-Z]+)\$[0-9]+"))),_xlfn.REGEXEXTRACT(CELL("address",'Raw Data'!D286),"\$([A-Z]+)\$[0-9]+"))</f>
        <v/>
      </c>
      <c r="E286" s="7" t="str" cm="1">
        <f t="array" aca="1" ref="E286" ca="1">IFERROR(IF(OR('Raw Data'!E286="",LEN(TRIM('Raw Data'!E286))=0),"",IF(AND(ISNUMBER('Raw Data'!E286),'Raw Data'!E286&gt;=Configuration!$D$2),"",_xlfn.REGEXEXTRACT(CELL("address",'Raw Data'!E286),"\$([A-Z]+)\$[0-9]+"))),_xlfn.REGEXEXTRACT(CELL("address",E286), "\$([A-Z]+)\$[0-9]+"))</f>
        <v/>
      </c>
      <c r="F286" s="7" t="str" cm="1">
        <f t="array" aca="1" ref="F286" ca="1">IFERROR(IF(OR('Raw Data'!F286="",LEN(TRIM('Raw Data'!F286))=0),"",IF(AND(ISNUMBER('Raw Data'!F286), IFERROR('Raw Data'!F286 = ROUND('Raw Data'!F286, 4),FALSE)),"",_xlfn.REGEXEXTRACT(CELL("address",F286), "\$([A-Z]+)\$[0-9]+"))),_xlfn.REGEXEXTRACT(CELL("address",F286), "\$([A-Z]+)\$[0-9]+"))</f>
        <v/>
      </c>
      <c r="G286" s="7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7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7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7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7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7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7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7" t="str" cm="1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  <c r="O286" s="7" t="str" cm="1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7" t="str" cm="1">
        <f t="array" aca="1" ref="P286" ca="1">IFERROR(IF(OR('Raw Data'!P286="",LEN(TRIM('Raw Data'!P286))=0),"",IF(AND(ISNUMBER('Raw Data'!P286), IFERROR('Raw Data'!P286 = ROUND('Raw Data'!P286, 2),FALSE)),"",_xlfn.REGEXEXTRACT(CELL("address",P286), "\$([A-Z]+)\$[0-9]+"))),_xlfn.REGEXEXTRACT(CELL("address",P286), "\$([A-Z]+)\$[0-9]+"))</f>
        <v/>
      </c>
      <c r="Q286" s="7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7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7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7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7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7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7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7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7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7" t="str" cm="1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7" t="str" cm="1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7" t="str" cm="1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  <c r="AC286" s="7" t="str" cm="1">
        <f t="array" aca="1" ref="AC286" ca="1">IFERROR(IF(OR('Raw Data'!AC286="",LEN(TRIM('Raw Data'!AC286))=0),"",IF(AND(ISNUMBER('Raw Data'!AC286), IFERROR('Raw Data'!AC286 = ROUND('Raw Data'!AC286, 2),FALSE)),"",_xlfn.REGEXEXTRACT(CELL("address",AC286), "\$([A-Z]+)\$[0-9]+"))),_xlfn.REGEXEXTRACT(CELL("address",AC286), "\$([A-Z]+)\$[0-9]+"))</f>
        <v/>
      </c>
      <c r="AD286" s="7" t="str" cm="1">
        <f t="array" aca="1" ref="AD286" ca="1">IFERROR(IF(OR('Raw Data'!AD286="",LEN(TRIM('Raw Data'!AD286))=0),"",IF(AND(ISNUMBER('Raw Data'!AD286), IFERROR('Raw Data'!AD286 = ROUND('Raw Data'!AD286, 2),FALSE)),"",_xlfn.REGEXEXTRACT(CELL("address",AD286), "\$([A-Z]+)\$[0-9]+"))),_xlfn.REGEXEXTRACT(CELL("address",AD286), "\$([A-Z]+)\$[0-9]+"))</f>
        <v/>
      </c>
    </row>
    <row r="287" spans="2:30" x14ac:dyDescent="0.25">
      <c r="B287" s="7" t="str" cm="1">
        <f t="array" aca="1" ref="B287" ca="1">IFERROR(IF(OR('Raw Data'!B287="",LEN(TRIM('Raw Data'!B287))=0),"",IF(AND(LEN('Raw Data'!B287) &lt;= 20,LEN('Raw Data'!B287)&gt; 0),"",_xlfn.REGEXEXTRACT(CELL("address",'Raw Data'!B287),"\$([A-Z]+)\$[0-9]+"))),_xlfn.REGEXEXTRACT(CELL("address",'Raw Data'!B287),"\$([A-Z]+)\$[0-9]+"))</f>
        <v/>
      </c>
      <c r="C287" s="7" t="str" cm="1">
        <f t="array" aca="1" ref="C287" ca="1">IFERROR(IF(OR('Raw Data'!C287="",LEN(TRIM('Raw Data'!C287))=0),"",IF(AND(LEN('Raw Data'!C287) &lt;= 255,LEN('Raw Data'!C287)&gt; 0),"",_xlfn.REGEXEXTRACT(CELL("address",'Raw Data'!C287),"\$([A-Z]+)\$[0-9]+"))),_xlfn.REGEXEXTRACT(CELL("address",'Raw Data'!C287),"\$([A-Z]+)\$[0-9]+"))</f>
        <v/>
      </c>
      <c r="D287" s="7" t="str" cm="1">
        <f t="array" aca="1" ref="D287" ca="1">IFERROR(IF(OR('Raw Data'!D287="",LEN(TRIM('Raw Data'!D287))=0),"",IF(AND(LEN('Raw Data'!D287) &lt;= 20,LEN('Raw Data'!D287)&gt; 0),"",_xlfn.REGEXEXTRACT(CELL("address",'Raw Data'!D287),"\$([A-Z]+)\$[0-9]+"))),_xlfn.REGEXEXTRACT(CELL("address",'Raw Data'!D287),"\$([A-Z]+)\$[0-9]+"))</f>
        <v/>
      </c>
      <c r="E287" s="7" t="str" cm="1">
        <f t="array" aca="1" ref="E287" ca="1">IFERROR(IF(OR('Raw Data'!E287="",LEN(TRIM('Raw Data'!E287))=0),"",IF(AND(ISNUMBER('Raw Data'!E287),'Raw Data'!E287&gt;=Configuration!$D$2),"",_xlfn.REGEXEXTRACT(CELL("address",'Raw Data'!E287),"\$([A-Z]+)\$[0-9]+"))),_xlfn.REGEXEXTRACT(CELL("address",E287), "\$([A-Z]+)\$[0-9]+"))</f>
        <v/>
      </c>
      <c r="F287" s="7" t="str" cm="1">
        <f t="array" aca="1" ref="F287" ca="1">IFERROR(IF(OR('Raw Data'!F287="",LEN(TRIM('Raw Data'!F287))=0),"",IF(AND(ISNUMBER('Raw Data'!F287), IFERROR('Raw Data'!F287 = ROUND('Raw Data'!F287, 4),FALSE)),"",_xlfn.REGEXEXTRACT(CELL("address",F287), "\$([A-Z]+)\$[0-9]+"))),_xlfn.REGEXEXTRACT(CELL("address",F287), "\$([A-Z]+)\$[0-9]+"))</f>
        <v/>
      </c>
      <c r="G287" s="7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7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7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7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7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7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7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7" t="str" cm="1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  <c r="O287" s="7" t="str" cm="1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7" t="str" cm="1">
        <f t="array" aca="1" ref="P287" ca="1">IFERROR(IF(OR('Raw Data'!P287="",LEN(TRIM('Raw Data'!P287))=0),"",IF(AND(ISNUMBER('Raw Data'!P287), IFERROR('Raw Data'!P287 = ROUND('Raw Data'!P287, 2),FALSE)),"",_xlfn.REGEXEXTRACT(CELL("address",P287), "\$([A-Z]+)\$[0-9]+"))),_xlfn.REGEXEXTRACT(CELL("address",P287), "\$([A-Z]+)\$[0-9]+"))</f>
        <v/>
      </c>
      <c r="Q287" s="7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7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7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7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7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7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7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7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7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7" t="str" cm="1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7" t="str" cm="1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7" t="str" cm="1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  <c r="AC287" s="7" t="str" cm="1">
        <f t="array" aca="1" ref="AC287" ca="1">IFERROR(IF(OR('Raw Data'!AC287="",LEN(TRIM('Raw Data'!AC287))=0),"",IF(AND(ISNUMBER('Raw Data'!AC287), IFERROR('Raw Data'!AC287 = ROUND('Raw Data'!AC287, 2),FALSE)),"",_xlfn.REGEXEXTRACT(CELL("address",AC287), "\$([A-Z]+)\$[0-9]+"))),_xlfn.REGEXEXTRACT(CELL("address",AC287), "\$([A-Z]+)\$[0-9]+"))</f>
        <v/>
      </c>
      <c r="AD287" s="7" t="str" cm="1">
        <f t="array" aca="1" ref="AD287" ca="1">IFERROR(IF(OR('Raw Data'!AD287="",LEN(TRIM('Raw Data'!AD287))=0),"",IF(AND(ISNUMBER('Raw Data'!AD287), IFERROR('Raw Data'!AD287 = ROUND('Raw Data'!AD287, 2),FALSE)),"",_xlfn.REGEXEXTRACT(CELL("address",AD287), "\$([A-Z]+)\$[0-9]+"))),_xlfn.REGEXEXTRACT(CELL("address",AD287), "\$([A-Z]+)\$[0-9]+"))</f>
        <v/>
      </c>
    </row>
    <row r="288" spans="2:30" x14ac:dyDescent="0.25">
      <c r="B288" s="7" t="str" cm="1">
        <f t="array" aca="1" ref="B288" ca="1">IFERROR(IF(OR('Raw Data'!B288="",LEN(TRIM('Raw Data'!B288))=0),"",IF(AND(LEN('Raw Data'!B288) &lt;= 20,LEN('Raw Data'!B288)&gt; 0),"",_xlfn.REGEXEXTRACT(CELL("address",'Raw Data'!B288),"\$([A-Z]+)\$[0-9]+"))),_xlfn.REGEXEXTRACT(CELL("address",'Raw Data'!B288),"\$([A-Z]+)\$[0-9]+"))</f>
        <v/>
      </c>
      <c r="C288" s="7" t="str" cm="1">
        <f t="array" aca="1" ref="C288" ca="1">IFERROR(IF(OR('Raw Data'!C288="",LEN(TRIM('Raw Data'!C288))=0),"",IF(AND(LEN('Raw Data'!C288) &lt;= 255,LEN('Raw Data'!C288)&gt; 0),"",_xlfn.REGEXEXTRACT(CELL("address",'Raw Data'!C288),"\$([A-Z]+)\$[0-9]+"))),_xlfn.REGEXEXTRACT(CELL("address",'Raw Data'!C288),"\$([A-Z]+)\$[0-9]+"))</f>
        <v/>
      </c>
      <c r="D288" s="7" t="str" cm="1">
        <f t="array" aca="1" ref="D288" ca="1">IFERROR(IF(OR('Raw Data'!D288="",LEN(TRIM('Raw Data'!D288))=0),"",IF(AND(LEN('Raw Data'!D288) &lt;= 20,LEN('Raw Data'!D288)&gt; 0),"",_xlfn.REGEXEXTRACT(CELL("address",'Raw Data'!D288),"\$([A-Z]+)\$[0-9]+"))),_xlfn.REGEXEXTRACT(CELL("address",'Raw Data'!D288),"\$([A-Z]+)\$[0-9]+"))</f>
        <v/>
      </c>
      <c r="E288" s="7" t="str" cm="1">
        <f t="array" aca="1" ref="E288" ca="1">IFERROR(IF(OR('Raw Data'!E288="",LEN(TRIM('Raw Data'!E288))=0),"",IF(AND(ISNUMBER('Raw Data'!E288),'Raw Data'!E288&gt;=Configuration!$D$2),"",_xlfn.REGEXEXTRACT(CELL("address",'Raw Data'!E288),"\$([A-Z]+)\$[0-9]+"))),_xlfn.REGEXEXTRACT(CELL("address",E288), "\$([A-Z]+)\$[0-9]+"))</f>
        <v/>
      </c>
      <c r="F288" s="7" t="str" cm="1">
        <f t="array" aca="1" ref="F288" ca="1">IFERROR(IF(OR('Raw Data'!F288="",LEN(TRIM('Raw Data'!F288))=0),"",IF(AND(ISNUMBER('Raw Data'!F288), IFERROR('Raw Data'!F288 = ROUND('Raw Data'!F288, 4),FALSE)),"",_xlfn.REGEXEXTRACT(CELL("address",F288), "\$([A-Z]+)\$[0-9]+"))),_xlfn.REGEXEXTRACT(CELL("address",F288), "\$([A-Z]+)\$[0-9]+"))</f>
        <v/>
      </c>
      <c r="G288" s="7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7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7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7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7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7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7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7" t="str" cm="1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  <c r="O288" s="7" t="str" cm="1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7" t="str" cm="1">
        <f t="array" aca="1" ref="P288" ca="1">IFERROR(IF(OR('Raw Data'!P288="",LEN(TRIM('Raw Data'!P288))=0),"",IF(AND(ISNUMBER('Raw Data'!P288), IFERROR('Raw Data'!P288 = ROUND('Raw Data'!P288, 2),FALSE)),"",_xlfn.REGEXEXTRACT(CELL("address",P288), "\$([A-Z]+)\$[0-9]+"))),_xlfn.REGEXEXTRACT(CELL("address",P288), "\$([A-Z]+)\$[0-9]+"))</f>
        <v/>
      </c>
      <c r="Q288" s="7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7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7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7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7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7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7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7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7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7" t="str" cm="1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7" t="str" cm="1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7" t="str" cm="1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  <c r="AC288" s="7" t="str" cm="1">
        <f t="array" aca="1" ref="AC288" ca="1">IFERROR(IF(OR('Raw Data'!AC288="",LEN(TRIM('Raw Data'!AC288))=0),"",IF(AND(ISNUMBER('Raw Data'!AC288), IFERROR('Raw Data'!AC288 = ROUND('Raw Data'!AC288, 2),FALSE)),"",_xlfn.REGEXEXTRACT(CELL("address",AC288), "\$([A-Z]+)\$[0-9]+"))),_xlfn.REGEXEXTRACT(CELL("address",AC288), "\$([A-Z]+)\$[0-9]+"))</f>
        <v/>
      </c>
      <c r="AD288" s="7" t="str" cm="1">
        <f t="array" aca="1" ref="AD288" ca="1">IFERROR(IF(OR('Raw Data'!AD288="",LEN(TRIM('Raw Data'!AD288))=0),"",IF(AND(ISNUMBER('Raw Data'!AD288), IFERROR('Raw Data'!AD288 = ROUND('Raw Data'!AD288, 2),FALSE)),"",_xlfn.REGEXEXTRACT(CELL("address",AD288), "\$([A-Z]+)\$[0-9]+"))),_xlfn.REGEXEXTRACT(CELL("address",AD288), "\$([A-Z]+)\$[0-9]+"))</f>
        <v/>
      </c>
    </row>
    <row r="289" spans="2:30" x14ac:dyDescent="0.25">
      <c r="B289" s="7" t="str" cm="1">
        <f t="array" aca="1" ref="B289" ca="1">IFERROR(IF(OR('Raw Data'!B289="",LEN(TRIM('Raw Data'!B289))=0),"",IF(AND(LEN('Raw Data'!B289) &lt;= 20,LEN('Raw Data'!B289)&gt; 0),"",_xlfn.REGEXEXTRACT(CELL("address",'Raw Data'!B289),"\$([A-Z]+)\$[0-9]+"))),_xlfn.REGEXEXTRACT(CELL("address",'Raw Data'!B289),"\$([A-Z]+)\$[0-9]+"))</f>
        <v/>
      </c>
      <c r="C289" s="7" t="str" cm="1">
        <f t="array" aca="1" ref="C289" ca="1">IFERROR(IF(OR('Raw Data'!C289="",LEN(TRIM('Raw Data'!C289))=0),"",IF(AND(LEN('Raw Data'!C289) &lt;= 255,LEN('Raw Data'!C289)&gt; 0),"",_xlfn.REGEXEXTRACT(CELL("address",'Raw Data'!C289),"\$([A-Z]+)\$[0-9]+"))),_xlfn.REGEXEXTRACT(CELL("address",'Raw Data'!C289),"\$([A-Z]+)\$[0-9]+"))</f>
        <v/>
      </c>
      <c r="D289" s="7" t="str" cm="1">
        <f t="array" aca="1" ref="D289" ca="1">IFERROR(IF(OR('Raw Data'!D289="",LEN(TRIM('Raw Data'!D289))=0),"",IF(AND(LEN('Raw Data'!D289) &lt;= 20,LEN('Raw Data'!D289)&gt; 0),"",_xlfn.REGEXEXTRACT(CELL("address",'Raw Data'!D289),"\$([A-Z]+)\$[0-9]+"))),_xlfn.REGEXEXTRACT(CELL("address",'Raw Data'!D289),"\$([A-Z]+)\$[0-9]+"))</f>
        <v/>
      </c>
      <c r="E289" s="7" t="str" cm="1">
        <f t="array" aca="1" ref="E289" ca="1">IFERROR(IF(OR('Raw Data'!E289="",LEN(TRIM('Raw Data'!E289))=0),"",IF(AND(ISNUMBER('Raw Data'!E289),'Raw Data'!E289&gt;=Configuration!$D$2),"",_xlfn.REGEXEXTRACT(CELL("address",'Raw Data'!E289),"\$([A-Z]+)\$[0-9]+"))),_xlfn.REGEXEXTRACT(CELL("address",E289), "\$([A-Z]+)\$[0-9]+"))</f>
        <v/>
      </c>
      <c r="F289" s="7" t="str" cm="1">
        <f t="array" aca="1" ref="F289" ca="1">IFERROR(IF(OR('Raw Data'!F289="",LEN(TRIM('Raw Data'!F289))=0),"",IF(AND(ISNUMBER('Raw Data'!F289), IFERROR('Raw Data'!F289 = ROUND('Raw Data'!F289, 4),FALSE)),"",_xlfn.REGEXEXTRACT(CELL("address",F289), "\$([A-Z]+)\$[0-9]+"))),_xlfn.REGEXEXTRACT(CELL("address",F289), "\$([A-Z]+)\$[0-9]+"))</f>
        <v/>
      </c>
      <c r="G289" s="7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7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7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7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7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7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7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7" t="str" cm="1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  <c r="O289" s="7" t="str" cm="1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7" t="str" cm="1">
        <f t="array" aca="1" ref="P289" ca="1">IFERROR(IF(OR('Raw Data'!P289="",LEN(TRIM('Raw Data'!P289))=0),"",IF(AND(ISNUMBER('Raw Data'!P289), IFERROR('Raw Data'!P289 = ROUND('Raw Data'!P289, 2),FALSE)),"",_xlfn.REGEXEXTRACT(CELL("address",P289), "\$([A-Z]+)\$[0-9]+"))),_xlfn.REGEXEXTRACT(CELL("address",P289), "\$([A-Z]+)\$[0-9]+"))</f>
        <v/>
      </c>
      <c r="Q289" s="7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7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7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7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7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7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7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7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7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7" t="str" cm="1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7" t="str" cm="1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7" t="str" cm="1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  <c r="AC289" s="7" t="str" cm="1">
        <f t="array" aca="1" ref="AC289" ca="1">IFERROR(IF(OR('Raw Data'!AC289="",LEN(TRIM('Raw Data'!AC289))=0),"",IF(AND(ISNUMBER('Raw Data'!AC289), IFERROR('Raw Data'!AC289 = ROUND('Raw Data'!AC289, 2),FALSE)),"",_xlfn.REGEXEXTRACT(CELL("address",AC289), "\$([A-Z]+)\$[0-9]+"))),_xlfn.REGEXEXTRACT(CELL("address",AC289), "\$([A-Z]+)\$[0-9]+"))</f>
        <v/>
      </c>
      <c r="AD289" s="7" t="str" cm="1">
        <f t="array" aca="1" ref="AD289" ca="1">IFERROR(IF(OR('Raw Data'!AD289="",LEN(TRIM('Raw Data'!AD289))=0),"",IF(AND(ISNUMBER('Raw Data'!AD289), IFERROR('Raw Data'!AD289 = ROUND('Raw Data'!AD289, 2),FALSE)),"",_xlfn.REGEXEXTRACT(CELL("address",AD289), "\$([A-Z]+)\$[0-9]+"))),_xlfn.REGEXEXTRACT(CELL("address",AD289), "\$([A-Z]+)\$[0-9]+"))</f>
        <v/>
      </c>
    </row>
    <row r="290" spans="2:30" x14ac:dyDescent="0.25">
      <c r="B290" s="7" t="str" cm="1">
        <f t="array" aca="1" ref="B290" ca="1">IFERROR(IF(OR('Raw Data'!B290="",LEN(TRIM('Raw Data'!B290))=0),"",IF(AND(LEN('Raw Data'!B290) &lt;= 20,LEN('Raw Data'!B290)&gt; 0),"",_xlfn.REGEXEXTRACT(CELL("address",'Raw Data'!B290),"\$([A-Z]+)\$[0-9]+"))),_xlfn.REGEXEXTRACT(CELL("address",'Raw Data'!B290),"\$([A-Z]+)\$[0-9]+"))</f>
        <v/>
      </c>
      <c r="C290" s="7" t="str" cm="1">
        <f t="array" aca="1" ref="C290" ca="1">IFERROR(IF(OR('Raw Data'!C290="",LEN(TRIM('Raw Data'!C290))=0),"",IF(AND(LEN('Raw Data'!C290) &lt;= 255,LEN('Raw Data'!C290)&gt; 0),"",_xlfn.REGEXEXTRACT(CELL("address",'Raw Data'!C290),"\$([A-Z]+)\$[0-9]+"))),_xlfn.REGEXEXTRACT(CELL("address",'Raw Data'!C290),"\$([A-Z]+)\$[0-9]+"))</f>
        <v/>
      </c>
      <c r="D290" s="7" t="str" cm="1">
        <f t="array" aca="1" ref="D290" ca="1">IFERROR(IF(OR('Raw Data'!D290="",LEN(TRIM('Raw Data'!D290))=0),"",IF(AND(LEN('Raw Data'!D290) &lt;= 20,LEN('Raw Data'!D290)&gt; 0),"",_xlfn.REGEXEXTRACT(CELL("address",'Raw Data'!D290),"\$([A-Z]+)\$[0-9]+"))),_xlfn.REGEXEXTRACT(CELL("address",'Raw Data'!D290),"\$([A-Z]+)\$[0-9]+"))</f>
        <v/>
      </c>
      <c r="E290" s="7" t="str" cm="1">
        <f t="array" aca="1" ref="E290" ca="1">IFERROR(IF(OR('Raw Data'!E290="",LEN(TRIM('Raw Data'!E290))=0),"",IF(AND(ISNUMBER('Raw Data'!E290),'Raw Data'!E290&gt;=Configuration!$D$2),"",_xlfn.REGEXEXTRACT(CELL("address",'Raw Data'!E290),"\$([A-Z]+)\$[0-9]+"))),_xlfn.REGEXEXTRACT(CELL("address",E290), "\$([A-Z]+)\$[0-9]+"))</f>
        <v/>
      </c>
      <c r="F290" s="7" t="str" cm="1">
        <f t="array" aca="1" ref="F290" ca="1">IFERROR(IF(OR('Raw Data'!F290="",LEN(TRIM('Raw Data'!F290))=0),"",IF(AND(ISNUMBER('Raw Data'!F290), IFERROR('Raw Data'!F290 = ROUND('Raw Data'!F290, 4),FALSE)),"",_xlfn.REGEXEXTRACT(CELL("address",F290), "\$([A-Z]+)\$[0-9]+"))),_xlfn.REGEXEXTRACT(CELL("address",F290), "\$([A-Z]+)\$[0-9]+"))</f>
        <v/>
      </c>
      <c r="G290" s="7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7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7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7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7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7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7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7" t="str" cm="1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  <c r="O290" s="7" t="str" cm="1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7" t="str" cm="1">
        <f t="array" aca="1" ref="P290" ca="1">IFERROR(IF(OR('Raw Data'!P290="",LEN(TRIM('Raw Data'!P290))=0),"",IF(AND(ISNUMBER('Raw Data'!P290), IFERROR('Raw Data'!P290 = ROUND('Raw Data'!P290, 2),FALSE)),"",_xlfn.REGEXEXTRACT(CELL("address",P290), "\$([A-Z]+)\$[0-9]+"))),_xlfn.REGEXEXTRACT(CELL("address",P290), "\$([A-Z]+)\$[0-9]+"))</f>
        <v/>
      </c>
      <c r="Q290" s="7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7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7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7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7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7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7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7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7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7" t="str" cm="1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7" t="str" cm="1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7" t="str" cm="1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  <c r="AC290" s="7" t="str" cm="1">
        <f t="array" aca="1" ref="AC290" ca="1">IFERROR(IF(OR('Raw Data'!AC290="",LEN(TRIM('Raw Data'!AC290))=0),"",IF(AND(ISNUMBER('Raw Data'!AC290), IFERROR('Raw Data'!AC290 = ROUND('Raw Data'!AC290, 2),FALSE)),"",_xlfn.REGEXEXTRACT(CELL("address",AC290), "\$([A-Z]+)\$[0-9]+"))),_xlfn.REGEXEXTRACT(CELL("address",AC290), "\$([A-Z]+)\$[0-9]+"))</f>
        <v/>
      </c>
      <c r="AD290" s="7" t="str" cm="1">
        <f t="array" aca="1" ref="AD290" ca="1">IFERROR(IF(OR('Raw Data'!AD290="",LEN(TRIM('Raw Data'!AD290))=0),"",IF(AND(ISNUMBER('Raw Data'!AD290), IFERROR('Raw Data'!AD290 = ROUND('Raw Data'!AD290, 2),FALSE)),"",_xlfn.REGEXEXTRACT(CELL("address",AD290), "\$([A-Z]+)\$[0-9]+"))),_xlfn.REGEXEXTRACT(CELL("address",AD290), "\$([A-Z]+)\$[0-9]+"))</f>
        <v/>
      </c>
    </row>
    <row r="291" spans="2:30" x14ac:dyDescent="0.25">
      <c r="B291" s="7" t="str" cm="1">
        <f t="array" aca="1" ref="B291" ca="1">IFERROR(IF(OR('Raw Data'!B291="",LEN(TRIM('Raw Data'!B291))=0),"",IF(AND(LEN('Raw Data'!B291) &lt;= 20,LEN('Raw Data'!B291)&gt; 0),"",_xlfn.REGEXEXTRACT(CELL("address",'Raw Data'!B291),"\$([A-Z]+)\$[0-9]+"))),_xlfn.REGEXEXTRACT(CELL("address",'Raw Data'!B291),"\$([A-Z]+)\$[0-9]+"))</f>
        <v/>
      </c>
      <c r="C291" s="7" t="str" cm="1">
        <f t="array" aca="1" ref="C291" ca="1">IFERROR(IF(OR('Raw Data'!C291="",LEN(TRIM('Raw Data'!C291))=0),"",IF(AND(LEN('Raw Data'!C291) &lt;= 255,LEN('Raw Data'!C291)&gt; 0),"",_xlfn.REGEXEXTRACT(CELL("address",'Raw Data'!C291),"\$([A-Z]+)\$[0-9]+"))),_xlfn.REGEXEXTRACT(CELL("address",'Raw Data'!C291),"\$([A-Z]+)\$[0-9]+"))</f>
        <v/>
      </c>
      <c r="D291" s="7" t="str" cm="1">
        <f t="array" aca="1" ref="D291" ca="1">IFERROR(IF(OR('Raw Data'!D291="",LEN(TRIM('Raw Data'!D291))=0),"",IF(AND(LEN('Raw Data'!D291) &lt;= 20,LEN('Raw Data'!D291)&gt; 0),"",_xlfn.REGEXEXTRACT(CELL("address",'Raw Data'!D291),"\$([A-Z]+)\$[0-9]+"))),_xlfn.REGEXEXTRACT(CELL("address",'Raw Data'!D291),"\$([A-Z]+)\$[0-9]+"))</f>
        <v/>
      </c>
      <c r="E291" s="7" t="str" cm="1">
        <f t="array" aca="1" ref="E291" ca="1">IFERROR(IF(OR('Raw Data'!E291="",LEN(TRIM('Raw Data'!E291))=0),"",IF(AND(ISNUMBER('Raw Data'!E291),'Raw Data'!E291&gt;=Configuration!$D$2),"",_xlfn.REGEXEXTRACT(CELL("address",'Raw Data'!E291),"\$([A-Z]+)\$[0-9]+"))),_xlfn.REGEXEXTRACT(CELL("address",E291), "\$([A-Z]+)\$[0-9]+"))</f>
        <v/>
      </c>
      <c r="F291" s="7" t="str" cm="1">
        <f t="array" aca="1" ref="F291" ca="1">IFERROR(IF(OR('Raw Data'!F291="",LEN(TRIM('Raw Data'!F291))=0),"",IF(AND(ISNUMBER('Raw Data'!F291), IFERROR('Raw Data'!F291 = ROUND('Raw Data'!F291, 4),FALSE)),"",_xlfn.REGEXEXTRACT(CELL("address",F291), "\$([A-Z]+)\$[0-9]+"))),_xlfn.REGEXEXTRACT(CELL("address",F291), "\$([A-Z]+)\$[0-9]+"))</f>
        <v/>
      </c>
      <c r="G291" s="7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7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7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7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7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7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7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7" t="str" cm="1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  <c r="O291" s="7" t="str" cm="1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7" t="str" cm="1">
        <f t="array" aca="1" ref="P291" ca="1">IFERROR(IF(OR('Raw Data'!P291="",LEN(TRIM('Raw Data'!P291))=0),"",IF(AND(ISNUMBER('Raw Data'!P291), IFERROR('Raw Data'!P291 = ROUND('Raw Data'!P291, 2),FALSE)),"",_xlfn.REGEXEXTRACT(CELL("address",P291), "\$([A-Z]+)\$[0-9]+"))),_xlfn.REGEXEXTRACT(CELL("address",P291), "\$([A-Z]+)\$[0-9]+"))</f>
        <v/>
      </c>
      <c r="Q291" s="7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7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7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7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7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7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7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7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7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7" t="str" cm="1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7" t="str" cm="1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7" t="str" cm="1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  <c r="AC291" s="7" t="str" cm="1">
        <f t="array" aca="1" ref="AC291" ca="1">IFERROR(IF(OR('Raw Data'!AC291="",LEN(TRIM('Raw Data'!AC291))=0),"",IF(AND(ISNUMBER('Raw Data'!AC291), IFERROR('Raw Data'!AC291 = ROUND('Raw Data'!AC291, 2),FALSE)),"",_xlfn.REGEXEXTRACT(CELL("address",AC291), "\$([A-Z]+)\$[0-9]+"))),_xlfn.REGEXEXTRACT(CELL("address",AC291), "\$([A-Z]+)\$[0-9]+"))</f>
        <v/>
      </c>
      <c r="AD291" s="7" t="str" cm="1">
        <f t="array" aca="1" ref="AD291" ca="1">IFERROR(IF(OR('Raw Data'!AD291="",LEN(TRIM('Raw Data'!AD291))=0),"",IF(AND(ISNUMBER('Raw Data'!AD291), IFERROR('Raw Data'!AD291 = ROUND('Raw Data'!AD291, 2),FALSE)),"",_xlfn.REGEXEXTRACT(CELL("address",AD291), "\$([A-Z]+)\$[0-9]+"))),_xlfn.REGEXEXTRACT(CELL("address",AD291), "\$([A-Z]+)\$[0-9]+"))</f>
        <v/>
      </c>
    </row>
    <row r="292" spans="2:30" x14ac:dyDescent="0.25">
      <c r="B292" s="7" t="str" cm="1">
        <f t="array" aca="1" ref="B292" ca="1">IFERROR(IF(OR('Raw Data'!B292="",LEN(TRIM('Raw Data'!B292))=0),"",IF(AND(LEN('Raw Data'!B292) &lt;= 20,LEN('Raw Data'!B292)&gt; 0),"",_xlfn.REGEXEXTRACT(CELL("address",'Raw Data'!B292),"\$([A-Z]+)\$[0-9]+"))),_xlfn.REGEXEXTRACT(CELL("address",'Raw Data'!B292),"\$([A-Z]+)\$[0-9]+"))</f>
        <v/>
      </c>
      <c r="C292" s="7" t="str" cm="1">
        <f t="array" aca="1" ref="C292" ca="1">IFERROR(IF(OR('Raw Data'!C292="",LEN(TRIM('Raw Data'!C292))=0),"",IF(AND(LEN('Raw Data'!C292) &lt;= 255,LEN('Raw Data'!C292)&gt; 0),"",_xlfn.REGEXEXTRACT(CELL("address",'Raw Data'!C292),"\$([A-Z]+)\$[0-9]+"))),_xlfn.REGEXEXTRACT(CELL("address",'Raw Data'!C292),"\$([A-Z]+)\$[0-9]+"))</f>
        <v/>
      </c>
      <c r="D292" s="7" t="str" cm="1">
        <f t="array" aca="1" ref="D292" ca="1">IFERROR(IF(OR('Raw Data'!D292="",LEN(TRIM('Raw Data'!D292))=0),"",IF(AND(LEN('Raw Data'!D292) &lt;= 20,LEN('Raw Data'!D292)&gt; 0),"",_xlfn.REGEXEXTRACT(CELL("address",'Raw Data'!D292),"\$([A-Z]+)\$[0-9]+"))),_xlfn.REGEXEXTRACT(CELL("address",'Raw Data'!D292),"\$([A-Z]+)\$[0-9]+"))</f>
        <v/>
      </c>
      <c r="E292" s="7" t="str" cm="1">
        <f t="array" aca="1" ref="E292" ca="1">IFERROR(IF(OR('Raw Data'!E292="",LEN(TRIM('Raw Data'!E292))=0),"",IF(AND(ISNUMBER('Raw Data'!E292),'Raw Data'!E292&gt;=Configuration!$D$2),"",_xlfn.REGEXEXTRACT(CELL("address",'Raw Data'!E292),"\$([A-Z]+)\$[0-9]+"))),_xlfn.REGEXEXTRACT(CELL("address",E292), "\$([A-Z]+)\$[0-9]+"))</f>
        <v/>
      </c>
      <c r="F292" s="7" t="str" cm="1">
        <f t="array" aca="1" ref="F292" ca="1">IFERROR(IF(OR('Raw Data'!F292="",LEN(TRIM('Raw Data'!F292))=0),"",IF(AND(ISNUMBER('Raw Data'!F292), IFERROR('Raw Data'!F292 = ROUND('Raw Data'!F292, 4),FALSE)),"",_xlfn.REGEXEXTRACT(CELL("address",F292), "\$([A-Z]+)\$[0-9]+"))),_xlfn.REGEXEXTRACT(CELL("address",F292), "\$([A-Z]+)\$[0-9]+"))</f>
        <v/>
      </c>
      <c r="G292" s="7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7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7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7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7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7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7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7" t="str" cm="1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  <c r="O292" s="7" t="str" cm="1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7" t="str" cm="1">
        <f t="array" aca="1" ref="P292" ca="1">IFERROR(IF(OR('Raw Data'!P292="",LEN(TRIM('Raw Data'!P292))=0),"",IF(AND(ISNUMBER('Raw Data'!P292), IFERROR('Raw Data'!P292 = ROUND('Raw Data'!P292, 2),FALSE)),"",_xlfn.REGEXEXTRACT(CELL("address",P292), "\$([A-Z]+)\$[0-9]+"))),_xlfn.REGEXEXTRACT(CELL("address",P292), "\$([A-Z]+)\$[0-9]+"))</f>
        <v/>
      </c>
      <c r="Q292" s="7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7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7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7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7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7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7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7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7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7" t="str" cm="1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7" t="str" cm="1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7" t="str" cm="1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  <c r="AC292" s="7" t="str" cm="1">
        <f t="array" aca="1" ref="AC292" ca="1">IFERROR(IF(OR('Raw Data'!AC292="",LEN(TRIM('Raw Data'!AC292))=0),"",IF(AND(ISNUMBER('Raw Data'!AC292), IFERROR('Raw Data'!AC292 = ROUND('Raw Data'!AC292, 2),FALSE)),"",_xlfn.REGEXEXTRACT(CELL("address",AC292), "\$([A-Z]+)\$[0-9]+"))),_xlfn.REGEXEXTRACT(CELL("address",AC292), "\$([A-Z]+)\$[0-9]+"))</f>
        <v/>
      </c>
      <c r="AD292" s="7" t="str" cm="1">
        <f t="array" aca="1" ref="AD292" ca="1">IFERROR(IF(OR('Raw Data'!AD292="",LEN(TRIM('Raw Data'!AD292))=0),"",IF(AND(ISNUMBER('Raw Data'!AD292), IFERROR('Raw Data'!AD292 = ROUND('Raw Data'!AD292, 2),FALSE)),"",_xlfn.REGEXEXTRACT(CELL("address",AD292), "\$([A-Z]+)\$[0-9]+"))),_xlfn.REGEXEXTRACT(CELL("address",AD292), "\$([A-Z]+)\$[0-9]+"))</f>
        <v/>
      </c>
    </row>
    <row r="293" spans="2:30" x14ac:dyDescent="0.25">
      <c r="B293" s="7" t="str" cm="1">
        <f t="array" aca="1" ref="B293" ca="1">IFERROR(IF(OR('Raw Data'!B293="",LEN(TRIM('Raw Data'!B293))=0),"",IF(AND(LEN('Raw Data'!B293) &lt;= 20,LEN('Raw Data'!B293)&gt; 0),"",_xlfn.REGEXEXTRACT(CELL("address",'Raw Data'!B293),"\$([A-Z]+)\$[0-9]+"))),_xlfn.REGEXEXTRACT(CELL("address",'Raw Data'!B293),"\$([A-Z]+)\$[0-9]+"))</f>
        <v/>
      </c>
      <c r="C293" s="7" t="str" cm="1">
        <f t="array" aca="1" ref="C293" ca="1">IFERROR(IF(OR('Raw Data'!C293="",LEN(TRIM('Raw Data'!C293))=0),"",IF(AND(LEN('Raw Data'!C293) &lt;= 255,LEN('Raw Data'!C293)&gt; 0),"",_xlfn.REGEXEXTRACT(CELL("address",'Raw Data'!C293),"\$([A-Z]+)\$[0-9]+"))),_xlfn.REGEXEXTRACT(CELL("address",'Raw Data'!C293),"\$([A-Z]+)\$[0-9]+"))</f>
        <v/>
      </c>
      <c r="D293" s="7" t="str" cm="1">
        <f t="array" aca="1" ref="D293" ca="1">IFERROR(IF(OR('Raw Data'!D293="",LEN(TRIM('Raw Data'!D293))=0),"",IF(AND(LEN('Raw Data'!D293) &lt;= 20,LEN('Raw Data'!D293)&gt; 0),"",_xlfn.REGEXEXTRACT(CELL("address",'Raw Data'!D293),"\$([A-Z]+)\$[0-9]+"))),_xlfn.REGEXEXTRACT(CELL("address",'Raw Data'!D293),"\$([A-Z]+)\$[0-9]+"))</f>
        <v/>
      </c>
      <c r="E293" s="7" t="str" cm="1">
        <f t="array" aca="1" ref="E293" ca="1">IFERROR(IF(OR('Raw Data'!E293="",LEN(TRIM('Raw Data'!E293))=0),"",IF(AND(ISNUMBER('Raw Data'!E293),'Raw Data'!E293&gt;=Configuration!$D$2),"",_xlfn.REGEXEXTRACT(CELL("address",'Raw Data'!E293),"\$([A-Z]+)\$[0-9]+"))),_xlfn.REGEXEXTRACT(CELL("address",E293), "\$([A-Z]+)\$[0-9]+"))</f>
        <v/>
      </c>
      <c r="F293" s="7" t="str" cm="1">
        <f t="array" aca="1" ref="F293" ca="1">IFERROR(IF(OR('Raw Data'!F293="",LEN(TRIM('Raw Data'!F293))=0),"",IF(AND(ISNUMBER('Raw Data'!F293), IFERROR('Raw Data'!F293 = ROUND('Raw Data'!F293, 4),FALSE)),"",_xlfn.REGEXEXTRACT(CELL("address",F293), "\$([A-Z]+)\$[0-9]+"))),_xlfn.REGEXEXTRACT(CELL("address",F293), "\$([A-Z]+)\$[0-9]+"))</f>
        <v/>
      </c>
      <c r="G293" s="7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7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7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7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7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7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7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7" t="str" cm="1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  <c r="O293" s="7" t="str" cm="1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7" t="str" cm="1">
        <f t="array" aca="1" ref="P293" ca="1">IFERROR(IF(OR('Raw Data'!P293="",LEN(TRIM('Raw Data'!P293))=0),"",IF(AND(ISNUMBER('Raw Data'!P293), IFERROR('Raw Data'!P293 = ROUND('Raw Data'!P293, 2),FALSE)),"",_xlfn.REGEXEXTRACT(CELL("address",P293), "\$([A-Z]+)\$[0-9]+"))),_xlfn.REGEXEXTRACT(CELL("address",P293), "\$([A-Z]+)\$[0-9]+"))</f>
        <v/>
      </c>
      <c r="Q293" s="7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7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7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7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7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7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7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7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7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7" t="str" cm="1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7" t="str" cm="1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7" t="str" cm="1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  <c r="AC293" s="7" t="str" cm="1">
        <f t="array" aca="1" ref="AC293" ca="1">IFERROR(IF(OR('Raw Data'!AC293="",LEN(TRIM('Raw Data'!AC293))=0),"",IF(AND(ISNUMBER('Raw Data'!AC293), IFERROR('Raw Data'!AC293 = ROUND('Raw Data'!AC293, 2),FALSE)),"",_xlfn.REGEXEXTRACT(CELL("address",AC293), "\$([A-Z]+)\$[0-9]+"))),_xlfn.REGEXEXTRACT(CELL("address",AC293), "\$([A-Z]+)\$[0-9]+"))</f>
        <v/>
      </c>
      <c r="AD293" s="7" t="str" cm="1">
        <f t="array" aca="1" ref="AD293" ca="1">IFERROR(IF(OR('Raw Data'!AD293="",LEN(TRIM('Raw Data'!AD293))=0),"",IF(AND(ISNUMBER('Raw Data'!AD293), IFERROR('Raw Data'!AD293 = ROUND('Raw Data'!AD293, 2),FALSE)),"",_xlfn.REGEXEXTRACT(CELL("address",AD293), "\$([A-Z]+)\$[0-9]+"))),_xlfn.REGEXEXTRACT(CELL("address",AD293), "\$([A-Z]+)\$[0-9]+"))</f>
        <v/>
      </c>
    </row>
    <row r="294" spans="2:30" x14ac:dyDescent="0.25">
      <c r="B294" s="7" t="str" cm="1">
        <f t="array" aca="1" ref="B294" ca="1">IFERROR(IF(OR('Raw Data'!B294="",LEN(TRIM('Raw Data'!B294))=0),"",IF(AND(LEN('Raw Data'!B294) &lt;= 20,LEN('Raw Data'!B294)&gt; 0),"",_xlfn.REGEXEXTRACT(CELL("address",'Raw Data'!B294),"\$([A-Z]+)\$[0-9]+"))),_xlfn.REGEXEXTRACT(CELL("address",'Raw Data'!B294),"\$([A-Z]+)\$[0-9]+"))</f>
        <v/>
      </c>
      <c r="C294" s="7" t="str" cm="1">
        <f t="array" aca="1" ref="C294" ca="1">IFERROR(IF(OR('Raw Data'!C294="",LEN(TRIM('Raw Data'!C294))=0),"",IF(AND(LEN('Raw Data'!C294) &lt;= 255,LEN('Raw Data'!C294)&gt; 0),"",_xlfn.REGEXEXTRACT(CELL("address",'Raw Data'!C294),"\$([A-Z]+)\$[0-9]+"))),_xlfn.REGEXEXTRACT(CELL("address",'Raw Data'!C294),"\$([A-Z]+)\$[0-9]+"))</f>
        <v/>
      </c>
      <c r="D294" s="7" t="str" cm="1">
        <f t="array" aca="1" ref="D294" ca="1">IFERROR(IF(OR('Raw Data'!D294="",LEN(TRIM('Raw Data'!D294))=0),"",IF(AND(LEN('Raw Data'!D294) &lt;= 20,LEN('Raw Data'!D294)&gt; 0),"",_xlfn.REGEXEXTRACT(CELL("address",'Raw Data'!D294),"\$([A-Z]+)\$[0-9]+"))),_xlfn.REGEXEXTRACT(CELL("address",'Raw Data'!D294),"\$([A-Z]+)\$[0-9]+"))</f>
        <v/>
      </c>
      <c r="E294" s="7" t="str" cm="1">
        <f t="array" aca="1" ref="E294" ca="1">IFERROR(IF(OR('Raw Data'!E294="",LEN(TRIM('Raw Data'!E294))=0),"",IF(AND(ISNUMBER('Raw Data'!E294),'Raw Data'!E294&gt;=Configuration!$D$2),"",_xlfn.REGEXEXTRACT(CELL("address",'Raw Data'!E294),"\$([A-Z]+)\$[0-9]+"))),_xlfn.REGEXEXTRACT(CELL("address",E294), "\$([A-Z]+)\$[0-9]+"))</f>
        <v/>
      </c>
      <c r="F294" s="7" t="str" cm="1">
        <f t="array" aca="1" ref="F294" ca="1">IFERROR(IF(OR('Raw Data'!F294="",LEN(TRIM('Raw Data'!F294))=0),"",IF(AND(ISNUMBER('Raw Data'!F294), IFERROR('Raw Data'!F294 = ROUND('Raw Data'!F294, 4),FALSE)),"",_xlfn.REGEXEXTRACT(CELL("address",F294), "\$([A-Z]+)\$[0-9]+"))),_xlfn.REGEXEXTRACT(CELL("address",F294), "\$([A-Z]+)\$[0-9]+"))</f>
        <v/>
      </c>
      <c r="G294" s="7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7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7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7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7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7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7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7" t="str" cm="1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  <c r="O294" s="7" t="str" cm="1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7" t="str" cm="1">
        <f t="array" aca="1" ref="P294" ca="1">IFERROR(IF(OR('Raw Data'!P294="",LEN(TRIM('Raw Data'!P294))=0),"",IF(AND(ISNUMBER('Raw Data'!P294), IFERROR('Raw Data'!P294 = ROUND('Raw Data'!P294, 2),FALSE)),"",_xlfn.REGEXEXTRACT(CELL("address",P294), "\$([A-Z]+)\$[0-9]+"))),_xlfn.REGEXEXTRACT(CELL("address",P294), "\$([A-Z]+)\$[0-9]+"))</f>
        <v/>
      </c>
      <c r="Q294" s="7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7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7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7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7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7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7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7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7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7" t="str" cm="1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7" t="str" cm="1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7" t="str" cm="1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  <c r="AC294" s="7" t="str" cm="1">
        <f t="array" aca="1" ref="AC294" ca="1">IFERROR(IF(OR('Raw Data'!AC294="",LEN(TRIM('Raw Data'!AC294))=0),"",IF(AND(ISNUMBER('Raw Data'!AC294), IFERROR('Raw Data'!AC294 = ROUND('Raw Data'!AC294, 2),FALSE)),"",_xlfn.REGEXEXTRACT(CELL("address",AC294), "\$([A-Z]+)\$[0-9]+"))),_xlfn.REGEXEXTRACT(CELL("address",AC294), "\$([A-Z]+)\$[0-9]+"))</f>
        <v/>
      </c>
      <c r="AD294" s="7" t="str" cm="1">
        <f t="array" aca="1" ref="AD294" ca="1">IFERROR(IF(OR('Raw Data'!AD294="",LEN(TRIM('Raw Data'!AD294))=0),"",IF(AND(ISNUMBER('Raw Data'!AD294), IFERROR('Raw Data'!AD294 = ROUND('Raw Data'!AD294, 2),FALSE)),"",_xlfn.REGEXEXTRACT(CELL("address",AD294), "\$([A-Z]+)\$[0-9]+"))),_xlfn.REGEXEXTRACT(CELL("address",AD294), "\$([A-Z]+)\$[0-9]+"))</f>
        <v/>
      </c>
    </row>
    <row r="295" spans="2:30" x14ac:dyDescent="0.25">
      <c r="B295" s="7" t="str" cm="1">
        <f t="array" aca="1" ref="B295" ca="1">IFERROR(IF(OR('Raw Data'!B295="",LEN(TRIM('Raw Data'!B295))=0),"",IF(AND(LEN('Raw Data'!B295) &lt;= 20,LEN('Raw Data'!B295)&gt; 0),"",_xlfn.REGEXEXTRACT(CELL("address",'Raw Data'!B295),"\$([A-Z]+)\$[0-9]+"))),_xlfn.REGEXEXTRACT(CELL("address",'Raw Data'!B295),"\$([A-Z]+)\$[0-9]+"))</f>
        <v/>
      </c>
      <c r="C295" s="7" t="str" cm="1">
        <f t="array" aca="1" ref="C295" ca="1">IFERROR(IF(OR('Raw Data'!C295="",LEN(TRIM('Raw Data'!C295))=0),"",IF(AND(LEN('Raw Data'!C295) &lt;= 255,LEN('Raw Data'!C295)&gt; 0),"",_xlfn.REGEXEXTRACT(CELL("address",'Raw Data'!C295),"\$([A-Z]+)\$[0-9]+"))),_xlfn.REGEXEXTRACT(CELL("address",'Raw Data'!C295),"\$([A-Z]+)\$[0-9]+"))</f>
        <v/>
      </c>
      <c r="D295" s="7" t="str" cm="1">
        <f t="array" aca="1" ref="D295" ca="1">IFERROR(IF(OR('Raw Data'!D295="",LEN(TRIM('Raw Data'!D295))=0),"",IF(AND(LEN('Raw Data'!D295) &lt;= 20,LEN('Raw Data'!D295)&gt; 0),"",_xlfn.REGEXEXTRACT(CELL("address",'Raw Data'!D295),"\$([A-Z]+)\$[0-9]+"))),_xlfn.REGEXEXTRACT(CELL("address",'Raw Data'!D295),"\$([A-Z]+)\$[0-9]+"))</f>
        <v/>
      </c>
      <c r="E295" s="7" t="str" cm="1">
        <f t="array" aca="1" ref="E295" ca="1">IFERROR(IF(OR('Raw Data'!E295="",LEN(TRIM('Raw Data'!E295))=0),"",IF(AND(ISNUMBER('Raw Data'!E295),'Raw Data'!E295&gt;=Configuration!$D$2),"",_xlfn.REGEXEXTRACT(CELL("address",'Raw Data'!E295),"\$([A-Z]+)\$[0-9]+"))),_xlfn.REGEXEXTRACT(CELL("address",E295), "\$([A-Z]+)\$[0-9]+"))</f>
        <v/>
      </c>
      <c r="F295" s="7" t="str" cm="1">
        <f t="array" aca="1" ref="F295" ca="1">IFERROR(IF(OR('Raw Data'!F295="",LEN(TRIM('Raw Data'!F295))=0),"",IF(AND(ISNUMBER('Raw Data'!F295), IFERROR('Raw Data'!F295 = ROUND('Raw Data'!F295, 4),FALSE)),"",_xlfn.REGEXEXTRACT(CELL("address",F295), "\$([A-Z]+)\$[0-9]+"))),_xlfn.REGEXEXTRACT(CELL("address",F295), "\$([A-Z]+)\$[0-9]+"))</f>
        <v/>
      </c>
      <c r="G295" s="7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7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7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7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7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7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7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7" t="str" cm="1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  <c r="O295" s="7" t="str" cm="1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7" t="str" cm="1">
        <f t="array" aca="1" ref="P295" ca="1">IFERROR(IF(OR('Raw Data'!P295="",LEN(TRIM('Raw Data'!P295))=0),"",IF(AND(ISNUMBER('Raw Data'!P295), IFERROR('Raw Data'!P295 = ROUND('Raw Data'!P295, 2),FALSE)),"",_xlfn.REGEXEXTRACT(CELL("address",P295), "\$([A-Z]+)\$[0-9]+"))),_xlfn.REGEXEXTRACT(CELL("address",P295), "\$([A-Z]+)\$[0-9]+"))</f>
        <v/>
      </c>
      <c r="Q295" s="7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7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7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7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7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7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7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7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7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7" t="str" cm="1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7" t="str" cm="1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7" t="str" cm="1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  <c r="AC295" s="7" t="str" cm="1">
        <f t="array" aca="1" ref="AC295" ca="1">IFERROR(IF(OR('Raw Data'!AC295="",LEN(TRIM('Raw Data'!AC295))=0),"",IF(AND(ISNUMBER('Raw Data'!AC295), IFERROR('Raw Data'!AC295 = ROUND('Raw Data'!AC295, 2),FALSE)),"",_xlfn.REGEXEXTRACT(CELL("address",AC295), "\$([A-Z]+)\$[0-9]+"))),_xlfn.REGEXEXTRACT(CELL("address",AC295), "\$([A-Z]+)\$[0-9]+"))</f>
        <v/>
      </c>
      <c r="AD295" s="7" t="str" cm="1">
        <f t="array" aca="1" ref="AD295" ca="1">IFERROR(IF(OR('Raw Data'!AD295="",LEN(TRIM('Raw Data'!AD295))=0),"",IF(AND(ISNUMBER('Raw Data'!AD295), IFERROR('Raw Data'!AD295 = ROUND('Raw Data'!AD295, 2),FALSE)),"",_xlfn.REGEXEXTRACT(CELL("address",AD295), "\$([A-Z]+)\$[0-9]+"))),_xlfn.REGEXEXTRACT(CELL("address",AD295), "\$([A-Z]+)\$[0-9]+"))</f>
        <v/>
      </c>
    </row>
    <row r="296" spans="2:30" x14ac:dyDescent="0.25">
      <c r="B296" s="7" t="str" cm="1">
        <f t="array" aca="1" ref="B296" ca="1">IFERROR(IF(OR('Raw Data'!B296="",LEN(TRIM('Raw Data'!B296))=0),"",IF(AND(LEN('Raw Data'!B296) &lt;= 20,LEN('Raw Data'!B296)&gt; 0),"",_xlfn.REGEXEXTRACT(CELL("address",'Raw Data'!B296),"\$([A-Z]+)\$[0-9]+"))),_xlfn.REGEXEXTRACT(CELL("address",'Raw Data'!B296),"\$([A-Z]+)\$[0-9]+"))</f>
        <v/>
      </c>
      <c r="C296" s="7" t="str" cm="1">
        <f t="array" aca="1" ref="C296" ca="1">IFERROR(IF(OR('Raw Data'!C296="",LEN(TRIM('Raw Data'!C296))=0),"",IF(AND(LEN('Raw Data'!C296) &lt;= 255,LEN('Raw Data'!C296)&gt; 0),"",_xlfn.REGEXEXTRACT(CELL("address",'Raw Data'!C296),"\$([A-Z]+)\$[0-9]+"))),_xlfn.REGEXEXTRACT(CELL("address",'Raw Data'!C296),"\$([A-Z]+)\$[0-9]+"))</f>
        <v/>
      </c>
      <c r="D296" s="7" t="str" cm="1">
        <f t="array" aca="1" ref="D296" ca="1">IFERROR(IF(OR('Raw Data'!D296="",LEN(TRIM('Raw Data'!D296))=0),"",IF(AND(LEN('Raw Data'!D296) &lt;= 20,LEN('Raw Data'!D296)&gt; 0),"",_xlfn.REGEXEXTRACT(CELL("address",'Raw Data'!D296),"\$([A-Z]+)\$[0-9]+"))),_xlfn.REGEXEXTRACT(CELL("address",'Raw Data'!D296),"\$([A-Z]+)\$[0-9]+"))</f>
        <v/>
      </c>
      <c r="E296" s="7" t="str" cm="1">
        <f t="array" aca="1" ref="E296" ca="1">IFERROR(IF(OR('Raw Data'!E296="",LEN(TRIM('Raw Data'!E296))=0),"",IF(AND(ISNUMBER('Raw Data'!E296),'Raw Data'!E296&gt;=Configuration!$D$2),"",_xlfn.REGEXEXTRACT(CELL("address",'Raw Data'!E296),"\$([A-Z]+)\$[0-9]+"))),_xlfn.REGEXEXTRACT(CELL("address",E296), "\$([A-Z]+)\$[0-9]+"))</f>
        <v/>
      </c>
      <c r="F296" s="7" t="str" cm="1">
        <f t="array" aca="1" ref="F296" ca="1">IFERROR(IF(OR('Raw Data'!F296="",LEN(TRIM('Raw Data'!F296))=0),"",IF(AND(ISNUMBER('Raw Data'!F296), IFERROR('Raw Data'!F296 = ROUND('Raw Data'!F296, 4),FALSE)),"",_xlfn.REGEXEXTRACT(CELL("address",F296), "\$([A-Z]+)\$[0-9]+"))),_xlfn.REGEXEXTRACT(CELL("address",F296), "\$([A-Z]+)\$[0-9]+"))</f>
        <v/>
      </c>
      <c r="G296" s="7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7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7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7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7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7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7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7" t="str" cm="1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  <c r="O296" s="7" t="str" cm="1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7" t="str" cm="1">
        <f t="array" aca="1" ref="P296" ca="1">IFERROR(IF(OR('Raw Data'!P296="",LEN(TRIM('Raw Data'!P296))=0),"",IF(AND(ISNUMBER('Raw Data'!P296), IFERROR('Raw Data'!P296 = ROUND('Raw Data'!P296, 2),FALSE)),"",_xlfn.REGEXEXTRACT(CELL("address",P296), "\$([A-Z]+)\$[0-9]+"))),_xlfn.REGEXEXTRACT(CELL("address",P296), "\$([A-Z]+)\$[0-9]+"))</f>
        <v/>
      </c>
      <c r="Q296" s="7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7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7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7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7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7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7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7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7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7" t="str" cm="1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7" t="str" cm="1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7" t="str" cm="1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  <c r="AC296" s="7" t="str" cm="1">
        <f t="array" aca="1" ref="AC296" ca="1">IFERROR(IF(OR('Raw Data'!AC296="",LEN(TRIM('Raw Data'!AC296))=0),"",IF(AND(ISNUMBER('Raw Data'!AC296), IFERROR('Raw Data'!AC296 = ROUND('Raw Data'!AC296, 2),FALSE)),"",_xlfn.REGEXEXTRACT(CELL("address",AC296), "\$([A-Z]+)\$[0-9]+"))),_xlfn.REGEXEXTRACT(CELL("address",AC296), "\$([A-Z]+)\$[0-9]+"))</f>
        <v/>
      </c>
      <c r="AD296" s="7" t="str" cm="1">
        <f t="array" aca="1" ref="AD296" ca="1">IFERROR(IF(OR('Raw Data'!AD296="",LEN(TRIM('Raw Data'!AD296))=0),"",IF(AND(ISNUMBER('Raw Data'!AD296), IFERROR('Raw Data'!AD296 = ROUND('Raw Data'!AD296, 2),FALSE)),"",_xlfn.REGEXEXTRACT(CELL("address",AD296), "\$([A-Z]+)\$[0-9]+"))),_xlfn.REGEXEXTRACT(CELL("address",AD296), "\$([A-Z]+)\$[0-9]+"))</f>
        <v/>
      </c>
    </row>
    <row r="297" spans="2:30" x14ac:dyDescent="0.25">
      <c r="B297" s="7" t="str" cm="1">
        <f t="array" aca="1" ref="B297" ca="1">IFERROR(IF(OR('Raw Data'!B297="",LEN(TRIM('Raw Data'!B297))=0),"",IF(AND(LEN('Raw Data'!B297) &lt;= 20,LEN('Raw Data'!B297)&gt; 0),"",_xlfn.REGEXEXTRACT(CELL("address",'Raw Data'!B297),"\$([A-Z]+)\$[0-9]+"))),_xlfn.REGEXEXTRACT(CELL("address",'Raw Data'!B297),"\$([A-Z]+)\$[0-9]+"))</f>
        <v/>
      </c>
      <c r="C297" s="7" t="str" cm="1">
        <f t="array" aca="1" ref="C297" ca="1">IFERROR(IF(OR('Raw Data'!C297="",LEN(TRIM('Raw Data'!C297))=0),"",IF(AND(LEN('Raw Data'!C297) &lt;= 255,LEN('Raw Data'!C297)&gt; 0),"",_xlfn.REGEXEXTRACT(CELL("address",'Raw Data'!C297),"\$([A-Z]+)\$[0-9]+"))),_xlfn.REGEXEXTRACT(CELL("address",'Raw Data'!C297),"\$([A-Z]+)\$[0-9]+"))</f>
        <v/>
      </c>
      <c r="D297" s="7" t="str" cm="1">
        <f t="array" aca="1" ref="D297" ca="1">IFERROR(IF(OR('Raw Data'!D297="",LEN(TRIM('Raw Data'!D297))=0),"",IF(AND(LEN('Raw Data'!D297) &lt;= 20,LEN('Raw Data'!D297)&gt; 0),"",_xlfn.REGEXEXTRACT(CELL("address",'Raw Data'!D297),"\$([A-Z]+)\$[0-9]+"))),_xlfn.REGEXEXTRACT(CELL("address",'Raw Data'!D297),"\$([A-Z]+)\$[0-9]+"))</f>
        <v/>
      </c>
      <c r="E297" s="7" t="str" cm="1">
        <f t="array" aca="1" ref="E297" ca="1">IFERROR(IF(OR('Raw Data'!E297="",LEN(TRIM('Raw Data'!E297))=0),"",IF(AND(ISNUMBER('Raw Data'!E297),'Raw Data'!E297&gt;=Configuration!$D$2),"",_xlfn.REGEXEXTRACT(CELL("address",'Raw Data'!E297),"\$([A-Z]+)\$[0-9]+"))),_xlfn.REGEXEXTRACT(CELL("address",E297), "\$([A-Z]+)\$[0-9]+"))</f>
        <v/>
      </c>
      <c r="F297" s="7" t="str" cm="1">
        <f t="array" aca="1" ref="F297" ca="1">IFERROR(IF(OR('Raw Data'!F297="",LEN(TRIM('Raw Data'!F297))=0),"",IF(AND(ISNUMBER('Raw Data'!F297), IFERROR('Raw Data'!F297 = ROUND('Raw Data'!F297, 4),FALSE)),"",_xlfn.REGEXEXTRACT(CELL("address",F297), "\$([A-Z]+)\$[0-9]+"))),_xlfn.REGEXEXTRACT(CELL("address",F297), "\$([A-Z]+)\$[0-9]+"))</f>
        <v/>
      </c>
      <c r="G297" s="7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7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7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7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7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7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7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7" t="str" cm="1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  <c r="O297" s="7" t="str" cm="1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7" t="str" cm="1">
        <f t="array" aca="1" ref="P297" ca="1">IFERROR(IF(OR('Raw Data'!P297="",LEN(TRIM('Raw Data'!P297))=0),"",IF(AND(ISNUMBER('Raw Data'!P297), IFERROR('Raw Data'!P297 = ROUND('Raw Data'!P297, 2),FALSE)),"",_xlfn.REGEXEXTRACT(CELL("address",P297), "\$([A-Z]+)\$[0-9]+"))),_xlfn.REGEXEXTRACT(CELL("address",P297), "\$([A-Z]+)\$[0-9]+"))</f>
        <v/>
      </c>
      <c r="Q297" s="7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7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7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7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7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7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7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7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7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7" t="str" cm="1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7" t="str" cm="1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7" t="str" cm="1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  <c r="AC297" s="7" t="str" cm="1">
        <f t="array" aca="1" ref="AC297" ca="1">IFERROR(IF(OR('Raw Data'!AC297="",LEN(TRIM('Raw Data'!AC297))=0),"",IF(AND(ISNUMBER('Raw Data'!AC297), IFERROR('Raw Data'!AC297 = ROUND('Raw Data'!AC297, 2),FALSE)),"",_xlfn.REGEXEXTRACT(CELL("address",AC297), "\$([A-Z]+)\$[0-9]+"))),_xlfn.REGEXEXTRACT(CELL("address",AC297), "\$([A-Z]+)\$[0-9]+"))</f>
        <v/>
      </c>
      <c r="AD297" s="7" t="str" cm="1">
        <f t="array" aca="1" ref="AD297" ca="1">IFERROR(IF(OR('Raw Data'!AD297="",LEN(TRIM('Raw Data'!AD297))=0),"",IF(AND(ISNUMBER('Raw Data'!AD297), IFERROR('Raw Data'!AD297 = ROUND('Raw Data'!AD297, 2),FALSE)),"",_xlfn.REGEXEXTRACT(CELL("address",AD297), "\$([A-Z]+)\$[0-9]+"))),_xlfn.REGEXEXTRACT(CELL("address",AD297), "\$([A-Z]+)\$[0-9]+"))</f>
        <v/>
      </c>
    </row>
    <row r="298" spans="2:30" x14ac:dyDescent="0.25">
      <c r="B298" s="7" t="str" cm="1">
        <f t="array" aca="1" ref="B298" ca="1">IFERROR(IF(OR('Raw Data'!B298="",LEN(TRIM('Raw Data'!B298))=0),"",IF(AND(LEN('Raw Data'!B298) &lt;= 20,LEN('Raw Data'!B298)&gt; 0),"",_xlfn.REGEXEXTRACT(CELL("address",'Raw Data'!B298),"\$([A-Z]+)\$[0-9]+"))),_xlfn.REGEXEXTRACT(CELL("address",'Raw Data'!B298),"\$([A-Z]+)\$[0-9]+"))</f>
        <v/>
      </c>
      <c r="C298" s="7" t="str" cm="1">
        <f t="array" aca="1" ref="C298" ca="1">IFERROR(IF(OR('Raw Data'!C298="",LEN(TRIM('Raw Data'!C298))=0),"",IF(AND(LEN('Raw Data'!C298) &lt;= 255,LEN('Raw Data'!C298)&gt; 0),"",_xlfn.REGEXEXTRACT(CELL("address",'Raw Data'!C298),"\$([A-Z]+)\$[0-9]+"))),_xlfn.REGEXEXTRACT(CELL("address",'Raw Data'!C298),"\$([A-Z]+)\$[0-9]+"))</f>
        <v/>
      </c>
      <c r="D298" s="7" t="str" cm="1">
        <f t="array" aca="1" ref="D298" ca="1">IFERROR(IF(OR('Raw Data'!D298="",LEN(TRIM('Raw Data'!D298))=0),"",IF(AND(LEN('Raw Data'!D298) &lt;= 20,LEN('Raw Data'!D298)&gt; 0),"",_xlfn.REGEXEXTRACT(CELL("address",'Raw Data'!D298),"\$([A-Z]+)\$[0-9]+"))),_xlfn.REGEXEXTRACT(CELL("address",'Raw Data'!D298),"\$([A-Z]+)\$[0-9]+"))</f>
        <v/>
      </c>
      <c r="E298" s="7" t="str" cm="1">
        <f t="array" aca="1" ref="E298" ca="1">IFERROR(IF(OR('Raw Data'!E298="",LEN(TRIM('Raw Data'!E298))=0),"",IF(AND(ISNUMBER('Raw Data'!E298),'Raw Data'!E298&gt;=Configuration!$D$2),"",_xlfn.REGEXEXTRACT(CELL("address",'Raw Data'!E298),"\$([A-Z]+)\$[0-9]+"))),_xlfn.REGEXEXTRACT(CELL("address",E298), "\$([A-Z]+)\$[0-9]+"))</f>
        <v/>
      </c>
      <c r="F298" s="7" t="str" cm="1">
        <f t="array" aca="1" ref="F298" ca="1">IFERROR(IF(OR('Raw Data'!F298="",LEN(TRIM('Raw Data'!F298))=0),"",IF(AND(ISNUMBER('Raw Data'!F298), IFERROR('Raw Data'!F298 = ROUND('Raw Data'!F298, 4),FALSE)),"",_xlfn.REGEXEXTRACT(CELL("address",F298), "\$([A-Z]+)\$[0-9]+"))),_xlfn.REGEXEXTRACT(CELL("address",F298), "\$([A-Z]+)\$[0-9]+"))</f>
        <v/>
      </c>
      <c r="G298" s="7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7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7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7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7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7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7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7" t="str" cm="1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  <c r="O298" s="7" t="str" cm="1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7" t="str" cm="1">
        <f t="array" aca="1" ref="P298" ca="1">IFERROR(IF(OR('Raw Data'!P298="",LEN(TRIM('Raw Data'!P298))=0),"",IF(AND(ISNUMBER('Raw Data'!P298), IFERROR('Raw Data'!P298 = ROUND('Raw Data'!P298, 2),FALSE)),"",_xlfn.REGEXEXTRACT(CELL("address",P298), "\$([A-Z]+)\$[0-9]+"))),_xlfn.REGEXEXTRACT(CELL("address",P298), "\$([A-Z]+)\$[0-9]+"))</f>
        <v/>
      </c>
      <c r="Q298" s="7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7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7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7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7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7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7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7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7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7" t="str" cm="1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7" t="str" cm="1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7" t="str" cm="1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  <c r="AC298" s="7" t="str" cm="1">
        <f t="array" aca="1" ref="AC298" ca="1">IFERROR(IF(OR('Raw Data'!AC298="",LEN(TRIM('Raw Data'!AC298))=0),"",IF(AND(ISNUMBER('Raw Data'!AC298), IFERROR('Raw Data'!AC298 = ROUND('Raw Data'!AC298, 2),FALSE)),"",_xlfn.REGEXEXTRACT(CELL("address",AC298), "\$([A-Z]+)\$[0-9]+"))),_xlfn.REGEXEXTRACT(CELL("address",AC298), "\$([A-Z]+)\$[0-9]+"))</f>
        <v/>
      </c>
      <c r="AD298" s="7" t="str" cm="1">
        <f t="array" aca="1" ref="AD298" ca="1">IFERROR(IF(OR('Raw Data'!AD298="",LEN(TRIM('Raw Data'!AD298))=0),"",IF(AND(ISNUMBER('Raw Data'!AD298), IFERROR('Raw Data'!AD298 = ROUND('Raw Data'!AD298, 2),FALSE)),"",_xlfn.REGEXEXTRACT(CELL("address",AD298), "\$([A-Z]+)\$[0-9]+"))),_xlfn.REGEXEXTRACT(CELL("address",AD298), "\$([A-Z]+)\$[0-9]+"))</f>
        <v/>
      </c>
    </row>
    <row r="299" spans="2:30" x14ac:dyDescent="0.25">
      <c r="B299" s="7" t="str" cm="1">
        <f t="array" aca="1" ref="B299" ca="1">IFERROR(IF(OR('Raw Data'!B299="",LEN(TRIM('Raw Data'!B299))=0),"",IF(AND(LEN('Raw Data'!B299) &lt;= 20,LEN('Raw Data'!B299)&gt; 0),"",_xlfn.REGEXEXTRACT(CELL("address",'Raw Data'!B299),"\$([A-Z]+)\$[0-9]+"))),_xlfn.REGEXEXTRACT(CELL("address",'Raw Data'!B299),"\$([A-Z]+)\$[0-9]+"))</f>
        <v/>
      </c>
      <c r="C299" s="7" t="str" cm="1">
        <f t="array" aca="1" ref="C299" ca="1">IFERROR(IF(OR('Raw Data'!C299="",LEN(TRIM('Raw Data'!C299))=0),"",IF(AND(LEN('Raw Data'!C299) &lt;= 255,LEN('Raw Data'!C299)&gt; 0),"",_xlfn.REGEXEXTRACT(CELL("address",'Raw Data'!C299),"\$([A-Z]+)\$[0-9]+"))),_xlfn.REGEXEXTRACT(CELL("address",'Raw Data'!C299),"\$([A-Z]+)\$[0-9]+"))</f>
        <v/>
      </c>
      <c r="D299" s="7" t="str" cm="1">
        <f t="array" aca="1" ref="D299" ca="1">IFERROR(IF(OR('Raw Data'!D299="",LEN(TRIM('Raw Data'!D299))=0),"",IF(AND(LEN('Raw Data'!D299) &lt;= 20,LEN('Raw Data'!D299)&gt; 0),"",_xlfn.REGEXEXTRACT(CELL("address",'Raw Data'!D299),"\$([A-Z]+)\$[0-9]+"))),_xlfn.REGEXEXTRACT(CELL("address",'Raw Data'!D299),"\$([A-Z]+)\$[0-9]+"))</f>
        <v/>
      </c>
      <c r="E299" s="7" t="str" cm="1">
        <f t="array" aca="1" ref="E299" ca="1">IFERROR(IF(OR('Raw Data'!E299="",LEN(TRIM('Raw Data'!E299))=0),"",IF(AND(ISNUMBER('Raw Data'!E299),'Raw Data'!E299&gt;=Configuration!$D$2),"",_xlfn.REGEXEXTRACT(CELL("address",'Raw Data'!E299),"\$([A-Z]+)\$[0-9]+"))),_xlfn.REGEXEXTRACT(CELL("address",E299), "\$([A-Z]+)\$[0-9]+"))</f>
        <v/>
      </c>
      <c r="F299" s="7" t="str" cm="1">
        <f t="array" aca="1" ref="F299" ca="1">IFERROR(IF(OR('Raw Data'!F299="",LEN(TRIM('Raw Data'!F299))=0),"",IF(AND(ISNUMBER('Raw Data'!F299), IFERROR('Raw Data'!F299 = ROUND('Raw Data'!F299, 4),FALSE)),"",_xlfn.REGEXEXTRACT(CELL("address",F299), "\$([A-Z]+)\$[0-9]+"))),_xlfn.REGEXEXTRACT(CELL("address",F299), "\$([A-Z]+)\$[0-9]+"))</f>
        <v/>
      </c>
      <c r="G299" s="7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7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7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7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7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7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7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7" t="str" cm="1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  <c r="O299" s="7" t="str" cm="1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7" t="str" cm="1">
        <f t="array" aca="1" ref="P299" ca="1">IFERROR(IF(OR('Raw Data'!P299="",LEN(TRIM('Raw Data'!P299))=0),"",IF(AND(ISNUMBER('Raw Data'!P299), IFERROR('Raw Data'!P299 = ROUND('Raw Data'!P299, 2),FALSE)),"",_xlfn.REGEXEXTRACT(CELL("address",P299), "\$([A-Z]+)\$[0-9]+"))),_xlfn.REGEXEXTRACT(CELL("address",P299), "\$([A-Z]+)\$[0-9]+"))</f>
        <v/>
      </c>
      <c r="Q299" s="7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7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7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7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7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7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7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7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7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7" t="str" cm="1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7" t="str" cm="1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7" t="str" cm="1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  <c r="AC299" s="7" t="str" cm="1">
        <f t="array" aca="1" ref="AC299" ca="1">IFERROR(IF(OR('Raw Data'!AC299="",LEN(TRIM('Raw Data'!AC299))=0),"",IF(AND(ISNUMBER('Raw Data'!AC299), IFERROR('Raw Data'!AC299 = ROUND('Raw Data'!AC299, 2),FALSE)),"",_xlfn.REGEXEXTRACT(CELL("address",AC299), "\$([A-Z]+)\$[0-9]+"))),_xlfn.REGEXEXTRACT(CELL("address",AC299), "\$([A-Z]+)\$[0-9]+"))</f>
        <v/>
      </c>
      <c r="AD299" s="7" t="str" cm="1">
        <f t="array" aca="1" ref="AD299" ca="1">IFERROR(IF(OR('Raw Data'!AD299="",LEN(TRIM('Raw Data'!AD299))=0),"",IF(AND(ISNUMBER('Raw Data'!AD299), IFERROR('Raw Data'!AD299 = ROUND('Raw Data'!AD299, 2),FALSE)),"",_xlfn.REGEXEXTRACT(CELL("address",AD299), "\$([A-Z]+)\$[0-9]+"))),_xlfn.REGEXEXTRACT(CELL("address",AD299), "\$([A-Z]+)\$[0-9]+"))</f>
        <v/>
      </c>
    </row>
    <row r="300" spans="2:30" x14ac:dyDescent="0.25">
      <c r="B300" s="7" t="str" cm="1">
        <f t="array" aca="1" ref="B300" ca="1">IFERROR(IF(OR('Raw Data'!B300="",LEN(TRIM('Raw Data'!B300))=0),"",IF(AND(LEN('Raw Data'!B300) &lt;= 20,LEN('Raw Data'!B300)&gt; 0),"",_xlfn.REGEXEXTRACT(CELL("address",'Raw Data'!B300),"\$([A-Z]+)\$[0-9]+"))),_xlfn.REGEXEXTRACT(CELL("address",'Raw Data'!B300),"\$([A-Z]+)\$[0-9]+"))</f>
        <v/>
      </c>
      <c r="C300" s="7" t="str" cm="1">
        <f t="array" aca="1" ref="C300" ca="1">IFERROR(IF(OR('Raw Data'!C300="",LEN(TRIM('Raw Data'!C300))=0),"",IF(AND(LEN('Raw Data'!C300) &lt;= 255,LEN('Raw Data'!C300)&gt; 0),"",_xlfn.REGEXEXTRACT(CELL("address",'Raw Data'!C300),"\$([A-Z]+)\$[0-9]+"))),_xlfn.REGEXEXTRACT(CELL("address",'Raw Data'!C300),"\$([A-Z]+)\$[0-9]+"))</f>
        <v/>
      </c>
      <c r="D300" s="7" t="str" cm="1">
        <f t="array" aca="1" ref="D300" ca="1">IFERROR(IF(OR('Raw Data'!D300="",LEN(TRIM('Raw Data'!D300))=0),"",IF(AND(LEN('Raw Data'!D300) &lt;= 20,LEN('Raw Data'!D300)&gt; 0),"",_xlfn.REGEXEXTRACT(CELL("address",'Raw Data'!D300),"\$([A-Z]+)\$[0-9]+"))),_xlfn.REGEXEXTRACT(CELL("address",'Raw Data'!D300),"\$([A-Z]+)\$[0-9]+"))</f>
        <v/>
      </c>
      <c r="E300" s="7" t="str" cm="1">
        <f t="array" aca="1" ref="E300" ca="1">IFERROR(IF(OR('Raw Data'!E300="",LEN(TRIM('Raw Data'!E300))=0),"",IF(AND(ISNUMBER('Raw Data'!E300),'Raw Data'!E300&gt;=Configuration!$D$2),"",_xlfn.REGEXEXTRACT(CELL("address",'Raw Data'!E300),"\$([A-Z]+)\$[0-9]+"))),_xlfn.REGEXEXTRACT(CELL("address",E300), "\$([A-Z]+)\$[0-9]+"))</f>
        <v/>
      </c>
      <c r="F300" s="7" t="str" cm="1">
        <f t="array" aca="1" ref="F300" ca="1">IFERROR(IF(OR('Raw Data'!F300="",LEN(TRIM('Raw Data'!F300))=0),"",IF(AND(ISNUMBER('Raw Data'!F300), IFERROR('Raw Data'!F300 = ROUND('Raw Data'!F300, 4),FALSE)),"",_xlfn.REGEXEXTRACT(CELL("address",F300), "\$([A-Z]+)\$[0-9]+"))),_xlfn.REGEXEXTRACT(CELL("address",F300), "\$([A-Z]+)\$[0-9]+"))</f>
        <v/>
      </c>
      <c r="G300" s="7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7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7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7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7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7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7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7" t="str" cm="1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  <c r="O300" s="7" t="str" cm="1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7" t="str" cm="1">
        <f t="array" aca="1" ref="P300" ca="1">IFERROR(IF(OR('Raw Data'!P300="",LEN(TRIM('Raw Data'!P300))=0),"",IF(AND(ISNUMBER('Raw Data'!P300), IFERROR('Raw Data'!P300 = ROUND('Raw Data'!P300, 2),FALSE)),"",_xlfn.REGEXEXTRACT(CELL("address",P300), "\$([A-Z]+)\$[0-9]+"))),_xlfn.REGEXEXTRACT(CELL("address",P300), "\$([A-Z]+)\$[0-9]+"))</f>
        <v/>
      </c>
      <c r="Q300" s="7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7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7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7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7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7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7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7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7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7" t="str" cm="1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7" t="str" cm="1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7" t="str" cm="1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  <c r="AC300" s="7" t="str" cm="1">
        <f t="array" aca="1" ref="AC300" ca="1">IFERROR(IF(OR('Raw Data'!AC300="",LEN(TRIM('Raw Data'!AC300))=0),"",IF(AND(ISNUMBER('Raw Data'!AC300), IFERROR('Raw Data'!AC300 = ROUND('Raw Data'!AC300, 2),FALSE)),"",_xlfn.REGEXEXTRACT(CELL("address",AC300), "\$([A-Z]+)\$[0-9]+"))),_xlfn.REGEXEXTRACT(CELL("address",AC300), "\$([A-Z]+)\$[0-9]+"))</f>
        <v/>
      </c>
      <c r="AD300" s="7" t="str" cm="1">
        <f t="array" aca="1" ref="AD300" ca="1">IFERROR(IF(OR('Raw Data'!AD300="",LEN(TRIM('Raw Data'!AD300))=0),"",IF(AND(ISNUMBER('Raw Data'!AD300), IFERROR('Raw Data'!AD300 = ROUND('Raw Data'!AD300, 2),FALSE)),"",_xlfn.REGEXEXTRACT(CELL("address",AD300), "\$([A-Z]+)\$[0-9]+"))),_xlfn.REGEXEXTRACT(CELL("address",AD300), "\$([A-Z]+)\$[0-9]+"))</f>
        <v/>
      </c>
    </row>
  </sheetData>
  <autoFilter ref="B9:AD300" xr:uid="{23A8D6E9-4551-4DC0-BFBA-022E6C837E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F34F-087E-45AA-9683-9715798D97BC}">
  <dimension ref="B8:AD300"/>
  <sheetViews>
    <sheetView zoomScale="70" zoomScaleNormal="70" workbookViewId="0">
      <selection activeCell="C10" sqref="C10"/>
    </sheetView>
  </sheetViews>
  <sheetFormatPr defaultRowHeight="15" x14ac:dyDescent="0.25"/>
  <cols>
    <col min="2" max="6" width="14.7109375" style="8" customWidth="1"/>
    <col min="7" max="30" width="14.7109375" customWidth="1"/>
  </cols>
  <sheetData>
    <row r="8" spans="2:30" s="16" customFormat="1" x14ac:dyDescent="0.25">
      <c r="B8" s="15"/>
      <c r="C8" s="15" t="s">
        <v>70</v>
      </c>
      <c r="D8" s="15" t="s">
        <v>70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2:30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</row>
    <row r="10" spans="2:30" x14ac:dyDescent="0.25">
      <c r="B10" s="7"/>
      <c r="C10" s="7" t="str" cm="1">
        <f t="array" aca="1" ref="C10" ca="1">IF('Raw Data'!$C$10 = "Overall Project","",_xlfn.REGEXEXTRACT(CELL("address",'Raw Data'!C10),"\$([A-Z]+)\$[0-9]+"))</f>
        <v/>
      </c>
      <c r="D10" s="7" t="str" cm="1">
        <f t="array" aca="1" ref="D10" ca="1">IF('Raw Data'!$D$11 = "Month # 1","",_xlfn.REGEXEXTRACT(CELL("address",'Raw Data'!D10),"\$([A-Z]+)\$[0-9]+"))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2:30" x14ac:dyDescent="0.25">
      <c r="B11" s="7"/>
      <c r="C11" s="7" t="str" cm="1">
        <f t="array" aca="1" ref="C11" ca="1">IF('Raw Data'!$C$10 = "Overall Project","",_xlfn.REGEXEXTRACT(CELL("address",'Raw Data'!C11),"\$([A-Z]+)\$[0-9]+"))</f>
        <v/>
      </c>
      <c r="D11" s="7" t="str" cm="1">
        <f t="array" aca="1" ref="D11" ca="1">IF('Raw Data'!$D$11 = "Month # 1","",_xlfn.REGEXEXTRACT(CELL("address",'Raw Data'!D11),"\$([A-Z]+)\$[0-9]+"))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2:30" x14ac:dyDescent="0.25">
      <c r="B12" s="7"/>
      <c r="C12" s="7" t="str" cm="1">
        <f t="array" aca="1" ref="C12" ca="1">IF('Raw Data'!$C$10 = "Overall Project","",_xlfn.REGEXEXTRACT(CELL("address",'Raw Data'!C12),"\$([A-Z]+)\$[0-9]+"))</f>
        <v/>
      </c>
      <c r="D12" s="7" t="str" cm="1">
        <f t="array" aca="1" ref="D12" ca="1">IF('Raw Data'!$D$11 = "Month # 1","",_xlfn.REGEXEXTRACT(CELL("address",'Raw Data'!D12),"\$([A-Z]+)\$[0-9]+"))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2:30" x14ac:dyDescent="0.25">
      <c r="B13" s="7"/>
      <c r="C13" s="7" t="str" cm="1">
        <f t="array" aca="1" ref="C13" ca="1">IF('Raw Data'!$C$10 = "Overall Project","",_xlfn.REGEXEXTRACT(CELL("address",'Raw Data'!C13),"\$([A-Z]+)\$[0-9]+"))</f>
        <v/>
      </c>
      <c r="D13" s="7" t="str" cm="1">
        <f t="array" aca="1" ref="D13" ca="1">IF('Raw Data'!$D$11 = "Month # 1","",_xlfn.REGEXEXTRACT(CELL("address",'Raw Data'!D13),"\$([A-Z]+)\$[0-9]+"))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2:30" x14ac:dyDescent="0.25">
      <c r="B14" s="7"/>
      <c r="C14" s="7" t="str" cm="1">
        <f t="array" aca="1" ref="C14" ca="1">IF('Raw Data'!$C$10 = "Overall Project","",_xlfn.REGEXEXTRACT(CELL("address",'Raw Data'!C14),"\$([A-Z]+)\$[0-9]+"))</f>
        <v/>
      </c>
      <c r="D14" s="7" t="str" cm="1">
        <f t="array" aca="1" ref="D14" ca="1">IF('Raw Data'!$D$11 = "Month # 1","",_xlfn.REGEXEXTRACT(CELL("address",'Raw Data'!D14),"\$([A-Z]+)\$[0-9]+"))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x14ac:dyDescent="0.25">
      <c r="B15" s="7"/>
      <c r="C15" s="7" t="str" cm="1">
        <f t="array" aca="1" ref="C15" ca="1">IF('Raw Data'!$C$10 = "Overall Project","",_xlfn.REGEXEXTRACT(CELL("address",'Raw Data'!C15),"\$([A-Z]+)\$[0-9]+"))</f>
        <v/>
      </c>
      <c r="D15" s="7" t="str" cm="1">
        <f t="array" aca="1" ref="D15" ca="1">IF('Raw Data'!$D$11 = "Month # 1","",_xlfn.REGEXEXTRACT(CELL("address",'Raw Data'!D15),"\$([A-Z]+)\$[0-9]+"))</f>
        <v/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x14ac:dyDescent="0.25">
      <c r="B16" s="7"/>
      <c r="C16" s="7" t="str" cm="1">
        <f t="array" aca="1" ref="C16" ca="1">IF('Raw Data'!$C$10 = "Overall Project","",_xlfn.REGEXEXTRACT(CELL("address",'Raw Data'!C16),"\$([A-Z]+)\$[0-9]+"))</f>
        <v/>
      </c>
      <c r="D16" s="7" t="str" cm="1">
        <f t="array" aca="1" ref="D16" ca="1">IF('Raw Data'!$D$11 = "Month # 1","",_xlfn.REGEXEXTRACT(CELL("address",'Raw Data'!D16),"\$([A-Z]+)\$[0-9]+"))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x14ac:dyDescent="0.25">
      <c r="B17" s="7"/>
      <c r="C17" s="7" t="str" cm="1">
        <f t="array" aca="1" ref="C17" ca="1">IF('Raw Data'!$C$10 = "Overall Project","",_xlfn.REGEXEXTRACT(CELL("address",'Raw Data'!C17),"\$([A-Z]+)\$[0-9]+"))</f>
        <v/>
      </c>
      <c r="D17" s="7" t="str" cm="1">
        <f t="array" aca="1" ref="D17" ca="1">IF('Raw Data'!$D$11 = "Month # 1","",_xlfn.REGEXEXTRACT(CELL("address",'Raw Data'!D17),"\$([A-Z]+)\$[0-9]+"))</f>
        <v/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x14ac:dyDescent="0.25">
      <c r="B18" s="7"/>
      <c r="C18" s="7" t="str" cm="1">
        <f t="array" aca="1" ref="C18" ca="1">IF('Raw Data'!$C$10 = "Overall Project","",_xlfn.REGEXEXTRACT(CELL("address",'Raw Data'!C18),"\$([A-Z]+)\$[0-9]+"))</f>
        <v/>
      </c>
      <c r="D18" s="7" t="str" cm="1">
        <f t="array" aca="1" ref="D18" ca="1">IF('Raw Data'!$D$11 = "Month # 1","",_xlfn.REGEXEXTRACT(CELL("address",'Raw Data'!D18),"\$([A-Z]+)\$[0-9]+"))</f>
        <v/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x14ac:dyDescent="0.25">
      <c r="B19" s="7"/>
      <c r="C19" s="7" t="str" cm="1">
        <f t="array" aca="1" ref="C19" ca="1">IF('Raw Data'!$C$10 = "Overall Project","",_xlfn.REGEXEXTRACT(CELL("address",'Raw Data'!C19),"\$([A-Z]+)\$[0-9]+"))</f>
        <v/>
      </c>
      <c r="D19" s="7" t="str" cm="1">
        <f t="array" aca="1" ref="D19" ca="1">IF('Raw Data'!$D$11 = "Month # 1","",_xlfn.REGEXEXTRACT(CELL("address",'Raw Data'!D19),"\$([A-Z]+)\$[0-9]+"))</f>
        <v/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 x14ac:dyDescent="0.25">
      <c r="B20" s="7"/>
      <c r="C20" s="7" t="str" cm="1">
        <f t="array" aca="1" ref="C20" ca="1">IF('Raw Data'!$C$10 = "Overall Project","",_xlfn.REGEXEXTRACT(CELL("address",'Raw Data'!C20),"\$([A-Z]+)\$[0-9]+"))</f>
        <v/>
      </c>
      <c r="D20" s="7" t="str" cm="1">
        <f t="array" aca="1" ref="D20" ca="1">IF('Raw Data'!$D$11 = "Month # 1","",_xlfn.REGEXEXTRACT(CELL("address",'Raw Data'!D20),"\$([A-Z]+)\$[0-9]+"))</f>
        <v/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 x14ac:dyDescent="0.25">
      <c r="B21" s="7"/>
      <c r="C21" s="7" t="str" cm="1">
        <f t="array" aca="1" ref="C21" ca="1">IF('Raw Data'!$C$10 = "Overall Project","",_xlfn.REGEXEXTRACT(CELL("address",'Raw Data'!C21),"\$([A-Z]+)\$[0-9]+"))</f>
        <v/>
      </c>
      <c r="D21" s="7" t="str" cm="1">
        <f t="array" aca="1" ref="D21" ca="1">IF('Raw Data'!$D$11 = "Month # 1","",_xlfn.REGEXEXTRACT(CELL("address",'Raw Data'!D21),"\$([A-Z]+)\$[0-9]+"))</f>
        <v/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 x14ac:dyDescent="0.25">
      <c r="B22" s="7"/>
      <c r="C22" s="7" t="str" cm="1">
        <f t="array" aca="1" ref="C22" ca="1">IF('Raw Data'!$C$10 = "Overall Project","",_xlfn.REGEXEXTRACT(CELL("address",'Raw Data'!C22),"\$([A-Z]+)\$[0-9]+"))</f>
        <v/>
      </c>
      <c r="D22" s="7" t="str" cm="1">
        <f t="array" aca="1" ref="D22" ca="1">IF('Raw Data'!$D$11 = "Month # 1","",_xlfn.REGEXEXTRACT(CELL("address",'Raw Data'!D22),"\$([A-Z]+)\$[0-9]+"))</f>
        <v/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 x14ac:dyDescent="0.25">
      <c r="B23" s="7"/>
      <c r="C23" s="7" t="str" cm="1">
        <f t="array" aca="1" ref="C23" ca="1">IF('Raw Data'!$C$10 = "Overall Project","",_xlfn.REGEXEXTRACT(CELL("address",'Raw Data'!C23),"\$([A-Z]+)\$[0-9]+"))</f>
        <v/>
      </c>
      <c r="D23" s="7" t="str" cm="1">
        <f t="array" aca="1" ref="D23" ca="1">IF('Raw Data'!$D$11 = "Month # 1","",_xlfn.REGEXEXTRACT(CELL("address",'Raw Data'!D23),"\$([A-Z]+)\$[0-9]+"))</f>
        <v/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 x14ac:dyDescent="0.25">
      <c r="B24" s="7"/>
      <c r="C24" s="7" t="str" cm="1">
        <f t="array" aca="1" ref="C24" ca="1">IF('Raw Data'!$C$10 = "Overall Project","",_xlfn.REGEXEXTRACT(CELL("address",'Raw Data'!C24),"\$([A-Z]+)\$[0-9]+"))</f>
        <v/>
      </c>
      <c r="D24" s="7" t="str" cm="1">
        <f t="array" aca="1" ref="D24" ca="1">IF('Raw Data'!$D$11 = "Month # 1","",_xlfn.REGEXEXTRACT(CELL("address",'Raw Data'!D24),"\$([A-Z]+)\$[0-9]+"))</f>
        <v/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 x14ac:dyDescent="0.25">
      <c r="B25" s="7"/>
      <c r="C25" s="7" t="str" cm="1">
        <f t="array" aca="1" ref="C25" ca="1">IF('Raw Data'!$C$10 = "Overall Project","",_xlfn.REGEXEXTRACT(CELL("address",'Raw Data'!C25),"\$([A-Z]+)\$[0-9]+"))</f>
        <v/>
      </c>
      <c r="D25" s="7" t="str" cm="1">
        <f t="array" aca="1" ref="D25" ca="1">IF('Raw Data'!$D$11 = "Month # 1","",_xlfn.REGEXEXTRACT(CELL("address",'Raw Data'!D25),"\$([A-Z]+)\$[0-9]+"))</f>
        <v/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2:30" x14ac:dyDescent="0.25">
      <c r="B26" s="7"/>
      <c r="C26" s="7" t="str" cm="1">
        <f t="array" aca="1" ref="C26" ca="1">IF('Raw Data'!$C$10 = "Overall Project","",_xlfn.REGEXEXTRACT(CELL("address",'Raw Data'!C26),"\$([A-Z]+)\$[0-9]+"))</f>
        <v/>
      </c>
      <c r="D26" s="7" t="str" cm="1">
        <f t="array" aca="1" ref="D26" ca="1">IF('Raw Data'!$D$11 = "Month # 1","",_xlfn.REGEXEXTRACT(CELL("address",'Raw Data'!D26),"\$([A-Z]+)\$[0-9]+"))</f>
        <v/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2:30" x14ac:dyDescent="0.25">
      <c r="B27" s="7"/>
      <c r="C27" s="7" t="str" cm="1">
        <f t="array" aca="1" ref="C27" ca="1">IF('Raw Data'!$C$10 = "Overall Project","",_xlfn.REGEXEXTRACT(CELL("address",'Raw Data'!C27),"\$([A-Z]+)\$[0-9]+"))</f>
        <v/>
      </c>
      <c r="D27" s="7" t="str" cm="1">
        <f t="array" aca="1" ref="D27" ca="1">IF('Raw Data'!$D$11 = "Month # 1","",_xlfn.REGEXEXTRACT(CELL("address",'Raw Data'!D27),"\$([A-Z]+)\$[0-9]+"))</f>
        <v/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2:30" x14ac:dyDescent="0.25">
      <c r="B28" s="7"/>
      <c r="C28" s="7" t="str" cm="1">
        <f t="array" aca="1" ref="C28" ca="1">IF('Raw Data'!$C$10 = "Overall Project","",_xlfn.REGEXEXTRACT(CELL("address",'Raw Data'!C28),"\$([A-Z]+)\$[0-9]+"))</f>
        <v/>
      </c>
      <c r="D28" s="7" t="str" cm="1">
        <f t="array" aca="1" ref="D28" ca="1">IF('Raw Data'!$D$11 = "Month # 1","",_xlfn.REGEXEXTRACT(CELL("address",'Raw Data'!D28),"\$([A-Z]+)\$[0-9]+"))</f>
        <v/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2:30" x14ac:dyDescent="0.25">
      <c r="B29" s="7"/>
      <c r="C29" s="7" t="str" cm="1">
        <f t="array" aca="1" ref="C29" ca="1">IF('Raw Data'!$C$10 = "Overall Project","",_xlfn.REGEXEXTRACT(CELL("address",'Raw Data'!C29),"\$([A-Z]+)\$[0-9]+"))</f>
        <v/>
      </c>
      <c r="D29" s="7" t="str" cm="1">
        <f t="array" aca="1" ref="D29" ca="1">IF('Raw Data'!$D$11 = "Month # 1","",_xlfn.REGEXEXTRACT(CELL("address",'Raw Data'!D29),"\$([A-Z]+)\$[0-9]+"))</f>
        <v/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2:30" x14ac:dyDescent="0.25">
      <c r="B30" s="7"/>
      <c r="C30" s="7" t="str" cm="1">
        <f t="array" aca="1" ref="C30" ca="1">IF('Raw Data'!$C$10 = "Overall Project","",_xlfn.REGEXEXTRACT(CELL("address",'Raw Data'!C30),"\$([A-Z]+)\$[0-9]+"))</f>
        <v/>
      </c>
      <c r="D30" s="7" t="str" cm="1">
        <f t="array" aca="1" ref="D30" ca="1">IF('Raw Data'!$D$11 = "Month # 1","",_xlfn.REGEXEXTRACT(CELL("address",'Raw Data'!D30),"\$([A-Z]+)\$[0-9]+"))</f>
        <v/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2:30" x14ac:dyDescent="0.25">
      <c r="B31" s="7"/>
      <c r="C31" s="7" t="str" cm="1">
        <f t="array" aca="1" ref="C31" ca="1">IF('Raw Data'!$C$10 = "Overall Project","",_xlfn.REGEXEXTRACT(CELL("address",'Raw Data'!C31),"\$([A-Z]+)\$[0-9]+"))</f>
        <v/>
      </c>
      <c r="D31" s="7" t="str" cm="1">
        <f t="array" aca="1" ref="D31" ca="1">IF('Raw Data'!$D$11 = "Month # 1","",_xlfn.REGEXEXTRACT(CELL("address",'Raw Data'!D31),"\$([A-Z]+)\$[0-9]+"))</f>
        <v/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2:30" x14ac:dyDescent="0.25">
      <c r="B32" s="7"/>
      <c r="C32" s="7" t="str" cm="1">
        <f t="array" aca="1" ref="C32" ca="1">IF('Raw Data'!$C$10 = "Overall Project","",_xlfn.REGEXEXTRACT(CELL("address",'Raw Data'!C32),"\$([A-Z]+)\$[0-9]+"))</f>
        <v/>
      </c>
      <c r="D32" s="7" t="str" cm="1">
        <f t="array" aca="1" ref="D32" ca="1">IF('Raw Data'!$D$11 = "Month # 1","",_xlfn.REGEXEXTRACT(CELL("address",'Raw Data'!D32),"\$([A-Z]+)\$[0-9]+"))</f>
        <v/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2:30" x14ac:dyDescent="0.25">
      <c r="B33" s="7"/>
      <c r="C33" s="7" t="str" cm="1">
        <f t="array" aca="1" ref="C33" ca="1">IF('Raw Data'!$C$10 = "Overall Project","",_xlfn.REGEXEXTRACT(CELL("address",'Raw Data'!C33),"\$([A-Z]+)\$[0-9]+"))</f>
        <v/>
      </c>
      <c r="D33" s="7" t="str" cm="1">
        <f t="array" aca="1" ref="D33" ca="1">IF('Raw Data'!$D$11 = "Month # 1","",_xlfn.REGEXEXTRACT(CELL("address",'Raw Data'!D33),"\$([A-Z]+)\$[0-9]+"))</f>
        <v/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2:30" x14ac:dyDescent="0.25">
      <c r="B34" s="7"/>
      <c r="C34" s="7" t="str" cm="1">
        <f t="array" aca="1" ref="C34" ca="1">IF('Raw Data'!$C$10 = "Overall Project","",_xlfn.REGEXEXTRACT(CELL("address",'Raw Data'!C34),"\$([A-Z]+)\$[0-9]+"))</f>
        <v/>
      </c>
      <c r="D34" s="7" t="str" cm="1">
        <f t="array" aca="1" ref="D34" ca="1">IF('Raw Data'!$D$11 = "Month # 1","",_xlfn.REGEXEXTRACT(CELL("address",'Raw Data'!D34),"\$([A-Z]+)\$[0-9]+"))</f>
        <v/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2:30" x14ac:dyDescent="0.25">
      <c r="B35" s="7"/>
      <c r="C35" s="7" t="str" cm="1">
        <f t="array" aca="1" ref="C35" ca="1">IF('Raw Data'!$C$10 = "Overall Project","",_xlfn.REGEXEXTRACT(CELL("address",'Raw Data'!C35),"\$([A-Z]+)\$[0-9]+"))</f>
        <v/>
      </c>
      <c r="D35" s="7" t="str" cm="1">
        <f t="array" aca="1" ref="D35" ca="1">IF('Raw Data'!$D$11 = "Month # 1","",_xlfn.REGEXEXTRACT(CELL("address",'Raw Data'!D35),"\$([A-Z]+)\$[0-9]+"))</f>
        <v/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2:30" x14ac:dyDescent="0.25">
      <c r="B36" s="7"/>
      <c r="C36" s="7" t="str" cm="1">
        <f t="array" aca="1" ref="C36" ca="1">IF('Raw Data'!$C$10 = "Overall Project","",_xlfn.REGEXEXTRACT(CELL("address",'Raw Data'!C36),"\$([A-Z]+)\$[0-9]+"))</f>
        <v/>
      </c>
      <c r="D36" s="7" t="str" cm="1">
        <f t="array" aca="1" ref="D36" ca="1">IF('Raw Data'!$D$11 = "Month # 1","",_xlfn.REGEXEXTRACT(CELL("address",'Raw Data'!D36),"\$([A-Z]+)\$[0-9]+"))</f>
        <v/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2:30" x14ac:dyDescent="0.25">
      <c r="B37" s="7"/>
      <c r="C37" s="7" t="str" cm="1">
        <f t="array" aca="1" ref="C37" ca="1">IF('Raw Data'!$C$10 = "Overall Project","",_xlfn.REGEXEXTRACT(CELL("address",'Raw Data'!C37),"\$([A-Z]+)\$[0-9]+"))</f>
        <v/>
      </c>
      <c r="D37" s="7" t="str" cm="1">
        <f t="array" aca="1" ref="D37" ca="1">IF('Raw Data'!$D$11 = "Month # 1","",_xlfn.REGEXEXTRACT(CELL("address",'Raw Data'!D37),"\$([A-Z]+)\$[0-9]+"))</f>
        <v/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2:30" x14ac:dyDescent="0.25">
      <c r="B38" s="7"/>
      <c r="C38" s="7" t="str" cm="1">
        <f t="array" aca="1" ref="C38" ca="1">IF('Raw Data'!$C$10 = "Overall Project","",_xlfn.REGEXEXTRACT(CELL("address",'Raw Data'!C38),"\$([A-Z]+)\$[0-9]+"))</f>
        <v/>
      </c>
      <c r="D38" s="7" t="str" cm="1">
        <f t="array" aca="1" ref="D38" ca="1">IF('Raw Data'!$D$11 = "Month # 1","",_xlfn.REGEXEXTRACT(CELL("address",'Raw Data'!D38),"\$([A-Z]+)\$[0-9]+"))</f>
        <v/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2:30" x14ac:dyDescent="0.25">
      <c r="B39" s="7"/>
      <c r="C39" s="7" t="str" cm="1">
        <f t="array" aca="1" ref="C39" ca="1">IF('Raw Data'!$C$10 = "Overall Project","",_xlfn.REGEXEXTRACT(CELL("address",'Raw Data'!C39),"\$([A-Z]+)\$[0-9]+"))</f>
        <v/>
      </c>
      <c r="D39" s="7" t="str" cm="1">
        <f t="array" aca="1" ref="D39" ca="1">IF('Raw Data'!$D$11 = "Month # 1","",_xlfn.REGEXEXTRACT(CELL("address",'Raw Data'!D39),"\$([A-Z]+)\$[0-9]+"))</f>
        <v/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2:30" x14ac:dyDescent="0.25">
      <c r="B40" s="7"/>
      <c r="C40" s="7" t="str" cm="1">
        <f t="array" aca="1" ref="C40" ca="1">IF('Raw Data'!$C$10 = "Overall Project","",_xlfn.REGEXEXTRACT(CELL("address",'Raw Data'!C40),"\$([A-Z]+)\$[0-9]+"))</f>
        <v/>
      </c>
      <c r="D40" s="7" t="str" cm="1">
        <f t="array" aca="1" ref="D40" ca="1">IF('Raw Data'!$D$11 = "Month # 1","",_xlfn.REGEXEXTRACT(CELL("address",'Raw Data'!D40),"\$([A-Z]+)\$[0-9]+"))</f>
        <v/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2:30" x14ac:dyDescent="0.25">
      <c r="B41" s="7"/>
      <c r="C41" s="7" t="str" cm="1">
        <f t="array" aca="1" ref="C41" ca="1">IF('Raw Data'!$C$10 = "Overall Project","",_xlfn.REGEXEXTRACT(CELL("address",'Raw Data'!C41),"\$([A-Z]+)\$[0-9]+"))</f>
        <v/>
      </c>
      <c r="D41" s="7" t="str" cm="1">
        <f t="array" aca="1" ref="D41" ca="1">IF('Raw Data'!$D$11 = "Month # 1","",_xlfn.REGEXEXTRACT(CELL("address",'Raw Data'!D41),"\$([A-Z]+)\$[0-9]+"))</f>
        <v/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2:30" x14ac:dyDescent="0.25">
      <c r="B42" s="7"/>
      <c r="C42" s="7" t="str" cm="1">
        <f t="array" aca="1" ref="C42" ca="1">IF('Raw Data'!$C$10 = "Overall Project","",_xlfn.REGEXEXTRACT(CELL("address",'Raw Data'!C42),"\$([A-Z]+)\$[0-9]+"))</f>
        <v/>
      </c>
      <c r="D42" s="7" t="str" cm="1">
        <f t="array" aca="1" ref="D42" ca="1">IF('Raw Data'!$D$11 = "Month # 1","",_xlfn.REGEXEXTRACT(CELL("address",'Raw Data'!D42),"\$([A-Z]+)\$[0-9]+"))</f>
        <v/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2:30" x14ac:dyDescent="0.25">
      <c r="B43" s="7"/>
      <c r="C43" s="7" t="str" cm="1">
        <f t="array" aca="1" ref="C43" ca="1">IF('Raw Data'!$C$10 = "Overall Project","",_xlfn.REGEXEXTRACT(CELL("address",'Raw Data'!C43),"\$([A-Z]+)\$[0-9]+"))</f>
        <v/>
      </c>
      <c r="D43" s="7" t="str" cm="1">
        <f t="array" aca="1" ref="D43" ca="1">IF('Raw Data'!$D$11 = "Month # 1","",_xlfn.REGEXEXTRACT(CELL("address",'Raw Data'!D43),"\$([A-Z]+)\$[0-9]+"))</f>
        <v/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2:30" x14ac:dyDescent="0.25">
      <c r="B44" s="7"/>
      <c r="C44" s="7" t="str" cm="1">
        <f t="array" aca="1" ref="C44" ca="1">IF('Raw Data'!$C$10 = "Overall Project","",_xlfn.REGEXEXTRACT(CELL("address",'Raw Data'!C44),"\$([A-Z]+)\$[0-9]+"))</f>
        <v/>
      </c>
      <c r="D44" s="7" t="str" cm="1">
        <f t="array" aca="1" ref="D44" ca="1">IF('Raw Data'!$D$11 = "Month # 1","",_xlfn.REGEXEXTRACT(CELL("address",'Raw Data'!D44),"\$([A-Z]+)\$[0-9]+"))</f>
        <v/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2:30" x14ac:dyDescent="0.25">
      <c r="B45" s="7"/>
      <c r="C45" s="7" t="str" cm="1">
        <f t="array" aca="1" ref="C45" ca="1">IF('Raw Data'!$C$10 = "Overall Project","",_xlfn.REGEXEXTRACT(CELL("address",'Raw Data'!C45),"\$([A-Z]+)\$[0-9]+"))</f>
        <v/>
      </c>
      <c r="D45" s="7" t="str" cm="1">
        <f t="array" aca="1" ref="D45" ca="1">IF('Raw Data'!$D$11 = "Month # 1","",_xlfn.REGEXEXTRACT(CELL("address",'Raw Data'!D45),"\$([A-Z]+)\$[0-9]+"))</f>
        <v/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2:30" x14ac:dyDescent="0.25">
      <c r="B46" s="7"/>
      <c r="C46" s="7" t="str" cm="1">
        <f t="array" aca="1" ref="C46" ca="1">IF('Raw Data'!$C$10 = "Overall Project","",_xlfn.REGEXEXTRACT(CELL("address",'Raw Data'!C46),"\$([A-Z]+)\$[0-9]+"))</f>
        <v/>
      </c>
      <c r="D46" s="7" t="str" cm="1">
        <f t="array" aca="1" ref="D46" ca="1">IF('Raw Data'!$D$11 = "Month # 1","",_xlfn.REGEXEXTRACT(CELL("address",'Raw Data'!D46),"\$([A-Z]+)\$[0-9]+"))</f>
        <v/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2:30" x14ac:dyDescent="0.25">
      <c r="B47" s="7"/>
      <c r="C47" s="7" t="str" cm="1">
        <f t="array" aca="1" ref="C47" ca="1">IF('Raw Data'!$C$10 = "Overall Project","",_xlfn.REGEXEXTRACT(CELL("address",'Raw Data'!C47),"\$([A-Z]+)\$[0-9]+"))</f>
        <v/>
      </c>
      <c r="D47" s="7" t="str" cm="1">
        <f t="array" aca="1" ref="D47" ca="1">IF('Raw Data'!$D$11 = "Month # 1","",_xlfn.REGEXEXTRACT(CELL("address",'Raw Data'!D47),"\$([A-Z]+)\$[0-9]+"))</f>
        <v/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2:30" x14ac:dyDescent="0.25">
      <c r="B48" s="7"/>
      <c r="C48" s="7" t="str" cm="1">
        <f t="array" aca="1" ref="C48" ca="1">IF('Raw Data'!$C$10 = "Overall Project","",_xlfn.REGEXEXTRACT(CELL("address",'Raw Data'!C48),"\$([A-Z]+)\$[0-9]+"))</f>
        <v/>
      </c>
      <c r="D48" s="7" t="str" cm="1">
        <f t="array" aca="1" ref="D48" ca="1">IF('Raw Data'!$D$11 = "Month # 1","",_xlfn.REGEXEXTRACT(CELL("address",'Raw Data'!D48),"\$([A-Z]+)\$[0-9]+"))</f>
        <v/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2:30" x14ac:dyDescent="0.25">
      <c r="B49" s="7"/>
      <c r="C49" s="7" t="str" cm="1">
        <f t="array" aca="1" ref="C49" ca="1">IF('Raw Data'!$C$10 = "Overall Project","",_xlfn.REGEXEXTRACT(CELL("address",'Raw Data'!C49),"\$([A-Z]+)\$[0-9]+"))</f>
        <v/>
      </c>
      <c r="D49" s="7" t="str" cm="1">
        <f t="array" aca="1" ref="D49" ca="1">IF('Raw Data'!$D$11 = "Month # 1","",_xlfn.REGEXEXTRACT(CELL("address",'Raw Data'!D49),"\$([A-Z]+)\$[0-9]+"))</f>
        <v/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2:30" x14ac:dyDescent="0.25">
      <c r="B50" s="7"/>
      <c r="C50" s="7" t="str" cm="1">
        <f t="array" aca="1" ref="C50" ca="1">IF('Raw Data'!$C$10 = "Overall Project","",_xlfn.REGEXEXTRACT(CELL("address",'Raw Data'!C50),"\$([A-Z]+)\$[0-9]+"))</f>
        <v/>
      </c>
      <c r="D50" s="7" t="str" cm="1">
        <f t="array" aca="1" ref="D50" ca="1">IF('Raw Data'!$D$11 = "Month # 1","",_xlfn.REGEXEXTRACT(CELL("address",'Raw Data'!D50),"\$([A-Z]+)\$[0-9]+"))</f>
        <v/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2:30" x14ac:dyDescent="0.25">
      <c r="B51" s="7"/>
      <c r="C51" s="7" t="str" cm="1">
        <f t="array" aca="1" ref="C51" ca="1">IF('Raw Data'!$C$10 = "Overall Project","",_xlfn.REGEXEXTRACT(CELL("address",'Raw Data'!C51),"\$([A-Z]+)\$[0-9]+"))</f>
        <v/>
      </c>
      <c r="D51" s="7" t="str" cm="1">
        <f t="array" aca="1" ref="D51" ca="1">IF('Raw Data'!$D$11 = "Month # 1","",_xlfn.REGEXEXTRACT(CELL("address",'Raw Data'!D51),"\$([A-Z]+)\$[0-9]+"))</f>
        <v/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2:30" x14ac:dyDescent="0.25">
      <c r="B52" s="7"/>
      <c r="C52" s="7" t="str" cm="1">
        <f t="array" aca="1" ref="C52" ca="1">IF('Raw Data'!$C$10 = "Overall Project","",_xlfn.REGEXEXTRACT(CELL("address",'Raw Data'!C52),"\$([A-Z]+)\$[0-9]+"))</f>
        <v/>
      </c>
      <c r="D52" s="7" t="str" cm="1">
        <f t="array" aca="1" ref="D52" ca="1">IF('Raw Data'!$D$11 = "Month # 1","",_xlfn.REGEXEXTRACT(CELL("address",'Raw Data'!D52),"\$([A-Z]+)\$[0-9]+"))</f>
        <v/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2:30" x14ac:dyDescent="0.25">
      <c r="B53" s="7"/>
      <c r="C53" s="7" t="str" cm="1">
        <f t="array" aca="1" ref="C53" ca="1">IF('Raw Data'!$C$10 = "Overall Project","",_xlfn.REGEXEXTRACT(CELL("address",'Raw Data'!C53),"\$([A-Z]+)\$[0-9]+"))</f>
        <v/>
      </c>
      <c r="D53" s="7" t="str" cm="1">
        <f t="array" aca="1" ref="D53" ca="1">IF('Raw Data'!$D$11 = "Month # 1","",_xlfn.REGEXEXTRACT(CELL("address",'Raw Data'!D53),"\$([A-Z]+)\$[0-9]+"))</f>
        <v/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2:30" x14ac:dyDescent="0.25">
      <c r="B54" s="7"/>
      <c r="C54" s="7" t="str" cm="1">
        <f t="array" aca="1" ref="C54" ca="1">IF('Raw Data'!$C$10 = "Overall Project","",_xlfn.REGEXEXTRACT(CELL("address",'Raw Data'!C54),"\$([A-Z]+)\$[0-9]+"))</f>
        <v/>
      </c>
      <c r="D54" s="7" t="str" cm="1">
        <f t="array" aca="1" ref="D54" ca="1">IF('Raw Data'!$D$11 = "Month # 1","",_xlfn.REGEXEXTRACT(CELL("address",'Raw Data'!D54),"\$([A-Z]+)\$[0-9]+"))</f>
        <v/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2:30" x14ac:dyDescent="0.25">
      <c r="B55" s="7"/>
      <c r="C55" s="7" t="str" cm="1">
        <f t="array" aca="1" ref="C55" ca="1">IF('Raw Data'!$C$10 = "Overall Project","",_xlfn.REGEXEXTRACT(CELL("address",'Raw Data'!C55),"\$([A-Z]+)\$[0-9]+"))</f>
        <v/>
      </c>
      <c r="D55" s="7" t="str" cm="1">
        <f t="array" aca="1" ref="D55" ca="1">IF('Raw Data'!$D$11 = "Month # 1","",_xlfn.REGEXEXTRACT(CELL("address",'Raw Data'!D55),"\$([A-Z]+)\$[0-9]+"))</f>
        <v/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2:30" x14ac:dyDescent="0.25">
      <c r="B56" s="7"/>
      <c r="C56" s="7" t="str" cm="1">
        <f t="array" aca="1" ref="C56" ca="1">IF('Raw Data'!$C$10 = "Overall Project","",_xlfn.REGEXEXTRACT(CELL("address",'Raw Data'!C56),"\$([A-Z]+)\$[0-9]+"))</f>
        <v/>
      </c>
      <c r="D56" s="7" t="str" cm="1">
        <f t="array" aca="1" ref="D56" ca="1">IF('Raw Data'!$D$11 = "Month # 1","",_xlfn.REGEXEXTRACT(CELL("address",'Raw Data'!D56),"\$([A-Z]+)\$[0-9]+"))</f>
        <v/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2:30" x14ac:dyDescent="0.25">
      <c r="B57" s="7"/>
      <c r="C57" s="7" t="str" cm="1">
        <f t="array" aca="1" ref="C57" ca="1">IF('Raw Data'!$C$10 = "Overall Project","",_xlfn.REGEXEXTRACT(CELL("address",'Raw Data'!C57),"\$([A-Z]+)\$[0-9]+"))</f>
        <v/>
      </c>
      <c r="D57" s="7" t="str" cm="1">
        <f t="array" aca="1" ref="D57" ca="1">IF('Raw Data'!$D$11 = "Month # 1","",_xlfn.REGEXEXTRACT(CELL("address",'Raw Data'!D57),"\$([A-Z]+)\$[0-9]+"))</f>
        <v/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2:30" x14ac:dyDescent="0.25">
      <c r="B58" s="7"/>
      <c r="C58" s="7" t="str" cm="1">
        <f t="array" aca="1" ref="C58" ca="1">IF('Raw Data'!$C$10 = "Overall Project","",_xlfn.REGEXEXTRACT(CELL("address",'Raw Data'!C58),"\$([A-Z]+)\$[0-9]+"))</f>
        <v/>
      </c>
      <c r="D58" s="7" t="str" cm="1">
        <f t="array" aca="1" ref="D58" ca="1">IF('Raw Data'!$D$11 = "Month # 1","",_xlfn.REGEXEXTRACT(CELL("address",'Raw Data'!D58),"\$([A-Z]+)\$[0-9]+"))</f>
        <v/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2:30" x14ac:dyDescent="0.25">
      <c r="B59" s="7"/>
      <c r="C59" s="7" t="str" cm="1">
        <f t="array" aca="1" ref="C59" ca="1">IF('Raw Data'!$C$10 = "Overall Project","",_xlfn.REGEXEXTRACT(CELL("address",'Raw Data'!C59),"\$([A-Z]+)\$[0-9]+"))</f>
        <v/>
      </c>
      <c r="D59" s="7" t="str" cm="1">
        <f t="array" aca="1" ref="D59" ca="1">IF('Raw Data'!$D$11 = "Month # 1","",_xlfn.REGEXEXTRACT(CELL("address",'Raw Data'!D59),"\$([A-Z]+)\$[0-9]+"))</f>
        <v/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2:30" x14ac:dyDescent="0.25">
      <c r="B60" s="7"/>
      <c r="C60" s="7" t="str" cm="1">
        <f t="array" aca="1" ref="C60" ca="1">IF('Raw Data'!$C$10 = "Overall Project","",_xlfn.REGEXEXTRACT(CELL("address",'Raw Data'!C60),"\$([A-Z]+)\$[0-9]+"))</f>
        <v/>
      </c>
      <c r="D60" s="7" t="str" cm="1">
        <f t="array" aca="1" ref="D60" ca="1">IF('Raw Data'!$D$11 = "Month # 1","",_xlfn.REGEXEXTRACT(CELL("address",'Raw Data'!D60),"\$([A-Z]+)\$[0-9]+"))</f>
        <v/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2:30" x14ac:dyDescent="0.25">
      <c r="B61" s="7"/>
      <c r="C61" s="7" t="str" cm="1">
        <f t="array" aca="1" ref="C61" ca="1">IF('Raw Data'!$C$10 = "Overall Project","",_xlfn.REGEXEXTRACT(CELL("address",'Raw Data'!C61),"\$([A-Z]+)\$[0-9]+"))</f>
        <v/>
      </c>
      <c r="D61" s="7" t="str" cm="1">
        <f t="array" aca="1" ref="D61" ca="1">IF('Raw Data'!$D$11 = "Month # 1","",_xlfn.REGEXEXTRACT(CELL("address",'Raw Data'!D61),"\$([A-Z]+)\$[0-9]+"))</f>
        <v/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2:30" x14ac:dyDescent="0.25">
      <c r="B62" s="7"/>
      <c r="C62" s="7" t="str" cm="1">
        <f t="array" aca="1" ref="C62" ca="1">IF('Raw Data'!$C$10 = "Overall Project","",_xlfn.REGEXEXTRACT(CELL("address",'Raw Data'!C62),"\$([A-Z]+)\$[0-9]+"))</f>
        <v/>
      </c>
      <c r="D62" s="7" t="str" cm="1">
        <f t="array" aca="1" ref="D62" ca="1">IF('Raw Data'!$D$11 = "Month # 1","",_xlfn.REGEXEXTRACT(CELL("address",'Raw Data'!D62),"\$([A-Z]+)\$[0-9]+"))</f>
        <v/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2:30" x14ac:dyDescent="0.25">
      <c r="B63" s="7"/>
      <c r="C63" s="7" t="str" cm="1">
        <f t="array" aca="1" ref="C63" ca="1">IF('Raw Data'!$C$10 = "Overall Project","",_xlfn.REGEXEXTRACT(CELL("address",'Raw Data'!C63),"\$([A-Z]+)\$[0-9]+"))</f>
        <v/>
      </c>
      <c r="D63" s="7" t="str" cm="1">
        <f t="array" aca="1" ref="D63" ca="1">IF('Raw Data'!$D$11 = "Month # 1","",_xlfn.REGEXEXTRACT(CELL("address",'Raw Data'!D63),"\$([A-Z]+)\$[0-9]+"))</f>
        <v/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2:30" x14ac:dyDescent="0.25">
      <c r="B64" s="7"/>
      <c r="C64" s="7" t="str" cm="1">
        <f t="array" aca="1" ref="C64" ca="1">IF('Raw Data'!$C$10 = "Overall Project","",_xlfn.REGEXEXTRACT(CELL("address",'Raw Data'!C64),"\$([A-Z]+)\$[0-9]+"))</f>
        <v/>
      </c>
      <c r="D64" s="7" t="str" cm="1">
        <f t="array" aca="1" ref="D64" ca="1">IF('Raw Data'!$D$11 = "Month # 1","",_xlfn.REGEXEXTRACT(CELL("address",'Raw Data'!D64),"\$([A-Z]+)\$[0-9]+"))</f>
        <v/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2:30" x14ac:dyDescent="0.25">
      <c r="B65" s="7"/>
      <c r="C65" s="7" t="str" cm="1">
        <f t="array" aca="1" ref="C65" ca="1">IF('Raw Data'!$C$10 = "Overall Project","",_xlfn.REGEXEXTRACT(CELL("address",'Raw Data'!C65),"\$([A-Z]+)\$[0-9]+"))</f>
        <v/>
      </c>
      <c r="D65" s="7" t="str" cm="1">
        <f t="array" aca="1" ref="D65" ca="1">IF('Raw Data'!$D$11 = "Month # 1","",_xlfn.REGEXEXTRACT(CELL("address",'Raw Data'!D65),"\$([A-Z]+)\$[0-9]+"))</f>
        <v/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 x14ac:dyDescent="0.25">
      <c r="B66" s="7"/>
      <c r="C66" s="7" t="str" cm="1">
        <f t="array" aca="1" ref="C66" ca="1">IF('Raw Data'!$C$10 = "Overall Project","",_xlfn.REGEXEXTRACT(CELL("address",'Raw Data'!C66),"\$([A-Z]+)\$[0-9]+"))</f>
        <v/>
      </c>
      <c r="D66" s="7" t="str" cm="1">
        <f t="array" aca="1" ref="D66" ca="1">IF('Raw Data'!$D$11 = "Month # 1","",_xlfn.REGEXEXTRACT(CELL("address",'Raw Data'!D66),"\$([A-Z]+)\$[0-9]+"))</f>
        <v/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 x14ac:dyDescent="0.25">
      <c r="B67" s="7"/>
      <c r="C67" s="7" t="str" cm="1">
        <f t="array" aca="1" ref="C67" ca="1">IF('Raw Data'!$C$10 = "Overall Project","",_xlfn.REGEXEXTRACT(CELL("address",'Raw Data'!C67),"\$([A-Z]+)\$[0-9]+"))</f>
        <v/>
      </c>
      <c r="D67" s="7" t="str" cm="1">
        <f t="array" aca="1" ref="D67" ca="1">IF('Raw Data'!$D$11 = "Month # 1","",_xlfn.REGEXEXTRACT(CELL("address",'Raw Data'!D67),"\$([A-Z]+)\$[0-9]+"))</f>
        <v/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 x14ac:dyDescent="0.25">
      <c r="B68" s="7"/>
      <c r="C68" s="7" t="str" cm="1">
        <f t="array" aca="1" ref="C68" ca="1">IF('Raw Data'!$C$10 = "Overall Project","",_xlfn.REGEXEXTRACT(CELL("address",'Raw Data'!C68),"\$([A-Z]+)\$[0-9]+"))</f>
        <v/>
      </c>
      <c r="D68" s="7" t="str" cm="1">
        <f t="array" aca="1" ref="D68" ca="1">IF('Raw Data'!$D$11 = "Month # 1","",_xlfn.REGEXEXTRACT(CELL("address",'Raw Data'!D68),"\$([A-Z]+)\$[0-9]+"))</f>
        <v/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 x14ac:dyDescent="0.25">
      <c r="B69" s="7"/>
      <c r="C69" s="7" t="str" cm="1">
        <f t="array" aca="1" ref="C69" ca="1">IF('Raw Data'!$C$10 = "Overall Project","",_xlfn.REGEXEXTRACT(CELL("address",'Raw Data'!C69),"\$([A-Z]+)\$[0-9]+"))</f>
        <v/>
      </c>
      <c r="D69" s="7" t="str" cm="1">
        <f t="array" aca="1" ref="D69" ca="1">IF('Raw Data'!$D$11 = "Month # 1","",_xlfn.REGEXEXTRACT(CELL("address",'Raw Data'!D69),"\$([A-Z]+)\$[0-9]+"))</f>
        <v/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 x14ac:dyDescent="0.25">
      <c r="B70" s="7"/>
      <c r="C70" s="7" t="str" cm="1">
        <f t="array" aca="1" ref="C70" ca="1">IF('Raw Data'!$C$10 = "Overall Project","",_xlfn.REGEXEXTRACT(CELL("address",'Raw Data'!C70),"\$([A-Z]+)\$[0-9]+"))</f>
        <v/>
      </c>
      <c r="D70" s="7" t="str" cm="1">
        <f t="array" aca="1" ref="D70" ca="1">IF('Raw Data'!$D$11 = "Month # 1","",_xlfn.REGEXEXTRACT(CELL("address",'Raw Data'!D70),"\$([A-Z]+)\$[0-9]+"))</f>
        <v/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 x14ac:dyDescent="0.25">
      <c r="B71" s="7"/>
      <c r="C71" s="7" t="str" cm="1">
        <f t="array" aca="1" ref="C71" ca="1">IF('Raw Data'!$C$10 = "Overall Project","",_xlfn.REGEXEXTRACT(CELL("address",'Raw Data'!C71),"\$([A-Z]+)\$[0-9]+"))</f>
        <v/>
      </c>
      <c r="D71" s="7" t="str" cm="1">
        <f t="array" aca="1" ref="D71" ca="1">IF('Raw Data'!$D$11 = "Month # 1","",_xlfn.REGEXEXTRACT(CELL("address",'Raw Data'!D71),"\$([A-Z]+)\$[0-9]+"))</f>
        <v/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 x14ac:dyDescent="0.25">
      <c r="B72" s="7"/>
      <c r="C72" s="7" t="str" cm="1">
        <f t="array" aca="1" ref="C72" ca="1">IF('Raw Data'!$C$10 = "Overall Project","",_xlfn.REGEXEXTRACT(CELL("address",'Raw Data'!C72),"\$([A-Z]+)\$[0-9]+"))</f>
        <v/>
      </c>
      <c r="D72" s="7" t="str" cm="1">
        <f t="array" aca="1" ref="D72" ca="1">IF('Raw Data'!$D$11 = "Month # 1","",_xlfn.REGEXEXTRACT(CELL("address",'Raw Data'!D72),"\$([A-Z]+)\$[0-9]+"))</f>
        <v/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 x14ac:dyDescent="0.25">
      <c r="B73" s="7"/>
      <c r="C73" s="7" t="str" cm="1">
        <f t="array" aca="1" ref="C73" ca="1">IF('Raw Data'!$C$10 = "Overall Project","",_xlfn.REGEXEXTRACT(CELL("address",'Raw Data'!C73),"\$([A-Z]+)\$[0-9]+"))</f>
        <v/>
      </c>
      <c r="D73" s="7" t="str" cm="1">
        <f t="array" aca="1" ref="D73" ca="1">IF('Raw Data'!$D$11 = "Month # 1","",_xlfn.REGEXEXTRACT(CELL("address",'Raw Data'!D73),"\$([A-Z]+)\$[0-9]+"))</f>
        <v/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 x14ac:dyDescent="0.25">
      <c r="B74" s="7"/>
      <c r="C74" s="7" t="str" cm="1">
        <f t="array" aca="1" ref="C74" ca="1">IF('Raw Data'!$C$10 = "Overall Project","",_xlfn.REGEXEXTRACT(CELL("address",'Raw Data'!C74),"\$([A-Z]+)\$[0-9]+"))</f>
        <v/>
      </c>
      <c r="D74" s="7" t="str" cm="1">
        <f t="array" aca="1" ref="D74" ca="1">IF('Raw Data'!$D$11 = "Month # 1","",_xlfn.REGEXEXTRACT(CELL("address",'Raw Data'!D74),"\$([A-Z]+)\$[0-9]+"))</f>
        <v/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 x14ac:dyDescent="0.25">
      <c r="B75" s="7"/>
      <c r="C75" s="7" t="str" cm="1">
        <f t="array" aca="1" ref="C75" ca="1">IF('Raw Data'!$C$10 = "Overall Project","",_xlfn.REGEXEXTRACT(CELL("address",'Raw Data'!C75),"\$([A-Z]+)\$[0-9]+"))</f>
        <v/>
      </c>
      <c r="D75" s="7" t="str" cm="1">
        <f t="array" aca="1" ref="D75" ca="1">IF('Raw Data'!$D$11 = "Month # 1","",_xlfn.REGEXEXTRACT(CELL("address",'Raw Data'!D75),"\$([A-Z]+)\$[0-9]+"))</f>
        <v/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2:30" x14ac:dyDescent="0.25">
      <c r="B76" s="7"/>
      <c r="C76" s="7" t="str" cm="1">
        <f t="array" aca="1" ref="C76" ca="1">IF('Raw Data'!$C$10 = "Overall Project","",_xlfn.REGEXEXTRACT(CELL("address",'Raw Data'!C76),"\$([A-Z]+)\$[0-9]+"))</f>
        <v/>
      </c>
      <c r="D76" s="7" t="str" cm="1">
        <f t="array" aca="1" ref="D76" ca="1">IF('Raw Data'!$D$11 = "Month # 1","",_xlfn.REGEXEXTRACT(CELL("address",'Raw Data'!D76),"\$([A-Z]+)\$[0-9]+"))</f>
        <v/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2:30" x14ac:dyDescent="0.25">
      <c r="B77" s="7"/>
      <c r="C77" s="7" t="str" cm="1">
        <f t="array" aca="1" ref="C77" ca="1">IF('Raw Data'!$C$10 = "Overall Project","",_xlfn.REGEXEXTRACT(CELL("address",'Raw Data'!C77),"\$([A-Z]+)\$[0-9]+"))</f>
        <v/>
      </c>
      <c r="D77" s="7" t="str" cm="1">
        <f t="array" aca="1" ref="D77" ca="1">IF('Raw Data'!$D$11 = "Month # 1","",_xlfn.REGEXEXTRACT(CELL("address",'Raw Data'!D77),"\$([A-Z]+)\$[0-9]+"))</f>
        <v/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2:30" x14ac:dyDescent="0.25">
      <c r="B78" s="7"/>
      <c r="C78" s="7" t="str" cm="1">
        <f t="array" aca="1" ref="C78" ca="1">IF('Raw Data'!$C$10 = "Overall Project","",_xlfn.REGEXEXTRACT(CELL("address",'Raw Data'!C78),"\$([A-Z]+)\$[0-9]+"))</f>
        <v/>
      </c>
      <c r="D78" s="7" t="str" cm="1">
        <f t="array" aca="1" ref="D78" ca="1">IF('Raw Data'!$D$11 = "Month # 1","",_xlfn.REGEXEXTRACT(CELL("address",'Raw Data'!D78),"\$([A-Z]+)\$[0-9]+"))</f>
        <v/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2:30" x14ac:dyDescent="0.25">
      <c r="B79" s="7"/>
      <c r="C79" s="7" t="str" cm="1">
        <f t="array" aca="1" ref="C79" ca="1">IF('Raw Data'!$C$10 = "Overall Project","",_xlfn.REGEXEXTRACT(CELL("address",'Raw Data'!C79),"\$([A-Z]+)\$[0-9]+"))</f>
        <v/>
      </c>
      <c r="D79" s="7" t="str" cm="1">
        <f t="array" aca="1" ref="D79" ca="1">IF('Raw Data'!$D$11 = "Month # 1","",_xlfn.REGEXEXTRACT(CELL("address",'Raw Data'!D79),"\$([A-Z]+)\$[0-9]+"))</f>
        <v/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2:30" x14ac:dyDescent="0.25">
      <c r="B80" s="7"/>
      <c r="C80" s="7" t="str" cm="1">
        <f t="array" aca="1" ref="C80" ca="1">IF('Raw Data'!$C$10 = "Overall Project","",_xlfn.REGEXEXTRACT(CELL("address",'Raw Data'!C80),"\$([A-Z]+)\$[0-9]+"))</f>
        <v/>
      </c>
      <c r="D80" s="7" t="str" cm="1">
        <f t="array" aca="1" ref="D80" ca="1">IF('Raw Data'!$D$11 = "Month # 1","",_xlfn.REGEXEXTRACT(CELL("address",'Raw Data'!D80),"\$([A-Z]+)\$[0-9]+"))</f>
        <v/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2:30" x14ac:dyDescent="0.25">
      <c r="B81" s="7"/>
      <c r="C81" s="7" t="str" cm="1">
        <f t="array" aca="1" ref="C81" ca="1">IF('Raw Data'!$C$10 = "Overall Project","",_xlfn.REGEXEXTRACT(CELL("address",'Raw Data'!C81),"\$([A-Z]+)\$[0-9]+"))</f>
        <v/>
      </c>
      <c r="D81" s="7" t="str" cm="1">
        <f t="array" aca="1" ref="D81" ca="1">IF('Raw Data'!$D$11 = "Month # 1","",_xlfn.REGEXEXTRACT(CELL("address",'Raw Data'!D81),"\$([A-Z]+)\$[0-9]+"))</f>
        <v/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2:30" x14ac:dyDescent="0.25">
      <c r="B82" s="7"/>
      <c r="C82" s="7" t="str" cm="1">
        <f t="array" aca="1" ref="C82" ca="1">IF('Raw Data'!$C$10 = "Overall Project","",_xlfn.REGEXEXTRACT(CELL("address",'Raw Data'!C82),"\$([A-Z]+)\$[0-9]+"))</f>
        <v/>
      </c>
      <c r="D82" s="7" t="str" cm="1">
        <f t="array" aca="1" ref="D82" ca="1">IF('Raw Data'!$D$11 = "Month # 1","",_xlfn.REGEXEXTRACT(CELL("address",'Raw Data'!D82),"\$([A-Z]+)\$[0-9]+"))</f>
        <v/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2:30" x14ac:dyDescent="0.25">
      <c r="B83" s="7"/>
      <c r="C83" s="7" t="str" cm="1">
        <f t="array" aca="1" ref="C83" ca="1">IF('Raw Data'!$C$10 = "Overall Project","",_xlfn.REGEXEXTRACT(CELL("address",'Raw Data'!C83),"\$([A-Z]+)\$[0-9]+"))</f>
        <v/>
      </c>
      <c r="D83" s="7" t="str" cm="1">
        <f t="array" aca="1" ref="D83" ca="1">IF('Raw Data'!$D$11 = "Month # 1","",_xlfn.REGEXEXTRACT(CELL("address",'Raw Data'!D83),"\$([A-Z]+)\$[0-9]+"))</f>
        <v/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2:30" x14ac:dyDescent="0.25">
      <c r="B84" s="7"/>
      <c r="C84" s="7" t="str" cm="1">
        <f t="array" aca="1" ref="C84" ca="1">IF('Raw Data'!$C$10 = "Overall Project","",_xlfn.REGEXEXTRACT(CELL("address",'Raw Data'!C84),"\$([A-Z]+)\$[0-9]+"))</f>
        <v/>
      </c>
      <c r="D84" s="7" t="str" cm="1">
        <f t="array" aca="1" ref="D84" ca="1">IF('Raw Data'!$D$11 = "Month # 1","",_xlfn.REGEXEXTRACT(CELL("address",'Raw Data'!D84),"\$([A-Z]+)\$[0-9]+"))</f>
        <v/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2:30" x14ac:dyDescent="0.25">
      <c r="B85" s="7"/>
      <c r="C85" s="7" t="str" cm="1">
        <f t="array" aca="1" ref="C85" ca="1">IF('Raw Data'!$C$10 = "Overall Project","",_xlfn.REGEXEXTRACT(CELL("address",'Raw Data'!C85),"\$([A-Z]+)\$[0-9]+"))</f>
        <v/>
      </c>
      <c r="D85" s="7" t="str" cm="1">
        <f t="array" aca="1" ref="D85" ca="1">IF('Raw Data'!$D$11 = "Month # 1","",_xlfn.REGEXEXTRACT(CELL("address",'Raw Data'!D85),"\$([A-Z]+)\$[0-9]+"))</f>
        <v/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2:30" x14ac:dyDescent="0.25">
      <c r="B86" s="7"/>
      <c r="C86" s="7" t="str" cm="1">
        <f t="array" aca="1" ref="C86" ca="1">IF('Raw Data'!$C$10 = "Overall Project","",_xlfn.REGEXEXTRACT(CELL("address",'Raw Data'!C86),"\$([A-Z]+)\$[0-9]+"))</f>
        <v/>
      </c>
      <c r="D86" s="7" t="str" cm="1">
        <f t="array" aca="1" ref="D86" ca="1">IF('Raw Data'!$D$11 = "Month # 1","",_xlfn.REGEXEXTRACT(CELL("address",'Raw Data'!D86),"\$([A-Z]+)\$[0-9]+"))</f>
        <v/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2:30" x14ac:dyDescent="0.25">
      <c r="B87" s="7"/>
      <c r="C87" s="7" t="str" cm="1">
        <f t="array" aca="1" ref="C87" ca="1">IF('Raw Data'!$C$10 = "Overall Project","",_xlfn.REGEXEXTRACT(CELL("address",'Raw Data'!C87),"\$([A-Z]+)\$[0-9]+"))</f>
        <v/>
      </c>
      <c r="D87" s="7" t="str" cm="1">
        <f t="array" aca="1" ref="D87" ca="1">IF('Raw Data'!$D$11 = "Month # 1","",_xlfn.REGEXEXTRACT(CELL("address",'Raw Data'!D87),"\$([A-Z]+)\$[0-9]+"))</f>
        <v/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2:30" x14ac:dyDescent="0.25">
      <c r="B88" s="7"/>
      <c r="C88" s="7" t="str" cm="1">
        <f t="array" aca="1" ref="C88" ca="1">IF('Raw Data'!$C$10 = "Overall Project","",_xlfn.REGEXEXTRACT(CELL("address",'Raw Data'!C88),"\$([A-Z]+)\$[0-9]+"))</f>
        <v/>
      </c>
      <c r="D88" s="7" t="str" cm="1">
        <f t="array" aca="1" ref="D88" ca="1">IF('Raw Data'!$D$11 = "Month # 1","",_xlfn.REGEXEXTRACT(CELL("address",'Raw Data'!D88),"\$([A-Z]+)\$[0-9]+"))</f>
        <v/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2:30" x14ac:dyDescent="0.25">
      <c r="B89" s="7"/>
      <c r="C89" s="7" t="str" cm="1">
        <f t="array" aca="1" ref="C89" ca="1">IF('Raw Data'!$C$10 = "Overall Project","",_xlfn.REGEXEXTRACT(CELL("address",'Raw Data'!C89),"\$([A-Z]+)\$[0-9]+"))</f>
        <v/>
      </c>
      <c r="D89" s="7" t="str" cm="1">
        <f t="array" aca="1" ref="D89" ca="1">IF('Raw Data'!$D$11 = "Month # 1","",_xlfn.REGEXEXTRACT(CELL("address",'Raw Data'!D89),"\$([A-Z]+)\$[0-9]+"))</f>
        <v/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2:30" x14ac:dyDescent="0.25">
      <c r="B90" s="7"/>
      <c r="C90" s="7" t="str" cm="1">
        <f t="array" aca="1" ref="C90" ca="1">IF('Raw Data'!$C$10 = "Overall Project","",_xlfn.REGEXEXTRACT(CELL("address",'Raw Data'!C90),"\$([A-Z]+)\$[0-9]+"))</f>
        <v/>
      </c>
      <c r="D90" s="7" t="str" cm="1">
        <f t="array" aca="1" ref="D90" ca="1">IF('Raw Data'!$D$11 = "Month # 1","",_xlfn.REGEXEXTRACT(CELL("address",'Raw Data'!D90),"\$([A-Z]+)\$[0-9]+"))</f>
        <v/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2:30" x14ac:dyDescent="0.25">
      <c r="B91" s="7"/>
      <c r="C91" s="7" t="str" cm="1">
        <f t="array" aca="1" ref="C91" ca="1">IF('Raw Data'!$C$10 = "Overall Project","",_xlfn.REGEXEXTRACT(CELL("address",'Raw Data'!C91),"\$([A-Z]+)\$[0-9]+"))</f>
        <v/>
      </c>
      <c r="D91" s="7" t="str" cm="1">
        <f t="array" aca="1" ref="D91" ca="1">IF('Raw Data'!$D$11 = "Month # 1","",_xlfn.REGEXEXTRACT(CELL("address",'Raw Data'!D91),"\$([A-Z]+)\$[0-9]+"))</f>
        <v/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2:30" x14ac:dyDescent="0.25">
      <c r="B92" s="7"/>
      <c r="C92" s="7" t="str" cm="1">
        <f t="array" aca="1" ref="C92" ca="1">IF('Raw Data'!$C$10 = "Overall Project","",_xlfn.REGEXEXTRACT(CELL("address",'Raw Data'!C92),"\$([A-Z]+)\$[0-9]+"))</f>
        <v/>
      </c>
      <c r="D92" s="7" t="str" cm="1">
        <f t="array" aca="1" ref="D92" ca="1">IF('Raw Data'!$D$11 = "Month # 1","",_xlfn.REGEXEXTRACT(CELL("address",'Raw Data'!D92),"\$([A-Z]+)\$[0-9]+"))</f>
        <v/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2:30" x14ac:dyDescent="0.25">
      <c r="B93" s="7"/>
      <c r="C93" s="7" t="str" cm="1">
        <f t="array" aca="1" ref="C93" ca="1">IF('Raw Data'!$C$10 = "Overall Project","",_xlfn.REGEXEXTRACT(CELL("address",'Raw Data'!C93),"\$([A-Z]+)\$[0-9]+"))</f>
        <v/>
      </c>
      <c r="D93" s="7" t="str" cm="1">
        <f t="array" aca="1" ref="D93" ca="1">IF('Raw Data'!$D$11 = "Month # 1","",_xlfn.REGEXEXTRACT(CELL("address",'Raw Data'!D93),"\$([A-Z]+)\$[0-9]+"))</f>
        <v/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2:30" x14ac:dyDescent="0.25">
      <c r="B94" s="7"/>
      <c r="C94" s="7" t="str" cm="1">
        <f t="array" aca="1" ref="C94" ca="1">IF('Raw Data'!$C$10 = "Overall Project","",_xlfn.REGEXEXTRACT(CELL("address",'Raw Data'!C94),"\$([A-Z]+)\$[0-9]+"))</f>
        <v/>
      </c>
      <c r="D94" s="7" t="str" cm="1">
        <f t="array" aca="1" ref="D94" ca="1">IF('Raw Data'!$D$11 = "Month # 1","",_xlfn.REGEXEXTRACT(CELL("address",'Raw Data'!D94),"\$([A-Z]+)\$[0-9]+"))</f>
        <v/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2:30" x14ac:dyDescent="0.25">
      <c r="B95" s="7"/>
      <c r="C95" s="7" t="str" cm="1">
        <f t="array" aca="1" ref="C95" ca="1">IF('Raw Data'!$C$10 = "Overall Project","",_xlfn.REGEXEXTRACT(CELL("address",'Raw Data'!C95),"\$([A-Z]+)\$[0-9]+"))</f>
        <v/>
      </c>
      <c r="D95" s="7" t="str" cm="1">
        <f t="array" aca="1" ref="D95" ca="1">IF('Raw Data'!$D$11 = "Month # 1","",_xlfn.REGEXEXTRACT(CELL("address",'Raw Data'!D95),"\$([A-Z]+)\$[0-9]+"))</f>
        <v/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2:30" x14ac:dyDescent="0.25">
      <c r="B96" s="7"/>
      <c r="C96" s="7" t="str" cm="1">
        <f t="array" aca="1" ref="C96" ca="1">IF('Raw Data'!$C$10 = "Overall Project","",_xlfn.REGEXEXTRACT(CELL("address",'Raw Data'!C96),"\$([A-Z]+)\$[0-9]+"))</f>
        <v/>
      </c>
      <c r="D96" s="7" t="str" cm="1">
        <f t="array" aca="1" ref="D96" ca="1">IF('Raw Data'!$D$11 = "Month # 1","",_xlfn.REGEXEXTRACT(CELL("address",'Raw Data'!D96),"\$([A-Z]+)\$[0-9]+"))</f>
        <v/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2:30" x14ac:dyDescent="0.25">
      <c r="B97" s="7"/>
      <c r="C97" s="7" t="str" cm="1">
        <f t="array" aca="1" ref="C97" ca="1">IF('Raw Data'!$C$10 = "Overall Project","",_xlfn.REGEXEXTRACT(CELL("address",'Raw Data'!C97),"\$([A-Z]+)\$[0-9]+"))</f>
        <v/>
      </c>
      <c r="D97" s="7" t="str" cm="1">
        <f t="array" aca="1" ref="D97" ca="1">IF('Raw Data'!$D$11 = "Month # 1","",_xlfn.REGEXEXTRACT(CELL("address",'Raw Data'!D97),"\$([A-Z]+)\$[0-9]+"))</f>
        <v/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2:30" x14ac:dyDescent="0.25">
      <c r="B98" s="7"/>
      <c r="C98" s="7" t="str" cm="1">
        <f t="array" aca="1" ref="C98" ca="1">IF('Raw Data'!$C$10 = "Overall Project","",_xlfn.REGEXEXTRACT(CELL("address",'Raw Data'!C98),"\$([A-Z]+)\$[0-9]+"))</f>
        <v/>
      </c>
      <c r="D98" s="7" t="str" cm="1">
        <f t="array" aca="1" ref="D98" ca="1">IF('Raw Data'!$D$11 = "Month # 1","",_xlfn.REGEXEXTRACT(CELL("address",'Raw Data'!D98),"\$([A-Z]+)\$[0-9]+"))</f>
        <v/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2:30" x14ac:dyDescent="0.25">
      <c r="B99" s="7"/>
      <c r="C99" s="7" t="str" cm="1">
        <f t="array" aca="1" ref="C99" ca="1">IF('Raw Data'!$C$10 = "Overall Project","",_xlfn.REGEXEXTRACT(CELL("address",'Raw Data'!C99),"\$([A-Z]+)\$[0-9]+"))</f>
        <v/>
      </c>
      <c r="D99" s="7" t="str" cm="1">
        <f t="array" aca="1" ref="D99" ca="1">IF('Raw Data'!$D$11 = "Month # 1","",_xlfn.REGEXEXTRACT(CELL("address",'Raw Data'!D99),"\$([A-Z]+)\$[0-9]+"))</f>
        <v/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2:30" x14ac:dyDescent="0.25">
      <c r="B100" s="7"/>
      <c r="C100" s="7" t="str" cm="1">
        <f t="array" aca="1" ref="C100" ca="1">IF('Raw Data'!$C$10 = "Overall Project","",_xlfn.REGEXEXTRACT(CELL("address",'Raw Data'!C100),"\$([A-Z]+)\$[0-9]+"))</f>
        <v/>
      </c>
      <c r="D100" s="7" t="str" cm="1">
        <f t="array" aca="1" ref="D100" ca="1">IF('Raw Data'!$D$11 = "Month # 1","",_xlfn.REGEXEXTRACT(CELL("address",'Raw Data'!D100),"\$([A-Z]+)\$[0-9]+"))</f>
        <v/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2:30" x14ac:dyDescent="0.25">
      <c r="B101" s="7"/>
      <c r="C101" s="7" t="str" cm="1">
        <f t="array" aca="1" ref="C101" ca="1">IF('Raw Data'!$C$10 = "Overall Project","",_xlfn.REGEXEXTRACT(CELL("address",'Raw Data'!C101),"\$([A-Z]+)\$[0-9]+"))</f>
        <v/>
      </c>
      <c r="D101" s="7" t="str" cm="1">
        <f t="array" aca="1" ref="D101" ca="1">IF('Raw Data'!$D$11 = "Month # 1","",_xlfn.REGEXEXTRACT(CELL("address",'Raw Data'!D101),"\$([A-Z]+)\$[0-9]+"))</f>
        <v/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2:30" x14ac:dyDescent="0.25">
      <c r="B102" s="7"/>
      <c r="C102" s="7" t="str" cm="1">
        <f t="array" aca="1" ref="C102" ca="1">IF('Raw Data'!$C$10 = "Overall Project","",_xlfn.REGEXEXTRACT(CELL("address",'Raw Data'!C102),"\$([A-Z]+)\$[0-9]+"))</f>
        <v/>
      </c>
      <c r="D102" s="7" t="str" cm="1">
        <f t="array" aca="1" ref="D102" ca="1">IF('Raw Data'!$D$11 = "Month # 1","",_xlfn.REGEXEXTRACT(CELL("address",'Raw Data'!D102),"\$([A-Z]+)\$[0-9]+"))</f>
        <v/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2:30" x14ac:dyDescent="0.25">
      <c r="B103" s="7"/>
      <c r="C103" s="7" t="str" cm="1">
        <f t="array" aca="1" ref="C103" ca="1">IF('Raw Data'!$C$10 = "Overall Project","",_xlfn.REGEXEXTRACT(CELL("address",'Raw Data'!C103),"\$([A-Z]+)\$[0-9]+"))</f>
        <v/>
      </c>
      <c r="D103" s="7" t="str" cm="1">
        <f t="array" aca="1" ref="D103" ca="1">IF('Raw Data'!$D$11 = "Month # 1","",_xlfn.REGEXEXTRACT(CELL("address",'Raw Data'!D103),"\$([A-Z]+)\$[0-9]+"))</f>
        <v/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2:30" x14ac:dyDescent="0.25">
      <c r="B104" s="7"/>
      <c r="C104" s="7" t="str" cm="1">
        <f t="array" aca="1" ref="C104" ca="1">IF('Raw Data'!$C$10 = "Overall Project","",_xlfn.REGEXEXTRACT(CELL("address",'Raw Data'!C104),"\$([A-Z]+)\$[0-9]+"))</f>
        <v/>
      </c>
      <c r="D104" s="7" t="str" cm="1">
        <f t="array" aca="1" ref="D104" ca="1">IF('Raw Data'!$D$11 = "Month # 1","",_xlfn.REGEXEXTRACT(CELL("address",'Raw Data'!D104),"\$([A-Z]+)\$[0-9]+"))</f>
        <v/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2:30" x14ac:dyDescent="0.25">
      <c r="B105" s="7"/>
      <c r="C105" s="7" t="str" cm="1">
        <f t="array" aca="1" ref="C105" ca="1">IF('Raw Data'!$C$10 = "Overall Project","",_xlfn.REGEXEXTRACT(CELL("address",'Raw Data'!C105),"\$([A-Z]+)\$[0-9]+"))</f>
        <v/>
      </c>
      <c r="D105" s="7" t="str" cm="1">
        <f t="array" aca="1" ref="D105" ca="1">IF('Raw Data'!$D$11 = "Month # 1","",_xlfn.REGEXEXTRACT(CELL("address",'Raw Data'!D105),"\$([A-Z]+)\$[0-9]+"))</f>
        <v/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2:30" x14ac:dyDescent="0.25">
      <c r="B106" s="7"/>
      <c r="C106" s="7" t="str" cm="1">
        <f t="array" aca="1" ref="C106" ca="1">IF('Raw Data'!$C$10 = "Overall Project","",_xlfn.REGEXEXTRACT(CELL("address",'Raw Data'!C106),"\$([A-Z]+)\$[0-9]+"))</f>
        <v/>
      </c>
      <c r="D106" s="7" t="str" cm="1">
        <f t="array" aca="1" ref="D106" ca="1">IF('Raw Data'!$D$11 = "Month # 1","",_xlfn.REGEXEXTRACT(CELL("address",'Raw Data'!D106),"\$([A-Z]+)\$[0-9]+"))</f>
        <v/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2:30" x14ac:dyDescent="0.25">
      <c r="B107" s="7"/>
      <c r="C107" s="7" t="str" cm="1">
        <f t="array" aca="1" ref="C107" ca="1">IF('Raw Data'!$C$10 = "Overall Project","",_xlfn.REGEXEXTRACT(CELL("address",'Raw Data'!C107),"\$([A-Z]+)\$[0-9]+"))</f>
        <v/>
      </c>
      <c r="D107" s="7" t="str" cm="1">
        <f t="array" aca="1" ref="D107" ca="1">IF('Raw Data'!$D$11 = "Month # 1","",_xlfn.REGEXEXTRACT(CELL("address",'Raw Data'!D107),"\$([A-Z]+)\$[0-9]+"))</f>
        <v/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2:30" x14ac:dyDescent="0.25">
      <c r="B108" s="7"/>
      <c r="C108" s="7" t="str" cm="1">
        <f t="array" aca="1" ref="C108" ca="1">IF('Raw Data'!$C$10 = "Overall Project","",_xlfn.REGEXEXTRACT(CELL("address",'Raw Data'!C108),"\$([A-Z]+)\$[0-9]+"))</f>
        <v/>
      </c>
      <c r="D108" s="7" t="str" cm="1">
        <f t="array" aca="1" ref="D108" ca="1">IF('Raw Data'!$D$11 = "Month # 1","",_xlfn.REGEXEXTRACT(CELL("address",'Raw Data'!D108),"\$([A-Z]+)\$[0-9]+"))</f>
        <v/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2:30" x14ac:dyDescent="0.25">
      <c r="B109" s="7"/>
      <c r="C109" s="7" t="str" cm="1">
        <f t="array" aca="1" ref="C109" ca="1">IF('Raw Data'!$C$10 = "Overall Project","",_xlfn.REGEXEXTRACT(CELL("address",'Raw Data'!C109),"\$([A-Z]+)\$[0-9]+"))</f>
        <v/>
      </c>
      <c r="D109" s="7" t="str" cm="1">
        <f t="array" aca="1" ref="D109" ca="1">IF('Raw Data'!$D$11 = "Month # 1","",_xlfn.REGEXEXTRACT(CELL("address",'Raw Data'!D109),"\$([A-Z]+)\$[0-9]+"))</f>
        <v/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2:30" x14ac:dyDescent="0.25">
      <c r="B110" s="7"/>
      <c r="C110" s="7" t="str" cm="1">
        <f t="array" aca="1" ref="C110" ca="1">IF('Raw Data'!$C$10 = "Overall Project","",_xlfn.REGEXEXTRACT(CELL("address",'Raw Data'!C110),"\$([A-Z]+)\$[0-9]+"))</f>
        <v/>
      </c>
      <c r="D110" s="7" t="str" cm="1">
        <f t="array" aca="1" ref="D110" ca="1">IF('Raw Data'!$D$11 = "Month # 1","",_xlfn.REGEXEXTRACT(CELL("address",'Raw Data'!D110),"\$([A-Z]+)\$[0-9]+"))</f>
        <v/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2:30" x14ac:dyDescent="0.25">
      <c r="B111" s="7"/>
      <c r="C111" s="7" t="str" cm="1">
        <f t="array" aca="1" ref="C111" ca="1">IF('Raw Data'!$C$10 = "Overall Project","",_xlfn.REGEXEXTRACT(CELL("address",'Raw Data'!C111),"\$([A-Z]+)\$[0-9]+"))</f>
        <v/>
      </c>
      <c r="D111" s="7" t="str" cm="1">
        <f t="array" aca="1" ref="D111" ca="1">IF('Raw Data'!$D$11 = "Month # 1","",_xlfn.REGEXEXTRACT(CELL("address",'Raw Data'!D111),"\$([A-Z]+)\$[0-9]+"))</f>
        <v/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2:30" x14ac:dyDescent="0.25">
      <c r="B112" s="7"/>
      <c r="C112" s="7" t="str" cm="1">
        <f t="array" aca="1" ref="C112" ca="1">IF('Raw Data'!$C$10 = "Overall Project","",_xlfn.REGEXEXTRACT(CELL("address",'Raw Data'!C112),"\$([A-Z]+)\$[0-9]+"))</f>
        <v/>
      </c>
      <c r="D112" s="7" t="str" cm="1">
        <f t="array" aca="1" ref="D112" ca="1">IF('Raw Data'!$D$11 = "Month # 1","",_xlfn.REGEXEXTRACT(CELL("address",'Raw Data'!D112),"\$([A-Z]+)\$[0-9]+"))</f>
        <v/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2:30" x14ac:dyDescent="0.25">
      <c r="B113" s="7"/>
      <c r="C113" s="7" t="str" cm="1">
        <f t="array" aca="1" ref="C113" ca="1">IF('Raw Data'!$C$10 = "Overall Project","",_xlfn.REGEXEXTRACT(CELL("address",'Raw Data'!C113),"\$([A-Z]+)\$[0-9]+"))</f>
        <v/>
      </c>
      <c r="D113" s="7" t="str" cm="1">
        <f t="array" aca="1" ref="D113" ca="1">IF('Raw Data'!$D$11 = "Month # 1","",_xlfn.REGEXEXTRACT(CELL("address",'Raw Data'!D113),"\$([A-Z]+)\$[0-9]+"))</f>
        <v/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2:30" x14ac:dyDescent="0.25">
      <c r="B114" s="7"/>
      <c r="C114" s="7" t="str" cm="1">
        <f t="array" aca="1" ref="C114" ca="1">IF('Raw Data'!$C$10 = "Overall Project","",_xlfn.REGEXEXTRACT(CELL("address",'Raw Data'!C114),"\$([A-Z]+)\$[0-9]+"))</f>
        <v/>
      </c>
      <c r="D114" s="7" t="str" cm="1">
        <f t="array" aca="1" ref="D114" ca="1">IF('Raw Data'!$D$11 = "Month # 1","",_xlfn.REGEXEXTRACT(CELL("address",'Raw Data'!D114),"\$([A-Z]+)\$[0-9]+"))</f>
        <v/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2:30" x14ac:dyDescent="0.25">
      <c r="B115" s="7"/>
      <c r="C115" s="7" t="str" cm="1">
        <f t="array" aca="1" ref="C115" ca="1">IF('Raw Data'!$C$10 = "Overall Project","",_xlfn.REGEXEXTRACT(CELL("address",'Raw Data'!C115),"\$([A-Z]+)\$[0-9]+"))</f>
        <v/>
      </c>
      <c r="D115" s="7" t="str" cm="1">
        <f t="array" aca="1" ref="D115" ca="1">IF('Raw Data'!$D$11 = "Month # 1","",_xlfn.REGEXEXTRACT(CELL("address",'Raw Data'!D115),"\$([A-Z]+)\$[0-9]+"))</f>
        <v/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2:30" x14ac:dyDescent="0.25">
      <c r="B116" s="7"/>
      <c r="C116" s="7" t="str" cm="1">
        <f t="array" aca="1" ref="C116" ca="1">IF('Raw Data'!$C$10 = "Overall Project","",_xlfn.REGEXEXTRACT(CELL("address",'Raw Data'!C116),"\$([A-Z]+)\$[0-9]+"))</f>
        <v/>
      </c>
      <c r="D116" s="7" t="str" cm="1">
        <f t="array" aca="1" ref="D116" ca="1">IF('Raw Data'!$D$11 = "Month # 1","",_xlfn.REGEXEXTRACT(CELL("address",'Raw Data'!D116),"\$([A-Z]+)\$[0-9]+"))</f>
        <v/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2:30" x14ac:dyDescent="0.25">
      <c r="B117" s="7"/>
      <c r="C117" s="7" t="str" cm="1">
        <f t="array" aca="1" ref="C117" ca="1">IF('Raw Data'!$C$10 = "Overall Project","",_xlfn.REGEXEXTRACT(CELL("address",'Raw Data'!C117),"\$([A-Z]+)\$[0-9]+"))</f>
        <v/>
      </c>
      <c r="D117" s="7" t="str" cm="1">
        <f t="array" aca="1" ref="D117" ca="1">IF('Raw Data'!$D$11 = "Month # 1","",_xlfn.REGEXEXTRACT(CELL("address",'Raw Data'!D117),"\$([A-Z]+)\$[0-9]+"))</f>
        <v/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2:30" x14ac:dyDescent="0.25">
      <c r="B118" s="7"/>
      <c r="C118" s="7" t="str" cm="1">
        <f t="array" aca="1" ref="C118" ca="1">IF('Raw Data'!$C$10 = "Overall Project","",_xlfn.REGEXEXTRACT(CELL("address",'Raw Data'!C118),"\$([A-Z]+)\$[0-9]+"))</f>
        <v/>
      </c>
      <c r="D118" s="7" t="str" cm="1">
        <f t="array" aca="1" ref="D118" ca="1">IF('Raw Data'!$D$11 = "Month # 1","",_xlfn.REGEXEXTRACT(CELL("address",'Raw Data'!D118),"\$([A-Z]+)\$[0-9]+"))</f>
        <v/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2:30" x14ac:dyDescent="0.25">
      <c r="B119" s="7"/>
      <c r="C119" s="7" t="str" cm="1">
        <f t="array" aca="1" ref="C119" ca="1">IF('Raw Data'!$C$10 = "Overall Project","",_xlfn.REGEXEXTRACT(CELL("address",'Raw Data'!C119),"\$([A-Z]+)\$[0-9]+"))</f>
        <v/>
      </c>
      <c r="D119" s="7" t="str" cm="1">
        <f t="array" aca="1" ref="D119" ca="1">IF('Raw Data'!$D$11 = "Month # 1","",_xlfn.REGEXEXTRACT(CELL("address",'Raw Data'!D119),"\$([A-Z]+)\$[0-9]+"))</f>
        <v/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2:30" x14ac:dyDescent="0.25">
      <c r="B120" s="7"/>
      <c r="C120" s="7" t="str" cm="1">
        <f t="array" aca="1" ref="C120" ca="1">IF('Raw Data'!$C$10 = "Overall Project","",_xlfn.REGEXEXTRACT(CELL("address",'Raw Data'!C120),"\$([A-Z]+)\$[0-9]+"))</f>
        <v/>
      </c>
      <c r="D120" s="7" t="str" cm="1">
        <f t="array" aca="1" ref="D120" ca="1">IF('Raw Data'!$D$11 = "Month # 1","",_xlfn.REGEXEXTRACT(CELL("address",'Raw Data'!D120),"\$([A-Z]+)\$[0-9]+"))</f>
        <v/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2:30" x14ac:dyDescent="0.25">
      <c r="B121" s="7"/>
      <c r="C121" s="7" t="str" cm="1">
        <f t="array" aca="1" ref="C121" ca="1">IF('Raw Data'!$C$10 = "Overall Project","",_xlfn.REGEXEXTRACT(CELL("address",'Raw Data'!C121),"\$([A-Z]+)\$[0-9]+"))</f>
        <v/>
      </c>
      <c r="D121" s="7" t="str" cm="1">
        <f t="array" aca="1" ref="D121" ca="1">IF('Raw Data'!$D$11 = "Month # 1","",_xlfn.REGEXEXTRACT(CELL("address",'Raw Data'!D121),"\$([A-Z]+)\$[0-9]+"))</f>
        <v/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2:30" x14ac:dyDescent="0.25">
      <c r="B122" s="7"/>
      <c r="C122" s="7" t="str" cm="1">
        <f t="array" aca="1" ref="C122" ca="1">IF('Raw Data'!$C$10 = "Overall Project","",_xlfn.REGEXEXTRACT(CELL("address",'Raw Data'!C122),"\$([A-Z]+)\$[0-9]+"))</f>
        <v/>
      </c>
      <c r="D122" s="7" t="str" cm="1">
        <f t="array" aca="1" ref="D122" ca="1">IF('Raw Data'!$D$11 = "Month # 1","",_xlfn.REGEXEXTRACT(CELL("address",'Raw Data'!D122),"\$([A-Z]+)\$[0-9]+"))</f>
        <v/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2:30" x14ac:dyDescent="0.25">
      <c r="B123" s="7"/>
      <c r="C123" s="7" t="str" cm="1">
        <f t="array" aca="1" ref="C123" ca="1">IF('Raw Data'!$C$10 = "Overall Project","",_xlfn.REGEXEXTRACT(CELL("address",'Raw Data'!C123),"\$([A-Z]+)\$[0-9]+"))</f>
        <v/>
      </c>
      <c r="D123" s="7" t="str" cm="1">
        <f t="array" aca="1" ref="D123" ca="1">IF('Raw Data'!$D$11 = "Month # 1","",_xlfn.REGEXEXTRACT(CELL("address",'Raw Data'!D123),"\$([A-Z]+)\$[0-9]+"))</f>
        <v/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2:30" x14ac:dyDescent="0.25">
      <c r="B124" s="7"/>
      <c r="C124" s="7" t="str" cm="1">
        <f t="array" aca="1" ref="C124" ca="1">IF('Raw Data'!$C$10 = "Overall Project","",_xlfn.REGEXEXTRACT(CELL("address",'Raw Data'!C124),"\$([A-Z]+)\$[0-9]+"))</f>
        <v/>
      </c>
      <c r="D124" s="7" t="str" cm="1">
        <f t="array" aca="1" ref="D124" ca="1">IF('Raw Data'!$D$11 = "Month # 1","",_xlfn.REGEXEXTRACT(CELL("address",'Raw Data'!D124),"\$([A-Z]+)\$[0-9]+"))</f>
        <v/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2:30" x14ac:dyDescent="0.25">
      <c r="B125" s="7"/>
      <c r="C125" s="7" t="str" cm="1">
        <f t="array" aca="1" ref="C125" ca="1">IF('Raw Data'!$C$10 = "Overall Project","",_xlfn.REGEXEXTRACT(CELL("address",'Raw Data'!C125),"\$([A-Z]+)\$[0-9]+"))</f>
        <v/>
      </c>
      <c r="D125" s="7" t="str" cm="1">
        <f t="array" aca="1" ref="D125" ca="1">IF('Raw Data'!$D$11 = "Month # 1","",_xlfn.REGEXEXTRACT(CELL("address",'Raw Data'!D125),"\$([A-Z]+)\$[0-9]+"))</f>
        <v/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2:30" x14ac:dyDescent="0.25">
      <c r="B126" s="7"/>
      <c r="C126" s="7" t="str" cm="1">
        <f t="array" aca="1" ref="C126" ca="1">IF('Raw Data'!$C$10 = "Overall Project","",_xlfn.REGEXEXTRACT(CELL("address",'Raw Data'!C126),"\$([A-Z]+)\$[0-9]+"))</f>
        <v/>
      </c>
      <c r="D126" s="7" t="str" cm="1">
        <f t="array" aca="1" ref="D126" ca="1">IF('Raw Data'!$D$11 = "Month # 1","",_xlfn.REGEXEXTRACT(CELL("address",'Raw Data'!D126),"\$([A-Z]+)\$[0-9]+"))</f>
        <v/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2:30" x14ac:dyDescent="0.25">
      <c r="B127" s="7"/>
      <c r="C127" s="7" t="str" cm="1">
        <f t="array" aca="1" ref="C127" ca="1">IF('Raw Data'!$C$10 = "Overall Project","",_xlfn.REGEXEXTRACT(CELL("address",'Raw Data'!C127),"\$([A-Z]+)\$[0-9]+"))</f>
        <v/>
      </c>
      <c r="D127" s="7" t="str" cm="1">
        <f t="array" aca="1" ref="D127" ca="1">IF('Raw Data'!$D$11 = "Month # 1","",_xlfn.REGEXEXTRACT(CELL("address",'Raw Data'!D127),"\$([A-Z]+)\$[0-9]+"))</f>
        <v/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2:30" x14ac:dyDescent="0.25">
      <c r="B128" s="7"/>
      <c r="C128" s="7" t="str" cm="1">
        <f t="array" aca="1" ref="C128" ca="1">IF('Raw Data'!$C$10 = "Overall Project","",_xlfn.REGEXEXTRACT(CELL("address",'Raw Data'!C128),"\$([A-Z]+)\$[0-9]+"))</f>
        <v/>
      </c>
      <c r="D128" s="7" t="str" cm="1">
        <f t="array" aca="1" ref="D128" ca="1">IF('Raw Data'!$D$11 = "Month # 1","",_xlfn.REGEXEXTRACT(CELL("address",'Raw Data'!D128),"\$([A-Z]+)\$[0-9]+"))</f>
        <v/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2:30" x14ac:dyDescent="0.25">
      <c r="B129" s="7"/>
      <c r="C129" s="7" t="str" cm="1">
        <f t="array" aca="1" ref="C129" ca="1">IF('Raw Data'!$C$10 = "Overall Project","",_xlfn.REGEXEXTRACT(CELL("address",'Raw Data'!C129),"\$([A-Z]+)\$[0-9]+"))</f>
        <v/>
      </c>
      <c r="D129" s="7" t="str" cm="1">
        <f t="array" aca="1" ref="D129" ca="1">IF('Raw Data'!$D$11 = "Month # 1","",_xlfn.REGEXEXTRACT(CELL("address",'Raw Data'!D129),"\$([A-Z]+)\$[0-9]+"))</f>
        <v/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2:30" x14ac:dyDescent="0.25">
      <c r="B130" s="7"/>
      <c r="C130" s="7" t="str" cm="1">
        <f t="array" aca="1" ref="C130" ca="1">IF('Raw Data'!$C$10 = "Overall Project","",_xlfn.REGEXEXTRACT(CELL("address",'Raw Data'!C130),"\$([A-Z]+)\$[0-9]+"))</f>
        <v/>
      </c>
      <c r="D130" s="7" t="str" cm="1">
        <f t="array" aca="1" ref="D130" ca="1">IF('Raw Data'!$D$11 = "Month # 1","",_xlfn.REGEXEXTRACT(CELL("address",'Raw Data'!D130),"\$([A-Z]+)\$[0-9]+"))</f>
        <v/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2:30" x14ac:dyDescent="0.25">
      <c r="B131" s="7"/>
      <c r="C131" s="7" t="str" cm="1">
        <f t="array" aca="1" ref="C131" ca="1">IF('Raw Data'!$C$10 = "Overall Project","",_xlfn.REGEXEXTRACT(CELL("address",'Raw Data'!C131),"\$([A-Z]+)\$[0-9]+"))</f>
        <v/>
      </c>
      <c r="D131" s="7" t="str" cm="1">
        <f t="array" aca="1" ref="D131" ca="1">IF('Raw Data'!$D$11 = "Month # 1","",_xlfn.REGEXEXTRACT(CELL("address",'Raw Data'!D131),"\$([A-Z]+)\$[0-9]+"))</f>
        <v/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2:30" x14ac:dyDescent="0.25">
      <c r="B132" s="7"/>
      <c r="C132" s="7" t="str" cm="1">
        <f t="array" aca="1" ref="C132" ca="1">IF('Raw Data'!$C$10 = "Overall Project","",_xlfn.REGEXEXTRACT(CELL("address",'Raw Data'!C132),"\$([A-Z]+)\$[0-9]+"))</f>
        <v/>
      </c>
      <c r="D132" s="7" t="str" cm="1">
        <f t="array" aca="1" ref="D132" ca="1">IF('Raw Data'!$D$11 = "Month # 1","",_xlfn.REGEXEXTRACT(CELL("address",'Raw Data'!D132),"\$([A-Z]+)\$[0-9]+"))</f>
        <v/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2:30" x14ac:dyDescent="0.25">
      <c r="B133" s="7"/>
      <c r="C133" s="7" t="str" cm="1">
        <f t="array" aca="1" ref="C133" ca="1">IF('Raw Data'!$C$10 = "Overall Project","",_xlfn.REGEXEXTRACT(CELL("address",'Raw Data'!C133),"\$([A-Z]+)\$[0-9]+"))</f>
        <v/>
      </c>
      <c r="D133" s="7" t="str" cm="1">
        <f t="array" aca="1" ref="D133" ca="1">IF('Raw Data'!$D$11 = "Month # 1","",_xlfn.REGEXEXTRACT(CELL("address",'Raw Data'!D133),"\$([A-Z]+)\$[0-9]+"))</f>
        <v/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2:30" x14ac:dyDescent="0.25">
      <c r="B134" s="7"/>
      <c r="C134" s="7" t="str" cm="1">
        <f t="array" aca="1" ref="C134" ca="1">IF('Raw Data'!$C$10 = "Overall Project","",_xlfn.REGEXEXTRACT(CELL("address",'Raw Data'!C134),"\$([A-Z]+)\$[0-9]+"))</f>
        <v/>
      </c>
      <c r="D134" s="7" t="str" cm="1">
        <f t="array" aca="1" ref="D134" ca="1">IF('Raw Data'!$D$11 = "Month # 1","",_xlfn.REGEXEXTRACT(CELL("address",'Raw Data'!D134),"\$([A-Z]+)\$[0-9]+"))</f>
        <v/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2:30" x14ac:dyDescent="0.25">
      <c r="B135" s="7"/>
      <c r="C135" s="7" t="str" cm="1">
        <f t="array" aca="1" ref="C135" ca="1">IF('Raw Data'!$C$10 = "Overall Project","",_xlfn.REGEXEXTRACT(CELL("address",'Raw Data'!C135),"\$([A-Z]+)\$[0-9]+"))</f>
        <v/>
      </c>
      <c r="D135" s="7" t="str" cm="1">
        <f t="array" aca="1" ref="D135" ca="1">IF('Raw Data'!$D$11 = "Month # 1","",_xlfn.REGEXEXTRACT(CELL("address",'Raw Data'!D135),"\$([A-Z]+)\$[0-9]+"))</f>
        <v/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2:30" x14ac:dyDescent="0.25">
      <c r="B136" s="7"/>
      <c r="C136" s="7" t="str" cm="1">
        <f t="array" aca="1" ref="C136" ca="1">IF('Raw Data'!$C$10 = "Overall Project","",_xlfn.REGEXEXTRACT(CELL("address",'Raw Data'!C136),"\$([A-Z]+)\$[0-9]+"))</f>
        <v/>
      </c>
      <c r="D136" s="7" t="str" cm="1">
        <f t="array" aca="1" ref="D136" ca="1">IF('Raw Data'!$D$11 = "Month # 1","",_xlfn.REGEXEXTRACT(CELL("address",'Raw Data'!D136),"\$([A-Z]+)\$[0-9]+"))</f>
        <v/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2:30" x14ac:dyDescent="0.25">
      <c r="B137" s="7"/>
      <c r="C137" s="7" t="str" cm="1">
        <f t="array" aca="1" ref="C137" ca="1">IF('Raw Data'!$C$10 = "Overall Project","",_xlfn.REGEXEXTRACT(CELL("address",'Raw Data'!C137),"\$([A-Z]+)\$[0-9]+"))</f>
        <v/>
      </c>
      <c r="D137" s="7" t="str" cm="1">
        <f t="array" aca="1" ref="D137" ca="1">IF('Raw Data'!$D$11 = "Month # 1","",_xlfn.REGEXEXTRACT(CELL("address",'Raw Data'!D137),"\$([A-Z]+)\$[0-9]+"))</f>
        <v/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2:30" x14ac:dyDescent="0.25">
      <c r="B138" s="7"/>
      <c r="C138" s="7" t="str" cm="1">
        <f t="array" aca="1" ref="C138" ca="1">IF('Raw Data'!$C$10 = "Overall Project","",_xlfn.REGEXEXTRACT(CELL("address",'Raw Data'!C138),"\$([A-Z]+)\$[0-9]+"))</f>
        <v/>
      </c>
      <c r="D138" s="7" t="str" cm="1">
        <f t="array" aca="1" ref="D138" ca="1">IF('Raw Data'!$D$11 = "Month # 1","",_xlfn.REGEXEXTRACT(CELL("address",'Raw Data'!D138),"\$([A-Z]+)\$[0-9]+"))</f>
        <v/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2:30" x14ac:dyDescent="0.25">
      <c r="B139" s="7"/>
      <c r="C139" s="7" t="str" cm="1">
        <f t="array" aca="1" ref="C139" ca="1">IF('Raw Data'!$C$10 = "Overall Project","",_xlfn.REGEXEXTRACT(CELL("address",'Raw Data'!C139),"\$([A-Z]+)\$[0-9]+"))</f>
        <v/>
      </c>
      <c r="D139" s="7" t="str" cm="1">
        <f t="array" aca="1" ref="D139" ca="1">IF('Raw Data'!$D$11 = "Month # 1","",_xlfn.REGEXEXTRACT(CELL("address",'Raw Data'!D139),"\$([A-Z]+)\$[0-9]+"))</f>
        <v/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2:30" x14ac:dyDescent="0.25">
      <c r="B140" s="7"/>
      <c r="C140" s="7" t="str" cm="1">
        <f t="array" aca="1" ref="C140" ca="1">IF('Raw Data'!$C$10 = "Overall Project","",_xlfn.REGEXEXTRACT(CELL("address",'Raw Data'!C140),"\$([A-Z]+)\$[0-9]+"))</f>
        <v/>
      </c>
      <c r="D140" s="7" t="str" cm="1">
        <f t="array" aca="1" ref="D140" ca="1">IF('Raw Data'!$D$11 = "Month # 1","",_xlfn.REGEXEXTRACT(CELL("address",'Raw Data'!D140),"\$([A-Z]+)\$[0-9]+"))</f>
        <v/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2:30" x14ac:dyDescent="0.25">
      <c r="B141" s="7"/>
      <c r="C141" s="7" t="str" cm="1">
        <f t="array" aca="1" ref="C141" ca="1">IF('Raw Data'!$C$10 = "Overall Project","",_xlfn.REGEXEXTRACT(CELL("address",'Raw Data'!C141),"\$([A-Z]+)\$[0-9]+"))</f>
        <v/>
      </c>
      <c r="D141" s="7" t="str" cm="1">
        <f t="array" aca="1" ref="D141" ca="1">IF('Raw Data'!$D$11 = "Month # 1","",_xlfn.REGEXEXTRACT(CELL("address",'Raw Data'!D141),"\$([A-Z]+)\$[0-9]+"))</f>
        <v/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2:30" x14ac:dyDescent="0.25">
      <c r="B142" s="7"/>
      <c r="C142" s="7" t="str" cm="1">
        <f t="array" aca="1" ref="C142" ca="1">IF('Raw Data'!$C$10 = "Overall Project","",_xlfn.REGEXEXTRACT(CELL("address",'Raw Data'!C142),"\$([A-Z]+)\$[0-9]+"))</f>
        <v/>
      </c>
      <c r="D142" s="7" t="str" cm="1">
        <f t="array" aca="1" ref="D142" ca="1">IF('Raw Data'!$D$11 = "Month # 1","",_xlfn.REGEXEXTRACT(CELL("address",'Raw Data'!D142),"\$([A-Z]+)\$[0-9]+"))</f>
        <v/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2:30" x14ac:dyDescent="0.25">
      <c r="B143" s="7"/>
      <c r="C143" s="7" t="str" cm="1">
        <f t="array" aca="1" ref="C143" ca="1">IF('Raw Data'!$C$10 = "Overall Project","",_xlfn.REGEXEXTRACT(CELL("address",'Raw Data'!C143),"\$([A-Z]+)\$[0-9]+"))</f>
        <v/>
      </c>
      <c r="D143" s="7" t="str" cm="1">
        <f t="array" aca="1" ref="D143" ca="1">IF('Raw Data'!$D$11 = "Month # 1","",_xlfn.REGEXEXTRACT(CELL("address",'Raw Data'!D143),"\$([A-Z]+)\$[0-9]+"))</f>
        <v/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2:30" x14ac:dyDescent="0.25">
      <c r="B144" s="7"/>
      <c r="C144" s="7" t="str" cm="1">
        <f t="array" aca="1" ref="C144" ca="1">IF('Raw Data'!$C$10 = "Overall Project","",_xlfn.REGEXEXTRACT(CELL("address",'Raw Data'!C144),"\$([A-Z]+)\$[0-9]+"))</f>
        <v/>
      </c>
      <c r="D144" s="7" t="str" cm="1">
        <f t="array" aca="1" ref="D144" ca="1">IF('Raw Data'!$D$11 = "Month # 1","",_xlfn.REGEXEXTRACT(CELL("address",'Raw Data'!D144),"\$([A-Z]+)\$[0-9]+"))</f>
        <v/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2:30" x14ac:dyDescent="0.25">
      <c r="B145" s="7"/>
      <c r="C145" s="7" t="str" cm="1">
        <f t="array" aca="1" ref="C145" ca="1">IF('Raw Data'!$C$10 = "Overall Project","",_xlfn.REGEXEXTRACT(CELL("address",'Raw Data'!C145),"\$([A-Z]+)\$[0-9]+"))</f>
        <v/>
      </c>
      <c r="D145" s="7" t="str" cm="1">
        <f t="array" aca="1" ref="D145" ca="1">IF('Raw Data'!$D$11 = "Month # 1","",_xlfn.REGEXEXTRACT(CELL("address",'Raw Data'!D145),"\$([A-Z]+)\$[0-9]+"))</f>
        <v/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2:30" x14ac:dyDescent="0.25">
      <c r="B146" s="7"/>
      <c r="C146" s="7" t="str" cm="1">
        <f t="array" aca="1" ref="C146" ca="1">IF('Raw Data'!$C$10 = "Overall Project","",_xlfn.REGEXEXTRACT(CELL("address",'Raw Data'!C146),"\$([A-Z]+)\$[0-9]+"))</f>
        <v/>
      </c>
      <c r="D146" s="7" t="str" cm="1">
        <f t="array" aca="1" ref="D146" ca="1">IF('Raw Data'!$D$11 = "Month # 1","",_xlfn.REGEXEXTRACT(CELL("address",'Raw Data'!D146),"\$([A-Z]+)\$[0-9]+"))</f>
        <v/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2:30" x14ac:dyDescent="0.25">
      <c r="B147" s="7"/>
      <c r="C147" s="7" t="str" cm="1">
        <f t="array" aca="1" ref="C147" ca="1">IF('Raw Data'!$C$10 = "Overall Project","",_xlfn.REGEXEXTRACT(CELL("address",'Raw Data'!C147),"\$([A-Z]+)\$[0-9]+"))</f>
        <v/>
      </c>
      <c r="D147" s="7" t="str" cm="1">
        <f t="array" aca="1" ref="D147" ca="1">IF('Raw Data'!$D$11 = "Month # 1","",_xlfn.REGEXEXTRACT(CELL("address",'Raw Data'!D147),"\$([A-Z]+)\$[0-9]+"))</f>
        <v/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2:30" x14ac:dyDescent="0.25">
      <c r="B148" s="7"/>
      <c r="C148" s="7" t="str" cm="1">
        <f t="array" aca="1" ref="C148" ca="1">IF('Raw Data'!$C$10 = "Overall Project","",_xlfn.REGEXEXTRACT(CELL("address",'Raw Data'!C148),"\$([A-Z]+)\$[0-9]+"))</f>
        <v/>
      </c>
      <c r="D148" s="7" t="str" cm="1">
        <f t="array" aca="1" ref="D148" ca="1">IF('Raw Data'!$D$11 = "Month # 1","",_xlfn.REGEXEXTRACT(CELL("address",'Raw Data'!D148),"\$([A-Z]+)\$[0-9]+"))</f>
        <v/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2:30" x14ac:dyDescent="0.25">
      <c r="B149" s="7"/>
      <c r="C149" s="7" t="str" cm="1">
        <f t="array" aca="1" ref="C149" ca="1">IF('Raw Data'!$C$10 = "Overall Project","",_xlfn.REGEXEXTRACT(CELL("address",'Raw Data'!C149),"\$([A-Z]+)\$[0-9]+"))</f>
        <v/>
      </c>
      <c r="D149" s="7" t="str" cm="1">
        <f t="array" aca="1" ref="D149" ca="1">IF('Raw Data'!$D$11 = "Month # 1","",_xlfn.REGEXEXTRACT(CELL("address",'Raw Data'!D149),"\$([A-Z]+)\$[0-9]+"))</f>
        <v/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2:30" x14ac:dyDescent="0.25">
      <c r="B150" s="7"/>
      <c r="C150" s="7" t="str" cm="1">
        <f t="array" aca="1" ref="C150" ca="1">IF('Raw Data'!$C$10 = "Overall Project","",_xlfn.REGEXEXTRACT(CELL("address",'Raw Data'!C150),"\$([A-Z]+)\$[0-9]+"))</f>
        <v/>
      </c>
      <c r="D150" s="7" t="str" cm="1">
        <f t="array" aca="1" ref="D150" ca="1">IF('Raw Data'!$D$11 = "Month # 1","",_xlfn.REGEXEXTRACT(CELL("address",'Raw Data'!D150),"\$([A-Z]+)\$[0-9]+"))</f>
        <v/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2:30" x14ac:dyDescent="0.25">
      <c r="B151" s="7"/>
      <c r="C151" s="7" t="str" cm="1">
        <f t="array" aca="1" ref="C151" ca="1">IF('Raw Data'!$C$10 = "Overall Project","",_xlfn.REGEXEXTRACT(CELL("address",'Raw Data'!C151),"\$([A-Z]+)\$[0-9]+"))</f>
        <v/>
      </c>
      <c r="D151" s="7" t="str" cm="1">
        <f t="array" aca="1" ref="D151" ca="1">IF('Raw Data'!$D$11 = "Month # 1","",_xlfn.REGEXEXTRACT(CELL("address",'Raw Data'!D151),"\$([A-Z]+)\$[0-9]+"))</f>
        <v/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2:30" x14ac:dyDescent="0.25">
      <c r="B152" s="7"/>
      <c r="C152" s="7" t="str" cm="1">
        <f t="array" aca="1" ref="C152" ca="1">IF('Raw Data'!$C$10 = "Overall Project","",_xlfn.REGEXEXTRACT(CELL("address",'Raw Data'!C152),"\$([A-Z]+)\$[0-9]+"))</f>
        <v/>
      </c>
      <c r="D152" s="7" t="str" cm="1">
        <f t="array" aca="1" ref="D152" ca="1">IF('Raw Data'!$D$11 = "Month # 1","",_xlfn.REGEXEXTRACT(CELL("address",'Raw Data'!D152),"\$([A-Z]+)\$[0-9]+"))</f>
        <v/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2:30" x14ac:dyDescent="0.25">
      <c r="B153" s="7"/>
      <c r="C153" s="7" t="str" cm="1">
        <f t="array" aca="1" ref="C153" ca="1">IF('Raw Data'!$C$10 = "Overall Project","",_xlfn.REGEXEXTRACT(CELL("address",'Raw Data'!C153),"\$([A-Z]+)\$[0-9]+"))</f>
        <v/>
      </c>
      <c r="D153" s="7" t="str" cm="1">
        <f t="array" aca="1" ref="D153" ca="1">IF('Raw Data'!$D$11 = "Month # 1","",_xlfn.REGEXEXTRACT(CELL("address",'Raw Data'!D153),"\$([A-Z]+)\$[0-9]+"))</f>
        <v/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2:30" x14ac:dyDescent="0.25">
      <c r="B154" s="7"/>
      <c r="C154" s="7" t="str" cm="1">
        <f t="array" aca="1" ref="C154" ca="1">IF('Raw Data'!$C$10 = "Overall Project","",_xlfn.REGEXEXTRACT(CELL("address",'Raw Data'!C154),"\$([A-Z]+)\$[0-9]+"))</f>
        <v/>
      </c>
      <c r="D154" s="7" t="str" cm="1">
        <f t="array" aca="1" ref="D154" ca="1">IF('Raw Data'!$D$11 = "Month # 1","",_xlfn.REGEXEXTRACT(CELL("address",'Raw Data'!D154),"\$([A-Z]+)\$[0-9]+"))</f>
        <v/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2:30" x14ac:dyDescent="0.25">
      <c r="B155" s="7"/>
      <c r="C155" s="7" t="str" cm="1">
        <f t="array" aca="1" ref="C155" ca="1">IF('Raw Data'!$C$10 = "Overall Project","",_xlfn.REGEXEXTRACT(CELL("address",'Raw Data'!C155),"\$([A-Z]+)\$[0-9]+"))</f>
        <v/>
      </c>
      <c r="D155" s="7" t="str" cm="1">
        <f t="array" aca="1" ref="D155" ca="1">IF('Raw Data'!$D$11 = "Month # 1","",_xlfn.REGEXEXTRACT(CELL("address",'Raw Data'!D155),"\$([A-Z]+)\$[0-9]+"))</f>
        <v/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2:30" x14ac:dyDescent="0.25">
      <c r="B156" s="7"/>
      <c r="C156" s="7" t="str" cm="1">
        <f t="array" aca="1" ref="C156" ca="1">IF('Raw Data'!$C$10 = "Overall Project","",_xlfn.REGEXEXTRACT(CELL("address",'Raw Data'!C156),"\$([A-Z]+)\$[0-9]+"))</f>
        <v/>
      </c>
      <c r="D156" s="7" t="str" cm="1">
        <f t="array" aca="1" ref="D156" ca="1">IF('Raw Data'!$D$11 = "Month # 1","",_xlfn.REGEXEXTRACT(CELL("address",'Raw Data'!D156),"\$([A-Z]+)\$[0-9]+"))</f>
        <v/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2:30" x14ac:dyDescent="0.25">
      <c r="B157" s="7"/>
      <c r="C157" s="7" t="str" cm="1">
        <f t="array" aca="1" ref="C157" ca="1">IF('Raw Data'!$C$10 = "Overall Project","",_xlfn.REGEXEXTRACT(CELL("address",'Raw Data'!C157),"\$([A-Z]+)\$[0-9]+"))</f>
        <v/>
      </c>
      <c r="D157" s="7" t="str" cm="1">
        <f t="array" aca="1" ref="D157" ca="1">IF('Raw Data'!$D$11 = "Month # 1","",_xlfn.REGEXEXTRACT(CELL("address",'Raw Data'!D157),"\$([A-Z]+)\$[0-9]+"))</f>
        <v/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2:30" x14ac:dyDescent="0.25">
      <c r="B158" s="7"/>
      <c r="C158" s="7" t="str" cm="1">
        <f t="array" aca="1" ref="C158" ca="1">IF('Raw Data'!$C$10 = "Overall Project","",_xlfn.REGEXEXTRACT(CELL("address",'Raw Data'!C158),"\$([A-Z]+)\$[0-9]+"))</f>
        <v/>
      </c>
      <c r="D158" s="7" t="str" cm="1">
        <f t="array" aca="1" ref="D158" ca="1">IF('Raw Data'!$D$11 = "Month # 1","",_xlfn.REGEXEXTRACT(CELL("address",'Raw Data'!D158),"\$([A-Z]+)\$[0-9]+"))</f>
        <v/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2:30" x14ac:dyDescent="0.25">
      <c r="B159" s="7"/>
      <c r="C159" s="7" t="str" cm="1">
        <f t="array" aca="1" ref="C159" ca="1">IF('Raw Data'!$C$10 = "Overall Project","",_xlfn.REGEXEXTRACT(CELL("address",'Raw Data'!C159),"\$([A-Z]+)\$[0-9]+"))</f>
        <v/>
      </c>
      <c r="D159" s="7" t="str" cm="1">
        <f t="array" aca="1" ref="D159" ca="1">IF('Raw Data'!$D$11 = "Month # 1","",_xlfn.REGEXEXTRACT(CELL("address",'Raw Data'!D159),"\$([A-Z]+)\$[0-9]+"))</f>
        <v/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2:30" x14ac:dyDescent="0.25">
      <c r="B160" s="7"/>
      <c r="C160" s="7" t="str" cm="1">
        <f t="array" aca="1" ref="C160" ca="1">IF('Raw Data'!$C$10 = "Overall Project","",_xlfn.REGEXEXTRACT(CELL("address",'Raw Data'!C160),"\$([A-Z]+)\$[0-9]+"))</f>
        <v/>
      </c>
      <c r="D160" s="7" t="str" cm="1">
        <f t="array" aca="1" ref="D160" ca="1">IF('Raw Data'!$D$11 = "Month # 1","",_xlfn.REGEXEXTRACT(CELL("address",'Raw Data'!D160),"\$([A-Z]+)\$[0-9]+"))</f>
        <v/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2:30" x14ac:dyDescent="0.25">
      <c r="B161" s="7"/>
      <c r="C161" s="7" t="str" cm="1">
        <f t="array" aca="1" ref="C161" ca="1">IF('Raw Data'!$C$10 = "Overall Project","",_xlfn.REGEXEXTRACT(CELL("address",'Raw Data'!C161),"\$([A-Z]+)\$[0-9]+"))</f>
        <v/>
      </c>
      <c r="D161" s="7" t="str" cm="1">
        <f t="array" aca="1" ref="D161" ca="1">IF('Raw Data'!$D$11 = "Month # 1","",_xlfn.REGEXEXTRACT(CELL("address",'Raw Data'!D161),"\$([A-Z]+)\$[0-9]+"))</f>
        <v/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2:30" x14ac:dyDescent="0.25">
      <c r="B162" s="7"/>
      <c r="C162" s="7" t="str" cm="1">
        <f t="array" aca="1" ref="C162" ca="1">IF('Raw Data'!$C$10 = "Overall Project","",_xlfn.REGEXEXTRACT(CELL("address",'Raw Data'!C162),"\$([A-Z]+)\$[0-9]+"))</f>
        <v/>
      </c>
      <c r="D162" s="7" t="str" cm="1">
        <f t="array" aca="1" ref="D162" ca="1">IF('Raw Data'!$D$11 = "Month # 1","",_xlfn.REGEXEXTRACT(CELL("address",'Raw Data'!D162),"\$([A-Z]+)\$[0-9]+"))</f>
        <v/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2:30" x14ac:dyDescent="0.25">
      <c r="B163" s="7"/>
      <c r="C163" s="7" t="str" cm="1">
        <f t="array" aca="1" ref="C163" ca="1">IF('Raw Data'!$C$10 = "Overall Project","",_xlfn.REGEXEXTRACT(CELL("address",'Raw Data'!C163),"\$([A-Z]+)\$[0-9]+"))</f>
        <v/>
      </c>
      <c r="D163" s="7" t="str" cm="1">
        <f t="array" aca="1" ref="D163" ca="1">IF('Raw Data'!$D$11 = "Month # 1","",_xlfn.REGEXEXTRACT(CELL("address",'Raw Data'!D163),"\$([A-Z]+)\$[0-9]+"))</f>
        <v/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2:30" x14ac:dyDescent="0.25">
      <c r="B164" s="7"/>
      <c r="C164" s="7" t="str" cm="1">
        <f t="array" aca="1" ref="C164" ca="1">IF('Raw Data'!$C$10 = "Overall Project","",_xlfn.REGEXEXTRACT(CELL("address",'Raw Data'!C164),"\$([A-Z]+)\$[0-9]+"))</f>
        <v/>
      </c>
      <c r="D164" s="7" t="str" cm="1">
        <f t="array" aca="1" ref="D164" ca="1">IF('Raw Data'!$D$11 = "Month # 1","",_xlfn.REGEXEXTRACT(CELL("address",'Raw Data'!D164),"\$([A-Z]+)\$[0-9]+"))</f>
        <v/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2:30" x14ac:dyDescent="0.25">
      <c r="B165" s="7"/>
      <c r="C165" s="7" t="str" cm="1">
        <f t="array" aca="1" ref="C165" ca="1">IF('Raw Data'!$C$10 = "Overall Project","",_xlfn.REGEXEXTRACT(CELL("address",'Raw Data'!C165),"\$([A-Z]+)\$[0-9]+"))</f>
        <v/>
      </c>
      <c r="D165" s="7" t="str" cm="1">
        <f t="array" aca="1" ref="D165" ca="1">IF('Raw Data'!$D$11 = "Month # 1","",_xlfn.REGEXEXTRACT(CELL("address",'Raw Data'!D165),"\$([A-Z]+)\$[0-9]+"))</f>
        <v/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2:30" x14ac:dyDescent="0.25">
      <c r="B166" s="7"/>
      <c r="C166" s="7" t="str" cm="1">
        <f t="array" aca="1" ref="C166" ca="1">IF('Raw Data'!$C$10 = "Overall Project","",_xlfn.REGEXEXTRACT(CELL("address",'Raw Data'!C166),"\$([A-Z]+)\$[0-9]+"))</f>
        <v/>
      </c>
      <c r="D166" s="7" t="str" cm="1">
        <f t="array" aca="1" ref="D166" ca="1">IF('Raw Data'!$D$11 = "Month # 1","",_xlfn.REGEXEXTRACT(CELL("address",'Raw Data'!D166),"\$([A-Z]+)\$[0-9]+"))</f>
        <v/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2:30" x14ac:dyDescent="0.25">
      <c r="B167" s="7"/>
      <c r="C167" s="7" t="str" cm="1">
        <f t="array" aca="1" ref="C167" ca="1">IF('Raw Data'!$C$10 = "Overall Project","",_xlfn.REGEXEXTRACT(CELL("address",'Raw Data'!C167),"\$([A-Z]+)\$[0-9]+"))</f>
        <v/>
      </c>
      <c r="D167" s="7" t="str" cm="1">
        <f t="array" aca="1" ref="D167" ca="1">IF('Raw Data'!$D$11 = "Month # 1","",_xlfn.REGEXEXTRACT(CELL("address",'Raw Data'!D167),"\$([A-Z]+)\$[0-9]+"))</f>
        <v/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2:30" x14ac:dyDescent="0.25">
      <c r="B168" s="7"/>
      <c r="C168" s="7" t="str" cm="1">
        <f t="array" aca="1" ref="C168" ca="1">IF('Raw Data'!$C$10 = "Overall Project","",_xlfn.REGEXEXTRACT(CELL("address",'Raw Data'!C168),"\$([A-Z]+)\$[0-9]+"))</f>
        <v/>
      </c>
      <c r="D168" s="7" t="str" cm="1">
        <f t="array" aca="1" ref="D168" ca="1">IF('Raw Data'!$D$11 = "Month # 1","",_xlfn.REGEXEXTRACT(CELL("address",'Raw Data'!D168),"\$([A-Z]+)\$[0-9]+"))</f>
        <v/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2:30" x14ac:dyDescent="0.25">
      <c r="B169" s="7"/>
      <c r="C169" s="7" t="str" cm="1">
        <f t="array" aca="1" ref="C169" ca="1">IF('Raw Data'!$C$10 = "Overall Project","",_xlfn.REGEXEXTRACT(CELL("address",'Raw Data'!C169),"\$([A-Z]+)\$[0-9]+"))</f>
        <v/>
      </c>
      <c r="D169" s="7" t="str" cm="1">
        <f t="array" aca="1" ref="D169" ca="1">IF('Raw Data'!$D$11 = "Month # 1","",_xlfn.REGEXEXTRACT(CELL("address",'Raw Data'!D169),"\$([A-Z]+)\$[0-9]+"))</f>
        <v/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2:30" x14ac:dyDescent="0.25">
      <c r="B170" s="7"/>
      <c r="C170" s="7" t="str" cm="1">
        <f t="array" aca="1" ref="C170" ca="1">IF('Raw Data'!$C$10 = "Overall Project","",_xlfn.REGEXEXTRACT(CELL("address",'Raw Data'!C170),"\$([A-Z]+)\$[0-9]+"))</f>
        <v/>
      </c>
      <c r="D170" s="7" t="str" cm="1">
        <f t="array" aca="1" ref="D170" ca="1">IF('Raw Data'!$D$11 = "Month # 1","",_xlfn.REGEXEXTRACT(CELL("address",'Raw Data'!D170),"\$([A-Z]+)\$[0-9]+"))</f>
        <v/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2:30" x14ac:dyDescent="0.25">
      <c r="B171" s="7"/>
      <c r="C171" s="7" t="str" cm="1">
        <f t="array" aca="1" ref="C171" ca="1">IF('Raw Data'!$C$10 = "Overall Project","",_xlfn.REGEXEXTRACT(CELL("address",'Raw Data'!C171),"\$([A-Z]+)\$[0-9]+"))</f>
        <v/>
      </c>
      <c r="D171" s="7" t="str" cm="1">
        <f t="array" aca="1" ref="D171" ca="1">IF('Raw Data'!$D$11 = "Month # 1","",_xlfn.REGEXEXTRACT(CELL("address",'Raw Data'!D171),"\$([A-Z]+)\$[0-9]+"))</f>
        <v/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2:30" x14ac:dyDescent="0.25">
      <c r="B172" s="7"/>
      <c r="C172" s="7" t="str" cm="1">
        <f t="array" aca="1" ref="C172" ca="1">IF('Raw Data'!$C$10 = "Overall Project","",_xlfn.REGEXEXTRACT(CELL("address",'Raw Data'!C172),"\$([A-Z]+)\$[0-9]+"))</f>
        <v/>
      </c>
      <c r="D172" s="7" t="str" cm="1">
        <f t="array" aca="1" ref="D172" ca="1">IF('Raw Data'!$D$11 = "Month # 1","",_xlfn.REGEXEXTRACT(CELL("address",'Raw Data'!D172),"\$([A-Z]+)\$[0-9]+"))</f>
        <v/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2:30" x14ac:dyDescent="0.25">
      <c r="B173" s="7"/>
      <c r="C173" s="7" t="str" cm="1">
        <f t="array" aca="1" ref="C173" ca="1">IF('Raw Data'!$C$10 = "Overall Project","",_xlfn.REGEXEXTRACT(CELL("address",'Raw Data'!C173),"\$([A-Z]+)\$[0-9]+"))</f>
        <v/>
      </c>
      <c r="D173" s="7" t="str" cm="1">
        <f t="array" aca="1" ref="D173" ca="1">IF('Raw Data'!$D$11 = "Month # 1","",_xlfn.REGEXEXTRACT(CELL("address",'Raw Data'!D173),"\$([A-Z]+)\$[0-9]+"))</f>
        <v/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2:30" x14ac:dyDescent="0.25">
      <c r="B174" s="7"/>
      <c r="C174" s="7" t="str" cm="1">
        <f t="array" aca="1" ref="C174" ca="1">IF('Raw Data'!$C$10 = "Overall Project","",_xlfn.REGEXEXTRACT(CELL("address",'Raw Data'!C174),"\$([A-Z]+)\$[0-9]+"))</f>
        <v/>
      </c>
      <c r="D174" s="7" t="str" cm="1">
        <f t="array" aca="1" ref="D174" ca="1">IF('Raw Data'!$D$11 = "Month # 1","",_xlfn.REGEXEXTRACT(CELL("address",'Raw Data'!D174),"\$([A-Z]+)\$[0-9]+"))</f>
        <v/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2:30" x14ac:dyDescent="0.25">
      <c r="B175" s="7"/>
      <c r="C175" s="7" t="str" cm="1">
        <f t="array" aca="1" ref="C175" ca="1">IF('Raw Data'!$C$10 = "Overall Project","",_xlfn.REGEXEXTRACT(CELL("address",'Raw Data'!C175),"\$([A-Z]+)\$[0-9]+"))</f>
        <v/>
      </c>
      <c r="D175" s="7" t="str" cm="1">
        <f t="array" aca="1" ref="D175" ca="1">IF('Raw Data'!$D$11 = "Month # 1","",_xlfn.REGEXEXTRACT(CELL("address",'Raw Data'!D175),"\$([A-Z]+)\$[0-9]+"))</f>
        <v/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2:30" x14ac:dyDescent="0.25">
      <c r="B176" s="7"/>
      <c r="C176" s="7" t="str" cm="1">
        <f t="array" aca="1" ref="C176" ca="1">IF('Raw Data'!$C$10 = "Overall Project","",_xlfn.REGEXEXTRACT(CELL("address",'Raw Data'!C176),"\$([A-Z]+)\$[0-9]+"))</f>
        <v/>
      </c>
      <c r="D176" s="7" t="str" cm="1">
        <f t="array" aca="1" ref="D176" ca="1">IF('Raw Data'!$D$11 = "Month # 1","",_xlfn.REGEXEXTRACT(CELL("address",'Raw Data'!D176),"\$([A-Z]+)\$[0-9]+"))</f>
        <v/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2:30" x14ac:dyDescent="0.25">
      <c r="B177" s="7"/>
      <c r="C177" s="7" t="str" cm="1">
        <f t="array" aca="1" ref="C177" ca="1">IF('Raw Data'!$C$10 = "Overall Project","",_xlfn.REGEXEXTRACT(CELL("address",'Raw Data'!C177),"\$([A-Z]+)\$[0-9]+"))</f>
        <v/>
      </c>
      <c r="D177" s="7" t="str" cm="1">
        <f t="array" aca="1" ref="D177" ca="1">IF('Raw Data'!$D$11 = "Month # 1","",_xlfn.REGEXEXTRACT(CELL("address",'Raw Data'!D177),"\$([A-Z]+)\$[0-9]+"))</f>
        <v/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2:30" x14ac:dyDescent="0.25">
      <c r="B178" s="7"/>
      <c r="C178" s="7" t="str" cm="1">
        <f t="array" aca="1" ref="C178" ca="1">IF('Raw Data'!$C$10 = "Overall Project","",_xlfn.REGEXEXTRACT(CELL("address",'Raw Data'!C178),"\$([A-Z]+)\$[0-9]+"))</f>
        <v/>
      </c>
      <c r="D178" s="7" t="str" cm="1">
        <f t="array" aca="1" ref="D178" ca="1">IF('Raw Data'!$D$11 = "Month # 1","",_xlfn.REGEXEXTRACT(CELL("address",'Raw Data'!D178),"\$([A-Z]+)\$[0-9]+"))</f>
        <v/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2:30" x14ac:dyDescent="0.25">
      <c r="B179" s="7"/>
      <c r="C179" s="7" t="str" cm="1">
        <f t="array" aca="1" ref="C179" ca="1">IF('Raw Data'!$C$10 = "Overall Project","",_xlfn.REGEXEXTRACT(CELL("address",'Raw Data'!C179),"\$([A-Z]+)\$[0-9]+"))</f>
        <v/>
      </c>
      <c r="D179" s="7" t="str" cm="1">
        <f t="array" aca="1" ref="D179" ca="1">IF('Raw Data'!$D$11 = "Month # 1","",_xlfn.REGEXEXTRACT(CELL("address",'Raw Data'!D179),"\$([A-Z]+)\$[0-9]+"))</f>
        <v/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2:30" x14ac:dyDescent="0.25">
      <c r="B180" s="7"/>
      <c r="C180" s="7" t="str" cm="1">
        <f t="array" aca="1" ref="C180" ca="1">IF('Raw Data'!$C$10 = "Overall Project","",_xlfn.REGEXEXTRACT(CELL("address",'Raw Data'!C180),"\$([A-Z]+)\$[0-9]+"))</f>
        <v/>
      </c>
      <c r="D180" s="7" t="str" cm="1">
        <f t="array" aca="1" ref="D180" ca="1">IF('Raw Data'!$D$11 = "Month # 1","",_xlfn.REGEXEXTRACT(CELL("address",'Raw Data'!D180),"\$([A-Z]+)\$[0-9]+"))</f>
        <v/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2:30" x14ac:dyDescent="0.25">
      <c r="B181" s="7"/>
      <c r="C181" s="7" t="str" cm="1">
        <f t="array" aca="1" ref="C181" ca="1">IF('Raw Data'!$C$10 = "Overall Project","",_xlfn.REGEXEXTRACT(CELL("address",'Raw Data'!C181),"\$([A-Z]+)\$[0-9]+"))</f>
        <v/>
      </c>
      <c r="D181" s="7" t="str" cm="1">
        <f t="array" aca="1" ref="D181" ca="1">IF('Raw Data'!$D$11 = "Month # 1","",_xlfn.REGEXEXTRACT(CELL("address",'Raw Data'!D181),"\$([A-Z]+)\$[0-9]+"))</f>
        <v/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2:30" x14ac:dyDescent="0.25">
      <c r="B182" s="7"/>
      <c r="C182" s="7" t="str" cm="1">
        <f t="array" aca="1" ref="C182" ca="1">IF('Raw Data'!$C$10 = "Overall Project","",_xlfn.REGEXEXTRACT(CELL("address",'Raw Data'!C182),"\$([A-Z]+)\$[0-9]+"))</f>
        <v/>
      </c>
      <c r="D182" s="7" t="str" cm="1">
        <f t="array" aca="1" ref="D182" ca="1">IF('Raw Data'!$D$11 = "Month # 1","",_xlfn.REGEXEXTRACT(CELL("address",'Raw Data'!D182),"\$([A-Z]+)\$[0-9]+"))</f>
        <v/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2:30" x14ac:dyDescent="0.25">
      <c r="B183" s="7"/>
      <c r="C183" s="7" t="str" cm="1">
        <f t="array" aca="1" ref="C183" ca="1">IF('Raw Data'!$C$10 = "Overall Project","",_xlfn.REGEXEXTRACT(CELL("address",'Raw Data'!C183),"\$([A-Z]+)\$[0-9]+"))</f>
        <v/>
      </c>
      <c r="D183" s="7" t="str" cm="1">
        <f t="array" aca="1" ref="D183" ca="1">IF('Raw Data'!$D$11 = "Month # 1","",_xlfn.REGEXEXTRACT(CELL("address",'Raw Data'!D183),"\$([A-Z]+)\$[0-9]+"))</f>
        <v/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2:30" x14ac:dyDescent="0.25">
      <c r="B184" s="7"/>
      <c r="C184" s="7" t="str" cm="1">
        <f t="array" aca="1" ref="C184" ca="1">IF('Raw Data'!$C$10 = "Overall Project","",_xlfn.REGEXEXTRACT(CELL("address",'Raw Data'!C184),"\$([A-Z]+)\$[0-9]+"))</f>
        <v/>
      </c>
      <c r="D184" s="7" t="str" cm="1">
        <f t="array" aca="1" ref="D184" ca="1">IF('Raw Data'!$D$11 = "Month # 1","",_xlfn.REGEXEXTRACT(CELL("address",'Raw Data'!D184),"\$([A-Z]+)\$[0-9]+"))</f>
        <v/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2:30" x14ac:dyDescent="0.25">
      <c r="B185" s="7"/>
      <c r="C185" s="7" t="str" cm="1">
        <f t="array" aca="1" ref="C185" ca="1">IF('Raw Data'!$C$10 = "Overall Project","",_xlfn.REGEXEXTRACT(CELL("address",'Raw Data'!C185),"\$([A-Z]+)\$[0-9]+"))</f>
        <v/>
      </c>
      <c r="D185" s="7" t="str" cm="1">
        <f t="array" aca="1" ref="D185" ca="1">IF('Raw Data'!$D$11 = "Month # 1","",_xlfn.REGEXEXTRACT(CELL("address",'Raw Data'!D185),"\$([A-Z]+)\$[0-9]+"))</f>
        <v/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2:30" x14ac:dyDescent="0.25">
      <c r="B186" s="7"/>
      <c r="C186" s="7" t="str" cm="1">
        <f t="array" aca="1" ref="C186" ca="1">IF('Raw Data'!$C$10 = "Overall Project","",_xlfn.REGEXEXTRACT(CELL("address",'Raw Data'!C186),"\$([A-Z]+)\$[0-9]+"))</f>
        <v/>
      </c>
      <c r="D186" s="7" t="str" cm="1">
        <f t="array" aca="1" ref="D186" ca="1">IF('Raw Data'!$D$11 = "Month # 1","",_xlfn.REGEXEXTRACT(CELL("address",'Raw Data'!D186),"\$([A-Z]+)\$[0-9]+"))</f>
        <v/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2:30" x14ac:dyDescent="0.25">
      <c r="B187" s="7"/>
      <c r="C187" s="7" t="str" cm="1">
        <f t="array" aca="1" ref="C187" ca="1">IF('Raw Data'!$C$10 = "Overall Project","",_xlfn.REGEXEXTRACT(CELL("address",'Raw Data'!C187),"\$([A-Z]+)\$[0-9]+"))</f>
        <v/>
      </c>
      <c r="D187" s="7" t="str" cm="1">
        <f t="array" aca="1" ref="D187" ca="1">IF('Raw Data'!$D$11 = "Month # 1","",_xlfn.REGEXEXTRACT(CELL("address",'Raw Data'!D187),"\$([A-Z]+)\$[0-9]+"))</f>
        <v/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2:30" x14ac:dyDescent="0.25">
      <c r="B188" s="7"/>
      <c r="C188" s="7" t="str" cm="1">
        <f t="array" aca="1" ref="C188" ca="1">IF('Raw Data'!$C$10 = "Overall Project","",_xlfn.REGEXEXTRACT(CELL("address",'Raw Data'!C188),"\$([A-Z]+)\$[0-9]+"))</f>
        <v/>
      </c>
      <c r="D188" s="7" t="str" cm="1">
        <f t="array" aca="1" ref="D188" ca="1">IF('Raw Data'!$D$11 = "Month # 1","",_xlfn.REGEXEXTRACT(CELL("address",'Raw Data'!D188),"\$([A-Z]+)\$[0-9]+"))</f>
        <v/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2:30" x14ac:dyDescent="0.25">
      <c r="B189" s="7"/>
      <c r="C189" s="7" t="str" cm="1">
        <f t="array" aca="1" ref="C189" ca="1">IF('Raw Data'!$C$10 = "Overall Project","",_xlfn.REGEXEXTRACT(CELL("address",'Raw Data'!C189),"\$([A-Z]+)\$[0-9]+"))</f>
        <v/>
      </c>
      <c r="D189" s="7" t="str" cm="1">
        <f t="array" aca="1" ref="D189" ca="1">IF('Raw Data'!$D$11 = "Month # 1","",_xlfn.REGEXEXTRACT(CELL("address",'Raw Data'!D189),"\$([A-Z]+)\$[0-9]+"))</f>
        <v/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2:30" x14ac:dyDescent="0.25">
      <c r="B190" s="7"/>
      <c r="C190" s="7" t="str" cm="1">
        <f t="array" aca="1" ref="C190" ca="1">IF('Raw Data'!$C$10 = "Overall Project","",_xlfn.REGEXEXTRACT(CELL("address",'Raw Data'!C190),"\$([A-Z]+)\$[0-9]+"))</f>
        <v/>
      </c>
      <c r="D190" s="7" t="str" cm="1">
        <f t="array" aca="1" ref="D190" ca="1">IF('Raw Data'!$D$11 = "Month # 1","",_xlfn.REGEXEXTRACT(CELL("address",'Raw Data'!D190),"\$([A-Z]+)\$[0-9]+"))</f>
        <v/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2:30" x14ac:dyDescent="0.25">
      <c r="B191" s="7"/>
      <c r="C191" s="7" t="str" cm="1">
        <f t="array" aca="1" ref="C191" ca="1">IF('Raw Data'!$C$10 = "Overall Project","",_xlfn.REGEXEXTRACT(CELL("address",'Raw Data'!C191),"\$([A-Z]+)\$[0-9]+"))</f>
        <v/>
      </c>
      <c r="D191" s="7" t="str" cm="1">
        <f t="array" aca="1" ref="D191" ca="1">IF('Raw Data'!$D$11 = "Month # 1","",_xlfn.REGEXEXTRACT(CELL("address",'Raw Data'!D191),"\$([A-Z]+)\$[0-9]+"))</f>
        <v/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2:30" x14ac:dyDescent="0.25">
      <c r="B192" s="7"/>
      <c r="C192" s="7" t="str" cm="1">
        <f t="array" aca="1" ref="C192" ca="1">IF('Raw Data'!$C$10 = "Overall Project","",_xlfn.REGEXEXTRACT(CELL("address",'Raw Data'!C192),"\$([A-Z]+)\$[0-9]+"))</f>
        <v/>
      </c>
      <c r="D192" s="7" t="str" cm="1">
        <f t="array" aca="1" ref="D192" ca="1">IF('Raw Data'!$D$11 = "Month # 1","",_xlfn.REGEXEXTRACT(CELL("address",'Raw Data'!D192),"\$([A-Z]+)\$[0-9]+"))</f>
        <v/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2:30" x14ac:dyDescent="0.25">
      <c r="B193" s="7"/>
      <c r="C193" s="7" t="str" cm="1">
        <f t="array" aca="1" ref="C193" ca="1">IF('Raw Data'!$C$10 = "Overall Project","",_xlfn.REGEXEXTRACT(CELL("address",'Raw Data'!C193),"\$([A-Z]+)\$[0-9]+"))</f>
        <v/>
      </c>
      <c r="D193" s="7" t="str" cm="1">
        <f t="array" aca="1" ref="D193" ca="1">IF('Raw Data'!$D$11 = "Month # 1","",_xlfn.REGEXEXTRACT(CELL("address",'Raw Data'!D193),"\$([A-Z]+)\$[0-9]+"))</f>
        <v/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2:30" x14ac:dyDescent="0.25">
      <c r="B194" s="7"/>
      <c r="C194" s="7" t="str" cm="1">
        <f t="array" aca="1" ref="C194" ca="1">IF('Raw Data'!$C$10 = "Overall Project","",_xlfn.REGEXEXTRACT(CELL("address",'Raw Data'!C194),"\$([A-Z]+)\$[0-9]+"))</f>
        <v/>
      </c>
      <c r="D194" s="7" t="str" cm="1">
        <f t="array" aca="1" ref="D194" ca="1">IF('Raw Data'!$D$11 = "Month # 1","",_xlfn.REGEXEXTRACT(CELL("address",'Raw Data'!D194),"\$([A-Z]+)\$[0-9]+"))</f>
        <v/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2:30" x14ac:dyDescent="0.25">
      <c r="B195" s="7"/>
      <c r="C195" s="7" t="str" cm="1">
        <f t="array" aca="1" ref="C195" ca="1">IF('Raw Data'!$C$10 = "Overall Project","",_xlfn.REGEXEXTRACT(CELL("address",'Raw Data'!C195),"\$([A-Z]+)\$[0-9]+"))</f>
        <v/>
      </c>
      <c r="D195" s="7" t="str" cm="1">
        <f t="array" aca="1" ref="D195" ca="1">IF('Raw Data'!$D$11 = "Month # 1","",_xlfn.REGEXEXTRACT(CELL("address",'Raw Data'!D195),"\$([A-Z]+)\$[0-9]+"))</f>
        <v/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2:30" x14ac:dyDescent="0.25">
      <c r="B196" s="7"/>
      <c r="C196" s="7" t="str" cm="1">
        <f t="array" aca="1" ref="C196" ca="1">IF('Raw Data'!$C$10 = "Overall Project","",_xlfn.REGEXEXTRACT(CELL("address",'Raw Data'!C196),"\$([A-Z]+)\$[0-9]+"))</f>
        <v/>
      </c>
      <c r="D196" s="7" t="str" cm="1">
        <f t="array" aca="1" ref="D196" ca="1">IF('Raw Data'!$D$11 = "Month # 1","",_xlfn.REGEXEXTRACT(CELL("address",'Raw Data'!D196),"\$([A-Z]+)\$[0-9]+"))</f>
        <v/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2:30" x14ac:dyDescent="0.25">
      <c r="B197" s="7"/>
      <c r="C197" s="7" t="str" cm="1">
        <f t="array" aca="1" ref="C197" ca="1">IF('Raw Data'!$C$10 = "Overall Project","",_xlfn.REGEXEXTRACT(CELL("address",'Raw Data'!C197),"\$([A-Z]+)\$[0-9]+"))</f>
        <v/>
      </c>
      <c r="D197" s="7" t="str" cm="1">
        <f t="array" aca="1" ref="D197" ca="1">IF('Raw Data'!$D$11 = "Month # 1","",_xlfn.REGEXEXTRACT(CELL("address",'Raw Data'!D197),"\$([A-Z]+)\$[0-9]+"))</f>
        <v/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2:30" x14ac:dyDescent="0.25">
      <c r="B198" s="7"/>
      <c r="C198" s="7" t="str" cm="1">
        <f t="array" aca="1" ref="C198" ca="1">IF('Raw Data'!$C$10 = "Overall Project","",_xlfn.REGEXEXTRACT(CELL("address",'Raw Data'!C198),"\$([A-Z]+)\$[0-9]+"))</f>
        <v/>
      </c>
      <c r="D198" s="7" t="str" cm="1">
        <f t="array" aca="1" ref="D198" ca="1">IF('Raw Data'!$D$11 = "Month # 1","",_xlfn.REGEXEXTRACT(CELL("address",'Raw Data'!D198),"\$([A-Z]+)\$[0-9]+"))</f>
        <v/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2:30" x14ac:dyDescent="0.25">
      <c r="B199" s="7"/>
      <c r="C199" s="7" t="str" cm="1">
        <f t="array" aca="1" ref="C199" ca="1">IF('Raw Data'!$C$10 = "Overall Project","",_xlfn.REGEXEXTRACT(CELL("address",'Raw Data'!C199),"\$([A-Z]+)\$[0-9]+"))</f>
        <v/>
      </c>
      <c r="D199" s="7" t="str" cm="1">
        <f t="array" aca="1" ref="D199" ca="1">IF('Raw Data'!$D$11 = "Month # 1","",_xlfn.REGEXEXTRACT(CELL("address",'Raw Data'!D199),"\$([A-Z]+)\$[0-9]+"))</f>
        <v/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2:30" x14ac:dyDescent="0.25">
      <c r="B200" s="7"/>
      <c r="C200" s="7" t="str" cm="1">
        <f t="array" aca="1" ref="C200" ca="1">IF('Raw Data'!$C$10 = "Overall Project","",_xlfn.REGEXEXTRACT(CELL("address",'Raw Data'!C200),"\$([A-Z]+)\$[0-9]+"))</f>
        <v/>
      </c>
      <c r="D200" s="7" t="str" cm="1">
        <f t="array" aca="1" ref="D200" ca="1">IF('Raw Data'!$D$11 = "Month # 1","",_xlfn.REGEXEXTRACT(CELL("address",'Raw Data'!D200),"\$([A-Z]+)\$[0-9]+"))</f>
        <v/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2:30" x14ac:dyDescent="0.25">
      <c r="B201" s="7"/>
      <c r="C201" s="7" t="str" cm="1">
        <f t="array" aca="1" ref="C201" ca="1">IF('Raw Data'!$C$10 = "Overall Project","",_xlfn.REGEXEXTRACT(CELL("address",'Raw Data'!C201),"\$([A-Z]+)\$[0-9]+"))</f>
        <v/>
      </c>
      <c r="D201" s="7" t="str" cm="1">
        <f t="array" aca="1" ref="D201" ca="1">IF('Raw Data'!$D$11 = "Month # 1","",_xlfn.REGEXEXTRACT(CELL("address",'Raw Data'!D201),"\$([A-Z]+)\$[0-9]+"))</f>
        <v/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2:30" x14ac:dyDescent="0.25">
      <c r="B202" s="7"/>
      <c r="C202" s="7" t="str" cm="1">
        <f t="array" aca="1" ref="C202" ca="1">IF('Raw Data'!$C$10 = "Overall Project","",_xlfn.REGEXEXTRACT(CELL("address",'Raw Data'!C202),"\$([A-Z]+)\$[0-9]+"))</f>
        <v/>
      </c>
      <c r="D202" s="7" t="str" cm="1">
        <f t="array" aca="1" ref="D202" ca="1">IF('Raw Data'!$D$11 = "Month # 1","",_xlfn.REGEXEXTRACT(CELL("address",'Raw Data'!D202),"\$([A-Z]+)\$[0-9]+"))</f>
        <v/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2:30" x14ac:dyDescent="0.25">
      <c r="B203" s="7"/>
      <c r="C203" s="7" t="str" cm="1">
        <f t="array" aca="1" ref="C203" ca="1">IF('Raw Data'!$C$10 = "Overall Project","",_xlfn.REGEXEXTRACT(CELL("address",'Raw Data'!C203),"\$([A-Z]+)\$[0-9]+"))</f>
        <v/>
      </c>
      <c r="D203" s="7" t="str" cm="1">
        <f t="array" aca="1" ref="D203" ca="1">IF('Raw Data'!$D$11 = "Month # 1","",_xlfn.REGEXEXTRACT(CELL("address",'Raw Data'!D203),"\$([A-Z]+)\$[0-9]+"))</f>
        <v/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2:30" x14ac:dyDescent="0.25">
      <c r="B204" s="7"/>
      <c r="C204" s="7" t="str" cm="1">
        <f t="array" aca="1" ref="C204" ca="1">IF('Raw Data'!$C$10 = "Overall Project","",_xlfn.REGEXEXTRACT(CELL("address",'Raw Data'!C204),"\$([A-Z]+)\$[0-9]+"))</f>
        <v/>
      </c>
      <c r="D204" s="7" t="str" cm="1">
        <f t="array" aca="1" ref="D204" ca="1">IF('Raw Data'!$D$11 = "Month # 1","",_xlfn.REGEXEXTRACT(CELL("address",'Raw Data'!D204),"\$([A-Z]+)\$[0-9]+"))</f>
        <v/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2:30" x14ac:dyDescent="0.25">
      <c r="B205" s="7"/>
      <c r="C205" s="7" t="str" cm="1">
        <f t="array" aca="1" ref="C205" ca="1">IF('Raw Data'!$C$10 = "Overall Project","",_xlfn.REGEXEXTRACT(CELL("address",'Raw Data'!C205),"\$([A-Z]+)\$[0-9]+"))</f>
        <v/>
      </c>
      <c r="D205" s="7" t="str" cm="1">
        <f t="array" aca="1" ref="D205" ca="1">IF('Raw Data'!$D$11 = "Month # 1","",_xlfn.REGEXEXTRACT(CELL("address",'Raw Data'!D205),"\$([A-Z]+)\$[0-9]+"))</f>
        <v/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2:30" x14ac:dyDescent="0.25">
      <c r="B206" s="7"/>
      <c r="C206" s="7" t="str" cm="1">
        <f t="array" aca="1" ref="C206" ca="1">IF('Raw Data'!$C$10 = "Overall Project","",_xlfn.REGEXEXTRACT(CELL("address",'Raw Data'!C206),"\$([A-Z]+)\$[0-9]+"))</f>
        <v/>
      </c>
      <c r="D206" s="7" t="str" cm="1">
        <f t="array" aca="1" ref="D206" ca="1">IF('Raw Data'!$D$11 = "Month # 1","",_xlfn.REGEXEXTRACT(CELL("address",'Raw Data'!D206),"\$([A-Z]+)\$[0-9]+"))</f>
        <v/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2:30" x14ac:dyDescent="0.25">
      <c r="B207" s="7"/>
      <c r="C207" s="7" t="str" cm="1">
        <f t="array" aca="1" ref="C207" ca="1">IF('Raw Data'!$C$10 = "Overall Project","",_xlfn.REGEXEXTRACT(CELL("address",'Raw Data'!C207),"\$([A-Z]+)\$[0-9]+"))</f>
        <v/>
      </c>
      <c r="D207" s="7" t="str" cm="1">
        <f t="array" aca="1" ref="D207" ca="1">IF('Raw Data'!$D$11 = "Month # 1","",_xlfn.REGEXEXTRACT(CELL("address",'Raw Data'!D207),"\$([A-Z]+)\$[0-9]+"))</f>
        <v/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2:30" x14ac:dyDescent="0.25">
      <c r="B208" s="7"/>
      <c r="C208" s="7" t="str" cm="1">
        <f t="array" aca="1" ref="C208" ca="1">IF('Raw Data'!$C$10 = "Overall Project","",_xlfn.REGEXEXTRACT(CELL("address",'Raw Data'!C208),"\$([A-Z]+)\$[0-9]+"))</f>
        <v/>
      </c>
      <c r="D208" s="7" t="str" cm="1">
        <f t="array" aca="1" ref="D208" ca="1">IF('Raw Data'!$D$11 = "Month # 1","",_xlfn.REGEXEXTRACT(CELL("address",'Raw Data'!D208),"\$([A-Z]+)\$[0-9]+"))</f>
        <v/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2:30" x14ac:dyDescent="0.25">
      <c r="B209" s="7"/>
      <c r="C209" s="7" t="str" cm="1">
        <f t="array" aca="1" ref="C209" ca="1">IF('Raw Data'!$C$10 = "Overall Project","",_xlfn.REGEXEXTRACT(CELL("address",'Raw Data'!C209),"\$([A-Z]+)\$[0-9]+"))</f>
        <v/>
      </c>
      <c r="D209" s="7" t="str" cm="1">
        <f t="array" aca="1" ref="D209" ca="1">IF('Raw Data'!$D$11 = "Month # 1","",_xlfn.REGEXEXTRACT(CELL("address",'Raw Data'!D209),"\$([A-Z]+)\$[0-9]+"))</f>
        <v/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2:30" x14ac:dyDescent="0.25">
      <c r="B210" s="7"/>
      <c r="C210" s="7" t="str" cm="1">
        <f t="array" aca="1" ref="C210" ca="1">IF('Raw Data'!$C$10 = "Overall Project","",_xlfn.REGEXEXTRACT(CELL("address",'Raw Data'!C210),"\$([A-Z]+)\$[0-9]+"))</f>
        <v/>
      </c>
      <c r="D210" s="7" t="str" cm="1">
        <f t="array" aca="1" ref="D210" ca="1">IF('Raw Data'!$D$11 = "Month # 1","",_xlfn.REGEXEXTRACT(CELL("address",'Raw Data'!D210),"\$([A-Z]+)\$[0-9]+"))</f>
        <v/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2:30" x14ac:dyDescent="0.25">
      <c r="B211" s="7"/>
      <c r="C211" s="7" t="str" cm="1">
        <f t="array" aca="1" ref="C211" ca="1">IF('Raw Data'!$C$10 = "Overall Project","",_xlfn.REGEXEXTRACT(CELL("address",'Raw Data'!C211),"\$([A-Z]+)\$[0-9]+"))</f>
        <v/>
      </c>
      <c r="D211" s="7" t="str" cm="1">
        <f t="array" aca="1" ref="D211" ca="1">IF('Raw Data'!$D$11 = "Month # 1","",_xlfn.REGEXEXTRACT(CELL("address",'Raw Data'!D211),"\$([A-Z]+)\$[0-9]+"))</f>
        <v/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2:30" x14ac:dyDescent="0.25">
      <c r="B212" s="7"/>
      <c r="C212" s="7" t="str" cm="1">
        <f t="array" aca="1" ref="C212" ca="1">IF('Raw Data'!$C$10 = "Overall Project","",_xlfn.REGEXEXTRACT(CELL("address",'Raw Data'!C212),"\$([A-Z]+)\$[0-9]+"))</f>
        <v/>
      </c>
      <c r="D212" s="7" t="str" cm="1">
        <f t="array" aca="1" ref="D212" ca="1">IF('Raw Data'!$D$11 = "Month # 1","",_xlfn.REGEXEXTRACT(CELL("address",'Raw Data'!D212),"\$([A-Z]+)\$[0-9]+"))</f>
        <v/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2:30" x14ac:dyDescent="0.25">
      <c r="B213" s="7"/>
      <c r="C213" s="7" t="str" cm="1">
        <f t="array" aca="1" ref="C213" ca="1">IF('Raw Data'!$C$10 = "Overall Project","",_xlfn.REGEXEXTRACT(CELL("address",'Raw Data'!C213),"\$([A-Z]+)\$[0-9]+"))</f>
        <v/>
      </c>
      <c r="D213" s="7" t="str" cm="1">
        <f t="array" aca="1" ref="D213" ca="1">IF('Raw Data'!$D$11 = "Month # 1","",_xlfn.REGEXEXTRACT(CELL("address",'Raw Data'!D213),"\$([A-Z]+)\$[0-9]+"))</f>
        <v/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2:30" x14ac:dyDescent="0.25">
      <c r="B214" s="7"/>
      <c r="C214" s="7" t="str" cm="1">
        <f t="array" aca="1" ref="C214" ca="1">IF('Raw Data'!$C$10 = "Overall Project","",_xlfn.REGEXEXTRACT(CELL("address",'Raw Data'!C214),"\$([A-Z]+)\$[0-9]+"))</f>
        <v/>
      </c>
      <c r="D214" s="7" t="str" cm="1">
        <f t="array" aca="1" ref="D214" ca="1">IF('Raw Data'!$D$11 = "Month # 1","",_xlfn.REGEXEXTRACT(CELL("address",'Raw Data'!D214),"\$([A-Z]+)\$[0-9]+"))</f>
        <v/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2:30" x14ac:dyDescent="0.25">
      <c r="B215" s="7"/>
      <c r="C215" s="7" t="str" cm="1">
        <f t="array" aca="1" ref="C215" ca="1">IF('Raw Data'!$C$10 = "Overall Project","",_xlfn.REGEXEXTRACT(CELL("address",'Raw Data'!C215),"\$([A-Z]+)\$[0-9]+"))</f>
        <v/>
      </c>
      <c r="D215" s="7" t="str" cm="1">
        <f t="array" aca="1" ref="D215" ca="1">IF('Raw Data'!$D$11 = "Month # 1","",_xlfn.REGEXEXTRACT(CELL("address",'Raw Data'!D215),"\$([A-Z]+)\$[0-9]+"))</f>
        <v/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2:30" x14ac:dyDescent="0.25">
      <c r="B216" s="7"/>
      <c r="C216" s="7" t="str" cm="1">
        <f t="array" aca="1" ref="C216" ca="1">IF('Raw Data'!$C$10 = "Overall Project","",_xlfn.REGEXEXTRACT(CELL("address",'Raw Data'!C216),"\$([A-Z]+)\$[0-9]+"))</f>
        <v/>
      </c>
      <c r="D216" s="7" t="str" cm="1">
        <f t="array" aca="1" ref="D216" ca="1">IF('Raw Data'!$D$11 = "Month # 1","",_xlfn.REGEXEXTRACT(CELL("address",'Raw Data'!D216),"\$([A-Z]+)\$[0-9]+"))</f>
        <v/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2:30" x14ac:dyDescent="0.25">
      <c r="B217" s="7"/>
      <c r="C217" s="7" t="str" cm="1">
        <f t="array" aca="1" ref="C217" ca="1">IF('Raw Data'!$C$10 = "Overall Project","",_xlfn.REGEXEXTRACT(CELL("address",'Raw Data'!C217),"\$([A-Z]+)\$[0-9]+"))</f>
        <v/>
      </c>
      <c r="D217" s="7" t="str" cm="1">
        <f t="array" aca="1" ref="D217" ca="1">IF('Raw Data'!$D$11 = "Month # 1","",_xlfn.REGEXEXTRACT(CELL("address",'Raw Data'!D217),"\$([A-Z]+)\$[0-9]+"))</f>
        <v/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2:30" x14ac:dyDescent="0.25">
      <c r="B218" s="7"/>
      <c r="C218" s="7" t="str" cm="1">
        <f t="array" aca="1" ref="C218" ca="1">IF('Raw Data'!$C$10 = "Overall Project","",_xlfn.REGEXEXTRACT(CELL("address",'Raw Data'!C218),"\$([A-Z]+)\$[0-9]+"))</f>
        <v/>
      </c>
      <c r="D218" s="7" t="str" cm="1">
        <f t="array" aca="1" ref="D218" ca="1">IF('Raw Data'!$D$11 = "Month # 1","",_xlfn.REGEXEXTRACT(CELL("address",'Raw Data'!D218),"\$([A-Z]+)\$[0-9]+"))</f>
        <v/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2:30" x14ac:dyDescent="0.25">
      <c r="B219" s="7"/>
      <c r="C219" s="7" t="str" cm="1">
        <f t="array" aca="1" ref="C219" ca="1">IF('Raw Data'!$C$10 = "Overall Project","",_xlfn.REGEXEXTRACT(CELL("address",'Raw Data'!C219),"\$([A-Z]+)\$[0-9]+"))</f>
        <v/>
      </c>
      <c r="D219" s="7" t="str" cm="1">
        <f t="array" aca="1" ref="D219" ca="1">IF('Raw Data'!$D$11 = "Month # 1","",_xlfn.REGEXEXTRACT(CELL("address",'Raw Data'!D219),"\$([A-Z]+)\$[0-9]+"))</f>
        <v/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2:30" x14ac:dyDescent="0.25">
      <c r="B220" s="7"/>
      <c r="C220" s="7" t="str" cm="1">
        <f t="array" aca="1" ref="C220" ca="1">IF('Raw Data'!$C$10 = "Overall Project","",_xlfn.REGEXEXTRACT(CELL("address",'Raw Data'!C220),"\$([A-Z]+)\$[0-9]+"))</f>
        <v/>
      </c>
      <c r="D220" s="7" t="str" cm="1">
        <f t="array" aca="1" ref="D220" ca="1">IF('Raw Data'!$D$11 = "Month # 1","",_xlfn.REGEXEXTRACT(CELL("address",'Raw Data'!D220),"\$([A-Z]+)\$[0-9]+"))</f>
        <v/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2:30" x14ac:dyDescent="0.25">
      <c r="B221" s="7"/>
      <c r="C221" s="7" t="str" cm="1">
        <f t="array" aca="1" ref="C221" ca="1">IF('Raw Data'!$C$10 = "Overall Project","",_xlfn.REGEXEXTRACT(CELL("address",'Raw Data'!C221),"\$([A-Z]+)\$[0-9]+"))</f>
        <v/>
      </c>
      <c r="D221" s="7" t="str" cm="1">
        <f t="array" aca="1" ref="D221" ca="1">IF('Raw Data'!$D$11 = "Month # 1","",_xlfn.REGEXEXTRACT(CELL("address",'Raw Data'!D221),"\$([A-Z]+)\$[0-9]+"))</f>
        <v/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2:30" x14ac:dyDescent="0.25">
      <c r="B222" s="7"/>
      <c r="C222" s="7" t="str" cm="1">
        <f t="array" aca="1" ref="C222" ca="1">IF('Raw Data'!$C$10 = "Overall Project","",_xlfn.REGEXEXTRACT(CELL("address",'Raw Data'!C222),"\$([A-Z]+)\$[0-9]+"))</f>
        <v/>
      </c>
      <c r="D222" s="7" t="str" cm="1">
        <f t="array" aca="1" ref="D222" ca="1">IF('Raw Data'!$D$11 = "Month # 1","",_xlfn.REGEXEXTRACT(CELL("address",'Raw Data'!D222),"\$([A-Z]+)\$[0-9]+"))</f>
        <v/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2:30" x14ac:dyDescent="0.25">
      <c r="B223" s="7"/>
      <c r="C223" s="7" t="str" cm="1">
        <f t="array" aca="1" ref="C223" ca="1">IF('Raw Data'!$C$10 = "Overall Project","",_xlfn.REGEXEXTRACT(CELL("address",'Raw Data'!C223),"\$([A-Z]+)\$[0-9]+"))</f>
        <v/>
      </c>
      <c r="D223" s="7" t="str" cm="1">
        <f t="array" aca="1" ref="D223" ca="1">IF('Raw Data'!$D$11 = "Month # 1","",_xlfn.REGEXEXTRACT(CELL("address",'Raw Data'!D223),"\$([A-Z]+)\$[0-9]+"))</f>
        <v/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2:30" x14ac:dyDescent="0.25">
      <c r="B224" s="7"/>
      <c r="C224" s="7" t="str" cm="1">
        <f t="array" aca="1" ref="C224" ca="1">IF('Raw Data'!$C$10 = "Overall Project","",_xlfn.REGEXEXTRACT(CELL("address",'Raw Data'!C224),"\$([A-Z]+)\$[0-9]+"))</f>
        <v/>
      </c>
      <c r="D224" s="7" t="str" cm="1">
        <f t="array" aca="1" ref="D224" ca="1">IF('Raw Data'!$D$11 = "Month # 1","",_xlfn.REGEXEXTRACT(CELL("address",'Raw Data'!D224),"\$([A-Z]+)\$[0-9]+"))</f>
        <v/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2:30" x14ac:dyDescent="0.25">
      <c r="B225" s="7"/>
      <c r="C225" s="7" t="str" cm="1">
        <f t="array" aca="1" ref="C225" ca="1">IF('Raw Data'!$C$10 = "Overall Project","",_xlfn.REGEXEXTRACT(CELL("address",'Raw Data'!C225),"\$([A-Z]+)\$[0-9]+"))</f>
        <v/>
      </c>
      <c r="D225" s="7" t="str" cm="1">
        <f t="array" aca="1" ref="D225" ca="1">IF('Raw Data'!$D$11 = "Month # 1","",_xlfn.REGEXEXTRACT(CELL("address",'Raw Data'!D225),"\$([A-Z]+)\$[0-9]+"))</f>
        <v/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2:30" x14ac:dyDescent="0.25">
      <c r="B226" s="7"/>
      <c r="C226" s="7" t="str" cm="1">
        <f t="array" aca="1" ref="C226" ca="1">IF('Raw Data'!$C$10 = "Overall Project","",_xlfn.REGEXEXTRACT(CELL("address",'Raw Data'!C226),"\$([A-Z]+)\$[0-9]+"))</f>
        <v/>
      </c>
      <c r="D226" s="7" t="str" cm="1">
        <f t="array" aca="1" ref="D226" ca="1">IF('Raw Data'!$D$11 = "Month # 1","",_xlfn.REGEXEXTRACT(CELL("address",'Raw Data'!D226),"\$([A-Z]+)\$[0-9]+"))</f>
        <v/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2:30" x14ac:dyDescent="0.25">
      <c r="B227" s="7"/>
      <c r="C227" s="7" t="str" cm="1">
        <f t="array" aca="1" ref="C227" ca="1">IF('Raw Data'!$C$10 = "Overall Project","",_xlfn.REGEXEXTRACT(CELL("address",'Raw Data'!C227),"\$([A-Z]+)\$[0-9]+"))</f>
        <v/>
      </c>
      <c r="D227" s="7" t="str" cm="1">
        <f t="array" aca="1" ref="D227" ca="1">IF('Raw Data'!$D$11 = "Month # 1","",_xlfn.REGEXEXTRACT(CELL("address",'Raw Data'!D227),"\$([A-Z]+)\$[0-9]+"))</f>
        <v/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2:30" x14ac:dyDescent="0.25">
      <c r="B228" s="7"/>
      <c r="C228" s="7" t="str" cm="1">
        <f t="array" aca="1" ref="C228" ca="1">IF('Raw Data'!$C$10 = "Overall Project","",_xlfn.REGEXEXTRACT(CELL("address",'Raw Data'!C228),"\$([A-Z]+)\$[0-9]+"))</f>
        <v/>
      </c>
      <c r="D228" s="7" t="str" cm="1">
        <f t="array" aca="1" ref="D228" ca="1">IF('Raw Data'!$D$11 = "Month # 1","",_xlfn.REGEXEXTRACT(CELL("address",'Raw Data'!D228),"\$([A-Z]+)\$[0-9]+"))</f>
        <v/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2:30" x14ac:dyDescent="0.25">
      <c r="B229" s="7"/>
      <c r="C229" s="7" t="str" cm="1">
        <f t="array" aca="1" ref="C229" ca="1">IF('Raw Data'!$C$10 = "Overall Project","",_xlfn.REGEXEXTRACT(CELL("address",'Raw Data'!C229),"\$([A-Z]+)\$[0-9]+"))</f>
        <v/>
      </c>
      <c r="D229" s="7" t="str" cm="1">
        <f t="array" aca="1" ref="D229" ca="1">IF('Raw Data'!$D$11 = "Month # 1","",_xlfn.REGEXEXTRACT(CELL("address",'Raw Data'!D229),"\$([A-Z]+)\$[0-9]+"))</f>
        <v/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2:30" x14ac:dyDescent="0.25">
      <c r="B230" s="7"/>
      <c r="C230" s="7" t="str" cm="1">
        <f t="array" aca="1" ref="C230" ca="1">IF('Raw Data'!$C$10 = "Overall Project","",_xlfn.REGEXEXTRACT(CELL("address",'Raw Data'!C230),"\$([A-Z]+)\$[0-9]+"))</f>
        <v/>
      </c>
      <c r="D230" s="7" t="str" cm="1">
        <f t="array" aca="1" ref="D230" ca="1">IF('Raw Data'!$D$11 = "Month # 1","",_xlfn.REGEXEXTRACT(CELL("address",'Raw Data'!D230),"\$([A-Z]+)\$[0-9]+"))</f>
        <v/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2:30" x14ac:dyDescent="0.25">
      <c r="B231" s="7"/>
      <c r="C231" s="7" t="str" cm="1">
        <f t="array" aca="1" ref="C231" ca="1">IF('Raw Data'!$C$10 = "Overall Project","",_xlfn.REGEXEXTRACT(CELL("address",'Raw Data'!C231),"\$([A-Z]+)\$[0-9]+"))</f>
        <v/>
      </c>
      <c r="D231" s="7" t="str" cm="1">
        <f t="array" aca="1" ref="D231" ca="1">IF('Raw Data'!$D$11 = "Month # 1","",_xlfn.REGEXEXTRACT(CELL("address",'Raw Data'!D231),"\$([A-Z]+)\$[0-9]+"))</f>
        <v/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2:30" x14ac:dyDescent="0.25">
      <c r="B232" s="7"/>
      <c r="C232" s="7" t="str" cm="1">
        <f t="array" aca="1" ref="C232" ca="1">IF('Raw Data'!$C$10 = "Overall Project","",_xlfn.REGEXEXTRACT(CELL("address",'Raw Data'!C232),"\$([A-Z]+)\$[0-9]+"))</f>
        <v/>
      </c>
      <c r="D232" s="7" t="str" cm="1">
        <f t="array" aca="1" ref="D232" ca="1">IF('Raw Data'!$D$11 = "Month # 1","",_xlfn.REGEXEXTRACT(CELL("address",'Raw Data'!D232),"\$([A-Z]+)\$[0-9]+"))</f>
        <v/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2:30" x14ac:dyDescent="0.25">
      <c r="B233" s="7"/>
      <c r="C233" s="7" t="str" cm="1">
        <f t="array" aca="1" ref="C233" ca="1">IF('Raw Data'!$C$10 = "Overall Project","",_xlfn.REGEXEXTRACT(CELL("address",'Raw Data'!C233),"\$([A-Z]+)\$[0-9]+"))</f>
        <v/>
      </c>
      <c r="D233" s="7" t="str" cm="1">
        <f t="array" aca="1" ref="D233" ca="1">IF('Raw Data'!$D$11 = "Month # 1","",_xlfn.REGEXEXTRACT(CELL("address",'Raw Data'!D233),"\$([A-Z]+)\$[0-9]+"))</f>
        <v/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2:30" x14ac:dyDescent="0.25">
      <c r="B234" s="7"/>
      <c r="C234" s="7" t="str" cm="1">
        <f t="array" aca="1" ref="C234" ca="1">IF('Raw Data'!$C$10 = "Overall Project","",_xlfn.REGEXEXTRACT(CELL("address",'Raw Data'!C234),"\$([A-Z]+)\$[0-9]+"))</f>
        <v/>
      </c>
      <c r="D234" s="7" t="str" cm="1">
        <f t="array" aca="1" ref="D234" ca="1">IF('Raw Data'!$D$11 = "Month # 1","",_xlfn.REGEXEXTRACT(CELL("address",'Raw Data'!D234),"\$([A-Z]+)\$[0-9]+"))</f>
        <v/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2:30" x14ac:dyDescent="0.25">
      <c r="B235" s="7"/>
      <c r="C235" s="7" t="str" cm="1">
        <f t="array" aca="1" ref="C235" ca="1">IF('Raw Data'!$C$10 = "Overall Project","",_xlfn.REGEXEXTRACT(CELL("address",'Raw Data'!C235),"\$([A-Z]+)\$[0-9]+"))</f>
        <v/>
      </c>
      <c r="D235" s="7" t="str" cm="1">
        <f t="array" aca="1" ref="D235" ca="1">IF('Raw Data'!$D$11 = "Month # 1","",_xlfn.REGEXEXTRACT(CELL("address",'Raw Data'!D235),"\$([A-Z]+)\$[0-9]+"))</f>
        <v/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2:30" x14ac:dyDescent="0.25">
      <c r="B236" s="7"/>
      <c r="C236" s="7" t="str" cm="1">
        <f t="array" aca="1" ref="C236" ca="1">IF('Raw Data'!$C$10 = "Overall Project","",_xlfn.REGEXEXTRACT(CELL("address",'Raw Data'!C236),"\$([A-Z]+)\$[0-9]+"))</f>
        <v/>
      </c>
      <c r="D236" s="7" t="str" cm="1">
        <f t="array" aca="1" ref="D236" ca="1">IF('Raw Data'!$D$11 = "Month # 1","",_xlfn.REGEXEXTRACT(CELL("address",'Raw Data'!D236),"\$([A-Z]+)\$[0-9]+"))</f>
        <v/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2:30" x14ac:dyDescent="0.25">
      <c r="B237" s="7"/>
      <c r="C237" s="7" t="str" cm="1">
        <f t="array" aca="1" ref="C237" ca="1">IF('Raw Data'!$C$10 = "Overall Project","",_xlfn.REGEXEXTRACT(CELL("address",'Raw Data'!C237),"\$([A-Z]+)\$[0-9]+"))</f>
        <v/>
      </c>
      <c r="D237" s="7" t="str" cm="1">
        <f t="array" aca="1" ref="D237" ca="1">IF('Raw Data'!$D$11 = "Month # 1","",_xlfn.REGEXEXTRACT(CELL("address",'Raw Data'!D237),"\$([A-Z]+)\$[0-9]+"))</f>
        <v/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2:30" x14ac:dyDescent="0.25">
      <c r="B238" s="7"/>
      <c r="C238" s="7" t="str" cm="1">
        <f t="array" aca="1" ref="C238" ca="1">IF('Raw Data'!$C$10 = "Overall Project","",_xlfn.REGEXEXTRACT(CELL("address",'Raw Data'!C238),"\$([A-Z]+)\$[0-9]+"))</f>
        <v/>
      </c>
      <c r="D238" s="7" t="str" cm="1">
        <f t="array" aca="1" ref="D238" ca="1">IF('Raw Data'!$D$11 = "Month # 1","",_xlfn.REGEXEXTRACT(CELL("address",'Raw Data'!D238),"\$([A-Z]+)\$[0-9]+"))</f>
        <v/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2:30" x14ac:dyDescent="0.25">
      <c r="B239" s="7"/>
      <c r="C239" s="7" t="str" cm="1">
        <f t="array" aca="1" ref="C239" ca="1">IF('Raw Data'!$C$10 = "Overall Project","",_xlfn.REGEXEXTRACT(CELL("address",'Raw Data'!C239),"\$([A-Z]+)\$[0-9]+"))</f>
        <v/>
      </c>
      <c r="D239" s="7" t="str" cm="1">
        <f t="array" aca="1" ref="D239" ca="1">IF('Raw Data'!$D$11 = "Month # 1","",_xlfn.REGEXEXTRACT(CELL("address",'Raw Data'!D239),"\$([A-Z]+)\$[0-9]+"))</f>
        <v/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2:30" x14ac:dyDescent="0.25">
      <c r="B240" s="7"/>
      <c r="C240" s="7" t="str" cm="1">
        <f t="array" aca="1" ref="C240" ca="1">IF('Raw Data'!$C$10 = "Overall Project","",_xlfn.REGEXEXTRACT(CELL("address",'Raw Data'!C240),"\$([A-Z]+)\$[0-9]+"))</f>
        <v/>
      </c>
      <c r="D240" s="7" t="str" cm="1">
        <f t="array" aca="1" ref="D240" ca="1">IF('Raw Data'!$D$11 = "Month # 1","",_xlfn.REGEXEXTRACT(CELL("address",'Raw Data'!D240),"\$([A-Z]+)\$[0-9]+"))</f>
        <v/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2:30" x14ac:dyDescent="0.25">
      <c r="B241" s="7"/>
      <c r="C241" s="7" t="str" cm="1">
        <f t="array" aca="1" ref="C241" ca="1">IF('Raw Data'!$C$10 = "Overall Project","",_xlfn.REGEXEXTRACT(CELL("address",'Raw Data'!C241),"\$([A-Z]+)\$[0-9]+"))</f>
        <v/>
      </c>
      <c r="D241" s="7" t="str" cm="1">
        <f t="array" aca="1" ref="D241" ca="1">IF('Raw Data'!$D$11 = "Month # 1","",_xlfn.REGEXEXTRACT(CELL("address",'Raw Data'!D241),"\$([A-Z]+)\$[0-9]+"))</f>
        <v/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2:30" x14ac:dyDescent="0.25">
      <c r="B242" s="7"/>
      <c r="C242" s="7" t="str" cm="1">
        <f t="array" aca="1" ref="C242" ca="1">IF('Raw Data'!$C$10 = "Overall Project","",_xlfn.REGEXEXTRACT(CELL("address",'Raw Data'!C242),"\$([A-Z]+)\$[0-9]+"))</f>
        <v/>
      </c>
      <c r="D242" s="7" t="str" cm="1">
        <f t="array" aca="1" ref="D242" ca="1">IF('Raw Data'!$D$11 = "Month # 1","",_xlfn.REGEXEXTRACT(CELL("address",'Raw Data'!D242),"\$([A-Z]+)\$[0-9]+"))</f>
        <v/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2:30" x14ac:dyDescent="0.25">
      <c r="B243" s="7"/>
      <c r="C243" s="7" t="str" cm="1">
        <f t="array" aca="1" ref="C243" ca="1">IF('Raw Data'!$C$10 = "Overall Project","",_xlfn.REGEXEXTRACT(CELL("address",'Raw Data'!C243),"\$([A-Z]+)\$[0-9]+"))</f>
        <v/>
      </c>
      <c r="D243" s="7" t="str" cm="1">
        <f t="array" aca="1" ref="D243" ca="1">IF('Raw Data'!$D$11 = "Month # 1","",_xlfn.REGEXEXTRACT(CELL("address",'Raw Data'!D243),"\$([A-Z]+)\$[0-9]+"))</f>
        <v/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2:30" x14ac:dyDescent="0.25">
      <c r="B244" s="7"/>
      <c r="C244" s="7" t="str" cm="1">
        <f t="array" aca="1" ref="C244" ca="1">IF('Raw Data'!$C$10 = "Overall Project","",_xlfn.REGEXEXTRACT(CELL("address",'Raw Data'!C244),"\$([A-Z]+)\$[0-9]+"))</f>
        <v/>
      </c>
      <c r="D244" s="7" t="str" cm="1">
        <f t="array" aca="1" ref="D244" ca="1">IF('Raw Data'!$D$11 = "Month # 1","",_xlfn.REGEXEXTRACT(CELL("address",'Raw Data'!D244),"\$([A-Z]+)\$[0-9]+"))</f>
        <v/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2:30" x14ac:dyDescent="0.25">
      <c r="B245" s="7"/>
      <c r="C245" s="7" t="str" cm="1">
        <f t="array" aca="1" ref="C245" ca="1">IF('Raw Data'!$C$10 = "Overall Project","",_xlfn.REGEXEXTRACT(CELL("address",'Raw Data'!C245),"\$([A-Z]+)\$[0-9]+"))</f>
        <v/>
      </c>
      <c r="D245" s="7" t="str" cm="1">
        <f t="array" aca="1" ref="D245" ca="1">IF('Raw Data'!$D$11 = "Month # 1","",_xlfn.REGEXEXTRACT(CELL("address",'Raw Data'!D245),"\$([A-Z]+)\$[0-9]+"))</f>
        <v/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2:30" x14ac:dyDescent="0.25">
      <c r="B246" s="7"/>
      <c r="C246" s="7" t="str" cm="1">
        <f t="array" aca="1" ref="C246" ca="1">IF('Raw Data'!$C$10 = "Overall Project","",_xlfn.REGEXEXTRACT(CELL("address",'Raw Data'!C246),"\$([A-Z]+)\$[0-9]+"))</f>
        <v/>
      </c>
      <c r="D246" s="7" t="str" cm="1">
        <f t="array" aca="1" ref="D246" ca="1">IF('Raw Data'!$D$11 = "Month # 1","",_xlfn.REGEXEXTRACT(CELL("address",'Raw Data'!D246),"\$([A-Z]+)\$[0-9]+"))</f>
        <v/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2:30" x14ac:dyDescent="0.25">
      <c r="B247" s="7"/>
      <c r="C247" s="7" t="str" cm="1">
        <f t="array" aca="1" ref="C247" ca="1">IF('Raw Data'!$C$10 = "Overall Project","",_xlfn.REGEXEXTRACT(CELL("address",'Raw Data'!C247),"\$([A-Z]+)\$[0-9]+"))</f>
        <v/>
      </c>
      <c r="D247" s="7" t="str" cm="1">
        <f t="array" aca="1" ref="D247" ca="1">IF('Raw Data'!$D$11 = "Month # 1","",_xlfn.REGEXEXTRACT(CELL("address",'Raw Data'!D247),"\$([A-Z]+)\$[0-9]+"))</f>
        <v/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2:30" x14ac:dyDescent="0.25">
      <c r="B248" s="7"/>
      <c r="C248" s="7" t="str" cm="1">
        <f t="array" aca="1" ref="C248" ca="1">IF('Raw Data'!$C$10 = "Overall Project","",_xlfn.REGEXEXTRACT(CELL("address",'Raw Data'!C248),"\$([A-Z]+)\$[0-9]+"))</f>
        <v/>
      </c>
      <c r="D248" s="7" t="str" cm="1">
        <f t="array" aca="1" ref="D248" ca="1">IF('Raw Data'!$D$11 = "Month # 1","",_xlfn.REGEXEXTRACT(CELL("address",'Raw Data'!D248),"\$([A-Z]+)\$[0-9]+"))</f>
        <v/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2:30" x14ac:dyDescent="0.25">
      <c r="B249" s="7"/>
      <c r="C249" s="7" t="str" cm="1">
        <f t="array" aca="1" ref="C249" ca="1">IF('Raw Data'!$C$10 = "Overall Project","",_xlfn.REGEXEXTRACT(CELL("address",'Raw Data'!C249),"\$([A-Z]+)\$[0-9]+"))</f>
        <v/>
      </c>
      <c r="D249" s="7" t="str" cm="1">
        <f t="array" aca="1" ref="D249" ca="1">IF('Raw Data'!$D$11 = "Month # 1","",_xlfn.REGEXEXTRACT(CELL("address",'Raw Data'!D249),"\$([A-Z]+)\$[0-9]+"))</f>
        <v/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2:30" x14ac:dyDescent="0.25">
      <c r="B250" s="7"/>
      <c r="C250" s="7" t="str" cm="1">
        <f t="array" aca="1" ref="C250" ca="1">IF('Raw Data'!$C$10 = "Overall Project","",_xlfn.REGEXEXTRACT(CELL("address",'Raw Data'!C250),"\$([A-Z]+)\$[0-9]+"))</f>
        <v/>
      </c>
      <c r="D250" s="7" t="str" cm="1">
        <f t="array" aca="1" ref="D250" ca="1">IF('Raw Data'!$D$11 = "Month # 1","",_xlfn.REGEXEXTRACT(CELL("address",'Raw Data'!D250),"\$([A-Z]+)\$[0-9]+"))</f>
        <v/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2:30" x14ac:dyDescent="0.25">
      <c r="B251" s="7"/>
      <c r="C251" s="7" t="str" cm="1">
        <f t="array" aca="1" ref="C251" ca="1">IF('Raw Data'!$C$10 = "Overall Project","",_xlfn.REGEXEXTRACT(CELL("address",'Raw Data'!C251),"\$([A-Z]+)\$[0-9]+"))</f>
        <v/>
      </c>
      <c r="D251" s="7" t="str" cm="1">
        <f t="array" aca="1" ref="D251" ca="1">IF('Raw Data'!$D$11 = "Month # 1","",_xlfn.REGEXEXTRACT(CELL("address",'Raw Data'!D251),"\$([A-Z]+)\$[0-9]+"))</f>
        <v/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2:30" x14ac:dyDescent="0.25">
      <c r="B252" s="7"/>
      <c r="C252" s="7" t="str" cm="1">
        <f t="array" aca="1" ref="C252" ca="1">IF('Raw Data'!$C$10 = "Overall Project","",_xlfn.REGEXEXTRACT(CELL("address",'Raw Data'!C252),"\$([A-Z]+)\$[0-9]+"))</f>
        <v/>
      </c>
      <c r="D252" s="7" t="str" cm="1">
        <f t="array" aca="1" ref="D252" ca="1">IF('Raw Data'!$D$11 = "Month # 1","",_xlfn.REGEXEXTRACT(CELL("address",'Raw Data'!D252),"\$([A-Z]+)\$[0-9]+"))</f>
        <v/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2:30" x14ac:dyDescent="0.25">
      <c r="B253" s="7"/>
      <c r="C253" s="7" t="str" cm="1">
        <f t="array" aca="1" ref="C253" ca="1">IF('Raw Data'!$C$10 = "Overall Project","",_xlfn.REGEXEXTRACT(CELL("address",'Raw Data'!C253),"\$([A-Z]+)\$[0-9]+"))</f>
        <v/>
      </c>
      <c r="D253" s="7" t="str" cm="1">
        <f t="array" aca="1" ref="D253" ca="1">IF('Raw Data'!$D$11 = "Month # 1","",_xlfn.REGEXEXTRACT(CELL("address",'Raw Data'!D253),"\$([A-Z]+)\$[0-9]+"))</f>
        <v/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2:30" x14ac:dyDescent="0.25">
      <c r="B254" s="7"/>
      <c r="C254" s="7" t="str" cm="1">
        <f t="array" aca="1" ref="C254" ca="1">IF('Raw Data'!$C$10 = "Overall Project","",_xlfn.REGEXEXTRACT(CELL("address",'Raw Data'!C254),"\$([A-Z]+)\$[0-9]+"))</f>
        <v/>
      </c>
      <c r="D254" s="7" t="str" cm="1">
        <f t="array" aca="1" ref="D254" ca="1">IF('Raw Data'!$D$11 = "Month # 1","",_xlfn.REGEXEXTRACT(CELL("address",'Raw Data'!D254),"\$([A-Z]+)\$[0-9]+"))</f>
        <v/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2:30" x14ac:dyDescent="0.25">
      <c r="B255" s="7"/>
      <c r="C255" s="7" t="str" cm="1">
        <f t="array" aca="1" ref="C255" ca="1">IF('Raw Data'!$C$10 = "Overall Project","",_xlfn.REGEXEXTRACT(CELL("address",'Raw Data'!C255),"\$([A-Z]+)\$[0-9]+"))</f>
        <v/>
      </c>
      <c r="D255" s="7" t="str" cm="1">
        <f t="array" aca="1" ref="D255" ca="1">IF('Raw Data'!$D$11 = "Month # 1","",_xlfn.REGEXEXTRACT(CELL("address",'Raw Data'!D255),"\$([A-Z]+)\$[0-9]+"))</f>
        <v/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2:30" x14ac:dyDescent="0.25">
      <c r="B256" s="7"/>
      <c r="C256" s="7" t="str" cm="1">
        <f t="array" aca="1" ref="C256" ca="1">IF('Raw Data'!$C$10 = "Overall Project","",_xlfn.REGEXEXTRACT(CELL("address",'Raw Data'!C256),"\$([A-Z]+)\$[0-9]+"))</f>
        <v/>
      </c>
      <c r="D256" s="7" t="str" cm="1">
        <f t="array" aca="1" ref="D256" ca="1">IF('Raw Data'!$D$11 = "Month # 1","",_xlfn.REGEXEXTRACT(CELL("address",'Raw Data'!D256),"\$([A-Z]+)\$[0-9]+"))</f>
        <v/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2:30" x14ac:dyDescent="0.25">
      <c r="B257" s="7"/>
      <c r="C257" s="7" t="str" cm="1">
        <f t="array" aca="1" ref="C257" ca="1">IF('Raw Data'!$C$10 = "Overall Project","",_xlfn.REGEXEXTRACT(CELL("address",'Raw Data'!C257),"\$([A-Z]+)\$[0-9]+"))</f>
        <v/>
      </c>
      <c r="D257" s="7" t="str" cm="1">
        <f t="array" aca="1" ref="D257" ca="1">IF('Raw Data'!$D$11 = "Month # 1","",_xlfn.REGEXEXTRACT(CELL("address",'Raw Data'!D257),"\$([A-Z]+)\$[0-9]+"))</f>
        <v/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2:30" x14ac:dyDescent="0.25">
      <c r="B258" s="7"/>
      <c r="C258" s="7" t="str" cm="1">
        <f t="array" aca="1" ref="C258" ca="1">IF('Raw Data'!$C$10 = "Overall Project","",_xlfn.REGEXEXTRACT(CELL("address",'Raw Data'!C258),"\$([A-Z]+)\$[0-9]+"))</f>
        <v/>
      </c>
      <c r="D258" s="7" t="str" cm="1">
        <f t="array" aca="1" ref="D258" ca="1">IF('Raw Data'!$D$11 = "Month # 1","",_xlfn.REGEXEXTRACT(CELL("address",'Raw Data'!D258),"\$([A-Z]+)\$[0-9]+"))</f>
        <v/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2:30" x14ac:dyDescent="0.25">
      <c r="B259" s="7"/>
      <c r="C259" s="7" t="str" cm="1">
        <f t="array" aca="1" ref="C259" ca="1">IF('Raw Data'!$C$10 = "Overall Project","",_xlfn.REGEXEXTRACT(CELL("address",'Raw Data'!C259),"\$([A-Z]+)\$[0-9]+"))</f>
        <v/>
      </c>
      <c r="D259" s="7" t="str" cm="1">
        <f t="array" aca="1" ref="D259" ca="1">IF('Raw Data'!$D$11 = "Month # 1","",_xlfn.REGEXEXTRACT(CELL("address",'Raw Data'!D259),"\$([A-Z]+)\$[0-9]+"))</f>
        <v/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2:30" x14ac:dyDescent="0.25">
      <c r="B260" s="7"/>
      <c r="C260" s="7" t="str" cm="1">
        <f t="array" aca="1" ref="C260" ca="1">IF('Raw Data'!$C$10 = "Overall Project","",_xlfn.REGEXEXTRACT(CELL("address",'Raw Data'!C260),"\$([A-Z]+)\$[0-9]+"))</f>
        <v/>
      </c>
      <c r="D260" s="7" t="str" cm="1">
        <f t="array" aca="1" ref="D260" ca="1">IF('Raw Data'!$D$11 = "Month # 1","",_xlfn.REGEXEXTRACT(CELL("address",'Raw Data'!D260),"\$([A-Z]+)\$[0-9]+"))</f>
        <v/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2:30" x14ac:dyDescent="0.25">
      <c r="B261" s="7"/>
      <c r="C261" s="7" t="str" cm="1">
        <f t="array" aca="1" ref="C261" ca="1">IF('Raw Data'!$C$10 = "Overall Project","",_xlfn.REGEXEXTRACT(CELL("address",'Raw Data'!C261),"\$([A-Z]+)\$[0-9]+"))</f>
        <v/>
      </c>
      <c r="D261" s="7" t="str" cm="1">
        <f t="array" aca="1" ref="D261" ca="1">IF('Raw Data'!$D$11 = "Month # 1","",_xlfn.REGEXEXTRACT(CELL("address",'Raw Data'!D261),"\$([A-Z]+)\$[0-9]+"))</f>
        <v/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2:30" x14ac:dyDescent="0.25">
      <c r="B262" s="7"/>
      <c r="C262" s="7" t="str" cm="1">
        <f t="array" aca="1" ref="C262" ca="1">IF('Raw Data'!$C$10 = "Overall Project","",_xlfn.REGEXEXTRACT(CELL("address",'Raw Data'!C262),"\$([A-Z]+)\$[0-9]+"))</f>
        <v/>
      </c>
      <c r="D262" s="7" t="str" cm="1">
        <f t="array" aca="1" ref="D262" ca="1">IF('Raw Data'!$D$11 = "Month # 1","",_xlfn.REGEXEXTRACT(CELL("address",'Raw Data'!D262),"\$([A-Z]+)\$[0-9]+"))</f>
        <v/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2:30" x14ac:dyDescent="0.25">
      <c r="B263" s="7"/>
      <c r="C263" s="7" t="str" cm="1">
        <f t="array" aca="1" ref="C263" ca="1">IF('Raw Data'!$C$10 = "Overall Project","",_xlfn.REGEXEXTRACT(CELL("address",'Raw Data'!C263),"\$([A-Z]+)\$[0-9]+"))</f>
        <v/>
      </c>
      <c r="D263" s="7" t="str" cm="1">
        <f t="array" aca="1" ref="D263" ca="1">IF('Raw Data'!$D$11 = "Month # 1","",_xlfn.REGEXEXTRACT(CELL("address",'Raw Data'!D263),"\$([A-Z]+)\$[0-9]+"))</f>
        <v/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2:30" x14ac:dyDescent="0.25">
      <c r="B264" s="7"/>
      <c r="C264" s="7" t="str" cm="1">
        <f t="array" aca="1" ref="C264" ca="1">IF('Raw Data'!$C$10 = "Overall Project","",_xlfn.REGEXEXTRACT(CELL("address",'Raw Data'!C264),"\$([A-Z]+)\$[0-9]+"))</f>
        <v/>
      </c>
      <c r="D264" s="7" t="str" cm="1">
        <f t="array" aca="1" ref="D264" ca="1">IF('Raw Data'!$D$11 = "Month # 1","",_xlfn.REGEXEXTRACT(CELL("address",'Raw Data'!D264),"\$([A-Z]+)\$[0-9]+"))</f>
        <v/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2:30" x14ac:dyDescent="0.25">
      <c r="B265" s="7"/>
      <c r="C265" s="7" t="str" cm="1">
        <f t="array" aca="1" ref="C265" ca="1">IF('Raw Data'!$C$10 = "Overall Project","",_xlfn.REGEXEXTRACT(CELL("address",'Raw Data'!C265),"\$([A-Z]+)\$[0-9]+"))</f>
        <v/>
      </c>
      <c r="D265" s="7" t="str" cm="1">
        <f t="array" aca="1" ref="D265" ca="1">IF('Raw Data'!$D$11 = "Month # 1","",_xlfn.REGEXEXTRACT(CELL("address",'Raw Data'!D265),"\$([A-Z]+)\$[0-9]+"))</f>
        <v/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2:30" x14ac:dyDescent="0.25">
      <c r="B266" s="7"/>
      <c r="C266" s="7" t="str" cm="1">
        <f t="array" aca="1" ref="C266" ca="1">IF('Raw Data'!$C$10 = "Overall Project","",_xlfn.REGEXEXTRACT(CELL("address",'Raw Data'!C266),"\$([A-Z]+)\$[0-9]+"))</f>
        <v/>
      </c>
      <c r="D266" s="7" t="str" cm="1">
        <f t="array" aca="1" ref="D266" ca="1">IF('Raw Data'!$D$11 = "Month # 1","",_xlfn.REGEXEXTRACT(CELL("address",'Raw Data'!D266),"\$([A-Z]+)\$[0-9]+"))</f>
        <v/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2:30" x14ac:dyDescent="0.25">
      <c r="B267" s="7"/>
      <c r="C267" s="7" t="str" cm="1">
        <f t="array" aca="1" ref="C267" ca="1">IF('Raw Data'!$C$10 = "Overall Project","",_xlfn.REGEXEXTRACT(CELL("address",'Raw Data'!C267),"\$([A-Z]+)\$[0-9]+"))</f>
        <v/>
      </c>
      <c r="D267" s="7" t="str" cm="1">
        <f t="array" aca="1" ref="D267" ca="1">IF('Raw Data'!$D$11 = "Month # 1","",_xlfn.REGEXEXTRACT(CELL("address",'Raw Data'!D267),"\$([A-Z]+)\$[0-9]+"))</f>
        <v/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2:30" x14ac:dyDescent="0.25">
      <c r="B268" s="7"/>
      <c r="C268" s="7" t="str" cm="1">
        <f t="array" aca="1" ref="C268" ca="1">IF('Raw Data'!$C$10 = "Overall Project","",_xlfn.REGEXEXTRACT(CELL("address",'Raw Data'!C268),"\$([A-Z]+)\$[0-9]+"))</f>
        <v/>
      </c>
      <c r="D268" s="7" t="str" cm="1">
        <f t="array" aca="1" ref="D268" ca="1">IF('Raw Data'!$D$11 = "Month # 1","",_xlfn.REGEXEXTRACT(CELL("address",'Raw Data'!D268),"\$([A-Z]+)\$[0-9]+"))</f>
        <v/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2:30" x14ac:dyDescent="0.25">
      <c r="B269" s="7"/>
      <c r="C269" s="7" t="str" cm="1">
        <f t="array" aca="1" ref="C269" ca="1">IF('Raw Data'!$C$10 = "Overall Project","",_xlfn.REGEXEXTRACT(CELL("address",'Raw Data'!C269),"\$([A-Z]+)\$[0-9]+"))</f>
        <v/>
      </c>
      <c r="D269" s="7" t="str" cm="1">
        <f t="array" aca="1" ref="D269" ca="1">IF('Raw Data'!$D$11 = "Month # 1","",_xlfn.REGEXEXTRACT(CELL("address",'Raw Data'!D269),"\$([A-Z]+)\$[0-9]+"))</f>
        <v/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2:30" x14ac:dyDescent="0.25">
      <c r="B270" s="7"/>
      <c r="C270" s="7" t="str" cm="1">
        <f t="array" aca="1" ref="C270" ca="1">IF('Raw Data'!$C$10 = "Overall Project","",_xlfn.REGEXEXTRACT(CELL("address",'Raw Data'!C270),"\$([A-Z]+)\$[0-9]+"))</f>
        <v/>
      </c>
      <c r="D270" s="7" t="str" cm="1">
        <f t="array" aca="1" ref="D270" ca="1">IF('Raw Data'!$D$11 = "Month # 1","",_xlfn.REGEXEXTRACT(CELL("address",'Raw Data'!D270),"\$([A-Z]+)\$[0-9]+"))</f>
        <v/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2:30" x14ac:dyDescent="0.25">
      <c r="B271" s="7"/>
      <c r="C271" s="7" t="str" cm="1">
        <f t="array" aca="1" ref="C271" ca="1">IF('Raw Data'!$C$10 = "Overall Project","",_xlfn.REGEXEXTRACT(CELL("address",'Raw Data'!C271),"\$([A-Z]+)\$[0-9]+"))</f>
        <v/>
      </c>
      <c r="D271" s="7" t="str" cm="1">
        <f t="array" aca="1" ref="D271" ca="1">IF('Raw Data'!$D$11 = "Month # 1","",_xlfn.REGEXEXTRACT(CELL("address",'Raw Data'!D271),"\$([A-Z]+)\$[0-9]+"))</f>
        <v/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2:30" x14ac:dyDescent="0.25">
      <c r="B272" s="7"/>
      <c r="C272" s="7" t="str" cm="1">
        <f t="array" aca="1" ref="C272" ca="1">IF('Raw Data'!$C$10 = "Overall Project","",_xlfn.REGEXEXTRACT(CELL("address",'Raw Data'!C272),"\$([A-Z]+)\$[0-9]+"))</f>
        <v/>
      </c>
      <c r="D272" s="7" t="str" cm="1">
        <f t="array" aca="1" ref="D272" ca="1">IF('Raw Data'!$D$11 = "Month # 1","",_xlfn.REGEXEXTRACT(CELL("address",'Raw Data'!D272),"\$([A-Z]+)\$[0-9]+"))</f>
        <v/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2:30" x14ac:dyDescent="0.25">
      <c r="B273" s="7"/>
      <c r="C273" s="7" t="str" cm="1">
        <f t="array" aca="1" ref="C273" ca="1">IF('Raw Data'!$C$10 = "Overall Project","",_xlfn.REGEXEXTRACT(CELL("address",'Raw Data'!C273),"\$([A-Z]+)\$[0-9]+"))</f>
        <v/>
      </c>
      <c r="D273" s="7" t="str" cm="1">
        <f t="array" aca="1" ref="D273" ca="1">IF('Raw Data'!$D$11 = "Month # 1","",_xlfn.REGEXEXTRACT(CELL("address",'Raw Data'!D273),"\$([A-Z]+)\$[0-9]+"))</f>
        <v/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2:30" x14ac:dyDescent="0.25">
      <c r="B274" s="7"/>
      <c r="C274" s="7" t="str" cm="1">
        <f t="array" aca="1" ref="C274" ca="1">IF('Raw Data'!$C$10 = "Overall Project","",_xlfn.REGEXEXTRACT(CELL("address",'Raw Data'!C274),"\$([A-Z]+)\$[0-9]+"))</f>
        <v/>
      </c>
      <c r="D274" s="7" t="str" cm="1">
        <f t="array" aca="1" ref="D274" ca="1">IF('Raw Data'!$D$11 = "Month # 1","",_xlfn.REGEXEXTRACT(CELL("address",'Raw Data'!D274),"\$([A-Z]+)\$[0-9]+"))</f>
        <v/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2:30" x14ac:dyDescent="0.25">
      <c r="B275" s="7"/>
      <c r="C275" s="7" t="str" cm="1">
        <f t="array" aca="1" ref="C275" ca="1">IF('Raw Data'!$C$10 = "Overall Project","",_xlfn.REGEXEXTRACT(CELL("address",'Raw Data'!C275),"\$([A-Z]+)\$[0-9]+"))</f>
        <v/>
      </c>
      <c r="D275" s="7" t="str" cm="1">
        <f t="array" aca="1" ref="D275" ca="1">IF('Raw Data'!$D$11 = "Month # 1","",_xlfn.REGEXEXTRACT(CELL("address",'Raw Data'!D275),"\$([A-Z]+)\$[0-9]+"))</f>
        <v/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2:30" x14ac:dyDescent="0.25">
      <c r="B276" s="7"/>
      <c r="C276" s="7" t="str" cm="1">
        <f t="array" aca="1" ref="C276" ca="1">IF('Raw Data'!$C$10 = "Overall Project","",_xlfn.REGEXEXTRACT(CELL("address",'Raw Data'!C276),"\$([A-Z]+)\$[0-9]+"))</f>
        <v/>
      </c>
      <c r="D276" s="7" t="str" cm="1">
        <f t="array" aca="1" ref="D276" ca="1">IF('Raw Data'!$D$11 = "Month # 1","",_xlfn.REGEXEXTRACT(CELL("address",'Raw Data'!D276),"\$([A-Z]+)\$[0-9]+"))</f>
        <v/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2:30" x14ac:dyDescent="0.25">
      <c r="B277" s="7"/>
      <c r="C277" s="7" t="str" cm="1">
        <f t="array" aca="1" ref="C277" ca="1">IF('Raw Data'!$C$10 = "Overall Project","",_xlfn.REGEXEXTRACT(CELL("address",'Raw Data'!C277),"\$([A-Z]+)\$[0-9]+"))</f>
        <v/>
      </c>
      <c r="D277" s="7" t="str" cm="1">
        <f t="array" aca="1" ref="D277" ca="1">IF('Raw Data'!$D$11 = "Month # 1","",_xlfn.REGEXEXTRACT(CELL("address",'Raw Data'!D277),"\$([A-Z]+)\$[0-9]+"))</f>
        <v/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2:30" x14ac:dyDescent="0.25">
      <c r="B278" s="7"/>
      <c r="C278" s="7" t="str" cm="1">
        <f t="array" aca="1" ref="C278" ca="1">IF('Raw Data'!$C$10 = "Overall Project","",_xlfn.REGEXEXTRACT(CELL("address",'Raw Data'!C278),"\$([A-Z]+)\$[0-9]+"))</f>
        <v/>
      </c>
      <c r="D278" s="7" t="str" cm="1">
        <f t="array" aca="1" ref="D278" ca="1">IF('Raw Data'!$D$11 = "Month # 1","",_xlfn.REGEXEXTRACT(CELL("address",'Raw Data'!D278),"\$([A-Z]+)\$[0-9]+"))</f>
        <v/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2:30" x14ac:dyDescent="0.25">
      <c r="B279" s="7"/>
      <c r="C279" s="7" t="str" cm="1">
        <f t="array" aca="1" ref="C279" ca="1">IF('Raw Data'!$C$10 = "Overall Project","",_xlfn.REGEXEXTRACT(CELL("address",'Raw Data'!C279),"\$([A-Z]+)\$[0-9]+"))</f>
        <v/>
      </c>
      <c r="D279" s="7" t="str" cm="1">
        <f t="array" aca="1" ref="D279" ca="1">IF('Raw Data'!$D$11 = "Month # 1","",_xlfn.REGEXEXTRACT(CELL("address",'Raw Data'!D279),"\$([A-Z]+)\$[0-9]+"))</f>
        <v/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2:30" x14ac:dyDescent="0.25">
      <c r="B280" s="7"/>
      <c r="C280" s="7" t="str" cm="1">
        <f t="array" aca="1" ref="C280" ca="1">IF('Raw Data'!$C$10 = "Overall Project","",_xlfn.REGEXEXTRACT(CELL("address",'Raw Data'!C280),"\$([A-Z]+)\$[0-9]+"))</f>
        <v/>
      </c>
      <c r="D280" s="7" t="str" cm="1">
        <f t="array" aca="1" ref="D280" ca="1">IF('Raw Data'!$D$11 = "Month # 1","",_xlfn.REGEXEXTRACT(CELL("address",'Raw Data'!D280),"\$([A-Z]+)\$[0-9]+"))</f>
        <v/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2:30" x14ac:dyDescent="0.25">
      <c r="B281" s="7"/>
      <c r="C281" s="7" t="str" cm="1">
        <f t="array" aca="1" ref="C281" ca="1">IF('Raw Data'!$C$10 = "Overall Project","",_xlfn.REGEXEXTRACT(CELL("address",'Raw Data'!C281),"\$([A-Z]+)\$[0-9]+"))</f>
        <v/>
      </c>
      <c r="D281" s="7" t="str" cm="1">
        <f t="array" aca="1" ref="D281" ca="1">IF('Raw Data'!$D$11 = "Month # 1","",_xlfn.REGEXEXTRACT(CELL("address",'Raw Data'!D281),"\$([A-Z]+)\$[0-9]+"))</f>
        <v/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2:30" x14ac:dyDescent="0.25">
      <c r="B282" s="7"/>
      <c r="C282" s="7" t="str" cm="1">
        <f t="array" aca="1" ref="C282" ca="1">IF('Raw Data'!$C$10 = "Overall Project","",_xlfn.REGEXEXTRACT(CELL("address",'Raw Data'!C282),"\$([A-Z]+)\$[0-9]+"))</f>
        <v/>
      </c>
      <c r="D282" s="7" t="str" cm="1">
        <f t="array" aca="1" ref="D282" ca="1">IF('Raw Data'!$D$11 = "Month # 1","",_xlfn.REGEXEXTRACT(CELL("address",'Raw Data'!D282),"\$([A-Z]+)\$[0-9]+"))</f>
        <v/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2:30" x14ac:dyDescent="0.25">
      <c r="B283" s="7"/>
      <c r="C283" s="7" t="str" cm="1">
        <f t="array" aca="1" ref="C283" ca="1">IF('Raw Data'!$C$10 = "Overall Project","",_xlfn.REGEXEXTRACT(CELL("address",'Raw Data'!C283),"\$([A-Z]+)\$[0-9]+"))</f>
        <v/>
      </c>
      <c r="D283" s="7" t="str" cm="1">
        <f t="array" aca="1" ref="D283" ca="1">IF('Raw Data'!$D$11 = "Month # 1","",_xlfn.REGEXEXTRACT(CELL("address",'Raw Data'!D283),"\$([A-Z]+)\$[0-9]+"))</f>
        <v/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2:30" x14ac:dyDescent="0.25">
      <c r="B284" s="7"/>
      <c r="C284" s="7" t="str" cm="1">
        <f t="array" aca="1" ref="C284" ca="1">IF('Raw Data'!$C$10 = "Overall Project","",_xlfn.REGEXEXTRACT(CELL("address",'Raw Data'!C284),"\$([A-Z]+)\$[0-9]+"))</f>
        <v/>
      </c>
      <c r="D284" s="7" t="str" cm="1">
        <f t="array" aca="1" ref="D284" ca="1">IF('Raw Data'!$D$11 = "Month # 1","",_xlfn.REGEXEXTRACT(CELL("address",'Raw Data'!D284),"\$([A-Z]+)\$[0-9]+"))</f>
        <v/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2:30" x14ac:dyDescent="0.25">
      <c r="B285" s="7"/>
      <c r="C285" s="7" t="str" cm="1">
        <f t="array" aca="1" ref="C285" ca="1">IF('Raw Data'!$C$10 = "Overall Project","",_xlfn.REGEXEXTRACT(CELL("address",'Raw Data'!C285),"\$([A-Z]+)\$[0-9]+"))</f>
        <v/>
      </c>
      <c r="D285" s="7" t="str" cm="1">
        <f t="array" aca="1" ref="D285" ca="1">IF('Raw Data'!$D$11 = "Month # 1","",_xlfn.REGEXEXTRACT(CELL("address",'Raw Data'!D285),"\$([A-Z]+)\$[0-9]+"))</f>
        <v/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2:30" x14ac:dyDescent="0.25">
      <c r="B286" s="7"/>
      <c r="C286" s="7" t="str" cm="1">
        <f t="array" aca="1" ref="C286" ca="1">IF('Raw Data'!$C$10 = "Overall Project","",_xlfn.REGEXEXTRACT(CELL("address",'Raw Data'!C286),"\$([A-Z]+)\$[0-9]+"))</f>
        <v/>
      </c>
      <c r="D286" s="7" t="str" cm="1">
        <f t="array" aca="1" ref="D286" ca="1">IF('Raw Data'!$D$11 = "Month # 1","",_xlfn.REGEXEXTRACT(CELL("address",'Raw Data'!D286),"\$([A-Z]+)\$[0-9]+"))</f>
        <v/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2:30" x14ac:dyDescent="0.25">
      <c r="B287" s="7"/>
      <c r="C287" s="7" t="str" cm="1">
        <f t="array" aca="1" ref="C287" ca="1">IF('Raw Data'!$C$10 = "Overall Project","",_xlfn.REGEXEXTRACT(CELL("address",'Raw Data'!C287),"\$([A-Z]+)\$[0-9]+"))</f>
        <v/>
      </c>
      <c r="D287" s="7" t="str" cm="1">
        <f t="array" aca="1" ref="D287" ca="1">IF('Raw Data'!$D$11 = "Month # 1","",_xlfn.REGEXEXTRACT(CELL("address",'Raw Data'!D287),"\$([A-Z]+)\$[0-9]+"))</f>
        <v/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2:30" x14ac:dyDescent="0.25">
      <c r="B288" s="7"/>
      <c r="C288" s="7" t="str" cm="1">
        <f t="array" aca="1" ref="C288" ca="1">IF('Raw Data'!$C$10 = "Overall Project","",_xlfn.REGEXEXTRACT(CELL("address",'Raw Data'!C288),"\$([A-Z]+)\$[0-9]+"))</f>
        <v/>
      </c>
      <c r="D288" s="7" t="str" cm="1">
        <f t="array" aca="1" ref="D288" ca="1">IF('Raw Data'!$D$11 = "Month # 1","",_xlfn.REGEXEXTRACT(CELL("address",'Raw Data'!D288),"\$([A-Z]+)\$[0-9]+"))</f>
        <v/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2:30" x14ac:dyDescent="0.25">
      <c r="B289" s="7"/>
      <c r="C289" s="7" t="str" cm="1">
        <f t="array" aca="1" ref="C289" ca="1">IF('Raw Data'!$C$10 = "Overall Project","",_xlfn.REGEXEXTRACT(CELL("address",'Raw Data'!C289),"\$([A-Z]+)\$[0-9]+"))</f>
        <v/>
      </c>
      <c r="D289" s="7" t="str" cm="1">
        <f t="array" aca="1" ref="D289" ca="1">IF('Raw Data'!$D$11 = "Month # 1","",_xlfn.REGEXEXTRACT(CELL("address",'Raw Data'!D289),"\$([A-Z]+)\$[0-9]+"))</f>
        <v/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2:30" x14ac:dyDescent="0.25">
      <c r="B290" s="7"/>
      <c r="C290" s="7" t="str" cm="1">
        <f t="array" aca="1" ref="C290" ca="1">IF('Raw Data'!$C$10 = "Overall Project","",_xlfn.REGEXEXTRACT(CELL("address",'Raw Data'!C290),"\$([A-Z]+)\$[0-9]+"))</f>
        <v/>
      </c>
      <c r="D290" s="7" t="str" cm="1">
        <f t="array" aca="1" ref="D290" ca="1">IF('Raw Data'!$D$11 = "Month # 1","",_xlfn.REGEXEXTRACT(CELL("address",'Raw Data'!D290),"\$([A-Z]+)\$[0-9]+"))</f>
        <v/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2:30" x14ac:dyDescent="0.25">
      <c r="B291" s="7"/>
      <c r="C291" s="7" t="str" cm="1">
        <f t="array" aca="1" ref="C291" ca="1">IF('Raw Data'!$C$10 = "Overall Project","",_xlfn.REGEXEXTRACT(CELL("address",'Raw Data'!C291),"\$([A-Z]+)\$[0-9]+"))</f>
        <v/>
      </c>
      <c r="D291" s="7" t="str" cm="1">
        <f t="array" aca="1" ref="D291" ca="1">IF('Raw Data'!$D$11 = "Month # 1","",_xlfn.REGEXEXTRACT(CELL("address",'Raw Data'!D291),"\$([A-Z]+)\$[0-9]+"))</f>
        <v/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2:30" x14ac:dyDescent="0.25">
      <c r="B292" s="7"/>
      <c r="C292" s="7" t="str" cm="1">
        <f t="array" aca="1" ref="C292" ca="1">IF('Raw Data'!$C$10 = "Overall Project","",_xlfn.REGEXEXTRACT(CELL("address",'Raw Data'!C292),"\$([A-Z]+)\$[0-9]+"))</f>
        <v/>
      </c>
      <c r="D292" s="7" t="str" cm="1">
        <f t="array" aca="1" ref="D292" ca="1">IF('Raw Data'!$D$11 = "Month # 1","",_xlfn.REGEXEXTRACT(CELL("address",'Raw Data'!D292),"\$([A-Z]+)\$[0-9]+"))</f>
        <v/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2:30" x14ac:dyDescent="0.25">
      <c r="B293" s="7"/>
      <c r="C293" s="7" t="str" cm="1">
        <f t="array" aca="1" ref="C293" ca="1">IF('Raw Data'!$C$10 = "Overall Project","",_xlfn.REGEXEXTRACT(CELL("address",'Raw Data'!C293),"\$([A-Z]+)\$[0-9]+"))</f>
        <v/>
      </c>
      <c r="D293" s="7" t="str" cm="1">
        <f t="array" aca="1" ref="D293" ca="1">IF('Raw Data'!$D$11 = "Month # 1","",_xlfn.REGEXEXTRACT(CELL("address",'Raw Data'!D293),"\$([A-Z]+)\$[0-9]+"))</f>
        <v/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2:30" x14ac:dyDescent="0.25">
      <c r="B294" s="7"/>
      <c r="C294" s="7" t="str" cm="1">
        <f t="array" aca="1" ref="C294" ca="1">IF('Raw Data'!$C$10 = "Overall Project","",_xlfn.REGEXEXTRACT(CELL("address",'Raw Data'!C294),"\$([A-Z]+)\$[0-9]+"))</f>
        <v/>
      </c>
      <c r="D294" s="7" t="str" cm="1">
        <f t="array" aca="1" ref="D294" ca="1">IF('Raw Data'!$D$11 = "Month # 1","",_xlfn.REGEXEXTRACT(CELL("address",'Raw Data'!D294),"\$([A-Z]+)\$[0-9]+"))</f>
        <v/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2:30" x14ac:dyDescent="0.25">
      <c r="B295" s="7"/>
      <c r="C295" s="7" t="str" cm="1">
        <f t="array" aca="1" ref="C295" ca="1">IF('Raw Data'!$C$10 = "Overall Project","",_xlfn.REGEXEXTRACT(CELL("address",'Raw Data'!C295),"\$([A-Z]+)\$[0-9]+"))</f>
        <v/>
      </c>
      <c r="D295" s="7" t="str" cm="1">
        <f t="array" aca="1" ref="D295" ca="1">IF('Raw Data'!$D$11 = "Month # 1","",_xlfn.REGEXEXTRACT(CELL("address",'Raw Data'!D295),"\$([A-Z]+)\$[0-9]+"))</f>
        <v/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2:30" x14ac:dyDescent="0.25">
      <c r="B296" s="7"/>
      <c r="C296" s="7" t="str" cm="1">
        <f t="array" aca="1" ref="C296" ca="1">IF('Raw Data'!$C$10 = "Overall Project","",_xlfn.REGEXEXTRACT(CELL("address",'Raw Data'!C296),"\$([A-Z]+)\$[0-9]+"))</f>
        <v/>
      </c>
      <c r="D296" s="7" t="str" cm="1">
        <f t="array" aca="1" ref="D296" ca="1">IF('Raw Data'!$D$11 = "Month # 1","",_xlfn.REGEXEXTRACT(CELL("address",'Raw Data'!D296),"\$([A-Z]+)\$[0-9]+"))</f>
        <v/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2:30" x14ac:dyDescent="0.25">
      <c r="B297" s="7"/>
      <c r="C297" s="7" t="str" cm="1">
        <f t="array" aca="1" ref="C297" ca="1">IF('Raw Data'!$C$10 = "Overall Project","",_xlfn.REGEXEXTRACT(CELL("address",'Raw Data'!C297),"\$([A-Z]+)\$[0-9]+"))</f>
        <v/>
      </c>
      <c r="D297" s="7" t="str" cm="1">
        <f t="array" aca="1" ref="D297" ca="1">IF('Raw Data'!$D$11 = "Month # 1","",_xlfn.REGEXEXTRACT(CELL("address",'Raw Data'!D297),"\$([A-Z]+)\$[0-9]+"))</f>
        <v/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2:30" x14ac:dyDescent="0.25">
      <c r="B298" s="7"/>
      <c r="C298" s="7" t="str" cm="1">
        <f t="array" aca="1" ref="C298" ca="1">IF('Raw Data'!$C$10 = "Overall Project","",_xlfn.REGEXEXTRACT(CELL("address",'Raw Data'!C298),"\$([A-Z]+)\$[0-9]+"))</f>
        <v/>
      </c>
      <c r="D298" s="7" t="str" cm="1">
        <f t="array" aca="1" ref="D298" ca="1">IF('Raw Data'!$D$11 = "Month # 1","",_xlfn.REGEXEXTRACT(CELL("address",'Raw Data'!D298),"\$([A-Z]+)\$[0-9]+"))</f>
        <v/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2:30" x14ac:dyDescent="0.25">
      <c r="B299" s="7"/>
      <c r="C299" s="7" t="str" cm="1">
        <f t="array" aca="1" ref="C299" ca="1">IF('Raw Data'!$C$10 = "Overall Project","",_xlfn.REGEXEXTRACT(CELL("address",'Raw Data'!C299),"\$([A-Z]+)\$[0-9]+"))</f>
        <v/>
      </c>
      <c r="D299" s="7" t="str" cm="1">
        <f t="array" aca="1" ref="D299" ca="1">IF('Raw Data'!$D$11 = "Month # 1","",_xlfn.REGEXEXTRACT(CELL("address",'Raw Data'!D299),"\$([A-Z]+)\$[0-9]+"))</f>
        <v/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2:30" x14ac:dyDescent="0.25">
      <c r="B300" s="7"/>
      <c r="C300" s="7" t="str" cm="1">
        <f t="array" aca="1" ref="C300" ca="1">IF('Raw Data'!$C$10 = "Overall Project","",_xlfn.REGEXEXTRACT(CELL("address",'Raw Data'!C300),"\$([A-Z]+)\$[0-9]+"))</f>
        <v/>
      </c>
      <c r="D300" s="7" t="str" cm="1">
        <f t="array" aca="1" ref="D300" ca="1">IF('Raw Data'!$D$11 = "Month # 1","",_xlfn.REGEXEXTRACT(CELL("address",'Raw Data'!D300),"\$([A-Z]+)\$[0-9]+"))</f>
        <v/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B9" sqref="B9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78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 spans="1:6" x14ac:dyDescent="0.25">
      <c r="A2">
        <v>2</v>
      </c>
      <c r="B2" t="s">
        <v>76</v>
      </c>
      <c r="C2" t="s">
        <v>77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>$E$10</v>
      </c>
      <c r="F10" t="str" cm="1">
        <f t="array" aca="1" ref="F10" ca="1">IF('Raw Data'!F10="",_xlfn.REGEXEXTRACT(CELL("address",'Raw Data'!F10),"\$([A-Z]+)\$[0-9]+"),"")</f>
        <v>$F$10</v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/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/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/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/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/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/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/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/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/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/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/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/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/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/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/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/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>$E$110</v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/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/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/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/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/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/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/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/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/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/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/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/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/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/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/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/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/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/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/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/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/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/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/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/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/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/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/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/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/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/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/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/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/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/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/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/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/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/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/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/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/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/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/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/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/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/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/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/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/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/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/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/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/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/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/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/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/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/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/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/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/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/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/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/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/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/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/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/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/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/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/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/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/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/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/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/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/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/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/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/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/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/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/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/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/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/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/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/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/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/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/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/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/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/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/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/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/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/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/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/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/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/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/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/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/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/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/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/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/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/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/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/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/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/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/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/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/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/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/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/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/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/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/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/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/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/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/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/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/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/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/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/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/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/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/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/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/>
      </c>
      <c r="I250" t="str" cm="1">
        <f t="array" aca="1" ref="I250" ca="1">IF('Raw Data'!H250="",_xlfn.REGEXEXTRACT(CELL("address",'Raw Data'!H250),"\$([A-Z]+)\$[0-9]+"),"")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/>
      </c>
      <c r="I251" t="str" cm="1">
        <f t="array" aca="1" ref="I251" ca="1">IF('Raw Data'!H251="",_xlfn.REGEXEXTRACT(CELL("address",'Raw Data'!H251),"\$([A-Z]+)\$[0-9]+"),"")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/>
      </c>
      <c r="I252" t="str" cm="1">
        <f t="array" aca="1" ref="I252" ca="1">IF('Raw Data'!H252="",_xlfn.REGEXEXTRACT(CELL("address",'Raw Data'!H252),"\$([A-Z]+)\$[0-9]+"),"")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/>
      </c>
      <c r="I253" t="str" cm="1">
        <f t="array" aca="1" ref="I253" ca="1">IF('Raw Data'!H253="",_xlfn.REGEXEXTRACT(CELL("address",'Raw Data'!H253),"\$([A-Z]+)\$[0-9]+"),"")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/>
      </c>
      <c r="I254" t="str" cm="1">
        <f t="array" aca="1" ref="I254" ca="1">IF('Raw Data'!H254="",_xlfn.REGEXEXTRACT(CELL("address",'Raw Data'!H254),"\$([A-Z]+)\$[0-9]+"),"")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/>
      </c>
      <c r="I255" t="str" cm="1">
        <f t="array" aca="1" ref="I255" ca="1">IF('Raw Data'!H255="",_xlfn.REGEXEXTRACT(CELL("address",'Raw Data'!H255),"\$([A-Z]+)\$[0-9]+"),"")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/>
      </c>
      <c r="I256" t="str" cm="1">
        <f t="array" aca="1" ref="I256" ca="1">IF('Raw Data'!H256="",_xlfn.REGEXEXTRACT(CELL("address",'Raw Data'!H256),"\$([A-Z]+)\$[0-9]+"),"")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/>
      </c>
      <c r="I257" t="str" cm="1">
        <f t="array" aca="1" ref="I257" ca="1">IF('Raw Data'!H257="",_xlfn.REGEXEXTRACT(CELL("address",'Raw Data'!H257),"\$([A-Z]+)\$[0-9]+"),"")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/>
      </c>
      <c r="I258" t="str" cm="1">
        <f t="array" aca="1" ref="I258" ca="1">IF('Raw Data'!H258="",_xlfn.REGEXEXTRACT(CELL("address",'Raw Data'!H258),"\$([A-Z]+)\$[0-9]+"),"")</f>
        <v/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/>
      </c>
      <c r="I259" t="str" cm="1">
        <f t="array" aca="1" ref="I259" ca="1">IF('Raw Data'!H259="",_xlfn.REGEXEXTRACT(CELL("address",'Raw Data'!H259),"\$([A-Z]+)\$[0-9]+"),"")</f>
        <v/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3.xml><?xml version="1.0" encoding="utf-8"?>
<ds:datastoreItem xmlns:ds="http://schemas.openxmlformats.org/officeDocument/2006/customXml" ds:itemID="{60D0E9B2-0F8D-4CF1-8ED0-D7D9363FF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Validate_Empty</vt:lpstr>
      <vt:lpstr>Validate_Value</vt:lpstr>
      <vt:lpstr>Validate_Condition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