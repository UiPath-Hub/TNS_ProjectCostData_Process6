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57CF9F43-0DD4-4E07-B646-B2B9845F6E4F}" xr6:coauthVersionLast="47" xr6:coauthVersionMax="47" xr10:uidLastSave="{00000000-0000-0000-0000-000000000000}"/>
  <bookViews>
    <workbookView xWindow="-120" yWindow="-120" windowWidth="29040" windowHeight="15720" tabRatio="682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0" r:id="rId4"/>
    <sheet name="Condition" sheetId="11" r:id="rId5"/>
    <sheet name="Configuration" sheetId="9" r:id="rId6"/>
    <sheet name="Validate_Type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 a="1"/>
  <c r="B11" i="8" s="1"/>
  <c r="C11" i="8" a="1"/>
  <c r="C11" i="8" s="1"/>
  <c r="B12" i="8" a="1"/>
  <c r="B12" i="8" s="1"/>
  <c r="C12" i="8" a="1"/>
  <c r="C12" i="8" s="1"/>
  <c r="B13" i="8" a="1"/>
  <c r="B13" i="8" s="1"/>
  <c r="C13" i="8" a="1"/>
  <c r="C13" i="8" s="1"/>
  <c r="B14" i="8" a="1"/>
  <c r="B14" i="8" s="1"/>
  <c r="C14" i="8" a="1"/>
  <c r="C14" i="8" s="1"/>
  <c r="B15" i="8" a="1"/>
  <c r="B15" i="8" s="1"/>
  <c r="C15" i="8" a="1"/>
  <c r="C15" i="8" s="1"/>
  <c r="B16" i="8" a="1"/>
  <c r="B16" i="8" s="1"/>
  <c r="C16" i="8" a="1"/>
  <c r="C16" i="8" s="1"/>
  <c r="B17" i="8" a="1"/>
  <c r="B17" i="8" s="1"/>
  <c r="C17" i="8" a="1"/>
  <c r="C17" i="8" s="1"/>
  <c r="B18" i="8" a="1"/>
  <c r="B18" i="8" s="1"/>
  <c r="C18" i="8" a="1"/>
  <c r="C18" i="8" s="1"/>
  <c r="B19" i="8" a="1"/>
  <c r="B19" i="8" s="1"/>
  <c r="C19" i="8" a="1"/>
  <c r="C19" i="8" s="1"/>
  <c r="B20" i="8" a="1"/>
  <c r="B20" i="8" s="1"/>
  <c r="C20" i="8" a="1"/>
  <c r="C20" i="8" s="1"/>
  <c r="B21" i="8" a="1"/>
  <c r="B21" i="8" s="1"/>
  <c r="C21" i="8" a="1"/>
  <c r="C21" i="8" s="1"/>
  <c r="B22" i="8" a="1"/>
  <c r="B22" i="8" s="1"/>
  <c r="C22" i="8" a="1"/>
  <c r="C22" i="8" s="1"/>
  <c r="B23" i="8" a="1"/>
  <c r="B23" i="8" s="1"/>
  <c r="C23" i="8" a="1"/>
  <c r="C23" i="8" s="1"/>
  <c r="B24" i="8" a="1"/>
  <c r="B24" i="8" s="1"/>
  <c r="C24" i="8" a="1"/>
  <c r="C24" i="8" s="1"/>
  <c r="B25" i="8" a="1"/>
  <c r="B25" i="8" s="1"/>
  <c r="C25" i="8" a="1"/>
  <c r="C25" i="8" s="1"/>
  <c r="B26" i="8" a="1"/>
  <c r="B26" i="8" s="1"/>
  <c r="C26" i="8" a="1"/>
  <c r="C26" i="8" s="1"/>
  <c r="B27" i="8" a="1"/>
  <c r="B27" i="8" s="1"/>
  <c r="C27" i="8" a="1"/>
  <c r="C27" i="8" s="1"/>
  <c r="B28" i="8" a="1"/>
  <c r="B28" i="8" s="1"/>
  <c r="C28" i="8" a="1"/>
  <c r="C28" i="8" s="1"/>
  <c r="B29" i="8" a="1"/>
  <c r="B29" i="8" s="1"/>
  <c r="C29" i="8" a="1"/>
  <c r="C29" i="8" s="1"/>
  <c r="B30" i="8" a="1"/>
  <c r="B30" i="8" s="1"/>
  <c r="C30" i="8" a="1"/>
  <c r="C30" i="8" s="1"/>
  <c r="B31" i="8" a="1"/>
  <c r="B31" i="8" s="1"/>
  <c r="C31" i="8" a="1"/>
  <c r="C31" i="8" s="1"/>
  <c r="B32" i="8" a="1"/>
  <c r="B32" i="8" s="1"/>
  <c r="C32" i="8" a="1"/>
  <c r="C32" i="8" s="1"/>
  <c r="B33" i="8" a="1"/>
  <c r="B33" i="8" s="1"/>
  <c r="C33" i="8" a="1"/>
  <c r="C33" i="8" s="1"/>
  <c r="B34" i="8" a="1"/>
  <c r="B34" i="8" s="1"/>
  <c r="C34" i="8" a="1"/>
  <c r="C34" i="8" s="1"/>
  <c r="B35" i="8" a="1"/>
  <c r="B35" i="8" s="1"/>
  <c r="C35" i="8" a="1"/>
  <c r="C35" i="8" s="1"/>
  <c r="B36" i="8" a="1"/>
  <c r="B36" i="8" s="1"/>
  <c r="C36" i="8" a="1"/>
  <c r="C36" i="8" s="1"/>
  <c r="B37" i="8" a="1"/>
  <c r="B37" i="8" s="1"/>
  <c r="C37" i="8" a="1"/>
  <c r="C37" i="8" s="1"/>
  <c r="B38" i="8" a="1"/>
  <c r="B38" i="8" s="1"/>
  <c r="C38" i="8" a="1"/>
  <c r="C38" i="8" s="1"/>
  <c r="B39" i="8" a="1"/>
  <c r="B39" i="8" s="1"/>
  <c r="C39" i="8" a="1"/>
  <c r="C39" i="8" s="1"/>
  <c r="B40" i="8" a="1"/>
  <c r="B40" i="8" s="1"/>
  <c r="C40" i="8" a="1"/>
  <c r="C40" i="8" s="1"/>
  <c r="B41" i="8" a="1"/>
  <c r="B41" i="8" s="1"/>
  <c r="C41" i="8" a="1"/>
  <c r="C41" i="8" s="1"/>
  <c r="B42" i="8" a="1"/>
  <c r="B42" i="8" s="1"/>
  <c r="C42" i="8" a="1"/>
  <c r="C42" i="8" s="1"/>
  <c r="B43" i="8" a="1"/>
  <c r="B43" i="8" s="1"/>
  <c r="C43" i="8" a="1"/>
  <c r="C43" i="8" s="1"/>
  <c r="B44" i="8" a="1"/>
  <c r="B44" i="8" s="1"/>
  <c r="C44" i="8" a="1"/>
  <c r="C44" i="8" s="1"/>
  <c r="B45" i="8" a="1"/>
  <c r="B45" i="8" s="1"/>
  <c r="C45" i="8" a="1"/>
  <c r="C45" i="8" s="1"/>
  <c r="B46" i="8" a="1"/>
  <c r="B46" i="8" s="1"/>
  <c r="C46" i="8" a="1"/>
  <c r="C46" i="8" s="1"/>
  <c r="B47" i="8" a="1"/>
  <c r="B47" i="8" s="1"/>
  <c r="C47" i="8" a="1"/>
  <c r="C47" i="8" s="1"/>
  <c r="B48" i="8" a="1"/>
  <c r="B48" i="8" s="1"/>
  <c r="C48" i="8" a="1"/>
  <c r="C48" i="8" s="1"/>
  <c r="B49" i="8" a="1"/>
  <c r="B49" i="8" s="1"/>
  <c r="C49" i="8" a="1"/>
  <c r="C49" i="8" s="1"/>
  <c r="B50" i="8" a="1"/>
  <c r="B50" i="8" s="1"/>
  <c r="C50" i="8" a="1"/>
  <c r="C50" i="8" s="1"/>
  <c r="B51" i="8" a="1"/>
  <c r="B51" i="8" s="1"/>
  <c r="C51" i="8" a="1"/>
  <c r="C51" i="8" s="1"/>
  <c r="B52" i="8" a="1"/>
  <c r="B52" i="8" s="1"/>
  <c r="C52" i="8" a="1"/>
  <c r="C52" i="8" s="1"/>
  <c r="B53" i="8" a="1"/>
  <c r="B53" i="8" s="1"/>
  <c r="C53" i="8" a="1"/>
  <c r="C53" i="8" s="1"/>
  <c r="B54" i="8" a="1"/>
  <c r="B54" i="8" s="1"/>
  <c r="C54" i="8" a="1"/>
  <c r="C54" i="8" s="1"/>
  <c r="B55" i="8" a="1"/>
  <c r="B55" i="8" s="1"/>
  <c r="C55" i="8" a="1"/>
  <c r="C55" i="8" s="1"/>
  <c r="B56" i="8" a="1"/>
  <c r="B56" i="8" s="1"/>
  <c r="C56" i="8" a="1"/>
  <c r="C56" i="8" s="1"/>
  <c r="B57" i="8" a="1"/>
  <c r="B57" i="8" s="1"/>
  <c r="C57" i="8" a="1"/>
  <c r="C57" i="8" s="1"/>
  <c r="B58" i="8" a="1"/>
  <c r="B58" i="8" s="1"/>
  <c r="C58" i="8" a="1"/>
  <c r="C58" i="8" s="1"/>
  <c r="B59" i="8" a="1"/>
  <c r="B59" i="8" s="1"/>
  <c r="C59" i="8" a="1"/>
  <c r="C59" i="8" s="1"/>
  <c r="B60" i="8" a="1"/>
  <c r="B60" i="8" s="1"/>
  <c r="C60" i="8" a="1"/>
  <c r="C60" i="8" s="1"/>
  <c r="B61" i="8" a="1"/>
  <c r="B61" i="8" s="1"/>
  <c r="C61" i="8" a="1"/>
  <c r="C61" i="8" s="1"/>
  <c r="B62" i="8" a="1"/>
  <c r="B62" i="8" s="1"/>
  <c r="C62" i="8" a="1"/>
  <c r="C62" i="8" s="1"/>
  <c r="B63" i="8" a="1"/>
  <c r="B63" i="8" s="1"/>
  <c r="C63" i="8" a="1"/>
  <c r="C63" i="8" s="1"/>
  <c r="B64" i="8" a="1"/>
  <c r="B64" i="8" s="1"/>
  <c r="C64" i="8" a="1"/>
  <c r="C64" i="8" s="1"/>
  <c r="B65" i="8" a="1"/>
  <c r="B65" i="8" s="1"/>
  <c r="C65" i="8" a="1"/>
  <c r="C65" i="8" s="1"/>
  <c r="B66" i="8" a="1"/>
  <c r="B66" i="8" s="1"/>
  <c r="C66" i="8" a="1"/>
  <c r="C66" i="8" s="1"/>
  <c r="B67" i="8" a="1"/>
  <c r="B67" i="8" s="1"/>
  <c r="C67" i="8" a="1"/>
  <c r="C67" i="8" s="1"/>
  <c r="B68" i="8" a="1"/>
  <c r="B68" i="8" s="1"/>
  <c r="C68" i="8" a="1"/>
  <c r="C68" i="8" s="1"/>
  <c r="B69" i="8" a="1"/>
  <c r="B69" i="8" s="1"/>
  <c r="C69" i="8" a="1"/>
  <c r="C69" i="8" s="1"/>
  <c r="B70" i="8" a="1"/>
  <c r="B70" i="8" s="1"/>
  <c r="C70" i="8" a="1"/>
  <c r="C70" i="8" s="1"/>
  <c r="B71" i="8" a="1"/>
  <c r="B71" i="8" s="1"/>
  <c r="C71" i="8" a="1"/>
  <c r="C71" i="8" s="1"/>
  <c r="B72" i="8" a="1"/>
  <c r="B72" i="8" s="1"/>
  <c r="C72" i="8" a="1"/>
  <c r="C72" i="8" s="1"/>
  <c r="B73" i="8" a="1"/>
  <c r="B73" i="8" s="1"/>
  <c r="C73" i="8" a="1"/>
  <c r="C73" i="8" s="1"/>
  <c r="B74" i="8" a="1"/>
  <c r="B74" i="8" s="1"/>
  <c r="C74" i="8" a="1"/>
  <c r="C74" i="8" s="1"/>
  <c r="B75" i="8" a="1"/>
  <c r="B75" i="8" s="1"/>
  <c r="C75" i="8" a="1"/>
  <c r="C75" i="8" s="1"/>
  <c r="B76" i="8" a="1"/>
  <c r="B76" i="8" s="1"/>
  <c r="C76" i="8" a="1"/>
  <c r="C76" i="8" s="1"/>
  <c r="B77" i="8" a="1"/>
  <c r="B77" i="8" s="1"/>
  <c r="C77" i="8" a="1"/>
  <c r="C77" i="8" s="1"/>
  <c r="B78" i="8" a="1"/>
  <c r="B78" i="8" s="1"/>
  <c r="C78" i="8" a="1"/>
  <c r="C78" i="8" s="1"/>
  <c r="B79" i="8" a="1"/>
  <c r="B79" i="8" s="1"/>
  <c r="C79" i="8" a="1"/>
  <c r="C79" i="8" s="1"/>
  <c r="B80" i="8" a="1"/>
  <c r="B80" i="8" s="1"/>
  <c r="C80" i="8" a="1"/>
  <c r="C80" i="8" s="1"/>
  <c r="B81" i="8" a="1"/>
  <c r="B81" i="8" s="1"/>
  <c r="C81" i="8" a="1"/>
  <c r="C81" i="8" s="1"/>
  <c r="B82" i="8" a="1"/>
  <c r="B82" i="8" s="1"/>
  <c r="C82" i="8" a="1"/>
  <c r="C82" i="8" s="1"/>
  <c r="B83" i="8" a="1"/>
  <c r="B83" i="8" s="1"/>
  <c r="C83" i="8" a="1"/>
  <c r="C83" i="8" s="1"/>
  <c r="B84" i="8" a="1"/>
  <c r="B84" i="8" s="1"/>
  <c r="C84" i="8" a="1"/>
  <c r="C84" i="8" s="1"/>
  <c r="B85" i="8" a="1"/>
  <c r="B85" i="8" s="1"/>
  <c r="C85" i="8" a="1"/>
  <c r="C85" i="8" s="1"/>
  <c r="B86" i="8" a="1"/>
  <c r="B86" i="8" s="1"/>
  <c r="C86" i="8" a="1"/>
  <c r="C86" i="8" s="1"/>
  <c r="B87" i="8" a="1"/>
  <c r="B87" i="8" s="1"/>
  <c r="C87" i="8" a="1"/>
  <c r="C87" i="8" s="1"/>
  <c r="B88" i="8" a="1"/>
  <c r="B88" i="8" s="1"/>
  <c r="C88" i="8" a="1"/>
  <c r="C88" i="8" s="1"/>
  <c r="B89" i="8" a="1"/>
  <c r="B89" i="8" s="1"/>
  <c r="C89" i="8" a="1"/>
  <c r="C89" i="8" s="1"/>
  <c r="B90" i="8" a="1"/>
  <c r="B90" i="8" s="1"/>
  <c r="C90" i="8" a="1"/>
  <c r="C90" i="8" s="1"/>
  <c r="B91" i="8" a="1"/>
  <c r="B91" i="8" s="1"/>
  <c r="C91" i="8" a="1"/>
  <c r="C91" i="8" s="1"/>
  <c r="B92" i="8" a="1"/>
  <c r="B92" i="8" s="1"/>
  <c r="C92" i="8" a="1"/>
  <c r="C92" i="8" s="1"/>
  <c r="B93" i="8" a="1"/>
  <c r="B93" i="8" s="1"/>
  <c r="C93" i="8" a="1"/>
  <c r="C93" i="8" s="1"/>
  <c r="B94" i="8" a="1"/>
  <c r="B94" i="8" s="1"/>
  <c r="C94" i="8" a="1"/>
  <c r="C94" i="8" s="1"/>
  <c r="B95" i="8" a="1"/>
  <c r="B95" i="8" s="1"/>
  <c r="C95" i="8" a="1"/>
  <c r="C95" i="8" s="1"/>
  <c r="B96" i="8" a="1"/>
  <c r="B96" i="8" s="1"/>
  <c r="C96" i="8" a="1"/>
  <c r="C96" i="8" s="1"/>
  <c r="B97" i="8" a="1"/>
  <c r="B97" i="8" s="1"/>
  <c r="C97" i="8" a="1"/>
  <c r="C97" i="8" s="1"/>
  <c r="B98" i="8" a="1"/>
  <c r="B98" i="8" s="1"/>
  <c r="C98" i="8" a="1"/>
  <c r="C98" i="8" s="1"/>
  <c r="B99" i="8" a="1"/>
  <c r="B99" i="8" s="1"/>
  <c r="C99" i="8" a="1"/>
  <c r="C99" i="8" s="1"/>
  <c r="B100" i="8" a="1"/>
  <c r="B100" i="8" s="1"/>
  <c r="C100" i="8" a="1"/>
  <c r="C100" i="8" s="1"/>
  <c r="B101" i="8" a="1"/>
  <c r="B101" i="8" s="1"/>
  <c r="C101" i="8" a="1"/>
  <c r="C101" i="8" s="1"/>
  <c r="B102" i="8" a="1"/>
  <c r="B102" i="8" s="1"/>
  <c r="C102" i="8" a="1"/>
  <c r="C102" i="8" s="1"/>
  <c r="B103" i="8" a="1"/>
  <c r="B103" i="8" s="1"/>
  <c r="C103" i="8" a="1"/>
  <c r="C103" i="8" s="1"/>
  <c r="B104" i="8" a="1"/>
  <c r="B104" i="8" s="1"/>
  <c r="C104" i="8" a="1"/>
  <c r="C104" i="8" s="1"/>
  <c r="B105" i="8" a="1"/>
  <c r="B105" i="8" s="1"/>
  <c r="C105" i="8" a="1"/>
  <c r="C105" i="8" s="1"/>
  <c r="B106" i="8" a="1"/>
  <c r="B106" i="8" s="1"/>
  <c r="C106" i="8" a="1"/>
  <c r="C106" i="8" s="1"/>
  <c r="B107" i="8" a="1"/>
  <c r="B107" i="8" s="1"/>
  <c r="C107" i="8" a="1"/>
  <c r="C107" i="8" s="1"/>
  <c r="B108" i="8" a="1"/>
  <c r="B108" i="8" s="1"/>
  <c r="C108" i="8" a="1"/>
  <c r="C108" i="8" s="1"/>
  <c r="B109" i="8" a="1"/>
  <c r="B109" i="8" s="1"/>
  <c r="C109" i="8" a="1"/>
  <c r="C109" i="8" s="1"/>
  <c r="B110" i="8" a="1"/>
  <c r="B110" i="8" s="1"/>
  <c r="C110" i="8" a="1"/>
  <c r="C110" i="8" s="1"/>
  <c r="B111" i="8" a="1"/>
  <c r="B111" i="8" s="1"/>
  <c r="C111" i="8" a="1"/>
  <c r="C111" i="8" s="1"/>
  <c r="B112" i="8" a="1"/>
  <c r="B112" i="8" s="1"/>
  <c r="C112" i="8" a="1"/>
  <c r="C112" i="8" s="1"/>
  <c r="B113" i="8" a="1"/>
  <c r="B113" i="8" s="1"/>
  <c r="C113" i="8" a="1"/>
  <c r="C113" i="8" s="1"/>
  <c r="B114" i="8" a="1"/>
  <c r="B114" i="8" s="1"/>
  <c r="C114" i="8" a="1"/>
  <c r="C114" i="8" s="1"/>
  <c r="B115" i="8" a="1"/>
  <c r="B115" i="8" s="1"/>
  <c r="C115" i="8" a="1"/>
  <c r="C115" i="8" s="1"/>
  <c r="B116" i="8" a="1"/>
  <c r="B116" i="8" s="1"/>
  <c r="C116" i="8" a="1"/>
  <c r="C116" i="8" s="1"/>
  <c r="B117" i="8" a="1"/>
  <c r="B117" i="8" s="1"/>
  <c r="C117" i="8" a="1"/>
  <c r="C117" i="8" s="1"/>
  <c r="B118" i="8" a="1"/>
  <c r="B118" i="8" s="1"/>
  <c r="C118" i="8" a="1"/>
  <c r="C118" i="8" s="1"/>
  <c r="B119" i="8" a="1"/>
  <c r="B119" i="8" s="1"/>
  <c r="C119" i="8" a="1"/>
  <c r="C119" i="8" s="1"/>
  <c r="B120" i="8" a="1"/>
  <c r="B120" i="8" s="1"/>
  <c r="C120" i="8" a="1"/>
  <c r="C120" i="8" s="1"/>
  <c r="B121" i="8" a="1"/>
  <c r="B121" i="8" s="1"/>
  <c r="C121" i="8" a="1"/>
  <c r="C121" i="8" s="1"/>
  <c r="B122" i="8" a="1"/>
  <c r="B122" i="8" s="1"/>
  <c r="C122" i="8" a="1"/>
  <c r="C122" i="8" s="1"/>
  <c r="B123" i="8" a="1"/>
  <c r="B123" i="8" s="1"/>
  <c r="C123" i="8" a="1"/>
  <c r="C123" i="8" s="1"/>
  <c r="B124" i="8" a="1"/>
  <c r="B124" i="8" s="1"/>
  <c r="C124" i="8" a="1"/>
  <c r="C124" i="8" s="1"/>
  <c r="B125" i="8" a="1"/>
  <c r="B125" i="8" s="1"/>
  <c r="C125" i="8" a="1"/>
  <c r="C125" i="8" s="1"/>
  <c r="B126" i="8" a="1"/>
  <c r="B126" i="8" s="1"/>
  <c r="C126" i="8" a="1"/>
  <c r="C126" i="8" s="1"/>
  <c r="B127" i="8" a="1"/>
  <c r="B127" i="8" s="1"/>
  <c r="C127" i="8" a="1"/>
  <c r="C127" i="8" s="1"/>
  <c r="B128" i="8" a="1"/>
  <c r="B128" i="8" s="1"/>
  <c r="C128" i="8" a="1"/>
  <c r="C128" i="8" s="1"/>
  <c r="B129" i="8" a="1"/>
  <c r="B129" i="8" s="1"/>
  <c r="C129" i="8" a="1"/>
  <c r="C129" i="8" s="1"/>
  <c r="B130" i="8" a="1"/>
  <c r="B130" i="8" s="1"/>
  <c r="C130" i="8" a="1"/>
  <c r="C130" i="8" s="1"/>
  <c r="B131" i="8" a="1"/>
  <c r="B131" i="8" s="1"/>
  <c r="C131" i="8" a="1"/>
  <c r="C131" i="8" s="1"/>
  <c r="B132" i="8" a="1"/>
  <c r="B132" i="8" s="1"/>
  <c r="C132" i="8" a="1"/>
  <c r="C132" i="8" s="1"/>
  <c r="B133" i="8" a="1"/>
  <c r="B133" i="8" s="1"/>
  <c r="C133" i="8" a="1"/>
  <c r="C133" i="8" s="1"/>
  <c r="B134" i="8" a="1"/>
  <c r="B134" i="8" s="1"/>
  <c r="C134" i="8" a="1"/>
  <c r="C134" i="8" s="1"/>
  <c r="B135" i="8" a="1"/>
  <c r="B135" i="8" s="1"/>
  <c r="C135" i="8" a="1"/>
  <c r="C135" i="8" s="1"/>
  <c r="B136" i="8" a="1"/>
  <c r="B136" i="8" s="1"/>
  <c r="C136" i="8" a="1"/>
  <c r="C136" i="8" s="1"/>
  <c r="B137" i="8" a="1"/>
  <c r="B137" i="8" s="1"/>
  <c r="C137" i="8" a="1"/>
  <c r="C137" i="8" s="1"/>
  <c r="B138" i="8" a="1"/>
  <c r="B138" i="8" s="1"/>
  <c r="C138" i="8" a="1"/>
  <c r="C138" i="8" s="1"/>
  <c r="B139" i="8" a="1"/>
  <c r="B139" i="8" s="1"/>
  <c r="C139" i="8" a="1"/>
  <c r="C139" i="8" s="1"/>
  <c r="B140" i="8" a="1"/>
  <c r="B140" i="8" s="1"/>
  <c r="C140" i="8" a="1"/>
  <c r="C140" i="8" s="1"/>
  <c r="B141" i="8" a="1"/>
  <c r="B141" i="8" s="1"/>
  <c r="C141" i="8" a="1"/>
  <c r="C141" i="8" s="1"/>
  <c r="B142" i="8" a="1"/>
  <c r="B142" i="8" s="1"/>
  <c r="C142" i="8" a="1"/>
  <c r="C142" i="8" s="1"/>
  <c r="B143" i="8" a="1"/>
  <c r="B143" i="8" s="1"/>
  <c r="C143" i="8" a="1"/>
  <c r="C143" i="8" s="1"/>
  <c r="B144" i="8" a="1"/>
  <c r="B144" i="8" s="1"/>
  <c r="C144" i="8" a="1"/>
  <c r="C144" i="8" s="1"/>
  <c r="B145" i="8" a="1"/>
  <c r="B145" i="8" s="1"/>
  <c r="C145" i="8" a="1"/>
  <c r="C145" i="8" s="1"/>
  <c r="B146" i="8" a="1"/>
  <c r="B146" i="8" s="1"/>
  <c r="C146" i="8" a="1"/>
  <c r="C146" i="8" s="1"/>
  <c r="B147" i="8" a="1"/>
  <c r="B147" i="8" s="1"/>
  <c r="C147" i="8" a="1"/>
  <c r="C147" i="8" s="1"/>
  <c r="B148" i="8" a="1"/>
  <c r="B148" i="8" s="1"/>
  <c r="C148" i="8" a="1"/>
  <c r="C148" i="8" s="1"/>
  <c r="B149" i="8" a="1"/>
  <c r="B149" i="8" s="1"/>
  <c r="C149" i="8" a="1"/>
  <c r="C149" i="8" s="1"/>
  <c r="B150" i="8" a="1"/>
  <c r="B150" i="8" s="1"/>
  <c r="C150" i="8" a="1"/>
  <c r="C150" i="8" s="1"/>
  <c r="B151" i="8" a="1"/>
  <c r="B151" i="8" s="1"/>
  <c r="C151" i="8" a="1"/>
  <c r="C151" i="8" s="1"/>
  <c r="B152" i="8" a="1"/>
  <c r="B152" i="8" s="1"/>
  <c r="C152" i="8" a="1"/>
  <c r="C152" i="8" s="1"/>
  <c r="B153" i="8" a="1"/>
  <c r="B153" i="8" s="1"/>
  <c r="C153" i="8" a="1"/>
  <c r="C153" i="8" s="1"/>
  <c r="B154" i="8" a="1"/>
  <c r="B154" i="8" s="1"/>
  <c r="C154" i="8" a="1"/>
  <c r="C154" i="8" s="1"/>
  <c r="B155" i="8" a="1"/>
  <c r="B155" i="8" s="1"/>
  <c r="C155" i="8" a="1"/>
  <c r="C155" i="8" s="1"/>
  <c r="B156" i="8" a="1"/>
  <c r="B156" i="8" s="1"/>
  <c r="C156" i="8" a="1"/>
  <c r="C156" i="8" s="1"/>
  <c r="B157" i="8" a="1"/>
  <c r="B157" i="8" s="1"/>
  <c r="C157" i="8" a="1"/>
  <c r="C157" i="8" s="1"/>
  <c r="B158" i="8" a="1"/>
  <c r="B158" i="8" s="1"/>
  <c r="C158" i="8" a="1"/>
  <c r="C158" i="8" s="1"/>
  <c r="B159" i="8" a="1"/>
  <c r="B159" i="8" s="1"/>
  <c r="C159" i="8" a="1"/>
  <c r="C159" i="8" s="1"/>
  <c r="B160" i="8" a="1"/>
  <c r="B160" i="8" s="1"/>
  <c r="C160" i="8" a="1"/>
  <c r="C160" i="8" s="1"/>
  <c r="B161" i="8" a="1"/>
  <c r="B161" i="8" s="1"/>
  <c r="C161" i="8" a="1"/>
  <c r="C161" i="8" s="1"/>
  <c r="B162" i="8" a="1"/>
  <c r="B162" i="8" s="1"/>
  <c r="C162" i="8" a="1"/>
  <c r="C162" i="8" s="1"/>
  <c r="B163" i="8" a="1"/>
  <c r="B163" i="8" s="1"/>
  <c r="C163" i="8" a="1"/>
  <c r="C163" i="8" s="1"/>
  <c r="B164" i="8" a="1"/>
  <c r="B164" i="8" s="1"/>
  <c r="C164" i="8" a="1"/>
  <c r="C164" i="8" s="1"/>
  <c r="B165" i="8" a="1"/>
  <c r="B165" i="8" s="1"/>
  <c r="C165" i="8" a="1"/>
  <c r="C165" i="8" s="1"/>
  <c r="B166" i="8" a="1"/>
  <c r="B166" i="8" s="1"/>
  <c r="C166" i="8" a="1"/>
  <c r="C166" i="8" s="1"/>
  <c r="B167" i="8" a="1"/>
  <c r="B167" i="8" s="1"/>
  <c r="C167" i="8" a="1"/>
  <c r="C167" i="8" s="1"/>
  <c r="B168" i="8" a="1"/>
  <c r="B168" i="8" s="1"/>
  <c r="C168" i="8" a="1"/>
  <c r="C168" i="8" s="1"/>
  <c r="B169" i="8" a="1"/>
  <c r="B169" i="8" s="1"/>
  <c r="C169" i="8" a="1"/>
  <c r="C169" i="8" s="1"/>
  <c r="B170" i="8" a="1"/>
  <c r="B170" i="8" s="1"/>
  <c r="C170" i="8" a="1"/>
  <c r="C170" i="8" s="1"/>
  <c r="B171" i="8" a="1"/>
  <c r="B171" i="8" s="1"/>
  <c r="C171" i="8" a="1"/>
  <c r="C171" i="8" s="1"/>
  <c r="B172" i="8" a="1"/>
  <c r="B172" i="8" s="1"/>
  <c r="C172" i="8" a="1"/>
  <c r="C172" i="8" s="1"/>
  <c r="B173" i="8" a="1"/>
  <c r="B173" i="8" s="1"/>
  <c r="C173" i="8" a="1"/>
  <c r="C173" i="8" s="1"/>
  <c r="B174" i="8" a="1"/>
  <c r="B174" i="8" s="1"/>
  <c r="C174" i="8" a="1"/>
  <c r="C174" i="8" s="1"/>
  <c r="B175" i="8" a="1"/>
  <c r="B175" i="8" s="1"/>
  <c r="C175" i="8" a="1"/>
  <c r="C175" i="8" s="1"/>
  <c r="B176" i="8" a="1"/>
  <c r="B176" i="8" s="1"/>
  <c r="C176" i="8" a="1"/>
  <c r="C176" i="8" s="1"/>
  <c r="B177" i="8" a="1"/>
  <c r="B177" i="8" s="1"/>
  <c r="C177" i="8" a="1"/>
  <c r="C177" i="8" s="1"/>
  <c r="B178" i="8" a="1"/>
  <c r="B178" i="8" s="1"/>
  <c r="C178" i="8" a="1"/>
  <c r="C178" i="8" s="1"/>
  <c r="B179" i="8" a="1"/>
  <c r="B179" i="8" s="1"/>
  <c r="C179" i="8" a="1"/>
  <c r="C179" i="8" s="1"/>
  <c r="B180" i="8" a="1"/>
  <c r="B180" i="8" s="1"/>
  <c r="C180" i="8" a="1"/>
  <c r="C180" i="8" s="1"/>
  <c r="B181" i="8" a="1"/>
  <c r="B181" i="8" s="1"/>
  <c r="C181" i="8" a="1"/>
  <c r="C181" i="8" s="1"/>
  <c r="B182" i="8" a="1"/>
  <c r="B182" i="8" s="1"/>
  <c r="C182" i="8" a="1"/>
  <c r="C182" i="8" s="1"/>
  <c r="B183" i="8" a="1"/>
  <c r="B183" i="8" s="1"/>
  <c r="C183" i="8" a="1"/>
  <c r="C183" i="8" s="1"/>
  <c r="B184" i="8" a="1"/>
  <c r="B184" i="8" s="1"/>
  <c r="C184" i="8" a="1"/>
  <c r="C184" i="8" s="1"/>
  <c r="B185" i="8" a="1"/>
  <c r="B185" i="8" s="1"/>
  <c r="C185" i="8" a="1"/>
  <c r="C185" i="8" s="1"/>
  <c r="B186" i="8" a="1"/>
  <c r="B186" i="8" s="1"/>
  <c r="C186" i="8" a="1"/>
  <c r="C186" i="8" s="1"/>
  <c r="B187" i="8" a="1"/>
  <c r="B187" i="8" s="1"/>
  <c r="C187" i="8" a="1"/>
  <c r="C187" i="8" s="1"/>
  <c r="B188" i="8" a="1"/>
  <c r="B188" i="8" s="1"/>
  <c r="C188" i="8" a="1"/>
  <c r="C188" i="8" s="1"/>
  <c r="B189" i="8" a="1"/>
  <c r="B189" i="8" s="1"/>
  <c r="C189" i="8" a="1"/>
  <c r="C189" i="8" s="1"/>
  <c r="B190" i="8" a="1"/>
  <c r="B190" i="8" s="1"/>
  <c r="C190" i="8" a="1"/>
  <c r="C190" i="8" s="1"/>
  <c r="B191" i="8" a="1"/>
  <c r="B191" i="8" s="1"/>
  <c r="C191" i="8" a="1"/>
  <c r="C191" i="8" s="1"/>
  <c r="B192" i="8" a="1"/>
  <c r="B192" i="8" s="1"/>
  <c r="C192" i="8" a="1"/>
  <c r="C192" i="8" s="1"/>
  <c r="B193" i="8" a="1"/>
  <c r="B193" i="8" s="1"/>
  <c r="C193" i="8" a="1"/>
  <c r="C193" i="8" s="1"/>
  <c r="B194" i="8" a="1"/>
  <c r="B194" i="8" s="1"/>
  <c r="C194" i="8" a="1"/>
  <c r="C194" i="8" s="1"/>
  <c r="B195" i="8" a="1"/>
  <c r="B195" i="8" s="1"/>
  <c r="C195" i="8" a="1"/>
  <c r="C195" i="8" s="1"/>
  <c r="B196" i="8" a="1"/>
  <c r="B196" i="8" s="1"/>
  <c r="C196" i="8" a="1"/>
  <c r="C196" i="8" s="1"/>
  <c r="B197" i="8" a="1"/>
  <c r="B197" i="8" s="1"/>
  <c r="C197" i="8" a="1"/>
  <c r="C197" i="8" s="1"/>
  <c r="B198" i="8" a="1"/>
  <c r="B198" i="8" s="1"/>
  <c r="C198" i="8" a="1"/>
  <c r="C198" i="8" s="1"/>
  <c r="B199" i="8" a="1"/>
  <c r="B199" i="8" s="1"/>
  <c r="C199" i="8" a="1"/>
  <c r="C199" i="8" s="1"/>
  <c r="B200" i="8" a="1"/>
  <c r="B200" i="8" s="1"/>
  <c r="C200" i="8" a="1"/>
  <c r="C200" i="8" s="1"/>
  <c r="B201" i="8" a="1"/>
  <c r="B201" i="8" s="1"/>
  <c r="C201" i="8" a="1"/>
  <c r="C201" i="8" s="1"/>
  <c r="B202" i="8" a="1"/>
  <c r="B202" i="8" s="1"/>
  <c r="C202" i="8" a="1"/>
  <c r="C202" i="8" s="1"/>
  <c r="B203" i="8" a="1"/>
  <c r="B203" i="8" s="1"/>
  <c r="C203" i="8" a="1"/>
  <c r="C203" i="8" s="1"/>
  <c r="B204" i="8" a="1"/>
  <c r="B204" i="8" s="1"/>
  <c r="C204" i="8" a="1"/>
  <c r="C204" i="8" s="1"/>
  <c r="B205" i="8" a="1"/>
  <c r="B205" i="8" s="1"/>
  <c r="C205" i="8" a="1"/>
  <c r="C205" i="8" s="1"/>
  <c r="B206" i="8" a="1"/>
  <c r="B206" i="8" s="1"/>
  <c r="C206" i="8" a="1"/>
  <c r="C206" i="8" s="1"/>
  <c r="B207" i="8" a="1"/>
  <c r="B207" i="8" s="1"/>
  <c r="C207" i="8" a="1"/>
  <c r="C207" i="8" s="1"/>
  <c r="B208" i="8" a="1"/>
  <c r="B208" i="8" s="1"/>
  <c r="C208" i="8" a="1"/>
  <c r="C208" i="8" s="1"/>
  <c r="B209" i="8" a="1"/>
  <c r="B209" i="8" s="1"/>
  <c r="C209" i="8" a="1"/>
  <c r="C209" i="8" s="1"/>
  <c r="B210" i="8" a="1"/>
  <c r="B210" i="8" s="1"/>
  <c r="C210" i="8" a="1"/>
  <c r="C210" i="8" s="1"/>
  <c r="B211" i="8" a="1"/>
  <c r="B211" i="8" s="1"/>
  <c r="C211" i="8" a="1"/>
  <c r="C211" i="8" s="1"/>
  <c r="B212" i="8" a="1"/>
  <c r="B212" i="8" s="1"/>
  <c r="C212" i="8" a="1"/>
  <c r="C212" i="8" s="1"/>
  <c r="B213" i="8" a="1"/>
  <c r="B213" i="8" s="1"/>
  <c r="C213" i="8" a="1"/>
  <c r="C213" i="8" s="1"/>
  <c r="B214" i="8" a="1"/>
  <c r="B214" i="8" s="1"/>
  <c r="C214" i="8" a="1"/>
  <c r="C214" i="8" s="1"/>
  <c r="B215" i="8" a="1"/>
  <c r="B215" i="8" s="1"/>
  <c r="C215" i="8" a="1"/>
  <c r="C215" i="8" s="1"/>
  <c r="B216" i="8" a="1"/>
  <c r="B216" i="8" s="1"/>
  <c r="C216" i="8" a="1"/>
  <c r="C216" i="8" s="1"/>
  <c r="B217" i="8" a="1"/>
  <c r="B217" i="8" s="1"/>
  <c r="C217" i="8" a="1"/>
  <c r="C217" i="8" s="1"/>
  <c r="B218" i="8" a="1"/>
  <c r="B218" i="8" s="1"/>
  <c r="C218" i="8" a="1"/>
  <c r="C218" i="8" s="1"/>
  <c r="B219" i="8" a="1"/>
  <c r="B219" i="8" s="1"/>
  <c r="C219" i="8" a="1"/>
  <c r="C219" i="8" s="1"/>
  <c r="B220" i="8" a="1"/>
  <c r="B220" i="8" s="1"/>
  <c r="C220" i="8" a="1"/>
  <c r="C220" i="8" s="1"/>
  <c r="B221" i="8" a="1"/>
  <c r="B221" i="8" s="1"/>
  <c r="C221" i="8" a="1"/>
  <c r="C221" i="8" s="1"/>
  <c r="B222" i="8" a="1"/>
  <c r="B222" i="8" s="1"/>
  <c r="C222" i="8" a="1"/>
  <c r="C222" i="8" s="1"/>
  <c r="B223" i="8" a="1"/>
  <c r="B223" i="8" s="1"/>
  <c r="C223" i="8" a="1"/>
  <c r="C223" i="8" s="1"/>
  <c r="B224" i="8" a="1"/>
  <c r="B224" i="8" s="1"/>
  <c r="C224" i="8" a="1"/>
  <c r="C224" i="8" s="1"/>
  <c r="B225" i="8" a="1"/>
  <c r="B225" i="8" s="1"/>
  <c r="C225" i="8" a="1"/>
  <c r="C225" i="8" s="1"/>
  <c r="B226" i="8" a="1"/>
  <c r="B226" i="8" s="1"/>
  <c r="C226" i="8" a="1"/>
  <c r="C226" i="8" s="1"/>
  <c r="B227" i="8" a="1"/>
  <c r="B227" i="8" s="1"/>
  <c r="C227" i="8" a="1"/>
  <c r="C227" i="8" s="1"/>
  <c r="B228" i="8" a="1"/>
  <c r="B228" i="8" s="1"/>
  <c r="C228" i="8" a="1"/>
  <c r="C228" i="8" s="1"/>
  <c r="B229" i="8" a="1"/>
  <c r="B229" i="8" s="1"/>
  <c r="C229" i="8" a="1"/>
  <c r="C229" i="8" s="1"/>
  <c r="B230" i="8" a="1"/>
  <c r="B230" i="8" s="1"/>
  <c r="C230" i="8" a="1"/>
  <c r="C230" i="8" s="1"/>
  <c r="B231" i="8" a="1"/>
  <c r="B231" i="8" s="1"/>
  <c r="C231" i="8" a="1"/>
  <c r="C231" i="8" s="1"/>
  <c r="B232" i="8" a="1"/>
  <c r="B232" i="8" s="1"/>
  <c r="C232" i="8" a="1"/>
  <c r="C232" i="8" s="1"/>
  <c r="B233" i="8" a="1"/>
  <c r="B233" i="8" s="1"/>
  <c r="C233" i="8" a="1"/>
  <c r="C233" i="8" s="1"/>
  <c r="B234" i="8" a="1"/>
  <c r="B234" i="8" s="1"/>
  <c r="C234" i="8" a="1"/>
  <c r="C234" i="8" s="1"/>
  <c r="B235" i="8" a="1"/>
  <c r="B235" i="8" s="1"/>
  <c r="C235" i="8" a="1"/>
  <c r="C235" i="8" s="1"/>
  <c r="B236" i="8" a="1"/>
  <c r="B236" i="8" s="1"/>
  <c r="C236" i="8" a="1"/>
  <c r="C236" i="8" s="1"/>
  <c r="B237" i="8" a="1"/>
  <c r="B237" i="8" s="1"/>
  <c r="C237" i="8" a="1"/>
  <c r="C237" i="8" s="1"/>
  <c r="B238" i="8" a="1"/>
  <c r="B238" i="8" s="1"/>
  <c r="C238" i="8" a="1"/>
  <c r="C238" i="8" s="1"/>
  <c r="B239" i="8" a="1"/>
  <c r="B239" i="8" s="1"/>
  <c r="C239" i="8" a="1"/>
  <c r="C239" i="8" s="1"/>
  <c r="B240" i="8" a="1"/>
  <c r="B240" i="8" s="1"/>
  <c r="C240" i="8" a="1"/>
  <c r="C240" i="8" s="1"/>
  <c r="B241" i="8" a="1"/>
  <c r="B241" i="8" s="1"/>
  <c r="C241" i="8" a="1"/>
  <c r="C241" i="8" s="1"/>
  <c r="B242" i="8" a="1"/>
  <c r="B242" i="8" s="1"/>
  <c r="C242" i="8" a="1"/>
  <c r="C242" i="8" s="1"/>
  <c r="B243" i="8" a="1"/>
  <c r="B243" i="8" s="1"/>
  <c r="C243" i="8" a="1"/>
  <c r="C243" i="8" s="1"/>
  <c r="B244" i="8" a="1"/>
  <c r="B244" i="8" s="1"/>
  <c r="C244" i="8" a="1"/>
  <c r="C244" i="8" s="1"/>
  <c r="B245" i="8" a="1"/>
  <c r="B245" i="8" s="1"/>
  <c r="C245" i="8" a="1"/>
  <c r="C245" i="8" s="1"/>
  <c r="B246" i="8" a="1"/>
  <c r="B246" i="8" s="1"/>
  <c r="C246" i="8" a="1"/>
  <c r="C246" i="8" s="1"/>
  <c r="B247" i="8" a="1"/>
  <c r="B247" i="8" s="1"/>
  <c r="C247" i="8" a="1"/>
  <c r="C247" i="8" s="1"/>
  <c r="B248" i="8" a="1"/>
  <c r="B248" i="8" s="1"/>
  <c r="C248" i="8" a="1"/>
  <c r="C248" i="8" s="1"/>
  <c r="B249" i="8" a="1"/>
  <c r="B249" i="8" s="1"/>
  <c r="C249" i="8" a="1"/>
  <c r="C249" i="8" s="1"/>
  <c r="C10" i="8" a="1"/>
  <c r="C10" i="8" s="1"/>
  <c r="B10" i="8" a="1"/>
  <c r="B10" i="8" s="1"/>
  <c r="J249" i="10" a="1"/>
  <c r="J249" i="10" s="1"/>
  <c r="I249" i="10" a="1"/>
  <c r="I249" i="10" s="1"/>
  <c r="H249" i="10" a="1"/>
  <c r="H249" i="10" s="1"/>
  <c r="G249" i="10" a="1"/>
  <c r="G249" i="10" s="1"/>
  <c r="F249" i="10" a="1"/>
  <c r="F249" i="10" s="1"/>
  <c r="E249" i="10" a="1"/>
  <c r="E249" i="10" s="1"/>
  <c r="J248" i="10" a="1"/>
  <c r="J248" i="10" s="1"/>
  <c r="I248" i="10" a="1"/>
  <c r="I248" i="10" s="1"/>
  <c r="H248" i="10" a="1"/>
  <c r="H248" i="10" s="1"/>
  <c r="G248" i="10" a="1"/>
  <c r="G248" i="10" s="1"/>
  <c r="F248" i="10" a="1"/>
  <c r="F248" i="10" s="1"/>
  <c r="E248" i="10" a="1"/>
  <c r="E248" i="10" s="1"/>
  <c r="J247" i="10" a="1"/>
  <c r="J247" i="10" s="1"/>
  <c r="I247" i="10" a="1"/>
  <c r="I247" i="10" s="1"/>
  <c r="H247" i="10" a="1"/>
  <c r="H247" i="10" s="1"/>
  <c r="G247" i="10" a="1"/>
  <c r="G247" i="10" s="1"/>
  <c r="F247" i="10" a="1"/>
  <c r="F247" i="10" s="1"/>
  <c r="E247" i="10" a="1"/>
  <c r="E247" i="10" s="1"/>
  <c r="J246" i="10" a="1"/>
  <c r="J246" i="10" s="1"/>
  <c r="I246" i="10" a="1"/>
  <c r="I246" i="10" s="1"/>
  <c r="H246" i="10" a="1"/>
  <c r="H246" i="10" s="1"/>
  <c r="G246" i="10" a="1"/>
  <c r="G246" i="10" s="1"/>
  <c r="F246" i="10" a="1"/>
  <c r="F246" i="10" s="1"/>
  <c r="E246" i="10" a="1"/>
  <c r="E246" i="10" s="1"/>
  <c r="J245" i="10" a="1"/>
  <c r="J245" i="10" s="1"/>
  <c r="I245" i="10" a="1"/>
  <c r="I245" i="10" s="1"/>
  <c r="H245" i="10" a="1"/>
  <c r="H245" i="10" s="1"/>
  <c r="G245" i="10" a="1"/>
  <c r="G245" i="10" s="1"/>
  <c r="F245" i="10" a="1"/>
  <c r="F245" i="10" s="1"/>
  <c r="E245" i="10" a="1"/>
  <c r="E245" i="10" s="1"/>
  <c r="J244" i="10" a="1"/>
  <c r="J244" i="10" s="1"/>
  <c r="I244" i="10" a="1"/>
  <c r="I244" i="10" s="1"/>
  <c r="H244" i="10" a="1"/>
  <c r="H244" i="10" s="1"/>
  <c r="G244" i="10" a="1"/>
  <c r="G244" i="10" s="1"/>
  <c r="F244" i="10" a="1"/>
  <c r="F244" i="10" s="1"/>
  <c r="E244" i="10" a="1"/>
  <c r="E244" i="10" s="1"/>
  <c r="J243" i="10" a="1"/>
  <c r="J243" i="10" s="1"/>
  <c r="I243" i="10" a="1"/>
  <c r="I243" i="10" s="1"/>
  <c r="H243" i="10" a="1"/>
  <c r="H243" i="10" s="1"/>
  <c r="G243" i="10" a="1"/>
  <c r="G243" i="10" s="1"/>
  <c r="F243" i="10" a="1"/>
  <c r="F243" i="10" s="1"/>
  <c r="E243" i="10" a="1"/>
  <c r="E243" i="10" s="1"/>
  <c r="J242" i="10" a="1"/>
  <c r="J242" i="10" s="1"/>
  <c r="I242" i="10" a="1"/>
  <c r="I242" i="10" s="1"/>
  <c r="H242" i="10" a="1"/>
  <c r="H242" i="10" s="1"/>
  <c r="G242" i="10" a="1"/>
  <c r="G242" i="10" s="1"/>
  <c r="F242" i="10" a="1"/>
  <c r="F242" i="10" s="1"/>
  <c r="E242" i="10" a="1"/>
  <c r="E242" i="10" s="1"/>
  <c r="J241" i="10" a="1"/>
  <c r="J241" i="10" s="1"/>
  <c r="I241" i="10" a="1"/>
  <c r="I241" i="10" s="1"/>
  <c r="H241" i="10" a="1"/>
  <c r="H241" i="10" s="1"/>
  <c r="G241" i="10" a="1"/>
  <c r="G241" i="10" s="1"/>
  <c r="F241" i="10" a="1"/>
  <c r="F241" i="10" s="1"/>
  <c r="E241" i="10" a="1"/>
  <c r="E241" i="10" s="1"/>
  <c r="J240" i="10" a="1"/>
  <c r="J240" i="10" s="1"/>
  <c r="I240" i="10" a="1"/>
  <c r="I240" i="10" s="1"/>
  <c r="H240" i="10" a="1"/>
  <c r="H240" i="10" s="1"/>
  <c r="G240" i="10" a="1"/>
  <c r="G240" i="10" s="1"/>
  <c r="F240" i="10" a="1"/>
  <c r="F240" i="10" s="1"/>
  <c r="E240" i="10" a="1"/>
  <c r="E240" i="10" s="1"/>
  <c r="J239" i="10" a="1"/>
  <c r="J239" i="10" s="1"/>
  <c r="I239" i="10" a="1"/>
  <c r="I239" i="10" s="1"/>
  <c r="H239" i="10" a="1"/>
  <c r="H239" i="10" s="1"/>
  <c r="G239" i="10" a="1"/>
  <c r="G239" i="10" s="1"/>
  <c r="F239" i="10" a="1"/>
  <c r="F239" i="10" s="1"/>
  <c r="E239" i="10" a="1"/>
  <c r="E239" i="10" s="1"/>
  <c r="J238" i="10" a="1"/>
  <c r="J238" i="10" s="1"/>
  <c r="I238" i="10" a="1"/>
  <c r="I238" i="10" s="1"/>
  <c r="H238" i="10" a="1"/>
  <c r="H238" i="10" s="1"/>
  <c r="G238" i="10" a="1"/>
  <c r="G238" i="10" s="1"/>
  <c r="F238" i="10" a="1"/>
  <c r="F238" i="10" s="1"/>
  <c r="E238" i="10" a="1"/>
  <c r="E238" i="10" s="1"/>
  <c r="J237" i="10" a="1"/>
  <c r="J237" i="10" s="1"/>
  <c r="I237" i="10" a="1"/>
  <c r="I237" i="10" s="1"/>
  <c r="H237" i="10" a="1"/>
  <c r="H237" i="10" s="1"/>
  <c r="G237" i="10" a="1"/>
  <c r="G237" i="10" s="1"/>
  <c r="F237" i="10" a="1"/>
  <c r="F237" i="10" s="1"/>
  <c r="E237" i="10" a="1"/>
  <c r="E237" i="10" s="1"/>
  <c r="J236" i="10" a="1"/>
  <c r="J236" i="10" s="1"/>
  <c r="I236" i="10" a="1"/>
  <c r="I236" i="10" s="1"/>
  <c r="H236" i="10" a="1"/>
  <c r="H236" i="10" s="1"/>
  <c r="G236" i="10" a="1"/>
  <c r="G236" i="10" s="1"/>
  <c r="F236" i="10" a="1"/>
  <c r="F236" i="10" s="1"/>
  <c r="E236" i="10" a="1"/>
  <c r="E236" i="10" s="1"/>
  <c r="J235" i="10" a="1"/>
  <c r="J235" i="10" s="1"/>
  <c r="I235" i="10" a="1"/>
  <c r="I235" i="10" s="1"/>
  <c r="H235" i="10" a="1"/>
  <c r="H235" i="10" s="1"/>
  <c r="G235" i="10" a="1"/>
  <c r="G235" i="10" s="1"/>
  <c r="F235" i="10" a="1"/>
  <c r="F235" i="10" s="1"/>
  <c r="E235" i="10" a="1"/>
  <c r="E235" i="10" s="1"/>
  <c r="J234" i="10" a="1"/>
  <c r="J234" i="10" s="1"/>
  <c r="I234" i="10" a="1"/>
  <c r="I234" i="10" s="1"/>
  <c r="H234" i="10" a="1"/>
  <c r="H234" i="10" s="1"/>
  <c r="G234" i="10" a="1"/>
  <c r="G234" i="10" s="1"/>
  <c r="F234" i="10" a="1"/>
  <c r="F234" i="10" s="1"/>
  <c r="E234" i="10" a="1"/>
  <c r="E234" i="10" s="1"/>
  <c r="J233" i="10" a="1"/>
  <c r="J233" i="10" s="1"/>
  <c r="I233" i="10" a="1"/>
  <c r="I233" i="10" s="1"/>
  <c r="H233" i="10" a="1"/>
  <c r="H233" i="10" s="1"/>
  <c r="G233" i="10" a="1"/>
  <c r="G233" i="10" s="1"/>
  <c r="F233" i="10" a="1"/>
  <c r="F233" i="10" s="1"/>
  <c r="E233" i="10" a="1"/>
  <c r="E233" i="10" s="1"/>
  <c r="J232" i="10" a="1"/>
  <c r="J232" i="10" s="1"/>
  <c r="I232" i="10" a="1"/>
  <c r="I232" i="10" s="1"/>
  <c r="H232" i="10" a="1"/>
  <c r="H232" i="10" s="1"/>
  <c r="G232" i="10" a="1"/>
  <c r="G232" i="10" s="1"/>
  <c r="F232" i="10" a="1"/>
  <c r="F232" i="10" s="1"/>
  <c r="E232" i="10" a="1"/>
  <c r="E232" i="10" s="1"/>
  <c r="J231" i="10" a="1"/>
  <c r="J231" i="10" s="1"/>
  <c r="I231" i="10" a="1"/>
  <c r="I231" i="10" s="1"/>
  <c r="H231" i="10" a="1"/>
  <c r="H231" i="10" s="1"/>
  <c r="G231" i="10" a="1"/>
  <c r="G231" i="10" s="1"/>
  <c r="F231" i="10" a="1"/>
  <c r="F231" i="10" s="1"/>
  <c r="E231" i="10" a="1"/>
  <c r="E231" i="10" s="1"/>
  <c r="J230" i="10" a="1"/>
  <c r="J230" i="10" s="1"/>
  <c r="I230" i="10" a="1"/>
  <c r="I230" i="10" s="1"/>
  <c r="H230" i="10" a="1"/>
  <c r="H230" i="10" s="1"/>
  <c r="G230" i="10" a="1"/>
  <c r="G230" i="10" s="1"/>
  <c r="F230" i="10" a="1"/>
  <c r="F230" i="10" s="1"/>
  <c r="E230" i="10" a="1"/>
  <c r="E230" i="10" s="1"/>
  <c r="J229" i="10" a="1"/>
  <c r="J229" i="10" s="1"/>
  <c r="I229" i="10" a="1"/>
  <c r="I229" i="10" s="1"/>
  <c r="H229" i="10" a="1"/>
  <c r="H229" i="10" s="1"/>
  <c r="G229" i="10" a="1"/>
  <c r="G229" i="10" s="1"/>
  <c r="F229" i="10" a="1"/>
  <c r="F229" i="10" s="1"/>
  <c r="E229" i="10" a="1"/>
  <c r="E229" i="10" s="1"/>
  <c r="J228" i="10" a="1"/>
  <c r="J228" i="10" s="1"/>
  <c r="I228" i="10" a="1"/>
  <c r="I228" i="10" s="1"/>
  <c r="H228" i="10" a="1"/>
  <c r="H228" i="10" s="1"/>
  <c r="G228" i="10" a="1"/>
  <c r="G228" i="10" s="1"/>
  <c r="F228" i="10" a="1"/>
  <c r="F228" i="10" s="1"/>
  <c r="E228" i="10" a="1"/>
  <c r="E228" i="10" s="1"/>
  <c r="J227" i="10" a="1"/>
  <c r="J227" i="10" s="1"/>
  <c r="I227" i="10" a="1"/>
  <c r="I227" i="10" s="1"/>
  <c r="H227" i="10" a="1"/>
  <c r="H227" i="10" s="1"/>
  <c r="G227" i="10" a="1"/>
  <c r="G227" i="10" s="1"/>
  <c r="F227" i="10" a="1"/>
  <c r="F227" i="10" s="1"/>
  <c r="E227" i="10" a="1"/>
  <c r="E227" i="10" s="1"/>
  <c r="J226" i="10" a="1"/>
  <c r="J226" i="10" s="1"/>
  <c r="I226" i="10" a="1"/>
  <c r="I226" i="10" s="1"/>
  <c r="H226" i="10" a="1"/>
  <c r="H226" i="10" s="1"/>
  <c r="G226" i="10" a="1"/>
  <c r="G226" i="10" s="1"/>
  <c r="F226" i="10" a="1"/>
  <c r="F226" i="10" s="1"/>
  <c r="E226" i="10" a="1"/>
  <c r="E226" i="10" s="1"/>
  <c r="J225" i="10" a="1"/>
  <c r="J225" i="10" s="1"/>
  <c r="I225" i="10" a="1"/>
  <c r="I225" i="10" s="1"/>
  <c r="H225" i="10" a="1"/>
  <c r="H225" i="10" s="1"/>
  <c r="G225" i="10" a="1"/>
  <c r="G225" i="10" s="1"/>
  <c r="F225" i="10" a="1"/>
  <c r="F225" i="10" s="1"/>
  <c r="E225" i="10" a="1"/>
  <c r="E225" i="10" s="1"/>
  <c r="J224" i="10" a="1"/>
  <c r="J224" i="10" s="1"/>
  <c r="I224" i="10" a="1"/>
  <c r="I224" i="10" s="1"/>
  <c r="H224" i="10" a="1"/>
  <c r="H224" i="10" s="1"/>
  <c r="G224" i="10" a="1"/>
  <c r="G224" i="10" s="1"/>
  <c r="F224" i="10" a="1"/>
  <c r="F224" i="10" s="1"/>
  <c r="E224" i="10" a="1"/>
  <c r="E224" i="10" s="1"/>
  <c r="J223" i="10" a="1"/>
  <c r="J223" i="10" s="1"/>
  <c r="I223" i="10" a="1"/>
  <c r="I223" i="10" s="1"/>
  <c r="H223" i="10" a="1"/>
  <c r="H223" i="10" s="1"/>
  <c r="G223" i="10" a="1"/>
  <c r="G223" i="10" s="1"/>
  <c r="F223" i="10" a="1"/>
  <c r="F223" i="10" s="1"/>
  <c r="E223" i="10" a="1"/>
  <c r="E223" i="10" s="1"/>
  <c r="J222" i="10" a="1"/>
  <c r="J222" i="10" s="1"/>
  <c r="I222" i="10" a="1"/>
  <c r="I222" i="10" s="1"/>
  <c r="H222" i="10" a="1"/>
  <c r="H222" i="10" s="1"/>
  <c r="G222" i="10" a="1"/>
  <c r="G222" i="10" s="1"/>
  <c r="F222" i="10" a="1"/>
  <c r="F222" i="10" s="1"/>
  <c r="E222" i="10" a="1"/>
  <c r="E222" i="10" s="1"/>
  <c r="J221" i="10" a="1"/>
  <c r="J221" i="10" s="1"/>
  <c r="I221" i="10" a="1"/>
  <c r="I221" i="10" s="1"/>
  <c r="H221" i="10" a="1"/>
  <c r="H221" i="10" s="1"/>
  <c r="G221" i="10" a="1"/>
  <c r="G221" i="10" s="1"/>
  <c r="F221" i="10" a="1"/>
  <c r="F221" i="10" s="1"/>
  <c r="E221" i="10" a="1"/>
  <c r="E221" i="10" s="1"/>
  <c r="J220" i="10" a="1"/>
  <c r="J220" i="10" s="1"/>
  <c r="I220" i="10" a="1"/>
  <c r="I220" i="10" s="1"/>
  <c r="H220" i="10" a="1"/>
  <c r="H220" i="10" s="1"/>
  <c r="G220" i="10" a="1"/>
  <c r="G220" i="10" s="1"/>
  <c r="F220" i="10" a="1"/>
  <c r="F220" i="10" s="1"/>
  <c r="E220" i="10" a="1"/>
  <c r="E220" i="10" s="1"/>
  <c r="J219" i="10" a="1"/>
  <c r="J219" i="10" s="1"/>
  <c r="I219" i="10" a="1"/>
  <c r="I219" i="10" s="1"/>
  <c r="H219" i="10" a="1"/>
  <c r="H219" i="10" s="1"/>
  <c r="G219" i="10" a="1"/>
  <c r="G219" i="10" s="1"/>
  <c r="F219" i="10" a="1"/>
  <c r="F219" i="10" s="1"/>
  <c r="E219" i="10" a="1"/>
  <c r="E219" i="10" s="1"/>
  <c r="J218" i="10" a="1"/>
  <c r="J218" i="10" s="1"/>
  <c r="I218" i="10" a="1"/>
  <c r="I218" i="10" s="1"/>
  <c r="H218" i="10" a="1"/>
  <c r="H218" i="10" s="1"/>
  <c r="G218" i="10" a="1"/>
  <c r="G218" i="10" s="1"/>
  <c r="F218" i="10" a="1"/>
  <c r="F218" i="10" s="1"/>
  <c r="E218" i="10" a="1"/>
  <c r="E218" i="10" s="1"/>
  <c r="J217" i="10" a="1"/>
  <c r="J217" i="10" s="1"/>
  <c r="I217" i="10" a="1"/>
  <c r="I217" i="10" s="1"/>
  <c r="H217" i="10" a="1"/>
  <c r="H217" i="10" s="1"/>
  <c r="G217" i="10" a="1"/>
  <c r="G217" i="10" s="1"/>
  <c r="F217" i="10" a="1"/>
  <c r="F217" i="10" s="1"/>
  <c r="E217" i="10" a="1"/>
  <c r="E217" i="10" s="1"/>
  <c r="J216" i="10" a="1"/>
  <c r="J216" i="10" s="1"/>
  <c r="I216" i="10" a="1"/>
  <c r="I216" i="10" s="1"/>
  <c r="H216" i="10" a="1"/>
  <c r="H216" i="10" s="1"/>
  <c r="G216" i="10" a="1"/>
  <c r="G216" i="10" s="1"/>
  <c r="F216" i="10" a="1"/>
  <c r="F216" i="10" s="1"/>
  <c r="E216" i="10" a="1"/>
  <c r="E216" i="10" s="1"/>
  <c r="J215" i="10" a="1"/>
  <c r="J215" i="10" s="1"/>
  <c r="I215" i="10" a="1"/>
  <c r="I215" i="10" s="1"/>
  <c r="H215" i="10" a="1"/>
  <c r="H215" i="10" s="1"/>
  <c r="G215" i="10" a="1"/>
  <c r="G215" i="10" s="1"/>
  <c r="F215" i="10" a="1"/>
  <c r="F215" i="10" s="1"/>
  <c r="E215" i="10" a="1"/>
  <c r="E215" i="10" s="1"/>
  <c r="J214" i="10" a="1"/>
  <c r="J214" i="10" s="1"/>
  <c r="I214" i="10" a="1"/>
  <c r="I214" i="10" s="1"/>
  <c r="H214" i="10" a="1"/>
  <c r="H214" i="10" s="1"/>
  <c r="G214" i="10" a="1"/>
  <c r="G214" i="10" s="1"/>
  <c r="F214" i="10" a="1"/>
  <c r="F214" i="10" s="1"/>
  <c r="E214" i="10" a="1"/>
  <c r="E214" i="10" s="1"/>
  <c r="J213" i="10" a="1"/>
  <c r="J213" i="10" s="1"/>
  <c r="I213" i="10" a="1"/>
  <c r="I213" i="10" s="1"/>
  <c r="H213" i="10" a="1"/>
  <c r="H213" i="10" s="1"/>
  <c r="G213" i="10" a="1"/>
  <c r="G213" i="10" s="1"/>
  <c r="F213" i="10" a="1"/>
  <c r="F213" i="10" s="1"/>
  <c r="E213" i="10" a="1"/>
  <c r="E213" i="10" s="1"/>
  <c r="J212" i="10" a="1"/>
  <c r="J212" i="10" s="1"/>
  <c r="I212" i="10" a="1"/>
  <c r="I212" i="10" s="1"/>
  <c r="H212" i="10" a="1"/>
  <c r="H212" i="10" s="1"/>
  <c r="G212" i="10" a="1"/>
  <c r="G212" i="10" s="1"/>
  <c r="F212" i="10" a="1"/>
  <c r="F212" i="10" s="1"/>
  <c r="E212" i="10" a="1"/>
  <c r="E212" i="10" s="1"/>
  <c r="J211" i="10" a="1"/>
  <c r="J211" i="10" s="1"/>
  <c r="I211" i="10" a="1"/>
  <c r="I211" i="10" s="1"/>
  <c r="H211" i="10" a="1"/>
  <c r="H211" i="10" s="1"/>
  <c r="G211" i="10" a="1"/>
  <c r="G211" i="10" s="1"/>
  <c r="F211" i="10" a="1"/>
  <c r="F211" i="10" s="1"/>
  <c r="E211" i="10" a="1"/>
  <c r="E211" i="10" s="1"/>
  <c r="J210" i="10" a="1"/>
  <c r="J210" i="10" s="1"/>
  <c r="I210" i="10" a="1"/>
  <c r="I210" i="10" s="1"/>
  <c r="H210" i="10" a="1"/>
  <c r="H210" i="10" s="1"/>
  <c r="G210" i="10" a="1"/>
  <c r="G210" i="10" s="1"/>
  <c r="F210" i="10" a="1"/>
  <c r="F210" i="10" s="1"/>
  <c r="E210" i="10" a="1"/>
  <c r="E210" i="10" s="1"/>
  <c r="J209" i="10" a="1"/>
  <c r="J209" i="10" s="1"/>
  <c r="I209" i="10" a="1"/>
  <c r="I209" i="10" s="1"/>
  <c r="H209" i="10" a="1"/>
  <c r="H209" i="10" s="1"/>
  <c r="G209" i="10" a="1"/>
  <c r="G209" i="10" s="1"/>
  <c r="F209" i="10" a="1"/>
  <c r="F209" i="10" s="1"/>
  <c r="E209" i="10" a="1"/>
  <c r="E209" i="10" s="1"/>
  <c r="J208" i="10" a="1"/>
  <c r="J208" i="10" s="1"/>
  <c r="I208" i="10" a="1"/>
  <c r="I208" i="10" s="1"/>
  <c r="H208" i="10" a="1"/>
  <c r="H208" i="10" s="1"/>
  <c r="G208" i="10" a="1"/>
  <c r="G208" i="10" s="1"/>
  <c r="F208" i="10" a="1"/>
  <c r="F208" i="10" s="1"/>
  <c r="E208" i="10" a="1"/>
  <c r="E208" i="10" s="1"/>
  <c r="J207" i="10" a="1"/>
  <c r="J207" i="10" s="1"/>
  <c r="I207" i="10" a="1"/>
  <c r="I207" i="10" s="1"/>
  <c r="H207" i="10" a="1"/>
  <c r="H207" i="10" s="1"/>
  <c r="G207" i="10" a="1"/>
  <c r="G207" i="10" s="1"/>
  <c r="F207" i="10" a="1"/>
  <c r="F207" i="10" s="1"/>
  <c r="E207" i="10" a="1"/>
  <c r="E207" i="10" s="1"/>
  <c r="J206" i="10" a="1"/>
  <c r="J206" i="10" s="1"/>
  <c r="I206" i="10" a="1"/>
  <c r="I206" i="10" s="1"/>
  <c r="H206" i="10" a="1"/>
  <c r="H206" i="10" s="1"/>
  <c r="G206" i="10" a="1"/>
  <c r="G206" i="10" s="1"/>
  <c r="F206" i="10" a="1"/>
  <c r="F206" i="10" s="1"/>
  <c r="E206" i="10" a="1"/>
  <c r="E206" i="10" s="1"/>
  <c r="J205" i="10" a="1"/>
  <c r="J205" i="10" s="1"/>
  <c r="I205" i="10" a="1"/>
  <c r="I205" i="10" s="1"/>
  <c r="H205" i="10" a="1"/>
  <c r="H205" i="10" s="1"/>
  <c r="G205" i="10" a="1"/>
  <c r="G205" i="10" s="1"/>
  <c r="F205" i="10" a="1"/>
  <c r="F205" i="10" s="1"/>
  <c r="E205" i="10" a="1"/>
  <c r="E205" i="10" s="1"/>
  <c r="J204" i="10" a="1"/>
  <c r="J204" i="10" s="1"/>
  <c r="I204" i="10" a="1"/>
  <c r="I204" i="10" s="1"/>
  <c r="H204" i="10" a="1"/>
  <c r="H204" i="10" s="1"/>
  <c r="G204" i="10" a="1"/>
  <c r="G204" i="10" s="1"/>
  <c r="F204" i="10" a="1"/>
  <c r="F204" i="10" s="1"/>
  <c r="E204" i="10" a="1"/>
  <c r="E204" i="10" s="1"/>
  <c r="J203" i="10" a="1"/>
  <c r="J203" i="10" s="1"/>
  <c r="I203" i="10" a="1"/>
  <c r="I203" i="10" s="1"/>
  <c r="H203" i="10" a="1"/>
  <c r="H203" i="10" s="1"/>
  <c r="G203" i="10" a="1"/>
  <c r="G203" i="10" s="1"/>
  <c r="F203" i="10" a="1"/>
  <c r="F203" i="10" s="1"/>
  <c r="E203" i="10" a="1"/>
  <c r="E203" i="10" s="1"/>
  <c r="J202" i="10" a="1"/>
  <c r="J202" i="10" s="1"/>
  <c r="I202" i="10" a="1"/>
  <c r="I202" i="10" s="1"/>
  <c r="H202" i="10" a="1"/>
  <c r="H202" i="10" s="1"/>
  <c r="G202" i="10" a="1"/>
  <c r="G202" i="10" s="1"/>
  <c r="F202" i="10" a="1"/>
  <c r="F202" i="10" s="1"/>
  <c r="E202" i="10" a="1"/>
  <c r="E202" i="10" s="1"/>
  <c r="J201" i="10" a="1"/>
  <c r="J201" i="10" s="1"/>
  <c r="I201" i="10" a="1"/>
  <c r="I201" i="10" s="1"/>
  <c r="H201" i="10" a="1"/>
  <c r="H201" i="10" s="1"/>
  <c r="G201" i="10" a="1"/>
  <c r="G201" i="10" s="1"/>
  <c r="F201" i="10" a="1"/>
  <c r="F201" i="10" s="1"/>
  <c r="E201" i="10" a="1"/>
  <c r="E201" i="10" s="1"/>
  <c r="J200" i="10" a="1"/>
  <c r="J200" i="10" s="1"/>
  <c r="I200" i="10" a="1"/>
  <c r="I200" i="10" s="1"/>
  <c r="H200" i="10" a="1"/>
  <c r="H200" i="10" s="1"/>
  <c r="G200" i="10" a="1"/>
  <c r="G200" i="10" s="1"/>
  <c r="F200" i="10" a="1"/>
  <c r="F200" i="10" s="1"/>
  <c r="E200" i="10" a="1"/>
  <c r="E200" i="10" s="1"/>
  <c r="J199" i="10" a="1"/>
  <c r="J199" i="10" s="1"/>
  <c r="I199" i="10" a="1"/>
  <c r="I199" i="10" s="1"/>
  <c r="H199" i="10" a="1"/>
  <c r="H199" i="10" s="1"/>
  <c r="G199" i="10" a="1"/>
  <c r="G199" i="10" s="1"/>
  <c r="F199" i="10" a="1"/>
  <c r="F199" i="10" s="1"/>
  <c r="E199" i="10" a="1"/>
  <c r="E199" i="10" s="1"/>
  <c r="J198" i="10" a="1"/>
  <c r="J198" i="10" s="1"/>
  <c r="I198" i="10" a="1"/>
  <c r="I198" i="10" s="1"/>
  <c r="H198" i="10" a="1"/>
  <c r="H198" i="10" s="1"/>
  <c r="G198" i="10" a="1"/>
  <c r="G198" i="10" s="1"/>
  <c r="F198" i="10" a="1"/>
  <c r="F198" i="10" s="1"/>
  <c r="E198" i="10" a="1"/>
  <c r="E198" i="10" s="1"/>
  <c r="J197" i="10" a="1"/>
  <c r="J197" i="10" s="1"/>
  <c r="I197" i="10" a="1"/>
  <c r="I197" i="10" s="1"/>
  <c r="H197" i="10" a="1"/>
  <c r="H197" i="10" s="1"/>
  <c r="G197" i="10" a="1"/>
  <c r="G197" i="10" s="1"/>
  <c r="F197" i="10" a="1"/>
  <c r="F197" i="10" s="1"/>
  <c r="E197" i="10" a="1"/>
  <c r="E197" i="10" s="1"/>
  <c r="J196" i="10" a="1"/>
  <c r="J196" i="10" s="1"/>
  <c r="I196" i="10" a="1"/>
  <c r="I196" i="10" s="1"/>
  <c r="H196" i="10" a="1"/>
  <c r="H196" i="10" s="1"/>
  <c r="G196" i="10" a="1"/>
  <c r="G196" i="10" s="1"/>
  <c r="F196" i="10" a="1"/>
  <c r="F196" i="10" s="1"/>
  <c r="E196" i="10" a="1"/>
  <c r="E196" i="10" s="1"/>
  <c r="J195" i="10" a="1"/>
  <c r="J195" i="10" s="1"/>
  <c r="I195" i="10" a="1"/>
  <c r="I195" i="10" s="1"/>
  <c r="H195" i="10" a="1"/>
  <c r="H195" i="10" s="1"/>
  <c r="G195" i="10" a="1"/>
  <c r="G195" i="10" s="1"/>
  <c r="F195" i="10" a="1"/>
  <c r="F195" i="10" s="1"/>
  <c r="E195" i="10" a="1"/>
  <c r="E195" i="10" s="1"/>
  <c r="J194" i="10" a="1"/>
  <c r="J194" i="10" s="1"/>
  <c r="I194" i="10" a="1"/>
  <c r="I194" i="10" s="1"/>
  <c r="H194" i="10" a="1"/>
  <c r="H194" i="10" s="1"/>
  <c r="G194" i="10" a="1"/>
  <c r="G194" i="10" s="1"/>
  <c r="F194" i="10" a="1"/>
  <c r="F194" i="10" s="1"/>
  <c r="E194" i="10" a="1"/>
  <c r="E194" i="10" s="1"/>
  <c r="J193" i="10" a="1"/>
  <c r="J193" i="10" s="1"/>
  <c r="I193" i="10" a="1"/>
  <c r="I193" i="10" s="1"/>
  <c r="H193" i="10" a="1"/>
  <c r="H193" i="10" s="1"/>
  <c r="G193" i="10" a="1"/>
  <c r="G193" i="10" s="1"/>
  <c r="F193" i="10" a="1"/>
  <c r="F193" i="10" s="1"/>
  <c r="E193" i="10" a="1"/>
  <c r="E193" i="10" s="1"/>
  <c r="J192" i="10" a="1"/>
  <c r="J192" i="10" s="1"/>
  <c r="I192" i="10" a="1"/>
  <c r="I192" i="10" s="1"/>
  <c r="H192" i="10" a="1"/>
  <c r="H192" i="10" s="1"/>
  <c r="G192" i="10" a="1"/>
  <c r="G192" i="10" s="1"/>
  <c r="F192" i="10" a="1"/>
  <c r="F192" i="10" s="1"/>
  <c r="E192" i="10" a="1"/>
  <c r="E192" i="10" s="1"/>
  <c r="J191" i="10" a="1"/>
  <c r="J191" i="10" s="1"/>
  <c r="I191" i="10" a="1"/>
  <c r="I191" i="10" s="1"/>
  <c r="H191" i="10" a="1"/>
  <c r="H191" i="10" s="1"/>
  <c r="G191" i="10" a="1"/>
  <c r="G191" i="10" s="1"/>
  <c r="F191" i="10" a="1"/>
  <c r="F191" i="10" s="1"/>
  <c r="E191" i="10" a="1"/>
  <c r="E191" i="10" s="1"/>
  <c r="J190" i="10" a="1"/>
  <c r="J190" i="10" s="1"/>
  <c r="I190" i="10" a="1"/>
  <c r="I190" i="10" s="1"/>
  <c r="H190" i="10" a="1"/>
  <c r="H190" i="10" s="1"/>
  <c r="G190" i="10" a="1"/>
  <c r="G190" i="10" s="1"/>
  <c r="F190" i="10" a="1"/>
  <c r="F190" i="10" s="1"/>
  <c r="E190" i="10" a="1"/>
  <c r="E190" i="10" s="1"/>
  <c r="J189" i="10" a="1"/>
  <c r="J189" i="10" s="1"/>
  <c r="I189" i="10" a="1"/>
  <c r="I189" i="10" s="1"/>
  <c r="H189" i="10" a="1"/>
  <c r="H189" i="10" s="1"/>
  <c r="G189" i="10" a="1"/>
  <c r="G189" i="10" s="1"/>
  <c r="F189" i="10" a="1"/>
  <c r="F189" i="10" s="1"/>
  <c r="E189" i="10" a="1"/>
  <c r="E189" i="10" s="1"/>
  <c r="J188" i="10" a="1"/>
  <c r="J188" i="10" s="1"/>
  <c r="I188" i="10" a="1"/>
  <c r="I188" i="10" s="1"/>
  <c r="H188" i="10" a="1"/>
  <c r="H188" i="10" s="1"/>
  <c r="G188" i="10" a="1"/>
  <c r="G188" i="10" s="1"/>
  <c r="F188" i="10" a="1"/>
  <c r="F188" i="10" s="1"/>
  <c r="E188" i="10" a="1"/>
  <c r="E188" i="10" s="1"/>
  <c r="J187" i="10" a="1"/>
  <c r="J187" i="10" s="1"/>
  <c r="I187" i="10" a="1"/>
  <c r="I187" i="10" s="1"/>
  <c r="H187" i="10" a="1"/>
  <c r="H187" i="10" s="1"/>
  <c r="G187" i="10" a="1"/>
  <c r="G187" i="10" s="1"/>
  <c r="F187" i="10" a="1"/>
  <c r="F187" i="10" s="1"/>
  <c r="E187" i="10" a="1"/>
  <c r="E187" i="10" s="1"/>
  <c r="J186" i="10" a="1"/>
  <c r="J186" i="10" s="1"/>
  <c r="I186" i="10" a="1"/>
  <c r="I186" i="10" s="1"/>
  <c r="H186" i="10" a="1"/>
  <c r="H186" i="10" s="1"/>
  <c r="G186" i="10" a="1"/>
  <c r="G186" i="10" s="1"/>
  <c r="F186" i="10" a="1"/>
  <c r="F186" i="10" s="1"/>
  <c r="E186" i="10" a="1"/>
  <c r="E186" i="10" s="1"/>
  <c r="J185" i="10" a="1"/>
  <c r="J185" i="10" s="1"/>
  <c r="I185" i="10" a="1"/>
  <c r="I185" i="10" s="1"/>
  <c r="H185" i="10" a="1"/>
  <c r="H185" i="10" s="1"/>
  <c r="G185" i="10" a="1"/>
  <c r="G185" i="10" s="1"/>
  <c r="F185" i="10" a="1"/>
  <c r="F185" i="10" s="1"/>
  <c r="E185" i="10" a="1"/>
  <c r="E185" i="10" s="1"/>
  <c r="J184" i="10" a="1"/>
  <c r="J184" i="10" s="1"/>
  <c r="I184" i="10" a="1"/>
  <c r="I184" i="10" s="1"/>
  <c r="H184" i="10" a="1"/>
  <c r="H184" i="10" s="1"/>
  <c r="G184" i="10" a="1"/>
  <c r="G184" i="10" s="1"/>
  <c r="F184" i="10" a="1"/>
  <c r="F184" i="10" s="1"/>
  <c r="E184" i="10" a="1"/>
  <c r="E184" i="10" s="1"/>
  <c r="J183" i="10" a="1"/>
  <c r="J183" i="10" s="1"/>
  <c r="I183" i="10" a="1"/>
  <c r="I183" i="10" s="1"/>
  <c r="H183" i="10" a="1"/>
  <c r="H183" i="10" s="1"/>
  <c r="G183" i="10" a="1"/>
  <c r="G183" i="10" s="1"/>
  <c r="F183" i="10" a="1"/>
  <c r="F183" i="10" s="1"/>
  <c r="E183" i="10" a="1"/>
  <c r="E183" i="10" s="1"/>
  <c r="J182" i="10" a="1"/>
  <c r="J182" i="10" s="1"/>
  <c r="I182" i="10" a="1"/>
  <c r="I182" i="10" s="1"/>
  <c r="H182" i="10" a="1"/>
  <c r="H182" i="10" s="1"/>
  <c r="G182" i="10" a="1"/>
  <c r="G182" i="10" s="1"/>
  <c r="F182" i="10" a="1"/>
  <c r="F182" i="10" s="1"/>
  <c r="E182" i="10" a="1"/>
  <c r="E182" i="10" s="1"/>
  <c r="J181" i="10" a="1"/>
  <c r="J181" i="10" s="1"/>
  <c r="I181" i="10" a="1"/>
  <c r="I181" i="10" s="1"/>
  <c r="H181" i="10" a="1"/>
  <c r="H181" i="10" s="1"/>
  <c r="G181" i="10" a="1"/>
  <c r="G181" i="10" s="1"/>
  <c r="F181" i="10" a="1"/>
  <c r="F181" i="10" s="1"/>
  <c r="E181" i="10" a="1"/>
  <c r="E181" i="10" s="1"/>
  <c r="J180" i="10" a="1"/>
  <c r="J180" i="10" s="1"/>
  <c r="I180" i="10" a="1"/>
  <c r="I180" i="10" s="1"/>
  <c r="H180" i="10" a="1"/>
  <c r="H180" i="10" s="1"/>
  <c r="G180" i="10" a="1"/>
  <c r="G180" i="10" s="1"/>
  <c r="F180" i="10" a="1"/>
  <c r="F180" i="10" s="1"/>
  <c r="E180" i="10" a="1"/>
  <c r="E180" i="10" s="1"/>
  <c r="J179" i="10" a="1"/>
  <c r="J179" i="10" s="1"/>
  <c r="I179" i="10" a="1"/>
  <c r="I179" i="10" s="1"/>
  <c r="H179" i="10" a="1"/>
  <c r="H179" i="10" s="1"/>
  <c r="G179" i="10" a="1"/>
  <c r="G179" i="10" s="1"/>
  <c r="F179" i="10" a="1"/>
  <c r="F179" i="10" s="1"/>
  <c r="E179" i="10" a="1"/>
  <c r="E179" i="10" s="1"/>
  <c r="J178" i="10" a="1"/>
  <c r="J178" i="10" s="1"/>
  <c r="I178" i="10" a="1"/>
  <c r="I178" i="10" s="1"/>
  <c r="H178" i="10" a="1"/>
  <c r="H178" i="10" s="1"/>
  <c r="G178" i="10" a="1"/>
  <c r="G178" i="10" s="1"/>
  <c r="F178" i="10" a="1"/>
  <c r="F178" i="10" s="1"/>
  <c r="E178" i="10" a="1"/>
  <c r="E178" i="10" s="1"/>
  <c r="J177" i="10" a="1"/>
  <c r="J177" i="10" s="1"/>
  <c r="I177" i="10" a="1"/>
  <c r="I177" i="10" s="1"/>
  <c r="H177" i="10" a="1"/>
  <c r="H177" i="10" s="1"/>
  <c r="G177" i="10" a="1"/>
  <c r="G177" i="10" s="1"/>
  <c r="F177" i="10" a="1"/>
  <c r="F177" i="10" s="1"/>
  <c r="E177" i="10" a="1"/>
  <c r="E177" i="10" s="1"/>
  <c r="J176" i="10" a="1"/>
  <c r="J176" i="10" s="1"/>
  <c r="I176" i="10" a="1"/>
  <c r="I176" i="10" s="1"/>
  <c r="H176" i="10" a="1"/>
  <c r="H176" i="10" s="1"/>
  <c r="G176" i="10" a="1"/>
  <c r="G176" i="10" s="1"/>
  <c r="F176" i="10" a="1"/>
  <c r="F176" i="10" s="1"/>
  <c r="E176" i="10" a="1"/>
  <c r="E176" i="10" s="1"/>
  <c r="J175" i="10" a="1"/>
  <c r="J175" i="10" s="1"/>
  <c r="I175" i="10" a="1"/>
  <c r="I175" i="10" s="1"/>
  <c r="H175" i="10" a="1"/>
  <c r="H175" i="10" s="1"/>
  <c r="G175" i="10" a="1"/>
  <c r="G175" i="10" s="1"/>
  <c r="F175" i="10" a="1"/>
  <c r="F175" i="10" s="1"/>
  <c r="E175" i="10" a="1"/>
  <c r="E175" i="10" s="1"/>
  <c r="J174" i="10" a="1"/>
  <c r="J174" i="10" s="1"/>
  <c r="I174" i="10" a="1"/>
  <c r="I174" i="10" s="1"/>
  <c r="H174" i="10" a="1"/>
  <c r="H174" i="10" s="1"/>
  <c r="G174" i="10" a="1"/>
  <c r="G174" i="10" s="1"/>
  <c r="F174" i="10" a="1"/>
  <c r="F174" i="10" s="1"/>
  <c r="E174" i="10" a="1"/>
  <c r="E174" i="10" s="1"/>
  <c r="J173" i="10" a="1"/>
  <c r="J173" i="10" s="1"/>
  <c r="I173" i="10" a="1"/>
  <c r="I173" i="10" s="1"/>
  <c r="H173" i="10" a="1"/>
  <c r="H173" i="10" s="1"/>
  <c r="G173" i="10" a="1"/>
  <c r="G173" i="10" s="1"/>
  <c r="F173" i="10" a="1"/>
  <c r="F173" i="10" s="1"/>
  <c r="E173" i="10" a="1"/>
  <c r="E173" i="10" s="1"/>
  <c r="J172" i="10" a="1"/>
  <c r="J172" i="10" s="1"/>
  <c r="I172" i="10" a="1"/>
  <c r="I172" i="10" s="1"/>
  <c r="H172" i="10" a="1"/>
  <c r="H172" i="10" s="1"/>
  <c r="G172" i="10" a="1"/>
  <c r="G172" i="10" s="1"/>
  <c r="F172" i="10" a="1"/>
  <c r="F172" i="10" s="1"/>
  <c r="E172" i="10" a="1"/>
  <c r="E172" i="10" s="1"/>
  <c r="J171" i="10" a="1"/>
  <c r="J171" i="10" s="1"/>
  <c r="I171" i="10" a="1"/>
  <c r="I171" i="10" s="1"/>
  <c r="H171" i="10" a="1"/>
  <c r="H171" i="10" s="1"/>
  <c r="G171" i="10" a="1"/>
  <c r="G171" i="10" s="1"/>
  <c r="F171" i="10" a="1"/>
  <c r="F171" i="10" s="1"/>
  <c r="E171" i="10" a="1"/>
  <c r="E171" i="10" s="1"/>
  <c r="J170" i="10" a="1"/>
  <c r="J170" i="10" s="1"/>
  <c r="I170" i="10" a="1"/>
  <c r="I170" i="10" s="1"/>
  <c r="H170" i="10" a="1"/>
  <c r="H170" i="10" s="1"/>
  <c r="G170" i="10" a="1"/>
  <c r="G170" i="10" s="1"/>
  <c r="F170" i="10" a="1"/>
  <c r="F170" i="10" s="1"/>
  <c r="E170" i="10" a="1"/>
  <c r="E170" i="10" s="1"/>
  <c r="J169" i="10" a="1"/>
  <c r="J169" i="10" s="1"/>
  <c r="I169" i="10" a="1"/>
  <c r="I169" i="10" s="1"/>
  <c r="H169" i="10" a="1"/>
  <c r="H169" i="10" s="1"/>
  <c r="G169" i="10" a="1"/>
  <c r="G169" i="10" s="1"/>
  <c r="F169" i="10" a="1"/>
  <c r="F169" i="10" s="1"/>
  <c r="E169" i="10" a="1"/>
  <c r="E169" i="10" s="1"/>
  <c r="J168" i="10" a="1"/>
  <c r="J168" i="10" s="1"/>
  <c r="I168" i="10" a="1"/>
  <c r="I168" i="10" s="1"/>
  <c r="H168" i="10" a="1"/>
  <c r="H168" i="10" s="1"/>
  <c r="G168" i="10" a="1"/>
  <c r="G168" i="10" s="1"/>
  <c r="F168" i="10" a="1"/>
  <c r="F168" i="10" s="1"/>
  <c r="E168" i="10" a="1"/>
  <c r="E168" i="10" s="1"/>
  <c r="J167" i="10" a="1"/>
  <c r="J167" i="10" s="1"/>
  <c r="I167" i="10" a="1"/>
  <c r="I167" i="10" s="1"/>
  <c r="H167" i="10" a="1"/>
  <c r="H167" i="10" s="1"/>
  <c r="G167" i="10" a="1"/>
  <c r="G167" i="10" s="1"/>
  <c r="F167" i="10" a="1"/>
  <c r="F167" i="10" s="1"/>
  <c r="E167" i="10" a="1"/>
  <c r="E167" i="10" s="1"/>
  <c r="J166" i="10" a="1"/>
  <c r="J166" i="10" s="1"/>
  <c r="I166" i="10" a="1"/>
  <c r="I166" i="10" s="1"/>
  <c r="H166" i="10" a="1"/>
  <c r="H166" i="10" s="1"/>
  <c r="G166" i="10" a="1"/>
  <c r="G166" i="10" s="1"/>
  <c r="F166" i="10" a="1"/>
  <c r="F166" i="10" s="1"/>
  <c r="E166" i="10" a="1"/>
  <c r="E166" i="10" s="1"/>
  <c r="J165" i="10" a="1"/>
  <c r="J165" i="10" s="1"/>
  <c r="I165" i="10" a="1"/>
  <c r="I165" i="10" s="1"/>
  <c r="H165" i="10" a="1"/>
  <c r="H165" i="10" s="1"/>
  <c r="G165" i="10" a="1"/>
  <c r="G165" i="10" s="1"/>
  <c r="F165" i="10" a="1"/>
  <c r="F165" i="10" s="1"/>
  <c r="E165" i="10" a="1"/>
  <c r="E165" i="10" s="1"/>
  <c r="J164" i="10" a="1"/>
  <c r="J164" i="10" s="1"/>
  <c r="I164" i="10" a="1"/>
  <c r="I164" i="10" s="1"/>
  <c r="H164" i="10" a="1"/>
  <c r="H164" i="10" s="1"/>
  <c r="G164" i="10" a="1"/>
  <c r="G164" i="10" s="1"/>
  <c r="F164" i="10" a="1"/>
  <c r="F164" i="10" s="1"/>
  <c r="E164" i="10" a="1"/>
  <c r="E164" i="10" s="1"/>
  <c r="J163" i="10" a="1"/>
  <c r="J163" i="10" s="1"/>
  <c r="I163" i="10" a="1"/>
  <c r="I163" i="10" s="1"/>
  <c r="H163" i="10" a="1"/>
  <c r="H163" i="10" s="1"/>
  <c r="G163" i="10" a="1"/>
  <c r="G163" i="10" s="1"/>
  <c r="F163" i="10" a="1"/>
  <c r="F163" i="10" s="1"/>
  <c r="E163" i="10" a="1"/>
  <c r="E163" i="10" s="1"/>
  <c r="J162" i="10" a="1"/>
  <c r="J162" i="10" s="1"/>
  <c r="I162" i="10" a="1"/>
  <c r="I162" i="10" s="1"/>
  <c r="H162" i="10" a="1"/>
  <c r="H162" i="10" s="1"/>
  <c r="G162" i="10" a="1"/>
  <c r="G162" i="10" s="1"/>
  <c r="F162" i="10" a="1"/>
  <c r="F162" i="10" s="1"/>
  <c r="E162" i="10" a="1"/>
  <c r="E162" i="10" s="1"/>
  <c r="J161" i="10" a="1"/>
  <c r="J161" i="10" s="1"/>
  <c r="I161" i="10" a="1"/>
  <c r="I161" i="10" s="1"/>
  <c r="H161" i="10" a="1"/>
  <c r="H161" i="10" s="1"/>
  <c r="G161" i="10" a="1"/>
  <c r="G161" i="10" s="1"/>
  <c r="F161" i="10" a="1"/>
  <c r="F161" i="10" s="1"/>
  <c r="E161" i="10" a="1"/>
  <c r="E161" i="10" s="1"/>
  <c r="J160" i="10" a="1"/>
  <c r="J160" i="10" s="1"/>
  <c r="I160" i="10" a="1"/>
  <c r="I160" i="10" s="1"/>
  <c r="H160" i="10" a="1"/>
  <c r="H160" i="10" s="1"/>
  <c r="G160" i="10" a="1"/>
  <c r="G160" i="10" s="1"/>
  <c r="F160" i="10" a="1"/>
  <c r="F160" i="10" s="1"/>
  <c r="E160" i="10" a="1"/>
  <c r="E160" i="10" s="1"/>
  <c r="J159" i="10" a="1"/>
  <c r="J159" i="10" s="1"/>
  <c r="I159" i="10" a="1"/>
  <c r="I159" i="10" s="1"/>
  <c r="H159" i="10" a="1"/>
  <c r="H159" i="10" s="1"/>
  <c r="G159" i="10" a="1"/>
  <c r="G159" i="10" s="1"/>
  <c r="F159" i="10" a="1"/>
  <c r="F159" i="10" s="1"/>
  <c r="E159" i="10" a="1"/>
  <c r="E159" i="10" s="1"/>
  <c r="J158" i="10" a="1"/>
  <c r="J158" i="10" s="1"/>
  <c r="I158" i="10" a="1"/>
  <c r="I158" i="10" s="1"/>
  <c r="H158" i="10" a="1"/>
  <c r="H158" i="10" s="1"/>
  <c r="G158" i="10" a="1"/>
  <c r="G158" i="10" s="1"/>
  <c r="F158" i="10" a="1"/>
  <c r="F158" i="10" s="1"/>
  <c r="E158" i="10" a="1"/>
  <c r="E158" i="10" s="1"/>
  <c r="J157" i="10" a="1"/>
  <c r="J157" i="10" s="1"/>
  <c r="I157" i="10" a="1"/>
  <c r="I157" i="10" s="1"/>
  <c r="H157" i="10" a="1"/>
  <c r="H157" i="10" s="1"/>
  <c r="G157" i="10" a="1"/>
  <c r="G157" i="10" s="1"/>
  <c r="F157" i="10" a="1"/>
  <c r="F157" i="10" s="1"/>
  <c r="E157" i="10" a="1"/>
  <c r="E157" i="10" s="1"/>
  <c r="J156" i="10" a="1"/>
  <c r="J156" i="10" s="1"/>
  <c r="I156" i="10" a="1"/>
  <c r="I156" i="10" s="1"/>
  <c r="H156" i="10" a="1"/>
  <c r="H156" i="10" s="1"/>
  <c r="G156" i="10" a="1"/>
  <c r="G156" i="10" s="1"/>
  <c r="F156" i="10" a="1"/>
  <c r="F156" i="10" s="1"/>
  <c r="E156" i="10" a="1"/>
  <c r="E156" i="10" s="1"/>
  <c r="J155" i="10" a="1"/>
  <c r="J155" i="10" s="1"/>
  <c r="I155" i="10" a="1"/>
  <c r="I155" i="10" s="1"/>
  <c r="H155" i="10" a="1"/>
  <c r="H155" i="10" s="1"/>
  <c r="G155" i="10" a="1"/>
  <c r="G155" i="10" s="1"/>
  <c r="F155" i="10" a="1"/>
  <c r="F155" i="10" s="1"/>
  <c r="E155" i="10" a="1"/>
  <c r="E155" i="10" s="1"/>
  <c r="J154" i="10" a="1"/>
  <c r="J154" i="10" s="1"/>
  <c r="I154" i="10" a="1"/>
  <c r="I154" i="10" s="1"/>
  <c r="H154" i="10" a="1"/>
  <c r="H154" i="10" s="1"/>
  <c r="G154" i="10" a="1"/>
  <c r="G154" i="10" s="1"/>
  <c r="F154" i="10" a="1"/>
  <c r="F154" i="10" s="1"/>
  <c r="E154" i="10" a="1"/>
  <c r="E154" i="10" s="1"/>
  <c r="J153" i="10" a="1"/>
  <c r="J153" i="10" s="1"/>
  <c r="I153" i="10" a="1"/>
  <c r="I153" i="10" s="1"/>
  <c r="H153" i="10" a="1"/>
  <c r="H153" i="10" s="1"/>
  <c r="G153" i="10" a="1"/>
  <c r="G153" i="10" s="1"/>
  <c r="F153" i="10" a="1"/>
  <c r="F153" i="10" s="1"/>
  <c r="E153" i="10" a="1"/>
  <c r="E153" i="10" s="1"/>
  <c r="J152" i="10" a="1"/>
  <c r="J152" i="10" s="1"/>
  <c r="I152" i="10" a="1"/>
  <c r="I152" i="10" s="1"/>
  <c r="H152" i="10" a="1"/>
  <c r="H152" i="10" s="1"/>
  <c r="G152" i="10" a="1"/>
  <c r="G152" i="10" s="1"/>
  <c r="F152" i="10" a="1"/>
  <c r="F152" i="10" s="1"/>
  <c r="E152" i="10" a="1"/>
  <c r="E152" i="10" s="1"/>
  <c r="J151" i="10" a="1"/>
  <c r="J151" i="10" s="1"/>
  <c r="I151" i="10" a="1"/>
  <c r="I151" i="10" s="1"/>
  <c r="H151" i="10" a="1"/>
  <c r="H151" i="10" s="1"/>
  <c r="G151" i="10" a="1"/>
  <c r="G151" i="10" s="1"/>
  <c r="F151" i="10" a="1"/>
  <c r="F151" i="10" s="1"/>
  <c r="E151" i="10" a="1"/>
  <c r="E151" i="10" s="1"/>
  <c r="J150" i="10" a="1"/>
  <c r="J150" i="10" s="1"/>
  <c r="I150" i="10" a="1"/>
  <c r="I150" i="10" s="1"/>
  <c r="H150" i="10" a="1"/>
  <c r="H150" i="10" s="1"/>
  <c r="G150" i="10" a="1"/>
  <c r="G150" i="10" s="1"/>
  <c r="F150" i="10" a="1"/>
  <c r="F150" i="10" s="1"/>
  <c r="E150" i="10" a="1"/>
  <c r="E150" i="10" s="1"/>
  <c r="J149" i="10" a="1"/>
  <c r="J149" i="10" s="1"/>
  <c r="I149" i="10" a="1"/>
  <c r="I149" i="10" s="1"/>
  <c r="H149" i="10" a="1"/>
  <c r="H149" i="10" s="1"/>
  <c r="G149" i="10" a="1"/>
  <c r="G149" i="10" s="1"/>
  <c r="F149" i="10" a="1"/>
  <c r="F149" i="10" s="1"/>
  <c r="E149" i="10" a="1"/>
  <c r="E149" i="10" s="1"/>
  <c r="J148" i="10" a="1"/>
  <c r="J148" i="10" s="1"/>
  <c r="I148" i="10" a="1"/>
  <c r="I148" i="10" s="1"/>
  <c r="H148" i="10" a="1"/>
  <c r="H148" i="10" s="1"/>
  <c r="G148" i="10" a="1"/>
  <c r="G148" i="10" s="1"/>
  <c r="F148" i="10" a="1"/>
  <c r="F148" i="10" s="1"/>
  <c r="E148" i="10" a="1"/>
  <c r="E148" i="10" s="1"/>
  <c r="J147" i="10" a="1"/>
  <c r="J147" i="10" s="1"/>
  <c r="I147" i="10" a="1"/>
  <c r="I147" i="10" s="1"/>
  <c r="H147" i="10" a="1"/>
  <c r="H147" i="10" s="1"/>
  <c r="G147" i="10" a="1"/>
  <c r="G147" i="10" s="1"/>
  <c r="F147" i="10" a="1"/>
  <c r="F147" i="10" s="1"/>
  <c r="E147" i="10" a="1"/>
  <c r="E147" i="10" s="1"/>
  <c r="J146" i="10" a="1"/>
  <c r="J146" i="10" s="1"/>
  <c r="I146" i="10" a="1"/>
  <c r="I146" i="10" s="1"/>
  <c r="H146" i="10" a="1"/>
  <c r="H146" i="10" s="1"/>
  <c r="G146" i="10" a="1"/>
  <c r="G146" i="10" s="1"/>
  <c r="F146" i="10" a="1"/>
  <c r="F146" i="10" s="1"/>
  <c r="E146" i="10" a="1"/>
  <c r="E146" i="10" s="1"/>
  <c r="J145" i="10" a="1"/>
  <c r="J145" i="10" s="1"/>
  <c r="I145" i="10" a="1"/>
  <c r="I145" i="10" s="1"/>
  <c r="H145" i="10" a="1"/>
  <c r="H145" i="10" s="1"/>
  <c r="G145" i="10" a="1"/>
  <c r="G145" i="10" s="1"/>
  <c r="F145" i="10" a="1"/>
  <c r="F145" i="10" s="1"/>
  <c r="E145" i="10" a="1"/>
  <c r="E145" i="10" s="1"/>
  <c r="J144" i="10" a="1"/>
  <c r="J144" i="10" s="1"/>
  <c r="I144" i="10" a="1"/>
  <c r="I144" i="10" s="1"/>
  <c r="H144" i="10" a="1"/>
  <c r="H144" i="10" s="1"/>
  <c r="G144" i="10" a="1"/>
  <c r="G144" i="10" s="1"/>
  <c r="F144" i="10" a="1"/>
  <c r="F144" i="10" s="1"/>
  <c r="E144" i="10" a="1"/>
  <c r="E144" i="10" s="1"/>
  <c r="J143" i="10" a="1"/>
  <c r="J143" i="10" s="1"/>
  <c r="I143" i="10" a="1"/>
  <c r="I143" i="10" s="1"/>
  <c r="H143" i="10" a="1"/>
  <c r="H143" i="10" s="1"/>
  <c r="G143" i="10" a="1"/>
  <c r="G143" i="10" s="1"/>
  <c r="F143" i="10" a="1"/>
  <c r="F143" i="10" s="1"/>
  <c r="E143" i="10" a="1"/>
  <c r="E143" i="10" s="1"/>
  <c r="J142" i="10" a="1"/>
  <c r="J142" i="10" s="1"/>
  <c r="I142" i="10" a="1"/>
  <c r="I142" i="10" s="1"/>
  <c r="H142" i="10" a="1"/>
  <c r="H142" i="10" s="1"/>
  <c r="G142" i="10" a="1"/>
  <c r="G142" i="10" s="1"/>
  <c r="F142" i="10" a="1"/>
  <c r="F142" i="10" s="1"/>
  <c r="E142" i="10" a="1"/>
  <c r="E142" i="10" s="1"/>
  <c r="J141" i="10" a="1"/>
  <c r="J141" i="10" s="1"/>
  <c r="I141" i="10" a="1"/>
  <c r="I141" i="10" s="1"/>
  <c r="H141" i="10" a="1"/>
  <c r="H141" i="10" s="1"/>
  <c r="G141" i="10" a="1"/>
  <c r="G141" i="10" s="1"/>
  <c r="F141" i="10" a="1"/>
  <c r="F141" i="10" s="1"/>
  <c r="E141" i="10" a="1"/>
  <c r="E141" i="10" s="1"/>
  <c r="J140" i="10" a="1"/>
  <c r="J140" i="10" s="1"/>
  <c r="I140" i="10" a="1"/>
  <c r="I140" i="10" s="1"/>
  <c r="H140" i="10" a="1"/>
  <c r="H140" i="10" s="1"/>
  <c r="G140" i="10" a="1"/>
  <c r="G140" i="10" s="1"/>
  <c r="F140" i="10" a="1"/>
  <c r="F140" i="10" s="1"/>
  <c r="E140" i="10" a="1"/>
  <c r="E140" i="10" s="1"/>
  <c r="J139" i="10" a="1"/>
  <c r="J139" i="10" s="1"/>
  <c r="I139" i="10" a="1"/>
  <c r="I139" i="10" s="1"/>
  <c r="H139" i="10" a="1"/>
  <c r="H139" i="10" s="1"/>
  <c r="G139" i="10" a="1"/>
  <c r="G139" i="10" s="1"/>
  <c r="F139" i="10" a="1"/>
  <c r="F139" i="10" s="1"/>
  <c r="E139" i="10" a="1"/>
  <c r="E139" i="10" s="1"/>
  <c r="J138" i="10" a="1"/>
  <c r="J138" i="10" s="1"/>
  <c r="I138" i="10" a="1"/>
  <c r="I138" i="10" s="1"/>
  <c r="H138" i="10" a="1"/>
  <c r="H138" i="10" s="1"/>
  <c r="G138" i="10" a="1"/>
  <c r="G138" i="10" s="1"/>
  <c r="F138" i="10" a="1"/>
  <c r="F138" i="10" s="1"/>
  <c r="E138" i="10" a="1"/>
  <c r="E138" i="10" s="1"/>
  <c r="J137" i="10" a="1"/>
  <c r="J137" i="10" s="1"/>
  <c r="I137" i="10" a="1"/>
  <c r="I137" i="10" s="1"/>
  <c r="H137" i="10" a="1"/>
  <c r="H137" i="10" s="1"/>
  <c r="G137" i="10" a="1"/>
  <c r="G137" i="10" s="1"/>
  <c r="F137" i="10" a="1"/>
  <c r="F137" i="10" s="1"/>
  <c r="E137" i="10" a="1"/>
  <c r="E137" i="10" s="1"/>
  <c r="J136" i="10" a="1"/>
  <c r="J136" i="10" s="1"/>
  <c r="I136" i="10" a="1"/>
  <c r="I136" i="10" s="1"/>
  <c r="H136" i="10" a="1"/>
  <c r="H136" i="10" s="1"/>
  <c r="G136" i="10" a="1"/>
  <c r="G136" i="10" s="1"/>
  <c r="F136" i="10" a="1"/>
  <c r="F136" i="10" s="1"/>
  <c r="E136" i="10" a="1"/>
  <c r="E136" i="10" s="1"/>
  <c r="J135" i="10" a="1"/>
  <c r="J135" i="10" s="1"/>
  <c r="I135" i="10" a="1"/>
  <c r="I135" i="10" s="1"/>
  <c r="H135" i="10" a="1"/>
  <c r="H135" i="10" s="1"/>
  <c r="G135" i="10" a="1"/>
  <c r="G135" i="10" s="1"/>
  <c r="F135" i="10" a="1"/>
  <c r="F135" i="10" s="1"/>
  <c r="E135" i="10" a="1"/>
  <c r="E135" i="10" s="1"/>
  <c r="J134" i="10" a="1"/>
  <c r="J134" i="10" s="1"/>
  <c r="I134" i="10" a="1"/>
  <c r="I134" i="10" s="1"/>
  <c r="H134" i="10" a="1"/>
  <c r="H134" i="10" s="1"/>
  <c r="G134" i="10" a="1"/>
  <c r="G134" i="10" s="1"/>
  <c r="F134" i="10" a="1"/>
  <c r="F134" i="10" s="1"/>
  <c r="E134" i="10" a="1"/>
  <c r="E134" i="10" s="1"/>
  <c r="J133" i="10" a="1"/>
  <c r="J133" i="10" s="1"/>
  <c r="I133" i="10" a="1"/>
  <c r="I133" i="10" s="1"/>
  <c r="H133" i="10" a="1"/>
  <c r="H133" i="10" s="1"/>
  <c r="G133" i="10" a="1"/>
  <c r="G133" i="10" s="1"/>
  <c r="F133" i="10" a="1"/>
  <c r="F133" i="10" s="1"/>
  <c r="E133" i="10" a="1"/>
  <c r="E133" i="10" s="1"/>
  <c r="J132" i="10" a="1"/>
  <c r="J132" i="10" s="1"/>
  <c r="I132" i="10" a="1"/>
  <c r="I132" i="10" s="1"/>
  <c r="H132" i="10" a="1"/>
  <c r="H132" i="10" s="1"/>
  <c r="G132" i="10" a="1"/>
  <c r="G132" i="10" s="1"/>
  <c r="F132" i="10" a="1"/>
  <c r="F132" i="10" s="1"/>
  <c r="E132" i="10" a="1"/>
  <c r="E132" i="10" s="1"/>
  <c r="J131" i="10" a="1"/>
  <c r="J131" i="10" s="1"/>
  <c r="I131" i="10" a="1"/>
  <c r="I131" i="10" s="1"/>
  <c r="H131" i="10" a="1"/>
  <c r="H131" i="10" s="1"/>
  <c r="G131" i="10" a="1"/>
  <c r="G131" i="10" s="1"/>
  <c r="F131" i="10" a="1"/>
  <c r="F131" i="10" s="1"/>
  <c r="E131" i="10" a="1"/>
  <c r="E131" i="10" s="1"/>
  <c r="J130" i="10" a="1"/>
  <c r="J130" i="10" s="1"/>
  <c r="I130" i="10" a="1"/>
  <c r="I130" i="10" s="1"/>
  <c r="H130" i="10" a="1"/>
  <c r="H130" i="10" s="1"/>
  <c r="G130" i="10" a="1"/>
  <c r="G130" i="10" s="1"/>
  <c r="F130" i="10" a="1"/>
  <c r="F130" i="10" s="1"/>
  <c r="E130" i="10" a="1"/>
  <c r="E130" i="10" s="1"/>
  <c r="J129" i="10" a="1"/>
  <c r="J129" i="10" s="1"/>
  <c r="I129" i="10" a="1"/>
  <c r="I129" i="10" s="1"/>
  <c r="H129" i="10" a="1"/>
  <c r="H129" i="10" s="1"/>
  <c r="G129" i="10" a="1"/>
  <c r="G129" i="10" s="1"/>
  <c r="F129" i="10" a="1"/>
  <c r="F129" i="10" s="1"/>
  <c r="E129" i="10" a="1"/>
  <c r="E129" i="10" s="1"/>
  <c r="J128" i="10" a="1"/>
  <c r="J128" i="10" s="1"/>
  <c r="I128" i="10" a="1"/>
  <c r="I128" i="10" s="1"/>
  <c r="H128" i="10" a="1"/>
  <c r="H128" i="10" s="1"/>
  <c r="G128" i="10" a="1"/>
  <c r="G128" i="10" s="1"/>
  <c r="F128" i="10" a="1"/>
  <c r="F128" i="10" s="1"/>
  <c r="E128" i="10" a="1"/>
  <c r="E128" i="10" s="1"/>
  <c r="J127" i="10" a="1"/>
  <c r="J127" i="10" s="1"/>
  <c r="I127" i="10" a="1"/>
  <c r="I127" i="10" s="1"/>
  <c r="H127" i="10" a="1"/>
  <c r="H127" i="10" s="1"/>
  <c r="G127" i="10" a="1"/>
  <c r="G127" i="10" s="1"/>
  <c r="F127" i="10" a="1"/>
  <c r="F127" i="10" s="1"/>
  <c r="E127" i="10" a="1"/>
  <c r="E127" i="10" s="1"/>
  <c r="J126" i="10" a="1"/>
  <c r="J126" i="10" s="1"/>
  <c r="I126" i="10" a="1"/>
  <c r="I126" i="10" s="1"/>
  <c r="H126" i="10" a="1"/>
  <c r="H126" i="10" s="1"/>
  <c r="G126" i="10" a="1"/>
  <c r="G126" i="10" s="1"/>
  <c r="F126" i="10" a="1"/>
  <c r="F126" i="10" s="1"/>
  <c r="E126" i="10" a="1"/>
  <c r="E126" i="10" s="1"/>
  <c r="J125" i="10" a="1"/>
  <c r="J125" i="10" s="1"/>
  <c r="I125" i="10" a="1"/>
  <c r="I125" i="10" s="1"/>
  <c r="H125" i="10" a="1"/>
  <c r="H125" i="10" s="1"/>
  <c r="G125" i="10" a="1"/>
  <c r="G125" i="10" s="1"/>
  <c r="F125" i="10" a="1"/>
  <c r="F125" i="10" s="1"/>
  <c r="E125" i="10" a="1"/>
  <c r="E125" i="10" s="1"/>
  <c r="J124" i="10" a="1"/>
  <c r="J124" i="10" s="1"/>
  <c r="I124" i="10" a="1"/>
  <c r="I124" i="10" s="1"/>
  <c r="H124" i="10" a="1"/>
  <c r="H124" i="10" s="1"/>
  <c r="G124" i="10" a="1"/>
  <c r="G124" i="10" s="1"/>
  <c r="F124" i="10" a="1"/>
  <c r="F124" i="10" s="1"/>
  <c r="E124" i="10" a="1"/>
  <c r="E124" i="10" s="1"/>
  <c r="J123" i="10" a="1"/>
  <c r="J123" i="10" s="1"/>
  <c r="I123" i="10" a="1"/>
  <c r="I123" i="10" s="1"/>
  <c r="H123" i="10" a="1"/>
  <c r="H123" i="10" s="1"/>
  <c r="G123" i="10" a="1"/>
  <c r="G123" i="10" s="1"/>
  <c r="F123" i="10" a="1"/>
  <c r="F123" i="10" s="1"/>
  <c r="E123" i="10" a="1"/>
  <c r="E123" i="10" s="1"/>
  <c r="J122" i="10" a="1"/>
  <c r="J122" i="10" s="1"/>
  <c r="I122" i="10" a="1"/>
  <c r="I122" i="10" s="1"/>
  <c r="H122" i="10" a="1"/>
  <c r="H122" i="10" s="1"/>
  <c r="G122" i="10" a="1"/>
  <c r="G122" i="10" s="1"/>
  <c r="F122" i="10" a="1"/>
  <c r="F122" i="10" s="1"/>
  <c r="E122" i="10" a="1"/>
  <c r="E122" i="10" s="1"/>
  <c r="J121" i="10" a="1"/>
  <c r="J121" i="10" s="1"/>
  <c r="I121" i="10" a="1"/>
  <c r="I121" i="10" s="1"/>
  <c r="H121" i="10" a="1"/>
  <c r="H121" i="10" s="1"/>
  <c r="G121" i="10" a="1"/>
  <c r="G121" i="10" s="1"/>
  <c r="F121" i="10" a="1"/>
  <c r="F121" i="10" s="1"/>
  <c r="E121" i="10" a="1"/>
  <c r="E121" i="10" s="1"/>
  <c r="J120" i="10" a="1"/>
  <c r="J120" i="10" s="1"/>
  <c r="I120" i="10" a="1"/>
  <c r="I120" i="10" s="1"/>
  <c r="H120" i="10" a="1"/>
  <c r="H120" i="10" s="1"/>
  <c r="G120" i="10" a="1"/>
  <c r="G120" i="10" s="1"/>
  <c r="F120" i="10" a="1"/>
  <c r="F120" i="10" s="1"/>
  <c r="E120" i="10" a="1"/>
  <c r="E120" i="10" s="1"/>
  <c r="J119" i="10" a="1"/>
  <c r="J119" i="10" s="1"/>
  <c r="I119" i="10" a="1"/>
  <c r="I119" i="10" s="1"/>
  <c r="H119" i="10" a="1"/>
  <c r="H119" i="10" s="1"/>
  <c r="G119" i="10" a="1"/>
  <c r="G119" i="10" s="1"/>
  <c r="F119" i="10" a="1"/>
  <c r="F119" i="10" s="1"/>
  <c r="E119" i="10" a="1"/>
  <c r="E119" i="10" s="1"/>
  <c r="J118" i="10" a="1"/>
  <c r="J118" i="10" s="1"/>
  <c r="I118" i="10" a="1"/>
  <c r="I118" i="10" s="1"/>
  <c r="H118" i="10" a="1"/>
  <c r="H118" i="10" s="1"/>
  <c r="G118" i="10" a="1"/>
  <c r="G118" i="10" s="1"/>
  <c r="F118" i="10" a="1"/>
  <c r="F118" i="10" s="1"/>
  <c r="E118" i="10" a="1"/>
  <c r="E118" i="10" s="1"/>
  <c r="J117" i="10" a="1"/>
  <c r="J117" i="10" s="1"/>
  <c r="I117" i="10" a="1"/>
  <c r="I117" i="10" s="1"/>
  <c r="H117" i="10" a="1"/>
  <c r="H117" i="10" s="1"/>
  <c r="G117" i="10" a="1"/>
  <c r="G117" i="10" s="1"/>
  <c r="F117" i="10" a="1"/>
  <c r="F117" i="10" s="1"/>
  <c r="E117" i="10" a="1"/>
  <c r="E117" i="10" s="1"/>
  <c r="J116" i="10" a="1"/>
  <c r="J116" i="10" s="1"/>
  <c r="I116" i="10" a="1"/>
  <c r="I116" i="10" s="1"/>
  <c r="H116" i="10" a="1"/>
  <c r="H116" i="10" s="1"/>
  <c r="G116" i="10" a="1"/>
  <c r="G116" i="10" s="1"/>
  <c r="F116" i="10" a="1"/>
  <c r="F116" i="10" s="1"/>
  <c r="E116" i="10" a="1"/>
  <c r="E116" i="10" s="1"/>
  <c r="J115" i="10" a="1"/>
  <c r="J115" i="10" s="1"/>
  <c r="I115" i="10" a="1"/>
  <c r="I115" i="10" s="1"/>
  <c r="H115" i="10" a="1"/>
  <c r="H115" i="10" s="1"/>
  <c r="G115" i="10" a="1"/>
  <c r="G115" i="10" s="1"/>
  <c r="F115" i="10" a="1"/>
  <c r="F115" i="10" s="1"/>
  <c r="E115" i="10" a="1"/>
  <c r="E115" i="10" s="1"/>
  <c r="J114" i="10" a="1"/>
  <c r="J114" i="10" s="1"/>
  <c r="I114" i="10" a="1"/>
  <c r="I114" i="10" s="1"/>
  <c r="H114" i="10" a="1"/>
  <c r="H114" i="10" s="1"/>
  <c r="G114" i="10" a="1"/>
  <c r="G114" i="10" s="1"/>
  <c r="F114" i="10" a="1"/>
  <c r="F114" i="10" s="1"/>
  <c r="E114" i="10" a="1"/>
  <c r="E114" i="10" s="1"/>
  <c r="J113" i="10" a="1"/>
  <c r="J113" i="10" s="1"/>
  <c r="I113" i="10" a="1"/>
  <c r="I113" i="10" s="1"/>
  <c r="H113" i="10" a="1"/>
  <c r="H113" i="10" s="1"/>
  <c r="G113" i="10" a="1"/>
  <c r="G113" i="10" s="1"/>
  <c r="F113" i="10" a="1"/>
  <c r="F113" i="10" s="1"/>
  <c r="E113" i="10" a="1"/>
  <c r="E113" i="10" s="1"/>
  <c r="J112" i="10" a="1"/>
  <c r="J112" i="10" s="1"/>
  <c r="I112" i="10" a="1"/>
  <c r="I112" i="10" s="1"/>
  <c r="H112" i="10" a="1"/>
  <c r="H112" i="10" s="1"/>
  <c r="G112" i="10" a="1"/>
  <c r="G112" i="10" s="1"/>
  <c r="F112" i="10" a="1"/>
  <c r="F112" i="10" s="1"/>
  <c r="E112" i="10" a="1"/>
  <c r="E112" i="10" s="1"/>
  <c r="J111" i="10" a="1"/>
  <c r="J111" i="10" s="1"/>
  <c r="I111" i="10" a="1"/>
  <c r="I111" i="10" s="1"/>
  <c r="H111" i="10" a="1"/>
  <c r="H111" i="10" s="1"/>
  <c r="G111" i="10" a="1"/>
  <c r="G111" i="10" s="1"/>
  <c r="F111" i="10" a="1"/>
  <c r="F111" i="10" s="1"/>
  <c r="E111" i="10" a="1"/>
  <c r="E111" i="10" s="1"/>
  <c r="J110" i="10" a="1"/>
  <c r="J110" i="10" s="1"/>
  <c r="I110" i="10" a="1"/>
  <c r="I110" i="10" s="1"/>
  <c r="H110" i="10" a="1"/>
  <c r="H110" i="10" s="1"/>
  <c r="G110" i="10" a="1"/>
  <c r="G110" i="10" s="1"/>
  <c r="F110" i="10" a="1"/>
  <c r="F110" i="10" s="1"/>
  <c r="E110" i="10" a="1"/>
  <c r="E110" i="10" s="1"/>
  <c r="J109" i="10" a="1"/>
  <c r="J109" i="10" s="1"/>
  <c r="I109" i="10" a="1"/>
  <c r="I109" i="10" s="1"/>
  <c r="H109" i="10" a="1"/>
  <c r="H109" i="10" s="1"/>
  <c r="G109" i="10" a="1"/>
  <c r="G109" i="10" s="1"/>
  <c r="F109" i="10" a="1"/>
  <c r="F109" i="10" s="1"/>
  <c r="E109" i="10" a="1"/>
  <c r="E109" i="10" s="1"/>
  <c r="J108" i="10" a="1"/>
  <c r="J108" i="10" s="1"/>
  <c r="I108" i="10" a="1"/>
  <c r="I108" i="10" s="1"/>
  <c r="H108" i="10" a="1"/>
  <c r="H108" i="10" s="1"/>
  <c r="G108" i="10" a="1"/>
  <c r="G108" i="10" s="1"/>
  <c r="F108" i="10" a="1"/>
  <c r="F108" i="10" s="1"/>
  <c r="E108" i="10" a="1"/>
  <c r="E108" i="10" s="1"/>
  <c r="J107" i="10" a="1"/>
  <c r="J107" i="10" s="1"/>
  <c r="I107" i="10" a="1"/>
  <c r="I107" i="10" s="1"/>
  <c r="H107" i="10" a="1"/>
  <c r="H107" i="10" s="1"/>
  <c r="G107" i="10" a="1"/>
  <c r="G107" i="10" s="1"/>
  <c r="F107" i="10" a="1"/>
  <c r="F107" i="10" s="1"/>
  <c r="E107" i="10" a="1"/>
  <c r="E107" i="10" s="1"/>
  <c r="J106" i="10" a="1"/>
  <c r="J106" i="10" s="1"/>
  <c r="I106" i="10" a="1"/>
  <c r="I106" i="10" s="1"/>
  <c r="H106" i="10" a="1"/>
  <c r="H106" i="10" s="1"/>
  <c r="G106" i="10" a="1"/>
  <c r="G106" i="10" s="1"/>
  <c r="F106" i="10" a="1"/>
  <c r="F106" i="10" s="1"/>
  <c r="E106" i="10" a="1"/>
  <c r="E106" i="10" s="1"/>
  <c r="J105" i="10" a="1"/>
  <c r="J105" i="10" s="1"/>
  <c r="I105" i="10" a="1"/>
  <c r="I105" i="10" s="1"/>
  <c r="H105" i="10" a="1"/>
  <c r="H105" i="10" s="1"/>
  <c r="G105" i="10" a="1"/>
  <c r="G105" i="10" s="1"/>
  <c r="F105" i="10" a="1"/>
  <c r="F105" i="10" s="1"/>
  <c r="E105" i="10" a="1"/>
  <c r="E105" i="10" s="1"/>
  <c r="J104" i="10" a="1"/>
  <c r="J104" i="10" s="1"/>
  <c r="I104" i="10" a="1"/>
  <c r="I104" i="10" s="1"/>
  <c r="H104" i="10" a="1"/>
  <c r="H104" i="10" s="1"/>
  <c r="G104" i="10" a="1"/>
  <c r="G104" i="10" s="1"/>
  <c r="F104" i="10" a="1"/>
  <c r="F104" i="10" s="1"/>
  <c r="E104" i="10" a="1"/>
  <c r="E104" i="10" s="1"/>
  <c r="J103" i="10" a="1"/>
  <c r="J103" i="10" s="1"/>
  <c r="I103" i="10" a="1"/>
  <c r="I103" i="10" s="1"/>
  <c r="H103" i="10" a="1"/>
  <c r="H103" i="10" s="1"/>
  <c r="G103" i="10" a="1"/>
  <c r="G103" i="10" s="1"/>
  <c r="F103" i="10" a="1"/>
  <c r="F103" i="10" s="1"/>
  <c r="E103" i="10" a="1"/>
  <c r="E103" i="10" s="1"/>
  <c r="J102" i="10" a="1"/>
  <c r="J102" i="10" s="1"/>
  <c r="I102" i="10" a="1"/>
  <c r="I102" i="10" s="1"/>
  <c r="H102" i="10" a="1"/>
  <c r="H102" i="10" s="1"/>
  <c r="G102" i="10" a="1"/>
  <c r="G102" i="10" s="1"/>
  <c r="F102" i="10" a="1"/>
  <c r="F102" i="10" s="1"/>
  <c r="E102" i="10" a="1"/>
  <c r="E102" i="10" s="1"/>
  <c r="J101" i="10" a="1"/>
  <c r="J101" i="10" s="1"/>
  <c r="I101" i="10" a="1"/>
  <c r="I101" i="10" s="1"/>
  <c r="H101" i="10" a="1"/>
  <c r="H101" i="10" s="1"/>
  <c r="G101" i="10" a="1"/>
  <c r="G101" i="10" s="1"/>
  <c r="F101" i="10" a="1"/>
  <c r="F101" i="10" s="1"/>
  <c r="E101" i="10" a="1"/>
  <c r="E101" i="10" s="1"/>
  <c r="J100" i="10" a="1"/>
  <c r="J100" i="10" s="1"/>
  <c r="I100" i="10" a="1"/>
  <c r="I100" i="10" s="1"/>
  <c r="H100" i="10" a="1"/>
  <c r="H100" i="10" s="1"/>
  <c r="G100" i="10" a="1"/>
  <c r="G100" i="10" s="1"/>
  <c r="F100" i="10" a="1"/>
  <c r="F100" i="10" s="1"/>
  <c r="E100" i="10" a="1"/>
  <c r="E100" i="10" s="1"/>
  <c r="J99" i="10" a="1"/>
  <c r="J99" i="10" s="1"/>
  <c r="I99" i="10" a="1"/>
  <c r="I99" i="10" s="1"/>
  <c r="H99" i="10" a="1"/>
  <c r="H99" i="10" s="1"/>
  <c r="G99" i="10" a="1"/>
  <c r="G99" i="10" s="1"/>
  <c r="F99" i="10" a="1"/>
  <c r="F99" i="10" s="1"/>
  <c r="E99" i="10" a="1"/>
  <c r="E99" i="10" s="1"/>
  <c r="J98" i="10" a="1"/>
  <c r="J98" i="10" s="1"/>
  <c r="I98" i="10" a="1"/>
  <c r="I98" i="10" s="1"/>
  <c r="H98" i="10" a="1"/>
  <c r="H98" i="10" s="1"/>
  <c r="G98" i="10" a="1"/>
  <c r="G98" i="10" s="1"/>
  <c r="F98" i="10" a="1"/>
  <c r="F98" i="10" s="1"/>
  <c r="E98" i="10" a="1"/>
  <c r="E98" i="10" s="1"/>
  <c r="J97" i="10" a="1"/>
  <c r="J97" i="10" s="1"/>
  <c r="I97" i="10" a="1"/>
  <c r="I97" i="10" s="1"/>
  <c r="H97" i="10" a="1"/>
  <c r="H97" i="10" s="1"/>
  <c r="G97" i="10" a="1"/>
  <c r="G97" i="10" s="1"/>
  <c r="F97" i="10" a="1"/>
  <c r="F97" i="10" s="1"/>
  <c r="E97" i="10" a="1"/>
  <c r="E97" i="10" s="1"/>
  <c r="J96" i="10" a="1"/>
  <c r="J96" i="10" s="1"/>
  <c r="I96" i="10" a="1"/>
  <c r="I96" i="10" s="1"/>
  <c r="H96" i="10" a="1"/>
  <c r="H96" i="10" s="1"/>
  <c r="G96" i="10" a="1"/>
  <c r="G96" i="10" s="1"/>
  <c r="F96" i="10" a="1"/>
  <c r="F96" i="10" s="1"/>
  <c r="E96" i="10" a="1"/>
  <c r="E96" i="10" s="1"/>
  <c r="J95" i="10" a="1"/>
  <c r="J95" i="10" s="1"/>
  <c r="I95" i="10" a="1"/>
  <c r="I95" i="10" s="1"/>
  <c r="H95" i="10" a="1"/>
  <c r="H95" i="10" s="1"/>
  <c r="G95" i="10" a="1"/>
  <c r="G95" i="10" s="1"/>
  <c r="F95" i="10" a="1"/>
  <c r="F95" i="10" s="1"/>
  <c r="E95" i="10" a="1"/>
  <c r="E95" i="10" s="1"/>
  <c r="J94" i="10" a="1"/>
  <c r="J94" i="10" s="1"/>
  <c r="I94" i="10" a="1"/>
  <c r="I94" i="10" s="1"/>
  <c r="H94" i="10" a="1"/>
  <c r="H94" i="10" s="1"/>
  <c r="G94" i="10" a="1"/>
  <c r="G94" i="10" s="1"/>
  <c r="F94" i="10" a="1"/>
  <c r="F94" i="10" s="1"/>
  <c r="E94" i="10" a="1"/>
  <c r="E94" i="10" s="1"/>
  <c r="J93" i="10" a="1"/>
  <c r="J93" i="10" s="1"/>
  <c r="I93" i="10" a="1"/>
  <c r="I93" i="10" s="1"/>
  <c r="H93" i="10" a="1"/>
  <c r="H93" i="10" s="1"/>
  <c r="G93" i="10" a="1"/>
  <c r="G93" i="10" s="1"/>
  <c r="F93" i="10" a="1"/>
  <c r="F93" i="10" s="1"/>
  <c r="E93" i="10" a="1"/>
  <c r="E93" i="10" s="1"/>
  <c r="J92" i="10" a="1"/>
  <c r="J92" i="10" s="1"/>
  <c r="I92" i="10" a="1"/>
  <c r="I92" i="10" s="1"/>
  <c r="H92" i="10" a="1"/>
  <c r="H92" i="10" s="1"/>
  <c r="G92" i="10" a="1"/>
  <c r="G92" i="10" s="1"/>
  <c r="F92" i="10" a="1"/>
  <c r="F92" i="10" s="1"/>
  <c r="E92" i="10" a="1"/>
  <c r="E92" i="10" s="1"/>
  <c r="J91" i="10" a="1"/>
  <c r="J91" i="10" s="1"/>
  <c r="I91" i="10" a="1"/>
  <c r="I91" i="10" s="1"/>
  <c r="H91" i="10" a="1"/>
  <c r="H91" i="10" s="1"/>
  <c r="G91" i="10" a="1"/>
  <c r="G91" i="10" s="1"/>
  <c r="F91" i="10" a="1"/>
  <c r="F91" i="10" s="1"/>
  <c r="E91" i="10" a="1"/>
  <c r="E91" i="10" s="1"/>
  <c r="J90" i="10" a="1"/>
  <c r="J90" i="10" s="1"/>
  <c r="I90" i="10" a="1"/>
  <c r="I90" i="10" s="1"/>
  <c r="H90" i="10" a="1"/>
  <c r="H90" i="10" s="1"/>
  <c r="G90" i="10" a="1"/>
  <c r="G90" i="10" s="1"/>
  <c r="F90" i="10" a="1"/>
  <c r="F90" i="10" s="1"/>
  <c r="E90" i="10" a="1"/>
  <c r="E90" i="10" s="1"/>
  <c r="J89" i="10" a="1"/>
  <c r="J89" i="10" s="1"/>
  <c r="I89" i="10" a="1"/>
  <c r="I89" i="10" s="1"/>
  <c r="H89" i="10" a="1"/>
  <c r="H89" i="10" s="1"/>
  <c r="G89" i="10" a="1"/>
  <c r="G89" i="10" s="1"/>
  <c r="F89" i="10" a="1"/>
  <c r="F89" i="10" s="1"/>
  <c r="E89" i="10" a="1"/>
  <c r="E89" i="10" s="1"/>
  <c r="J88" i="10" a="1"/>
  <c r="J88" i="10" s="1"/>
  <c r="I88" i="10" a="1"/>
  <c r="I88" i="10" s="1"/>
  <c r="H88" i="10" a="1"/>
  <c r="H88" i="10" s="1"/>
  <c r="G88" i="10" a="1"/>
  <c r="G88" i="10" s="1"/>
  <c r="F88" i="10" a="1"/>
  <c r="F88" i="10" s="1"/>
  <c r="E88" i="10" a="1"/>
  <c r="E88" i="10" s="1"/>
  <c r="J87" i="10" a="1"/>
  <c r="J87" i="10" s="1"/>
  <c r="I87" i="10" a="1"/>
  <c r="I87" i="10" s="1"/>
  <c r="H87" i="10" a="1"/>
  <c r="H87" i="10" s="1"/>
  <c r="G87" i="10" a="1"/>
  <c r="G87" i="10" s="1"/>
  <c r="F87" i="10" a="1"/>
  <c r="F87" i="10" s="1"/>
  <c r="E87" i="10" a="1"/>
  <c r="E87" i="10" s="1"/>
  <c r="J86" i="10" a="1"/>
  <c r="J86" i="10" s="1"/>
  <c r="I86" i="10" a="1"/>
  <c r="I86" i="10" s="1"/>
  <c r="H86" i="10" a="1"/>
  <c r="H86" i="10" s="1"/>
  <c r="G86" i="10" a="1"/>
  <c r="G86" i="10" s="1"/>
  <c r="F86" i="10" a="1"/>
  <c r="F86" i="10" s="1"/>
  <c r="E86" i="10" a="1"/>
  <c r="E86" i="10" s="1"/>
  <c r="J85" i="10" a="1"/>
  <c r="J85" i="10" s="1"/>
  <c r="I85" i="10" a="1"/>
  <c r="I85" i="10" s="1"/>
  <c r="H85" i="10" a="1"/>
  <c r="H85" i="10" s="1"/>
  <c r="G85" i="10" a="1"/>
  <c r="G85" i="10" s="1"/>
  <c r="F85" i="10" a="1"/>
  <c r="F85" i="10" s="1"/>
  <c r="E85" i="10" a="1"/>
  <c r="E85" i="10" s="1"/>
  <c r="J84" i="10" a="1"/>
  <c r="J84" i="10" s="1"/>
  <c r="I84" i="10" a="1"/>
  <c r="I84" i="10" s="1"/>
  <c r="H84" i="10" a="1"/>
  <c r="H84" i="10" s="1"/>
  <c r="G84" i="10" a="1"/>
  <c r="G84" i="10" s="1"/>
  <c r="F84" i="10" a="1"/>
  <c r="F84" i="10" s="1"/>
  <c r="E84" i="10" a="1"/>
  <c r="E84" i="10" s="1"/>
  <c r="J83" i="10" a="1"/>
  <c r="J83" i="10" s="1"/>
  <c r="I83" i="10" a="1"/>
  <c r="I83" i="10" s="1"/>
  <c r="H83" i="10" a="1"/>
  <c r="H83" i="10" s="1"/>
  <c r="G83" i="10" a="1"/>
  <c r="G83" i="10" s="1"/>
  <c r="F83" i="10" a="1"/>
  <c r="F83" i="10" s="1"/>
  <c r="E83" i="10" a="1"/>
  <c r="E83" i="10" s="1"/>
  <c r="J82" i="10" a="1"/>
  <c r="J82" i="10" s="1"/>
  <c r="I82" i="10" a="1"/>
  <c r="I82" i="10" s="1"/>
  <c r="H82" i="10" a="1"/>
  <c r="H82" i="10" s="1"/>
  <c r="G82" i="10" a="1"/>
  <c r="G82" i="10" s="1"/>
  <c r="F82" i="10" a="1"/>
  <c r="F82" i="10" s="1"/>
  <c r="E82" i="10" a="1"/>
  <c r="E82" i="10" s="1"/>
  <c r="J81" i="10" a="1"/>
  <c r="J81" i="10" s="1"/>
  <c r="I81" i="10" a="1"/>
  <c r="I81" i="10" s="1"/>
  <c r="H81" i="10" a="1"/>
  <c r="H81" i="10" s="1"/>
  <c r="G81" i="10" a="1"/>
  <c r="G81" i="10" s="1"/>
  <c r="F81" i="10" a="1"/>
  <c r="F81" i="10" s="1"/>
  <c r="E81" i="10" a="1"/>
  <c r="E81" i="10" s="1"/>
  <c r="J80" i="10" a="1"/>
  <c r="J80" i="10" s="1"/>
  <c r="I80" i="10" a="1"/>
  <c r="I80" i="10" s="1"/>
  <c r="H80" i="10" a="1"/>
  <c r="H80" i="10" s="1"/>
  <c r="G80" i="10" a="1"/>
  <c r="G80" i="10" s="1"/>
  <c r="F80" i="10" a="1"/>
  <c r="F80" i="10" s="1"/>
  <c r="E80" i="10" a="1"/>
  <c r="E80" i="10" s="1"/>
  <c r="J79" i="10" a="1"/>
  <c r="J79" i="10" s="1"/>
  <c r="I79" i="10" a="1"/>
  <c r="I79" i="10" s="1"/>
  <c r="H79" i="10" a="1"/>
  <c r="H79" i="10" s="1"/>
  <c r="G79" i="10" a="1"/>
  <c r="G79" i="10" s="1"/>
  <c r="F79" i="10" a="1"/>
  <c r="F79" i="10" s="1"/>
  <c r="E79" i="10" a="1"/>
  <c r="E79" i="10" s="1"/>
  <c r="J78" i="10" a="1"/>
  <c r="J78" i="10" s="1"/>
  <c r="I78" i="10" a="1"/>
  <c r="I78" i="10" s="1"/>
  <c r="H78" i="10" a="1"/>
  <c r="H78" i="10" s="1"/>
  <c r="G78" i="10" a="1"/>
  <c r="G78" i="10" s="1"/>
  <c r="F78" i="10" a="1"/>
  <c r="F78" i="10" s="1"/>
  <c r="E78" i="10" a="1"/>
  <c r="E78" i="10" s="1"/>
  <c r="J77" i="10" a="1"/>
  <c r="J77" i="10" s="1"/>
  <c r="I77" i="10" a="1"/>
  <c r="I77" i="10" s="1"/>
  <c r="H77" i="10" a="1"/>
  <c r="H77" i="10" s="1"/>
  <c r="G77" i="10" a="1"/>
  <c r="G77" i="10" s="1"/>
  <c r="F77" i="10" a="1"/>
  <c r="F77" i="10" s="1"/>
  <c r="E77" i="10" a="1"/>
  <c r="E77" i="10" s="1"/>
  <c r="J76" i="10" a="1"/>
  <c r="J76" i="10" s="1"/>
  <c r="I76" i="10" a="1"/>
  <c r="I76" i="10" s="1"/>
  <c r="H76" i="10" a="1"/>
  <c r="H76" i="10" s="1"/>
  <c r="G76" i="10" a="1"/>
  <c r="G76" i="10" s="1"/>
  <c r="F76" i="10" a="1"/>
  <c r="F76" i="10" s="1"/>
  <c r="E76" i="10" a="1"/>
  <c r="E76" i="10" s="1"/>
  <c r="J75" i="10" a="1"/>
  <c r="J75" i="10" s="1"/>
  <c r="I75" i="10" a="1"/>
  <c r="I75" i="10" s="1"/>
  <c r="H75" i="10" a="1"/>
  <c r="H75" i="10" s="1"/>
  <c r="G75" i="10" a="1"/>
  <c r="G75" i="10" s="1"/>
  <c r="F75" i="10" a="1"/>
  <c r="F75" i="10" s="1"/>
  <c r="E75" i="10" a="1"/>
  <c r="E75" i="10" s="1"/>
  <c r="J74" i="10" a="1"/>
  <c r="J74" i="10" s="1"/>
  <c r="I74" i="10" a="1"/>
  <c r="I74" i="10" s="1"/>
  <c r="H74" i="10" a="1"/>
  <c r="H74" i="10" s="1"/>
  <c r="G74" i="10" a="1"/>
  <c r="G74" i="10" s="1"/>
  <c r="F74" i="10" a="1"/>
  <c r="F74" i="10" s="1"/>
  <c r="E74" i="10" a="1"/>
  <c r="E74" i="10" s="1"/>
  <c r="J73" i="10" a="1"/>
  <c r="J73" i="10" s="1"/>
  <c r="I73" i="10" a="1"/>
  <c r="I73" i="10" s="1"/>
  <c r="H73" i="10" a="1"/>
  <c r="H73" i="10" s="1"/>
  <c r="G73" i="10" a="1"/>
  <c r="G73" i="10" s="1"/>
  <c r="F73" i="10" a="1"/>
  <c r="F73" i="10" s="1"/>
  <c r="E73" i="10" a="1"/>
  <c r="E73" i="10" s="1"/>
  <c r="J72" i="10" a="1"/>
  <c r="J72" i="10" s="1"/>
  <c r="I72" i="10" a="1"/>
  <c r="I72" i="10" s="1"/>
  <c r="H72" i="10" a="1"/>
  <c r="H72" i="10" s="1"/>
  <c r="G72" i="10" a="1"/>
  <c r="G72" i="10" s="1"/>
  <c r="F72" i="10" a="1"/>
  <c r="F72" i="10" s="1"/>
  <c r="E72" i="10" a="1"/>
  <c r="E72" i="10" s="1"/>
  <c r="J71" i="10" a="1"/>
  <c r="J71" i="10" s="1"/>
  <c r="I71" i="10" a="1"/>
  <c r="I71" i="10" s="1"/>
  <c r="H71" i="10" a="1"/>
  <c r="H71" i="10" s="1"/>
  <c r="G71" i="10" a="1"/>
  <c r="G71" i="10" s="1"/>
  <c r="F71" i="10" a="1"/>
  <c r="F71" i="10" s="1"/>
  <c r="E71" i="10" a="1"/>
  <c r="E71" i="10" s="1"/>
  <c r="J70" i="10" a="1"/>
  <c r="J70" i="10" s="1"/>
  <c r="I70" i="10" a="1"/>
  <c r="I70" i="10" s="1"/>
  <c r="H70" i="10" a="1"/>
  <c r="H70" i="10" s="1"/>
  <c r="G70" i="10" a="1"/>
  <c r="G70" i="10" s="1"/>
  <c r="F70" i="10" a="1"/>
  <c r="F70" i="10" s="1"/>
  <c r="E70" i="10" a="1"/>
  <c r="E70" i="10" s="1"/>
  <c r="J69" i="10" a="1"/>
  <c r="J69" i="10" s="1"/>
  <c r="I69" i="10" a="1"/>
  <c r="I69" i="10" s="1"/>
  <c r="H69" i="10" a="1"/>
  <c r="H69" i="10" s="1"/>
  <c r="G69" i="10" a="1"/>
  <c r="G69" i="10" s="1"/>
  <c r="F69" i="10" a="1"/>
  <c r="F69" i="10" s="1"/>
  <c r="E69" i="10" a="1"/>
  <c r="E69" i="10" s="1"/>
  <c r="J68" i="10" a="1"/>
  <c r="J68" i="10" s="1"/>
  <c r="I68" i="10" a="1"/>
  <c r="I68" i="10" s="1"/>
  <c r="H68" i="10" a="1"/>
  <c r="H68" i="10" s="1"/>
  <c r="G68" i="10" a="1"/>
  <c r="G68" i="10" s="1"/>
  <c r="F68" i="10" a="1"/>
  <c r="F68" i="10" s="1"/>
  <c r="E68" i="10" a="1"/>
  <c r="E68" i="10" s="1"/>
  <c r="J67" i="10" a="1"/>
  <c r="J67" i="10" s="1"/>
  <c r="I67" i="10" a="1"/>
  <c r="I67" i="10" s="1"/>
  <c r="H67" i="10" a="1"/>
  <c r="H67" i="10" s="1"/>
  <c r="G67" i="10" a="1"/>
  <c r="G67" i="10" s="1"/>
  <c r="F67" i="10" a="1"/>
  <c r="F67" i="10" s="1"/>
  <c r="E67" i="10" a="1"/>
  <c r="E67" i="10" s="1"/>
  <c r="J66" i="10" a="1"/>
  <c r="J66" i="10" s="1"/>
  <c r="I66" i="10" a="1"/>
  <c r="I66" i="10" s="1"/>
  <c r="H66" i="10" a="1"/>
  <c r="H66" i="10" s="1"/>
  <c r="G66" i="10" a="1"/>
  <c r="G66" i="10" s="1"/>
  <c r="F66" i="10" a="1"/>
  <c r="F66" i="10" s="1"/>
  <c r="E66" i="10" a="1"/>
  <c r="E66" i="10" s="1"/>
  <c r="J65" i="10" a="1"/>
  <c r="J65" i="10" s="1"/>
  <c r="I65" i="10" a="1"/>
  <c r="I65" i="10" s="1"/>
  <c r="H65" i="10" a="1"/>
  <c r="H65" i="10" s="1"/>
  <c r="G65" i="10" a="1"/>
  <c r="G65" i="10" s="1"/>
  <c r="F65" i="10" a="1"/>
  <c r="F65" i="10" s="1"/>
  <c r="E65" i="10" a="1"/>
  <c r="E65" i="10" s="1"/>
  <c r="J64" i="10" a="1"/>
  <c r="J64" i="10" s="1"/>
  <c r="I64" i="10" a="1"/>
  <c r="I64" i="10" s="1"/>
  <c r="H64" i="10" a="1"/>
  <c r="H64" i="10" s="1"/>
  <c r="G64" i="10" a="1"/>
  <c r="G64" i="10" s="1"/>
  <c r="F64" i="10" a="1"/>
  <c r="F64" i="10" s="1"/>
  <c r="E64" i="10" a="1"/>
  <c r="E64" i="10" s="1"/>
  <c r="J63" i="10" a="1"/>
  <c r="J63" i="10" s="1"/>
  <c r="I63" i="10" a="1"/>
  <c r="I63" i="10" s="1"/>
  <c r="H63" i="10" a="1"/>
  <c r="H63" i="10" s="1"/>
  <c r="G63" i="10" a="1"/>
  <c r="G63" i="10" s="1"/>
  <c r="F63" i="10" a="1"/>
  <c r="F63" i="10" s="1"/>
  <c r="E63" i="10" a="1"/>
  <c r="E63" i="10" s="1"/>
  <c r="J62" i="10" a="1"/>
  <c r="J62" i="10" s="1"/>
  <c r="I62" i="10" a="1"/>
  <c r="I62" i="10" s="1"/>
  <c r="H62" i="10" a="1"/>
  <c r="H62" i="10" s="1"/>
  <c r="G62" i="10" a="1"/>
  <c r="G62" i="10" s="1"/>
  <c r="F62" i="10" a="1"/>
  <c r="F62" i="10" s="1"/>
  <c r="E62" i="10" a="1"/>
  <c r="E62" i="10" s="1"/>
  <c r="J61" i="10" a="1"/>
  <c r="J61" i="10" s="1"/>
  <c r="I61" i="10" a="1"/>
  <c r="I61" i="10" s="1"/>
  <c r="H61" i="10" a="1"/>
  <c r="H61" i="10" s="1"/>
  <c r="G61" i="10" a="1"/>
  <c r="G61" i="10" s="1"/>
  <c r="F61" i="10" a="1"/>
  <c r="F61" i="10" s="1"/>
  <c r="E61" i="10" a="1"/>
  <c r="E61" i="10" s="1"/>
  <c r="J60" i="10" a="1"/>
  <c r="J60" i="10" s="1"/>
  <c r="I60" i="10" a="1"/>
  <c r="I60" i="10" s="1"/>
  <c r="H60" i="10" a="1"/>
  <c r="H60" i="10" s="1"/>
  <c r="G60" i="10" a="1"/>
  <c r="G60" i="10" s="1"/>
  <c r="F60" i="10" a="1"/>
  <c r="F60" i="10" s="1"/>
  <c r="E60" i="10" a="1"/>
  <c r="E60" i="10" s="1"/>
  <c r="J59" i="10" a="1"/>
  <c r="J59" i="10" s="1"/>
  <c r="I59" i="10" a="1"/>
  <c r="I59" i="10" s="1"/>
  <c r="H59" i="10" a="1"/>
  <c r="H59" i="10" s="1"/>
  <c r="G59" i="10" a="1"/>
  <c r="G59" i="10" s="1"/>
  <c r="F59" i="10" a="1"/>
  <c r="F59" i="10" s="1"/>
  <c r="E59" i="10" a="1"/>
  <c r="E59" i="10" s="1"/>
  <c r="J58" i="10" a="1"/>
  <c r="J58" i="10" s="1"/>
  <c r="I58" i="10" a="1"/>
  <c r="I58" i="10" s="1"/>
  <c r="H58" i="10" a="1"/>
  <c r="H58" i="10" s="1"/>
  <c r="G58" i="10" a="1"/>
  <c r="G58" i="10" s="1"/>
  <c r="F58" i="10" a="1"/>
  <c r="F58" i="10" s="1"/>
  <c r="E58" i="10" a="1"/>
  <c r="E58" i="10" s="1"/>
  <c r="J57" i="10" a="1"/>
  <c r="J57" i="10" s="1"/>
  <c r="I57" i="10" a="1"/>
  <c r="I57" i="10" s="1"/>
  <c r="H57" i="10" a="1"/>
  <c r="H57" i="10" s="1"/>
  <c r="G57" i="10" a="1"/>
  <c r="G57" i="10" s="1"/>
  <c r="F57" i="10" a="1"/>
  <c r="F57" i="10" s="1"/>
  <c r="E57" i="10" a="1"/>
  <c r="E57" i="10" s="1"/>
  <c r="J56" i="10" a="1"/>
  <c r="J56" i="10" s="1"/>
  <c r="I56" i="10" a="1"/>
  <c r="I56" i="10" s="1"/>
  <c r="H56" i="10" a="1"/>
  <c r="H56" i="10" s="1"/>
  <c r="G56" i="10" a="1"/>
  <c r="G56" i="10" s="1"/>
  <c r="F56" i="10" a="1"/>
  <c r="F56" i="10" s="1"/>
  <c r="E56" i="10" a="1"/>
  <c r="E56" i="10" s="1"/>
  <c r="J55" i="10" a="1"/>
  <c r="J55" i="10" s="1"/>
  <c r="I55" i="10" a="1"/>
  <c r="I55" i="10" s="1"/>
  <c r="H55" i="10" a="1"/>
  <c r="H55" i="10" s="1"/>
  <c r="G55" i="10" a="1"/>
  <c r="G55" i="10" s="1"/>
  <c r="F55" i="10" a="1"/>
  <c r="F55" i="10" s="1"/>
  <c r="E55" i="10" a="1"/>
  <c r="E55" i="10" s="1"/>
  <c r="J54" i="10" a="1"/>
  <c r="J54" i="10" s="1"/>
  <c r="I54" i="10" a="1"/>
  <c r="I54" i="10" s="1"/>
  <c r="H54" i="10" a="1"/>
  <c r="H54" i="10" s="1"/>
  <c r="G54" i="10" a="1"/>
  <c r="G54" i="10" s="1"/>
  <c r="F54" i="10" a="1"/>
  <c r="F54" i="10" s="1"/>
  <c r="E54" i="10" a="1"/>
  <c r="E54" i="10" s="1"/>
  <c r="J53" i="10" a="1"/>
  <c r="J53" i="10" s="1"/>
  <c r="I53" i="10" a="1"/>
  <c r="I53" i="10" s="1"/>
  <c r="H53" i="10" a="1"/>
  <c r="H53" i="10" s="1"/>
  <c r="G53" i="10" a="1"/>
  <c r="G53" i="10" s="1"/>
  <c r="F53" i="10" a="1"/>
  <c r="F53" i="10" s="1"/>
  <c r="E53" i="10" a="1"/>
  <c r="E53" i="10" s="1"/>
  <c r="J52" i="10" a="1"/>
  <c r="J52" i="10" s="1"/>
  <c r="I52" i="10" a="1"/>
  <c r="I52" i="10" s="1"/>
  <c r="H52" i="10" a="1"/>
  <c r="H52" i="10" s="1"/>
  <c r="G52" i="10" a="1"/>
  <c r="G52" i="10" s="1"/>
  <c r="F52" i="10" a="1"/>
  <c r="F52" i="10" s="1"/>
  <c r="E52" i="10" a="1"/>
  <c r="E52" i="10" s="1"/>
  <c r="J51" i="10" a="1"/>
  <c r="J51" i="10" s="1"/>
  <c r="I51" i="10" a="1"/>
  <c r="I51" i="10" s="1"/>
  <c r="H51" i="10" a="1"/>
  <c r="H51" i="10" s="1"/>
  <c r="G51" i="10" a="1"/>
  <c r="G51" i="10" s="1"/>
  <c r="F51" i="10" a="1"/>
  <c r="F51" i="10" s="1"/>
  <c r="E51" i="10" a="1"/>
  <c r="E51" i="10" s="1"/>
  <c r="J50" i="10" a="1"/>
  <c r="J50" i="10" s="1"/>
  <c r="I50" i="10" a="1"/>
  <c r="I50" i="10" s="1"/>
  <c r="H50" i="10" a="1"/>
  <c r="H50" i="10" s="1"/>
  <c r="G50" i="10" a="1"/>
  <c r="G50" i="10" s="1"/>
  <c r="F50" i="10" a="1"/>
  <c r="F50" i="10" s="1"/>
  <c r="E50" i="10" a="1"/>
  <c r="E50" i="10" s="1"/>
  <c r="J49" i="10" a="1"/>
  <c r="J49" i="10" s="1"/>
  <c r="I49" i="10" a="1"/>
  <c r="I49" i="10" s="1"/>
  <c r="H49" i="10" a="1"/>
  <c r="H49" i="10" s="1"/>
  <c r="G49" i="10" a="1"/>
  <c r="G49" i="10" s="1"/>
  <c r="F49" i="10" a="1"/>
  <c r="F49" i="10" s="1"/>
  <c r="E49" i="10" a="1"/>
  <c r="E49" i="10" s="1"/>
  <c r="J48" i="10" a="1"/>
  <c r="J48" i="10" s="1"/>
  <c r="I48" i="10" a="1"/>
  <c r="I48" i="10" s="1"/>
  <c r="H48" i="10" a="1"/>
  <c r="H48" i="10" s="1"/>
  <c r="G48" i="10" a="1"/>
  <c r="G48" i="10" s="1"/>
  <c r="F48" i="10" a="1"/>
  <c r="F48" i="10" s="1"/>
  <c r="E48" i="10" a="1"/>
  <c r="E48" i="10" s="1"/>
  <c r="J47" i="10" a="1"/>
  <c r="J47" i="10" s="1"/>
  <c r="I47" i="10" a="1"/>
  <c r="I47" i="10" s="1"/>
  <c r="H47" i="10" a="1"/>
  <c r="H47" i="10" s="1"/>
  <c r="G47" i="10" a="1"/>
  <c r="G47" i="10" s="1"/>
  <c r="F47" i="10" a="1"/>
  <c r="F47" i="10" s="1"/>
  <c r="E47" i="10" a="1"/>
  <c r="E47" i="10" s="1"/>
  <c r="J46" i="10" a="1"/>
  <c r="J46" i="10" s="1"/>
  <c r="I46" i="10" a="1"/>
  <c r="I46" i="10" s="1"/>
  <c r="H46" i="10" a="1"/>
  <c r="H46" i="10" s="1"/>
  <c r="G46" i="10" a="1"/>
  <c r="G46" i="10" s="1"/>
  <c r="F46" i="10" a="1"/>
  <c r="F46" i="10" s="1"/>
  <c r="E46" i="10" a="1"/>
  <c r="E46" i="10" s="1"/>
  <c r="J45" i="10" a="1"/>
  <c r="J45" i="10" s="1"/>
  <c r="I45" i="10" a="1"/>
  <c r="I45" i="10" s="1"/>
  <c r="H45" i="10" a="1"/>
  <c r="H45" i="10" s="1"/>
  <c r="G45" i="10" a="1"/>
  <c r="G45" i="10" s="1"/>
  <c r="F45" i="10" a="1"/>
  <c r="F45" i="10" s="1"/>
  <c r="E45" i="10" a="1"/>
  <c r="E45" i="10" s="1"/>
  <c r="J44" i="10" a="1"/>
  <c r="J44" i="10" s="1"/>
  <c r="I44" i="10" a="1"/>
  <c r="I44" i="10" s="1"/>
  <c r="H44" i="10" a="1"/>
  <c r="H44" i="10" s="1"/>
  <c r="G44" i="10" a="1"/>
  <c r="G44" i="10" s="1"/>
  <c r="F44" i="10" a="1"/>
  <c r="F44" i="10" s="1"/>
  <c r="E44" i="10" a="1"/>
  <c r="E44" i="10" s="1"/>
  <c r="J43" i="10" a="1"/>
  <c r="J43" i="10" s="1"/>
  <c r="I43" i="10" a="1"/>
  <c r="I43" i="10" s="1"/>
  <c r="H43" i="10" a="1"/>
  <c r="H43" i="10" s="1"/>
  <c r="G43" i="10" a="1"/>
  <c r="G43" i="10" s="1"/>
  <c r="F43" i="10" a="1"/>
  <c r="F43" i="10" s="1"/>
  <c r="E43" i="10" a="1"/>
  <c r="E43" i="10" s="1"/>
  <c r="J42" i="10" a="1"/>
  <c r="J42" i="10" s="1"/>
  <c r="I42" i="10" a="1"/>
  <c r="I42" i="10" s="1"/>
  <c r="H42" i="10" a="1"/>
  <c r="H42" i="10" s="1"/>
  <c r="G42" i="10" a="1"/>
  <c r="G42" i="10" s="1"/>
  <c r="F42" i="10" a="1"/>
  <c r="F42" i="10" s="1"/>
  <c r="E42" i="10" a="1"/>
  <c r="E42" i="10" s="1"/>
  <c r="J41" i="10" a="1"/>
  <c r="J41" i="10" s="1"/>
  <c r="I41" i="10" a="1"/>
  <c r="I41" i="10" s="1"/>
  <c r="H41" i="10" a="1"/>
  <c r="H41" i="10" s="1"/>
  <c r="G41" i="10" a="1"/>
  <c r="G41" i="10" s="1"/>
  <c r="F41" i="10" a="1"/>
  <c r="F41" i="10" s="1"/>
  <c r="E41" i="10" a="1"/>
  <c r="E41" i="10" s="1"/>
  <c r="J40" i="10" a="1"/>
  <c r="J40" i="10" s="1"/>
  <c r="I40" i="10" a="1"/>
  <c r="I40" i="10" s="1"/>
  <c r="H40" i="10" a="1"/>
  <c r="H40" i="10" s="1"/>
  <c r="G40" i="10" a="1"/>
  <c r="G40" i="10" s="1"/>
  <c r="F40" i="10" a="1"/>
  <c r="F40" i="10" s="1"/>
  <c r="E40" i="10" a="1"/>
  <c r="E40" i="10" s="1"/>
  <c r="J39" i="10" a="1"/>
  <c r="J39" i="10" s="1"/>
  <c r="I39" i="10" a="1"/>
  <c r="I39" i="10" s="1"/>
  <c r="H39" i="10" a="1"/>
  <c r="H39" i="10" s="1"/>
  <c r="G39" i="10" a="1"/>
  <c r="G39" i="10" s="1"/>
  <c r="F39" i="10" a="1"/>
  <c r="F39" i="10" s="1"/>
  <c r="E39" i="10" a="1"/>
  <c r="E39" i="10" s="1"/>
  <c r="J38" i="10" a="1"/>
  <c r="J38" i="10" s="1"/>
  <c r="I38" i="10" a="1"/>
  <c r="I38" i="10" s="1"/>
  <c r="H38" i="10" a="1"/>
  <c r="H38" i="10" s="1"/>
  <c r="G38" i="10" a="1"/>
  <c r="G38" i="10" s="1"/>
  <c r="F38" i="10" a="1"/>
  <c r="F38" i="10" s="1"/>
  <c r="E38" i="10" a="1"/>
  <c r="E38" i="10" s="1"/>
  <c r="J37" i="10" a="1"/>
  <c r="J37" i="10" s="1"/>
  <c r="I37" i="10" a="1"/>
  <c r="I37" i="10" s="1"/>
  <c r="H37" i="10" a="1"/>
  <c r="H37" i="10" s="1"/>
  <c r="G37" i="10" a="1"/>
  <c r="G37" i="10" s="1"/>
  <c r="F37" i="10" a="1"/>
  <c r="F37" i="10" s="1"/>
  <c r="E37" i="10" a="1"/>
  <c r="E37" i="10" s="1"/>
  <c r="J36" i="10" a="1"/>
  <c r="J36" i="10" s="1"/>
  <c r="I36" i="10" a="1"/>
  <c r="I36" i="10" s="1"/>
  <c r="H36" i="10" a="1"/>
  <c r="H36" i="10" s="1"/>
  <c r="G36" i="10" a="1"/>
  <c r="G36" i="10" s="1"/>
  <c r="F36" i="10" a="1"/>
  <c r="F36" i="10" s="1"/>
  <c r="E36" i="10" a="1"/>
  <c r="E36" i="10" s="1"/>
  <c r="J35" i="10" a="1"/>
  <c r="J35" i="10" s="1"/>
  <c r="I35" i="10" a="1"/>
  <c r="I35" i="10" s="1"/>
  <c r="H35" i="10" a="1"/>
  <c r="H35" i="10" s="1"/>
  <c r="G35" i="10" a="1"/>
  <c r="G35" i="10" s="1"/>
  <c r="F35" i="10" a="1"/>
  <c r="F35" i="10" s="1"/>
  <c r="E35" i="10" a="1"/>
  <c r="E35" i="10" s="1"/>
  <c r="J34" i="10" a="1"/>
  <c r="J34" i="10" s="1"/>
  <c r="I34" i="10" a="1"/>
  <c r="I34" i="10" s="1"/>
  <c r="H34" i="10" a="1"/>
  <c r="H34" i="10" s="1"/>
  <c r="G34" i="10" a="1"/>
  <c r="G34" i="10" s="1"/>
  <c r="F34" i="10" a="1"/>
  <c r="F34" i="10" s="1"/>
  <c r="E34" i="10" a="1"/>
  <c r="E34" i="10" s="1"/>
  <c r="J33" i="10" a="1"/>
  <c r="J33" i="10" s="1"/>
  <c r="I33" i="10" a="1"/>
  <c r="I33" i="10" s="1"/>
  <c r="H33" i="10" a="1"/>
  <c r="H33" i="10" s="1"/>
  <c r="G33" i="10" a="1"/>
  <c r="G33" i="10" s="1"/>
  <c r="F33" i="10" a="1"/>
  <c r="F33" i="10" s="1"/>
  <c r="E33" i="10" a="1"/>
  <c r="E33" i="10" s="1"/>
  <c r="J32" i="10" a="1"/>
  <c r="J32" i="10" s="1"/>
  <c r="I32" i="10" a="1"/>
  <c r="I32" i="10" s="1"/>
  <c r="H32" i="10" a="1"/>
  <c r="H32" i="10" s="1"/>
  <c r="G32" i="10" a="1"/>
  <c r="G32" i="10" s="1"/>
  <c r="F32" i="10" a="1"/>
  <c r="F32" i="10" s="1"/>
  <c r="E32" i="10" a="1"/>
  <c r="E32" i="10" s="1"/>
  <c r="J31" i="10" a="1"/>
  <c r="J31" i="10" s="1"/>
  <c r="I31" i="10" a="1"/>
  <c r="I31" i="10" s="1"/>
  <c r="H31" i="10" a="1"/>
  <c r="H31" i="10" s="1"/>
  <c r="G31" i="10" a="1"/>
  <c r="G31" i="10" s="1"/>
  <c r="F31" i="10" a="1"/>
  <c r="F31" i="10" s="1"/>
  <c r="E31" i="10" a="1"/>
  <c r="E31" i="10" s="1"/>
  <c r="J30" i="10" a="1"/>
  <c r="J30" i="10" s="1"/>
  <c r="I30" i="10" a="1"/>
  <c r="I30" i="10" s="1"/>
  <c r="H30" i="10" a="1"/>
  <c r="H30" i="10" s="1"/>
  <c r="G30" i="10" a="1"/>
  <c r="G30" i="10" s="1"/>
  <c r="F30" i="10" a="1"/>
  <c r="F30" i="10" s="1"/>
  <c r="E30" i="10" a="1"/>
  <c r="E30" i="10" s="1"/>
  <c r="J29" i="10" a="1"/>
  <c r="J29" i="10" s="1"/>
  <c r="I29" i="10" a="1"/>
  <c r="I29" i="10" s="1"/>
  <c r="H29" i="10" a="1"/>
  <c r="H29" i="10" s="1"/>
  <c r="G29" i="10" a="1"/>
  <c r="G29" i="10" s="1"/>
  <c r="F29" i="10" a="1"/>
  <c r="F29" i="10" s="1"/>
  <c r="E29" i="10" a="1"/>
  <c r="E29" i="10" s="1"/>
  <c r="J28" i="10" a="1"/>
  <c r="J28" i="10" s="1"/>
  <c r="I28" i="10" a="1"/>
  <c r="I28" i="10" s="1"/>
  <c r="H28" i="10" a="1"/>
  <c r="H28" i="10" s="1"/>
  <c r="G28" i="10" a="1"/>
  <c r="G28" i="10" s="1"/>
  <c r="F28" i="10" a="1"/>
  <c r="F28" i="10" s="1"/>
  <c r="E28" i="10" a="1"/>
  <c r="E28" i="10" s="1"/>
  <c r="J27" i="10" a="1"/>
  <c r="J27" i="10" s="1"/>
  <c r="I27" i="10" a="1"/>
  <c r="I27" i="10" s="1"/>
  <c r="H27" i="10" a="1"/>
  <c r="H27" i="10" s="1"/>
  <c r="G27" i="10" a="1"/>
  <c r="G27" i="10" s="1"/>
  <c r="F27" i="10" a="1"/>
  <c r="F27" i="10" s="1"/>
  <c r="E27" i="10" a="1"/>
  <c r="E27" i="10" s="1"/>
  <c r="J26" i="10" a="1"/>
  <c r="J26" i="10" s="1"/>
  <c r="I26" i="10" a="1"/>
  <c r="I26" i="10" s="1"/>
  <c r="H26" i="10" a="1"/>
  <c r="H26" i="10" s="1"/>
  <c r="G26" i="10" a="1"/>
  <c r="G26" i="10" s="1"/>
  <c r="F26" i="10" a="1"/>
  <c r="F26" i="10" s="1"/>
  <c r="E26" i="10" a="1"/>
  <c r="E26" i="10" s="1"/>
  <c r="J25" i="10" a="1"/>
  <c r="J25" i="10" s="1"/>
  <c r="I25" i="10" a="1"/>
  <c r="I25" i="10" s="1"/>
  <c r="H25" i="10" a="1"/>
  <c r="H25" i="10" s="1"/>
  <c r="G25" i="10" a="1"/>
  <c r="G25" i="10" s="1"/>
  <c r="F25" i="10" a="1"/>
  <c r="F25" i="10" s="1"/>
  <c r="E25" i="10" a="1"/>
  <c r="E25" i="10" s="1"/>
  <c r="J24" i="10" a="1"/>
  <c r="J24" i="10" s="1"/>
  <c r="I24" i="10" a="1"/>
  <c r="I24" i="10" s="1"/>
  <c r="H24" i="10" a="1"/>
  <c r="H24" i="10" s="1"/>
  <c r="G24" i="10" a="1"/>
  <c r="G24" i="10" s="1"/>
  <c r="F24" i="10" a="1"/>
  <c r="F24" i="10" s="1"/>
  <c r="E24" i="10" a="1"/>
  <c r="E24" i="10" s="1"/>
  <c r="J23" i="10" a="1"/>
  <c r="J23" i="10" s="1"/>
  <c r="I23" i="10" a="1"/>
  <c r="I23" i="10" s="1"/>
  <c r="H23" i="10" a="1"/>
  <c r="H23" i="10" s="1"/>
  <c r="G23" i="10" a="1"/>
  <c r="G23" i="10" s="1"/>
  <c r="F23" i="10" a="1"/>
  <c r="F23" i="10" s="1"/>
  <c r="E23" i="10" a="1"/>
  <c r="E23" i="10" s="1"/>
  <c r="J22" i="10" a="1"/>
  <c r="J22" i="10" s="1"/>
  <c r="I22" i="10" a="1"/>
  <c r="I22" i="10" s="1"/>
  <c r="H22" i="10" a="1"/>
  <c r="H22" i="10" s="1"/>
  <c r="G22" i="10" a="1"/>
  <c r="G22" i="10" s="1"/>
  <c r="F22" i="10" a="1"/>
  <c r="F22" i="10" s="1"/>
  <c r="E22" i="10" a="1"/>
  <c r="E22" i="10" s="1"/>
  <c r="J21" i="10" a="1"/>
  <c r="J21" i="10" s="1"/>
  <c r="I21" i="10" a="1"/>
  <c r="I21" i="10" s="1"/>
  <c r="H21" i="10" a="1"/>
  <c r="H21" i="10" s="1"/>
  <c r="G21" i="10" a="1"/>
  <c r="G21" i="10" s="1"/>
  <c r="F21" i="10" a="1"/>
  <c r="F21" i="10" s="1"/>
  <c r="E21" i="10" a="1"/>
  <c r="E21" i="10" s="1"/>
  <c r="J20" i="10" a="1"/>
  <c r="J20" i="10" s="1"/>
  <c r="I20" i="10" a="1"/>
  <c r="I20" i="10" s="1"/>
  <c r="H20" i="10" a="1"/>
  <c r="H20" i="10" s="1"/>
  <c r="G20" i="10" a="1"/>
  <c r="G20" i="10" s="1"/>
  <c r="F20" i="10" a="1"/>
  <c r="F20" i="10" s="1"/>
  <c r="E20" i="10" a="1"/>
  <c r="E20" i="10" s="1"/>
  <c r="J19" i="10" a="1"/>
  <c r="J19" i="10" s="1"/>
  <c r="I19" i="10" a="1"/>
  <c r="I19" i="10" s="1"/>
  <c r="H19" i="10" a="1"/>
  <c r="H19" i="10" s="1"/>
  <c r="G19" i="10" a="1"/>
  <c r="G19" i="10" s="1"/>
  <c r="F19" i="10" a="1"/>
  <c r="F19" i="10" s="1"/>
  <c r="E19" i="10" a="1"/>
  <c r="E19" i="10" s="1"/>
  <c r="J18" i="10" a="1"/>
  <c r="J18" i="10" s="1"/>
  <c r="I18" i="10" a="1"/>
  <c r="I18" i="10" s="1"/>
  <c r="H18" i="10" a="1"/>
  <c r="H18" i="10" s="1"/>
  <c r="G18" i="10" a="1"/>
  <c r="G18" i="10" s="1"/>
  <c r="F18" i="10" a="1"/>
  <c r="F18" i="10" s="1"/>
  <c r="E18" i="10" a="1"/>
  <c r="E18" i="10" s="1"/>
  <c r="J17" i="10" a="1"/>
  <c r="J17" i="10" s="1"/>
  <c r="I17" i="10" a="1"/>
  <c r="I17" i="10" s="1"/>
  <c r="H17" i="10" a="1"/>
  <c r="H17" i="10" s="1"/>
  <c r="G17" i="10" a="1"/>
  <c r="G17" i="10" s="1"/>
  <c r="F17" i="10" a="1"/>
  <c r="F17" i="10" s="1"/>
  <c r="E17" i="10" a="1"/>
  <c r="E17" i="10" s="1"/>
  <c r="J16" i="10" a="1"/>
  <c r="J16" i="10" s="1"/>
  <c r="I16" i="10" a="1"/>
  <c r="I16" i="10" s="1"/>
  <c r="H16" i="10" a="1"/>
  <c r="H16" i="10" s="1"/>
  <c r="G16" i="10" a="1"/>
  <c r="G16" i="10" s="1"/>
  <c r="F16" i="10" a="1"/>
  <c r="F16" i="10" s="1"/>
  <c r="E16" i="10" a="1"/>
  <c r="E16" i="10" s="1"/>
  <c r="J15" i="10" a="1"/>
  <c r="J15" i="10" s="1"/>
  <c r="I15" i="10" a="1"/>
  <c r="I15" i="10" s="1"/>
  <c r="H15" i="10" a="1"/>
  <c r="H15" i="10" s="1"/>
  <c r="G15" i="10" a="1"/>
  <c r="G15" i="10" s="1"/>
  <c r="F15" i="10" a="1"/>
  <c r="F15" i="10" s="1"/>
  <c r="E15" i="10" a="1"/>
  <c r="E15" i="10" s="1"/>
  <c r="J14" i="10" a="1"/>
  <c r="J14" i="10" s="1"/>
  <c r="I14" i="10" a="1"/>
  <c r="I14" i="10" s="1"/>
  <c r="H14" i="10" a="1"/>
  <c r="H14" i="10" s="1"/>
  <c r="G14" i="10" a="1"/>
  <c r="G14" i="10" s="1"/>
  <c r="F14" i="10" a="1"/>
  <c r="F14" i="10" s="1"/>
  <c r="E14" i="10" a="1"/>
  <c r="E14" i="10" s="1"/>
  <c r="J13" i="10" a="1"/>
  <c r="J13" i="10" s="1"/>
  <c r="I13" i="10" a="1"/>
  <c r="I13" i="10" s="1"/>
  <c r="H13" i="10" a="1"/>
  <c r="H13" i="10" s="1"/>
  <c r="G13" i="10" a="1"/>
  <c r="G13" i="10" s="1"/>
  <c r="F13" i="10" a="1"/>
  <c r="F13" i="10" s="1"/>
  <c r="E13" i="10" a="1"/>
  <c r="E13" i="10" s="1"/>
  <c r="J12" i="10" a="1"/>
  <c r="J12" i="10" s="1"/>
  <c r="I12" i="10" a="1"/>
  <c r="I12" i="10" s="1"/>
  <c r="H12" i="10" a="1"/>
  <c r="H12" i="10" s="1"/>
  <c r="G12" i="10" a="1"/>
  <c r="G12" i="10" s="1"/>
  <c r="F12" i="10" a="1"/>
  <c r="F12" i="10" s="1"/>
  <c r="E12" i="10" a="1"/>
  <c r="E12" i="10" s="1"/>
  <c r="J11" i="10" a="1"/>
  <c r="J11" i="10" s="1"/>
  <c r="H11" i="10" a="1"/>
  <c r="H11" i="10" s="1"/>
  <c r="G11" i="10" a="1"/>
  <c r="G11" i="10" s="1"/>
  <c r="F11" i="10" a="1"/>
  <c r="F11" i="10" s="1"/>
  <c r="E11" i="10" a="1"/>
  <c r="E11" i="10" s="1"/>
  <c r="F10" i="10" a="1"/>
  <c r="F10" i="10" s="1"/>
  <c r="G10" i="10" a="1"/>
  <c r="G10" i="10" s="1"/>
  <c r="H10" i="10" a="1"/>
  <c r="H10" i="10" s="1"/>
  <c r="I10" i="10" a="1"/>
  <c r="I10" i="10" s="1"/>
  <c r="J10" i="10" a="1"/>
  <c r="J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25" i="10" a="1"/>
  <c r="C25" i="10" s="1"/>
  <c r="C26" i="10" a="1"/>
  <c r="C26" i="10" s="1"/>
  <c r="C27" i="10" a="1"/>
  <c r="C27" i="10" s="1"/>
  <c r="C28" i="10" a="1"/>
  <c r="C28" i="10" s="1"/>
  <c r="C29" i="10" a="1"/>
  <c r="C29" i="10" s="1"/>
  <c r="C30" i="10" a="1"/>
  <c r="C30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 s="1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4" i="10" a="1"/>
  <c r="C54" i="10" s="1"/>
  <c r="C55" i="10" a="1"/>
  <c r="C55" i="10" s="1"/>
  <c r="C56" i="10" a="1"/>
  <c r="C56" i="10" s="1"/>
  <c r="C57" i="10" a="1"/>
  <c r="C57" i="10" s="1"/>
  <c r="C58" i="10" a="1"/>
  <c r="C58" i="10" s="1"/>
  <c r="C59" i="10" a="1"/>
  <c r="C59" i="10" s="1"/>
  <c r="C60" i="10" a="1"/>
  <c r="C60" i="10" s="1"/>
  <c r="C61" i="10" a="1"/>
  <c r="C61" i="10" s="1"/>
  <c r="C62" i="10" a="1"/>
  <c r="C62" i="10" s="1"/>
  <c r="C63" i="10" a="1"/>
  <c r="C63" i="10" s="1"/>
  <c r="C64" i="10" a="1"/>
  <c r="C64" i="10" s="1"/>
  <c r="C65" i="10" a="1"/>
  <c r="C65" i="10" s="1"/>
  <c r="C66" i="10" a="1"/>
  <c r="C66" i="10" s="1"/>
  <c r="C67" i="10" a="1"/>
  <c r="C67" i="10" s="1"/>
  <c r="C68" i="10" a="1"/>
  <c r="C68" i="10" s="1"/>
  <c r="C69" i="10" a="1"/>
  <c r="C69" i="10" s="1"/>
  <c r="C70" i="10" a="1"/>
  <c r="C70" i="10" s="1"/>
  <c r="C71" i="10" a="1"/>
  <c r="C71" i="10" s="1"/>
  <c r="C72" i="10" a="1"/>
  <c r="C72" i="10" s="1"/>
  <c r="C73" i="10" a="1"/>
  <c r="C73" i="10" s="1"/>
  <c r="C74" i="10" a="1"/>
  <c r="C74" i="10" s="1"/>
  <c r="C75" i="10" a="1"/>
  <c r="C75" i="10" s="1"/>
  <c r="C76" i="10" a="1"/>
  <c r="C76" i="10" s="1"/>
  <c r="C77" i="10" a="1"/>
  <c r="C77" i="10" s="1"/>
  <c r="C78" i="10" a="1"/>
  <c r="C78" i="10" s="1"/>
  <c r="C79" i="10" a="1"/>
  <c r="C79" i="10" s="1"/>
  <c r="C80" i="10" a="1"/>
  <c r="C80" i="10" s="1"/>
  <c r="C81" i="10" a="1"/>
  <c r="C81" i="10" s="1"/>
  <c r="C82" i="10" a="1"/>
  <c r="C82" i="10" s="1"/>
  <c r="C83" i="10" a="1"/>
  <c r="C83" i="10" s="1"/>
  <c r="C84" i="10" a="1"/>
  <c r="C84" i="10" s="1"/>
  <c r="C85" i="10" a="1"/>
  <c r="C85" i="10" s="1"/>
  <c r="C86" i="10" a="1"/>
  <c r="C86" i="10" s="1"/>
  <c r="C87" i="10" a="1"/>
  <c r="C87" i="10" s="1"/>
  <c r="C88" i="10" a="1"/>
  <c r="C88" i="10" s="1"/>
  <c r="C89" i="10" a="1"/>
  <c r="C89" i="10" s="1"/>
  <c r="C90" i="10" a="1"/>
  <c r="C90" i="10" s="1"/>
  <c r="C91" i="10" a="1"/>
  <c r="C91" i="10" s="1"/>
  <c r="C92" i="10" a="1"/>
  <c r="C92" i="10" s="1"/>
  <c r="C93" i="10" a="1"/>
  <c r="C93" i="10" s="1"/>
  <c r="C94" i="10" a="1"/>
  <c r="C94" i="10" s="1"/>
  <c r="C95" i="10" a="1"/>
  <c r="C95" i="10" s="1"/>
  <c r="C96" i="10" a="1"/>
  <c r="C96" i="10" s="1"/>
  <c r="C97" i="10" a="1"/>
  <c r="C97" i="10" s="1"/>
  <c r="C98" i="10" a="1"/>
  <c r="C98" i="10" s="1"/>
  <c r="C99" i="10" a="1"/>
  <c r="C99" i="10" s="1"/>
  <c r="C100" i="10" a="1"/>
  <c r="C100" i="10" s="1"/>
  <c r="C101" i="10" a="1"/>
  <c r="C101" i="10" s="1"/>
  <c r="C102" i="10" a="1"/>
  <c r="C102" i="10" s="1"/>
  <c r="C103" i="10" a="1"/>
  <c r="C103" i="10" s="1"/>
  <c r="C104" i="10" a="1"/>
  <c r="C104" i="10" s="1"/>
  <c r="C105" i="10" a="1"/>
  <c r="C105" i="10" s="1"/>
  <c r="C106" i="10" a="1"/>
  <c r="C106" i="10" s="1"/>
  <c r="C107" i="10" a="1"/>
  <c r="C107" i="10" s="1"/>
  <c r="C108" i="10" a="1"/>
  <c r="C108" i="10" s="1"/>
  <c r="C109" i="10" a="1"/>
  <c r="C109" i="10" s="1"/>
  <c r="C110" i="10" a="1"/>
  <c r="C110" i="10" s="1"/>
  <c r="C111" i="10" a="1"/>
  <c r="C111" i="10" s="1"/>
  <c r="C112" i="10" a="1"/>
  <c r="C112" i="10" s="1"/>
  <c r="C113" i="10" a="1"/>
  <c r="C113" i="10" s="1"/>
  <c r="C114" i="10" a="1"/>
  <c r="C114" i="10" s="1"/>
  <c r="C115" i="10" a="1"/>
  <c r="C115" i="10" s="1"/>
  <c r="C116" i="10" a="1"/>
  <c r="C116" i="10" s="1"/>
  <c r="C117" i="10" a="1"/>
  <c r="C117" i="10" s="1"/>
  <c r="C118" i="10" a="1"/>
  <c r="C118" i="10" s="1"/>
  <c r="C119" i="10" a="1"/>
  <c r="C119" i="10" s="1"/>
  <c r="C120" i="10" a="1"/>
  <c r="C120" i="10" s="1"/>
  <c r="C121" i="10" a="1"/>
  <c r="C121" i="10" s="1"/>
  <c r="C122" i="10" a="1"/>
  <c r="C122" i="10" s="1"/>
  <c r="C123" i="10" a="1"/>
  <c r="C123" i="10" s="1"/>
  <c r="C124" i="10" a="1"/>
  <c r="C124" i="10" s="1"/>
  <c r="C125" i="10" a="1"/>
  <c r="C125" i="10" s="1"/>
  <c r="C126" i="10" a="1"/>
  <c r="C126" i="10" s="1"/>
  <c r="C127" i="10" a="1"/>
  <c r="C127" i="10" s="1"/>
  <c r="C128" i="10" a="1"/>
  <c r="C128" i="10" s="1"/>
  <c r="C129" i="10" a="1"/>
  <c r="C129" i="10" s="1"/>
  <c r="C130" i="10" a="1"/>
  <c r="C130" i="10" s="1"/>
  <c r="C131" i="10" a="1"/>
  <c r="C131" i="10" s="1"/>
  <c r="C132" i="10" a="1"/>
  <c r="C132" i="10" s="1"/>
  <c r="C133" i="10" a="1"/>
  <c r="C133" i="10" s="1"/>
  <c r="C134" i="10" a="1"/>
  <c r="C134" i="10" s="1"/>
  <c r="C135" i="10" a="1"/>
  <c r="C135" i="10" s="1"/>
  <c r="C136" i="10" a="1"/>
  <c r="C136" i="10" s="1"/>
  <c r="C137" i="10" a="1"/>
  <c r="C137" i="10" s="1"/>
  <c r="C138" i="10" a="1"/>
  <c r="C138" i="10" s="1"/>
  <c r="C139" i="10" a="1"/>
  <c r="C139" i="10" s="1"/>
  <c r="C140" i="10" a="1"/>
  <c r="C140" i="10" s="1"/>
  <c r="C141" i="10" a="1"/>
  <c r="C141" i="10" s="1"/>
  <c r="C142" i="10" a="1"/>
  <c r="C142" i="10" s="1"/>
  <c r="C143" i="10" a="1"/>
  <c r="C143" i="10" s="1"/>
  <c r="C144" i="10" a="1"/>
  <c r="C144" i="10" s="1"/>
  <c r="C145" i="10" a="1"/>
  <c r="C145" i="10" s="1"/>
  <c r="C146" i="10" a="1"/>
  <c r="C146" i="10" s="1"/>
  <c r="C147" i="10" a="1"/>
  <c r="C147" i="10" s="1"/>
  <c r="C148" i="10" a="1"/>
  <c r="C148" i="10" s="1"/>
  <c r="C149" i="10" a="1"/>
  <c r="C149" i="10" s="1"/>
  <c r="C150" i="10" a="1"/>
  <c r="C150" i="10" s="1"/>
  <c r="C151" i="10" a="1"/>
  <c r="C151" i="10" s="1"/>
  <c r="C152" i="10" a="1"/>
  <c r="C152" i="10" s="1"/>
  <c r="C153" i="10" a="1"/>
  <c r="C153" i="10" s="1"/>
  <c r="C154" i="10" a="1"/>
  <c r="C154" i="10" s="1"/>
  <c r="C155" i="10" a="1"/>
  <c r="C155" i="10" s="1"/>
  <c r="C156" i="10" a="1"/>
  <c r="C156" i="10" s="1"/>
  <c r="C157" i="10" a="1"/>
  <c r="C157" i="10" s="1"/>
  <c r="C158" i="10" a="1"/>
  <c r="C158" i="10" s="1"/>
  <c r="C159" i="10" a="1"/>
  <c r="C159" i="10" s="1"/>
  <c r="C160" i="10" a="1"/>
  <c r="C160" i="10" s="1"/>
  <c r="C161" i="10" a="1"/>
  <c r="C161" i="10" s="1"/>
  <c r="C162" i="10" a="1"/>
  <c r="C162" i="10" s="1"/>
  <c r="C163" i="10" a="1"/>
  <c r="C163" i="10" s="1"/>
  <c r="C164" i="10" a="1"/>
  <c r="C164" i="10" s="1"/>
  <c r="C165" i="10" a="1"/>
  <c r="C165" i="10" s="1"/>
  <c r="C166" i="10" a="1"/>
  <c r="C166" i="10" s="1"/>
  <c r="C167" i="10" a="1"/>
  <c r="C167" i="10" s="1"/>
  <c r="C168" i="10" a="1"/>
  <c r="C168" i="10" s="1"/>
  <c r="C169" i="10" a="1"/>
  <c r="C169" i="10" s="1"/>
  <c r="C170" i="10" a="1"/>
  <c r="C170" i="10" s="1"/>
  <c r="C171" i="10" a="1"/>
  <c r="C171" i="10" s="1"/>
  <c r="C172" i="10" a="1"/>
  <c r="C172" i="10" s="1"/>
  <c r="C173" i="10" a="1"/>
  <c r="C173" i="10" s="1"/>
  <c r="C174" i="10" a="1"/>
  <c r="C174" i="10" s="1"/>
  <c r="C175" i="10" a="1"/>
  <c r="C175" i="10" s="1"/>
  <c r="C176" i="10" a="1"/>
  <c r="C176" i="10" s="1"/>
  <c r="C177" i="10" a="1"/>
  <c r="C177" i="10" s="1"/>
  <c r="C178" i="10" a="1"/>
  <c r="C178" i="10" s="1"/>
  <c r="C179" i="10" a="1"/>
  <c r="C179" i="10" s="1"/>
  <c r="C180" i="10" a="1"/>
  <c r="C180" i="10" s="1"/>
  <c r="C181" i="10" a="1"/>
  <c r="C181" i="10" s="1"/>
  <c r="C182" i="10" a="1"/>
  <c r="C182" i="10" s="1"/>
  <c r="C183" i="10" a="1"/>
  <c r="C183" i="10" s="1"/>
  <c r="C184" i="10" a="1"/>
  <c r="C184" i="10" s="1"/>
  <c r="C185" i="10" a="1"/>
  <c r="C185" i="10" s="1"/>
  <c r="C186" i="10" a="1"/>
  <c r="C186" i="10" s="1"/>
  <c r="C187" i="10" a="1"/>
  <c r="C187" i="10" s="1"/>
  <c r="C188" i="10" a="1"/>
  <c r="C188" i="10" s="1"/>
  <c r="C189" i="10" a="1"/>
  <c r="C189" i="10" s="1"/>
  <c r="C190" i="10" a="1"/>
  <c r="C190" i="10" s="1"/>
  <c r="C191" i="10" a="1"/>
  <c r="C191" i="10" s="1"/>
  <c r="C192" i="10" a="1"/>
  <c r="C192" i="10" s="1"/>
  <c r="C193" i="10" a="1"/>
  <c r="C193" i="10" s="1"/>
  <c r="C194" i="10" a="1"/>
  <c r="C194" i="10" s="1"/>
  <c r="C195" i="10" a="1"/>
  <c r="C195" i="10" s="1"/>
  <c r="C196" i="10" a="1"/>
  <c r="C196" i="10" s="1"/>
  <c r="C197" i="10" a="1"/>
  <c r="C197" i="10" s="1"/>
  <c r="C198" i="10" a="1"/>
  <c r="C198" i="10" s="1"/>
  <c r="C199" i="10" a="1"/>
  <c r="C199" i="10" s="1"/>
  <c r="C200" i="10" a="1"/>
  <c r="C200" i="10" s="1"/>
  <c r="C201" i="10" a="1"/>
  <c r="C201" i="10" s="1"/>
  <c r="C202" i="10" a="1"/>
  <c r="C202" i="10" s="1"/>
  <c r="C203" i="10" a="1"/>
  <c r="C203" i="10" s="1"/>
  <c r="C204" i="10" a="1"/>
  <c r="C204" i="10" s="1"/>
  <c r="C205" i="10" a="1"/>
  <c r="C205" i="10" s="1"/>
  <c r="C206" i="10" a="1"/>
  <c r="C206" i="10" s="1"/>
  <c r="C207" i="10" a="1"/>
  <c r="C207" i="10" s="1"/>
  <c r="C208" i="10" a="1"/>
  <c r="C208" i="10" s="1"/>
  <c r="C209" i="10" a="1"/>
  <c r="C209" i="10" s="1"/>
  <c r="C210" i="10" a="1"/>
  <c r="C210" i="10" s="1"/>
  <c r="C211" i="10" a="1"/>
  <c r="C211" i="10" s="1"/>
  <c r="C212" i="10" a="1"/>
  <c r="C212" i="10" s="1"/>
  <c r="C213" i="10" a="1"/>
  <c r="C213" i="10" s="1"/>
  <c r="C214" i="10" a="1"/>
  <c r="C214" i="10" s="1"/>
  <c r="C215" i="10" a="1"/>
  <c r="C215" i="10" s="1"/>
  <c r="C216" i="10" a="1"/>
  <c r="C216" i="10" s="1"/>
  <c r="C217" i="10" a="1"/>
  <c r="C217" i="10" s="1"/>
  <c r="C218" i="10" a="1"/>
  <c r="C218" i="10" s="1"/>
  <c r="C219" i="10" a="1"/>
  <c r="C219" i="10" s="1"/>
  <c r="C220" i="10" a="1"/>
  <c r="C220" i="10" s="1"/>
  <c r="C221" i="10" a="1"/>
  <c r="C221" i="10" s="1"/>
  <c r="C222" i="10" a="1"/>
  <c r="C222" i="10" s="1"/>
  <c r="C223" i="10" a="1"/>
  <c r="C223" i="10" s="1"/>
  <c r="C224" i="10" a="1"/>
  <c r="C224" i="10" s="1"/>
  <c r="C225" i="10" a="1"/>
  <c r="C225" i="10" s="1"/>
  <c r="C226" i="10" a="1"/>
  <c r="C226" i="10" s="1"/>
  <c r="C227" i="10" a="1"/>
  <c r="C227" i="10" s="1"/>
  <c r="C228" i="10" a="1"/>
  <c r="C228" i="10" s="1"/>
  <c r="C229" i="10" a="1"/>
  <c r="C229" i="10" s="1"/>
  <c r="C230" i="10" a="1"/>
  <c r="C230" i="10" s="1"/>
  <c r="C231" i="10" a="1"/>
  <c r="C231" i="10" s="1"/>
  <c r="C232" i="10" a="1"/>
  <c r="C232" i="10" s="1"/>
  <c r="C233" i="10" a="1"/>
  <c r="C233" i="10" s="1"/>
  <c r="C234" i="10" a="1"/>
  <c r="C234" i="10" s="1"/>
  <c r="C235" i="10" a="1"/>
  <c r="C235" i="10" s="1"/>
  <c r="C236" i="10" a="1"/>
  <c r="C236" i="10" s="1"/>
  <c r="C237" i="10" a="1"/>
  <c r="C237" i="10" s="1"/>
  <c r="C238" i="10" a="1"/>
  <c r="C238" i="10" s="1"/>
  <c r="C239" i="10" a="1"/>
  <c r="C239" i="10" s="1"/>
  <c r="C240" i="10" a="1"/>
  <c r="C240" i="10" s="1"/>
  <c r="C241" i="10" a="1"/>
  <c r="C241" i="10" s="1"/>
  <c r="C242" i="10" a="1"/>
  <c r="C242" i="10" s="1"/>
  <c r="C243" i="10" a="1"/>
  <c r="C243" i="10" s="1"/>
  <c r="C244" i="10" a="1"/>
  <c r="C244" i="10" s="1"/>
  <c r="C245" i="10" a="1"/>
  <c r="C245" i="10" s="1"/>
  <c r="C246" i="10" a="1"/>
  <c r="C246" i="10" s="1"/>
  <c r="C247" i="10" a="1"/>
  <c r="C247" i="10" s="1"/>
  <c r="C248" i="10" a="1"/>
  <c r="C248" i="10" s="1"/>
  <c r="C249" i="10" a="1"/>
  <c r="C249" i="10" s="1"/>
  <c r="C10" i="10" a="1"/>
  <c r="C10" i="10" s="1"/>
  <c r="B11" i="10" a="1"/>
  <c r="B11" i="10" s="1"/>
  <c r="B12" i="10" a="1"/>
  <c r="B12" i="10" s="1"/>
  <c r="B13" i="10" a="1"/>
  <c r="B13" i="10" s="1"/>
  <c r="B14" i="10" a="1"/>
  <c r="B14" i="10" s="1"/>
  <c r="B15" i="10" a="1"/>
  <c r="B15" i="10" s="1"/>
  <c r="B16" i="10" a="1"/>
  <c r="B16" i="10" s="1"/>
  <c r="B17" i="10" a="1"/>
  <c r="B17" i="10" s="1"/>
  <c r="B18" i="10" a="1"/>
  <c r="B18" i="10" s="1"/>
  <c r="B19" i="10" a="1"/>
  <c r="B19" i="10" s="1"/>
  <c r="B20" i="10" a="1"/>
  <c r="B20" i="10" s="1"/>
  <c r="B21" i="10" a="1"/>
  <c r="B21" i="10" s="1"/>
  <c r="B22" i="10" a="1"/>
  <c r="B22" i="10" s="1"/>
  <c r="B23" i="10" a="1"/>
  <c r="B23" i="10" s="1"/>
  <c r="B24" i="10" a="1"/>
  <c r="B24" i="10" s="1"/>
  <c r="B25" i="10" a="1"/>
  <c r="B25" i="10" s="1"/>
  <c r="B26" i="10" a="1"/>
  <c r="B26" i="10" s="1"/>
  <c r="B27" i="10" a="1"/>
  <c r="B27" i="10" s="1"/>
  <c r="B28" i="10" a="1"/>
  <c r="B28" i="10" s="1"/>
  <c r="B29" i="10" a="1"/>
  <c r="B29" i="10" s="1"/>
  <c r="B30" i="10" a="1"/>
  <c r="B30" i="10" s="1"/>
  <c r="B31" i="10" a="1"/>
  <c r="B31" i="10" s="1"/>
  <c r="B32" i="10" a="1"/>
  <c r="B32" i="10" s="1"/>
  <c r="B33" i="10" a="1"/>
  <c r="B33" i="10" s="1"/>
  <c r="B34" i="10" a="1"/>
  <c r="B34" i="10" s="1"/>
  <c r="B35" i="10" a="1"/>
  <c r="B35" i="10" s="1"/>
  <c r="B36" i="10" a="1"/>
  <c r="B36" i="10" s="1"/>
  <c r="B37" i="10" a="1"/>
  <c r="B37" i="10" s="1"/>
  <c r="B38" i="10" a="1"/>
  <c r="B38" i="10" s="1"/>
  <c r="B39" i="10" a="1"/>
  <c r="B39" i="10" s="1"/>
  <c r="B40" i="10" a="1"/>
  <c r="B40" i="10" s="1"/>
  <c r="B41" i="10" a="1"/>
  <c r="B41" i="10" s="1"/>
  <c r="B42" i="10" a="1"/>
  <c r="B42" i="10" s="1"/>
  <c r="B43" i="10" a="1"/>
  <c r="B43" i="10" s="1"/>
  <c r="B44" i="10" a="1"/>
  <c r="B44" i="10" s="1"/>
  <c r="B45" i="10" a="1"/>
  <c r="B45" i="10" s="1"/>
  <c r="B46" i="10" a="1"/>
  <c r="B46" i="10" s="1"/>
  <c r="B47" i="10" a="1"/>
  <c r="B47" i="10" s="1"/>
  <c r="B48" i="10" a="1"/>
  <c r="B48" i="10" s="1"/>
  <c r="B49" i="10" a="1"/>
  <c r="B49" i="10" s="1"/>
  <c r="B50" i="10" a="1"/>
  <c r="B50" i="10" s="1"/>
  <c r="B51" i="10" a="1"/>
  <c r="B51" i="10" s="1"/>
  <c r="B52" i="10" a="1"/>
  <c r="B52" i="10" s="1"/>
  <c r="B53" i="10" a="1"/>
  <c r="B53" i="10" s="1"/>
  <c r="B54" i="10" a="1"/>
  <c r="B54" i="10" s="1"/>
  <c r="B55" i="10" a="1"/>
  <c r="B55" i="10" s="1"/>
  <c r="B56" i="10" a="1"/>
  <c r="B56" i="10" s="1"/>
  <c r="B57" i="10" a="1"/>
  <c r="B57" i="10" s="1"/>
  <c r="B58" i="10" a="1"/>
  <c r="B58" i="10" s="1"/>
  <c r="B59" i="10" a="1"/>
  <c r="B59" i="10" s="1"/>
  <c r="B60" i="10" a="1"/>
  <c r="B60" i="10" s="1"/>
  <c r="B61" i="10" a="1"/>
  <c r="B61" i="10" s="1"/>
  <c r="B62" i="10" a="1"/>
  <c r="B62" i="10" s="1"/>
  <c r="B63" i="10" a="1"/>
  <c r="B63" i="10" s="1"/>
  <c r="B64" i="10" a="1"/>
  <c r="B64" i="10" s="1"/>
  <c r="B65" i="10" a="1"/>
  <c r="B65" i="10" s="1"/>
  <c r="B66" i="10" a="1"/>
  <c r="B66" i="10" s="1"/>
  <c r="B67" i="10" a="1"/>
  <c r="B67" i="10" s="1"/>
  <c r="B68" i="10" a="1"/>
  <c r="B68" i="10" s="1"/>
  <c r="B69" i="10" a="1"/>
  <c r="B69" i="10" s="1"/>
  <c r="B70" i="10" a="1"/>
  <c r="B70" i="10" s="1"/>
  <c r="B71" i="10" a="1"/>
  <c r="B71" i="10" s="1"/>
  <c r="B72" i="10" a="1"/>
  <c r="B72" i="10" s="1"/>
  <c r="B73" i="10" a="1"/>
  <c r="B73" i="10" s="1"/>
  <c r="B74" i="10" a="1"/>
  <c r="B74" i="10" s="1"/>
  <c r="B75" i="10" a="1"/>
  <c r="B75" i="10" s="1"/>
  <c r="B76" i="10" a="1"/>
  <c r="B76" i="10" s="1"/>
  <c r="B77" i="10" a="1"/>
  <c r="B77" i="10" s="1"/>
  <c r="B78" i="10" a="1"/>
  <c r="B78" i="10" s="1"/>
  <c r="B79" i="10" a="1"/>
  <c r="B79" i="10" s="1"/>
  <c r="B80" i="10" a="1"/>
  <c r="B80" i="10" s="1"/>
  <c r="B81" i="10" a="1"/>
  <c r="B81" i="10" s="1"/>
  <c r="B82" i="10" a="1"/>
  <c r="B82" i="10" s="1"/>
  <c r="B83" i="10" a="1"/>
  <c r="B83" i="10" s="1"/>
  <c r="B84" i="10" a="1"/>
  <c r="B84" i="10" s="1"/>
  <c r="B85" i="10" a="1"/>
  <c r="B85" i="10" s="1"/>
  <c r="B86" i="10" a="1"/>
  <c r="B86" i="10" s="1"/>
  <c r="B87" i="10" a="1"/>
  <c r="B87" i="10" s="1"/>
  <c r="B88" i="10" a="1"/>
  <c r="B88" i="10" s="1"/>
  <c r="B89" i="10" a="1"/>
  <c r="B89" i="10" s="1"/>
  <c r="B90" i="10" a="1"/>
  <c r="B90" i="10" s="1"/>
  <c r="B91" i="10" a="1"/>
  <c r="B91" i="10" s="1"/>
  <c r="B92" i="10" a="1"/>
  <c r="B92" i="10" s="1"/>
  <c r="B93" i="10" a="1"/>
  <c r="B93" i="10" s="1"/>
  <c r="B94" i="10" a="1"/>
  <c r="B94" i="10" s="1"/>
  <c r="B95" i="10" a="1"/>
  <c r="B95" i="10" s="1"/>
  <c r="B96" i="10" a="1"/>
  <c r="B96" i="10" s="1"/>
  <c r="B97" i="10" a="1"/>
  <c r="B97" i="10" s="1"/>
  <c r="B98" i="10" a="1"/>
  <c r="B98" i="10" s="1"/>
  <c r="B99" i="10" a="1"/>
  <c r="B99" i="10" s="1"/>
  <c r="B100" i="10" a="1"/>
  <c r="B100" i="10" s="1"/>
  <c r="B101" i="10" a="1"/>
  <c r="B101" i="10" s="1"/>
  <c r="B102" i="10" a="1"/>
  <c r="B102" i="10" s="1"/>
  <c r="B103" i="10" a="1"/>
  <c r="B103" i="10" s="1"/>
  <c r="B104" i="10" a="1"/>
  <c r="B104" i="10" s="1"/>
  <c r="B105" i="10" a="1"/>
  <c r="B105" i="10" s="1"/>
  <c r="B106" i="10" a="1"/>
  <c r="B106" i="10" s="1"/>
  <c r="B107" i="10" a="1"/>
  <c r="B107" i="10" s="1"/>
  <c r="B108" i="10" a="1"/>
  <c r="B108" i="10" s="1"/>
  <c r="B109" i="10" a="1"/>
  <c r="B109" i="10" s="1"/>
  <c r="B110" i="10" a="1"/>
  <c r="B110" i="10" s="1"/>
  <c r="B111" i="10" a="1"/>
  <c r="B111" i="10" s="1"/>
  <c r="B112" i="10" a="1"/>
  <c r="B112" i="10" s="1"/>
  <c r="B113" i="10" a="1"/>
  <c r="B113" i="10" s="1"/>
  <c r="B114" i="10" a="1"/>
  <c r="B114" i="10" s="1"/>
  <c r="B115" i="10" a="1"/>
  <c r="B115" i="10" s="1"/>
  <c r="B116" i="10" a="1"/>
  <c r="B116" i="10" s="1"/>
  <c r="B117" i="10" a="1"/>
  <c r="B117" i="10" s="1"/>
  <c r="B118" i="10" a="1"/>
  <c r="B118" i="10" s="1"/>
  <c r="B119" i="10" a="1"/>
  <c r="B119" i="10" s="1"/>
  <c r="B120" i="10" a="1"/>
  <c r="B120" i="10" s="1"/>
  <c r="B121" i="10" a="1"/>
  <c r="B121" i="10" s="1"/>
  <c r="B122" i="10" a="1"/>
  <c r="B122" i="10" s="1"/>
  <c r="B123" i="10" a="1"/>
  <c r="B123" i="10" s="1"/>
  <c r="B124" i="10" a="1"/>
  <c r="B124" i="10" s="1"/>
  <c r="B125" i="10" a="1"/>
  <c r="B125" i="10" s="1"/>
  <c r="B126" i="10" a="1"/>
  <c r="B126" i="10" s="1"/>
  <c r="B127" i="10" a="1"/>
  <c r="B127" i="10" s="1"/>
  <c r="B128" i="10" a="1"/>
  <c r="B128" i="10" s="1"/>
  <c r="B129" i="10" a="1"/>
  <c r="B129" i="10" s="1"/>
  <c r="B130" i="10" a="1"/>
  <c r="B130" i="10" s="1"/>
  <c r="B131" i="10" a="1"/>
  <c r="B131" i="10" s="1"/>
  <c r="B132" i="10" a="1"/>
  <c r="B132" i="10" s="1"/>
  <c r="B133" i="10" a="1"/>
  <c r="B133" i="10" s="1"/>
  <c r="B134" i="10" a="1"/>
  <c r="B134" i="10" s="1"/>
  <c r="B135" i="10" a="1"/>
  <c r="B135" i="10" s="1"/>
  <c r="B136" i="10" a="1"/>
  <c r="B136" i="10" s="1"/>
  <c r="B137" i="10" a="1"/>
  <c r="B137" i="10" s="1"/>
  <c r="B138" i="10" a="1"/>
  <c r="B138" i="10" s="1"/>
  <c r="B139" i="10" a="1"/>
  <c r="B139" i="10" s="1"/>
  <c r="B140" i="10" a="1"/>
  <c r="B140" i="10" s="1"/>
  <c r="B141" i="10" a="1"/>
  <c r="B141" i="10" s="1"/>
  <c r="B142" i="10" a="1"/>
  <c r="B142" i="10" s="1"/>
  <c r="B143" i="10" a="1"/>
  <c r="B143" i="10" s="1"/>
  <c r="B144" i="10" a="1"/>
  <c r="B144" i="10" s="1"/>
  <c r="B145" i="10" a="1"/>
  <c r="B145" i="10" s="1"/>
  <c r="B146" i="10" a="1"/>
  <c r="B146" i="10" s="1"/>
  <c r="B147" i="10" a="1"/>
  <c r="B147" i="10" s="1"/>
  <c r="B148" i="10" a="1"/>
  <c r="B148" i="10" s="1"/>
  <c r="B149" i="10" a="1"/>
  <c r="B149" i="10" s="1"/>
  <c r="B150" i="10" a="1"/>
  <c r="B150" i="10" s="1"/>
  <c r="B151" i="10" a="1"/>
  <c r="B151" i="10" s="1"/>
  <c r="B152" i="10" a="1"/>
  <c r="B152" i="10" s="1"/>
  <c r="B153" i="10" a="1"/>
  <c r="B153" i="10" s="1"/>
  <c r="B154" i="10" a="1"/>
  <c r="B154" i="10" s="1"/>
  <c r="B155" i="10" a="1"/>
  <c r="B155" i="10" s="1"/>
  <c r="B156" i="10" a="1"/>
  <c r="B156" i="10" s="1"/>
  <c r="B157" i="10" a="1"/>
  <c r="B157" i="10" s="1"/>
  <c r="B158" i="10" a="1"/>
  <c r="B158" i="10" s="1"/>
  <c r="B159" i="10" a="1"/>
  <c r="B159" i="10" s="1"/>
  <c r="B160" i="10" a="1"/>
  <c r="B160" i="10" s="1"/>
  <c r="B161" i="10" a="1"/>
  <c r="B161" i="10" s="1"/>
  <c r="B162" i="10" a="1"/>
  <c r="B162" i="10" s="1"/>
  <c r="B163" i="10" a="1"/>
  <c r="B163" i="10" s="1"/>
  <c r="B164" i="10" a="1"/>
  <c r="B164" i="10" s="1"/>
  <c r="B165" i="10" a="1"/>
  <c r="B165" i="10" s="1"/>
  <c r="B166" i="10" a="1"/>
  <c r="B166" i="10" s="1"/>
  <c r="B167" i="10" a="1"/>
  <c r="B167" i="10" s="1"/>
  <c r="B168" i="10" a="1"/>
  <c r="B168" i="10" s="1"/>
  <c r="B169" i="10" a="1"/>
  <c r="B169" i="10" s="1"/>
  <c r="B170" i="10" a="1"/>
  <c r="B170" i="10" s="1"/>
  <c r="B171" i="10" a="1"/>
  <c r="B171" i="10" s="1"/>
  <c r="B172" i="10" a="1"/>
  <c r="B172" i="10" s="1"/>
  <c r="B173" i="10" a="1"/>
  <c r="B173" i="10" s="1"/>
  <c r="B174" i="10" a="1"/>
  <c r="B174" i="10" s="1"/>
  <c r="B175" i="10" a="1"/>
  <c r="B175" i="10" s="1"/>
  <c r="B176" i="10" a="1"/>
  <c r="B176" i="10" s="1"/>
  <c r="B177" i="10" a="1"/>
  <c r="B177" i="10" s="1"/>
  <c r="B178" i="10" a="1"/>
  <c r="B178" i="10" s="1"/>
  <c r="B179" i="10" a="1"/>
  <c r="B179" i="10" s="1"/>
  <c r="B180" i="10" a="1"/>
  <c r="B180" i="10" s="1"/>
  <c r="B181" i="10" a="1"/>
  <c r="B181" i="10" s="1"/>
  <c r="B182" i="10" a="1"/>
  <c r="B182" i="10" s="1"/>
  <c r="B183" i="10" a="1"/>
  <c r="B183" i="10" s="1"/>
  <c r="B184" i="10" a="1"/>
  <c r="B184" i="10" s="1"/>
  <c r="B185" i="10" a="1"/>
  <c r="B185" i="10" s="1"/>
  <c r="B186" i="10" a="1"/>
  <c r="B186" i="10" s="1"/>
  <c r="B187" i="10" a="1"/>
  <c r="B187" i="10" s="1"/>
  <c r="B188" i="10" a="1"/>
  <c r="B188" i="10" s="1"/>
  <c r="B189" i="10" a="1"/>
  <c r="B189" i="10" s="1"/>
  <c r="B190" i="10" a="1"/>
  <c r="B190" i="10" s="1"/>
  <c r="B191" i="10" a="1"/>
  <c r="B191" i="10" s="1"/>
  <c r="B192" i="10" a="1"/>
  <c r="B192" i="10" s="1"/>
  <c r="B193" i="10" a="1"/>
  <c r="B193" i="10" s="1"/>
  <c r="B194" i="10" a="1"/>
  <c r="B194" i="10" s="1"/>
  <c r="B195" i="10" a="1"/>
  <c r="B195" i="10" s="1"/>
  <c r="B196" i="10" a="1"/>
  <c r="B196" i="10" s="1"/>
  <c r="B197" i="10" a="1"/>
  <c r="B197" i="10" s="1"/>
  <c r="B198" i="10" a="1"/>
  <c r="B198" i="10" s="1"/>
  <c r="B199" i="10" a="1"/>
  <c r="B199" i="10" s="1"/>
  <c r="B200" i="10" a="1"/>
  <c r="B200" i="10" s="1"/>
  <c r="B201" i="10" a="1"/>
  <c r="B201" i="10" s="1"/>
  <c r="B202" i="10" a="1"/>
  <c r="B202" i="10" s="1"/>
  <c r="B203" i="10" a="1"/>
  <c r="B203" i="10" s="1"/>
  <c r="B204" i="10" a="1"/>
  <c r="B204" i="10" s="1"/>
  <c r="B205" i="10" a="1"/>
  <c r="B205" i="10" s="1"/>
  <c r="B206" i="10" a="1"/>
  <c r="B206" i="10" s="1"/>
  <c r="B207" i="10" a="1"/>
  <c r="B207" i="10" s="1"/>
  <c r="B208" i="10" a="1"/>
  <c r="B208" i="10" s="1"/>
  <c r="B209" i="10" a="1"/>
  <c r="B209" i="10" s="1"/>
  <c r="B210" i="10" a="1"/>
  <c r="B210" i="10" s="1"/>
  <c r="B211" i="10" a="1"/>
  <c r="B211" i="10" s="1"/>
  <c r="B212" i="10" a="1"/>
  <c r="B212" i="10" s="1"/>
  <c r="B213" i="10" a="1"/>
  <c r="B213" i="10" s="1"/>
  <c r="B214" i="10" a="1"/>
  <c r="B214" i="10" s="1"/>
  <c r="B215" i="10" a="1"/>
  <c r="B215" i="10" s="1"/>
  <c r="B216" i="10" a="1"/>
  <c r="B216" i="10" s="1"/>
  <c r="B217" i="10" a="1"/>
  <c r="B217" i="10" s="1"/>
  <c r="B218" i="10" a="1"/>
  <c r="B218" i="10" s="1"/>
  <c r="B219" i="10" a="1"/>
  <c r="B219" i="10" s="1"/>
  <c r="B220" i="10" a="1"/>
  <c r="B220" i="10" s="1"/>
  <c r="B221" i="10" a="1"/>
  <c r="B221" i="10" s="1"/>
  <c r="B222" i="10" a="1"/>
  <c r="B222" i="10" s="1"/>
  <c r="B223" i="10" a="1"/>
  <c r="B223" i="10" s="1"/>
  <c r="B224" i="10" a="1"/>
  <c r="B224" i="10" s="1"/>
  <c r="B225" i="10" a="1"/>
  <c r="B225" i="10" s="1"/>
  <c r="B226" i="10" a="1"/>
  <c r="B226" i="10" s="1"/>
  <c r="B227" i="10" a="1"/>
  <c r="B227" i="10" s="1"/>
  <c r="B228" i="10" a="1"/>
  <c r="B228" i="10" s="1"/>
  <c r="B229" i="10" a="1"/>
  <c r="B229" i="10" s="1"/>
  <c r="B230" i="10" a="1"/>
  <c r="B230" i="10" s="1"/>
  <c r="B231" i="10" a="1"/>
  <c r="B231" i="10" s="1"/>
  <c r="B232" i="10" a="1"/>
  <c r="B232" i="10" s="1"/>
  <c r="B233" i="10" a="1"/>
  <c r="B233" i="10" s="1"/>
  <c r="B234" i="10" a="1"/>
  <c r="B234" i="10" s="1"/>
  <c r="B235" i="10" a="1"/>
  <c r="B235" i="10" s="1"/>
  <c r="B236" i="10" a="1"/>
  <c r="B236" i="10" s="1"/>
  <c r="B237" i="10" a="1"/>
  <c r="B237" i="10" s="1"/>
  <c r="B238" i="10" a="1"/>
  <c r="B238" i="10" s="1"/>
  <c r="B239" i="10" a="1"/>
  <c r="B239" i="10" s="1"/>
  <c r="B240" i="10" a="1"/>
  <c r="B240" i="10" s="1"/>
  <c r="B241" i="10" a="1"/>
  <c r="B241" i="10" s="1"/>
  <c r="B242" i="10" a="1"/>
  <c r="B242" i="10" s="1"/>
  <c r="B243" i="10" a="1"/>
  <c r="B243" i="10" s="1"/>
  <c r="B244" i="10" a="1"/>
  <c r="B244" i="10" s="1"/>
  <c r="B245" i="10" a="1"/>
  <c r="B245" i="10" s="1"/>
  <c r="B246" i="10" a="1"/>
  <c r="B246" i="10" s="1"/>
  <c r="B247" i="10" a="1"/>
  <c r="B247" i="10" s="1"/>
  <c r="B248" i="10" a="1"/>
  <c r="B248" i="10" s="1"/>
  <c r="B249" i="10" a="1"/>
  <c r="B249" i="10" s="1"/>
  <c r="B10" i="10" a="1"/>
  <c r="B10" i="10" s="1"/>
  <c r="D11" i="10" a="1"/>
  <c r="D11" i="10" s="1"/>
  <c r="F18" i="8" a="1"/>
  <c r="F18" i="8" s="1"/>
  <c r="G18" i="8" a="1"/>
  <c r="G18" i="8" s="1"/>
  <c r="G19" i="8" a="1"/>
  <c r="G19" i="8" s="1"/>
  <c r="G20" i="8" a="1"/>
  <c r="G20" i="8" s="1"/>
  <c r="G21" i="8" a="1"/>
  <c r="G21" i="8" s="1"/>
  <c r="J21" i="8" a="1"/>
  <c r="J21" i="8" s="1"/>
  <c r="G22" i="8" a="1"/>
  <c r="G22" i="8" s="1"/>
  <c r="J22" i="8" a="1"/>
  <c r="J22" i="8" s="1"/>
  <c r="G23" i="8" a="1"/>
  <c r="G23" i="8" s="1"/>
  <c r="G24" i="8" a="1"/>
  <c r="G24" i="8" s="1"/>
  <c r="J24" i="8" a="1"/>
  <c r="J24" i="8" s="1"/>
  <c r="G25" i="8" a="1"/>
  <c r="G25" i="8" s="1"/>
  <c r="J25" i="8" a="1"/>
  <c r="J25" i="8" s="1"/>
  <c r="E26" i="8" a="1"/>
  <c r="E26" i="8" s="1"/>
  <c r="F26" i="8" a="1"/>
  <c r="F26" i="8" s="1"/>
  <c r="G26" i="8" a="1"/>
  <c r="G26" i="8" s="1"/>
  <c r="J26" i="8" a="1"/>
  <c r="J26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E30" i="8" a="1"/>
  <c r="E30" i="8" s="1"/>
  <c r="F30" i="8" a="1"/>
  <c r="F30" i="8" s="1"/>
  <c r="G30" i="8" a="1"/>
  <c r="G30" i="8" s="1"/>
  <c r="H30" i="8" a="1"/>
  <c r="H30" i="8" s="1"/>
  <c r="I30" i="8" a="1"/>
  <c r="I30" i="8" s="1"/>
  <c r="J30" i="8" a="1"/>
  <c r="J30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E39" i="8" a="1"/>
  <c r="E39" i="8" s="1"/>
  <c r="E40" i="8" a="1"/>
  <c r="E40" i="8" s="1"/>
  <c r="F40" i="8" a="1"/>
  <c r="F40" i="8" s="1"/>
  <c r="E41" i="8" a="1"/>
  <c r="E41" i="8" s="1"/>
  <c r="F41" i="8" a="1"/>
  <c r="F41" i="8" s="1"/>
  <c r="I41" i="8" a="1"/>
  <c r="I41" i="8" s="1"/>
  <c r="J41" i="8" a="1"/>
  <c r="J41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E62" i="8" a="1"/>
  <c r="E62" i="8" s="1"/>
  <c r="E63" i="8" a="1"/>
  <c r="E63" i="8" s="1"/>
  <c r="E64" i="8" a="1"/>
  <c r="E64" i="8" s="1"/>
  <c r="F64" i="8" a="1"/>
  <c r="F64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J88" i="8" a="1"/>
  <c r="J88" i="8" s="1"/>
  <c r="F90" i="8" a="1"/>
  <c r="F90" i="8" s="1"/>
  <c r="G90" i="8" a="1"/>
  <c r="G90" i="8" s="1"/>
  <c r="G91" i="8" a="1"/>
  <c r="G91" i="8" s="1"/>
  <c r="J91" i="8" a="1"/>
  <c r="J91" i="8" s="1"/>
  <c r="G92" i="8" a="1"/>
  <c r="G92" i="8" s="1"/>
  <c r="J92" i="8" a="1"/>
  <c r="J92" i="8" s="1"/>
  <c r="G93" i="8" a="1"/>
  <c r="G93" i="8" s="1"/>
  <c r="G94" i="8" a="1"/>
  <c r="G94" i="8" s="1"/>
  <c r="J94" i="8" a="1"/>
  <c r="J94" i="8" s="1"/>
  <c r="G95" i="8" a="1"/>
  <c r="G95" i="8" s="1"/>
  <c r="J95" i="8" a="1"/>
  <c r="J95" i="8" s="1"/>
  <c r="G96" i="8" a="1"/>
  <c r="G96" i="8" s="1"/>
  <c r="J96" i="8" a="1"/>
  <c r="J96" i="8" s="1"/>
  <c r="G97" i="8" a="1"/>
  <c r="G97" i="8" s="1"/>
  <c r="J97" i="8" a="1"/>
  <c r="J97" i="8" s="1"/>
  <c r="E98" i="8" a="1"/>
  <c r="E98" i="8" s="1"/>
  <c r="F98" i="8" a="1"/>
  <c r="F98" i="8" s="1"/>
  <c r="G98" i="8" a="1"/>
  <c r="G98" i="8" s="1"/>
  <c r="J98" i="8" a="1"/>
  <c r="J98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E134" i="8" a="1"/>
  <c r="E134" i="8" s="1"/>
  <c r="F134" i="8" a="1"/>
  <c r="F134" i="8" s="1"/>
  <c r="G134" i="8" a="1"/>
  <c r="G134" i="8" s="1"/>
  <c r="H134" i="8" a="1"/>
  <c r="H134" i="8" s="1"/>
  <c r="I134" i="8" a="1"/>
  <c r="I134" i="8" s="1"/>
  <c r="J134" i="8" a="1"/>
  <c r="J134" i="8" s="1"/>
  <c r="E135" i="8" a="1"/>
  <c r="E135" i="8" s="1"/>
  <c r="F135" i="8" a="1"/>
  <c r="F135" i="8" s="1"/>
  <c r="G135" i="8" a="1"/>
  <c r="G135" i="8" s="1"/>
  <c r="H135" i="8" a="1"/>
  <c r="H135" i="8" s="1"/>
  <c r="I135" i="8" a="1"/>
  <c r="I135" i="8" s="1"/>
  <c r="J135" i="8" a="1"/>
  <c r="J135" i="8" s="1"/>
  <c r="E136" i="8" a="1"/>
  <c r="E136" i="8" s="1"/>
  <c r="F136" i="8" a="1"/>
  <c r="F136" i="8" s="1"/>
  <c r="G136" i="8" a="1"/>
  <c r="G136" i="8" s="1"/>
  <c r="H136" i="8" a="1"/>
  <c r="H136" i="8" s="1"/>
  <c r="I136" i="8" a="1"/>
  <c r="I136" i="8" s="1"/>
  <c r="J136" i="8" a="1"/>
  <c r="J136" i="8" s="1"/>
  <c r="E137" i="8" a="1"/>
  <c r="E137" i="8" s="1"/>
  <c r="F137" i="8" a="1"/>
  <c r="F137" i="8" s="1"/>
  <c r="G137" i="8" a="1"/>
  <c r="G137" i="8" s="1"/>
  <c r="H137" i="8" a="1"/>
  <c r="H137" i="8" s="1"/>
  <c r="I137" i="8" a="1"/>
  <c r="I137" i="8" s="1"/>
  <c r="J137" i="8" a="1"/>
  <c r="J137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F10" i="8" a="1"/>
  <c r="F10" i="8" s="1"/>
  <c r="G10" i="8" a="1"/>
  <c r="G10" i="8" s="1"/>
  <c r="H10" i="8" a="1"/>
  <c r="H10" i="8" s="1"/>
  <c r="I10" i="8" a="1"/>
  <c r="I10" i="8" s="1"/>
  <c r="J10" i="8" a="1"/>
  <c r="J10" i="8" s="1"/>
  <c r="E10" i="8" a="1"/>
  <c r="E10" i="10" a="1"/>
  <c r="E11" i="8" a="1"/>
  <c r="I11" i="10" a="1"/>
  <c r="J11" i="8" a="1"/>
  <c r="H41" i="8" a="1"/>
  <c r="J19" i="8" a="1"/>
  <c r="H62" i="8" a="1"/>
  <c r="H63" i="8" a="1"/>
  <c r="H64" i="8" a="1"/>
  <c r="J23" i="8" a="1"/>
  <c r="H40" i="8" a="1"/>
  <c r="F91" i="8" a="1"/>
  <c r="H38" i="8" a="1"/>
  <c r="F92" i="8" a="1"/>
  <c r="J63" i="8" a="1"/>
  <c r="E18" i="8" a="1"/>
  <c r="F14" i="8" a="1"/>
  <c r="H18" i="8" a="1"/>
  <c r="F86" i="8" a="1"/>
  <c r="J38" i="8" a="1"/>
  <c r="H20" i="8" a="1"/>
  <c r="I24" i="8" a="1"/>
  <c r="H16" i="8" a="1"/>
  <c r="F88" i="8" a="1"/>
  <c r="F24" i="8" a="1"/>
  <c r="J12" i="8" a="1"/>
  <c r="I21" i="8" a="1"/>
  <c r="G39" i="8" a="1"/>
  <c r="H25" i="8" a="1"/>
  <c r="H95" i="8" a="1"/>
  <c r="J14" i="8" a="1"/>
  <c r="H91" i="8" a="1"/>
  <c r="F22" i="8" a="1"/>
  <c r="H12" i="8" a="1"/>
  <c r="I35" i="8" a="1"/>
  <c r="G38" i="8" a="1"/>
  <c r="J13" i="8" a="1"/>
  <c r="H98" i="8" a="1"/>
  <c r="E88" i="8" a="1"/>
  <c r="I11" i="8" a="1"/>
  <c r="E13" i="8" a="1"/>
  <c r="E90" i="8" a="1"/>
  <c r="E12" i="8" a="1"/>
  <c r="I12" i="8" a="1"/>
  <c r="F11" i="8" a="1"/>
  <c r="H93" i="8" a="1"/>
  <c r="F20" i="8" a="1"/>
  <c r="I26" i="8" a="1"/>
  <c r="F97" i="8" a="1"/>
  <c r="E14" i="8" a="1"/>
  <c r="E96" i="8" a="1"/>
  <c r="F12" i="8" a="1"/>
  <c r="F63" i="8" a="1"/>
  <c r="H96" i="8" a="1"/>
  <c r="I64" i="8" a="1"/>
  <c r="H19" i="8" a="1"/>
  <c r="J93" i="8" a="1"/>
  <c r="E89" i="8" a="1"/>
  <c r="J36" i="8" a="1"/>
  <c r="H94" i="8" a="1"/>
  <c r="I63" i="8" a="1"/>
  <c r="I19" i="8" a="1"/>
  <c r="E23" i="8" a="1"/>
  <c r="E36" i="8" a="1"/>
  <c r="E25" i="8" a="1"/>
  <c r="H97" i="8" a="1"/>
  <c r="I17" i="8" a="1"/>
  <c r="H15" i="8" a="1"/>
  <c r="H26" i="8" a="1"/>
  <c r="I86" i="8" a="1"/>
  <c r="H37" i="8" a="1"/>
  <c r="J17" i="8" a="1"/>
  <c r="I94" i="8" a="1"/>
  <c r="J39" i="8" a="1"/>
  <c r="J65" i="8" a="1"/>
  <c r="G15" i="8" a="1"/>
  <c r="I89" i="8" a="1"/>
  <c r="F36" i="8" a="1"/>
  <c r="E93" i="8" a="1"/>
  <c r="F93" i="8" a="1"/>
  <c r="H36" i="8" a="1"/>
  <c r="H22" i="8" a="1"/>
  <c r="F87" i="8" a="1"/>
  <c r="G86" i="8" a="1"/>
  <c r="E86" i="8" a="1"/>
  <c r="I22" i="8" a="1"/>
  <c r="E22" i="8" a="1"/>
  <c r="J62" i="8" a="1"/>
  <c r="G14" i="8" a="1"/>
  <c r="I92" i="8" a="1"/>
  <c r="H86" i="8" a="1"/>
  <c r="E97" i="8" a="1"/>
  <c r="G12" i="8" a="1"/>
  <c r="F37" i="8" a="1"/>
  <c r="I96" i="8" a="1"/>
  <c r="G64" i="8" a="1"/>
  <c r="G37" i="8" a="1"/>
  <c r="G17" i="8" a="1"/>
  <c r="F38" i="8" a="1"/>
  <c r="G87" i="8" a="1"/>
  <c r="I18" i="8" a="1"/>
  <c r="E91" i="8" a="1"/>
  <c r="H24" i="8" a="1"/>
  <c r="I88" i="8" a="1"/>
  <c r="F21" i="8" a="1"/>
  <c r="F19" i="8" a="1"/>
  <c r="J89" i="8" a="1"/>
  <c r="G41" i="8" a="1"/>
  <c r="H17" i="8" a="1"/>
  <c r="H87" i="8" a="1"/>
  <c r="I15" i="8" a="1"/>
  <c r="J35" i="8" a="1"/>
  <c r="E37" i="8" a="1"/>
  <c r="J86" i="8" a="1"/>
  <c r="I38" i="8" a="1"/>
  <c r="F96" i="8" a="1"/>
  <c r="J20" i="8" a="1"/>
  <c r="I39" i="8" a="1"/>
  <c r="F25" i="8" a="1"/>
  <c r="H39" i="8" a="1"/>
  <c r="E19" i="8" a="1"/>
  <c r="J37" i="8" a="1"/>
  <c r="H88" i="8" a="1"/>
  <c r="E21" i="8" a="1"/>
  <c r="I97" i="8" a="1"/>
  <c r="I13" i="8" a="1"/>
  <c r="I90" i="8" a="1"/>
  <c r="F39" i="8" a="1"/>
  <c r="G13" i="8" a="1"/>
  <c r="H13" i="8" a="1"/>
  <c r="J90" i="8" a="1"/>
  <c r="H11" i="8" a="1"/>
  <c r="J40" i="8" a="1"/>
  <c r="F17" i="8" a="1"/>
  <c r="I23" i="8" a="1"/>
  <c r="J18" i="8" a="1"/>
  <c r="H21" i="8" a="1"/>
  <c r="F35" i="8" a="1"/>
  <c r="G11" i="8" a="1"/>
  <c r="I95" i="8" a="1"/>
  <c r="I37" i="8" a="1"/>
  <c r="E87" i="8" a="1"/>
  <c r="F94" i="8" a="1"/>
  <c r="J15" i="8" a="1"/>
  <c r="I20" i="8" a="1"/>
  <c r="J42" i="8" a="1"/>
  <c r="I62" i="8" a="1"/>
  <c r="E15" i="8" a="1"/>
  <c r="E92" i="8" a="1"/>
  <c r="J16" i="8" a="1"/>
  <c r="G88" i="8" a="1"/>
  <c r="E16" i="8" a="1"/>
  <c r="I98" i="8" a="1"/>
  <c r="G35" i="8" a="1"/>
  <c r="G16" i="8" a="1"/>
  <c r="I25" i="8" a="1"/>
  <c r="F23" i="8" a="1"/>
  <c r="E17" i="8" a="1"/>
  <c r="E24" i="8" a="1"/>
  <c r="G36" i="8" a="1"/>
  <c r="H90" i="8" a="1"/>
  <c r="G63" i="8" a="1"/>
  <c r="E38" i="8" a="1"/>
  <c r="E95" i="8" a="1"/>
  <c r="I36" i="8" a="1"/>
  <c r="G40" i="8" a="1"/>
  <c r="J87" i="8" a="1"/>
  <c r="E20" i="8" a="1"/>
  <c r="G62" i="8" a="1"/>
  <c r="H92" i="8" a="1"/>
  <c r="G89" i="8" a="1"/>
  <c r="F16" i="8" a="1"/>
  <c r="H23" i="8" a="1"/>
  <c r="E35" i="8" a="1"/>
  <c r="I93" i="8" a="1"/>
  <c r="F13" i="8" a="1"/>
  <c r="I16" i="8" a="1"/>
  <c r="F62" i="8" a="1"/>
  <c r="J64" i="8" a="1"/>
  <c r="H89" i="8" a="1"/>
  <c r="I40" i="8" a="1"/>
  <c r="I91" i="8" a="1"/>
  <c r="H35" i="8" a="1"/>
  <c r="I14" i="8" a="1"/>
  <c r="F15" i="8" a="1"/>
  <c r="I87" i="8" a="1"/>
  <c r="E94" i="8" a="1"/>
  <c r="F89" i="8" a="1"/>
  <c r="H14" i="8" a="1"/>
  <c r="F95" i="8" a="1"/>
  <c r="H40" i="8" l="1"/>
  <c r="J23" i="8"/>
  <c r="H64" i="8"/>
  <c r="H63" i="8"/>
  <c r="H62" i="8"/>
  <c r="J19" i="8"/>
  <c r="H41" i="8"/>
  <c r="J11" i="8"/>
  <c r="I11" i="10"/>
  <c r="E11" i="8"/>
  <c r="E10" i="10"/>
  <c r="J87" i="8"/>
  <c r="H13" i="8"/>
  <c r="F93" i="8"/>
  <c r="H86" i="8"/>
  <c r="G64" i="8"/>
  <c r="H38" i="8"/>
  <c r="E18" i="8"/>
  <c r="H14" i="8"/>
  <c r="H90" i="8"/>
  <c r="I13" i="8"/>
  <c r="F89" i="8"/>
  <c r="I21" i="8"/>
  <c r="H98" i="8"/>
  <c r="J93" i="8"/>
  <c r="J42" i="8"/>
  <c r="H21" i="8"/>
  <c r="E19" i="8"/>
  <c r="G16" i="8"/>
  <c r="I37" i="8"/>
  <c r="H37" i="8"/>
  <c r="I36" i="8"/>
  <c r="J18" i="8"/>
  <c r="F16" i="8"/>
  <c r="I12" i="8"/>
  <c r="H96" i="8"/>
  <c r="F97" i="8"/>
  <c r="H92" i="8"/>
  <c r="F87" i="8"/>
  <c r="G63" i="8"/>
  <c r="G39" i="8"/>
  <c r="F24" i="8"/>
  <c r="F17" i="8"/>
  <c r="F91" i="8"/>
  <c r="J35" i="8"/>
  <c r="F25" i="8"/>
  <c r="I20" i="8"/>
  <c r="G15" i="8"/>
  <c r="G40" i="8"/>
  <c r="F95" i="8"/>
  <c r="H94" i="8"/>
  <c r="J89" i="8"/>
  <c r="H88" i="8"/>
  <c r="I62" i="8"/>
  <c r="E35" i="8"/>
  <c r="H22" i="8"/>
  <c r="G41" i="8"/>
  <c r="H39" i="8"/>
  <c r="I38" i="8"/>
  <c r="J37" i="8"/>
  <c r="J36" i="8"/>
  <c r="E36" i="8"/>
  <c r="F35" i="8"/>
  <c r="H24" i="8"/>
  <c r="H23" i="8"/>
  <c r="I22" i="8"/>
  <c r="J20" i="8"/>
  <c r="E20" i="8"/>
  <c r="F19" i="8"/>
  <c r="G17" i="8"/>
  <c r="H16" i="8"/>
  <c r="H15" i="8"/>
  <c r="I14" i="8"/>
  <c r="J13" i="8"/>
  <c r="J12" i="8"/>
  <c r="E12" i="8"/>
  <c r="I97" i="8"/>
  <c r="E97" i="8"/>
  <c r="I95" i="8"/>
  <c r="E95" i="8"/>
  <c r="I93" i="8"/>
  <c r="E93" i="8"/>
  <c r="I91" i="8"/>
  <c r="E91" i="8"/>
  <c r="I89" i="8"/>
  <c r="E89" i="8"/>
  <c r="G88" i="8"/>
  <c r="I87" i="8"/>
  <c r="E87" i="8"/>
  <c r="G86" i="8"/>
  <c r="G62" i="8"/>
  <c r="G38" i="8"/>
  <c r="I35" i="8"/>
  <c r="E25" i="8"/>
  <c r="I19" i="8"/>
  <c r="E17" i="8"/>
  <c r="G14" i="8"/>
  <c r="I11" i="8"/>
  <c r="J65" i="8"/>
  <c r="J64" i="8"/>
  <c r="F63" i="8"/>
  <c r="F62" i="8"/>
  <c r="J40" i="8"/>
  <c r="F39" i="8"/>
  <c r="F38" i="8"/>
  <c r="G37" i="8"/>
  <c r="H36" i="8"/>
  <c r="H35" i="8"/>
  <c r="I26" i="8"/>
  <c r="E24" i="8"/>
  <c r="F23" i="8"/>
  <c r="F22" i="8"/>
  <c r="H20" i="8"/>
  <c r="H19" i="8"/>
  <c r="I18" i="8"/>
  <c r="J17" i="8"/>
  <c r="J16" i="8"/>
  <c r="E16" i="8"/>
  <c r="F15" i="8"/>
  <c r="F14" i="8"/>
  <c r="G13" i="8"/>
  <c r="H12" i="8"/>
  <c r="H11" i="8"/>
  <c r="H97" i="8"/>
  <c r="F96" i="8"/>
  <c r="H95" i="8"/>
  <c r="F94" i="8"/>
  <c r="H93" i="8"/>
  <c r="F92" i="8"/>
  <c r="H91" i="8"/>
  <c r="J90" i="8"/>
  <c r="H89" i="8"/>
  <c r="F88" i="8"/>
  <c r="H87" i="8"/>
  <c r="J86" i="8"/>
  <c r="F86" i="8"/>
  <c r="G36" i="8"/>
  <c r="I25" i="8"/>
  <c r="E23" i="8"/>
  <c r="I17" i="8"/>
  <c r="E15" i="8"/>
  <c r="G12" i="8"/>
  <c r="I64" i="8"/>
  <c r="J63" i="8"/>
  <c r="J62" i="8"/>
  <c r="I40" i="8"/>
  <c r="J39" i="8"/>
  <c r="J38" i="8"/>
  <c r="E38" i="8"/>
  <c r="F37" i="8"/>
  <c r="F36" i="8"/>
  <c r="G35" i="8"/>
  <c r="H26" i="8"/>
  <c r="H25" i="8"/>
  <c r="I24" i="8"/>
  <c r="E22" i="8"/>
  <c r="F21" i="8"/>
  <c r="F20" i="8"/>
  <c r="H18" i="8"/>
  <c r="H17" i="8"/>
  <c r="I16" i="8"/>
  <c r="J15" i="8"/>
  <c r="J14" i="8"/>
  <c r="E14" i="8"/>
  <c r="F13" i="8"/>
  <c r="F12" i="8"/>
  <c r="I98" i="8"/>
  <c r="I96" i="8"/>
  <c r="E96" i="8"/>
  <c r="I94" i="8"/>
  <c r="E94" i="8"/>
  <c r="I92" i="8"/>
  <c r="E92" i="8"/>
  <c r="I90" i="8"/>
  <c r="E90" i="8"/>
  <c r="G89" i="8"/>
  <c r="I88" i="8"/>
  <c r="E88" i="8"/>
  <c r="G87" i="8"/>
  <c r="I86" i="8"/>
  <c r="E86" i="8"/>
  <c r="I63" i="8"/>
  <c r="I39" i="8"/>
  <c r="E37" i="8"/>
  <c r="I23" i="8"/>
  <c r="E21" i="8"/>
  <c r="I15" i="8"/>
  <c r="E13" i="8"/>
  <c r="G11" i="8"/>
  <c r="F11" i="8"/>
  <c r="E10" i="8"/>
  <c r="D11" i="8" a="1"/>
  <c r="D11" i="8" s="1"/>
  <c r="D12" i="8" a="1"/>
  <c r="D12" i="8" s="1"/>
  <c r="D13" i="8" a="1"/>
  <c r="D13" i="8" s="1"/>
  <c r="D14" i="8" a="1"/>
  <c r="D14" i="8" s="1"/>
  <c r="D15" i="8" a="1"/>
  <c r="D15" i="8" s="1"/>
  <c r="D16" i="8" a="1"/>
  <c r="D16" i="8" s="1"/>
  <c r="D17" i="8" a="1"/>
  <c r="D17" i="8" s="1"/>
  <c r="D18" i="8" a="1"/>
  <c r="D18" i="8" s="1"/>
  <c r="D19" i="8" a="1"/>
  <c r="D19" i="8" s="1"/>
  <c r="D20" i="8" a="1"/>
  <c r="D20" i="8" s="1"/>
  <c r="D21" i="8" a="1"/>
  <c r="D21" i="8" s="1"/>
  <c r="D22" i="8" a="1"/>
  <c r="D22" i="8" s="1"/>
  <c r="D23" i="8" a="1"/>
  <c r="D23" i="8" s="1"/>
  <c r="D24" i="8" a="1"/>
  <c r="D24" i="8" s="1"/>
  <c r="D25" i="8" a="1"/>
  <c r="D25" i="8" s="1"/>
  <c r="D26" i="8" a="1"/>
  <c r="D26" i="8" s="1"/>
  <c r="D27" i="8" a="1"/>
  <c r="D27" i="8" s="1"/>
  <c r="D28" i="8" a="1"/>
  <c r="D28" i="8" s="1"/>
  <c r="D29" i="8" a="1"/>
  <c r="D29" i="8" s="1"/>
  <c r="D30" i="8" a="1"/>
  <c r="D30" i="8" s="1"/>
  <c r="D31" i="8" a="1"/>
  <c r="D31" i="8" s="1"/>
  <c r="D32" i="8" a="1"/>
  <c r="D32" i="8" s="1"/>
  <c r="D33" i="8" a="1"/>
  <c r="D33" i="8" s="1"/>
  <c r="D34" i="8" a="1"/>
  <c r="D34" i="8" s="1"/>
  <c r="D35" i="8" a="1"/>
  <c r="D35" i="8" s="1"/>
  <c r="D36" i="8" a="1"/>
  <c r="D36" i="8" s="1"/>
  <c r="D37" i="8" a="1"/>
  <c r="D37" i="8" s="1"/>
  <c r="D38" i="8" a="1"/>
  <c r="D38" i="8" s="1"/>
  <c r="D39" i="8" a="1"/>
  <c r="D39" i="8" s="1"/>
  <c r="D40" i="8" a="1"/>
  <c r="D40" i="8" s="1"/>
  <c r="D41" i="8" a="1"/>
  <c r="D41" i="8" s="1"/>
  <c r="D42" i="8" a="1"/>
  <c r="D42" i="8" s="1"/>
  <c r="D43" i="8" a="1"/>
  <c r="D43" i="8" s="1"/>
  <c r="D44" i="8" a="1"/>
  <c r="D44" i="8" s="1"/>
  <c r="D45" i="8" a="1"/>
  <c r="D45" i="8" s="1"/>
  <c r="D46" i="8" a="1"/>
  <c r="D46" i="8" s="1"/>
  <c r="D47" i="8" a="1"/>
  <c r="D47" i="8" s="1"/>
  <c r="D48" i="8" a="1"/>
  <c r="D48" i="8" s="1"/>
  <c r="D49" i="8" a="1"/>
  <c r="D49" i="8" s="1"/>
  <c r="D50" i="8" a="1"/>
  <c r="D50" i="8" s="1"/>
  <c r="D51" i="8" a="1"/>
  <c r="D51" i="8" s="1"/>
  <c r="D52" i="8" a="1"/>
  <c r="D52" i="8" s="1"/>
  <c r="D53" i="8" a="1"/>
  <c r="D53" i="8" s="1"/>
  <c r="D54" i="8" a="1"/>
  <c r="D54" i="8" s="1"/>
  <c r="D55" i="8" a="1"/>
  <c r="D55" i="8" s="1"/>
  <c r="D56" i="8" a="1"/>
  <c r="D56" i="8" s="1"/>
  <c r="D57" i="8" a="1"/>
  <c r="D57" i="8" s="1"/>
  <c r="D58" i="8" a="1"/>
  <c r="D58" i="8" s="1"/>
  <c r="D59" i="8" a="1"/>
  <c r="D59" i="8" s="1"/>
  <c r="D60" i="8" a="1"/>
  <c r="D60" i="8" s="1"/>
  <c r="D61" i="8" a="1"/>
  <c r="D61" i="8" s="1"/>
  <c r="D62" i="8" a="1"/>
  <c r="D62" i="8" s="1"/>
  <c r="D63" i="8" a="1"/>
  <c r="D63" i="8" s="1"/>
  <c r="D64" i="8" a="1"/>
  <c r="D64" i="8" s="1"/>
  <c r="D65" i="8" a="1"/>
  <c r="D65" i="8" s="1"/>
  <c r="D66" i="8" a="1"/>
  <c r="D66" i="8" s="1"/>
  <c r="D67" i="8" a="1"/>
  <c r="D67" i="8" s="1"/>
  <c r="D68" i="8" a="1"/>
  <c r="D68" i="8" s="1"/>
  <c r="D69" i="8" a="1"/>
  <c r="D69" i="8" s="1"/>
  <c r="D70" i="8" a="1"/>
  <c r="D70" i="8" s="1"/>
  <c r="D71" i="8" a="1"/>
  <c r="D71" i="8" s="1"/>
  <c r="D72" i="8" a="1"/>
  <c r="D72" i="8" s="1"/>
  <c r="D73" i="8" a="1"/>
  <c r="D73" i="8" s="1"/>
  <c r="D74" i="8" a="1"/>
  <c r="D74" i="8" s="1"/>
  <c r="D75" i="8" a="1"/>
  <c r="D75" i="8" s="1"/>
  <c r="D76" i="8" a="1"/>
  <c r="D76" i="8" s="1"/>
  <c r="D77" i="8" a="1"/>
  <c r="D77" i="8" s="1"/>
  <c r="D78" i="8" a="1"/>
  <c r="D78" i="8" s="1"/>
  <c r="D79" i="8" a="1"/>
  <c r="D79" i="8" s="1"/>
  <c r="D80" i="8" a="1"/>
  <c r="D80" i="8" s="1"/>
  <c r="D81" i="8" a="1"/>
  <c r="D81" i="8" s="1"/>
  <c r="D82" i="8" a="1"/>
  <c r="D82" i="8" s="1"/>
  <c r="D83" i="8" a="1"/>
  <c r="D83" i="8" s="1"/>
  <c r="D84" i="8" a="1"/>
  <c r="D84" i="8" s="1"/>
  <c r="D85" i="8" a="1"/>
  <c r="D85" i="8" s="1"/>
  <c r="D86" i="8" a="1"/>
  <c r="D86" i="8" s="1"/>
  <c r="D87" i="8" a="1"/>
  <c r="D87" i="8" s="1"/>
  <c r="D88" i="8" a="1"/>
  <c r="D88" i="8" s="1"/>
  <c r="D89" i="8" a="1"/>
  <c r="D89" i="8" s="1"/>
  <c r="D90" i="8" a="1"/>
  <c r="D90" i="8" s="1"/>
  <c r="D91" i="8" a="1"/>
  <c r="D91" i="8" s="1"/>
  <c r="D92" i="8" a="1"/>
  <c r="D92" i="8" s="1"/>
  <c r="D93" i="8" a="1"/>
  <c r="D93" i="8" s="1"/>
  <c r="D94" i="8" a="1"/>
  <c r="D94" i="8" s="1"/>
  <c r="D95" i="8" a="1"/>
  <c r="D95" i="8" s="1"/>
  <c r="D96" i="8" a="1"/>
  <c r="D96" i="8" s="1"/>
  <c r="D97" i="8" a="1"/>
  <c r="D97" i="8" s="1"/>
  <c r="D98" i="8" a="1"/>
  <c r="D98" i="8" s="1"/>
  <c r="D99" i="8" a="1"/>
  <c r="D99" i="8" s="1"/>
  <c r="D100" i="8" a="1"/>
  <c r="D100" i="8" s="1"/>
  <c r="D101" i="8" a="1"/>
  <c r="D101" i="8" s="1"/>
  <c r="D102" i="8" a="1"/>
  <c r="D102" i="8" s="1"/>
  <c r="D103" i="8" a="1"/>
  <c r="D103" i="8" s="1"/>
  <c r="D104" i="8" a="1"/>
  <c r="D104" i="8" s="1"/>
  <c r="D105" i="8" a="1"/>
  <c r="D105" i="8" s="1"/>
  <c r="D106" i="8" a="1"/>
  <c r="D106" i="8" s="1"/>
  <c r="D107" i="8" a="1"/>
  <c r="D107" i="8" s="1"/>
  <c r="D108" i="8" a="1"/>
  <c r="D108" i="8" s="1"/>
  <c r="D109" i="8" a="1"/>
  <c r="D109" i="8" s="1"/>
  <c r="D110" i="8" a="1"/>
  <c r="D110" i="8" s="1"/>
  <c r="D111" i="8" a="1"/>
  <c r="D111" i="8" s="1"/>
  <c r="D112" i="8" a="1"/>
  <c r="D112" i="8" s="1"/>
  <c r="D113" i="8" a="1"/>
  <c r="D113" i="8" s="1"/>
  <c r="D114" i="8" a="1"/>
  <c r="D114" i="8" s="1"/>
  <c r="D115" i="8" a="1"/>
  <c r="D115" i="8" s="1"/>
  <c r="D116" i="8" a="1"/>
  <c r="D116" i="8" s="1"/>
  <c r="D117" i="8" a="1"/>
  <c r="D117" i="8" s="1"/>
  <c r="D118" i="8" a="1"/>
  <c r="D118" i="8" s="1"/>
  <c r="D119" i="8" a="1"/>
  <c r="D119" i="8" s="1"/>
  <c r="D120" i="8" a="1"/>
  <c r="D120" i="8" s="1"/>
  <c r="D121" i="8" a="1"/>
  <c r="D121" i="8" s="1"/>
  <c r="D122" i="8" a="1"/>
  <c r="D122" i="8" s="1"/>
  <c r="D123" i="8" a="1"/>
  <c r="D123" i="8" s="1"/>
  <c r="D124" i="8" a="1"/>
  <c r="D124" i="8" s="1"/>
  <c r="D125" i="8" a="1"/>
  <c r="D125" i="8" s="1"/>
  <c r="D126" i="8" a="1"/>
  <c r="D126" i="8" s="1"/>
  <c r="D127" i="8" a="1"/>
  <c r="D127" i="8" s="1"/>
  <c r="D128" i="8" a="1"/>
  <c r="D128" i="8" s="1"/>
  <c r="D129" i="8" a="1"/>
  <c r="D129" i="8" s="1"/>
  <c r="D130" i="8" a="1"/>
  <c r="D130" i="8" s="1"/>
  <c r="D131" i="8" a="1"/>
  <c r="D131" i="8" s="1"/>
  <c r="D132" i="8" a="1"/>
  <c r="D132" i="8" s="1"/>
  <c r="D133" i="8" a="1"/>
  <c r="D133" i="8" s="1"/>
  <c r="D134" i="8" a="1"/>
  <c r="D134" i="8" s="1"/>
  <c r="D135" i="8" a="1"/>
  <c r="D135" i="8" s="1"/>
  <c r="D136" i="8" a="1"/>
  <c r="D136" i="8" s="1"/>
  <c r="D137" i="8" a="1"/>
  <c r="D137" i="8" s="1"/>
  <c r="D138" i="8" a="1"/>
  <c r="D138" i="8" s="1"/>
  <c r="D139" i="8" a="1"/>
  <c r="D139" i="8" s="1"/>
  <c r="D140" i="8" a="1"/>
  <c r="D140" i="8" s="1"/>
  <c r="D141" i="8" a="1"/>
  <c r="D141" i="8" s="1"/>
  <c r="D142" i="8" a="1"/>
  <c r="D142" i="8" s="1"/>
  <c r="D143" i="8" a="1"/>
  <c r="D143" i="8" s="1"/>
  <c r="D144" i="8" a="1"/>
  <c r="D144" i="8" s="1"/>
  <c r="D145" i="8" a="1"/>
  <c r="D145" i="8" s="1"/>
  <c r="D146" i="8" a="1"/>
  <c r="D146" i="8" s="1"/>
  <c r="D147" i="8" a="1"/>
  <c r="D147" i="8" s="1"/>
  <c r="D148" i="8" a="1"/>
  <c r="D148" i="8" s="1"/>
  <c r="D149" i="8" a="1"/>
  <c r="D149" i="8" s="1"/>
  <c r="D150" i="8" a="1"/>
  <c r="D150" i="8" s="1"/>
  <c r="D151" i="8" a="1"/>
  <c r="D151" i="8" s="1"/>
  <c r="D152" i="8" a="1"/>
  <c r="D152" i="8" s="1"/>
  <c r="D153" i="8" a="1"/>
  <c r="D153" i="8" s="1"/>
  <c r="D154" i="8" a="1"/>
  <c r="D154" i="8" s="1"/>
  <c r="D155" i="8" a="1"/>
  <c r="D155" i="8" s="1"/>
  <c r="D156" i="8" a="1"/>
  <c r="D156" i="8" s="1"/>
  <c r="D157" i="8" a="1"/>
  <c r="D157" i="8" s="1"/>
  <c r="D158" i="8" a="1"/>
  <c r="D158" i="8" s="1"/>
  <c r="D159" i="8" a="1"/>
  <c r="D159" i="8" s="1"/>
  <c r="D160" i="8" a="1"/>
  <c r="D160" i="8" s="1"/>
  <c r="D161" i="8" a="1"/>
  <c r="D161" i="8" s="1"/>
  <c r="D162" i="8" a="1"/>
  <c r="D162" i="8" s="1"/>
  <c r="D163" i="8" a="1"/>
  <c r="D163" i="8" s="1"/>
  <c r="D164" i="8" a="1"/>
  <c r="D164" i="8" s="1"/>
  <c r="D165" i="8" a="1"/>
  <c r="D165" i="8" s="1"/>
  <c r="D166" i="8" a="1"/>
  <c r="D166" i="8" s="1"/>
  <c r="D167" i="8" a="1"/>
  <c r="D167" i="8" s="1"/>
  <c r="D168" i="8" a="1"/>
  <c r="D168" i="8" s="1"/>
  <c r="D169" i="8" a="1"/>
  <c r="D169" i="8" s="1"/>
  <c r="D170" i="8" a="1"/>
  <c r="D170" i="8" s="1"/>
  <c r="D171" i="8" a="1"/>
  <c r="D171" i="8" s="1"/>
  <c r="D172" i="8" a="1"/>
  <c r="D172" i="8" s="1"/>
  <c r="D173" i="8" a="1"/>
  <c r="D173" i="8" s="1"/>
  <c r="D174" i="8" a="1"/>
  <c r="D174" i="8" s="1"/>
  <c r="D175" i="8" a="1"/>
  <c r="D175" i="8" s="1"/>
  <c r="D176" i="8" a="1"/>
  <c r="D176" i="8" s="1"/>
  <c r="D177" i="8" a="1"/>
  <c r="D177" i="8" s="1"/>
  <c r="D178" i="8" a="1"/>
  <c r="D178" i="8" s="1"/>
  <c r="D179" i="8" a="1"/>
  <c r="D179" i="8" s="1"/>
  <c r="D180" i="8" a="1"/>
  <c r="D180" i="8" s="1"/>
  <c r="D181" i="8" a="1"/>
  <c r="D181" i="8" s="1"/>
  <c r="D182" i="8" a="1"/>
  <c r="D182" i="8" s="1"/>
  <c r="D183" i="8" a="1"/>
  <c r="D183" i="8" s="1"/>
  <c r="D184" i="8" a="1"/>
  <c r="D184" i="8" s="1"/>
  <c r="D185" i="8" a="1"/>
  <c r="D185" i="8" s="1"/>
  <c r="D186" i="8" a="1"/>
  <c r="D186" i="8" s="1"/>
  <c r="D187" i="8" a="1"/>
  <c r="D187" i="8" s="1"/>
  <c r="D188" i="8" a="1"/>
  <c r="D188" i="8" s="1"/>
  <c r="D189" i="8" a="1"/>
  <c r="D189" i="8" s="1"/>
  <c r="D190" i="8" a="1"/>
  <c r="D190" i="8" s="1"/>
  <c r="D191" i="8" a="1"/>
  <c r="D191" i="8" s="1"/>
  <c r="D192" i="8" a="1"/>
  <c r="D192" i="8" s="1"/>
  <c r="D193" i="8" a="1"/>
  <c r="D193" i="8" s="1"/>
  <c r="D194" i="8" a="1"/>
  <c r="D194" i="8" s="1"/>
  <c r="D195" i="8" a="1"/>
  <c r="D195" i="8" s="1"/>
  <c r="D196" i="8" a="1"/>
  <c r="D196" i="8" s="1"/>
  <c r="D197" i="8" a="1"/>
  <c r="D197" i="8" s="1"/>
  <c r="D198" i="8" a="1"/>
  <c r="D198" i="8" s="1"/>
  <c r="D199" i="8" a="1"/>
  <c r="D199" i="8" s="1"/>
  <c r="D200" i="8" a="1"/>
  <c r="D200" i="8" s="1"/>
  <c r="D201" i="8" a="1"/>
  <c r="D201" i="8" s="1"/>
  <c r="D202" i="8" a="1"/>
  <c r="D202" i="8" s="1"/>
  <c r="D203" i="8" a="1"/>
  <c r="D203" i="8" s="1"/>
  <c r="D204" i="8" a="1"/>
  <c r="D204" i="8" s="1"/>
  <c r="D205" i="8" a="1"/>
  <c r="D205" i="8" s="1"/>
  <c r="D206" i="8" a="1"/>
  <c r="D206" i="8" s="1"/>
  <c r="D207" i="8" a="1"/>
  <c r="D207" i="8" s="1"/>
  <c r="D208" i="8" a="1"/>
  <c r="D208" i="8" s="1"/>
  <c r="D209" i="8" a="1"/>
  <c r="D209" i="8" s="1"/>
  <c r="D210" i="8" a="1"/>
  <c r="D210" i="8" s="1"/>
  <c r="D211" i="8" a="1"/>
  <c r="D211" i="8" s="1"/>
  <c r="D212" i="8" a="1"/>
  <c r="D212" i="8" s="1"/>
  <c r="D213" i="8" a="1"/>
  <c r="D213" i="8" s="1"/>
  <c r="D214" i="8" a="1"/>
  <c r="D214" i="8" s="1"/>
  <c r="D215" i="8" a="1"/>
  <c r="D215" i="8" s="1"/>
  <c r="D216" i="8" a="1"/>
  <c r="D216" i="8" s="1"/>
  <c r="D217" i="8" a="1"/>
  <c r="D217" i="8" s="1"/>
  <c r="D218" i="8" a="1"/>
  <c r="D218" i="8" s="1"/>
  <c r="D219" i="8" a="1"/>
  <c r="D219" i="8" s="1"/>
  <c r="D220" i="8" a="1"/>
  <c r="D220" i="8" s="1"/>
  <c r="D221" i="8" a="1"/>
  <c r="D221" i="8" s="1"/>
  <c r="D222" i="8" a="1"/>
  <c r="D222" i="8" s="1"/>
  <c r="D223" i="8" a="1"/>
  <c r="D223" i="8" s="1"/>
  <c r="D224" i="8" a="1"/>
  <c r="D224" i="8" s="1"/>
  <c r="D225" i="8" a="1"/>
  <c r="D225" i="8" s="1"/>
  <c r="D226" i="8" a="1"/>
  <c r="D226" i="8" s="1"/>
  <c r="D227" i="8" a="1"/>
  <c r="D227" i="8" s="1"/>
  <c r="D228" i="8" a="1"/>
  <c r="D228" i="8" s="1"/>
  <c r="D229" i="8" a="1"/>
  <c r="D229" i="8" s="1"/>
  <c r="D230" i="8" a="1"/>
  <c r="D230" i="8" s="1"/>
  <c r="D231" i="8" a="1"/>
  <c r="D231" i="8" s="1"/>
  <c r="D232" i="8" a="1"/>
  <c r="D232" i="8" s="1"/>
  <c r="D233" i="8" a="1"/>
  <c r="D233" i="8" s="1"/>
  <c r="D234" i="8" a="1"/>
  <c r="D234" i="8" s="1"/>
  <c r="D235" i="8" a="1"/>
  <c r="D235" i="8" s="1"/>
  <c r="D236" i="8" a="1"/>
  <c r="D236" i="8" s="1"/>
  <c r="D237" i="8" a="1"/>
  <c r="D237" i="8" s="1"/>
  <c r="D238" i="8" a="1"/>
  <c r="D238" i="8" s="1"/>
  <c r="D239" i="8" a="1"/>
  <c r="D239" i="8" s="1"/>
  <c r="D240" i="8" a="1"/>
  <c r="D240" i="8" s="1"/>
  <c r="D241" i="8" a="1"/>
  <c r="D241" i="8" s="1"/>
  <c r="D242" i="8" a="1"/>
  <c r="D242" i="8" s="1"/>
  <c r="D243" i="8" a="1"/>
  <c r="D243" i="8" s="1"/>
  <c r="D244" i="8" a="1"/>
  <c r="D244" i="8" s="1"/>
  <c r="D245" i="8" a="1"/>
  <c r="D245" i="8" s="1"/>
  <c r="D246" i="8" a="1"/>
  <c r="D246" i="8" s="1"/>
  <c r="D247" i="8" a="1"/>
  <c r="D247" i="8" s="1"/>
  <c r="D248" i="8" a="1"/>
  <c r="D248" i="8" s="1"/>
  <c r="D249" i="8" a="1"/>
  <c r="D249" i="8" s="1"/>
  <c r="D10" i="8" a="1"/>
  <c r="D10" i="8" s="1"/>
  <c r="E20" i="6" l="1" a="1"/>
  <c r="E41" i="6" a="1"/>
  <c r="E122" i="6" a="1"/>
  <c r="C115" i="6" a="1"/>
  <c r="E19" i="6" a="1"/>
  <c r="E56" i="6" a="1"/>
  <c r="E77" i="6" a="1"/>
  <c r="H116" i="6" a="1"/>
  <c r="E17" i="6" a="1"/>
  <c r="C83" i="6" a="1"/>
  <c r="E32" i="6" a="1"/>
  <c r="E53" i="6" a="1"/>
  <c r="C126" i="6" a="1"/>
  <c r="H118" i="6" a="1"/>
  <c r="E31" i="6" a="1"/>
  <c r="E68" i="6" a="1"/>
  <c r="E89" i="6" a="1"/>
  <c r="E78" i="6" a="1"/>
  <c r="C12" i="6" a="1"/>
  <c r="H18" i="6" a="1"/>
  <c r="E69" i="6" a="1"/>
  <c r="C56" i="6" a="1"/>
  <c r="C119" i="6" a="1"/>
  <c r="B108" i="6" a="1"/>
  <c r="B127" i="6" a="1"/>
  <c r="C38" i="6" a="1"/>
  <c r="B95" i="6" a="1"/>
  <c r="E30" i="6" a="1"/>
  <c r="C85" i="6" a="1"/>
  <c r="B76" i="6" a="1"/>
  <c r="B93" i="6" a="1"/>
  <c r="E87" i="6" a="1"/>
  <c r="C121" i="6" a="1"/>
  <c r="B39" i="6" a="1"/>
  <c r="B121" i="6" a="1"/>
  <c r="E83" i="6" a="1"/>
  <c r="E47" i="6" a="1"/>
  <c r="E88" i="6" a="1"/>
  <c r="E109" i="6" a="1"/>
  <c r="C28" i="6" a="1"/>
  <c r="H15" i="6" a="1"/>
  <c r="E107" i="6" a="1"/>
  <c r="H94" i="6" a="1"/>
  <c r="E23" i="6" a="1"/>
  <c r="E60" i="6" a="1"/>
  <c r="E81" i="6" a="1"/>
  <c r="E26" i="6" a="1"/>
  <c r="C82" i="6" a="1"/>
  <c r="E63" i="6" a="1"/>
  <c r="E108" i="6" a="1"/>
  <c r="E125" i="6" a="1"/>
  <c r="C40" i="6" a="1"/>
  <c r="H17" i="6" a="1"/>
  <c r="E46" i="6" a="1"/>
  <c r="C80" i="6" a="1"/>
  <c r="E11" i="6" a="1"/>
  <c r="B59" i="6" a="1"/>
  <c r="B13" i="6" a="1"/>
  <c r="C15" i="6" a="1"/>
  <c r="B63" i="6" a="1"/>
  <c r="E54" i="6" a="1"/>
  <c r="C99" i="6" a="1"/>
  <c r="C42" i="6" a="1"/>
  <c r="B40" i="6" a="1"/>
  <c r="B46" i="6" a="1"/>
  <c r="E110" i="6" a="1"/>
  <c r="C53" i="6" a="1"/>
  <c r="B103" i="6" a="1"/>
  <c r="B57" i="6" a="1"/>
  <c r="B15" i="6" a="1"/>
  <c r="E12" i="6" a="1"/>
  <c r="E34" i="6" a="1"/>
  <c r="C101" i="6" a="1"/>
  <c r="B104" i="6" a="1"/>
  <c r="B109" i="6" a="1"/>
  <c r="H11" i="6" a="1"/>
  <c r="E99" i="6" a="1"/>
  <c r="C60" i="6" a="1"/>
  <c r="H47" i="6" a="1"/>
  <c r="H16" i="6" a="1"/>
  <c r="H37" i="6" a="1"/>
  <c r="E59" i="6" a="1"/>
  <c r="E100" i="6" a="1"/>
  <c r="E117" i="6" a="1"/>
  <c r="C36" i="6" a="1"/>
  <c r="H23" i="6" a="1"/>
  <c r="H13" i="6" a="1"/>
  <c r="E123" i="6" a="1"/>
  <c r="C72" i="6" a="1"/>
  <c r="H59" i="6" a="1"/>
  <c r="H49" i="6" a="1"/>
  <c r="H42" i="6" a="1"/>
  <c r="E71" i="6" a="1"/>
  <c r="C128" i="6" a="1"/>
  <c r="H96" i="6" a="1"/>
  <c r="C41" i="6" a="1"/>
  <c r="B91" i="6" a="1"/>
  <c r="B45" i="6" a="1"/>
  <c r="C79" i="6" a="1"/>
  <c r="B126" i="6" a="1"/>
  <c r="H63" i="6" a="1"/>
  <c r="C16" i="6" a="1"/>
  <c r="C90" i="6" a="1"/>
  <c r="B72" i="6" a="1"/>
  <c r="B78" i="6" a="1"/>
  <c r="E62" i="6" a="1"/>
  <c r="C93" i="6" a="1"/>
  <c r="B96" i="6" a="1"/>
  <c r="B101" i="6" a="1"/>
  <c r="H95" i="6" a="1"/>
  <c r="B79" i="6" a="1"/>
  <c r="H61" i="6" a="1"/>
  <c r="E124" i="6" a="1"/>
  <c r="E42" i="6" a="1"/>
  <c r="C39" i="6" a="1"/>
  <c r="C18" i="6" a="1"/>
  <c r="B16" i="6" a="1"/>
  <c r="B22" i="6" a="1"/>
  <c r="H107" i="6" a="1"/>
  <c r="H97" i="6" a="1"/>
  <c r="H90" i="6" a="1"/>
  <c r="E128" i="6" a="1"/>
  <c r="E70" i="6" a="1"/>
  <c r="C43" i="6" a="1"/>
  <c r="H112" i="6" a="1"/>
  <c r="E13" i="6" a="1"/>
  <c r="H83" i="6" a="1"/>
  <c r="H73" i="6" a="1"/>
  <c r="H66" i="6" a="1"/>
  <c r="E119" i="6" a="1"/>
  <c r="E38" i="6" a="1"/>
  <c r="C19" i="6" a="1"/>
  <c r="C89" i="6" a="1"/>
  <c r="H119" i="6" a="1"/>
  <c r="H88" i="6" a="1"/>
  <c r="H109" i="6" a="1"/>
  <c r="H106" i="6" a="1"/>
  <c r="C55" i="6" a="1"/>
  <c r="E25" i="6" a="1"/>
  <c r="E50" i="6" a="1"/>
  <c r="C91" i="6" a="1"/>
  <c r="H117" i="6" a="1"/>
  <c r="C71" i="6" a="1"/>
  <c r="C34" i="6" a="1"/>
  <c r="B32" i="6" a="1"/>
  <c r="B38" i="6" a="1"/>
  <c r="C45" i="6" a="1"/>
  <c r="H39" i="6" a="1"/>
  <c r="C70" i="6" a="1"/>
  <c r="E39" i="6" a="1"/>
  <c r="C17" i="6" a="1"/>
  <c r="B67" i="6" a="1"/>
  <c r="B21" i="6" a="1"/>
  <c r="H67" i="6" a="1"/>
  <c r="E29" i="6" a="1"/>
  <c r="C20" i="6" a="1"/>
  <c r="C94" i="6" a="1"/>
  <c r="B80" i="6" a="1"/>
  <c r="B82" i="6" a="1"/>
  <c r="H85" i="6" a="1"/>
  <c r="C32" i="6" a="1"/>
  <c r="H43" i="6" a="1"/>
  <c r="C100" i="6" a="1"/>
  <c r="H69" i="6" a="1"/>
  <c r="E111" i="6" a="1"/>
  <c r="H19" i="6" a="1"/>
  <c r="E115" i="6" a="1"/>
  <c r="C68" i="6" a="1"/>
  <c r="H45" i="6" a="1"/>
  <c r="E51" i="6" a="1"/>
  <c r="C120" i="6" a="1"/>
  <c r="H91" i="6" a="1"/>
  <c r="E96" i="6" a="1"/>
  <c r="H46" i="6" a="1"/>
  <c r="C84" i="6" a="1"/>
  <c r="B124" i="6" a="1"/>
  <c r="C35" i="6" a="1"/>
  <c r="H40" i="6" a="1"/>
  <c r="C50" i="6" a="1"/>
  <c r="E86" i="6" a="1"/>
  <c r="B111" i="6" a="1"/>
  <c r="B115" i="6" a="1"/>
  <c r="C104" i="6" a="1"/>
  <c r="B62" i="6" a="1"/>
  <c r="B119" i="6" a="1"/>
  <c r="B44" i="6" a="1"/>
  <c r="C123" i="6" a="1"/>
  <c r="C78" i="6" a="1"/>
  <c r="H65" i="6" a="1"/>
  <c r="E103" i="6" a="1"/>
  <c r="C118" i="6" a="1"/>
  <c r="H111" i="6" a="1"/>
  <c r="H41" i="6" a="1"/>
  <c r="C112" i="6" a="1"/>
  <c r="H87" i="6" a="1"/>
  <c r="E72" i="6" a="1"/>
  <c r="E127" i="6" a="1"/>
  <c r="C97" i="6" a="1"/>
  <c r="H113" i="6" a="1"/>
  <c r="H25" i="6" a="1"/>
  <c r="E10" i="6" a="1"/>
  <c r="C77" i="6" a="1"/>
  <c r="C113" i="6" a="1"/>
  <c r="C103" i="6" a="1"/>
  <c r="B129" i="6" a="1"/>
  <c r="H86" i="6" a="1"/>
  <c r="E24" i="6" a="1"/>
  <c r="H115" i="6" a="1"/>
  <c r="E18" i="6" a="1"/>
  <c r="E36" i="6" a="1"/>
  <c r="C116" i="6" a="1"/>
  <c r="B64" i="6" a="1"/>
  <c r="C86" i="6" a="1"/>
  <c r="E93" i="6" a="1"/>
  <c r="C49" i="6" a="1"/>
  <c r="B53" i="6" a="1"/>
  <c r="H50" i="6" a="1"/>
  <c r="C88" i="6" a="1"/>
  <c r="C47" i="6" a="1"/>
  <c r="B58" i="6" a="1"/>
  <c r="C111" i="6" a="1"/>
  <c r="B11" i="6" a="1"/>
  <c r="B29" i="6" a="1"/>
  <c r="C108" i="6" a="1"/>
  <c r="B88" i="6" a="1"/>
  <c r="C26" i="6" a="1"/>
  <c r="C117" i="6" a="1"/>
  <c r="C102" i="6" a="1"/>
  <c r="C96" i="6" a="1"/>
  <c r="C62" i="6" a="1"/>
  <c r="H93" i="6" a="1"/>
  <c r="B118" i="6" a="1"/>
  <c r="B105" i="6" a="1"/>
  <c r="C107" i="6" a="1"/>
  <c r="E52" i="6" a="1"/>
  <c r="E22" i="6" a="1"/>
  <c r="E92" i="6" a="1"/>
  <c r="E28" i="6" a="1"/>
  <c r="H110" i="6" a="1"/>
  <c r="E64" i="6" a="1"/>
  <c r="E58" i="6" a="1"/>
  <c r="H44" i="6" a="1"/>
  <c r="H58" i="6" a="1"/>
  <c r="E121" i="6" a="1"/>
  <c r="C11" i="6" a="1"/>
  <c r="H98" i="6" a="1"/>
  <c r="H20" i="6" a="1"/>
  <c r="H34" i="6" a="1"/>
  <c r="E98" i="6" a="1"/>
  <c r="H70" i="6" a="1"/>
  <c r="C23" i="6" a="1"/>
  <c r="H92" i="6" a="1"/>
  <c r="H114" i="6" a="1"/>
  <c r="C59" i="6" a="1"/>
  <c r="E48" i="6" a="1"/>
  <c r="B94" i="6" a="1"/>
  <c r="H121" i="6" a="1"/>
  <c r="C81" i="6" a="1"/>
  <c r="E79" i="6" a="1"/>
  <c r="B35" i="6" a="1"/>
  <c r="C46" i="6" a="1"/>
  <c r="B50" i="6" a="1"/>
  <c r="E82" i="6" a="1"/>
  <c r="C54" i="6" a="1"/>
  <c r="H68" i="6" a="1"/>
  <c r="E126" i="6" a="1"/>
  <c r="C129" i="6" a="1"/>
  <c r="B107" i="6" a="1"/>
  <c r="B102" i="6" a="1"/>
  <c r="E37" i="6" a="1"/>
  <c r="C22" i="6" a="1"/>
  <c r="B26" i="6" a="1"/>
  <c r="B100" i="6" a="1"/>
  <c r="B24" i="6" a="1"/>
  <c r="B49" i="6" a="1"/>
  <c r="B73" i="6" a="1"/>
  <c r="C74" i="6" a="1"/>
  <c r="B89" i="6" a="1"/>
  <c r="B120" i="6" a="1"/>
  <c r="H21" i="6" a="1"/>
  <c r="C48" i="6" a="1"/>
  <c r="E120" i="6" a="1"/>
  <c r="H108" i="6" a="1"/>
  <c r="C75" i="6" a="1"/>
  <c r="E45" i="6" a="1"/>
  <c r="H84" i="6" a="1"/>
  <c r="E118" i="6" a="1"/>
  <c r="E15" i="6" a="1"/>
  <c r="E73" i="6" a="1"/>
  <c r="C124" i="6" a="1"/>
  <c r="E55" i="6" a="1"/>
  <c r="E113" i="6" a="1"/>
  <c r="E49" i="6" a="1"/>
  <c r="E27" i="6" a="1"/>
  <c r="E85" i="6" a="1"/>
  <c r="C114" i="6" a="1"/>
  <c r="E67" i="6" a="1"/>
  <c r="C44" i="6" a="1"/>
  <c r="B27" i="6" a="1"/>
  <c r="E35" i="6" a="1"/>
  <c r="C31" i="6" a="1"/>
  <c r="B114" i="6" a="1"/>
  <c r="H36" i="6" a="1"/>
  <c r="E74" i="6" a="1"/>
  <c r="B71" i="6" a="1"/>
  <c r="B52" i="6" a="1"/>
  <c r="H82" i="6" a="1"/>
  <c r="C57" i="6" a="1"/>
  <c r="B84" i="6" a="1"/>
  <c r="B47" i="6" a="1"/>
  <c r="B122" i="6" a="1"/>
  <c r="B17" i="6" a="1"/>
  <c r="B41" i="6" a="1"/>
  <c r="B68" i="6" a="1"/>
  <c r="B42" i="6" a="1"/>
  <c r="B123" i="6" a="1"/>
  <c r="H14" i="6" a="1"/>
  <c r="E61" i="6" a="1"/>
  <c r="C95" i="6" a="1"/>
  <c r="H10" i="6" a="1"/>
  <c r="C105" i="6" a="1"/>
  <c r="E102" i="6" a="1"/>
  <c r="C64" i="6" a="1"/>
  <c r="E76" i="6" a="1"/>
  <c r="B12" i="6" a="1"/>
  <c r="B33" i="6" a="1"/>
  <c r="E105" i="6" a="1"/>
  <c r="B86" i="6" a="1"/>
  <c r="C63" i="6" a="1"/>
  <c r="B30" i="6" a="1"/>
  <c r="B90" i="6" a="1"/>
  <c r="B19" i="6" a="1"/>
  <c r="B113" i="6" a="1"/>
  <c r="B117" i="6" a="1"/>
  <c r="E33" i="6" a="1"/>
  <c r="C110" i="6" a="1"/>
  <c r="B20" i="6" a="1"/>
  <c r="B81" i="6" a="1"/>
  <c r="E43" i="6" a="1"/>
  <c r="C122" i="6" a="1"/>
  <c r="C109" i="6" a="1"/>
  <c r="B54" i="6" a="1"/>
  <c r="B106" i="6" a="1"/>
  <c r="B98" i="6" a="1"/>
  <c r="C67" i="6" a="1"/>
  <c r="C125" i="6" a="1"/>
  <c r="C37" i="6" a="1"/>
  <c r="B66" i="6" a="1"/>
  <c r="C52" i="6" a="1"/>
  <c r="B112" i="6" a="1"/>
  <c r="C24" i="6" a="1"/>
  <c r="C10" i="6" a="1"/>
  <c r="B37" i="6" a="1"/>
  <c r="C30" i="6" a="1"/>
  <c r="H72" i="6" a="1"/>
  <c r="E44" i="6" a="1"/>
  <c r="B87" i="6" a="1"/>
  <c r="B60" i="6" a="1"/>
  <c r="B56" i="6" a="1"/>
  <c r="H22" i="6" a="1"/>
  <c r="C14" i="6" a="1"/>
  <c r="B61" i="6" a="1"/>
  <c r="C69" i="6" a="1"/>
  <c r="H12" i="6" a="1"/>
  <c r="H48" i="6" a="1"/>
  <c r="H24" i="6" a="1"/>
  <c r="E57" i="6" a="1"/>
  <c r="C27" i="6" a="1"/>
  <c r="B70" i="6" a="1"/>
  <c r="E80" i="6" a="1"/>
  <c r="B99" i="6" a="1"/>
  <c r="E84" i="6" a="1"/>
  <c r="B25" i="6" a="1"/>
  <c r="H26" i="6" a="1"/>
  <c r="H62" i="6" a="1"/>
  <c r="H120" i="6" a="1"/>
  <c r="H60" i="6" a="1"/>
  <c r="C76" i="6" a="1"/>
  <c r="C127" i="6" a="1"/>
  <c r="E97" i="6" a="1"/>
  <c r="B14" i="6" a="1"/>
  <c r="E101" i="6" a="1"/>
  <c r="B18" i="6" a="1"/>
  <c r="E75" i="6" a="1"/>
  <c r="C92" i="6" a="1"/>
  <c r="B125" i="6" a="1"/>
  <c r="B55" i="6" a="1"/>
  <c r="E91" i="6" a="1"/>
  <c r="B36" i="6" a="1"/>
  <c r="B85" i="6" a="1"/>
  <c r="C51" i="6" a="1"/>
  <c r="C87" i="6" a="1"/>
  <c r="C98" i="6" a="1"/>
  <c r="C13" i="6" a="1"/>
  <c r="H89" i="6" a="1"/>
  <c r="B43" i="6" a="1"/>
  <c r="C61" i="6" a="1"/>
  <c r="B23" i="6" a="1"/>
  <c r="C21" i="6" a="1"/>
  <c r="B48" i="6" a="1"/>
  <c r="C106" i="6" a="1"/>
  <c r="E40" i="6" a="1"/>
  <c r="E112" i="6" a="1"/>
  <c r="E129" i="6" a="1"/>
  <c r="H38" i="6" a="1"/>
  <c r="E94" i="6" a="1"/>
  <c r="B110" i="6" a="1"/>
  <c r="B10" i="6" a="1"/>
  <c r="E95" i="6" a="1"/>
  <c r="C25" i="6" a="1"/>
  <c r="C29" i="6" a="1"/>
  <c r="B116" i="6" a="1"/>
  <c r="B92" i="6" a="1"/>
  <c r="B69" i="6" a="1"/>
  <c r="B74" i="6" a="1"/>
  <c r="C65" i="6" a="1"/>
  <c r="E66" i="6" a="1"/>
  <c r="E16" i="6" a="1"/>
  <c r="E90" i="6" a="1"/>
  <c r="H64" i="6" a="1"/>
  <c r="B83" i="6" a="1"/>
  <c r="B97" i="6" a="1"/>
  <c r="B51" i="6" a="1"/>
  <c r="H74" i="6" a="1"/>
  <c r="H35" i="6" a="1"/>
  <c r="C73" i="6" a="1"/>
  <c r="B31" i="6" a="1"/>
  <c r="E106" i="6" a="1"/>
  <c r="B75" i="6" a="1"/>
  <c r="E104" i="6" a="1"/>
  <c r="E14" i="6" a="1"/>
  <c r="C58" i="6" a="1"/>
  <c r="C33" i="6" a="1"/>
  <c r="E65" i="6" a="1"/>
  <c r="B77" i="6" a="1"/>
  <c r="B128" i="6" a="1"/>
  <c r="E21" i="6" a="1"/>
  <c r="H122" i="6" a="1"/>
  <c r="C66" i="6" a="1"/>
  <c r="B28" i="6" a="1"/>
  <c r="E116" i="6" a="1"/>
  <c r="H71" i="6" a="1"/>
  <c r="B65" i="6" a="1"/>
  <c r="B34" i="6" a="1"/>
  <c r="E114" i="6" a="1"/>
  <c r="H125" i="6" a="1"/>
  <c r="H105" i="6" a="1"/>
  <c r="H54" i="6" a="1"/>
  <c r="H99" i="6" a="1"/>
  <c r="H80" i="6" a="1"/>
  <c r="H27" i="6" a="1"/>
  <c r="H128" i="6" a="1"/>
  <c r="H101" i="6" a="1"/>
  <c r="H129" i="6" a="1"/>
  <c r="H28" i="6" a="1"/>
  <c r="H124" i="6" a="1"/>
  <c r="H32" i="6" a="1"/>
  <c r="H123" i="6" a="1"/>
  <c r="H31" i="6" a="1"/>
  <c r="H53" i="6" a="1"/>
  <c r="H103" i="6" a="1"/>
  <c r="H29" i="6" a="1"/>
  <c r="H52" i="6" a="1"/>
  <c r="H51" i="6" a="1"/>
  <c r="H81" i="6" a="1"/>
  <c r="H33" i="6" a="1"/>
  <c r="H55" i="6" a="1"/>
  <c r="H100" i="6" a="1"/>
  <c r="H78" i="6" a="1"/>
  <c r="H102" i="6" a="1"/>
  <c r="H104" i="6" a="1"/>
  <c r="H76" i="6" a="1"/>
  <c r="H57" i="6" a="1"/>
  <c r="H75" i="6" a="1"/>
  <c r="H79" i="6" a="1"/>
  <c r="H127" i="6" a="1"/>
  <c r="H30" i="6" a="1"/>
  <c r="H77" i="6" a="1"/>
  <c r="H126" i="6" a="1"/>
  <c r="H56" i="6" a="1"/>
  <c r="B238" i="6" a="1"/>
  <c r="C139" i="6" a="1"/>
  <c r="B217" i="6" a="1"/>
  <c r="C240" i="6" a="1"/>
  <c r="B147" i="6" a="1"/>
  <c r="B153" i="6" a="1"/>
  <c r="C185" i="6" a="1"/>
  <c r="C169" i="6" a="1"/>
  <c r="B132" i="6" a="1"/>
  <c r="C219" i="6" a="1"/>
  <c r="C153" i="6" a="1"/>
  <c r="B148" i="6" a="1"/>
  <c r="B208" i="6" a="1"/>
  <c r="C203" i="6" a="1"/>
  <c r="C145" i="6" a="1"/>
  <c r="C132" i="6" a="1"/>
  <c r="B180" i="6" a="1"/>
  <c r="C230" i="6" a="1"/>
  <c r="B176" i="6" a="1"/>
  <c r="B197" i="6" a="1"/>
  <c r="B237" i="6" a="1"/>
  <c r="B192" i="6" a="1"/>
  <c r="C138" i="6" a="1"/>
  <c r="B133" i="6" a="1"/>
  <c r="C227" i="6" a="1"/>
  <c r="B245" i="6" a="1"/>
  <c r="B213" i="6" a="1"/>
  <c r="C221" i="6" a="1"/>
  <c r="B152" i="6" a="1"/>
  <c r="B179" i="6" a="1"/>
  <c r="B235" i="6" a="1"/>
  <c r="B162" i="6" a="1"/>
  <c r="C136" i="6" a="1"/>
  <c r="C177" i="6" a="1"/>
  <c r="B243" i="6" a="1"/>
  <c r="B234" i="6" a="1"/>
  <c r="B229" i="6" a="1"/>
  <c r="C180" i="6" a="1"/>
  <c r="C205" i="6" a="1"/>
  <c r="B218" i="6" a="1"/>
  <c r="B181" i="6" a="1"/>
  <c r="C236" i="6" a="1"/>
  <c r="C238" i="6" a="1"/>
  <c r="B200" i="6" a="1"/>
  <c r="B137" i="6" a="1"/>
  <c r="C141" i="6" a="1"/>
  <c r="C163" i="6" a="1"/>
  <c r="C209" i="6" a="1"/>
  <c r="C170" i="6" a="1"/>
  <c r="B156" i="6" a="1"/>
  <c r="C210" i="6" a="1"/>
  <c r="C184" i="6" a="1"/>
  <c r="B155" i="6" a="1"/>
  <c r="B143" i="6" a="1"/>
  <c r="C189" i="6" a="1"/>
  <c r="B207" i="6" a="1"/>
  <c r="C168" i="6" a="1"/>
  <c r="B228" i="6" a="1"/>
  <c r="C235" i="6" a="1"/>
  <c r="B221" i="6" a="1"/>
  <c r="C211" i="6" a="1"/>
  <c r="C217" i="6" a="1"/>
  <c r="B149" i="6" a="1"/>
  <c r="C147" i="6" a="1"/>
  <c r="C243" i="6" a="1"/>
  <c r="C183" i="6" a="1"/>
  <c r="B189" i="6" a="1"/>
  <c r="C246" i="6" a="1"/>
  <c r="C232" i="6" a="1"/>
  <c r="B244" i="6" a="1"/>
  <c r="C160" i="6" a="1"/>
  <c r="B232" i="6" a="1"/>
  <c r="C173" i="6" a="1"/>
  <c r="C195" i="6" a="1"/>
  <c r="B222" i="6" a="1"/>
  <c r="B150" i="6" a="1"/>
  <c r="B225" i="6" a="1"/>
  <c r="C200" i="6" a="1"/>
  <c r="C155" i="6" a="1"/>
  <c r="B163" i="6" a="1"/>
  <c r="C248" i="6" a="1"/>
  <c r="C196" i="6" a="1"/>
  <c r="C207" i="6" a="1"/>
  <c r="B219" i="6" a="1"/>
  <c r="C228" i="6" a="1"/>
  <c r="B240" i="6" a="1"/>
  <c r="B210" i="6" a="1"/>
  <c r="B182" i="6" a="1"/>
  <c r="B224" i="6" a="1"/>
  <c r="B171" i="6" a="1"/>
  <c r="C244" i="6" a="1"/>
  <c r="B194" i="6" a="1"/>
  <c r="B220" i="6" a="1"/>
  <c r="C204" i="6" a="1"/>
  <c r="B204" i="6" a="1"/>
  <c r="B216" i="6" a="1"/>
  <c r="C156" i="6" a="1"/>
  <c r="C178" i="6" a="1"/>
  <c r="B249" i="6" a="1"/>
  <c r="C216" i="6" a="1"/>
  <c r="C151" i="6" a="1"/>
  <c r="C241" i="6" a="1"/>
  <c r="B166" i="6" a="1"/>
  <c r="B168" i="6" a="1"/>
  <c r="C143" i="6" a="1"/>
  <c r="C150" i="6" a="1"/>
  <c r="C182" i="6" a="1"/>
  <c r="C218" i="6" a="1"/>
  <c r="C166" i="6" a="1"/>
  <c r="C158" i="6" a="1"/>
  <c r="B246" i="6" a="1"/>
  <c r="C176" i="6" a="1"/>
  <c r="C137" i="6" a="1"/>
  <c r="B157" i="6" a="1"/>
  <c r="B248" i="6" a="1"/>
  <c r="B142" i="6" a="1"/>
  <c r="B242" i="6" a="1"/>
  <c r="C135" i="6" a="1"/>
  <c r="C237" i="6" a="1"/>
  <c r="C239" i="6" a="1"/>
  <c r="B214" i="6" a="1"/>
  <c r="C190" i="6" a="1"/>
  <c r="C206" i="6" a="1"/>
  <c r="C164" i="6" a="1"/>
  <c r="C247" i="6" a="1"/>
  <c r="B233" i="6" a="1"/>
  <c r="C167" i="6" a="1"/>
  <c r="B227" i="6" a="1"/>
  <c r="C134" i="6" a="1"/>
  <c r="B231" i="6" a="1"/>
  <c r="C198" i="6" a="1"/>
  <c r="C249" i="6" a="1"/>
  <c r="B177" i="6" a="1"/>
  <c r="B203" i="6" a="1"/>
  <c r="B160" i="6" a="1"/>
  <c r="B141" i="6" a="1"/>
  <c r="C215" i="6" a="1"/>
  <c r="B185" i="6" a="1"/>
  <c r="B239" i="6" a="1"/>
  <c r="B178" i="6" a="1"/>
  <c r="C157" i="6" a="1"/>
  <c r="B151" i="6" a="1"/>
  <c r="B196" i="6" a="1"/>
  <c r="B140" i="6" a="1"/>
  <c r="C148" i="6" a="1"/>
  <c r="B159" i="6" a="1"/>
  <c r="C222" i="6" a="1"/>
  <c r="C223" i="6" a="1"/>
  <c r="B146" i="6" a="1"/>
  <c r="C181" i="6" a="1"/>
  <c r="B191" i="6" a="1"/>
  <c r="B131" i="6" a="1"/>
  <c r="B173" i="6" a="1"/>
  <c r="B183" i="6" a="1"/>
  <c r="B202" i="6" a="1"/>
  <c r="B193" i="6" a="1"/>
  <c r="C224" i="6" a="1"/>
  <c r="C187" i="6" a="1"/>
  <c r="C159" i="6" a="1"/>
  <c r="B165" i="6" a="1"/>
  <c r="C133" i="6" a="1"/>
  <c r="C179" i="6" a="1"/>
  <c r="C202" i="6" a="1"/>
  <c r="C201" i="6" a="1"/>
  <c r="B145" i="6" a="1"/>
  <c r="B164" i="6" a="1"/>
  <c r="C214" i="6" a="1"/>
  <c r="C245" i="6" a="1"/>
  <c r="C242" i="6" a="1"/>
  <c r="C229" i="6" a="1"/>
  <c r="C154" i="6" a="1"/>
  <c r="C165" i="6" a="1"/>
  <c r="C234" i="6" a="1"/>
  <c r="C142" i="6" a="1"/>
  <c r="B195" i="6" a="1"/>
  <c r="B187" i="6" a="1"/>
  <c r="B136" i="6" a="1"/>
  <c r="C152" i="6" a="1"/>
  <c r="B236" i="6" a="1"/>
  <c r="C174" i="6" a="1"/>
  <c r="C162" i="6" a="1"/>
  <c r="B201" i="6" a="1"/>
  <c r="B205" i="6" a="1"/>
  <c r="B135" i="6" a="1"/>
  <c r="C199" i="6" a="1"/>
  <c r="B241" i="6" a="1"/>
  <c r="C220" i="6" a="1"/>
  <c r="B144" i="6" a="1"/>
  <c r="C172" i="6" a="1"/>
  <c r="B169" i="6" a="1"/>
  <c r="C161" i="6" a="1"/>
  <c r="B161" i="6" a="1"/>
  <c r="C191" i="6" a="1"/>
  <c r="B138" i="6" a="1"/>
  <c r="B230" i="6" a="1"/>
  <c r="B167" i="6" a="1"/>
  <c r="B130" i="6" a="1"/>
  <c r="B223" i="6" a="1"/>
  <c r="C194" i="6" a="1"/>
  <c r="C140" i="6" a="1"/>
  <c r="B134" i="6" a="1"/>
  <c r="B206" i="6" a="1"/>
  <c r="C175" i="6" a="1"/>
  <c r="B188" i="6" a="1"/>
  <c r="C144" i="6" a="1"/>
  <c r="B226" i="6" a="1"/>
  <c r="B198" i="6" a="1"/>
  <c r="B172" i="6" a="1"/>
  <c r="C149" i="6" a="1"/>
  <c r="C208" i="6" a="1"/>
  <c r="C186" i="6" a="1"/>
  <c r="B158" i="6" a="1"/>
  <c r="C130" i="6" a="1"/>
  <c r="B186" i="6" a="1"/>
  <c r="C188" i="6" a="1"/>
  <c r="C197" i="6" a="1"/>
  <c r="C171" i="6" a="1"/>
  <c r="B199" i="6" a="1"/>
  <c r="B175" i="6" a="1"/>
  <c r="B209" i="6" a="1"/>
  <c r="C131" i="6" a="1"/>
  <c r="B174" i="6" a="1"/>
  <c r="C212" i="6" a="1"/>
  <c r="B211" i="6" a="1"/>
  <c r="B215" i="6" a="1"/>
  <c r="B154" i="6" a="1"/>
  <c r="B247" i="6" a="1"/>
  <c r="B184" i="6" a="1"/>
  <c r="C225" i="6" a="1"/>
  <c r="C231" i="6" a="1"/>
  <c r="C226" i="6" a="1"/>
  <c r="C146" i="6" a="1"/>
  <c r="C193" i="6" a="1"/>
  <c r="C192" i="6" a="1"/>
  <c r="B139" i="6" a="1"/>
  <c r="B190" i="6" a="1"/>
  <c r="B170" i="6" a="1"/>
  <c r="C233" i="6" a="1"/>
  <c r="B212" i="6" a="1"/>
  <c r="C213" i="6" a="1"/>
  <c r="C245" i="6" l="1"/>
  <c r="C237" i="6"/>
  <c r="C229" i="6"/>
  <c r="C221" i="6"/>
  <c r="C213" i="6"/>
  <c r="C209" i="6"/>
  <c r="C205" i="6"/>
  <c r="C197" i="6"/>
  <c r="C193" i="6"/>
  <c r="C189" i="6"/>
  <c r="C185" i="6"/>
  <c r="C181" i="6"/>
  <c r="C177" i="6"/>
  <c r="C173" i="6"/>
  <c r="C169" i="6"/>
  <c r="C165" i="6"/>
  <c r="C161" i="6"/>
  <c r="C157" i="6"/>
  <c r="C153" i="6"/>
  <c r="C149" i="6"/>
  <c r="C145" i="6"/>
  <c r="C141" i="6"/>
  <c r="C249" i="6"/>
  <c r="C241" i="6"/>
  <c r="C233" i="6"/>
  <c r="C225" i="6"/>
  <c r="C217" i="6"/>
  <c r="C201" i="6"/>
  <c r="C248" i="6"/>
  <c r="C240" i="6"/>
  <c r="C232" i="6"/>
  <c r="C224" i="6"/>
  <c r="C216" i="6"/>
  <c r="C208" i="6"/>
  <c r="C204" i="6"/>
  <c r="C200" i="6"/>
  <c r="C192" i="6"/>
  <c r="C188" i="6"/>
  <c r="C184" i="6"/>
  <c r="C180" i="6"/>
  <c r="C176" i="6"/>
  <c r="C172" i="6"/>
  <c r="C168" i="6"/>
  <c r="C164" i="6"/>
  <c r="C160" i="6"/>
  <c r="C156" i="6"/>
  <c r="C152" i="6"/>
  <c r="C148" i="6"/>
  <c r="C144" i="6"/>
  <c r="C140" i="6"/>
  <c r="C244" i="6"/>
  <c r="C236" i="6"/>
  <c r="C228" i="6"/>
  <c r="C220" i="6"/>
  <c r="C212" i="6"/>
  <c r="C196" i="6"/>
  <c r="C247" i="6"/>
  <c r="C239" i="6"/>
  <c r="C231" i="6"/>
  <c r="C223" i="6"/>
  <c r="C215" i="6"/>
  <c r="C211" i="6"/>
  <c r="C203" i="6"/>
  <c r="C199" i="6"/>
  <c r="C195" i="6"/>
  <c r="C191" i="6"/>
  <c r="C187" i="6"/>
  <c r="C183" i="6"/>
  <c r="C179" i="6"/>
  <c r="C175" i="6"/>
  <c r="C171" i="6"/>
  <c r="C167" i="6"/>
  <c r="C163" i="6"/>
  <c r="C159" i="6"/>
  <c r="C155" i="6"/>
  <c r="C151" i="6"/>
  <c r="C147" i="6"/>
  <c r="C143" i="6"/>
  <c r="C139" i="6"/>
  <c r="C243" i="6"/>
  <c r="C235" i="6"/>
  <c r="C227" i="6"/>
  <c r="C219" i="6"/>
  <c r="C207" i="6"/>
  <c r="C246" i="6"/>
  <c r="C242" i="6"/>
  <c r="C238" i="6"/>
  <c r="C234" i="6"/>
  <c r="C230" i="6"/>
  <c r="C226" i="6"/>
  <c r="C222" i="6"/>
  <c r="C218" i="6"/>
  <c r="C214" i="6"/>
  <c r="C210" i="6"/>
  <c r="C206" i="6"/>
  <c r="C202" i="6"/>
  <c r="C198" i="6"/>
  <c r="C194" i="6"/>
  <c r="C190" i="6"/>
  <c r="C186" i="6"/>
  <c r="C182" i="6"/>
  <c r="C178" i="6"/>
  <c r="C174" i="6"/>
  <c r="C170" i="6"/>
  <c r="C166" i="6"/>
  <c r="C162" i="6"/>
  <c r="C158" i="6"/>
  <c r="C154" i="6"/>
  <c r="C150" i="6"/>
  <c r="C146" i="6"/>
  <c r="C142" i="6"/>
  <c r="C138" i="6"/>
  <c r="B249" i="6"/>
  <c r="B237" i="6"/>
  <c r="B229" i="6"/>
  <c r="B225" i="6"/>
  <c r="B217" i="6"/>
  <c r="B209" i="6"/>
  <c r="B201" i="6"/>
  <c r="B197" i="6"/>
  <c r="B189" i="6"/>
  <c r="B185" i="6"/>
  <c r="B181" i="6"/>
  <c r="B177" i="6"/>
  <c r="B173" i="6"/>
  <c r="B169" i="6"/>
  <c r="B165" i="6"/>
  <c r="B161" i="6"/>
  <c r="B157" i="6"/>
  <c r="B153" i="6"/>
  <c r="B149" i="6"/>
  <c r="B145" i="6"/>
  <c r="B141" i="6"/>
  <c r="B245" i="6"/>
  <c r="B241" i="6"/>
  <c r="B233" i="6"/>
  <c r="B221" i="6"/>
  <c r="B213" i="6"/>
  <c r="B205" i="6"/>
  <c r="B193" i="6"/>
  <c r="B248" i="6"/>
  <c r="B240" i="6"/>
  <c r="B232" i="6"/>
  <c r="B220" i="6"/>
  <c r="B212" i="6"/>
  <c r="B200" i="6"/>
  <c r="B196" i="6"/>
  <c r="B192" i="6"/>
  <c r="B188" i="6"/>
  <c r="B180" i="6"/>
  <c r="B176" i="6"/>
  <c r="B172" i="6"/>
  <c r="B168" i="6"/>
  <c r="B164" i="6"/>
  <c r="B160" i="6"/>
  <c r="B156" i="6"/>
  <c r="B152" i="6"/>
  <c r="B148" i="6"/>
  <c r="B144" i="6"/>
  <c r="B140" i="6"/>
  <c r="B244" i="6"/>
  <c r="B236" i="6"/>
  <c r="B228" i="6"/>
  <c r="B224" i="6"/>
  <c r="B216" i="6"/>
  <c r="B208" i="6"/>
  <c r="B204" i="6"/>
  <c r="B184" i="6"/>
  <c r="B243" i="6"/>
  <c r="B239" i="6"/>
  <c r="B231" i="6"/>
  <c r="B223" i="6"/>
  <c r="B215" i="6"/>
  <c r="B207" i="6"/>
  <c r="B203" i="6"/>
  <c r="B199" i="6"/>
  <c r="B191" i="6"/>
  <c r="B187" i="6"/>
  <c r="B183" i="6"/>
  <c r="B179" i="6"/>
  <c r="B175" i="6"/>
  <c r="B171" i="6"/>
  <c r="B167" i="6"/>
  <c r="B163" i="6"/>
  <c r="B159" i="6"/>
  <c r="B155" i="6"/>
  <c r="B151" i="6"/>
  <c r="B147" i="6"/>
  <c r="B143" i="6"/>
  <c r="B139" i="6"/>
  <c r="B247" i="6"/>
  <c r="B235" i="6"/>
  <c r="B227" i="6"/>
  <c r="B219" i="6"/>
  <c r="B211" i="6"/>
  <c r="B195" i="6"/>
  <c r="B246" i="6"/>
  <c r="B242" i="6"/>
  <c r="B238" i="6"/>
  <c r="B234" i="6"/>
  <c r="B230" i="6"/>
  <c r="B226" i="6"/>
  <c r="B222" i="6"/>
  <c r="B218" i="6"/>
  <c r="B214" i="6"/>
  <c r="B210" i="6"/>
  <c r="B206" i="6"/>
  <c r="B202" i="6"/>
  <c r="B198" i="6"/>
  <c r="B194" i="6"/>
  <c r="B190" i="6"/>
  <c r="B186" i="6"/>
  <c r="B182" i="6"/>
  <c r="B178" i="6"/>
  <c r="B174" i="6"/>
  <c r="B170" i="6"/>
  <c r="B166" i="6"/>
  <c r="B162" i="6"/>
  <c r="B158" i="6"/>
  <c r="B154" i="6"/>
  <c r="B150" i="6"/>
  <c r="B146" i="6"/>
  <c r="B142" i="6"/>
  <c r="B138" i="6"/>
  <c r="H122" i="6"/>
  <c r="H114" i="6"/>
  <c r="H106" i="6"/>
  <c r="H102" i="6"/>
  <c r="H98" i="6"/>
  <c r="H90" i="6"/>
  <c r="H86" i="6"/>
  <c r="H82" i="6"/>
  <c r="H78" i="6"/>
  <c r="H74" i="6"/>
  <c r="H70" i="6"/>
  <c r="H66" i="6"/>
  <c r="H62" i="6"/>
  <c r="H58" i="6"/>
  <c r="H54" i="6"/>
  <c r="H50" i="6"/>
  <c r="H46" i="6"/>
  <c r="H42" i="6"/>
  <c r="H38" i="6"/>
  <c r="H34" i="6"/>
  <c r="H30" i="6"/>
  <c r="H26" i="6"/>
  <c r="H22" i="6"/>
  <c r="H18" i="6"/>
  <c r="H14" i="6"/>
  <c r="H126" i="6"/>
  <c r="H118" i="6"/>
  <c r="H110" i="6"/>
  <c r="H94" i="6"/>
  <c r="H129" i="6"/>
  <c r="H125" i="6"/>
  <c r="H121" i="6"/>
  <c r="H117" i="6"/>
  <c r="H113" i="6"/>
  <c r="H109" i="6"/>
  <c r="H105" i="6"/>
  <c r="H101" i="6"/>
  <c r="H97" i="6"/>
  <c r="H93" i="6"/>
  <c r="H89" i="6"/>
  <c r="H85" i="6"/>
  <c r="H81" i="6"/>
  <c r="H77" i="6"/>
  <c r="H73" i="6"/>
  <c r="H69" i="6"/>
  <c r="H65" i="6"/>
  <c r="H61" i="6"/>
  <c r="H57" i="6"/>
  <c r="H53" i="6"/>
  <c r="H49" i="6"/>
  <c r="H45" i="6"/>
  <c r="H41" i="6"/>
  <c r="H37" i="6"/>
  <c r="H33" i="6"/>
  <c r="H29" i="6"/>
  <c r="H25" i="6"/>
  <c r="H21" i="6"/>
  <c r="H17" i="6"/>
  <c r="H13" i="6"/>
  <c r="H124" i="6"/>
  <c r="H120" i="6"/>
  <c r="H116" i="6"/>
  <c r="H112" i="6"/>
  <c r="H108" i="6"/>
  <c r="H104" i="6"/>
  <c r="H100" i="6"/>
  <c r="H96" i="6"/>
  <c r="H92" i="6"/>
  <c r="H88" i="6"/>
  <c r="H84" i="6"/>
  <c r="H80" i="6"/>
  <c r="H76" i="6"/>
  <c r="H72" i="6"/>
  <c r="H68" i="6"/>
  <c r="H64" i="6"/>
  <c r="H60" i="6"/>
  <c r="H56" i="6"/>
  <c r="H52" i="6"/>
  <c r="H48" i="6"/>
  <c r="H44" i="6"/>
  <c r="H40" i="6"/>
  <c r="H36" i="6"/>
  <c r="H32" i="6"/>
  <c r="H28" i="6"/>
  <c r="H24" i="6"/>
  <c r="H20" i="6"/>
  <c r="H16" i="6"/>
  <c r="H12" i="6"/>
  <c r="H128" i="6"/>
  <c r="H127" i="6"/>
  <c r="H123" i="6"/>
  <c r="H119" i="6"/>
  <c r="H115" i="6"/>
  <c r="H111" i="6"/>
  <c r="H107" i="6"/>
  <c r="H103" i="6"/>
  <c r="H99" i="6"/>
  <c r="H95" i="6"/>
  <c r="H91" i="6"/>
  <c r="H87" i="6"/>
  <c r="H83" i="6"/>
  <c r="H79" i="6"/>
  <c r="H75" i="6"/>
  <c r="H71" i="6"/>
  <c r="H67" i="6"/>
  <c r="H63" i="6"/>
  <c r="H59" i="6"/>
  <c r="H55" i="6"/>
  <c r="H51" i="6"/>
  <c r="H47" i="6"/>
  <c r="H43" i="6"/>
  <c r="H39" i="6"/>
  <c r="H35" i="6"/>
  <c r="H31" i="6"/>
  <c r="H27" i="6"/>
  <c r="H23" i="6"/>
  <c r="H19" i="6"/>
  <c r="H15" i="6"/>
  <c r="H11" i="6"/>
  <c r="E14" i="6"/>
  <c r="E118" i="6"/>
  <c r="E86" i="6"/>
  <c r="E70" i="6"/>
  <c r="E42" i="6"/>
  <c r="E38" i="6"/>
  <c r="E114" i="6"/>
  <c r="E98" i="6"/>
  <c r="E82" i="6"/>
  <c r="E66" i="6"/>
  <c r="E34" i="6"/>
  <c r="E62" i="6"/>
  <c r="E30" i="6"/>
  <c r="E46" i="6"/>
  <c r="E102" i="6"/>
  <c r="E126" i="6"/>
  <c r="E110" i="6"/>
  <c r="E94" i="6"/>
  <c r="E78" i="6"/>
  <c r="E58" i="6"/>
  <c r="E26" i="6"/>
  <c r="E54" i="6"/>
  <c r="E22" i="6"/>
  <c r="E122" i="6"/>
  <c r="E106" i="6"/>
  <c r="E90" i="6"/>
  <c r="E74" i="6"/>
  <c r="E50" i="6"/>
  <c r="E18" i="6"/>
  <c r="E127" i="6"/>
  <c r="E119" i="6"/>
  <c r="E111" i="6"/>
  <c r="E103" i="6"/>
  <c r="E95" i="6"/>
  <c r="E87" i="6"/>
  <c r="E79" i="6"/>
  <c r="E71" i="6"/>
  <c r="E51" i="6"/>
  <c r="E125" i="6"/>
  <c r="E117" i="6"/>
  <c r="E113" i="6"/>
  <c r="E109" i="6"/>
  <c r="E101" i="6"/>
  <c r="E97" i="6"/>
  <c r="E93" i="6"/>
  <c r="E89" i="6"/>
  <c r="E85" i="6"/>
  <c r="E81" i="6"/>
  <c r="E77" i="6"/>
  <c r="E73" i="6"/>
  <c r="E69" i="6"/>
  <c r="E65" i="6"/>
  <c r="E61" i="6"/>
  <c r="E57" i="6"/>
  <c r="E53" i="6"/>
  <c r="E49" i="6"/>
  <c r="E45" i="6"/>
  <c r="E41" i="6"/>
  <c r="E37" i="6"/>
  <c r="E33" i="6"/>
  <c r="E29" i="6"/>
  <c r="E25" i="6"/>
  <c r="E21" i="6"/>
  <c r="E17" i="6"/>
  <c r="E13" i="6"/>
  <c r="E129" i="6"/>
  <c r="E121" i="6"/>
  <c r="E105" i="6"/>
  <c r="E124" i="6"/>
  <c r="E116" i="6"/>
  <c r="E108" i="6"/>
  <c r="E100" i="6"/>
  <c r="E92" i="6"/>
  <c r="E88" i="6"/>
  <c r="E84" i="6"/>
  <c r="E80" i="6"/>
  <c r="E76" i="6"/>
  <c r="E68" i="6"/>
  <c r="E64" i="6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E128" i="6"/>
  <c r="E120" i="6"/>
  <c r="E112" i="6"/>
  <c r="E104" i="6"/>
  <c r="E96" i="6"/>
  <c r="E72" i="6"/>
  <c r="E123" i="6"/>
  <c r="E115" i="6"/>
  <c r="E107" i="6"/>
  <c r="E99" i="6"/>
  <c r="E91" i="6"/>
  <c r="E83" i="6"/>
  <c r="E75" i="6"/>
  <c r="E67" i="6"/>
  <c r="E63" i="6"/>
  <c r="E59" i="6"/>
  <c r="E55" i="6"/>
  <c r="E47" i="6"/>
  <c r="E43" i="6"/>
  <c r="E39" i="6"/>
  <c r="E35" i="6"/>
  <c r="E31" i="6"/>
  <c r="E27" i="6"/>
  <c r="E23" i="6"/>
  <c r="E19" i="6"/>
  <c r="E15" i="6"/>
  <c r="E11" i="6"/>
  <c r="H10" i="6"/>
  <c r="E10" i="6"/>
  <c r="C122" i="6"/>
  <c r="C135" i="6"/>
  <c r="C127" i="6"/>
  <c r="C119" i="6"/>
  <c r="C107" i="6"/>
  <c r="C95" i="6"/>
  <c r="C134" i="6"/>
  <c r="C110" i="6"/>
  <c r="C94" i="6"/>
  <c r="C90" i="6"/>
  <c r="C70" i="6"/>
  <c r="C66" i="6"/>
  <c r="C62" i="6"/>
  <c r="C58" i="6"/>
  <c r="C54" i="6"/>
  <c r="C50" i="6"/>
  <c r="C46" i="6"/>
  <c r="C42" i="6"/>
  <c r="C38" i="6"/>
  <c r="C34" i="6"/>
  <c r="C30" i="6"/>
  <c r="C26" i="6"/>
  <c r="C22" i="6"/>
  <c r="C18" i="6"/>
  <c r="C14" i="6"/>
  <c r="C106" i="6"/>
  <c r="C86" i="6"/>
  <c r="C133" i="6"/>
  <c r="C125" i="6"/>
  <c r="C117" i="6"/>
  <c r="C109" i="6"/>
  <c r="C101" i="6"/>
  <c r="C93" i="6"/>
  <c r="C85" i="6"/>
  <c r="C81" i="6"/>
  <c r="C73" i="6"/>
  <c r="C69" i="6"/>
  <c r="C65" i="6"/>
  <c r="C61" i="6"/>
  <c r="C57" i="6"/>
  <c r="C53" i="6"/>
  <c r="C49" i="6"/>
  <c r="C45" i="6"/>
  <c r="C41" i="6"/>
  <c r="C37" i="6"/>
  <c r="C33" i="6"/>
  <c r="C29" i="6"/>
  <c r="C25" i="6"/>
  <c r="C21" i="6"/>
  <c r="C17" i="6"/>
  <c r="C13" i="6"/>
  <c r="C130" i="6"/>
  <c r="C102" i="6"/>
  <c r="C78" i="6"/>
  <c r="C137" i="6"/>
  <c r="C129" i="6"/>
  <c r="C121" i="6"/>
  <c r="C113" i="6"/>
  <c r="C105" i="6"/>
  <c r="C97" i="6"/>
  <c r="C89" i="6"/>
  <c r="C77" i="6"/>
  <c r="C118" i="6"/>
  <c r="C98" i="6"/>
  <c r="C74" i="6"/>
  <c r="C136" i="6"/>
  <c r="C128" i="6"/>
  <c r="C120" i="6"/>
  <c r="C112" i="6"/>
  <c r="C108" i="6"/>
  <c r="C100" i="6"/>
  <c r="C92" i="6"/>
  <c r="C88" i="6"/>
  <c r="C84" i="6"/>
  <c r="C80" i="6"/>
  <c r="C72" i="6"/>
  <c r="C68" i="6"/>
  <c r="C64" i="6"/>
  <c r="C60" i="6"/>
  <c r="C56" i="6"/>
  <c r="C52" i="6"/>
  <c r="C48" i="6"/>
  <c r="C44" i="6"/>
  <c r="C40" i="6"/>
  <c r="C36" i="6"/>
  <c r="C32" i="6"/>
  <c r="C28" i="6"/>
  <c r="C24" i="6"/>
  <c r="C20" i="6"/>
  <c r="C16" i="6"/>
  <c r="C12" i="6"/>
  <c r="C114" i="6"/>
  <c r="C82" i="6"/>
  <c r="C132" i="6"/>
  <c r="C124" i="6"/>
  <c r="C116" i="6"/>
  <c r="C104" i="6"/>
  <c r="C96" i="6"/>
  <c r="C76" i="6"/>
  <c r="C126" i="6"/>
  <c r="C131" i="6"/>
  <c r="C123" i="6"/>
  <c r="C115" i="6"/>
  <c r="C111" i="6"/>
  <c r="C103" i="6"/>
  <c r="C99" i="6"/>
  <c r="C91" i="6"/>
  <c r="C87" i="6"/>
  <c r="C83" i="6"/>
  <c r="C79" i="6"/>
  <c r="C75" i="6"/>
  <c r="C71" i="6"/>
  <c r="C67" i="6"/>
  <c r="C63" i="6"/>
  <c r="C59" i="6"/>
  <c r="C55" i="6"/>
  <c r="C51" i="6"/>
  <c r="C47" i="6"/>
  <c r="C43" i="6"/>
  <c r="C39" i="6"/>
  <c r="C35" i="6"/>
  <c r="C31" i="6"/>
  <c r="C27" i="6"/>
  <c r="C23" i="6"/>
  <c r="C19" i="6"/>
  <c r="C15" i="6"/>
  <c r="C11" i="6"/>
  <c r="B110" i="6"/>
  <c r="B135" i="6"/>
  <c r="B127" i="6"/>
  <c r="B115" i="6"/>
  <c r="B118" i="6"/>
  <c r="B106" i="6"/>
  <c r="B102" i="6"/>
  <c r="B82" i="6"/>
  <c r="B78" i="6"/>
  <c r="B74" i="6"/>
  <c r="B70" i="6"/>
  <c r="B66" i="6"/>
  <c r="B62" i="6"/>
  <c r="B58" i="6"/>
  <c r="B54" i="6"/>
  <c r="B50" i="6"/>
  <c r="B46" i="6"/>
  <c r="B42" i="6"/>
  <c r="B38" i="6"/>
  <c r="B34" i="6"/>
  <c r="B30" i="6"/>
  <c r="B26" i="6"/>
  <c r="B22" i="6"/>
  <c r="B18" i="6"/>
  <c r="B14" i="6"/>
  <c r="B122" i="6"/>
  <c r="B94" i="6"/>
  <c r="B133" i="6"/>
  <c r="B125" i="6"/>
  <c r="B117" i="6"/>
  <c r="B109" i="6"/>
  <c r="B101" i="6"/>
  <c r="B93" i="6"/>
  <c r="B85" i="6"/>
  <c r="B81" i="6"/>
  <c r="B77" i="6"/>
  <c r="B69" i="6"/>
  <c r="B65" i="6"/>
  <c r="B61" i="6"/>
  <c r="B57" i="6"/>
  <c r="B53" i="6"/>
  <c r="B49" i="6"/>
  <c r="B45" i="6"/>
  <c r="B41" i="6"/>
  <c r="B37" i="6"/>
  <c r="B33" i="6"/>
  <c r="B29" i="6"/>
  <c r="B25" i="6"/>
  <c r="B21" i="6"/>
  <c r="B17" i="6"/>
  <c r="B13" i="6"/>
  <c r="B130" i="6"/>
  <c r="B90" i="6"/>
  <c r="B137" i="6"/>
  <c r="B129" i="6"/>
  <c r="B121" i="6"/>
  <c r="B113" i="6"/>
  <c r="B105" i="6"/>
  <c r="B97" i="6"/>
  <c r="B89" i="6"/>
  <c r="B73" i="6"/>
  <c r="B134" i="6"/>
  <c r="B86" i="6"/>
  <c r="B132" i="6"/>
  <c r="B124" i="6"/>
  <c r="B116" i="6"/>
  <c r="B108" i="6"/>
  <c r="B100" i="6"/>
  <c r="B92" i="6"/>
  <c r="B88" i="6"/>
  <c r="B84" i="6"/>
  <c r="B80" i="6"/>
  <c r="B72" i="6"/>
  <c r="B68" i="6"/>
  <c r="B64" i="6"/>
  <c r="B60" i="6"/>
  <c r="B56" i="6"/>
  <c r="B52" i="6"/>
  <c r="B48" i="6"/>
  <c r="B44" i="6"/>
  <c r="B40" i="6"/>
  <c r="B36" i="6"/>
  <c r="B32" i="6"/>
  <c r="B28" i="6"/>
  <c r="B24" i="6"/>
  <c r="B20" i="6"/>
  <c r="B16" i="6"/>
  <c r="B12" i="6"/>
  <c r="B114" i="6"/>
  <c r="B98" i="6"/>
  <c r="B136" i="6"/>
  <c r="B128" i="6"/>
  <c r="B120" i="6"/>
  <c r="B112" i="6"/>
  <c r="B104" i="6"/>
  <c r="B96" i="6"/>
  <c r="B76" i="6"/>
  <c r="B126" i="6"/>
  <c r="B131" i="6"/>
  <c r="B123" i="6"/>
  <c r="B119" i="6"/>
  <c r="B111" i="6"/>
  <c r="B107" i="6"/>
  <c r="B103" i="6"/>
  <c r="B99" i="6"/>
  <c r="B95" i="6"/>
  <c r="B91" i="6"/>
  <c r="B87" i="6"/>
  <c r="B83" i="6"/>
  <c r="B79" i="6"/>
  <c r="B75" i="6"/>
  <c r="B71" i="6"/>
  <c r="B67" i="6"/>
  <c r="B63" i="6"/>
  <c r="B59" i="6"/>
  <c r="B55" i="6"/>
  <c r="B51" i="6"/>
  <c r="B47" i="6"/>
  <c r="B43" i="6"/>
  <c r="B39" i="6"/>
  <c r="B35" i="6"/>
  <c r="B31" i="6"/>
  <c r="B27" i="6"/>
  <c r="B23" i="6"/>
  <c r="B19" i="6"/>
  <c r="B15" i="6"/>
  <c r="B11" i="6"/>
  <c r="B10" i="6"/>
  <c r="C10" i="6"/>
  <c r="E179" i="6" a="1"/>
  <c r="H177" i="6" a="1"/>
  <c r="E225" i="6" a="1"/>
  <c r="H231" i="6" a="1"/>
  <c r="E174" i="6" a="1"/>
  <c r="H243" i="6" a="1"/>
  <c r="E208" i="6" a="1"/>
  <c r="H237" i="6" a="1"/>
  <c r="H248" i="6" a="1"/>
  <c r="H219" i="6" a="1"/>
  <c r="H212" i="6" a="1"/>
  <c r="E168" i="6" a="1"/>
  <c r="H245" i="6" a="1"/>
  <c r="E160" i="6" a="1"/>
  <c r="E217" i="6" a="1"/>
  <c r="H238" i="6" a="1"/>
  <c r="H181" i="6" a="1"/>
  <c r="E220" i="6" a="1"/>
  <c r="H153" i="6" a="1"/>
  <c r="H192" i="6" a="1"/>
  <c r="H200" i="6" a="1"/>
  <c r="H179" i="6" a="1"/>
  <c r="H176" i="6" a="1"/>
  <c r="H199" i="6" a="1"/>
  <c r="E181" i="6" a="1"/>
  <c r="H232" i="6" a="1"/>
  <c r="H210" i="6" a="1"/>
  <c r="E191" i="6" a="1"/>
  <c r="E137" i="6" a="1"/>
  <c r="H239" i="6" a="1"/>
  <c r="E167" i="6" a="1"/>
  <c r="E162" i="6" a="1"/>
  <c r="E205" i="6" a="1"/>
  <c r="E224" i="6" a="1"/>
  <c r="E241" i="6" a="1"/>
  <c r="E152" i="6" a="1"/>
  <c r="H174" i="6" a="1"/>
  <c r="H145" i="6" a="1"/>
  <c r="H229" i="6" a="1"/>
  <c r="E153" i="6" a="1"/>
  <c r="E146" i="6" a="1"/>
  <c r="H203" i="6" a="1"/>
  <c r="E238" i="6" a="1"/>
  <c r="E192" i="6" a="1"/>
  <c r="H215" i="6" a="1"/>
  <c r="E134" i="6" a="1"/>
  <c r="E210" i="6" a="1"/>
  <c r="E135" i="6" a="1"/>
  <c r="E166" i="6" a="1"/>
  <c r="H168" i="6" a="1"/>
  <c r="H182" i="6" a="1"/>
  <c r="E178" i="6" a="1"/>
  <c r="E221" i="6" a="1"/>
  <c r="E175" i="6" a="1"/>
  <c r="E229" i="6" a="1"/>
  <c r="E133" i="6" a="1"/>
  <c r="H228" i="6" a="1"/>
  <c r="H216" i="6" a="1"/>
  <c r="H242" i="6" a="1"/>
  <c r="H235" i="6" a="1"/>
  <c r="H180" i="6" a="1"/>
  <c r="E172" i="6" a="1"/>
  <c r="E136" i="6" a="1"/>
  <c r="H139" i="6" a="1"/>
  <c r="E234" i="6" a="1"/>
  <c r="E247" i="6" a="1"/>
  <c r="H140" i="6" a="1"/>
  <c r="H152" i="6" a="1"/>
  <c r="H156" i="6" a="1"/>
  <c r="E244" i="6" a="1"/>
  <c r="H157" i="6" a="1"/>
  <c r="E248" i="6" a="1"/>
  <c r="E139" i="6" a="1"/>
  <c r="H173" i="6" a="1"/>
  <c r="E154" i="6" a="1"/>
  <c r="H170" i="6" a="1"/>
  <c r="E216" i="6" a="1"/>
  <c r="H213" i="6" a="1"/>
  <c r="E171" i="6" a="1"/>
  <c r="H240" i="6" a="1"/>
  <c r="H133" i="6" a="1"/>
  <c r="E186" i="6" a="1"/>
  <c r="H214" i="6" a="1"/>
  <c r="E183" i="6" a="1"/>
  <c r="H211" i="6" a="1"/>
  <c r="E207" i="6" a="1"/>
  <c r="E170" i="6" a="1"/>
  <c r="E236" i="6" a="1"/>
  <c r="E214" i="6" a="1"/>
  <c r="E204" i="6" a="1"/>
  <c r="E245" i="6" a="1"/>
  <c r="E169" i="6" a="1"/>
  <c r="E219" i="6" a="1"/>
  <c r="E145" i="6" a="1"/>
  <c r="E185" i="6" a="1"/>
  <c r="H218" i="6" a="1"/>
  <c r="E213" i="6" a="1"/>
  <c r="H165" i="6" a="1"/>
  <c r="H189" i="6" a="1"/>
  <c r="H225" i="6" a="1"/>
  <c r="E211" i="6" a="1"/>
  <c r="E239" i="6" a="1"/>
  <c r="H159" i="6" a="1"/>
  <c r="H246" i="6" a="1"/>
  <c r="E232" i="6" a="1"/>
  <c r="E187" i="6" a="1"/>
  <c r="H195" i="6" a="1"/>
  <c r="H160" i="6" a="1"/>
  <c r="E148" i="6" a="1"/>
  <c r="E215" i="6" a="1"/>
  <c r="H249" i="6" a="1"/>
  <c r="E138" i="6" a="1"/>
  <c r="H137" i="6" a="1"/>
  <c r="E131" i="6" a="1"/>
  <c r="E223" i="6" a="1"/>
  <c r="E189" i="6" a="1"/>
  <c r="H226" i="6" a="1"/>
  <c r="H172" i="6" a="1"/>
  <c r="E147" i="6" a="1"/>
  <c r="H247" i="6" a="1"/>
  <c r="H146" i="6" a="1"/>
  <c r="E218" i="6" a="1"/>
  <c r="H217" i="6" a="1"/>
  <c r="H201" i="6" a="1"/>
  <c r="E198" i="6" a="1"/>
  <c r="E144" i="6" a="1"/>
  <c r="E197" i="6" a="1"/>
  <c r="E165" i="6" a="1"/>
  <c r="E173" i="6" a="1"/>
  <c r="H136" i="6" a="1"/>
  <c r="H234" i="6" a="1"/>
  <c r="E161" i="6" a="1"/>
  <c r="H206" i="6" a="1"/>
  <c r="H132" i="6" a="1"/>
  <c r="E143" i="6" a="1"/>
  <c r="E141" i="6" a="1"/>
  <c r="E142" i="6" a="1"/>
  <c r="H142" i="6" a="1"/>
  <c r="E231" i="6" a="1"/>
  <c r="H134" i="6" a="1"/>
  <c r="E237" i="6" a="1"/>
  <c r="H223" i="6" a="1"/>
  <c r="E233" i="6" a="1"/>
  <c r="E157" i="6" a="1"/>
  <c r="H230" i="6" a="1"/>
  <c r="H147" i="6" a="1"/>
  <c r="E212" i="6" a="1"/>
  <c r="H202" i="6" a="1"/>
  <c r="E163" i="6" a="1"/>
  <c r="H227" i="6" a="1"/>
  <c r="H171" i="6" a="1"/>
  <c r="H220" i="6" a="1"/>
  <c r="H150" i="6" a="1"/>
  <c r="H208" i="6" a="1"/>
  <c r="E202" i="6" a="1"/>
  <c r="E177" i="6" a="1"/>
  <c r="E227" i="6" a="1"/>
  <c r="H185" i="6" a="1"/>
  <c r="E206" i="6" a="1"/>
  <c r="E199" i="6" a="1"/>
  <c r="H233" i="6" a="1"/>
  <c r="H149" i="6" a="1"/>
  <c r="E240" i="6" a="1"/>
  <c r="H169" i="6" a="1"/>
  <c r="H175" i="6" a="1"/>
  <c r="E155" i="6" a="1"/>
  <c r="H198" i="6" a="1"/>
  <c r="E226" i="6" a="1"/>
  <c r="E222" i="6" a="1"/>
  <c r="H222" i="6" a="1"/>
  <c r="E203" i="6" a="1"/>
  <c r="E176" i="6" a="1"/>
  <c r="H184" i="6" a="1"/>
  <c r="H204" i="6" a="1"/>
  <c r="E132" i="6" a="1"/>
  <c r="H167" i="6" a="1"/>
  <c r="H236" i="6" a="1"/>
  <c r="E193" i="6" a="1"/>
  <c r="H130" i="6" a="1"/>
  <c r="H178" i="6" a="1"/>
  <c r="E158" i="6" a="1"/>
  <c r="E151" i="6" a="1"/>
  <c r="H161" i="6" a="1"/>
  <c r="H166" i="6" a="1"/>
  <c r="H194" i="6" a="1"/>
  <c r="E200" i="6" a="1"/>
  <c r="E242" i="6" a="1"/>
  <c r="H207" i="6" a="1"/>
  <c r="H209" i="6" a="1"/>
  <c r="E180" i="6" a="1"/>
  <c r="E182" i="6" a="1"/>
  <c r="H135" i="6" a="1"/>
  <c r="E190" i="6" a="1"/>
  <c r="H205" i="6" a="1"/>
  <c r="H190" i="6" a="1"/>
  <c r="E164" i="6" a="1"/>
  <c r="E230" i="6" a="1"/>
  <c r="H183" i="6" a="1"/>
  <c r="H224" i="6" a="1"/>
  <c r="H148" i="6" a="1"/>
  <c r="H241" i="6" a="1"/>
  <c r="E246" i="6" a="1"/>
  <c r="E196" i="6" a="1"/>
  <c r="E156" i="6" a="1"/>
  <c r="E149" i="6" a="1"/>
  <c r="H162" i="6" a="1"/>
  <c r="H131" i="6" a="1"/>
  <c r="H188" i="6" a="1"/>
  <c r="H164" i="6" a="1"/>
  <c r="E249" i="6" a="1"/>
  <c r="E243" i="6" a="1"/>
  <c r="H186" i="6" a="1"/>
  <c r="H143" i="6" a="1"/>
  <c r="H197" i="6" a="1"/>
  <c r="H191" i="6" a="1"/>
  <c r="H138" i="6" a="1"/>
  <c r="H163" i="6" a="1"/>
  <c r="H155" i="6" a="1"/>
  <c r="H154" i="6" a="1"/>
  <c r="E201" i="6" a="1"/>
  <c r="H187" i="6" a="1"/>
  <c r="E130" i="6" a="1"/>
  <c r="H221" i="6" a="1"/>
  <c r="H158" i="6" a="1"/>
  <c r="H193" i="6" a="1"/>
  <c r="E188" i="6" a="1"/>
  <c r="E184" i="6" a="1"/>
  <c r="H144" i="6" a="1"/>
  <c r="E150" i="6" a="1"/>
  <c r="E195" i="6" a="1"/>
  <c r="H141" i="6" a="1"/>
  <c r="E228" i="6" a="1"/>
  <c r="E159" i="6" a="1"/>
  <c r="E140" i="6" a="1"/>
  <c r="E209" i="6" a="1"/>
  <c r="E235" i="6" a="1"/>
  <c r="H244" i="6" a="1"/>
  <c r="E194" i="6" a="1"/>
  <c r="H196" i="6" a="1"/>
  <c r="H151" i="6" a="1"/>
  <c r="E216" i="6" l="1"/>
  <c r="H169" i="6"/>
  <c r="E136" i="6"/>
  <c r="E229" i="6"/>
  <c r="H161" i="6"/>
  <c r="H159" i="6"/>
  <c r="E152" i="6"/>
  <c r="E235" i="6"/>
  <c r="E177" i="6"/>
  <c r="H168" i="6"/>
  <c r="H245" i="6"/>
  <c r="E186" i="6"/>
  <c r="H134" i="6"/>
  <c r="H207" i="6"/>
  <c r="H155" i="6"/>
  <c r="E162" i="6"/>
  <c r="H193" i="6"/>
  <c r="E231" i="6"/>
  <c r="H160" i="6"/>
  <c r="H235" i="6"/>
  <c r="H206" i="6"/>
  <c r="H213" i="6"/>
  <c r="H211" i="6"/>
  <c r="H187" i="6"/>
  <c r="H210" i="6"/>
  <c r="H178" i="6"/>
  <c r="H216" i="6"/>
  <c r="H140" i="6"/>
  <c r="H132" i="6"/>
  <c r="H133" i="6"/>
  <c r="E233" i="6"/>
  <c r="E164" i="6"/>
  <c r="H189" i="6"/>
  <c r="E191" i="6"/>
  <c r="E219" i="6"/>
  <c r="E202" i="6"/>
  <c r="E228" i="6"/>
  <c r="E214" i="6"/>
  <c r="H175" i="6"/>
  <c r="H147" i="6"/>
  <c r="E174" i="6"/>
  <c r="E159" i="6"/>
  <c r="E238" i="6"/>
  <c r="E138" i="6"/>
  <c r="H144" i="6"/>
  <c r="H209" i="6"/>
  <c r="E165" i="6"/>
  <c r="E158" i="6"/>
  <c r="E172" i="6"/>
  <c r="H201" i="6"/>
  <c r="E220" i="6"/>
  <c r="H215" i="6"/>
  <c r="H219" i="6"/>
  <c r="E167" i="6"/>
  <c r="H148" i="6"/>
  <c r="H234" i="6"/>
  <c r="E132" i="6"/>
  <c r="H173" i="6"/>
  <c r="H131" i="6"/>
  <c r="E213" i="6"/>
  <c r="E150" i="6"/>
  <c r="E241" i="6"/>
  <c r="H184" i="6"/>
  <c r="E188" i="6"/>
  <c r="E168" i="6"/>
  <c r="E222" i="6"/>
  <c r="E225" i="6"/>
  <c r="H240" i="6"/>
  <c r="E193" i="6"/>
  <c r="E209" i="6"/>
  <c r="E244" i="6"/>
  <c r="H167" i="6"/>
  <c r="E134" i="6"/>
  <c r="E147" i="6"/>
  <c r="H135" i="6"/>
  <c r="H179" i="6"/>
  <c r="H163" i="6"/>
  <c r="H224" i="6"/>
  <c r="H185" i="6"/>
  <c r="E243" i="6"/>
  <c r="H199" i="6"/>
  <c r="H208" i="6"/>
  <c r="E135" i="6"/>
  <c r="H164" i="6"/>
  <c r="H195" i="6"/>
  <c r="E247" i="6"/>
  <c r="E204" i="6"/>
  <c r="H233" i="6"/>
  <c r="H143" i="6"/>
  <c r="H246" i="6"/>
  <c r="H244" i="6"/>
  <c r="E208" i="6"/>
  <c r="H130" i="6"/>
  <c r="E140" i="6"/>
  <c r="H214" i="6"/>
  <c r="E141" i="6"/>
  <c r="E198" i="6"/>
  <c r="E171" i="6"/>
  <c r="E205" i="6"/>
  <c r="E234" i="6"/>
  <c r="H227" i="6"/>
  <c r="E249" i="6"/>
  <c r="H194" i="6"/>
  <c r="E207" i="6"/>
  <c r="E240" i="6"/>
  <c r="E137" i="6"/>
  <c r="E130" i="6"/>
  <c r="E178" i="6"/>
  <c r="H228" i="6"/>
  <c r="H166" i="6"/>
  <c r="H152" i="6"/>
  <c r="H146" i="6"/>
  <c r="E156" i="6"/>
  <c r="H139" i="6"/>
  <c r="E230" i="6"/>
  <c r="E153" i="6"/>
  <c r="H248" i="6"/>
  <c r="E201" i="6"/>
  <c r="E223" i="6"/>
  <c r="H157" i="6"/>
  <c r="H223" i="6"/>
  <c r="E160" i="6"/>
  <c r="E212" i="6"/>
  <c r="H174" i="6"/>
  <c r="H142" i="6"/>
  <c r="H154" i="6"/>
  <c r="H137" i="6"/>
  <c r="E155" i="6"/>
  <c r="E169" i="6"/>
  <c r="E148" i="6"/>
  <c r="E151" i="6"/>
  <c r="H205" i="6"/>
  <c r="H239" i="6"/>
  <c r="H249" i="6"/>
  <c r="E154" i="6"/>
  <c r="E189" i="6"/>
  <c r="H243" i="6"/>
  <c r="H242" i="6"/>
  <c r="E161" i="6"/>
  <c r="H241" i="6"/>
  <c r="H197" i="6"/>
  <c r="E157" i="6"/>
  <c r="H165" i="6"/>
  <c r="H171" i="6"/>
  <c r="H203" i="6"/>
  <c r="E145" i="6"/>
  <c r="E184" i="6"/>
  <c r="E215" i="6"/>
  <c r="E236" i="6"/>
  <c r="H190" i="6"/>
  <c r="E195" i="6"/>
  <c r="E211" i="6"/>
  <c r="E197" i="6"/>
  <c r="E192" i="6"/>
  <c r="H236" i="6"/>
  <c r="E200" i="6"/>
  <c r="E175" i="6"/>
  <c r="E173" i="6"/>
  <c r="H176" i="6"/>
  <c r="H170" i="6"/>
  <c r="H181" i="6"/>
  <c r="H153" i="6"/>
  <c r="H186" i="6"/>
  <c r="H196" i="6"/>
  <c r="H217" i="6"/>
  <c r="H230" i="6"/>
  <c r="H225" i="6"/>
  <c r="H232" i="6"/>
  <c r="E217" i="6"/>
  <c r="H188" i="6"/>
  <c r="H149" i="6"/>
  <c r="H141" i="6"/>
  <c r="E199" i="6"/>
  <c r="H204" i="6"/>
  <c r="H237" i="6"/>
  <c r="H180" i="6"/>
  <c r="H162" i="6"/>
  <c r="H231" i="6"/>
  <c r="E142" i="6"/>
  <c r="E185" i="6"/>
  <c r="E139" i="6"/>
  <c r="H218" i="6"/>
  <c r="H191" i="6"/>
  <c r="H212" i="6"/>
  <c r="E176" i="6"/>
  <c r="E190" i="6"/>
  <c r="E170" i="6"/>
  <c r="H138" i="6"/>
  <c r="H229" i="6"/>
  <c r="E206" i="6"/>
  <c r="E221" i="6"/>
  <c r="E187" i="6"/>
  <c r="H177" i="6"/>
  <c r="E166" i="6"/>
  <c r="E218" i="6"/>
  <c r="H158" i="6"/>
  <c r="E226" i="6"/>
  <c r="H151" i="6"/>
  <c r="H247" i="6"/>
  <c r="E133" i="6"/>
  <c r="H222" i="6"/>
  <c r="E194" i="6"/>
  <c r="E248" i="6"/>
  <c r="E237" i="6"/>
  <c r="E143" i="6"/>
  <c r="E183" i="6"/>
  <c r="H145" i="6"/>
  <c r="E245" i="6"/>
  <c r="E182" i="6"/>
  <c r="E224" i="6"/>
  <c r="H198" i="6"/>
  <c r="H192" i="6"/>
  <c r="E180" i="6"/>
  <c r="H136" i="6"/>
  <c r="E181" i="6"/>
  <c r="E146" i="6"/>
  <c r="H172" i="6"/>
  <c r="H221" i="6"/>
  <c r="H226" i="6"/>
  <c r="E144" i="6"/>
  <c r="E227" i="6"/>
  <c r="H156" i="6"/>
  <c r="E246" i="6"/>
  <c r="H238" i="6"/>
  <c r="E196" i="6"/>
  <c r="H183" i="6"/>
  <c r="H220" i="6"/>
  <c r="E163" i="6"/>
  <c r="H150" i="6"/>
  <c r="H200" i="6"/>
  <c r="E232" i="6"/>
  <c r="E149" i="6"/>
  <c r="E210" i="6"/>
  <c r="H202" i="6"/>
  <c r="E239" i="6"/>
  <c r="E203" i="6"/>
  <c r="H182" i="6"/>
  <c r="E131" i="6"/>
  <c r="E242" i="6"/>
  <c r="E179" i="6"/>
  <c r="G16" i="7" a="1"/>
  <c r="G15" i="7" a="1"/>
  <c r="G14" i="7" a="1"/>
  <c r="G12" i="7" a="1"/>
  <c r="G10" i="7" a="1"/>
  <c r="G13" i="7" a="1"/>
  <c r="G11" i="7" a="1"/>
  <c r="C10" i="7" a="1"/>
  <c r="F16" i="7" a="1"/>
  <c r="C13" i="7" a="1"/>
  <c r="C12" i="7" a="1"/>
  <c r="E15" i="7" a="1"/>
  <c r="F10" i="7" a="1"/>
  <c r="F11" i="7" a="1"/>
  <c r="D15" i="7" a="1"/>
  <c r="D14" i="7" a="1"/>
  <c r="I10" i="7" a="1"/>
  <c r="E11" i="7" a="1"/>
  <c r="D11" i="7" a="1"/>
  <c r="E10" i="7" a="1"/>
  <c r="E14" i="7" a="1"/>
  <c r="F12" i="7" a="1"/>
  <c r="C14" i="7" a="1"/>
  <c r="F13" i="7" a="1"/>
  <c r="E12" i="7" a="1"/>
  <c r="E13" i="7" a="1"/>
  <c r="D16" i="7" a="1"/>
  <c r="B10" i="7" a="1"/>
  <c r="C16" i="7" a="1"/>
  <c r="H10" i="7" a="1"/>
  <c r="B11" i="7" a="1"/>
  <c r="B13" i="7" a="1"/>
  <c r="B12" i="7" a="1"/>
  <c r="B15" i="7" a="1"/>
  <c r="C15" i="7" a="1"/>
  <c r="B16" i="7" a="1"/>
  <c r="E16" i="7" a="1"/>
  <c r="B14" i="7" a="1"/>
  <c r="D10" i="7" a="1"/>
  <c r="F14" i="7" a="1"/>
  <c r="F15" i="7" a="1"/>
  <c r="H11" i="7" a="1"/>
  <c r="H13" i="7" a="1"/>
  <c r="H14" i="7" a="1"/>
  <c r="H12" i="7" a="1"/>
  <c r="H16" i="7" a="1"/>
  <c r="H15" i="7" a="1"/>
  <c r="E12" i="7" l="1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G9" i="7" a="1"/>
  <c r="B9" i="7" a="1"/>
  <c r="C9" i="7" a="1"/>
  <c r="D9" i="7" a="1"/>
  <c r="F9" i="7" a="1"/>
  <c r="E9" i="7" a="1"/>
  <c r="H9" i="7" a="1"/>
  <c r="I9" i="7" a="1"/>
  <c r="C11" i="7" a="1"/>
  <c r="D13" i="7" a="1"/>
  <c r="C11" i="7" l="1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B69" i="7" a="1"/>
  <c r="C108" i="7" a="1"/>
  <c r="C62" i="7" a="1"/>
  <c r="B104" i="7" a="1"/>
  <c r="D81" i="7" a="1"/>
  <c r="F49" i="7" a="1"/>
  <c r="E55" i="7" a="1"/>
  <c r="F29" i="7" a="1"/>
  <c r="B63" i="7" a="1"/>
  <c r="E119" i="7" a="1"/>
  <c r="C24" i="7" a="1"/>
  <c r="B36" i="7" a="1"/>
  <c r="I106" i="7" a="1"/>
  <c r="B64" i="7" a="1"/>
  <c r="C20" i="7" a="1"/>
  <c r="C73" i="7" a="1"/>
  <c r="C69" i="7" a="1"/>
  <c r="I39" i="7" a="1"/>
  <c r="B95" i="7" a="1"/>
  <c r="C93" i="7" a="1"/>
  <c r="C94" i="7" a="1"/>
  <c r="B61" i="7" a="1"/>
  <c r="C46" i="7" a="1"/>
  <c r="D115" i="7" a="1"/>
  <c r="E113" i="7" a="1"/>
  <c r="D122" i="7" a="1"/>
  <c r="F97" i="7" a="1"/>
  <c r="E94" i="7" a="1"/>
  <c r="F42" i="7" a="1"/>
  <c r="B122" i="7" a="1"/>
  <c r="B22" i="7" a="1"/>
  <c r="B33" i="7" a="1"/>
  <c r="B121" i="7" a="1"/>
  <c r="B66" i="7" a="1"/>
  <c r="B98" i="7" a="1"/>
  <c r="C79" i="7" a="1"/>
  <c r="C41" i="7" a="1"/>
  <c r="I122" i="7" a="1"/>
  <c r="F105" i="7" a="1"/>
  <c r="F66" i="7" a="1"/>
  <c r="D23" i="7" a="1"/>
  <c r="B113" i="7" a="1"/>
  <c r="C44" i="7" a="1"/>
  <c r="B71" i="7" a="1"/>
  <c r="I26" i="7" a="1"/>
  <c r="C29" i="7" a="1"/>
  <c r="B118" i="7" a="1"/>
  <c r="B110" i="7" a="1"/>
  <c r="C33" i="7" a="1"/>
  <c r="D48" i="7" a="1"/>
  <c r="D58" i="7" a="1"/>
  <c r="B108" i="7" a="1"/>
  <c r="B56" i="7" a="1"/>
  <c r="C106" i="7" a="1"/>
  <c r="B123" i="7" a="1"/>
  <c r="B73" i="7" a="1"/>
  <c r="C107" i="7" a="1"/>
  <c r="B83" i="7" a="1"/>
  <c r="C65" i="7" a="1"/>
  <c r="E74" i="7" a="1"/>
  <c r="C54" i="7" a="1"/>
  <c r="C98" i="7" a="1"/>
  <c r="C99" i="7" a="1"/>
  <c r="C25" i="7" a="1"/>
  <c r="E19" i="7" a="1"/>
  <c r="I34" i="7" a="1"/>
  <c r="E129" i="7" a="1"/>
  <c r="E95" i="7" a="1"/>
  <c r="B29" i="7" a="1"/>
  <c r="I37" i="7" a="1"/>
  <c r="E24" i="7" a="1"/>
  <c r="D111" i="7" a="1"/>
  <c r="D50" i="7" a="1"/>
  <c r="I11" i="7" a="1"/>
  <c r="B59" i="7" a="1"/>
  <c r="F121" i="7" a="1"/>
  <c r="D61" i="7" a="1"/>
  <c r="F33" i="7" a="1"/>
  <c r="C96" i="7" a="1"/>
  <c r="B24" i="7" a="1"/>
  <c r="B125" i="7" a="1"/>
  <c r="C36" i="7" a="1"/>
  <c r="I83" i="7" a="1"/>
  <c r="I42" i="7" a="1"/>
  <c r="C47" i="7" a="1"/>
  <c r="C43" i="7" a="1"/>
  <c r="B45" i="7" a="1"/>
  <c r="C34" i="7" a="1"/>
  <c r="I114" i="7" a="1"/>
  <c r="C28" i="7" a="1"/>
  <c r="C63" i="7" a="1"/>
  <c r="C30" i="7" a="1"/>
  <c r="C51" i="7" a="1"/>
  <c r="E124" i="7" a="1"/>
  <c r="C125" i="7" a="1"/>
  <c r="B89" i="7" a="1"/>
  <c r="C105" i="7" a="1"/>
  <c r="B82" i="7" a="1"/>
  <c r="F60" i="7" a="1"/>
  <c r="E49" i="7" a="1"/>
  <c r="E23" i="7" a="1"/>
  <c r="I40" i="7" a="1"/>
  <c r="C103" i="7" a="1"/>
  <c r="B86" i="7" a="1"/>
  <c r="B107" i="7" a="1"/>
  <c r="F76" i="7" a="1"/>
  <c r="E123" i="7" a="1"/>
  <c r="E81" i="7" a="1"/>
  <c r="B21" i="7" a="1"/>
  <c r="B31" i="7" a="1"/>
  <c r="E118" i="7" a="1"/>
  <c r="D116" i="7" a="1"/>
  <c r="D86" i="7" a="1"/>
  <c r="F48" i="7" a="1"/>
  <c r="E30" i="7" a="1"/>
  <c r="D83" i="7" a="1"/>
  <c r="E46" i="7" a="1"/>
  <c r="C48" i="7" a="1"/>
  <c r="D98" i="7" a="1"/>
  <c r="D22" i="7" a="1"/>
  <c r="F19" i="7" a="1"/>
  <c r="D53" i="7" a="1"/>
  <c r="F101" i="7" a="1"/>
  <c r="E112" i="7" a="1"/>
  <c r="I111" i="7" a="1"/>
  <c r="F84" i="7" a="1"/>
  <c r="B128" i="7" a="1"/>
  <c r="E80" i="7" a="1"/>
  <c r="F75" i="7" a="1"/>
  <c r="I59" i="7" a="1"/>
  <c r="E122" i="7" a="1"/>
  <c r="C101" i="7" a="1"/>
  <c r="B85" i="7" a="1"/>
  <c r="C127" i="7" a="1"/>
  <c r="I66" i="7" a="1"/>
  <c r="F67" i="7" a="1"/>
  <c r="E25" i="7" a="1"/>
  <c r="C50" i="7" a="1"/>
  <c r="B70" i="7" a="1"/>
  <c r="B55" i="7" a="1"/>
  <c r="B76" i="7" a="1"/>
  <c r="C82" i="7" a="1"/>
  <c r="B53" i="7" a="1"/>
  <c r="C91" i="7" a="1"/>
  <c r="I17" i="7" a="1"/>
  <c r="C40" i="7" a="1"/>
  <c r="C116" i="7" a="1"/>
  <c r="B65" i="7" a="1"/>
  <c r="C83" i="7" a="1"/>
  <c r="C97" i="7" a="1"/>
  <c r="C77" i="7" a="1"/>
  <c r="B40" i="7" a="1"/>
  <c r="B60" i="7" a="1"/>
  <c r="C39" i="7" a="1"/>
  <c r="C64" i="7" a="1"/>
  <c r="C104" i="7" a="1"/>
  <c r="B32" i="7" a="1"/>
  <c r="B77" i="7" a="1"/>
  <c r="B91" i="7" a="1"/>
  <c r="D101" i="7" a="1"/>
  <c r="D59" i="7" a="1"/>
  <c r="E86" i="7" a="1"/>
  <c r="F40" i="7" a="1"/>
  <c r="F31" i="7" a="1"/>
  <c r="F109" i="7" a="1"/>
  <c r="B102" i="7" a="1"/>
  <c r="H82" i="7" a="1"/>
  <c r="F87" i="7" a="1"/>
  <c r="I97" i="7" a="1"/>
  <c r="C23" i="7" a="1"/>
  <c r="C27" i="7" a="1"/>
  <c r="B124" i="7" a="1"/>
  <c r="C115" i="7" a="1"/>
  <c r="F18" i="7" a="1"/>
  <c r="I67" i="7" a="1"/>
  <c r="D107" i="7" a="1"/>
  <c r="F65" i="7" a="1"/>
  <c r="B67" i="7" a="1"/>
  <c r="B43" i="7" a="1"/>
  <c r="C17" i="7" a="1"/>
  <c r="C57" i="7" a="1"/>
  <c r="F123" i="7" a="1"/>
  <c r="B119" i="7" a="1"/>
  <c r="B80" i="7" a="1"/>
  <c r="C113" i="7" a="1"/>
  <c r="B54" i="7" a="1"/>
  <c r="D105" i="7" a="1"/>
  <c r="B35" i="7" a="1"/>
  <c r="B92" i="7" a="1"/>
  <c r="E110" i="7" a="1"/>
  <c r="B68" i="7" a="1"/>
  <c r="D78" i="7" a="1"/>
  <c r="C35" i="7" a="1"/>
  <c r="C70" i="7" a="1"/>
  <c r="B27" i="7" a="1"/>
  <c r="B101" i="7" a="1"/>
  <c r="D27" i="7" a="1"/>
  <c r="B46" i="7" a="1"/>
  <c r="C71" i="7" a="1"/>
  <c r="I61" i="7" a="1"/>
  <c r="C109" i="7" a="1"/>
  <c r="F83" i="7" a="1"/>
  <c r="D96" i="7" a="1"/>
  <c r="I121" i="7" a="1"/>
  <c r="C80" i="7" a="1"/>
  <c r="B105" i="7" a="1"/>
  <c r="D114" i="7" a="1"/>
  <c r="B74" i="7" a="1"/>
  <c r="B109" i="7" a="1"/>
  <c r="D34" i="7" a="1"/>
  <c r="C110" i="7" a="1"/>
  <c r="C126" i="7" a="1"/>
  <c r="F110" i="7" a="1"/>
  <c r="F17" i="7" a="1"/>
  <c r="D125" i="7" a="1"/>
  <c r="C66" i="7" a="1"/>
  <c r="E127" i="7" a="1"/>
  <c r="D74" i="7" a="1"/>
  <c r="F107" i="7" a="1"/>
  <c r="B115" i="7" a="1"/>
  <c r="I82" i="7" a="1"/>
  <c r="C119" i="7" a="1"/>
  <c r="D87" i="7" a="1"/>
  <c r="E21" i="7" a="1"/>
  <c r="D33" i="7" a="1"/>
  <c r="D68" i="7" a="1"/>
  <c r="F71" i="7" a="1"/>
  <c r="C121" i="7" a="1"/>
  <c r="I48" i="7" a="1"/>
  <c r="C100" i="7" a="1"/>
  <c r="E62" i="7" a="1"/>
  <c r="D92" i="7" a="1"/>
  <c r="F115" i="7" a="1"/>
  <c r="E18" i="7" a="1"/>
  <c r="I62" i="7" a="1"/>
  <c r="B96" i="7" a="1"/>
  <c r="I70" i="7" a="1"/>
  <c r="B94" i="7" a="1"/>
  <c r="D128" i="7" a="1"/>
  <c r="C18" i="7" a="1"/>
  <c r="B47" i="7" a="1"/>
  <c r="B42" i="7" a="1"/>
  <c r="C86" i="7" a="1"/>
  <c r="C59" i="7" a="1"/>
  <c r="E77" i="7" a="1"/>
  <c r="F41" i="7" a="1"/>
  <c r="B112" i="7" a="1"/>
  <c r="B114" i="7" a="1"/>
  <c r="D104" i="7" a="1"/>
  <c r="B81" i="7" a="1"/>
  <c r="C87" i="7" a="1"/>
  <c r="I92" i="7" a="1"/>
  <c r="F106" i="7" a="1"/>
  <c r="E105" i="7" a="1"/>
  <c r="F26" i="7" a="1"/>
  <c r="B37" i="7" a="1"/>
  <c r="F128" i="7" a="1"/>
  <c r="F23" i="7" a="1"/>
  <c r="E56" i="7" a="1"/>
  <c r="D31" i="7" a="1"/>
  <c r="D123" i="7" a="1"/>
  <c r="D108" i="7" a="1"/>
  <c r="E115" i="7" a="1"/>
  <c r="D73" i="7" a="1"/>
  <c r="I115" i="7" a="1"/>
  <c r="I13" i="7" a="1"/>
  <c r="D94" i="7" a="1"/>
  <c r="F47" i="7" a="1"/>
  <c r="B129" i="7" a="1"/>
  <c r="E73" i="7" a="1"/>
  <c r="I65" i="7" a="1"/>
  <c r="I84" i="7" a="1"/>
  <c r="C102" i="7" a="1"/>
  <c r="F69" i="7" a="1"/>
  <c r="F124" i="7" a="1"/>
  <c r="D28" i="7" a="1"/>
  <c r="E39" i="7" a="1"/>
  <c r="I89" i="7" a="1"/>
  <c r="E87" i="7" a="1"/>
  <c r="B106" i="7" a="1"/>
  <c r="C74" i="7" a="1"/>
  <c r="F90" i="7" a="1"/>
  <c r="C92" i="7" a="1"/>
  <c r="I90" i="7" a="1"/>
  <c r="D110" i="7" a="1"/>
  <c r="D89" i="7" a="1"/>
  <c r="D39" i="7" a="1"/>
  <c r="B50" i="7" a="1"/>
  <c r="D113" i="7" a="1"/>
  <c r="B84" i="7" a="1"/>
  <c r="C88" i="7" a="1"/>
  <c r="D49" i="7" a="1"/>
  <c r="D77" i="7" a="1"/>
  <c r="B72" i="7" a="1"/>
  <c r="E97" i="7" a="1"/>
  <c r="F45" i="7" a="1"/>
  <c r="F96" i="7" a="1"/>
  <c r="I46" i="7" a="1"/>
  <c r="D62" i="7" a="1"/>
  <c r="F28" i="7" a="1"/>
  <c r="D29" i="7" a="1"/>
  <c r="E88" i="7" a="1"/>
  <c r="H34" i="7" a="1"/>
  <c r="D47" i="7" a="1"/>
  <c r="I109" i="7" a="1"/>
  <c r="E51" i="7" a="1"/>
  <c r="I60" i="7" a="1"/>
  <c r="B41" i="7" a="1"/>
  <c r="C49" i="7" a="1"/>
  <c r="E120" i="7" a="1"/>
  <c r="D127" i="7" a="1"/>
  <c r="C75" i="7" a="1"/>
  <c r="B93" i="7" a="1"/>
  <c r="I110" i="7" a="1"/>
  <c r="C56" i="7" a="1"/>
  <c r="C84" i="7" a="1"/>
  <c r="B103" i="7" a="1"/>
  <c r="E54" i="7" a="1"/>
  <c r="B17" i="7" a="1"/>
  <c r="C31" i="7" a="1"/>
  <c r="D17" i="7" a="1"/>
  <c r="F95" i="7" a="1"/>
  <c r="D72" i="7" a="1"/>
  <c r="I19" i="7" a="1"/>
  <c r="D88" i="7" a="1"/>
  <c r="E48" i="7" a="1"/>
  <c r="D18" i="7" a="1"/>
  <c r="F117" i="7" a="1"/>
  <c r="D121" i="7" a="1"/>
  <c r="E32" i="7" a="1"/>
  <c r="D66" i="7" a="1"/>
  <c r="F114" i="7" a="1"/>
  <c r="B88" i="7" a="1"/>
  <c r="D67" i="7" a="1"/>
  <c r="I14" i="7" a="1"/>
  <c r="D32" i="7" a="1"/>
  <c r="E100" i="7" a="1"/>
  <c r="E26" i="7" a="1"/>
  <c r="E82" i="7" a="1"/>
  <c r="F86" i="7" a="1"/>
  <c r="D119" i="7" a="1"/>
  <c r="I91" i="7" a="1"/>
  <c r="C118" i="7" a="1"/>
  <c r="C22" i="7" a="1"/>
  <c r="C37" i="7" a="1"/>
  <c r="F38" i="7" a="1"/>
  <c r="C58" i="7" a="1"/>
  <c r="B19" i="7" a="1"/>
  <c r="F99" i="7" a="1"/>
  <c r="D103" i="7" a="1"/>
  <c r="B62" i="7" a="1"/>
  <c r="F94" i="7" a="1"/>
  <c r="B99" i="7" a="1"/>
  <c r="F32" i="7" a="1"/>
  <c r="I21" i="7" a="1"/>
  <c r="D106" i="7" a="1"/>
  <c r="E96" i="7" a="1"/>
  <c r="E33" i="7" a="1"/>
  <c r="D52" i="7" a="1"/>
  <c r="D41" i="7" a="1"/>
  <c r="D37" i="7" a="1"/>
  <c r="D55" i="7" a="1"/>
  <c r="I15" i="7" a="1"/>
  <c r="B18" i="7" a="1"/>
  <c r="E45" i="7" a="1"/>
  <c r="I88" i="7" a="1"/>
  <c r="H58" i="7" a="1"/>
  <c r="I85" i="7" a="1"/>
  <c r="E101" i="7" a="1"/>
  <c r="F68" i="7" a="1"/>
  <c r="D90" i="7" a="1"/>
  <c r="F46" i="7" a="1"/>
  <c r="F74" i="7" a="1"/>
  <c r="I45" i="7" a="1"/>
  <c r="F104" i="7" a="1"/>
  <c r="D57" i="7" a="1"/>
  <c r="E61" i="7" a="1"/>
  <c r="D51" i="7" a="1"/>
  <c r="E47" i="7" a="1"/>
  <c r="D84" i="7" a="1"/>
  <c r="E84" i="7" a="1"/>
  <c r="E57" i="7" a="1"/>
  <c r="C111" i="7" a="1"/>
  <c r="D69" i="7" a="1"/>
  <c r="C76" i="7" a="1"/>
  <c r="H106" i="7" a="1"/>
  <c r="B39" i="7" a="1"/>
  <c r="B100" i="7" a="1"/>
  <c r="B51" i="7" a="1"/>
  <c r="D38" i="7" a="1"/>
  <c r="I18" i="7" a="1"/>
  <c r="C117" i="7" a="1"/>
  <c r="I63" i="7" a="1"/>
  <c r="F112" i="7" a="1"/>
  <c r="F50" i="7" a="1"/>
  <c r="F119" i="7" a="1"/>
  <c r="E29" i="7" a="1"/>
  <c r="D45" i="7" a="1"/>
  <c r="I98" i="7" a="1"/>
  <c r="E63" i="7" a="1"/>
  <c r="D19" i="7" a="1"/>
  <c r="F116" i="7" a="1"/>
  <c r="D12" i="7" a="1"/>
  <c r="D24" i="7" a="1"/>
  <c r="E68" i="7" a="1"/>
  <c r="D20" i="7" a="1"/>
  <c r="F52" i="7" a="1"/>
  <c r="E85" i="7" a="1"/>
  <c r="C85" i="7" a="1"/>
  <c r="F39" i="7" a="1"/>
  <c r="E126" i="7" a="1"/>
  <c r="F58" i="7" a="1"/>
  <c r="E75" i="7" a="1"/>
  <c r="I16" i="7" a="1"/>
  <c r="F82" i="7" a="1"/>
  <c r="I12" i="7" a="1"/>
  <c r="D71" i="7" a="1"/>
  <c r="D30" i="7" a="1"/>
  <c r="E34" i="7" a="1"/>
  <c r="E53" i="7" a="1"/>
  <c r="F34" i="7" a="1"/>
  <c r="C67" i="7" a="1"/>
  <c r="C122" i="7" a="1"/>
  <c r="F36" i="7" a="1"/>
  <c r="C124" i="7" a="1"/>
  <c r="I25" i="7" a="1"/>
  <c r="C95" i="7" a="1"/>
  <c r="C123" i="7" a="1"/>
  <c r="C53" i="7" a="1"/>
  <c r="E78" i="7" a="1"/>
  <c r="F72" i="7" a="1"/>
  <c r="I113" i="7" a="1"/>
  <c r="I41" i="7" a="1"/>
  <c r="F81" i="7" a="1"/>
  <c r="F56" i="7" a="1"/>
  <c r="D60" i="7" a="1"/>
  <c r="B44" i="7" a="1"/>
  <c r="E121" i="7" a="1"/>
  <c r="F89" i="7" a="1"/>
  <c r="E37" i="7" a="1"/>
  <c r="D129" i="7" a="1"/>
  <c r="E41" i="7" a="1"/>
  <c r="D117" i="7" a="1"/>
  <c r="D40" i="7" a="1"/>
  <c r="F24" i="7" a="1"/>
  <c r="I86" i="7" a="1"/>
  <c r="D93" i="7" a="1"/>
  <c r="I64" i="7" a="1"/>
  <c r="D85" i="7" a="1"/>
  <c r="E83" i="7" a="1"/>
  <c r="I120" i="7" a="1"/>
  <c r="E52" i="7" a="1"/>
  <c r="E91" i="7" a="1"/>
  <c r="E103" i="7" a="1"/>
  <c r="F62" i="7" a="1"/>
  <c r="D64" i="7" a="1"/>
  <c r="D79" i="7" a="1"/>
  <c r="D75" i="7" a="1"/>
  <c r="D21" i="7" a="1"/>
  <c r="F55" i="7" a="1"/>
  <c r="D91" i="7" a="1"/>
  <c r="E76" i="7" a="1"/>
  <c r="D56" i="7" a="1"/>
  <c r="I43" i="7" a="1"/>
  <c r="I47" i="7" a="1"/>
  <c r="D80" i="7" a="1"/>
  <c r="C38" i="7" a="1"/>
  <c r="I72" i="7" a="1"/>
  <c r="D76" i="7" a="1"/>
  <c r="E106" i="7" a="1"/>
  <c r="E116" i="7" a="1"/>
  <c r="E44" i="7" a="1"/>
  <c r="B126" i="7" a="1"/>
  <c r="B120" i="7" a="1"/>
  <c r="E67" i="7" a="1"/>
  <c r="E93" i="7" a="1"/>
  <c r="E35" i="7" a="1"/>
  <c r="C60" i="7" a="1"/>
  <c r="F30" i="7" a="1"/>
  <c r="D99" i="7" a="1"/>
  <c r="F54" i="7" a="1"/>
  <c r="D95" i="7" a="1"/>
  <c r="F20" i="7" a="1"/>
  <c r="F113" i="7" a="1"/>
  <c r="E108" i="7" a="1"/>
  <c r="F43" i="7" a="1"/>
  <c r="I22" i="7" a="1"/>
  <c r="E28" i="7" a="1"/>
  <c r="F61" i="7" a="1"/>
  <c r="C81" i="7" a="1"/>
  <c r="C26" i="7" a="1"/>
  <c r="B48" i="7" a="1"/>
  <c r="E72" i="7" a="1"/>
  <c r="C32" i="7" a="1"/>
  <c r="I23" i="7" a="1"/>
  <c r="I69" i="7" a="1"/>
  <c r="I24" i="7" a="1"/>
  <c r="F85" i="7" a="1"/>
  <c r="F77" i="7" a="1"/>
  <c r="E117" i="7" a="1"/>
  <c r="F21" i="7" a="1"/>
  <c r="E128" i="7" a="1"/>
  <c r="F118" i="7" a="1"/>
  <c r="E17" i="7" a="1"/>
  <c r="F78" i="7" a="1"/>
  <c r="I116" i="7" a="1"/>
  <c r="B90" i="7" a="1"/>
  <c r="B20" i="7" a="1"/>
  <c r="I50" i="7" a="1"/>
  <c r="B49" i="7" a="1"/>
  <c r="F127" i="7" a="1"/>
  <c r="I44" i="7" a="1"/>
  <c r="B78" i="7" a="1"/>
  <c r="F111" i="7" a="1"/>
  <c r="B25" i="7" a="1"/>
  <c r="E58" i="7" a="1"/>
  <c r="B111" i="7" a="1"/>
  <c r="E92" i="7" a="1"/>
  <c r="I58" i="7" a="1"/>
  <c r="E104" i="7" a="1"/>
  <c r="I74" i="7" a="1"/>
  <c r="F44" i="7" a="1"/>
  <c r="F88" i="7" a="1"/>
  <c r="D82" i="7" a="1"/>
  <c r="C112" i="7" a="1"/>
  <c r="D42" i="7" a="1"/>
  <c r="D65" i="7" a="1"/>
  <c r="C55" i="7" a="1"/>
  <c r="E89" i="7" a="1"/>
  <c r="E107" i="7" a="1"/>
  <c r="B38" i="7" a="1"/>
  <c r="I87" i="7" a="1"/>
  <c r="B79" i="7" a="1"/>
  <c r="F73" i="7" a="1"/>
  <c r="C19" i="7" a="1"/>
  <c r="D63" i="7" a="1"/>
  <c r="F91" i="7" a="1"/>
  <c r="I95" i="7" a="1"/>
  <c r="C72" i="7" a="1"/>
  <c r="E20" i="7" a="1"/>
  <c r="B26" i="7" a="1"/>
  <c r="E99" i="7" a="1"/>
  <c r="B127" i="7" a="1"/>
  <c r="F93" i="7" a="1"/>
  <c r="I68" i="7" a="1"/>
  <c r="E65" i="7" a="1"/>
  <c r="C52" i="7" a="1"/>
  <c r="C78" i="7" a="1"/>
  <c r="E40" i="7" a="1"/>
  <c r="C114" i="7" a="1"/>
  <c r="C128" i="7" a="1"/>
  <c r="F80" i="7" a="1"/>
  <c r="F63" i="7" a="1"/>
  <c r="E69" i="7" a="1"/>
  <c r="F120" i="7" a="1"/>
  <c r="D97" i="7" a="1"/>
  <c r="C129" i="7" a="1"/>
  <c r="I108" i="7" a="1"/>
  <c r="F51" i="7" a="1"/>
  <c r="D126" i="7" a="1"/>
  <c r="F98" i="7" a="1"/>
  <c r="F92" i="7" a="1"/>
  <c r="D36" i="7" a="1"/>
  <c r="E50" i="7" a="1"/>
  <c r="B57" i="7" a="1"/>
  <c r="F27" i="7" a="1"/>
  <c r="E71" i="7" a="1"/>
  <c r="F37" i="7" a="1"/>
  <c r="I49" i="7" a="1"/>
  <c r="I118" i="7" a="1"/>
  <c r="F22" i="7" a="1"/>
  <c r="C61" i="7" a="1"/>
  <c r="C89" i="7" a="1"/>
  <c r="I36" i="7" a="1"/>
  <c r="E102" i="7" a="1"/>
  <c r="F79" i="7" a="1"/>
  <c r="I35" i="7" a="1"/>
  <c r="E111" i="7" a="1"/>
  <c r="I93" i="7" a="1"/>
  <c r="F108" i="7" a="1"/>
  <c r="B30" i="7" a="1"/>
  <c r="E125" i="7" a="1"/>
  <c r="F64" i="7" a="1"/>
  <c r="E36" i="7" a="1"/>
  <c r="C90" i="7" a="1"/>
  <c r="C21" i="7" a="1"/>
  <c r="B52" i="7" a="1"/>
  <c r="F57" i="7" a="1"/>
  <c r="E22" i="7" a="1"/>
  <c r="F102" i="7" a="1"/>
  <c r="F126" i="7" a="1"/>
  <c r="E59" i="7" a="1"/>
  <c r="I117" i="7" a="1"/>
  <c r="E27" i="7" a="1"/>
  <c r="D35" i="7" a="1"/>
  <c r="D43" i="7" a="1"/>
  <c r="D46" i="7" a="1"/>
  <c r="F59" i="7" a="1"/>
  <c r="E31" i="7" a="1"/>
  <c r="C42" i="7" a="1"/>
  <c r="C68" i="7" a="1"/>
  <c r="I96" i="7" a="1"/>
  <c r="D124" i="7" a="1"/>
  <c r="B28" i="7" a="1"/>
  <c r="B58" i="7" a="1"/>
  <c r="D120" i="7" a="1"/>
  <c r="F122" i="7" a="1"/>
  <c r="I107" i="7" a="1"/>
  <c r="D54" i="7" a="1"/>
  <c r="F103" i="7" a="1"/>
  <c r="D100" i="7" a="1"/>
  <c r="E60" i="7" a="1"/>
  <c r="D26" i="7" a="1"/>
  <c r="E42" i="7" a="1"/>
  <c r="E64" i="7" a="1"/>
  <c r="F129" i="7" a="1"/>
  <c r="E90" i="7" a="1"/>
  <c r="D102" i="7" a="1"/>
  <c r="F35" i="7" a="1"/>
  <c r="I71" i="7" a="1"/>
  <c r="D112" i="7" a="1"/>
  <c r="D25" i="7" a="1"/>
  <c r="E66" i="7" a="1"/>
  <c r="D118" i="7" a="1"/>
  <c r="C120" i="7" a="1"/>
  <c r="B116" i="7" a="1"/>
  <c r="I73" i="7" a="1"/>
  <c r="E114" i="7" a="1"/>
  <c r="C45" i="7" a="1"/>
  <c r="E70" i="7" a="1"/>
  <c r="I94" i="7" a="1"/>
  <c r="F25" i="7" a="1"/>
  <c r="F100" i="7" a="1"/>
  <c r="B23" i="7" a="1"/>
  <c r="B97" i="7" a="1"/>
  <c r="F125" i="7" a="1"/>
  <c r="B87" i="7" a="1"/>
  <c r="D70" i="7" a="1"/>
  <c r="I38" i="7" a="1"/>
  <c r="E98" i="7" a="1"/>
  <c r="F70" i="7" a="1"/>
  <c r="D109" i="7" a="1"/>
  <c r="E79" i="7" a="1"/>
  <c r="E109" i="7" a="1"/>
  <c r="B117" i="7" a="1"/>
  <c r="I112" i="7" a="1"/>
  <c r="D44" i="7" a="1"/>
  <c r="B34" i="7" a="1"/>
  <c r="E43" i="7" a="1"/>
  <c r="B75" i="7" a="1"/>
  <c r="F53" i="7" a="1"/>
  <c r="E38" i="7" a="1"/>
  <c r="I20" i="7" a="1"/>
  <c r="I119" i="7" a="1"/>
  <c r="I76" i="7" a="1"/>
  <c r="I127" i="7" a="1"/>
  <c r="I78" i="7" a="1"/>
  <c r="I51" i="7" a="1"/>
  <c r="I75" i="7" a="1"/>
  <c r="I129" i="7" a="1"/>
  <c r="I125" i="7" a="1"/>
  <c r="I79" i="7" a="1"/>
  <c r="I101" i="7" a="1"/>
  <c r="I124" i="7" a="1"/>
  <c r="I104" i="7" a="1"/>
  <c r="I123" i="7" a="1"/>
  <c r="I81" i="7" a="1"/>
  <c r="I52" i="7" a="1"/>
  <c r="I28" i="7" a="1"/>
  <c r="I99" i="7" a="1"/>
  <c r="I57" i="7" a="1"/>
  <c r="I27" i="7" a="1"/>
  <c r="I54" i="7" a="1"/>
  <c r="I77" i="7" a="1"/>
  <c r="I53" i="7" a="1"/>
  <c r="I126" i="7" a="1"/>
  <c r="I29" i="7" a="1"/>
  <c r="I33" i="7" a="1"/>
  <c r="I80" i="7" a="1"/>
  <c r="I30" i="7" a="1"/>
  <c r="I103" i="7" a="1"/>
  <c r="I56" i="7" a="1"/>
  <c r="I100" i="7" a="1"/>
  <c r="I55" i="7" a="1"/>
  <c r="I31" i="7" a="1"/>
  <c r="I128" i="7" a="1"/>
  <c r="I32" i="7" a="1"/>
  <c r="I105" i="7" a="1"/>
  <c r="I102" i="7" a="1"/>
  <c r="B161" i="7" a="1"/>
  <c r="B224" i="7" a="1"/>
  <c r="B193" i="7" a="1"/>
  <c r="B173" i="7" a="1"/>
  <c r="C243" i="7" a="1"/>
  <c r="C226" i="7" a="1"/>
  <c r="B245" i="7" a="1"/>
  <c r="B226" i="7" a="1"/>
  <c r="C131" i="7" a="1"/>
  <c r="B217" i="7" a="1"/>
  <c r="C132" i="7" a="1"/>
  <c r="B154" i="7" a="1"/>
  <c r="B160" i="7" a="1"/>
  <c r="B236" i="7" a="1"/>
  <c r="C227" i="7" a="1"/>
  <c r="B170" i="7" a="1"/>
  <c r="B216" i="7" a="1"/>
  <c r="C140" i="7" a="1"/>
  <c r="C170" i="7" a="1"/>
  <c r="C206" i="7" a="1"/>
  <c r="C210" i="7" a="1"/>
  <c r="C225" i="7" a="1"/>
  <c r="B219" i="7" a="1"/>
  <c r="C215" i="7" a="1"/>
  <c r="C224" i="7" a="1"/>
  <c r="C159" i="7" a="1"/>
  <c r="C195" i="7" a="1"/>
  <c r="C175" i="7" a="1"/>
  <c r="C222" i="7" a="1"/>
  <c r="C245" i="7" a="1"/>
  <c r="C138" i="7" a="1"/>
  <c r="B215" i="7" a="1"/>
  <c r="B136" i="7" a="1"/>
  <c r="B130" i="7" a="1"/>
  <c r="B142" i="7" a="1"/>
  <c r="B225" i="7" a="1"/>
  <c r="C134" i="7" a="1"/>
  <c r="C189" i="7" a="1"/>
  <c r="B156" i="7" a="1"/>
  <c r="B246" i="7" a="1"/>
  <c r="B139" i="7" a="1"/>
  <c r="C240" i="7" a="1"/>
  <c r="B235" i="7" a="1"/>
  <c r="B209" i="7" a="1"/>
  <c r="C198" i="7" a="1"/>
  <c r="B240" i="7" a="1"/>
  <c r="B227" i="7" a="1"/>
  <c r="C167" i="7" a="1"/>
  <c r="B213" i="7" a="1"/>
  <c r="C180" i="7" a="1"/>
  <c r="C197" i="7" a="1"/>
  <c r="C188" i="7" a="1"/>
  <c r="B221" i="7" a="1"/>
  <c r="B228" i="7" a="1"/>
  <c r="B186" i="7" a="1"/>
  <c r="C161" i="7" a="1"/>
  <c r="C238" i="7" a="1"/>
  <c r="B148" i="7" a="1"/>
  <c r="B205" i="7" a="1"/>
  <c r="C211" i="7" a="1"/>
  <c r="C212" i="7" a="1"/>
  <c r="C236" i="7" a="1"/>
  <c r="B185" i="7" a="1"/>
  <c r="C190" i="7" a="1"/>
  <c r="B190" i="7" a="1"/>
  <c r="C200" i="7" a="1"/>
  <c r="C247" i="7" a="1"/>
  <c r="C207" i="7" a="1"/>
  <c r="C142" i="7" a="1"/>
  <c r="B183" i="7" a="1"/>
  <c r="C191" i="7" a="1"/>
  <c r="C205" i="7" a="1"/>
  <c r="C241" i="7" a="1"/>
  <c r="C143" i="7" a="1"/>
  <c r="B220" i="7" a="1"/>
  <c r="C158" i="7" a="1"/>
  <c r="B195" i="7" a="1"/>
  <c r="B197" i="7" a="1"/>
  <c r="C166" i="7" a="1"/>
  <c r="B249" i="7" a="1"/>
  <c r="B164" i="7" a="1"/>
  <c r="C214" i="7" a="1"/>
  <c r="C152" i="7" a="1"/>
  <c r="B214" i="7" a="1"/>
  <c r="B239" i="7" a="1"/>
  <c r="C242" i="7" a="1"/>
  <c r="C228" i="7" a="1"/>
  <c r="B191" i="7" a="1"/>
  <c r="C133" i="7" a="1"/>
  <c r="B138" i="7" a="1"/>
  <c r="C171" i="7" a="1"/>
  <c r="C244" i="7" a="1"/>
  <c r="B188" i="7" a="1"/>
  <c r="C154" i="7" a="1"/>
  <c r="B153" i="7" a="1"/>
  <c r="B147" i="7" a="1"/>
  <c r="C239" i="7" a="1"/>
  <c r="B201" i="7" a="1"/>
  <c r="C169" i="7" a="1"/>
  <c r="C173" i="7" a="1"/>
  <c r="B218" i="7" a="1"/>
  <c r="B237" i="7" a="1"/>
  <c r="B238" i="7" a="1"/>
  <c r="C162" i="7" a="1"/>
  <c r="B168" i="7" a="1"/>
  <c r="C151" i="7" a="1"/>
  <c r="C213" i="7" a="1"/>
  <c r="B194" i="7" a="1"/>
  <c r="B172" i="7" a="1"/>
  <c r="C220" i="7" a="1"/>
  <c r="C204" i="7" a="1"/>
  <c r="B233" i="7" a="1"/>
  <c r="C201" i="7" a="1"/>
  <c r="B176" i="7" a="1"/>
  <c r="C199" i="7" a="1"/>
  <c r="B175" i="7" a="1"/>
  <c r="B135" i="7" a="1"/>
  <c r="C249" i="7" a="1"/>
  <c r="C157" i="7" a="1"/>
  <c r="B184" i="7" a="1"/>
  <c r="B187" i="7" a="1"/>
  <c r="B155" i="7" a="1"/>
  <c r="C230" i="7" a="1"/>
  <c r="C130" i="7" a="1"/>
  <c r="B144" i="7" a="1"/>
  <c r="B133" i="7" a="1"/>
  <c r="B149" i="7" a="1"/>
  <c r="B162" i="7" a="1"/>
  <c r="B179" i="7" a="1"/>
  <c r="C150" i="7" a="1"/>
  <c r="C202" i="7" a="1"/>
  <c r="C178" i="7" a="1"/>
  <c r="B242" i="7" a="1"/>
  <c r="C223" i="7" a="1"/>
  <c r="B171" i="7" a="1"/>
  <c r="C136" i="7" a="1"/>
  <c r="B157" i="7" a="1"/>
  <c r="B206" i="7" a="1"/>
  <c r="B207" i="7" a="1"/>
  <c r="C209" i="7" a="1"/>
  <c r="B229" i="7" a="1"/>
  <c r="B166" i="7" a="1"/>
  <c r="C248" i="7" a="1"/>
  <c r="C187" i="7" a="1"/>
  <c r="C186" i="7" a="1"/>
  <c r="B145" i="7" a="1"/>
  <c r="B159" i="7" a="1"/>
  <c r="C229" i="7" a="1"/>
  <c r="B151" i="7" a="1"/>
  <c r="B158" i="7" a="1"/>
  <c r="C235" i="7" a="1"/>
  <c r="B132" i="7" a="1"/>
  <c r="C194" i="7" a="1"/>
  <c r="C234" i="7" a="1"/>
  <c r="B178" i="7" a="1"/>
  <c r="C246" i="7" a="1"/>
  <c r="B131" i="7" a="1"/>
  <c r="B196" i="7" a="1"/>
  <c r="B134" i="7" a="1"/>
  <c r="C219" i="7" a="1"/>
  <c r="C208" i="7" a="1"/>
  <c r="B177" i="7" a="1"/>
  <c r="C196" i="7" a="1"/>
  <c r="B234" i="7" a="1"/>
  <c r="C203" i="7" a="1"/>
  <c r="C137" i="7" a="1"/>
  <c r="C183" i="7" a="1"/>
  <c r="C177" i="7" a="1"/>
  <c r="C184" i="7" a="1"/>
  <c r="C135" i="7" a="1"/>
  <c r="B181" i="7" a="1"/>
  <c r="C231" i="7" a="1"/>
  <c r="C174" i="7" a="1"/>
  <c r="B211" i="7" a="1"/>
  <c r="B230" i="7" a="1"/>
  <c r="C221" i="7" a="1"/>
  <c r="B174" i="7" a="1"/>
  <c r="B146" i="7" a="1"/>
  <c r="B241" i="7" a="1"/>
  <c r="B223" i="7" a="1"/>
  <c r="C165" i="7" a="1"/>
  <c r="B244" i="7" a="1"/>
  <c r="C193" i="7" a="1"/>
  <c r="B150" i="7" a="1"/>
  <c r="B208" i="7" a="1"/>
  <c r="C216" i="7" a="1"/>
  <c r="B247" i="7" a="1"/>
  <c r="B140" i="7" a="1"/>
  <c r="B200" i="7" a="1"/>
  <c r="C146" i="7" a="1"/>
  <c r="B231" i="7" a="1"/>
  <c r="C139" i="7" a="1"/>
  <c r="C148" i="7" a="1"/>
  <c r="C232" i="7" a="1"/>
  <c r="C160" i="7" a="1"/>
  <c r="B204" i="7" a="1"/>
  <c r="C185" i="7" a="1"/>
  <c r="C217" i="7" a="1"/>
  <c r="C144" i="7" a="1"/>
  <c r="B243" i="7" a="1"/>
  <c r="C155" i="7" a="1"/>
  <c r="C179" i="7" a="1"/>
  <c r="B248" i="7" a="1"/>
  <c r="C147" i="7" a="1"/>
  <c r="C233" i="7" a="1"/>
  <c r="C192" i="7" a="1"/>
  <c r="B212" i="7" a="1"/>
  <c r="B210" i="7" a="1"/>
  <c r="B189" i="7" a="1"/>
  <c r="B137" i="7" a="1"/>
  <c r="C153" i="7" a="1"/>
  <c r="B141" i="7" a="1"/>
  <c r="C156" i="7" a="1"/>
  <c r="C149" i="7" a="1"/>
  <c r="C141" i="7" a="1"/>
  <c r="B167" i="7" a="1"/>
  <c r="C182" i="7" a="1"/>
  <c r="B222" i="7" a="1"/>
  <c r="B198" i="7" a="1"/>
  <c r="B202" i="7" a="1"/>
  <c r="B182" i="7" a="1"/>
  <c r="C168" i="7" a="1"/>
  <c r="C181" i="7" a="1"/>
  <c r="C163" i="7" a="1"/>
  <c r="B199" i="7" a="1"/>
  <c r="B165" i="7" a="1"/>
  <c r="C218" i="7" a="1"/>
  <c r="C172" i="7" a="1"/>
  <c r="C164" i="7" a="1"/>
  <c r="B192" i="7" a="1"/>
  <c r="C237" i="7" a="1"/>
  <c r="B180" i="7" a="1"/>
  <c r="B232" i="7" a="1"/>
  <c r="B169" i="7" a="1"/>
  <c r="C145" i="7" a="1"/>
  <c r="B163" i="7" a="1"/>
  <c r="C176" i="7" a="1"/>
  <c r="B203" i="7" a="1"/>
  <c r="B152" i="7" a="1"/>
  <c r="B143" i="7" a="1"/>
  <c r="H83" i="7" a="1"/>
  <c r="H35" i="7" a="1"/>
  <c r="H59" i="7" a="1"/>
  <c r="H107" i="7" a="1"/>
  <c r="H31" i="7" a="1"/>
  <c r="H21" i="7" a="1"/>
  <c r="H109" i="7" a="1"/>
  <c r="H60" i="7" a="1"/>
  <c r="H24" i="7" a="1"/>
  <c r="H93" i="7" a="1"/>
  <c r="H46" i="7" a="1"/>
  <c r="H121" i="7" a="1"/>
  <c r="H110" i="7" a="1"/>
  <c r="H70" i="7" a="1"/>
  <c r="H124" i="7" a="1"/>
  <c r="H73" i="7" a="1"/>
  <c r="H84" i="7" a="1"/>
  <c r="H89" i="7" a="1"/>
  <c r="H17" i="7" a="1"/>
  <c r="H48" i="7" a="1"/>
  <c r="H41" i="7" a="1"/>
  <c r="H22" i="7" a="1"/>
  <c r="H67" i="7" a="1"/>
  <c r="H105" i="7" a="1"/>
  <c r="H50" i="7" a="1"/>
  <c r="H19" i="7" a="1"/>
  <c r="H29" i="7" a="1"/>
  <c r="H122" i="7" a="1"/>
  <c r="H20" i="7" a="1"/>
  <c r="H104" i="7" a="1"/>
  <c r="H55" i="7" a="1"/>
  <c r="H28" i="7" a="1"/>
  <c r="H101" i="7" a="1"/>
  <c r="H86" i="7" a="1"/>
  <c r="H94" i="7" a="1"/>
  <c r="H113" i="7" a="1"/>
  <c r="H54" i="7" a="1"/>
  <c r="H18" i="7" a="1"/>
  <c r="H26" i="7" a="1"/>
  <c r="H49" i="7" a="1"/>
  <c r="H38" i="7" a="1"/>
  <c r="H116" i="7" a="1"/>
  <c r="H66" i="7" a="1"/>
  <c r="H126" i="7" a="1"/>
  <c r="H114" i="7" a="1"/>
  <c r="H74" i="7" a="1"/>
  <c r="H45" i="7" a="1"/>
  <c r="H99" i="7" a="1"/>
  <c r="H115" i="7" a="1"/>
  <c r="H96" i="7" a="1"/>
  <c r="H108" i="7" a="1"/>
  <c r="H51" i="7" a="1"/>
  <c r="H68" i="7" a="1"/>
  <c r="H62" i="7" a="1"/>
  <c r="H127" i="7" a="1"/>
  <c r="H81" i="7" a="1"/>
  <c r="H56" i="7" a="1"/>
  <c r="H36" i="7" a="1"/>
  <c r="H71" i="7" a="1"/>
  <c r="H111" i="7" a="1"/>
  <c r="H80" i="7" a="1"/>
  <c r="H25" i="7" a="1"/>
  <c r="H30" i="7" a="1"/>
  <c r="H97" i="7" a="1"/>
  <c r="H63" i="7" a="1"/>
  <c r="H23" i="7" a="1"/>
  <c r="H32" i="7" a="1"/>
  <c r="H79" i="7" a="1"/>
  <c r="H65" i="7" a="1"/>
  <c r="H90" i="7" a="1"/>
  <c r="H43" i="7" a="1"/>
  <c r="H52" i="7" a="1"/>
  <c r="H64" i="7" a="1"/>
  <c r="H118" i="7" a="1"/>
  <c r="H123" i="7" a="1"/>
  <c r="H102" i="7" a="1"/>
  <c r="H85" i="7" a="1"/>
  <c r="H75" i="7" a="1"/>
  <c r="H88" i="7" a="1"/>
  <c r="H119" i="7" a="1"/>
  <c r="H42" i="7" a="1"/>
  <c r="H92" i="7" a="1"/>
  <c r="H128" i="7" a="1"/>
  <c r="H76" i="7" a="1"/>
  <c r="H87" i="7" a="1"/>
  <c r="H27" i="7" a="1"/>
  <c r="H57" i="7" a="1"/>
  <c r="H98" i="7" a="1"/>
  <c r="H77" i="7" a="1"/>
  <c r="H47" i="7" a="1"/>
  <c r="H61" i="7" a="1"/>
  <c r="H69" i="7" a="1"/>
  <c r="H37" i="7" a="1"/>
  <c r="H40" i="7" a="1"/>
  <c r="H95" i="7" a="1"/>
  <c r="H112" i="7" a="1"/>
  <c r="H120" i="7" a="1"/>
  <c r="H72" i="7" a="1"/>
  <c r="H53" i="7" a="1"/>
  <c r="H125" i="7" a="1"/>
  <c r="H33" i="7" a="1"/>
  <c r="H44" i="7" a="1"/>
  <c r="H78" i="7" a="1"/>
  <c r="H129" i="7" a="1"/>
  <c r="H117" i="7" a="1"/>
  <c r="H91" i="7" a="1"/>
  <c r="H39" i="7" a="1"/>
  <c r="H100" i="7" a="1"/>
  <c r="H103" i="7" a="1"/>
  <c r="H97" i="7" l="1"/>
  <c r="F79" i="7"/>
  <c r="B226" i="7"/>
  <c r="H40" i="7"/>
  <c r="H127" i="7"/>
  <c r="G194" i="7"/>
  <c r="C225" i="7"/>
  <c r="G122" i="7"/>
  <c r="G225" i="7"/>
  <c r="C114" i="7"/>
  <c r="H87" i="7"/>
  <c r="F63" i="7"/>
  <c r="G41" i="7"/>
  <c r="D71" i="7"/>
  <c r="I20" i="7"/>
  <c r="B189" i="7"/>
  <c r="D46" i="7"/>
  <c r="B120" i="7"/>
  <c r="C218" i="7"/>
  <c r="D95" i="7"/>
  <c r="C147" i="7"/>
  <c r="F33" i="7"/>
  <c r="E85" i="7"/>
  <c r="G40" i="7"/>
  <c r="E101" i="7"/>
  <c r="C172" i="7"/>
  <c r="H122" i="7"/>
  <c r="C117" i="7"/>
  <c r="H31" i="7"/>
  <c r="C32" i="7"/>
  <c r="D65" i="7"/>
  <c r="D66" i="7"/>
  <c r="D115" i="7"/>
  <c r="D110" i="7"/>
  <c r="I58" i="7"/>
  <c r="E64" i="7"/>
  <c r="I62" i="7"/>
  <c r="F28" i="7"/>
  <c r="I18" i="7"/>
  <c r="B84" i="7"/>
  <c r="G76" i="7"/>
  <c r="E114" i="7"/>
  <c r="E72" i="7"/>
  <c r="E75" i="7"/>
  <c r="B164" i="7"/>
  <c r="D106" i="7"/>
  <c r="C39" i="7"/>
  <c r="G196" i="7"/>
  <c r="H109" i="7"/>
  <c r="G258" i="7"/>
  <c r="C79" i="7"/>
  <c r="E54" i="7"/>
  <c r="B53" i="7"/>
  <c r="D123" i="7"/>
  <c r="C204" i="7"/>
  <c r="E87" i="7"/>
  <c r="I85" i="7"/>
  <c r="G178" i="7"/>
  <c r="C77" i="7"/>
  <c r="G48" i="7"/>
  <c r="I45" i="7"/>
  <c r="G260" i="7"/>
  <c r="G167" i="7"/>
  <c r="B121" i="7"/>
  <c r="G276" i="7"/>
  <c r="F102" i="7"/>
  <c r="D57" i="7"/>
  <c r="E90" i="7"/>
  <c r="H20" i="7"/>
  <c r="G125" i="7"/>
  <c r="C209" i="7"/>
  <c r="G53" i="7"/>
  <c r="H105" i="7"/>
  <c r="C159" i="7"/>
  <c r="I15" i="7"/>
  <c r="D31" i="7"/>
  <c r="G149" i="7"/>
  <c r="C86" i="7"/>
  <c r="E66" i="7"/>
  <c r="C76" i="7"/>
  <c r="G5" i="7"/>
  <c r="G113" i="7"/>
  <c r="B141" i="7"/>
  <c r="H104" i="7"/>
  <c r="H33" i="7"/>
  <c r="B30" i="7"/>
  <c r="H103" i="7"/>
  <c r="D42" i="7"/>
  <c r="I95" i="7"/>
  <c r="D90" i="7"/>
  <c r="G251" i="7"/>
  <c r="C190" i="7"/>
  <c r="I52" i="7"/>
  <c r="E76" i="7"/>
  <c r="I89" i="7"/>
  <c r="C168" i="7"/>
  <c r="B146" i="7"/>
  <c r="F108" i="7"/>
  <c r="C43" i="7"/>
  <c r="I22" i="7"/>
  <c r="I72" i="7"/>
  <c r="F62" i="7"/>
  <c r="H24" i="7"/>
  <c r="F27" i="7"/>
  <c r="H23" i="7"/>
  <c r="G67" i="7"/>
  <c r="I13" i="7"/>
  <c r="G54" i="7"/>
  <c r="G147" i="7"/>
  <c r="H69" i="7"/>
  <c r="B68" i="7"/>
  <c r="G212" i="7"/>
  <c r="B243" i="7"/>
  <c r="B39" i="7"/>
  <c r="C80" i="7"/>
  <c r="D25" i="7"/>
  <c r="B90" i="7"/>
  <c r="G56" i="7"/>
  <c r="B228" i="7"/>
  <c r="B155" i="7"/>
  <c r="E38" i="7"/>
  <c r="B200" i="7"/>
  <c r="D70" i="7"/>
  <c r="F47" i="7"/>
  <c r="F113" i="7"/>
  <c r="C35" i="7"/>
  <c r="C68" i="7"/>
  <c r="D62" i="7"/>
  <c r="H42" i="7"/>
  <c r="I14" i="7"/>
  <c r="H111" i="7"/>
  <c r="G27" i="7"/>
  <c r="G182" i="7"/>
  <c r="G29" i="7"/>
  <c r="H116" i="7"/>
  <c r="G37" i="7"/>
  <c r="D112" i="7"/>
  <c r="I12" i="7"/>
  <c r="I19" i="7"/>
  <c r="B144" i="7"/>
  <c r="I108" i="7"/>
  <c r="D79" i="7"/>
  <c r="C38" i="7"/>
  <c r="E50" i="7"/>
  <c r="G95" i="7"/>
  <c r="G44" i="7"/>
  <c r="H101" i="7"/>
  <c r="C189" i="7"/>
  <c r="I57" i="7"/>
  <c r="F40" i="7"/>
  <c r="G42" i="7"/>
  <c r="C36" i="7"/>
  <c r="G246" i="7"/>
  <c r="G98" i="7"/>
  <c r="C71" i="7"/>
  <c r="B145" i="7"/>
  <c r="B75" i="7"/>
  <c r="G235" i="7"/>
  <c r="C132" i="7"/>
  <c r="G154" i="7"/>
  <c r="D59" i="7"/>
  <c r="E106" i="7"/>
  <c r="C142" i="7"/>
  <c r="B208" i="7"/>
  <c r="E61" i="7"/>
  <c r="F80" i="7"/>
  <c r="G110" i="7"/>
  <c r="I30" i="7"/>
  <c r="C123" i="7"/>
  <c r="C104" i="7"/>
  <c r="I124" i="7"/>
  <c r="B124" i="7"/>
  <c r="I35" i="7"/>
  <c r="E79" i="7"/>
  <c r="B31" i="7"/>
  <c r="C178" i="7"/>
  <c r="I119" i="7"/>
  <c r="C134" i="7"/>
  <c r="G47" i="7"/>
  <c r="D108" i="7"/>
  <c r="F50" i="7"/>
  <c r="D99" i="7"/>
  <c r="F109" i="7"/>
  <c r="D84" i="7"/>
  <c r="C73" i="7"/>
  <c r="C102" i="7"/>
  <c r="H94" i="7"/>
  <c r="G231" i="7"/>
  <c r="G274" i="7"/>
  <c r="F58" i="7"/>
  <c r="G24" i="7"/>
  <c r="B74" i="7"/>
  <c r="F30" i="7"/>
  <c r="C29" i="7"/>
  <c r="C167" i="7"/>
  <c r="E58" i="7"/>
  <c r="C141" i="7"/>
  <c r="C186" i="7"/>
  <c r="C148" i="7"/>
  <c r="G252" i="7"/>
  <c r="C47" i="7"/>
  <c r="B132" i="7"/>
  <c r="H45" i="7"/>
  <c r="B126" i="7"/>
  <c r="C230" i="7"/>
  <c r="G142" i="7"/>
  <c r="B29" i="7"/>
  <c r="B162" i="7"/>
  <c r="D43" i="7"/>
  <c r="H21" i="7"/>
  <c r="C22" i="7"/>
  <c r="F19" i="7"/>
  <c r="E126" i="7"/>
  <c r="I65" i="7"/>
  <c r="I75" i="7"/>
  <c r="G132" i="7"/>
  <c r="I38" i="7"/>
  <c r="B161" i="7"/>
  <c r="I16" i="7"/>
  <c r="B222" i="7"/>
  <c r="G216" i="7"/>
  <c r="F51" i="7"/>
  <c r="I41" i="7"/>
  <c r="G174" i="7"/>
  <c r="I88" i="7"/>
  <c r="F82" i="7"/>
  <c r="C241" i="7"/>
  <c r="C232" i="7"/>
  <c r="D64" i="7"/>
  <c r="E59" i="7"/>
  <c r="B87" i="7"/>
  <c r="I111" i="7"/>
  <c r="F25" i="7"/>
  <c r="H74" i="7"/>
  <c r="F114" i="7"/>
  <c r="G238" i="7"/>
  <c r="C31" i="7"/>
  <c r="B249" i="7"/>
  <c r="G247" i="7"/>
  <c r="B227" i="7"/>
  <c r="G118" i="7"/>
  <c r="F100" i="7"/>
  <c r="F52" i="7"/>
  <c r="D32" i="7"/>
  <c r="F39" i="7"/>
  <c r="B35" i="7"/>
  <c r="B94" i="7"/>
  <c r="C49" i="7"/>
  <c r="G82" i="7"/>
  <c r="G21" i="7"/>
  <c r="C215" i="7"/>
  <c r="F120" i="7"/>
  <c r="H86" i="7"/>
  <c r="G136" i="7"/>
  <c r="C192" i="7"/>
  <c r="C144" i="7"/>
  <c r="E65" i="7"/>
  <c r="C171" i="7"/>
  <c r="D29" i="7"/>
  <c r="C129" i="7"/>
  <c r="C70" i="7"/>
  <c r="H67" i="7"/>
  <c r="D111" i="7"/>
  <c r="D67" i="7"/>
  <c r="I60" i="7"/>
  <c r="B179" i="7"/>
  <c r="B143" i="7"/>
  <c r="F68" i="7"/>
  <c r="G119" i="7"/>
  <c r="E39" i="7"/>
  <c r="I126" i="7"/>
  <c r="B135" i="7"/>
  <c r="F112" i="7"/>
  <c r="H114" i="7"/>
  <c r="C188" i="7"/>
  <c r="B70" i="7"/>
  <c r="G30" i="7"/>
  <c r="G88" i="7"/>
  <c r="C203" i="7"/>
  <c r="H44" i="7"/>
  <c r="F77" i="7"/>
  <c r="B62" i="7"/>
  <c r="G295" i="7"/>
  <c r="G236" i="7"/>
  <c r="G158" i="7"/>
  <c r="B44" i="7"/>
  <c r="F75" i="7"/>
  <c r="G103" i="7"/>
  <c r="E36" i="7"/>
  <c r="B107" i="7"/>
  <c r="G91" i="7"/>
  <c r="F86" i="7"/>
  <c r="B51" i="7"/>
  <c r="B209" i="7"/>
  <c r="F84" i="7"/>
  <c r="D103" i="7"/>
  <c r="B72" i="7"/>
  <c r="E128" i="7"/>
  <c r="B113" i="7"/>
  <c r="D17" i="7"/>
  <c r="C96" i="7"/>
  <c r="C54" i="7"/>
  <c r="B20" i="7"/>
  <c r="B123" i="7"/>
  <c r="C91" i="7"/>
  <c r="I21" i="7"/>
  <c r="H77" i="7"/>
  <c r="D93" i="7"/>
  <c r="B207" i="7"/>
  <c r="B83" i="7"/>
  <c r="C56" i="7"/>
  <c r="H63" i="7"/>
  <c r="E116" i="7"/>
  <c r="F46" i="7"/>
  <c r="E99" i="7"/>
  <c r="E56" i="7"/>
  <c r="C196" i="7"/>
  <c r="G35" i="7"/>
  <c r="H71" i="7"/>
  <c r="H58" i="7"/>
  <c r="D68" i="7"/>
  <c r="B151" i="7"/>
  <c r="B112" i="7"/>
  <c r="G25" i="7"/>
  <c r="C69" i="7"/>
  <c r="F54" i="7"/>
  <c r="I87" i="7"/>
  <c r="G176" i="7"/>
  <c r="C94" i="7"/>
  <c r="G218" i="7"/>
  <c r="C164" i="7"/>
  <c r="C136" i="7"/>
  <c r="H70" i="7"/>
  <c r="B171" i="7"/>
  <c r="D36" i="7"/>
  <c r="G277" i="7"/>
  <c r="I56" i="7"/>
  <c r="G121" i="7"/>
  <c r="G285" i="7"/>
  <c r="C169" i="7"/>
  <c r="C206" i="7"/>
  <c r="C57" i="7"/>
  <c r="G153" i="7"/>
  <c r="D12" i="7"/>
  <c r="E108" i="7"/>
  <c r="F70" i="7"/>
  <c r="E37" i="7"/>
  <c r="C109" i="7"/>
  <c r="I44" i="7"/>
  <c r="B65" i="7"/>
  <c r="G275" i="7"/>
  <c r="G81" i="7"/>
  <c r="H112" i="7"/>
  <c r="F44" i="7"/>
  <c r="G150" i="7"/>
  <c r="G85" i="7"/>
  <c r="C41" i="7"/>
  <c r="E107" i="7"/>
  <c r="G265" i="7"/>
  <c r="G279" i="7"/>
  <c r="H98" i="7"/>
  <c r="C30" i="7"/>
  <c r="B176" i="7"/>
  <c r="B159" i="7"/>
  <c r="G220" i="7"/>
  <c r="G32" i="7"/>
  <c r="I125" i="7"/>
  <c r="F127" i="7"/>
  <c r="I55" i="7"/>
  <c r="I116" i="7"/>
  <c r="H66" i="7"/>
  <c r="G290" i="7"/>
  <c r="C101" i="7"/>
  <c r="F56" i="7"/>
  <c r="E115" i="7"/>
  <c r="H96" i="7"/>
  <c r="C237" i="7"/>
  <c r="H36" i="7"/>
  <c r="G77" i="7"/>
  <c r="B131" i="7"/>
  <c r="G172" i="7"/>
  <c r="G111" i="7"/>
  <c r="H92" i="7"/>
  <c r="D38" i="7"/>
  <c r="D117" i="7"/>
  <c r="B224" i="7"/>
  <c r="D101" i="7"/>
  <c r="B97" i="7"/>
  <c r="B54" i="7"/>
  <c r="G242" i="7"/>
  <c r="G256" i="7"/>
  <c r="B156" i="7"/>
  <c r="C62" i="7"/>
  <c r="C248" i="7"/>
  <c r="E60" i="7"/>
  <c r="H110" i="7"/>
  <c r="E43" i="7"/>
  <c r="C111" i="7"/>
  <c r="H22" i="7"/>
  <c r="E102" i="7"/>
  <c r="E47" i="7"/>
  <c r="D18" i="7"/>
  <c r="B25" i="7"/>
  <c r="G199" i="7"/>
  <c r="F118" i="7"/>
  <c r="E80" i="7"/>
  <c r="B237" i="7"/>
  <c r="B234" i="7"/>
  <c r="D56" i="7"/>
  <c r="B119" i="7"/>
  <c r="G163" i="7"/>
  <c r="E22" i="7"/>
  <c r="C130" i="7"/>
  <c r="C42" i="7"/>
  <c r="I82" i="7"/>
  <c r="C217" i="7"/>
  <c r="E93" i="7"/>
  <c r="G234" i="7"/>
  <c r="B85" i="7"/>
  <c r="F22" i="7"/>
  <c r="B211" i="7"/>
  <c r="C98" i="7"/>
  <c r="C60" i="7"/>
  <c r="F98" i="7"/>
  <c r="D94" i="7"/>
  <c r="D82" i="7"/>
  <c r="G202" i="7"/>
  <c r="I70" i="7"/>
  <c r="B82" i="7"/>
  <c r="C166" i="7"/>
  <c r="D129" i="7"/>
  <c r="G239" i="7"/>
  <c r="B184" i="7"/>
  <c r="B206" i="7"/>
  <c r="F88" i="7"/>
  <c r="G72" i="7"/>
  <c r="G162" i="7"/>
  <c r="F119" i="7"/>
  <c r="E92" i="7"/>
  <c r="G209" i="7"/>
  <c r="B52" i="7"/>
  <c r="C131" i="7"/>
  <c r="E69" i="7"/>
  <c r="I24" i="7"/>
  <c r="E88" i="7"/>
  <c r="B63" i="7"/>
  <c r="G4" i="7"/>
  <c r="E29" i="7"/>
  <c r="B57" i="7"/>
  <c r="F101" i="7"/>
  <c r="C115" i="7"/>
  <c r="E51" i="7"/>
  <c r="H53" i="7"/>
  <c r="C181" i="7"/>
  <c r="C48" i="7"/>
  <c r="G74" i="7"/>
  <c r="H99" i="7"/>
  <c r="I36" i="7"/>
  <c r="B236" i="7"/>
  <c r="I86" i="7"/>
  <c r="E89" i="7"/>
  <c r="G66" i="7"/>
  <c r="E127" i="7"/>
  <c r="G232" i="7"/>
  <c r="F107" i="7"/>
  <c r="I120" i="7"/>
  <c r="B80" i="7"/>
  <c r="G6" i="7"/>
  <c r="D40" i="7"/>
  <c r="E31" i="7"/>
  <c r="C65" i="7"/>
  <c r="B91" i="7"/>
  <c r="D55" i="7"/>
  <c r="I11" i="7"/>
  <c r="C135" i="7"/>
  <c r="H84" i="7"/>
  <c r="G188" i="7"/>
  <c r="G300" i="7"/>
  <c r="G86" i="7"/>
  <c r="I94" i="7"/>
  <c r="B130" i="7"/>
  <c r="G228" i="7"/>
  <c r="E71" i="7"/>
  <c r="B61" i="7"/>
  <c r="C174" i="7"/>
  <c r="G267" i="7"/>
  <c r="E28" i="7"/>
  <c r="F71" i="7"/>
  <c r="G240" i="7"/>
  <c r="I59" i="7"/>
  <c r="B117" i="7"/>
  <c r="B93" i="7"/>
  <c r="G151" i="7"/>
  <c r="G296" i="7"/>
  <c r="F69" i="7"/>
  <c r="I107" i="7"/>
  <c r="D75" i="7"/>
  <c r="C119" i="7"/>
  <c r="F37" i="7"/>
  <c r="B232" i="7"/>
  <c r="B213" i="7"/>
  <c r="I71" i="7"/>
  <c r="I49" i="7"/>
  <c r="I76" i="7"/>
  <c r="F111" i="7"/>
  <c r="B42" i="7"/>
  <c r="B241" i="7"/>
  <c r="I115" i="7"/>
  <c r="G254" i="7"/>
  <c r="F95" i="7"/>
  <c r="B235" i="7"/>
  <c r="B32" i="7"/>
  <c r="G183" i="7"/>
  <c r="E35" i="7"/>
  <c r="D76" i="7"/>
  <c r="C161" i="7"/>
  <c r="G280" i="7"/>
  <c r="B142" i="7"/>
  <c r="D53" i="7"/>
  <c r="G185" i="7"/>
  <c r="G171" i="7"/>
  <c r="C81" i="7"/>
  <c r="B55" i="7"/>
  <c r="B165" i="7"/>
  <c r="E91" i="7"/>
  <c r="F126" i="7"/>
  <c r="F91" i="7"/>
  <c r="G2" i="7"/>
  <c r="E26" i="7"/>
  <c r="D30" i="7"/>
  <c r="E113" i="7"/>
  <c r="G257" i="7"/>
  <c r="B201" i="7"/>
  <c r="E125" i="7"/>
  <c r="F121" i="7"/>
  <c r="I103" i="7"/>
  <c r="B194" i="7"/>
  <c r="G270" i="7"/>
  <c r="G115" i="7"/>
  <c r="F115" i="7"/>
  <c r="C177" i="7"/>
  <c r="I48" i="7"/>
  <c r="H47" i="7"/>
  <c r="G159" i="7"/>
  <c r="F21" i="7"/>
  <c r="H123" i="7"/>
  <c r="G130" i="7"/>
  <c r="D33" i="7"/>
  <c r="B104" i="7"/>
  <c r="F64" i="7"/>
  <c r="I29" i="7"/>
  <c r="G55" i="7"/>
  <c r="D113" i="7"/>
  <c r="H34" i="7"/>
  <c r="B106" i="7"/>
  <c r="I46" i="7"/>
  <c r="F124" i="7"/>
  <c r="B47" i="7"/>
  <c r="C103" i="7"/>
  <c r="E42" i="7"/>
  <c r="B170" i="7"/>
  <c r="E73" i="7"/>
  <c r="B59" i="7"/>
  <c r="B223" i="7"/>
  <c r="B218" i="7"/>
  <c r="B183" i="7"/>
  <c r="C200" i="7"/>
  <c r="G292" i="7"/>
  <c r="I73" i="7"/>
  <c r="H125" i="7"/>
  <c r="E109" i="7"/>
  <c r="G164" i="7"/>
  <c r="C143" i="7"/>
  <c r="G22" i="7"/>
  <c r="I78" i="7"/>
  <c r="H85" i="7"/>
  <c r="B23" i="7"/>
  <c r="B173" i="7"/>
  <c r="G46" i="7"/>
  <c r="H79" i="7"/>
  <c r="C227" i="7"/>
  <c r="H73" i="7"/>
  <c r="E33" i="7"/>
  <c r="D51" i="7"/>
  <c r="F31" i="7"/>
  <c r="G108" i="7"/>
  <c r="I97" i="7"/>
  <c r="B108" i="7"/>
  <c r="G45" i="7"/>
  <c r="G272" i="7"/>
  <c r="G131" i="7"/>
  <c r="H129" i="7"/>
  <c r="G78" i="7"/>
  <c r="B45" i="7"/>
  <c r="F24" i="7"/>
  <c r="I63" i="7"/>
  <c r="C87" i="7"/>
  <c r="C151" i="7"/>
  <c r="I96" i="7"/>
  <c r="D80" i="7"/>
  <c r="D52" i="7"/>
  <c r="G3" i="7"/>
  <c r="E83" i="7"/>
  <c r="E70" i="7"/>
  <c r="H50" i="7"/>
  <c r="I118" i="7"/>
  <c r="C182" i="7"/>
  <c r="G294" i="7"/>
  <c r="B220" i="7"/>
  <c r="B122" i="7"/>
  <c r="C191" i="7"/>
  <c r="H55" i="7"/>
  <c r="D121" i="7"/>
  <c r="I100" i="7"/>
  <c r="C74" i="7"/>
  <c r="D100" i="7"/>
  <c r="B37" i="7"/>
  <c r="E111" i="7"/>
  <c r="I102" i="7"/>
  <c r="E48" i="7"/>
  <c r="B231" i="7"/>
  <c r="B38" i="7"/>
  <c r="B46" i="7"/>
  <c r="B169" i="7"/>
  <c r="E68" i="7"/>
  <c r="I33" i="7"/>
  <c r="B40" i="7"/>
  <c r="E119" i="7"/>
  <c r="G63" i="7"/>
  <c r="B28" i="7"/>
  <c r="G58" i="7"/>
  <c r="E86" i="7"/>
  <c r="E41" i="7"/>
  <c r="G61" i="7"/>
  <c r="B191" i="7"/>
  <c r="C170" i="7"/>
  <c r="G166" i="7"/>
  <c r="G33" i="7"/>
  <c r="B210" i="7"/>
  <c r="G169" i="7"/>
  <c r="F59" i="7"/>
  <c r="G60" i="7"/>
  <c r="F129" i="7"/>
  <c r="G109" i="7"/>
  <c r="G245" i="7"/>
  <c r="I34" i="7"/>
  <c r="F103" i="7"/>
  <c r="H80" i="7"/>
  <c r="E84" i="7"/>
  <c r="I81" i="7"/>
  <c r="G68" i="7"/>
  <c r="B48" i="7"/>
  <c r="C126" i="7"/>
  <c r="G180" i="7"/>
  <c r="B196" i="7"/>
  <c r="B160" i="7"/>
  <c r="D26" i="7"/>
  <c r="E95" i="7"/>
  <c r="C138" i="7"/>
  <c r="G268" i="7"/>
  <c r="I122" i="7"/>
  <c r="G186" i="7"/>
  <c r="G226" i="7"/>
  <c r="I53" i="7"/>
  <c r="C120" i="7"/>
  <c r="H65" i="7"/>
  <c r="D54" i="7"/>
  <c r="G250" i="7"/>
  <c r="F20" i="7"/>
  <c r="B186" i="7"/>
  <c r="C139" i="7"/>
  <c r="F81" i="7"/>
  <c r="H121" i="7"/>
  <c r="D105" i="7"/>
  <c r="B77" i="7"/>
  <c r="B100" i="7"/>
  <c r="B244" i="7"/>
  <c r="I27" i="7"/>
  <c r="C52" i="7"/>
  <c r="E74" i="7"/>
  <c r="B89" i="7"/>
  <c r="D22" i="7"/>
  <c r="C113" i="7"/>
  <c r="I28" i="7"/>
  <c r="B64" i="7"/>
  <c r="B76" i="7"/>
  <c r="C108" i="7"/>
  <c r="I69" i="7"/>
  <c r="H108" i="7"/>
  <c r="I42" i="7"/>
  <c r="G51" i="7"/>
  <c r="C162" i="7"/>
  <c r="C83" i="7"/>
  <c r="D24" i="7"/>
  <c r="I104" i="7"/>
  <c r="D91" i="7"/>
  <c r="H89" i="7"/>
  <c r="E105" i="7"/>
  <c r="G100" i="7"/>
  <c r="D81" i="7"/>
  <c r="E82" i="7"/>
  <c r="D72" i="7"/>
  <c r="F122" i="7"/>
  <c r="B118" i="7"/>
  <c r="H76" i="7"/>
  <c r="C72" i="7"/>
  <c r="B67" i="7"/>
  <c r="H54" i="7"/>
  <c r="C92" i="7"/>
  <c r="G168" i="7"/>
  <c r="F128" i="7"/>
  <c r="C153" i="7"/>
  <c r="H60" i="7"/>
  <c r="G261" i="7"/>
  <c r="C211" i="7"/>
  <c r="C51" i="7"/>
  <c r="B88" i="7"/>
  <c r="G223" i="7"/>
  <c r="B102" i="7"/>
  <c r="B66" i="7"/>
  <c r="C23" i="7"/>
  <c r="G152" i="7"/>
  <c r="B138" i="7"/>
  <c r="H19" i="7"/>
  <c r="D122" i="7"/>
  <c r="D126" i="7"/>
  <c r="G284" i="7"/>
  <c r="H51" i="7"/>
  <c r="E118" i="7"/>
  <c r="D60" i="7"/>
  <c r="F35" i="7"/>
  <c r="G65" i="7"/>
  <c r="B22" i="7"/>
  <c r="C156" i="7"/>
  <c r="E32" i="7"/>
  <c r="G106" i="7"/>
  <c r="H17" i="7"/>
  <c r="F38" i="7"/>
  <c r="G123" i="7"/>
  <c r="I32" i="7"/>
  <c r="C90" i="7"/>
  <c r="D127" i="7"/>
  <c r="B105" i="7"/>
  <c r="C67" i="7"/>
  <c r="E81" i="7"/>
  <c r="C88" i="7"/>
  <c r="F17" i="7"/>
  <c r="F83" i="7"/>
  <c r="B92" i="7"/>
  <c r="G215" i="7"/>
  <c r="D92" i="7"/>
  <c r="B163" i="7"/>
  <c r="F94" i="7"/>
  <c r="B78" i="7"/>
  <c r="E57" i="7"/>
  <c r="G181" i="7"/>
  <c r="G144" i="7"/>
  <c r="C155" i="7"/>
  <c r="G165" i="7"/>
  <c r="F74" i="7"/>
  <c r="C127" i="7"/>
  <c r="G208" i="7"/>
  <c r="C235" i="7"/>
  <c r="H32" i="7"/>
  <c r="B24" i="7"/>
  <c r="G201" i="7"/>
  <c r="D109" i="7"/>
  <c r="I93" i="7"/>
  <c r="B128" i="7"/>
  <c r="G92" i="7"/>
  <c r="D69" i="7"/>
  <c r="I110" i="7"/>
  <c r="C112" i="7"/>
  <c r="B202" i="7"/>
  <c r="B153" i="7"/>
  <c r="G143" i="7"/>
  <c r="E40" i="7"/>
  <c r="C55" i="7"/>
  <c r="I117" i="7"/>
  <c r="D41" i="7"/>
  <c r="C59" i="7"/>
  <c r="B111" i="7"/>
  <c r="G177" i="7"/>
  <c r="E104" i="7"/>
  <c r="H90" i="7"/>
  <c r="G189" i="7"/>
  <c r="H61" i="7"/>
  <c r="B216" i="7"/>
  <c r="G39" i="7"/>
  <c r="E63" i="7"/>
  <c r="G69" i="7"/>
  <c r="C75" i="7"/>
  <c r="C223" i="7"/>
  <c r="I91" i="7"/>
  <c r="F26" i="7"/>
  <c r="G233" i="7"/>
  <c r="G49" i="7"/>
  <c r="B147" i="7"/>
  <c r="I25" i="7"/>
  <c r="H126" i="7"/>
  <c r="C121" i="7"/>
  <c r="B181" i="7"/>
  <c r="G200" i="7"/>
  <c r="H29" i="7"/>
  <c r="B180" i="7"/>
  <c r="E112" i="7"/>
  <c r="G97" i="7"/>
  <c r="G205" i="7"/>
  <c r="F125" i="7"/>
  <c r="B150" i="7"/>
  <c r="G124" i="7"/>
  <c r="I40" i="7"/>
  <c r="D44" i="7"/>
  <c r="C34" i="7"/>
  <c r="C149" i="7"/>
  <c r="H35" i="7"/>
  <c r="C219" i="7"/>
  <c r="G207" i="7"/>
  <c r="I79" i="7"/>
  <c r="E121" i="7"/>
  <c r="D63" i="7"/>
  <c r="D19" i="7"/>
  <c r="B27" i="7"/>
  <c r="C58" i="7"/>
  <c r="G104" i="7"/>
  <c r="G229" i="7"/>
  <c r="G31" i="7"/>
  <c r="I77" i="7"/>
  <c r="H117" i="7"/>
  <c r="G190" i="7"/>
  <c r="C179" i="7"/>
  <c r="D88" i="7"/>
  <c r="I128" i="7"/>
  <c r="C154" i="7"/>
  <c r="I113" i="7"/>
  <c r="B41" i="7"/>
  <c r="F93" i="7"/>
  <c r="F76" i="7"/>
  <c r="B239" i="7"/>
  <c r="D28" i="7"/>
  <c r="D120" i="7"/>
  <c r="B233" i="7"/>
  <c r="H88" i="7"/>
  <c r="G7" i="7"/>
  <c r="G259" i="7"/>
  <c r="E123" i="7"/>
  <c r="D78" i="7"/>
  <c r="G214" i="7"/>
  <c r="F36" i="7"/>
  <c r="C240" i="7"/>
  <c r="F116" i="7"/>
  <c r="I39" i="7"/>
  <c r="G297" i="7"/>
  <c r="B49" i="7"/>
  <c r="C236" i="7"/>
  <c r="C152" i="7"/>
  <c r="B182" i="7"/>
  <c r="G299" i="7"/>
  <c r="I47" i="7"/>
  <c r="F89" i="7"/>
  <c r="H118" i="7"/>
  <c r="B115" i="7"/>
  <c r="G211" i="7"/>
  <c r="B18" i="7"/>
  <c r="C44" i="7"/>
  <c r="B136" i="7"/>
  <c r="B167" i="7"/>
  <c r="I67" i="7"/>
  <c r="G243" i="7"/>
  <c r="B73" i="7"/>
  <c r="F87" i="7"/>
  <c r="H43" i="7"/>
  <c r="G213" i="7"/>
  <c r="G34" i="7"/>
  <c r="G62" i="7"/>
  <c r="B58" i="7"/>
  <c r="B79" i="7"/>
  <c r="G75" i="7"/>
  <c r="H82" i="7"/>
  <c r="C89" i="7"/>
  <c r="C183" i="7"/>
  <c r="B247" i="7"/>
  <c r="H56" i="7"/>
  <c r="C231" i="7"/>
  <c r="I51" i="7"/>
  <c r="E78" i="7"/>
  <c r="G90" i="7"/>
  <c r="B174" i="7"/>
  <c r="B149" i="7"/>
  <c r="E17" i="7"/>
  <c r="B34" i="7"/>
  <c r="I129" i="7"/>
  <c r="G18" i="7"/>
  <c r="G105" i="7"/>
  <c r="F23" i="7"/>
  <c r="D23" i="7"/>
  <c r="C160" i="7"/>
  <c r="C202" i="7"/>
  <c r="D39" i="7"/>
  <c r="G195" i="7"/>
  <c r="C100" i="7"/>
  <c r="H48" i="7"/>
  <c r="G73" i="7"/>
  <c r="C238" i="7"/>
  <c r="C21" i="7"/>
  <c r="F92" i="7"/>
  <c r="E120" i="7"/>
  <c r="G187" i="7"/>
  <c r="E24" i="7"/>
  <c r="F78" i="7"/>
  <c r="B168" i="7"/>
  <c r="H93" i="7"/>
  <c r="G198" i="7"/>
  <c r="I17" i="7"/>
  <c r="B96" i="7"/>
  <c r="F42" i="7"/>
  <c r="D119" i="7"/>
  <c r="E25" i="7"/>
  <c r="H46" i="7"/>
  <c r="C208" i="7"/>
  <c r="E34" i="7"/>
  <c r="G160" i="7"/>
  <c r="G219" i="7"/>
  <c r="G59" i="7"/>
  <c r="G112" i="7"/>
  <c r="B95" i="7"/>
  <c r="E117" i="7"/>
  <c r="C33" i="7"/>
  <c r="G64" i="7"/>
  <c r="C197" i="7"/>
  <c r="B242" i="7"/>
  <c r="G79" i="7"/>
  <c r="F55" i="7"/>
  <c r="F72" i="7"/>
  <c r="B26" i="7"/>
  <c r="I43" i="7"/>
  <c r="B245" i="7"/>
  <c r="H115" i="7"/>
  <c r="I98" i="7"/>
  <c r="E94" i="7"/>
  <c r="B178" i="7"/>
  <c r="F110" i="7"/>
  <c r="G204" i="7"/>
  <c r="C82" i="7"/>
  <c r="B204" i="7"/>
  <c r="H64" i="7"/>
  <c r="H128" i="7"/>
  <c r="D73" i="7"/>
  <c r="C158" i="7"/>
  <c r="H119" i="7"/>
  <c r="E23" i="7"/>
  <c r="B158" i="7"/>
  <c r="C122" i="7"/>
  <c r="E124" i="7"/>
  <c r="C199" i="7"/>
  <c r="B175" i="7"/>
  <c r="G80" i="7"/>
  <c r="C216" i="7"/>
  <c r="B36" i="7"/>
  <c r="B217" i="7"/>
  <c r="G134" i="7"/>
  <c r="C140" i="7"/>
  <c r="F67" i="7"/>
  <c r="H75" i="7"/>
  <c r="G197" i="7"/>
  <c r="G221" i="7"/>
  <c r="B157" i="7"/>
  <c r="C242" i="7"/>
  <c r="C229" i="7"/>
  <c r="B248" i="7"/>
  <c r="G50" i="7"/>
  <c r="C118" i="7"/>
  <c r="C198" i="7"/>
  <c r="D61" i="7"/>
  <c r="G273" i="7"/>
  <c r="F90" i="7"/>
  <c r="G271" i="7"/>
  <c r="E30" i="7"/>
  <c r="H30" i="7"/>
  <c r="C17" i="7"/>
  <c r="G87" i="7"/>
  <c r="C180" i="7"/>
  <c r="G139" i="7"/>
  <c r="G155" i="7"/>
  <c r="B56" i="7"/>
  <c r="H124" i="7"/>
  <c r="F41" i="7"/>
  <c r="F43" i="7"/>
  <c r="I26" i="7"/>
  <c r="H83" i="7"/>
  <c r="D45" i="7"/>
  <c r="H106" i="7"/>
  <c r="H27" i="7"/>
  <c r="F60" i="7"/>
  <c r="D37" i="7"/>
  <c r="C195" i="7"/>
  <c r="G237" i="7"/>
  <c r="D48" i="7"/>
  <c r="E18" i="7"/>
  <c r="G140" i="7"/>
  <c r="C133" i="7"/>
  <c r="B33" i="7"/>
  <c r="C85" i="7"/>
  <c r="B214" i="7"/>
  <c r="C222" i="7"/>
  <c r="G282" i="7"/>
  <c r="B172" i="7"/>
  <c r="E98" i="7"/>
  <c r="F105" i="7"/>
  <c r="D97" i="7"/>
  <c r="I74" i="7"/>
  <c r="G102" i="7"/>
  <c r="B197" i="7"/>
  <c r="C20" i="7"/>
  <c r="C27" i="7"/>
  <c r="G141" i="7"/>
  <c r="H95" i="7"/>
  <c r="G281" i="7"/>
  <c r="D21" i="7"/>
  <c r="D104" i="7"/>
  <c r="E129" i="7"/>
  <c r="G263" i="7"/>
  <c r="B230" i="7"/>
  <c r="G179" i="7"/>
  <c r="B199" i="7"/>
  <c r="D20" i="7"/>
  <c r="B60" i="7"/>
  <c r="B238" i="7"/>
  <c r="C99" i="7"/>
  <c r="H41" i="7"/>
  <c r="E67" i="7"/>
  <c r="D74" i="7"/>
  <c r="C228" i="7"/>
  <c r="G120" i="7"/>
  <c r="B225" i="7"/>
  <c r="H68" i="7"/>
  <c r="G161" i="7"/>
  <c r="C50" i="7"/>
  <c r="G28" i="7"/>
  <c r="G107" i="7"/>
  <c r="C210" i="7"/>
  <c r="C249" i="7"/>
  <c r="B246" i="7"/>
  <c r="D116" i="7"/>
  <c r="I106" i="7"/>
  <c r="B154" i="7"/>
  <c r="C220" i="7"/>
  <c r="E96" i="7"/>
  <c r="I50" i="7"/>
  <c r="C105" i="7"/>
  <c r="C157" i="7"/>
  <c r="B114" i="7"/>
  <c r="B43" i="7"/>
  <c r="I109" i="7"/>
  <c r="F49" i="7"/>
  <c r="H37" i="7"/>
  <c r="G248" i="7"/>
  <c r="I99" i="7"/>
  <c r="D125" i="7"/>
  <c r="B69" i="7"/>
  <c r="D98" i="7"/>
  <c r="G230" i="7"/>
  <c r="C226" i="7"/>
  <c r="F57" i="7"/>
  <c r="H49" i="7"/>
  <c r="G222" i="7"/>
  <c r="F61" i="7"/>
  <c r="B139" i="7"/>
  <c r="C214" i="7"/>
  <c r="C234" i="7"/>
  <c r="D50" i="7"/>
  <c r="G291" i="7"/>
  <c r="C201" i="7"/>
  <c r="I37" i="7"/>
  <c r="B188" i="7"/>
  <c r="F97" i="7"/>
  <c r="B203" i="7"/>
  <c r="D102" i="7"/>
  <c r="G255" i="7"/>
  <c r="C145" i="7"/>
  <c r="C207" i="7"/>
  <c r="C124" i="7"/>
  <c r="I61" i="7"/>
  <c r="F45" i="7"/>
  <c r="G101" i="7"/>
  <c r="F65" i="7"/>
  <c r="B229" i="7"/>
  <c r="C184" i="7"/>
  <c r="D124" i="7"/>
  <c r="D107" i="7"/>
  <c r="H39" i="7"/>
  <c r="B103" i="7"/>
  <c r="G206" i="7"/>
  <c r="I31" i="7"/>
  <c r="G99" i="7"/>
  <c r="B19" i="7"/>
  <c r="E100" i="7"/>
  <c r="C185" i="7"/>
  <c r="B109" i="7"/>
  <c r="B212" i="7"/>
  <c r="H26" i="7"/>
  <c r="B110" i="7"/>
  <c r="D35" i="7"/>
  <c r="E44" i="7"/>
  <c r="G191" i="7"/>
  <c r="G83" i="7"/>
  <c r="F48" i="7"/>
  <c r="H113" i="7"/>
  <c r="F104" i="7"/>
  <c r="G126" i="7"/>
  <c r="G249" i="7"/>
  <c r="D77" i="7"/>
  <c r="C95" i="7"/>
  <c r="C173" i="7"/>
  <c r="E77" i="7"/>
  <c r="B152" i="7"/>
  <c r="I92" i="7"/>
  <c r="G241" i="7"/>
  <c r="D27" i="7"/>
  <c r="G227" i="7"/>
  <c r="H52" i="7"/>
  <c r="C194" i="7"/>
  <c r="E52" i="7"/>
  <c r="G203" i="7"/>
  <c r="D118" i="7"/>
  <c r="C244" i="7"/>
  <c r="H18" i="7"/>
  <c r="G224" i="7"/>
  <c r="G287" i="7"/>
  <c r="H91" i="7"/>
  <c r="G96" i="7"/>
  <c r="C40" i="7"/>
  <c r="C37" i="7"/>
  <c r="E27" i="7"/>
  <c r="G145" i="7"/>
  <c r="E110" i="7"/>
  <c r="G26" i="7"/>
  <c r="B98" i="7"/>
  <c r="G262" i="7"/>
  <c r="E19" i="7"/>
  <c r="G137" i="7"/>
  <c r="C28" i="7"/>
  <c r="B134" i="7"/>
  <c r="E45" i="7"/>
  <c r="C19" i="7"/>
  <c r="B125" i="7"/>
  <c r="G146" i="7"/>
  <c r="C128" i="7"/>
  <c r="C26" i="7"/>
  <c r="I84" i="7"/>
  <c r="G84" i="7"/>
  <c r="C18" i="7"/>
  <c r="G127" i="7"/>
  <c r="H62" i="7"/>
  <c r="D86" i="7"/>
  <c r="B101" i="7"/>
  <c r="G298" i="7"/>
  <c r="G173" i="7"/>
  <c r="D49" i="7"/>
  <c r="I68" i="7"/>
  <c r="H120" i="7"/>
  <c r="B166" i="7"/>
  <c r="G70" i="7"/>
  <c r="C243" i="7"/>
  <c r="G193" i="7"/>
  <c r="B219" i="7"/>
  <c r="D58" i="7"/>
  <c r="D87" i="7"/>
  <c r="E20" i="7"/>
  <c r="C66" i="7"/>
  <c r="C213" i="7"/>
  <c r="G93" i="7"/>
  <c r="E53" i="7"/>
  <c r="B221" i="7"/>
  <c r="G23" i="7"/>
  <c r="D128" i="7"/>
  <c r="C233" i="7"/>
  <c r="I101" i="7"/>
  <c r="F106" i="7"/>
  <c r="B187" i="7"/>
  <c r="G128" i="7"/>
  <c r="F117" i="7"/>
  <c r="C165" i="7"/>
  <c r="B127" i="7"/>
  <c r="C24" i="7"/>
  <c r="H100" i="7"/>
  <c r="C187" i="7"/>
  <c r="F32" i="7"/>
  <c r="B192" i="7"/>
  <c r="G20" i="7"/>
  <c r="C212" i="7"/>
  <c r="G244" i="7"/>
  <c r="H38" i="7"/>
  <c r="G71" i="7"/>
  <c r="C163" i="7"/>
  <c r="E46" i="7"/>
  <c r="E122" i="7"/>
  <c r="G253" i="7"/>
  <c r="B71" i="7"/>
  <c r="C193" i="7"/>
  <c r="G184" i="7"/>
  <c r="B177" i="7"/>
  <c r="G8" i="7"/>
  <c r="C239" i="7"/>
  <c r="D89" i="7"/>
  <c r="B17" i="7"/>
  <c r="E103" i="7"/>
  <c r="C110" i="7"/>
  <c r="F123" i="7"/>
  <c r="B133" i="7"/>
  <c r="C61" i="7"/>
  <c r="G43" i="7"/>
  <c r="C78" i="7"/>
  <c r="D47" i="7"/>
  <c r="C246" i="7"/>
  <c r="B195" i="7"/>
  <c r="C137" i="7"/>
  <c r="G89" i="7"/>
  <c r="C84" i="7"/>
  <c r="H107" i="7"/>
  <c r="H72" i="7"/>
  <c r="B116" i="7"/>
  <c r="F66" i="7"/>
  <c r="E97" i="7"/>
  <c r="C176" i="7"/>
  <c r="B215" i="7"/>
  <c r="G133" i="7"/>
  <c r="F34" i="7"/>
  <c r="I121" i="7"/>
  <c r="C45" i="7"/>
  <c r="G57" i="7"/>
  <c r="G94" i="7"/>
  <c r="G278" i="7"/>
  <c r="G170" i="7"/>
  <c r="H28" i="7"/>
  <c r="G117" i="7"/>
  <c r="C116" i="7"/>
  <c r="F29" i="7"/>
  <c r="D96" i="7"/>
  <c r="I105" i="7"/>
  <c r="C245" i="7"/>
  <c r="E55" i="7"/>
  <c r="G19" i="7"/>
  <c r="E62" i="7"/>
  <c r="C247" i="7"/>
  <c r="I112" i="7"/>
  <c r="C146" i="7"/>
  <c r="F53" i="7"/>
  <c r="I123" i="7"/>
  <c r="C224" i="7"/>
  <c r="F96" i="7"/>
  <c r="I90" i="7"/>
  <c r="G52" i="7"/>
  <c r="F18" i="7"/>
  <c r="G286" i="7"/>
  <c r="B240" i="7"/>
  <c r="B137" i="7"/>
  <c r="B193" i="7"/>
  <c r="C53" i="7"/>
  <c r="I54" i="7"/>
  <c r="G138" i="7"/>
  <c r="G129" i="7"/>
  <c r="H81" i="7"/>
  <c r="F99" i="7"/>
  <c r="D114" i="7"/>
  <c r="I114" i="7"/>
  <c r="G36" i="7"/>
  <c r="C64" i="7"/>
  <c r="B81" i="7"/>
  <c r="B21" i="7"/>
  <c r="B129" i="7"/>
  <c r="I127" i="7"/>
  <c r="B86" i="7"/>
  <c r="E49" i="7"/>
  <c r="C205" i="7"/>
  <c r="B198" i="7"/>
  <c r="G293" i="7"/>
  <c r="C107" i="7"/>
  <c r="I80" i="7"/>
  <c r="G269" i="7"/>
  <c r="C46" i="7"/>
  <c r="G289" i="7"/>
  <c r="B205" i="7"/>
  <c r="G38" i="7"/>
  <c r="G148" i="7"/>
  <c r="F85" i="7"/>
  <c r="H59" i="7"/>
  <c r="E21" i="7"/>
  <c r="C106" i="7"/>
  <c r="G288" i="7"/>
  <c r="B140" i="7"/>
  <c r="G175" i="7"/>
  <c r="G217" i="7"/>
  <c r="H78" i="7"/>
  <c r="B50" i="7"/>
  <c r="B148" i="7"/>
  <c r="I83" i="7"/>
  <c r="C175" i="7"/>
  <c r="D83" i="7"/>
  <c r="G17" i="7"/>
  <c r="B99" i="7"/>
  <c r="I23" i="7"/>
  <c r="C25" i="7"/>
  <c r="D34" i="7"/>
  <c r="B190" i="7"/>
  <c r="C221" i="7"/>
  <c r="G157" i="7"/>
  <c r="G283" i="7"/>
  <c r="H57" i="7"/>
  <c r="D85" i="7"/>
  <c r="I66" i="7"/>
  <c r="C93" i="7"/>
  <c r="G135" i="7"/>
  <c r="C150" i="7"/>
  <c r="H25" i="7"/>
  <c r="G210" i="7"/>
  <c r="B185" i="7"/>
  <c r="I64" i="7"/>
  <c r="C97" i="7"/>
  <c r="G116" i="7"/>
  <c r="G264" i="7"/>
  <c r="G192" i="7"/>
  <c r="G114" i="7"/>
  <c r="G266" i="7"/>
  <c r="C63" i="7"/>
  <c r="F73" i="7"/>
  <c r="G156" i="7"/>
  <c r="C125" i="7"/>
  <c r="H102" i="7"/>
  <c r="I208" i="7" l="1" a="1"/>
  <c r="E183" i="7" a="1"/>
  <c r="I220" i="7" a="1"/>
  <c r="I150" i="7" a="1"/>
  <c r="I146" i="7" a="1"/>
  <c r="I191" i="7" a="1"/>
  <c r="I176" i="7" a="1"/>
  <c r="I245" i="7" a="1"/>
  <c r="I228" i="7" a="1"/>
  <c r="E187" i="7" a="1"/>
  <c r="I205" i="7" a="1"/>
  <c r="E172" i="7" a="1"/>
  <c r="I181" i="7" a="1"/>
  <c r="E134" i="7" a="1"/>
  <c r="E212" i="7" a="1"/>
  <c r="E142" i="7" a="1"/>
  <c r="I143" i="7" a="1"/>
  <c r="E196" i="7" a="1"/>
  <c r="E238" i="7" a="1"/>
  <c r="I212" i="7" a="1"/>
  <c r="E203" i="7" a="1"/>
  <c r="E193" i="7" a="1"/>
  <c r="I207" i="7" a="1"/>
  <c r="E190" i="7" a="1"/>
  <c r="I243" i="7" a="1"/>
  <c r="E218" i="7" a="1"/>
  <c r="E145" i="7" a="1"/>
  <c r="E168" i="7" a="1"/>
  <c r="E169" i="7" a="1"/>
  <c r="I136" i="7" a="1"/>
  <c r="I211" i="7" a="1"/>
  <c r="E170" i="7" a="1"/>
  <c r="E229" i="7" a="1"/>
  <c r="I139" i="7" a="1"/>
  <c r="I225" i="7" a="1"/>
  <c r="E239" i="7" a="1"/>
  <c r="I153" i="7" a="1"/>
  <c r="I249" i="7" a="1"/>
  <c r="E206" i="7" a="1"/>
  <c r="E233" i="7" a="1"/>
  <c r="I242" i="7" a="1"/>
  <c r="I224" i="7" a="1"/>
  <c r="I189" i="7" a="1"/>
  <c r="I157" i="7" a="1"/>
  <c r="I198" i="7" a="1"/>
  <c r="I175" i="7" a="1"/>
  <c r="E222" i="7" a="1"/>
  <c r="I141" i="7" a="1"/>
  <c r="I202" i="7" a="1"/>
  <c r="I183" i="7" a="1"/>
  <c r="I231" i="7" a="1"/>
  <c r="E157" i="7" a="1"/>
  <c r="I145" i="7" a="1"/>
  <c r="I185" i="7" a="1"/>
  <c r="I227" i="7" a="1"/>
  <c r="E144" i="7" a="1"/>
  <c r="I151" i="7" a="1"/>
  <c r="E176" i="7" a="1"/>
  <c r="I229" i="7" a="1"/>
  <c r="I171" i="7" a="1"/>
  <c r="I196" i="7" a="1"/>
  <c r="E246" i="7" a="1"/>
  <c r="E242" i="7" a="1"/>
  <c r="E243" i="7" a="1"/>
  <c r="I221" i="7" a="1"/>
  <c r="I132" i="7" a="1"/>
  <c r="E205" i="7" a="1"/>
  <c r="E175" i="7" a="1"/>
  <c r="I156" i="7" a="1"/>
  <c r="I174" i="7" a="1"/>
  <c r="I188" i="7" a="1"/>
  <c r="E130" i="7" a="1"/>
  <c r="E141" i="7" a="1"/>
  <c r="I233" i="7" a="1"/>
  <c r="E241" i="7" a="1"/>
  <c r="I197" i="7" a="1"/>
  <c r="E132" i="7" a="1"/>
  <c r="E210" i="7" a="1"/>
  <c r="E214" i="7" a="1"/>
  <c r="I172" i="7" a="1"/>
  <c r="E166" i="7" a="1"/>
  <c r="E149" i="7" a="1"/>
  <c r="I193" i="7" a="1"/>
  <c r="I192" i="7" a="1"/>
  <c r="E200" i="7" a="1"/>
  <c r="E174" i="7" a="1"/>
  <c r="I216" i="7" a="1"/>
  <c r="I218" i="7" a="1"/>
  <c r="I206" i="7" a="1"/>
  <c r="I195" i="7" a="1"/>
  <c r="I222" i="7" a="1"/>
  <c r="I238" i="7" a="1"/>
  <c r="I246" i="7" a="1"/>
  <c r="E153" i="7" a="1"/>
  <c r="I177" i="7" a="1"/>
  <c r="I184" i="7" a="1"/>
  <c r="E155" i="7" a="1"/>
  <c r="I155" i="7" a="1"/>
  <c r="E146" i="7" a="1"/>
  <c r="E198" i="7" a="1"/>
  <c r="E217" i="7" a="1"/>
  <c r="I213" i="7" a="1"/>
  <c r="E248" i="7" a="1"/>
  <c r="E195" i="7" a="1"/>
  <c r="E237" i="7" a="1"/>
  <c r="I217" i="7" a="1"/>
  <c r="E235" i="7" a="1"/>
  <c r="E244" i="7" a="1"/>
  <c r="E213" i="7" a="1"/>
  <c r="I200" i="7" a="1"/>
  <c r="I147" i="7" a="1"/>
  <c r="E148" i="7" a="1"/>
  <c r="E194" i="7" a="1"/>
  <c r="E247" i="7" a="1"/>
  <c r="E201" i="7" a="1"/>
  <c r="E221" i="7" a="1"/>
  <c r="I248" i="7" a="1"/>
  <c r="E161" i="7" a="1"/>
  <c r="I144" i="7" a="1"/>
  <c r="I201" i="7" a="1"/>
  <c r="I180" i="7" a="1"/>
  <c r="I182" i="7" a="1"/>
  <c r="I162" i="7" a="1"/>
  <c r="I133" i="7" a="1"/>
  <c r="I236" i="7" a="1"/>
  <c r="I159" i="7" a="1"/>
  <c r="I163" i="7" a="1"/>
  <c r="E215" i="7" a="1"/>
  <c r="E173" i="7" a="1"/>
  <c r="E160" i="7" a="1"/>
  <c r="E204" i="7" a="1"/>
  <c r="E165" i="7" a="1"/>
  <c r="E179" i="7" a="1"/>
  <c r="I190" i="7" a="1"/>
  <c r="I164" i="7" a="1"/>
  <c r="E131" i="7" a="1"/>
  <c r="I215" i="7" a="1"/>
  <c r="E207" i="7" a="1"/>
  <c r="I137" i="7" a="1"/>
  <c r="I130" i="7" a="1"/>
  <c r="E197" i="7" a="1"/>
  <c r="E143" i="7" a="1"/>
  <c r="E151" i="7" a="1"/>
  <c r="I168" i="7" a="1"/>
  <c r="E182" i="7" a="1"/>
  <c r="I194" i="7" a="1"/>
  <c r="E180" i="7" a="1"/>
  <c r="I234" i="7" a="1"/>
  <c r="E231" i="7" a="1"/>
  <c r="I140" i="7" a="1"/>
  <c r="I131" i="7" a="1"/>
  <c r="E224" i="7" a="1"/>
  <c r="I210" i="7" a="1"/>
  <c r="E249" i="7" a="1"/>
  <c r="I237" i="7" a="1"/>
  <c r="E171" i="7" a="1"/>
  <c r="E191" i="7" a="1"/>
  <c r="E178" i="7" a="1"/>
  <c r="I149" i="7" a="1"/>
  <c r="I226" i="7" a="1"/>
  <c r="E167" i="7" a="1"/>
  <c r="E209" i="7" a="1"/>
  <c r="I166" i="7" a="1"/>
  <c r="I173" i="7" a="1"/>
  <c r="I235" i="7" a="1"/>
  <c r="E159" i="7" a="1"/>
  <c r="I204" i="7" a="1"/>
  <c r="E186" i="7" a="1"/>
  <c r="E220" i="7" a="1"/>
  <c r="E156" i="7" a="1"/>
  <c r="I148" i="7" a="1"/>
  <c r="E234" i="7" a="1"/>
  <c r="I165" i="7" a="1"/>
  <c r="E140" i="7" a="1"/>
  <c r="E139" i="7" a="1"/>
  <c r="E185" i="7" a="1"/>
  <c r="E158" i="7" a="1"/>
  <c r="E133" i="7" a="1"/>
  <c r="E135" i="7" a="1"/>
  <c r="E245" i="7" a="1"/>
  <c r="I178" i="7" a="1"/>
  <c r="I214" i="7" a="1"/>
  <c r="I154" i="7" a="1"/>
  <c r="I160" i="7" a="1"/>
  <c r="E236" i="7" a="1"/>
  <c r="E228" i="7" a="1"/>
  <c r="E226" i="7" a="1"/>
  <c r="I161" i="7" a="1"/>
  <c r="E219" i="7" a="1"/>
  <c r="I199" i="7" a="1"/>
  <c r="E138" i="7" a="1"/>
  <c r="E199" i="7" a="1"/>
  <c r="I223" i="7" a="1"/>
  <c r="E137" i="7" a="1"/>
  <c r="E211" i="7" a="1"/>
  <c r="I203" i="7" a="1"/>
  <c r="I169" i="7" a="1"/>
  <c r="E177" i="7" a="1"/>
  <c r="I135" i="7" a="1"/>
  <c r="E152" i="7" a="1"/>
  <c r="E227" i="7" a="1"/>
  <c r="I134" i="7" a="1"/>
  <c r="E164" i="7" a="1"/>
  <c r="I152" i="7" a="1"/>
  <c r="E216" i="7" a="1"/>
  <c r="E163" i="7" a="1"/>
  <c r="E189" i="7" a="1"/>
  <c r="I209" i="7" a="1"/>
  <c r="I179" i="7" a="1"/>
  <c r="E240" i="7" a="1"/>
  <c r="E202" i="7" a="1"/>
  <c r="I241" i="7" a="1"/>
  <c r="E184" i="7" a="1"/>
  <c r="I167" i="7" a="1"/>
  <c r="E154" i="7" a="1"/>
  <c r="I187" i="7" a="1"/>
  <c r="I232" i="7" a="1"/>
  <c r="I247" i="7" a="1"/>
  <c r="I158" i="7" a="1"/>
  <c r="E181" i="7" a="1"/>
  <c r="E136" i="7" a="1"/>
  <c r="E232" i="7" a="1"/>
  <c r="E192" i="7" a="1"/>
  <c r="I239" i="7" a="1"/>
  <c r="E150" i="7" a="1"/>
  <c r="I142" i="7" a="1"/>
  <c r="E208" i="7" a="1"/>
  <c r="I230" i="7" a="1"/>
  <c r="E147" i="7" a="1"/>
  <c r="I186" i="7" a="1"/>
  <c r="E223" i="7" a="1"/>
  <c r="E230" i="7" a="1"/>
  <c r="E225" i="7" a="1"/>
  <c r="I240" i="7" a="1"/>
  <c r="E188" i="7" a="1"/>
  <c r="I244" i="7" a="1"/>
  <c r="I219" i="7" a="1"/>
  <c r="E162" i="7" a="1"/>
  <c r="I170" i="7" a="1"/>
  <c r="I138" i="7" a="1"/>
  <c r="I138" i="7" l="1"/>
  <c r="I170" i="7"/>
  <c r="E162" i="7"/>
  <c r="I219" i="7"/>
  <c r="I244" i="7"/>
  <c r="E188" i="7"/>
  <c r="I240" i="7"/>
  <c r="E225" i="7"/>
  <c r="E230" i="7"/>
  <c r="E223" i="7"/>
  <c r="I186" i="7"/>
  <c r="E147" i="7"/>
  <c r="I230" i="7"/>
  <c r="E208" i="7"/>
  <c r="I142" i="7"/>
  <c r="E150" i="7"/>
  <c r="I239" i="7"/>
  <c r="E192" i="7"/>
  <c r="E232" i="7"/>
  <c r="E136" i="7"/>
  <c r="E181" i="7"/>
  <c r="I158" i="7"/>
  <c r="I247" i="7"/>
  <c r="I232" i="7"/>
  <c r="I187" i="7"/>
  <c r="E154" i="7"/>
  <c r="I167" i="7"/>
  <c r="E184" i="7"/>
  <c r="I241" i="7"/>
  <c r="E202" i="7"/>
  <c r="E240" i="7"/>
  <c r="I179" i="7"/>
  <c r="I209" i="7"/>
  <c r="E189" i="7"/>
  <c r="E163" i="7"/>
  <c r="E216" i="7"/>
  <c r="I152" i="7"/>
  <c r="E164" i="7"/>
  <c r="I134" i="7"/>
  <c r="E227" i="7"/>
  <c r="E152" i="7"/>
  <c r="I135" i="7"/>
  <c r="E177" i="7"/>
  <c r="I169" i="7"/>
  <c r="I203" i="7"/>
  <c r="E211" i="7"/>
  <c r="E137" i="7"/>
  <c r="I223" i="7"/>
  <c r="E199" i="7"/>
  <c r="E138" i="7"/>
  <c r="I199" i="7"/>
  <c r="E219" i="7"/>
  <c r="I161" i="7"/>
  <c r="E226" i="7"/>
  <c r="E228" i="7"/>
  <c r="E236" i="7"/>
  <c r="I160" i="7"/>
  <c r="I154" i="7"/>
  <c r="I214" i="7"/>
  <c r="I178" i="7"/>
  <c r="E245" i="7"/>
  <c r="E135" i="7"/>
  <c r="E133" i="7"/>
  <c r="E158" i="7"/>
  <c r="E185" i="7"/>
  <c r="E139" i="7"/>
  <c r="E140" i="7"/>
  <c r="I165" i="7"/>
  <c r="E234" i="7"/>
  <c r="I148" i="7"/>
  <c r="E156" i="7"/>
  <c r="E220" i="7"/>
  <c r="E186" i="7"/>
  <c r="I204" i="7"/>
  <c r="E159" i="7"/>
  <c r="I235" i="7"/>
  <c r="I173" i="7"/>
  <c r="I166" i="7"/>
  <c r="E209" i="7"/>
  <c r="E167" i="7"/>
  <c r="I226" i="7"/>
  <c r="I149" i="7"/>
  <c r="E178" i="7"/>
  <c r="E191" i="7"/>
  <c r="E171" i="7"/>
  <c r="I237" i="7"/>
  <c r="E249" i="7"/>
  <c r="I210" i="7"/>
  <c r="E224" i="7"/>
  <c r="I131" i="7"/>
  <c r="I140" i="7"/>
  <c r="E231" i="7"/>
  <c r="I234" i="7"/>
  <c r="E180" i="7"/>
  <c r="I194" i="7"/>
  <c r="E182" i="7"/>
  <c r="I168" i="7"/>
  <c r="E151" i="7"/>
  <c r="E143" i="7"/>
  <c r="E197" i="7"/>
  <c r="I130" i="7"/>
  <c r="I137" i="7"/>
  <c r="E207" i="7"/>
  <c r="I215" i="7"/>
  <c r="E131" i="7"/>
  <c r="I164" i="7"/>
  <c r="I190" i="7"/>
  <c r="E179" i="7"/>
  <c r="E165" i="7"/>
  <c r="E204" i="7"/>
  <c r="E160" i="7"/>
  <c r="E173" i="7"/>
  <c r="E215" i="7"/>
  <c r="I163" i="7"/>
  <c r="I159" i="7"/>
  <c r="I236" i="7"/>
  <c r="I133" i="7"/>
  <c r="I162" i="7"/>
  <c r="I182" i="7"/>
  <c r="I180" i="7"/>
  <c r="I201" i="7"/>
  <c r="I144" i="7"/>
  <c r="E161" i="7"/>
  <c r="I248" i="7"/>
  <c r="E221" i="7"/>
  <c r="E201" i="7"/>
  <c r="E247" i="7"/>
  <c r="E194" i="7"/>
  <c r="E148" i="7"/>
  <c r="I147" i="7"/>
  <c r="I200" i="7"/>
  <c r="E213" i="7"/>
  <c r="E244" i="7"/>
  <c r="E235" i="7"/>
  <c r="I217" i="7"/>
  <c r="E237" i="7"/>
  <c r="E195" i="7"/>
  <c r="E248" i="7"/>
  <c r="I213" i="7"/>
  <c r="E217" i="7"/>
  <c r="E198" i="7"/>
  <c r="E146" i="7"/>
  <c r="I155" i="7"/>
  <c r="E155" i="7"/>
  <c r="I184" i="7"/>
  <c r="I177" i="7"/>
  <c r="E153" i="7"/>
  <c r="I246" i="7"/>
  <c r="I238" i="7"/>
  <c r="I222" i="7"/>
  <c r="I195" i="7"/>
  <c r="I206" i="7"/>
  <c r="I218" i="7"/>
  <c r="I216" i="7"/>
  <c r="E174" i="7"/>
  <c r="E200" i="7"/>
  <c r="I192" i="7"/>
  <c r="I193" i="7"/>
  <c r="E149" i="7"/>
  <c r="E166" i="7"/>
  <c r="I172" i="7"/>
  <c r="E214" i="7"/>
  <c r="E210" i="7"/>
  <c r="E132" i="7"/>
  <c r="I197" i="7"/>
  <c r="E241" i="7"/>
  <c r="I233" i="7"/>
  <c r="E141" i="7"/>
  <c r="E130" i="7"/>
  <c r="I188" i="7"/>
  <c r="I174" i="7"/>
  <c r="I156" i="7"/>
  <c r="E175" i="7"/>
  <c r="E205" i="7"/>
  <c r="I132" i="7"/>
  <c r="I221" i="7"/>
  <c r="E243" i="7"/>
  <c r="E242" i="7"/>
  <c r="E246" i="7"/>
  <c r="I196" i="7"/>
  <c r="I171" i="7"/>
  <c r="I229" i="7"/>
  <c r="E176" i="7"/>
  <c r="I151" i="7"/>
  <c r="E144" i="7"/>
  <c r="I227" i="7"/>
  <c r="I185" i="7"/>
  <c r="I145" i="7"/>
  <c r="E157" i="7"/>
  <c r="I231" i="7"/>
  <c r="I183" i="7"/>
  <c r="I202" i="7"/>
  <c r="I141" i="7"/>
  <c r="E222" i="7"/>
  <c r="I175" i="7"/>
  <c r="I198" i="7"/>
  <c r="I157" i="7"/>
  <c r="I189" i="7"/>
  <c r="I224" i="7"/>
  <c r="I242" i="7"/>
  <c r="E233" i="7"/>
  <c r="E206" i="7"/>
  <c r="I249" i="7"/>
  <c r="I153" i="7"/>
  <c r="E239" i="7"/>
  <c r="I225" i="7"/>
  <c r="I139" i="7"/>
  <c r="E229" i="7"/>
  <c r="E170" i="7"/>
  <c r="I211" i="7"/>
  <c r="I136" i="7"/>
  <c r="E169" i="7"/>
  <c r="E168" i="7"/>
  <c r="E145" i="7"/>
  <c r="E218" i="7"/>
  <c r="I243" i="7"/>
  <c r="E190" i="7"/>
  <c r="I207" i="7"/>
  <c r="E193" i="7"/>
  <c r="E203" i="7"/>
  <c r="I212" i="7"/>
  <c r="E238" i="7"/>
  <c r="E196" i="7"/>
  <c r="I143" i="7"/>
  <c r="E142" i="7"/>
  <c r="E212" i="7"/>
  <c r="E134" i="7"/>
  <c r="I181" i="7"/>
  <c r="E172" i="7"/>
  <c r="I205" i="7"/>
  <c r="E187" i="7"/>
  <c r="I228" i="7"/>
  <c r="I245" i="7"/>
  <c r="I176" i="7"/>
  <c r="I191" i="7"/>
  <c r="I146" i="7"/>
  <c r="I150" i="7"/>
  <c r="I220" i="7"/>
  <c r="E183" i="7"/>
  <c r="I208" i="7"/>
  <c r="H261" i="7" a="1"/>
  <c r="C285" i="7" a="1"/>
  <c r="F285" i="7" a="1"/>
  <c r="F168" i="7" a="1"/>
  <c r="F251" i="7" a="1"/>
  <c r="E281" i="7" a="1"/>
  <c r="H287" i="7" a="1"/>
  <c r="D280" i="7" a="1"/>
  <c r="F191" i="7" a="1"/>
  <c r="I263" i="7" a="1"/>
  <c r="D287" i="7" a="1"/>
  <c r="D285" i="7" a="1"/>
  <c r="D200" i="7" a="1"/>
  <c r="H241" i="7" a="1"/>
  <c r="D270" i="7" a="1"/>
  <c r="H170" i="7" a="1"/>
  <c r="B250" i="7" a="1"/>
  <c r="H168" i="7" a="1"/>
  <c r="H250" i="7" a="1"/>
  <c r="I295" i="7" a="1"/>
  <c r="H292" i="7" a="1"/>
  <c r="D140" i="7" a="1"/>
  <c r="D161" i="7" a="1"/>
  <c r="I289" i="7" a="1"/>
  <c r="C265" i="7" a="1"/>
  <c r="D180" i="7" a="1"/>
  <c r="I285" i="7" a="1"/>
  <c r="H142" i="7" a="1"/>
  <c r="H276" i="7" a="1"/>
  <c r="H208" i="7" a="1"/>
  <c r="H222" i="7" a="1"/>
  <c r="I266" i="7" a="1"/>
  <c r="F275" i="7" a="1"/>
  <c r="D246" i="7" a="1"/>
  <c r="H275" i="7" a="1"/>
  <c r="F163" i="7" a="1"/>
  <c r="F220" i="7" a="1"/>
  <c r="F230" i="7" a="1"/>
  <c r="E285" i="7" a="1"/>
  <c r="H264" i="7" a="1"/>
  <c r="D211" i="7" a="1"/>
  <c r="E250" i="7" a="1"/>
  <c r="F229" i="7" a="1"/>
  <c r="H229" i="7" a="1"/>
  <c r="F164" i="7" a="1"/>
  <c r="D4" i="7" a="1"/>
  <c r="F266" i="7" a="1"/>
  <c r="F197" i="7" a="1"/>
  <c r="H282" i="7" a="1"/>
  <c r="H187" i="7" a="1"/>
  <c r="E254" i="7" a="1"/>
  <c r="H266" i="7" a="1"/>
  <c r="F183" i="7" a="1"/>
  <c r="D165" i="7" a="1"/>
  <c r="E288" i="7" a="1"/>
  <c r="F192" i="7" a="1"/>
  <c r="F254" i="7" a="1"/>
  <c r="I253" i="7" a="1"/>
  <c r="C252" i="7" a="1"/>
  <c r="F213" i="7" a="1"/>
  <c r="H219" i="7" a="1"/>
  <c r="D271" i="7" a="1"/>
  <c r="F294" i="7" a="1"/>
  <c r="D149" i="7" a="1"/>
  <c r="I8" i="7" a="1"/>
  <c r="H189" i="7" a="1"/>
  <c r="H6" i="7" a="1"/>
  <c r="H178" i="7" a="1"/>
  <c r="I267" i="7" a="1"/>
  <c r="H214" i="7" a="1"/>
  <c r="F215" i="7" a="1"/>
  <c r="C296" i="7" a="1"/>
  <c r="E300" i="7" a="1"/>
  <c r="C290" i="7" a="1"/>
  <c r="D186" i="7" a="1"/>
  <c r="B261" i="7" a="1"/>
  <c r="B260" i="7" a="1"/>
  <c r="F255" i="7" a="1"/>
  <c r="C254" i="7" a="1"/>
  <c r="H248" i="7" a="1"/>
  <c r="H182" i="7" a="1"/>
  <c r="H299" i="7" a="1"/>
  <c r="F272" i="7" a="1"/>
  <c r="B298" i="7" a="1"/>
  <c r="E271" i="7" a="1"/>
  <c r="C298" i="7" a="1"/>
  <c r="F289" i="7" a="1"/>
  <c r="D3" i="7" a="1"/>
  <c r="I251" i="7" a="1"/>
  <c r="D145" i="7" a="1"/>
  <c r="F206" i="7" a="1"/>
  <c r="B268" i="7" a="1"/>
  <c r="E272" i="7" a="1"/>
  <c r="C292" i="7" a="1"/>
  <c r="H183" i="7" a="1"/>
  <c r="I284" i="7" a="1"/>
  <c r="F231" i="7" a="1"/>
  <c r="H249" i="7" a="1"/>
  <c r="I276" i="7" a="1"/>
  <c r="I283" i="7" a="1"/>
  <c r="F221" i="7" a="1"/>
  <c r="H234" i="7" a="1"/>
  <c r="C266" i="7" a="1"/>
  <c r="F174" i="7" a="1"/>
  <c r="D252" i="7" a="1"/>
  <c r="E265" i="7" a="1"/>
  <c r="F243" i="7" a="1"/>
  <c r="D267" i="7" a="1"/>
  <c r="H281" i="7" a="1"/>
  <c r="D259" i="7" a="1"/>
  <c r="F161" i="7" a="1"/>
  <c r="B300" i="7" a="1"/>
  <c r="H285" i="7" a="1"/>
  <c r="H215" i="7" a="1"/>
  <c r="D192" i="7" a="1"/>
  <c r="D218" i="7" a="1"/>
  <c r="E251" i="7" a="1"/>
  <c r="F137" i="7" a="1"/>
  <c r="H246" i="7" a="1"/>
  <c r="H228" i="7" a="1"/>
  <c r="B284" i="7" a="1"/>
  <c r="D288" i="7" a="1"/>
  <c r="F299" i="7" a="1"/>
  <c r="D202" i="7" a="1"/>
  <c r="F149" i="7" a="1"/>
  <c r="F133" i="7" a="1"/>
  <c r="D291" i="7" a="1"/>
  <c r="E263" i="7" a="1"/>
  <c r="F173" i="7" a="1"/>
  <c r="I274" i="7" a="1"/>
  <c r="F244" i="7" a="1"/>
  <c r="F284" i="7" a="1"/>
  <c r="F134" i="7" a="1"/>
  <c r="I268" i="7" a="1"/>
  <c r="C259" i="7" a="1"/>
  <c r="H199" i="7" a="1"/>
  <c r="H186" i="7" a="1"/>
  <c r="D208" i="7" a="1"/>
  <c r="C293" i="7" a="1"/>
  <c r="F171" i="7" a="1"/>
  <c r="D197" i="7" a="1"/>
  <c r="I277" i="7" a="1"/>
  <c r="F238" i="7" a="1"/>
  <c r="H169" i="7" a="1"/>
  <c r="E261" i="7" a="1"/>
  <c r="I250" i="7" a="1"/>
  <c r="D176" i="7" a="1"/>
  <c r="F278" i="7" a="1"/>
  <c r="I271" i="7" a="1"/>
  <c r="F4" i="7" a="1"/>
  <c r="H271" i="7" a="1"/>
  <c r="H267" i="7" a="1"/>
  <c r="D276" i="7" a="1"/>
  <c r="B285" i="7" a="1"/>
  <c r="H149" i="7" a="1"/>
  <c r="D258" i="7" a="1"/>
  <c r="D133" i="7" a="1"/>
  <c r="D295" i="7" a="1"/>
  <c r="I257" i="7" a="1"/>
  <c r="D183" i="7" a="1"/>
  <c r="H211" i="7" a="1"/>
  <c r="E253" i="7" a="1"/>
  <c r="B295" i="7" a="1"/>
  <c r="H235" i="7" a="1"/>
  <c r="D230" i="7" a="1"/>
  <c r="I4" i="7" a="1"/>
  <c r="D278" i="7" a="1"/>
  <c r="D142" i="7" a="1"/>
  <c r="F205" i="7" a="1"/>
  <c r="D225" i="7" a="1"/>
  <c r="E260" i="7" a="1"/>
  <c r="I269" i="7" a="1"/>
  <c r="H195" i="7" a="1"/>
  <c r="F242" i="7" a="1"/>
  <c r="D227" i="7" a="1"/>
  <c r="F280" i="7" a="1"/>
  <c r="D299" i="7" a="1"/>
  <c r="D212" i="7" a="1"/>
  <c r="B282" i="7" a="1"/>
  <c r="C261" i="7" a="1"/>
  <c r="D274" i="7" a="1"/>
  <c r="D172" i="7" a="1"/>
  <c r="C281" i="7" a="1"/>
  <c r="F279" i="7" a="1"/>
  <c r="H269" i="7" a="1"/>
  <c r="H162" i="7" a="1"/>
  <c r="D204" i="7" a="1"/>
  <c r="F156" i="7" a="1"/>
  <c r="B258" i="7" a="1"/>
  <c r="F297" i="7" a="1"/>
  <c r="C262" i="7" a="1"/>
  <c r="F295" i="7" a="1"/>
  <c r="D292" i="7" a="1"/>
  <c r="D241" i="7" a="1"/>
  <c r="F264" i="7" a="1"/>
  <c r="E298" i="7" a="1"/>
  <c r="H174" i="7" a="1"/>
  <c r="F132" i="7" a="1"/>
  <c r="D277" i="7" a="1"/>
  <c r="C299" i="7" a="1"/>
  <c r="I6" i="7" a="1"/>
  <c r="D174" i="7" a="1"/>
  <c r="H173" i="7" a="1"/>
  <c r="H265" i="7" a="1"/>
  <c r="B273" i="7" a="1"/>
  <c r="B288" i="7" a="1"/>
  <c r="F2" i="7" a="1"/>
  <c r="C280" i="7" a="1"/>
  <c r="D146" i="7" a="1"/>
  <c r="B274" i="7" a="1"/>
  <c r="H255" i="7" a="1"/>
  <c r="D184" i="7" a="1"/>
  <c r="H156" i="7" a="1"/>
  <c r="E256" i="7" a="1"/>
  <c r="H298" i="7" a="1"/>
  <c r="E264" i="7" a="1"/>
  <c r="D7" i="7" a="1"/>
  <c r="D250" i="7" a="1"/>
  <c r="C272" i="7" a="1"/>
  <c r="D171" i="7" a="1"/>
  <c r="F138" i="7" a="1"/>
  <c r="D222" i="7" a="1"/>
  <c r="I282" i="7" a="1"/>
  <c r="D178" i="7" a="1"/>
  <c r="H240" i="7" a="1"/>
  <c r="D221" i="7" a="1"/>
  <c r="D219" i="7" a="1"/>
  <c r="H163" i="7" a="1"/>
  <c r="H154" i="7" a="1"/>
  <c r="B278" i="7" a="1"/>
  <c r="F178" i="7" a="1"/>
  <c r="I255" i="7" a="1"/>
  <c r="H244" i="7" a="1"/>
  <c r="I275" i="7" a="1"/>
  <c r="H288" i="7" a="1"/>
  <c r="D162" i="7" a="1"/>
  <c r="D135" i="7" a="1"/>
  <c r="B276" i="7" a="1"/>
  <c r="E8" i="7" a="1"/>
  <c r="F166" i="7" a="1"/>
  <c r="F225" i="7" a="1"/>
  <c r="F222" i="7" a="1"/>
  <c r="D201" i="7" a="1"/>
  <c r="H224" i="7" a="1"/>
  <c r="B4" i="7" a="1"/>
  <c r="E282" i="7" a="1"/>
  <c r="F162" i="7" a="1"/>
  <c r="C294" i="7" a="1"/>
  <c r="C284" i="7" a="1"/>
  <c r="H280" i="7" a="1"/>
  <c r="H225" i="7" a="1"/>
  <c r="D5" i="7" a="1"/>
  <c r="B255" i="7" a="1"/>
  <c r="F269" i="7" a="1"/>
  <c r="B253" i="7" a="1"/>
  <c r="H223" i="7" a="1"/>
  <c r="H237" i="7" a="1"/>
  <c r="B266" i="7" a="1"/>
  <c r="F283" i="7" a="1"/>
  <c r="D147" i="7" a="1"/>
  <c r="H179" i="7" a="1"/>
  <c r="H136" i="7" a="1"/>
  <c r="B281" i="7" a="1"/>
  <c r="F223" i="7" a="1"/>
  <c r="F258" i="7" a="1"/>
  <c r="B271" i="7" a="1"/>
  <c r="D279" i="7" a="1"/>
  <c r="F151" i="7" a="1"/>
  <c r="F185" i="7" a="1"/>
  <c r="D131" i="7" a="1"/>
  <c r="H212" i="7" a="1"/>
  <c r="I296" i="7" a="1"/>
  <c r="F211" i="7" a="1"/>
  <c r="H296" i="7" a="1"/>
  <c r="F190" i="7" a="1"/>
  <c r="H151" i="7" a="1"/>
  <c r="H231" i="7" a="1"/>
  <c r="H134" i="7" a="1"/>
  <c r="D294" i="7" a="1"/>
  <c r="F241" i="7" a="1"/>
  <c r="D8" i="7" a="1"/>
  <c r="F139" i="7" a="1"/>
  <c r="F207" i="7" a="1"/>
  <c r="E293" i="7" a="1"/>
  <c r="F276" i="7" a="1"/>
  <c r="E3" i="7" a="1"/>
  <c r="D220" i="7" a="1"/>
  <c r="H232" i="7" a="1"/>
  <c r="D247" i="7" a="1"/>
  <c r="H274" i="7" a="1"/>
  <c r="H242" i="7" a="1"/>
  <c r="F147" i="7" a="1"/>
  <c r="E286" i="7" a="1"/>
  <c r="B259" i="7" a="1"/>
  <c r="B270" i="7" a="1"/>
  <c r="E291" i="7" a="1"/>
  <c r="D134" i="7" a="1"/>
  <c r="F298" i="7" a="1"/>
  <c r="B299" i="7" a="1"/>
  <c r="H277" i="7" a="1"/>
  <c r="F143" i="7" a="1"/>
  <c r="E284" i="7" a="1"/>
  <c r="D282" i="7" a="1"/>
  <c r="B265" i="7" a="1"/>
  <c r="F226" i="7" a="1"/>
  <c r="F216" i="7" a="1"/>
  <c r="E273" i="7" a="1"/>
  <c r="D166" i="7" a="1"/>
  <c r="I288" i="7" a="1"/>
  <c r="B267" i="7" a="1"/>
  <c r="C3" i="7" a="1"/>
  <c r="E289" i="7" a="1"/>
  <c r="D268" i="7" a="1"/>
  <c r="I5" i="7" a="1"/>
  <c r="D290" i="7" a="1"/>
  <c r="C8" i="7" a="1"/>
  <c r="I280" i="7" a="1"/>
  <c r="H181" i="7" a="1"/>
  <c r="E267" i="7" a="1"/>
  <c r="F273" i="7" a="1"/>
  <c r="F176" i="7" a="1"/>
  <c r="F172" i="7" a="1"/>
  <c r="I264" i="7" a="1"/>
  <c r="I2" i="7" a="1"/>
  <c r="D223" i="7" a="1"/>
  <c r="H5" i="7" a="1"/>
  <c r="F291" i="7" a="1"/>
  <c r="H147" i="7" a="1"/>
  <c r="H253" i="7" a="1"/>
  <c r="D263" i="7" a="1"/>
  <c r="D232" i="7" a="1"/>
  <c r="F261" i="7" a="1"/>
  <c r="F152" i="7" a="1"/>
  <c r="D245" i="7" a="1"/>
  <c r="B290" i="7" a="1"/>
  <c r="F232" i="7" a="1"/>
  <c r="F219" i="7" a="1"/>
  <c r="B287" i="7" a="1"/>
  <c r="C271" i="7" a="1"/>
  <c r="H137" i="7" a="1"/>
  <c r="C275" i="7" a="1"/>
  <c r="B272" i="7" a="1"/>
  <c r="E258" i="7" a="1"/>
  <c r="H272" i="7" a="1"/>
  <c r="D209" i="7" a="1"/>
  <c r="H293" i="7" a="1"/>
  <c r="H184" i="7" a="1"/>
  <c r="H8" i="7" a="1"/>
  <c r="H290" i="7" a="1"/>
  <c r="H143" i="7" a="1"/>
  <c r="D242" i="7" a="1"/>
  <c r="H273" i="7" a="1"/>
  <c r="H256" i="7" a="1"/>
  <c r="I278" i="7" a="1"/>
  <c r="B5" i="7" a="1"/>
  <c r="H150" i="7" a="1"/>
  <c r="E259" i="7" a="1"/>
  <c r="F146" i="7" a="1"/>
  <c r="D216" i="7" a="1"/>
  <c r="H217" i="7" a="1"/>
  <c r="F153" i="7" a="1"/>
  <c r="D236" i="7" a="1"/>
  <c r="C300" i="7" a="1"/>
  <c r="E269" i="7" a="1"/>
  <c r="H239" i="7" a="1"/>
  <c r="F227" i="7" a="1"/>
  <c r="F181" i="7" a="1"/>
  <c r="H133" i="7" a="1"/>
  <c r="F175" i="7" a="1"/>
  <c r="C253" i="7" a="1"/>
  <c r="I3" i="7" a="1"/>
  <c r="F204" i="7" a="1"/>
  <c r="H190" i="7" a="1"/>
  <c r="H295" i="7" a="1"/>
  <c r="H145" i="7" a="1"/>
  <c r="D224" i="7" a="1"/>
  <c r="D173" i="7" a="1"/>
  <c r="H283" i="7" a="1"/>
  <c r="F189" i="7" a="1"/>
  <c r="D195" i="7" a="1"/>
  <c r="H160" i="7" a="1"/>
  <c r="D196" i="7" a="1"/>
  <c r="D188" i="7" a="1"/>
  <c r="F277" i="7" a="1"/>
  <c r="H294" i="7" a="1"/>
  <c r="B294" i="7" a="1"/>
  <c r="D130" i="7" a="1"/>
  <c r="D281" i="7" a="1"/>
  <c r="H185" i="7" a="1"/>
  <c r="F293" i="7" a="1"/>
  <c r="I300" i="7" a="1"/>
  <c r="E270" i="7" a="1"/>
  <c r="F263" i="7" a="1"/>
  <c r="H278" i="7" a="1"/>
  <c r="D157" i="7" a="1"/>
  <c r="F186" i="7" a="1"/>
  <c r="F256" i="7" a="1"/>
  <c r="D206" i="7" a="1"/>
  <c r="F248" i="7" a="1"/>
  <c r="F246" i="7" a="1"/>
  <c r="D190" i="7" a="1"/>
  <c r="E252" i="7" a="1"/>
  <c r="F203" i="7" a="1"/>
  <c r="D251" i="7" a="1"/>
  <c r="I286" i="7" a="1"/>
  <c r="E274" i="7" a="1"/>
  <c r="H263" i="7" a="1"/>
  <c r="F252" i="7" a="1"/>
  <c r="D150" i="7" a="1"/>
  <c r="C264" i="7" a="1"/>
  <c r="C2" i="7" a="1"/>
  <c r="D2" i="7" a="1"/>
  <c r="C256" i="7" a="1"/>
  <c r="D286" i="7" a="1"/>
  <c r="E295" i="7" a="1"/>
  <c r="F271" i="7" a="1"/>
  <c r="F287" i="7" a="1"/>
  <c r="D151" i="7" a="1"/>
  <c r="H205" i="7" a="1"/>
  <c r="D269" i="7" a="1"/>
  <c r="D203" i="7" a="1"/>
  <c r="D137" i="7" a="1"/>
  <c r="D158" i="7" a="1"/>
  <c r="F196" i="7" a="1"/>
  <c r="F187" i="7" a="1"/>
  <c r="H270" i="7" a="1"/>
  <c r="D143" i="7" a="1"/>
  <c r="H130" i="7" a="1"/>
  <c r="H158" i="7" a="1"/>
  <c r="D255" i="7" a="1"/>
  <c r="F282" i="7" a="1"/>
  <c r="D187" i="7" a="1"/>
  <c r="B8" i="7" a="1"/>
  <c r="H220" i="7" a="1"/>
  <c r="H164" i="7" a="1"/>
  <c r="H167" i="7" a="1"/>
  <c r="F136" i="7" a="1"/>
  <c r="B280" i="7" a="1"/>
  <c r="F253" i="7" a="1"/>
  <c r="D159" i="7" a="1"/>
  <c r="B283" i="7" a="1"/>
  <c r="E299" i="7" a="1"/>
  <c r="H141" i="7" a="1"/>
  <c r="C250" i="7" a="1"/>
  <c r="H226" i="7" a="1"/>
  <c r="F180" i="7" a="1"/>
  <c r="H204" i="7" a="1"/>
  <c r="C257" i="7" a="1"/>
  <c r="B297" i="7" a="1"/>
  <c r="D169" i="7" a="1"/>
  <c r="C287" i="7" a="1"/>
  <c r="H144" i="7" a="1"/>
  <c r="D156" i="7" a="1"/>
  <c r="D248" i="7" a="1"/>
  <c r="E292" i="7" a="1"/>
  <c r="I260" i="7" a="1"/>
  <c r="F209" i="7" a="1"/>
  <c r="H140" i="7" a="1"/>
  <c r="H194" i="7" a="1"/>
  <c r="D266" i="7" a="1"/>
  <c r="D260" i="7" a="1"/>
  <c r="F182" i="7" a="1"/>
  <c r="H203" i="7" a="1"/>
  <c r="D136" i="7" a="1"/>
  <c r="I272" i="7" a="1"/>
  <c r="I299" i="7" a="1"/>
  <c r="E255" i="7" a="1"/>
  <c r="B264" i="7" a="1"/>
  <c r="C267" i="7" a="1"/>
  <c r="F194" i="7" a="1"/>
  <c r="C273" i="7" a="1"/>
  <c r="H177" i="7" a="1"/>
  <c r="H131" i="7" a="1"/>
  <c r="H284" i="7" a="1"/>
  <c r="H279" i="7" a="1"/>
  <c r="B269" i="7" a="1"/>
  <c r="D296" i="7" a="1"/>
  <c r="F145" i="7" a="1"/>
  <c r="C268" i="7" a="1"/>
  <c r="C270" i="7" a="1"/>
  <c r="F154" i="7" a="1"/>
  <c r="E257" i="7" a="1"/>
  <c r="H188" i="7" a="1"/>
  <c r="D215" i="7" a="1"/>
  <c r="D238" i="7" a="1"/>
  <c r="D205" i="7" a="1"/>
  <c r="H213" i="7" a="1"/>
  <c r="H209" i="7" a="1"/>
  <c r="D214" i="7" a="1"/>
  <c r="F150" i="7" a="1"/>
  <c r="F267" i="7" a="1"/>
  <c r="I281" i="7" a="1"/>
  <c r="D298" i="7" a="1"/>
  <c r="F247" i="7" a="1"/>
  <c r="D297" i="7" a="1"/>
  <c r="C297" i="7" a="1"/>
  <c r="F6" i="7" a="1"/>
  <c r="D148" i="7" a="1"/>
  <c r="D217" i="7" a="1"/>
  <c r="F286" i="7" a="1"/>
  <c r="H202" i="7" a="1"/>
  <c r="D253" i="7" a="1"/>
  <c r="D249" i="7" a="1"/>
  <c r="H148" i="7" a="1"/>
  <c r="D177" i="7" a="1"/>
  <c r="F158" i="7" a="1"/>
  <c r="E2" i="7" a="1"/>
  <c r="I270" i="7" a="1"/>
  <c r="F179" i="7" a="1"/>
  <c r="F208" i="7" a="1"/>
  <c r="F214" i="7" a="1"/>
  <c r="B3" i="7" a="1"/>
  <c r="H4" i="7" a="1"/>
  <c r="C286" i="7" a="1"/>
  <c r="D139" i="7" a="1"/>
  <c r="D244" i="7" a="1"/>
  <c r="H196" i="7" a="1"/>
  <c r="F195" i="7" a="1"/>
  <c r="I279" i="7" a="1"/>
  <c r="D226" i="7" a="1"/>
  <c r="D168" i="7" a="1"/>
  <c r="D144" i="7" a="1"/>
  <c r="B262" i="7" a="1"/>
  <c r="I254" i="7" a="1"/>
  <c r="F148" i="7" a="1"/>
  <c r="D170" i="7" a="1"/>
  <c r="D198" i="7" a="1"/>
  <c r="D237" i="7" a="1"/>
  <c r="H233" i="7" a="1"/>
  <c r="H252" i="7" a="1"/>
  <c r="H135" i="7" a="1"/>
  <c r="H247" i="7" a="1"/>
  <c r="F188" i="7" a="1"/>
  <c r="H157" i="7" a="1"/>
  <c r="D254" i="7" a="1"/>
  <c r="F202" i="7" a="1"/>
  <c r="H243" i="7" a="1"/>
  <c r="H191" i="7" a="1"/>
  <c r="H132" i="7" a="1"/>
  <c r="H155" i="7" a="1"/>
  <c r="D231" i="7" a="1"/>
  <c r="B6" i="7" a="1"/>
  <c r="I294" i="7" a="1"/>
  <c r="E277" i="7" a="1"/>
  <c r="E287" i="7" a="1"/>
  <c r="F257" i="7" a="1"/>
  <c r="F167" i="7" a="1"/>
  <c r="F8" i="7" a="1"/>
  <c r="F199" i="7" a="1"/>
  <c r="H257" i="7" a="1"/>
  <c r="H289" i="7" a="1"/>
  <c r="C269" i="7" a="1"/>
  <c r="F201" i="7" a="1"/>
  <c r="F157" i="7" a="1"/>
  <c r="B2" i="7" a="1"/>
  <c r="H161" i="7" a="1"/>
  <c r="B252" i="7" a="1"/>
  <c r="I287" i="7" a="1"/>
  <c r="H200" i="7" a="1"/>
  <c r="D193" i="7" a="1"/>
  <c r="C255" i="7" a="1"/>
  <c r="F268" i="7" a="1"/>
  <c r="F265" i="7" a="1"/>
  <c r="D243" i="7" a="1"/>
  <c r="H245" i="7" a="1"/>
  <c r="F198" i="7" a="1"/>
  <c r="F237" i="7" a="1"/>
  <c r="B291" i="7" a="1"/>
  <c r="F260" i="7" a="1"/>
  <c r="B254" i="7" a="1"/>
  <c r="H259" i="7" a="1"/>
  <c r="F165" i="7" a="1"/>
  <c r="F5" i="7" a="1"/>
  <c r="D272" i="7" a="1"/>
  <c r="C263" i="7" a="1"/>
  <c r="D233" i="7" a="1"/>
  <c r="C258" i="7" a="1"/>
  <c r="H238" i="7" a="1"/>
  <c r="C278" i="7" a="1"/>
  <c r="H2" i="7" a="1"/>
  <c r="H286" i="7" a="1"/>
  <c r="D160" i="7" a="1"/>
  <c r="H172" i="7" a="1"/>
  <c r="H227" i="7" a="1"/>
  <c r="E6" i="7" a="1"/>
  <c r="I262" i="7" a="1"/>
  <c r="E262" i="7" a="1"/>
  <c r="D181" i="7" a="1"/>
  <c r="C251" i="7" a="1"/>
  <c r="C4" i="7" a="1"/>
  <c r="I291" i="7" a="1"/>
  <c r="I252" i="7" a="1"/>
  <c r="I290" i="7" a="1"/>
  <c r="H3" i="7" a="1"/>
  <c r="H139" i="7" a="1"/>
  <c r="H258" i="7" a="1"/>
  <c r="F249" i="7" a="1"/>
  <c r="D284" i="7" a="1"/>
  <c r="H193" i="7" a="1"/>
  <c r="D273" i="7" a="1"/>
  <c r="H268" i="7" a="1"/>
  <c r="F144" i="7" a="1"/>
  <c r="I293" i="7" a="1"/>
  <c r="D167" i="7" a="1"/>
  <c r="D256" i="7" a="1"/>
  <c r="H197" i="7" a="1"/>
  <c r="H210" i="7" a="1"/>
  <c r="H218" i="7" a="1"/>
  <c r="H146" i="7" a="1"/>
  <c r="B7" i="7" a="1"/>
  <c r="F217" i="7" a="1"/>
  <c r="D182" i="7" a="1"/>
  <c r="C282" i="7" a="1"/>
  <c r="H159" i="7" a="1"/>
  <c r="E280" i="7" a="1"/>
  <c r="E278" i="7" a="1"/>
  <c r="C295" i="7" a="1"/>
  <c r="D262" i="7" a="1"/>
  <c r="B251" i="7" a="1"/>
  <c r="H138" i="7" a="1"/>
  <c r="E297" i="7" a="1"/>
  <c r="F193" i="7" a="1"/>
  <c r="F218" i="7" a="1"/>
  <c r="D264" i="7" a="1"/>
  <c r="F3" i="7" a="1"/>
  <c r="F159" i="7" a="1"/>
  <c r="C279" i="7" a="1"/>
  <c r="H165" i="7" a="1"/>
  <c r="C291" i="7" a="1"/>
  <c r="D275" i="7" a="1"/>
  <c r="D185" i="7" a="1"/>
  <c r="C7" i="7" a="1"/>
  <c r="H221" i="7" a="1"/>
  <c r="F142" i="7" a="1"/>
  <c r="E4" i="7" a="1"/>
  <c r="H152" i="7" a="1"/>
  <c r="B289" i="7" a="1"/>
  <c r="D265" i="7" a="1"/>
  <c r="I292" i="7" a="1"/>
  <c r="D229" i="7" a="1"/>
  <c r="E279" i="7" a="1"/>
  <c r="B296" i="7" a="1"/>
  <c r="E294" i="7" a="1"/>
  <c r="H175" i="7" a="1"/>
  <c r="B279" i="7" a="1"/>
  <c r="E5" i="7" a="1"/>
  <c r="F236" i="7" a="1"/>
  <c r="F250" i="7" a="1"/>
  <c r="D289" i="7" a="1"/>
  <c r="D210" i="7" a="1"/>
  <c r="F160" i="7" a="1"/>
  <c r="D141" i="7" a="1"/>
  <c r="F262" i="7" a="1"/>
  <c r="D239" i="7" a="1"/>
  <c r="H201" i="7" a="1"/>
  <c r="H206" i="7" a="1"/>
  <c r="F140" i="7" a="1"/>
  <c r="E283" i="7" a="1"/>
  <c r="F131" i="7" a="1"/>
  <c r="I256" i="7" a="1"/>
  <c r="H153" i="7" a="1"/>
  <c r="F130" i="7" a="1"/>
  <c r="I261" i="7" a="1"/>
  <c r="D199" i="7" a="1"/>
  <c r="C288" i="7" a="1"/>
  <c r="F184" i="7" a="1"/>
  <c r="H251" i="7" a="1"/>
  <c r="E268" i="7" a="1"/>
  <c r="C277" i="7" a="1"/>
  <c r="F259" i="7" a="1"/>
  <c r="B293" i="7" a="1"/>
  <c r="D235" i="7" a="1"/>
  <c r="H7" i="7" a="1"/>
  <c r="I298" i="7" a="1"/>
  <c r="E275" i="7" a="1"/>
  <c r="D283" i="7" a="1"/>
  <c r="D257" i="7" a="1"/>
  <c r="B263" i="7" a="1"/>
  <c r="I273" i="7" a="1"/>
  <c r="I265" i="7" a="1"/>
  <c r="F228" i="7" a="1"/>
  <c r="D194" i="7" a="1"/>
  <c r="F270" i="7" a="1"/>
  <c r="H166" i="7" a="1"/>
  <c r="D293" i="7" a="1"/>
  <c r="D179" i="7" a="1"/>
  <c r="D261" i="7" a="1"/>
  <c r="F290" i="7" a="1"/>
  <c r="I7" i="7" a="1"/>
  <c r="H254" i="7" a="1"/>
  <c r="C6" i="7" a="1"/>
  <c r="D228" i="7" a="1"/>
  <c r="F240" i="7" a="1"/>
  <c r="D164" i="7" a="1"/>
  <c r="I258" i="7" a="1"/>
  <c r="F224" i="7" a="1"/>
  <c r="D234" i="7" a="1"/>
  <c r="H300" i="7" a="1"/>
  <c r="F234" i="7" a="1"/>
  <c r="F141" i="7" a="1"/>
  <c r="F292" i="7" a="1"/>
  <c r="C5" i="7" a="1"/>
  <c r="H176" i="7" a="1"/>
  <c r="F135" i="7" a="1"/>
  <c r="H291" i="7" a="1"/>
  <c r="F245" i="7" a="1"/>
  <c r="D189" i="7" a="1"/>
  <c r="H262" i="7" a="1"/>
  <c r="B277" i="7" a="1"/>
  <c r="H207" i="7" a="1"/>
  <c r="E7" i="7" a="1"/>
  <c r="B256" i="7" a="1"/>
  <c r="F210" i="7" a="1"/>
  <c r="B286" i="7" a="1"/>
  <c r="F7" i="7" a="1"/>
  <c r="D155" i="7" a="1"/>
  <c r="H297" i="7" a="1"/>
  <c r="F200" i="7" a="1"/>
  <c r="I259" i="7" a="1"/>
  <c r="F300" i="7" a="1"/>
  <c r="D207" i="7" a="1"/>
  <c r="F170" i="7" a="1"/>
  <c r="C276" i="7" a="1"/>
  <c r="H192" i="7" a="1"/>
  <c r="F235" i="7" a="1"/>
  <c r="E290" i="7" a="1"/>
  <c r="D300" i="7" a="1"/>
  <c r="H198" i="7" a="1"/>
  <c r="H171" i="7" a="1"/>
  <c r="B275" i="7" a="1"/>
  <c r="D154" i="7" a="1"/>
  <c r="F155" i="7" a="1"/>
  <c r="D191" i="7" a="1"/>
  <c r="F296" i="7" a="1"/>
  <c r="C260" i="7" a="1"/>
  <c r="B257" i="7" a="1"/>
  <c r="E266" i="7" a="1"/>
  <c r="F169" i="7" a="1"/>
  <c r="D213" i="7" a="1"/>
  <c r="H216" i="7" a="1"/>
  <c r="H180" i="7" a="1"/>
  <c r="E296" i="7" a="1"/>
  <c r="F212" i="7" a="1"/>
  <c r="D132" i="7" a="1"/>
  <c r="D240" i="7" a="1"/>
  <c r="H260" i="7" a="1"/>
  <c r="D175" i="7" a="1"/>
  <c r="B292" i="7" a="1"/>
  <c r="F233" i="7" a="1"/>
  <c r="F239" i="7" a="1"/>
  <c r="E276" i="7" a="1"/>
  <c r="C283" i="7" a="1"/>
  <c r="D138" i="7" a="1"/>
  <c r="C274" i="7" a="1"/>
  <c r="D153" i="7" a="1"/>
  <c r="F177" i="7" a="1"/>
  <c r="D152" i="7" a="1"/>
  <c r="D163" i="7" a="1"/>
  <c r="C289" i="7" a="1"/>
  <c r="D6" i="7" a="1"/>
  <c r="F281" i="7" a="1"/>
  <c r="F274" i="7" a="1"/>
  <c r="F288" i="7" a="1"/>
  <c r="H230" i="7" a="1"/>
  <c r="H236" i="7" a="1"/>
  <c r="I297" i="7" a="1"/>
  <c r="I297" i="7" l="1"/>
  <c r="H236" i="7"/>
  <c r="H230" i="7"/>
  <c r="F288" i="7"/>
  <c r="F274" i="7"/>
  <c r="F281" i="7"/>
  <c r="D6" i="7"/>
  <c r="C289" i="7"/>
  <c r="D163" i="7"/>
  <c r="D152" i="7"/>
  <c r="F177" i="7"/>
  <c r="D153" i="7"/>
  <c r="C274" i="7"/>
  <c r="D138" i="7"/>
  <c r="C283" i="7"/>
  <c r="E276" i="7"/>
  <c r="F239" i="7"/>
  <c r="F233" i="7"/>
  <c r="B292" i="7"/>
  <c r="D175" i="7"/>
  <c r="H260" i="7"/>
  <c r="D240" i="7"/>
  <c r="D132" i="7"/>
  <c r="F212" i="7"/>
  <c r="E296" i="7"/>
  <c r="H180" i="7"/>
  <c r="H216" i="7"/>
  <c r="D213" i="7"/>
  <c r="F169" i="7"/>
  <c r="E266" i="7"/>
  <c r="B257" i="7"/>
  <c r="C260" i="7"/>
  <c r="F296" i="7"/>
  <c r="D191" i="7"/>
  <c r="F155" i="7"/>
  <c r="D154" i="7"/>
  <c r="B275" i="7"/>
  <c r="H171" i="7"/>
  <c r="H198" i="7"/>
  <c r="D300" i="7"/>
  <c r="E290" i="7"/>
  <c r="F235" i="7"/>
  <c r="H192" i="7"/>
  <c r="C276" i="7"/>
  <c r="F170" i="7"/>
  <c r="D207" i="7"/>
  <c r="F300" i="7"/>
  <c r="I259" i="7"/>
  <c r="F200" i="7"/>
  <c r="H297" i="7"/>
  <c r="D155" i="7"/>
  <c r="F7" i="7"/>
  <c r="B286" i="7"/>
  <c r="F210" i="7"/>
  <c r="B256" i="7"/>
  <c r="E7" i="7"/>
  <c r="H207" i="7"/>
  <c r="B277" i="7"/>
  <c r="H262" i="7"/>
  <c r="D189" i="7"/>
  <c r="F245" i="7"/>
  <c r="H291" i="7"/>
  <c r="F135" i="7"/>
  <c r="H176" i="7"/>
  <c r="C5" i="7"/>
  <c r="F292" i="7"/>
  <c r="F141" i="7"/>
  <c r="F234" i="7"/>
  <c r="H300" i="7"/>
  <c r="D234" i="7"/>
  <c r="F224" i="7"/>
  <c r="I258" i="7"/>
  <c r="D164" i="7"/>
  <c r="F240" i="7"/>
  <c r="D228" i="7"/>
  <c r="C6" i="7"/>
  <c r="H254" i="7"/>
  <c r="I7" i="7"/>
  <c r="F290" i="7"/>
  <c r="D261" i="7"/>
  <c r="D179" i="7"/>
  <c r="D293" i="7"/>
  <c r="H166" i="7"/>
  <c r="F270" i="7"/>
  <c r="D194" i="7"/>
  <c r="F228" i="7"/>
  <c r="I265" i="7"/>
  <c r="I273" i="7"/>
  <c r="B263" i="7"/>
  <c r="D257" i="7"/>
  <c r="D283" i="7"/>
  <c r="E275" i="7"/>
  <c r="I298" i="7"/>
  <c r="H7" i="7"/>
  <c r="D235" i="7"/>
  <c r="B293" i="7"/>
  <c r="F259" i="7"/>
  <c r="C277" i="7"/>
  <c r="E268" i="7"/>
  <c r="H251" i="7"/>
  <c r="F184" i="7"/>
  <c r="C288" i="7"/>
  <c r="D199" i="7"/>
  <c r="I261" i="7"/>
  <c r="F130" i="7"/>
  <c r="H153" i="7"/>
  <c r="I256" i="7"/>
  <c r="F131" i="7"/>
  <c r="E283" i="7"/>
  <c r="F140" i="7"/>
  <c r="H206" i="7"/>
  <c r="H201" i="7"/>
  <c r="D239" i="7"/>
  <c r="F262" i="7"/>
  <c r="D141" i="7"/>
  <c r="F160" i="7"/>
  <c r="D210" i="7"/>
  <c r="D289" i="7"/>
  <c r="F250" i="7"/>
  <c r="F236" i="7"/>
  <c r="E5" i="7"/>
  <c r="B279" i="7"/>
  <c r="H175" i="7"/>
  <c r="E294" i="7"/>
  <c r="B296" i="7"/>
  <c r="E279" i="7"/>
  <c r="D229" i="7"/>
  <c r="I292" i="7"/>
  <c r="D265" i="7"/>
  <c r="B289" i="7"/>
  <c r="H152" i="7"/>
  <c r="E4" i="7"/>
  <c r="F142" i="7"/>
  <c r="H221" i="7"/>
  <c r="C7" i="7"/>
  <c r="D185" i="7"/>
  <c r="D275" i="7"/>
  <c r="C291" i="7"/>
  <c r="H165" i="7"/>
  <c r="C279" i="7"/>
  <c r="F159" i="7"/>
  <c r="F3" i="7"/>
  <c r="D264" i="7"/>
  <c r="F218" i="7"/>
  <c r="F193" i="7"/>
  <c r="E297" i="7"/>
  <c r="H138" i="7"/>
  <c r="B251" i="7"/>
  <c r="D262" i="7"/>
  <c r="C295" i="7"/>
  <c r="E278" i="7"/>
  <c r="E280" i="7"/>
  <c r="H159" i="7"/>
  <c r="C282" i="7"/>
  <c r="D182" i="7"/>
  <c r="F217" i="7"/>
  <c r="B7" i="7"/>
  <c r="H146" i="7"/>
  <c r="H218" i="7"/>
  <c r="H210" i="7"/>
  <c r="H197" i="7"/>
  <c r="D256" i="7"/>
  <c r="D167" i="7"/>
  <c r="I293" i="7"/>
  <c r="F144" i="7"/>
  <c r="H268" i="7"/>
  <c r="D273" i="7"/>
  <c r="H193" i="7"/>
  <c r="D284" i="7"/>
  <c r="F249" i="7"/>
  <c r="H258" i="7"/>
  <c r="H139" i="7"/>
  <c r="H3" i="7"/>
  <c r="I290" i="7"/>
  <c r="I252" i="7"/>
  <c r="I291" i="7"/>
  <c r="C4" i="7"/>
  <c r="C251" i="7"/>
  <c r="D181" i="7"/>
  <c r="E262" i="7"/>
  <c r="I262" i="7"/>
  <c r="E6" i="7"/>
  <c r="H227" i="7"/>
  <c r="H172" i="7"/>
  <c r="D160" i="7"/>
  <c r="H286" i="7"/>
  <c r="H2" i="7"/>
  <c r="C278" i="7"/>
  <c r="H238" i="7"/>
  <c r="C258" i="7"/>
  <c r="D233" i="7"/>
  <c r="C263" i="7"/>
  <c r="D272" i="7"/>
  <c r="F5" i="7"/>
  <c r="F165" i="7"/>
  <c r="H259" i="7"/>
  <c r="B254" i="7"/>
  <c r="F260" i="7"/>
  <c r="B291" i="7"/>
  <c r="F237" i="7"/>
  <c r="F198" i="7"/>
  <c r="H245" i="7"/>
  <c r="D243" i="7"/>
  <c r="F265" i="7"/>
  <c r="F268" i="7"/>
  <c r="C255" i="7"/>
  <c r="D193" i="7"/>
  <c r="H200" i="7"/>
  <c r="I287" i="7"/>
  <c r="B252" i="7"/>
  <c r="H161" i="7"/>
  <c r="B2" i="7"/>
  <c r="F157" i="7"/>
  <c r="F201" i="7"/>
  <c r="C269" i="7"/>
  <c r="H289" i="7"/>
  <c r="H257" i="7"/>
  <c r="F199" i="7"/>
  <c r="F8" i="7"/>
  <c r="F167" i="7"/>
  <c r="F257" i="7"/>
  <c r="E287" i="7"/>
  <c r="E277" i="7"/>
  <c r="I294" i="7"/>
  <c r="B6" i="7"/>
  <c r="D231" i="7"/>
  <c r="H155" i="7"/>
  <c r="H132" i="7"/>
  <c r="H191" i="7"/>
  <c r="H243" i="7"/>
  <c r="F202" i="7"/>
  <c r="D254" i="7"/>
  <c r="H157" i="7"/>
  <c r="F188" i="7"/>
  <c r="H247" i="7"/>
  <c r="H135" i="7"/>
  <c r="H252" i="7"/>
  <c r="H233" i="7"/>
  <c r="D237" i="7"/>
  <c r="D198" i="7"/>
  <c r="D170" i="7"/>
  <c r="F148" i="7"/>
  <c r="I254" i="7"/>
  <c r="B262" i="7"/>
  <c r="D144" i="7"/>
  <c r="D168" i="7"/>
  <c r="D226" i="7"/>
  <c r="I279" i="7"/>
  <c r="F195" i="7"/>
  <c r="H196" i="7"/>
  <c r="D244" i="7"/>
  <c r="D139" i="7"/>
  <c r="C286" i="7"/>
  <c r="H4" i="7"/>
  <c r="B3" i="7"/>
  <c r="F214" i="7"/>
  <c r="F208" i="7"/>
  <c r="F179" i="7"/>
  <c r="I270" i="7"/>
  <c r="E2" i="7"/>
  <c r="F158" i="7"/>
  <c r="D177" i="7"/>
  <c r="H148" i="7"/>
  <c r="D249" i="7"/>
  <c r="D253" i="7"/>
  <c r="H202" i="7"/>
  <c r="F286" i="7"/>
  <c r="D217" i="7"/>
  <c r="D148" i="7"/>
  <c r="F6" i="7"/>
  <c r="C297" i="7"/>
  <c r="D297" i="7"/>
  <c r="F247" i="7"/>
  <c r="D298" i="7"/>
  <c r="I281" i="7"/>
  <c r="F267" i="7"/>
  <c r="F150" i="7"/>
  <c r="D214" i="7"/>
  <c r="H209" i="7"/>
  <c r="H213" i="7"/>
  <c r="D205" i="7"/>
  <c r="D238" i="7"/>
  <c r="D215" i="7"/>
  <c r="H188" i="7"/>
  <c r="E257" i="7"/>
  <c r="F154" i="7"/>
  <c r="C270" i="7"/>
  <c r="C268" i="7"/>
  <c r="F145" i="7"/>
  <c r="D296" i="7"/>
  <c r="B269" i="7"/>
  <c r="H279" i="7"/>
  <c r="H284" i="7"/>
  <c r="H131" i="7"/>
  <c r="H177" i="7"/>
  <c r="C273" i="7"/>
  <c r="F194" i="7"/>
  <c r="C267" i="7"/>
  <c r="B264" i="7"/>
  <c r="E255" i="7"/>
  <c r="I299" i="7"/>
  <c r="I272" i="7"/>
  <c r="D136" i="7"/>
  <c r="H203" i="7"/>
  <c r="F182" i="7"/>
  <c r="D260" i="7"/>
  <c r="D266" i="7"/>
  <c r="H194" i="7"/>
  <c r="H140" i="7"/>
  <c r="F209" i="7"/>
  <c r="I260" i="7"/>
  <c r="E292" i="7"/>
  <c r="D248" i="7"/>
  <c r="D156" i="7"/>
  <c r="H144" i="7"/>
  <c r="C287" i="7"/>
  <c r="D169" i="7"/>
  <c r="B297" i="7"/>
  <c r="C257" i="7"/>
  <c r="H204" i="7"/>
  <c r="F180" i="7"/>
  <c r="H226" i="7"/>
  <c r="C250" i="7"/>
  <c r="H141" i="7"/>
  <c r="E299" i="7"/>
  <c r="B283" i="7"/>
  <c r="D159" i="7"/>
  <c r="F253" i="7"/>
  <c r="B280" i="7"/>
  <c r="F136" i="7"/>
  <c r="H167" i="7"/>
  <c r="H164" i="7"/>
  <c r="H220" i="7"/>
  <c r="B8" i="7"/>
  <c r="D187" i="7"/>
  <c r="F282" i="7"/>
  <c r="D255" i="7"/>
  <c r="H158" i="7"/>
  <c r="H130" i="7"/>
  <c r="D143" i="7"/>
  <c r="H270" i="7"/>
  <c r="F187" i="7"/>
  <c r="F196" i="7"/>
  <c r="D158" i="7"/>
  <c r="D137" i="7"/>
  <c r="D203" i="7"/>
  <c r="D269" i="7"/>
  <c r="H205" i="7"/>
  <c r="D151" i="7"/>
  <c r="F287" i="7"/>
  <c r="F271" i="7"/>
  <c r="E295" i="7"/>
  <c r="D286" i="7"/>
  <c r="C256" i="7"/>
  <c r="D2" i="7"/>
  <c r="C2" i="7"/>
  <c r="C264" i="7"/>
  <c r="D150" i="7"/>
  <c r="F252" i="7"/>
  <c r="H263" i="7"/>
  <c r="E274" i="7"/>
  <c r="I286" i="7"/>
  <c r="D251" i="7"/>
  <c r="F203" i="7"/>
  <c r="E252" i="7"/>
  <c r="D190" i="7"/>
  <c r="F246" i="7"/>
  <c r="F248" i="7"/>
  <c r="D206" i="7"/>
  <c r="F256" i="7"/>
  <c r="F186" i="7"/>
  <c r="D157" i="7"/>
  <c r="H278" i="7"/>
  <c r="F263" i="7"/>
  <c r="E270" i="7"/>
  <c r="I300" i="7"/>
  <c r="F293" i="7"/>
  <c r="H185" i="7"/>
  <c r="D281" i="7"/>
  <c r="D130" i="7"/>
  <c r="B294" i="7"/>
  <c r="H294" i="7"/>
  <c r="F277" i="7"/>
  <c r="D188" i="7"/>
  <c r="D196" i="7"/>
  <c r="H160" i="7"/>
  <c r="D195" i="7"/>
  <c r="F189" i="7"/>
  <c r="H283" i="7"/>
  <c r="D173" i="7"/>
  <c r="D224" i="7"/>
  <c r="H145" i="7"/>
  <c r="H295" i="7"/>
  <c r="H190" i="7"/>
  <c r="F204" i="7"/>
  <c r="I3" i="7"/>
  <c r="C253" i="7"/>
  <c r="F175" i="7"/>
  <c r="H133" i="7"/>
  <c r="F181" i="7"/>
  <c r="F227" i="7"/>
  <c r="H239" i="7"/>
  <c r="E269" i="7"/>
  <c r="C300" i="7"/>
  <c r="D236" i="7"/>
  <c r="F153" i="7"/>
  <c r="H217" i="7"/>
  <c r="D216" i="7"/>
  <c r="F146" i="7"/>
  <c r="E259" i="7"/>
  <c r="H150" i="7"/>
  <c r="B5" i="7"/>
  <c r="I278" i="7"/>
  <c r="H256" i="7"/>
  <c r="H273" i="7"/>
  <c r="D242" i="7"/>
  <c r="H143" i="7"/>
  <c r="H290" i="7"/>
  <c r="H8" i="7"/>
  <c r="H184" i="7"/>
  <c r="H293" i="7"/>
  <c r="D209" i="7"/>
  <c r="H272" i="7"/>
  <c r="E258" i="7"/>
  <c r="B272" i="7"/>
  <c r="C275" i="7"/>
  <c r="H137" i="7"/>
  <c r="C271" i="7"/>
  <c r="B287" i="7"/>
  <c r="F219" i="7"/>
  <c r="F232" i="7"/>
  <c r="B290" i="7"/>
  <c r="D245" i="7"/>
  <c r="F152" i="7"/>
  <c r="F261" i="7"/>
  <c r="D232" i="7"/>
  <c r="D263" i="7"/>
  <c r="H253" i="7"/>
  <c r="H147" i="7"/>
  <c r="F291" i="7"/>
  <c r="H5" i="7"/>
  <c r="D223" i="7"/>
  <c r="I2" i="7"/>
  <c r="I264" i="7"/>
  <c r="F172" i="7"/>
  <c r="F176" i="7"/>
  <c r="F273" i="7"/>
  <c r="E267" i="7"/>
  <c r="H181" i="7"/>
  <c r="I280" i="7"/>
  <c r="C8" i="7"/>
  <c r="D290" i="7"/>
  <c r="I5" i="7"/>
  <c r="D268" i="7"/>
  <c r="E289" i="7"/>
  <c r="C3" i="7"/>
  <c r="B267" i="7"/>
  <c r="I288" i="7"/>
  <c r="D166" i="7"/>
  <c r="E273" i="7"/>
  <c r="F216" i="7"/>
  <c r="F226" i="7"/>
  <c r="B265" i="7"/>
  <c r="D282" i="7"/>
  <c r="E284" i="7"/>
  <c r="F143" i="7"/>
  <c r="H277" i="7"/>
  <c r="B299" i="7"/>
  <c r="F298" i="7"/>
  <c r="D134" i="7"/>
  <c r="E291" i="7"/>
  <c r="B270" i="7"/>
  <c r="B259" i="7"/>
  <c r="E286" i="7"/>
  <c r="F147" i="7"/>
  <c r="H242" i="7"/>
  <c r="H274" i="7"/>
  <c r="D247" i="7"/>
  <c r="H232" i="7"/>
  <c r="D220" i="7"/>
  <c r="E3" i="7"/>
  <c r="F276" i="7"/>
  <c r="E293" i="7"/>
  <c r="F207" i="7"/>
  <c r="F139" i="7"/>
  <c r="D8" i="7"/>
  <c r="F241" i="7"/>
  <c r="D294" i="7"/>
  <c r="H134" i="7"/>
  <c r="H231" i="7"/>
  <c r="H151" i="7"/>
  <c r="F190" i="7"/>
  <c r="H296" i="7"/>
  <c r="F211" i="7"/>
  <c r="I296" i="7"/>
  <c r="H212" i="7"/>
  <c r="D131" i="7"/>
  <c r="F185" i="7"/>
  <c r="F151" i="7"/>
  <c r="D279" i="7"/>
  <c r="B271" i="7"/>
  <c r="F258" i="7"/>
  <c r="F223" i="7"/>
  <c r="B281" i="7"/>
  <c r="H136" i="7"/>
  <c r="H179" i="7"/>
  <c r="D147" i="7"/>
  <c r="F283" i="7"/>
  <c r="B266" i="7"/>
  <c r="H237" i="7"/>
  <c r="H223" i="7"/>
  <c r="B253" i="7"/>
  <c r="F269" i="7"/>
  <c r="B255" i="7"/>
  <c r="D5" i="7"/>
  <c r="H225" i="7"/>
  <c r="H280" i="7"/>
  <c r="C284" i="7"/>
  <c r="C294" i="7"/>
  <c r="F162" i="7"/>
  <c r="E282" i="7"/>
  <c r="B4" i="7"/>
  <c r="H224" i="7"/>
  <c r="D201" i="7"/>
  <c r="F222" i="7"/>
  <c r="F225" i="7"/>
  <c r="F166" i="7"/>
  <c r="E8" i="7"/>
  <c r="B276" i="7"/>
  <c r="D135" i="7"/>
  <c r="D162" i="7"/>
  <c r="H288" i="7"/>
  <c r="I275" i="7"/>
  <c r="H244" i="7"/>
  <c r="I255" i="7"/>
  <c r="F178" i="7"/>
  <c r="B278" i="7"/>
  <c r="H154" i="7"/>
  <c r="H163" i="7"/>
  <c r="D219" i="7"/>
  <c r="D221" i="7"/>
  <c r="H240" i="7"/>
  <c r="D178" i="7"/>
  <c r="I282" i="7"/>
  <c r="D222" i="7"/>
  <c r="F138" i="7"/>
  <c r="D171" i="7"/>
  <c r="C272" i="7"/>
  <c r="D250" i="7"/>
  <c r="D7" i="7"/>
  <c r="E264" i="7"/>
  <c r="H298" i="7"/>
  <c r="E256" i="7"/>
  <c r="H156" i="7"/>
  <c r="D184" i="7"/>
  <c r="H255" i="7"/>
  <c r="B274" i="7"/>
  <c r="D146" i="7"/>
  <c r="C280" i="7"/>
  <c r="F2" i="7"/>
  <c r="B288" i="7"/>
  <c r="B273" i="7"/>
  <c r="H265" i="7"/>
  <c r="H173" i="7"/>
  <c r="D174" i="7"/>
  <c r="I6" i="7"/>
  <c r="C299" i="7"/>
  <c r="D277" i="7"/>
  <c r="F132" i="7"/>
  <c r="H174" i="7"/>
  <c r="E298" i="7"/>
  <c r="F264" i="7"/>
  <c r="D241" i="7"/>
  <c r="D292" i="7"/>
  <c r="F295" i="7"/>
  <c r="C262" i="7"/>
  <c r="F297" i="7"/>
  <c r="B258" i="7"/>
  <c r="F156" i="7"/>
  <c r="D204" i="7"/>
  <c r="H162" i="7"/>
  <c r="H269" i="7"/>
  <c r="F279" i="7"/>
  <c r="C281" i="7"/>
  <c r="D172" i="7"/>
  <c r="D274" i="7"/>
  <c r="C261" i="7"/>
  <c r="B282" i="7"/>
  <c r="D212" i="7"/>
  <c r="D299" i="7"/>
  <c r="F280" i="7"/>
  <c r="D227" i="7"/>
  <c r="F242" i="7"/>
  <c r="H195" i="7"/>
  <c r="I269" i="7"/>
  <c r="E260" i="7"/>
  <c r="D225" i="7"/>
  <c r="F205" i="7"/>
  <c r="D142" i="7"/>
  <c r="D278" i="7"/>
  <c r="I4" i="7"/>
  <c r="D230" i="7"/>
  <c r="H235" i="7"/>
  <c r="B295" i="7"/>
  <c r="E253" i="7"/>
  <c r="H211" i="7"/>
  <c r="D183" i="7"/>
  <c r="I257" i="7"/>
  <c r="D295" i="7"/>
  <c r="D133" i="7"/>
  <c r="D258" i="7"/>
  <c r="H149" i="7"/>
  <c r="B285" i="7"/>
  <c r="D276" i="7"/>
  <c r="H267" i="7"/>
  <c r="H271" i="7"/>
  <c r="F4" i="7"/>
  <c r="I271" i="7"/>
  <c r="F278" i="7"/>
  <c r="D176" i="7"/>
  <c r="I250" i="7"/>
  <c r="E261" i="7"/>
  <c r="H169" i="7"/>
  <c r="F238" i="7"/>
  <c r="I277" i="7"/>
  <c r="D197" i="7"/>
  <c r="F171" i="7"/>
  <c r="C293" i="7"/>
  <c r="D208" i="7"/>
  <c r="H186" i="7"/>
  <c r="H199" i="7"/>
  <c r="C259" i="7"/>
  <c r="I268" i="7"/>
  <c r="F134" i="7"/>
  <c r="F284" i="7"/>
  <c r="F244" i="7"/>
  <c r="I274" i="7"/>
  <c r="F173" i="7"/>
  <c r="E263" i="7"/>
  <c r="D291" i="7"/>
  <c r="F133" i="7"/>
  <c r="F149" i="7"/>
  <c r="D202" i="7"/>
  <c r="F299" i="7"/>
  <c r="D288" i="7"/>
  <c r="B284" i="7"/>
  <c r="H228" i="7"/>
  <c r="H246" i="7"/>
  <c r="F137" i="7"/>
  <c r="E251" i="7"/>
  <c r="D218" i="7"/>
  <c r="D192" i="7"/>
  <c r="H215" i="7"/>
  <c r="H285" i="7"/>
  <c r="B300" i="7"/>
  <c r="F161" i="7"/>
  <c r="D259" i="7"/>
  <c r="H281" i="7"/>
  <c r="D267" i="7"/>
  <c r="F243" i="7"/>
  <c r="E265" i="7"/>
  <c r="D252" i="7"/>
  <c r="F174" i="7"/>
  <c r="C266" i="7"/>
  <c r="H234" i="7"/>
  <c r="F221" i="7"/>
  <c r="I283" i="7"/>
  <c r="I276" i="7"/>
  <c r="H249" i="7"/>
  <c r="F231" i="7"/>
  <c r="I284" i="7"/>
  <c r="H183" i="7"/>
  <c r="C292" i="7"/>
  <c r="E272" i="7"/>
  <c r="B268" i="7"/>
  <c r="F206" i="7"/>
  <c r="D145" i="7"/>
  <c r="I251" i="7"/>
  <c r="D3" i="7"/>
  <c r="F289" i="7"/>
  <c r="C298" i="7"/>
  <c r="E271" i="7"/>
  <c r="B298" i="7"/>
  <c r="F272" i="7"/>
  <c r="H299" i="7"/>
  <c r="H182" i="7"/>
  <c r="H248" i="7"/>
  <c r="C254" i="7"/>
  <c r="F255" i="7"/>
  <c r="B260" i="7"/>
  <c r="B261" i="7"/>
  <c r="D186" i="7"/>
  <c r="C290" i="7"/>
  <c r="E300" i="7"/>
  <c r="C296" i="7"/>
  <c r="F215" i="7"/>
  <c r="H214" i="7"/>
  <c r="I267" i="7"/>
  <c r="H178" i="7"/>
  <c r="H6" i="7"/>
  <c r="H189" i="7"/>
  <c r="I8" i="7"/>
  <c r="D149" i="7"/>
  <c r="F294" i="7"/>
  <c r="D271" i="7"/>
  <c r="H219" i="7"/>
  <c r="F213" i="7"/>
  <c r="C252" i="7"/>
  <c r="I253" i="7"/>
  <c r="F254" i="7"/>
  <c r="F192" i="7"/>
  <c r="E288" i="7"/>
  <c r="D165" i="7"/>
  <c r="F183" i="7"/>
  <c r="H266" i="7"/>
  <c r="E254" i="7"/>
  <c r="H187" i="7"/>
  <c r="H282" i="7"/>
  <c r="F197" i="7"/>
  <c r="F266" i="7"/>
  <c r="D4" i="7"/>
  <c r="F164" i="7"/>
  <c r="H229" i="7"/>
  <c r="F229" i="7"/>
  <c r="E250" i="7"/>
  <c r="D211" i="7"/>
  <c r="H264" i="7"/>
  <c r="E285" i="7"/>
  <c r="F230" i="7"/>
  <c r="F220" i="7"/>
  <c r="F163" i="7"/>
  <c r="H275" i="7"/>
  <c r="D246" i="7"/>
  <c r="F275" i="7"/>
  <c r="I266" i="7"/>
  <c r="H222" i="7"/>
  <c r="H208" i="7"/>
  <c r="H276" i="7"/>
  <c r="H142" i="7"/>
  <c r="I285" i="7"/>
  <c r="D180" i="7"/>
  <c r="C265" i="7"/>
  <c r="I289" i="7"/>
  <c r="D161" i="7"/>
  <c r="D140" i="7"/>
  <c r="H292" i="7"/>
  <c r="I295" i="7"/>
  <c r="H250" i="7"/>
  <c r="H168" i="7"/>
  <c r="B250" i="7"/>
  <c r="H170" i="7"/>
  <c r="D270" i="7"/>
  <c r="H241" i="7"/>
  <c r="D200" i="7"/>
  <c r="D285" i="7"/>
  <c r="D287" i="7"/>
  <c r="I263" i="7"/>
  <c r="F191" i="7"/>
  <c r="D280" i="7"/>
  <c r="H287" i="7"/>
  <c r="E281" i="7"/>
  <c r="F251" i="7"/>
  <c r="F168" i="7"/>
  <c r="F285" i="7"/>
  <c r="C285" i="7"/>
  <c r="H26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<sst xmlns="http://schemas.openxmlformats.org/spreadsheetml/2006/main" count="568" uniqueCount="58">
  <si>
    <t>C1</t>
  </si>
  <si>
    <t>C2</t>
  </si>
  <si>
    <t>C3</t>
  </si>
  <si>
    <t>C4</t>
  </si>
  <si>
    <t>C5</t>
  </si>
  <si>
    <t>C6</t>
  </si>
  <si>
    <t>C7</t>
  </si>
  <si>
    <t>C8</t>
  </si>
  <si>
    <t>C9</t>
  </si>
  <si>
    <t>Overall Project</t>
  </si>
  <si>
    <t>Month # 1</t>
  </si>
  <si>
    <t>Month # 2</t>
  </si>
  <si>
    <t>Month # 3</t>
  </si>
  <si>
    <t>Month # 4</t>
  </si>
  <si>
    <t>Month # 5</t>
  </si>
  <si>
    <t>Month # 6</t>
  </si>
  <si>
    <t>Month # 7</t>
  </si>
  <si>
    <t>Month # 8</t>
  </si>
  <si>
    <t>Month # 9</t>
  </si>
  <si>
    <t>Month # 10</t>
  </si>
  <si>
    <t>Month # 11</t>
  </si>
  <si>
    <t>Month # 12</t>
  </si>
  <si>
    <t>Month # 13</t>
  </si>
  <si>
    <t>Month # 14</t>
  </si>
  <si>
    <t>Month # 15</t>
  </si>
  <si>
    <t>Month # 16</t>
  </si>
  <si>
    <t>Month # 17</t>
  </si>
  <si>
    <t>Month # 18</t>
  </si>
  <si>
    <t>Month # 19</t>
  </si>
  <si>
    <t>Month # 20</t>
  </si>
  <si>
    <t>Month # 21</t>
  </si>
  <si>
    <t>Month # 22</t>
  </si>
  <si>
    <t>Month # 23</t>
  </si>
  <si>
    <t>Month # 24</t>
  </si>
  <si>
    <t>Engineering</t>
  </si>
  <si>
    <t>Procurement</t>
  </si>
  <si>
    <t>Construction</t>
  </si>
  <si>
    <t>Project Management</t>
  </si>
  <si>
    <t>NVARCHAR(255)</t>
  </si>
  <si>
    <t>NVARCHAR(20)</t>
  </si>
  <si>
    <t>DATE</t>
  </si>
  <si>
    <t>DECIMAL(13,4) [Percentage]</t>
  </si>
  <si>
    <t>Yes</t>
  </si>
  <si>
    <t>No</t>
  </si>
  <si>
    <t>range_start</t>
  </si>
  <si>
    <t>range_stop</t>
  </si>
  <si>
    <t>project_active_start</t>
  </si>
  <si>
    <t>project_inactive_end</t>
  </si>
  <si>
    <t>relate_document</t>
  </si>
  <si>
    <t>B10</t>
  </si>
  <si>
    <t>J?</t>
  </si>
  <si>
    <t>col_number</t>
  </si>
  <si>
    <t>HUC</t>
  </si>
  <si>
    <t>N/A</t>
  </si>
  <si>
    <t>Service to NSE</t>
  </si>
  <si>
    <t>Subcontract Work to NSE</t>
  </si>
  <si>
    <t>Punch List Work</t>
  </si>
  <si>
    <t>Warranty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</si>
</sst>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14" fontId="1" fillId="2" borderId="2" xfId="0" applyNumberFormat="1" applyFont="1" applyFill="1" applyBorder="1" applyAlignment="1">
      <alignment horizontal="center" vertical="top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2" borderId="1" xfId="0" applyNumberFormat="1" applyFont="1" applyFill="1" applyBorder="1" applyAlignment="1">
      <alignment horizontal="center" vertical="top" wrapText="1"/>
    </xf>
    <xf numFmtId="0" fontId="3" fillId="0" borderId="0" xfId="1" applyNumberFormat="1" applyFont="1" applyFill="1" applyBorder="1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14" fontId="0" fillId="0" borderId="0" xfId="0" quotePrefix="1" applyNumberFormat="1"/>
  </cellXfs>
  <cellStyles count="3">
    <cellStyle name="Comma" xfId="1" builtinId="3"/>
    <cellStyle name="Comma 2 3" xfId="2" xr:uid="{902E92DD-3110-4647-A98A-7D202CCAEE6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J249"/>
  <sheetViews>
    <sheetView tabSelected="1" topLeftCell="A115" zoomScale="85" zoomScaleNormal="85" workbookViewId="0">
      <selection activeCell="B10" sqref="B10:J129"/>
    </sheetView>
  </sheetViews>
  <sheetFormatPr defaultRowHeight="15" x14ac:dyDescent="0.25"/>
  <cols>
    <col min="2" max="2" width="22.28515625" bestFit="1" customWidth="1"/>
    <col min="3" max="3" width="14.85546875" bestFit="1" customWidth="1"/>
    <col min="4" max="4" width="10.5703125" customWidth="1"/>
    <col min="5" max="5" width="25" bestFit="1" customWidth="1"/>
    <col min="6" max="6" width="10.85546875" customWidth="1"/>
  </cols>
  <sheetData>
    <row r="1" spans="2:10" x14ac:dyDescent="0.25">
      <c r="D1" s="2"/>
      <c r="G1" s="4"/>
      <c r="H1" s="4"/>
    </row>
    <row r="2" spans="2:10" x14ac:dyDescent="0.25">
      <c r="D2" s="2"/>
    </row>
    <row r="3" spans="2:10" x14ac:dyDescent="0.25">
      <c r="D3" s="2"/>
    </row>
    <row r="4" spans="2:10" x14ac:dyDescent="0.25">
      <c r="D4" s="2"/>
    </row>
    <row r="5" spans="2:10" x14ac:dyDescent="0.25">
      <c r="D5" s="2"/>
    </row>
    <row r="6" spans="2:10" x14ac:dyDescent="0.25">
      <c r="D6" s="2"/>
    </row>
    <row r="7" spans="2:10" x14ac:dyDescent="0.25">
      <c r="D7" s="2"/>
    </row>
    <row r="8" spans="2:10" x14ac:dyDescent="0.25">
      <c r="D8" s="2"/>
    </row>
    <row r="9" spans="2:10" x14ac:dyDescent="0.25">
      <c r="B9" s="8" t="s">
        <v>0</v>
      </c>
      <c r="C9" s="8" t="s">
        <v>1</v>
      </c>
      <c r="D9" s="9" t="s">
        <v>2</v>
      </c>
      <c r="E9" s="8" t="s">
        <v>3</v>
      </c>
      <c r="F9" s="8" t="s">
        <v>4</v>
      </c>
      <c r="G9" s="8" t="s">
        <v>5</v>
      </c>
      <c r="H9" s="9" t="s">
        <v>6</v>
      </c>
      <c r="I9" s="8" t="s">
        <v>7</v>
      </c>
      <c r="J9" s="8" t="s">
        <v>8</v>
      </c>
    </row>
    <row r="10" spans="2:10" x14ac:dyDescent="0.25">
      <c r="B10" t="s">
        <v>9</v>
      </c>
      <c r="C10" s="12" t="s">
        <v>10</v>
      </c>
      <c r="D10" s="17">
        <v>45536</v>
      </c>
      <c r="E10" s="16">
        <v>0.03</v>
      </c>
      <c r="F10">
        <v>0.03</v>
      </c>
      <c r="G10">
        <v>0.03</v>
      </c>
      <c r="H10">
        <v>0.03</v>
      </c>
      <c r="I10">
        <v>0.03</v>
      </c>
      <c r="J10">
        <v>0.03</v>
      </c>
    </row>
    <row r="11" spans="2:10" x14ac:dyDescent="0.25">
      <c r="B11" t="s">
        <v>9</v>
      </c>
      <c r="C11" s="12" t="s">
        <v>11</v>
      </c>
      <c r="D11" s="17">
        <v>45566</v>
      </c>
      <c r="E11">
        <v>0.11</v>
      </c>
      <c r="F11">
        <v>0.11</v>
      </c>
      <c r="G11">
        <v>0.09</v>
      </c>
      <c r="H11">
        <v>0.08</v>
      </c>
      <c r="I11">
        <v>0.08</v>
      </c>
      <c r="J11">
        <v>0.06</v>
      </c>
    </row>
    <row r="12" spans="2:10" x14ac:dyDescent="0.25">
      <c r="B12" t="s">
        <v>9</v>
      </c>
      <c r="C12" s="12" t="s">
        <v>12</v>
      </c>
      <c r="D12" s="17">
        <v>45597</v>
      </c>
      <c r="E12">
        <v>0.19</v>
      </c>
      <c r="F12">
        <v>0.19</v>
      </c>
      <c r="H12">
        <v>0.08</v>
      </c>
      <c r="I12">
        <v>0.08</v>
      </c>
    </row>
    <row r="13" spans="2:10" x14ac:dyDescent="0.25">
      <c r="B13" t="s">
        <v>9</v>
      </c>
      <c r="C13" s="12" t="s">
        <v>13</v>
      </c>
      <c r="D13" s="17">
        <v>45627</v>
      </c>
      <c r="E13">
        <v>0.24</v>
      </c>
      <c r="F13">
        <v>0.24</v>
      </c>
      <c r="H13">
        <v>0.05</v>
      </c>
      <c r="I13">
        <v>0.05</v>
      </c>
    </row>
    <row r="14" spans="2:10" x14ac:dyDescent="0.25">
      <c r="B14" t="s">
        <v>9</v>
      </c>
      <c r="C14" s="12" t="s">
        <v>14</v>
      </c>
      <c r="D14" s="17">
        <v>45658</v>
      </c>
      <c r="E14">
        <v>0.31</v>
      </c>
      <c r="F14">
        <v>0.31</v>
      </c>
      <c r="H14">
        <v>7.0000000000000007E-2</v>
      </c>
      <c r="I14">
        <v>7.0000000000000007E-2</v>
      </c>
    </row>
    <row r="15" spans="2:10" x14ac:dyDescent="0.25">
      <c r="B15" t="s">
        <v>9</v>
      </c>
      <c r="C15" s="12" t="s">
        <v>15</v>
      </c>
      <c r="D15" s="17">
        <v>45689</v>
      </c>
      <c r="E15">
        <v>0.46</v>
      </c>
      <c r="F15">
        <v>0.46</v>
      </c>
      <c r="H15">
        <v>0.15</v>
      </c>
      <c r="I15">
        <v>0.15</v>
      </c>
    </row>
    <row r="16" spans="2:10" x14ac:dyDescent="0.25">
      <c r="B16" t="s">
        <v>9</v>
      </c>
      <c r="C16" s="12" t="s">
        <v>16</v>
      </c>
      <c r="D16" s="17">
        <v>45717</v>
      </c>
      <c r="E16">
        <v>0.62</v>
      </c>
      <c r="F16">
        <v>0.62</v>
      </c>
      <c r="H16">
        <v>0.16</v>
      </c>
      <c r="I16">
        <v>0.16</v>
      </c>
    </row>
    <row r="17" spans="2:9" x14ac:dyDescent="0.25">
      <c r="B17" t="s">
        <v>9</v>
      </c>
      <c r="C17" s="12" t="s">
        <v>17</v>
      </c>
      <c r="D17" s="17">
        <v>45748</v>
      </c>
      <c r="E17">
        <v>0.78</v>
      </c>
      <c r="F17">
        <v>0.78</v>
      </c>
      <c r="H17">
        <v>0.16</v>
      </c>
      <c r="I17">
        <v>0.16</v>
      </c>
    </row>
    <row r="18" spans="2:9" x14ac:dyDescent="0.25">
      <c r="B18" t="s">
        <v>9</v>
      </c>
      <c r="C18" s="12" t="s">
        <v>18</v>
      </c>
      <c r="D18" s="17">
        <v>45778</v>
      </c>
      <c r="E18">
        <v>0.79</v>
      </c>
      <c r="F18">
        <v>0.79</v>
      </c>
      <c r="H18">
        <v>0.01</v>
      </c>
      <c r="I18">
        <v>0.01</v>
      </c>
    </row>
    <row r="19" spans="2:9" x14ac:dyDescent="0.25">
      <c r="B19" t="s">
        <v>9</v>
      </c>
      <c r="C19" s="12" t="s">
        <v>19</v>
      </c>
      <c r="D19" s="17">
        <v>45809</v>
      </c>
      <c r="E19">
        <v>0.82</v>
      </c>
      <c r="F19">
        <v>0.82</v>
      </c>
      <c r="H19">
        <v>0.03</v>
      </c>
      <c r="I19">
        <v>0.03</v>
      </c>
    </row>
    <row r="20" spans="2:9" x14ac:dyDescent="0.25">
      <c r="B20" t="s">
        <v>9</v>
      </c>
      <c r="C20" s="12" t="s">
        <v>20</v>
      </c>
      <c r="D20" s="17">
        <v>45839</v>
      </c>
      <c r="E20">
        <v>0.87</v>
      </c>
      <c r="F20">
        <v>0.87</v>
      </c>
      <c r="H20">
        <v>0.05</v>
      </c>
      <c r="I20">
        <v>0.05</v>
      </c>
    </row>
    <row r="21" spans="2:9" x14ac:dyDescent="0.25">
      <c r="B21" t="s">
        <v>9</v>
      </c>
      <c r="C21" s="12" t="s">
        <v>21</v>
      </c>
      <c r="D21" s="17">
        <v>45870</v>
      </c>
      <c r="E21">
        <v>0.92</v>
      </c>
      <c r="F21">
        <v>0.92</v>
      </c>
      <c r="H21">
        <v>0.05</v>
      </c>
      <c r="I21">
        <v>0.05</v>
      </c>
    </row>
    <row r="22" spans="2:9" x14ac:dyDescent="0.25">
      <c r="B22" t="s">
        <v>9</v>
      </c>
      <c r="C22" s="12" t="s">
        <v>22</v>
      </c>
      <c r="D22" s="17">
        <v>45901</v>
      </c>
      <c r="E22">
        <v>0.94</v>
      </c>
      <c r="F22">
        <v>0.94</v>
      </c>
      <c r="H22">
        <v>0.02</v>
      </c>
      <c r="I22">
        <v>0.02</v>
      </c>
    </row>
    <row r="23" spans="2:9" x14ac:dyDescent="0.25">
      <c r="B23" t="s">
        <v>9</v>
      </c>
      <c r="C23" s="12" t="s">
        <v>23</v>
      </c>
      <c r="D23" s="17">
        <v>45931</v>
      </c>
      <c r="E23">
        <v>0.95</v>
      </c>
      <c r="F23">
        <v>0.95</v>
      </c>
      <c r="H23">
        <v>0.01</v>
      </c>
      <c r="I23">
        <v>0.01</v>
      </c>
    </row>
    <row r="24" spans="2:9" x14ac:dyDescent="0.25">
      <c r="B24" t="s">
        <v>9</v>
      </c>
      <c r="C24" s="12" t="s">
        <v>24</v>
      </c>
      <c r="D24" s="17">
        <v>45962</v>
      </c>
      <c r="E24">
        <v>0.98</v>
      </c>
      <c r="F24">
        <v>0.98</v>
      </c>
      <c r="H24">
        <v>0.03</v>
      </c>
      <c r="I24">
        <v>0.03</v>
      </c>
    </row>
    <row r="25" spans="2:9" x14ac:dyDescent="0.25">
      <c r="B25" t="s">
        <v>9</v>
      </c>
      <c r="C25" s="12" t="s">
        <v>25</v>
      </c>
      <c r="D25" s="17">
        <v>45992</v>
      </c>
      <c r="E25">
        <v>1</v>
      </c>
      <c r="F25">
        <v>1</v>
      </c>
      <c r="H25">
        <v>0.02</v>
      </c>
      <c r="I25">
        <v>0.02</v>
      </c>
    </row>
    <row r="26" spans="2:9" x14ac:dyDescent="0.25">
      <c r="B26" t="s">
        <v>9</v>
      </c>
      <c r="C26" s="12" t="s">
        <v>26</v>
      </c>
      <c r="D26" s="17">
        <v>46023</v>
      </c>
      <c r="E26">
        <v>1</v>
      </c>
      <c r="F26">
        <v>1</v>
      </c>
      <c r="H26">
        <v>0</v>
      </c>
      <c r="I26">
        <v>0</v>
      </c>
    </row>
    <row r="27" spans="2:9" x14ac:dyDescent="0.25">
      <c r="B27" t="s">
        <v>9</v>
      </c>
      <c r="C27" s="12" t="s">
        <v>27</v>
      </c>
      <c r="D27" s="17">
        <v>46054</v>
      </c>
      <c r="E27">
        <v>1</v>
      </c>
      <c r="F27">
        <v>1</v>
      </c>
      <c r="H27">
        <v>0</v>
      </c>
      <c r="I27">
        <v>0</v>
      </c>
    </row>
    <row r="28" spans="2:9" x14ac:dyDescent="0.25">
      <c r="B28" t="s">
        <v>9</v>
      </c>
      <c r="C28" s="12" t="s">
        <v>28</v>
      </c>
      <c r="D28" s="17">
        <v>46082</v>
      </c>
      <c r="E28">
        <v>1</v>
      </c>
      <c r="F28">
        <v>1</v>
      </c>
      <c r="H28">
        <v>0</v>
      </c>
      <c r="I28">
        <v>0</v>
      </c>
    </row>
    <row r="29" spans="2:9" x14ac:dyDescent="0.25">
      <c r="B29" t="s">
        <v>9</v>
      </c>
      <c r="C29" s="12" t="s">
        <v>29</v>
      </c>
      <c r="D29" s="17">
        <v>46113</v>
      </c>
      <c r="E29">
        <v>1</v>
      </c>
      <c r="F29">
        <v>1</v>
      </c>
      <c r="H29">
        <v>0</v>
      </c>
      <c r="I29">
        <v>0</v>
      </c>
    </row>
    <row r="30" spans="2:9" x14ac:dyDescent="0.25">
      <c r="B30" t="s">
        <v>9</v>
      </c>
      <c r="C30" s="12" t="s">
        <v>30</v>
      </c>
      <c r="D30" s="17">
        <v>46143</v>
      </c>
      <c r="E30">
        <v>1</v>
      </c>
      <c r="F30">
        <v>1</v>
      </c>
      <c r="H30">
        <v>0</v>
      </c>
      <c r="I30">
        <v>0</v>
      </c>
    </row>
    <row r="31" spans="2:9" x14ac:dyDescent="0.25">
      <c r="B31" t="s">
        <v>9</v>
      </c>
      <c r="C31" s="12" t="s">
        <v>31</v>
      </c>
      <c r="D31" s="17">
        <v>46174</v>
      </c>
      <c r="E31">
        <v>1</v>
      </c>
      <c r="F31">
        <v>1</v>
      </c>
      <c r="H31">
        <v>0</v>
      </c>
      <c r="I31">
        <v>0</v>
      </c>
    </row>
    <row r="32" spans="2:9" x14ac:dyDescent="0.25">
      <c r="B32" t="s">
        <v>9</v>
      </c>
      <c r="C32" s="12" t="s">
        <v>32</v>
      </c>
      <c r="D32" s="17">
        <v>46204</v>
      </c>
      <c r="E32">
        <v>1</v>
      </c>
      <c r="F32">
        <v>1</v>
      </c>
      <c r="H32">
        <v>0</v>
      </c>
      <c r="I32">
        <v>0</v>
      </c>
    </row>
    <row r="33" spans="2:10" x14ac:dyDescent="0.25">
      <c r="B33" t="s">
        <v>9</v>
      </c>
      <c r="C33" s="12" t="s">
        <v>33</v>
      </c>
      <c r="D33" s="17">
        <v>46235</v>
      </c>
      <c r="E33">
        <v>1</v>
      </c>
      <c r="F33">
        <v>1</v>
      </c>
      <c r="H33">
        <v>0</v>
      </c>
      <c r="I33">
        <v>0</v>
      </c>
    </row>
    <row r="34" spans="2:10" x14ac:dyDescent="0.25">
      <c r="B34" t="s">
        <v>34</v>
      </c>
      <c r="C34" s="12" t="s">
        <v>10</v>
      </c>
      <c r="D34" s="17">
        <v>45536</v>
      </c>
      <c r="E34">
        <v>0.03</v>
      </c>
      <c r="F34">
        <v>0.03</v>
      </c>
      <c r="G34">
        <v>0.01</v>
      </c>
      <c r="H34">
        <v>0.03</v>
      </c>
      <c r="I34">
        <v>0.03</v>
      </c>
      <c r="J34">
        <v>0.01</v>
      </c>
    </row>
    <row r="35" spans="2:10" x14ac:dyDescent="0.25">
      <c r="B35" t="s">
        <v>34</v>
      </c>
      <c r="C35" s="12" t="s">
        <v>11</v>
      </c>
      <c r="D35" s="17">
        <v>45566</v>
      </c>
      <c r="E35">
        <v>0.42</v>
      </c>
      <c r="F35">
        <v>0.42</v>
      </c>
      <c r="G35">
        <v>0.47</v>
      </c>
      <c r="H35">
        <v>0.39</v>
      </c>
      <c r="I35">
        <v>0.39</v>
      </c>
      <c r="J35">
        <v>0.46</v>
      </c>
    </row>
    <row r="36" spans="2:10" x14ac:dyDescent="0.25">
      <c r="B36" t="s">
        <v>34</v>
      </c>
      <c r="C36" s="12" t="s">
        <v>12</v>
      </c>
      <c r="D36" s="17">
        <v>45597</v>
      </c>
      <c r="E36">
        <v>0.86</v>
      </c>
      <c r="F36">
        <v>0.86</v>
      </c>
      <c r="H36">
        <v>0.44</v>
      </c>
      <c r="I36">
        <v>0.44</v>
      </c>
    </row>
    <row r="37" spans="2:10" x14ac:dyDescent="0.25">
      <c r="B37" t="s">
        <v>34</v>
      </c>
      <c r="C37" s="12" t="s">
        <v>13</v>
      </c>
      <c r="D37" s="17">
        <v>45627</v>
      </c>
      <c r="E37">
        <v>0.99</v>
      </c>
      <c r="F37">
        <v>0.99</v>
      </c>
      <c r="H37">
        <v>0.13</v>
      </c>
      <c r="I37">
        <v>0.13</v>
      </c>
    </row>
    <row r="38" spans="2:10" x14ac:dyDescent="0.25">
      <c r="B38" t="s">
        <v>34</v>
      </c>
      <c r="C38" s="12" t="s">
        <v>14</v>
      </c>
      <c r="D38" s="17">
        <v>45658</v>
      </c>
      <c r="E38">
        <v>1</v>
      </c>
      <c r="F38">
        <v>1</v>
      </c>
      <c r="H38">
        <v>0.01</v>
      </c>
      <c r="I38">
        <v>0.01</v>
      </c>
    </row>
    <row r="39" spans="2:10" x14ac:dyDescent="0.25">
      <c r="B39" t="s">
        <v>34</v>
      </c>
      <c r="C39" s="12" t="s">
        <v>15</v>
      </c>
      <c r="D39" s="17">
        <v>45689</v>
      </c>
      <c r="E39">
        <v>1</v>
      </c>
      <c r="F39">
        <v>1</v>
      </c>
      <c r="H39">
        <v>0</v>
      </c>
      <c r="I39">
        <v>0</v>
      </c>
    </row>
    <row r="40" spans="2:10" x14ac:dyDescent="0.25">
      <c r="B40" t="s">
        <v>34</v>
      </c>
      <c r="C40" s="12" t="s">
        <v>16</v>
      </c>
      <c r="D40" s="17">
        <v>45717</v>
      </c>
      <c r="E40">
        <v>1</v>
      </c>
      <c r="F40">
        <v>1</v>
      </c>
      <c r="H40">
        <v>0</v>
      </c>
      <c r="I40">
        <v>0</v>
      </c>
    </row>
    <row r="41" spans="2:10" x14ac:dyDescent="0.25">
      <c r="B41" t="s">
        <v>34</v>
      </c>
      <c r="C41" s="12" t="s">
        <v>17</v>
      </c>
      <c r="D41" s="17">
        <v>45748</v>
      </c>
      <c r="E41">
        <v>1</v>
      </c>
      <c r="F41">
        <v>1</v>
      </c>
      <c r="H41">
        <v>0</v>
      </c>
      <c r="I41">
        <v>0</v>
      </c>
    </row>
    <row r="42" spans="2:10" x14ac:dyDescent="0.25">
      <c r="B42" t="s">
        <v>34</v>
      </c>
      <c r="C42" s="12" t="s">
        <v>18</v>
      </c>
      <c r="D42" s="17">
        <v>45778</v>
      </c>
      <c r="E42">
        <v>1</v>
      </c>
      <c r="F42">
        <v>1</v>
      </c>
      <c r="H42">
        <v>0</v>
      </c>
      <c r="I42">
        <v>0</v>
      </c>
    </row>
    <row r="43" spans="2:10" x14ac:dyDescent="0.25">
      <c r="B43" t="s">
        <v>34</v>
      </c>
      <c r="C43" s="12" t="s">
        <v>19</v>
      </c>
      <c r="D43" s="17">
        <v>45809</v>
      </c>
      <c r="E43">
        <v>1</v>
      </c>
      <c r="F43">
        <v>1</v>
      </c>
      <c r="H43">
        <v>0</v>
      </c>
      <c r="I43">
        <v>0</v>
      </c>
    </row>
    <row r="44" spans="2:10" x14ac:dyDescent="0.25">
      <c r="B44" t="s">
        <v>34</v>
      </c>
      <c r="C44" s="12" t="s">
        <v>20</v>
      </c>
      <c r="D44" s="17">
        <v>45839</v>
      </c>
      <c r="E44">
        <v>1</v>
      </c>
      <c r="F44">
        <v>1</v>
      </c>
      <c r="H44">
        <v>0</v>
      </c>
      <c r="I44">
        <v>0</v>
      </c>
    </row>
    <row r="45" spans="2:10" x14ac:dyDescent="0.25">
      <c r="B45" t="s">
        <v>34</v>
      </c>
      <c r="C45" s="12" t="s">
        <v>21</v>
      </c>
      <c r="D45" s="17">
        <v>45870</v>
      </c>
      <c r="E45">
        <v>1</v>
      </c>
      <c r="F45">
        <v>1</v>
      </c>
      <c r="H45">
        <v>0</v>
      </c>
      <c r="I45">
        <v>0</v>
      </c>
    </row>
    <row r="46" spans="2:10" x14ac:dyDescent="0.25">
      <c r="B46" t="s">
        <v>34</v>
      </c>
      <c r="C46" s="12" t="s">
        <v>22</v>
      </c>
      <c r="D46" s="17">
        <v>45901</v>
      </c>
      <c r="E46">
        <v>1</v>
      </c>
      <c r="F46">
        <v>1</v>
      </c>
      <c r="H46">
        <v>0</v>
      </c>
      <c r="I46">
        <v>0</v>
      </c>
    </row>
    <row r="47" spans="2:10" x14ac:dyDescent="0.25">
      <c r="B47" t="s">
        <v>34</v>
      </c>
      <c r="C47" s="12" t="s">
        <v>23</v>
      </c>
      <c r="D47" s="17">
        <v>45931</v>
      </c>
      <c r="E47">
        <v>1</v>
      </c>
      <c r="F47">
        <v>1</v>
      </c>
      <c r="H47">
        <v>0</v>
      </c>
      <c r="I47">
        <v>0</v>
      </c>
    </row>
    <row r="48" spans="2:10" x14ac:dyDescent="0.25">
      <c r="B48" t="s">
        <v>34</v>
      </c>
      <c r="C48" s="12" t="s">
        <v>24</v>
      </c>
      <c r="D48" s="17">
        <v>45962</v>
      </c>
      <c r="E48">
        <v>1</v>
      </c>
      <c r="F48">
        <v>1</v>
      </c>
      <c r="H48">
        <v>0</v>
      </c>
      <c r="I48">
        <v>0</v>
      </c>
    </row>
    <row r="49" spans="2:10" x14ac:dyDescent="0.25">
      <c r="B49" t="s">
        <v>34</v>
      </c>
      <c r="C49" s="12" t="s">
        <v>25</v>
      </c>
      <c r="D49" s="17">
        <v>45992</v>
      </c>
      <c r="E49">
        <v>1</v>
      </c>
      <c r="F49">
        <v>1</v>
      </c>
      <c r="H49">
        <v>0</v>
      </c>
      <c r="I49">
        <v>0</v>
      </c>
    </row>
    <row r="50" spans="2:10" x14ac:dyDescent="0.25">
      <c r="B50" t="s">
        <v>34</v>
      </c>
      <c r="C50" s="12" t="s">
        <v>26</v>
      </c>
      <c r="D50" s="17">
        <v>46023</v>
      </c>
      <c r="E50">
        <v>1</v>
      </c>
      <c r="F50">
        <v>1</v>
      </c>
      <c r="H50">
        <v>0</v>
      </c>
      <c r="I50">
        <v>0</v>
      </c>
    </row>
    <row r="51" spans="2:10" x14ac:dyDescent="0.25">
      <c r="B51" t="s">
        <v>34</v>
      </c>
      <c r="C51" s="12" t="s">
        <v>27</v>
      </c>
      <c r="D51" s="17">
        <v>46054</v>
      </c>
      <c r="E51">
        <v>1</v>
      </c>
      <c r="F51">
        <v>1</v>
      </c>
      <c r="H51">
        <v>0</v>
      </c>
      <c r="I51">
        <v>0</v>
      </c>
    </row>
    <row r="52" spans="2:10" x14ac:dyDescent="0.25">
      <c r="B52" t="s">
        <v>34</v>
      </c>
      <c r="C52" s="12" t="s">
        <v>28</v>
      </c>
      <c r="D52" s="17">
        <v>46082</v>
      </c>
      <c r="E52">
        <v>1</v>
      </c>
      <c r="F52">
        <v>1</v>
      </c>
      <c r="H52">
        <v>0</v>
      </c>
      <c r="I52">
        <v>0</v>
      </c>
    </row>
    <row r="53" spans="2:10" x14ac:dyDescent="0.25">
      <c r="B53" t="s">
        <v>34</v>
      </c>
      <c r="C53" s="12" t="s">
        <v>29</v>
      </c>
      <c r="D53" s="17">
        <v>46113</v>
      </c>
      <c r="E53">
        <v>1</v>
      </c>
      <c r="F53">
        <v>1</v>
      </c>
      <c r="H53">
        <v>0</v>
      </c>
      <c r="I53">
        <v>0</v>
      </c>
    </row>
    <row r="54" spans="2:10" x14ac:dyDescent="0.25">
      <c r="B54" t="s">
        <v>34</v>
      </c>
      <c r="C54" s="12" t="s">
        <v>30</v>
      </c>
      <c r="D54" s="17">
        <v>46143</v>
      </c>
      <c r="E54">
        <v>1</v>
      </c>
      <c r="F54">
        <v>1</v>
      </c>
      <c r="H54">
        <v>0</v>
      </c>
      <c r="I54">
        <v>0</v>
      </c>
    </row>
    <row r="55" spans="2:10" x14ac:dyDescent="0.25">
      <c r="B55" t="s">
        <v>34</v>
      </c>
      <c r="C55" s="12" t="s">
        <v>31</v>
      </c>
      <c r="D55" s="17">
        <v>46174</v>
      </c>
      <c r="E55">
        <v>1</v>
      </c>
      <c r="F55">
        <v>1</v>
      </c>
      <c r="H55">
        <v>0</v>
      </c>
      <c r="I55">
        <v>0</v>
      </c>
    </row>
    <row r="56" spans="2:10" x14ac:dyDescent="0.25">
      <c r="B56" t="s">
        <v>34</v>
      </c>
      <c r="C56" s="12" t="s">
        <v>32</v>
      </c>
      <c r="D56" s="17">
        <v>46204</v>
      </c>
      <c r="E56">
        <v>1</v>
      </c>
      <c r="F56">
        <v>1</v>
      </c>
      <c r="H56">
        <v>0</v>
      </c>
      <c r="I56">
        <v>0</v>
      </c>
    </row>
    <row r="57" spans="2:10" x14ac:dyDescent="0.25">
      <c r="B57" t="s">
        <v>34</v>
      </c>
      <c r="C57" s="12" t="s">
        <v>33</v>
      </c>
      <c r="D57" s="17">
        <v>46235</v>
      </c>
      <c r="E57">
        <v>1</v>
      </c>
      <c r="F57">
        <v>1</v>
      </c>
      <c r="H57">
        <v>0</v>
      </c>
      <c r="I57">
        <v>0</v>
      </c>
    </row>
    <row r="58" spans="2:10" x14ac:dyDescent="0.25">
      <c r="B58" t="s">
        <v>35</v>
      </c>
      <c r="C58" s="12" t="s">
        <v>10</v>
      </c>
      <c r="D58" s="17">
        <v>45536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2:10" x14ac:dyDescent="0.25">
      <c r="B59" t="s">
        <v>35</v>
      </c>
      <c r="C59" s="12" t="s">
        <v>11</v>
      </c>
      <c r="D59" s="17">
        <v>45566</v>
      </c>
      <c r="E59">
        <v>0.2</v>
      </c>
      <c r="F59">
        <v>0.2</v>
      </c>
      <c r="G59">
        <v>0.13</v>
      </c>
      <c r="H59">
        <v>0.2</v>
      </c>
      <c r="I59">
        <v>0.2</v>
      </c>
      <c r="J59">
        <v>0.13</v>
      </c>
    </row>
    <row r="60" spans="2:10" x14ac:dyDescent="0.25">
      <c r="B60" t="s">
        <v>35</v>
      </c>
      <c r="C60" s="12" t="s">
        <v>12</v>
      </c>
      <c r="D60" s="17">
        <v>45597</v>
      </c>
      <c r="E60">
        <v>0.48</v>
      </c>
      <c r="F60">
        <v>0.48</v>
      </c>
      <c r="H60">
        <v>0.28000000000000003</v>
      </c>
      <c r="I60">
        <v>0.28000000000000003</v>
      </c>
    </row>
    <row r="61" spans="2:10" x14ac:dyDescent="0.25">
      <c r="B61" t="s">
        <v>35</v>
      </c>
      <c r="C61" s="12" t="s">
        <v>13</v>
      </c>
      <c r="D61" s="17">
        <v>45627</v>
      </c>
      <c r="E61">
        <v>0.59</v>
      </c>
      <c r="F61">
        <v>0.59</v>
      </c>
      <c r="H61">
        <v>0.11</v>
      </c>
      <c r="I61">
        <v>0.11</v>
      </c>
    </row>
    <row r="62" spans="2:10" x14ac:dyDescent="0.25">
      <c r="B62" t="s">
        <v>35</v>
      </c>
      <c r="C62" s="12" t="s">
        <v>14</v>
      </c>
      <c r="D62" s="17">
        <v>45658</v>
      </c>
      <c r="E62">
        <v>0.75</v>
      </c>
      <c r="F62">
        <v>0.75</v>
      </c>
      <c r="H62">
        <v>0.16</v>
      </c>
      <c r="I62">
        <v>0.16</v>
      </c>
    </row>
    <row r="63" spans="2:10" x14ac:dyDescent="0.25">
      <c r="B63" t="s">
        <v>35</v>
      </c>
      <c r="C63" s="12" t="s">
        <v>15</v>
      </c>
      <c r="D63" s="17">
        <v>45689</v>
      </c>
      <c r="E63">
        <v>0.96</v>
      </c>
      <c r="F63">
        <v>0.96</v>
      </c>
      <c r="H63">
        <v>0.21</v>
      </c>
      <c r="I63">
        <v>0.21</v>
      </c>
    </row>
    <row r="64" spans="2:10" x14ac:dyDescent="0.25">
      <c r="B64" t="s">
        <v>35</v>
      </c>
      <c r="C64" s="12" t="s">
        <v>16</v>
      </c>
      <c r="D64" s="17">
        <v>45717</v>
      </c>
      <c r="E64">
        <v>1</v>
      </c>
      <c r="F64">
        <v>1</v>
      </c>
      <c r="H64">
        <v>0.04</v>
      </c>
      <c r="I64">
        <v>0.04</v>
      </c>
    </row>
    <row r="65" spans="2:9" x14ac:dyDescent="0.25">
      <c r="B65" t="s">
        <v>35</v>
      </c>
      <c r="C65" s="12" t="s">
        <v>17</v>
      </c>
      <c r="D65" s="17">
        <v>45748</v>
      </c>
      <c r="E65">
        <v>1</v>
      </c>
      <c r="F65">
        <v>1</v>
      </c>
      <c r="H65">
        <v>0</v>
      </c>
      <c r="I65">
        <v>0</v>
      </c>
    </row>
    <row r="66" spans="2:9" x14ac:dyDescent="0.25">
      <c r="B66" t="s">
        <v>35</v>
      </c>
      <c r="C66" s="12" t="s">
        <v>18</v>
      </c>
      <c r="D66" s="17">
        <v>45778</v>
      </c>
      <c r="E66">
        <v>1</v>
      </c>
      <c r="F66">
        <v>1</v>
      </c>
      <c r="H66">
        <v>0</v>
      </c>
      <c r="I66">
        <v>0</v>
      </c>
    </row>
    <row r="67" spans="2:9" x14ac:dyDescent="0.25">
      <c r="B67" t="s">
        <v>35</v>
      </c>
      <c r="C67" s="12" t="s">
        <v>19</v>
      </c>
      <c r="D67" s="17">
        <v>45809</v>
      </c>
      <c r="E67">
        <v>1</v>
      </c>
      <c r="F67">
        <v>1</v>
      </c>
      <c r="H67">
        <v>0</v>
      </c>
      <c r="I67">
        <v>0</v>
      </c>
    </row>
    <row r="68" spans="2:9" x14ac:dyDescent="0.25">
      <c r="B68" t="s">
        <v>35</v>
      </c>
      <c r="C68" s="12" t="s">
        <v>20</v>
      </c>
      <c r="D68" s="17">
        <v>45839</v>
      </c>
      <c r="E68">
        <v>1</v>
      </c>
      <c r="F68">
        <v>1</v>
      </c>
      <c r="H68">
        <v>0</v>
      </c>
      <c r="I68">
        <v>0</v>
      </c>
    </row>
    <row r="69" spans="2:9" x14ac:dyDescent="0.25">
      <c r="B69" t="s">
        <v>35</v>
      </c>
      <c r="C69" s="12" t="s">
        <v>21</v>
      </c>
      <c r="D69" s="17">
        <v>45870</v>
      </c>
      <c r="E69">
        <v>1</v>
      </c>
      <c r="F69">
        <v>1</v>
      </c>
      <c r="H69">
        <v>0</v>
      </c>
      <c r="I69">
        <v>0</v>
      </c>
    </row>
    <row r="70" spans="2:9" x14ac:dyDescent="0.25">
      <c r="B70" t="s">
        <v>35</v>
      </c>
      <c r="C70" s="12" t="s">
        <v>22</v>
      </c>
      <c r="D70" s="17">
        <v>45901</v>
      </c>
      <c r="E70">
        <v>1</v>
      </c>
      <c r="F70">
        <v>1</v>
      </c>
      <c r="H70">
        <v>0</v>
      </c>
      <c r="I70">
        <v>0</v>
      </c>
    </row>
    <row r="71" spans="2:9" x14ac:dyDescent="0.25">
      <c r="B71" t="s">
        <v>35</v>
      </c>
      <c r="C71" s="12" t="s">
        <v>23</v>
      </c>
      <c r="D71" s="17">
        <v>45931</v>
      </c>
      <c r="E71">
        <v>1</v>
      </c>
      <c r="F71">
        <v>1</v>
      </c>
      <c r="H71">
        <v>0</v>
      </c>
      <c r="I71">
        <v>0</v>
      </c>
    </row>
    <row r="72" spans="2:9" x14ac:dyDescent="0.25">
      <c r="B72" t="s">
        <v>35</v>
      </c>
      <c r="C72" s="12" t="s">
        <v>24</v>
      </c>
      <c r="D72" s="17">
        <v>45962</v>
      </c>
      <c r="E72">
        <v>1</v>
      </c>
      <c r="F72">
        <v>1</v>
      </c>
      <c r="H72">
        <v>0</v>
      </c>
      <c r="I72">
        <v>0</v>
      </c>
    </row>
    <row r="73" spans="2:9" x14ac:dyDescent="0.25">
      <c r="B73" t="s">
        <v>35</v>
      </c>
      <c r="C73" s="12" t="s">
        <v>25</v>
      </c>
      <c r="D73" s="17">
        <v>45992</v>
      </c>
      <c r="E73">
        <v>1</v>
      </c>
      <c r="F73">
        <v>1</v>
      </c>
      <c r="H73">
        <v>0</v>
      </c>
      <c r="I73">
        <v>0</v>
      </c>
    </row>
    <row r="74" spans="2:9" x14ac:dyDescent="0.25">
      <c r="B74" t="s">
        <v>35</v>
      </c>
      <c r="C74" s="12" t="s">
        <v>26</v>
      </c>
      <c r="D74" s="17">
        <v>46023</v>
      </c>
      <c r="E74">
        <v>1</v>
      </c>
      <c r="F74">
        <v>1</v>
      </c>
      <c r="H74">
        <v>0</v>
      </c>
      <c r="I74">
        <v>0</v>
      </c>
    </row>
    <row r="75" spans="2:9" x14ac:dyDescent="0.25">
      <c r="B75" t="s">
        <v>35</v>
      </c>
      <c r="C75" s="12" t="s">
        <v>27</v>
      </c>
      <c r="D75" s="17">
        <v>46054</v>
      </c>
      <c r="E75">
        <v>1</v>
      </c>
      <c r="F75">
        <v>1</v>
      </c>
      <c r="H75">
        <v>0</v>
      </c>
      <c r="I75">
        <v>0</v>
      </c>
    </row>
    <row r="76" spans="2:9" x14ac:dyDescent="0.25">
      <c r="B76" t="s">
        <v>35</v>
      </c>
      <c r="C76" s="12" t="s">
        <v>28</v>
      </c>
      <c r="D76" s="17">
        <v>46082</v>
      </c>
      <c r="E76">
        <v>1</v>
      </c>
      <c r="F76">
        <v>1</v>
      </c>
      <c r="H76">
        <v>0</v>
      </c>
      <c r="I76">
        <v>0</v>
      </c>
    </row>
    <row r="77" spans="2:9" x14ac:dyDescent="0.25">
      <c r="B77" t="s">
        <v>35</v>
      </c>
      <c r="C77" s="12" t="s">
        <v>29</v>
      </c>
      <c r="D77" s="17">
        <v>46113</v>
      </c>
      <c r="E77">
        <v>1</v>
      </c>
      <c r="F77">
        <v>1</v>
      </c>
      <c r="H77">
        <v>0</v>
      </c>
      <c r="I77">
        <v>0</v>
      </c>
    </row>
    <row r="78" spans="2:9" x14ac:dyDescent="0.25">
      <c r="B78" t="s">
        <v>35</v>
      </c>
      <c r="C78" s="12" t="s">
        <v>30</v>
      </c>
      <c r="D78" s="17">
        <v>46143</v>
      </c>
      <c r="E78">
        <v>1</v>
      </c>
      <c r="F78">
        <v>1</v>
      </c>
      <c r="H78">
        <v>0</v>
      </c>
      <c r="I78">
        <v>0</v>
      </c>
    </row>
    <row r="79" spans="2:9" x14ac:dyDescent="0.25">
      <c r="B79" t="s">
        <v>35</v>
      </c>
      <c r="C79" s="12" t="s">
        <v>31</v>
      </c>
      <c r="D79" s="17">
        <v>46174</v>
      </c>
      <c r="E79">
        <v>1</v>
      </c>
      <c r="F79">
        <v>1</v>
      </c>
      <c r="H79">
        <v>0</v>
      </c>
      <c r="I79">
        <v>0</v>
      </c>
    </row>
    <row r="80" spans="2:9" x14ac:dyDescent="0.25">
      <c r="B80" t="s">
        <v>35</v>
      </c>
      <c r="C80" s="12" t="s">
        <v>32</v>
      </c>
      <c r="D80" s="17">
        <v>46204</v>
      </c>
      <c r="E80">
        <v>1</v>
      </c>
      <c r="F80">
        <v>1</v>
      </c>
      <c r="H80">
        <v>0</v>
      </c>
      <c r="I80">
        <v>0</v>
      </c>
    </row>
    <row r="81" spans="2:10" x14ac:dyDescent="0.25">
      <c r="B81" t="s">
        <v>35</v>
      </c>
      <c r="C81" s="12" t="s">
        <v>33</v>
      </c>
      <c r="D81" s="17">
        <v>46235</v>
      </c>
      <c r="E81">
        <v>1</v>
      </c>
      <c r="F81">
        <v>1</v>
      </c>
      <c r="H81">
        <v>0</v>
      </c>
      <c r="I81">
        <v>0</v>
      </c>
    </row>
    <row r="82" spans="2:10" x14ac:dyDescent="0.25">
      <c r="B82" t="s">
        <v>36</v>
      </c>
      <c r="C82" s="12" t="s">
        <v>10</v>
      </c>
      <c r="D82" s="17">
        <v>45536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2:10" x14ac:dyDescent="0.25">
      <c r="B83" t="s">
        <v>36</v>
      </c>
      <c r="C83" s="12" t="s">
        <v>11</v>
      </c>
      <c r="D83" s="17">
        <v>45566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2:10" x14ac:dyDescent="0.25">
      <c r="B84" t="s">
        <v>36</v>
      </c>
      <c r="C84" s="12" t="s">
        <v>12</v>
      </c>
      <c r="D84" s="17">
        <v>45597</v>
      </c>
      <c r="E84">
        <v>0</v>
      </c>
      <c r="F84">
        <v>0</v>
      </c>
      <c r="H84">
        <v>0</v>
      </c>
      <c r="I84">
        <v>0</v>
      </c>
    </row>
    <row r="85" spans="2:10" x14ac:dyDescent="0.25">
      <c r="B85" t="s">
        <v>36</v>
      </c>
      <c r="C85" s="12" t="s">
        <v>13</v>
      </c>
      <c r="D85" s="17">
        <v>45627</v>
      </c>
      <c r="E85">
        <v>0.03</v>
      </c>
      <c r="F85">
        <v>0.03</v>
      </c>
      <c r="H85">
        <v>0.03</v>
      </c>
      <c r="I85">
        <v>0.03</v>
      </c>
    </row>
    <row r="86" spans="2:10" x14ac:dyDescent="0.25">
      <c r="B86" t="s">
        <v>36</v>
      </c>
      <c r="C86" s="12" t="s">
        <v>14</v>
      </c>
      <c r="D86" s="17">
        <v>45658</v>
      </c>
      <c r="E86">
        <v>0.09</v>
      </c>
      <c r="F86">
        <v>0.09</v>
      </c>
      <c r="H86">
        <v>0.06</v>
      </c>
      <c r="I86">
        <v>0.06</v>
      </c>
    </row>
    <row r="87" spans="2:10" x14ac:dyDescent="0.25">
      <c r="B87" t="s">
        <v>36</v>
      </c>
      <c r="C87" s="12" t="s">
        <v>15</v>
      </c>
      <c r="D87" s="17">
        <v>45689</v>
      </c>
      <c r="E87">
        <v>0.25</v>
      </c>
      <c r="F87">
        <v>0.25</v>
      </c>
      <c r="H87">
        <v>0.16</v>
      </c>
      <c r="I87">
        <v>0.16</v>
      </c>
    </row>
    <row r="88" spans="2:10" x14ac:dyDescent="0.25">
      <c r="B88" t="s">
        <v>36</v>
      </c>
      <c r="C88" s="12" t="s">
        <v>16</v>
      </c>
      <c r="D88" s="17">
        <v>45717</v>
      </c>
      <c r="E88">
        <v>0.46</v>
      </c>
      <c r="F88">
        <v>0.46</v>
      </c>
      <c r="H88">
        <v>0.21</v>
      </c>
      <c r="I88">
        <v>0.21</v>
      </c>
    </row>
    <row r="89" spans="2:10" x14ac:dyDescent="0.25">
      <c r="B89" t="s">
        <v>36</v>
      </c>
      <c r="C89" s="12" t="s">
        <v>17</v>
      </c>
      <c r="D89" s="17">
        <v>45748</v>
      </c>
      <c r="E89">
        <v>0.69</v>
      </c>
      <c r="F89">
        <v>0.69</v>
      </c>
      <c r="H89">
        <v>0.23</v>
      </c>
      <c r="I89">
        <v>0.23</v>
      </c>
    </row>
    <row r="90" spans="2:10" x14ac:dyDescent="0.25">
      <c r="B90" t="s">
        <v>36</v>
      </c>
      <c r="C90" s="12" t="s">
        <v>18</v>
      </c>
      <c r="D90" s="17">
        <v>45778</v>
      </c>
      <c r="E90">
        <v>0.7</v>
      </c>
      <c r="F90">
        <v>0.7</v>
      </c>
      <c r="H90">
        <v>0.01</v>
      </c>
      <c r="I90">
        <v>0.01</v>
      </c>
    </row>
    <row r="91" spans="2:10" x14ac:dyDescent="0.25">
      <c r="B91" t="s">
        <v>36</v>
      </c>
      <c r="C91" s="12" t="s">
        <v>19</v>
      </c>
      <c r="D91" s="17">
        <v>45809</v>
      </c>
      <c r="E91">
        <v>0.75</v>
      </c>
      <c r="F91">
        <v>0.75</v>
      </c>
      <c r="H91">
        <v>0.05</v>
      </c>
      <c r="I91">
        <v>0.05</v>
      </c>
    </row>
    <row r="92" spans="2:10" x14ac:dyDescent="0.25">
      <c r="B92" t="s">
        <v>36</v>
      </c>
      <c r="C92" s="12" t="s">
        <v>20</v>
      </c>
      <c r="D92" s="17">
        <v>45839</v>
      </c>
      <c r="E92">
        <v>0.81</v>
      </c>
      <c r="F92">
        <v>0.81</v>
      </c>
      <c r="H92">
        <v>0.06</v>
      </c>
      <c r="I92">
        <v>0.06</v>
      </c>
    </row>
    <row r="93" spans="2:10" x14ac:dyDescent="0.25">
      <c r="B93" t="s">
        <v>36</v>
      </c>
      <c r="C93" s="12" t="s">
        <v>21</v>
      </c>
      <c r="D93" s="17">
        <v>45870</v>
      </c>
      <c r="E93">
        <v>0.88</v>
      </c>
      <c r="F93">
        <v>0.88</v>
      </c>
      <c r="H93">
        <v>7.0000000000000007E-2</v>
      </c>
      <c r="I93">
        <v>7.0000000000000007E-2</v>
      </c>
    </row>
    <row r="94" spans="2:10" x14ac:dyDescent="0.25">
      <c r="B94" t="s">
        <v>36</v>
      </c>
      <c r="C94" s="12" t="s">
        <v>22</v>
      </c>
      <c r="D94" s="17">
        <v>45901</v>
      </c>
      <c r="E94">
        <v>0.92</v>
      </c>
      <c r="F94">
        <v>0.92</v>
      </c>
      <c r="H94">
        <v>0.04</v>
      </c>
      <c r="I94">
        <v>0.04</v>
      </c>
    </row>
    <row r="95" spans="2:10" x14ac:dyDescent="0.25">
      <c r="B95" t="s">
        <v>36</v>
      </c>
      <c r="C95" s="12" t="s">
        <v>23</v>
      </c>
      <c r="D95" s="17">
        <v>45931</v>
      </c>
      <c r="E95">
        <v>0.93</v>
      </c>
      <c r="F95">
        <v>0.93</v>
      </c>
      <c r="H95">
        <v>0.01</v>
      </c>
      <c r="I95">
        <v>0.01</v>
      </c>
    </row>
    <row r="96" spans="2:10" x14ac:dyDescent="0.25">
      <c r="B96" t="s">
        <v>36</v>
      </c>
      <c r="C96" s="12" t="s">
        <v>24</v>
      </c>
      <c r="D96" s="17">
        <v>45962</v>
      </c>
      <c r="E96">
        <v>0.97</v>
      </c>
      <c r="F96">
        <v>0.97</v>
      </c>
      <c r="H96">
        <v>0.04</v>
      </c>
      <c r="I96">
        <v>0.04</v>
      </c>
    </row>
    <row r="97" spans="2:10" x14ac:dyDescent="0.25">
      <c r="B97" t="s">
        <v>36</v>
      </c>
      <c r="C97" s="12" t="s">
        <v>25</v>
      </c>
      <c r="D97" s="17">
        <v>45992</v>
      </c>
      <c r="E97">
        <v>1</v>
      </c>
      <c r="F97">
        <v>1</v>
      </c>
      <c r="H97">
        <v>0.03</v>
      </c>
      <c r="I97">
        <v>0.03</v>
      </c>
    </row>
    <row r="98" spans="2:10" x14ac:dyDescent="0.25">
      <c r="B98" t="s">
        <v>36</v>
      </c>
      <c r="C98" s="12" t="s">
        <v>26</v>
      </c>
      <c r="D98" s="17">
        <v>46023</v>
      </c>
      <c r="E98">
        <v>1</v>
      </c>
      <c r="F98">
        <v>1</v>
      </c>
      <c r="H98">
        <v>0</v>
      </c>
      <c r="I98">
        <v>0</v>
      </c>
    </row>
    <row r="99" spans="2:10" x14ac:dyDescent="0.25">
      <c r="B99" t="s">
        <v>36</v>
      </c>
      <c r="C99" s="12" t="s">
        <v>27</v>
      </c>
      <c r="D99" s="17">
        <v>46054</v>
      </c>
      <c r="E99">
        <v>1</v>
      </c>
      <c r="F99">
        <v>1</v>
      </c>
      <c r="H99">
        <v>0</v>
      </c>
      <c r="I99">
        <v>0</v>
      </c>
    </row>
    <row r="100" spans="2:10" x14ac:dyDescent="0.25">
      <c r="B100" t="s">
        <v>36</v>
      </c>
      <c r="C100" s="12" t="s">
        <v>28</v>
      </c>
      <c r="D100" s="17">
        <v>46082</v>
      </c>
      <c r="E100">
        <v>1</v>
      </c>
      <c r="F100">
        <v>1</v>
      </c>
      <c r="H100">
        <v>0</v>
      </c>
      <c r="I100">
        <v>0</v>
      </c>
    </row>
    <row r="101" spans="2:10" x14ac:dyDescent="0.25">
      <c r="B101" t="s">
        <v>36</v>
      </c>
      <c r="C101" s="12" t="s">
        <v>29</v>
      </c>
      <c r="D101" s="17">
        <v>46113</v>
      </c>
      <c r="E101">
        <v>1</v>
      </c>
      <c r="F101">
        <v>1</v>
      </c>
      <c r="H101">
        <v>0</v>
      </c>
      <c r="I101">
        <v>0</v>
      </c>
    </row>
    <row r="102" spans="2:10" x14ac:dyDescent="0.25">
      <c r="B102" t="s">
        <v>36</v>
      </c>
      <c r="C102" s="12" t="s">
        <v>30</v>
      </c>
      <c r="D102" s="17">
        <v>46143</v>
      </c>
      <c r="E102">
        <v>1</v>
      </c>
      <c r="F102">
        <v>1</v>
      </c>
      <c r="H102">
        <v>0</v>
      </c>
      <c r="I102">
        <v>0</v>
      </c>
    </row>
    <row r="103" spans="2:10" x14ac:dyDescent="0.25">
      <c r="B103" t="s">
        <v>36</v>
      </c>
      <c r="C103" s="12" t="s">
        <v>31</v>
      </c>
      <c r="D103" s="17">
        <v>46174</v>
      </c>
      <c r="E103">
        <v>1</v>
      </c>
      <c r="F103">
        <v>1</v>
      </c>
      <c r="H103">
        <v>0</v>
      </c>
      <c r="I103">
        <v>0</v>
      </c>
    </row>
    <row r="104" spans="2:10" x14ac:dyDescent="0.25">
      <c r="B104" t="s">
        <v>36</v>
      </c>
      <c r="C104" s="12" t="s">
        <v>32</v>
      </c>
      <c r="D104" s="17">
        <v>46204</v>
      </c>
      <c r="E104">
        <v>1</v>
      </c>
      <c r="F104">
        <v>1</v>
      </c>
      <c r="H104">
        <v>0</v>
      </c>
      <c r="I104">
        <v>0</v>
      </c>
    </row>
    <row r="105" spans="2:10" x14ac:dyDescent="0.25">
      <c r="B105" t="s">
        <v>36</v>
      </c>
      <c r="C105" s="12" t="s">
        <v>33</v>
      </c>
      <c r="D105" s="17">
        <v>46235</v>
      </c>
      <c r="E105">
        <v>1</v>
      </c>
      <c r="F105">
        <v>1</v>
      </c>
      <c r="H105">
        <v>0</v>
      </c>
      <c r="I105">
        <v>0</v>
      </c>
    </row>
    <row r="106" spans="2:10" x14ac:dyDescent="0.25">
      <c r="B106" t="s">
        <v>37</v>
      </c>
      <c r="C106" s="12" t="s">
        <v>10</v>
      </c>
      <c r="D106" s="17">
        <v>45536</v>
      </c>
      <c r="E106">
        <v>0.64</v>
      </c>
      <c r="F106">
        <v>0.64</v>
      </c>
      <c r="G106">
        <v>0.53</v>
      </c>
      <c r="H106">
        <v>0.64</v>
      </c>
      <c r="I106">
        <v>0.64</v>
      </c>
      <c r="J106">
        <v>0.53</v>
      </c>
    </row>
    <row r="107" spans="2:10" x14ac:dyDescent="0.25">
      <c r="B107" t="s">
        <v>37</v>
      </c>
      <c r="C107" s="12" t="s">
        <v>11</v>
      </c>
      <c r="D107" s="17">
        <v>45566</v>
      </c>
      <c r="E107">
        <v>1</v>
      </c>
      <c r="F107">
        <v>1</v>
      </c>
      <c r="G107">
        <v>0.81</v>
      </c>
      <c r="H107">
        <v>0.36</v>
      </c>
      <c r="I107">
        <v>0.36</v>
      </c>
      <c r="J107">
        <v>0.28000000000000003</v>
      </c>
    </row>
    <row r="108" spans="2:10" x14ac:dyDescent="0.25">
      <c r="B108" t="s">
        <v>37</v>
      </c>
      <c r="C108" s="12" t="s">
        <v>12</v>
      </c>
      <c r="D108" s="17">
        <v>45597</v>
      </c>
      <c r="E108">
        <v>1</v>
      </c>
      <c r="F108">
        <v>1</v>
      </c>
      <c r="H108">
        <v>0</v>
      </c>
      <c r="I108">
        <v>0</v>
      </c>
    </row>
    <row r="109" spans="2:10" x14ac:dyDescent="0.25">
      <c r="B109" t="s">
        <v>37</v>
      </c>
      <c r="C109" s="12" t="s">
        <v>13</v>
      </c>
      <c r="D109" s="17">
        <v>45627</v>
      </c>
      <c r="E109">
        <v>1</v>
      </c>
      <c r="F109">
        <v>1</v>
      </c>
      <c r="H109">
        <v>0</v>
      </c>
      <c r="I109">
        <v>0</v>
      </c>
    </row>
    <row r="110" spans="2:10" x14ac:dyDescent="0.25">
      <c r="B110" t="s">
        <v>37</v>
      </c>
      <c r="C110" s="12" t="s">
        <v>14</v>
      </c>
      <c r="D110" s="17">
        <v>45658</v>
      </c>
      <c r="E110">
        <v>1</v>
      </c>
      <c r="F110">
        <v>1</v>
      </c>
      <c r="H110">
        <v>0</v>
      </c>
      <c r="I110">
        <v>0</v>
      </c>
    </row>
    <row r="111" spans="2:10" x14ac:dyDescent="0.25">
      <c r="B111" t="s">
        <v>37</v>
      </c>
      <c r="C111" s="12" t="s">
        <v>15</v>
      </c>
      <c r="D111" s="17">
        <v>45689</v>
      </c>
      <c r="E111">
        <v>1</v>
      </c>
      <c r="F111">
        <v>1</v>
      </c>
      <c r="H111">
        <v>0</v>
      </c>
      <c r="I111">
        <v>0</v>
      </c>
    </row>
    <row r="112" spans="2:10" x14ac:dyDescent="0.25">
      <c r="B112" t="s">
        <v>37</v>
      </c>
      <c r="C112" s="12" t="s">
        <v>16</v>
      </c>
      <c r="D112" s="17">
        <v>45717</v>
      </c>
      <c r="E112">
        <v>1</v>
      </c>
      <c r="F112">
        <v>1</v>
      </c>
      <c r="H112">
        <v>0</v>
      </c>
      <c r="I112">
        <v>0</v>
      </c>
    </row>
    <row r="113" spans="2:9" x14ac:dyDescent="0.25">
      <c r="B113" t="s">
        <v>37</v>
      </c>
      <c r="C113" s="12" t="s">
        <v>17</v>
      </c>
      <c r="D113" s="17">
        <v>45748</v>
      </c>
      <c r="E113">
        <v>1</v>
      </c>
      <c r="F113">
        <v>1</v>
      </c>
      <c r="H113">
        <v>0</v>
      </c>
      <c r="I113">
        <v>0</v>
      </c>
    </row>
    <row r="114" spans="2:9" x14ac:dyDescent="0.25">
      <c r="B114" t="s">
        <v>37</v>
      </c>
      <c r="C114" s="12" t="s">
        <v>18</v>
      </c>
      <c r="D114" s="17">
        <v>45778</v>
      </c>
      <c r="E114">
        <v>1</v>
      </c>
      <c r="F114">
        <v>1</v>
      </c>
      <c r="H114">
        <v>0</v>
      </c>
      <c r="I114">
        <v>0</v>
      </c>
    </row>
    <row r="115" spans="2:9" x14ac:dyDescent="0.25">
      <c r="B115" t="s">
        <v>37</v>
      </c>
      <c r="C115" s="12" t="s">
        <v>19</v>
      </c>
      <c r="D115" s="17">
        <v>45809</v>
      </c>
      <c r="E115">
        <v>1</v>
      </c>
      <c r="F115">
        <v>1</v>
      </c>
      <c r="H115">
        <v>0</v>
      </c>
      <c r="I115">
        <v>0</v>
      </c>
    </row>
    <row r="116" spans="2:9" x14ac:dyDescent="0.25">
      <c r="B116" t="s">
        <v>37</v>
      </c>
      <c r="C116" s="12" t="s">
        <v>20</v>
      </c>
      <c r="D116" s="17">
        <v>45839</v>
      </c>
      <c r="E116">
        <v>1</v>
      </c>
      <c r="F116">
        <v>1</v>
      </c>
      <c r="H116">
        <v>0</v>
      </c>
      <c r="I116">
        <v>0</v>
      </c>
    </row>
    <row r="117" spans="2:9" x14ac:dyDescent="0.25">
      <c r="B117" t="s">
        <v>37</v>
      </c>
      <c r="C117" s="12" t="s">
        <v>21</v>
      </c>
      <c r="D117" s="17">
        <v>45870</v>
      </c>
      <c r="E117">
        <v>1</v>
      </c>
      <c r="F117">
        <v>1</v>
      </c>
      <c r="H117">
        <v>0</v>
      </c>
      <c r="I117">
        <v>0</v>
      </c>
    </row>
    <row r="118" spans="2:9" x14ac:dyDescent="0.25">
      <c r="B118" t="s">
        <v>37</v>
      </c>
      <c r="C118" s="12" t="s">
        <v>22</v>
      </c>
      <c r="D118" s="17">
        <v>45901</v>
      </c>
      <c r="E118">
        <v>1</v>
      </c>
      <c r="F118">
        <v>1</v>
      </c>
      <c r="H118">
        <v>0</v>
      </c>
      <c r="I118">
        <v>0</v>
      </c>
    </row>
    <row r="119" spans="2:9" x14ac:dyDescent="0.25">
      <c r="B119" t="s">
        <v>37</v>
      </c>
      <c r="C119" s="12" t="s">
        <v>23</v>
      </c>
      <c r="D119" s="17">
        <v>45931</v>
      </c>
      <c r="E119">
        <v>1</v>
      </c>
      <c r="F119">
        <v>1</v>
      </c>
      <c r="H119">
        <v>0</v>
      </c>
      <c r="I119">
        <v>0</v>
      </c>
    </row>
    <row r="120" spans="2:9" x14ac:dyDescent="0.25">
      <c r="B120" t="s">
        <v>37</v>
      </c>
      <c r="C120" s="12" t="s">
        <v>24</v>
      </c>
      <c r="D120" s="17">
        <v>45962</v>
      </c>
      <c r="E120">
        <v>1</v>
      </c>
      <c r="F120">
        <v>1</v>
      </c>
      <c r="H120">
        <v>0</v>
      </c>
      <c r="I120">
        <v>0</v>
      </c>
    </row>
    <row r="121" spans="2:9" x14ac:dyDescent="0.25">
      <c r="B121" t="s">
        <v>37</v>
      </c>
      <c r="C121" s="12" t="s">
        <v>25</v>
      </c>
      <c r="D121" s="17">
        <v>45992</v>
      </c>
      <c r="E121">
        <v>1</v>
      </c>
      <c r="F121">
        <v>1</v>
      </c>
      <c r="H121">
        <v>0</v>
      </c>
      <c r="I121">
        <v>0</v>
      </c>
    </row>
    <row r="122" spans="2:9" x14ac:dyDescent="0.25">
      <c r="B122" t="s">
        <v>37</v>
      </c>
      <c r="C122" s="12" t="s">
        <v>26</v>
      </c>
      <c r="D122" s="17">
        <v>46023</v>
      </c>
      <c r="E122">
        <v>1</v>
      </c>
      <c r="F122">
        <v>1</v>
      </c>
      <c r="H122">
        <v>0</v>
      </c>
      <c r="I122">
        <v>0</v>
      </c>
    </row>
    <row r="123" spans="2:9" x14ac:dyDescent="0.25">
      <c r="B123" t="s">
        <v>37</v>
      </c>
      <c r="C123" s="12" t="s">
        <v>27</v>
      </c>
      <c r="D123" s="17">
        <v>46054</v>
      </c>
      <c r="E123">
        <v>1</v>
      </c>
      <c r="F123">
        <v>1</v>
      </c>
      <c r="H123">
        <v>0</v>
      </c>
      <c r="I123">
        <v>0</v>
      </c>
    </row>
    <row r="124" spans="2:9" x14ac:dyDescent="0.25">
      <c r="B124" t="s">
        <v>37</v>
      </c>
      <c r="C124" s="12" t="s">
        <v>28</v>
      </c>
      <c r="D124" s="17">
        <v>46082</v>
      </c>
      <c r="E124">
        <v>1</v>
      </c>
      <c r="F124">
        <v>1</v>
      </c>
      <c r="H124">
        <v>0</v>
      </c>
      <c r="I124">
        <v>0</v>
      </c>
    </row>
    <row r="125" spans="2:9" x14ac:dyDescent="0.25">
      <c r="B125" t="s">
        <v>37</v>
      </c>
      <c r="C125" s="12" t="s">
        <v>29</v>
      </c>
      <c r="D125" s="17">
        <v>46113</v>
      </c>
      <c r="E125">
        <v>1</v>
      </c>
      <c r="F125">
        <v>1</v>
      </c>
      <c r="H125">
        <v>0</v>
      </c>
      <c r="I125">
        <v>0</v>
      </c>
    </row>
    <row r="126" spans="2:9" x14ac:dyDescent="0.25">
      <c r="B126" t="s">
        <v>37</v>
      </c>
      <c r="C126" s="12" t="s">
        <v>30</v>
      </c>
      <c r="D126" s="17">
        <v>46143</v>
      </c>
      <c r="E126">
        <v>1</v>
      </c>
      <c r="F126">
        <v>1</v>
      </c>
      <c r="H126">
        <v>0</v>
      </c>
      <c r="I126">
        <v>0</v>
      </c>
    </row>
    <row r="127" spans="2:9" x14ac:dyDescent="0.25">
      <c r="B127" t="s">
        <v>37</v>
      </c>
      <c r="C127" s="12" t="s">
        <v>31</v>
      </c>
      <c r="D127" s="17">
        <v>46174</v>
      </c>
      <c r="E127">
        <v>1</v>
      </c>
      <c r="F127">
        <v>1</v>
      </c>
      <c r="H127">
        <v>0</v>
      </c>
      <c r="I127">
        <v>0</v>
      </c>
    </row>
    <row r="128" spans="2:9" x14ac:dyDescent="0.25">
      <c r="B128" t="s">
        <v>37</v>
      </c>
      <c r="C128" s="12" t="s">
        <v>32</v>
      </c>
      <c r="D128" s="17">
        <v>46204</v>
      </c>
      <c r="E128">
        <v>1</v>
      </c>
      <c r="F128">
        <v>1</v>
      </c>
      <c r="H128">
        <v>0</v>
      </c>
      <c r="I128">
        <v>0</v>
      </c>
    </row>
    <row r="129" spans="2:9" x14ac:dyDescent="0.25">
      <c r="B129" t="s">
        <v>37</v>
      </c>
      <c r="C129" s="12" t="s">
        <v>33</v>
      </c>
      <c r="D129" s="17">
        <v>46235</v>
      </c>
      <c r="E129">
        <v>1</v>
      </c>
      <c r="F129">
        <v>1</v>
      </c>
      <c r="H129">
        <v>0</v>
      </c>
      <c r="I129">
        <v>0</v>
      </c>
    </row>
    <row r="130" spans="2:9" x14ac:dyDescent="0.25">
      <c r="B130" t="s">
        <v>52</v>
      </c>
      <c r="C130" s="12" t="s">
        <v>53</v>
      </c>
      <c r="D130" s="13"/>
      <c r="E130">
        <v>0</v>
      </c>
      <c r="H130">
        <v>0</v>
      </c>
    </row>
    <row r="131" spans="2:9" x14ac:dyDescent="0.25">
      <c r="B131" t="s">
        <v>52</v>
      </c>
      <c r="C131" s="12" t="s">
        <v>53</v>
      </c>
      <c r="D131" s="13"/>
      <c r="E131">
        <v>0</v>
      </c>
      <c r="H131">
        <v>0</v>
      </c>
    </row>
    <row r="132" spans="2:9" x14ac:dyDescent="0.25">
      <c r="B132" t="s">
        <v>52</v>
      </c>
      <c r="C132" s="12" t="s">
        <v>53</v>
      </c>
      <c r="D132" s="13"/>
      <c r="E132">
        <v>0</v>
      </c>
      <c r="H132">
        <v>0</v>
      </c>
    </row>
    <row r="133" spans="2:9" x14ac:dyDescent="0.25">
      <c r="B133" t="s">
        <v>52</v>
      </c>
      <c r="C133" s="12" t="s">
        <v>53</v>
      </c>
      <c r="D133" s="13"/>
      <c r="E133">
        <v>0</v>
      </c>
      <c r="H133">
        <v>0</v>
      </c>
    </row>
    <row r="134" spans="2:9" x14ac:dyDescent="0.25">
      <c r="B134" t="s">
        <v>52</v>
      </c>
      <c r="C134" s="12" t="s">
        <v>53</v>
      </c>
      <c r="D134" s="13"/>
      <c r="E134">
        <v>0</v>
      </c>
      <c r="H134">
        <v>0</v>
      </c>
    </row>
    <row r="135" spans="2:9" x14ac:dyDescent="0.25">
      <c r="B135" t="s">
        <v>52</v>
      </c>
      <c r="C135" s="12" t="s">
        <v>53</v>
      </c>
      <c r="D135" s="13"/>
      <c r="E135">
        <v>0</v>
      </c>
      <c r="H135">
        <v>0</v>
      </c>
    </row>
    <row r="136" spans="2:9" x14ac:dyDescent="0.25">
      <c r="B136" t="s">
        <v>52</v>
      </c>
      <c r="C136" s="12" t="s">
        <v>53</v>
      </c>
      <c r="D136" s="13"/>
      <c r="E136">
        <v>0</v>
      </c>
      <c r="H136">
        <v>0</v>
      </c>
    </row>
    <row r="137" spans="2:9" x14ac:dyDescent="0.25">
      <c r="B137" t="s">
        <v>52</v>
      </c>
      <c r="C137" s="12" t="s">
        <v>53</v>
      </c>
      <c r="D137" s="13"/>
      <c r="E137">
        <v>0</v>
      </c>
      <c r="H137">
        <v>0</v>
      </c>
    </row>
    <row r="138" spans="2:9" x14ac:dyDescent="0.25">
      <c r="B138" t="s">
        <v>52</v>
      </c>
      <c r="C138" t="s">
        <v>53</v>
      </c>
      <c r="E138">
        <v>0</v>
      </c>
      <c r="H138">
        <v>0</v>
      </c>
    </row>
    <row r="139" spans="2:9" x14ac:dyDescent="0.25">
      <c r="B139" t="s">
        <v>52</v>
      </c>
      <c r="C139" t="s">
        <v>53</v>
      </c>
      <c r="E139">
        <v>0</v>
      </c>
      <c r="H139">
        <v>0</v>
      </c>
    </row>
    <row r="140" spans="2:9" x14ac:dyDescent="0.25">
      <c r="B140" t="s">
        <v>52</v>
      </c>
      <c r="C140" t="s">
        <v>53</v>
      </c>
      <c r="E140">
        <v>0</v>
      </c>
      <c r="H140">
        <v>0</v>
      </c>
    </row>
    <row r="141" spans="2:9" x14ac:dyDescent="0.25">
      <c r="B141" t="s">
        <v>52</v>
      </c>
      <c r="C141" t="s">
        <v>53</v>
      </c>
      <c r="E141">
        <v>0</v>
      </c>
      <c r="H141">
        <v>0</v>
      </c>
    </row>
    <row r="142" spans="2:9" x14ac:dyDescent="0.25">
      <c r="B142" t="s">
        <v>52</v>
      </c>
      <c r="C142" t="s">
        <v>53</v>
      </c>
      <c r="E142">
        <v>0</v>
      </c>
      <c r="H142">
        <v>0</v>
      </c>
    </row>
    <row r="143" spans="2:9" x14ac:dyDescent="0.25">
      <c r="B143" t="s">
        <v>52</v>
      </c>
      <c r="C143" t="s">
        <v>53</v>
      </c>
      <c r="E143">
        <v>0</v>
      </c>
      <c r="H143">
        <v>0</v>
      </c>
    </row>
    <row r="144" spans="2:9" x14ac:dyDescent="0.25">
      <c r="B144" t="s">
        <v>52</v>
      </c>
      <c r="C144" t="s">
        <v>53</v>
      </c>
      <c r="E144">
        <v>0</v>
      </c>
      <c r="H144">
        <v>0</v>
      </c>
    </row>
    <row r="145" spans="2:8" x14ac:dyDescent="0.25">
      <c r="B145" t="s">
        <v>52</v>
      </c>
      <c r="C145" t="s">
        <v>53</v>
      </c>
      <c r="E145">
        <v>0</v>
      </c>
      <c r="H145">
        <v>0</v>
      </c>
    </row>
    <row r="146" spans="2:8" x14ac:dyDescent="0.25">
      <c r="B146" t="s">
        <v>52</v>
      </c>
      <c r="C146" t="s">
        <v>53</v>
      </c>
      <c r="E146">
        <v>0</v>
      </c>
      <c r="H146">
        <v>0</v>
      </c>
    </row>
    <row r="147" spans="2:8" x14ac:dyDescent="0.25">
      <c r="B147" t="s">
        <v>52</v>
      </c>
      <c r="C147" t="s">
        <v>53</v>
      </c>
      <c r="E147">
        <v>0</v>
      </c>
      <c r="H147">
        <v>0</v>
      </c>
    </row>
    <row r="148" spans="2:8" x14ac:dyDescent="0.25">
      <c r="B148" t="s">
        <v>52</v>
      </c>
      <c r="C148" t="s">
        <v>53</v>
      </c>
      <c r="E148">
        <v>0</v>
      </c>
      <c r="H148">
        <v>0</v>
      </c>
    </row>
    <row r="149" spans="2:8" x14ac:dyDescent="0.25">
      <c r="B149" t="s">
        <v>52</v>
      </c>
      <c r="C149" t="s">
        <v>53</v>
      </c>
      <c r="E149">
        <v>0</v>
      </c>
      <c r="H149">
        <v>0</v>
      </c>
    </row>
    <row r="150" spans="2:8" x14ac:dyDescent="0.25">
      <c r="B150" t="s">
        <v>52</v>
      </c>
      <c r="C150" t="s">
        <v>53</v>
      </c>
      <c r="E150">
        <v>0</v>
      </c>
      <c r="H150">
        <v>0</v>
      </c>
    </row>
    <row r="151" spans="2:8" x14ac:dyDescent="0.25">
      <c r="B151" t="s">
        <v>52</v>
      </c>
      <c r="C151" t="s">
        <v>53</v>
      </c>
      <c r="E151">
        <v>0</v>
      </c>
      <c r="H151">
        <v>0</v>
      </c>
    </row>
    <row r="152" spans="2:8" x14ac:dyDescent="0.25">
      <c r="B152" t="s">
        <v>52</v>
      </c>
      <c r="C152" t="s">
        <v>53</v>
      </c>
      <c r="E152">
        <v>0</v>
      </c>
      <c r="H152">
        <v>0</v>
      </c>
    </row>
    <row r="153" spans="2:8" x14ac:dyDescent="0.25">
      <c r="B153" t="s">
        <v>52</v>
      </c>
      <c r="C153" t="s">
        <v>53</v>
      </c>
      <c r="E153">
        <v>0</v>
      </c>
      <c r="H153">
        <v>0</v>
      </c>
    </row>
    <row r="154" spans="2:8" ht="15" customHeight="1" x14ac:dyDescent="0.25">
      <c r="B154" t="s">
        <v>54</v>
      </c>
      <c r="C154" t="s">
        <v>53</v>
      </c>
      <c r="E154">
        <v>0</v>
      </c>
      <c r="H154">
        <v>0</v>
      </c>
    </row>
    <row r="155" spans="2:8" x14ac:dyDescent="0.25">
      <c r="B155" t="s">
        <v>54</v>
      </c>
      <c r="C155" t="s">
        <v>53</v>
      </c>
      <c r="E155">
        <v>0</v>
      </c>
      <c r="H155">
        <v>0</v>
      </c>
    </row>
    <row r="156" spans="2:8" x14ac:dyDescent="0.25">
      <c r="B156" t="s">
        <v>54</v>
      </c>
      <c r="C156" t="s">
        <v>53</v>
      </c>
      <c r="E156">
        <v>0</v>
      </c>
      <c r="H156">
        <v>0</v>
      </c>
    </row>
    <row r="157" spans="2:8" x14ac:dyDescent="0.25">
      <c r="B157" t="s">
        <v>54</v>
      </c>
      <c r="C157" t="s">
        <v>53</v>
      </c>
      <c r="E157">
        <v>0</v>
      </c>
      <c r="H157">
        <v>0</v>
      </c>
    </row>
    <row r="158" spans="2:8" x14ac:dyDescent="0.25">
      <c r="B158" t="s">
        <v>54</v>
      </c>
      <c r="C158" t="s">
        <v>53</v>
      </c>
      <c r="E158">
        <v>0</v>
      </c>
      <c r="H158">
        <v>0</v>
      </c>
    </row>
    <row r="159" spans="2:8" x14ac:dyDescent="0.25">
      <c r="B159" t="s">
        <v>54</v>
      </c>
      <c r="C159" t="s">
        <v>53</v>
      </c>
      <c r="E159">
        <v>0</v>
      </c>
      <c r="H159">
        <v>0</v>
      </c>
    </row>
    <row r="160" spans="2:8" x14ac:dyDescent="0.25">
      <c r="B160" t="s">
        <v>54</v>
      </c>
      <c r="C160" t="s">
        <v>53</v>
      </c>
      <c r="E160">
        <v>0</v>
      </c>
      <c r="H160">
        <v>0</v>
      </c>
    </row>
    <row r="161" spans="2:8" x14ac:dyDescent="0.25">
      <c r="B161" t="s">
        <v>54</v>
      </c>
      <c r="C161" t="s">
        <v>53</v>
      </c>
      <c r="E161">
        <v>0</v>
      </c>
      <c r="H161">
        <v>0</v>
      </c>
    </row>
    <row r="162" spans="2:8" x14ac:dyDescent="0.25">
      <c r="B162" t="s">
        <v>54</v>
      </c>
      <c r="C162" t="s">
        <v>53</v>
      </c>
      <c r="E162">
        <v>0</v>
      </c>
      <c r="H162">
        <v>0</v>
      </c>
    </row>
    <row r="163" spans="2:8" x14ac:dyDescent="0.25">
      <c r="B163" t="s">
        <v>54</v>
      </c>
      <c r="C163" t="s">
        <v>53</v>
      </c>
      <c r="E163">
        <v>0</v>
      </c>
      <c r="H163">
        <v>0</v>
      </c>
    </row>
    <row r="164" spans="2:8" x14ac:dyDescent="0.25">
      <c r="B164" t="s">
        <v>54</v>
      </c>
      <c r="C164" t="s">
        <v>53</v>
      </c>
      <c r="E164">
        <v>0</v>
      </c>
      <c r="H164">
        <v>0</v>
      </c>
    </row>
    <row r="165" spans="2:8" x14ac:dyDescent="0.25">
      <c r="B165" t="s">
        <v>54</v>
      </c>
      <c r="C165" t="s">
        <v>53</v>
      </c>
      <c r="E165">
        <v>0</v>
      </c>
      <c r="H165">
        <v>0</v>
      </c>
    </row>
    <row r="166" spans="2:8" x14ac:dyDescent="0.25">
      <c r="B166" t="s">
        <v>54</v>
      </c>
      <c r="C166" t="s">
        <v>53</v>
      </c>
      <c r="E166">
        <v>0</v>
      </c>
      <c r="H166">
        <v>0</v>
      </c>
    </row>
    <row r="167" spans="2:8" x14ac:dyDescent="0.25">
      <c r="B167" t="s">
        <v>54</v>
      </c>
      <c r="C167" t="s">
        <v>53</v>
      </c>
      <c r="E167">
        <v>0</v>
      </c>
      <c r="H167">
        <v>0</v>
      </c>
    </row>
    <row r="168" spans="2:8" x14ac:dyDescent="0.25">
      <c r="B168" t="s">
        <v>54</v>
      </c>
      <c r="C168" t="s">
        <v>53</v>
      </c>
      <c r="E168">
        <v>0</v>
      </c>
      <c r="H168">
        <v>0</v>
      </c>
    </row>
    <row r="169" spans="2:8" x14ac:dyDescent="0.25">
      <c r="B169" t="s">
        <v>54</v>
      </c>
      <c r="C169" t="s">
        <v>53</v>
      </c>
      <c r="E169">
        <v>0</v>
      </c>
      <c r="H169">
        <v>0</v>
      </c>
    </row>
    <row r="170" spans="2:8" x14ac:dyDescent="0.25">
      <c r="B170" t="s">
        <v>54</v>
      </c>
      <c r="C170" t="s">
        <v>53</v>
      </c>
      <c r="E170">
        <v>0</v>
      </c>
      <c r="H170">
        <v>0</v>
      </c>
    </row>
    <row r="171" spans="2:8" x14ac:dyDescent="0.25">
      <c r="B171" t="s">
        <v>54</v>
      </c>
      <c r="C171" t="s">
        <v>53</v>
      </c>
      <c r="E171">
        <v>0</v>
      </c>
      <c r="H171">
        <v>0</v>
      </c>
    </row>
    <row r="172" spans="2:8" x14ac:dyDescent="0.25">
      <c r="B172" t="s">
        <v>54</v>
      </c>
      <c r="C172" t="s">
        <v>53</v>
      </c>
      <c r="E172">
        <v>0</v>
      </c>
      <c r="H172">
        <v>0</v>
      </c>
    </row>
    <row r="173" spans="2:8" x14ac:dyDescent="0.25">
      <c r="B173" t="s">
        <v>54</v>
      </c>
      <c r="C173" t="s">
        <v>53</v>
      </c>
      <c r="E173">
        <v>0</v>
      </c>
      <c r="H173">
        <v>0</v>
      </c>
    </row>
    <row r="174" spans="2:8" x14ac:dyDescent="0.25">
      <c r="B174" t="s">
        <v>54</v>
      </c>
      <c r="C174" t="s">
        <v>53</v>
      </c>
      <c r="E174">
        <v>0</v>
      </c>
      <c r="H174">
        <v>0</v>
      </c>
    </row>
    <row r="175" spans="2:8" x14ac:dyDescent="0.25">
      <c r="B175" t="s">
        <v>54</v>
      </c>
      <c r="C175" t="s">
        <v>53</v>
      </c>
      <c r="E175">
        <v>0</v>
      </c>
      <c r="H175">
        <v>0</v>
      </c>
    </row>
    <row r="176" spans="2:8" x14ac:dyDescent="0.25">
      <c r="B176" t="s">
        <v>54</v>
      </c>
      <c r="C176" t="s">
        <v>53</v>
      </c>
      <c r="E176">
        <v>0</v>
      </c>
      <c r="H176">
        <v>0</v>
      </c>
    </row>
    <row r="177" spans="2:8" x14ac:dyDescent="0.25">
      <c r="B177" t="s">
        <v>54</v>
      </c>
      <c r="C177" t="s">
        <v>53</v>
      </c>
      <c r="E177">
        <v>0</v>
      </c>
      <c r="H177">
        <v>0</v>
      </c>
    </row>
    <row r="178" spans="2:8" x14ac:dyDescent="0.25">
      <c r="B178" t="s">
        <v>55</v>
      </c>
      <c r="C178" t="s">
        <v>53</v>
      </c>
      <c r="E178">
        <v>0</v>
      </c>
      <c r="H178">
        <v>0</v>
      </c>
    </row>
    <row r="179" spans="2:8" x14ac:dyDescent="0.25">
      <c r="B179" t="s">
        <v>55</v>
      </c>
      <c r="C179" t="s">
        <v>53</v>
      </c>
      <c r="E179">
        <v>0</v>
      </c>
      <c r="H179">
        <v>0</v>
      </c>
    </row>
    <row r="180" spans="2:8" x14ac:dyDescent="0.25">
      <c r="B180" t="s">
        <v>55</v>
      </c>
      <c r="C180" t="s">
        <v>53</v>
      </c>
      <c r="E180">
        <v>0</v>
      </c>
      <c r="H180">
        <v>0</v>
      </c>
    </row>
    <row r="181" spans="2:8" x14ac:dyDescent="0.25">
      <c r="B181" t="s">
        <v>55</v>
      </c>
      <c r="C181" t="s">
        <v>53</v>
      </c>
      <c r="E181">
        <v>0</v>
      </c>
      <c r="H181">
        <v>0</v>
      </c>
    </row>
    <row r="182" spans="2:8" x14ac:dyDescent="0.25">
      <c r="B182" t="s">
        <v>55</v>
      </c>
      <c r="C182" t="s">
        <v>53</v>
      </c>
      <c r="E182">
        <v>0</v>
      </c>
      <c r="H182">
        <v>0</v>
      </c>
    </row>
    <row r="183" spans="2:8" x14ac:dyDescent="0.25">
      <c r="B183" t="s">
        <v>55</v>
      </c>
      <c r="C183" t="s">
        <v>53</v>
      </c>
      <c r="E183">
        <v>0</v>
      </c>
      <c r="H183">
        <v>0</v>
      </c>
    </row>
    <row r="184" spans="2:8" x14ac:dyDescent="0.25">
      <c r="B184" t="s">
        <v>55</v>
      </c>
      <c r="C184" t="s">
        <v>53</v>
      </c>
      <c r="E184">
        <v>0</v>
      </c>
      <c r="H184">
        <v>0</v>
      </c>
    </row>
    <row r="185" spans="2:8" x14ac:dyDescent="0.25">
      <c r="B185" t="s">
        <v>55</v>
      </c>
      <c r="C185" t="s">
        <v>53</v>
      </c>
      <c r="E185">
        <v>0</v>
      </c>
      <c r="H185">
        <v>0</v>
      </c>
    </row>
    <row r="186" spans="2:8" x14ac:dyDescent="0.25">
      <c r="B186" t="s">
        <v>55</v>
      </c>
      <c r="C186" t="s">
        <v>53</v>
      </c>
      <c r="E186">
        <v>0</v>
      </c>
      <c r="H186">
        <v>0</v>
      </c>
    </row>
    <row r="187" spans="2:8" x14ac:dyDescent="0.25">
      <c r="B187" t="s">
        <v>55</v>
      </c>
      <c r="C187" t="s">
        <v>53</v>
      </c>
      <c r="E187">
        <v>0</v>
      </c>
      <c r="H187">
        <v>0</v>
      </c>
    </row>
    <row r="188" spans="2:8" x14ac:dyDescent="0.25">
      <c r="B188" t="s">
        <v>55</v>
      </c>
      <c r="C188" t="s">
        <v>53</v>
      </c>
      <c r="E188">
        <v>0</v>
      </c>
      <c r="H188">
        <v>0</v>
      </c>
    </row>
    <row r="189" spans="2:8" x14ac:dyDescent="0.25">
      <c r="B189" t="s">
        <v>55</v>
      </c>
      <c r="C189" t="s">
        <v>53</v>
      </c>
      <c r="E189">
        <v>0</v>
      </c>
      <c r="H189">
        <v>0</v>
      </c>
    </row>
    <row r="190" spans="2:8" x14ac:dyDescent="0.25">
      <c r="B190" t="s">
        <v>55</v>
      </c>
      <c r="C190" t="s">
        <v>53</v>
      </c>
      <c r="E190">
        <v>0</v>
      </c>
      <c r="H190">
        <v>0</v>
      </c>
    </row>
    <row r="191" spans="2:8" x14ac:dyDescent="0.25">
      <c r="B191" t="s">
        <v>55</v>
      </c>
      <c r="C191" t="s">
        <v>53</v>
      </c>
      <c r="E191">
        <v>0</v>
      </c>
      <c r="H191">
        <v>0</v>
      </c>
    </row>
    <row r="192" spans="2:8" x14ac:dyDescent="0.25">
      <c r="B192" t="s">
        <v>55</v>
      </c>
      <c r="C192" t="s">
        <v>53</v>
      </c>
      <c r="E192">
        <v>0</v>
      </c>
      <c r="H192">
        <v>0</v>
      </c>
    </row>
    <row r="193" spans="2:8" x14ac:dyDescent="0.25">
      <c r="B193" t="s">
        <v>55</v>
      </c>
      <c r="C193" t="s">
        <v>53</v>
      </c>
      <c r="E193">
        <v>0</v>
      </c>
      <c r="H193">
        <v>0</v>
      </c>
    </row>
    <row r="194" spans="2:8" x14ac:dyDescent="0.25">
      <c r="B194" t="s">
        <v>55</v>
      </c>
      <c r="C194" t="s">
        <v>53</v>
      </c>
      <c r="E194">
        <v>0</v>
      </c>
      <c r="H194">
        <v>0</v>
      </c>
    </row>
    <row r="195" spans="2:8" x14ac:dyDescent="0.25">
      <c r="B195" t="s">
        <v>55</v>
      </c>
      <c r="C195" t="s">
        <v>53</v>
      </c>
      <c r="E195">
        <v>0</v>
      </c>
      <c r="H195">
        <v>0</v>
      </c>
    </row>
    <row r="196" spans="2:8" x14ac:dyDescent="0.25">
      <c r="B196" t="s">
        <v>55</v>
      </c>
      <c r="C196" t="s">
        <v>53</v>
      </c>
      <c r="E196">
        <v>0</v>
      </c>
      <c r="H196">
        <v>0</v>
      </c>
    </row>
    <row r="197" spans="2:8" x14ac:dyDescent="0.25">
      <c r="B197" t="s">
        <v>55</v>
      </c>
      <c r="C197" t="s">
        <v>53</v>
      </c>
      <c r="E197">
        <v>0</v>
      </c>
      <c r="H197">
        <v>0</v>
      </c>
    </row>
    <row r="198" spans="2:8" x14ac:dyDescent="0.25">
      <c r="B198" t="s">
        <v>55</v>
      </c>
      <c r="C198" t="s">
        <v>53</v>
      </c>
      <c r="E198">
        <v>0</v>
      </c>
      <c r="H198">
        <v>0</v>
      </c>
    </row>
    <row r="199" spans="2:8" x14ac:dyDescent="0.25">
      <c r="B199" t="s">
        <v>55</v>
      </c>
      <c r="C199" t="s">
        <v>53</v>
      </c>
      <c r="E199">
        <v>0</v>
      </c>
      <c r="H199">
        <v>0</v>
      </c>
    </row>
    <row r="200" spans="2:8" x14ac:dyDescent="0.25">
      <c r="B200" t="s">
        <v>55</v>
      </c>
      <c r="C200" t="s">
        <v>53</v>
      </c>
      <c r="E200">
        <v>0</v>
      </c>
      <c r="H200">
        <v>0</v>
      </c>
    </row>
    <row r="201" spans="2:8" x14ac:dyDescent="0.25">
      <c r="B201" t="s">
        <v>55</v>
      </c>
      <c r="C201" t="s">
        <v>53</v>
      </c>
      <c r="E201">
        <v>0</v>
      </c>
      <c r="H201">
        <v>0</v>
      </c>
    </row>
    <row r="202" spans="2:8" x14ac:dyDescent="0.25">
      <c r="B202" t="s">
        <v>56</v>
      </c>
      <c r="C202" t="s">
        <v>53</v>
      </c>
      <c r="E202">
        <v>0</v>
      </c>
      <c r="H202">
        <v>0</v>
      </c>
    </row>
    <row r="203" spans="2:8" x14ac:dyDescent="0.25">
      <c r="B203" t="s">
        <v>56</v>
      </c>
      <c r="C203" t="s">
        <v>53</v>
      </c>
      <c r="E203">
        <v>0</v>
      </c>
      <c r="H203">
        <v>0</v>
      </c>
    </row>
    <row r="204" spans="2:8" x14ac:dyDescent="0.25">
      <c r="B204" t="s">
        <v>56</v>
      </c>
      <c r="C204" t="s">
        <v>53</v>
      </c>
      <c r="E204">
        <v>0</v>
      </c>
      <c r="H204">
        <v>0</v>
      </c>
    </row>
    <row r="205" spans="2:8" x14ac:dyDescent="0.25">
      <c r="B205" t="s">
        <v>56</v>
      </c>
      <c r="C205" t="s">
        <v>53</v>
      </c>
      <c r="E205">
        <v>0</v>
      </c>
      <c r="H205">
        <v>0</v>
      </c>
    </row>
    <row r="206" spans="2:8" x14ac:dyDescent="0.25">
      <c r="B206" t="s">
        <v>56</v>
      </c>
      <c r="C206" t="s">
        <v>53</v>
      </c>
      <c r="E206">
        <v>0</v>
      </c>
      <c r="H206">
        <v>0</v>
      </c>
    </row>
    <row r="207" spans="2:8" x14ac:dyDescent="0.25">
      <c r="B207" t="s">
        <v>56</v>
      </c>
      <c r="C207" t="s">
        <v>53</v>
      </c>
      <c r="E207">
        <v>0</v>
      </c>
      <c r="H207">
        <v>0</v>
      </c>
    </row>
    <row r="208" spans="2:8" x14ac:dyDescent="0.25">
      <c r="B208" t="s">
        <v>56</v>
      </c>
      <c r="C208" t="s">
        <v>53</v>
      </c>
      <c r="E208">
        <v>0</v>
      </c>
      <c r="H208">
        <v>0</v>
      </c>
    </row>
    <row r="209" spans="2:8" x14ac:dyDescent="0.25">
      <c r="B209" t="s">
        <v>56</v>
      </c>
      <c r="C209" t="s">
        <v>53</v>
      </c>
      <c r="E209">
        <v>0</v>
      </c>
      <c r="H209">
        <v>0</v>
      </c>
    </row>
    <row r="210" spans="2:8" x14ac:dyDescent="0.25">
      <c r="B210" t="s">
        <v>56</v>
      </c>
      <c r="C210" t="s">
        <v>53</v>
      </c>
      <c r="E210">
        <v>0</v>
      </c>
      <c r="H210">
        <v>0</v>
      </c>
    </row>
    <row r="211" spans="2:8" x14ac:dyDescent="0.25">
      <c r="B211" t="s">
        <v>56</v>
      </c>
      <c r="C211" t="s">
        <v>53</v>
      </c>
      <c r="E211">
        <v>0</v>
      </c>
      <c r="H211">
        <v>0</v>
      </c>
    </row>
    <row r="212" spans="2:8" x14ac:dyDescent="0.25">
      <c r="B212" t="s">
        <v>56</v>
      </c>
      <c r="C212" t="s">
        <v>53</v>
      </c>
      <c r="E212">
        <v>0</v>
      </c>
      <c r="H212">
        <v>0</v>
      </c>
    </row>
    <row r="213" spans="2:8" x14ac:dyDescent="0.25">
      <c r="B213" t="s">
        <v>56</v>
      </c>
      <c r="C213" t="s">
        <v>53</v>
      </c>
      <c r="E213">
        <v>0</v>
      </c>
      <c r="H213">
        <v>0</v>
      </c>
    </row>
    <row r="214" spans="2:8" x14ac:dyDescent="0.25">
      <c r="B214" t="s">
        <v>56</v>
      </c>
      <c r="C214" t="s">
        <v>53</v>
      </c>
      <c r="E214">
        <v>0</v>
      </c>
      <c r="H214">
        <v>0</v>
      </c>
    </row>
    <row r="215" spans="2:8" x14ac:dyDescent="0.25">
      <c r="B215" t="s">
        <v>56</v>
      </c>
      <c r="C215" t="s">
        <v>53</v>
      </c>
      <c r="E215">
        <v>0</v>
      </c>
      <c r="H215">
        <v>0</v>
      </c>
    </row>
    <row r="216" spans="2:8" x14ac:dyDescent="0.25">
      <c r="B216" t="s">
        <v>56</v>
      </c>
      <c r="C216" t="s">
        <v>53</v>
      </c>
      <c r="E216">
        <v>0</v>
      </c>
      <c r="H216">
        <v>0</v>
      </c>
    </row>
    <row r="217" spans="2:8" x14ac:dyDescent="0.25">
      <c r="B217" t="s">
        <v>56</v>
      </c>
      <c r="C217" t="s">
        <v>53</v>
      </c>
      <c r="E217">
        <v>0</v>
      </c>
      <c r="H217">
        <v>0</v>
      </c>
    </row>
    <row r="218" spans="2:8" x14ac:dyDescent="0.25">
      <c r="B218" t="s">
        <v>56</v>
      </c>
      <c r="C218" t="s">
        <v>53</v>
      </c>
      <c r="E218">
        <v>0</v>
      </c>
      <c r="H218">
        <v>0</v>
      </c>
    </row>
    <row r="219" spans="2:8" x14ac:dyDescent="0.25">
      <c r="B219" t="s">
        <v>56</v>
      </c>
      <c r="C219" t="s">
        <v>53</v>
      </c>
      <c r="E219">
        <v>0</v>
      </c>
      <c r="H219">
        <v>0</v>
      </c>
    </row>
    <row r="220" spans="2:8" x14ac:dyDescent="0.25">
      <c r="B220" t="s">
        <v>56</v>
      </c>
      <c r="C220" t="s">
        <v>53</v>
      </c>
      <c r="E220">
        <v>0</v>
      </c>
      <c r="H220">
        <v>0</v>
      </c>
    </row>
    <row r="221" spans="2:8" x14ac:dyDescent="0.25">
      <c r="B221" t="s">
        <v>56</v>
      </c>
      <c r="C221" t="s">
        <v>53</v>
      </c>
      <c r="E221">
        <v>0</v>
      </c>
      <c r="H221">
        <v>0</v>
      </c>
    </row>
    <row r="222" spans="2:8" x14ac:dyDescent="0.25">
      <c r="B222" t="s">
        <v>56</v>
      </c>
      <c r="C222" t="s">
        <v>53</v>
      </c>
      <c r="E222">
        <v>0</v>
      </c>
      <c r="H222">
        <v>0</v>
      </c>
    </row>
    <row r="223" spans="2:8" x14ac:dyDescent="0.25">
      <c r="B223" t="s">
        <v>56</v>
      </c>
      <c r="C223" t="s">
        <v>53</v>
      </c>
      <c r="E223">
        <v>0</v>
      </c>
      <c r="H223">
        <v>0</v>
      </c>
    </row>
    <row r="224" spans="2:8" x14ac:dyDescent="0.25">
      <c r="B224" t="s">
        <v>56</v>
      </c>
      <c r="C224" t="s">
        <v>53</v>
      </c>
      <c r="E224">
        <v>0</v>
      </c>
      <c r="H224">
        <v>0</v>
      </c>
    </row>
    <row r="225" spans="2:8" x14ac:dyDescent="0.25">
      <c r="B225" t="s">
        <v>56</v>
      </c>
      <c r="C225" t="s">
        <v>53</v>
      </c>
      <c r="E225">
        <v>0</v>
      </c>
      <c r="H225">
        <v>0</v>
      </c>
    </row>
    <row r="226" spans="2:8" x14ac:dyDescent="0.25">
      <c r="B226" t="s">
        <v>57</v>
      </c>
      <c r="C226" t="s">
        <v>53</v>
      </c>
      <c r="E226">
        <v>0</v>
      </c>
      <c r="H226">
        <v>0</v>
      </c>
    </row>
    <row r="227" spans="2:8" x14ac:dyDescent="0.25">
      <c r="B227" t="s">
        <v>57</v>
      </c>
      <c r="C227" t="s">
        <v>53</v>
      </c>
      <c r="E227">
        <v>0</v>
      </c>
      <c r="H227">
        <v>0</v>
      </c>
    </row>
    <row r="228" spans="2:8" x14ac:dyDescent="0.25">
      <c r="B228" t="s">
        <v>57</v>
      </c>
      <c r="C228" t="s">
        <v>53</v>
      </c>
      <c r="E228">
        <v>0</v>
      </c>
      <c r="H228">
        <v>0</v>
      </c>
    </row>
    <row r="229" spans="2:8" x14ac:dyDescent="0.25">
      <c r="B229" t="s">
        <v>57</v>
      </c>
      <c r="C229" t="s">
        <v>53</v>
      </c>
      <c r="E229">
        <v>0</v>
      </c>
      <c r="H229">
        <v>0</v>
      </c>
    </row>
    <row r="230" spans="2:8" x14ac:dyDescent="0.25">
      <c r="B230" t="s">
        <v>57</v>
      </c>
      <c r="C230" t="s">
        <v>53</v>
      </c>
      <c r="E230">
        <v>0</v>
      </c>
      <c r="H230">
        <v>0</v>
      </c>
    </row>
    <row r="231" spans="2:8" x14ac:dyDescent="0.25">
      <c r="B231" t="s">
        <v>57</v>
      </c>
      <c r="C231" t="s">
        <v>53</v>
      </c>
      <c r="E231">
        <v>0</v>
      </c>
      <c r="H231">
        <v>0</v>
      </c>
    </row>
    <row r="232" spans="2:8" x14ac:dyDescent="0.25">
      <c r="B232" t="s">
        <v>57</v>
      </c>
      <c r="C232" t="s">
        <v>53</v>
      </c>
      <c r="E232">
        <v>0</v>
      </c>
      <c r="H232">
        <v>0</v>
      </c>
    </row>
    <row r="233" spans="2:8" x14ac:dyDescent="0.25">
      <c r="B233" t="s">
        <v>57</v>
      </c>
      <c r="C233" t="s">
        <v>53</v>
      </c>
      <c r="E233">
        <v>0</v>
      </c>
      <c r="H233">
        <v>0</v>
      </c>
    </row>
    <row r="234" spans="2:8" x14ac:dyDescent="0.25">
      <c r="B234" t="s">
        <v>57</v>
      </c>
      <c r="C234" t="s">
        <v>53</v>
      </c>
      <c r="E234">
        <v>0</v>
      </c>
      <c r="H234">
        <v>0</v>
      </c>
    </row>
    <row r="235" spans="2:8" x14ac:dyDescent="0.25">
      <c r="B235" t="s">
        <v>57</v>
      </c>
      <c r="C235" t="s">
        <v>53</v>
      </c>
      <c r="E235">
        <v>0</v>
      </c>
      <c r="H235">
        <v>0</v>
      </c>
    </row>
    <row r="236" spans="2:8" x14ac:dyDescent="0.25">
      <c r="B236" t="s">
        <v>57</v>
      </c>
      <c r="C236" t="s">
        <v>53</v>
      </c>
      <c r="E236">
        <v>0</v>
      </c>
      <c r="H236">
        <v>0</v>
      </c>
    </row>
    <row r="237" spans="2:8" x14ac:dyDescent="0.25">
      <c r="B237" t="s">
        <v>57</v>
      </c>
      <c r="C237" t="s">
        <v>53</v>
      </c>
      <c r="E237">
        <v>0</v>
      </c>
      <c r="H237">
        <v>0</v>
      </c>
    </row>
    <row r="238" spans="2:8" x14ac:dyDescent="0.25">
      <c r="B238" t="s">
        <v>57</v>
      </c>
      <c r="C238" t="s">
        <v>53</v>
      </c>
      <c r="E238">
        <v>0</v>
      </c>
      <c r="H238">
        <v>0</v>
      </c>
    </row>
    <row r="239" spans="2:8" x14ac:dyDescent="0.25">
      <c r="B239" t="s">
        <v>57</v>
      </c>
      <c r="C239" t="s">
        <v>53</v>
      </c>
      <c r="E239">
        <v>0</v>
      </c>
      <c r="H239">
        <v>0</v>
      </c>
    </row>
    <row r="240" spans="2:8" x14ac:dyDescent="0.25">
      <c r="B240" t="s">
        <v>57</v>
      </c>
      <c r="C240" t="s">
        <v>53</v>
      </c>
      <c r="E240">
        <v>0</v>
      </c>
      <c r="H240">
        <v>0</v>
      </c>
    </row>
    <row r="241" spans="2:8" x14ac:dyDescent="0.25">
      <c r="B241" t="s">
        <v>57</v>
      </c>
      <c r="C241" t="s">
        <v>53</v>
      </c>
      <c r="E241">
        <v>0</v>
      </c>
      <c r="H241">
        <v>0</v>
      </c>
    </row>
    <row r="242" spans="2:8" x14ac:dyDescent="0.25">
      <c r="B242" t="s">
        <v>57</v>
      </c>
      <c r="C242" t="s">
        <v>53</v>
      </c>
      <c r="E242">
        <v>0</v>
      </c>
      <c r="H242">
        <v>0</v>
      </c>
    </row>
    <row r="243" spans="2:8" x14ac:dyDescent="0.25">
      <c r="B243" t="s">
        <v>57</v>
      </c>
      <c r="C243" t="s">
        <v>53</v>
      </c>
      <c r="E243">
        <v>0</v>
      </c>
      <c r="H243">
        <v>0</v>
      </c>
    </row>
    <row r="244" spans="2:8" x14ac:dyDescent="0.25">
      <c r="B244" t="s">
        <v>57</v>
      </c>
      <c r="C244" t="s">
        <v>53</v>
      </c>
      <c r="E244">
        <v>0</v>
      </c>
      <c r="H244">
        <v>0</v>
      </c>
    </row>
    <row r="245" spans="2:8" x14ac:dyDescent="0.25">
      <c r="B245" t="s">
        <v>57</v>
      </c>
      <c r="C245" t="s">
        <v>53</v>
      </c>
      <c r="E245">
        <v>0</v>
      </c>
      <c r="H245">
        <v>0</v>
      </c>
    </row>
    <row r="246" spans="2:8" x14ac:dyDescent="0.25">
      <c r="B246" t="s">
        <v>57</v>
      </c>
      <c r="C246" t="s">
        <v>53</v>
      </c>
      <c r="E246">
        <v>0</v>
      </c>
      <c r="H246">
        <v>0</v>
      </c>
    </row>
    <row r="247" spans="2:8" x14ac:dyDescent="0.25">
      <c r="B247" t="s">
        <v>57</v>
      </c>
      <c r="C247" t="s">
        <v>53</v>
      </c>
      <c r="E247">
        <v>0</v>
      </c>
      <c r="H247">
        <v>0</v>
      </c>
    </row>
    <row r="248" spans="2:8" x14ac:dyDescent="0.25">
      <c r="B248" t="s">
        <v>57</v>
      </c>
      <c r="C248" t="s">
        <v>53</v>
      </c>
      <c r="E248">
        <v>0</v>
      </c>
      <c r="H248">
        <v>0</v>
      </c>
    </row>
    <row r="249" spans="2:8" x14ac:dyDescent="0.25">
      <c r="B249" t="s">
        <v>57</v>
      </c>
      <c r="C249" t="s">
        <v>53</v>
      </c>
      <c r="E249">
        <v>0</v>
      </c>
      <c r="H2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J249"/>
  <sheetViews>
    <sheetView zoomScale="85" zoomScaleNormal="85" workbookViewId="0">
      <selection activeCell="D10" sqref="D10:D1048576"/>
    </sheetView>
  </sheetViews>
  <sheetFormatPr defaultRowHeight="15" x14ac:dyDescent="0.25"/>
  <sheetData>
    <row r="8" spans="2:10" x14ac:dyDescent="0.25">
      <c r="B8" s="10" t="b">
        <v>1</v>
      </c>
      <c r="C8" s="10" t="b">
        <v>1</v>
      </c>
      <c r="D8" s="10" t="b">
        <v>0</v>
      </c>
      <c r="E8" s="10" t="b">
        <v>1</v>
      </c>
      <c r="F8" s="10" t="b">
        <v>0</v>
      </c>
      <c r="G8" s="10" t="b">
        <v>0</v>
      </c>
      <c r="H8" s="10" t="b">
        <v>1</v>
      </c>
      <c r="I8" s="10" t="b">
        <v>0</v>
      </c>
      <c r="J8" s="10" t="b">
        <v>0</v>
      </c>
    </row>
    <row r="9" spans="2:10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" t="s">
        <v>5</v>
      </c>
      <c r="H9" s="11" t="s">
        <v>6</v>
      </c>
      <c r="I9" s="1" t="s">
        <v>7</v>
      </c>
      <c r="J9" s="1" t="s">
        <v>8</v>
      </c>
    </row>
    <row r="10" spans="2:10" x14ac:dyDescent="0.25">
      <c r="B10" s="5" t="str" cm="1">
        <f t="array" aca="1" ref="B10" ca="1">IFERROR(IF(OR('Raw Data'!B10="",LEN(TRIM('Raw Data'!B10))=0),_xlfn.REGEXEXTRACT(CELL("address",'Raw Data'!B10),"\$([A-Z]+)\$[0-9]+"),""),"")</f>
        <v/>
      </c>
      <c r="C10" s="5" t="str" cm="1">
        <f t="array" aca="1" ref="C10" ca="1">IFERROR(IF(OR('Raw Data'!C10="",LEN(TRIM('Raw Data'!C10))=0),_xlfn.REGEXEXTRACT(CELL("address",'Raw Data'!C10),"\$([A-Z]+)\$[0-9]+"),""),"")</f>
        <v/>
      </c>
      <c r="D10" s="5"/>
      <c r="E10" s="5" t="str" cm="1">
        <f t="array" aca="1" ref="E10" ca="1">IFERROR(IF(OR('Raw Data'!E10="",LEN(TRIM('Raw Data'!E10))=0),_xlfn.REGEXEXTRACT(CELL("address",'Raw Data'!E10),"\$([A-Z]+)\$[0-9]+"),""),"")</f>
        <v/>
      </c>
      <c r="F10" s="5"/>
      <c r="G10" s="5"/>
      <c r="H10" s="5" t="str" cm="1">
        <f t="array" aca="1" ref="H10" ca="1">IFERROR(IF(OR('Raw Data'!H10="",LEN(TRIM('Raw Data'!H10))=0),_xlfn.REGEXEXTRACT(CELL("address",'Raw Data'!H10),"\$([A-Z]+)\$[0-9]+"),""),"")</f>
        <v/>
      </c>
      <c r="I10" s="5"/>
      <c r="J10" s="5"/>
    </row>
    <row r="11" spans="2:10" x14ac:dyDescent="0.25">
      <c r="B11" s="5" t="str" cm="1">
        <f t="array" aca="1" ref="B11" ca="1">IFERROR(IF(OR('Raw Data'!B11="",LEN(TRIM('Raw Data'!B11))=0),_xlfn.REGEXEXTRACT(CELL("address",'Raw Data'!B11),"\$([A-Z]+)\$[0-9]+"),""),"")</f>
        <v/>
      </c>
      <c r="C11" s="5" t="str" cm="1">
        <f t="array" aca="1" ref="C11" ca="1">IFERROR(IF(OR('Raw Data'!C11="",LEN(TRIM('Raw Data'!C11))=0),_xlfn.REGEXEXTRACT(CELL("address",'Raw Data'!C11),"\$([A-Z]+)\$[0-9]+"),""),"")</f>
        <v/>
      </c>
      <c r="D11" s="5"/>
      <c r="E11" s="5" t="str" cm="1">
        <f t="array" aca="1" ref="E11" ca="1">IFERROR(IF(OR('Raw Data'!E11="",LEN(TRIM('Raw Data'!E11))=0),_xlfn.REGEXEXTRACT(CELL("address",'Raw Data'!E11),"\$([A-Z]+)\$[0-9]+"),""),"")</f>
        <v/>
      </c>
      <c r="F11" s="5"/>
      <c r="G11" s="5"/>
      <c r="H11" s="5" t="str" cm="1">
        <f t="array" aca="1" ref="H11" ca="1">IFERROR(IF(OR('Raw Data'!H11="",LEN(TRIM('Raw Data'!H11))=0),_xlfn.REGEXEXTRACT(CELL("address",'Raw Data'!H11),"\$([A-Z]+)\$[0-9]+"),""),"")</f>
        <v/>
      </c>
      <c r="I11" s="5"/>
      <c r="J11" s="5"/>
    </row>
    <row r="12" spans="2:10" x14ac:dyDescent="0.25">
      <c r="B12" s="5" t="str" cm="1">
        <f t="array" aca="1" ref="B12" ca="1">IFERROR(IF(OR('Raw Data'!B12="",LEN(TRIM('Raw Data'!B12))=0),_xlfn.REGEXEXTRACT(CELL("address",'Raw Data'!B12),"\$([A-Z]+)\$[0-9]+"),""),"")</f>
        <v/>
      </c>
      <c r="C12" s="5" t="str" cm="1">
        <f t="array" aca="1" ref="C12" ca="1">IFERROR(IF(OR('Raw Data'!C12="",LEN(TRIM('Raw Data'!C12))=0),_xlfn.REGEXEXTRACT(CELL("address",'Raw Data'!C12),"\$([A-Z]+)\$[0-9]+"),""),"")</f>
        <v/>
      </c>
      <c r="D12" s="5"/>
      <c r="E12" s="5" t="str" cm="1">
        <f t="array" aca="1" ref="E12" ca="1">IFERROR(IF(OR('Raw Data'!E12="",LEN(TRIM('Raw Data'!E12))=0),_xlfn.REGEXEXTRACT(CELL("address",'Raw Data'!E12),"\$([A-Z]+)\$[0-9]+"),""),"")</f>
        <v/>
      </c>
      <c r="F12" s="5"/>
      <c r="G12" s="5"/>
      <c r="H12" s="5" t="str" cm="1">
        <f t="array" aca="1" ref="H12" ca="1">IFERROR(IF(OR('Raw Data'!H12="",LEN(TRIM('Raw Data'!H12))=0),_xlfn.REGEXEXTRACT(CELL("address",'Raw Data'!H12),"\$([A-Z]+)\$[0-9]+"),""),"")</f>
        <v/>
      </c>
      <c r="I12" s="5"/>
      <c r="J12" s="5"/>
    </row>
    <row r="13" spans="2:10" x14ac:dyDescent="0.25">
      <c r="B13" s="5" t="str" cm="1">
        <f t="array" aca="1" ref="B13" ca="1">IFERROR(IF(OR('Raw Data'!B13="",LEN(TRIM('Raw Data'!B13))=0),_xlfn.REGEXEXTRACT(CELL("address",'Raw Data'!B13),"\$([A-Z]+)\$[0-9]+"),""),"")</f>
        <v/>
      </c>
      <c r="C13" s="5" t="str" cm="1">
        <f t="array" aca="1" ref="C13" ca="1">IFERROR(IF(OR('Raw Data'!C13="",LEN(TRIM('Raw Data'!C13))=0),_xlfn.REGEXEXTRACT(CELL("address",'Raw Data'!C13),"\$([A-Z]+)\$[0-9]+"),""),"")</f>
        <v/>
      </c>
      <c r="D13" s="5"/>
      <c r="E13" s="5" t="str" cm="1">
        <f t="array" aca="1" ref="E13" ca="1">IFERROR(IF(OR('Raw Data'!E13="",LEN(TRIM('Raw Data'!E13))=0),_xlfn.REGEXEXTRACT(CELL("address",'Raw Data'!E13),"\$([A-Z]+)\$[0-9]+"),""),"")</f>
        <v/>
      </c>
      <c r="F13" s="5"/>
      <c r="G13" s="5"/>
      <c r="H13" s="5" t="str" cm="1">
        <f t="array" aca="1" ref="H13" ca="1">IFERROR(IF(OR('Raw Data'!H13="",LEN(TRIM('Raw Data'!H13))=0),_xlfn.REGEXEXTRACT(CELL("address",'Raw Data'!H13),"\$([A-Z]+)\$[0-9]+"),""),"")</f>
        <v/>
      </c>
      <c r="I13" s="5"/>
      <c r="J13" s="5"/>
    </row>
    <row r="14" spans="2:10" x14ac:dyDescent="0.25">
      <c r="B14" s="5" t="str" cm="1">
        <f t="array" aca="1" ref="B14" ca="1">IFERROR(IF(OR('Raw Data'!B14="",LEN(TRIM('Raw Data'!B14))=0),_xlfn.REGEXEXTRACT(CELL("address",'Raw Data'!B14),"\$([A-Z]+)\$[0-9]+"),""),"")</f>
        <v/>
      </c>
      <c r="C14" s="5" t="str" cm="1">
        <f t="array" aca="1" ref="C14" ca="1">IFERROR(IF(OR('Raw Data'!C14="",LEN(TRIM('Raw Data'!C14))=0),_xlfn.REGEXEXTRACT(CELL("address",'Raw Data'!C14),"\$([A-Z]+)\$[0-9]+"),""),"")</f>
        <v/>
      </c>
      <c r="D14" s="5"/>
      <c r="E14" s="5" t="str" cm="1">
        <f t="array" aca="1" ref="E14" ca="1">IFERROR(IF(OR('Raw Data'!E14="",LEN(TRIM('Raw Data'!E14))=0),_xlfn.REGEXEXTRACT(CELL("address",'Raw Data'!E14),"\$([A-Z]+)\$[0-9]+"),""),"")</f>
        <v/>
      </c>
      <c r="F14" s="5"/>
      <c r="G14" s="5"/>
      <c r="H14" s="5" t="str" cm="1">
        <f t="array" aca="1" ref="H14" ca="1">IFERROR(IF(OR('Raw Data'!H14="",LEN(TRIM('Raw Data'!H14))=0),_xlfn.REGEXEXTRACT(CELL("address",'Raw Data'!H14),"\$([A-Z]+)\$[0-9]+"),""),"")</f>
        <v/>
      </c>
      <c r="I14" s="5"/>
      <c r="J14" s="5"/>
    </row>
    <row r="15" spans="2:10" x14ac:dyDescent="0.25">
      <c r="B15" s="5" t="str" cm="1">
        <f t="array" aca="1" ref="B15" ca="1">IFERROR(IF(OR('Raw Data'!B15="",LEN(TRIM('Raw Data'!B15))=0),_xlfn.REGEXEXTRACT(CELL("address",'Raw Data'!B15),"\$([A-Z]+)\$[0-9]+"),""),"")</f>
        <v/>
      </c>
      <c r="C15" s="5" t="str" cm="1">
        <f t="array" aca="1" ref="C15" ca="1">IFERROR(IF(OR('Raw Data'!C15="",LEN(TRIM('Raw Data'!C15))=0),_xlfn.REGEXEXTRACT(CELL("address",'Raw Data'!C15),"\$([A-Z]+)\$[0-9]+"),""),"")</f>
        <v/>
      </c>
      <c r="D15" s="5"/>
      <c r="E15" s="5" t="str" cm="1">
        <f t="array" aca="1" ref="E15" ca="1">IFERROR(IF(OR('Raw Data'!E15="",LEN(TRIM('Raw Data'!E15))=0),_xlfn.REGEXEXTRACT(CELL("address",'Raw Data'!E15),"\$([A-Z]+)\$[0-9]+"),""),"")</f>
        <v/>
      </c>
      <c r="F15" s="5"/>
      <c r="G15" s="5"/>
      <c r="H15" s="5" t="str" cm="1">
        <f t="array" aca="1" ref="H15" ca="1">IFERROR(IF(OR('Raw Data'!H15="",LEN(TRIM('Raw Data'!H15))=0),_xlfn.REGEXEXTRACT(CELL("address",'Raw Data'!H15),"\$([A-Z]+)\$[0-9]+"),""),"")</f>
        <v/>
      </c>
      <c r="I15" s="5"/>
      <c r="J15" s="5"/>
    </row>
    <row r="16" spans="2:10" x14ac:dyDescent="0.25">
      <c r="B16" s="5" t="str" cm="1">
        <f t="array" aca="1" ref="B16" ca="1">IFERROR(IF(OR('Raw Data'!B16="",LEN(TRIM('Raw Data'!B16))=0),_xlfn.REGEXEXTRACT(CELL("address",'Raw Data'!B16),"\$([A-Z]+)\$[0-9]+"),""),"")</f>
        <v/>
      </c>
      <c r="C16" s="5" t="str" cm="1">
        <f t="array" aca="1" ref="C16" ca="1">IFERROR(IF(OR('Raw Data'!C16="",LEN(TRIM('Raw Data'!C16))=0),_xlfn.REGEXEXTRACT(CELL("address",'Raw Data'!C16),"\$([A-Z]+)\$[0-9]+"),""),"")</f>
        <v/>
      </c>
      <c r="D16" s="5"/>
      <c r="E16" s="5" t="str" cm="1">
        <f t="array" aca="1" ref="E16" ca="1">IFERROR(IF(OR('Raw Data'!E16="",LEN(TRIM('Raw Data'!E16))=0),_xlfn.REGEXEXTRACT(CELL("address",'Raw Data'!E16),"\$([A-Z]+)\$[0-9]+"),""),"")</f>
        <v/>
      </c>
      <c r="F16" s="5"/>
      <c r="G16" s="5"/>
      <c r="H16" s="5" t="str" cm="1">
        <f t="array" aca="1" ref="H16" ca="1">IFERROR(IF(OR('Raw Data'!H16="",LEN(TRIM('Raw Data'!H16))=0),_xlfn.REGEXEXTRACT(CELL("address",'Raw Data'!H16),"\$([A-Z]+)\$[0-9]+"),""),"")</f>
        <v/>
      </c>
      <c r="I16" s="5"/>
      <c r="J16" s="5"/>
    </row>
    <row r="17" spans="2:10" x14ac:dyDescent="0.25">
      <c r="B17" s="5" t="str" cm="1">
        <f t="array" aca="1" ref="B17" ca="1">IFERROR(IF(OR('Raw Data'!B17="",LEN(TRIM('Raw Data'!B17))=0),_xlfn.REGEXEXTRACT(CELL("address",'Raw Data'!B17),"\$([A-Z]+)\$[0-9]+"),""),"")</f>
        <v/>
      </c>
      <c r="C17" s="5" t="str" cm="1">
        <f t="array" aca="1" ref="C17" ca="1">IFERROR(IF(OR('Raw Data'!C17="",LEN(TRIM('Raw Data'!C17))=0),_xlfn.REGEXEXTRACT(CELL("address",'Raw Data'!C17),"\$([A-Z]+)\$[0-9]+"),""),"")</f>
        <v/>
      </c>
      <c r="D17" s="5"/>
      <c r="E17" s="5" t="str" cm="1">
        <f t="array" aca="1" ref="E17" ca="1">IFERROR(IF(OR('Raw Data'!E17="",LEN(TRIM('Raw Data'!E17))=0),_xlfn.REGEXEXTRACT(CELL("address",'Raw Data'!E17),"\$([A-Z]+)\$[0-9]+"),""),"")</f>
        <v/>
      </c>
      <c r="F17" s="5"/>
      <c r="G17" s="5"/>
      <c r="H17" s="5" t="str" cm="1">
        <f t="array" aca="1" ref="H17" ca="1">IFERROR(IF(OR('Raw Data'!H17="",LEN(TRIM('Raw Data'!H17))=0),_xlfn.REGEXEXTRACT(CELL("address",'Raw Data'!H17),"\$([A-Z]+)\$[0-9]+"),""),"")</f>
        <v/>
      </c>
      <c r="I17" s="5"/>
      <c r="J17" s="5"/>
    </row>
    <row r="18" spans="2:10" x14ac:dyDescent="0.25">
      <c r="B18" s="5" t="str" cm="1">
        <f t="array" aca="1" ref="B18" ca="1">IFERROR(IF(OR('Raw Data'!B18="",LEN(TRIM('Raw Data'!B18))=0),_xlfn.REGEXEXTRACT(CELL("address",'Raw Data'!B18),"\$([A-Z]+)\$[0-9]+"),""),"")</f>
        <v/>
      </c>
      <c r="C18" s="5" t="str" cm="1">
        <f t="array" aca="1" ref="C18" ca="1">IFERROR(IF(OR('Raw Data'!C18="",LEN(TRIM('Raw Data'!C18))=0),_xlfn.REGEXEXTRACT(CELL("address",'Raw Data'!C18),"\$([A-Z]+)\$[0-9]+"),""),"")</f>
        <v/>
      </c>
      <c r="D18" s="5"/>
      <c r="E18" s="5" t="str" cm="1">
        <f t="array" aca="1" ref="E18" ca="1">IFERROR(IF(OR('Raw Data'!E18="",LEN(TRIM('Raw Data'!E18))=0),_xlfn.REGEXEXTRACT(CELL("address",'Raw Data'!E18),"\$([A-Z]+)\$[0-9]+"),""),"")</f>
        <v/>
      </c>
      <c r="F18" s="5"/>
      <c r="G18" s="5"/>
      <c r="H18" s="5" t="str" cm="1">
        <f t="array" aca="1" ref="H18" ca="1">IFERROR(IF(OR('Raw Data'!H18="",LEN(TRIM('Raw Data'!H18))=0),_xlfn.REGEXEXTRACT(CELL("address",'Raw Data'!H18),"\$([A-Z]+)\$[0-9]+"),""),"")</f>
        <v/>
      </c>
      <c r="I18" s="5"/>
      <c r="J18" s="5"/>
    </row>
    <row r="19" spans="2:10" x14ac:dyDescent="0.25">
      <c r="B19" s="5" t="str" cm="1">
        <f t="array" aca="1" ref="B19" ca="1">IFERROR(IF(OR('Raw Data'!B19="",LEN(TRIM('Raw Data'!B19))=0),_xlfn.REGEXEXTRACT(CELL("address",'Raw Data'!B19),"\$([A-Z]+)\$[0-9]+"),""),"")</f>
        <v/>
      </c>
      <c r="C19" s="5" t="str" cm="1">
        <f t="array" aca="1" ref="C19" ca="1">IFERROR(IF(OR('Raw Data'!C19="",LEN(TRIM('Raw Data'!C19))=0),_xlfn.REGEXEXTRACT(CELL("address",'Raw Data'!C19),"\$([A-Z]+)\$[0-9]+"),""),"")</f>
        <v/>
      </c>
      <c r="D19" s="5"/>
      <c r="E19" s="5" t="str" cm="1">
        <f t="array" aca="1" ref="E19" ca="1">IFERROR(IF(OR('Raw Data'!E19="",LEN(TRIM('Raw Data'!E19))=0),_xlfn.REGEXEXTRACT(CELL("address",'Raw Data'!E19),"\$([A-Z]+)\$[0-9]+"),""),"")</f>
        <v/>
      </c>
      <c r="F19" s="5"/>
      <c r="G19" s="5"/>
      <c r="H19" s="5" t="str" cm="1">
        <f t="array" aca="1" ref="H19" ca="1">IFERROR(IF(OR('Raw Data'!H19="",LEN(TRIM('Raw Data'!H19))=0),_xlfn.REGEXEXTRACT(CELL("address",'Raw Data'!H19),"\$([A-Z]+)\$[0-9]+"),""),"")</f>
        <v/>
      </c>
      <c r="I19" s="5"/>
      <c r="J19" s="5"/>
    </row>
    <row r="20" spans="2:10" x14ac:dyDescent="0.25">
      <c r="B20" s="5" t="str" cm="1">
        <f t="array" aca="1" ref="B20" ca="1">IFERROR(IF(OR('Raw Data'!B20="",LEN(TRIM('Raw Data'!B20))=0),_xlfn.REGEXEXTRACT(CELL("address",'Raw Data'!B20),"\$([A-Z]+)\$[0-9]+"),""),"")</f>
        <v/>
      </c>
      <c r="C20" s="5" t="str" cm="1">
        <f t="array" aca="1" ref="C20" ca="1">IFERROR(IF(OR('Raw Data'!C20="",LEN(TRIM('Raw Data'!C20))=0),_xlfn.REGEXEXTRACT(CELL("address",'Raw Data'!C20),"\$([A-Z]+)\$[0-9]+"),""),"")</f>
        <v/>
      </c>
      <c r="D20" s="5"/>
      <c r="E20" s="5" t="str" cm="1">
        <f t="array" aca="1" ref="E20" ca="1">IFERROR(IF(OR('Raw Data'!E20="",LEN(TRIM('Raw Data'!E20))=0),_xlfn.REGEXEXTRACT(CELL("address",'Raw Data'!E20),"\$([A-Z]+)\$[0-9]+"),""),"")</f>
        <v/>
      </c>
      <c r="F20" s="5"/>
      <c r="G20" s="5"/>
      <c r="H20" s="5" t="str" cm="1">
        <f t="array" aca="1" ref="H20" ca="1">IFERROR(IF(OR('Raw Data'!H20="",LEN(TRIM('Raw Data'!H20))=0),_xlfn.REGEXEXTRACT(CELL("address",'Raw Data'!H20),"\$([A-Z]+)\$[0-9]+"),""),"")</f>
        <v/>
      </c>
      <c r="I20" s="5"/>
      <c r="J20" s="5"/>
    </row>
    <row r="21" spans="2:10" x14ac:dyDescent="0.25">
      <c r="B21" s="5" t="str" cm="1">
        <f t="array" aca="1" ref="B21" ca="1">IFERROR(IF(OR('Raw Data'!B21="",LEN(TRIM('Raw Data'!B21))=0),_xlfn.REGEXEXTRACT(CELL("address",'Raw Data'!B21),"\$([A-Z]+)\$[0-9]+"),""),"")</f>
        <v/>
      </c>
      <c r="C21" s="5" t="str" cm="1">
        <f t="array" aca="1" ref="C21" ca="1">IFERROR(IF(OR('Raw Data'!C21="",LEN(TRIM('Raw Data'!C21))=0),_xlfn.REGEXEXTRACT(CELL("address",'Raw Data'!C21),"\$([A-Z]+)\$[0-9]+"),""),"")</f>
        <v/>
      </c>
      <c r="D21" s="5"/>
      <c r="E21" s="5" t="str" cm="1">
        <f t="array" aca="1" ref="E21" ca="1">IFERROR(IF(OR('Raw Data'!E21="",LEN(TRIM('Raw Data'!E21))=0),_xlfn.REGEXEXTRACT(CELL("address",'Raw Data'!E21),"\$([A-Z]+)\$[0-9]+"),""),"")</f>
        <v/>
      </c>
      <c r="F21" s="5"/>
      <c r="G21" s="5"/>
      <c r="H21" s="5" t="str" cm="1">
        <f t="array" aca="1" ref="H21" ca="1">IFERROR(IF(OR('Raw Data'!H21="",LEN(TRIM('Raw Data'!H21))=0),_xlfn.REGEXEXTRACT(CELL("address",'Raw Data'!H21),"\$([A-Z]+)\$[0-9]+"),""),"")</f>
        <v/>
      </c>
      <c r="I21" s="5"/>
      <c r="J21" s="5"/>
    </row>
    <row r="22" spans="2:10" x14ac:dyDescent="0.25">
      <c r="B22" s="5" t="str" cm="1">
        <f t="array" aca="1" ref="B22" ca="1">IFERROR(IF(OR('Raw Data'!B22="",LEN(TRIM('Raw Data'!B22))=0),_xlfn.REGEXEXTRACT(CELL("address",'Raw Data'!B22),"\$([A-Z]+)\$[0-9]+"),""),"")</f>
        <v/>
      </c>
      <c r="C22" s="5" t="str" cm="1">
        <f t="array" aca="1" ref="C22" ca="1">IFERROR(IF(OR('Raw Data'!C22="",LEN(TRIM('Raw Data'!C22))=0),_xlfn.REGEXEXTRACT(CELL("address",'Raw Data'!C22),"\$([A-Z]+)\$[0-9]+"),""),"")</f>
        <v/>
      </c>
      <c r="D22" s="5"/>
      <c r="E22" s="5" t="str" cm="1">
        <f t="array" aca="1" ref="E22" ca="1">IFERROR(IF(OR('Raw Data'!E22="",LEN(TRIM('Raw Data'!E22))=0),_xlfn.REGEXEXTRACT(CELL("address",'Raw Data'!E22),"\$([A-Z]+)\$[0-9]+"),""),"")</f>
        <v/>
      </c>
      <c r="F22" s="5"/>
      <c r="G22" s="5"/>
      <c r="H22" s="5" t="str" cm="1">
        <f t="array" aca="1" ref="H22" ca="1">IFERROR(IF(OR('Raw Data'!H22="",LEN(TRIM('Raw Data'!H22))=0),_xlfn.REGEXEXTRACT(CELL("address",'Raw Data'!H22),"\$([A-Z]+)\$[0-9]+"),""),"")</f>
        <v/>
      </c>
      <c r="I22" s="5"/>
      <c r="J22" s="5"/>
    </row>
    <row r="23" spans="2:10" x14ac:dyDescent="0.25">
      <c r="B23" s="5" t="str" cm="1">
        <f t="array" aca="1" ref="B23" ca="1">IFERROR(IF(OR('Raw Data'!B23="",LEN(TRIM('Raw Data'!B23))=0),_xlfn.REGEXEXTRACT(CELL("address",'Raw Data'!B23),"\$([A-Z]+)\$[0-9]+"),""),"")</f>
        <v/>
      </c>
      <c r="C23" s="5" t="str" cm="1">
        <f t="array" aca="1" ref="C23" ca="1">IFERROR(IF(OR('Raw Data'!C23="",LEN(TRIM('Raw Data'!C23))=0),_xlfn.REGEXEXTRACT(CELL("address",'Raw Data'!C23),"\$([A-Z]+)\$[0-9]+"),""),"")</f>
        <v/>
      </c>
      <c r="D23" s="5"/>
      <c r="E23" s="5" t="str" cm="1">
        <f t="array" aca="1" ref="E23" ca="1">IFERROR(IF(OR('Raw Data'!E23="",LEN(TRIM('Raw Data'!E23))=0),_xlfn.REGEXEXTRACT(CELL("address",'Raw Data'!E23),"\$([A-Z]+)\$[0-9]+"),""),"")</f>
        <v/>
      </c>
      <c r="F23" s="5"/>
      <c r="G23" s="5"/>
      <c r="H23" s="5" t="str" cm="1">
        <f t="array" aca="1" ref="H23" ca="1">IFERROR(IF(OR('Raw Data'!H23="",LEN(TRIM('Raw Data'!H23))=0),_xlfn.REGEXEXTRACT(CELL("address",'Raw Data'!H23),"\$([A-Z]+)\$[0-9]+"),""),"")</f>
        <v/>
      </c>
      <c r="I23" s="5"/>
      <c r="J23" s="5"/>
    </row>
    <row r="24" spans="2:10" x14ac:dyDescent="0.25">
      <c r="B24" s="5" t="str" cm="1">
        <f t="array" aca="1" ref="B24" ca="1">IFERROR(IF(OR('Raw Data'!B24="",LEN(TRIM('Raw Data'!B24))=0),_xlfn.REGEXEXTRACT(CELL("address",'Raw Data'!B24),"\$([A-Z]+)\$[0-9]+"),""),"")</f>
        <v/>
      </c>
      <c r="C24" s="5" t="str" cm="1">
        <f t="array" aca="1" ref="C24" ca="1">IFERROR(IF(OR('Raw Data'!C24="",LEN(TRIM('Raw Data'!C24))=0),_xlfn.REGEXEXTRACT(CELL("address",'Raw Data'!C24),"\$([A-Z]+)\$[0-9]+"),""),"")</f>
        <v/>
      </c>
      <c r="D24" s="5"/>
      <c r="E24" s="5" t="str" cm="1">
        <f t="array" aca="1" ref="E24" ca="1">IFERROR(IF(OR('Raw Data'!E24="",LEN(TRIM('Raw Data'!E24))=0),_xlfn.REGEXEXTRACT(CELL("address",'Raw Data'!E24),"\$([A-Z]+)\$[0-9]+"),""),"")</f>
        <v/>
      </c>
      <c r="F24" s="5"/>
      <c r="G24" s="5"/>
      <c r="H24" s="5" t="str" cm="1">
        <f t="array" aca="1" ref="H24" ca="1">IFERROR(IF(OR('Raw Data'!H24="",LEN(TRIM('Raw Data'!H24))=0),_xlfn.REGEXEXTRACT(CELL("address",'Raw Data'!H24),"\$([A-Z]+)\$[0-9]+"),""),"")</f>
        <v/>
      </c>
      <c r="I24" s="5"/>
      <c r="J24" s="5"/>
    </row>
    <row r="25" spans="2:10" x14ac:dyDescent="0.25">
      <c r="B25" s="5" t="str" cm="1">
        <f t="array" aca="1" ref="B25" ca="1">IFERROR(IF(OR('Raw Data'!B25="",LEN(TRIM('Raw Data'!B25))=0),_xlfn.REGEXEXTRACT(CELL("address",'Raw Data'!B25),"\$([A-Z]+)\$[0-9]+"),""),"")</f>
        <v/>
      </c>
      <c r="C25" s="5" t="str" cm="1">
        <f t="array" aca="1" ref="C25" ca="1">IFERROR(IF(OR('Raw Data'!C25="",LEN(TRIM('Raw Data'!C25))=0),_xlfn.REGEXEXTRACT(CELL("address",'Raw Data'!C25),"\$([A-Z]+)\$[0-9]+"),""),"")</f>
        <v/>
      </c>
      <c r="D25" s="5"/>
      <c r="E25" s="5" t="str" cm="1">
        <f t="array" aca="1" ref="E25" ca="1">IFERROR(IF(OR('Raw Data'!E25="",LEN(TRIM('Raw Data'!E25))=0),_xlfn.REGEXEXTRACT(CELL("address",'Raw Data'!E25),"\$([A-Z]+)\$[0-9]+"),""),"")</f>
        <v/>
      </c>
      <c r="F25" s="5"/>
      <c r="G25" s="5"/>
      <c r="H25" s="5" t="str" cm="1">
        <f t="array" aca="1" ref="H25" ca="1">IFERROR(IF(OR('Raw Data'!H25="",LEN(TRIM('Raw Data'!H25))=0),_xlfn.REGEXEXTRACT(CELL("address",'Raw Data'!H25),"\$([A-Z]+)\$[0-9]+"),""),"")</f>
        <v/>
      </c>
      <c r="I25" s="5"/>
      <c r="J25" s="5"/>
    </row>
    <row r="26" spans="2:10" x14ac:dyDescent="0.25">
      <c r="B26" s="5" t="str" cm="1">
        <f t="array" aca="1" ref="B26" ca="1">IFERROR(IF(OR('Raw Data'!B26="",LEN(TRIM('Raw Data'!B26))=0),_xlfn.REGEXEXTRACT(CELL("address",'Raw Data'!B26),"\$([A-Z]+)\$[0-9]+"),""),"")</f>
        <v/>
      </c>
      <c r="C26" s="5" t="str" cm="1">
        <f t="array" aca="1" ref="C26" ca="1">IFERROR(IF(OR('Raw Data'!C26="",LEN(TRIM('Raw Data'!C26))=0),_xlfn.REGEXEXTRACT(CELL("address",'Raw Data'!C26),"\$([A-Z]+)\$[0-9]+"),""),"")</f>
        <v/>
      </c>
      <c r="D26" s="5"/>
      <c r="E26" s="5" t="str" cm="1">
        <f t="array" aca="1" ref="E26" ca="1">IFERROR(IF(OR('Raw Data'!E26="",LEN(TRIM('Raw Data'!E26))=0),_xlfn.REGEXEXTRACT(CELL("address",'Raw Data'!E26),"\$([A-Z]+)\$[0-9]+"),""),"")</f>
        <v/>
      </c>
      <c r="F26" s="5"/>
      <c r="G26" s="5"/>
      <c r="H26" s="5" t="str" cm="1">
        <f t="array" aca="1" ref="H26" ca="1">IFERROR(IF(OR('Raw Data'!H26="",LEN(TRIM('Raw Data'!H26))=0),_xlfn.REGEXEXTRACT(CELL("address",'Raw Data'!H26),"\$([A-Z]+)\$[0-9]+"),""),"")</f>
        <v/>
      </c>
      <c r="I26" s="5"/>
      <c r="J26" s="5"/>
    </row>
    <row r="27" spans="2:10" x14ac:dyDescent="0.25">
      <c r="B27" s="5" t="str" cm="1">
        <f t="array" aca="1" ref="B27" ca="1">IFERROR(IF(OR('Raw Data'!B27="",LEN(TRIM('Raw Data'!B27))=0),_xlfn.REGEXEXTRACT(CELL("address",'Raw Data'!B27),"\$([A-Z]+)\$[0-9]+"),""),"")</f>
        <v/>
      </c>
      <c r="C27" s="5" t="str" cm="1">
        <f t="array" aca="1" ref="C27" ca="1">IFERROR(IF(OR('Raw Data'!C27="",LEN(TRIM('Raw Data'!C27))=0),_xlfn.REGEXEXTRACT(CELL("address",'Raw Data'!C27),"\$([A-Z]+)\$[0-9]+"),""),"")</f>
        <v/>
      </c>
      <c r="D27" s="5"/>
      <c r="E27" s="5" t="str" cm="1">
        <f t="array" aca="1" ref="E27" ca="1">IFERROR(IF(OR('Raw Data'!E27="",LEN(TRIM('Raw Data'!E27))=0),_xlfn.REGEXEXTRACT(CELL("address",'Raw Data'!E27),"\$([A-Z]+)\$[0-9]+"),""),"")</f>
        <v/>
      </c>
      <c r="F27" s="5"/>
      <c r="G27" s="5"/>
      <c r="H27" s="5" t="str" cm="1">
        <f t="array" aca="1" ref="H27" ca="1">IFERROR(IF(OR('Raw Data'!H27="",LEN(TRIM('Raw Data'!H27))=0),_xlfn.REGEXEXTRACT(CELL("address",'Raw Data'!H27),"\$([A-Z]+)\$[0-9]+"),""),"")</f>
        <v/>
      </c>
      <c r="I27" s="5"/>
      <c r="J27" s="5"/>
    </row>
    <row r="28" spans="2:10" x14ac:dyDescent="0.25">
      <c r="B28" s="5" t="str" cm="1">
        <f t="array" aca="1" ref="B28" ca="1">IFERROR(IF(OR('Raw Data'!B28="",LEN(TRIM('Raw Data'!B28))=0),_xlfn.REGEXEXTRACT(CELL("address",'Raw Data'!B28),"\$([A-Z]+)\$[0-9]+"),""),"")</f>
        <v/>
      </c>
      <c r="C28" s="5" t="str" cm="1">
        <f t="array" aca="1" ref="C28" ca="1">IFERROR(IF(OR('Raw Data'!C28="",LEN(TRIM('Raw Data'!C28))=0),_xlfn.REGEXEXTRACT(CELL("address",'Raw Data'!C28),"\$([A-Z]+)\$[0-9]+"),""),"")</f>
        <v/>
      </c>
      <c r="D28" s="5"/>
      <c r="E28" s="5" t="str" cm="1">
        <f t="array" aca="1" ref="E28" ca="1">IFERROR(IF(OR('Raw Data'!E28="",LEN(TRIM('Raw Data'!E28))=0),_xlfn.REGEXEXTRACT(CELL("address",'Raw Data'!E28),"\$([A-Z]+)\$[0-9]+"),""),"")</f>
        <v/>
      </c>
      <c r="F28" s="5"/>
      <c r="G28" s="5"/>
      <c r="H28" s="5" t="str" cm="1">
        <f t="array" aca="1" ref="H28" ca="1">IFERROR(IF(OR('Raw Data'!H28="",LEN(TRIM('Raw Data'!H28))=0),_xlfn.REGEXEXTRACT(CELL("address",'Raw Data'!H28),"\$([A-Z]+)\$[0-9]+"),""),"")</f>
        <v/>
      </c>
      <c r="I28" s="5"/>
      <c r="J28" s="5"/>
    </row>
    <row r="29" spans="2:10" x14ac:dyDescent="0.25">
      <c r="B29" s="5" t="str" cm="1">
        <f t="array" aca="1" ref="B29" ca="1">IFERROR(IF(OR('Raw Data'!B29="",LEN(TRIM('Raw Data'!B29))=0),_xlfn.REGEXEXTRACT(CELL("address",'Raw Data'!B29),"\$([A-Z]+)\$[0-9]+"),""),"")</f>
        <v/>
      </c>
      <c r="C29" s="5" t="str" cm="1">
        <f t="array" aca="1" ref="C29" ca="1">IFERROR(IF(OR('Raw Data'!C29="",LEN(TRIM('Raw Data'!C29))=0),_xlfn.REGEXEXTRACT(CELL("address",'Raw Data'!C29),"\$([A-Z]+)\$[0-9]+"),""),"")</f>
        <v/>
      </c>
      <c r="D29" s="5"/>
      <c r="E29" s="5" t="str" cm="1">
        <f t="array" aca="1" ref="E29" ca="1">IFERROR(IF(OR('Raw Data'!E29="",LEN(TRIM('Raw Data'!E29))=0),_xlfn.REGEXEXTRACT(CELL("address",'Raw Data'!E29),"\$([A-Z]+)\$[0-9]+"),""),"")</f>
        <v/>
      </c>
      <c r="F29" s="5"/>
      <c r="G29" s="5"/>
      <c r="H29" s="5" t="str" cm="1">
        <f t="array" aca="1" ref="H29" ca="1">IFERROR(IF(OR('Raw Data'!H29="",LEN(TRIM('Raw Data'!H29))=0),_xlfn.REGEXEXTRACT(CELL("address",'Raw Data'!H29),"\$([A-Z]+)\$[0-9]+"),""),"")</f>
        <v/>
      </c>
      <c r="I29" s="5"/>
      <c r="J29" s="5"/>
    </row>
    <row r="30" spans="2:10" x14ac:dyDescent="0.25">
      <c r="B30" s="5" t="str" cm="1">
        <f t="array" aca="1" ref="B30" ca="1">IFERROR(IF(OR('Raw Data'!B30="",LEN(TRIM('Raw Data'!B30))=0),_xlfn.REGEXEXTRACT(CELL("address",'Raw Data'!B30),"\$([A-Z]+)\$[0-9]+"),""),"")</f>
        <v/>
      </c>
      <c r="C30" s="5" t="str" cm="1">
        <f t="array" aca="1" ref="C30" ca="1">IFERROR(IF(OR('Raw Data'!C30="",LEN(TRIM('Raw Data'!C30))=0),_xlfn.REGEXEXTRACT(CELL("address",'Raw Data'!C30),"\$([A-Z]+)\$[0-9]+"),""),"")</f>
        <v/>
      </c>
      <c r="D30" s="5"/>
      <c r="E30" s="5" t="str" cm="1">
        <f t="array" aca="1" ref="E30" ca="1">IFERROR(IF(OR('Raw Data'!E30="",LEN(TRIM('Raw Data'!E30))=0),_xlfn.REGEXEXTRACT(CELL("address",'Raw Data'!E30),"\$([A-Z]+)\$[0-9]+"),""),"")</f>
        <v/>
      </c>
      <c r="F30" s="5"/>
      <c r="G30" s="5"/>
      <c r="H30" s="5" t="str" cm="1">
        <f t="array" aca="1" ref="H30" ca="1">IFERROR(IF(OR('Raw Data'!H30="",LEN(TRIM('Raw Data'!H30))=0),_xlfn.REGEXEXTRACT(CELL("address",'Raw Data'!H30),"\$([A-Z]+)\$[0-9]+"),""),"")</f>
        <v/>
      </c>
      <c r="I30" s="5"/>
      <c r="J30" s="5"/>
    </row>
    <row r="31" spans="2:10" x14ac:dyDescent="0.25">
      <c r="B31" s="5" t="str" cm="1">
        <f t="array" aca="1" ref="B31" ca="1">IFERROR(IF(OR('Raw Data'!B31="",LEN(TRIM('Raw Data'!B31))=0),_xlfn.REGEXEXTRACT(CELL("address",'Raw Data'!B31),"\$([A-Z]+)\$[0-9]+"),""),"")</f>
        <v/>
      </c>
      <c r="C31" s="5" t="str" cm="1">
        <f t="array" aca="1" ref="C31" ca="1">IFERROR(IF(OR('Raw Data'!C31="",LEN(TRIM('Raw Data'!C31))=0),_xlfn.REGEXEXTRACT(CELL("address",'Raw Data'!C31),"\$([A-Z]+)\$[0-9]+"),""),"")</f>
        <v/>
      </c>
      <c r="D31" s="5"/>
      <c r="E31" s="5" t="str" cm="1">
        <f t="array" aca="1" ref="E31" ca="1">IFERROR(IF(OR('Raw Data'!E31="",LEN(TRIM('Raw Data'!E31))=0),_xlfn.REGEXEXTRACT(CELL("address",'Raw Data'!E31),"\$([A-Z]+)\$[0-9]+"),""),"")</f>
        <v/>
      </c>
      <c r="F31" s="5"/>
      <c r="G31" s="5"/>
      <c r="H31" s="5" t="str" cm="1">
        <f t="array" aca="1" ref="H31" ca="1">IFERROR(IF(OR('Raw Data'!H31="",LEN(TRIM('Raw Data'!H31))=0),_xlfn.REGEXEXTRACT(CELL("address",'Raw Data'!H31),"\$([A-Z]+)\$[0-9]+"),""),"")</f>
        <v/>
      </c>
      <c r="I31" s="5"/>
      <c r="J31" s="5"/>
    </row>
    <row r="32" spans="2:10" x14ac:dyDescent="0.25">
      <c r="B32" s="5" t="str" cm="1">
        <f t="array" aca="1" ref="B32" ca="1">IFERROR(IF(OR('Raw Data'!B32="",LEN(TRIM('Raw Data'!B32))=0),_xlfn.REGEXEXTRACT(CELL("address",'Raw Data'!B32),"\$([A-Z]+)\$[0-9]+"),""),"")</f>
        <v/>
      </c>
      <c r="C32" s="5" t="str" cm="1">
        <f t="array" aca="1" ref="C32" ca="1">IFERROR(IF(OR('Raw Data'!C32="",LEN(TRIM('Raw Data'!C32))=0),_xlfn.REGEXEXTRACT(CELL("address",'Raw Data'!C32),"\$([A-Z]+)\$[0-9]+"),""),"")</f>
        <v/>
      </c>
      <c r="D32" s="5"/>
      <c r="E32" s="5" t="str" cm="1">
        <f t="array" aca="1" ref="E32" ca="1">IFERROR(IF(OR('Raw Data'!E32="",LEN(TRIM('Raw Data'!E32))=0),_xlfn.REGEXEXTRACT(CELL("address",'Raw Data'!E32),"\$([A-Z]+)\$[0-9]+"),""),"")</f>
        <v/>
      </c>
      <c r="F32" s="5"/>
      <c r="G32" s="5"/>
      <c r="H32" s="5" t="str" cm="1">
        <f t="array" aca="1" ref="H32" ca="1">IFERROR(IF(OR('Raw Data'!H32="",LEN(TRIM('Raw Data'!H32))=0),_xlfn.REGEXEXTRACT(CELL("address",'Raw Data'!H32),"\$([A-Z]+)\$[0-9]+"),""),"")</f>
        <v/>
      </c>
      <c r="I32" s="5"/>
      <c r="J32" s="5"/>
    </row>
    <row r="33" spans="2:10" x14ac:dyDescent="0.25">
      <c r="B33" s="5" t="str" cm="1">
        <f t="array" aca="1" ref="B33" ca="1">IFERROR(IF(OR('Raw Data'!B33="",LEN(TRIM('Raw Data'!B33))=0),_xlfn.REGEXEXTRACT(CELL("address",'Raw Data'!B33),"\$([A-Z]+)\$[0-9]+"),""),"")</f>
        <v/>
      </c>
      <c r="C33" s="5" t="str" cm="1">
        <f t="array" aca="1" ref="C33" ca="1">IFERROR(IF(OR('Raw Data'!C33="",LEN(TRIM('Raw Data'!C33))=0),_xlfn.REGEXEXTRACT(CELL("address",'Raw Data'!C33),"\$([A-Z]+)\$[0-9]+"),""),"")</f>
        <v/>
      </c>
      <c r="D33" s="5"/>
      <c r="E33" s="5" t="str" cm="1">
        <f t="array" aca="1" ref="E33" ca="1">IFERROR(IF(OR('Raw Data'!E33="",LEN(TRIM('Raw Data'!E33))=0),_xlfn.REGEXEXTRACT(CELL("address",'Raw Data'!E33),"\$([A-Z]+)\$[0-9]+"),""),"")</f>
        <v/>
      </c>
      <c r="F33" s="5"/>
      <c r="G33" s="5"/>
      <c r="H33" s="5" t="str" cm="1">
        <f t="array" aca="1" ref="H33" ca="1">IFERROR(IF(OR('Raw Data'!H33="",LEN(TRIM('Raw Data'!H33))=0),_xlfn.REGEXEXTRACT(CELL("address",'Raw Data'!H33),"\$([A-Z]+)\$[0-9]+"),""),"")</f>
        <v/>
      </c>
      <c r="I33" s="5"/>
      <c r="J33" s="5"/>
    </row>
    <row r="34" spans="2:10" x14ac:dyDescent="0.25">
      <c r="B34" s="5" t="str" cm="1">
        <f t="array" aca="1" ref="B34" ca="1">IFERROR(IF(OR('Raw Data'!B34="",LEN(TRIM('Raw Data'!B34))=0),_xlfn.REGEXEXTRACT(CELL("address",'Raw Data'!B34),"\$([A-Z]+)\$[0-9]+"),""),"")</f>
        <v/>
      </c>
      <c r="C34" s="5" t="str" cm="1">
        <f t="array" aca="1" ref="C34" ca="1">IFERROR(IF(OR('Raw Data'!C34="",LEN(TRIM('Raw Data'!C34))=0),_xlfn.REGEXEXTRACT(CELL("address",'Raw Data'!C34),"\$([A-Z]+)\$[0-9]+"),""),"")</f>
        <v/>
      </c>
      <c r="D34" s="5"/>
      <c r="E34" s="5" t="str" cm="1">
        <f t="array" aca="1" ref="E34" ca="1">IFERROR(IF(OR('Raw Data'!E34="",LEN(TRIM('Raw Data'!E34))=0),_xlfn.REGEXEXTRACT(CELL("address",'Raw Data'!E34),"\$([A-Z]+)\$[0-9]+"),""),"")</f>
        <v/>
      </c>
      <c r="F34" s="5"/>
      <c r="G34" s="5"/>
      <c r="H34" s="5" t="str" cm="1">
        <f t="array" aca="1" ref="H34" ca="1">IFERROR(IF(OR('Raw Data'!H34="",LEN(TRIM('Raw Data'!H34))=0),_xlfn.REGEXEXTRACT(CELL("address",'Raw Data'!H34),"\$([A-Z]+)\$[0-9]+"),""),"")</f>
        <v/>
      </c>
      <c r="I34" s="5"/>
      <c r="J34" s="5"/>
    </row>
    <row r="35" spans="2:10" x14ac:dyDescent="0.25">
      <c r="B35" s="5" t="str" cm="1">
        <f t="array" aca="1" ref="B35" ca="1">IFERROR(IF(OR('Raw Data'!B35="",LEN(TRIM('Raw Data'!B35))=0),_xlfn.REGEXEXTRACT(CELL("address",'Raw Data'!B35),"\$([A-Z]+)\$[0-9]+"),""),"")</f>
        <v/>
      </c>
      <c r="C35" s="5" t="str" cm="1">
        <f t="array" aca="1" ref="C35" ca="1">IFERROR(IF(OR('Raw Data'!C35="",LEN(TRIM('Raw Data'!C35))=0),_xlfn.REGEXEXTRACT(CELL("address",'Raw Data'!C35),"\$([A-Z]+)\$[0-9]+"),""),"")</f>
        <v/>
      </c>
      <c r="D35" s="5"/>
      <c r="E35" s="5" t="str" cm="1">
        <f t="array" aca="1" ref="E35" ca="1">IFERROR(IF(OR('Raw Data'!E35="",LEN(TRIM('Raw Data'!E35))=0),_xlfn.REGEXEXTRACT(CELL("address",'Raw Data'!E35),"\$([A-Z]+)\$[0-9]+"),""),"")</f>
        <v/>
      </c>
      <c r="F35" s="5"/>
      <c r="G35" s="5"/>
      <c r="H35" s="5" t="str" cm="1">
        <f t="array" aca="1" ref="H35" ca="1">IFERROR(IF(OR('Raw Data'!H35="",LEN(TRIM('Raw Data'!H35))=0),_xlfn.REGEXEXTRACT(CELL("address",'Raw Data'!H35),"\$([A-Z]+)\$[0-9]+"),""),"")</f>
        <v/>
      </c>
      <c r="I35" s="5"/>
      <c r="J35" s="5"/>
    </row>
    <row r="36" spans="2:10" x14ac:dyDescent="0.25">
      <c r="B36" s="5" t="str" cm="1">
        <f t="array" aca="1" ref="B36" ca="1">IFERROR(IF(OR('Raw Data'!B36="",LEN(TRIM('Raw Data'!B36))=0),_xlfn.REGEXEXTRACT(CELL("address",'Raw Data'!B36),"\$([A-Z]+)\$[0-9]+"),""),"")</f>
        <v/>
      </c>
      <c r="C36" s="5" t="str" cm="1">
        <f t="array" aca="1" ref="C36" ca="1">IFERROR(IF(OR('Raw Data'!C36="",LEN(TRIM('Raw Data'!C36))=0),_xlfn.REGEXEXTRACT(CELL("address",'Raw Data'!C36),"\$([A-Z]+)\$[0-9]+"),""),"")</f>
        <v/>
      </c>
      <c r="D36" s="5"/>
      <c r="E36" s="5" t="str" cm="1">
        <f t="array" aca="1" ref="E36" ca="1">IFERROR(IF(OR('Raw Data'!E36="",LEN(TRIM('Raw Data'!E36))=0),_xlfn.REGEXEXTRACT(CELL("address",'Raw Data'!E36),"\$([A-Z]+)\$[0-9]+"),""),"")</f>
        <v/>
      </c>
      <c r="F36" s="5"/>
      <c r="G36" s="5"/>
      <c r="H36" s="5" t="str" cm="1">
        <f t="array" aca="1" ref="H36" ca="1">IFERROR(IF(OR('Raw Data'!H36="",LEN(TRIM('Raw Data'!H36))=0),_xlfn.REGEXEXTRACT(CELL("address",'Raw Data'!H36),"\$([A-Z]+)\$[0-9]+"),""),"")</f>
        <v/>
      </c>
      <c r="I36" s="5"/>
      <c r="J36" s="5"/>
    </row>
    <row r="37" spans="2:10" x14ac:dyDescent="0.25">
      <c r="B37" s="5" t="str" cm="1">
        <f t="array" aca="1" ref="B37" ca="1">IFERROR(IF(OR('Raw Data'!B37="",LEN(TRIM('Raw Data'!B37))=0),_xlfn.REGEXEXTRACT(CELL("address",'Raw Data'!B37),"\$([A-Z]+)\$[0-9]+"),""),"")</f>
        <v/>
      </c>
      <c r="C37" s="5" t="str" cm="1">
        <f t="array" aca="1" ref="C37" ca="1">IFERROR(IF(OR('Raw Data'!C37="",LEN(TRIM('Raw Data'!C37))=0),_xlfn.REGEXEXTRACT(CELL("address",'Raw Data'!C37),"\$([A-Z]+)\$[0-9]+"),""),"")</f>
        <v/>
      </c>
      <c r="D37" s="5"/>
      <c r="E37" s="5" t="str" cm="1">
        <f t="array" aca="1" ref="E37" ca="1">IFERROR(IF(OR('Raw Data'!E37="",LEN(TRIM('Raw Data'!E37))=0),_xlfn.REGEXEXTRACT(CELL("address",'Raw Data'!E37),"\$([A-Z]+)\$[0-9]+"),""),"")</f>
        <v/>
      </c>
      <c r="F37" s="5"/>
      <c r="G37" s="5"/>
      <c r="H37" s="5" t="str" cm="1">
        <f t="array" aca="1" ref="H37" ca="1">IFERROR(IF(OR('Raw Data'!H37="",LEN(TRIM('Raw Data'!H37))=0),_xlfn.REGEXEXTRACT(CELL("address",'Raw Data'!H37),"\$([A-Z]+)\$[0-9]+"),""),"")</f>
        <v/>
      </c>
      <c r="I37" s="5"/>
      <c r="J37" s="5"/>
    </row>
    <row r="38" spans="2:10" x14ac:dyDescent="0.25">
      <c r="B38" s="5" t="str" cm="1">
        <f t="array" aca="1" ref="B38" ca="1">IFERROR(IF(OR('Raw Data'!B38="",LEN(TRIM('Raw Data'!B38))=0),_xlfn.REGEXEXTRACT(CELL("address",'Raw Data'!B38),"\$([A-Z]+)\$[0-9]+"),""),"")</f>
        <v/>
      </c>
      <c r="C38" s="5" t="str" cm="1">
        <f t="array" aca="1" ref="C38" ca="1">IFERROR(IF(OR('Raw Data'!C38="",LEN(TRIM('Raw Data'!C38))=0),_xlfn.REGEXEXTRACT(CELL("address",'Raw Data'!C38),"\$([A-Z]+)\$[0-9]+"),""),"")</f>
        <v/>
      </c>
      <c r="D38" s="5"/>
      <c r="E38" s="5" t="str" cm="1">
        <f t="array" aca="1" ref="E38" ca="1">IFERROR(IF(OR('Raw Data'!E38="",LEN(TRIM('Raw Data'!E38))=0),_xlfn.REGEXEXTRACT(CELL("address",'Raw Data'!E38),"\$([A-Z]+)\$[0-9]+"),""),"")</f>
        <v/>
      </c>
      <c r="F38" s="5"/>
      <c r="G38" s="5"/>
      <c r="H38" s="5" t="str" cm="1">
        <f t="array" aca="1" ref="H38" ca="1">IFERROR(IF(OR('Raw Data'!H38="",LEN(TRIM('Raw Data'!H38))=0),_xlfn.REGEXEXTRACT(CELL("address",'Raw Data'!H38),"\$([A-Z]+)\$[0-9]+"),""),"")</f>
        <v/>
      </c>
      <c r="I38" s="5"/>
      <c r="J38" s="5"/>
    </row>
    <row r="39" spans="2:10" x14ac:dyDescent="0.25">
      <c r="B39" s="5" t="str" cm="1">
        <f t="array" aca="1" ref="B39" ca="1">IFERROR(IF(OR('Raw Data'!B39="",LEN(TRIM('Raw Data'!B39))=0),_xlfn.REGEXEXTRACT(CELL("address",'Raw Data'!B39),"\$([A-Z]+)\$[0-9]+"),""),"")</f>
        <v/>
      </c>
      <c r="C39" s="5" t="str" cm="1">
        <f t="array" aca="1" ref="C39" ca="1">IFERROR(IF(OR('Raw Data'!C39="",LEN(TRIM('Raw Data'!C39))=0),_xlfn.REGEXEXTRACT(CELL("address",'Raw Data'!C39),"\$([A-Z]+)\$[0-9]+"),""),"")</f>
        <v/>
      </c>
      <c r="D39" s="5"/>
      <c r="E39" s="5" t="str" cm="1">
        <f t="array" aca="1" ref="E39" ca="1">IFERROR(IF(OR('Raw Data'!E39="",LEN(TRIM('Raw Data'!E39))=0),_xlfn.REGEXEXTRACT(CELL("address",'Raw Data'!E39),"\$([A-Z]+)\$[0-9]+"),""),"")</f>
        <v/>
      </c>
      <c r="F39" s="5"/>
      <c r="G39" s="5"/>
      <c r="H39" s="5" t="str" cm="1">
        <f t="array" aca="1" ref="H39" ca="1">IFERROR(IF(OR('Raw Data'!H39="",LEN(TRIM('Raw Data'!H39))=0),_xlfn.REGEXEXTRACT(CELL("address",'Raw Data'!H39),"\$([A-Z]+)\$[0-9]+"),""),"")</f>
        <v/>
      </c>
      <c r="I39" s="5"/>
      <c r="J39" s="5"/>
    </row>
    <row r="40" spans="2:10" x14ac:dyDescent="0.25">
      <c r="B40" s="5" t="str" cm="1">
        <f t="array" aca="1" ref="B40" ca="1">IFERROR(IF(OR('Raw Data'!B40="",LEN(TRIM('Raw Data'!B40))=0),_xlfn.REGEXEXTRACT(CELL("address",'Raw Data'!B40),"\$([A-Z]+)\$[0-9]+"),""),"")</f>
        <v/>
      </c>
      <c r="C40" s="5" t="str" cm="1">
        <f t="array" aca="1" ref="C40" ca="1">IFERROR(IF(OR('Raw Data'!C40="",LEN(TRIM('Raw Data'!C40))=0),_xlfn.REGEXEXTRACT(CELL("address",'Raw Data'!C40),"\$([A-Z]+)\$[0-9]+"),""),"")</f>
        <v/>
      </c>
      <c r="D40" s="5"/>
      <c r="E40" s="5" t="str" cm="1">
        <f t="array" aca="1" ref="E40" ca="1">IFERROR(IF(OR('Raw Data'!E40="",LEN(TRIM('Raw Data'!E40))=0),_xlfn.REGEXEXTRACT(CELL("address",'Raw Data'!E40),"\$([A-Z]+)\$[0-9]+"),""),"")</f>
        <v/>
      </c>
      <c r="F40" s="5"/>
      <c r="G40" s="5"/>
      <c r="H40" s="5" t="str" cm="1">
        <f t="array" aca="1" ref="H40" ca="1">IFERROR(IF(OR('Raw Data'!H40="",LEN(TRIM('Raw Data'!H40))=0),_xlfn.REGEXEXTRACT(CELL("address",'Raw Data'!H40),"\$([A-Z]+)\$[0-9]+"),""),"")</f>
        <v/>
      </c>
      <c r="I40" s="5"/>
      <c r="J40" s="5"/>
    </row>
    <row r="41" spans="2:10" x14ac:dyDescent="0.25">
      <c r="B41" s="5" t="str" cm="1">
        <f t="array" aca="1" ref="B41" ca="1">IFERROR(IF(OR('Raw Data'!B41="",LEN(TRIM('Raw Data'!B41))=0),_xlfn.REGEXEXTRACT(CELL("address",'Raw Data'!B41),"\$([A-Z]+)\$[0-9]+"),""),"")</f>
        <v/>
      </c>
      <c r="C41" s="5" t="str" cm="1">
        <f t="array" aca="1" ref="C41" ca="1">IFERROR(IF(OR('Raw Data'!C41="",LEN(TRIM('Raw Data'!C41))=0),_xlfn.REGEXEXTRACT(CELL("address",'Raw Data'!C41),"\$([A-Z]+)\$[0-9]+"),""),"")</f>
        <v/>
      </c>
      <c r="D41" s="5"/>
      <c r="E41" s="5" t="str" cm="1">
        <f t="array" aca="1" ref="E41" ca="1">IFERROR(IF(OR('Raw Data'!E41="",LEN(TRIM('Raw Data'!E41))=0),_xlfn.REGEXEXTRACT(CELL("address",'Raw Data'!E41),"\$([A-Z]+)\$[0-9]+"),""),"")</f>
        <v/>
      </c>
      <c r="F41" s="5"/>
      <c r="G41" s="5"/>
      <c r="H41" s="5" t="str" cm="1">
        <f t="array" aca="1" ref="H41" ca="1">IFERROR(IF(OR('Raw Data'!H41="",LEN(TRIM('Raw Data'!H41))=0),_xlfn.REGEXEXTRACT(CELL("address",'Raw Data'!H41),"\$([A-Z]+)\$[0-9]+"),""),"")</f>
        <v/>
      </c>
      <c r="I41" s="5"/>
      <c r="J41" s="5"/>
    </row>
    <row r="42" spans="2:10" x14ac:dyDescent="0.25">
      <c r="B42" s="5" t="str" cm="1">
        <f t="array" aca="1" ref="B42" ca="1">IFERROR(IF(OR('Raw Data'!B42="",LEN(TRIM('Raw Data'!B42))=0),_xlfn.REGEXEXTRACT(CELL("address",'Raw Data'!B42),"\$([A-Z]+)\$[0-9]+"),""),"")</f>
        <v/>
      </c>
      <c r="C42" s="5" t="str" cm="1">
        <f t="array" aca="1" ref="C42" ca="1">IFERROR(IF(OR('Raw Data'!C42="",LEN(TRIM('Raw Data'!C42))=0),_xlfn.REGEXEXTRACT(CELL("address",'Raw Data'!C42),"\$([A-Z]+)\$[0-9]+"),""),"")</f>
        <v/>
      </c>
      <c r="D42" s="5"/>
      <c r="E42" s="5" t="str" cm="1">
        <f t="array" aca="1" ref="E42" ca="1">IFERROR(IF(OR('Raw Data'!E42="",LEN(TRIM('Raw Data'!E42))=0),_xlfn.REGEXEXTRACT(CELL("address",'Raw Data'!E42),"\$([A-Z]+)\$[0-9]+"),""),"")</f>
        <v/>
      </c>
      <c r="F42" s="5"/>
      <c r="G42" s="5"/>
      <c r="H42" s="5" t="str" cm="1">
        <f t="array" aca="1" ref="H42" ca="1">IFERROR(IF(OR('Raw Data'!H42="",LEN(TRIM('Raw Data'!H42))=0),_xlfn.REGEXEXTRACT(CELL("address",'Raw Data'!H42),"\$([A-Z]+)\$[0-9]+"),""),"")</f>
        <v/>
      </c>
      <c r="I42" s="5"/>
      <c r="J42" s="5"/>
    </row>
    <row r="43" spans="2:10" x14ac:dyDescent="0.25">
      <c r="B43" s="5" t="str" cm="1">
        <f t="array" aca="1" ref="B43" ca="1">IFERROR(IF(OR('Raw Data'!B43="",LEN(TRIM('Raw Data'!B43))=0),_xlfn.REGEXEXTRACT(CELL("address",'Raw Data'!B43),"\$([A-Z]+)\$[0-9]+"),""),"")</f>
        <v/>
      </c>
      <c r="C43" s="5" t="str" cm="1">
        <f t="array" aca="1" ref="C43" ca="1">IFERROR(IF(OR('Raw Data'!C43="",LEN(TRIM('Raw Data'!C43))=0),_xlfn.REGEXEXTRACT(CELL("address",'Raw Data'!C43),"\$([A-Z]+)\$[0-9]+"),""),"")</f>
        <v/>
      </c>
      <c r="D43" s="5"/>
      <c r="E43" s="5" t="str" cm="1">
        <f t="array" aca="1" ref="E43" ca="1">IFERROR(IF(OR('Raw Data'!E43="",LEN(TRIM('Raw Data'!E43))=0),_xlfn.REGEXEXTRACT(CELL("address",'Raw Data'!E43),"\$([A-Z]+)\$[0-9]+"),""),"")</f>
        <v/>
      </c>
      <c r="F43" s="5"/>
      <c r="G43" s="5"/>
      <c r="H43" s="5" t="str" cm="1">
        <f t="array" aca="1" ref="H43" ca="1">IFERROR(IF(OR('Raw Data'!H43="",LEN(TRIM('Raw Data'!H43))=0),_xlfn.REGEXEXTRACT(CELL("address",'Raw Data'!H43),"\$([A-Z]+)\$[0-9]+"),""),"")</f>
        <v/>
      </c>
      <c r="I43" s="5"/>
      <c r="J43" s="5"/>
    </row>
    <row r="44" spans="2:10" x14ac:dyDescent="0.25">
      <c r="B44" s="5" t="str" cm="1">
        <f t="array" aca="1" ref="B44" ca="1">IFERROR(IF(OR('Raw Data'!B44="",LEN(TRIM('Raw Data'!B44))=0),_xlfn.REGEXEXTRACT(CELL("address",'Raw Data'!B44),"\$([A-Z]+)\$[0-9]+"),""),"")</f>
        <v/>
      </c>
      <c r="C44" s="5" t="str" cm="1">
        <f t="array" aca="1" ref="C44" ca="1">IFERROR(IF(OR('Raw Data'!C44="",LEN(TRIM('Raw Data'!C44))=0),_xlfn.REGEXEXTRACT(CELL("address",'Raw Data'!C44),"\$([A-Z]+)\$[0-9]+"),""),"")</f>
        <v/>
      </c>
      <c r="D44" s="5"/>
      <c r="E44" s="5" t="str" cm="1">
        <f t="array" aca="1" ref="E44" ca="1">IFERROR(IF(OR('Raw Data'!E44="",LEN(TRIM('Raw Data'!E44))=0),_xlfn.REGEXEXTRACT(CELL("address",'Raw Data'!E44),"\$([A-Z]+)\$[0-9]+"),""),"")</f>
        <v/>
      </c>
      <c r="F44" s="5"/>
      <c r="G44" s="5"/>
      <c r="H44" s="5" t="str" cm="1">
        <f t="array" aca="1" ref="H44" ca="1">IFERROR(IF(OR('Raw Data'!H44="",LEN(TRIM('Raw Data'!H44))=0),_xlfn.REGEXEXTRACT(CELL("address",'Raw Data'!H44),"\$([A-Z]+)\$[0-9]+"),""),"")</f>
        <v/>
      </c>
      <c r="I44" s="5"/>
      <c r="J44" s="5"/>
    </row>
    <row r="45" spans="2:10" x14ac:dyDescent="0.25">
      <c r="B45" s="5" t="str" cm="1">
        <f t="array" aca="1" ref="B45" ca="1">IFERROR(IF(OR('Raw Data'!B45="",LEN(TRIM('Raw Data'!B45))=0),_xlfn.REGEXEXTRACT(CELL("address",'Raw Data'!B45),"\$([A-Z]+)\$[0-9]+"),""),"")</f>
        <v/>
      </c>
      <c r="C45" s="5" t="str" cm="1">
        <f t="array" aca="1" ref="C45" ca="1">IFERROR(IF(OR('Raw Data'!C45="",LEN(TRIM('Raw Data'!C45))=0),_xlfn.REGEXEXTRACT(CELL("address",'Raw Data'!C45),"\$([A-Z]+)\$[0-9]+"),""),"")</f>
        <v/>
      </c>
      <c r="D45" s="5"/>
      <c r="E45" s="5" t="str" cm="1">
        <f t="array" aca="1" ref="E45" ca="1">IFERROR(IF(OR('Raw Data'!E45="",LEN(TRIM('Raw Data'!E45))=0),_xlfn.REGEXEXTRACT(CELL("address",'Raw Data'!E45),"\$([A-Z]+)\$[0-9]+"),""),"")</f>
        <v/>
      </c>
      <c r="F45" s="5"/>
      <c r="G45" s="5"/>
      <c r="H45" s="5" t="str" cm="1">
        <f t="array" aca="1" ref="H45" ca="1">IFERROR(IF(OR('Raw Data'!H45="",LEN(TRIM('Raw Data'!H45))=0),_xlfn.REGEXEXTRACT(CELL("address",'Raw Data'!H45),"\$([A-Z]+)\$[0-9]+"),""),"")</f>
        <v/>
      </c>
      <c r="I45" s="5"/>
      <c r="J45" s="5"/>
    </row>
    <row r="46" spans="2:10" x14ac:dyDescent="0.25">
      <c r="B46" s="5" t="str" cm="1">
        <f t="array" aca="1" ref="B46" ca="1">IFERROR(IF(OR('Raw Data'!B46="",LEN(TRIM('Raw Data'!B46))=0),_xlfn.REGEXEXTRACT(CELL("address",'Raw Data'!B46),"\$([A-Z]+)\$[0-9]+"),""),"")</f>
        <v/>
      </c>
      <c r="C46" s="5" t="str" cm="1">
        <f t="array" aca="1" ref="C46" ca="1">IFERROR(IF(OR('Raw Data'!C46="",LEN(TRIM('Raw Data'!C46))=0),_xlfn.REGEXEXTRACT(CELL("address",'Raw Data'!C46),"\$([A-Z]+)\$[0-9]+"),""),"")</f>
        <v/>
      </c>
      <c r="D46" s="5"/>
      <c r="E46" s="5" t="str" cm="1">
        <f t="array" aca="1" ref="E46" ca="1">IFERROR(IF(OR('Raw Data'!E46="",LEN(TRIM('Raw Data'!E46))=0),_xlfn.REGEXEXTRACT(CELL("address",'Raw Data'!E46),"\$([A-Z]+)\$[0-9]+"),""),"")</f>
        <v/>
      </c>
      <c r="F46" s="5"/>
      <c r="G46" s="5"/>
      <c r="H46" s="5" t="str" cm="1">
        <f t="array" aca="1" ref="H46" ca="1">IFERROR(IF(OR('Raw Data'!H46="",LEN(TRIM('Raw Data'!H46))=0),_xlfn.REGEXEXTRACT(CELL("address",'Raw Data'!H46),"\$([A-Z]+)\$[0-9]+"),""),"")</f>
        <v/>
      </c>
      <c r="I46" s="5"/>
      <c r="J46" s="5"/>
    </row>
    <row r="47" spans="2:10" x14ac:dyDescent="0.25">
      <c r="B47" s="5" t="str" cm="1">
        <f t="array" aca="1" ref="B47" ca="1">IFERROR(IF(OR('Raw Data'!B47="",LEN(TRIM('Raw Data'!B47))=0),_xlfn.REGEXEXTRACT(CELL("address",'Raw Data'!B47),"\$([A-Z]+)\$[0-9]+"),""),"")</f>
        <v/>
      </c>
      <c r="C47" s="5" t="str" cm="1">
        <f t="array" aca="1" ref="C47" ca="1">IFERROR(IF(OR('Raw Data'!C47="",LEN(TRIM('Raw Data'!C47))=0),_xlfn.REGEXEXTRACT(CELL("address",'Raw Data'!C47),"\$([A-Z]+)\$[0-9]+"),""),"")</f>
        <v/>
      </c>
      <c r="D47" s="5"/>
      <c r="E47" s="5" t="str" cm="1">
        <f t="array" aca="1" ref="E47" ca="1">IFERROR(IF(OR('Raw Data'!E47="",LEN(TRIM('Raw Data'!E47))=0),_xlfn.REGEXEXTRACT(CELL("address",'Raw Data'!E47),"\$([A-Z]+)\$[0-9]+"),""),"")</f>
        <v/>
      </c>
      <c r="F47" s="5"/>
      <c r="G47" s="5"/>
      <c r="H47" s="5" t="str" cm="1">
        <f t="array" aca="1" ref="H47" ca="1">IFERROR(IF(OR('Raw Data'!H47="",LEN(TRIM('Raw Data'!H47))=0),_xlfn.REGEXEXTRACT(CELL("address",'Raw Data'!H47),"\$([A-Z]+)\$[0-9]+"),""),"")</f>
        <v/>
      </c>
      <c r="I47" s="5"/>
      <c r="J47" s="5"/>
    </row>
    <row r="48" spans="2:10" x14ac:dyDescent="0.25">
      <c r="B48" s="5" t="str" cm="1">
        <f t="array" aca="1" ref="B48" ca="1">IFERROR(IF(OR('Raw Data'!B48="",LEN(TRIM('Raw Data'!B48))=0),_xlfn.REGEXEXTRACT(CELL("address",'Raw Data'!B48),"\$([A-Z]+)\$[0-9]+"),""),"")</f>
        <v/>
      </c>
      <c r="C48" s="5" t="str" cm="1">
        <f t="array" aca="1" ref="C48" ca="1">IFERROR(IF(OR('Raw Data'!C48="",LEN(TRIM('Raw Data'!C48))=0),_xlfn.REGEXEXTRACT(CELL("address",'Raw Data'!C48),"\$([A-Z]+)\$[0-9]+"),""),"")</f>
        <v/>
      </c>
      <c r="D48" s="5"/>
      <c r="E48" s="5" t="str" cm="1">
        <f t="array" aca="1" ref="E48" ca="1">IFERROR(IF(OR('Raw Data'!E48="",LEN(TRIM('Raw Data'!E48))=0),_xlfn.REGEXEXTRACT(CELL("address",'Raw Data'!E48),"\$([A-Z]+)\$[0-9]+"),""),"")</f>
        <v/>
      </c>
      <c r="F48" s="5"/>
      <c r="G48" s="5"/>
      <c r="H48" s="5" t="str" cm="1">
        <f t="array" aca="1" ref="H48" ca="1">IFERROR(IF(OR('Raw Data'!H48="",LEN(TRIM('Raw Data'!H48))=0),_xlfn.REGEXEXTRACT(CELL("address",'Raw Data'!H48),"\$([A-Z]+)\$[0-9]+"),""),"")</f>
        <v/>
      </c>
      <c r="I48" s="5"/>
      <c r="J48" s="5"/>
    </row>
    <row r="49" spans="2:10" x14ac:dyDescent="0.25">
      <c r="B49" s="5" t="str" cm="1">
        <f t="array" aca="1" ref="B49" ca="1">IFERROR(IF(OR('Raw Data'!B49="",LEN(TRIM('Raw Data'!B49))=0),_xlfn.REGEXEXTRACT(CELL("address",'Raw Data'!B49),"\$([A-Z]+)\$[0-9]+"),""),"")</f>
        <v/>
      </c>
      <c r="C49" s="5" t="str" cm="1">
        <f t="array" aca="1" ref="C49" ca="1">IFERROR(IF(OR('Raw Data'!C49="",LEN(TRIM('Raw Data'!C49))=0),_xlfn.REGEXEXTRACT(CELL("address",'Raw Data'!C49),"\$([A-Z]+)\$[0-9]+"),""),"")</f>
        <v/>
      </c>
      <c r="D49" s="5"/>
      <c r="E49" s="5" t="str" cm="1">
        <f t="array" aca="1" ref="E49" ca="1">IFERROR(IF(OR('Raw Data'!E49="",LEN(TRIM('Raw Data'!E49))=0),_xlfn.REGEXEXTRACT(CELL("address",'Raw Data'!E49),"\$([A-Z]+)\$[0-9]+"),""),"")</f>
        <v/>
      </c>
      <c r="F49" s="5"/>
      <c r="G49" s="5"/>
      <c r="H49" s="5" t="str" cm="1">
        <f t="array" aca="1" ref="H49" ca="1">IFERROR(IF(OR('Raw Data'!H49="",LEN(TRIM('Raw Data'!H49))=0),_xlfn.REGEXEXTRACT(CELL("address",'Raw Data'!H49),"\$([A-Z]+)\$[0-9]+"),""),"")</f>
        <v/>
      </c>
      <c r="I49" s="5"/>
      <c r="J49" s="5"/>
    </row>
    <row r="50" spans="2:10" x14ac:dyDescent="0.25">
      <c r="B50" s="5" t="str" cm="1">
        <f t="array" aca="1" ref="B50" ca="1">IFERROR(IF(OR('Raw Data'!B50="",LEN(TRIM('Raw Data'!B50))=0),_xlfn.REGEXEXTRACT(CELL("address",'Raw Data'!B50),"\$([A-Z]+)\$[0-9]+"),""),"")</f>
        <v/>
      </c>
      <c r="C50" s="5" t="str" cm="1">
        <f t="array" aca="1" ref="C50" ca="1">IFERROR(IF(OR('Raw Data'!C50="",LEN(TRIM('Raw Data'!C50))=0),_xlfn.REGEXEXTRACT(CELL("address",'Raw Data'!C50),"\$([A-Z]+)\$[0-9]+"),""),"")</f>
        <v/>
      </c>
      <c r="D50" s="5"/>
      <c r="E50" s="5" t="str" cm="1">
        <f t="array" aca="1" ref="E50" ca="1">IFERROR(IF(OR('Raw Data'!E50="",LEN(TRIM('Raw Data'!E50))=0),_xlfn.REGEXEXTRACT(CELL("address",'Raw Data'!E50),"\$([A-Z]+)\$[0-9]+"),""),"")</f>
        <v/>
      </c>
      <c r="F50" s="5"/>
      <c r="G50" s="5"/>
      <c r="H50" s="5" t="str" cm="1">
        <f t="array" aca="1" ref="H50" ca="1">IFERROR(IF(OR('Raw Data'!H50="",LEN(TRIM('Raw Data'!H50))=0),_xlfn.REGEXEXTRACT(CELL("address",'Raw Data'!H50),"\$([A-Z]+)\$[0-9]+"),""),"")</f>
        <v/>
      </c>
      <c r="I50" s="5"/>
      <c r="J50" s="5"/>
    </row>
    <row r="51" spans="2:10" x14ac:dyDescent="0.25">
      <c r="B51" s="5" t="str" cm="1">
        <f t="array" aca="1" ref="B51" ca="1">IFERROR(IF(OR('Raw Data'!B51="",LEN(TRIM('Raw Data'!B51))=0),_xlfn.REGEXEXTRACT(CELL("address",'Raw Data'!B51),"\$([A-Z]+)\$[0-9]+"),""),"")</f>
        <v/>
      </c>
      <c r="C51" s="5" t="str" cm="1">
        <f t="array" aca="1" ref="C51" ca="1">IFERROR(IF(OR('Raw Data'!C51="",LEN(TRIM('Raw Data'!C51))=0),_xlfn.REGEXEXTRACT(CELL("address",'Raw Data'!C51),"\$([A-Z]+)\$[0-9]+"),""),"")</f>
        <v/>
      </c>
      <c r="D51" s="5"/>
      <c r="E51" s="5" t="str" cm="1">
        <f t="array" aca="1" ref="E51" ca="1">IFERROR(IF(OR('Raw Data'!E51="",LEN(TRIM('Raw Data'!E51))=0),_xlfn.REGEXEXTRACT(CELL("address",'Raw Data'!E51),"\$([A-Z]+)\$[0-9]+"),""),"")</f>
        <v/>
      </c>
      <c r="F51" s="5"/>
      <c r="G51" s="5"/>
      <c r="H51" s="5" t="str" cm="1">
        <f t="array" aca="1" ref="H51" ca="1">IFERROR(IF(OR('Raw Data'!H51="",LEN(TRIM('Raw Data'!H51))=0),_xlfn.REGEXEXTRACT(CELL("address",'Raw Data'!H51),"\$([A-Z]+)\$[0-9]+"),""),"")</f>
        <v/>
      </c>
      <c r="I51" s="5"/>
      <c r="J51" s="5"/>
    </row>
    <row r="52" spans="2:10" x14ac:dyDescent="0.25">
      <c r="B52" s="5" t="str" cm="1">
        <f t="array" aca="1" ref="B52" ca="1">IFERROR(IF(OR('Raw Data'!B52="",LEN(TRIM('Raw Data'!B52))=0),_xlfn.REGEXEXTRACT(CELL("address",'Raw Data'!B52),"\$([A-Z]+)\$[0-9]+"),""),"")</f>
        <v/>
      </c>
      <c r="C52" s="5" t="str" cm="1">
        <f t="array" aca="1" ref="C52" ca="1">IFERROR(IF(OR('Raw Data'!C52="",LEN(TRIM('Raw Data'!C52))=0),_xlfn.REGEXEXTRACT(CELL("address",'Raw Data'!C52),"\$([A-Z]+)\$[0-9]+"),""),"")</f>
        <v/>
      </c>
      <c r="D52" s="5"/>
      <c r="E52" s="5" t="str" cm="1">
        <f t="array" aca="1" ref="E52" ca="1">IFERROR(IF(OR('Raw Data'!E52="",LEN(TRIM('Raw Data'!E52))=0),_xlfn.REGEXEXTRACT(CELL("address",'Raw Data'!E52),"\$([A-Z]+)\$[0-9]+"),""),"")</f>
        <v/>
      </c>
      <c r="F52" s="5"/>
      <c r="G52" s="5"/>
      <c r="H52" s="5" t="str" cm="1">
        <f t="array" aca="1" ref="H52" ca="1">IFERROR(IF(OR('Raw Data'!H52="",LEN(TRIM('Raw Data'!H52))=0),_xlfn.REGEXEXTRACT(CELL("address",'Raw Data'!H52),"\$([A-Z]+)\$[0-9]+"),""),"")</f>
        <v/>
      </c>
      <c r="I52" s="5"/>
      <c r="J52" s="5"/>
    </row>
    <row r="53" spans="2:10" x14ac:dyDescent="0.25">
      <c r="B53" s="5" t="str" cm="1">
        <f t="array" aca="1" ref="B53" ca="1">IFERROR(IF(OR('Raw Data'!B53="",LEN(TRIM('Raw Data'!B53))=0),_xlfn.REGEXEXTRACT(CELL("address",'Raw Data'!B53),"\$([A-Z]+)\$[0-9]+"),""),"")</f>
        <v/>
      </c>
      <c r="C53" s="5" t="str" cm="1">
        <f t="array" aca="1" ref="C53" ca="1">IFERROR(IF(OR('Raw Data'!C53="",LEN(TRIM('Raw Data'!C53))=0),_xlfn.REGEXEXTRACT(CELL("address",'Raw Data'!C53),"\$([A-Z]+)\$[0-9]+"),""),"")</f>
        <v/>
      </c>
      <c r="D53" s="5"/>
      <c r="E53" s="5" t="str" cm="1">
        <f t="array" aca="1" ref="E53" ca="1">IFERROR(IF(OR('Raw Data'!E53="",LEN(TRIM('Raw Data'!E53))=0),_xlfn.REGEXEXTRACT(CELL("address",'Raw Data'!E53),"\$([A-Z]+)\$[0-9]+"),""),"")</f>
        <v/>
      </c>
      <c r="F53" s="5"/>
      <c r="G53" s="5"/>
      <c r="H53" s="5" t="str" cm="1">
        <f t="array" aca="1" ref="H53" ca="1">IFERROR(IF(OR('Raw Data'!H53="",LEN(TRIM('Raw Data'!H53))=0),_xlfn.REGEXEXTRACT(CELL("address",'Raw Data'!H53),"\$([A-Z]+)\$[0-9]+"),""),"")</f>
        <v/>
      </c>
      <c r="I53" s="5"/>
      <c r="J53" s="5"/>
    </row>
    <row r="54" spans="2:10" x14ac:dyDescent="0.25">
      <c r="B54" s="5" t="str" cm="1">
        <f t="array" aca="1" ref="B54" ca="1">IFERROR(IF(OR('Raw Data'!B54="",LEN(TRIM('Raw Data'!B54))=0),_xlfn.REGEXEXTRACT(CELL("address",'Raw Data'!B54),"\$([A-Z]+)\$[0-9]+"),""),"")</f>
        <v/>
      </c>
      <c r="C54" s="5" t="str" cm="1">
        <f t="array" aca="1" ref="C54" ca="1">IFERROR(IF(OR('Raw Data'!C54="",LEN(TRIM('Raw Data'!C54))=0),_xlfn.REGEXEXTRACT(CELL("address",'Raw Data'!C54),"\$([A-Z]+)\$[0-9]+"),""),"")</f>
        <v/>
      </c>
      <c r="D54" s="5"/>
      <c r="E54" s="5" t="str" cm="1">
        <f t="array" aca="1" ref="E54" ca="1">IFERROR(IF(OR('Raw Data'!E54="",LEN(TRIM('Raw Data'!E54))=0),_xlfn.REGEXEXTRACT(CELL("address",'Raw Data'!E54),"\$([A-Z]+)\$[0-9]+"),""),"")</f>
        <v/>
      </c>
      <c r="F54" s="5"/>
      <c r="G54" s="5"/>
      <c r="H54" s="5" t="str" cm="1">
        <f t="array" aca="1" ref="H54" ca="1">IFERROR(IF(OR('Raw Data'!H54="",LEN(TRIM('Raw Data'!H54))=0),_xlfn.REGEXEXTRACT(CELL("address",'Raw Data'!H54),"\$([A-Z]+)\$[0-9]+"),""),"")</f>
        <v/>
      </c>
      <c r="I54" s="5"/>
      <c r="J54" s="5"/>
    </row>
    <row r="55" spans="2:10" x14ac:dyDescent="0.25">
      <c r="B55" s="5" t="str" cm="1">
        <f t="array" aca="1" ref="B55" ca="1">IFERROR(IF(OR('Raw Data'!B55="",LEN(TRIM('Raw Data'!B55))=0),_xlfn.REGEXEXTRACT(CELL("address",'Raw Data'!B55),"\$([A-Z]+)\$[0-9]+"),""),"")</f>
        <v/>
      </c>
      <c r="C55" s="5" t="str" cm="1">
        <f t="array" aca="1" ref="C55" ca="1">IFERROR(IF(OR('Raw Data'!C55="",LEN(TRIM('Raw Data'!C55))=0),_xlfn.REGEXEXTRACT(CELL("address",'Raw Data'!C55),"\$([A-Z]+)\$[0-9]+"),""),"")</f>
        <v/>
      </c>
      <c r="D55" s="5"/>
      <c r="E55" s="5" t="str" cm="1">
        <f t="array" aca="1" ref="E55" ca="1">IFERROR(IF(OR('Raw Data'!E55="",LEN(TRIM('Raw Data'!E55))=0),_xlfn.REGEXEXTRACT(CELL("address",'Raw Data'!E55),"\$([A-Z]+)\$[0-9]+"),""),"")</f>
        <v/>
      </c>
      <c r="F55" s="5"/>
      <c r="G55" s="5"/>
      <c r="H55" s="5" t="str" cm="1">
        <f t="array" aca="1" ref="H55" ca="1">IFERROR(IF(OR('Raw Data'!H55="",LEN(TRIM('Raw Data'!H55))=0),_xlfn.REGEXEXTRACT(CELL("address",'Raw Data'!H55),"\$([A-Z]+)\$[0-9]+"),""),"")</f>
        <v/>
      </c>
      <c r="I55" s="5"/>
      <c r="J55" s="5"/>
    </row>
    <row r="56" spans="2:10" x14ac:dyDescent="0.25">
      <c r="B56" s="5" t="str" cm="1">
        <f t="array" aca="1" ref="B56" ca="1">IFERROR(IF(OR('Raw Data'!B56="",LEN(TRIM('Raw Data'!B56))=0),_xlfn.REGEXEXTRACT(CELL("address",'Raw Data'!B56),"\$([A-Z]+)\$[0-9]+"),""),"")</f>
        <v/>
      </c>
      <c r="C56" s="5" t="str" cm="1">
        <f t="array" aca="1" ref="C56" ca="1">IFERROR(IF(OR('Raw Data'!C56="",LEN(TRIM('Raw Data'!C56))=0),_xlfn.REGEXEXTRACT(CELL("address",'Raw Data'!C56),"\$([A-Z]+)\$[0-9]+"),""),"")</f>
        <v/>
      </c>
      <c r="D56" s="5"/>
      <c r="E56" s="5" t="str" cm="1">
        <f t="array" aca="1" ref="E56" ca="1">IFERROR(IF(OR('Raw Data'!E56="",LEN(TRIM('Raw Data'!E56))=0),_xlfn.REGEXEXTRACT(CELL("address",'Raw Data'!E56),"\$([A-Z]+)\$[0-9]+"),""),"")</f>
        <v/>
      </c>
      <c r="F56" s="5"/>
      <c r="G56" s="5"/>
      <c r="H56" s="5" t="str" cm="1">
        <f t="array" aca="1" ref="H56" ca="1">IFERROR(IF(OR('Raw Data'!H56="",LEN(TRIM('Raw Data'!H56))=0),_xlfn.REGEXEXTRACT(CELL("address",'Raw Data'!H56),"\$([A-Z]+)\$[0-9]+"),""),"")</f>
        <v/>
      </c>
      <c r="I56" s="5"/>
      <c r="J56" s="5"/>
    </row>
    <row r="57" spans="2:10" x14ac:dyDescent="0.25">
      <c r="B57" s="5" t="str" cm="1">
        <f t="array" aca="1" ref="B57" ca="1">IFERROR(IF(OR('Raw Data'!B57="",LEN(TRIM('Raw Data'!B57))=0),_xlfn.REGEXEXTRACT(CELL("address",'Raw Data'!B57),"\$([A-Z]+)\$[0-9]+"),""),"")</f>
        <v/>
      </c>
      <c r="C57" s="5" t="str" cm="1">
        <f t="array" aca="1" ref="C57" ca="1">IFERROR(IF(OR('Raw Data'!C57="",LEN(TRIM('Raw Data'!C57))=0),_xlfn.REGEXEXTRACT(CELL("address",'Raw Data'!C57),"\$([A-Z]+)\$[0-9]+"),""),"")</f>
        <v/>
      </c>
      <c r="D57" s="5"/>
      <c r="E57" s="5" t="str" cm="1">
        <f t="array" aca="1" ref="E57" ca="1">IFERROR(IF(OR('Raw Data'!E57="",LEN(TRIM('Raw Data'!E57))=0),_xlfn.REGEXEXTRACT(CELL("address",'Raw Data'!E57),"\$([A-Z]+)\$[0-9]+"),""),"")</f>
        <v/>
      </c>
      <c r="F57" s="5"/>
      <c r="G57" s="5"/>
      <c r="H57" s="5" t="str" cm="1">
        <f t="array" aca="1" ref="H57" ca="1">IFERROR(IF(OR('Raw Data'!H57="",LEN(TRIM('Raw Data'!H57))=0),_xlfn.REGEXEXTRACT(CELL("address",'Raw Data'!H57),"\$([A-Z]+)\$[0-9]+"),""),"")</f>
        <v/>
      </c>
      <c r="I57" s="5"/>
      <c r="J57" s="5"/>
    </row>
    <row r="58" spans="2:10" x14ac:dyDescent="0.25">
      <c r="B58" s="5" t="str" cm="1">
        <f t="array" aca="1" ref="B58" ca="1">IFERROR(IF(OR('Raw Data'!B58="",LEN(TRIM('Raw Data'!B58))=0),_xlfn.REGEXEXTRACT(CELL("address",'Raw Data'!B58),"\$([A-Z]+)\$[0-9]+"),""),"")</f>
        <v/>
      </c>
      <c r="C58" s="5" t="str" cm="1">
        <f t="array" aca="1" ref="C58" ca="1">IFERROR(IF(OR('Raw Data'!C58="",LEN(TRIM('Raw Data'!C58))=0),_xlfn.REGEXEXTRACT(CELL("address",'Raw Data'!C58),"\$([A-Z]+)\$[0-9]+"),""),"")</f>
        <v/>
      </c>
      <c r="D58" s="5"/>
      <c r="E58" s="5" t="str" cm="1">
        <f t="array" aca="1" ref="E58" ca="1">IFERROR(IF(OR('Raw Data'!E58="",LEN(TRIM('Raw Data'!E58))=0),_xlfn.REGEXEXTRACT(CELL("address",'Raw Data'!E58),"\$([A-Z]+)\$[0-9]+"),""),"")</f>
        <v/>
      </c>
      <c r="F58" s="5"/>
      <c r="G58" s="5"/>
      <c r="H58" s="5" t="str" cm="1">
        <f t="array" aca="1" ref="H58" ca="1">IFERROR(IF(OR('Raw Data'!H58="",LEN(TRIM('Raw Data'!H58))=0),_xlfn.REGEXEXTRACT(CELL("address",'Raw Data'!H58),"\$([A-Z]+)\$[0-9]+"),""),"")</f>
        <v/>
      </c>
      <c r="I58" s="5"/>
      <c r="J58" s="5"/>
    </row>
    <row r="59" spans="2:10" x14ac:dyDescent="0.25">
      <c r="B59" s="5" t="str" cm="1">
        <f t="array" aca="1" ref="B59" ca="1">IFERROR(IF(OR('Raw Data'!B59="",LEN(TRIM('Raw Data'!B59))=0),_xlfn.REGEXEXTRACT(CELL("address",'Raw Data'!B59),"\$([A-Z]+)\$[0-9]+"),""),"")</f>
        <v/>
      </c>
      <c r="C59" s="5" t="str" cm="1">
        <f t="array" aca="1" ref="C59" ca="1">IFERROR(IF(OR('Raw Data'!C59="",LEN(TRIM('Raw Data'!C59))=0),_xlfn.REGEXEXTRACT(CELL("address",'Raw Data'!C59),"\$([A-Z]+)\$[0-9]+"),""),"")</f>
        <v/>
      </c>
      <c r="D59" s="5"/>
      <c r="E59" s="5" t="str" cm="1">
        <f t="array" aca="1" ref="E59" ca="1">IFERROR(IF(OR('Raw Data'!E59="",LEN(TRIM('Raw Data'!E59))=0),_xlfn.REGEXEXTRACT(CELL("address",'Raw Data'!E59),"\$([A-Z]+)\$[0-9]+"),""),"")</f>
        <v/>
      </c>
      <c r="F59" s="5"/>
      <c r="G59" s="5"/>
      <c r="H59" s="5" t="str" cm="1">
        <f t="array" aca="1" ref="H59" ca="1">IFERROR(IF(OR('Raw Data'!H59="",LEN(TRIM('Raw Data'!H59))=0),_xlfn.REGEXEXTRACT(CELL("address",'Raw Data'!H59),"\$([A-Z]+)\$[0-9]+"),""),"")</f>
        <v/>
      </c>
      <c r="I59" s="5"/>
      <c r="J59" s="5"/>
    </row>
    <row r="60" spans="2:10" x14ac:dyDescent="0.25">
      <c r="B60" s="5" t="str" cm="1">
        <f t="array" aca="1" ref="B60" ca="1">IFERROR(IF(OR('Raw Data'!B60="",LEN(TRIM('Raw Data'!B60))=0),_xlfn.REGEXEXTRACT(CELL("address",'Raw Data'!B60),"\$([A-Z]+)\$[0-9]+"),""),"")</f>
        <v/>
      </c>
      <c r="C60" s="5" t="str" cm="1">
        <f t="array" aca="1" ref="C60" ca="1">IFERROR(IF(OR('Raw Data'!C60="",LEN(TRIM('Raw Data'!C60))=0),_xlfn.REGEXEXTRACT(CELL("address",'Raw Data'!C60),"\$([A-Z]+)\$[0-9]+"),""),"")</f>
        <v/>
      </c>
      <c r="D60" s="5"/>
      <c r="E60" s="5" t="str" cm="1">
        <f t="array" aca="1" ref="E60" ca="1">IFERROR(IF(OR('Raw Data'!E60="",LEN(TRIM('Raw Data'!E60))=0),_xlfn.REGEXEXTRACT(CELL("address",'Raw Data'!E60),"\$([A-Z]+)\$[0-9]+"),""),"")</f>
        <v/>
      </c>
      <c r="F60" s="5"/>
      <c r="G60" s="5"/>
      <c r="H60" s="5" t="str" cm="1">
        <f t="array" aca="1" ref="H60" ca="1">IFERROR(IF(OR('Raw Data'!H60="",LEN(TRIM('Raw Data'!H60))=0),_xlfn.REGEXEXTRACT(CELL("address",'Raw Data'!H60),"\$([A-Z]+)\$[0-9]+"),""),"")</f>
        <v/>
      </c>
      <c r="I60" s="5"/>
      <c r="J60" s="5"/>
    </row>
    <row r="61" spans="2:10" x14ac:dyDescent="0.25">
      <c r="B61" s="5" t="str" cm="1">
        <f t="array" aca="1" ref="B61" ca="1">IFERROR(IF(OR('Raw Data'!B61="",LEN(TRIM('Raw Data'!B61))=0),_xlfn.REGEXEXTRACT(CELL("address",'Raw Data'!B61),"\$([A-Z]+)\$[0-9]+"),""),"")</f>
        <v/>
      </c>
      <c r="C61" s="5" t="str" cm="1">
        <f t="array" aca="1" ref="C61" ca="1">IFERROR(IF(OR('Raw Data'!C61="",LEN(TRIM('Raw Data'!C61))=0),_xlfn.REGEXEXTRACT(CELL("address",'Raw Data'!C61),"\$([A-Z]+)\$[0-9]+"),""),"")</f>
        <v/>
      </c>
      <c r="D61" s="5"/>
      <c r="E61" s="5" t="str" cm="1">
        <f t="array" aca="1" ref="E61" ca="1">IFERROR(IF(OR('Raw Data'!E61="",LEN(TRIM('Raw Data'!E61))=0),_xlfn.REGEXEXTRACT(CELL("address",'Raw Data'!E61),"\$([A-Z]+)\$[0-9]+"),""),"")</f>
        <v/>
      </c>
      <c r="F61" s="5"/>
      <c r="G61" s="5"/>
      <c r="H61" s="5" t="str" cm="1">
        <f t="array" aca="1" ref="H61" ca="1">IFERROR(IF(OR('Raw Data'!H61="",LEN(TRIM('Raw Data'!H61))=0),_xlfn.REGEXEXTRACT(CELL("address",'Raw Data'!H61),"\$([A-Z]+)\$[0-9]+"),""),"")</f>
        <v/>
      </c>
      <c r="I61" s="5"/>
      <c r="J61" s="5"/>
    </row>
    <row r="62" spans="2:10" x14ac:dyDescent="0.25">
      <c r="B62" s="5" t="str" cm="1">
        <f t="array" aca="1" ref="B62" ca="1">IFERROR(IF(OR('Raw Data'!B62="",LEN(TRIM('Raw Data'!B62))=0),_xlfn.REGEXEXTRACT(CELL("address",'Raw Data'!B62),"\$([A-Z]+)\$[0-9]+"),""),"")</f>
        <v/>
      </c>
      <c r="C62" s="5" t="str" cm="1">
        <f t="array" aca="1" ref="C62" ca="1">IFERROR(IF(OR('Raw Data'!C62="",LEN(TRIM('Raw Data'!C62))=0),_xlfn.REGEXEXTRACT(CELL("address",'Raw Data'!C62),"\$([A-Z]+)\$[0-9]+"),""),"")</f>
        <v/>
      </c>
      <c r="D62" s="5"/>
      <c r="E62" s="5" t="str" cm="1">
        <f t="array" aca="1" ref="E62" ca="1">IFERROR(IF(OR('Raw Data'!E62="",LEN(TRIM('Raw Data'!E62))=0),_xlfn.REGEXEXTRACT(CELL("address",'Raw Data'!E62),"\$([A-Z]+)\$[0-9]+"),""),"")</f>
        <v/>
      </c>
      <c r="F62" s="5"/>
      <c r="G62" s="5"/>
      <c r="H62" s="5" t="str" cm="1">
        <f t="array" aca="1" ref="H62" ca="1">IFERROR(IF(OR('Raw Data'!H62="",LEN(TRIM('Raw Data'!H62))=0),_xlfn.REGEXEXTRACT(CELL("address",'Raw Data'!H62),"\$([A-Z]+)\$[0-9]+"),""),"")</f>
        <v/>
      </c>
      <c r="I62" s="5"/>
      <c r="J62" s="5"/>
    </row>
    <row r="63" spans="2:10" x14ac:dyDescent="0.25">
      <c r="B63" s="5" t="str" cm="1">
        <f t="array" aca="1" ref="B63" ca="1">IFERROR(IF(OR('Raw Data'!B63="",LEN(TRIM('Raw Data'!B63))=0),_xlfn.REGEXEXTRACT(CELL("address",'Raw Data'!B63),"\$([A-Z]+)\$[0-9]+"),""),"")</f>
        <v/>
      </c>
      <c r="C63" s="5" t="str" cm="1">
        <f t="array" aca="1" ref="C63" ca="1">IFERROR(IF(OR('Raw Data'!C63="",LEN(TRIM('Raw Data'!C63))=0),_xlfn.REGEXEXTRACT(CELL("address",'Raw Data'!C63),"\$([A-Z]+)\$[0-9]+"),""),"")</f>
        <v/>
      </c>
      <c r="D63" s="5"/>
      <c r="E63" s="5" t="str" cm="1">
        <f t="array" aca="1" ref="E63" ca="1">IFERROR(IF(OR('Raw Data'!E63="",LEN(TRIM('Raw Data'!E63))=0),_xlfn.REGEXEXTRACT(CELL("address",'Raw Data'!E63),"\$([A-Z]+)\$[0-9]+"),""),"")</f>
        <v/>
      </c>
      <c r="F63" s="5"/>
      <c r="G63" s="5"/>
      <c r="H63" s="5" t="str" cm="1">
        <f t="array" aca="1" ref="H63" ca="1">IFERROR(IF(OR('Raw Data'!H63="",LEN(TRIM('Raw Data'!H63))=0),_xlfn.REGEXEXTRACT(CELL("address",'Raw Data'!H63),"\$([A-Z]+)\$[0-9]+"),""),"")</f>
        <v/>
      </c>
      <c r="I63" s="5"/>
      <c r="J63" s="5"/>
    </row>
    <row r="64" spans="2:10" x14ac:dyDescent="0.25">
      <c r="B64" s="5" t="str" cm="1">
        <f t="array" aca="1" ref="B64" ca="1">IFERROR(IF(OR('Raw Data'!B64="",LEN(TRIM('Raw Data'!B64))=0),_xlfn.REGEXEXTRACT(CELL("address",'Raw Data'!B64),"\$([A-Z]+)\$[0-9]+"),""),"")</f>
        <v/>
      </c>
      <c r="C64" s="5" t="str" cm="1">
        <f t="array" aca="1" ref="C64" ca="1">IFERROR(IF(OR('Raw Data'!C64="",LEN(TRIM('Raw Data'!C64))=0),_xlfn.REGEXEXTRACT(CELL("address",'Raw Data'!C64),"\$([A-Z]+)\$[0-9]+"),""),"")</f>
        <v/>
      </c>
      <c r="D64" s="5"/>
      <c r="E64" s="5" t="str" cm="1">
        <f t="array" aca="1" ref="E64" ca="1">IFERROR(IF(OR('Raw Data'!E64="",LEN(TRIM('Raw Data'!E64))=0),_xlfn.REGEXEXTRACT(CELL("address",'Raw Data'!E64),"\$([A-Z]+)\$[0-9]+"),""),"")</f>
        <v/>
      </c>
      <c r="F64" s="5"/>
      <c r="G64" s="5"/>
      <c r="H64" s="5" t="str" cm="1">
        <f t="array" aca="1" ref="H64" ca="1">IFERROR(IF(OR('Raw Data'!H64="",LEN(TRIM('Raw Data'!H64))=0),_xlfn.REGEXEXTRACT(CELL("address",'Raw Data'!H64),"\$([A-Z]+)\$[0-9]+"),""),"")</f>
        <v/>
      </c>
      <c r="I64" s="5"/>
      <c r="J64" s="5"/>
    </row>
    <row r="65" spans="2:10" x14ac:dyDescent="0.25">
      <c r="B65" s="5" t="str" cm="1">
        <f t="array" aca="1" ref="B65" ca="1">IFERROR(IF(OR('Raw Data'!B65="",LEN(TRIM('Raw Data'!B65))=0),_xlfn.REGEXEXTRACT(CELL("address",'Raw Data'!B65),"\$([A-Z]+)\$[0-9]+"),""),"")</f>
        <v/>
      </c>
      <c r="C65" s="5" t="str" cm="1">
        <f t="array" aca="1" ref="C65" ca="1">IFERROR(IF(OR('Raw Data'!C65="",LEN(TRIM('Raw Data'!C65))=0),_xlfn.REGEXEXTRACT(CELL("address",'Raw Data'!C65),"\$([A-Z]+)\$[0-9]+"),""),"")</f>
        <v/>
      </c>
      <c r="D65" s="5"/>
      <c r="E65" s="5" t="str" cm="1">
        <f t="array" aca="1" ref="E65" ca="1">IFERROR(IF(OR('Raw Data'!E65="",LEN(TRIM('Raw Data'!E65))=0),_xlfn.REGEXEXTRACT(CELL("address",'Raw Data'!E65),"\$([A-Z]+)\$[0-9]+"),""),"")</f>
        <v/>
      </c>
      <c r="F65" s="5"/>
      <c r="G65" s="5"/>
      <c r="H65" s="5" t="str" cm="1">
        <f t="array" aca="1" ref="H65" ca="1">IFERROR(IF(OR('Raw Data'!H65="",LEN(TRIM('Raw Data'!H65))=0),_xlfn.REGEXEXTRACT(CELL("address",'Raw Data'!H65),"\$([A-Z]+)\$[0-9]+"),""),"")</f>
        <v/>
      </c>
      <c r="I65" s="5"/>
      <c r="J65" s="5"/>
    </row>
    <row r="66" spans="2:10" x14ac:dyDescent="0.25">
      <c r="B66" s="5" t="str" cm="1">
        <f t="array" aca="1" ref="B66" ca="1">IFERROR(IF(OR('Raw Data'!B66="",LEN(TRIM('Raw Data'!B66))=0),_xlfn.REGEXEXTRACT(CELL("address",'Raw Data'!B66),"\$([A-Z]+)\$[0-9]+"),""),"")</f>
        <v/>
      </c>
      <c r="C66" s="5" t="str" cm="1">
        <f t="array" aca="1" ref="C66" ca="1">IFERROR(IF(OR('Raw Data'!C66="",LEN(TRIM('Raw Data'!C66))=0),_xlfn.REGEXEXTRACT(CELL("address",'Raw Data'!C66),"\$([A-Z]+)\$[0-9]+"),""),"")</f>
        <v/>
      </c>
      <c r="D66" s="5"/>
      <c r="E66" s="5" t="str" cm="1">
        <f t="array" aca="1" ref="E66" ca="1">IFERROR(IF(OR('Raw Data'!E66="",LEN(TRIM('Raw Data'!E66))=0),_xlfn.REGEXEXTRACT(CELL("address",'Raw Data'!E66),"\$([A-Z]+)\$[0-9]+"),""),"")</f>
        <v/>
      </c>
      <c r="F66" s="5"/>
      <c r="G66" s="5"/>
      <c r="H66" s="5" t="str" cm="1">
        <f t="array" aca="1" ref="H66" ca="1">IFERROR(IF(OR('Raw Data'!H66="",LEN(TRIM('Raw Data'!H66))=0),_xlfn.REGEXEXTRACT(CELL("address",'Raw Data'!H66),"\$([A-Z]+)\$[0-9]+"),""),"")</f>
        <v/>
      </c>
      <c r="I66" s="5"/>
      <c r="J66" s="5"/>
    </row>
    <row r="67" spans="2:10" x14ac:dyDescent="0.25">
      <c r="B67" s="5" t="str" cm="1">
        <f t="array" aca="1" ref="B67" ca="1">IFERROR(IF(OR('Raw Data'!B67="",LEN(TRIM('Raw Data'!B67))=0),_xlfn.REGEXEXTRACT(CELL("address",'Raw Data'!B67),"\$([A-Z]+)\$[0-9]+"),""),"")</f>
        <v/>
      </c>
      <c r="C67" s="5" t="str" cm="1">
        <f t="array" aca="1" ref="C67" ca="1">IFERROR(IF(OR('Raw Data'!C67="",LEN(TRIM('Raw Data'!C67))=0),_xlfn.REGEXEXTRACT(CELL("address",'Raw Data'!C67),"\$([A-Z]+)\$[0-9]+"),""),"")</f>
        <v/>
      </c>
      <c r="D67" s="5"/>
      <c r="E67" s="5" t="str" cm="1">
        <f t="array" aca="1" ref="E67" ca="1">IFERROR(IF(OR('Raw Data'!E67="",LEN(TRIM('Raw Data'!E67))=0),_xlfn.REGEXEXTRACT(CELL("address",'Raw Data'!E67),"\$([A-Z]+)\$[0-9]+"),""),"")</f>
        <v/>
      </c>
      <c r="F67" s="5"/>
      <c r="G67" s="5"/>
      <c r="H67" s="5" t="str" cm="1">
        <f t="array" aca="1" ref="H67" ca="1">IFERROR(IF(OR('Raw Data'!H67="",LEN(TRIM('Raw Data'!H67))=0),_xlfn.REGEXEXTRACT(CELL("address",'Raw Data'!H67),"\$([A-Z]+)\$[0-9]+"),""),"")</f>
        <v/>
      </c>
      <c r="I67" s="5"/>
      <c r="J67" s="5"/>
    </row>
    <row r="68" spans="2:10" x14ac:dyDescent="0.25">
      <c r="B68" s="5" t="str" cm="1">
        <f t="array" aca="1" ref="B68" ca="1">IFERROR(IF(OR('Raw Data'!B68="",LEN(TRIM('Raw Data'!B68))=0),_xlfn.REGEXEXTRACT(CELL("address",'Raw Data'!B68),"\$([A-Z]+)\$[0-9]+"),""),"")</f>
        <v/>
      </c>
      <c r="C68" s="5" t="str" cm="1">
        <f t="array" aca="1" ref="C68" ca="1">IFERROR(IF(OR('Raw Data'!C68="",LEN(TRIM('Raw Data'!C68))=0),_xlfn.REGEXEXTRACT(CELL("address",'Raw Data'!C68),"\$([A-Z]+)\$[0-9]+"),""),"")</f>
        <v/>
      </c>
      <c r="D68" s="5"/>
      <c r="E68" s="5" t="str" cm="1">
        <f t="array" aca="1" ref="E68" ca="1">IFERROR(IF(OR('Raw Data'!E68="",LEN(TRIM('Raw Data'!E68))=0),_xlfn.REGEXEXTRACT(CELL("address",'Raw Data'!E68),"\$([A-Z]+)\$[0-9]+"),""),"")</f>
        <v/>
      </c>
      <c r="F68" s="5"/>
      <c r="G68" s="5"/>
      <c r="H68" s="5" t="str" cm="1">
        <f t="array" aca="1" ref="H68" ca="1">IFERROR(IF(OR('Raw Data'!H68="",LEN(TRIM('Raw Data'!H68))=0),_xlfn.REGEXEXTRACT(CELL("address",'Raw Data'!H68),"\$([A-Z]+)\$[0-9]+"),""),"")</f>
        <v/>
      </c>
      <c r="I68" s="5"/>
      <c r="J68" s="5"/>
    </row>
    <row r="69" spans="2:10" x14ac:dyDescent="0.25">
      <c r="B69" s="5" t="str" cm="1">
        <f t="array" aca="1" ref="B69" ca="1">IFERROR(IF(OR('Raw Data'!B69="",LEN(TRIM('Raw Data'!B69))=0),_xlfn.REGEXEXTRACT(CELL("address",'Raw Data'!B69),"\$([A-Z]+)\$[0-9]+"),""),"")</f>
        <v/>
      </c>
      <c r="C69" s="5" t="str" cm="1">
        <f t="array" aca="1" ref="C69" ca="1">IFERROR(IF(OR('Raw Data'!C69="",LEN(TRIM('Raw Data'!C69))=0),_xlfn.REGEXEXTRACT(CELL("address",'Raw Data'!C69),"\$([A-Z]+)\$[0-9]+"),""),"")</f>
        <v/>
      </c>
      <c r="D69" s="5"/>
      <c r="E69" s="5" t="str" cm="1">
        <f t="array" aca="1" ref="E69" ca="1">IFERROR(IF(OR('Raw Data'!E69="",LEN(TRIM('Raw Data'!E69))=0),_xlfn.REGEXEXTRACT(CELL("address",'Raw Data'!E69),"\$([A-Z]+)\$[0-9]+"),""),"")</f>
        <v/>
      </c>
      <c r="F69" s="5"/>
      <c r="G69" s="5"/>
      <c r="H69" s="5" t="str" cm="1">
        <f t="array" aca="1" ref="H69" ca="1">IFERROR(IF(OR('Raw Data'!H69="",LEN(TRIM('Raw Data'!H69))=0),_xlfn.REGEXEXTRACT(CELL("address",'Raw Data'!H69),"\$([A-Z]+)\$[0-9]+"),""),"")</f>
        <v/>
      </c>
      <c r="I69" s="5"/>
      <c r="J69" s="5"/>
    </row>
    <row r="70" spans="2:10" x14ac:dyDescent="0.25">
      <c r="B70" s="5" t="str" cm="1">
        <f t="array" aca="1" ref="B70" ca="1">IFERROR(IF(OR('Raw Data'!B70="",LEN(TRIM('Raw Data'!B70))=0),_xlfn.REGEXEXTRACT(CELL("address",'Raw Data'!B70),"\$([A-Z]+)\$[0-9]+"),""),"")</f>
        <v/>
      </c>
      <c r="C70" s="5" t="str" cm="1">
        <f t="array" aca="1" ref="C70" ca="1">IFERROR(IF(OR('Raw Data'!C70="",LEN(TRIM('Raw Data'!C70))=0),_xlfn.REGEXEXTRACT(CELL("address",'Raw Data'!C70),"\$([A-Z]+)\$[0-9]+"),""),"")</f>
        <v/>
      </c>
      <c r="D70" s="5"/>
      <c r="E70" s="5" t="str" cm="1">
        <f t="array" aca="1" ref="E70" ca="1">IFERROR(IF(OR('Raw Data'!E70="",LEN(TRIM('Raw Data'!E70))=0),_xlfn.REGEXEXTRACT(CELL("address",'Raw Data'!E70),"\$([A-Z]+)\$[0-9]+"),""),"")</f>
        <v/>
      </c>
      <c r="F70" s="5"/>
      <c r="G70" s="5"/>
      <c r="H70" s="5" t="str" cm="1">
        <f t="array" aca="1" ref="H70" ca="1">IFERROR(IF(OR('Raw Data'!H70="",LEN(TRIM('Raw Data'!H70))=0),_xlfn.REGEXEXTRACT(CELL("address",'Raw Data'!H70),"\$([A-Z]+)\$[0-9]+"),""),"")</f>
        <v/>
      </c>
      <c r="I70" s="5"/>
      <c r="J70" s="5"/>
    </row>
    <row r="71" spans="2:10" x14ac:dyDescent="0.25">
      <c r="B71" s="5" t="str" cm="1">
        <f t="array" aca="1" ref="B71" ca="1">IFERROR(IF(OR('Raw Data'!B71="",LEN(TRIM('Raw Data'!B71))=0),_xlfn.REGEXEXTRACT(CELL("address",'Raw Data'!B71),"\$([A-Z]+)\$[0-9]+"),""),"")</f>
        <v/>
      </c>
      <c r="C71" s="5" t="str" cm="1">
        <f t="array" aca="1" ref="C71" ca="1">IFERROR(IF(OR('Raw Data'!C71="",LEN(TRIM('Raw Data'!C71))=0),_xlfn.REGEXEXTRACT(CELL("address",'Raw Data'!C71),"\$([A-Z]+)\$[0-9]+"),""),"")</f>
        <v/>
      </c>
      <c r="D71" s="5"/>
      <c r="E71" s="5" t="str" cm="1">
        <f t="array" aca="1" ref="E71" ca="1">IFERROR(IF(OR('Raw Data'!E71="",LEN(TRIM('Raw Data'!E71))=0),_xlfn.REGEXEXTRACT(CELL("address",'Raw Data'!E71),"\$([A-Z]+)\$[0-9]+"),""),"")</f>
        <v/>
      </c>
      <c r="F71" s="5"/>
      <c r="G71" s="5"/>
      <c r="H71" s="5" t="str" cm="1">
        <f t="array" aca="1" ref="H71" ca="1">IFERROR(IF(OR('Raw Data'!H71="",LEN(TRIM('Raw Data'!H71))=0),_xlfn.REGEXEXTRACT(CELL("address",'Raw Data'!H71),"\$([A-Z]+)\$[0-9]+"),""),"")</f>
        <v/>
      </c>
      <c r="I71" s="5"/>
      <c r="J71" s="5"/>
    </row>
    <row r="72" spans="2:10" x14ac:dyDescent="0.25">
      <c r="B72" s="5" t="str" cm="1">
        <f t="array" aca="1" ref="B72" ca="1">IFERROR(IF(OR('Raw Data'!B72="",LEN(TRIM('Raw Data'!B72))=0),_xlfn.REGEXEXTRACT(CELL("address",'Raw Data'!B72),"\$([A-Z]+)\$[0-9]+"),""),"")</f>
        <v/>
      </c>
      <c r="C72" s="5" t="str" cm="1">
        <f t="array" aca="1" ref="C72" ca="1">IFERROR(IF(OR('Raw Data'!C72="",LEN(TRIM('Raw Data'!C72))=0),_xlfn.REGEXEXTRACT(CELL("address",'Raw Data'!C72),"\$([A-Z]+)\$[0-9]+"),""),"")</f>
        <v/>
      </c>
      <c r="D72" s="5"/>
      <c r="E72" s="5" t="str" cm="1">
        <f t="array" aca="1" ref="E72" ca="1">IFERROR(IF(OR('Raw Data'!E72="",LEN(TRIM('Raw Data'!E72))=0),_xlfn.REGEXEXTRACT(CELL("address",'Raw Data'!E72),"\$([A-Z]+)\$[0-9]+"),""),"")</f>
        <v/>
      </c>
      <c r="F72" s="5"/>
      <c r="G72" s="5"/>
      <c r="H72" s="5" t="str" cm="1">
        <f t="array" aca="1" ref="H72" ca="1">IFERROR(IF(OR('Raw Data'!H72="",LEN(TRIM('Raw Data'!H72))=0),_xlfn.REGEXEXTRACT(CELL("address",'Raw Data'!H72),"\$([A-Z]+)\$[0-9]+"),""),"")</f>
        <v/>
      </c>
      <c r="I72" s="5"/>
      <c r="J72" s="5"/>
    </row>
    <row r="73" spans="2:10" x14ac:dyDescent="0.25">
      <c r="B73" s="5" t="str" cm="1">
        <f t="array" aca="1" ref="B73" ca="1">IFERROR(IF(OR('Raw Data'!B73="",LEN(TRIM('Raw Data'!B73))=0),_xlfn.REGEXEXTRACT(CELL("address",'Raw Data'!B73),"\$([A-Z]+)\$[0-9]+"),""),"")</f>
        <v/>
      </c>
      <c r="C73" s="5" t="str" cm="1">
        <f t="array" aca="1" ref="C73" ca="1">IFERROR(IF(OR('Raw Data'!C73="",LEN(TRIM('Raw Data'!C73))=0),_xlfn.REGEXEXTRACT(CELL("address",'Raw Data'!C73),"\$([A-Z]+)\$[0-9]+"),""),"")</f>
        <v/>
      </c>
      <c r="D73" s="5"/>
      <c r="E73" s="5" t="str" cm="1">
        <f t="array" aca="1" ref="E73" ca="1">IFERROR(IF(OR('Raw Data'!E73="",LEN(TRIM('Raw Data'!E73))=0),_xlfn.REGEXEXTRACT(CELL("address",'Raw Data'!E73),"\$([A-Z]+)\$[0-9]+"),""),"")</f>
        <v/>
      </c>
      <c r="F73" s="5"/>
      <c r="G73" s="5"/>
      <c r="H73" s="5" t="str" cm="1">
        <f t="array" aca="1" ref="H73" ca="1">IFERROR(IF(OR('Raw Data'!H73="",LEN(TRIM('Raw Data'!H73))=0),_xlfn.REGEXEXTRACT(CELL("address",'Raw Data'!H73),"\$([A-Z]+)\$[0-9]+"),""),"")</f>
        <v/>
      </c>
      <c r="I73" s="5"/>
      <c r="J73" s="5"/>
    </row>
    <row r="74" spans="2:10" x14ac:dyDescent="0.25">
      <c r="B74" s="5" t="str" cm="1">
        <f t="array" aca="1" ref="B74" ca="1">IFERROR(IF(OR('Raw Data'!B74="",LEN(TRIM('Raw Data'!B74))=0),_xlfn.REGEXEXTRACT(CELL("address",'Raw Data'!B74),"\$([A-Z]+)\$[0-9]+"),""),"")</f>
        <v/>
      </c>
      <c r="C74" s="5" t="str" cm="1">
        <f t="array" aca="1" ref="C74" ca="1">IFERROR(IF(OR('Raw Data'!C74="",LEN(TRIM('Raw Data'!C74))=0),_xlfn.REGEXEXTRACT(CELL("address",'Raw Data'!C74),"\$([A-Z]+)\$[0-9]+"),""),"")</f>
        <v/>
      </c>
      <c r="D74" s="5"/>
      <c r="E74" s="5" t="str" cm="1">
        <f t="array" aca="1" ref="E74" ca="1">IFERROR(IF(OR('Raw Data'!E74="",LEN(TRIM('Raw Data'!E74))=0),_xlfn.REGEXEXTRACT(CELL("address",'Raw Data'!E74),"\$([A-Z]+)\$[0-9]+"),""),"")</f>
        <v/>
      </c>
      <c r="F74" s="5"/>
      <c r="G74" s="5"/>
      <c r="H74" s="5" t="str" cm="1">
        <f t="array" aca="1" ref="H74" ca="1">IFERROR(IF(OR('Raw Data'!H74="",LEN(TRIM('Raw Data'!H74))=0),_xlfn.REGEXEXTRACT(CELL("address",'Raw Data'!H74),"\$([A-Z]+)\$[0-9]+"),""),"")</f>
        <v/>
      </c>
      <c r="I74" s="5"/>
      <c r="J74" s="5"/>
    </row>
    <row r="75" spans="2:10" x14ac:dyDescent="0.25">
      <c r="B75" s="5" t="str" cm="1">
        <f t="array" aca="1" ref="B75" ca="1">IFERROR(IF(OR('Raw Data'!B75="",LEN(TRIM('Raw Data'!B75))=0),_xlfn.REGEXEXTRACT(CELL("address",'Raw Data'!B75),"\$([A-Z]+)\$[0-9]+"),""),"")</f>
        <v/>
      </c>
      <c r="C75" s="5" t="str" cm="1">
        <f t="array" aca="1" ref="C75" ca="1">IFERROR(IF(OR('Raw Data'!C75="",LEN(TRIM('Raw Data'!C75))=0),_xlfn.REGEXEXTRACT(CELL("address",'Raw Data'!C75),"\$([A-Z]+)\$[0-9]+"),""),"")</f>
        <v/>
      </c>
      <c r="D75" s="5"/>
      <c r="E75" s="5" t="str" cm="1">
        <f t="array" aca="1" ref="E75" ca="1">IFERROR(IF(OR('Raw Data'!E75="",LEN(TRIM('Raw Data'!E75))=0),_xlfn.REGEXEXTRACT(CELL("address",'Raw Data'!E75),"\$([A-Z]+)\$[0-9]+"),""),"")</f>
        <v/>
      </c>
      <c r="F75" s="5"/>
      <c r="G75" s="5"/>
      <c r="H75" s="5" t="str" cm="1">
        <f t="array" aca="1" ref="H75" ca="1">IFERROR(IF(OR('Raw Data'!H75="",LEN(TRIM('Raw Data'!H75))=0),_xlfn.REGEXEXTRACT(CELL("address",'Raw Data'!H75),"\$([A-Z]+)\$[0-9]+"),""),"")</f>
        <v/>
      </c>
      <c r="I75" s="5"/>
      <c r="J75" s="5"/>
    </row>
    <row r="76" spans="2:10" x14ac:dyDescent="0.25">
      <c r="B76" s="5" t="str" cm="1">
        <f t="array" aca="1" ref="B76" ca="1">IFERROR(IF(OR('Raw Data'!B76="",LEN(TRIM('Raw Data'!B76))=0),_xlfn.REGEXEXTRACT(CELL("address",'Raw Data'!B76),"\$([A-Z]+)\$[0-9]+"),""),"")</f>
        <v/>
      </c>
      <c r="C76" s="5" t="str" cm="1">
        <f t="array" aca="1" ref="C76" ca="1">IFERROR(IF(OR('Raw Data'!C76="",LEN(TRIM('Raw Data'!C76))=0),_xlfn.REGEXEXTRACT(CELL("address",'Raw Data'!C76),"\$([A-Z]+)\$[0-9]+"),""),"")</f>
        <v/>
      </c>
      <c r="D76" s="5"/>
      <c r="E76" s="5" t="str" cm="1">
        <f t="array" aca="1" ref="E76" ca="1">IFERROR(IF(OR('Raw Data'!E76="",LEN(TRIM('Raw Data'!E76))=0),_xlfn.REGEXEXTRACT(CELL("address",'Raw Data'!E76),"\$([A-Z]+)\$[0-9]+"),""),"")</f>
        <v/>
      </c>
      <c r="F76" s="5"/>
      <c r="G76" s="5"/>
      <c r="H76" s="5" t="str" cm="1">
        <f t="array" aca="1" ref="H76" ca="1">IFERROR(IF(OR('Raw Data'!H76="",LEN(TRIM('Raw Data'!H76))=0),_xlfn.REGEXEXTRACT(CELL("address",'Raw Data'!H76),"\$([A-Z]+)\$[0-9]+"),""),"")</f>
        <v/>
      </c>
      <c r="I76" s="5"/>
      <c r="J76" s="5"/>
    </row>
    <row r="77" spans="2:10" x14ac:dyDescent="0.25">
      <c r="B77" s="5" t="str" cm="1">
        <f t="array" aca="1" ref="B77" ca="1">IFERROR(IF(OR('Raw Data'!B77="",LEN(TRIM('Raw Data'!B77))=0),_xlfn.REGEXEXTRACT(CELL("address",'Raw Data'!B77),"\$([A-Z]+)\$[0-9]+"),""),"")</f>
        <v/>
      </c>
      <c r="C77" s="5" t="str" cm="1">
        <f t="array" aca="1" ref="C77" ca="1">IFERROR(IF(OR('Raw Data'!C77="",LEN(TRIM('Raw Data'!C77))=0),_xlfn.REGEXEXTRACT(CELL("address",'Raw Data'!C77),"\$([A-Z]+)\$[0-9]+"),""),"")</f>
        <v/>
      </c>
      <c r="D77" s="5"/>
      <c r="E77" s="5" t="str" cm="1">
        <f t="array" aca="1" ref="E77" ca="1">IFERROR(IF(OR('Raw Data'!E77="",LEN(TRIM('Raw Data'!E77))=0),_xlfn.REGEXEXTRACT(CELL("address",'Raw Data'!E77),"\$([A-Z]+)\$[0-9]+"),""),"")</f>
        <v/>
      </c>
      <c r="F77" s="5"/>
      <c r="G77" s="5"/>
      <c r="H77" s="5" t="str" cm="1">
        <f t="array" aca="1" ref="H77" ca="1">IFERROR(IF(OR('Raw Data'!H77="",LEN(TRIM('Raw Data'!H77))=0),_xlfn.REGEXEXTRACT(CELL("address",'Raw Data'!H77),"\$([A-Z]+)\$[0-9]+"),""),"")</f>
        <v/>
      </c>
      <c r="I77" s="5"/>
      <c r="J77" s="5"/>
    </row>
    <row r="78" spans="2:10" x14ac:dyDescent="0.25">
      <c r="B78" s="5" t="str" cm="1">
        <f t="array" aca="1" ref="B78" ca="1">IFERROR(IF(OR('Raw Data'!B78="",LEN(TRIM('Raw Data'!B78))=0),_xlfn.REGEXEXTRACT(CELL("address",'Raw Data'!B78),"\$([A-Z]+)\$[0-9]+"),""),"")</f>
        <v/>
      </c>
      <c r="C78" s="5" t="str" cm="1">
        <f t="array" aca="1" ref="C78" ca="1">IFERROR(IF(OR('Raw Data'!C78="",LEN(TRIM('Raw Data'!C78))=0),_xlfn.REGEXEXTRACT(CELL("address",'Raw Data'!C78),"\$([A-Z]+)\$[0-9]+"),""),"")</f>
        <v/>
      </c>
      <c r="D78" s="5"/>
      <c r="E78" s="5" t="str" cm="1">
        <f t="array" aca="1" ref="E78" ca="1">IFERROR(IF(OR('Raw Data'!E78="",LEN(TRIM('Raw Data'!E78))=0),_xlfn.REGEXEXTRACT(CELL("address",'Raw Data'!E78),"\$([A-Z]+)\$[0-9]+"),""),"")</f>
        <v/>
      </c>
      <c r="F78" s="5"/>
      <c r="G78" s="5"/>
      <c r="H78" s="5" t="str" cm="1">
        <f t="array" aca="1" ref="H78" ca="1">IFERROR(IF(OR('Raw Data'!H78="",LEN(TRIM('Raw Data'!H78))=0),_xlfn.REGEXEXTRACT(CELL("address",'Raw Data'!H78),"\$([A-Z]+)\$[0-9]+"),""),"")</f>
        <v/>
      </c>
      <c r="I78" s="5"/>
      <c r="J78" s="5"/>
    </row>
    <row r="79" spans="2:10" x14ac:dyDescent="0.25">
      <c r="B79" s="5" t="str" cm="1">
        <f t="array" aca="1" ref="B79" ca="1">IFERROR(IF(OR('Raw Data'!B79="",LEN(TRIM('Raw Data'!B79))=0),_xlfn.REGEXEXTRACT(CELL("address",'Raw Data'!B79),"\$([A-Z]+)\$[0-9]+"),""),"")</f>
        <v/>
      </c>
      <c r="C79" s="5" t="str" cm="1">
        <f t="array" aca="1" ref="C79" ca="1">IFERROR(IF(OR('Raw Data'!C79="",LEN(TRIM('Raw Data'!C79))=0),_xlfn.REGEXEXTRACT(CELL("address",'Raw Data'!C79),"\$([A-Z]+)\$[0-9]+"),""),"")</f>
        <v/>
      </c>
      <c r="D79" s="5"/>
      <c r="E79" s="5" t="str" cm="1">
        <f t="array" aca="1" ref="E79" ca="1">IFERROR(IF(OR('Raw Data'!E79="",LEN(TRIM('Raw Data'!E79))=0),_xlfn.REGEXEXTRACT(CELL("address",'Raw Data'!E79),"\$([A-Z]+)\$[0-9]+"),""),"")</f>
        <v/>
      </c>
      <c r="F79" s="5"/>
      <c r="G79" s="5"/>
      <c r="H79" s="5" t="str" cm="1">
        <f t="array" aca="1" ref="H79" ca="1">IFERROR(IF(OR('Raw Data'!H79="",LEN(TRIM('Raw Data'!H79))=0),_xlfn.REGEXEXTRACT(CELL("address",'Raw Data'!H79),"\$([A-Z]+)\$[0-9]+"),""),"")</f>
        <v/>
      </c>
      <c r="I79" s="5"/>
      <c r="J79" s="5"/>
    </row>
    <row r="80" spans="2:10" x14ac:dyDescent="0.25">
      <c r="B80" s="5" t="str" cm="1">
        <f t="array" aca="1" ref="B80" ca="1">IFERROR(IF(OR('Raw Data'!B80="",LEN(TRIM('Raw Data'!B80))=0),_xlfn.REGEXEXTRACT(CELL("address",'Raw Data'!B80),"\$([A-Z]+)\$[0-9]+"),""),"")</f>
        <v/>
      </c>
      <c r="C80" s="5" t="str" cm="1">
        <f t="array" aca="1" ref="C80" ca="1">IFERROR(IF(OR('Raw Data'!C80="",LEN(TRIM('Raw Data'!C80))=0),_xlfn.REGEXEXTRACT(CELL("address",'Raw Data'!C80),"\$([A-Z]+)\$[0-9]+"),""),"")</f>
        <v/>
      </c>
      <c r="D80" s="5"/>
      <c r="E80" s="5" t="str" cm="1">
        <f t="array" aca="1" ref="E80" ca="1">IFERROR(IF(OR('Raw Data'!E80="",LEN(TRIM('Raw Data'!E80))=0),_xlfn.REGEXEXTRACT(CELL("address",'Raw Data'!E80),"\$([A-Z]+)\$[0-9]+"),""),"")</f>
        <v/>
      </c>
      <c r="F80" s="5"/>
      <c r="G80" s="5"/>
      <c r="H80" s="5" t="str" cm="1">
        <f t="array" aca="1" ref="H80" ca="1">IFERROR(IF(OR('Raw Data'!H80="",LEN(TRIM('Raw Data'!H80))=0),_xlfn.REGEXEXTRACT(CELL("address",'Raw Data'!H80),"\$([A-Z]+)\$[0-9]+"),""),"")</f>
        <v/>
      </c>
      <c r="I80" s="5"/>
      <c r="J80" s="5"/>
    </row>
    <row r="81" spans="2:10" x14ac:dyDescent="0.25">
      <c r="B81" s="5" t="str" cm="1">
        <f t="array" aca="1" ref="B81" ca="1">IFERROR(IF(OR('Raw Data'!B81="",LEN(TRIM('Raw Data'!B81))=0),_xlfn.REGEXEXTRACT(CELL("address",'Raw Data'!B81),"\$([A-Z]+)\$[0-9]+"),""),"")</f>
        <v/>
      </c>
      <c r="C81" s="5" t="str" cm="1">
        <f t="array" aca="1" ref="C81" ca="1">IFERROR(IF(OR('Raw Data'!C81="",LEN(TRIM('Raw Data'!C81))=0),_xlfn.REGEXEXTRACT(CELL("address",'Raw Data'!C81),"\$([A-Z]+)\$[0-9]+"),""),"")</f>
        <v/>
      </c>
      <c r="D81" s="5"/>
      <c r="E81" s="5" t="str" cm="1">
        <f t="array" aca="1" ref="E81" ca="1">IFERROR(IF(OR('Raw Data'!E81="",LEN(TRIM('Raw Data'!E81))=0),_xlfn.REGEXEXTRACT(CELL("address",'Raw Data'!E81),"\$([A-Z]+)\$[0-9]+"),""),"")</f>
        <v/>
      </c>
      <c r="F81" s="5"/>
      <c r="G81" s="5"/>
      <c r="H81" s="5" t="str" cm="1">
        <f t="array" aca="1" ref="H81" ca="1">IFERROR(IF(OR('Raw Data'!H81="",LEN(TRIM('Raw Data'!H81))=0),_xlfn.REGEXEXTRACT(CELL("address",'Raw Data'!H81),"\$([A-Z]+)\$[0-9]+"),""),"")</f>
        <v/>
      </c>
      <c r="I81" s="5"/>
      <c r="J81" s="5"/>
    </row>
    <row r="82" spans="2:10" x14ac:dyDescent="0.25">
      <c r="B82" s="5" t="str" cm="1">
        <f t="array" aca="1" ref="B82" ca="1">IFERROR(IF(OR('Raw Data'!B82="",LEN(TRIM('Raw Data'!B82))=0),_xlfn.REGEXEXTRACT(CELL("address",'Raw Data'!B82),"\$([A-Z]+)\$[0-9]+"),""),"")</f>
        <v/>
      </c>
      <c r="C82" s="5" t="str" cm="1">
        <f t="array" aca="1" ref="C82" ca="1">IFERROR(IF(OR('Raw Data'!C82="",LEN(TRIM('Raw Data'!C82))=0),_xlfn.REGEXEXTRACT(CELL("address",'Raw Data'!C82),"\$([A-Z]+)\$[0-9]+"),""),"")</f>
        <v/>
      </c>
      <c r="D82" s="5"/>
      <c r="E82" s="5" t="str" cm="1">
        <f t="array" aca="1" ref="E82" ca="1">IFERROR(IF(OR('Raw Data'!E82="",LEN(TRIM('Raw Data'!E82))=0),_xlfn.REGEXEXTRACT(CELL("address",'Raw Data'!E82),"\$([A-Z]+)\$[0-9]+"),""),"")</f>
        <v/>
      </c>
      <c r="F82" s="5"/>
      <c r="G82" s="5"/>
      <c r="H82" s="5" t="str" cm="1">
        <f t="array" aca="1" ref="H82" ca="1">IFERROR(IF(OR('Raw Data'!H82="",LEN(TRIM('Raw Data'!H82))=0),_xlfn.REGEXEXTRACT(CELL("address",'Raw Data'!H82),"\$([A-Z]+)\$[0-9]+"),""),"")</f>
        <v/>
      </c>
      <c r="I82" s="5"/>
      <c r="J82" s="5"/>
    </row>
    <row r="83" spans="2:10" x14ac:dyDescent="0.25">
      <c r="B83" s="5" t="str" cm="1">
        <f t="array" aca="1" ref="B83" ca="1">IFERROR(IF(OR('Raw Data'!B83="",LEN(TRIM('Raw Data'!B83))=0),_xlfn.REGEXEXTRACT(CELL("address",'Raw Data'!B83),"\$([A-Z]+)\$[0-9]+"),""),"")</f>
        <v/>
      </c>
      <c r="C83" s="5" t="str" cm="1">
        <f t="array" aca="1" ref="C83" ca="1">IFERROR(IF(OR('Raw Data'!C83="",LEN(TRIM('Raw Data'!C83))=0),_xlfn.REGEXEXTRACT(CELL("address",'Raw Data'!C83),"\$([A-Z]+)\$[0-9]+"),""),"")</f>
        <v/>
      </c>
      <c r="D83" s="5"/>
      <c r="E83" s="5" t="str" cm="1">
        <f t="array" aca="1" ref="E83" ca="1">IFERROR(IF(OR('Raw Data'!E83="",LEN(TRIM('Raw Data'!E83))=0),_xlfn.REGEXEXTRACT(CELL("address",'Raw Data'!E83),"\$([A-Z]+)\$[0-9]+"),""),"")</f>
        <v/>
      </c>
      <c r="F83" s="5"/>
      <c r="G83" s="5"/>
      <c r="H83" s="5" t="str" cm="1">
        <f t="array" aca="1" ref="H83" ca="1">IFERROR(IF(OR('Raw Data'!H83="",LEN(TRIM('Raw Data'!H83))=0),_xlfn.REGEXEXTRACT(CELL("address",'Raw Data'!H83),"\$([A-Z]+)\$[0-9]+"),""),"")</f>
        <v/>
      </c>
      <c r="I83" s="5"/>
      <c r="J83" s="5"/>
    </row>
    <row r="84" spans="2:10" x14ac:dyDescent="0.25">
      <c r="B84" s="5" t="str" cm="1">
        <f t="array" aca="1" ref="B84" ca="1">IFERROR(IF(OR('Raw Data'!B84="",LEN(TRIM('Raw Data'!B84))=0),_xlfn.REGEXEXTRACT(CELL("address",'Raw Data'!B84),"\$([A-Z]+)\$[0-9]+"),""),"")</f>
        <v/>
      </c>
      <c r="C84" s="5" t="str" cm="1">
        <f t="array" aca="1" ref="C84" ca="1">IFERROR(IF(OR('Raw Data'!C84="",LEN(TRIM('Raw Data'!C84))=0),_xlfn.REGEXEXTRACT(CELL("address",'Raw Data'!C84),"\$([A-Z]+)\$[0-9]+"),""),"")</f>
        <v/>
      </c>
      <c r="D84" s="5"/>
      <c r="E84" s="5" t="str" cm="1">
        <f t="array" aca="1" ref="E84" ca="1">IFERROR(IF(OR('Raw Data'!E84="",LEN(TRIM('Raw Data'!E84))=0),_xlfn.REGEXEXTRACT(CELL("address",'Raw Data'!E84),"\$([A-Z]+)\$[0-9]+"),""),"")</f>
        <v/>
      </c>
      <c r="F84" s="5"/>
      <c r="G84" s="5"/>
      <c r="H84" s="5" t="str" cm="1">
        <f t="array" aca="1" ref="H84" ca="1">IFERROR(IF(OR('Raw Data'!H84="",LEN(TRIM('Raw Data'!H84))=0),_xlfn.REGEXEXTRACT(CELL("address",'Raw Data'!H84),"\$([A-Z]+)\$[0-9]+"),""),"")</f>
        <v/>
      </c>
      <c r="I84" s="5"/>
      <c r="J84" s="5"/>
    </row>
    <row r="85" spans="2:10" x14ac:dyDescent="0.25">
      <c r="B85" s="5" t="str" cm="1">
        <f t="array" aca="1" ref="B85" ca="1">IFERROR(IF(OR('Raw Data'!B85="",LEN(TRIM('Raw Data'!B85))=0),_xlfn.REGEXEXTRACT(CELL("address",'Raw Data'!B85),"\$([A-Z]+)\$[0-9]+"),""),"")</f>
        <v/>
      </c>
      <c r="C85" s="5" t="str" cm="1">
        <f t="array" aca="1" ref="C85" ca="1">IFERROR(IF(OR('Raw Data'!C85="",LEN(TRIM('Raw Data'!C85))=0),_xlfn.REGEXEXTRACT(CELL("address",'Raw Data'!C85),"\$([A-Z]+)\$[0-9]+"),""),"")</f>
        <v/>
      </c>
      <c r="D85" s="5"/>
      <c r="E85" s="5" t="str" cm="1">
        <f t="array" aca="1" ref="E85" ca="1">IFERROR(IF(OR('Raw Data'!E85="",LEN(TRIM('Raw Data'!E85))=0),_xlfn.REGEXEXTRACT(CELL("address",'Raw Data'!E85),"\$([A-Z]+)\$[0-9]+"),""),"")</f>
        <v/>
      </c>
      <c r="F85" s="5"/>
      <c r="G85" s="5"/>
      <c r="H85" s="5" t="str" cm="1">
        <f t="array" aca="1" ref="H85" ca="1">IFERROR(IF(OR('Raw Data'!H85="",LEN(TRIM('Raw Data'!H85))=0),_xlfn.REGEXEXTRACT(CELL("address",'Raw Data'!H85),"\$([A-Z]+)\$[0-9]+"),""),"")</f>
        <v/>
      </c>
      <c r="I85" s="5"/>
      <c r="J85" s="5"/>
    </row>
    <row r="86" spans="2:10" x14ac:dyDescent="0.25">
      <c r="B86" s="5" t="str" cm="1">
        <f t="array" aca="1" ref="B86" ca="1">IFERROR(IF(OR('Raw Data'!B86="",LEN(TRIM('Raw Data'!B86))=0),_xlfn.REGEXEXTRACT(CELL("address",'Raw Data'!B86),"\$([A-Z]+)\$[0-9]+"),""),"")</f>
        <v/>
      </c>
      <c r="C86" s="5" t="str" cm="1">
        <f t="array" aca="1" ref="C86" ca="1">IFERROR(IF(OR('Raw Data'!C86="",LEN(TRIM('Raw Data'!C86))=0),_xlfn.REGEXEXTRACT(CELL("address",'Raw Data'!C86),"\$([A-Z]+)\$[0-9]+"),""),"")</f>
        <v/>
      </c>
      <c r="D86" s="5"/>
      <c r="E86" s="5" t="str" cm="1">
        <f t="array" aca="1" ref="E86" ca="1">IFERROR(IF(OR('Raw Data'!E86="",LEN(TRIM('Raw Data'!E86))=0),_xlfn.REGEXEXTRACT(CELL("address",'Raw Data'!E86),"\$([A-Z]+)\$[0-9]+"),""),"")</f>
        <v/>
      </c>
      <c r="F86" s="5"/>
      <c r="G86" s="5"/>
      <c r="H86" s="5" t="str" cm="1">
        <f t="array" aca="1" ref="H86" ca="1">IFERROR(IF(OR('Raw Data'!H86="",LEN(TRIM('Raw Data'!H86))=0),_xlfn.REGEXEXTRACT(CELL("address",'Raw Data'!H86),"\$([A-Z]+)\$[0-9]+"),""),"")</f>
        <v/>
      </c>
      <c r="I86" s="5"/>
      <c r="J86" s="5"/>
    </row>
    <row r="87" spans="2:10" x14ac:dyDescent="0.25">
      <c r="B87" s="5" t="str" cm="1">
        <f t="array" aca="1" ref="B87" ca="1">IFERROR(IF(OR('Raw Data'!B87="",LEN(TRIM('Raw Data'!B87))=0),_xlfn.REGEXEXTRACT(CELL("address",'Raw Data'!B87),"\$([A-Z]+)\$[0-9]+"),""),"")</f>
        <v/>
      </c>
      <c r="C87" s="5" t="str" cm="1">
        <f t="array" aca="1" ref="C87" ca="1">IFERROR(IF(OR('Raw Data'!C87="",LEN(TRIM('Raw Data'!C87))=0),_xlfn.REGEXEXTRACT(CELL("address",'Raw Data'!C87),"\$([A-Z]+)\$[0-9]+"),""),"")</f>
        <v/>
      </c>
      <c r="D87" s="5"/>
      <c r="E87" s="5" t="str" cm="1">
        <f t="array" aca="1" ref="E87" ca="1">IFERROR(IF(OR('Raw Data'!E87="",LEN(TRIM('Raw Data'!E87))=0),_xlfn.REGEXEXTRACT(CELL("address",'Raw Data'!E87),"\$([A-Z]+)\$[0-9]+"),""),"")</f>
        <v/>
      </c>
      <c r="F87" s="5"/>
      <c r="G87" s="5"/>
      <c r="H87" s="5" t="str" cm="1">
        <f t="array" aca="1" ref="H87" ca="1">IFERROR(IF(OR('Raw Data'!H87="",LEN(TRIM('Raw Data'!H87))=0),_xlfn.REGEXEXTRACT(CELL("address",'Raw Data'!H87),"\$([A-Z]+)\$[0-9]+"),""),"")</f>
        <v/>
      </c>
      <c r="I87" s="5"/>
      <c r="J87" s="5"/>
    </row>
    <row r="88" spans="2:10" x14ac:dyDescent="0.25">
      <c r="B88" s="5" t="str" cm="1">
        <f t="array" aca="1" ref="B88" ca="1">IFERROR(IF(OR('Raw Data'!B88="",LEN(TRIM('Raw Data'!B88))=0),_xlfn.REGEXEXTRACT(CELL("address",'Raw Data'!B88),"\$([A-Z]+)\$[0-9]+"),""),"")</f>
        <v/>
      </c>
      <c r="C88" s="5" t="str" cm="1">
        <f t="array" aca="1" ref="C88" ca="1">IFERROR(IF(OR('Raw Data'!C88="",LEN(TRIM('Raw Data'!C88))=0),_xlfn.REGEXEXTRACT(CELL("address",'Raw Data'!C88),"\$([A-Z]+)\$[0-9]+"),""),"")</f>
        <v/>
      </c>
      <c r="D88" s="5"/>
      <c r="E88" s="5" t="str" cm="1">
        <f t="array" aca="1" ref="E88" ca="1">IFERROR(IF(OR('Raw Data'!E88="",LEN(TRIM('Raw Data'!E88))=0),_xlfn.REGEXEXTRACT(CELL("address",'Raw Data'!E88),"\$([A-Z]+)\$[0-9]+"),""),"")</f>
        <v/>
      </c>
      <c r="F88" s="5"/>
      <c r="G88" s="5"/>
      <c r="H88" s="5" t="str" cm="1">
        <f t="array" aca="1" ref="H88" ca="1">IFERROR(IF(OR('Raw Data'!H88="",LEN(TRIM('Raw Data'!H88))=0),_xlfn.REGEXEXTRACT(CELL("address",'Raw Data'!H88),"\$([A-Z]+)\$[0-9]+"),""),"")</f>
        <v/>
      </c>
      <c r="I88" s="5"/>
      <c r="J88" s="5"/>
    </row>
    <row r="89" spans="2:10" x14ac:dyDescent="0.25">
      <c r="B89" s="5" t="str" cm="1">
        <f t="array" aca="1" ref="B89" ca="1">IFERROR(IF(OR('Raw Data'!B89="",LEN(TRIM('Raw Data'!B89))=0),_xlfn.REGEXEXTRACT(CELL("address",'Raw Data'!B89),"\$([A-Z]+)\$[0-9]+"),""),"")</f>
        <v/>
      </c>
      <c r="C89" s="5" t="str" cm="1">
        <f t="array" aca="1" ref="C89" ca="1">IFERROR(IF(OR('Raw Data'!C89="",LEN(TRIM('Raw Data'!C89))=0),_xlfn.REGEXEXTRACT(CELL("address",'Raw Data'!C89),"\$([A-Z]+)\$[0-9]+"),""),"")</f>
        <v/>
      </c>
      <c r="D89" s="5"/>
      <c r="E89" s="5" t="str" cm="1">
        <f t="array" aca="1" ref="E89" ca="1">IFERROR(IF(OR('Raw Data'!E89="",LEN(TRIM('Raw Data'!E89))=0),_xlfn.REGEXEXTRACT(CELL("address",'Raw Data'!E89),"\$([A-Z]+)\$[0-9]+"),""),"")</f>
        <v/>
      </c>
      <c r="F89" s="5"/>
      <c r="G89" s="5"/>
      <c r="H89" s="5" t="str" cm="1">
        <f t="array" aca="1" ref="H89" ca="1">IFERROR(IF(OR('Raw Data'!H89="",LEN(TRIM('Raw Data'!H89))=0),_xlfn.REGEXEXTRACT(CELL("address",'Raw Data'!H89),"\$([A-Z]+)\$[0-9]+"),""),"")</f>
        <v/>
      </c>
      <c r="I89" s="5"/>
      <c r="J89" s="5"/>
    </row>
    <row r="90" spans="2:10" x14ac:dyDescent="0.25">
      <c r="B90" s="5" t="str" cm="1">
        <f t="array" aca="1" ref="B90" ca="1">IFERROR(IF(OR('Raw Data'!B90="",LEN(TRIM('Raw Data'!B90))=0),_xlfn.REGEXEXTRACT(CELL("address",'Raw Data'!B90),"\$([A-Z]+)\$[0-9]+"),""),"")</f>
        <v/>
      </c>
      <c r="C90" s="5" t="str" cm="1">
        <f t="array" aca="1" ref="C90" ca="1">IFERROR(IF(OR('Raw Data'!C90="",LEN(TRIM('Raw Data'!C90))=0),_xlfn.REGEXEXTRACT(CELL("address",'Raw Data'!C90),"\$([A-Z]+)\$[0-9]+"),""),"")</f>
        <v/>
      </c>
      <c r="D90" s="5"/>
      <c r="E90" s="5" t="str" cm="1">
        <f t="array" aca="1" ref="E90" ca="1">IFERROR(IF(OR('Raw Data'!E90="",LEN(TRIM('Raw Data'!E90))=0),_xlfn.REGEXEXTRACT(CELL("address",'Raw Data'!E90),"\$([A-Z]+)\$[0-9]+"),""),"")</f>
        <v/>
      </c>
      <c r="F90" s="5"/>
      <c r="G90" s="5"/>
      <c r="H90" s="5" t="str" cm="1">
        <f t="array" aca="1" ref="H90" ca="1">IFERROR(IF(OR('Raw Data'!H90="",LEN(TRIM('Raw Data'!H90))=0),_xlfn.REGEXEXTRACT(CELL("address",'Raw Data'!H90),"\$([A-Z]+)\$[0-9]+"),""),"")</f>
        <v/>
      </c>
      <c r="I90" s="5"/>
      <c r="J90" s="5"/>
    </row>
    <row r="91" spans="2:10" x14ac:dyDescent="0.25">
      <c r="B91" s="5" t="str" cm="1">
        <f t="array" aca="1" ref="B91" ca="1">IFERROR(IF(OR('Raw Data'!B91="",LEN(TRIM('Raw Data'!B91))=0),_xlfn.REGEXEXTRACT(CELL("address",'Raw Data'!B91),"\$([A-Z]+)\$[0-9]+"),""),"")</f>
        <v/>
      </c>
      <c r="C91" s="5" t="str" cm="1">
        <f t="array" aca="1" ref="C91" ca="1">IFERROR(IF(OR('Raw Data'!C91="",LEN(TRIM('Raw Data'!C91))=0),_xlfn.REGEXEXTRACT(CELL("address",'Raw Data'!C91),"\$([A-Z]+)\$[0-9]+"),""),"")</f>
        <v/>
      </c>
      <c r="D91" s="5"/>
      <c r="E91" s="5" t="str" cm="1">
        <f t="array" aca="1" ref="E91" ca="1">IFERROR(IF(OR('Raw Data'!E91="",LEN(TRIM('Raw Data'!E91))=0),_xlfn.REGEXEXTRACT(CELL("address",'Raw Data'!E91),"\$([A-Z]+)\$[0-9]+"),""),"")</f>
        <v/>
      </c>
      <c r="F91" s="5"/>
      <c r="G91" s="5"/>
      <c r="H91" s="5" t="str" cm="1">
        <f t="array" aca="1" ref="H91" ca="1">IFERROR(IF(OR('Raw Data'!H91="",LEN(TRIM('Raw Data'!H91))=0),_xlfn.REGEXEXTRACT(CELL("address",'Raw Data'!H91),"\$([A-Z]+)\$[0-9]+"),""),"")</f>
        <v/>
      </c>
      <c r="I91" s="5"/>
      <c r="J91" s="5"/>
    </row>
    <row r="92" spans="2:10" x14ac:dyDescent="0.25">
      <c r="B92" s="5" t="str" cm="1">
        <f t="array" aca="1" ref="B92" ca="1">IFERROR(IF(OR('Raw Data'!B92="",LEN(TRIM('Raw Data'!B92))=0),_xlfn.REGEXEXTRACT(CELL("address",'Raw Data'!B92),"\$([A-Z]+)\$[0-9]+"),""),"")</f>
        <v/>
      </c>
      <c r="C92" s="5" t="str" cm="1">
        <f t="array" aca="1" ref="C92" ca="1">IFERROR(IF(OR('Raw Data'!C92="",LEN(TRIM('Raw Data'!C92))=0),_xlfn.REGEXEXTRACT(CELL("address",'Raw Data'!C92),"\$([A-Z]+)\$[0-9]+"),""),"")</f>
        <v/>
      </c>
      <c r="D92" s="5"/>
      <c r="E92" s="5" t="str" cm="1">
        <f t="array" aca="1" ref="E92" ca="1">IFERROR(IF(OR('Raw Data'!E92="",LEN(TRIM('Raw Data'!E92))=0),_xlfn.REGEXEXTRACT(CELL("address",'Raw Data'!E92),"\$([A-Z]+)\$[0-9]+"),""),"")</f>
        <v/>
      </c>
      <c r="F92" s="5"/>
      <c r="G92" s="5"/>
      <c r="H92" s="5" t="str" cm="1">
        <f t="array" aca="1" ref="H92" ca="1">IFERROR(IF(OR('Raw Data'!H92="",LEN(TRIM('Raw Data'!H92))=0),_xlfn.REGEXEXTRACT(CELL("address",'Raw Data'!H92),"\$([A-Z]+)\$[0-9]+"),""),"")</f>
        <v/>
      </c>
      <c r="I92" s="5"/>
      <c r="J92" s="5"/>
    </row>
    <row r="93" spans="2:10" x14ac:dyDescent="0.25">
      <c r="B93" s="5" t="str" cm="1">
        <f t="array" aca="1" ref="B93" ca="1">IFERROR(IF(OR('Raw Data'!B93="",LEN(TRIM('Raw Data'!B93))=0),_xlfn.REGEXEXTRACT(CELL("address",'Raw Data'!B93),"\$([A-Z]+)\$[0-9]+"),""),"")</f>
        <v/>
      </c>
      <c r="C93" s="5" t="str" cm="1">
        <f t="array" aca="1" ref="C93" ca="1">IFERROR(IF(OR('Raw Data'!C93="",LEN(TRIM('Raw Data'!C93))=0),_xlfn.REGEXEXTRACT(CELL("address",'Raw Data'!C93),"\$([A-Z]+)\$[0-9]+"),""),"")</f>
        <v/>
      </c>
      <c r="D93" s="5"/>
      <c r="E93" s="5" t="str" cm="1">
        <f t="array" aca="1" ref="E93" ca="1">IFERROR(IF(OR('Raw Data'!E93="",LEN(TRIM('Raw Data'!E93))=0),_xlfn.REGEXEXTRACT(CELL("address",'Raw Data'!E93),"\$([A-Z]+)\$[0-9]+"),""),"")</f>
        <v/>
      </c>
      <c r="F93" s="5"/>
      <c r="G93" s="5"/>
      <c r="H93" s="5" t="str" cm="1">
        <f t="array" aca="1" ref="H93" ca="1">IFERROR(IF(OR('Raw Data'!H93="",LEN(TRIM('Raw Data'!H93))=0),_xlfn.REGEXEXTRACT(CELL("address",'Raw Data'!H93),"\$([A-Z]+)\$[0-9]+"),""),"")</f>
        <v/>
      </c>
      <c r="I93" s="5"/>
      <c r="J93" s="5"/>
    </row>
    <row r="94" spans="2:10" x14ac:dyDescent="0.25">
      <c r="B94" s="5" t="str" cm="1">
        <f t="array" aca="1" ref="B94" ca="1">IFERROR(IF(OR('Raw Data'!B94="",LEN(TRIM('Raw Data'!B94))=0),_xlfn.REGEXEXTRACT(CELL("address",'Raw Data'!B94),"\$([A-Z]+)\$[0-9]+"),""),"")</f>
        <v/>
      </c>
      <c r="C94" s="5" t="str" cm="1">
        <f t="array" aca="1" ref="C94" ca="1">IFERROR(IF(OR('Raw Data'!C94="",LEN(TRIM('Raw Data'!C94))=0),_xlfn.REGEXEXTRACT(CELL("address",'Raw Data'!C94),"\$([A-Z]+)\$[0-9]+"),""),"")</f>
        <v/>
      </c>
      <c r="D94" s="5"/>
      <c r="E94" s="5" t="str" cm="1">
        <f t="array" aca="1" ref="E94" ca="1">IFERROR(IF(OR('Raw Data'!E94="",LEN(TRIM('Raw Data'!E94))=0),_xlfn.REGEXEXTRACT(CELL("address",'Raw Data'!E94),"\$([A-Z]+)\$[0-9]+"),""),"")</f>
        <v/>
      </c>
      <c r="F94" s="5"/>
      <c r="G94" s="5"/>
      <c r="H94" s="5" t="str" cm="1">
        <f t="array" aca="1" ref="H94" ca="1">IFERROR(IF(OR('Raw Data'!H94="",LEN(TRIM('Raw Data'!H94))=0),_xlfn.REGEXEXTRACT(CELL("address",'Raw Data'!H94),"\$([A-Z]+)\$[0-9]+"),""),"")</f>
        <v/>
      </c>
      <c r="I94" s="5"/>
      <c r="J94" s="5"/>
    </row>
    <row r="95" spans="2:10" x14ac:dyDescent="0.25">
      <c r="B95" s="5" t="str" cm="1">
        <f t="array" aca="1" ref="B95" ca="1">IFERROR(IF(OR('Raw Data'!B95="",LEN(TRIM('Raw Data'!B95))=0),_xlfn.REGEXEXTRACT(CELL("address",'Raw Data'!B95),"\$([A-Z]+)\$[0-9]+"),""),"")</f>
        <v/>
      </c>
      <c r="C95" s="5" t="str" cm="1">
        <f t="array" aca="1" ref="C95" ca="1">IFERROR(IF(OR('Raw Data'!C95="",LEN(TRIM('Raw Data'!C95))=0),_xlfn.REGEXEXTRACT(CELL("address",'Raw Data'!C95),"\$([A-Z]+)\$[0-9]+"),""),"")</f>
        <v/>
      </c>
      <c r="D95" s="5"/>
      <c r="E95" s="5" t="str" cm="1">
        <f t="array" aca="1" ref="E95" ca="1">IFERROR(IF(OR('Raw Data'!E95="",LEN(TRIM('Raw Data'!E95))=0),_xlfn.REGEXEXTRACT(CELL("address",'Raw Data'!E95),"\$([A-Z]+)\$[0-9]+"),""),"")</f>
        <v/>
      </c>
      <c r="F95" s="5"/>
      <c r="G95" s="5"/>
      <c r="H95" s="5" t="str" cm="1">
        <f t="array" aca="1" ref="H95" ca="1">IFERROR(IF(OR('Raw Data'!H95="",LEN(TRIM('Raw Data'!H95))=0),_xlfn.REGEXEXTRACT(CELL("address",'Raw Data'!H95),"\$([A-Z]+)\$[0-9]+"),""),"")</f>
        <v/>
      </c>
      <c r="I95" s="5"/>
      <c r="J95" s="5"/>
    </row>
    <row r="96" spans="2:10" x14ac:dyDescent="0.25">
      <c r="B96" s="5" t="str" cm="1">
        <f t="array" aca="1" ref="B96" ca="1">IFERROR(IF(OR('Raw Data'!B96="",LEN(TRIM('Raw Data'!B96))=0),_xlfn.REGEXEXTRACT(CELL("address",'Raw Data'!B96),"\$([A-Z]+)\$[0-9]+"),""),"")</f>
        <v/>
      </c>
      <c r="C96" s="5" t="str" cm="1">
        <f t="array" aca="1" ref="C96" ca="1">IFERROR(IF(OR('Raw Data'!C96="",LEN(TRIM('Raw Data'!C96))=0),_xlfn.REGEXEXTRACT(CELL("address",'Raw Data'!C96),"\$([A-Z]+)\$[0-9]+"),""),"")</f>
        <v/>
      </c>
      <c r="D96" s="5"/>
      <c r="E96" s="5" t="str" cm="1">
        <f t="array" aca="1" ref="E96" ca="1">IFERROR(IF(OR('Raw Data'!E96="",LEN(TRIM('Raw Data'!E96))=0),_xlfn.REGEXEXTRACT(CELL("address",'Raw Data'!E96),"\$([A-Z]+)\$[0-9]+"),""),"")</f>
        <v/>
      </c>
      <c r="F96" s="5"/>
      <c r="G96" s="5"/>
      <c r="H96" s="5" t="str" cm="1">
        <f t="array" aca="1" ref="H96" ca="1">IFERROR(IF(OR('Raw Data'!H96="",LEN(TRIM('Raw Data'!H96))=0),_xlfn.REGEXEXTRACT(CELL("address",'Raw Data'!H96),"\$([A-Z]+)\$[0-9]+"),""),"")</f>
        <v/>
      </c>
      <c r="I96" s="5"/>
      <c r="J96" s="5"/>
    </row>
    <row r="97" spans="2:10" x14ac:dyDescent="0.25">
      <c r="B97" s="5" t="str" cm="1">
        <f t="array" aca="1" ref="B97" ca="1">IFERROR(IF(OR('Raw Data'!B97="",LEN(TRIM('Raw Data'!B97))=0),_xlfn.REGEXEXTRACT(CELL("address",'Raw Data'!B97),"\$([A-Z]+)\$[0-9]+"),""),"")</f>
        <v/>
      </c>
      <c r="C97" s="5" t="str" cm="1">
        <f t="array" aca="1" ref="C97" ca="1">IFERROR(IF(OR('Raw Data'!C97="",LEN(TRIM('Raw Data'!C97))=0),_xlfn.REGEXEXTRACT(CELL("address",'Raw Data'!C97),"\$([A-Z]+)\$[0-9]+"),""),"")</f>
        <v/>
      </c>
      <c r="D97" s="5"/>
      <c r="E97" s="5" t="str" cm="1">
        <f t="array" aca="1" ref="E97" ca="1">IFERROR(IF(OR('Raw Data'!E97="",LEN(TRIM('Raw Data'!E97))=0),_xlfn.REGEXEXTRACT(CELL("address",'Raw Data'!E97),"\$([A-Z]+)\$[0-9]+"),""),"")</f>
        <v/>
      </c>
      <c r="F97" s="5"/>
      <c r="G97" s="5"/>
      <c r="H97" s="5" t="str" cm="1">
        <f t="array" aca="1" ref="H97" ca="1">IFERROR(IF(OR('Raw Data'!H97="",LEN(TRIM('Raw Data'!H97))=0),_xlfn.REGEXEXTRACT(CELL("address",'Raw Data'!H97),"\$([A-Z]+)\$[0-9]+"),""),"")</f>
        <v/>
      </c>
      <c r="I97" s="5"/>
      <c r="J97" s="5"/>
    </row>
    <row r="98" spans="2:10" x14ac:dyDescent="0.25">
      <c r="B98" s="5" t="str" cm="1">
        <f t="array" aca="1" ref="B98" ca="1">IFERROR(IF(OR('Raw Data'!B98="",LEN(TRIM('Raw Data'!B98))=0),_xlfn.REGEXEXTRACT(CELL("address",'Raw Data'!B98),"\$([A-Z]+)\$[0-9]+"),""),"")</f>
        <v/>
      </c>
      <c r="C98" s="5" t="str" cm="1">
        <f t="array" aca="1" ref="C98" ca="1">IFERROR(IF(OR('Raw Data'!C98="",LEN(TRIM('Raw Data'!C98))=0),_xlfn.REGEXEXTRACT(CELL("address",'Raw Data'!C98),"\$([A-Z]+)\$[0-9]+"),""),"")</f>
        <v/>
      </c>
      <c r="D98" s="5"/>
      <c r="E98" s="5" t="str" cm="1">
        <f t="array" aca="1" ref="E98" ca="1">IFERROR(IF(OR('Raw Data'!E98="",LEN(TRIM('Raw Data'!E98))=0),_xlfn.REGEXEXTRACT(CELL("address",'Raw Data'!E98),"\$([A-Z]+)\$[0-9]+"),""),"")</f>
        <v/>
      </c>
      <c r="F98" s="5"/>
      <c r="G98" s="5"/>
      <c r="H98" s="5" t="str" cm="1">
        <f t="array" aca="1" ref="H98" ca="1">IFERROR(IF(OR('Raw Data'!H98="",LEN(TRIM('Raw Data'!H98))=0),_xlfn.REGEXEXTRACT(CELL("address",'Raw Data'!H98),"\$([A-Z]+)\$[0-9]+"),""),"")</f>
        <v/>
      </c>
      <c r="I98" s="5"/>
      <c r="J98" s="5"/>
    </row>
    <row r="99" spans="2:10" x14ac:dyDescent="0.25">
      <c r="B99" s="5" t="str" cm="1">
        <f t="array" aca="1" ref="B99" ca="1">IFERROR(IF(OR('Raw Data'!B99="",LEN(TRIM('Raw Data'!B99))=0),_xlfn.REGEXEXTRACT(CELL("address",'Raw Data'!B99),"\$([A-Z]+)\$[0-9]+"),""),"")</f>
        <v/>
      </c>
      <c r="C99" s="5" t="str" cm="1">
        <f t="array" aca="1" ref="C99" ca="1">IFERROR(IF(OR('Raw Data'!C99="",LEN(TRIM('Raw Data'!C99))=0),_xlfn.REGEXEXTRACT(CELL("address",'Raw Data'!C99),"\$([A-Z]+)\$[0-9]+"),""),"")</f>
        <v/>
      </c>
      <c r="D99" s="5"/>
      <c r="E99" s="5" t="str" cm="1">
        <f t="array" aca="1" ref="E99" ca="1">IFERROR(IF(OR('Raw Data'!E99="",LEN(TRIM('Raw Data'!E99))=0),_xlfn.REGEXEXTRACT(CELL("address",'Raw Data'!E99),"\$([A-Z]+)\$[0-9]+"),""),"")</f>
        <v/>
      </c>
      <c r="F99" s="5"/>
      <c r="G99" s="5"/>
      <c r="H99" s="5" t="str" cm="1">
        <f t="array" aca="1" ref="H99" ca="1">IFERROR(IF(OR('Raw Data'!H99="",LEN(TRIM('Raw Data'!H99))=0),_xlfn.REGEXEXTRACT(CELL("address",'Raw Data'!H99),"\$([A-Z]+)\$[0-9]+"),""),"")</f>
        <v/>
      </c>
      <c r="I99" s="5"/>
      <c r="J99" s="5"/>
    </row>
    <row r="100" spans="2:10" x14ac:dyDescent="0.25">
      <c r="B100" s="5" t="str" cm="1">
        <f t="array" aca="1" ref="B100" ca="1">IFERROR(IF(OR('Raw Data'!B100="",LEN(TRIM('Raw Data'!B100))=0),_xlfn.REGEXEXTRACT(CELL("address",'Raw Data'!B100),"\$([A-Z]+)\$[0-9]+"),""),"")</f>
        <v/>
      </c>
      <c r="C100" s="5" t="str" cm="1">
        <f t="array" aca="1" ref="C100" ca="1">IFERROR(IF(OR('Raw Data'!C100="",LEN(TRIM('Raw Data'!C100))=0),_xlfn.REGEXEXTRACT(CELL("address",'Raw Data'!C100),"\$([A-Z]+)\$[0-9]+"),""),"")</f>
        <v/>
      </c>
      <c r="D100" s="5"/>
      <c r="E100" s="5" t="str" cm="1">
        <f t="array" aca="1" ref="E100" ca="1">IFERROR(IF(OR('Raw Data'!E100="",LEN(TRIM('Raw Data'!E100))=0),_xlfn.REGEXEXTRACT(CELL("address",'Raw Data'!E100),"\$([A-Z]+)\$[0-9]+"),""),"")</f>
        <v/>
      </c>
      <c r="F100" s="5"/>
      <c r="G100" s="5"/>
      <c r="H100" s="5" t="str" cm="1">
        <f t="array" aca="1" ref="H100" ca="1">IFERROR(IF(OR('Raw Data'!H100="",LEN(TRIM('Raw Data'!H100))=0),_xlfn.REGEXEXTRACT(CELL("address",'Raw Data'!H100),"\$([A-Z]+)\$[0-9]+"),""),"")</f>
        <v/>
      </c>
      <c r="I100" s="5"/>
      <c r="J100" s="5"/>
    </row>
    <row r="101" spans="2:10" x14ac:dyDescent="0.25">
      <c r="B101" s="5" t="str" cm="1">
        <f t="array" aca="1" ref="B101" ca="1">IFERROR(IF(OR('Raw Data'!B101="",LEN(TRIM('Raw Data'!B101))=0),_xlfn.REGEXEXTRACT(CELL("address",'Raw Data'!B101),"\$([A-Z]+)\$[0-9]+"),""),"")</f>
        <v/>
      </c>
      <c r="C101" s="5" t="str" cm="1">
        <f t="array" aca="1" ref="C101" ca="1">IFERROR(IF(OR('Raw Data'!C101="",LEN(TRIM('Raw Data'!C101))=0),_xlfn.REGEXEXTRACT(CELL("address",'Raw Data'!C101),"\$([A-Z]+)\$[0-9]+"),""),"")</f>
        <v/>
      </c>
      <c r="D101" s="5"/>
      <c r="E101" s="5" t="str" cm="1">
        <f t="array" aca="1" ref="E101" ca="1">IFERROR(IF(OR('Raw Data'!E101="",LEN(TRIM('Raw Data'!E101))=0),_xlfn.REGEXEXTRACT(CELL("address",'Raw Data'!E101),"\$([A-Z]+)\$[0-9]+"),""),"")</f>
        <v/>
      </c>
      <c r="F101" s="5"/>
      <c r="G101" s="5"/>
      <c r="H101" s="5" t="str" cm="1">
        <f t="array" aca="1" ref="H101" ca="1">IFERROR(IF(OR('Raw Data'!H101="",LEN(TRIM('Raw Data'!H101))=0),_xlfn.REGEXEXTRACT(CELL("address",'Raw Data'!H101),"\$([A-Z]+)\$[0-9]+"),""),"")</f>
        <v/>
      </c>
      <c r="I101" s="5"/>
      <c r="J101" s="5"/>
    </row>
    <row r="102" spans="2:10" x14ac:dyDescent="0.25">
      <c r="B102" s="5" t="str" cm="1">
        <f t="array" aca="1" ref="B102" ca="1">IFERROR(IF(OR('Raw Data'!B102="",LEN(TRIM('Raw Data'!B102))=0),_xlfn.REGEXEXTRACT(CELL("address",'Raw Data'!B102),"\$([A-Z]+)\$[0-9]+"),""),"")</f>
        <v/>
      </c>
      <c r="C102" s="5" t="str" cm="1">
        <f t="array" aca="1" ref="C102" ca="1">IFERROR(IF(OR('Raw Data'!C102="",LEN(TRIM('Raw Data'!C102))=0),_xlfn.REGEXEXTRACT(CELL("address",'Raw Data'!C102),"\$([A-Z]+)\$[0-9]+"),""),"")</f>
        <v/>
      </c>
      <c r="D102" s="5"/>
      <c r="E102" s="5" t="str" cm="1">
        <f t="array" aca="1" ref="E102" ca="1">IFERROR(IF(OR('Raw Data'!E102="",LEN(TRIM('Raw Data'!E102))=0),_xlfn.REGEXEXTRACT(CELL("address",'Raw Data'!E102),"\$([A-Z]+)\$[0-9]+"),""),"")</f>
        <v/>
      </c>
      <c r="F102" s="5"/>
      <c r="G102" s="5"/>
      <c r="H102" s="5" t="str" cm="1">
        <f t="array" aca="1" ref="H102" ca="1">IFERROR(IF(OR('Raw Data'!H102="",LEN(TRIM('Raw Data'!H102))=0),_xlfn.REGEXEXTRACT(CELL("address",'Raw Data'!H102),"\$([A-Z]+)\$[0-9]+"),""),"")</f>
        <v/>
      </c>
      <c r="I102" s="5"/>
      <c r="J102" s="5"/>
    </row>
    <row r="103" spans="2:10" x14ac:dyDescent="0.25">
      <c r="B103" s="5" t="str" cm="1">
        <f t="array" aca="1" ref="B103" ca="1">IFERROR(IF(OR('Raw Data'!B103="",LEN(TRIM('Raw Data'!B103))=0),_xlfn.REGEXEXTRACT(CELL("address",'Raw Data'!B103),"\$([A-Z]+)\$[0-9]+"),""),"")</f>
        <v/>
      </c>
      <c r="C103" s="5" t="str" cm="1">
        <f t="array" aca="1" ref="C103" ca="1">IFERROR(IF(OR('Raw Data'!C103="",LEN(TRIM('Raw Data'!C103))=0),_xlfn.REGEXEXTRACT(CELL("address",'Raw Data'!C103),"\$([A-Z]+)\$[0-9]+"),""),"")</f>
        <v/>
      </c>
      <c r="D103" s="5"/>
      <c r="E103" s="5" t="str" cm="1">
        <f t="array" aca="1" ref="E103" ca="1">IFERROR(IF(OR('Raw Data'!E103="",LEN(TRIM('Raw Data'!E103))=0),_xlfn.REGEXEXTRACT(CELL("address",'Raw Data'!E103),"\$([A-Z]+)\$[0-9]+"),""),"")</f>
        <v/>
      </c>
      <c r="F103" s="5"/>
      <c r="G103" s="5"/>
      <c r="H103" s="5" t="str" cm="1">
        <f t="array" aca="1" ref="H103" ca="1">IFERROR(IF(OR('Raw Data'!H103="",LEN(TRIM('Raw Data'!H103))=0),_xlfn.REGEXEXTRACT(CELL("address",'Raw Data'!H103),"\$([A-Z]+)\$[0-9]+"),""),"")</f>
        <v/>
      </c>
      <c r="I103" s="5"/>
      <c r="J103" s="5"/>
    </row>
    <row r="104" spans="2:10" x14ac:dyDescent="0.25">
      <c r="B104" s="5" t="str" cm="1">
        <f t="array" aca="1" ref="B104" ca="1">IFERROR(IF(OR('Raw Data'!B104="",LEN(TRIM('Raw Data'!B104))=0),_xlfn.REGEXEXTRACT(CELL("address",'Raw Data'!B104),"\$([A-Z]+)\$[0-9]+"),""),"")</f>
        <v/>
      </c>
      <c r="C104" s="5" t="str" cm="1">
        <f t="array" aca="1" ref="C104" ca="1">IFERROR(IF(OR('Raw Data'!C104="",LEN(TRIM('Raw Data'!C104))=0),_xlfn.REGEXEXTRACT(CELL("address",'Raw Data'!C104),"\$([A-Z]+)\$[0-9]+"),""),"")</f>
        <v/>
      </c>
      <c r="D104" s="5"/>
      <c r="E104" s="5" t="str" cm="1">
        <f t="array" aca="1" ref="E104" ca="1">IFERROR(IF(OR('Raw Data'!E104="",LEN(TRIM('Raw Data'!E104))=0),_xlfn.REGEXEXTRACT(CELL("address",'Raw Data'!E104),"\$([A-Z]+)\$[0-9]+"),""),"")</f>
        <v/>
      </c>
      <c r="F104" s="5"/>
      <c r="G104" s="5"/>
      <c r="H104" s="5" t="str" cm="1">
        <f t="array" aca="1" ref="H104" ca="1">IFERROR(IF(OR('Raw Data'!H104="",LEN(TRIM('Raw Data'!H104))=0),_xlfn.REGEXEXTRACT(CELL("address",'Raw Data'!H104),"\$([A-Z]+)\$[0-9]+"),""),"")</f>
        <v/>
      </c>
      <c r="I104" s="5"/>
      <c r="J104" s="5"/>
    </row>
    <row r="105" spans="2:10" x14ac:dyDescent="0.25">
      <c r="B105" s="5" t="str" cm="1">
        <f t="array" aca="1" ref="B105" ca="1">IFERROR(IF(OR('Raw Data'!B105="",LEN(TRIM('Raw Data'!B105))=0),_xlfn.REGEXEXTRACT(CELL("address",'Raw Data'!B105),"\$([A-Z]+)\$[0-9]+"),""),"")</f>
        <v/>
      </c>
      <c r="C105" s="5" t="str" cm="1">
        <f t="array" aca="1" ref="C105" ca="1">IFERROR(IF(OR('Raw Data'!C105="",LEN(TRIM('Raw Data'!C105))=0),_xlfn.REGEXEXTRACT(CELL("address",'Raw Data'!C105),"\$([A-Z]+)\$[0-9]+"),""),"")</f>
        <v/>
      </c>
      <c r="D105" s="5"/>
      <c r="E105" s="5" t="str" cm="1">
        <f t="array" aca="1" ref="E105" ca="1">IFERROR(IF(OR('Raw Data'!E105="",LEN(TRIM('Raw Data'!E105))=0),_xlfn.REGEXEXTRACT(CELL("address",'Raw Data'!E105),"\$([A-Z]+)\$[0-9]+"),""),"")</f>
        <v/>
      </c>
      <c r="F105" s="5"/>
      <c r="G105" s="5"/>
      <c r="H105" s="5" t="str" cm="1">
        <f t="array" aca="1" ref="H105" ca="1">IFERROR(IF(OR('Raw Data'!H105="",LEN(TRIM('Raw Data'!H105))=0),_xlfn.REGEXEXTRACT(CELL("address",'Raw Data'!H105),"\$([A-Z]+)\$[0-9]+"),""),"")</f>
        <v/>
      </c>
      <c r="I105" s="5"/>
      <c r="J105" s="5"/>
    </row>
    <row r="106" spans="2:10" x14ac:dyDescent="0.25">
      <c r="B106" s="5" t="str" cm="1">
        <f t="array" aca="1" ref="B106" ca="1">IFERROR(IF(OR('Raw Data'!B106="",LEN(TRIM('Raw Data'!B106))=0),_xlfn.REGEXEXTRACT(CELL("address",'Raw Data'!B106),"\$([A-Z]+)\$[0-9]+"),""),"")</f>
        <v/>
      </c>
      <c r="C106" s="5" t="str" cm="1">
        <f t="array" aca="1" ref="C106" ca="1">IFERROR(IF(OR('Raw Data'!C106="",LEN(TRIM('Raw Data'!C106))=0),_xlfn.REGEXEXTRACT(CELL("address",'Raw Data'!C106),"\$([A-Z]+)\$[0-9]+"),""),"")</f>
        <v/>
      </c>
      <c r="D106" s="5"/>
      <c r="E106" s="5" t="str" cm="1">
        <f t="array" aca="1" ref="E106" ca="1">IFERROR(IF(OR('Raw Data'!E106="",LEN(TRIM('Raw Data'!E106))=0),_xlfn.REGEXEXTRACT(CELL("address",'Raw Data'!E106),"\$([A-Z]+)\$[0-9]+"),""),"")</f>
        <v/>
      </c>
      <c r="F106" s="5"/>
      <c r="G106" s="5"/>
      <c r="H106" s="5" t="str" cm="1">
        <f t="array" aca="1" ref="H106" ca="1">IFERROR(IF(OR('Raw Data'!H106="",LEN(TRIM('Raw Data'!H106))=0),_xlfn.REGEXEXTRACT(CELL("address",'Raw Data'!H106),"\$([A-Z]+)\$[0-9]+"),""),"")</f>
        <v/>
      </c>
      <c r="I106" s="5"/>
      <c r="J106" s="5"/>
    </row>
    <row r="107" spans="2:10" x14ac:dyDescent="0.25">
      <c r="B107" s="5" t="str" cm="1">
        <f t="array" aca="1" ref="B107" ca="1">IFERROR(IF(OR('Raw Data'!B107="",LEN(TRIM('Raw Data'!B107))=0),_xlfn.REGEXEXTRACT(CELL("address",'Raw Data'!B107),"\$([A-Z]+)\$[0-9]+"),""),"")</f>
        <v/>
      </c>
      <c r="C107" s="5" t="str" cm="1">
        <f t="array" aca="1" ref="C107" ca="1">IFERROR(IF(OR('Raw Data'!C107="",LEN(TRIM('Raw Data'!C107))=0),_xlfn.REGEXEXTRACT(CELL("address",'Raw Data'!C107),"\$([A-Z]+)\$[0-9]+"),""),"")</f>
        <v/>
      </c>
      <c r="D107" s="5"/>
      <c r="E107" s="5" t="str" cm="1">
        <f t="array" aca="1" ref="E107" ca="1">IFERROR(IF(OR('Raw Data'!E107="",LEN(TRIM('Raw Data'!E107))=0),_xlfn.REGEXEXTRACT(CELL("address",'Raw Data'!E107),"\$([A-Z]+)\$[0-9]+"),""),"")</f>
        <v/>
      </c>
      <c r="F107" s="5"/>
      <c r="G107" s="5"/>
      <c r="H107" s="5" t="str" cm="1">
        <f t="array" aca="1" ref="H107" ca="1">IFERROR(IF(OR('Raw Data'!H107="",LEN(TRIM('Raw Data'!H107))=0),_xlfn.REGEXEXTRACT(CELL("address",'Raw Data'!H107),"\$([A-Z]+)\$[0-9]+"),""),"")</f>
        <v/>
      </c>
      <c r="I107" s="5"/>
      <c r="J107" s="5"/>
    </row>
    <row r="108" spans="2:10" x14ac:dyDescent="0.25">
      <c r="B108" s="5" t="str" cm="1">
        <f t="array" aca="1" ref="B108" ca="1">IFERROR(IF(OR('Raw Data'!B108="",LEN(TRIM('Raw Data'!B108))=0),_xlfn.REGEXEXTRACT(CELL("address",'Raw Data'!B108),"\$([A-Z]+)\$[0-9]+"),""),"")</f>
        <v/>
      </c>
      <c r="C108" s="5" t="str" cm="1">
        <f t="array" aca="1" ref="C108" ca="1">IFERROR(IF(OR('Raw Data'!C108="",LEN(TRIM('Raw Data'!C108))=0),_xlfn.REGEXEXTRACT(CELL("address",'Raw Data'!C108),"\$([A-Z]+)\$[0-9]+"),""),"")</f>
        <v/>
      </c>
      <c r="D108" s="5"/>
      <c r="E108" s="5" t="str" cm="1">
        <f t="array" aca="1" ref="E108" ca="1">IFERROR(IF(OR('Raw Data'!E108="",LEN(TRIM('Raw Data'!E108))=0),_xlfn.REGEXEXTRACT(CELL("address",'Raw Data'!E108),"\$([A-Z]+)\$[0-9]+"),""),"")</f>
        <v/>
      </c>
      <c r="F108" s="5"/>
      <c r="G108" s="5"/>
      <c r="H108" s="5" t="str" cm="1">
        <f t="array" aca="1" ref="H108" ca="1">IFERROR(IF(OR('Raw Data'!H108="",LEN(TRIM('Raw Data'!H108))=0),_xlfn.REGEXEXTRACT(CELL("address",'Raw Data'!H108),"\$([A-Z]+)\$[0-9]+"),""),"")</f>
        <v/>
      </c>
      <c r="I108" s="5"/>
      <c r="J108" s="5"/>
    </row>
    <row r="109" spans="2:10" x14ac:dyDescent="0.25">
      <c r="B109" s="5" t="str" cm="1">
        <f t="array" aca="1" ref="B109" ca="1">IFERROR(IF(OR('Raw Data'!B109="",LEN(TRIM('Raw Data'!B109))=0),_xlfn.REGEXEXTRACT(CELL("address",'Raw Data'!B109),"\$([A-Z]+)\$[0-9]+"),""),"")</f>
        <v/>
      </c>
      <c r="C109" s="5" t="str" cm="1">
        <f t="array" aca="1" ref="C109" ca="1">IFERROR(IF(OR('Raw Data'!C109="",LEN(TRIM('Raw Data'!C109))=0),_xlfn.REGEXEXTRACT(CELL("address",'Raw Data'!C109),"\$([A-Z]+)\$[0-9]+"),""),"")</f>
        <v/>
      </c>
      <c r="D109" s="5"/>
      <c r="E109" s="5" t="str" cm="1">
        <f t="array" aca="1" ref="E109" ca="1">IFERROR(IF(OR('Raw Data'!E109="",LEN(TRIM('Raw Data'!E109))=0),_xlfn.REGEXEXTRACT(CELL("address",'Raw Data'!E109),"\$([A-Z]+)\$[0-9]+"),""),"")</f>
        <v/>
      </c>
      <c r="F109" s="5"/>
      <c r="G109" s="5"/>
      <c r="H109" s="5" t="str" cm="1">
        <f t="array" aca="1" ref="H109" ca="1">IFERROR(IF(OR('Raw Data'!H109="",LEN(TRIM('Raw Data'!H109))=0),_xlfn.REGEXEXTRACT(CELL("address",'Raw Data'!H109),"\$([A-Z]+)\$[0-9]+"),""),"")</f>
        <v/>
      </c>
      <c r="I109" s="5"/>
      <c r="J109" s="5"/>
    </row>
    <row r="110" spans="2:10" x14ac:dyDescent="0.25">
      <c r="B110" s="5" t="str" cm="1">
        <f t="array" aca="1" ref="B110" ca="1">IFERROR(IF(OR('Raw Data'!B110="",LEN(TRIM('Raw Data'!B110))=0),_xlfn.REGEXEXTRACT(CELL("address",'Raw Data'!B110),"\$([A-Z]+)\$[0-9]+"),""),"")</f>
        <v/>
      </c>
      <c r="C110" s="5" t="str" cm="1">
        <f t="array" aca="1" ref="C110" ca="1">IFERROR(IF(OR('Raw Data'!C110="",LEN(TRIM('Raw Data'!C110))=0),_xlfn.REGEXEXTRACT(CELL("address",'Raw Data'!C110),"\$([A-Z]+)\$[0-9]+"),""),"")</f>
        <v/>
      </c>
      <c r="D110" s="5"/>
      <c r="E110" s="5" t="str" cm="1">
        <f t="array" aca="1" ref="E110" ca="1">IFERROR(IF(OR('Raw Data'!E110="",LEN(TRIM('Raw Data'!E110))=0),_xlfn.REGEXEXTRACT(CELL("address",'Raw Data'!E110),"\$([A-Z]+)\$[0-9]+"),""),"")</f>
        <v/>
      </c>
      <c r="F110" s="5"/>
      <c r="G110" s="5"/>
      <c r="H110" s="5" t="str" cm="1">
        <f t="array" aca="1" ref="H110" ca="1">IFERROR(IF(OR('Raw Data'!H110="",LEN(TRIM('Raw Data'!H110))=0),_xlfn.REGEXEXTRACT(CELL("address",'Raw Data'!H110),"\$([A-Z]+)\$[0-9]+"),""),"")</f>
        <v/>
      </c>
      <c r="I110" s="5"/>
      <c r="J110" s="5"/>
    </row>
    <row r="111" spans="2:10" x14ac:dyDescent="0.25">
      <c r="B111" s="5" t="str" cm="1">
        <f t="array" aca="1" ref="B111" ca="1">IFERROR(IF(OR('Raw Data'!B111="",LEN(TRIM('Raw Data'!B111))=0),_xlfn.REGEXEXTRACT(CELL("address",'Raw Data'!B111),"\$([A-Z]+)\$[0-9]+"),""),"")</f>
        <v/>
      </c>
      <c r="C111" s="5" t="str" cm="1">
        <f t="array" aca="1" ref="C111" ca="1">IFERROR(IF(OR('Raw Data'!C111="",LEN(TRIM('Raw Data'!C111))=0),_xlfn.REGEXEXTRACT(CELL("address",'Raw Data'!C111),"\$([A-Z]+)\$[0-9]+"),""),"")</f>
        <v/>
      </c>
      <c r="D111" s="5"/>
      <c r="E111" s="5" t="str" cm="1">
        <f t="array" aca="1" ref="E111" ca="1">IFERROR(IF(OR('Raw Data'!E111="",LEN(TRIM('Raw Data'!E111))=0),_xlfn.REGEXEXTRACT(CELL("address",'Raw Data'!E111),"\$([A-Z]+)\$[0-9]+"),""),"")</f>
        <v/>
      </c>
      <c r="F111" s="5"/>
      <c r="G111" s="5"/>
      <c r="H111" s="5" t="str" cm="1">
        <f t="array" aca="1" ref="H111" ca="1">IFERROR(IF(OR('Raw Data'!H111="",LEN(TRIM('Raw Data'!H111))=0),_xlfn.REGEXEXTRACT(CELL("address",'Raw Data'!H111),"\$([A-Z]+)\$[0-9]+"),""),"")</f>
        <v/>
      </c>
      <c r="I111" s="5"/>
      <c r="J111" s="5"/>
    </row>
    <row r="112" spans="2:10" x14ac:dyDescent="0.25">
      <c r="B112" s="5" t="str" cm="1">
        <f t="array" aca="1" ref="B112" ca="1">IFERROR(IF(OR('Raw Data'!B112="",LEN(TRIM('Raw Data'!B112))=0),_xlfn.REGEXEXTRACT(CELL("address",'Raw Data'!B112),"\$([A-Z]+)\$[0-9]+"),""),"")</f>
        <v/>
      </c>
      <c r="C112" s="5" t="str" cm="1">
        <f t="array" aca="1" ref="C112" ca="1">IFERROR(IF(OR('Raw Data'!C112="",LEN(TRIM('Raw Data'!C112))=0),_xlfn.REGEXEXTRACT(CELL("address",'Raw Data'!C112),"\$([A-Z]+)\$[0-9]+"),""),"")</f>
        <v/>
      </c>
      <c r="D112" s="5"/>
      <c r="E112" s="5" t="str" cm="1">
        <f t="array" aca="1" ref="E112" ca="1">IFERROR(IF(OR('Raw Data'!E112="",LEN(TRIM('Raw Data'!E112))=0),_xlfn.REGEXEXTRACT(CELL("address",'Raw Data'!E112),"\$([A-Z]+)\$[0-9]+"),""),"")</f>
        <v/>
      </c>
      <c r="F112" s="5"/>
      <c r="G112" s="5"/>
      <c r="H112" s="5" t="str" cm="1">
        <f t="array" aca="1" ref="H112" ca="1">IFERROR(IF(OR('Raw Data'!H112="",LEN(TRIM('Raw Data'!H112))=0),_xlfn.REGEXEXTRACT(CELL("address",'Raw Data'!H112),"\$([A-Z]+)\$[0-9]+"),""),"")</f>
        <v/>
      </c>
      <c r="I112" s="5"/>
      <c r="J112" s="5"/>
    </row>
    <row r="113" spans="2:10" x14ac:dyDescent="0.25">
      <c r="B113" s="5" t="str" cm="1">
        <f t="array" aca="1" ref="B113" ca="1">IFERROR(IF(OR('Raw Data'!B113="",LEN(TRIM('Raw Data'!B113))=0),_xlfn.REGEXEXTRACT(CELL("address",'Raw Data'!B113),"\$([A-Z]+)\$[0-9]+"),""),"")</f>
        <v/>
      </c>
      <c r="C113" s="5" t="str" cm="1">
        <f t="array" aca="1" ref="C113" ca="1">IFERROR(IF(OR('Raw Data'!C113="",LEN(TRIM('Raw Data'!C113))=0),_xlfn.REGEXEXTRACT(CELL("address",'Raw Data'!C113),"\$([A-Z]+)\$[0-9]+"),""),"")</f>
        <v/>
      </c>
      <c r="D113" s="5"/>
      <c r="E113" s="5" t="str" cm="1">
        <f t="array" aca="1" ref="E113" ca="1">IFERROR(IF(OR('Raw Data'!E113="",LEN(TRIM('Raw Data'!E113))=0),_xlfn.REGEXEXTRACT(CELL("address",'Raw Data'!E113),"\$([A-Z]+)\$[0-9]+"),""),"")</f>
        <v/>
      </c>
      <c r="F113" s="5"/>
      <c r="G113" s="5"/>
      <c r="H113" s="5" t="str" cm="1">
        <f t="array" aca="1" ref="H113" ca="1">IFERROR(IF(OR('Raw Data'!H113="",LEN(TRIM('Raw Data'!H113))=0),_xlfn.REGEXEXTRACT(CELL("address",'Raw Data'!H113),"\$([A-Z]+)\$[0-9]+"),""),"")</f>
        <v/>
      </c>
      <c r="I113" s="5"/>
      <c r="J113" s="5"/>
    </row>
    <row r="114" spans="2:10" x14ac:dyDescent="0.25">
      <c r="B114" s="5" t="str" cm="1">
        <f t="array" aca="1" ref="B114" ca="1">IFERROR(IF(OR('Raw Data'!B114="",LEN(TRIM('Raw Data'!B114))=0),_xlfn.REGEXEXTRACT(CELL("address",'Raw Data'!B114),"\$([A-Z]+)\$[0-9]+"),""),"")</f>
        <v/>
      </c>
      <c r="C114" s="5" t="str" cm="1">
        <f t="array" aca="1" ref="C114" ca="1">IFERROR(IF(OR('Raw Data'!C114="",LEN(TRIM('Raw Data'!C114))=0),_xlfn.REGEXEXTRACT(CELL("address",'Raw Data'!C114),"\$([A-Z]+)\$[0-9]+"),""),"")</f>
        <v/>
      </c>
      <c r="D114" s="5"/>
      <c r="E114" s="5" t="str" cm="1">
        <f t="array" aca="1" ref="E114" ca="1">IFERROR(IF(OR('Raw Data'!E114="",LEN(TRIM('Raw Data'!E114))=0),_xlfn.REGEXEXTRACT(CELL("address",'Raw Data'!E114),"\$([A-Z]+)\$[0-9]+"),""),"")</f>
        <v/>
      </c>
      <c r="F114" s="5"/>
      <c r="G114" s="5"/>
      <c r="H114" s="5" t="str" cm="1">
        <f t="array" aca="1" ref="H114" ca="1">IFERROR(IF(OR('Raw Data'!H114="",LEN(TRIM('Raw Data'!H114))=0),_xlfn.REGEXEXTRACT(CELL("address",'Raw Data'!H114),"\$([A-Z]+)\$[0-9]+"),""),"")</f>
        <v/>
      </c>
      <c r="I114" s="5"/>
      <c r="J114" s="5"/>
    </row>
    <row r="115" spans="2:10" x14ac:dyDescent="0.25">
      <c r="B115" s="5" t="str" cm="1">
        <f t="array" aca="1" ref="B115" ca="1">IFERROR(IF(OR('Raw Data'!B115="",LEN(TRIM('Raw Data'!B115))=0),_xlfn.REGEXEXTRACT(CELL("address",'Raw Data'!B115),"\$([A-Z]+)\$[0-9]+"),""),"")</f>
        <v/>
      </c>
      <c r="C115" s="5" t="str" cm="1">
        <f t="array" aca="1" ref="C115" ca="1">IFERROR(IF(OR('Raw Data'!C115="",LEN(TRIM('Raw Data'!C115))=0),_xlfn.REGEXEXTRACT(CELL("address",'Raw Data'!C115),"\$([A-Z]+)\$[0-9]+"),""),"")</f>
        <v/>
      </c>
      <c r="D115" s="5"/>
      <c r="E115" s="5" t="str" cm="1">
        <f t="array" aca="1" ref="E115" ca="1">IFERROR(IF(OR('Raw Data'!E115="",LEN(TRIM('Raw Data'!E115))=0),_xlfn.REGEXEXTRACT(CELL("address",'Raw Data'!E115),"\$([A-Z]+)\$[0-9]+"),""),"")</f>
        <v/>
      </c>
      <c r="F115" s="5"/>
      <c r="G115" s="5"/>
      <c r="H115" s="5" t="str" cm="1">
        <f t="array" aca="1" ref="H115" ca="1">IFERROR(IF(OR('Raw Data'!H115="",LEN(TRIM('Raw Data'!H115))=0),_xlfn.REGEXEXTRACT(CELL("address",'Raw Data'!H115),"\$([A-Z]+)\$[0-9]+"),""),"")</f>
        <v/>
      </c>
      <c r="I115" s="5"/>
      <c r="J115" s="5"/>
    </row>
    <row r="116" spans="2:10" x14ac:dyDescent="0.25">
      <c r="B116" s="5" t="str" cm="1">
        <f t="array" aca="1" ref="B116" ca="1">IFERROR(IF(OR('Raw Data'!B116="",LEN(TRIM('Raw Data'!B116))=0),_xlfn.REGEXEXTRACT(CELL("address",'Raw Data'!B116),"\$([A-Z]+)\$[0-9]+"),""),"")</f>
        <v/>
      </c>
      <c r="C116" s="5" t="str" cm="1">
        <f t="array" aca="1" ref="C116" ca="1">IFERROR(IF(OR('Raw Data'!C116="",LEN(TRIM('Raw Data'!C116))=0),_xlfn.REGEXEXTRACT(CELL("address",'Raw Data'!C116),"\$([A-Z]+)\$[0-9]+"),""),"")</f>
        <v/>
      </c>
      <c r="D116" s="5"/>
      <c r="E116" s="5" t="str" cm="1">
        <f t="array" aca="1" ref="E116" ca="1">IFERROR(IF(OR('Raw Data'!E116="",LEN(TRIM('Raw Data'!E116))=0),_xlfn.REGEXEXTRACT(CELL("address",'Raw Data'!E116),"\$([A-Z]+)\$[0-9]+"),""),"")</f>
        <v/>
      </c>
      <c r="F116" s="5"/>
      <c r="G116" s="5"/>
      <c r="H116" s="5" t="str" cm="1">
        <f t="array" aca="1" ref="H116" ca="1">IFERROR(IF(OR('Raw Data'!H116="",LEN(TRIM('Raw Data'!H116))=0),_xlfn.REGEXEXTRACT(CELL("address",'Raw Data'!H116),"\$([A-Z]+)\$[0-9]+"),""),"")</f>
        <v/>
      </c>
      <c r="I116" s="5"/>
      <c r="J116" s="5"/>
    </row>
    <row r="117" spans="2:10" x14ac:dyDescent="0.25">
      <c r="B117" s="5" t="str" cm="1">
        <f t="array" aca="1" ref="B117" ca="1">IFERROR(IF(OR('Raw Data'!B117="",LEN(TRIM('Raw Data'!B117))=0),_xlfn.REGEXEXTRACT(CELL("address",'Raw Data'!B117),"\$([A-Z]+)\$[0-9]+"),""),"")</f>
        <v/>
      </c>
      <c r="C117" s="5" t="str" cm="1">
        <f t="array" aca="1" ref="C117" ca="1">IFERROR(IF(OR('Raw Data'!C117="",LEN(TRIM('Raw Data'!C117))=0),_xlfn.REGEXEXTRACT(CELL("address",'Raw Data'!C117),"\$([A-Z]+)\$[0-9]+"),""),"")</f>
        <v/>
      </c>
      <c r="D117" s="5"/>
      <c r="E117" s="5" t="str" cm="1">
        <f t="array" aca="1" ref="E117" ca="1">IFERROR(IF(OR('Raw Data'!E117="",LEN(TRIM('Raw Data'!E117))=0),_xlfn.REGEXEXTRACT(CELL("address",'Raw Data'!E117),"\$([A-Z]+)\$[0-9]+"),""),"")</f>
        <v/>
      </c>
      <c r="F117" s="5"/>
      <c r="G117" s="5"/>
      <c r="H117" s="5" t="str" cm="1">
        <f t="array" aca="1" ref="H117" ca="1">IFERROR(IF(OR('Raw Data'!H117="",LEN(TRIM('Raw Data'!H117))=0),_xlfn.REGEXEXTRACT(CELL("address",'Raw Data'!H117),"\$([A-Z]+)\$[0-9]+"),""),"")</f>
        <v/>
      </c>
      <c r="I117" s="5"/>
      <c r="J117" s="5"/>
    </row>
    <row r="118" spans="2:10" x14ac:dyDescent="0.25">
      <c r="B118" s="5" t="str" cm="1">
        <f t="array" aca="1" ref="B118" ca="1">IFERROR(IF(OR('Raw Data'!B118="",LEN(TRIM('Raw Data'!B118))=0),_xlfn.REGEXEXTRACT(CELL("address",'Raw Data'!B118),"\$([A-Z]+)\$[0-9]+"),""),"")</f>
        <v/>
      </c>
      <c r="C118" s="5" t="str" cm="1">
        <f t="array" aca="1" ref="C118" ca="1">IFERROR(IF(OR('Raw Data'!C118="",LEN(TRIM('Raw Data'!C118))=0),_xlfn.REGEXEXTRACT(CELL("address",'Raw Data'!C118),"\$([A-Z]+)\$[0-9]+"),""),"")</f>
        <v/>
      </c>
      <c r="D118" s="5"/>
      <c r="E118" s="5" t="str" cm="1">
        <f t="array" aca="1" ref="E118" ca="1">IFERROR(IF(OR('Raw Data'!E118="",LEN(TRIM('Raw Data'!E118))=0),_xlfn.REGEXEXTRACT(CELL("address",'Raw Data'!E118),"\$([A-Z]+)\$[0-9]+"),""),"")</f>
        <v/>
      </c>
      <c r="F118" s="5"/>
      <c r="G118" s="5"/>
      <c r="H118" s="5" t="str" cm="1">
        <f t="array" aca="1" ref="H118" ca="1">IFERROR(IF(OR('Raw Data'!H118="",LEN(TRIM('Raw Data'!H118))=0),_xlfn.REGEXEXTRACT(CELL("address",'Raw Data'!H118),"\$([A-Z]+)\$[0-9]+"),""),"")</f>
        <v/>
      </c>
      <c r="I118" s="5"/>
      <c r="J118" s="5"/>
    </row>
    <row r="119" spans="2:10" x14ac:dyDescent="0.25">
      <c r="B119" s="5" t="str" cm="1">
        <f t="array" aca="1" ref="B119" ca="1">IFERROR(IF(OR('Raw Data'!B119="",LEN(TRIM('Raw Data'!B119))=0),_xlfn.REGEXEXTRACT(CELL("address",'Raw Data'!B119),"\$([A-Z]+)\$[0-9]+"),""),"")</f>
        <v/>
      </c>
      <c r="C119" s="5" t="str" cm="1">
        <f t="array" aca="1" ref="C119" ca="1">IFERROR(IF(OR('Raw Data'!C119="",LEN(TRIM('Raw Data'!C119))=0),_xlfn.REGEXEXTRACT(CELL("address",'Raw Data'!C119),"\$([A-Z]+)\$[0-9]+"),""),"")</f>
        <v/>
      </c>
      <c r="D119" s="5"/>
      <c r="E119" s="5" t="str" cm="1">
        <f t="array" aca="1" ref="E119" ca="1">IFERROR(IF(OR('Raw Data'!E119="",LEN(TRIM('Raw Data'!E119))=0),_xlfn.REGEXEXTRACT(CELL("address",'Raw Data'!E119),"\$([A-Z]+)\$[0-9]+"),""),"")</f>
        <v/>
      </c>
      <c r="F119" s="5"/>
      <c r="G119" s="5"/>
      <c r="H119" s="5" t="str" cm="1">
        <f t="array" aca="1" ref="H119" ca="1">IFERROR(IF(OR('Raw Data'!H119="",LEN(TRIM('Raw Data'!H119))=0),_xlfn.REGEXEXTRACT(CELL("address",'Raw Data'!H119),"\$([A-Z]+)\$[0-9]+"),""),"")</f>
        <v/>
      </c>
      <c r="I119" s="5"/>
      <c r="J119" s="5"/>
    </row>
    <row r="120" spans="2:10" x14ac:dyDescent="0.25">
      <c r="B120" s="5" t="str" cm="1">
        <f t="array" aca="1" ref="B120" ca="1">IFERROR(IF(OR('Raw Data'!B120="",LEN(TRIM('Raw Data'!B120))=0),_xlfn.REGEXEXTRACT(CELL("address",'Raw Data'!B120),"\$([A-Z]+)\$[0-9]+"),""),"")</f>
        <v/>
      </c>
      <c r="C120" s="5" t="str" cm="1">
        <f t="array" aca="1" ref="C120" ca="1">IFERROR(IF(OR('Raw Data'!C120="",LEN(TRIM('Raw Data'!C120))=0),_xlfn.REGEXEXTRACT(CELL("address",'Raw Data'!C120),"\$([A-Z]+)\$[0-9]+"),""),"")</f>
        <v/>
      </c>
      <c r="D120" s="5"/>
      <c r="E120" s="5" t="str" cm="1">
        <f t="array" aca="1" ref="E120" ca="1">IFERROR(IF(OR('Raw Data'!E120="",LEN(TRIM('Raw Data'!E120))=0),_xlfn.REGEXEXTRACT(CELL("address",'Raw Data'!E120),"\$([A-Z]+)\$[0-9]+"),""),"")</f>
        <v/>
      </c>
      <c r="F120" s="5"/>
      <c r="G120" s="5"/>
      <c r="H120" s="5" t="str" cm="1">
        <f t="array" aca="1" ref="H120" ca="1">IFERROR(IF(OR('Raw Data'!H120="",LEN(TRIM('Raw Data'!H120))=0),_xlfn.REGEXEXTRACT(CELL("address",'Raw Data'!H120),"\$([A-Z]+)\$[0-9]+"),""),"")</f>
        <v/>
      </c>
      <c r="I120" s="5"/>
      <c r="J120" s="5"/>
    </row>
    <row r="121" spans="2:10" x14ac:dyDescent="0.25">
      <c r="B121" s="5" t="str" cm="1">
        <f t="array" aca="1" ref="B121" ca="1">IFERROR(IF(OR('Raw Data'!B121="",LEN(TRIM('Raw Data'!B121))=0),_xlfn.REGEXEXTRACT(CELL("address",'Raw Data'!B121),"\$([A-Z]+)\$[0-9]+"),""),"")</f>
        <v/>
      </c>
      <c r="C121" s="5" t="str" cm="1">
        <f t="array" aca="1" ref="C121" ca="1">IFERROR(IF(OR('Raw Data'!C121="",LEN(TRIM('Raw Data'!C121))=0),_xlfn.REGEXEXTRACT(CELL("address",'Raw Data'!C121),"\$([A-Z]+)\$[0-9]+"),""),"")</f>
        <v/>
      </c>
      <c r="D121" s="5"/>
      <c r="E121" s="5" t="str" cm="1">
        <f t="array" aca="1" ref="E121" ca="1">IFERROR(IF(OR('Raw Data'!E121="",LEN(TRIM('Raw Data'!E121))=0),_xlfn.REGEXEXTRACT(CELL("address",'Raw Data'!E121),"\$([A-Z]+)\$[0-9]+"),""),"")</f>
        <v/>
      </c>
      <c r="F121" s="5"/>
      <c r="G121" s="5"/>
      <c r="H121" s="5" t="str" cm="1">
        <f t="array" aca="1" ref="H121" ca="1">IFERROR(IF(OR('Raw Data'!H121="",LEN(TRIM('Raw Data'!H121))=0),_xlfn.REGEXEXTRACT(CELL("address",'Raw Data'!H121),"\$([A-Z]+)\$[0-9]+"),""),"")</f>
        <v/>
      </c>
      <c r="I121" s="5"/>
      <c r="J121" s="5"/>
    </row>
    <row r="122" spans="2:10" x14ac:dyDescent="0.25">
      <c r="B122" s="5" t="str" cm="1">
        <f t="array" aca="1" ref="B122" ca="1">IFERROR(IF(OR('Raw Data'!B122="",LEN(TRIM('Raw Data'!B122))=0),_xlfn.REGEXEXTRACT(CELL("address",'Raw Data'!B122),"\$([A-Z]+)\$[0-9]+"),""),"")</f>
        <v/>
      </c>
      <c r="C122" s="5" t="str" cm="1">
        <f t="array" aca="1" ref="C122" ca="1">IFERROR(IF(OR('Raw Data'!C122="",LEN(TRIM('Raw Data'!C122))=0),_xlfn.REGEXEXTRACT(CELL("address",'Raw Data'!C122),"\$([A-Z]+)\$[0-9]+"),""),"")</f>
        <v/>
      </c>
      <c r="D122" s="5"/>
      <c r="E122" s="5" t="str" cm="1">
        <f t="array" aca="1" ref="E122" ca="1">IFERROR(IF(OR('Raw Data'!E122="",LEN(TRIM('Raw Data'!E122))=0),_xlfn.REGEXEXTRACT(CELL("address",'Raw Data'!E122),"\$([A-Z]+)\$[0-9]+"),""),"")</f>
        <v/>
      </c>
      <c r="F122" s="5"/>
      <c r="G122" s="5"/>
      <c r="H122" s="5" t="str" cm="1">
        <f t="array" aca="1" ref="H122" ca="1">IFERROR(IF(OR('Raw Data'!H122="",LEN(TRIM('Raw Data'!H122))=0),_xlfn.REGEXEXTRACT(CELL("address",'Raw Data'!H122),"\$([A-Z]+)\$[0-9]+"),""),"")</f>
        <v/>
      </c>
      <c r="I122" s="5"/>
      <c r="J122" s="5"/>
    </row>
    <row r="123" spans="2:10" x14ac:dyDescent="0.25">
      <c r="B123" s="5" t="str" cm="1">
        <f t="array" aca="1" ref="B123" ca="1">IFERROR(IF(OR('Raw Data'!B123="",LEN(TRIM('Raw Data'!B123))=0),_xlfn.REGEXEXTRACT(CELL("address",'Raw Data'!B123),"\$([A-Z]+)\$[0-9]+"),""),"")</f>
        <v/>
      </c>
      <c r="C123" s="5" t="str" cm="1">
        <f t="array" aca="1" ref="C123" ca="1">IFERROR(IF(OR('Raw Data'!C123="",LEN(TRIM('Raw Data'!C123))=0),_xlfn.REGEXEXTRACT(CELL("address",'Raw Data'!C123),"\$([A-Z]+)\$[0-9]+"),""),"")</f>
        <v/>
      </c>
      <c r="D123" s="5"/>
      <c r="E123" s="5" t="str" cm="1">
        <f t="array" aca="1" ref="E123" ca="1">IFERROR(IF(OR('Raw Data'!E123="",LEN(TRIM('Raw Data'!E123))=0),_xlfn.REGEXEXTRACT(CELL("address",'Raw Data'!E123),"\$([A-Z]+)\$[0-9]+"),""),"")</f>
        <v/>
      </c>
      <c r="F123" s="5"/>
      <c r="G123" s="5"/>
      <c r="H123" s="5" t="str" cm="1">
        <f t="array" aca="1" ref="H123" ca="1">IFERROR(IF(OR('Raw Data'!H123="",LEN(TRIM('Raw Data'!H123))=0),_xlfn.REGEXEXTRACT(CELL("address",'Raw Data'!H123),"\$([A-Z]+)\$[0-9]+"),""),"")</f>
        <v/>
      </c>
      <c r="I123" s="5"/>
      <c r="J123" s="5"/>
    </row>
    <row r="124" spans="2:10" x14ac:dyDescent="0.25">
      <c r="B124" s="5" t="str" cm="1">
        <f t="array" aca="1" ref="B124" ca="1">IFERROR(IF(OR('Raw Data'!B124="",LEN(TRIM('Raw Data'!B124))=0),_xlfn.REGEXEXTRACT(CELL("address",'Raw Data'!B124),"\$([A-Z]+)\$[0-9]+"),""),"")</f>
        <v/>
      </c>
      <c r="C124" s="5" t="str" cm="1">
        <f t="array" aca="1" ref="C124" ca="1">IFERROR(IF(OR('Raw Data'!C124="",LEN(TRIM('Raw Data'!C124))=0),_xlfn.REGEXEXTRACT(CELL("address",'Raw Data'!C124),"\$([A-Z]+)\$[0-9]+"),""),"")</f>
        <v/>
      </c>
      <c r="D124" s="5"/>
      <c r="E124" s="5" t="str" cm="1">
        <f t="array" aca="1" ref="E124" ca="1">IFERROR(IF(OR('Raw Data'!E124="",LEN(TRIM('Raw Data'!E124))=0),_xlfn.REGEXEXTRACT(CELL("address",'Raw Data'!E124),"\$([A-Z]+)\$[0-9]+"),""),"")</f>
        <v/>
      </c>
      <c r="F124" s="5"/>
      <c r="G124" s="5"/>
      <c r="H124" s="5" t="str" cm="1">
        <f t="array" aca="1" ref="H124" ca="1">IFERROR(IF(OR('Raw Data'!H124="",LEN(TRIM('Raw Data'!H124))=0),_xlfn.REGEXEXTRACT(CELL("address",'Raw Data'!H124),"\$([A-Z]+)\$[0-9]+"),""),"")</f>
        <v/>
      </c>
      <c r="I124" s="5"/>
      <c r="J124" s="5"/>
    </row>
    <row r="125" spans="2:10" x14ac:dyDescent="0.25">
      <c r="B125" s="5" t="str" cm="1">
        <f t="array" aca="1" ref="B125" ca="1">IFERROR(IF(OR('Raw Data'!B125="",LEN(TRIM('Raw Data'!B125))=0),_xlfn.REGEXEXTRACT(CELL("address",'Raw Data'!B125),"\$([A-Z]+)\$[0-9]+"),""),"")</f>
        <v/>
      </c>
      <c r="C125" s="5" t="str" cm="1">
        <f t="array" aca="1" ref="C125" ca="1">IFERROR(IF(OR('Raw Data'!C125="",LEN(TRIM('Raw Data'!C125))=0),_xlfn.REGEXEXTRACT(CELL("address",'Raw Data'!C125),"\$([A-Z]+)\$[0-9]+"),""),"")</f>
        <v/>
      </c>
      <c r="D125" s="5"/>
      <c r="E125" s="5" t="str" cm="1">
        <f t="array" aca="1" ref="E125" ca="1">IFERROR(IF(OR('Raw Data'!E125="",LEN(TRIM('Raw Data'!E125))=0),_xlfn.REGEXEXTRACT(CELL("address",'Raw Data'!E125),"\$([A-Z]+)\$[0-9]+"),""),"")</f>
        <v/>
      </c>
      <c r="F125" s="5"/>
      <c r="G125" s="5"/>
      <c r="H125" s="5" t="str" cm="1">
        <f t="array" aca="1" ref="H125" ca="1">IFERROR(IF(OR('Raw Data'!H125="",LEN(TRIM('Raw Data'!H125))=0),_xlfn.REGEXEXTRACT(CELL("address",'Raw Data'!H125),"\$([A-Z]+)\$[0-9]+"),""),"")</f>
        <v/>
      </c>
      <c r="I125" s="5"/>
      <c r="J125" s="5"/>
    </row>
    <row r="126" spans="2:10" x14ac:dyDescent="0.25">
      <c r="B126" s="5" t="str" cm="1">
        <f t="array" aca="1" ref="B126" ca="1">IFERROR(IF(OR('Raw Data'!B126="",LEN(TRIM('Raw Data'!B126))=0),_xlfn.REGEXEXTRACT(CELL("address",'Raw Data'!B126),"\$([A-Z]+)\$[0-9]+"),""),"")</f>
        <v/>
      </c>
      <c r="C126" s="5" t="str" cm="1">
        <f t="array" aca="1" ref="C126" ca="1">IFERROR(IF(OR('Raw Data'!C126="",LEN(TRIM('Raw Data'!C126))=0),_xlfn.REGEXEXTRACT(CELL("address",'Raw Data'!C126),"\$([A-Z]+)\$[0-9]+"),""),"")</f>
        <v/>
      </c>
      <c r="D126" s="5"/>
      <c r="E126" s="5" t="str" cm="1">
        <f t="array" aca="1" ref="E126" ca="1">IFERROR(IF(OR('Raw Data'!E126="",LEN(TRIM('Raw Data'!E126))=0),_xlfn.REGEXEXTRACT(CELL("address",'Raw Data'!E126),"\$([A-Z]+)\$[0-9]+"),""),"")</f>
        <v/>
      </c>
      <c r="F126" s="5"/>
      <c r="G126" s="5"/>
      <c r="H126" s="5" t="str" cm="1">
        <f t="array" aca="1" ref="H126" ca="1">IFERROR(IF(OR('Raw Data'!H126="",LEN(TRIM('Raw Data'!H126))=0),_xlfn.REGEXEXTRACT(CELL("address",'Raw Data'!H126),"\$([A-Z]+)\$[0-9]+"),""),"")</f>
        <v/>
      </c>
      <c r="I126" s="5"/>
      <c r="J126" s="5"/>
    </row>
    <row r="127" spans="2:10" x14ac:dyDescent="0.25">
      <c r="B127" s="5" t="str" cm="1">
        <f t="array" aca="1" ref="B127" ca="1">IFERROR(IF(OR('Raw Data'!B127="",LEN(TRIM('Raw Data'!B127))=0),_xlfn.REGEXEXTRACT(CELL("address",'Raw Data'!B127),"\$([A-Z]+)\$[0-9]+"),""),"")</f>
        <v/>
      </c>
      <c r="C127" s="5" t="str" cm="1">
        <f t="array" aca="1" ref="C127" ca="1">IFERROR(IF(OR('Raw Data'!C127="",LEN(TRIM('Raw Data'!C127))=0),_xlfn.REGEXEXTRACT(CELL("address",'Raw Data'!C127),"\$([A-Z]+)\$[0-9]+"),""),"")</f>
        <v/>
      </c>
      <c r="D127" s="5"/>
      <c r="E127" s="5" t="str" cm="1">
        <f t="array" aca="1" ref="E127" ca="1">IFERROR(IF(OR('Raw Data'!E127="",LEN(TRIM('Raw Data'!E127))=0),_xlfn.REGEXEXTRACT(CELL("address",'Raw Data'!E127),"\$([A-Z]+)\$[0-9]+"),""),"")</f>
        <v/>
      </c>
      <c r="F127" s="5"/>
      <c r="G127" s="5"/>
      <c r="H127" s="5" t="str" cm="1">
        <f t="array" aca="1" ref="H127" ca="1">IFERROR(IF(OR('Raw Data'!H127="",LEN(TRIM('Raw Data'!H127))=0),_xlfn.REGEXEXTRACT(CELL("address",'Raw Data'!H127),"\$([A-Z]+)\$[0-9]+"),""),"")</f>
        <v/>
      </c>
      <c r="I127" s="5"/>
      <c r="J127" s="5"/>
    </row>
    <row r="128" spans="2:10" x14ac:dyDescent="0.25">
      <c r="B128" s="5" t="str" cm="1">
        <f t="array" aca="1" ref="B128" ca="1">IFERROR(IF(OR('Raw Data'!B128="",LEN(TRIM('Raw Data'!B128))=0),_xlfn.REGEXEXTRACT(CELL("address",'Raw Data'!B128),"\$([A-Z]+)\$[0-9]+"),""),"")</f>
        <v/>
      </c>
      <c r="C128" s="5" t="str" cm="1">
        <f t="array" aca="1" ref="C128" ca="1">IFERROR(IF(OR('Raw Data'!C128="",LEN(TRIM('Raw Data'!C128))=0),_xlfn.REGEXEXTRACT(CELL("address",'Raw Data'!C128),"\$([A-Z]+)\$[0-9]+"),""),"")</f>
        <v/>
      </c>
      <c r="D128" s="5"/>
      <c r="E128" s="5" t="str" cm="1">
        <f t="array" aca="1" ref="E128" ca="1">IFERROR(IF(OR('Raw Data'!E128="",LEN(TRIM('Raw Data'!E128))=0),_xlfn.REGEXEXTRACT(CELL("address",'Raw Data'!E128),"\$([A-Z]+)\$[0-9]+"),""),"")</f>
        <v/>
      </c>
      <c r="F128" s="5"/>
      <c r="G128" s="5"/>
      <c r="H128" s="5" t="str" cm="1">
        <f t="array" aca="1" ref="H128" ca="1">IFERROR(IF(OR('Raw Data'!H128="",LEN(TRIM('Raw Data'!H128))=0),_xlfn.REGEXEXTRACT(CELL("address",'Raw Data'!H128),"\$([A-Z]+)\$[0-9]+"),""),"")</f>
        <v/>
      </c>
      <c r="I128" s="5"/>
      <c r="J128" s="5"/>
    </row>
    <row r="129" spans="2:10" x14ac:dyDescent="0.25">
      <c r="B129" s="5" t="str" cm="1">
        <f t="array" aca="1" ref="B129" ca="1">IFERROR(IF(OR('Raw Data'!B129="",LEN(TRIM('Raw Data'!B129))=0),_xlfn.REGEXEXTRACT(CELL("address",'Raw Data'!B129),"\$([A-Z]+)\$[0-9]+"),""),"")</f>
        <v/>
      </c>
      <c r="C129" s="5" t="str" cm="1">
        <f t="array" aca="1" ref="C129" ca="1">IFERROR(IF(OR('Raw Data'!C129="",LEN(TRIM('Raw Data'!C129))=0),_xlfn.REGEXEXTRACT(CELL("address",'Raw Data'!C129),"\$([A-Z]+)\$[0-9]+"),""),"")</f>
        <v/>
      </c>
      <c r="D129" s="5"/>
      <c r="E129" s="5" t="str" cm="1">
        <f t="array" aca="1" ref="E129" ca="1">IFERROR(IF(OR('Raw Data'!E129="",LEN(TRIM('Raw Data'!E129))=0),_xlfn.REGEXEXTRACT(CELL("address",'Raw Data'!E129),"\$([A-Z]+)\$[0-9]+"),""),"")</f>
        <v/>
      </c>
      <c r="F129" s="5"/>
      <c r="G129" s="5"/>
      <c r="H129" s="5" t="str" cm="1">
        <f t="array" aca="1" ref="H129" ca="1">IFERROR(IF(OR('Raw Data'!H129="",LEN(TRIM('Raw Data'!H129))=0),_xlfn.REGEXEXTRACT(CELL("address",'Raw Data'!H129),"\$([A-Z]+)\$[0-9]+"),""),"")</f>
        <v/>
      </c>
      <c r="I129" s="5"/>
      <c r="J129" s="5"/>
    </row>
    <row r="130" spans="2:10" x14ac:dyDescent="0.25">
      <c r="B130" s="5" t="str" cm="1">
        <f t="array" aca="1" ref="B130" ca="1">IFERROR(IF(OR('Raw Data'!B130="",LEN(TRIM('Raw Data'!B130))=0),_xlfn.REGEXEXTRACT(CELL("address",'Raw Data'!B130),"\$([A-Z]+)\$[0-9]+"),""),"")</f>
        <v/>
      </c>
      <c r="C130" s="5" t="str" cm="1">
        <f t="array" aca="1" ref="C130" ca="1">IFERROR(IF(OR('Raw Data'!C130="",LEN(TRIM('Raw Data'!C130))=0),_xlfn.REGEXEXTRACT(CELL("address",'Raw Data'!C130),"\$([A-Z]+)\$[0-9]+"),""),"")</f>
        <v/>
      </c>
      <c r="D130" s="5"/>
      <c r="E130" s="5" t="str" cm="1">
        <f t="array" aca="1" ref="E130" ca="1">IFERROR(IF(OR('Raw Data'!E130="",LEN(TRIM('Raw Data'!E130))=0),_xlfn.REGEXEXTRACT(CELL("address",'Raw Data'!E130),"\$([A-Z]+)\$[0-9]+"),""),"")</f>
        <v/>
      </c>
      <c r="F130" s="5"/>
      <c r="G130" s="5"/>
      <c r="H130" s="5" t="str" cm="1">
        <f t="array" aca="1" ref="H130" ca="1">IFERROR(IF(OR('Raw Data'!H130="",LEN(TRIM('Raw Data'!H130))=0),_xlfn.REGEXEXTRACT(CELL("address",'Raw Data'!H130),"\$([A-Z]+)\$[0-9]+"),""),"")</f>
        <v/>
      </c>
      <c r="I130" s="5"/>
      <c r="J130" s="5"/>
    </row>
    <row r="131" spans="2:10" x14ac:dyDescent="0.25">
      <c r="B131" s="5" t="str" cm="1">
        <f t="array" aca="1" ref="B131" ca="1">IFERROR(IF(OR('Raw Data'!B131="",LEN(TRIM('Raw Data'!B131))=0),_xlfn.REGEXEXTRACT(CELL("address",'Raw Data'!B131),"\$([A-Z]+)\$[0-9]+"),""),"")</f>
        <v/>
      </c>
      <c r="C131" s="5" t="str" cm="1">
        <f t="array" aca="1" ref="C131" ca="1">IFERROR(IF(OR('Raw Data'!C131="",LEN(TRIM('Raw Data'!C131))=0),_xlfn.REGEXEXTRACT(CELL("address",'Raw Data'!C131),"\$([A-Z]+)\$[0-9]+"),""),"")</f>
        <v/>
      </c>
      <c r="D131" s="5"/>
      <c r="E131" s="5" t="str" cm="1">
        <f t="array" aca="1" ref="E131" ca="1">IFERROR(IF(OR('Raw Data'!E131="",LEN(TRIM('Raw Data'!E131))=0),_xlfn.REGEXEXTRACT(CELL("address",'Raw Data'!E131),"\$([A-Z]+)\$[0-9]+"),""),"")</f>
        <v/>
      </c>
      <c r="F131" s="5"/>
      <c r="G131" s="5"/>
      <c r="H131" s="5" t="str" cm="1">
        <f t="array" aca="1" ref="H131" ca="1">IFERROR(IF(OR('Raw Data'!H131="",LEN(TRIM('Raw Data'!H131))=0),_xlfn.REGEXEXTRACT(CELL("address",'Raw Data'!H131),"\$([A-Z]+)\$[0-9]+"),""),"")</f>
        <v/>
      </c>
      <c r="I131" s="5"/>
      <c r="J131" s="5"/>
    </row>
    <row r="132" spans="2:10" x14ac:dyDescent="0.25">
      <c r="B132" s="5" t="str" cm="1">
        <f t="array" aca="1" ref="B132" ca="1">IFERROR(IF(OR('Raw Data'!B132="",LEN(TRIM('Raw Data'!B132))=0),_xlfn.REGEXEXTRACT(CELL("address",'Raw Data'!B132),"\$([A-Z]+)\$[0-9]+"),""),"")</f>
        <v/>
      </c>
      <c r="C132" s="5" t="str" cm="1">
        <f t="array" aca="1" ref="C132" ca="1">IFERROR(IF(OR('Raw Data'!C132="",LEN(TRIM('Raw Data'!C132))=0),_xlfn.REGEXEXTRACT(CELL("address",'Raw Data'!C132),"\$([A-Z]+)\$[0-9]+"),""),"")</f>
        <v/>
      </c>
      <c r="D132" s="5"/>
      <c r="E132" s="5" t="str" cm="1">
        <f t="array" aca="1" ref="E132" ca="1">IFERROR(IF(OR('Raw Data'!E132="",LEN(TRIM('Raw Data'!E132))=0),_xlfn.REGEXEXTRACT(CELL("address",'Raw Data'!E132),"\$([A-Z]+)\$[0-9]+"),""),"")</f>
        <v/>
      </c>
      <c r="F132" s="5"/>
      <c r="G132" s="5"/>
      <c r="H132" s="5" t="str" cm="1">
        <f t="array" aca="1" ref="H132" ca="1">IFERROR(IF(OR('Raw Data'!H132="",LEN(TRIM('Raw Data'!H132))=0),_xlfn.REGEXEXTRACT(CELL("address",'Raw Data'!H132),"\$([A-Z]+)\$[0-9]+"),""),"")</f>
        <v/>
      </c>
      <c r="I132" s="5"/>
      <c r="J132" s="5"/>
    </row>
    <row r="133" spans="2:10" x14ac:dyDescent="0.25">
      <c r="B133" s="5" t="str" cm="1">
        <f t="array" aca="1" ref="B133" ca="1">IFERROR(IF(OR('Raw Data'!B133="",LEN(TRIM('Raw Data'!B133))=0),_xlfn.REGEXEXTRACT(CELL("address",'Raw Data'!B133),"\$([A-Z]+)\$[0-9]+"),""),"")</f>
        <v/>
      </c>
      <c r="C133" s="5" t="str" cm="1">
        <f t="array" aca="1" ref="C133" ca="1">IFERROR(IF(OR('Raw Data'!C133="",LEN(TRIM('Raw Data'!C133))=0),_xlfn.REGEXEXTRACT(CELL("address",'Raw Data'!C133),"\$([A-Z]+)\$[0-9]+"),""),"")</f>
        <v/>
      </c>
      <c r="D133" s="5"/>
      <c r="E133" s="5" t="str" cm="1">
        <f t="array" aca="1" ref="E133" ca="1">IFERROR(IF(OR('Raw Data'!E133="",LEN(TRIM('Raw Data'!E133))=0),_xlfn.REGEXEXTRACT(CELL("address",'Raw Data'!E133),"\$([A-Z]+)\$[0-9]+"),""),"")</f>
        <v/>
      </c>
      <c r="F133" s="5"/>
      <c r="G133" s="5"/>
      <c r="H133" s="5" t="str" cm="1">
        <f t="array" aca="1" ref="H133" ca="1">IFERROR(IF(OR('Raw Data'!H133="",LEN(TRIM('Raw Data'!H133))=0),_xlfn.REGEXEXTRACT(CELL("address",'Raw Data'!H133),"\$([A-Z]+)\$[0-9]+"),""),"")</f>
        <v/>
      </c>
      <c r="I133" s="5"/>
      <c r="J133" s="5"/>
    </row>
    <row r="134" spans="2:10" x14ac:dyDescent="0.25">
      <c r="B134" s="5" t="str" cm="1">
        <f t="array" aca="1" ref="B134" ca="1">IFERROR(IF(OR('Raw Data'!B134="",LEN(TRIM('Raw Data'!B134))=0),_xlfn.REGEXEXTRACT(CELL("address",'Raw Data'!B134),"\$([A-Z]+)\$[0-9]+"),""),"")</f>
        <v/>
      </c>
      <c r="C134" s="5" t="str" cm="1">
        <f t="array" aca="1" ref="C134" ca="1">IFERROR(IF(OR('Raw Data'!C134="",LEN(TRIM('Raw Data'!C134))=0),_xlfn.REGEXEXTRACT(CELL("address",'Raw Data'!C134),"\$([A-Z]+)\$[0-9]+"),""),"")</f>
        <v/>
      </c>
      <c r="D134" s="5"/>
      <c r="E134" s="5" t="str" cm="1">
        <f t="array" aca="1" ref="E134" ca="1">IFERROR(IF(OR('Raw Data'!E134="",LEN(TRIM('Raw Data'!E134))=0),_xlfn.REGEXEXTRACT(CELL("address",'Raw Data'!E134),"\$([A-Z]+)\$[0-9]+"),""),"")</f>
        <v/>
      </c>
      <c r="F134" s="5"/>
      <c r="G134" s="5"/>
      <c r="H134" s="5" t="str" cm="1">
        <f t="array" aca="1" ref="H134" ca="1">IFERROR(IF(OR('Raw Data'!H134="",LEN(TRIM('Raw Data'!H134))=0),_xlfn.REGEXEXTRACT(CELL("address",'Raw Data'!H134),"\$([A-Z]+)\$[0-9]+"),""),"")</f>
        <v/>
      </c>
      <c r="I134" s="5"/>
      <c r="J134" s="5"/>
    </row>
    <row r="135" spans="2:10" x14ac:dyDescent="0.25">
      <c r="B135" s="5" t="str" cm="1">
        <f t="array" aca="1" ref="B135" ca="1">IFERROR(IF(OR('Raw Data'!B135="",LEN(TRIM('Raw Data'!B135))=0),_xlfn.REGEXEXTRACT(CELL("address",'Raw Data'!B135),"\$([A-Z]+)\$[0-9]+"),""),"")</f>
        <v/>
      </c>
      <c r="C135" s="5" t="str" cm="1">
        <f t="array" aca="1" ref="C135" ca="1">IFERROR(IF(OR('Raw Data'!C135="",LEN(TRIM('Raw Data'!C135))=0),_xlfn.REGEXEXTRACT(CELL("address",'Raw Data'!C135),"\$([A-Z]+)\$[0-9]+"),""),"")</f>
        <v/>
      </c>
      <c r="D135" s="5"/>
      <c r="E135" s="5" t="str" cm="1">
        <f t="array" aca="1" ref="E135" ca="1">IFERROR(IF(OR('Raw Data'!E135="",LEN(TRIM('Raw Data'!E135))=0),_xlfn.REGEXEXTRACT(CELL("address",'Raw Data'!E135),"\$([A-Z]+)\$[0-9]+"),""),"")</f>
        <v/>
      </c>
      <c r="F135" s="5"/>
      <c r="G135" s="5"/>
      <c r="H135" s="5" t="str" cm="1">
        <f t="array" aca="1" ref="H135" ca="1">IFERROR(IF(OR('Raw Data'!H135="",LEN(TRIM('Raw Data'!H135))=0),_xlfn.REGEXEXTRACT(CELL("address",'Raw Data'!H135),"\$([A-Z]+)\$[0-9]+"),""),"")</f>
        <v/>
      </c>
      <c r="I135" s="5"/>
      <c r="J135" s="5"/>
    </row>
    <row r="136" spans="2:10" x14ac:dyDescent="0.25">
      <c r="B136" s="5" t="str" cm="1">
        <f t="array" aca="1" ref="B136" ca="1">IFERROR(IF(OR('Raw Data'!B136="",LEN(TRIM('Raw Data'!B136))=0),_xlfn.REGEXEXTRACT(CELL("address",'Raw Data'!B136),"\$([A-Z]+)\$[0-9]+"),""),"")</f>
        <v/>
      </c>
      <c r="C136" s="5" t="str" cm="1">
        <f t="array" aca="1" ref="C136" ca="1">IFERROR(IF(OR('Raw Data'!C136="",LEN(TRIM('Raw Data'!C136))=0),_xlfn.REGEXEXTRACT(CELL("address",'Raw Data'!C136),"\$([A-Z]+)\$[0-9]+"),""),"")</f>
        <v/>
      </c>
      <c r="D136" s="5"/>
      <c r="E136" s="5" t="str" cm="1">
        <f t="array" aca="1" ref="E136" ca="1">IFERROR(IF(OR('Raw Data'!E136="",LEN(TRIM('Raw Data'!E136))=0),_xlfn.REGEXEXTRACT(CELL("address",'Raw Data'!E136),"\$([A-Z]+)\$[0-9]+"),""),"")</f>
        <v/>
      </c>
      <c r="F136" s="5"/>
      <c r="G136" s="5"/>
      <c r="H136" s="5" t="str" cm="1">
        <f t="array" aca="1" ref="H136" ca="1">IFERROR(IF(OR('Raw Data'!H136="",LEN(TRIM('Raw Data'!H136))=0),_xlfn.REGEXEXTRACT(CELL("address",'Raw Data'!H136),"\$([A-Z]+)\$[0-9]+"),""),"")</f>
        <v/>
      </c>
      <c r="I136" s="5"/>
      <c r="J136" s="5"/>
    </row>
    <row r="137" spans="2:10" x14ac:dyDescent="0.25">
      <c r="B137" s="5" t="str" cm="1">
        <f t="array" aca="1" ref="B137" ca="1">IFERROR(IF(OR('Raw Data'!B137="",LEN(TRIM('Raw Data'!B137))=0),_xlfn.REGEXEXTRACT(CELL("address",'Raw Data'!B137),"\$([A-Z]+)\$[0-9]+"),""),"")</f>
        <v/>
      </c>
      <c r="C137" s="5" t="str" cm="1">
        <f t="array" aca="1" ref="C137" ca="1">IFERROR(IF(OR('Raw Data'!C137="",LEN(TRIM('Raw Data'!C137))=0),_xlfn.REGEXEXTRACT(CELL("address",'Raw Data'!C137),"\$([A-Z]+)\$[0-9]+"),""),"")</f>
        <v/>
      </c>
      <c r="D137" s="5"/>
      <c r="E137" s="5" t="str" cm="1">
        <f t="array" aca="1" ref="E137" ca="1">IFERROR(IF(OR('Raw Data'!E137="",LEN(TRIM('Raw Data'!E137))=0),_xlfn.REGEXEXTRACT(CELL("address",'Raw Data'!E137),"\$([A-Z]+)\$[0-9]+"),""),"")</f>
        <v/>
      </c>
      <c r="F137" s="5"/>
      <c r="G137" s="5"/>
      <c r="H137" s="5" t="str" cm="1">
        <f t="array" aca="1" ref="H137" ca="1">IFERROR(IF(OR('Raw Data'!H137="",LEN(TRIM('Raw Data'!H137))=0),_xlfn.REGEXEXTRACT(CELL("address",'Raw Data'!H137),"\$([A-Z]+)\$[0-9]+"),""),"")</f>
        <v/>
      </c>
      <c r="I137" s="5"/>
      <c r="J137" s="5"/>
    </row>
    <row r="138" spans="2:10" x14ac:dyDescent="0.25">
      <c r="B138" s="5" t="str" cm="1">
        <f t="array" aca="1" ref="B138" ca="1">IFERROR(IF(OR('Raw Data'!B138="",LEN(TRIM('Raw Data'!B138))=0),_xlfn.REGEXEXTRACT(CELL("address",'Raw Data'!B138),"\$([A-Z]+)\$[0-9]+"),""),"")</f>
        <v/>
      </c>
      <c r="C138" s="5" t="str" cm="1">
        <f t="array" aca="1" ref="C138" ca="1">IFERROR(IF(OR('Raw Data'!C138="",LEN(TRIM('Raw Data'!C138))=0),_xlfn.REGEXEXTRACT(CELL("address",'Raw Data'!C138),"\$([A-Z]+)\$[0-9]+"),""),"")</f>
        <v/>
      </c>
      <c r="D138" s="5"/>
      <c r="E138" s="5" t="str" cm="1">
        <f t="array" aca="1" ref="E138" ca="1">IFERROR(IF(OR('Raw Data'!E138="",LEN(TRIM('Raw Data'!E138))=0),_xlfn.REGEXEXTRACT(CELL("address",'Raw Data'!E138),"\$([A-Z]+)\$[0-9]+"),""),"")</f>
        <v/>
      </c>
      <c r="F138" s="5"/>
      <c r="G138" s="5"/>
      <c r="H138" s="5" t="str" cm="1">
        <f t="array" aca="1" ref="H138" ca="1">IFERROR(IF(OR('Raw Data'!H138="",LEN(TRIM('Raw Data'!H138))=0),_xlfn.REGEXEXTRACT(CELL("address",'Raw Data'!H138),"\$([A-Z]+)\$[0-9]+"),""),"")</f>
        <v/>
      </c>
      <c r="I138" s="5"/>
      <c r="J138" s="5"/>
    </row>
    <row r="139" spans="2:10" x14ac:dyDescent="0.25">
      <c r="B139" s="5" t="str" cm="1">
        <f t="array" aca="1" ref="B139" ca="1">IFERROR(IF(OR('Raw Data'!B139="",LEN(TRIM('Raw Data'!B139))=0),_xlfn.REGEXEXTRACT(CELL("address",'Raw Data'!B139),"\$([A-Z]+)\$[0-9]+"),""),"")</f>
        <v/>
      </c>
      <c r="C139" s="5" t="str" cm="1">
        <f t="array" aca="1" ref="C139" ca="1">IFERROR(IF(OR('Raw Data'!C139="",LEN(TRIM('Raw Data'!C139))=0),_xlfn.REGEXEXTRACT(CELL("address",'Raw Data'!C139),"\$([A-Z]+)\$[0-9]+"),""),"")</f>
        <v/>
      </c>
      <c r="D139" s="5"/>
      <c r="E139" s="5" t="str" cm="1">
        <f t="array" aca="1" ref="E139" ca="1">IFERROR(IF(OR('Raw Data'!E139="",LEN(TRIM('Raw Data'!E139))=0),_xlfn.REGEXEXTRACT(CELL("address",'Raw Data'!E139),"\$([A-Z]+)\$[0-9]+"),""),"")</f>
        <v/>
      </c>
      <c r="F139" s="5"/>
      <c r="G139" s="5"/>
      <c r="H139" s="5" t="str" cm="1">
        <f t="array" aca="1" ref="H139" ca="1">IFERROR(IF(OR('Raw Data'!H139="",LEN(TRIM('Raw Data'!H139))=0),_xlfn.REGEXEXTRACT(CELL("address",'Raw Data'!H139),"\$([A-Z]+)\$[0-9]+"),""),"")</f>
        <v/>
      </c>
      <c r="I139" s="5"/>
      <c r="J139" s="5"/>
    </row>
    <row r="140" spans="2:10" x14ac:dyDescent="0.25">
      <c r="B140" s="5" t="str" cm="1">
        <f t="array" aca="1" ref="B140" ca="1">IFERROR(IF(OR('Raw Data'!B140="",LEN(TRIM('Raw Data'!B140))=0),_xlfn.REGEXEXTRACT(CELL("address",'Raw Data'!B140),"\$([A-Z]+)\$[0-9]+"),""),"")</f>
        <v/>
      </c>
      <c r="C140" s="5" t="str" cm="1">
        <f t="array" aca="1" ref="C140" ca="1">IFERROR(IF(OR('Raw Data'!C140="",LEN(TRIM('Raw Data'!C140))=0),_xlfn.REGEXEXTRACT(CELL("address",'Raw Data'!C140),"\$([A-Z]+)\$[0-9]+"),""),"")</f>
        <v/>
      </c>
      <c r="D140" s="5"/>
      <c r="E140" s="5" t="str" cm="1">
        <f t="array" aca="1" ref="E140" ca="1">IFERROR(IF(OR('Raw Data'!E140="",LEN(TRIM('Raw Data'!E140))=0),_xlfn.REGEXEXTRACT(CELL("address",'Raw Data'!E140),"\$([A-Z]+)\$[0-9]+"),""),"")</f>
        <v/>
      </c>
      <c r="F140" s="5"/>
      <c r="G140" s="5"/>
      <c r="H140" s="5" t="str" cm="1">
        <f t="array" aca="1" ref="H140" ca="1">IFERROR(IF(OR('Raw Data'!H140="",LEN(TRIM('Raw Data'!H140))=0),_xlfn.REGEXEXTRACT(CELL("address",'Raw Data'!H140),"\$([A-Z]+)\$[0-9]+"),""),"")</f>
        <v/>
      </c>
      <c r="I140" s="5"/>
      <c r="J140" s="5"/>
    </row>
    <row r="141" spans="2:10" x14ac:dyDescent="0.25">
      <c r="B141" s="5" t="str" cm="1">
        <f t="array" aca="1" ref="B141" ca="1">IFERROR(IF(OR('Raw Data'!B141="",LEN(TRIM('Raw Data'!B141))=0),_xlfn.REGEXEXTRACT(CELL("address",'Raw Data'!B141),"\$([A-Z]+)\$[0-9]+"),""),"")</f>
        <v/>
      </c>
      <c r="C141" s="5" t="str" cm="1">
        <f t="array" aca="1" ref="C141" ca="1">IFERROR(IF(OR('Raw Data'!C141="",LEN(TRIM('Raw Data'!C141))=0),_xlfn.REGEXEXTRACT(CELL("address",'Raw Data'!C141),"\$([A-Z]+)\$[0-9]+"),""),"")</f>
        <v/>
      </c>
      <c r="D141" s="5"/>
      <c r="E141" s="5" t="str" cm="1">
        <f t="array" aca="1" ref="E141" ca="1">IFERROR(IF(OR('Raw Data'!E141="",LEN(TRIM('Raw Data'!E141))=0),_xlfn.REGEXEXTRACT(CELL("address",'Raw Data'!E141),"\$([A-Z]+)\$[0-9]+"),""),"")</f>
        <v/>
      </c>
      <c r="F141" s="5"/>
      <c r="G141" s="5"/>
      <c r="H141" s="5" t="str" cm="1">
        <f t="array" aca="1" ref="H141" ca="1">IFERROR(IF(OR('Raw Data'!H141="",LEN(TRIM('Raw Data'!H141))=0),_xlfn.REGEXEXTRACT(CELL("address",'Raw Data'!H141),"\$([A-Z]+)\$[0-9]+"),""),"")</f>
        <v/>
      </c>
      <c r="I141" s="5"/>
      <c r="J141" s="5"/>
    </row>
    <row r="142" spans="2:10" x14ac:dyDescent="0.25">
      <c r="B142" s="5" t="str" cm="1">
        <f t="array" aca="1" ref="B142" ca="1">IFERROR(IF(OR('Raw Data'!B142="",LEN(TRIM('Raw Data'!B142))=0),_xlfn.REGEXEXTRACT(CELL("address",'Raw Data'!B142),"\$([A-Z]+)\$[0-9]+"),""),"")</f>
        <v/>
      </c>
      <c r="C142" s="5" t="str" cm="1">
        <f t="array" aca="1" ref="C142" ca="1">IFERROR(IF(OR('Raw Data'!C142="",LEN(TRIM('Raw Data'!C142))=0),_xlfn.REGEXEXTRACT(CELL("address",'Raw Data'!C142),"\$([A-Z]+)\$[0-9]+"),""),"")</f>
        <v/>
      </c>
      <c r="D142" s="5"/>
      <c r="E142" s="5" t="str" cm="1">
        <f t="array" aca="1" ref="E142" ca="1">IFERROR(IF(OR('Raw Data'!E142="",LEN(TRIM('Raw Data'!E142))=0),_xlfn.REGEXEXTRACT(CELL("address",'Raw Data'!E142),"\$([A-Z]+)\$[0-9]+"),""),"")</f>
        <v/>
      </c>
      <c r="F142" s="5"/>
      <c r="G142" s="5"/>
      <c r="H142" s="5" t="str" cm="1">
        <f t="array" aca="1" ref="H142" ca="1">IFERROR(IF(OR('Raw Data'!H142="",LEN(TRIM('Raw Data'!H142))=0),_xlfn.REGEXEXTRACT(CELL("address",'Raw Data'!H142),"\$([A-Z]+)\$[0-9]+"),""),"")</f>
        <v/>
      </c>
      <c r="I142" s="5"/>
      <c r="J142" s="5"/>
    </row>
    <row r="143" spans="2:10" x14ac:dyDescent="0.25">
      <c r="B143" s="5" t="str" cm="1">
        <f t="array" aca="1" ref="B143" ca="1">IFERROR(IF(OR('Raw Data'!B143="",LEN(TRIM('Raw Data'!B143))=0),_xlfn.REGEXEXTRACT(CELL("address",'Raw Data'!B143),"\$([A-Z]+)\$[0-9]+"),""),"")</f>
        <v/>
      </c>
      <c r="C143" s="5" t="str" cm="1">
        <f t="array" aca="1" ref="C143" ca="1">IFERROR(IF(OR('Raw Data'!C143="",LEN(TRIM('Raw Data'!C143))=0),_xlfn.REGEXEXTRACT(CELL("address",'Raw Data'!C143),"\$([A-Z]+)\$[0-9]+"),""),"")</f>
        <v/>
      </c>
      <c r="D143" s="5"/>
      <c r="E143" s="5" t="str" cm="1">
        <f t="array" aca="1" ref="E143" ca="1">IFERROR(IF(OR('Raw Data'!E143="",LEN(TRIM('Raw Data'!E143))=0),_xlfn.REGEXEXTRACT(CELL("address",'Raw Data'!E143),"\$([A-Z]+)\$[0-9]+"),""),"")</f>
        <v/>
      </c>
      <c r="F143" s="5"/>
      <c r="G143" s="5"/>
      <c r="H143" s="5" t="str" cm="1">
        <f t="array" aca="1" ref="H143" ca="1">IFERROR(IF(OR('Raw Data'!H143="",LEN(TRIM('Raw Data'!H143))=0),_xlfn.REGEXEXTRACT(CELL("address",'Raw Data'!H143),"\$([A-Z]+)\$[0-9]+"),""),"")</f>
        <v/>
      </c>
      <c r="I143" s="5"/>
      <c r="J143" s="5"/>
    </row>
    <row r="144" spans="2:10" x14ac:dyDescent="0.25">
      <c r="B144" s="5" t="str" cm="1">
        <f t="array" aca="1" ref="B144" ca="1">IFERROR(IF(OR('Raw Data'!B144="",LEN(TRIM('Raw Data'!B144))=0),_xlfn.REGEXEXTRACT(CELL("address",'Raw Data'!B144),"\$([A-Z]+)\$[0-9]+"),""),"")</f>
        <v/>
      </c>
      <c r="C144" s="5" t="str" cm="1">
        <f t="array" aca="1" ref="C144" ca="1">IFERROR(IF(OR('Raw Data'!C144="",LEN(TRIM('Raw Data'!C144))=0),_xlfn.REGEXEXTRACT(CELL("address",'Raw Data'!C144),"\$([A-Z]+)\$[0-9]+"),""),"")</f>
        <v/>
      </c>
      <c r="D144" s="5"/>
      <c r="E144" s="5" t="str" cm="1">
        <f t="array" aca="1" ref="E144" ca="1">IFERROR(IF(OR('Raw Data'!E144="",LEN(TRIM('Raw Data'!E144))=0),_xlfn.REGEXEXTRACT(CELL("address",'Raw Data'!E144),"\$([A-Z]+)\$[0-9]+"),""),"")</f>
        <v/>
      </c>
      <c r="F144" s="5"/>
      <c r="G144" s="5"/>
      <c r="H144" s="5" t="str" cm="1">
        <f t="array" aca="1" ref="H144" ca="1">IFERROR(IF(OR('Raw Data'!H144="",LEN(TRIM('Raw Data'!H144))=0),_xlfn.REGEXEXTRACT(CELL("address",'Raw Data'!H144),"\$([A-Z]+)\$[0-9]+"),""),"")</f>
        <v/>
      </c>
      <c r="I144" s="5"/>
      <c r="J144" s="5"/>
    </row>
    <row r="145" spans="2:10" x14ac:dyDescent="0.25">
      <c r="B145" s="5" t="str" cm="1">
        <f t="array" aca="1" ref="B145" ca="1">IFERROR(IF(OR('Raw Data'!B145="",LEN(TRIM('Raw Data'!B145))=0),_xlfn.REGEXEXTRACT(CELL("address",'Raw Data'!B145),"\$([A-Z]+)\$[0-9]+"),""),"")</f>
        <v/>
      </c>
      <c r="C145" s="5" t="str" cm="1">
        <f t="array" aca="1" ref="C145" ca="1">IFERROR(IF(OR('Raw Data'!C145="",LEN(TRIM('Raw Data'!C145))=0),_xlfn.REGEXEXTRACT(CELL("address",'Raw Data'!C145),"\$([A-Z]+)\$[0-9]+"),""),"")</f>
        <v/>
      </c>
      <c r="D145" s="5"/>
      <c r="E145" s="5" t="str" cm="1">
        <f t="array" aca="1" ref="E145" ca="1">IFERROR(IF(OR('Raw Data'!E145="",LEN(TRIM('Raw Data'!E145))=0),_xlfn.REGEXEXTRACT(CELL("address",'Raw Data'!E145),"\$([A-Z]+)\$[0-9]+"),""),"")</f>
        <v/>
      </c>
      <c r="F145" s="5"/>
      <c r="G145" s="5"/>
      <c r="H145" s="5" t="str" cm="1">
        <f t="array" aca="1" ref="H145" ca="1">IFERROR(IF(OR('Raw Data'!H145="",LEN(TRIM('Raw Data'!H145))=0),_xlfn.REGEXEXTRACT(CELL("address",'Raw Data'!H145),"\$([A-Z]+)\$[0-9]+"),""),"")</f>
        <v/>
      </c>
      <c r="I145" s="5"/>
      <c r="J145" s="5"/>
    </row>
    <row r="146" spans="2:10" x14ac:dyDescent="0.25">
      <c r="B146" s="5" t="str" cm="1">
        <f t="array" aca="1" ref="B146" ca="1">IFERROR(IF(OR('Raw Data'!B146="",LEN(TRIM('Raw Data'!B146))=0),_xlfn.REGEXEXTRACT(CELL("address",'Raw Data'!B146),"\$([A-Z]+)\$[0-9]+"),""),"")</f>
        <v/>
      </c>
      <c r="C146" s="5" t="str" cm="1">
        <f t="array" aca="1" ref="C146" ca="1">IFERROR(IF(OR('Raw Data'!C146="",LEN(TRIM('Raw Data'!C146))=0),_xlfn.REGEXEXTRACT(CELL("address",'Raw Data'!C146),"\$([A-Z]+)\$[0-9]+"),""),"")</f>
        <v/>
      </c>
      <c r="D146" s="5"/>
      <c r="E146" s="5" t="str" cm="1">
        <f t="array" aca="1" ref="E146" ca="1">IFERROR(IF(OR('Raw Data'!E146="",LEN(TRIM('Raw Data'!E146))=0),_xlfn.REGEXEXTRACT(CELL("address",'Raw Data'!E146),"\$([A-Z]+)\$[0-9]+"),""),"")</f>
        <v/>
      </c>
      <c r="F146" s="5"/>
      <c r="G146" s="5"/>
      <c r="H146" s="5" t="str" cm="1">
        <f t="array" aca="1" ref="H146" ca="1">IFERROR(IF(OR('Raw Data'!H146="",LEN(TRIM('Raw Data'!H146))=0),_xlfn.REGEXEXTRACT(CELL("address",'Raw Data'!H146),"\$([A-Z]+)\$[0-9]+"),""),"")</f>
        <v/>
      </c>
      <c r="I146" s="5"/>
      <c r="J146" s="5"/>
    </row>
    <row r="147" spans="2:10" x14ac:dyDescent="0.25">
      <c r="B147" s="5" t="str" cm="1">
        <f t="array" aca="1" ref="B147" ca="1">IFERROR(IF(OR('Raw Data'!B147="",LEN(TRIM('Raw Data'!B147))=0),_xlfn.REGEXEXTRACT(CELL("address",'Raw Data'!B147),"\$([A-Z]+)\$[0-9]+"),""),"")</f>
        <v/>
      </c>
      <c r="C147" s="5" t="str" cm="1">
        <f t="array" aca="1" ref="C147" ca="1">IFERROR(IF(OR('Raw Data'!C147="",LEN(TRIM('Raw Data'!C147))=0),_xlfn.REGEXEXTRACT(CELL("address",'Raw Data'!C147),"\$([A-Z]+)\$[0-9]+"),""),"")</f>
        <v/>
      </c>
      <c r="D147" s="5"/>
      <c r="E147" s="5" t="str" cm="1">
        <f t="array" aca="1" ref="E147" ca="1">IFERROR(IF(OR('Raw Data'!E147="",LEN(TRIM('Raw Data'!E147))=0),_xlfn.REGEXEXTRACT(CELL("address",'Raw Data'!E147),"\$([A-Z]+)\$[0-9]+"),""),"")</f>
        <v/>
      </c>
      <c r="F147" s="5"/>
      <c r="G147" s="5"/>
      <c r="H147" s="5" t="str" cm="1">
        <f t="array" aca="1" ref="H147" ca="1">IFERROR(IF(OR('Raw Data'!H147="",LEN(TRIM('Raw Data'!H147))=0),_xlfn.REGEXEXTRACT(CELL("address",'Raw Data'!H147),"\$([A-Z]+)\$[0-9]+"),""),"")</f>
        <v/>
      </c>
      <c r="I147" s="5"/>
      <c r="J147" s="5"/>
    </row>
    <row r="148" spans="2:10" x14ac:dyDescent="0.25">
      <c r="B148" s="5" t="str" cm="1">
        <f t="array" aca="1" ref="B148" ca="1">IFERROR(IF(OR('Raw Data'!B148="",LEN(TRIM('Raw Data'!B148))=0),_xlfn.REGEXEXTRACT(CELL("address",'Raw Data'!B148),"\$([A-Z]+)\$[0-9]+"),""),"")</f>
        <v/>
      </c>
      <c r="C148" s="5" t="str" cm="1">
        <f t="array" aca="1" ref="C148" ca="1">IFERROR(IF(OR('Raw Data'!C148="",LEN(TRIM('Raw Data'!C148))=0),_xlfn.REGEXEXTRACT(CELL("address",'Raw Data'!C148),"\$([A-Z]+)\$[0-9]+"),""),"")</f>
        <v/>
      </c>
      <c r="D148" s="5"/>
      <c r="E148" s="5" t="str" cm="1">
        <f t="array" aca="1" ref="E148" ca="1">IFERROR(IF(OR('Raw Data'!E148="",LEN(TRIM('Raw Data'!E148))=0),_xlfn.REGEXEXTRACT(CELL("address",'Raw Data'!E148),"\$([A-Z]+)\$[0-9]+"),""),"")</f>
        <v/>
      </c>
      <c r="F148" s="5"/>
      <c r="G148" s="5"/>
      <c r="H148" s="5" t="str" cm="1">
        <f t="array" aca="1" ref="H148" ca="1">IFERROR(IF(OR('Raw Data'!H148="",LEN(TRIM('Raw Data'!H148))=0),_xlfn.REGEXEXTRACT(CELL("address",'Raw Data'!H148),"\$([A-Z]+)\$[0-9]+"),""),"")</f>
        <v/>
      </c>
      <c r="I148" s="5"/>
      <c r="J148" s="5"/>
    </row>
    <row r="149" spans="2:10" x14ac:dyDescent="0.25">
      <c r="B149" s="5" t="str" cm="1">
        <f t="array" aca="1" ref="B149" ca="1">IFERROR(IF(OR('Raw Data'!B149="",LEN(TRIM('Raw Data'!B149))=0),_xlfn.REGEXEXTRACT(CELL("address",'Raw Data'!B149),"\$([A-Z]+)\$[0-9]+"),""),"")</f>
        <v/>
      </c>
      <c r="C149" s="5" t="str" cm="1">
        <f t="array" aca="1" ref="C149" ca="1">IFERROR(IF(OR('Raw Data'!C149="",LEN(TRIM('Raw Data'!C149))=0),_xlfn.REGEXEXTRACT(CELL("address",'Raw Data'!C149),"\$([A-Z]+)\$[0-9]+"),""),"")</f>
        <v/>
      </c>
      <c r="D149" s="5"/>
      <c r="E149" s="5" t="str" cm="1">
        <f t="array" aca="1" ref="E149" ca="1">IFERROR(IF(OR('Raw Data'!E149="",LEN(TRIM('Raw Data'!E149))=0),_xlfn.REGEXEXTRACT(CELL("address",'Raw Data'!E149),"\$([A-Z]+)\$[0-9]+"),""),"")</f>
        <v/>
      </c>
      <c r="F149" s="5"/>
      <c r="G149" s="5"/>
      <c r="H149" s="5" t="str" cm="1">
        <f t="array" aca="1" ref="H149" ca="1">IFERROR(IF(OR('Raw Data'!H149="",LEN(TRIM('Raw Data'!H149))=0),_xlfn.REGEXEXTRACT(CELL("address",'Raw Data'!H149),"\$([A-Z]+)\$[0-9]+"),""),"")</f>
        <v/>
      </c>
      <c r="I149" s="5"/>
      <c r="J149" s="5"/>
    </row>
    <row r="150" spans="2:10" x14ac:dyDescent="0.25">
      <c r="B150" s="5" t="str" cm="1">
        <f t="array" aca="1" ref="B150" ca="1">IFERROR(IF(OR('Raw Data'!B150="",LEN(TRIM('Raw Data'!B150))=0),_xlfn.REGEXEXTRACT(CELL("address",'Raw Data'!B150),"\$([A-Z]+)\$[0-9]+"),""),"")</f>
        <v/>
      </c>
      <c r="C150" s="5" t="str" cm="1">
        <f t="array" aca="1" ref="C150" ca="1">IFERROR(IF(OR('Raw Data'!C150="",LEN(TRIM('Raw Data'!C150))=0),_xlfn.REGEXEXTRACT(CELL("address",'Raw Data'!C150),"\$([A-Z]+)\$[0-9]+"),""),"")</f>
        <v/>
      </c>
      <c r="D150" s="5"/>
      <c r="E150" s="5" t="str" cm="1">
        <f t="array" aca="1" ref="E150" ca="1">IFERROR(IF(OR('Raw Data'!E150="",LEN(TRIM('Raw Data'!E150))=0),_xlfn.REGEXEXTRACT(CELL("address",'Raw Data'!E150),"\$([A-Z]+)\$[0-9]+"),""),"")</f>
        <v/>
      </c>
      <c r="F150" s="5"/>
      <c r="G150" s="5"/>
      <c r="H150" s="5" t="str" cm="1">
        <f t="array" aca="1" ref="H150" ca="1">IFERROR(IF(OR('Raw Data'!H150="",LEN(TRIM('Raw Data'!H150))=0),_xlfn.REGEXEXTRACT(CELL("address",'Raw Data'!H150),"\$([A-Z]+)\$[0-9]+"),""),"")</f>
        <v/>
      </c>
      <c r="I150" s="5"/>
      <c r="J150" s="5"/>
    </row>
    <row r="151" spans="2:10" x14ac:dyDescent="0.25">
      <c r="B151" s="5" t="str" cm="1">
        <f t="array" aca="1" ref="B151" ca="1">IFERROR(IF(OR('Raw Data'!B151="",LEN(TRIM('Raw Data'!B151))=0),_xlfn.REGEXEXTRACT(CELL("address",'Raw Data'!B151),"\$([A-Z]+)\$[0-9]+"),""),"")</f>
        <v/>
      </c>
      <c r="C151" s="5" t="str" cm="1">
        <f t="array" aca="1" ref="C151" ca="1">IFERROR(IF(OR('Raw Data'!C151="",LEN(TRIM('Raw Data'!C151))=0),_xlfn.REGEXEXTRACT(CELL("address",'Raw Data'!C151),"\$([A-Z]+)\$[0-9]+"),""),"")</f>
        <v/>
      </c>
      <c r="D151" s="5"/>
      <c r="E151" s="5" t="str" cm="1">
        <f t="array" aca="1" ref="E151" ca="1">IFERROR(IF(OR('Raw Data'!E151="",LEN(TRIM('Raw Data'!E151))=0),_xlfn.REGEXEXTRACT(CELL("address",'Raw Data'!E151),"\$([A-Z]+)\$[0-9]+"),""),"")</f>
        <v/>
      </c>
      <c r="F151" s="5"/>
      <c r="G151" s="5"/>
      <c r="H151" s="5" t="str" cm="1">
        <f t="array" aca="1" ref="H151" ca="1">IFERROR(IF(OR('Raw Data'!H151="",LEN(TRIM('Raw Data'!H151))=0),_xlfn.REGEXEXTRACT(CELL("address",'Raw Data'!H151),"\$([A-Z]+)\$[0-9]+"),""),"")</f>
        <v/>
      </c>
      <c r="I151" s="5"/>
      <c r="J151" s="5"/>
    </row>
    <row r="152" spans="2:10" x14ac:dyDescent="0.25">
      <c r="B152" s="5" t="str" cm="1">
        <f t="array" aca="1" ref="B152" ca="1">IFERROR(IF(OR('Raw Data'!B152="",LEN(TRIM('Raw Data'!B152))=0),_xlfn.REGEXEXTRACT(CELL("address",'Raw Data'!B152),"\$([A-Z]+)\$[0-9]+"),""),"")</f>
        <v/>
      </c>
      <c r="C152" s="5" t="str" cm="1">
        <f t="array" aca="1" ref="C152" ca="1">IFERROR(IF(OR('Raw Data'!C152="",LEN(TRIM('Raw Data'!C152))=0),_xlfn.REGEXEXTRACT(CELL("address",'Raw Data'!C152),"\$([A-Z]+)\$[0-9]+"),""),"")</f>
        <v/>
      </c>
      <c r="D152" s="5"/>
      <c r="E152" s="5" t="str" cm="1">
        <f t="array" aca="1" ref="E152" ca="1">IFERROR(IF(OR('Raw Data'!E152="",LEN(TRIM('Raw Data'!E152))=0),_xlfn.REGEXEXTRACT(CELL("address",'Raw Data'!E152),"\$([A-Z]+)\$[0-9]+"),""),"")</f>
        <v/>
      </c>
      <c r="F152" s="5"/>
      <c r="G152" s="5"/>
      <c r="H152" s="5" t="str" cm="1">
        <f t="array" aca="1" ref="H152" ca="1">IFERROR(IF(OR('Raw Data'!H152="",LEN(TRIM('Raw Data'!H152))=0),_xlfn.REGEXEXTRACT(CELL("address",'Raw Data'!H152),"\$([A-Z]+)\$[0-9]+"),""),"")</f>
        <v/>
      </c>
      <c r="I152" s="5"/>
      <c r="J152" s="5"/>
    </row>
    <row r="153" spans="2:10" x14ac:dyDescent="0.25">
      <c r="B153" s="5" t="str" cm="1">
        <f t="array" aca="1" ref="B153" ca="1">IFERROR(IF(OR('Raw Data'!B153="",LEN(TRIM('Raw Data'!B153))=0),_xlfn.REGEXEXTRACT(CELL("address",'Raw Data'!B153),"\$([A-Z]+)\$[0-9]+"),""),"")</f>
        <v/>
      </c>
      <c r="C153" s="5" t="str" cm="1">
        <f t="array" aca="1" ref="C153" ca="1">IFERROR(IF(OR('Raw Data'!C153="",LEN(TRIM('Raw Data'!C153))=0),_xlfn.REGEXEXTRACT(CELL("address",'Raw Data'!C153),"\$([A-Z]+)\$[0-9]+"),""),"")</f>
        <v/>
      </c>
      <c r="D153" s="5"/>
      <c r="E153" s="5" t="str" cm="1">
        <f t="array" aca="1" ref="E153" ca="1">IFERROR(IF(OR('Raw Data'!E153="",LEN(TRIM('Raw Data'!E153))=0),_xlfn.REGEXEXTRACT(CELL("address",'Raw Data'!E153),"\$([A-Z]+)\$[0-9]+"),""),"")</f>
        <v/>
      </c>
      <c r="F153" s="5"/>
      <c r="G153" s="5"/>
      <c r="H153" s="5" t="str" cm="1">
        <f t="array" aca="1" ref="H153" ca="1">IFERROR(IF(OR('Raw Data'!H153="",LEN(TRIM('Raw Data'!H153))=0),_xlfn.REGEXEXTRACT(CELL("address",'Raw Data'!H153),"\$([A-Z]+)\$[0-9]+"),""),"")</f>
        <v/>
      </c>
      <c r="I153" s="5"/>
      <c r="J153" s="5"/>
    </row>
    <row r="154" spans="2:10" x14ac:dyDescent="0.25">
      <c r="B154" s="5" t="str" cm="1">
        <f t="array" aca="1" ref="B154" ca="1">IFERROR(IF(OR('Raw Data'!B154="",LEN(TRIM('Raw Data'!B154))=0),_xlfn.REGEXEXTRACT(CELL("address",'Raw Data'!B154),"\$([A-Z]+)\$[0-9]+"),""),"")</f>
        <v/>
      </c>
      <c r="C154" s="5" t="str" cm="1">
        <f t="array" aca="1" ref="C154" ca="1">IFERROR(IF(OR('Raw Data'!C154="",LEN(TRIM('Raw Data'!C154))=0),_xlfn.REGEXEXTRACT(CELL("address",'Raw Data'!C154),"\$([A-Z]+)\$[0-9]+"),""),"")</f>
        <v/>
      </c>
      <c r="D154" s="5"/>
      <c r="E154" s="5" t="str" cm="1">
        <f t="array" aca="1" ref="E154" ca="1">IFERROR(IF(OR('Raw Data'!E154="",LEN(TRIM('Raw Data'!E154))=0),_xlfn.REGEXEXTRACT(CELL("address",'Raw Data'!E154),"\$([A-Z]+)\$[0-9]+"),""),"")</f>
        <v/>
      </c>
      <c r="F154" s="5"/>
      <c r="G154" s="5"/>
      <c r="H154" s="5" t="str" cm="1">
        <f t="array" aca="1" ref="H154" ca="1">IFERROR(IF(OR('Raw Data'!H154="",LEN(TRIM('Raw Data'!H154))=0),_xlfn.REGEXEXTRACT(CELL("address",'Raw Data'!H154),"\$([A-Z]+)\$[0-9]+"),""),"")</f>
        <v/>
      </c>
      <c r="I154" s="5"/>
      <c r="J154" s="5"/>
    </row>
    <row r="155" spans="2:10" x14ac:dyDescent="0.25">
      <c r="B155" s="5" t="str" cm="1">
        <f t="array" aca="1" ref="B155" ca="1">IFERROR(IF(OR('Raw Data'!B155="",LEN(TRIM('Raw Data'!B155))=0),_xlfn.REGEXEXTRACT(CELL("address",'Raw Data'!B155),"\$([A-Z]+)\$[0-9]+"),""),"")</f>
        <v/>
      </c>
      <c r="C155" s="5" t="str" cm="1">
        <f t="array" aca="1" ref="C155" ca="1">IFERROR(IF(OR('Raw Data'!C155="",LEN(TRIM('Raw Data'!C155))=0),_xlfn.REGEXEXTRACT(CELL("address",'Raw Data'!C155),"\$([A-Z]+)\$[0-9]+"),""),"")</f>
        <v/>
      </c>
      <c r="D155" s="5"/>
      <c r="E155" s="5" t="str" cm="1">
        <f t="array" aca="1" ref="E155" ca="1">IFERROR(IF(OR('Raw Data'!E155="",LEN(TRIM('Raw Data'!E155))=0),_xlfn.REGEXEXTRACT(CELL("address",'Raw Data'!E155),"\$([A-Z]+)\$[0-9]+"),""),"")</f>
        <v/>
      </c>
      <c r="F155" s="5"/>
      <c r="G155" s="5"/>
      <c r="H155" s="5" t="str" cm="1">
        <f t="array" aca="1" ref="H155" ca="1">IFERROR(IF(OR('Raw Data'!H155="",LEN(TRIM('Raw Data'!H155))=0),_xlfn.REGEXEXTRACT(CELL("address",'Raw Data'!H155),"\$([A-Z]+)\$[0-9]+"),""),"")</f>
        <v/>
      </c>
      <c r="I155" s="5"/>
      <c r="J155" s="5"/>
    </row>
    <row r="156" spans="2:10" x14ac:dyDescent="0.25">
      <c r="B156" s="5" t="str" cm="1">
        <f t="array" aca="1" ref="B156" ca="1">IFERROR(IF(OR('Raw Data'!B156="",LEN(TRIM('Raw Data'!B156))=0),_xlfn.REGEXEXTRACT(CELL("address",'Raw Data'!B156),"\$([A-Z]+)\$[0-9]+"),""),"")</f>
        <v/>
      </c>
      <c r="C156" s="5" t="str" cm="1">
        <f t="array" aca="1" ref="C156" ca="1">IFERROR(IF(OR('Raw Data'!C156="",LEN(TRIM('Raw Data'!C156))=0),_xlfn.REGEXEXTRACT(CELL("address",'Raw Data'!C156),"\$([A-Z]+)\$[0-9]+"),""),"")</f>
        <v/>
      </c>
      <c r="D156" s="5"/>
      <c r="E156" s="5" t="str" cm="1">
        <f t="array" aca="1" ref="E156" ca="1">IFERROR(IF(OR('Raw Data'!E156="",LEN(TRIM('Raw Data'!E156))=0),_xlfn.REGEXEXTRACT(CELL("address",'Raw Data'!E156),"\$([A-Z]+)\$[0-9]+"),""),"")</f>
        <v/>
      </c>
      <c r="F156" s="5"/>
      <c r="G156" s="5"/>
      <c r="H156" s="5" t="str" cm="1">
        <f t="array" aca="1" ref="H156" ca="1">IFERROR(IF(OR('Raw Data'!H156="",LEN(TRIM('Raw Data'!H156))=0),_xlfn.REGEXEXTRACT(CELL("address",'Raw Data'!H156),"\$([A-Z]+)\$[0-9]+"),""),"")</f>
        <v/>
      </c>
      <c r="I156" s="5"/>
      <c r="J156" s="5"/>
    </row>
    <row r="157" spans="2:10" x14ac:dyDescent="0.25">
      <c r="B157" s="5" t="str" cm="1">
        <f t="array" aca="1" ref="B157" ca="1">IFERROR(IF(OR('Raw Data'!B157="",LEN(TRIM('Raw Data'!B157))=0),_xlfn.REGEXEXTRACT(CELL("address",'Raw Data'!B157),"\$([A-Z]+)\$[0-9]+"),""),"")</f>
        <v/>
      </c>
      <c r="C157" s="5" t="str" cm="1">
        <f t="array" aca="1" ref="C157" ca="1">IFERROR(IF(OR('Raw Data'!C157="",LEN(TRIM('Raw Data'!C157))=0),_xlfn.REGEXEXTRACT(CELL("address",'Raw Data'!C157),"\$([A-Z]+)\$[0-9]+"),""),"")</f>
        <v/>
      </c>
      <c r="D157" s="5"/>
      <c r="E157" s="5" t="str" cm="1">
        <f t="array" aca="1" ref="E157" ca="1">IFERROR(IF(OR('Raw Data'!E157="",LEN(TRIM('Raw Data'!E157))=0),_xlfn.REGEXEXTRACT(CELL("address",'Raw Data'!E157),"\$([A-Z]+)\$[0-9]+"),""),"")</f>
        <v/>
      </c>
      <c r="F157" s="5"/>
      <c r="G157" s="5"/>
      <c r="H157" s="5" t="str" cm="1">
        <f t="array" aca="1" ref="H157" ca="1">IFERROR(IF(OR('Raw Data'!H157="",LEN(TRIM('Raw Data'!H157))=0),_xlfn.REGEXEXTRACT(CELL("address",'Raw Data'!H157),"\$([A-Z]+)\$[0-9]+"),""),"")</f>
        <v/>
      </c>
      <c r="I157" s="5"/>
      <c r="J157" s="5"/>
    </row>
    <row r="158" spans="2:10" x14ac:dyDescent="0.25">
      <c r="B158" s="5" t="str" cm="1">
        <f t="array" aca="1" ref="B158" ca="1">IFERROR(IF(OR('Raw Data'!B158="",LEN(TRIM('Raw Data'!B158))=0),_xlfn.REGEXEXTRACT(CELL("address",'Raw Data'!B158),"\$([A-Z]+)\$[0-9]+"),""),"")</f>
        <v/>
      </c>
      <c r="C158" s="5" t="str" cm="1">
        <f t="array" aca="1" ref="C158" ca="1">IFERROR(IF(OR('Raw Data'!C158="",LEN(TRIM('Raw Data'!C158))=0),_xlfn.REGEXEXTRACT(CELL("address",'Raw Data'!C158),"\$([A-Z]+)\$[0-9]+"),""),"")</f>
        <v/>
      </c>
      <c r="D158" s="5"/>
      <c r="E158" s="5" t="str" cm="1">
        <f t="array" aca="1" ref="E158" ca="1">IFERROR(IF(OR('Raw Data'!E158="",LEN(TRIM('Raw Data'!E158))=0),_xlfn.REGEXEXTRACT(CELL("address",'Raw Data'!E158),"\$([A-Z]+)\$[0-9]+"),""),"")</f>
        <v/>
      </c>
      <c r="F158" s="5"/>
      <c r="G158" s="5"/>
      <c r="H158" s="5" t="str" cm="1">
        <f t="array" aca="1" ref="H158" ca="1">IFERROR(IF(OR('Raw Data'!H158="",LEN(TRIM('Raw Data'!H158))=0),_xlfn.REGEXEXTRACT(CELL("address",'Raw Data'!H158),"\$([A-Z]+)\$[0-9]+"),""),"")</f>
        <v/>
      </c>
      <c r="I158" s="5"/>
      <c r="J158" s="5"/>
    </row>
    <row r="159" spans="2:10" x14ac:dyDescent="0.25">
      <c r="B159" s="5" t="str" cm="1">
        <f t="array" aca="1" ref="B159" ca="1">IFERROR(IF(OR('Raw Data'!B159="",LEN(TRIM('Raw Data'!B159))=0),_xlfn.REGEXEXTRACT(CELL("address",'Raw Data'!B159),"\$([A-Z]+)\$[0-9]+"),""),"")</f>
        <v/>
      </c>
      <c r="C159" s="5" t="str" cm="1">
        <f t="array" aca="1" ref="C159" ca="1">IFERROR(IF(OR('Raw Data'!C159="",LEN(TRIM('Raw Data'!C159))=0),_xlfn.REGEXEXTRACT(CELL("address",'Raw Data'!C159),"\$([A-Z]+)\$[0-9]+"),""),"")</f>
        <v/>
      </c>
      <c r="D159" s="5"/>
      <c r="E159" s="5" t="str" cm="1">
        <f t="array" aca="1" ref="E159" ca="1">IFERROR(IF(OR('Raw Data'!E159="",LEN(TRIM('Raw Data'!E159))=0),_xlfn.REGEXEXTRACT(CELL("address",'Raw Data'!E159),"\$([A-Z]+)\$[0-9]+"),""),"")</f>
        <v/>
      </c>
      <c r="F159" s="5"/>
      <c r="G159" s="5"/>
      <c r="H159" s="5" t="str" cm="1">
        <f t="array" aca="1" ref="H159" ca="1">IFERROR(IF(OR('Raw Data'!H159="",LEN(TRIM('Raw Data'!H159))=0),_xlfn.REGEXEXTRACT(CELL("address",'Raw Data'!H159),"\$([A-Z]+)\$[0-9]+"),""),"")</f>
        <v/>
      </c>
      <c r="I159" s="5"/>
      <c r="J159" s="5"/>
    </row>
    <row r="160" spans="2:10" x14ac:dyDescent="0.25">
      <c r="B160" s="5" t="str" cm="1">
        <f t="array" aca="1" ref="B160" ca="1">IFERROR(IF(OR('Raw Data'!B160="",LEN(TRIM('Raw Data'!B160))=0),_xlfn.REGEXEXTRACT(CELL("address",'Raw Data'!B160),"\$([A-Z]+)\$[0-9]+"),""),"")</f>
        <v/>
      </c>
      <c r="C160" s="5" t="str" cm="1">
        <f t="array" aca="1" ref="C160" ca="1">IFERROR(IF(OR('Raw Data'!C160="",LEN(TRIM('Raw Data'!C160))=0),_xlfn.REGEXEXTRACT(CELL("address",'Raw Data'!C160),"\$([A-Z]+)\$[0-9]+"),""),"")</f>
        <v/>
      </c>
      <c r="D160" s="5"/>
      <c r="E160" s="5" t="str" cm="1">
        <f t="array" aca="1" ref="E160" ca="1">IFERROR(IF(OR('Raw Data'!E160="",LEN(TRIM('Raw Data'!E160))=0),_xlfn.REGEXEXTRACT(CELL("address",'Raw Data'!E160),"\$([A-Z]+)\$[0-9]+"),""),"")</f>
        <v/>
      </c>
      <c r="F160" s="5"/>
      <c r="G160" s="5"/>
      <c r="H160" s="5" t="str" cm="1">
        <f t="array" aca="1" ref="H160" ca="1">IFERROR(IF(OR('Raw Data'!H160="",LEN(TRIM('Raw Data'!H160))=0),_xlfn.REGEXEXTRACT(CELL("address",'Raw Data'!H160),"\$([A-Z]+)\$[0-9]+"),""),"")</f>
        <v/>
      </c>
      <c r="I160" s="5"/>
      <c r="J160" s="5"/>
    </row>
    <row r="161" spans="2:10" x14ac:dyDescent="0.25">
      <c r="B161" s="5" t="str" cm="1">
        <f t="array" aca="1" ref="B161" ca="1">IFERROR(IF(OR('Raw Data'!B161="",LEN(TRIM('Raw Data'!B161))=0),_xlfn.REGEXEXTRACT(CELL("address",'Raw Data'!B161),"\$([A-Z]+)\$[0-9]+"),""),"")</f>
        <v/>
      </c>
      <c r="C161" s="5" t="str" cm="1">
        <f t="array" aca="1" ref="C161" ca="1">IFERROR(IF(OR('Raw Data'!C161="",LEN(TRIM('Raw Data'!C161))=0),_xlfn.REGEXEXTRACT(CELL("address",'Raw Data'!C161),"\$([A-Z]+)\$[0-9]+"),""),"")</f>
        <v/>
      </c>
      <c r="D161" s="5"/>
      <c r="E161" s="5" t="str" cm="1">
        <f t="array" aca="1" ref="E161" ca="1">IFERROR(IF(OR('Raw Data'!E161="",LEN(TRIM('Raw Data'!E161))=0),_xlfn.REGEXEXTRACT(CELL("address",'Raw Data'!E161),"\$([A-Z]+)\$[0-9]+"),""),"")</f>
        <v/>
      </c>
      <c r="F161" s="5"/>
      <c r="G161" s="5"/>
      <c r="H161" s="5" t="str" cm="1">
        <f t="array" aca="1" ref="H161" ca="1">IFERROR(IF(OR('Raw Data'!H161="",LEN(TRIM('Raw Data'!H161))=0),_xlfn.REGEXEXTRACT(CELL("address",'Raw Data'!H161),"\$([A-Z]+)\$[0-9]+"),""),"")</f>
        <v/>
      </c>
      <c r="I161" s="5"/>
      <c r="J161" s="5"/>
    </row>
    <row r="162" spans="2:10" x14ac:dyDescent="0.25">
      <c r="B162" s="5" t="str" cm="1">
        <f t="array" aca="1" ref="B162" ca="1">IFERROR(IF(OR('Raw Data'!B162="",LEN(TRIM('Raw Data'!B162))=0),_xlfn.REGEXEXTRACT(CELL("address",'Raw Data'!B162),"\$([A-Z]+)\$[0-9]+"),""),"")</f>
        <v/>
      </c>
      <c r="C162" s="5" t="str" cm="1">
        <f t="array" aca="1" ref="C162" ca="1">IFERROR(IF(OR('Raw Data'!C162="",LEN(TRIM('Raw Data'!C162))=0),_xlfn.REGEXEXTRACT(CELL("address",'Raw Data'!C162),"\$([A-Z]+)\$[0-9]+"),""),"")</f>
        <v/>
      </c>
      <c r="D162" s="5"/>
      <c r="E162" s="5" t="str" cm="1">
        <f t="array" aca="1" ref="E162" ca="1">IFERROR(IF(OR('Raw Data'!E162="",LEN(TRIM('Raw Data'!E162))=0),_xlfn.REGEXEXTRACT(CELL("address",'Raw Data'!E162),"\$([A-Z]+)\$[0-9]+"),""),"")</f>
        <v/>
      </c>
      <c r="F162" s="5"/>
      <c r="G162" s="5"/>
      <c r="H162" s="5" t="str" cm="1">
        <f t="array" aca="1" ref="H162" ca="1">IFERROR(IF(OR('Raw Data'!H162="",LEN(TRIM('Raw Data'!H162))=0),_xlfn.REGEXEXTRACT(CELL("address",'Raw Data'!H162),"\$([A-Z]+)\$[0-9]+"),""),"")</f>
        <v/>
      </c>
      <c r="I162" s="5"/>
      <c r="J162" s="5"/>
    </row>
    <row r="163" spans="2:10" x14ac:dyDescent="0.25">
      <c r="B163" s="5" t="str" cm="1">
        <f t="array" aca="1" ref="B163" ca="1">IFERROR(IF(OR('Raw Data'!B163="",LEN(TRIM('Raw Data'!B163))=0),_xlfn.REGEXEXTRACT(CELL("address",'Raw Data'!B163),"\$([A-Z]+)\$[0-9]+"),""),"")</f>
        <v/>
      </c>
      <c r="C163" s="5" t="str" cm="1">
        <f t="array" aca="1" ref="C163" ca="1">IFERROR(IF(OR('Raw Data'!C163="",LEN(TRIM('Raw Data'!C163))=0),_xlfn.REGEXEXTRACT(CELL("address",'Raw Data'!C163),"\$([A-Z]+)\$[0-9]+"),""),"")</f>
        <v/>
      </c>
      <c r="D163" s="5"/>
      <c r="E163" s="5" t="str" cm="1">
        <f t="array" aca="1" ref="E163" ca="1">IFERROR(IF(OR('Raw Data'!E163="",LEN(TRIM('Raw Data'!E163))=0),_xlfn.REGEXEXTRACT(CELL("address",'Raw Data'!E163),"\$([A-Z]+)\$[0-9]+"),""),"")</f>
        <v/>
      </c>
      <c r="F163" s="5"/>
      <c r="G163" s="5"/>
      <c r="H163" s="5" t="str" cm="1">
        <f t="array" aca="1" ref="H163" ca="1">IFERROR(IF(OR('Raw Data'!H163="",LEN(TRIM('Raw Data'!H163))=0),_xlfn.REGEXEXTRACT(CELL("address",'Raw Data'!H163),"\$([A-Z]+)\$[0-9]+"),""),"")</f>
        <v/>
      </c>
      <c r="I163" s="5"/>
      <c r="J163" s="5"/>
    </row>
    <row r="164" spans="2:10" x14ac:dyDescent="0.25">
      <c r="B164" s="5" t="str" cm="1">
        <f t="array" aca="1" ref="B164" ca="1">IFERROR(IF(OR('Raw Data'!B164="",LEN(TRIM('Raw Data'!B164))=0),_xlfn.REGEXEXTRACT(CELL("address",'Raw Data'!B164),"\$([A-Z]+)\$[0-9]+"),""),"")</f>
        <v/>
      </c>
      <c r="C164" s="5" t="str" cm="1">
        <f t="array" aca="1" ref="C164" ca="1">IFERROR(IF(OR('Raw Data'!C164="",LEN(TRIM('Raw Data'!C164))=0),_xlfn.REGEXEXTRACT(CELL("address",'Raw Data'!C164),"\$([A-Z]+)\$[0-9]+"),""),"")</f>
        <v/>
      </c>
      <c r="D164" s="5"/>
      <c r="E164" s="5" t="str" cm="1">
        <f t="array" aca="1" ref="E164" ca="1">IFERROR(IF(OR('Raw Data'!E164="",LEN(TRIM('Raw Data'!E164))=0),_xlfn.REGEXEXTRACT(CELL("address",'Raw Data'!E164),"\$([A-Z]+)\$[0-9]+"),""),"")</f>
        <v/>
      </c>
      <c r="F164" s="5"/>
      <c r="G164" s="5"/>
      <c r="H164" s="5" t="str" cm="1">
        <f t="array" aca="1" ref="H164" ca="1">IFERROR(IF(OR('Raw Data'!H164="",LEN(TRIM('Raw Data'!H164))=0),_xlfn.REGEXEXTRACT(CELL("address",'Raw Data'!H164),"\$([A-Z]+)\$[0-9]+"),""),"")</f>
        <v/>
      </c>
      <c r="I164" s="5"/>
      <c r="J164" s="5"/>
    </row>
    <row r="165" spans="2:10" x14ac:dyDescent="0.25">
      <c r="B165" s="5" t="str" cm="1">
        <f t="array" aca="1" ref="B165" ca="1">IFERROR(IF(OR('Raw Data'!B165="",LEN(TRIM('Raw Data'!B165))=0),_xlfn.REGEXEXTRACT(CELL("address",'Raw Data'!B165),"\$([A-Z]+)\$[0-9]+"),""),"")</f>
        <v/>
      </c>
      <c r="C165" s="5" t="str" cm="1">
        <f t="array" aca="1" ref="C165" ca="1">IFERROR(IF(OR('Raw Data'!C165="",LEN(TRIM('Raw Data'!C165))=0),_xlfn.REGEXEXTRACT(CELL("address",'Raw Data'!C165),"\$([A-Z]+)\$[0-9]+"),""),"")</f>
        <v/>
      </c>
      <c r="D165" s="5"/>
      <c r="E165" s="5" t="str" cm="1">
        <f t="array" aca="1" ref="E165" ca="1">IFERROR(IF(OR('Raw Data'!E165="",LEN(TRIM('Raw Data'!E165))=0),_xlfn.REGEXEXTRACT(CELL("address",'Raw Data'!E165),"\$([A-Z]+)\$[0-9]+"),""),"")</f>
        <v/>
      </c>
      <c r="F165" s="5"/>
      <c r="G165" s="5"/>
      <c r="H165" s="5" t="str" cm="1">
        <f t="array" aca="1" ref="H165" ca="1">IFERROR(IF(OR('Raw Data'!H165="",LEN(TRIM('Raw Data'!H165))=0),_xlfn.REGEXEXTRACT(CELL("address",'Raw Data'!H165),"\$([A-Z]+)\$[0-9]+"),""),"")</f>
        <v/>
      </c>
      <c r="I165" s="5"/>
      <c r="J165" s="5"/>
    </row>
    <row r="166" spans="2:10" x14ac:dyDescent="0.25">
      <c r="B166" s="5" t="str" cm="1">
        <f t="array" aca="1" ref="B166" ca="1">IFERROR(IF(OR('Raw Data'!B166="",LEN(TRIM('Raw Data'!B166))=0),_xlfn.REGEXEXTRACT(CELL("address",'Raw Data'!B166),"\$([A-Z]+)\$[0-9]+"),""),"")</f>
        <v/>
      </c>
      <c r="C166" s="5" t="str" cm="1">
        <f t="array" aca="1" ref="C166" ca="1">IFERROR(IF(OR('Raw Data'!C166="",LEN(TRIM('Raw Data'!C166))=0),_xlfn.REGEXEXTRACT(CELL("address",'Raw Data'!C166),"\$([A-Z]+)\$[0-9]+"),""),"")</f>
        <v/>
      </c>
      <c r="D166" s="5"/>
      <c r="E166" s="5" t="str" cm="1">
        <f t="array" aca="1" ref="E166" ca="1">IFERROR(IF(OR('Raw Data'!E166="",LEN(TRIM('Raw Data'!E166))=0),_xlfn.REGEXEXTRACT(CELL("address",'Raw Data'!E166),"\$([A-Z]+)\$[0-9]+"),""),"")</f>
        <v/>
      </c>
      <c r="F166" s="5"/>
      <c r="G166" s="5"/>
      <c r="H166" s="5" t="str" cm="1">
        <f t="array" aca="1" ref="H166" ca="1">IFERROR(IF(OR('Raw Data'!H166="",LEN(TRIM('Raw Data'!H166))=0),_xlfn.REGEXEXTRACT(CELL("address",'Raw Data'!H166),"\$([A-Z]+)\$[0-9]+"),""),"")</f>
        <v/>
      </c>
      <c r="I166" s="5"/>
      <c r="J166" s="5"/>
    </row>
    <row r="167" spans="2:10" x14ac:dyDescent="0.25">
      <c r="B167" s="5" t="str" cm="1">
        <f t="array" aca="1" ref="B167" ca="1">IFERROR(IF(OR('Raw Data'!B167="",LEN(TRIM('Raw Data'!B167))=0),_xlfn.REGEXEXTRACT(CELL("address",'Raw Data'!B167),"\$([A-Z]+)\$[0-9]+"),""),"")</f>
        <v/>
      </c>
      <c r="C167" s="5" t="str" cm="1">
        <f t="array" aca="1" ref="C167" ca="1">IFERROR(IF(OR('Raw Data'!C167="",LEN(TRIM('Raw Data'!C167))=0),_xlfn.REGEXEXTRACT(CELL("address",'Raw Data'!C167),"\$([A-Z]+)\$[0-9]+"),""),"")</f>
        <v/>
      </c>
      <c r="D167" s="5"/>
      <c r="E167" s="5" t="str" cm="1">
        <f t="array" aca="1" ref="E167" ca="1">IFERROR(IF(OR('Raw Data'!E167="",LEN(TRIM('Raw Data'!E167))=0),_xlfn.REGEXEXTRACT(CELL("address",'Raw Data'!E167),"\$([A-Z]+)\$[0-9]+"),""),"")</f>
        <v/>
      </c>
      <c r="F167" s="5"/>
      <c r="G167" s="5"/>
      <c r="H167" s="5" t="str" cm="1">
        <f t="array" aca="1" ref="H167" ca="1">IFERROR(IF(OR('Raw Data'!H167="",LEN(TRIM('Raw Data'!H167))=0),_xlfn.REGEXEXTRACT(CELL("address",'Raw Data'!H167),"\$([A-Z]+)\$[0-9]+"),""),"")</f>
        <v/>
      </c>
      <c r="I167" s="5"/>
      <c r="J167" s="5"/>
    </row>
    <row r="168" spans="2:10" x14ac:dyDescent="0.25">
      <c r="B168" s="5" t="str" cm="1">
        <f t="array" aca="1" ref="B168" ca="1">IFERROR(IF(OR('Raw Data'!B168="",LEN(TRIM('Raw Data'!B168))=0),_xlfn.REGEXEXTRACT(CELL("address",'Raw Data'!B168),"\$([A-Z]+)\$[0-9]+"),""),"")</f>
        <v/>
      </c>
      <c r="C168" s="5" t="str" cm="1">
        <f t="array" aca="1" ref="C168" ca="1">IFERROR(IF(OR('Raw Data'!C168="",LEN(TRIM('Raw Data'!C168))=0),_xlfn.REGEXEXTRACT(CELL("address",'Raw Data'!C168),"\$([A-Z]+)\$[0-9]+"),""),"")</f>
        <v/>
      </c>
      <c r="D168" s="5"/>
      <c r="E168" s="5" t="str" cm="1">
        <f t="array" aca="1" ref="E168" ca="1">IFERROR(IF(OR('Raw Data'!E168="",LEN(TRIM('Raw Data'!E168))=0),_xlfn.REGEXEXTRACT(CELL("address",'Raw Data'!E168),"\$([A-Z]+)\$[0-9]+"),""),"")</f>
        <v/>
      </c>
      <c r="F168" s="5"/>
      <c r="G168" s="5"/>
      <c r="H168" s="5" t="str" cm="1">
        <f t="array" aca="1" ref="H168" ca="1">IFERROR(IF(OR('Raw Data'!H168="",LEN(TRIM('Raw Data'!H168))=0),_xlfn.REGEXEXTRACT(CELL("address",'Raw Data'!H168),"\$([A-Z]+)\$[0-9]+"),""),"")</f>
        <v/>
      </c>
      <c r="I168" s="5"/>
      <c r="J168" s="5"/>
    </row>
    <row r="169" spans="2:10" x14ac:dyDescent="0.25">
      <c r="B169" s="5" t="str" cm="1">
        <f t="array" aca="1" ref="B169" ca="1">IFERROR(IF(OR('Raw Data'!B169="",LEN(TRIM('Raw Data'!B169))=0),_xlfn.REGEXEXTRACT(CELL("address",'Raw Data'!B169),"\$([A-Z]+)\$[0-9]+"),""),"")</f>
        <v/>
      </c>
      <c r="C169" s="5" t="str" cm="1">
        <f t="array" aca="1" ref="C169" ca="1">IFERROR(IF(OR('Raw Data'!C169="",LEN(TRIM('Raw Data'!C169))=0),_xlfn.REGEXEXTRACT(CELL("address",'Raw Data'!C169),"\$([A-Z]+)\$[0-9]+"),""),"")</f>
        <v/>
      </c>
      <c r="D169" s="5"/>
      <c r="E169" s="5" t="str" cm="1">
        <f t="array" aca="1" ref="E169" ca="1">IFERROR(IF(OR('Raw Data'!E169="",LEN(TRIM('Raw Data'!E169))=0),_xlfn.REGEXEXTRACT(CELL("address",'Raw Data'!E169),"\$([A-Z]+)\$[0-9]+"),""),"")</f>
        <v/>
      </c>
      <c r="F169" s="5"/>
      <c r="G169" s="5"/>
      <c r="H169" s="5" t="str" cm="1">
        <f t="array" aca="1" ref="H169" ca="1">IFERROR(IF(OR('Raw Data'!H169="",LEN(TRIM('Raw Data'!H169))=0),_xlfn.REGEXEXTRACT(CELL("address",'Raw Data'!H169),"\$([A-Z]+)\$[0-9]+"),""),"")</f>
        <v/>
      </c>
      <c r="I169" s="5"/>
      <c r="J169" s="5"/>
    </row>
    <row r="170" spans="2:10" x14ac:dyDescent="0.25">
      <c r="B170" s="5" t="str" cm="1">
        <f t="array" aca="1" ref="B170" ca="1">IFERROR(IF(OR('Raw Data'!B170="",LEN(TRIM('Raw Data'!B170))=0),_xlfn.REGEXEXTRACT(CELL("address",'Raw Data'!B170),"\$([A-Z]+)\$[0-9]+"),""),"")</f>
        <v/>
      </c>
      <c r="C170" s="5" t="str" cm="1">
        <f t="array" aca="1" ref="C170" ca="1">IFERROR(IF(OR('Raw Data'!C170="",LEN(TRIM('Raw Data'!C170))=0),_xlfn.REGEXEXTRACT(CELL("address",'Raw Data'!C170),"\$([A-Z]+)\$[0-9]+"),""),"")</f>
        <v/>
      </c>
      <c r="D170" s="5"/>
      <c r="E170" s="5" t="str" cm="1">
        <f t="array" aca="1" ref="E170" ca="1">IFERROR(IF(OR('Raw Data'!E170="",LEN(TRIM('Raw Data'!E170))=0),_xlfn.REGEXEXTRACT(CELL("address",'Raw Data'!E170),"\$([A-Z]+)\$[0-9]+"),""),"")</f>
        <v/>
      </c>
      <c r="F170" s="5"/>
      <c r="G170" s="5"/>
      <c r="H170" s="5" t="str" cm="1">
        <f t="array" aca="1" ref="H170" ca="1">IFERROR(IF(OR('Raw Data'!H170="",LEN(TRIM('Raw Data'!H170))=0),_xlfn.REGEXEXTRACT(CELL("address",'Raw Data'!H170),"\$([A-Z]+)\$[0-9]+"),""),"")</f>
        <v/>
      </c>
      <c r="I170" s="5"/>
      <c r="J170" s="5"/>
    </row>
    <row r="171" spans="2:10" x14ac:dyDescent="0.25">
      <c r="B171" s="5" t="str" cm="1">
        <f t="array" aca="1" ref="B171" ca="1">IFERROR(IF(OR('Raw Data'!B171="",LEN(TRIM('Raw Data'!B171))=0),_xlfn.REGEXEXTRACT(CELL("address",'Raw Data'!B171),"\$([A-Z]+)\$[0-9]+"),""),"")</f>
        <v/>
      </c>
      <c r="C171" s="5" t="str" cm="1">
        <f t="array" aca="1" ref="C171" ca="1">IFERROR(IF(OR('Raw Data'!C171="",LEN(TRIM('Raw Data'!C171))=0),_xlfn.REGEXEXTRACT(CELL("address",'Raw Data'!C171),"\$([A-Z]+)\$[0-9]+"),""),"")</f>
        <v/>
      </c>
      <c r="D171" s="5"/>
      <c r="E171" s="5" t="str" cm="1">
        <f t="array" aca="1" ref="E171" ca="1">IFERROR(IF(OR('Raw Data'!E171="",LEN(TRIM('Raw Data'!E171))=0),_xlfn.REGEXEXTRACT(CELL("address",'Raw Data'!E171),"\$([A-Z]+)\$[0-9]+"),""),"")</f>
        <v/>
      </c>
      <c r="F171" s="5"/>
      <c r="G171" s="5"/>
      <c r="H171" s="5" t="str" cm="1">
        <f t="array" aca="1" ref="H171" ca="1">IFERROR(IF(OR('Raw Data'!H171="",LEN(TRIM('Raw Data'!H171))=0),_xlfn.REGEXEXTRACT(CELL("address",'Raw Data'!H171),"\$([A-Z]+)\$[0-9]+"),""),"")</f>
        <v/>
      </c>
      <c r="I171" s="5"/>
      <c r="J171" s="5"/>
    </row>
    <row r="172" spans="2:10" x14ac:dyDescent="0.25">
      <c r="B172" s="5" t="str" cm="1">
        <f t="array" aca="1" ref="B172" ca="1">IFERROR(IF(OR('Raw Data'!B172="",LEN(TRIM('Raw Data'!B172))=0),_xlfn.REGEXEXTRACT(CELL("address",'Raw Data'!B172),"\$([A-Z]+)\$[0-9]+"),""),"")</f>
        <v/>
      </c>
      <c r="C172" s="5" t="str" cm="1">
        <f t="array" aca="1" ref="C172" ca="1">IFERROR(IF(OR('Raw Data'!C172="",LEN(TRIM('Raw Data'!C172))=0),_xlfn.REGEXEXTRACT(CELL("address",'Raw Data'!C172),"\$([A-Z]+)\$[0-9]+"),""),"")</f>
        <v/>
      </c>
      <c r="D172" s="5"/>
      <c r="E172" s="5" t="str" cm="1">
        <f t="array" aca="1" ref="E172" ca="1">IFERROR(IF(OR('Raw Data'!E172="",LEN(TRIM('Raw Data'!E172))=0),_xlfn.REGEXEXTRACT(CELL("address",'Raw Data'!E172),"\$([A-Z]+)\$[0-9]+"),""),"")</f>
        <v/>
      </c>
      <c r="F172" s="5"/>
      <c r="G172" s="5"/>
      <c r="H172" s="5" t="str" cm="1">
        <f t="array" aca="1" ref="H172" ca="1">IFERROR(IF(OR('Raw Data'!H172="",LEN(TRIM('Raw Data'!H172))=0),_xlfn.REGEXEXTRACT(CELL("address",'Raw Data'!H172),"\$([A-Z]+)\$[0-9]+"),""),"")</f>
        <v/>
      </c>
      <c r="I172" s="5"/>
      <c r="J172" s="5"/>
    </row>
    <row r="173" spans="2:10" x14ac:dyDescent="0.25">
      <c r="B173" s="5" t="str" cm="1">
        <f t="array" aca="1" ref="B173" ca="1">IFERROR(IF(OR('Raw Data'!B173="",LEN(TRIM('Raw Data'!B173))=0),_xlfn.REGEXEXTRACT(CELL("address",'Raw Data'!B173),"\$([A-Z]+)\$[0-9]+"),""),"")</f>
        <v/>
      </c>
      <c r="C173" s="5" t="str" cm="1">
        <f t="array" aca="1" ref="C173" ca="1">IFERROR(IF(OR('Raw Data'!C173="",LEN(TRIM('Raw Data'!C173))=0),_xlfn.REGEXEXTRACT(CELL("address",'Raw Data'!C173),"\$([A-Z]+)\$[0-9]+"),""),"")</f>
        <v/>
      </c>
      <c r="D173" s="5"/>
      <c r="E173" s="5" t="str" cm="1">
        <f t="array" aca="1" ref="E173" ca="1">IFERROR(IF(OR('Raw Data'!E173="",LEN(TRIM('Raw Data'!E173))=0),_xlfn.REGEXEXTRACT(CELL("address",'Raw Data'!E173),"\$([A-Z]+)\$[0-9]+"),""),"")</f>
        <v/>
      </c>
      <c r="F173" s="5"/>
      <c r="G173" s="5"/>
      <c r="H173" s="5" t="str" cm="1">
        <f t="array" aca="1" ref="H173" ca="1">IFERROR(IF(OR('Raw Data'!H173="",LEN(TRIM('Raw Data'!H173))=0),_xlfn.REGEXEXTRACT(CELL("address",'Raw Data'!H173),"\$([A-Z]+)\$[0-9]+"),""),"")</f>
        <v/>
      </c>
      <c r="I173" s="5"/>
      <c r="J173" s="5"/>
    </row>
    <row r="174" spans="2:10" x14ac:dyDescent="0.25">
      <c r="B174" s="5" t="str" cm="1">
        <f t="array" aca="1" ref="B174" ca="1">IFERROR(IF(OR('Raw Data'!B174="",LEN(TRIM('Raw Data'!B174))=0),_xlfn.REGEXEXTRACT(CELL("address",'Raw Data'!B174),"\$([A-Z]+)\$[0-9]+"),""),"")</f>
        <v/>
      </c>
      <c r="C174" s="5" t="str" cm="1">
        <f t="array" aca="1" ref="C174" ca="1">IFERROR(IF(OR('Raw Data'!C174="",LEN(TRIM('Raw Data'!C174))=0),_xlfn.REGEXEXTRACT(CELL("address",'Raw Data'!C174),"\$([A-Z]+)\$[0-9]+"),""),"")</f>
        <v/>
      </c>
      <c r="D174" s="5"/>
      <c r="E174" s="5" t="str" cm="1">
        <f t="array" aca="1" ref="E174" ca="1">IFERROR(IF(OR('Raw Data'!E174="",LEN(TRIM('Raw Data'!E174))=0),_xlfn.REGEXEXTRACT(CELL("address",'Raw Data'!E174),"\$([A-Z]+)\$[0-9]+"),""),"")</f>
        <v/>
      </c>
      <c r="F174" s="5"/>
      <c r="G174" s="5"/>
      <c r="H174" s="5" t="str" cm="1">
        <f t="array" aca="1" ref="H174" ca="1">IFERROR(IF(OR('Raw Data'!H174="",LEN(TRIM('Raw Data'!H174))=0),_xlfn.REGEXEXTRACT(CELL("address",'Raw Data'!H174),"\$([A-Z]+)\$[0-9]+"),""),"")</f>
        <v/>
      </c>
      <c r="I174" s="5"/>
      <c r="J174" s="5"/>
    </row>
    <row r="175" spans="2:10" x14ac:dyDescent="0.25">
      <c r="B175" s="5" t="str" cm="1">
        <f t="array" aca="1" ref="B175" ca="1">IFERROR(IF(OR('Raw Data'!B175="",LEN(TRIM('Raw Data'!B175))=0),_xlfn.REGEXEXTRACT(CELL("address",'Raw Data'!B175),"\$([A-Z]+)\$[0-9]+"),""),"")</f>
        <v/>
      </c>
      <c r="C175" s="5" t="str" cm="1">
        <f t="array" aca="1" ref="C175" ca="1">IFERROR(IF(OR('Raw Data'!C175="",LEN(TRIM('Raw Data'!C175))=0),_xlfn.REGEXEXTRACT(CELL("address",'Raw Data'!C175),"\$([A-Z]+)\$[0-9]+"),""),"")</f>
        <v/>
      </c>
      <c r="D175" s="5"/>
      <c r="E175" s="5" t="str" cm="1">
        <f t="array" aca="1" ref="E175" ca="1">IFERROR(IF(OR('Raw Data'!E175="",LEN(TRIM('Raw Data'!E175))=0),_xlfn.REGEXEXTRACT(CELL("address",'Raw Data'!E175),"\$([A-Z]+)\$[0-9]+"),""),"")</f>
        <v/>
      </c>
      <c r="F175" s="5"/>
      <c r="G175" s="5"/>
      <c r="H175" s="5" t="str" cm="1">
        <f t="array" aca="1" ref="H175" ca="1">IFERROR(IF(OR('Raw Data'!H175="",LEN(TRIM('Raw Data'!H175))=0),_xlfn.REGEXEXTRACT(CELL("address",'Raw Data'!H175),"\$([A-Z]+)\$[0-9]+"),""),"")</f>
        <v/>
      </c>
      <c r="I175" s="5"/>
      <c r="J175" s="5"/>
    </row>
    <row r="176" spans="2:10" x14ac:dyDescent="0.25">
      <c r="B176" s="5" t="str" cm="1">
        <f t="array" aca="1" ref="B176" ca="1">IFERROR(IF(OR('Raw Data'!B176="",LEN(TRIM('Raw Data'!B176))=0),_xlfn.REGEXEXTRACT(CELL("address",'Raw Data'!B176),"\$([A-Z]+)\$[0-9]+"),""),"")</f>
        <v/>
      </c>
      <c r="C176" s="5" t="str" cm="1">
        <f t="array" aca="1" ref="C176" ca="1">IFERROR(IF(OR('Raw Data'!C176="",LEN(TRIM('Raw Data'!C176))=0),_xlfn.REGEXEXTRACT(CELL("address",'Raw Data'!C176),"\$([A-Z]+)\$[0-9]+"),""),"")</f>
        <v/>
      </c>
      <c r="D176" s="5"/>
      <c r="E176" s="5" t="str" cm="1">
        <f t="array" aca="1" ref="E176" ca="1">IFERROR(IF(OR('Raw Data'!E176="",LEN(TRIM('Raw Data'!E176))=0),_xlfn.REGEXEXTRACT(CELL("address",'Raw Data'!E176),"\$([A-Z]+)\$[0-9]+"),""),"")</f>
        <v/>
      </c>
      <c r="F176" s="5"/>
      <c r="G176" s="5"/>
      <c r="H176" s="5" t="str" cm="1">
        <f t="array" aca="1" ref="H176" ca="1">IFERROR(IF(OR('Raw Data'!H176="",LEN(TRIM('Raw Data'!H176))=0),_xlfn.REGEXEXTRACT(CELL("address",'Raw Data'!H176),"\$([A-Z]+)\$[0-9]+"),""),"")</f>
        <v/>
      </c>
      <c r="I176" s="5"/>
      <c r="J176" s="5"/>
    </row>
    <row r="177" spans="2:10" x14ac:dyDescent="0.25">
      <c r="B177" s="5" t="str" cm="1">
        <f t="array" aca="1" ref="B177" ca="1">IFERROR(IF(OR('Raw Data'!B177="",LEN(TRIM('Raw Data'!B177))=0),_xlfn.REGEXEXTRACT(CELL("address",'Raw Data'!B177),"\$([A-Z]+)\$[0-9]+"),""),"")</f>
        <v/>
      </c>
      <c r="C177" s="5" t="str" cm="1">
        <f t="array" aca="1" ref="C177" ca="1">IFERROR(IF(OR('Raw Data'!C177="",LEN(TRIM('Raw Data'!C177))=0),_xlfn.REGEXEXTRACT(CELL("address",'Raw Data'!C177),"\$([A-Z]+)\$[0-9]+"),""),"")</f>
        <v/>
      </c>
      <c r="D177" s="5"/>
      <c r="E177" s="5" t="str" cm="1">
        <f t="array" aca="1" ref="E177" ca="1">IFERROR(IF(OR('Raw Data'!E177="",LEN(TRIM('Raw Data'!E177))=0),_xlfn.REGEXEXTRACT(CELL("address",'Raw Data'!E177),"\$([A-Z]+)\$[0-9]+"),""),"")</f>
        <v/>
      </c>
      <c r="F177" s="5"/>
      <c r="G177" s="5"/>
      <c r="H177" s="5" t="str" cm="1">
        <f t="array" aca="1" ref="H177" ca="1">IFERROR(IF(OR('Raw Data'!H177="",LEN(TRIM('Raw Data'!H177))=0),_xlfn.REGEXEXTRACT(CELL("address",'Raw Data'!H177),"\$([A-Z]+)\$[0-9]+"),""),"")</f>
        <v/>
      </c>
      <c r="I177" s="5"/>
      <c r="J177" s="5"/>
    </row>
    <row r="178" spans="2:10" x14ac:dyDescent="0.25">
      <c r="B178" s="5" t="str" cm="1">
        <f t="array" aca="1" ref="B178" ca="1">IFERROR(IF(OR('Raw Data'!B178="",LEN(TRIM('Raw Data'!B178))=0),_xlfn.REGEXEXTRACT(CELL("address",'Raw Data'!B178),"\$([A-Z]+)\$[0-9]+"),""),"")</f>
        <v/>
      </c>
      <c r="C178" s="5" t="str" cm="1">
        <f t="array" aca="1" ref="C178" ca="1">IFERROR(IF(OR('Raw Data'!C178="",LEN(TRIM('Raw Data'!C178))=0),_xlfn.REGEXEXTRACT(CELL("address",'Raw Data'!C178),"\$([A-Z]+)\$[0-9]+"),""),"")</f>
        <v/>
      </c>
      <c r="D178" s="5"/>
      <c r="E178" s="5" t="str" cm="1">
        <f t="array" aca="1" ref="E178" ca="1">IFERROR(IF(OR('Raw Data'!E178="",LEN(TRIM('Raw Data'!E178))=0),_xlfn.REGEXEXTRACT(CELL("address",'Raw Data'!E178),"\$([A-Z]+)\$[0-9]+"),""),"")</f>
        <v/>
      </c>
      <c r="F178" s="5"/>
      <c r="G178" s="5"/>
      <c r="H178" s="5" t="str" cm="1">
        <f t="array" aca="1" ref="H178" ca="1">IFERROR(IF(OR('Raw Data'!H178="",LEN(TRIM('Raw Data'!H178))=0),_xlfn.REGEXEXTRACT(CELL("address",'Raw Data'!H178),"\$([A-Z]+)\$[0-9]+"),""),"")</f>
        <v/>
      </c>
      <c r="I178" s="5"/>
      <c r="J178" s="5"/>
    </row>
    <row r="179" spans="2:10" x14ac:dyDescent="0.25">
      <c r="B179" s="5" t="str" cm="1">
        <f t="array" aca="1" ref="B179" ca="1">IFERROR(IF(OR('Raw Data'!B179="",LEN(TRIM('Raw Data'!B179))=0),_xlfn.REGEXEXTRACT(CELL("address",'Raw Data'!B179),"\$([A-Z]+)\$[0-9]+"),""),"")</f>
        <v/>
      </c>
      <c r="C179" s="5" t="str" cm="1">
        <f t="array" aca="1" ref="C179" ca="1">IFERROR(IF(OR('Raw Data'!C179="",LEN(TRIM('Raw Data'!C179))=0),_xlfn.REGEXEXTRACT(CELL("address",'Raw Data'!C179),"\$([A-Z]+)\$[0-9]+"),""),"")</f>
        <v/>
      </c>
      <c r="D179" s="5"/>
      <c r="E179" s="5" t="str" cm="1">
        <f t="array" aca="1" ref="E179" ca="1">IFERROR(IF(OR('Raw Data'!E179="",LEN(TRIM('Raw Data'!E179))=0),_xlfn.REGEXEXTRACT(CELL("address",'Raw Data'!E179),"\$([A-Z]+)\$[0-9]+"),""),"")</f>
        <v/>
      </c>
      <c r="F179" s="5"/>
      <c r="G179" s="5"/>
      <c r="H179" s="5" t="str" cm="1">
        <f t="array" aca="1" ref="H179" ca="1">IFERROR(IF(OR('Raw Data'!H179="",LEN(TRIM('Raw Data'!H179))=0),_xlfn.REGEXEXTRACT(CELL("address",'Raw Data'!H179),"\$([A-Z]+)\$[0-9]+"),""),"")</f>
        <v/>
      </c>
      <c r="I179" s="5"/>
      <c r="J179" s="5"/>
    </row>
    <row r="180" spans="2:10" x14ac:dyDescent="0.25">
      <c r="B180" s="5" t="str" cm="1">
        <f t="array" aca="1" ref="B180" ca="1">IFERROR(IF(OR('Raw Data'!B180="",LEN(TRIM('Raw Data'!B180))=0),_xlfn.REGEXEXTRACT(CELL("address",'Raw Data'!B180),"\$([A-Z]+)\$[0-9]+"),""),"")</f>
        <v/>
      </c>
      <c r="C180" s="5" t="str" cm="1">
        <f t="array" aca="1" ref="C180" ca="1">IFERROR(IF(OR('Raw Data'!C180="",LEN(TRIM('Raw Data'!C180))=0),_xlfn.REGEXEXTRACT(CELL("address",'Raw Data'!C180),"\$([A-Z]+)\$[0-9]+"),""),"")</f>
        <v/>
      </c>
      <c r="D180" s="5"/>
      <c r="E180" s="5" t="str" cm="1">
        <f t="array" aca="1" ref="E180" ca="1">IFERROR(IF(OR('Raw Data'!E180="",LEN(TRIM('Raw Data'!E180))=0),_xlfn.REGEXEXTRACT(CELL("address",'Raw Data'!E180),"\$([A-Z]+)\$[0-9]+"),""),"")</f>
        <v/>
      </c>
      <c r="F180" s="5"/>
      <c r="G180" s="5"/>
      <c r="H180" s="5" t="str" cm="1">
        <f t="array" aca="1" ref="H180" ca="1">IFERROR(IF(OR('Raw Data'!H180="",LEN(TRIM('Raw Data'!H180))=0),_xlfn.REGEXEXTRACT(CELL("address",'Raw Data'!H180),"\$([A-Z]+)\$[0-9]+"),""),"")</f>
        <v/>
      </c>
      <c r="I180" s="5"/>
      <c r="J180" s="5"/>
    </row>
    <row r="181" spans="2:10" x14ac:dyDescent="0.25">
      <c r="B181" s="5" t="str" cm="1">
        <f t="array" aca="1" ref="B181" ca="1">IFERROR(IF(OR('Raw Data'!B181="",LEN(TRIM('Raw Data'!B181))=0),_xlfn.REGEXEXTRACT(CELL("address",'Raw Data'!B181),"\$([A-Z]+)\$[0-9]+"),""),"")</f>
        <v/>
      </c>
      <c r="C181" s="5" t="str" cm="1">
        <f t="array" aca="1" ref="C181" ca="1">IFERROR(IF(OR('Raw Data'!C181="",LEN(TRIM('Raw Data'!C181))=0),_xlfn.REGEXEXTRACT(CELL("address",'Raw Data'!C181),"\$([A-Z]+)\$[0-9]+"),""),"")</f>
        <v/>
      </c>
      <c r="D181" s="5"/>
      <c r="E181" s="5" t="str" cm="1">
        <f t="array" aca="1" ref="E181" ca="1">IFERROR(IF(OR('Raw Data'!E181="",LEN(TRIM('Raw Data'!E181))=0),_xlfn.REGEXEXTRACT(CELL("address",'Raw Data'!E181),"\$([A-Z]+)\$[0-9]+"),""),"")</f>
        <v/>
      </c>
      <c r="F181" s="5"/>
      <c r="G181" s="5"/>
      <c r="H181" s="5" t="str" cm="1">
        <f t="array" aca="1" ref="H181" ca="1">IFERROR(IF(OR('Raw Data'!H181="",LEN(TRIM('Raw Data'!H181))=0),_xlfn.REGEXEXTRACT(CELL("address",'Raw Data'!H181),"\$([A-Z]+)\$[0-9]+"),""),"")</f>
        <v/>
      </c>
      <c r="I181" s="5"/>
      <c r="J181" s="5"/>
    </row>
    <row r="182" spans="2:10" x14ac:dyDescent="0.25">
      <c r="B182" s="5" t="str" cm="1">
        <f t="array" aca="1" ref="B182" ca="1">IFERROR(IF(OR('Raw Data'!B182="",LEN(TRIM('Raw Data'!B182))=0),_xlfn.REGEXEXTRACT(CELL("address",'Raw Data'!B182),"\$([A-Z]+)\$[0-9]+"),""),"")</f>
        <v/>
      </c>
      <c r="C182" s="5" t="str" cm="1">
        <f t="array" aca="1" ref="C182" ca="1">IFERROR(IF(OR('Raw Data'!C182="",LEN(TRIM('Raw Data'!C182))=0),_xlfn.REGEXEXTRACT(CELL("address",'Raw Data'!C182),"\$([A-Z]+)\$[0-9]+"),""),"")</f>
        <v/>
      </c>
      <c r="D182" s="5"/>
      <c r="E182" s="5" t="str" cm="1">
        <f t="array" aca="1" ref="E182" ca="1">IFERROR(IF(OR('Raw Data'!E182="",LEN(TRIM('Raw Data'!E182))=0),_xlfn.REGEXEXTRACT(CELL("address",'Raw Data'!E182),"\$([A-Z]+)\$[0-9]+"),""),"")</f>
        <v/>
      </c>
      <c r="F182" s="5"/>
      <c r="G182" s="5"/>
      <c r="H182" s="5" t="str" cm="1">
        <f t="array" aca="1" ref="H182" ca="1">IFERROR(IF(OR('Raw Data'!H182="",LEN(TRIM('Raw Data'!H182))=0),_xlfn.REGEXEXTRACT(CELL("address",'Raw Data'!H182),"\$([A-Z]+)\$[0-9]+"),""),"")</f>
        <v/>
      </c>
      <c r="I182" s="5"/>
      <c r="J182" s="5"/>
    </row>
    <row r="183" spans="2:10" x14ac:dyDescent="0.25">
      <c r="B183" s="5" t="str" cm="1">
        <f t="array" aca="1" ref="B183" ca="1">IFERROR(IF(OR('Raw Data'!B183="",LEN(TRIM('Raw Data'!B183))=0),_xlfn.REGEXEXTRACT(CELL("address",'Raw Data'!B183),"\$([A-Z]+)\$[0-9]+"),""),"")</f>
        <v/>
      </c>
      <c r="C183" s="5" t="str" cm="1">
        <f t="array" aca="1" ref="C183" ca="1">IFERROR(IF(OR('Raw Data'!C183="",LEN(TRIM('Raw Data'!C183))=0),_xlfn.REGEXEXTRACT(CELL("address",'Raw Data'!C183),"\$([A-Z]+)\$[0-9]+"),""),"")</f>
        <v/>
      </c>
      <c r="D183" s="5"/>
      <c r="E183" s="5" t="str" cm="1">
        <f t="array" aca="1" ref="E183" ca="1">IFERROR(IF(OR('Raw Data'!E183="",LEN(TRIM('Raw Data'!E183))=0),_xlfn.REGEXEXTRACT(CELL("address",'Raw Data'!E183),"\$([A-Z]+)\$[0-9]+"),""),"")</f>
        <v/>
      </c>
      <c r="F183" s="5"/>
      <c r="G183" s="5"/>
      <c r="H183" s="5" t="str" cm="1">
        <f t="array" aca="1" ref="H183" ca="1">IFERROR(IF(OR('Raw Data'!H183="",LEN(TRIM('Raw Data'!H183))=0),_xlfn.REGEXEXTRACT(CELL("address",'Raw Data'!H183),"\$([A-Z]+)\$[0-9]+"),""),"")</f>
        <v/>
      </c>
      <c r="I183" s="5"/>
      <c r="J183" s="5"/>
    </row>
    <row r="184" spans="2:10" x14ac:dyDescent="0.25">
      <c r="B184" s="5" t="str" cm="1">
        <f t="array" aca="1" ref="B184" ca="1">IFERROR(IF(OR('Raw Data'!B184="",LEN(TRIM('Raw Data'!B184))=0),_xlfn.REGEXEXTRACT(CELL("address",'Raw Data'!B184),"\$([A-Z]+)\$[0-9]+"),""),"")</f>
        <v/>
      </c>
      <c r="C184" s="5" t="str" cm="1">
        <f t="array" aca="1" ref="C184" ca="1">IFERROR(IF(OR('Raw Data'!C184="",LEN(TRIM('Raw Data'!C184))=0),_xlfn.REGEXEXTRACT(CELL("address",'Raw Data'!C184),"\$([A-Z]+)\$[0-9]+"),""),"")</f>
        <v/>
      </c>
      <c r="D184" s="5"/>
      <c r="E184" s="5" t="str" cm="1">
        <f t="array" aca="1" ref="E184" ca="1">IFERROR(IF(OR('Raw Data'!E184="",LEN(TRIM('Raw Data'!E184))=0),_xlfn.REGEXEXTRACT(CELL("address",'Raw Data'!E184),"\$([A-Z]+)\$[0-9]+"),""),"")</f>
        <v/>
      </c>
      <c r="F184" s="5"/>
      <c r="G184" s="5"/>
      <c r="H184" s="5" t="str" cm="1">
        <f t="array" aca="1" ref="H184" ca="1">IFERROR(IF(OR('Raw Data'!H184="",LEN(TRIM('Raw Data'!H184))=0),_xlfn.REGEXEXTRACT(CELL("address",'Raw Data'!H184),"\$([A-Z]+)\$[0-9]+"),""),"")</f>
        <v/>
      </c>
      <c r="I184" s="5"/>
      <c r="J184" s="5"/>
    </row>
    <row r="185" spans="2:10" x14ac:dyDescent="0.25">
      <c r="B185" s="5" t="str" cm="1">
        <f t="array" aca="1" ref="B185" ca="1">IFERROR(IF(OR('Raw Data'!B185="",LEN(TRIM('Raw Data'!B185))=0),_xlfn.REGEXEXTRACT(CELL("address",'Raw Data'!B185),"\$([A-Z]+)\$[0-9]+"),""),"")</f>
        <v/>
      </c>
      <c r="C185" s="5" t="str" cm="1">
        <f t="array" aca="1" ref="C185" ca="1">IFERROR(IF(OR('Raw Data'!C185="",LEN(TRIM('Raw Data'!C185))=0),_xlfn.REGEXEXTRACT(CELL("address",'Raw Data'!C185),"\$([A-Z]+)\$[0-9]+"),""),"")</f>
        <v/>
      </c>
      <c r="D185" s="5"/>
      <c r="E185" s="5" t="str" cm="1">
        <f t="array" aca="1" ref="E185" ca="1">IFERROR(IF(OR('Raw Data'!E185="",LEN(TRIM('Raw Data'!E185))=0),_xlfn.REGEXEXTRACT(CELL("address",'Raw Data'!E185),"\$([A-Z]+)\$[0-9]+"),""),"")</f>
        <v/>
      </c>
      <c r="F185" s="5"/>
      <c r="G185" s="5"/>
      <c r="H185" s="5" t="str" cm="1">
        <f t="array" aca="1" ref="H185" ca="1">IFERROR(IF(OR('Raw Data'!H185="",LEN(TRIM('Raw Data'!H185))=0),_xlfn.REGEXEXTRACT(CELL("address",'Raw Data'!H185),"\$([A-Z]+)\$[0-9]+"),""),"")</f>
        <v/>
      </c>
      <c r="I185" s="5"/>
      <c r="J185" s="5"/>
    </row>
    <row r="186" spans="2:10" x14ac:dyDescent="0.25">
      <c r="B186" s="5" t="str" cm="1">
        <f t="array" aca="1" ref="B186" ca="1">IFERROR(IF(OR('Raw Data'!B186="",LEN(TRIM('Raw Data'!B186))=0),_xlfn.REGEXEXTRACT(CELL("address",'Raw Data'!B186),"\$([A-Z]+)\$[0-9]+"),""),"")</f>
        <v/>
      </c>
      <c r="C186" s="5" t="str" cm="1">
        <f t="array" aca="1" ref="C186" ca="1">IFERROR(IF(OR('Raw Data'!C186="",LEN(TRIM('Raw Data'!C186))=0),_xlfn.REGEXEXTRACT(CELL("address",'Raw Data'!C186),"\$([A-Z]+)\$[0-9]+"),""),"")</f>
        <v/>
      </c>
      <c r="D186" s="5"/>
      <c r="E186" s="5" t="str" cm="1">
        <f t="array" aca="1" ref="E186" ca="1">IFERROR(IF(OR('Raw Data'!E186="",LEN(TRIM('Raw Data'!E186))=0),_xlfn.REGEXEXTRACT(CELL("address",'Raw Data'!E186),"\$([A-Z]+)\$[0-9]+"),""),"")</f>
        <v/>
      </c>
      <c r="F186" s="5"/>
      <c r="G186" s="5"/>
      <c r="H186" s="5" t="str" cm="1">
        <f t="array" aca="1" ref="H186" ca="1">IFERROR(IF(OR('Raw Data'!H186="",LEN(TRIM('Raw Data'!H186))=0),_xlfn.REGEXEXTRACT(CELL("address",'Raw Data'!H186),"\$([A-Z]+)\$[0-9]+"),""),"")</f>
        <v/>
      </c>
      <c r="I186" s="5"/>
      <c r="J186" s="5"/>
    </row>
    <row r="187" spans="2:10" x14ac:dyDescent="0.25">
      <c r="B187" s="5" t="str" cm="1">
        <f t="array" aca="1" ref="B187" ca="1">IFERROR(IF(OR('Raw Data'!B187="",LEN(TRIM('Raw Data'!B187))=0),_xlfn.REGEXEXTRACT(CELL("address",'Raw Data'!B187),"\$([A-Z]+)\$[0-9]+"),""),"")</f>
        <v/>
      </c>
      <c r="C187" s="5" t="str" cm="1">
        <f t="array" aca="1" ref="C187" ca="1">IFERROR(IF(OR('Raw Data'!C187="",LEN(TRIM('Raw Data'!C187))=0),_xlfn.REGEXEXTRACT(CELL("address",'Raw Data'!C187),"\$([A-Z]+)\$[0-9]+"),""),"")</f>
        <v/>
      </c>
      <c r="D187" s="5"/>
      <c r="E187" s="5" t="str" cm="1">
        <f t="array" aca="1" ref="E187" ca="1">IFERROR(IF(OR('Raw Data'!E187="",LEN(TRIM('Raw Data'!E187))=0),_xlfn.REGEXEXTRACT(CELL("address",'Raw Data'!E187),"\$([A-Z]+)\$[0-9]+"),""),"")</f>
        <v/>
      </c>
      <c r="F187" s="5"/>
      <c r="G187" s="5"/>
      <c r="H187" s="5" t="str" cm="1">
        <f t="array" aca="1" ref="H187" ca="1">IFERROR(IF(OR('Raw Data'!H187="",LEN(TRIM('Raw Data'!H187))=0),_xlfn.REGEXEXTRACT(CELL("address",'Raw Data'!H187),"\$([A-Z]+)\$[0-9]+"),""),"")</f>
        <v/>
      </c>
      <c r="I187" s="5"/>
      <c r="J187" s="5"/>
    </row>
    <row r="188" spans="2:10" x14ac:dyDescent="0.25">
      <c r="B188" s="5" t="str" cm="1">
        <f t="array" aca="1" ref="B188" ca="1">IFERROR(IF(OR('Raw Data'!B188="",LEN(TRIM('Raw Data'!B188))=0),_xlfn.REGEXEXTRACT(CELL("address",'Raw Data'!B188),"\$([A-Z]+)\$[0-9]+"),""),"")</f>
        <v/>
      </c>
      <c r="C188" s="5" t="str" cm="1">
        <f t="array" aca="1" ref="C188" ca="1">IFERROR(IF(OR('Raw Data'!C188="",LEN(TRIM('Raw Data'!C188))=0),_xlfn.REGEXEXTRACT(CELL("address",'Raw Data'!C188),"\$([A-Z]+)\$[0-9]+"),""),"")</f>
        <v/>
      </c>
      <c r="D188" s="5"/>
      <c r="E188" s="5" t="str" cm="1">
        <f t="array" aca="1" ref="E188" ca="1">IFERROR(IF(OR('Raw Data'!E188="",LEN(TRIM('Raw Data'!E188))=0),_xlfn.REGEXEXTRACT(CELL("address",'Raw Data'!E188),"\$([A-Z]+)\$[0-9]+"),""),"")</f>
        <v/>
      </c>
      <c r="F188" s="5"/>
      <c r="G188" s="5"/>
      <c r="H188" s="5" t="str" cm="1">
        <f t="array" aca="1" ref="H188" ca="1">IFERROR(IF(OR('Raw Data'!H188="",LEN(TRIM('Raw Data'!H188))=0),_xlfn.REGEXEXTRACT(CELL("address",'Raw Data'!H188),"\$([A-Z]+)\$[0-9]+"),""),"")</f>
        <v/>
      </c>
      <c r="I188" s="5"/>
      <c r="J188" s="5"/>
    </row>
    <row r="189" spans="2:10" x14ac:dyDescent="0.25">
      <c r="B189" s="5" t="str" cm="1">
        <f t="array" aca="1" ref="B189" ca="1">IFERROR(IF(OR('Raw Data'!B189="",LEN(TRIM('Raw Data'!B189))=0),_xlfn.REGEXEXTRACT(CELL("address",'Raw Data'!B189),"\$([A-Z]+)\$[0-9]+"),""),"")</f>
        <v/>
      </c>
      <c r="C189" s="5" t="str" cm="1">
        <f t="array" aca="1" ref="C189" ca="1">IFERROR(IF(OR('Raw Data'!C189="",LEN(TRIM('Raw Data'!C189))=0),_xlfn.REGEXEXTRACT(CELL("address",'Raw Data'!C189),"\$([A-Z]+)\$[0-9]+"),""),"")</f>
        <v/>
      </c>
      <c r="D189" s="5"/>
      <c r="E189" s="5" t="str" cm="1">
        <f t="array" aca="1" ref="E189" ca="1">IFERROR(IF(OR('Raw Data'!E189="",LEN(TRIM('Raw Data'!E189))=0),_xlfn.REGEXEXTRACT(CELL("address",'Raw Data'!E189),"\$([A-Z]+)\$[0-9]+"),""),"")</f>
        <v/>
      </c>
      <c r="F189" s="5"/>
      <c r="G189" s="5"/>
      <c r="H189" s="5" t="str" cm="1">
        <f t="array" aca="1" ref="H189" ca="1">IFERROR(IF(OR('Raw Data'!H189="",LEN(TRIM('Raw Data'!H189))=0),_xlfn.REGEXEXTRACT(CELL("address",'Raw Data'!H189),"\$([A-Z]+)\$[0-9]+"),""),"")</f>
        <v/>
      </c>
      <c r="I189" s="5"/>
      <c r="J189" s="5"/>
    </row>
    <row r="190" spans="2:10" x14ac:dyDescent="0.25">
      <c r="B190" s="5" t="str" cm="1">
        <f t="array" aca="1" ref="B190" ca="1">IFERROR(IF(OR('Raw Data'!B190="",LEN(TRIM('Raw Data'!B190))=0),_xlfn.REGEXEXTRACT(CELL("address",'Raw Data'!B190),"\$([A-Z]+)\$[0-9]+"),""),"")</f>
        <v/>
      </c>
      <c r="C190" s="5" t="str" cm="1">
        <f t="array" aca="1" ref="C190" ca="1">IFERROR(IF(OR('Raw Data'!C190="",LEN(TRIM('Raw Data'!C190))=0),_xlfn.REGEXEXTRACT(CELL("address",'Raw Data'!C190),"\$([A-Z]+)\$[0-9]+"),""),"")</f>
        <v/>
      </c>
      <c r="D190" s="5"/>
      <c r="E190" s="5" t="str" cm="1">
        <f t="array" aca="1" ref="E190" ca="1">IFERROR(IF(OR('Raw Data'!E190="",LEN(TRIM('Raw Data'!E190))=0),_xlfn.REGEXEXTRACT(CELL("address",'Raw Data'!E190),"\$([A-Z]+)\$[0-9]+"),""),"")</f>
        <v/>
      </c>
      <c r="F190" s="5"/>
      <c r="G190" s="5"/>
      <c r="H190" s="5" t="str" cm="1">
        <f t="array" aca="1" ref="H190" ca="1">IFERROR(IF(OR('Raw Data'!H190="",LEN(TRIM('Raw Data'!H190))=0),_xlfn.REGEXEXTRACT(CELL("address",'Raw Data'!H190),"\$([A-Z]+)\$[0-9]+"),""),"")</f>
        <v/>
      </c>
      <c r="I190" s="5"/>
      <c r="J190" s="5"/>
    </row>
    <row r="191" spans="2:10" x14ac:dyDescent="0.25">
      <c r="B191" s="5" t="str" cm="1">
        <f t="array" aca="1" ref="B191" ca="1">IFERROR(IF(OR('Raw Data'!B191="",LEN(TRIM('Raw Data'!B191))=0),_xlfn.REGEXEXTRACT(CELL("address",'Raw Data'!B191),"\$([A-Z]+)\$[0-9]+"),""),"")</f>
        <v/>
      </c>
      <c r="C191" s="5" t="str" cm="1">
        <f t="array" aca="1" ref="C191" ca="1">IFERROR(IF(OR('Raw Data'!C191="",LEN(TRIM('Raw Data'!C191))=0),_xlfn.REGEXEXTRACT(CELL("address",'Raw Data'!C191),"\$([A-Z]+)\$[0-9]+"),""),"")</f>
        <v/>
      </c>
      <c r="D191" s="5"/>
      <c r="E191" s="5" t="str" cm="1">
        <f t="array" aca="1" ref="E191" ca="1">IFERROR(IF(OR('Raw Data'!E191="",LEN(TRIM('Raw Data'!E191))=0),_xlfn.REGEXEXTRACT(CELL("address",'Raw Data'!E191),"\$([A-Z]+)\$[0-9]+"),""),"")</f>
        <v/>
      </c>
      <c r="F191" s="5"/>
      <c r="G191" s="5"/>
      <c r="H191" s="5" t="str" cm="1">
        <f t="array" aca="1" ref="H191" ca="1">IFERROR(IF(OR('Raw Data'!H191="",LEN(TRIM('Raw Data'!H191))=0),_xlfn.REGEXEXTRACT(CELL("address",'Raw Data'!H191),"\$([A-Z]+)\$[0-9]+"),""),"")</f>
        <v/>
      </c>
      <c r="I191" s="5"/>
      <c r="J191" s="5"/>
    </row>
    <row r="192" spans="2:10" x14ac:dyDescent="0.25">
      <c r="B192" s="5" t="str" cm="1">
        <f t="array" aca="1" ref="B192" ca="1">IFERROR(IF(OR('Raw Data'!B192="",LEN(TRIM('Raw Data'!B192))=0),_xlfn.REGEXEXTRACT(CELL("address",'Raw Data'!B192),"\$([A-Z]+)\$[0-9]+"),""),"")</f>
        <v/>
      </c>
      <c r="C192" s="5" t="str" cm="1">
        <f t="array" aca="1" ref="C192" ca="1">IFERROR(IF(OR('Raw Data'!C192="",LEN(TRIM('Raw Data'!C192))=0),_xlfn.REGEXEXTRACT(CELL("address",'Raw Data'!C192),"\$([A-Z]+)\$[0-9]+"),""),"")</f>
        <v/>
      </c>
      <c r="D192" s="5"/>
      <c r="E192" s="5" t="str" cm="1">
        <f t="array" aca="1" ref="E192" ca="1">IFERROR(IF(OR('Raw Data'!E192="",LEN(TRIM('Raw Data'!E192))=0),_xlfn.REGEXEXTRACT(CELL("address",'Raw Data'!E192),"\$([A-Z]+)\$[0-9]+"),""),"")</f>
        <v/>
      </c>
      <c r="F192" s="5"/>
      <c r="G192" s="5"/>
      <c r="H192" s="5" t="str" cm="1">
        <f t="array" aca="1" ref="H192" ca="1">IFERROR(IF(OR('Raw Data'!H192="",LEN(TRIM('Raw Data'!H192))=0),_xlfn.REGEXEXTRACT(CELL("address",'Raw Data'!H192),"\$([A-Z]+)\$[0-9]+"),""),"")</f>
        <v/>
      </c>
      <c r="I192" s="5"/>
      <c r="J192" s="5"/>
    </row>
    <row r="193" spans="2:10" x14ac:dyDescent="0.25">
      <c r="B193" s="5" t="str" cm="1">
        <f t="array" aca="1" ref="B193" ca="1">IFERROR(IF(OR('Raw Data'!B193="",LEN(TRIM('Raw Data'!B193))=0),_xlfn.REGEXEXTRACT(CELL("address",'Raw Data'!B193),"\$([A-Z]+)\$[0-9]+"),""),"")</f>
        <v/>
      </c>
      <c r="C193" s="5" t="str" cm="1">
        <f t="array" aca="1" ref="C193" ca="1">IFERROR(IF(OR('Raw Data'!C193="",LEN(TRIM('Raw Data'!C193))=0),_xlfn.REGEXEXTRACT(CELL("address",'Raw Data'!C193),"\$([A-Z]+)\$[0-9]+"),""),"")</f>
        <v/>
      </c>
      <c r="D193" s="5"/>
      <c r="E193" s="5" t="str" cm="1">
        <f t="array" aca="1" ref="E193" ca="1">IFERROR(IF(OR('Raw Data'!E193="",LEN(TRIM('Raw Data'!E193))=0),_xlfn.REGEXEXTRACT(CELL("address",'Raw Data'!E193),"\$([A-Z]+)\$[0-9]+"),""),"")</f>
        <v/>
      </c>
      <c r="F193" s="5"/>
      <c r="G193" s="5"/>
      <c r="H193" s="5" t="str" cm="1">
        <f t="array" aca="1" ref="H193" ca="1">IFERROR(IF(OR('Raw Data'!H193="",LEN(TRIM('Raw Data'!H193))=0),_xlfn.REGEXEXTRACT(CELL("address",'Raw Data'!H193),"\$([A-Z]+)\$[0-9]+"),""),"")</f>
        <v/>
      </c>
      <c r="I193" s="5"/>
      <c r="J193" s="5"/>
    </row>
    <row r="194" spans="2:10" x14ac:dyDescent="0.25">
      <c r="B194" s="5" t="str" cm="1">
        <f t="array" aca="1" ref="B194" ca="1">IFERROR(IF(OR('Raw Data'!B194="",LEN(TRIM('Raw Data'!B194))=0),_xlfn.REGEXEXTRACT(CELL("address",'Raw Data'!B194),"\$([A-Z]+)\$[0-9]+"),""),"")</f>
        <v/>
      </c>
      <c r="C194" s="5" t="str" cm="1">
        <f t="array" aca="1" ref="C194" ca="1">IFERROR(IF(OR('Raw Data'!C194="",LEN(TRIM('Raw Data'!C194))=0),_xlfn.REGEXEXTRACT(CELL("address",'Raw Data'!C194),"\$([A-Z]+)\$[0-9]+"),""),"")</f>
        <v/>
      </c>
      <c r="D194" s="5"/>
      <c r="E194" s="5" t="str" cm="1">
        <f t="array" aca="1" ref="E194" ca="1">IFERROR(IF(OR('Raw Data'!E194="",LEN(TRIM('Raw Data'!E194))=0),_xlfn.REGEXEXTRACT(CELL("address",'Raw Data'!E194),"\$([A-Z]+)\$[0-9]+"),""),"")</f>
        <v/>
      </c>
      <c r="F194" s="5"/>
      <c r="G194" s="5"/>
      <c r="H194" s="5" t="str" cm="1">
        <f t="array" aca="1" ref="H194" ca="1">IFERROR(IF(OR('Raw Data'!H194="",LEN(TRIM('Raw Data'!H194))=0),_xlfn.REGEXEXTRACT(CELL("address",'Raw Data'!H194),"\$([A-Z]+)\$[0-9]+"),""),"")</f>
        <v/>
      </c>
      <c r="I194" s="5"/>
      <c r="J194" s="5"/>
    </row>
    <row r="195" spans="2:10" x14ac:dyDescent="0.25">
      <c r="B195" s="5" t="str" cm="1">
        <f t="array" aca="1" ref="B195" ca="1">IFERROR(IF(OR('Raw Data'!B195="",LEN(TRIM('Raw Data'!B195))=0),_xlfn.REGEXEXTRACT(CELL("address",'Raw Data'!B195),"\$([A-Z]+)\$[0-9]+"),""),"")</f>
        <v/>
      </c>
      <c r="C195" s="5" t="str" cm="1">
        <f t="array" aca="1" ref="C195" ca="1">IFERROR(IF(OR('Raw Data'!C195="",LEN(TRIM('Raw Data'!C195))=0),_xlfn.REGEXEXTRACT(CELL("address",'Raw Data'!C195),"\$([A-Z]+)\$[0-9]+"),""),"")</f>
        <v/>
      </c>
      <c r="D195" s="5"/>
      <c r="E195" s="5" t="str" cm="1">
        <f t="array" aca="1" ref="E195" ca="1">IFERROR(IF(OR('Raw Data'!E195="",LEN(TRIM('Raw Data'!E195))=0),_xlfn.REGEXEXTRACT(CELL("address",'Raw Data'!E195),"\$([A-Z]+)\$[0-9]+"),""),"")</f>
        <v/>
      </c>
      <c r="F195" s="5"/>
      <c r="G195" s="5"/>
      <c r="H195" s="5" t="str" cm="1">
        <f t="array" aca="1" ref="H195" ca="1">IFERROR(IF(OR('Raw Data'!H195="",LEN(TRIM('Raw Data'!H195))=0),_xlfn.REGEXEXTRACT(CELL("address",'Raw Data'!H195),"\$([A-Z]+)\$[0-9]+"),""),"")</f>
        <v/>
      </c>
      <c r="I195" s="5"/>
      <c r="J195" s="5"/>
    </row>
    <row r="196" spans="2:10" x14ac:dyDescent="0.25">
      <c r="B196" s="5" t="str" cm="1">
        <f t="array" aca="1" ref="B196" ca="1">IFERROR(IF(OR('Raw Data'!B196="",LEN(TRIM('Raw Data'!B196))=0),_xlfn.REGEXEXTRACT(CELL("address",'Raw Data'!B196),"\$([A-Z]+)\$[0-9]+"),""),"")</f>
        <v/>
      </c>
      <c r="C196" s="5" t="str" cm="1">
        <f t="array" aca="1" ref="C196" ca="1">IFERROR(IF(OR('Raw Data'!C196="",LEN(TRIM('Raw Data'!C196))=0),_xlfn.REGEXEXTRACT(CELL("address",'Raw Data'!C196),"\$([A-Z]+)\$[0-9]+"),""),"")</f>
        <v/>
      </c>
      <c r="D196" s="5"/>
      <c r="E196" s="5" t="str" cm="1">
        <f t="array" aca="1" ref="E196" ca="1">IFERROR(IF(OR('Raw Data'!E196="",LEN(TRIM('Raw Data'!E196))=0),_xlfn.REGEXEXTRACT(CELL("address",'Raw Data'!E196),"\$([A-Z]+)\$[0-9]+"),""),"")</f>
        <v/>
      </c>
      <c r="F196" s="5"/>
      <c r="G196" s="5"/>
      <c r="H196" s="5" t="str" cm="1">
        <f t="array" aca="1" ref="H196" ca="1">IFERROR(IF(OR('Raw Data'!H196="",LEN(TRIM('Raw Data'!H196))=0),_xlfn.REGEXEXTRACT(CELL("address",'Raw Data'!H196),"\$([A-Z]+)\$[0-9]+"),""),"")</f>
        <v/>
      </c>
      <c r="I196" s="5"/>
      <c r="J196" s="5"/>
    </row>
    <row r="197" spans="2:10" x14ac:dyDescent="0.25">
      <c r="B197" s="5" t="str" cm="1">
        <f t="array" aca="1" ref="B197" ca="1">IFERROR(IF(OR('Raw Data'!B197="",LEN(TRIM('Raw Data'!B197))=0),_xlfn.REGEXEXTRACT(CELL("address",'Raw Data'!B197),"\$([A-Z]+)\$[0-9]+"),""),"")</f>
        <v/>
      </c>
      <c r="C197" s="5" t="str" cm="1">
        <f t="array" aca="1" ref="C197" ca="1">IFERROR(IF(OR('Raw Data'!C197="",LEN(TRIM('Raw Data'!C197))=0),_xlfn.REGEXEXTRACT(CELL("address",'Raw Data'!C197),"\$([A-Z]+)\$[0-9]+"),""),"")</f>
        <v/>
      </c>
      <c r="D197" s="5"/>
      <c r="E197" s="5" t="str" cm="1">
        <f t="array" aca="1" ref="E197" ca="1">IFERROR(IF(OR('Raw Data'!E197="",LEN(TRIM('Raw Data'!E197))=0),_xlfn.REGEXEXTRACT(CELL("address",'Raw Data'!E197),"\$([A-Z]+)\$[0-9]+"),""),"")</f>
        <v/>
      </c>
      <c r="F197" s="5"/>
      <c r="G197" s="5"/>
      <c r="H197" s="5" t="str" cm="1">
        <f t="array" aca="1" ref="H197" ca="1">IFERROR(IF(OR('Raw Data'!H197="",LEN(TRIM('Raw Data'!H197))=0),_xlfn.REGEXEXTRACT(CELL("address",'Raw Data'!H197),"\$([A-Z]+)\$[0-9]+"),""),"")</f>
        <v/>
      </c>
      <c r="I197" s="5"/>
      <c r="J197" s="5"/>
    </row>
    <row r="198" spans="2:10" x14ac:dyDescent="0.25">
      <c r="B198" s="5" t="str" cm="1">
        <f t="array" aca="1" ref="B198" ca="1">IFERROR(IF(OR('Raw Data'!B198="",LEN(TRIM('Raw Data'!B198))=0),_xlfn.REGEXEXTRACT(CELL("address",'Raw Data'!B198),"\$([A-Z]+)\$[0-9]+"),""),"")</f>
        <v/>
      </c>
      <c r="C198" s="5" t="str" cm="1">
        <f t="array" aca="1" ref="C198" ca="1">IFERROR(IF(OR('Raw Data'!C198="",LEN(TRIM('Raw Data'!C198))=0),_xlfn.REGEXEXTRACT(CELL("address",'Raw Data'!C198),"\$([A-Z]+)\$[0-9]+"),""),"")</f>
        <v/>
      </c>
      <c r="D198" s="5"/>
      <c r="E198" s="5" t="str" cm="1">
        <f t="array" aca="1" ref="E198" ca="1">IFERROR(IF(OR('Raw Data'!E198="",LEN(TRIM('Raw Data'!E198))=0),_xlfn.REGEXEXTRACT(CELL("address",'Raw Data'!E198),"\$([A-Z]+)\$[0-9]+"),""),"")</f>
        <v/>
      </c>
      <c r="F198" s="5"/>
      <c r="G198" s="5"/>
      <c r="H198" s="5" t="str" cm="1">
        <f t="array" aca="1" ref="H198" ca="1">IFERROR(IF(OR('Raw Data'!H198="",LEN(TRIM('Raw Data'!H198))=0),_xlfn.REGEXEXTRACT(CELL("address",'Raw Data'!H198),"\$([A-Z]+)\$[0-9]+"),""),"")</f>
        <v/>
      </c>
      <c r="I198" s="5"/>
      <c r="J198" s="5"/>
    </row>
    <row r="199" spans="2:10" x14ac:dyDescent="0.25">
      <c r="B199" s="5" t="str" cm="1">
        <f t="array" aca="1" ref="B199" ca="1">IFERROR(IF(OR('Raw Data'!B199="",LEN(TRIM('Raw Data'!B199))=0),_xlfn.REGEXEXTRACT(CELL("address",'Raw Data'!B199),"\$([A-Z]+)\$[0-9]+"),""),"")</f>
        <v/>
      </c>
      <c r="C199" s="5" t="str" cm="1">
        <f t="array" aca="1" ref="C199" ca="1">IFERROR(IF(OR('Raw Data'!C199="",LEN(TRIM('Raw Data'!C199))=0),_xlfn.REGEXEXTRACT(CELL("address",'Raw Data'!C199),"\$([A-Z]+)\$[0-9]+"),""),"")</f>
        <v/>
      </c>
      <c r="D199" s="5"/>
      <c r="E199" s="5" t="str" cm="1">
        <f t="array" aca="1" ref="E199" ca="1">IFERROR(IF(OR('Raw Data'!E199="",LEN(TRIM('Raw Data'!E199))=0),_xlfn.REGEXEXTRACT(CELL("address",'Raw Data'!E199),"\$([A-Z]+)\$[0-9]+"),""),"")</f>
        <v/>
      </c>
      <c r="F199" s="5"/>
      <c r="G199" s="5"/>
      <c r="H199" s="5" t="str" cm="1">
        <f t="array" aca="1" ref="H199" ca="1">IFERROR(IF(OR('Raw Data'!H199="",LEN(TRIM('Raw Data'!H199))=0),_xlfn.REGEXEXTRACT(CELL("address",'Raw Data'!H199),"\$([A-Z]+)\$[0-9]+"),""),"")</f>
        <v/>
      </c>
      <c r="I199" s="5"/>
      <c r="J199" s="5"/>
    </row>
    <row r="200" spans="2:10" x14ac:dyDescent="0.25">
      <c r="B200" s="5" t="str" cm="1">
        <f t="array" aca="1" ref="B200" ca="1">IFERROR(IF(OR('Raw Data'!B200="",LEN(TRIM('Raw Data'!B200))=0),_xlfn.REGEXEXTRACT(CELL("address",'Raw Data'!B200),"\$([A-Z]+)\$[0-9]+"),""),"")</f>
        <v/>
      </c>
      <c r="C200" s="5" t="str" cm="1">
        <f t="array" aca="1" ref="C200" ca="1">IFERROR(IF(OR('Raw Data'!C200="",LEN(TRIM('Raw Data'!C200))=0),_xlfn.REGEXEXTRACT(CELL("address",'Raw Data'!C200),"\$([A-Z]+)\$[0-9]+"),""),"")</f>
        <v/>
      </c>
      <c r="D200" s="5"/>
      <c r="E200" s="5" t="str" cm="1">
        <f t="array" aca="1" ref="E200" ca="1">IFERROR(IF(OR('Raw Data'!E200="",LEN(TRIM('Raw Data'!E200))=0),_xlfn.REGEXEXTRACT(CELL("address",'Raw Data'!E200),"\$([A-Z]+)\$[0-9]+"),""),"")</f>
        <v/>
      </c>
      <c r="F200" s="5"/>
      <c r="G200" s="5"/>
      <c r="H200" s="5" t="str" cm="1">
        <f t="array" aca="1" ref="H200" ca="1">IFERROR(IF(OR('Raw Data'!H200="",LEN(TRIM('Raw Data'!H200))=0),_xlfn.REGEXEXTRACT(CELL("address",'Raw Data'!H200),"\$([A-Z]+)\$[0-9]+"),""),"")</f>
        <v/>
      </c>
      <c r="I200" s="5"/>
      <c r="J200" s="5"/>
    </row>
    <row r="201" spans="2:10" x14ac:dyDescent="0.25">
      <c r="B201" s="5" t="str" cm="1">
        <f t="array" aca="1" ref="B201" ca="1">IFERROR(IF(OR('Raw Data'!B201="",LEN(TRIM('Raw Data'!B201))=0),_xlfn.REGEXEXTRACT(CELL("address",'Raw Data'!B201),"\$([A-Z]+)\$[0-9]+"),""),"")</f>
        <v/>
      </c>
      <c r="C201" s="5" t="str" cm="1">
        <f t="array" aca="1" ref="C201" ca="1">IFERROR(IF(OR('Raw Data'!C201="",LEN(TRIM('Raw Data'!C201))=0),_xlfn.REGEXEXTRACT(CELL("address",'Raw Data'!C201),"\$([A-Z]+)\$[0-9]+"),""),"")</f>
        <v/>
      </c>
      <c r="D201" s="5"/>
      <c r="E201" s="5" t="str" cm="1">
        <f t="array" aca="1" ref="E201" ca="1">IFERROR(IF(OR('Raw Data'!E201="",LEN(TRIM('Raw Data'!E201))=0),_xlfn.REGEXEXTRACT(CELL("address",'Raw Data'!E201),"\$([A-Z]+)\$[0-9]+"),""),"")</f>
        <v/>
      </c>
      <c r="F201" s="5"/>
      <c r="G201" s="5"/>
      <c r="H201" s="5" t="str" cm="1">
        <f t="array" aca="1" ref="H201" ca="1">IFERROR(IF(OR('Raw Data'!H201="",LEN(TRIM('Raw Data'!H201))=0),_xlfn.REGEXEXTRACT(CELL("address",'Raw Data'!H201),"\$([A-Z]+)\$[0-9]+"),""),"")</f>
        <v/>
      </c>
      <c r="I201" s="5"/>
      <c r="J201" s="5"/>
    </row>
    <row r="202" spans="2:10" x14ac:dyDescent="0.25">
      <c r="B202" s="5" t="str" cm="1">
        <f t="array" aca="1" ref="B202" ca="1">IFERROR(IF(OR('Raw Data'!B202="",LEN(TRIM('Raw Data'!B202))=0),_xlfn.REGEXEXTRACT(CELL("address",'Raw Data'!B202),"\$([A-Z]+)\$[0-9]+"),""),"")</f>
        <v/>
      </c>
      <c r="C202" s="5" t="str" cm="1">
        <f t="array" aca="1" ref="C202" ca="1">IFERROR(IF(OR('Raw Data'!C202="",LEN(TRIM('Raw Data'!C202))=0),_xlfn.REGEXEXTRACT(CELL("address",'Raw Data'!C202),"\$([A-Z]+)\$[0-9]+"),""),"")</f>
        <v/>
      </c>
      <c r="D202" s="5"/>
      <c r="E202" s="5" t="str" cm="1">
        <f t="array" aca="1" ref="E202" ca="1">IFERROR(IF(OR('Raw Data'!E202="",LEN(TRIM('Raw Data'!E202))=0),_xlfn.REGEXEXTRACT(CELL("address",'Raw Data'!E202),"\$([A-Z]+)\$[0-9]+"),""),"")</f>
        <v/>
      </c>
      <c r="F202" s="5"/>
      <c r="G202" s="5"/>
      <c r="H202" s="5" t="str" cm="1">
        <f t="array" aca="1" ref="H202" ca="1">IFERROR(IF(OR('Raw Data'!H202="",LEN(TRIM('Raw Data'!H202))=0),_xlfn.REGEXEXTRACT(CELL("address",'Raw Data'!H202),"\$([A-Z]+)\$[0-9]+"),""),"")</f>
        <v/>
      </c>
      <c r="I202" s="5"/>
      <c r="J202" s="5"/>
    </row>
    <row r="203" spans="2:10" x14ac:dyDescent="0.25">
      <c r="B203" s="5" t="str" cm="1">
        <f t="array" aca="1" ref="B203" ca="1">IFERROR(IF(OR('Raw Data'!B203="",LEN(TRIM('Raw Data'!B203))=0),_xlfn.REGEXEXTRACT(CELL("address",'Raw Data'!B203),"\$([A-Z]+)\$[0-9]+"),""),"")</f>
        <v/>
      </c>
      <c r="C203" s="5" t="str" cm="1">
        <f t="array" aca="1" ref="C203" ca="1">IFERROR(IF(OR('Raw Data'!C203="",LEN(TRIM('Raw Data'!C203))=0),_xlfn.REGEXEXTRACT(CELL("address",'Raw Data'!C203),"\$([A-Z]+)\$[0-9]+"),""),"")</f>
        <v/>
      </c>
      <c r="D203" s="5"/>
      <c r="E203" s="5" t="str" cm="1">
        <f t="array" aca="1" ref="E203" ca="1">IFERROR(IF(OR('Raw Data'!E203="",LEN(TRIM('Raw Data'!E203))=0),_xlfn.REGEXEXTRACT(CELL("address",'Raw Data'!E203),"\$([A-Z]+)\$[0-9]+"),""),"")</f>
        <v/>
      </c>
      <c r="F203" s="5"/>
      <c r="G203" s="5"/>
      <c r="H203" s="5" t="str" cm="1">
        <f t="array" aca="1" ref="H203" ca="1">IFERROR(IF(OR('Raw Data'!H203="",LEN(TRIM('Raw Data'!H203))=0),_xlfn.REGEXEXTRACT(CELL("address",'Raw Data'!H203),"\$([A-Z]+)\$[0-9]+"),""),"")</f>
        <v/>
      </c>
      <c r="I203" s="5"/>
      <c r="J203" s="5"/>
    </row>
    <row r="204" spans="2:10" x14ac:dyDescent="0.25">
      <c r="B204" s="5" t="str" cm="1">
        <f t="array" aca="1" ref="B204" ca="1">IFERROR(IF(OR('Raw Data'!B204="",LEN(TRIM('Raw Data'!B204))=0),_xlfn.REGEXEXTRACT(CELL("address",'Raw Data'!B204),"\$([A-Z]+)\$[0-9]+"),""),"")</f>
        <v/>
      </c>
      <c r="C204" s="5" t="str" cm="1">
        <f t="array" aca="1" ref="C204" ca="1">IFERROR(IF(OR('Raw Data'!C204="",LEN(TRIM('Raw Data'!C204))=0),_xlfn.REGEXEXTRACT(CELL("address",'Raw Data'!C204),"\$([A-Z]+)\$[0-9]+"),""),"")</f>
        <v/>
      </c>
      <c r="D204" s="5"/>
      <c r="E204" s="5" t="str" cm="1">
        <f t="array" aca="1" ref="E204" ca="1">IFERROR(IF(OR('Raw Data'!E204="",LEN(TRIM('Raw Data'!E204))=0),_xlfn.REGEXEXTRACT(CELL("address",'Raw Data'!E204),"\$([A-Z]+)\$[0-9]+"),""),"")</f>
        <v/>
      </c>
      <c r="F204" s="5"/>
      <c r="G204" s="5"/>
      <c r="H204" s="5" t="str" cm="1">
        <f t="array" aca="1" ref="H204" ca="1">IFERROR(IF(OR('Raw Data'!H204="",LEN(TRIM('Raw Data'!H204))=0),_xlfn.REGEXEXTRACT(CELL("address",'Raw Data'!H204),"\$([A-Z]+)\$[0-9]+"),""),"")</f>
        <v/>
      </c>
      <c r="I204" s="5"/>
      <c r="J204" s="5"/>
    </row>
    <row r="205" spans="2:10" x14ac:dyDescent="0.25">
      <c r="B205" s="5" t="str" cm="1">
        <f t="array" aca="1" ref="B205" ca="1">IFERROR(IF(OR('Raw Data'!B205="",LEN(TRIM('Raw Data'!B205))=0),_xlfn.REGEXEXTRACT(CELL("address",'Raw Data'!B205),"\$([A-Z]+)\$[0-9]+"),""),"")</f>
        <v/>
      </c>
      <c r="C205" s="5" t="str" cm="1">
        <f t="array" aca="1" ref="C205" ca="1">IFERROR(IF(OR('Raw Data'!C205="",LEN(TRIM('Raw Data'!C205))=0),_xlfn.REGEXEXTRACT(CELL("address",'Raw Data'!C205),"\$([A-Z]+)\$[0-9]+"),""),"")</f>
        <v/>
      </c>
      <c r="D205" s="5"/>
      <c r="E205" s="5" t="str" cm="1">
        <f t="array" aca="1" ref="E205" ca="1">IFERROR(IF(OR('Raw Data'!E205="",LEN(TRIM('Raw Data'!E205))=0),_xlfn.REGEXEXTRACT(CELL("address",'Raw Data'!E205),"\$([A-Z]+)\$[0-9]+"),""),"")</f>
        <v/>
      </c>
      <c r="F205" s="5"/>
      <c r="G205" s="5"/>
      <c r="H205" s="5" t="str" cm="1">
        <f t="array" aca="1" ref="H205" ca="1">IFERROR(IF(OR('Raw Data'!H205="",LEN(TRIM('Raw Data'!H205))=0),_xlfn.REGEXEXTRACT(CELL("address",'Raw Data'!H205),"\$([A-Z]+)\$[0-9]+"),""),"")</f>
        <v/>
      </c>
      <c r="I205" s="5"/>
      <c r="J205" s="5"/>
    </row>
    <row r="206" spans="2:10" x14ac:dyDescent="0.25">
      <c r="B206" s="5" t="str" cm="1">
        <f t="array" aca="1" ref="B206" ca="1">IFERROR(IF(OR('Raw Data'!B206="",LEN(TRIM('Raw Data'!B206))=0),_xlfn.REGEXEXTRACT(CELL("address",'Raw Data'!B206),"\$([A-Z]+)\$[0-9]+"),""),"")</f>
        <v/>
      </c>
      <c r="C206" s="5" t="str" cm="1">
        <f t="array" aca="1" ref="C206" ca="1">IFERROR(IF(OR('Raw Data'!C206="",LEN(TRIM('Raw Data'!C206))=0),_xlfn.REGEXEXTRACT(CELL("address",'Raw Data'!C206),"\$([A-Z]+)\$[0-9]+"),""),"")</f>
        <v/>
      </c>
      <c r="D206" s="5"/>
      <c r="E206" s="5" t="str" cm="1">
        <f t="array" aca="1" ref="E206" ca="1">IFERROR(IF(OR('Raw Data'!E206="",LEN(TRIM('Raw Data'!E206))=0),_xlfn.REGEXEXTRACT(CELL("address",'Raw Data'!E206),"\$([A-Z]+)\$[0-9]+"),""),"")</f>
        <v/>
      </c>
      <c r="F206" s="5"/>
      <c r="G206" s="5"/>
      <c r="H206" s="5" t="str" cm="1">
        <f t="array" aca="1" ref="H206" ca="1">IFERROR(IF(OR('Raw Data'!H206="",LEN(TRIM('Raw Data'!H206))=0),_xlfn.REGEXEXTRACT(CELL("address",'Raw Data'!H206),"\$([A-Z]+)\$[0-9]+"),""),"")</f>
        <v/>
      </c>
      <c r="I206" s="5"/>
      <c r="J206" s="5"/>
    </row>
    <row r="207" spans="2:10" x14ac:dyDescent="0.25">
      <c r="B207" s="5" t="str" cm="1">
        <f t="array" aca="1" ref="B207" ca="1">IFERROR(IF(OR('Raw Data'!B207="",LEN(TRIM('Raw Data'!B207))=0),_xlfn.REGEXEXTRACT(CELL("address",'Raw Data'!B207),"\$([A-Z]+)\$[0-9]+"),""),"")</f>
        <v/>
      </c>
      <c r="C207" s="5" t="str" cm="1">
        <f t="array" aca="1" ref="C207" ca="1">IFERROR(IF(OR('Raw Data'!C207="",LEN(TRIM('Raw Data'!C207))=0),_xlfn.REGEXEXTRACT(CELL("address",'Raw Data'!C207),"\$([A-Z]+)\$[0-9]+"),""),"")</f>
        <v/>
      </c>
      <c r="D207" s="5"/>
      <c r="E207" s="5" t="str" cm="1">
        <f t="array" aca="1" ref="E207" ca="1">IFERROR(IF(OR('Raw Data'!E207="",LEN(TRIM('Raw Data'!E207))=0),_xlfn.REGEXEXTRACT(CELL("address",'Raw Data'!E207),"\$([A-Z]+)\$[0-9]+"),""),"")</f>
        <v/>
      </c>
      <c r="F207" s="5"/>
      <c r="G207" s="5"/>
      <c r="H207" s="5" t="str" cm="1">
        <f t="array" aca="1" ref="H207" ca="1">IFERROR(IF(OR('Raw Data'!H207="",LEN(TRIM('Raw Data'!H207))=0),_xlfn.REGEXEXTRACT(CELL("address",'Raw Data'!H207),"\$([A-Z]+)\$[0-9]+"),""),"")</f>
        <v/>
      </c>
      <c r="I207" s="5"/>
      <c r="J207" s="5"/>
    </row>
    <row r="208" spans="2:10" x14ac:dyDescent="0.25">
      <c r="B208" s="5" t="str" cm="1">
        <f t="array" aca="1" ref="B208" ca="1">IFERROR(IF(OR('Raw Data'!B208="",LEN(TRIM('Raw Data'!B208))=0),_xlfn.REGEXEXTRACT(CELL("address",'Raw Data'!B208),"\$([A-Z]+)\$[0-9]+"),""),"")</f>
        <v/>
      </c>
      <c r="C208" s="5" t="str" cm="1">
        <f t="array" aca="1" ref="C208" ca="1">IFERROR(IF(OR('Raw Data'!C208="",LEN(TRIM('Raw Data'!C208))=0),_xlfn.REGEXEXTRACT(CELL("address",'Raw Data'!C208),"\$([A-Z]+)\$[0-9]+"),""),"")</f>
        <v/>
      </c>
      <c r="D208" s="5"/>
      <c r="E208" s="5" t="str" cm="1">
        <f t="array" aca="1" ref="E208" ca="1">IFERROR(IF(OR('Raw Data'!E208="",LEN(TRIM('Raw Data'!E208))=0),_xlfn.REGEXEXTRACT(CELL("address",'Raw Data'!E208),"\$([A-Z]+)\$[0-9]+"),""),"")</f>
        <v/>
      </c>
      <c r="F208" s="5"/>
      <c r="G208" s="5"/>
      <c r="H208" s="5" t="str" cm="1">
        <f t="array" aca="1" ref="H208" ca="1">IFERROR(IF(OR('Raw Data'!H208="",LEN(TRIM('Raw Data'!H208))=0),_xlfn.REGEXEXTRACT(CELL("address",'Raw Data'!H208),"\$([A-Z]+)\$[0-9]+"),""),"")</f>
        <v/>
      </c>
      <c r="I208" s="5"/>
      <c r="J208" s="5"/>
    </row>
    <row r="209" spans="2:10" x14ac:dyDescent="0.25">
      <c r="B209" s="5" t="str" cm="1">
        <f t="array" aca="1" ref="B209" ca="1">IFERROR(IF(OR('Raw Data'!B209="",LEN(TRIM('Raw Data'!B209))=0),_xlfn.REGEXEXTRACT(CELL("address",'Raw Data'!B209),"\$([A-Z]+)\$[0-9]+"),""),"")</f>
        <v/>
      </c>
      <c r="C209" s="5" t="str" cm="1">
        <f t="array" aca="1" ref="C209" ca="1">IFERROR(IF(OR('Raw Data'!C209="",LEN(TRIM('Raw Data'!C209))=0),_xlfn.REGEXEXTRACT(CELL("address",'Raw Data'!C209),"\$([A-Z]+)\$[0-9]+"),""),"")</f>
        <v/>
      </c>
      <c r="D209" s="5"/>
      <c r="E209" s="5" t="str" cm="1">
        <f t="array" aca="1" ref="E209" ca="1">IFERROR(IF(OR('Raw Data'!E209="",LEN(TRIM('Raw Data'!E209))=0),_xlfn.REGEXEXTRACT(CELL("address",'Raw Data'!E209),"\$([A-Z]+)\$[0-9]+"),""),"")</f>
        <v/>
      </c>
      <c r="F209" s="5"/>
      <c r="G209" s="5"/>
      <c r="H209" s="5" t="str" cm="1">
        <f t="array" aca="1" ref="H209" ca="1">IFERROR(IF(OR('Raw Data'!H209="",LEN(TRIM('Raw Data'!H209))=0),_xlfn.REGEXEXTRACT(CELL("address",'Raw Data'!H209),"\$([A-Z]+)\$[0-9]+"),""),"")</f>
        <v/>
      </c>
      <c r="I209" s="5"/>
      <c r="J209" s="5"/>
    </row>
    <row r="210" spans="2:10" x14ac:dyDescent="0.25">
      <c r="B210" s="5" t="str" cm="1">
        <f t="array" aca="1" ref="B210" ca="1">IFERROR(IF(OR('Raw Data'!B210="",LEN(TRIM('Raw Data'!B210))=0),_xlfn.REGEXEXTRACT(CELL("address",'Raw Data'!B210),"\$([A-Z]+)\$[0-9]+"),""),"")</f>
        <v/>
      </c>
      <c r="C210" s="5" t="str" cm="1">
        <f t="array" aca="1" ref="C210" ca="1">IFERROR(IF(OR('Raw Data'!C210="",LEN(TRIM('Raw Data'!C210))=0),_xlfn.REGEXEXTRACT(CELL("address",'Raw Data'!C210),"\$([A-Z]+)\$[0-9]+"),""),"")</f>
        <v/>
      </c>
      <c r="D210" s="5"/>
      <c r="E210" s="5" t="str" cm="1">
        <f t="array" aca="1" ref="E210" ca="1">IFERROR(IF(OR('Raw Data'!E210="",LEN(TRIM('Raw Data'!E210))=0),_xlfn.REGEXEXTRACT(CELL("address",'Raw Data'!E210),"\$([A-Z]+)\$[0-9]+"),""),"")</f>
        <v/>
      </c>
      <c r="F210" s="5"/>
      <c r="G210" s="5"/>
      <c r="H210" s="5" t="str" cm="1">
        <f t="array" aca="1" ref="H210" ca="1">IFERROR(IF(OR('Raw Data'!H210="",LEN(TRIM('Raw Data'!H210))=0),_xlfn.REGEXEXTRACT(CELL("address",'Raw Data'!H210),"\$([A-Z]+)\$[0-9]+"),""),"")</f>
        <v/>
      </c>
      <c r="I210" s="5"/>
      <c r="J210" s="5"/>
    </row>
    <row r="211" spans="2:10" x14ac:dyDescent="0.25">
      <c r="B211" s="5" t="str" cm="1">
        <f t="array" aca="1" ref="B211" ca="1">IFERROR(IF(OR('Raw Data'!B211="",LEN(TRIM('Raw Data'!B211))=0),_xlfn.REGEXEXTRACT(CELL("address",'Raw Data'!B211),"\$([A-Z]+)\$[0-9]+"),""),"")</f>
        <v/>
      </c>
      <c r="C211" s="5" t="str" cm="1">
        <f t="array" aca="1" ref="C211" ca="1">IFERROR(IF(OR('Raw Data'!C211="",LEN(TRIM('Raw Data'!C211))=0),_xlfn.REGEXEXTRACT(CELL("address",'Raw Data'!C211),"\$([A-Z]+)\$[0-9]+"),""),"")</f>
        <v/>
      </c>
      <c r="D211" s="5"/>
      <c r="E211" s="5" t="str" cm="1">
        <f t="array" aca="1" ref="E211" ca="1">IFERROR(IF(OR('Raw Data'!E211="",LEN(TRIM('Raw Data'!E211))=0),_xlfn.REGEXEXTRACT(CELL("address",'Raw Data'!E211),"\$([A-Z]+)\$[0-9]+"),""),"")</f>
        <v/>
      </c>
      <c r="F211" s="5"/>
      <c r="G211" s="5"/>
      <c r="H211" s="5" t="str" cm="1">
        <f t="array" aca="1" ref="H211" ca="1">IFERROR(IF(OR('Raw Data'!H211="",LEN(TRIM('Raw Data'!H211))=0),_xlfn.REGEXEXTRACT(CELL("address",'Raw Data'!H211),"\$([A-Z]+)\$[0-9]+"),""),"")</f>
        <v/>
      </c>
      <c r="I211" s="5"/>
      <c r="J211" s="5"/>
    </row>
    <row r="212" spans="2:10" x14ac:dyDescent="0.25">
      <c r="B212" s="5" t="str" cm="1">
        <f t="array" aca="1" ref="B212" ca="1">IFERROR(IF(OR('Raw Data'!B212="",LEN(TRIM('Raw Data'!B212))=0),_xlfn.REGEXEXTRACT(CELL("address",'Raw Data'!B212),"\$([A-Z]+)\$[0-9]+"),""),"")</f>
        <v/>
      </c>
      <c r="C212" s="5" t="str" cm="1">
        <f t="array" aca="1" ref="C212" ca="1">IFERROR(IF(OR('Raw Data'!C212="",LEN(TRIM('Raw Data'!C212))=0),_xlfn.REGEXEXTRACT(CELL("address",'Raw Data'!C212),"\$([A-Z]+)\$[0-9]+"),""),"")</f>
        <v/>
      </c>
      <c r="D212" s="5"/>
      <c r="E212" s="5" t="str" cm="1">
        <f t="array" aca="1" ref="E212" ca="1">IFERROR(IF(OR('Raw Data'!E212="",LEN(TRIM('Raw Data'!E212))=0),_xlfn.REGEXEXTRACT(CELL("address",'Raw Data'!E212),"\$([A-Z]+)\$[0-9]+"),""),"")</f>
        <v/>
      </c>
      <c r="F212" s="5"/>
      <c r="G212" s="5"/>
      <c r="H212" s="5" t="str" cm="1">
        <f t="array" aca="1" ref="H212" ca="1">IFERROR(IF(OR('Raw Data'!H212="",LEN(TRIM('Raw Data'!H212))=0),_xlfn.REGEXEXTRACT(CELL("address",'Raw Data'!H212),"\$([A-Z]+)\$[0-9]+"),""),"")</f>
        <v/>
      </c>
      <c r="I212" s="5"/>
      <c r="J212" s="5"/>
    </row>
    <row r="213" spans="2:10" x14ac:dyDescent="0.25">
      <c r="B213" s="5" t="str" cm="1">
        <f t="array" aca="1" ref="B213" ca="1">IFERROR(IF(OR('Raw Data'!B213="",LEN(TRIM('Raw Data'!B213))=0),_xlfn.REGEXEXTRACT(CELL("address",'Raw Data'!B213),"\$([A-Z]+)\$[0-9]+"),""),"")</f>
        <v/>
      </c>
      <c r="C213" s="5" t="str" cm="1">
        <f t="array" aca="1" ref="C213" ca="1">IFERROR(IF(OR('Raw Data'!C213="",LEN(TRIM('Raw Data'!C213))=0),_xlfn.REGEXEXTRACT(CELL("address",'Raw Data'!C213),"\$([A-Z]+)\$[0-9]+"),""),"")</f>
        <v/>
      </c>
      <c r="D213" s="5"/>
      <c r="E213" s="5" t="str" cm="1">
        <f t="array" aca="1" ref="E213" ca="1">IFERROR(IF(OR('Raw Data'!E213="",LEN(TRIM('Raw Data'!E213))=0),_xlfn.REGEXEXTRACT(CELL("address",'Raw Data'!E213),"\$([A-Z]+)\$[0-9]+"),""),"")</f>
        <v/>
      </c>
      <c r="F213" s="5"/>
      <c r="G213" s="5"/>
      <c r="H213" s="5" t="str" cm="1">
        <f t="array" aca="1" ref="H213" ca="1">IFERROR(IF(OR('Raw Data'!H213="",LEN(TRIM('Raw Data'!H213))=0),_xlfn.REGEXEXTRACT(CELL("address",'Raw Data'!H213),"\$([A-Z]+)\$[0-9]+"),""),"")</f>
        <v/>
      </c>
      <c r="I213" s="5"/>
      <c r="J213" s="5"/>
    </row>
    <row r="214" spans="2:10" x14ac:dyDescent="0.25">
      <c r="B214" s="5" t="str" cm="1">
        <f t="array" aca="1" ref="B214" ca="1">IFERROR(IF(OR('Raw Data'!B214="",LEN(TRIM('Raw Data'!B214))=0),_xlfn.REGEXEXTRACT(CELL("address",'Raw Data'!B214),"\$([A-Z]+)\$[0-9]+"),""),"")</f>
        <v/>
      </c>
      <c r="C214" s="5" t="str" cm="1">
        <f t="array" aca="1" ref="C214" ca="1">IFERROR(IF(OR('Raw Data'!C214="",LEN(TRIM('Raw Data'!C214))=0),_xlfn.REGEXEXTRACT(CELL("address",'Raw Data'!C214),"\$([A-Z]+)\$[0-9]+"),""),"")</f>
        <v/>
      </c>
      <c r="D214" s="5"/>
      <c r="E214" s="5" t="str" cm="1">
        <f t="array" aca="1" ref="E214" ca="1">IFERROR(IF(OR('Raw Data'!E214="",LEN(TRIM('Raw Data'!E214))=0),_xlfn.REGEXEXTRACT(CELL("address",'Raw Data'!E214),"\$([A-Z]+)\$[0-9]+"),""),"")</f>
        <v/>
      </c>
      <c r="F214" s="5"/>
      <c r="G214" s="5"/>
      <c r="H214" s="5" t="str" cm="1">
        <f t="array" aca="1" ref="H214" ca="1">IFERROR(IF(OR('Raw Data'!H214="",LEN(TRIM('Raw Data'!H214))=0),_xlfn.REGEXEXTRACT(CELL("address",'Raw Data'!H214),"\$([A-Z]+)\$[0-9]+"),""),"")</f>
        <v/>
      </c>
      <c r="I214" s="5"/>
      <c r="J214" s="5"/>
    </row>
    <row r="215" spans="2:10" x14ac:dyDescent="0.25">
      <c r="B215" s="5" t="str" cm="1">
        <f t="array" aca="1" ref="B215" ca="1">IFERROR(IF(OR('Raw Data'!B215="",LEN(TRIM('Raw Data'!B215))=0),_xlfn.REGEXEXTRACT(CELL("address",'Raw Data'!B215),"\$([A-Z]+)\$[0-9]+"),""),"")</f>
        <v/>
      </c>
      <c r="C215" s="5" t="str" cm="1">
        <f t="array" aca="1" ref="C215" ca="1">IFERROR(IF(OR('Raw Data'!C215="",LEN(TRIM('Raw Data'!C215))=0),_xlfn.REGEXEXTRACT(CELL("address",'Raw Data'!C215),"\$([A-Z]+)\$[0-9]+"),""),"")</f>
        <v/>
      </c>
      <c r="D215" s="5"/>
      <c r="E215" s="5" t="str" cm="1">
        <f t="array" aca="1" ref="E215" ca="1">IFERROR(IF(OR('Raw Data'!E215="",LEN(TRIM('Raw Data'!E215))=0),_xlfn.REGEXEXTRACT(CELL("address",'Raw Data'!E215),"\$([A-Z]+)\$[0-9]+"),""),"")</f>
        <v/>
      </c>
      <c r="F215" s="5"/>
      <c r="G215" s="5"/>
      <c r="H215" s="5" t="str" cm="1">
        <f t="array" aca="1" ref="H215" ca="1">IFERROR(IF(OR('Raw Data'!H215="",LEN(TRIM('Raw Data'!H215))=0),_xlfn.REGEXEXTRACT(CELL("address",'Raw Data'!H215),"\$([A-Z]+)\$[0-9]+"),""),"")</f>
        <v/>
      </c>
      <c r="I215" s="5"/>
      <c r="J215" s="5"/>
    </row>
    <row r="216" spans="2:10" x14ac:dyDescent="0.25">
      <c r="B216" s="5" t="str" cm="1">
        <f t="array" aca="1" ref="B216" ca="1">IFERROR(IF(OR('Raw Data'!B216="",LEN(TRIM('Raw Data'!B216))=0),_xlfn.REGEXEXTRACT(CELL("address",'Raw Data'!B216),"\$([A-Z]+)\$[0-9]+"),""),"")</f>
        <v/>
      </c>
      <c r="C216" s="5" t="str" cm="1">
        <f t="array" aca="1" ref="C216" ca="1">IFERROR(IF(OR('Raw Data'!C216="",LEN(TRIM('Raw Data'!C216))=0),_xlfn.REGEXEXTRACT(CELL("address",'Raw Data'!C216),"\$([A-Z]+)\$[0-9]+"),""),"")</f>
        <v/>
      </c>
      <c r="D216" s="5"/>
      <c r="E216" s="5" t="str" cm="1">
        <f t="array" aca="1" ref="E216" ca="1">IFERROR(IF(OR('Raw Data'!E216="",LEN(TRIM('Raw Data'!E216))=0),_xlfn.REGEXEXTRACT(CELL("address",'Raw Data'!E216),"\$([A-Z]+)\$[0-9]+"),""),"")</f>
        <v/>
      </c>
      <c r="F216" s="5"/>
      <c r="G216" s="5"/>
      <c r="H216" s="5" t="str" cm="1">
        <f t="array" aca="1" ref="H216" ca="1">IFERROR(IF(OR('Raw Data'!H216="",LEN(TRIM('Raw Data'!H216))=0),_xlfn.REGEXEXTRACT(CELL("address",'Raw Data'!H216),"\$([A-Z]+)\$[0-9]+"),""),"")</f>
        <v/>
      </c>
      <c r="I216" s="5"/>
      <c r="J216" s="5"/>
    </row>
    <row r="217" spans="2:10" x14ac:dyDescent="0.25">
      <c r="B217" s="5" t="str" cm="1">
        <f t="array" aca="1" ref="B217" ca="1">IFERROR(IF(OR('Raw Data'!B217="",LEN(TRIM('Raw Data'!B217))=0),_xlfn.REGEXEXTRACT(CELL("address",'Raw Data'!B217),"\$([A-Z]+)\$[0-9]+"),""),"")</f>
        <v/>
      </c>
      <c r="C217" s="5" t="str" cm="1">
        <f t="array" aca="1" ref="C217" ca="1">IFERROR(IF(OR('Raw Data'!C217="",LEN(TRIM('Raw Data'!C217))=0),_xlfn.REGEXEXTRACT(CELL("address",'Raw Data'!C217),"\$([A-Z]+)\$[0-9]+"),""),"")</f>
        <v/>
      </c>
      <c r="D217" s="5"/>
      <c r="E217" s="5" t="str" cm="1">
        <f t="array" aca="1" ref="E217" ca="1">IFERROR(IF(OR('Raw Data'!E217="",LEN(TRIM('Raw Data'!E217))=0),_xlfn.REGEXEXTRACT(CELL("address",'Raw Data'!E217),"\$([A-Z]+)\$[0-9]+"),""),"")</f>
        <v/>
      </c>
      <c r="F217" s="5"/>
      <c r="G217" s="5"/>
      <c r="H217" s="5" t="str" cm="1">
        <f t="array" aca="1" ref="H217" ca="1">IFERROR(IF(OR('Raw Data'!H217="",LEN(TRIM('Raw Data'!H217))=0),_xlfn.REGEXEXTRACT(CELL("address",'Raw Data'!H217),"\$([A-Z]+)\$[0-9]+"),""),"")</f>
        <v/>
      </c>
      <c r="I217" s="5"/>
      <c r="J217" s="5"/>
    </row>
    <row r="218" spans="2:10" x14ac:dyDescent="0.25">
      <c r="B218" s="5" t="str" cm="1">
        <f t="array" aca="1" ref="B218" ca="1">IFERROR(IF(OR('Raw Data'!B218="",LEN(TRIM('Raw Data'!B218))=0),_xlfn.REGEXEXTRACT(CELL("address",'Raw Data'!B218),"\$([A-Z]+)\$[0-9]+"),""),"")</f>
        <v/>
      </c>
      <c r="C218" s="5" t="str" cm="1">
        <f t="array" aca="1" ref="C218" ca="1">IFERROR(IF(OR('Raw Data'!C218="",LEN(TRIM('Raw Data'!C218))=0),_xlfn.REGEXEXTRACT(CELL("address",'Raw Data'!C218),"\$([A-Z]+)\$[0-9]+"),""),"")</f>
        <v/>
      </c>
      <c r="D218" s="5"/>
      <c r="E218" s="5" t="str" cm="1">
        <f t="array" aca="1" ref="E218" ca="1">IFERROR(IF(OR('Raw Data'!E218="",LEN(TRIM('Raw Data'!E218))=0),_xlfn.REGEXEXTRACT(CELL("address",'Raw Data'!E218),"\$([A-Z]+)\$[0-9]+"),""),"")</f>
        <v/>
      </c>
      <c r="F218" s="5"/>
      <c r="G218" s="5"/>
      <c r="H218" s="5" t="str" cm="1">
        <f t="array" aca="1" ref="H218" ca="1">IFERROR(IF(OR('Raw Data'!H218="",LEN(TRIM('Raw Data'!H218))=0),_xlfn.REGEXEXTRACT(CELL("address",'Raw Data'!H218),"\$([A-Z]+)\$[0-9]+"),""),"")</f>
        <v/>
      </c>
      <c r="I218" s="5"/>
      <c r="J218" s="5"/>
    </row>
    <row r="219" spans="2:10" x14ac:dyDescent="0.25">
      <c r="B219" s="5" t="str" cm="1">
        <f t="array" aca="1" ref="B219" ca="1">IFERROR(IF(OR('Raw Data'!B219="",LEN(TRIM('Raw Data'!B219))=0),_xlfn.REGEXEXTRACT(CELL("address",'Raw Data'!B219),"\$([A-Z]+)\$[0-9]+"),""),"")</f>
        <v/>
      </c>
      <c r="C219" s="5" t="str" cm="1">
        <f t="array" aca="1" ref="C219" ca="1">IFERROR(IF(OR('Raw Data'!C219="",LEN(TRIM('Raw Data'!C219))=0),_xlfn.REGEXEXTRACT(CELL("address",'Raw Data'!C219),"\$([A-Z]+)\$[0-9]+"),""),"")</f>
        <v/>
      </c>
      <c r="D219" s="5"/>
      <c r="E219" s="5" t="str" cm="1">
        <f t="array" aca="1" ref="E219" ca="1">IFERROR(IF(OR('Raw Data'!E219="",LEN(TRIM('Raw Data'!E219))=0),_xlfn.REGEXEXTRACT(CELL("address",'Raw Data'!E219),"\$([A-Z]+)\$[0-9]+"),""),"")</f>
        <v/>
      </c>
      <c r="F219" s="5"/>
      <c r="G219" s="5"/>
      <c r="H219" s="5" t="str" cm="1">
        <f t="array" aca="1" ref="H219" ca="1">IFERROR(IF(OR('Raw Data'!H219="",LEN(TRIM('Raw Data'!H219))=0),_xlfn.REGEXEXTRACT(CELL("address",'Raw Data'!H219),"\$([A-Z]+)\$[0-9]+"),""),"")</f>
        <v/>
      </c>
      <c r="I219" s="5"/>
      <c r="J219" s="5"/>
    </row>
    <row r="220" spans="2:10" x14ac:dyDescent="0.25">
      <c r="B220" s="5" t="str" cm="1">
        <f t="array" aca="1" ref="B220" ca="1">IFERROR(IF(OR('Raw Data'!B220="",LEN(TRIM('Raw Data'!B220))=0),_xlfn.REGEXEXTRACT(CELL("address",'Raw Data'!B220),"\$([A-Z]+)\$[0-9]+"),""),"")</f>
        <v/>
      </c>
      <c r="C220" s="5" t="str" cm="1">
        <f t="array" aca="1" ref="C220" ca="1">IFERROR(IF(OR('Raw Data'!C220="",LEN(TRIM('Raw Data'!C220))=0),_xlfn.REGEXEXTRACT(CELL("address",'Raw Data'!C220),"\$([A-Z]+)\$[0-9]+"),""),"")</f>
        <v/>
      </c>
      <c r="D220" s="5"/>
      <c r="E220" s="5" t="str" cm="1">
        <f t="array" aca="1" ref="E220" ca="1">IFERROR(IF(OR('Raw Data'!E220="",LEN(TRIM('Raw Data'!E220))=0),_xlfn.REGEXEXTRACT(CELL("address",'Raw Data'!E220),"\$([A-Z]+)\$[0-9]+"),""),"")</f>
        <v/>
      </c>
      <c r="F220" s="5"/>
      <c r="G220" s="5"/>
      <c r="H220" s="5" t="str" cm="1">
        <f t="array" aca="1" ref="H220" ca="1">IFERROR(IF(OR('Raw Data'!H220="",LEN(TRIM('Raw Data'!H220))=0),_xlfn.REGEXEXTRACT(CELL("address",'Raw Data'!H220),"\$([A-Z]+)\$[0-9]+"),""),"")</f>
        <v/>
      </c>
      <c r="I220" s="5"/>
      <c r="J220" s="5"/>
    </row>
    <row r="221" spans="2:10" x14ac:dyDescent="0.25">
      <c r="B221" s="5" t="str" cm="1">
        <f t="array" aca="1" ref="B221" ca="1">IFERROR(IF(OR('Raw Data'!B221="",LEN(TRIM('Raw Data'!B221))=0),_xlfn.REGEXEXTRACT(CELL("address",'Raw Data'!B221),"\$([A-Z]+)\$[0-9]+"),""),"")</f>
        <v/>
      </c>
      <c r="C221" s="5" t="str" cm="1">
        <f t="array" aca="1" ref="C221" ca="1">IFERROR(IF(OR('Raw Data'!C221="",LEN(TRIM('Raw Data'!C221))=0),_xlfn.REGEXEXTRACT(CELL("address",'Raw Data'!C221),"\$([A-Z]+)\$[0-9]+"),""),"")</f>
        <v/>
      </c>
      <c r="D221" s="5"/>
      <c r="E221" s="5" t="str" cm="1">
        <f t="array" aca="1" ref="E221" ca="1">IFERROR(IF(OR('Raw Data'!E221="",LEN(TRIM('Raw Data'!E221))=0),_xlfn.REGEXEXTRACT(CELL("address",'Raw Data'!E221),"\$([A-Z]+)\$[0-9]+"),""),"")</f>
        <v/>
      </c>
      <c r="F221" s="5"/>
      <c r="G221" s="5"/>
      <c r="H221" s="5" t="str" cm="1">
        <f t="array" aca="1" ref="H221" ca="1">IFERROR(IF(OR('Raw Data'!H221="",LEN(TRIM('Raw Data'!H221))=0),_xlfn.REGEXEXTRACT(CELL("address",'Raw Data'!H221),"\$([A-Z]+)\$[0-9]+"),""),"")</f>
        <v/>
      </c>
      <c r="I221" s="5"/>
      <c r="J221" s="5"/>
    </row>
    <row r="222" spans="2:10" x14ac:dyDescent="0.25">
      <c r="B222" s="5" t="str" cm="1">
        <f t="array" aca="1" ref="B222" ca="1">IFERROR(IF(OR('Raw Data'!B222="",LEN(TRIM('Raw Data'!B222))=0),_xlfn.REGEXEXTRACT(CELL("address",'Raw Data'!B222),"\$([A-Z]+)\$[0-9]+"),""),"")</f>
        <v/>
      </c>
      <c r="C222" s="5" t="str" cm="1">
        <f t="array" aca="1" ref="C222" ca="1">IFERROR(IF(OR('Raw Data'!C222="",LEN(TRIM('Raw Data'!C222))=0),_xlfn.REGEXEXTRACT(CELL("address",'Raw Data'!C222),"\$([A-Z]+)\$[0-9]+"),""),"")</f>
        <v/>
      </c>
      <c r="D222" s="5"/>
      <c r="E222" s="5" t="str" cm="1">
        <f t="array" aca="1" ref="E222" ca="1">IFERROR(IF(OR('Raw Data'!E222="",LEN(TRIM('Raw Data'!E222))=0),_xlfn.REGEXEXTRACT(CELL("address",'Raw Data'!E222),"\$([A-Z]+)\$[0-9]+"),""),"")</f>
        <v/>
      </c>
      <c r="F222" s="5"/>
      <c r="G222" s="5"/>
      <c r="H222" s="5" t="str" cm="1">
        <f t="array" aca="1" ref="H222" ca="1">IFERROR(IF(OR('Raw Data'!H222="",LEN(TRIM('Raw Data'!H222))=0),_xlfn.REGEXEXTRACT(CELL("address",'Raw Data'!H222),"\$([A-Z]+)\$[0-9]+"),""),"")</f>
        <v/>
      </c>
      <c r="I222" s="5"/>
      <c r="J222" s="5"/>
    </row>
    <row r="223" spans="2:10" x14ac:dyDescent="0.25">
      <c r="B223" s="5" t="str" cm="1">
        <f t="array" aca="1" ref="B223" ca="1">IFERROR(IF(OR('Raw Data'!B223="",LEN(TRIM('Raw Data'!B223))=0),_xlfn.REGEXEXTRACT(CELL("address",'Raw Data'!B223),"\$([A-Z]+)\$[0-9]+"),""),"")</f>
        <v/>
      </c>
      <c r="C223" s="5" t="str" cm="1">
        <f t="array" aca="1" ref="C223" ca="1">IFERROR(IF(OR('Raw Data'!C223="",LEN(TRIM('Raw Data'!C223))=0),_xlfn.REGEXEXTRACT(CELL("address",'Raw Data'!C223),"\$([A-Z]+)\$[0-9]+"),""),"")</f>
        <v/>
      </c>
      <c r="D223" s="5"/>
      <c r="E223" s="5" t="str" cm="1">
        <f t="array" aca="1" ref="E223" ca="1">IFERROR(IF(OR('Raw Data'!E223="",LEN(TRIM('Raw Data'!E223))=0),_xlfn.REGEXEXTRACT(CELL("address",'Raw Data'!E223),"\$([A-Z]+)\$[0-9]+"),""),"")</f>
        <v/>
      </c>
      <c r="F223" s="5"/>
      <c r="G223" s="5"/>
      <c r="H223" s="5" t="str" cm="1">
        <f t="array" aca="1" ref="H223" ca="1">IFERROR(IF(OR('Raw Data'!H223="",LEN(TRIM('Raw Data'!H223))=0),_xlfn.REGEXEXTRACT(CELL("address",'Raw Data'!H223),"\$([A-Z]+)\$[0-9]+"),""),"")</f>
        <v/>
      </c>
      <c r="I223" s="5"/>
      <c r="J223" s="5"/>
    </row>
    <row r="224" spans="2:10" x14ac:dyDescent="0.25">
      <c r="B224" s="5" t="str" cm="1">
        <f t="array" aca="1" ref="B224" ca="1">IFERROR(IF(OR('Raw Data'!B224="",LEN(TRIM('Raw Data'!B224))=0),_xlfn.REGEXEXTRACT(CELL("address",'Raw Data'!B224),"\$([A-Z]+)\$[0-9]+"),""),"")</f>
        <v/>
      </c>
      <c r="C224" s="5" t="str" cm="1">
        <f t="array" aca="1" ref="C224" ca="1">IFERROR(IF(OR('Raw Data'!C224="",LEN(TRIM('Raw Data'!C224))=0),_xlfn.REGEXEXTRACT(CELL("address",'Raw Data'!C224),"\$([A-Z]+)\$[0-9]+"),""),"")</f>
        <v/>
      </c>
      <c r="D224" s="5"/>
      <c r="E224" s="5" t="str" cm="1">
        <f t="array" aca="1" ref="E224" ca="1">IFERROR(IF(OR('Raw Data'!E224="",LEN(TRIM('Raw Data'!E224))=0),_xlfn.REGEXEXTRACT(CELL("address",'Raw Data'!E224),"\$([A-Z]+)\$[0-9]+"),""),"")</f>
        <v/>
      </c>
      <c r="F224" s="5"/>
      <c r="G224" s="5"/>
      <c r="H224" s="5" t="str" cm="1">
        <f t="array" aca="1" ref="H224" ca="1">IFERROR(IF(OR('Raw Data'!H224="",LEN(TRIM('Raw Data'!H224))=0),_xlfn.REGEXEXTRACT(CELL("address",'Raw Data'!H224),"\$([A-Z]+)\$[0-9]+"),""),"")</f>
        <v/>
      </c>
      <c r="I224" s="5"/>
      <c r="J224" s="5"/>
    </row>
    <row r="225" spans="2:10" x14ac:dyDescent="0.25">
      <c r="B225" s="5" t="str" cm="1">
        <f t="array" aca="1" ref="B225" ca="1">IFERROR(IF(OR('Raw Data'!B225="",LEN(TRIM('Raw Data'!B225))=0),_xlfn.REGEXEXTRACT(CELL("address",'Raw Data'!B225),"\$([A-Z]+)\$[0-9]+"),""),"")</f>
        <v/>
      </c>
      <c r="C225" s="5" t="str" cm="1">
        <f t="array" aca="1" ref="C225" ca="1">IFERROR(IF(OR('Raw Data'!C225="",LEN(TRIM('Raw Data'!C225))=0),_xlfn.REGEXEXTRACT(CELL("address",'Raw Data'!C225),"\$([A-Z]+)\$[0-9]+"),""),"")</f>
        <v/>
      </c>
      <c r="D225" s="5"/>
      <c r="E225" s="5" t="str" cm="1">
        <f t="array" aca="1" ref="E225" ca="1">IFERROR(IF(OR('Raw Data'!E225="",LEN(TRIM('Raw Data'!E225))=0),_xlfn.REGEXEXTRACT(CELL("address",'Raw Data'!E225),"\$([A-Z]+)\$[0-9]+"),""),"")</f>
        <v/>
      </c>
      <c r="F225" s="5"/>
      <c r="G225" s="5"/>
      <c r="H225" s="5" t="str" cm="1">
        <f t="array" aca="1" ref="H225" ca="1">IFERROR(IF(OR('Raw Data'!H225="",LEN(TRIM('Raw Data'!H225))=0),_xlfn.REGEXEXTRACT(CELL("address",'Raw Data'!H225),"\$([A-Z]+)\$[0-9]+"),""),"")</f>
        <v/>
      </c>
      <c r="I225" s="5"/>
      <c r="J225" s="5"/>
    </row>
    <row r="226" spans="2:10" x14ac:dyDescent="0.25">
      <c r="B226" s="5" t="str" cm="1">
        <f t="array" aca="1" ref="B226" ca="1">IFERROR(IF(OR('Raw Data'!B226="",LEN(TRIM('Raw Data'!B226))=0),_xlfn.REGEXEXTRACT(CELL("address",'Raw Data'!B226),"\$([A-Z]+)\$[0-9]+"),""),"")</f>
        <v/>
      </c>
      <c r="C226" s="5" t="str" cm="1">
        <f t="array" aca="1" ref="C226" ca="1">IFERROR(IF(OR('Raw Data'!C226="",LEN(TRIM('Raw Data'!C226))=0),_xlfn.REGEXEXTRACT(CELL("address",'Raw Data'!C226),"\$([A-Z]+)\$[0-9]+"),""),"")</f>
        <v/>
      </c>
      <c r="D226" s="5"/>
      <c r="E226" s="5" t="str" cm="1">
        <f t="array" aca="1" ref="E226" ca="1">IFERROR(IF(OR('Raw Data'!E226="",LEN(TRIM('Raw Data'!E226))=0),_xlfn.REGEXEXTRACT(CELL("address",'Raw Data'!E226),"\$([A-Z]+)\$[0-9]+"),""),"")</f>
        <v/>
      </c>
      <c r="F226" s="5"/>
      <c r="G226" s="5"/>
      <c r="H226" s="5" t="str" cm="1">
        <f t="array" aca="1" ref="H226" ca="1">IFERROR(IF(OR('Raw Data'!H226="",LEN(TRIM('Raw Data'!H226))=0),_xlfn.REGEXEXTRACT(CELL("address",'Raw Data'!H226),"\$([A-Z]+)\$[0-9]+"),""),"")</f>
        <v/>
      </c>
      <c r="I226" s="5"/>
      <c r="J226" s="5"/>
    </row>
    <row r="227" spans="2:10" x14ac:dyDescent="0.25">
      <c r="B227" s="5" t="str" cm="1">
        <f t="array" aca="1" ref="B227" ca="1">IFERROR(IF(OR('Raw Data'!B227="",LEN(TRIM('Raw Data'!B227))=0),_xlfn.REGEXEXTRACT(CELL("address",'Raw Data'!B227),"\$([A-Z]+)\$[0-9]+"),""),"")</f>
        <v/>
      </c>
      <c r="C227" s="5" t="str" cm="1">
        <f t="array" aca="1" ref="C227" ca="1">IFERROR(IF(OR('Raw Data'!C227="",LEN(TRIM('Raw Data'!C227))=0),_xlfn.REGEXEXTRACT(CELL("address",'Raw Data'!C227),"\$([A-Z]+)\$[0-9]+"),""),"")</f>
        <v/>
      </c>
      <c r="D227" s="5"/>
      <c r="E227" s="5" t="str" cm="1">
        <f t="array" aca="1" ref="E227" ca="1">IFERROR(IF(OR('Raw Data'!E227="",LEN(TRIM('Raw Data'!E227))=0),_xlfn.REGEXEXTRACT(CELL("address",'Raw Data'!E227),"\$([A-Z]+)\$[0-9]+"),""),"")</f>
        <v/>
      </c>
      <c r="F227" s="5"/>
      <c r="G227" s="5"/>
      <c r="H227" s="5" t="str" cm="1">
        <f t="array" aca="1" ref="H227" ca="1">IFERROR(IF(OR('Raw Data'!H227="",LEN(TRIM('Raw Data'!H227))=0),_xlfn.REGEXEXTRACT(CELL("address",'Raw Data'!H227),"\$([A-Z]+)\$[0-9]+"),""),"")</f>
        <v/>
      </c>
      <c r="I227" s="5"/>
      <c r="J227" s="5"/>
    </row>
    <row r="228" spans="2:10" x14ac:dyDescent="0.25">
      <c r="B228" s="5" t="str" cm="1">
        <f t="array" aca="1" ref="B228" ca="1">IFERROR(IF(OR('Raw Data'!B228="",LEN(TRIM('Raw Data'!B228))=0),_xlfn.REGEXEXTRACT(CELL("address",'Raw Data'!B228),"\$([A-Z]+)\$[0-9]+"),""),"")</f>
        <v/>
      </c>
      <c r="C228" s="5" t="str" cm="1">
        <f t="array" aca="1" ref="C228" ca="1">IFERROR(IF(OR('Raw Data'!C228="",LEN(TRIM('Raw Data'!C228))=0),_xlfn.REGEXEXTRACT(CELL("address",'Raw Data'!C228),"\$([A-Z]+)\$[0-9]+"),""),"")</f>
        <v/>
      </c>
      <c r="D228" s="5"/>
      <c r="E228" s="5" t="str" cm="1">
        <f t="array" aca="1" ref="E228" ca="1">IFERROR(IF(OR('Raw Data'!E228="",LEN(TRIM('Raw Data'!E228))=0),_xlfn.REGEXEXTRACT(CELL("address",'Raw Data'!E228),"\$([A-Z]+)\$[0-9]+"),""),"")</f>
        <v/>
      </c>
      <c r="F228" s="5"/>
      <c r="G228" s="5"/>
      <c r="H228" s="5" t="str" cm="1">
        <f t="array" aca="1" ref="H228" ca="1">IFERROR(IF(OR('Raw Data'!H228="",LEN(TRIM('Raw Data'!H228))=0),_xlfn.REGEXEXTRACT(CELL("address",'Raw Data'!H228),"\$([A-Z]+)\$[0-9]+"),""),"")</f>
        <v/>
      </c>
      <c r="I228" s="5"/>
      <c r="J228" s="5"/>
    </row>
    <row r="229" spans="2:10" x14ac:dyDescent="0.25">
      <c r="B229" s="5" t="str" cm="1">
        <f t="array" aca="1" ref="B229" ca="1">IFERROR(IF(OR('Raw Data'!B229="",LEN(TRIM('Raw Data'!B229))=0),_xlfn.REGEXEXTRACT(CELL("address",'Raw Data'!B229),"\$([A-Z]+)\$[0-9]+"),""),"")</f>
        <v/>
      </c>
      <c r="C229" s="5" t="str" cm="1">
        <f t="array" aca="1" ref="C229" ca="1">IFERROR(IF(OR('Raw Data'!C229="",LEN(TRIM('Raw Data'!C229))=0),_xlfn.REGEXEXTRACT(CELL("address",'Raw Data'!C229),"\$([A-Z]+)\$[0-9]+"),""),"")</f>
        <v/>
      </c>
      <c r="D229" s="5"/>
      <c r="E229" s="5" t="str" cm="1">
        <f t="array" aca="1" ref="E229" ca="1">IFERROR(IF(OR('Raw Data'!E229="",LEN(TRIM('Raw Data'!E229))=0),_xlfn.REGEXEXTRACT(CELL("address",'Raw Data'!E229),"\$([A-Z]+)\$[0-9]+"),""),"")</f>
        <v/>
      </c>
      <c r="F229" s="5"/>
      <c r="G229" s="5"/>
      <c r="H229" s="5" t="str" cm="1">
        <f t="array" aca="1" ref="H229" ca="1">IFERROR(IF(OR('Raw Data'!H229="",LEN(TRIM('Raw Data'!H229))=0),_xlfn.REGEXEXTRACT(CELL("address",'Raw Data'!H229),"\$([A-Z]+)\$[0-9]+"),""),"")</f>
        <v/>
      </c>
      <c r="I229" s="5"/>
      <c r="J229" s="5"/>
    </row>
    <row r="230" spans="2:10" x14ac:dyDescent="0.25">
      <c r="B230" s="5" t="str" cm="1">
        <f t="array" aca="1" ref="B230" ca="1">IFERROR(IF(OR('Raw Data'!B230="",LEN(TRIM('Raw Data'!B230))=0),_xlfn.REGEXEXTRACT(CELL("address",'Raw Data'!B230),"\$([A-Z]+)\$[0-9]+"),""),"")</f>
        <v/>
      </c>
      <c r="C230" s="5" t="str" cm="1">
        <f t="array" aca="1" ref="C230" ca="1">IFERROR(IF(OR('Raw Data'!C230="",LEN(TRIM('Raw Data'!C230))=0),_xlfn.REGEXEXTRACT(CELL("address",'Raw Data'!C230),"\$([A-Z]+)\$[0-9]+"),""),"")</f>
        <v/>
      </c>
      <c r="D230" s="5"/>
      <c r="E230" s="5" t="str" cm="1">
        <f t="array" aca="1" ref="E230" ca="1">IFERROR(IF(OR('Raw Data'!E230="",LEN(TRIM('Raw Data'!E230))=0),_xlfn.REGEXEXTRACT(CELL("address",'Raw Data'!E230),"\$([A-Z]+)\$[0-9]+"),""),"")</f>
        <v/>
      </c>
      <c r="F230" s="5"/>
      <c r="G230" s="5"/>
      <c r="H230" s="5" t="str" cm="1">
        <f t="array" aca="1" ref="H230" ca="1">IFERROR(IF(OR('Raw Data'!H230="",LEN(TRIM('Raw Data'!H230))=0),_xlfn.REGEXEXTRACT(CELL("address",'Raw Data'!H230),"\$([A-Z]+)\$[0-9]+"),""),"")</f>
        <v/>
      </c>
      <c r="I230" s="5"/>
      <c r="J230" s="5"/>
    </row>
    <row r="231" spans="2:10" x14ac:dyDescent="0.25">
      <c r="B231" s="5" t="str" cm="1">
        <f t="array" aca="1" ref="B231" ca="1">IFERROR(IF(OR('Raw Data'!B231="",LEN(TRIM('Raw Data'!B231))=0),_xlfn.REGEXEXTRACT(CELL("address",'Raw Data'!B231),"\$([A-Z]+)\$[0-9]+"),""),"")</f>
        <v/>
      </c>
      <c r="C231" s="5" t="str" cm="1">
        <f t="array" aca="1" ref="C231" ca="1">IFERROR(IF(OR('Raw Data'!C231="",LEN(TRIM('Raw Data'!C231))=0),_xlfn.REGEXEXTRACT(CELL("address",'Raw Data'!C231),"\$([A-Z]+)\$[0-9]+"),""),"")</f>
        <v/>
      </c>
      <c r="D231" s="5"/>
      <c r="E231" s="5" t="str" cm="1">
        <f t="array" aca="1" ref="E231" ca="1">IFERROR(IF(OR('Raw Data'!E231="",LEN(TRIM('Raw Data'!E231))=0),_xlfn.REGEXEXTRACT(CELL("address",'Raw Data'!E231),"\$([A-Z]+)\$[0-9]+"),""),"")</f>
        <v/>
      </c>
      <c r="F231" s="5"/>
      <c r="G231" s="5"/>
      <c r="H231" s="5" t="str" cm="1">
        <f t="array" aca="1" ref="H231" ca="1">IFERROR(IF(OR('Raw Data'!H231="",LEN(TRIM('Raw Data'!H231))=0),_xlfn.REGEXEXTRACT(CELL("address",'Raw Data'!H231),"\$([A-Z]+)\$[0-9]+"),""),"")</f>
        <v/>
      </c>
      <c r="I231" s="5"/>
      <c r="J231" s="5"/>
    </row>
    <row r="232" spans="2:10" x14ac:dyDescent="0.25">
      <c r="B232" s="5" t="str" cm="1">
        <f t="array" aca="1" ref="B232" ca="1">IFERROR(IF(OR('Raw Data'!B232="",LEN(TRIM('Raw Data'!B232))=0),_xlfn.REGEXEXTRACT(CELL("address",'Raw Data'!B232),"\$([A-Z]+)\$[0-9]+"),""),"")</f>
        <v/>
      </c>
      <c r="C232" s="5" t="str" cm="1">
        <f t="array" aca="1" ref="C232" ca="1">IFERROR(IF(OR('Raw Data'!C232="",LEN(TRIM('Raw Data'!C232))=0),_xlfn.REGEXEXTRACT(CELL("address",'Raw Data'!C232),"\$([A-Z]+)\$[0-9]+"),""),"")</f>
        <v/>
      </c>
      <c r="D232" s="5"/>
      <c r="E232" s="5" t="str" cm="1">
        <f t="array" aca="1" ref="E232" ca="1">IFERROR(IF(OR('Raw Data'!E232="",LEN(TRIM('Raw Data'!E232))=0),_xlfn.REGEXEXTRACT(CELL("address",'Raw Data'!E232),"\$([A-Z]+)\$[0-9]+"),""),"")</f>
        <v/>
      </c>
      <c r="F232" s="5"/>
      <c r="G232" s="5"/>
      <c r="H232" s="5" t="str" cm="1">
        <f t="array" aca="1" ref="H232" ca="1">IFERROR(IF(OR('Raw Data'!H232="",LEN(TRIM('Raw Data'!H232))=0),_xlfn.REGEXEXTRACT(CELL("address",'Raw Data'!H232),"\$([A-Z]+)\$[0-9]+"),""),"")</f>
        <v/>
      </c>
      <c r="I232" s="5"/>
      <c r="J232" s="5"/>
    </row>
    <row r="233" spans="2:10" x14ac:dyDescent="0.25">
      <c r="B233" s="5" t="str" cm="1">
        <f t="array" aca="1" ref="B233" ca="1">IFERROR(IF(OR('Raw Data'!B233="",LEN(TRIM('Raw Data'!B233))=0),_xlfn.REGEXEXTRACT(CELL("address",'Raw Data'!B233),"\$([A-Z]+)\$[0-9]+"),""),"")</f>
        <v/>
      </c>
      <c r="C233" s="5" t="str" cm="1">
        <f t="array" aca="1" ref="C233" ca="1">IFERROR(IF(OR('Raw Data'!C233="",LEN(TRIM('Raw Data'!C233))=0),_xlfn.REGEXEXTRACT(CELL("address",'Raw Data'!C233),"\$([A-Z]+)\$[0-9]+"),""),"")</f>
        <v/>
      </c>
      <c r="D233" s="5"/>
      <c r="E233" s="5" t="str" cm="1">
        <f t="array" aca="1" ref="E233" ca="1">IFERROR(IF(OR('Raw Data'!E233="",LEN(TRIM('Raw Data'!E233))=0),_xlfn.REGEXEXTRACT(CELL("address",'Raw Data'!E233),"\$([A-Z]+)\$[0-9]+"),""),"")</f>
        <v/>
      </c>
      <c r="F233" s="5"/>
      <c r="G233" s="5"/>
      <c r="H233" s="5" t="str" cm="1">
        <f t="array" aca="1" ref="H233" ca="1">IFERROR(IF(OR('Raw Data'!H233="",LEN(TRIM('Raw Data'!H233))=0),_xlfn.REGEXEXTRACT(CELL("address",'Raw Data'!H233),"\$([A-Z]+)\$[0-9]+"),""),"")</f>
        <v/>
      </c>
      <c r="I233" s="5"/>
      <c r="J233" s="5"/>
    </row>
    <row r="234" spans="2:10" x14ac:dyDescent="0.25">
      <c r="B234" s="5" t="str" cm="1">
        <f t="array" aca="1" ref="B234" ca="1">IFERROR(IF(OR('Raw Data'!B234="",LEN(TRIM('Raw Data'!B234))=0),_xlfn.REGEXEXTRACT(CELL("address",'Raw Data'!B234),"\$([A-Z]+)\$[0-9]+"),""),"")</f>
        <v/>
      </c>
      <c r="C234" s="5" t="str" cm="1">
        <f t="array" aca="1" ref="C234" ca="1">IFERROR(IF(OR('Raw Data'!C234="",LEN(TRIM('Raw Data'!C234))=0),_xlfn.REGEXEXTRACT(CELL("address",'Raw Data'!C234),"\$([A-Z]+)\$[0-9]+"),""),"")</f>
        <v/>
      </c>
      <c r="D234" s="5"/>
      <c r="E234" s="5" t="str" cm="1">
        <f t="array" aca="1" ref="E234" ca="1">IFERROR(IF(OR('Raw Data'!E234="",LEN(TRIM('Raw Data'!E234))=0),_xlfn.REGEXEXTRACT(CELL("address",'Raw Data'!E234),"\$([A-Z]+)\$[0-9]+"),""),"")</f>
        <v/>
      </c>
      <c r="F234" s="5"/>
      <c r="G234" s="5"/>
      <c r="H234" s="5" t="str" cm="1">
        <f t="array" aca="1" ref="H234" ca="1">IFERROR(IF(OR('Raw Data'!H234="",LEN(TRIM('Raw Data'!H234))=0),_xlfn.REGEXEXTRACT(CELL("address",'Raw Data'!H234),"\$([A-Z]+)\$[0-9]+"),""),"")</f>
        <v/>
      </c>
      <c r="I234" s="5"/>
      <c r="J234" s="5"/>
    </row>
    <row r="235" spans="2:10" x14ac:dyDescent="0.25">
      <c r="B235" s="5" t="str" cm="1">
        <f t="array" aca="1" ref="B235" ca="1">IFERROR(IF(OR('Raw Data'!B235="",LEN(TRIM('Raw Data'!B235))=0),_xlfn.REGEXEXTRACT(CELL("address",'Raw Data'!B235),"\$([A-Z]+)\$[0-9]+"),""),"")</f>
        <v/>
      </c>
      <c r="C235" s="5" t="str" cm="1">
        <f t="array" aca="1" ref="C235" ca="1">IFERROR(IF(OR('Raw Data'!C235="",LEN(TRIM('Raw Data'!C235))=0),_xlfn.REGEXEXTRACT(CELL("address",'Raw Data'!C235),"\$([A-Z]+)\$[0-9]+"),""),"")</f>
        <v/>
      </c>
      <c r="D235" s="5"/>
      <c r="E235" s="5" t="str" cm="1">
        <f t="array" aca="1" ref="E235" ca="1">IFERROR(IF(OR('Raw Data'!E235="",LEN(TRIM('Raw Data'!E235))=0),_xlfn.REGEXEXTRACT(CELL("address",'Raw Data'!E235),"\$([A-Z]+)\$[0-9]+"),""),"")</f>
        <v/>
      </c>
      <c r="F235" s="5"/>
      <c r="G235" s="5"/>
      <c r="H235" s="5" t="str" cm="1">
        <f t="array" aca="1" ref="H235" ca="1">IFERROR(IF(OR('Raw Data'!H235="",LEN(TRIM('Raw Data'!H235))=0),_xlfn.REGEXEXTRACT(CELL("address",'Raw Data'!H235),"\$([A-Z]+)\$[0-9]+"),""),"")</f>
        <v/>
      </c>
      <c r="I235" s="5"/>
      <c r="J235" s="5"/>
    </row>
    <row r="236" spans="2:10" x14ac:dyDescent="0.25">
      <c r="B236" s="5" t="str" cm="1">
        <f t="array" aca="1" ref="B236" ca="1">IFERROR(IF(OR('Raw Data'!B236="",LEN(TRIM('Raw Data'!B236))=0),_xlfn.REGEXEXTRACT(CELL("address",'Raw Data'!B236),"\$([A-Z]+)\$[0-9]+"),""),"")</f>
        <v/>
      </c>
      <c r="C236" s="5" t="str" cm="1">
        <f t="array" aca="1" ref="C236" ca="1">IFERROR(IF(OR('Raw Data'!C236="",LEN(TRIM('Raw Data'!C236))=0),_xlfn.REGEXEXTRACT(CELL("address",'Raw Data'!C236),"\$([A-Z]+)\$[0-9]+"),""),"")</f>
        <v/>
      </c>
      <c r="D236" s="5"/>
      <c r="E236" s="5" t="str" cm="1">
        <f t="array" aca="1" ref="E236" ca="1">IFERROR(IF(OR('Raw Data'!E236="",LEN(TRIM('Raw Data'!E236))=0),_xlfn.REGEXEXTRACT(CELL("address",'Raw Data'!E236),"\$([A-Z]+)\$[0-9]+"),""),"")</f>
        <v/>
      </c>
      <c r="F236" s="5"/>
      <c r="G236" s="5"/>
      <c r="H236" s="5" t="str" cm="1">
        <f t="array" aca="1" ref="H236" ca="1">IFERROR(IF(OR('Raw Data'!H236="",LEN(TRIM('Raw Data'!H236))=0),_xlfn.REGEXEXTRACT(CELL("address",'Raw Data'!H236),"\$([A-Z]+)\$[0-9]+"),""),"")</f>
        <v/>
      </c>
      <c r="I236" s="5"/>
      <c r="J236" s="5"/>
    </row>
    <row r="237" spans="2:10" x14ac:dyDescent="0.25">
      <c r="B237" s="5" t="str" cm="1">
        <f t="array" aca="1" ref="B237" ca="1">IFERROR(IF(OR('Raw Data'!B237="",LEN(TRIM('Raw Data'!B237))=0),_xlfn.REGEXEXTRACT(CELL("address",'Raw Data'!B237),"\$([A-Z]+)\$[0-9]+"),""),"")</f>
        <v/>
      </c>
      <c r="C237" s="5" t="str" cm="1">
        <f t="array" aca="1" ref="C237" ca="1">IFERROR(IF(OR('Raw Data'!C237="",LEN(TRIM('Raw Data'!C237))=0),_xlfn.REGEXEXTRACT(CELL("address",'Raw Data'!C237),"\$([A-Z]+)\$[0-9]+"),""),"")</f>
        <v/>
      </c>
      <c r="D237" s="5"/>
      <c r="E237" s="5" t="str" cm="1">
        <f t="array" aca="1" ref="E237" ca="1">IFERROR(IF(OR('Raw Data'!E237="",LEN(TRIM('Raw Data'!E237))=0),_xlfn.REGEXEXTRACT(CELL("address",'Raw Data'!E237),"\$([A-Z]+)\$[0-9]+"),""),"")</f>
        <v/>
      </c>
      <c r="F237" s="5"/>
      <c r="G237" s="5"/>
      <c r="H237" s="5" t="str" cm="1">
        <f t="array" aca="1" ref="H237" ca="1">IFERROR(IF(OR('Raw Data'!H237="",LEN(TRIM('Raw Data'!H237))=0),_xlfn.REGEXEXTRACT(CELL("address",'Raw Data'!H237),"\$([A-Z]+)\$[0-9]+"),""),"")</f>
        <v/>
      </c>
      <c r="I237" s="5"/>
      <c r="J237" s="5"/>
    </row>
    <row r="238" spans="2:10" x14ac:dyDescent="0.25">
      <c r="B238" s="5" t="str" cm="1">
        <f t="array" aca="1" ref="B238" ca="1">IFERROR(IF(OR('Raw Data'!B238="",LEN(TRIM('Raw Data'!B238))=0),_xlfn.REGEXEXTRACT(CELL("address",'Raw Data'!B238),"\$([A-Z]+)\$[0-9]+"),""),"")</f>
        <v/>
      </c>
      <c r="C238" s="5" t="str" cm="1">
        <f t="array" aca="1" ref="C238" ca="1">IFERROR(IF(OR('Raw Data'!C238="",LEN(TRIM('Raw Data'!C238))=0),_xlfn.REGEXEXTRACT(CELL("address",'Raw Data'!C238),"\$([A-Z]+)\$[0-9]+"),""),"")</f>
        <v/>
      </c>
      <c r="D238" s="5"/>
      <c r="E238" s="5" t="str" cm="1">
        <f t="array" aca="1" ref="E238" ca="1">IFERROR(IF(OR('Raw Data'!E238="",LEN(TRIM('Raw Data'!E238))=0),_xlfn.REGEXEXTRACT(CELL("address",'Raw Data'!E238),"\$([A-Z]+)\$[0-9]+"),""),"")</f>
        <v/>
      </c>
      <c r="F238" s="5"/>
      <c r="G238" s="5"/>
      <c r="H238" s="5" t="str" cm="1">
        <f t="array" aca="1" ref="H238" ca="1">IFERROR(IF(OR('Raw Data'!H238="",LEN(TRIM('Raw Data'!H238))=0),_xlfn.REGEXEXTRACT(CELL("address",'Raw Data'!H238),"\$([A-Z]+)\$[0-9]+"),""),"")</f>
        <v/>
      </c>
      <c r="I238" s="5"/>
      <c r="J238" s="5"/>
    </row>
    <row r="239" spans="2:10" x14ac:dyDescent="0.25">
      <c r="B239" s="5" t="str" cm="1">
        <f t="array" aca="1" ref="B239" ca="1">IFERROR(IF(OR('Raw Data'!B239="",LEN(TRIM('Raw Data'!B239))=0),_xlfn.REGEXEXTRACT(CELL("address",'Raw Data'!B239),"\$([A-Z]+)\$[0-9]+"),""),"")</f>
        <v/>
      </c>
      <c r="C239" s="5" t="str" cm="1">
        <f t="array" aca="1" ref="C239" ca="1">IFERROR(IF(OR('Raw Data'!C239="",LEN(TRIM('Raw Data'!C239))=0),_xlfn.REGEXEXTRACT(CELL("address",'Raw Data'!C239),"\$([A-Z]+)\$[0-9]+"),""),"")</f>
        <v/>
      </c>
      <c r="D239" s="5"/>
      <c r="E239" s="5" t="str" cm="1">
        <f t="array" aca="1" ref="E239" ca="1">IFERROR(IF(OR('Raw Data'!E239="",LEN(TRIM('Raw Data'!E239))=0),_xlfn.REGEXEXTRACT(CELL("address",'Raw Data'!E239),"\$([A-Z]+)\$[0-9]+"),""),"")</f>
        <v/>
      </c>
      <c r="F239" s="5"/>
      <c r="G239" s="5"/>
      <c r="H239" s="5" t="str" cm="1">
        <f t="array" aca="1" ref="H239" ca="1">IFERROR(IF(OR('Raw Data'!H239="",LEN(TRIM('Raw Data'!H239))=0),_xlfn.REGEXEXTRACT(CELL("address",'Raw Data'!H239),"\$([A-Z]+)\$[0-9]+"),""),"")</f>
        <v/>
      </c>
      <c r="I239" s="5"/>
      <c r="J239" s="5"/>
    </row>
    <row r="240" spans="2:10" x14ac:dyDescent="0.25">
      <c r="B240" s="5" t="str" cm="1">
        <f t="array" aca="1" ref="B240" ca="1">IFERROR(IF(OR('Raw Data'!B240="",LEN(TRIM('Raw Data'!B240))=0),_xlfn.REGEXEXTRACT(CELL("address",'Raw Data'!B240),"\$([A-Z]+)\$[0-9]+"),""),"")</f>
        <v/>
      </c>
      <c r="C240" s="5" t="str" cm="1">
        <f t="array" aca="1" ref="C240" ca="1">IFERROR(IF(OR('Raw Data'!C240="",LEN(TRIM('Raw Data'!C240))=0),_xlfn.REGEXEXTRACT(CELL("address",'Raw Data'!C240),"\$([A-Z]+)\$[0-9]+"),""),"")</f>
        <v/>
      </c>
      <c r="D240" s="5"/>
      <c r="E240" s="5" t="str" cm="1">
        <f t="array" aca="1" ref="E240" ca="1">IFERROR(IF(OR('Raw Data'!E240="",LEN(TRIM('Raw Data'!E240))=0),_xlfn.REGEXEXTRACT(CELL("address",'Raw Data'!E240),"\$([A-Z]+)\$[0-9]+"),""),"")</f>
        <v/>
      </c>
      <c r="F240" s="5"/>
      <c r="G240" s="5"/>
      <c r="H240" s="5" t="str" cm="1">
        <f t="array" aca="1" ref="H240" ca="1">IFERROR(IF(OR('Raw Data'!H240="",LEN(TRIM('Raw Data'!H240))=0),_xlfn.REGEXEXTRACT(CELL("address",'Raw Data'!H240),"\$([A-Z]+)\$[0-9]+"),""),"")</f>
        <v/>
      </c>
      <c r="I240" s="5"/>
      <c r="J240" s="5"/>
    </row>
    <row r="241" spans="2:10" x14ac:dyDescent="0.25">
      <c r="B241" s="5" t="str" cm="1">
        <f t="array" aca="1" ref="B241" ca="1">IFERROR(IF(OR('Raw Data'!B241="",LEN(TRIM('Raw Data'!B241))=0),_xlfn.REGEXEXTRACT(CELL("address",'Raw Data'!B241),"\$([A-Z]+)\$[0-9]+"),""),"")</f>
        <v/>
      </c>
      <c r="C241" s="5" t="str" cm="1">
        <f t="array" aca="1" ref="C241" ca="1">IFERROR(IF(OR('Raw Data'!C241="",LEN(TRIM('Raw Data'!C241))=0),_xlfn.REGEXEXTRACT(CELL("address",'Raw Data'!C241),"\$([A-Z]+)\$[0-9]+"),""),"")</f>
        <v/>
      </c>
      <c r="D241" s="5"/>
      <c r="E241" s="5" t="str" cm="1">
        <f t="array" aca="1" ref="E241" ca="1">IFERROR(IF(OR('Raw Data'!E241="",LEN(TRIM('Raw Data'!E241))=0),_xlfn.REGEXEXTRACT(CELL("address",'Raw Data'!E241),"\$([A-Z]+)\$[0-9]+"),""),"")</f>
        <v/>
      </c>
      <c r="F241" s="5"/>
      <c r="G241" s="5"/>
      <c r="H241" s="5" t="str" cm="1">
        <f t="array" aca="1" ref="H241" ca="1">IFERROR(IF(OR('Raw Data'!H241="",LEN(TRIM('Raw Data'!H241))=0),_xlfn.REGEXEXTRACT(CELL("address",'Raw Data'!H241),"\$([A-Z]+)\$[0-9]+"),""),"")</f>
        <v/>
      </c>
      <c r="I241" s="5"/>
      <c r="J241" s="5"/>
    </row>
    <row r="242" spans="2:10" x14ac:dyDescent="0.25">
      <c r="B242" s="5" t="str" cm="1">
        <f t="array" aca="1" ref="B242" ca="1">IFERROR(IF(OR('Raw Data'!B242="",LEN(TRIM('Raw Data'!B242))=0),_xlfn.REGEXEXTRACT(CELL("address",'Raw Data'!B242),"\$([A-Z]+)\$[0-9]+"),""),"")</f>
        <v/>
      </c>
      <c r="C242" s="5" t="str" cm="1">
        <f t="array" aca="1" ref="C242" ca="1">IFERROR(IF(OR('Raw Data'!C242="",LEN(TRIM('Raw Data'!C242))=0),_xlfn.REGEXEXTRACT(CELL("address",'Raw Data'!C242),"\$([A-Z]+)\$[0-9]+"),""),"")</f>
        <v/>
      </c>
      <c r="D242" s="5"/>
      <c r="E242" s="5" t="str" cm="1">
        <f t="array" aca="1" ref="E242" ca="1">IFERROR(IF(OR('Raw Data'!E242="",LEN(TRIM('Raw Data'!E242))=0),_xlfn.REGEXEXTRACT(CELL("address",'Raw Data'!E242),"\$([A-Z]+)\$[0-9]+"),""),"")</f>
        <v/>
      </c>
      <c r="F242" s="5"/>
      <c r="G242" s="5"/>
      <c r="H242" s="5" t="str" cm="1">
        <f t="array" aca="1" ref="H242" ca="1">IFERROR(IF(OR('Raw Data'!H242="",LEN(TRIM('Raw Data'!H242))=0),_xlfn.REGEXEXTRACT(CELL("address",'Raw Data'!H242),"\$([A-Z]+)\$[0-9]+"),""),"")</f>
        <v/>
      </c>
      <c r="I242" s="5"/>
      <c r="J242" s="5"/>
    </row>
    <row r="243" spans="2:10" x14ac:dyDescent="0.25">
      <c r="B243" s="5" t="str" cm="1">
        <f t="array" aca="1" ref="B243" ca="1">IFERROR(IF(OR('Raw Data'!B243="",LEN(TRIM('Raw Data'!B243))=0),_xlfn.REGEXEXTRACT(CELL("address",'Raw Data'!B243),"\$([A-Z]+)\$[0-9]+"),""),"")</f>
        <v/>
      </c>
      <c r="C243" s="5" t="str" cm="1">
        <f t="array" aca="1" ref="C243" ca="1">IFERROR(IF(OR('Raw Data'!C243="",LEN(TRIM('Raw Data'!C243))=0),_xlfn.REGEXEXTRACT(CELL("address",'Raw Data'!C243),"\$([A-Z]+)\$[0-9]+"),""),"")</f>
        <v/>
      </c>
      <c r="D243" s="5"/>
      <c r="E243" s="5" t="str" cm="1">
        <f t="array" aca="1" ref="E243" ca="1">IFERROR(IF(OR('Raw Data'!E243="",LEN(TRIM('Raw Data'!E243))=0),_xlfn.REGEXEXTRACT(CELL("address",'Raw Data'!E243),"\$([A-Z]+)\$[0-9]+"),""),"")</f>
        <v/>
      </c>
      <c r="F243" s="5"/>
      <c r="G243" s="5"/>
      <c r="H243" s="5" t="str" cm="1">
        <f t="array" aca="1" ref="H243" ca="1">IFERROR(IF(OR('Raw Data'!H243="",LEN(TRIM('Raw Data'!H243))=0),_xlfn.REGEXEXTRACT(CELL("address",'Raw Data'!H243),"\$([A-Z]+)\$[0-9]+"),""),"")</f>
        <v/>
      </c>
      <c r="I243" s="5"/>
      <c r="J243" s="5"/>
    </row>
    <row r="244" spans="2:10" x14ac:dyDescent="0.25">
      <c r="B244" s="5" t="str" cm="1">
        <f t="array" aca="1" ref="B244" ca="1">IFERROR(IF(OR('Raw Data'!B244="",LEN(TRIM('Raw Data'!B244))=0),_xlfn.REGEXEXTRACT(CELL("address",'Raw Data'!B244),"\$([A-Z]+)\$[0-9]+"),""),"")</f>
        <v/>
      </c>
      <c r="C244" s="5" t="str" cm="1">
        <f t="array" aca="1" ref="C244" ca="1">IFERROR(IF(OR('Raw Data'!C244="",LEN(TRIM('Raw Data'!C244))=0),_xlfn.REGEXEXTRACT(CELL("address",'Raw Data'!C244),"\$([A-Z]+)\$[0-9]+"),""),"")</f>
        <v/>
      </c>
      <c r="D244" s="5"/>
      <c r="E244" s="5" t="str" cm="1">
        <f t="array" aca="1" ref="E244" ca="1">IFERROR(IF(OR('Raw Data'!E244="",LEN(TRIM('Raw Data'!E244))=0),_xlfn.REGEXEXTRACT(CELL("address",'Raw Data'!E244),"\$([A-Z]+)\$[0-9]+"),""),"")</f>
        <v/>
      </c>
      <c r="F244" s="5"/>
      <c r="G244" s="5"/>
      <c r="H244" s="5" t="str" cm="1">
        <f t="array" aca="1" ref="H244" ca="1">IFERROR(IF(OR('Raw Data'!H244="",LEN(TRIM('Raw Data'!H244))=0),_xlfn.REGEXEXTRACT(CELL("address",'Raw Data'!H244),"\$([A-Z]+)\$[0-9]+"),""),"")</f>
        <v/>
      </c>
      <c r="I244" s="5"/>
      <c r="J244" s="5"/>
    </row>
    <row r="245" spans="2:10" x14ac:dyDescent="0.25">
      <c r="B245" s="5" t="str" cm="1">
        <f t="array" aca="1" ref="B245" ca="1">IFERROR(IF(OR('Raw Data'!B245="",LEN(TRIM('Raw Data'!B245))=0),_xlfn.REGEXEXTRACT(CELL("address",'Raw Data'!B245),"\$([A-Z]+)\$[0-9]+"),""),"")</f>
        <v/>
      </c>
      <c r="C245" s="5" t="str" cm="1">
        <f t="array" aca="1" ref="C245" ca="1">IFERROR(IF(OR('Raw Data'!C245="",LEN(TRIM('Raw Data'!C245))=0),_xlfn.REGEXEXTRACT(CELL("address",'Raw Data'!C245),"\$([A-Z]+)\$[0-9]+"),""),"")</f>
        <v/>
      </c>
      <c r="D245" s="5"/>
      <c r="E245" s="5" t="str" cm="1">
        <f t="array" aca="1" ref="E245" ca="1">IFERROR(IF(OR('Raw Data'!E245="",LEN(TRIM('Raw Data'!E245))=0),_xlfn.REGEXEXTRACT(CELL("address",'Raw Data'!E245),"\$([A-Z]+)\$[0-9]+"),""),"")</f>
        <v/>
      </c>
      <c r="F245" s="5"/>
      <c r="G245" s="5"/>
      <c r="H245" s="5" t="str" cm="1">
        <f t="array" aca="1" ref="H245" ca="1">IFERROR(IF(OR('Raw Data'!H245="",LEN(TRIM('Raw Data'!H245))=0),_xlfn.REGEXEXTRACT(CELL("address",'Raw Data'!H245),"\$([A-Z]+)\$[0-9]+"),""),"")</f>
        <v/>
      </c>
      <c r="I245" s="5"/>
      <c r="J245" s="5"/>
    </row>
    <row r="246" spans="2:10" x14ac:dyDescent="0.25">
      <c r="B246" s="5" t="str" cm="1">
        <f t="array" aca="1" ref="B246" ca="1">IFERROR(IF(OR('Raw Data'!B246="",LEN(TRIM('Raw Data'!B246))=0),_xlfn.REGEXEXTRACT(CELL("address",'Raw Data'!B246),"\$([A-Z]+)\$[0-9]+"),""),"")</f>
        <v/>
      </c>
      <c r="C246" s="5" t="str" cm="1">
        <f t="array" aca="1" ref="C246" ca="1">IFERROR(IF(OR('Raw Data'!C246="",LEN(TRIM('Raw Data'!C246))=0),_xlfn.REGEXEXTRACT(CELL("address",'Raw Data'!C246),"\$([A-Z]+)\$[0-9]+"),""),"")</f>
        <v/>
      </c>
      <c r="D246" s="5"/>
      <c r="E246" s="5" t="str" cm="1">
        <f t="array" aca="1" ref="E246" ca="1">IFERROR(IF(OR('Raw Data'!E246="",LEN(TRIM('Raw Data'!E246))=0),_xlfn.REGEXEXTRACT(CELL("address",'Raw Data'!E246),"\$([A-Z]+)\$[0-9]+"),""),"")</f>
        <v/>
      </c>
      <c r="F246" s="5"/>
      <c r="G246" s="5"/>
      <c r="H246" s="5" t="str" cm="1">
        <f t="array" aca="1" ref="H246" ca="1">IFERROR(IF(OR('Raw Data'!H246="",LEN(TRIM('Raw Data'!H246))=0),_xlfn.REGEXEXTRACT(CELL("address",'Raw Data'!H246),"\$([A-Z]+)\$[0-9]+"),""),"")</f>
        <v/>
      </c>
      <c r="I246" s="5"/>
      <c r="J246" s="5"/>
    </row>
    <row r="247" spans="2:10" x14ac:dyDescent="0.25">
      <c r="B247" s="5" t="str" cm="1">
        <f t="array" aca="1" ref="B247" ca="1">IFERROR(IF(OR('Raw Data'!B247="",LEN(TRIM('Raw Data'!B247))=0),_xlfn.REGEXEXTRACT(CELL("address",'Raw Data'!B247),"\$([A-Z]+)\$[0-9]+"),""),"")</f>
        <v/>
      </c>
      <c r="C247" s="5" t="str" cm="1">
        <f t="array" aca="1" ref="C247" ca="1">IFERROR(IF(OR('Raw Data'!C247="",LEN(TRIM('Raw Data'!C247))=0),_xlfn.REGEXEXTRACT(CELL("address",'Raw Data'!C247),"\$([A-Z]+)\$[0-9]+"),""),"")</f>
        <v/>
      </c>
      <c r="D247" s="5"/>
      <c r="E247" s="5" t="str" cm="1">
        <f t="array" aca="1" ref="E247" ca="1">IFERROR(IF(OR('Raw Data'!E247="",LEN(TRIM('Raw Data'!E247))=0),_xlfn.REGEXEXTRACT(CELL("address",'Raw Data'!E247),"\$([A-Z]+)\$[0-9]+"),""),"")</f>
        <v/>
      </c>
      <c r="F247" s="5"/>
      <c r="G247" s="5"/>
      <c r="H247" s="5" t="str" cm="1">
        <f t="array" aca="1" ref="H247" ca="1">IFERROR(IF(OR('Raw Data'!H247="",LEN(TRIM('Raw Data'!H247))=0),_xlfn.REGEXEXTRACT(CELL("address",'Raw Data'!H247),"\$([A-Z]+)\$[0-9]+"),""),"")</f>
        <v/>
      </c>
      <c r="I247" s="5"/>
      <c r="J247" s="5"/>
    </row>
    <row r="248" spans="2:10" x14ac:dyDescent="0.25">
      <c r="B248" s="5" t="str" cm="1">
        <f t="array" aca="1" ref="B248" ca="1">IFERROR(IF(OR('Raw Data'!B248="",LEN(TRIM('Raw Data'!B248))=0),_xlfn.REGEXEXTRACT(CELL("address",'Raw Data'!B248),"\$([A-Z]+)\$[0-9]+"),""),"")</f>
        <v/>
      </c>
      <c r="C248" s="5" t="str" cm="1">
        <f t="array" aca="1" ref="C248" ca="1">IFERROR(IF(OR('Raw Data'!C248="",LEN(TRIM('Raw Data'!C248))=0),_xlfn.REGEXEXTRACT(CELL("address",'Raw Data'!C248),"\$([A-Z]+)\$[0-9]+"),""),"")</f>
        <v/>
      </c>
      <c r="D248" s="5"/>
      <c r="E248" s="5" t="str" cm="1">
        <f t="array" aca="1" ref="E248" ca="1">IFERROR(IF(OR('Raw Data'!E248="",LEN(TRIM('Raw Data'!E248))=0),_xlfn.REGEXEXTRACT(CELL("address",'Raw Data'!E248),"\$([A-Z]+)\$[0-9]+"),""),"")</f>
        <v/>
      </c>
      <c r="F248" s="5"/>
      <c r="G248" s="5"/>
      <c r="H248" s="5" t="str" cm="1">
        <f t="array" aca="1" ref="H248" ca="1">IFERROR(IF(OR('Raw Data'!H248="",LEN(TRIM('Raw Data'!H248))=0),_xlfn.REGEXEXTRACT(CELL("address",'Raw Data'!H248),"\$([A-Z]+)\$[0-9]+"),""),"")</f>
        <v/>
      </c>
      <c r="I248" s="5"/>
      <c r="J248" s="5"/>
    </row>
    <row r="249" spans="2:10" x14ac:dyDescent="0.25">
      <c r="B249" s="5" t="str" cm="1">
        <f t="array" aca="1" ref="B249" ca="1">IFERROR(IF(OR('Raw Data'!B249="",LEN(TRIM('Raw Data'!B249))=0),_xlfn.REGEXEXTRACT(CELL("address",'Raw Data'!B249),"\$([A-Z]+)\$[0-9]+"),""),"")</f>
        <v/>
      </c>
      <c r="C249" s="5" t="str" cm="1">
        <f t="array" aca="1" ref="C249" ca="1">IFERROR(IF(OR('Raw Data'!C249="",LEN(TRIM('Raw Data'!C249))=0),_xlfn.REGEXEXTRACT(CELL("address",'Raw Data'!C249),"\$([A-Z]+)\$[0-9]+"),""),"")</f>
        <v/>
      </c>
      <c r="D249" s="5"/>
      <c r="E249" s="5" t="str" cm="1">
        <f t="array" aca="1" ref="E249" ca="1">IFERROR(IF(OR('Raw Data'!E249="",LEN(TRIM('Raw Data'!E249))=0),_xlfn.REGEXEXTRACT(CELL("address",'Raw Data'!E249),"\$([A-Z]+)\$[0-9]+"),""),"")</f>
        <v/>
      </c>
      <c r="F249" s="5"/>
      <c r="G249" s="5"/>
      <c r="H249" s="5" t="str" cm="1">
        <f t="array" aca="1" ref="H249" ca="1">IFERROR(IF(OR('Raw Data'!H249="",LEN(TRIM('Raw Data'!H249))=0),_xlfn.REGEXEXTRACT(CELL("address",'Raw Data'!H249),"\$([A-Z]+)\$[0-9]+"),""),"")</f>
        <v/>
      </c>
      <c r="I249" s="5"/>
      <c r="J24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P249"/>
  <sheetViews>
    <sheetView zoomScale="70" zoomScaleNormal="70" workbookViewId="0">
      <selection activeCell="Q23" sqref="Q23"/>
    </sheetView>
  </sheetViews>
  <sheetFormatPr defaultRowHeight="15" x14ac:dyDescent="0.25"/>
  <cols>
    <col min="2" max="6" width="15.42578125" style="7" customWidth="1"/>
    <col min="7" max="10" width="15.42578125" customWidth="1"/>
  </cols>
  <sheetData>
    <row r="8" spans="2:16" s="15" customFormat="1" ht="34.5" customHeight="1" x14ac:dyDescent="0.25">
      <c r="B8" s="14" t="s">
        <v>38</v>
      </c>
      <c r="C8" s="14" t="s">
        <v>39</v>
      </c>
      <c r="D8" s="14" t="s">
        <v>40</v>
      </c>
      <c r="E8" s="14" t="s">
        <v>41</v>
      </c>
      <c r="F8" s="14" t="s">
        <v>41</v>
      </c>
      <c r="G8" s="14" t="s">
        <v>41</v>
      </c>
      <c r="H8" s="14" t="s">
        <v>41</v>
      </c>
      <c r="I8" s="14" t="s">
        <v>41</v>
      </c>
      <c r="J8" s="14" t="s">
        <v>41</v>
      </c>
    </row>
    <row r="9" spans="2:16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</row>
    <row r="10" spans="2:16" x14ac:dyDescent="0.25">
      <c r="B10" s="6" t="str" cm="1">
        <f t="array" aca="1" ref="B10" ca="1">IFERROR(IF(OR('Raw Data'!B10="",LEN(TRIM('Raw Data'!B10))=0),"",IF(AND(LEN('Raw Data'!B10) &lt;= 255,LEN('Raw Data'!B10)&gt; 0),"",_xlfn.REGEXEXTRACT(CELL("address",'Raw Data'!B10),"\$([A-Z]+)\$[0-9]+"))),_xlfn.REGEXEXTRACT(CELL("address",'Raw Data'!B10),"\$([A-Z]+)\$[0-9]+"))</f>
        <v/>
      </c>
      <c r="C10" s="6" t="str" cm="1">
        <f t="array" aca="1" ref="C10" ca="1">IFERROR(IF(OR('Raw Data'!C10="",LEN(TRIM('Raw Data'!C10))=0),"",IF(AND(LEN('Raw Data'!C10) &lt;= 20,LEN('Raw Data'!C10)&gt; 0),"",_xlfn.REGEXEXTRACT(CELL("address",'Raw Data'!C10),"\$([A-Z]+)\$[0-9]+"))),_xlfn.REGEXEXTRACT(CELL("address",'Raw Data'!C10),"\$([A-Z]+)\$[0-9]+"))</f>
        <v/>
      </c>
      <c r="D10" s="6" t="str" cm="1">
        <f t="array" aca="1" ref="D10" ca="1">IFERROR(IF(OR('Raw Data'!D10="",LEN(TRIM('Raw Data'!D10))=0),"",IF(AND(ISNUMBER('Raw Data'!D10),'Raw Data'!D10&gt;=Configuration!$D$2),"",_xlfn.REGEXEXTRACT(CELL("address",'Raw Data'!D10),"\$([A-Z]+)\$[0-9]+"))),_xlfn.REGEXEXTRACT(CELL("address",D10), "\$([A-Z]+)\$[0-9]+"))</f>
        <v/>
      </c>
      <c r="E10" s="6" t="str" cm="1">
        <f t="array" aca="1" ref="E10" ca="1">IFERROR(IF(OR('Raw Data'!E10="",LEN(TRIM('Raw Data'!E10))=0),"",IF(AND(ISNUMBER('Raw Data'!E10),'Raw Data'!E10=ROUND('Raw Data'!E10,4),IFERROR(ROUND('Raw Data'!E10,4)&lt;=99999999999.99,FALSE))=TRUE,"",_xlfn.REGEXEXTRACT(CELL("address",'Raw Data'!E10), "\$([A-Z]+)\$[0-9]+"))),_xlfn.REGEXEXTRACT(CELL("address",'Raw Data'!E10), "\$([A-Z]+)\$[0-9]+"))</f>
        <v/>
      </c>
      <c r="F10" s="6" t="str" cm="1">
        <f t="array" aca="1" ref="F10" ca="1">IFERROR(IF(OR('Raw Data'!F10="",LEN(TRIM('Raw Data'!F10))=0),"",IF(AND(ISNUMBER('Raw Data'!F10),'Raw Data'!F10=ROUND('Raw Data'!F10,4),IFERROR(ROUND('Raw Data'!F10,4)&lt;=99999999999.99,FALSE))=TRUE,"",_xlfn.REGEXEXTRACT(CELL("address",'Raw Data'!F10), "\$([A-Z]+)\$[0-9]+"))),_xlfn.REGEXEXTRACT(CELL("address",'Raw Data'!F10), "\$([A-Z]+)\$[0-9]+"))</f>
        <v/>
      </c>
      <c r="G10" s="6" t="str" cm="1">
        <f t="array" aca="1" ref="G10" ca="1">IFERROR(IF(OR('Raw Data'!G10="",LEN(TRIM('Raw Data'!G10))=0),"",IF(AND(ISNUMBER('Raw Data'!G10),'Raw Data'!G10=ROUND('Raw Data'!G10,4),IFERROR(ROUND('Raw Data'!G10,4)&lt;=99999999999.99,FALSE))=TRUE,"",_xlfn.REGEXEXTRACT(CELL("address",'Raw Data'!G10), "\$([A-Z]+)\$[0-9]+"))),_xlfn.REGEXEXTRACT(CELL("address",'Raw Data'!G10), "\$([A-Z]+)\$[0-9]+"))</f>
        <v/>
      </c>
      <c r="H10" s="6" t="str" cm="1">
        <f t="array" aca="1" ref="H10" ca="1">IFERROR(IF(OR('Raw Data'!H10="",LEN(TRIM('Raw Data'!H10))=0),"",IF(AND(ISNUMBER('Raw Data'!H10),'Raw Data'!H10=ROUND('Raw Data'!H10,4),IFERROR(ROUND('Raw Data'!H10,4)&lt;=99999999999.99,FALSE))=TRUE,"",_xlfn.REGEXEXTRACT(CELL("address",'Raw Data'!H10), "\$([A-Z]+)\$[0-9]+"))),_xlfn.REGEXEXTRACT(CELL("address",'Raw Data'!H10), "\$([A-Z]+)\$[0-9]+"))</f>
        <v/>
      </c>
      <c r="I10" s="6" t="str" cm="1">
        <f t="array" aca="1" ref="I10" ca="1">IFERROR(IF(OR('Raw Data'!I10="",LEN(TRIM('Raw Data'!I10))=0),"",IF(AND(ISNUMBER('Raw Data'!I10),'Raw Data'!I10=ROUND('Raw Data'!I10,4),IFERROR(ROUND('Raw Data'!I10,4)&lt;=99999999999.99,FALSE))=TRUE,"",_xlfn.REGEXEXTRACT(CELL("address",'Raw Data'!I10), "\$([A-Z]+)\$[0-9]+"))),_xlfn.REGEXEXTRACT(CELL("address",'Raw Data'!I10), "\$([A-Z]+)\$[0-9]+"))</f>
        <v/>
      </c>
      <c r="J10" s="6" t="str" cm="1">
        <f t="array" aca="1" ref="J10" ca="1">IFERROR(IF(OR('Raw Data'!J10="",LEN(TRIM('Raw Data'!J10))=0),"",IF(AND(ISNUMBER('Raw Data'!J10),'Raw Data'!J10=ROUND('Raw Data'!J10,4),IFERROR(ROUND('Raw Data'!J10,4)&lt;=99999999999.99,FALSE))=TRUE,"",_xlfn.REGEXEXTRACT(CELL("address",'Raw Data'!J10), "\$([A-Z]+)\$[0-9]+"))),_xlfn.REGEXEXTRACT(CELL("address",'Raw Data'!J10), "\$([A-Z]+)\$[0-9]+"))</f>
        <v/>
      </c>
      <c r="P10" s="15"/>
    </row>
    <row r="11" spans="2:16" x14ac:dyDescent="0.25">
      <c r="B11" s="6" t="str" cm="1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6" t="str" cm="1">
        <f t="array" aca="1" ref="C11" ca="1">IFERROR(IF(OR('Raw Data'!C11="",LEN(TRIM('Raw Data'!C11))=0),"",IF(AND(LEN('Raw Data'!C11) &lt;= 20,LEN('Raw Data'!C11)&gt; 0),"",_xlfn.REGEXEXTRACT(CELL("address",'Raw Data'!C11),"\$([A-Z]+)\$[0-9]+"))),_xlfn.REGEXEXTRACT(CELL("address",'Raw Data'!C11),"\$([A-Z]+)\$[0-9]+"))</f>
        <v/>
      </c>
      <c r="D11" s="6" t="str" cm="1">
        <f t="array" aca="1" ref="D11" ca="1">IFERROR(IF(OR('Raw Data'!D11="",LEN(TRIM('Raw Data'!D11))=0),"",IF(AND(ISNUMBER('Raw Data'!D11),'Raw Data'!D11&gt;=Configuration!$D$2),"",_xlfn.REGEXEXTRACT(CELL("address",'Raw Data'!D11),"\$([A-Z]+)\$[0-9]+"))),_xlfn.REGEXEXTRACT(CELL("address",D11), "\$([A-Z]+)\$[0-9]+"))</f>
        <v/>
      </c>
      <c r="E11" s="6" t="str" cm="1">
        <f t="array" aca="1" ref="E11" ca="1">IFERROR(IF(OR('Raw Data'!E11="",LEN(TRIM('Raw Data'!E11))=0),"",IF(AND(ISNUMBER('Raw Data'!E11),'Raw Data'!E11=ROUND('Raw Data'!E11,4),IFERROR(ROUND('Raw Data'!E11,4)&lt;=99999999999.99,FALSE))=TRUE,"",_xlfn.REGEXEXTRACT(CELL("address",'Raw Data'!E11), "\$([A-Z]+)\$[0-9]+"))),_xlfn.REGEXEXTRACT(CELL("address",'Raw Data'!E11), "\$([A-Z]+)\$[0-9]+"))</f>
        <v/>
      </c>
      <c r="F11" s="6" t="str" cm="1">
        <f t="array" aca="1" ref="F11" ca="1">IFERROR(IF(OR('Raw Data'!F11="",LEN(TRIM('Raw Data'!F11))=0),"",IF(AND(ISNUMBER('Raw Data'!F11),'Raw Data'!F11=ROUND('Raw Data'!F11,4),IFERROR(ROUND('Raw Data'!F11,4)&lt;=99999999999.99,FALSE))=TRUE,"",_xlfn.REGEXEXTRACT(CELL("address",'Raw Data'!F11), "\$([A-Z]+)\$[0-9]+"))),_xlfn.REGEXEXTRACT(CELL("address",'Raw Data'!F11), "\$([A-Z]+)\$[0-9]+"))</f>
        <v/>
      </c>
      <c r="G11" s="6" t="str" cm="1">
        <f t="array" aca="1" ref="G11" ca="1">IFERROR(IF(OR('Raw Data'!G11="",LEN(TRIM('Raw Data'!G11))=0),"",IF(AND(ISNUMBER('Raw Data'!G11),'Raw Data'!G11=ROUND('Raw Data'!G11,4),IFERROR(ROUND('Raw Data'!G11,4)&lt;=99999999999.99,FALSE))=TRUE,"",_xlfn.REGEXEXTRACT(CELL("address",'Raw Data'!G11), "\$([A-Z]+)\$[0-9]+"))),_xlfn.REGEXEXTRACT(CELL("address",'Raw Data'!G11), "\$([A-Z]+)\$[0-9]+"))</f>
        <v/>
      </c>
      <c r="H11" s="6" t="str" cm="1">
        <f t="array" aca="1" ref="H11" ca="1">IFERROR(IF(OR('Raw Data'!H11="",LEN(TRIM('Raw Data'!H11))=0),"",IF(AND(ISNUMBER('Raw Data'!H11),'Raw Data'!H11=ROUND('Raw Data'!H11,4),IFERROR(ROUND('Raw Data'!H11,4)&lt;=99999999999.99,FALSE))=TRUE,"",_xlfn.REGEXEXTRACT(CELL("address",'Raw Data'!H11), "\$([A-Z]+)\$[0-9]+"))),_xlfn.REGEXEXTRACT(CELL("address",'Raw Data'!H11), "\$([A-Z]+)\$[0-9]+"))</f>
        <v/>
      </c>
      <c r="I11" s="6" t="str" cm="1">
        <f t="array" aca="1" ref="I11" ca="1">IFERROR(IF(OR('Raw Data'!I11="",LEN(TRIM('Raw Data'!I11))=0),"",IF(AND(ISNUMBER('Raw Data'!I11),'Raw Data'!I11=ROUND('Raw Data'!I11,4),IFERROR(ROUND('Raw Data'!I11,4)&lt;=99999999999.99,FALSE))=TRUE,"",_xlfn.REGEXEXTRACT(CELL("address",'Raw Data'!I11), "\$([A-Z]+)\$[0-9]+"))),_xlfn.REGEXEXTRACT(CELL("address",'Raw Data'!I11), "\$([A-Z]+)\$[0-9]+"))</f>
        <v/>
      </c>
      <c r="J11" s="6" t="str" cm="1">
        <f t="array" aca="1" ref="J11" ca="1">IFERROR(IF(OR('Raw Data'!J11="",LEN(TRIM('Raw Data'!J11))=0),"",IF(AND(ISNUMBER('Raw Data'!J11),'Raw Data'!J11=ROUND('Raw Data'!J11,4),IFERROR(ROUND('Raw Data'!J11,4)&lt;=99999999999.99,FALSE))=TRUE,"",_xlfn.REGEXEXTRACT(CELL("address",'Raw Data'!J11), "\$([A-Z]+)\$[0-9]+"))),_xlfn.REGEXEXTRACT(CELL("address",'Raw Data'!J11), "\$([A-Z]+)\$[0-9]+"))</f>
        <v/>
      </c>
    </row>
    <row r="12" spans="2:16" x14ac:dyDescent="0.25">
      <c r="B12" s="6" t="str" cm="1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6" t="str" cm="1">
        <f t="array" aca="1" ref="C12" ca="1">IFERROR(IF(OR('Raw Data'!C12="",LEN(TRIM('Raw Data'!C12))=0),"",IF(AND(LEN('Raw Data'!C12) &lt;= 20,LEN('Raw Data'!C12)&gt; 0),"",_xlfn.REGEXEXTRACT(CELL("address",'Raw Data'!C12),"\$([A-Z]+)\$[0-9]+"))),_xlfn.REGEXEXTRACT(CELL("address",'Raw Data'!C12),"\$([A-Z]+)\$[0-9]+"))</f>
        <v/>
      </c>
      <c r="D12" s="6" t="str" cm="1">
        <f t="array" aca="1" ref="D12" ca="1">IFERROR(IF(OR('Raw Data'!D12="",LEN(TRIM('Raw Data'!D12))=0),"",IF(AND(ISNUMBER('Raw Data'!D12),'Raw Data'!D12&gt;=Configuration!$D$2),"",_xlfn.REGEXEXTRACT(CELL("address",'Raw Data'!D12),"\$([A-Z]+)\$[0-9]+"))),_xlfn.REGEXEXTRACT(CELL("address",D12), "\$([A-Z]+)\$[0-9]+"))</f>
        <v/>
      </c>
      <c r="E12" s="6" t="str" cm="1">
        <f t="array" aca="1" ref="E12" ca="1">IFERROR(IF(OR('Raw Data'!E12="",LEN(TRIM('Raw Data'!E12))=0),"",IF(AND(ISNUMBER('Raw Data'!E12),'Raw Data'!E12=ROUND('Raw Data'!E12,4),IFERROR(ROUND('Raw Data'!E12,4)&lt;=99999999999.99,FALSE))=TRUE,"",_xlfn.REGEXEXTRACT(CELL("address",'Raw Data'!E12), "\$([A-Z]+)\$[0-9]+"))),_xlfn.REGEXEXTRACT(CELL("address",'Raw Data'!E12), "\$([A-Z]+)\$[0-9]+"))</f>
        <v/>
      </c>
      <c r="F12" s="6" t="str" cm="1">
        <f t="array" aca="1" ref="F12" ca="1">IFERROR(IF(OR('Raw Data'!F12="",LEN(TRIM('Raw Data'!F12))=0),"",IF(AND(ISNUMBER('Raw Data'!F12),'Raw Data'!F12=ROUND('Raw Data'!F12,4),IFERROR(ROUND('Raw Data'!F12,4)&lt;=99999999999.99,FALSE))=TRUE,"",_xlfn.REGEXEXTRACT(CELL("address",'Raw Data'!F12), "\$([A-Z]+)\$[0-9]+"))),_xlfn.REGEXEXTRACT(CELL("address",'Raw Data'!F12), "\$([A-Z]+)\$[0-9]+"))</f>
        <v/>
      </c>
      <c r="G12" s="6" t="str" cm="1">
        <f t="array" aca="1" ref="G12" ca="1">IFERROR(IF(OR('Raw Data'!G12="",LEN(TRIM('Raw Data'!G12))=0),"",IF(AND(ISNUMBER('Raw Data'!G12),'Raw Data'!G12=ROUND('Raw Data'!G12,4),IFERROR(ROUND('Raw Data'!G12,4)&lt;=99999999999.99,FALSE))=TRUE,"",_xlfn.REGEXEXTRACT(CELL("address",'Raw Data'!G12), "\$([A-Z]+)\$[0-9]+"))),_xlfn.REGEXEXTRACT(CELL("address",'Raw Data'!G12), "\$([A-Z]+)\$[0-9]+"))</f>
        <v/>
      </c>
      <c r="H12" s="6" t="str" cm="1">
        <f t="array" aca="1" ref="H12" ca="1">IFERROR(IF(OR('Raw Data'!H12="",LEN(TRIM('Raw Data'!H12))=0),"",IF(AND(ISNUMBER('Raw Data'!H12),'Raw Data'!H12=ROUND('Raw Data'!H12,4),IFERROR(ROUND('Raw Data'!H12,4)&lt;=99999999999.99,FALSE))=TRUE,"",_xlfn.REGEXEXTRACT(CELL("address",'Raw Data'!H12), "\$([A-Z]+)\$[0-9]+"))),_xlfn.REGEXEXTRACT(CELL("address",'Raw Data'!H12), "\$([A-Z]+)\$[0-9]+"))</f>
        <v/>
      </c>
      <c r="I12" s="6" t="str" cm="1">
        <f t="array" aca="1" ref="I12" ca="1">IFERROR(IF(OR('Raw Data'!I12="",LEN(TRIM('Raw Data'!I12))=0),"",IF(AND(ISNUMBER('Raw Data'!I12),'Raw Data'!I12=ROUND('Raw Data'!I12,4),IFERROR(ROUND('Raw Data'!I12,4)&lt;=99999999999.99,FALSE))=TRUE,"",_xlfn.REGEXEXTRACT(CELL("address",'Raw Data'!I12), "\$([A-Z]+)\$[0-9]+"))),_xlfn.REGEXEXTRACT(CELL("address",'Raw Data'!I12), "\$([A-Z]+)\$[0-9]+"))</f>
        <v/>
      </c>
      <c r="J12" s="6" t="str" cm="1">
        <f t="array" aca="1" ref="J12" ca="1">IFERROR(IF(OR('Raw Data'!J12="",LEN(TRIM('Raw Data'!J12))=0),"",IF(AND(ISNUMBER('Raw Data'!J12),'Raw Data'!J12=ROUND('Raw Data'!J12,4),IFERROR(ROUND('Raw Data'!J12,4)&lt;=99999999999.99,FALSE))=TRUE,"",_xlfn.REGEXEXTRACT(CELL("address",'Raw Data'!J12), "\$([A-Z]+)\$[0-9]+"))),_xlfn.REGEXEXTRACT(CELL("address",'Raw Data'!J12), "\$([A-Z]+)\$[0-9]+"))</f>
        <v/>
      </c>
    </row>
    <row r="13" spans="2:16" x14ac:dyDescent="0.25">
      <c r="B13" s="6" t="str" cm="1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6" t="str" cm="1">
        <f t="array" aca="1" ref="C13" ca="1">IFERROR(IF(OR('Raw Data'!C13="",LEN(TRIM('Raw Data'!C13))=0),"",IF(AND(LEN('Raw Data'!C13) &lt;= 20,LEN('Raw Data'!C13)&gt; 0),"",_xlfn.REGEXEXTRACT(CELL("address",'Raw Data'!C13),"\$([A-Z]+)\$[0-9]+"))),_xlfn.REGEXEXTRACT(CELL("address",'Raw Data'!C13),"\$([A-Z]+)\$[0-9]+"))</f>
        <v/>
      </c>
      <c r="D13" s="6" t="str" cm="1">
        <f t="array" aca="1" ref="D13" ca="1">IFERROR(IF(OR('Raw Data'!D13="",LEN(TRIM('Raw Data'!D13))=0),"",IF(AND(ISNUMBER('Raw Data'!D13),'Raw Data'!D13&gt;=Configuration!$D$2),"",_xlfn.REGEXEXTRACT(CELL("address",'Raw Data'!D13),"\$([A-Z]+)\$[0-9]+"))),_xlfn.REGEXEXTRACT(CELL("address",D13), "\$([A-Z]+)\$[0-9]+"))</f>
        <v/>
      </c>
      <c r="E13" s="6" t="str" cm="1">
        <f t="array" aca="1" ref="E13" ca="1">IFERROR(IF(OR('Raw Data'!E13="",LEN(TRIM('Raw Data'!E13))=0),"",IF(AND(ISNUMBER('Raw Data'!E13),'Raw Data'!E13=ROUND('Raw Data'!E13,4),IFERROR(ROUND('Raw Data'!E13,4)&lt;=99999999999.99,FALSE))=TRUE,"",_xlfn.REGEXEXTRACT(CELL("address",'Raw Data'!E13), "\$([A-Z]+)\$[0-9]+"))),_xlfn.REGEXEXTRACT(CELL("address",'Raw Data'!E13), "\$([A-Z]+)\$[0-9]+"))</f>
        <v/>
      </c>
      <c r="F13" s="6" t="str" cm="1">
        <f t="array" aca="1" ref="F13" ca="1">IFERROR(IF(OR('Raw Data'!F13="",LEN(TRIM('Raw Data'!F13))=0),"",IF(AND(ISNUMBER('Raw Data'!F13),'Raw Data'!F13=ROUND('Raw Data'!F13,4),IFERROR(ROUND('Raw Data'!F13,4)&lt;=99999999999.99,FALSE))=TRUE,"",_xlfn.REGEXEXTRACT(CELL("address",'Raw Data'!F13), "\$([A-Z]+)\$[0-9]+"))),_xlfn.REGEXEXTRACT(CELL("address",'Raw Data'!F13), "\$([A-Z]+)\$[0-9]+"))</f>
        <v/>
      </c>
      <c r="G13" s="6" t="str" cm="1">
        <f t="array" aca="1" ref="G13" ca="1">IFERROR(IF(OR('Raw Data'!G13="",LEN(TRIM('Raw Data'!G13))=0),"",IF(AND(ISNUMBER('Raw Data'!G13),'Raw Data'!G13=ROUND('Raw Data'!G13,4),IFERROR(ROUND('Raw Data'!G13,4)&lt;=99999999999.99,FALSE))=TRUE,"",_xlfn.REGEXEXTRACT(CELL("address",'Raw Data'!G13), "\$([A-Z]+)\$[0-9]+"))),_xlfn.REGEXEXTRACT(CELL("address",'Raw Data'!G13), "\$([A-Z]+)\$[0-9]+"))</f>
        <v/>
      </c>
      <c r="H13" s="6" t="str" cm="1">
        <f t="array" aca="1" ref="H13" ca="1">IFERROR(IF(OR('Raw Data'!H13="",LEN(TRIM('Raw Data'!H13))=0),"",IF(AND(ISNUMBER('Raw Data'!H13),'Raw Data'!H13=ROUND('Raw Data'!H13,4),IFERROR(ROUND('Raw Data'!H13,4)&lt;=99999999999.99,FALSE))=TRUE,"",_xlfn.REGEXEXTRACT(CELL("address",'Raw Data'!H13), "\$([A-Z]+)\$[0-9]+"))),_xlfn.REGEXEXTRACT(CELL("address",'Raw Data'!H13), "\$([A-Z]+)\$[0-9]+"))</f>
        <v/>
      </c>
      <c r="I13" s="6" t="str" cm="1">
        <f t="array" aca="1" ref="I13" ca="1">IFERROR(IF(OR('Raw Data'!I13="",LEN(TRIM('Raw Data'!I13))=0),"",IF(AND(ISNUMBER('Raw Data'!I13),'Raw Data'!I13=ROUND('Raw Data'!I13,4),IFERROR(ROUND('Raw Data'!I13,4)&lt;=99999999999.99,FALSE))=TRUE,"",_xlfn.REGEXEXTRACT(CELL("address",'Raw Data'!I13), "\$([A-Z]+)\$[0-9]+"))),_xlfn.REGEXEXTRACT(CELL("address",'Raw Data'!I13), "\$([A-Z]+)\$[0-9]+"))</f>
        <v/>
      </c>
      <c r="J13" s="6" t="str" cm="1">
        <f t="array" aca="1" ref="J13" ca="1">IFERROR(IF(OR('Raw Data'!J13="",LEN(TRIM('Raw Data'!J13))=0),"",IF(AND(ISNUMBER('Raw Data'!J13),'Raw Data'!J13=ROUND('Raw Data'!J13,4),IFERROR(ROUND('Raw Data'!J13,4)&lt;=99999999999.99,FALSE))=TRUE,"",_xlfn.REGEXEXTRACT(CELL("address",'Raw Data'!J13), "\$([A-Z]+)\$[0-9]+"))),_xlfn.REGEXEXTRACT(CELL("address",'Raw Data'!J13), "\$([A-Z]+)\$[0-9]+"))</f>
        <v/>
      </c>
    </row>
    <row r="14" spans="2:16" x14ac:dyDescent="0.25">
      <c r="B14" s="6" t="str" cm="1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6" t="str" cm="1">
        <f t="array" aca="1" ref="C14" ca="1">IFERROR(IF(OR('Raw Data'!C14="",LEN(TRIM('Raw Data'!C14))=0),"",IF(AND(LEN('Raw Data'!C14) &lt;= 20,LEN('Raw Data'!C14)&gt; 0),"",_xlfn.REGEXEXTRACT(CELL("address",'Raw Data'!C14),"\$([A-Z]+)\$[0-9]+"))),_xlfn.REGEXEXTRACT(CELL("address",'Raw Data'!C14),"\$([A-Z]+)\$[0-9]+"))</f>
        <v/>
      </c>
      <c r="D14" s="6" t="str" cm="1">
        <f t="array" aca="1" ref="D14" ca="1">IFERROR(IF(OR('Raw Data'!D14="",LEN(TRIM('Raw Data'!D14))=0),"",IF(AND(ISNUMBER('Raw Data'!D14),'Raw Data'!D14&gt;=Configuration!$D$2),"",_xlfn.REGEXEXTRACT(CELL("address",'Raw Data'!D14),"\$([A-Z]+)\$[0-9]+"))),_xlfn.REGEXEXTRACT(CELL("address",D14), "\$([A-Z]+)\$[0-9]+"))</f>
        <v/>
      </c>
      <c r="E14" s="6" t="str" cm="1">
        <f t="array" aca="1" ref="E14" ca="1">IFERROR(IF(OR('Raw Data'!E14="",LEN(TRIM('Raw Data'!E14))=0),"",IF(AND(ISNUMBER('Raw Data'!E14),'Raw Data'!E14=ROUND('Raw Data'!E14,4),IFERROR(ROUND('Raw Data'!E14,4)&lt;=99999999999.99,FALSE))=TRUE,"",_xlfn.REGEXEXTRACT(CELL("address",'Raw Data'!E14), "\$([A-Z]+)\$[0-9]+"))),_xlfn.REGEXEXTRACT(CELL("address",'Raw Data'!E14), "\$([A-Z]+)\$[0-9]+"))</f>
        <v/>
      </c>
      <c r="F14" s="6" t="str" cm="1">
        <f t="array" aca="1" ref="F14" ca="1">IFERROR(IF(OR('Raw Data'!F14="",LEN(TRIM('Raw Data'!F14))=0),"",IF(AND(ISNUMBER('Raw Data'!F14),'Raw Data'!F14=ROUND('Raw Data'!F14,4),IFERROR(ROUND('Raw Data'!F14,4)&lt;=99999999999.99,FALSE))=TRUE,"",_xlfn.REGEXEXTRACT(CELL("address",'Raw Data'!F14), "\$([A-Z]+)\$[0-9]+"))),_xlfn.REGEXEXTRACT(CELL("address",'Raw Data'!F14), "\$([A-Z]+)\$[0-9]+"))</f>
        <v/>
      </c>
      <c r="G14" s="6" t="str" cm="1">
        <f t="array" aca="1" ref="G14" ca="1">IFERROR(IF(OR('Raw Data'!G14="",LEN(TRIM('Raw Data'!G14))=0),"",IF(AND(ISNUMBER('Raw Data'!G14),'Raw Data'!G14=ROUND('Raw Data'!G14,4),IFERROR(ROUND('Raw Data'!G14,4)&lt;=99999999999.99,FALSE))=TRUE,"",_xlfn.REGEXEXTRACT(CELL("address",'Raw Data'!G14), "\$([A-Z]+)\$[0-9]+"))),_xlfn.REGEXEXTRACT(CELL("address",'Raw Data'!G14), "\$([A-Z]+)\$[0-9]+"))</f>
        <v/>
      </c>
      <c r="H14" s="6" t="str" cm="1">
        <f t="array" aca="1" ref="H14" ca="1">IFERROR(IF(OR('Raw Data'!H14="",LEN(TRIM('Raw Data'!H14))=0),"",IF(AND(ISNUMBER('Raw Data'!H14),'Raw Data'!H14=ROUND('Raw Data'!H14,4),IFERROR(ROUND('Raw Data'!H14,4)&lt;=99999999999.99,FALSE))=TRUE,"",_xlfn.REGEXEXTRACT(CELL("address",'Raw Data'!H14), "\$([A-Z]+)\$[0-9]+"))),_xlfn.REGEXEXTRACT(CELL("address",'Raw Data'!H14), "\$([A-Z]+)\$[0-9]+"))</f>
        <v/>
      </c>
      <c r="I14" s="6" t="str" cm="1">
        <f t="array" aca="1" ref="I14" ca="1">IFERROR(IF(OR('Raw Data'!I14="",LEN(TRIM('Raw Data'!I14))=0),"",IF(AND(ISNUMBER('Raw Data'!I14),'Raw Data'!I14=ROUND('Raw Data'!I14,4),IFERROR(ROUND('Raw Data'!I14,4)&lt;=99999999999.99,FALSE))=TRUE,"",_xlfn.REGEXEXTRACT(CELL("address",'Raw Data'!I14), "\$([A-Z]+)\$[0-9]+"))),_xlfn.REGEXEXTRACT(CELL("address",'Raw Data'!I14), "\$([A-Z]+)\$[0-9]+"))</f>
        <v/>
      </c>
      <c r="J14" s="6" t="str" cm="1">
        <f t="array" aca="1" ref="J14" ca="1">IFERROR(IF(OR('Raw Data'!J14="",LEN(TRIM('Raw Data'!J14))=0),"",IF(AND(ISNUMBER('Raw Data'!J14),'Raw Data'!J14=ROUND('Raw Data'!J14,4),IFERROR(ROUND('Raw Data'!J14,4)&lt;=99999999999.99,FALSE))=TRUE,"",_xlfn.REGEXEXTRACT(CELL("address",'Raw Data'!J14), "\$([A-Z]+)\$[0-9]+"))),_xlfn.REGEXEXTRACT(CELL("address",'Raw Data'!J14), "\$([A-Z]+)\$[0-9]+"))</f>
        <v/>
      </c>
    </row>
    <row r="15" spans="2:16" x14ac:dyDescent="0.25">
      <c r="B15" s="6" t="str" cm="1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6" t="str" cm="1">
        <f t="array" aca="1" ref="C15" ca="1">IFERROR(IF(OR('Raw Data'!C15="",LEN(TRIM('Raw Data'!C15))=0),"",IF(AND(LEN('Raw Data'!C15) &lt;= 20,LEN('Raw Data'!C15)&gt; 0),"",_xlfn.REGEXEXTRACT(CELL("address",'Raw Data'!C15),"\$([A-Z]+)\$[0-9]+"))),_xlfn.REGEXEXTRACT(CELL("address",'Raw Data'!C15),"\$([A-Z]+)\$[0-9]+"))</f>
        <v/>
      </c>
      <c r="D15" s="6" t="str" cm="1">
        <f t="array" aca="1" ref="D15" ca="1">IFERROR(IF(OR('Raw Data'!D15="",LEN(TRIM('Raw Data'!D15))=0),"",IF(AND(ISNUMBER('Raw Data'!D15),'Raw Data'!D15&gt;=Configuration!$D$2),"",_xlfn.REGEXEXTRACT(CELL("address",'Raw Data'!D15),"\$([A-Z]+)\$[0-9]+"))),_xlfn.REGEXEXTRACT(CELL("address",D15), "\$([A-Z]+)\$[0-9]+"))</f>
        <v/>
      </c>
      <c r="E15" s="6" t="str" cm="1">
        <f t="array" aca="1" ref="E15" ca="1">IFERROR(IF(OR('Raw Data'!E15="",LEN(TRIM('Raw Data'!E15))=0),"",IF(AND(ISNUMBER('Raw Data'!E15),'Raw Data'!E15=ROUND('Raw Data'!E15,4),IFERROR(ROUND('Raw Data'!E15,4)&lt;=99999999999.99,FALSE))=TRUE,"",_xlfn.REGEXEXTRACT(CELL("address",'Raw Data'!E15), "\$([A-Z]+)\$[0-9]+"))),_xlfn.REGEXEXTRACT(CELL("address",'Raw Data'!E15), "\$([A-Z]+)\$[0-9]+"))</f>
        <v/>
      </c>
      <c r="F15" s="6" t="str" cm="1">
        <f t="array" aca="1" ref="F15" ca="1">IFERROR(IF(OR('Raw Data'!F15="",LEN(TRIM('Raw Data'!F15))=0),"",IF(AND(ISNUMBER('Raw Data'!F15),'Raw Data'!F15=ROUND('Raw Data'!F15,4),IFERROR(ROUND('Raw Data'!F15,4)&lt;=99999999999.99,FALSE))=TRUE,"",_xlfn.REGEXEXTRACT(CELL("address",'Raw Data'!F15), "\$([A-Z]+)\$[0-9]+"))),_xlfn.REGEXEXTRACT(CELL("address",'Raw Data'!F15), "\$([A-Z]+)\$[0-9]+"))</f>
        <v/>
      </c>
      <c r="G15" s="6" t="str" cm="1">
        <f t="array" aca="1" ref="G15" ca="1">IFERROR(IF(OR('Raw Data'!G15="",LEN(TRIM('Raw Data'!G15))=0),"",IF(AND(ISNUMBER('Raw Data'!G15),'Raw Data'!G15=ROUND('Raw Data'!G15,4),IFERROR(ROUND('Raw Data'!G15,4)&lt;=99999999999.99,FALSE))=TRUE,"",_xlfn.REGEXEXTRACT(CELL("address",'Raw Data'!G15), "\$([A-Z]+)\$[0-9]+"))),_xlfn.REGEXEXTRACT(CELL("address",'Raw Data'!G15), "\$([A-Z]+)\$[0-9]+"))</f>
        <v/>
      </c>
      <c r="H15" s="6" t="str" cm="1">
        <f t="array" aca="1" ref="H15" ca="1">IFERROR(IF(OR('Raw Data'!H15="",LEN(TRIM('Raw Data'!H15))=0),"",IF(AND(ISNUMBER('Raw Data'!H15),'Raw Data'!H15=ROUND('Raw Data'!H15,4),IFERROR(ROUND('Raw Data'!H15,4)&lt;=99999999999.99,FALSE))=TRUE,"",_xlfn.REGEXEXTRACT(CELL("address",'Raw Data'!H15), "\$([A-Z]+)\$[0-9]+"))),_xlfn.REGEXEXTRACT(CELL("address",'Raw Data'!H15), "\$([A-Z]+)\$[0-9]+"))</f>
        <v/>
      </c>
      <c r="I15" s="6" t="str" cm="1">
        <f t="array" aca="1" ref="I15" ca="1">IFERROR(IF(OR('Raw Data'!I15="",LEN(TRIM('Raw Data'!I15))=0),"",IF(AND(ISNUMBER('Raw Data'!I15),'Raw Data'!I15=ROUND('Raw Data'!I15,4),IFERROR(ROUND('Raw Data'!I15,4)&lt;=99999999999.99,FALSE))=TRUE,"",_xlfn.REGEXEXTRACT(CELL("address",'Raw Data'!I15), "\$([A-Z]+)\$[0-9]+"))),_xlfn.REGEXEXTRACT(CELL("address",'Raw Data'!I15), "\$([A-Z]+)\$[0-9]+"))</f>
        <v/>
      </c>
      <c r="J15" s="6" t="str" cm="1">
        <f t="array" aca="1" ref="J15" ca="1">IFERROR(IF(OR('Raw Data'!J15="",LEN(TRIM('Raw Data'!J15))=0),"",IF(AND(ISNUMBER('Raw Data'!J15),'Raw Data'!J15=ROUND('Raw Data'!J15,4),IFERROR(ROUND('Raw Data'!J15,4)&lt;=99999999999.99,FALSE))=TRUE,"",_xlfn.REGEXEXTRACT(CELL("address",'Raw Data'!J15), "\$([A-Z]+)\$[0-9]+"))),_xlfn.REGEXEXTRACT(CELL("address",'Raw Data'!J15), "\$([A-Z]+)\$[0-9]+"))</f>
        <v/>
      </c>
    </row>
    <row r="16" spans="2:16" x14ac:dyDescent="0.25">
      <c r="B16" s="6" t="str" cm="1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6" t="str" cm="1">
        <f t="array" aca="1" ref="C16" ca="1">IFERROR(IF(OR('Raw Data'!C16="",LEN(TRIM('Raw Data'!C16))=0),"",IF(AND(LEN('Raw Data'!C16) &lt;= 20,LEN('Raw Data'!C16)&gt; 0),"",_xlfn.REGEXEXTRACT(CELL("address",'Raw Data'!C16),"\$([A-Z]+)\$[0-9]+"))),_xlfn.REGEXEXTRACT(CELL("address",'Raw Data'!C16),"\$([A-Z]+)\$[0-9]+"))</f>
        <v/>
      </c>
      <c r="D16" s="6" t="str" cm="1">
        <f t="array" aca="1" ref="D16" ca="1">IFERROR(IF(OR('Raw Data'!D16="",LEN(TRIM('Raw Data'!D16))=0),"",IF(AND(ISNUMBER('Raw Data'!D16),'Raw Data'!D16&gt;=Configuration!$D$2),"",_xlfn.REGEXEXTRACT(CELL("address",'Raw Data'!D16),"\$([A-Z]+)\$[0-9]+"))),_xlfn.REGEXEXTRACT(CELL("address",D16), "\$([A-Z]+)\$[0-9]+"))</f>
        <v/>
      </c>
      <c r="E16" s="6" t="str" cm="1">
        <f t="array" aca="1" ref="E16" ca="1">IFERROR(IF(OR('Raw Data'!E16="",LEN(TRIM('Raw Data'!E16))=0),"",IF(AND(ISNUMBER('Raw Data'!E16),'Raw Data'!E16=ROUND('Raw Data'!E16,4),IFERROR(ROUND('Raw Data'!E16,4)&lt;=99999999999.99,FALSE))=TRUE,"",_xlfn.REGEXEXTRACT(CELL("address",'Raw Data'!E16), "\$([A-Z]+)\$[0-9]+"))),_xlfn.REGEXEXTRACT(CELL("address",'Raw Data'!E16), "\$([A-Z]+)\$[0-9]+"))</f>
        <v/>
      </c>
      <c r="F16" s="6" t="str" cm="1">
        <f t="array" aca="1" ref="F16" ca="1">IFERROR(IF(OR('Raw Data'!F16="",LEN(TRIM('Raw Data'!F16))=0),"",IF(AND(ISNUMBER('Raw Data'!F16),'Raw Data'!F16=ROUND('Raw Data'!F16,4),IFERROR(ROUND('Raw Data'!F16,4)&lt;=99999999999.99,FALSE))=TRUE,"",_xlfn.REGEXEXTRACT(CELL("address",'Raw Data'!F16), "\$([A-Z]+)\$[0-9]+"))),_xlfn.REGEXEXTRACT(CELL("address",'Raw Data'!F16), "\$([A-Z]+)\$[0-9]+"))</f>
        <v/>
      </c>
      <c r="G16" s="6" t="str" cm="1">
        <f t="array" aca="1" ref="G16" ca="1">IFERROR(IF(OR('Raw Data'!G16="",LEN(TRIM('Raw Data'!G16))=0),"",IF(AND(ISNUMBER('Raw Data'!G16),'Raw Data'!G16=ROUND('Raw Data'!G16,4),IFERROR(ROUND('Raw Data'!G16,4)&lt;=99999999999.99,FALSE))=TRUE,"",_xlfn.REGEXEXTRACT(CELL("address",'Raw Data'!G16), "\$([A-Z]+)\$[0-9]+"))),_xlfn.REGEXEXTRACT(CELL("address",'Raw Data'!G16), "\$([A-Z]+)\$[0-9]+"))</f>
        <v/>
      </c>
      <c r="H16" s="6" t="str" cm="1">
        <f t="array" aca="1" ref="H16" ca="1">IFERROR(IF(OR('Raw Data'!H16="",LEN(TRIM('Raw Data'!H16))=0),"",IF(AND(ISNUMBER('Raw Data'!H16),'Raw Data'!H16=ROUND('Raw Data'!H16,4),IFERROR(ROUND('Raw Data'!H16,4)&lt;=99999999999.99,FALSE))=TRUE,"",_xlfn.REGEXEXTRACT(CELL("address",'Raw Data'!H16), "\$([A-Z]+)\$[0-9]+"))),_xlfn.REGEXEXTRACT(CELL("address",'Raw Data'!H16), "\$([A-Z]+)\$[0-9]+"))</f>
        <v/>
      </c>
      <c r="I16" s="6" t="str" cm="1">
        <f t="array" aca="1" ref="I16" ca="1">IFERROR(IF(OR('Raw Data'!I16="",LEN(TRIM('Raw Data'!I16))=0),"",IF(AND(ISNUMBER('Raw Data'!I16),'Raw Data'!I16=ROUND('Raw Data'!I16,4),IFERROR(ROUND('Raw Data'!I16,4)&lt;=99999999999.99,FALSE))=TRUE,"",_xlfn.REGEXEXTRACT(CELL("address",'Raw Data'!I16), "\$([A-Z]+)\$[0-9]+"))),_xlfn.REGEXEXTRACT(CELL("address",'Raw Data'!I16), "\$([A-Z]+)\$[0-9]+"))</f>
        <v/>
      </c>
      <c r="J16" s="6" t="str" cm="1">
        <f t="array" aca="1" ref="J16" ca="1">IFERROR(IF(OR('Raw Data'!J16="",LEN(TRIM('Raw Data'!J16))=0),"",IF(AND(ISNUMBER('Raw Data'!J16),'Raw Data'!J16=ROUND('Raw Data'!J16,4),IFERROR(ROUND('Raw Data'!J16,4)&lt;=99999999999.99,FALSE))=TRUE,"",_xlfn.REGEXEXTRACT(CELL("address",'Raw Data'!J16), "\$([A-Z]+)\$[0-9]+"))),_xlfn.REGEXEXTRACT(CELL("address",'Raw Data'!J16), "\$([A-Z]+)\$[0-9]+"))</f>
        <v/>
      </c>
    </row>
    <row r="17" spans="2:10" x14ac:dyDescent="0.25">
      <c r="B17" s="6" t="str" cm="1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6" t="str" cm="1">
        <f t="array" aca="1" ref="C17" ca="1">IFERROR(IF(OR('Raw Data'!C17="",LEN(TRIM('Raw Data'!C17))=0),"",IF(AND(LEN('Raw Data'!C17) &lt;= 20,LEN('Raw Data'!C17)&gt; 0),"",_xlfn.REGEXEXTRACT(CELL("address",'Raw Data'!C17),"\$([A-Z]+)\$[0-9]+"))),_xlfn.REGEXEXTRACT(CELL("address",'Raw Data'!C17),"\$([A-Z]+)\$[0-9]+"))</f>
        <v/>
      </c>
      <c r="D17" s="6" t="str" cm="1">
        <f t="array" aca="1" ref="D17" ca="1">IFERROR(IF(OR('Raw Data'!D17="",LEN(TRIM('Raw Data'!D17))=0),"",IF(AND(ISNUMBER('Raw Data'!D17),'Raw Data'!D17&gt;=Configuration!$D$2),"",_xlfn.REGEXEXTRACT(CELL("address",'Raw Data'!D17),"\$([A-Z]+)\$[0-9]+"))),_xlfn.REGEXEXTRACT(CELL("address",D17), "\$([A-Z]+)\$[0-9]+"))</f>
        <v/>
      </c>
      <c r="E17" s="6" t="str" cm="1">
        <f t="array" aca="1" ref="E17" ca="1">IFERROR(IF(OR('Raw Data'!E17="",LEN(TRIM('Raw Data'!E17))=0),"",IF(AND(ISNUMBER('Raw Data'!E17),'Raw Data'!E17=ROUND('Raw Data'!E17,4),IFERROR(ROUND('Raw Data'!E17,4)&lt;=99999999999.99,FALSE))=TRUE,"",_xlfn.REGEXEXTRACT(CELL("address",'Raw Data'!E17), "\$([A-Z]+)\$[0-9]+"))),_xlfn.REGEXEXTRACT(CELL("address",'Raw Data'!E17), "\$([A-Z]+)\$[0-9]+"))</f>
        <v/>
      </c>
      <c r="F17" s="6" t="str" cm="1">
        <f t="array" aca="1" ref="F17" ca="1">IFERROR(IF(OR('Raw Data'!F17="",LEN(TRIM('Raw Data'!F17))=0),"",IF(AND(ISNUMBER('Raw Data'!F17),'Raw Data'!F17=ROUND('Raw Data'!F17,4),IFERROR(ROUND('Raw Data'!F17,4)&lt;=99999999999.99,FALSE))=TRUE,"",_xlfn.REGEXEXTRACT(CELL("address",'Raw Data'!F17), "\$([A-Z]+)\$[0-9]+"))),_xlfn.REGEXEXTRACT(CELL("address",'Raw Data'!F17), "\$([A-Z]+)\$[0-9]+"))</f>
        <v/>
      </c>
      <c r="G17" s="6" t="str" cm="1">
        <f t="array" aca="1" ref="G17" ca="1">IFERROR(IF(OR('Raw Data'!G17="",LEN(TRIM('Raw Data'!G17))=0),"",IF(AND(ISNUMBER('Raw Data'!G17),'Raw Data'!G17=ROUND('Raw Data'!G17,4),IFERROR(ROUND('Raw Data'!G17,4)&lt;=99999999999.99,FALSE))=TRUE,"",_xlfn.REGEXEXTRACT(CELL("address",'Raw Data'!G17), "\$([A-Z]+)\$[0-9]+"))),_xlfn.REGEXEXTRACT(CELL("address",'Raw Data'!G17), "\$([A-Z]+)\$[0-9]+"))</f>
        <v/>
      </c>
      <c r="H17" s="6" t="str" cm="1">
        <f t="array" aca="1" ref="H17" ca="1">IFERROR(IF(OR('Raw Data'!H17="",LEN(TRIM('Raw Data'!H17))=0),"",IF(AND(ISNUMBER('Raw Data'!H17),'Raw Data'!H17=ROUND('Raw Data'!H17,4),IFERROR(ROUND('Raw Data'!H17,4)&lt;=99999999999.99,FALSE))=TRUE,"",_xlfn.REGEXEXTRACT(CELL("address",'Raw Data'!H17), "\$([A-Z]+)\$[0-9]+"))),_xlfn.REGEXEXTRACT(CELL("address",'Raw Data'!H17), "\$([A-Z]+)\$[0-9]+"))</f>
        <v/>
      </c>
      <c r="I17" s="6" t="str" cm="1">
        <f t="array" aca="1" ref="I17" ca="1">IFERROR(IF(OR('Raw Data'!I17="",LEN(TRIM('Raw Data'!I17))=0),"",IF(AND(ISNUMBER('Raw Data'!I17),'Raw Data'!I17=ROUND('Raw Data'!I17,4),IFERROR(ROUND('Raw Data'!I17,4)&lt;=99999999999.99,FALSE))=TRUE,"",_xlfn.REGEXEXTRACT(CELL("address",'Raw Data'!I17), "\$([A-Z]+)\$[0-9]+"))),_xlfn.REGEXEXTRACT(CELL("address",'Raw Data'!I17), "\$([A-Z]+)\$[0-9]+"))</f>
        <v/>
      </c>
      <c r="J17" s="6" t="str" cm="1">
        <f t="array" aca="1" ref="J17" ca="1">IFERROR(IF(OR('Raw Data'!J17="",LEN(TRIM('Raw Data'!J17))=0),"",IF(AND(ISNUMBER('Raw Data'!J17),'Raw Data'!J17=ROUND('Raw Data'!J17,4),IFERROR(ROUND('Raw Data'!J17,4)&lt;=99999999999.99,FALSE))=TRUE,"",_xlfn.REGEXEXTRACT(CELL("address",'Raw Data'!J17), "\$([A-Z]+)\$[0-9]+"))),_xlfn.REGEXEXTRACT(CELL("address",'Raw Data'!J17), "\$([A-Z]+)\$[0-9]+"))</f>
        <v/>
      </c>
    </row>
    <row r="18" spans="2:10" x14ac:dyDescent="0.25">
      <c r="B18" s="6" t="str" cm="1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6" t="str" cm="1">
        <f t="array" aca="1" ref="C18" ca="1">IFERROR(IF(OR('Raw Data'!C18="",LEN(TRIM('Raw Data'!C18))=0),"",IF(AND(LEN('Raw Data'!C18) &lt;= 20,LEN('Raw Data'!C18)&gt; 0),"",_xlfn.REGEXEXTRACT(CELL("address",'Raw Data'!C18),"\$([A-Z]+)\$[0-9]+"))),_xlfn.REGEXEXTRACT(CELL("address",'Raw Data'!C18),"\$([A-Z]+)\$[0-9]+"))</f>
        <v/>
      </c>
      <c r="D18" s="6" t="str" cm="1">
        <f t="array" aca="1" ref="D18" ca="1">IFERROR(IF(OR('Raw Data'!D18="",LEN(TRIM('Raw Data'!D18))=0),"",IF(AND(ISNUMBER('Raw Data'!D18),'Raw Data'!D18&gt;=Configuration!$D$2),"",_xlfn.REGEXEXTRACT(CELL("address",'Raw Data'!D18),"\$([A-Z]+)\$[0-9]+"))),_xlfn.REGEXEXTRACT(CELL("address",D18), "\$([A-Z]+)\$[0-9]+"))</f>
        <v/>
      </c>
      <c r="E18" s="6" t="str" cm="1">
        <f t="array" aca="1" ref="E18" ca="1">IFERROR(IF(OR('Raw Data'!E18="",LEN(TRIM('Raw Data'!E18))=0),"",IF(AND(ISNUMBER('Raw Data'!E18),'Raw Data'!E18=ROUND('Raw Data'!E18,4),IFERROR(ROUND('Raw Data'!E18,4)&lt;=99999999999.99,FALSE))=TRUE,"",_xlfn.REGEXEXTRACT(CELL("address",'Raw Data'!E18), "\$([A-Z]+)\$[0-9]+"))),_xlfn.REGEXEXTRACT(CELL("address",'Raw Data'!E18), "\$([A-Z]+)\$[0-9]+"))</f>
        <v/>
      </c>
      <c r="F18" s="6" t="str" cm="1">
        <f t="array" aca="1" ref="F18" ca="1">IFERROR(IF(OR('Raw Data'!F18="",LEN(TRIM('Raw Data'!F18))=0),"",IF(AND(ISNUMBER('Raw Data'!F18),'Raw Data'!F18=ROUND('Raw Data'!F18,4),IFERROR(ROUND('Raw Data'!F18,4)&lt;=99999999999.99,FALSE))=TRUE,"",_xlfn.REGEXEXTRACT(CELL("address",'Raw Data'!F18), "\$([A-Z]+)\$[0-9]+"))),_xlfn.REGEXEXTRACT(CELL("address",'Raw Data'!F18), "\$([A-Z]+)\$[0-9]+"))</f>
        <v/>
      </c>
      <c r="G18" s="6" t="str" cm="1">
        <f t="array" aca="1" ref="G18" ca="1">IFERROR(IF(OR('Raw Data'!G18="",LEN(TRIM('Raw Data'!G18))=0),"",IF(AND(ISNUMBER('Raw Data'!G18),'Raw Data'!G18=ROUND('Raw Data'!G18,4),IFERROR(ROUND('Raw Data'!G18,4)&lt;=99999999999.99,FALSE))=TRUE,"",_xlfn.REGEXEXTRACT(CELL("address",'Raw Data'!G18), "\$([A-Z]+)\$[0-9]+"))),_xlfn.REGEXEXTRACT(CELL("address",'Raw Data'!G18), "\$([A-Z]+)\$[0-9]+"))</f>
        <v/>
      </c>
      <c r="H18" s="6" t="str" cm="1">
        <f t="array" aca="1" ref="H18" ca="1">IFERROR(IF(OR('Raw Data'!H18="",LEN(TRIM('Raw Data'!H18))=0),"",IF(AND(ISNUMBER('Raw Data'!H18),'Raw Data'!H18=ROUND('Raw Data'!H18,4),IFERROR(ROUND('Raw Data'!H18,4)&lt;=99999999999.99,FALSE))=TRUE,"",_xlfn.REGEXEXTRACT(CELL("address",'Raw Data'!H18), "\$([A-Z]+)\$[0-9]+"))),_xlfn.REGEXEXTRACT(CELL("address",'Raw Data'!H18), "\$([A-Z]+)\$[0-9]+"))</f>
        <v/>
      </c>
      <c r="I18" s="6" t="str" cm="1">
        <f t="array" aca="1" ref="I18" ca="1">IFERROR(IF(OR('Raw Data'!I18="",LEN(TRIM('Raw Data'!I18))=0),"",IF(AND(ISNUMBER('Raw Data'!I18),'Raw Data'!I18=ROUND('Raw Data'!I18,4),IFERROR(ROUND('Raw Data'!I18,4)&lt;=99999999999.99,FALSE))=TRUE,"",_xlfn.REGEXEXTRACT(CELL("address",'Raw Data'!I18), "\$([A-Z]+)\$[0-9]+"))),_xlfn.REGEXEXTRACT(CELL("address",'Raw Data'!I18), "\$([A-Z]+)\$[0-9]+"))</f>
        <v/>
      </c>
      <c r="J18" s="6" t="str" cm="1">
        <f t="array" aca="1" ref="J18" ca="1">IFERROR(IF(OR('Raw Data'!J18="",LEN(TRIM('Raw Data'!J18))=0),"",IF(AND(ISNUMBER('Raw Data'!J18),'Raw Data'!J18=ROUND('Raw Data'!J18,4),IFERROR(ROUND('Raw Data'!J18,4)&lt;=99999999999.99,FALSE))=TRUE,"",_xlfn.REGEXEXTRACT(CELL("address",'Raw Data'!J18), "\$([A-Z]+)\$[0-9]+"))),_xlfn.REGEXEXTRACT(CELL("address",'Raw Data'!J18), "\$([A-Z]+)\$[0-9]+"))</f>
        <v/>
      </c>
    </row>
    <row r="19" spans="2:10" x14ac:dyDescent="0.25">
      <c r="B19" s="6" t="str" cm="1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6" t="str" cm="1">
        <f t="array" aca="1" ref="C19" ca="1">IFERROR(IF(OR('Raw Data'!C19="",LEN(TRIM('Raw Data'!C19))=0),"",IF(AND(LEN('Raw Data'!C19) &lt;= 20,LEN('Raw Data'!C19)&gt; 0),"",_xlfn.REGEXEXTRACT(CELL("address",'Raw Data'!C19),"\$([A-Z]+)\$[0-9]+"))),_xlfn.REGEXEXTRACT(CELL("address",'Raw Data'!C19),"\$([A-Z]+)\$[0-9]+"))</f>
        <v/>
      </c>
      <c r="D19" s="6" t="str" cm="1">
        <f t="array" aca="1" ref="D19" ca="1">IFERROR(IF(OR('Raw Data'!D19="",LEN(TRIM('Raw Data'!D19))=0),"",IF(AND(ISNUMBER('Raw Data'!D19),'Raw Data'!D19&gt;=Configuration!$D$2),"",_xlfn.REGEXEXTRACT(CELL("address",'Raw Data'!D19),"\$([A-Z]+)\$[0-9]+"))),_xlfn.REGEXEXTRACT(CELL("address",D19), "\$([A-Z]+)\$[0-9]+"))</f>
        <v/>
      </c>
      <c r="E19" s="6" t="str" cm="1">
        <f t="array" aca="1" ref="E19" ca="1">IFERROR(IF(OR('Raw Data'!E19="",LEN(TRIM('Raw Data'!E19))=0),"",IF(AND(ISNUMBER('Raw Data'!E19),'Raw Data'!E19=ROUND('Raw Data'!E19,4),IFERROR(ROUND('Raw Data'!E19,4)&lt;=99999999999.99,FALSE))=TRUE,"",_xlfn.REGEXEXTRACT(CELL("address",'Raw Data'!E19), "\$([A-Z]+)\$[0-9]+"))),_xlfn.REGEXEXTRACT(CELL("address",'Raw Data'!E19), "\$([A-Z]+)\$[0-9]+"))</f>
        <v/>
      </c>
      <c r="F19" s="6" t="str" cm="1">
        <f t="array" aca="1" ref="F19" ca="1">IFERROR(IF(OR('Raw Data'!F19="",LEN(TRIM('Raw Data'!F19))=0),"",IF(AND(ISNUMBER('Raw Data'!F19),'Raw Data'!F19=ROUND('Raw Data'!F19,4),IFERROR(ROUND('Raw Data'!F19,4)&lt;=99999999999.99,FALSE))=TRUE,"",_xlfn.REGEXEXTRACT(CELL("address",'Raw Data'!F19), "\$([A-Z]+)\$[0-9]+"))),_xlfn.REGEXEXTRACT(CELL("address",'Raw Data'!F19), "\$([A-Z]+)\$[0-9]+"))</f>
        <v/>
      </c>
      <c r="G19" s="6" t="str" cm="1">
        <f t="array" aca="1" ref="G19" ca="1">IFERROR(IF(OR('Raw Data'!G19="",LEN(TRIM('Raw Data'!G19))=0),"",IF(AND(ISNUMBER('Raw Data'!G19),'Raw Data'!G19=ROUND('Raw Data'!G19,4),IFERROR(ROUND('Raw Data'!G19,4)&lt;=99999999999.99,FALSE))=TRUE,"",_xlfn.REGEXEXTRACT(CELL("address",'Raw Data'!G19), "\$([A-Z]+)\$[0-9]+"))),_xlfn.REGEXEXTRACT(CELL("address",'Raw Data'!G19), "\$([A-Z]+)\$[0-9]+"))</f>
        <v/>
      </c>
      <c r="H19" s="6" t="str" cm="1">
        <f t="array" aca="1" ref="H19" ca="1">IFERROR(IF(OR('Raw Data'!H19="",LEN(TRIM('Raw Data'!H19))=0),"",IF(AND(ISNUMBER('Raw Data'!H19),'Raw Data'!H19=ROUND('Raw Data'!H19,4),IFERROR(ROUND('Raw Data'!H19,4)&lt;=99999999999.99,FALSE))=TRUE,"",_xlfn.REGEXEXTRACT(CELL("address",'Raw Data'!H19), "\$([A-Z]+)\$[0-9]+"))),_xlfn.REGEXEXTRACT(CELL("address",'Raw Data'!H19), "\$([A-Z]+)\$[0-9]+"))</f>
        <v/>
      </c>
      <c r="I19" s="6" t="str" cm="1">
        <f t="array" aca="1" ref="I19" ca="1">IFERROR(IF(OR('Raw Data'!I19="",LEN(TRIM('Raw Data'!I19))=0),"",IF(AND(ISNUMBER('Raw Data'!I19),'Raw Data'!I19=ROUND('Raw Data'!I19,4),IFERROR(ROUND('Raw Data'!I19,4)&lt;=99999999999.99,FALSE))=TRUE,"",_xlfn.REGEXEXTRACT(CELL("address",'Raw Data'!I19), "\$([A-Z]+)\$[0-9]+"))),_xlfn.REGEXEXTRACT(CELL("address",'Raw Data'!I19), "\$([A-Z]+)\$[0-9]+"))</f>
        <v/>
      </c>
      <c r="J19" s="6" t="str" cm="1">
        <f t="array" aca="1" ref="J19" ca="1">IFERROR(IF(OR('Raw Data'!J19="",LEN(TRIM('Raw Data'!J19))=0),"",IF(AND(ISNUMBER('Raw Data'!J19),'Raw Data'!J19=ROUND('Raw Data'!J19,4),IFERROR(ROUND('Raw Data'!J19,4)&lt;=99999999999.99,FALSE))=TRUE,"",_xlfn.REGEXEXTRACT(CELL("address",'Raw Data'!J19), "\$([A-Z]+)\$[0-9]+"))),_xlfn.REGEXEXTRACT(CELL("address",'Raw Data'!J19), "\$([A-Z]+)\$[0-9]+"))</f>
        <v/>
      </c>
    </row>
    <row r="20" spans="2:10" x14ac:dyDescent="0.25">
      <c r="B20" s="6" t="str" cm="1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6" t="str" cm="1">
        <f t="array" aca="1" ref="C20" ca="1">IFERROR(IF(OR('Raw Data'!C20="",LEN(TRIM('Raw Data'!C20))=0),"",IF(AND(LEN('Raw Data'!C20) &lt;= 20,LEN('Raw Data'!C20)&gt; 0),"",_xlfn.REGEXEXTRACT(CELL("address",'Raw Data'!C20),"\$([A-Z]+)\$[0-9]+"))),_xlfn.REGEXEXTRACT(CELL("address",'Raw Data'!C20),"\$([A-Z]+)\$[0-9]+"))</f>
        <v/>
      </c>
      <c r="D20" s="6" t="str" cm="1">
        <f t="array" aca="1" ref="D20" ca="1">IFERROR(IF(OR('Raw Data'!D20="",LEN(TRIM('Raw Data'!D20))=0),"",IF(AND(ISNUMBER('Raw Data'!D20),'Raw Data'!D20&gt;=Configuration!$D$2),"",_xlfn.REGEXEXTRACT(CELL("address",'Raw Data'!D20),"\$([A-Z]+)\$[0-9]+"))),_xlfn.REGEXEXTRACT(CELL("address",D20), "\$([A-Z]+)\$[0-9]+"))</f>
        <v/>
      </c>
      <c r="E20" s="6" t="str" cm="1">
        <f t="array" aca="1" ref="E20" ca="1">IFERROR(IF(OR('Raw Data'!E20="",LEN(TRIM('Raw Data'!E20))=0),"",IF(AND(ISNUMBER('Raw Data'!E20),'Raw Data'!E20=ROUND('Raw Data'!E20,4),IFERROR(ROUND('Raw Data'!E20,4)&lt;=99999999999.99,FALSE))=TRUE,"",_xlfn.REGEXEXTRACT(CELL("address",'Raw Data'!E20), "\$([A-Z]+)\$[0-9]+"))),_xlfn.REGEXEXTRACT(CELL("address",'Raw Data'!E20), "\$([A-Z]+)\$[0-9]+"))</f>
        <v/>
      </c>
      <c r="F20" s="6" t="str" cm="1">
        <f t="array" aca="1" ref="F20" ca="1">IFERROR(IF(OR('Raw Data'!F20="",LEN(TRIM('Raw Data'!F20))=0),"",IF(AND(ISNUMBER('Raw Data'!F20),'Raw Data'!F20=ROUND('Raw Data'!F20,4),IFERROR(ROUND('Raw Data'!F20,4)&lt;=99999999999.99,FALSE))=TRUE,"",_xlfn.REGEXEXTRACT(CELL("address",'Raw Data'!F20), "\$([A-Z]+)\$[0-9]+"))),_xlfn.REGEXEXTRACT(CELL("address",'Raw Data'!F20), "\$([A-Z]+)\$[0-9]+"))</f>
        <v/>
      </c>
      <c r="G20" s="6" t="str" cm="1">
        <f t="array" aca="1" ref="G20" ca="1">IFERROR(IF(OR('Raw Data'!G20="",LEN(TRIM('Raw Data'!G20))=0),"",IF(AND(ISNUMBER('Raw Data'!G20),'Raw Data'!G20=ROUND('Raw Data'!G20,4),IFERROR(ROUND('Raw Data'!G20,4)&lt;=99999999999.99,FALSE))=TRUE,"",_xlfn.REGEXEXTRACT(CELL("address",'Raw Data'!G20), "\$([A-Z]+)\$[0-9]+"))),_xlfn.REGEXEXTRACT(CELL("address",'Raw Data'!G20), "\$([A-Z]+)\$[0-9]+"))</f>
        <v/>
      </c>
      <c r="H20" s="6" t="str" cm="1">
        <f t="array" aca="1" ref="H20" ca="1">IFERROR(IF(OR('Raw Data'!H20="",LEN(TRIM('Raw Data'!H20))=0),"",IF(AND(ISNUMBER('Raw Data'!H20),'Raw Data'!H20=ROUND('Raw Data'!H20,4),IFERROR(ROUND('Raw Data'!H20,4)&lt;=99999999999.99,FALSE))=TRUE,"",_xlfn.REGEXEXTRACT(CELL("address",'Raw Data'!H20), "\$([A-Z]+)\$[0-9]+"))),_xlfn.REGEXEXTRACT(CELL("address",'Raw Data'!H20), "\$([A-Z]+)\$[0-9]+"))</f>
        <v/>
      </c>
      <c r="I20" s="6" t="str" cm="1">
        <f t="array" aca="1" ref="I20" ca="1">IFERROR(IF(OR('Raw Data'!I20="",LEN(TRIM('Raw Data'!I20))=0),"",IF(AND(ISNUMBER('Raw Data'!I20),'Raw Data'!I20=ROUND('Raw Data'!I20,4),IFERROR(ROUND('Raw Data'!I20,4)&lt;=99999999999.99,FALSE))=TRUE,"",_xlfn.REGEXEXTRACT(CELL("address",'Raw Data'!I20), "\$([A-Z]+)\$[0-9]+"))),_xlfn.REGEXEXTRACT(CELL("address",'Raw Data'!I20), "\$([A-Z]+)\$[0-9]+"))</f>
        <v/>
      </c>
      <c r="J20" s="6" t="str" cm="1">
        <f t="array" aca="1" ref="J20" ca="1">IFERROR(IF(OR('Raw Data'!J20="",LEN(TRIM('Raw Data'!J20))=0),"",IF(AND(ISNUMBER('Raw Data'!J20),'Raw Data'!J20=ROUND('Raw Data'!J20,4),IFERROR(ROUND('Raw Data'!J20,4)&lt;=99999999999.99,FALSE))=TRUE,"",_xlfn.REGEXEXTRACT(CELL("address",'Raw Data'!J20), "\$([A-Z]+)\$[0-9]+"))),_xlfn.REGEXEXTRACT(CELL("address",'Raw Data'!J20), "\$([A-Z]+)\$[0-9]+"))</f>
        <v/>
      </c>
    </row>
    <row r="21" spans="2:10" x14ac:dyDescent="0.25">
      <c r="B21" s="6" t="str" cm="1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6" t="str" cm="1">
        <f t="array" aca="1" ref="C21" ca="1">IFERROR(IF(OR('Raw Data'!C21="",LEN(TRIM('Raw Data'!C21))=0),"",IF(AND(LEN('Raw Data'!C21) &lt;= 20,LEN('Raw Data'!C21)&gt; 0),"",_xlfn.REGEXEXTRACT(CELL("address",'Raw Data'!C21),"\$([A-Z]+)\$[0-9]+"))),_xlfn.REGEXEXTRACT(CELL("address",'Raw Data'!C21),"\$([A-Z]+)\$[0-9]+"))</f>
        <v/>
      </c>
      <c r="D21" s="6" t="str" cm="1">
        <f t="array" aca="1" ref="D21" ca="1">IFERROR(IF(OR('Raw Data'!D21="",LEN(TRIM('Raw Data'!D21))=0),"",IF(AND(ISNUMBER('Raw Data'!D21),'Raw Data'!D21&gt;=Configuration!$D$2),"",_xlfn.REGEXEXTRACT(CELL("address",'Raw Data'!D21),"\$([A-Z]+)\$[0-9]+"))),_xlfn.REGEXEXTRACT(CELL("address",D21), "\$([A-Z]+)\$[0-9]+"))</f>
        <v/>
      </c>
      <c r="E21" s="6" t="str" cm="1">
        <f t="array" aca="1" ref="E21" ca="1">IFERROR(IF(OR('Raw Data'!E21="",LEN(TRIM('Raw Data'!E21))=0),"",IF(AND(ISNUMBER('Raw Data'!E21),'Raw Data'!E21=ROUND('Raw Data'!E21,4),IFERROR(ROUND('Raw Data'!E21,4)&lt;=99999999999.99,FALSE))=TRUE,"",_xlfn.REGEXEXTRACT(CELL("address",'Raw Data'!E21), "\$([A-Z]+)\$[0-9]+"))),_xlfn.REGEXEXTRACT(CELL("address",'Raw Data'!E21), "\$([A-Z]+)\$[0-9]+"))</f>
        <v/>
      </c>
      <c r="F21" s="6" t="str" cm="1">
        <f t="array" aca="1" ref="F21" ca="1">IFERROR(IF(OR('Raw Data'!F21="",LEN(TRIM('Raw Data'!F21))=0),"",IF(AND(ISNUMBER('Raw Data'!F21),'Raw Data'!F21=ROUND('Raw Data'!F21,4),IFERROR(ROUND('Raw Data'!F21,4)&lt;=99999999999.99,FALSE))=TRUE,"",_xlfn.REGEXEXTRACT(CELL("address",'Raw Data'!F21), "\$([A-Z]+)\$[0-9]+"))),_xlfn.REGEXEXTRACT(CELL("address",'Raw Data'!F21), "\$([A-Z]+)\$[0-9]+"))</f>
        <v/>
      </c>
      <c r="G21" s="6" t="str" cm="1">
        <f t="array" aca="1" ref="G21" ca="1">IFERROR(IF(OR('Raw Data'!G21="",LEN(TRIM('Raw Data'!G21))=0),"",IF(AND(ISNUMBER('Raw Data'!G21),'Raw Data'!G21=ROUND('Raw Data'!G21,4),IFERROR(ROUND('Raw Data'!G21,4)&lt;=99999999999.99,FALSE))=TRUE,"",_xlfn.REGEXEXTRACT(CELL("address",'Raw Data'!G21), "\$([A-Z]+)\$[0-9]+"))),_xlfn.REGEXEXTRACT(CELL("address",'Raw Data'!G21), "\$([A-Z]+)\$[0-9]+"))</f>
        <v/>
      </c>
      <c r="H21" s="6" t="str" cm="1">
        <f t="array" aca="1" ref="H21" ca="1">IFERROR(IF(OR('Raw Data'!H21="",LEN(TRIM('Raw Data'!H21))=0),"",IF(AND(ISNUMBER('Raw Data'!H21),'Raw Data'!H21=ROUND('Raw Data'!H21,4),IFERROR(ROUND('Raw Data'!H21,4)&lt;=99999999999.99,FALSE))=TRUE,"",_xlfn.REGEXEXTRACT(CELL("address",'Raw Data'!H21), "\$([A-Z]+)\$[0-9]+"))),_xlfn.REGEXEXTRACT(CELL("address",'Raw Data'!H21), "\$([A-Z]+)\$[0-9]+"))</f>
        <v/>
      </c>
      <c r="I21" s="6" t="str" cm="1">
        <f t="array" aca="1" ref="I21" ca="1">IFERROR(IF(OR('Raw Data'!I21="",LEN(TRIM('Raw Data'!I21))=0),"",IF(AND(ISNUMBER('Raw Data'!I21),'Raw Data'!I21=ROUND('Raw Data'!I21,4),IFERROR(ROUND('Raw Data'!I21,4)&lt;=99999999999.99,FALSE))=TRUE,"",_xlfn.REGEXEXTRACT(CELL("address",'Raw Data'!I21), "\$([A-Z]+)\$[0-9]+"))),_xlfn.REGEXEXTRACT(CELL("address",'Raw Data'!I21), "\$([A-Z]+)\$[0-9]+"))</f>
        <v/>
      </c>
      <c r="J21" s="6" t="str" cm="1">
        <f t="array" aca="1" ref="J21" ca="1">IFERROR(IF(OR('Raw Data'!J21="",LEN(TRIM('Raw Data'!J21))=0),"",IF(AND(ISNUMBER('Raw Data'!J21),'Raw Data'!J21=ROUND('Raw Data'!J21,4),IFERROR(ROUND('Raw Data'!J21,4)&lt;=99999999999.99,FALSE))=TRUE,"",_xlfn.REGEXEXTRACT(CELL("address",'Raw Data'!J21), "\$([A-Z]+)\$[0-9]+"))),_xlfn.REGEXEXTRACT(CELL("address",'Raw Data'!J21), "\$([A-Z]+)\$[0-9]+"))</f>
        <v/>
      </c>
    </row>
    <row r="22" spans="2:10" x14ac:dyDescent="0.25">
      <c r="B22" s="6" t="str" cm="1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6" t="str" cm="1">
        <f t="array" aca="1" ref="C22" ca="1">IFERROR(IF(OR('Raw Data'!C22="",LEN(TRIM('Raw Data'!C22))=0),"",IF(AND(LEN('Raw Data'!C22) &lt;= 20,LEN('Raw Data'!C22)&gt; 0),"",_xlfn.REGEXEXTRACT(CELL("address",'Raw Data'!C22),"\$([A-Z]+)\$[0-9]+"))),_xlfn.REGEXEXTRACT(CELL("address",'Raw Data'!C22),"\$([A-Z]+)\$[0-9]+"))</f>
        <v/>
      </c>
      <c r="D22" s="6" t="str" cm="1">
        <f t="array" aca="1" ref="D22" ca="1">IFERROR(IF(OR('Raw Data'!D22="",LEN(TRIM('Raw Data'!D22))=0),"",IF(AND(ISNUMBER('Raw Data'!D22),'Raw Data'!D22&gt;=Configuration!$D$2),"",_xlfn.REGEXEXTRACT(CELL("address",'Raw Data'!D22),"\$([A-Z]+)\$[0-9]+"))),_xlfn.REGEXEXTRACT(CELL("address",D22), "\$([A-Z]+)\$[0-9]+"))</f>
        <v/>
      </c>
      <c r="E22" s="6" t="str" cm="1">
        <f t="array" aca="1" ref="E22" ca="1">IFERROR(IF(OR('Raw Data'!E22="",LEN(TRIM('Raw Data'!E22))=0),"",IF(AND(ISNUMBER('Raw Data'!E22),'Raw Data'!E22=ROUND('Raw Data'!E22,4),IFERROR(ROUND('Raw Data'!E22,4)&lt;=99999999999.99,FALSE))=TRUE,"",_xlfn.REGEXEXTRACT(CELL("address",'Raw Data'!E22), "\$([A-Z]+)\$[0-9]+"))),_xlfn.REGEXEXTRACT(CELL("address",'Raw Data'!E22), "\$([A-Z]+)\$[0-9]+"))</f>
        <v/>
      </c>
      <c r="F22" s="6" t="str" cm="1">
        <f t="array" aca="1" ref="F22" ca="1">IFERROR(IF(OR('Raw Data'!F22="",LEN(TRIM('Raw Data'!F22))=0),"",IF(AND(ISNUMBER('Raw Data'!F22),'Raw Data'!F22=ROUND('Raw Data'!F22,4),IFERROR(ROUND('Raw Data'!F22,4)&lt;=99999999999.99,FALSE))=TRUE,"",_xlfn.REGEXEXTRACT(CELL("address",'Raw Data'!F22), "\$([A-Z]+)\$[0-9]+"))),_xlfn.REGEXEXTRACT(CELL("address",'Raw Data'!F22), "\$([A-Z]+)\$[0-9]+"))</f>
        <v/>
      </c>
      <c r="G22" s="6" t="str" cm="1">
        <f t="array" aca="1" ref="G22" ca="1">IFERROR(IF(OR('Raw Data'!G22="",LEN(TRIM('Raw Data'!G22))=0),"",IF(AND(ISNUMBER('Raw Data'!G22),'Raw Data'!G22=ROUND('Raw Data'!G22,4),IFERROR(ROUND('Raw Data'!G22,4)&lt;=99999999999.99,FALSE))=TRUE,"",_xlfn.REGEXEXTRACT(CELL("address",'Raw Data'!G22), "\$([A-Z]+)\$[0-9]+"))),_xlfn.REGEXEXTRACT(CELL("address",'Raw Data'!G22), "\$([A-Z]+)\$[0-9]+"))</f>
        <v/>
      </c>
      <c r="H22" s="6" t="str" cm="1">
        <f t="array" aca="1" ref="H22" ca="1">IFERROR(IF(OR('Raw Data'!H22="",LEN(TRIM('Raw Data'!H22))=0),"",IF(AND(ISNUMBER('Raw Data'!H22),'Raw Data'!H22=ROUND('Raw Data'!H22,4),IFERROR(ROUND('Raw Data'!H22,4)&lt;=99999999999.99,FALSE))=TRUE,"",_xlfn.REGEXEXTRACT(CELL("address",'Raw Data'!H22), "\$([A-Z]+)\$[0-9]+"))),_xlfn.REGEXEXTRACT(CELL("address",'Raw Data'!H22), "\$([A-Z]+)\$[0-9]+"))</f>
        <v/>
      </c>
      <c r="I22" s="6" t="str" cm="1">
        <f t="array" aca="1" ref="I22" ca="1">IFERROR(IF(OR('Raw Data'!I22="",LEN(TRIM('Raw Data'!I22))=0),"",IF(AND(ISNUMBER('Raw Data'!I22),'Raw Data'!I22=ROUND('Raw Data'!I22,4),IFERROR(ROUND('Raw Data'!I22,4)&lt;=99999999999.99,FALSE))=TRUE,"",_xlfn.REGEXEXTRACT(CELL("address",'Raw Data'!I22), "\$([A-Z]+)\$[0-9]+"))),_xlfn.REGEXEXTRACT(CELL("address",'Raw Data'!I22), "\$([A-Z]+)\$[0-9]+"))</f>
        <v/>
      </c>
      <c r="J22" s="6" t="str" cm="1">
        <f t="array" aca="1" ref="J22" ca="1">IFERROR(IF(OR('Raw Data'!J22="",LEN(TRIM('Raw Data'!J22))=0),"",IF(AND(ISNUMBER('Raw Data'!J22),'Raw Data'!J22=ROUND('Raw Data'!J22,4),IFERROR(ROUND('Raw Data'!J22,4)&lt;=99999999999.99,FALSE))=TRUE,"",_xlfn.REGEXEXTRACT(CELL("address",'Raw Data'!J22), "\$([A-Z]+)\$[0-9]+"))),_xlfn.REGEXEXTRACT(CELL("address",'Raw Data'!J22), "\$([A-Z]+)\$[0-9]+"))</f>
        <v/>
      </c>
    </row>
    <row r="23" spans="2:10" x14ac:dyDescent="0.25">
      <c r="B23" s="6" t="str" cm="1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6" t="str" cm="1">
        <f t="array" aca="1" ref="C23" ca="1">IFERROR(IF(OR('Raw Data'!C23="",LEN(TRIM('Raw Data'!C23))=0),"",IF(AND(LEN('Raw Data'!C23) &lt;= 20,LEN('Raw Data'!C23)&gt; 0),"",_xlfn.REGEXEXTRACT(CELL("address",'Raw Data'!C23),"\$([A-Z]+)\$[0-9]+"))),_xlfn.REGEXEXTRACT(CELL("address",'Raw Data'!C23),"\$([A-Z]+)\$[0-9]+"))</f>
        <v/>
      </c>
      <c r="D23" s="6" t="str" cm="1">
        <f t="array" aca="1" ref="D23" ca="1">IFERROR(IF(OR('Raw Data'!D23="",LEN(TRIM('Raw Data'!D23))=0),"",IF(AND(ISNUMBER('Raw Data'!D23),'Raw Data'!D23&gt;=Configuration!$D$2),"",_xlfn.REGEXEXTRACT(CELL("address",'Raw Data'!D23),"\$([A-Z]+)\$[0-9]+"))),_xlfn.REGEXEXTRACT(CELL("address",D23), "\$([A-Z]+)\$[0-9]+"))</f>
        <v/>
      </c>
      <c r="E23" s="6" t="str" cm="1">
        <f t="array" aca="1" ref="E23" ca="1">IFERROR(IF(OR('Raw Data'!E23="",LEN(TRIM('Raw Data'!E23))=0),"",IF(AND(ISNUMBER('Raw Data'!E23),'Raw Data'!E23=ROUND('Raw Data'!E23,4),IFERROR(ROUND('Raw Data'!E23,4)&lt;=99999999999.99,FALSE))=TRUE,"",_xlfn.REGEXEXTRACT(CELL("address",'Raw Data'!E23), "\$([A-Z]+)\$[0-9]+"))),_xlfn.REGEXEXTRACT(CELL("address",'Raw Data'!E23), "\$([A-Z]+)\$[0-9]+"))</f>
        <v/>
      </c>
      <c r="F23" s="6" t="str" cm="1">
        <f t="array" aca="1" ref="F23" ca="1">IFERROR(IF(OR('Raw Data'!F23="",LEN(TRIM('Raw Data'!F23))=0),"",IF(AND(ISNUMBER('Raw Data'!F23),'Raw Data'!F23=ROUND('Raw Data'!F23,4),IFERROR(ROUND('Raw Data'!F23,4)&lt;=99999999999.99,FALSE))=TRUE,"",_xlfn.REGEXEXTRACT(CELL("address",'Raw Data'!F23), "\$([A-Z]+)\$[0-9]+"))),_xlfn.REGEXEXTRACT(CELL("address",'Raw Data'!F23), "\$([A-Z]+)\$[0-9]+"))</f>
        <v/>
      </c>
      <c r="G23" s="6" t="str" cm="1">
        <f t="array" aca="1" ref="G23" ca="1">IFERROR(IF(OR('Raw Data'!G23="",LEN(TRIM('Raw Data'!G23))=0),"",IF(AND(ISNUMBER('Raw Data'!G23),'Raw Data'!G23=ROUND('Raw Data'!G23,4),IFERROR(ROUND('Raw Data'!G23,4)&lt;=99999999999.99,FALSE))=TRUE,"",_xlfn.REGEXEXTRACT(CELL("address",'Raw Data'!G23), "\$([A-Z]+)\$[0-9]+"))),_xlfn.REGEXEXTRACT(CELL("address",'Raw Data'!G23), "\$([A-Z]+)\$[0-9]+"))</f>
        <v/>
      </c>
      <c r="H23" s="6" t="str" cm="1">
        <f t="array" aca="1" ref="H23" ca="1">IFERROR(IF(OR('Raw Data'!H23="",LEN(TRIM('Raw Data'!H23))=0),"",IF(AND(ISNUMBER('Raw Data'!H23),'Raw Data'!H23=ROUND('Raw Data'!H23,4),IFERROR(ROUND('Raw Data'!H23,4)&lt;=99999999999.99,FALSE))=TRUE,"",_xlfn.REGEXEXTRACT(CELL("address",'Raw Data'!H23), "\$([A-Z]+)\$[0-9]+"))),_xlfn.REGEXEXTRACT(CELL("address",'Raw Data'!H23), "\$([A-Z]+)\$[0-9]+"))</f>
        <v/>
      </c>
      <c r="I23" s="6" t="str" cm="1">
        <f t="array" aca="1" ref="I23" ca="1">IFERROR(IF(OR('Raw Data'!I23="",LEN(TRIM('Raw Data'!I23))=0),"",IF(AND(ISNUMBER('Raw Data'!I23),'Raw Data'!I23=ROUND('Raw Data'!I23,4),IFERROR(ROUND('Raw Data'!I23,4)&lt;=99999999999.99,FALSE))=TRUE,"",_xlfn.REGEXEXTRACT(CELL("address",'Raw Data'!I23), "\$([A-Z]+)\$[0-9]+"))),_xlfn.REGEXEXTRACT(CELL("address",'Raw Data'!I23), "\$([A-Z]+)\$[0-9]+"))</f>
        <v/>
      </c>
      <c r="J23" s="6" t="str" cm="1">
        <f t="array" aca="1" ref="J23" ca="1">IFERROR(IF(OR('Raw Data'!J23="",LEN(TRIM('Raw Data'!J23))=0),"",IF(AND(ISNUMBER('Raw Data'!J23),'Raw Data'!J23=ROUND('Raw Data'!J23,4),IFERROR(ROUND('Raw Data'!J23,4)&lt;=99999999999.99,FALSE))=TRUE,"",_xlfn.REGEXEXTRACT(CELL("address",'Raw Data'!J23), "\$([A-Z]+)\$[0-9]+"))),_xlfn.REGEXEXTRACT(CELL("address",'Raw Data'!J23), "\$([A-Z]+)\$[0-9]+"))</f>
        <v/>
      </c>
    </row>
    <row r="24" spans="2:10" x14ac:dyDescent="0.25">
      <c r="B24" s="6" t="str" cm="1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6" t="str" cm="1">
        <f t="array" aca="1" ref="C24" ca="1">IFERROR(IF(OR('Raw Data'!C24="",LEN(TRIM('Raw Data'!C24))=0),"",IF(AND(LEN('Raw Data'!C24) &lt;= 20,LEN('Raw Data'!C24)&gt; 0),"",_xlfn.REGEXEXTRACT(CELL("address",'Raw Data'!C24),"\$([A-Z]+)\$[0-9]+"))),_xlfn.REGEXEXTRACT(CELL("address",'Raw Data'!C24),"\$([A-Z]+)\$[0-9]+"))</f>
        <v/>
      </c>
      <c r="D24" s="6" t="str" cm="1">
        <f t="array" aca="1" ref="D24" ca="1">IFERROR(IF(OR('Raw Data'!D24="",LEN(TRIM('Raw Data'!D24))=0),"",IF(AND(ISNUMBER('Raw Data'!D24),'Raw Data'!D24&gt;=Configuration!$D$2),"",_xlfn.REGEXEXTRACT(CELL("address",'Raw Data'!D24),"\$([A-Z]+)\$[0-9]+"))),_xlfn.REGEXEXTRACT(CELL("address",D24), "\$([A-Z]+)\$[0-9]+"))</f>
        <v/>
      </c>
      <c r="E24" s="6" t="str" cm="1">
        <f t="array" aca="1" ref="E24" ca="1">IFERROR(IF(OR('Raw Data'!E24="",LEN(TRIM('Raw Data'!E24))=0),"",IF(AND(ISNUMBER('Raw Data'!E24),'Raw Data'!E24=ROUND('Raw Data'!E24,4),IFERROR(ROUND('Raw Data'!E24,4)&lt;=99999999999.99,FALSE))=TRUE,"",_xlfn.REGEXEXTRACT(CELL("address",'Raw Data'!E24), "\$([A-Z]+)\$[0-9]+"))),_xlfn.REGEXEXTRACT(CELL("address",'Raw Data'!E24), "\$([A-Z]+)\$[0-9]+"))</f>
        <v/>
      </c>
      <c r="F24" s="6" t="str" cm="1">
        <f t="array" aca="1" ref="F24" ca="1">IFERROR(IF(OR('Raw Data'!F24="",LEN(TRIM('Raw Data'!F24))=0),"",IF(AND(ISNUMBER('Raw Data'!F24),'Raw Data'!F24=ROUND('Raw Data'!F24,4),IFERROR(ROUND('Raw Data'!F24,4)&lt;=99999999999.99,FALSE))=TRUE,"",_xlfn.REGEXEXTRACT(CELL("address",'Raw Data'!F24), "\$([A-Z]+)\$[0-9]+"))),_xlfn.REGEXEXTRACT(CELL("address",'Raw Data'!F24), "\$([A-Z]+)\$[0-9]+"))</f>
        <v/>
      </c>
      <c r="G24" s="6" t="str" cm="1">
        <f t="array" aca="1" ref="G24" ca="1">IFERROR(IF(OR('Raw Data'!G24="",LEN(TRIM('Raw Data'!G24))=0),"",IF(AND(ISNUMBER('Raw Data'!G24),'Raw Data'!G24=ROUND('Raw Data'!G24,4),IFERROR(ROUND('Raw Data'!G24,4)&lt;=99999999999.99,FALSE))=TRUE,"",_xlfn.REGEXEXTRACT(CELL("address",'Raw Data'!G24), "\$([A-Z]+)\$[0-9]+"))),_xlfn.REGEXEXTRACT(CELL("address",'Raw Data'!G24), "\$([A-Z]+)\$[0-9]+"))</f>
        <v/>
      </c>
      <c r="H24" s="6" t="str" cm="1">
        <f t="array" aca="1" ref="H24" ca="1">IFERROR(IF(OR('Raw Data'!H24="",LEN(TRIM('Raw Data'!H24))=0),"",IF(AND(ISNUMBER('Raw Data'!H24),'Raw Data'!H24=ROUND('Raw Data'!H24,4),IFERROR(ROUND('Raw Data'!H24,4)&lt;=99999999999.99,FALSE))=TRUE,"",_xlfn.REGEXEXTRACT(CELL("address",'Raw Data'!H24), "\$([A-Z]+)\$[0-9]+"))),_xlfn.REGEXEXTRACT(CELL("address",'Raw Data'!H24), "\$([A-Z]+)\$[0-9]+"))</f>
        <v/>
      </c>
      <c r="I24" s="6" t="str" cm="1">
        <f t="array" aca="1" ref="I24" ca="1">IFERROR(IF(OR('Raw Data'!I24="",LEN(TRIM('Raw Data'!I24))=0),"",IF(AND(ISNUMBER('Raw Data'!I24),'Raw Data'!I24=ROUND('Raw Data'!I24,4),IFERROR(ROUND('Raw Data'!I24,4)&lt;=99999999999.99,FALSE))=TRUE,"",_xlfn.REGEXEXTRACT(CELL("address",'Raw Data'!I24), "\$([A-Z]+)\$[0-9]+"))),_xlfn.REGEXEXTRACT(CELL("address",'Raw Data'!I24), "\$([A-Z]+)\$[0-9]+"))</f>
        <v/>
      </c>
      <c r="J24" s="6" t="str" cm="1">
        <f t="array" aca="1" ref="J24" ca="1">IFERROR(IF(OR('Raw Data'!J24="",LEN(TRIM('Raw Data'!J24))=0),"",IF(AND(ISNUMBER('Raw Data'!J24),'Raw Data'!J24=ROUND('Raw Data'!J24,4),IFERROR(ROUND('Raw Data'!J24,4)&lt;=99999999999.99,FALSE))=TRUE,"",_xlfn.REGEXEXTRACT(CELL("address",'Raw Data'!J24), "\$([A-Z]+)\$[0-9]+"))),_xlfn.REGEXEXTRACT(CELL("address",'Raw Data'!J24), "\$([A-Z]+)\$[0-9]+"))</f>
        <v/>
      </c>
    </row>
    <row r="25" spans="2:10" x14ac:dyDescent="0.25">
      <c r="B25" s="6" t="str" cm="1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6" t="str" cm="1">
        <f t="array" aca="1" ref="C25" ca="1">IFERROR(IF(OR('Raw Data'!C25="",LEN(TRIM('Raw Data'!C25))=0),"",IF(AND(LEN('Raw Data'!C25) &lt;= 20,LEN('Raw Data'!C25)&gt; 0),"",_xlfn.REGEXEXTRACT(CELL("address",'Raw Data'!C25),"\$([A-Z]+)\$[0-9]+"))),_xlfn.REGEXEXTRACT(CELL("address",'Raw Data'!C25),"\$([A-Z]+)\$[0-9]+"))</f>
        <v/>
      </c>
      <c r="D25" s="6" t="str" cm="1">
        <f t="array" aca="1" ref="D25" ca="1">IFERROR(IF(OR('Raw Data'!D25="",LEN(TRIM('Raw Data'!D25))=0),"",IF(AND(ISNUMBER('Raw Data'!D25),'Raw Data'!D25&gt;=Configuration!$D$2),"",_xlfn.REGEXEXTRACT(CELL("address",'Raw Data'!D25),"\$([A-Z]+)\$[0-9]+"))),_xlfn.REGEXEXTRACT(CELL("address",D25), "\$([A-Z]+)\$[0-9]+"))</f>
        <v/>
      </c>
      <c r="E25" s="6" t="str" cm="1">
        <f t="array" aca="1" ref="E25" ca="1">IFERROR(IF(OR('Raw Data'!E25="",LEN(TRIM('Raw Data'!E25))=0),"",IF(AND(ISNUMBER('Raw Data'!E25),'Raw Data'!E25=ROUND('Raw Data'!E25,4),IFERROR(ROUND('Raw Data'!E25,4)&lt;=99999999999.99,FALSE))=TRUE,"",_xlfn.REGEXEXTRACT(CELL("address",'Raw Data'!E25), "\$([A-Z]+)\$[0-9]+"))),_xlfn.REGEXEXTRACT(CELL("address",'Raw Data'!E25), "\$([A-Z]+)\$[0-9]+"))</f>
        <v/>
      </c>
      <c r="F25" s="6" t="str" cm="1">
        <f t="array" aca="1" ref="F25" ca="1">IFERROR(IF(OR('Raw Data'!F25="",LEN(TRIM('Raw Data'!F25))=0),"",IF(AND(ISNUMBER('Raw Data'!F25),'Raw Data'!F25=ROUND('Raw Data'!F25,4),IFERROR(ROUND('Raw Data'!F25,4)&lt;=99999999999.99,FALSE))=TRUE,"",_xlfn.REGEXEXTRACT(CELL("address",'Raw Data'!F25), "\$([A-Z]+)\$[0-9]+"))),_xlfn.REGEXEXTRACT(CELL("address",'Raw Data'!F25), "\$([A-Z]+)\$[0-9]+"))</f>
        <v/>
      </c>
      <c r="G25" s="6" t="str" cm="1">
        <f t="array" aca="1" ref="G25" ca="1">IFERROR(IF(OR('Raw Data'!G25="",LEN(TRIM('Raw Data'!G25))=0),"",IF(AND(ISNUMBER('Raw Data'!G25),'Raw Data'!G25=ROUND('Raw Data'!G25,4),IFERROR(ROUND('Raw Data'!G25,4)&lt;=99999999999.99,FALSE))=TRUE,"",_xlfn.REGEXEXTRACT(CELL("address",'Raw Data'!G25), "\$([A-Z]+)\$[0-9]+"))),_xlfn.REGEXEXTRACT(CELL("address",'Raw Data'!G25), "\$([A-Z]+)\$[0-9]+"))</f>
        <v/>
      </c>
      <c r="H25" s="6" t="str" cm="1">
        <f t="array" aca="1" ref="H25" ca="1">IFERROR(IF(OR('Raw Data'!H25="",LEN(TRIM('Raw Data'!H25))=0),"",IF(AND(ISNUMBER('Raw Data'!H25),'Raw Data'!H25=ROUND('Raw Data'!H25,4),IFERROR(ROUND('Raw Data'!H25,4)&lt;=99999999999.99,FALSE))=TRUE,"",_xlfn.REGEXEXTRACT(CELL("address",'Raw Data'!H25), "\$([A-Z]+)\$[0-9]+"))),_xlfn.REGEXEXTRACT(CELL("address",'Raw Data'!H25), "\$([A-Z]+)\$[0-9]+"))</f>
        <v/>
      </c>
      <c r="I25" s="6" t="str" cm="1">
        <f t="array" aca="1" ref="I25" ca="1">IFERROR(IF(OR('Raw Data'!I25="",LEN(TRIM('Raw Data'!I25))=0),"",IF(AND(ISNUMBER('Raw Data'!I25),'Raw Data'!I25=ROUND('Raw Data'!I25,4),IFERROR(ROUND('Raw Data'!I25,4)&lt;=99999999999.99,FALSE))=TRUE,"",_xlfn.REGEXEXTRACT(CELL("address",'Raw Data'!I25), "\$([A-Z]+)\$[0-9]+"))),_xlfn.REGEXEXTRACT(CELL("address",'Raw Data'!I25), "\$([A-Z]+)\$[0-9]+"))</f>
        <v/>
      </c>
      <c r="J25" s="6" t="str" cm="1">
        <f t="array" aca="1" ref="J25" ca="1">IFERROR(IF(OR('Raw Data'!J25="",LEN(TRIM('Raw Data'!J25))=0),"",IF(AND(ISNUMBER('Raw Data'!J25),'Raw Data'!J25=ROUND('Raw Data'!J25,4),IFERROR(ROUND('Raw Data'!J25,4)&lt;=99999999999.99,FALSE))=TRUE,"",_xlfn.REGEXEXTRACT(CELL("address",'Raw Data'!J25), "\$([A-Z]+)\$[0-9]+"))),_xlfn.REGEXEXTRACT(CELL("address",'Raw Data'!J25), "\$([A-Z]+)\$[0-9]+"))</f>
        <v/>
      </c>
    </row>
    <row r="26" spans="2:10" x14ac:dyDescent="0.25">
      <c r="B26" s="6" t="str" cm="1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6" t="str" cm="1">
        <f t="array" aca="1" ref="C26" ca="1">IFERROR(IF(OR('Raw Data'!C26="",LEN(TRIM('Raw Data'!C26))=0),"",IF(AND(LEN('Raw Data'!C26) &lt;= 20,LEN('Raw Data'!C26)&gt; 0),"",_xlfn.REGEXEXTRACT(CELL("address",'Raw Data'!C26),"\$([A-Z]+)\$[0-9]+"))),_xlfn.REGEXEXTRACT(CELL("address",'Raw Data'!C26),"\$([A-Z]+)\$[0-9]+"))</f>
        <v/>
      </c>
      <c r="D26" s="6" t="str" cm="1">
        <f t="array" aca="1" ref="D26" ca="1">IFERROR(IF(OR('Raw Data'!D26="",LEN(TRIM('Raw Data'!D26))=0),"",IF(AND(ISNUMBER('Raw Data'!D26),'Raw Data'!D26&gt;=Configuration!$D$2),"",_xlfn.REGEXEXTRACT(CELL("address",'Raw Data'!D26),"\$([A-Z]+)\$[0-9]+"))),_xlfn.REGEXEXTRACT(CELL("address",D26), "\$([A-Z]+)\$[0-9]+"))</f>
        <v/>
      </c>
      <c r="E26" s="6" t="str" cm="1">
        <f t="array" aca="1" ref="E26" ca="1">IFERROR(IF(OR('Raw Data'!E26="",LEN(TRIM('Raw Data'!E26))=0),"",IF(AND(ISNUMBER('Raw Data'!E26),'Raw Data'!E26=ROUND('Raw Data'!E26,4),IFERROR(ROUND('Raw Data'!E26,4)&lt;=99999999999.99,FALSE))=TRUE,"",_xlfn.REGEXEXTRACT(CELL("address",'Raw Data'!E26), "\$([A-Z]+)\$[0-9]+"))),_xlfn.REGEXEXTRACT(CELL("address",'Raw Data'!E26), "\$([A-Z]+)\$[0-9]+"))</f>
        <v/>
      </c>
      <c r="F26" s="6" t="str" cm="1">
        <f t="array" aca="1" ref="F26" ca="1">IFERROR(IF(OR('Raw Data'!F26="",LEN(TRIM('Raw Data'!F26))=0),"",IF(AND(ISNUMBER('Raw Data'!F26),'Raw Data'!F26=ROUND('Raw Data'!F26,4),IFERROR(ROUND('Raw Data'!F26,4)&lt;=99999999999.99,FALSE))=TRUE,"",_xlfn.REGEXEXTRACT(CELL("address",'Raw Data'!F26), "\$([A-Z]+)\$[0-9]+"))),_xlfn.REGEXEXTRACT(CELL("address",'Raw Data'!F26), "\$([A-Z]+)\$[0-9]+"))</f>
        <v/>
      </c>
      <c r="G26" s="6" t="str" cm="1">
        <f t="array" aca="1" ref="G26" ca="1">IFERROR(IF(OR('Raw Data'!G26="",LEN(TRIM('Raw Data'!G26))=0),"",IF(AND(ISNUMBER('Raw Data'!G26),'Raw Data'!G26=ROUND('Raw Data'!G26,4),IFERROR(ROUND('Raw Data'!G26,4)&lt;=99999999999.99,FALSE))=TRUE,"",_xlfn.REGEXEXTRACT(CELL("address",'Raw Data'!G26), "\$([A-Z]+)\$[0-9]+"))),_xlfn.REGEXEXTRACT(CELL("address",'Raw Data'!G26), "\$([A-Z]+)\$[0-9]+"))</f>
        <v/>
      </c>
      <c r="H26" s="6" t="str" cm="1">
        <f t="array" aca="1" ref="H26" ca="1">IFERROR(IF(OR('Raw Data'!H26="",LEN(TRIM('Raw Data'!H26))=0),"",IF(AND(ISNUMBER('Raw Data'!H26),'Raw Data'!H26=ROUND('Raw Data'!H26,4),IFERROR(ROUND('Raw Data'!H26,4)&lt;=99999999999.99,FALSE))=TRUE,"",_xlfn.REGEXEXTRACT(CELL("address",'Raw Data'!H26), "\$([A-Z]+)\$[0-9]+"))),_xlfn.REGEXEXTRACT(CELL("address",'Raw Data'!H26), "\$([A-Z]+)\$[0-9]+"))</f>
        <v/>
      </c>
      <c r="I26" s="6" t="str" cm="1">
        <f t="array" aca="1" ref="I26" ca="1">IFERROR(IF(OR('Raw Data'!I26="",LEN(TRIM('Raw Data'!I26))=0),"",IF(AND(ISNUMBER('Raw Data'!I26),'Raw Data'!I26=ROUND('Raw Data'!I26,4),IFERROR(ROUND('Raw Data'!I26,4)&lt;=99999999999.99,FALSE))=TRUE,"",_xlfn.REGEXEXTRACT(CELL("address",'Raw Data'!I26), "\$([A-Z]+)\$[0-9]+"))),_xlfn.REGEXEXTRACT(CELL("address",'Raw Data'!I26), "\$([A-Z]+)\$[0-9]+"))</f>
        <v/>
      </c>
      <c r="J26" s="6" t="str" cm="1">
        <f t="array" aca="1" ref="J26" ca="1">IFERROR(IF(OR('Raw Data'!J26="",LEN(TRIM('Raw Data'!J26))=0),"",IF(AND(ISNUMBER('Raw Data'!J26),'Raw Data'!J26=ROUND('Raw Data'!J26,4),IFERROR(ROUND('Raw Data'!J26,4)&lt;=99999999999.99,FALSE))=TRUE,"",_xlfn.REGEXEXTRACT(CELL("address",'Raw Data'!J26), "\$([A-Z]+)\$[0-9]+"))),_xlfn.REGEXEXTRACT(CELL("address",'Raw Data'!J26), "\$([A-Z]+)\$[0-9]+"))</f>
        <v/>
      </c>
    </row>
    <row r="27" spans="2:10" x14ac:dyDescent="0.25">
      <c r="B27" s="6" t="str" cm="1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6" t="str" cm="1">
        <f t="array" aca="1" ref="C27" ca="1">IFERROR(IF(OR('Raw Data'!C27="",LEN(TRIM('Raw Data'!C27))=0),"",IF(AND(LEN('Raw Data'!C27) &lt;= 20,LEN('Raw Data'!C27)&gt; 0),"",_xlfn.REGEXEXTRACT(CELL("address",'Raw Data'!C27),"\$([A-Z]+)\$[0-9]+"))),_xlfn.REGEXEXTRACT(CELL("address",'Raw Data'!C27),"\$([A-Z]+)\$[0-9]+"))</f>
        <v/>
      </c>
      <c r="D27" s="6" t="str" cm="1">
        <f t="array" aca="1" ref="D27" ca="1">IFERROR(IF(OR('Raw Data'!D27="",LEN(TRIM('Raw Data'!D27))=0),"",IF(AND(ISNUMBER('Raw Data'!D27),'Raw Data'!D27&gt;=Configuration!$D$2),"",_xlfn.REGEXEXTRACT(CELL("address",'Raw Data'!D27),"\$([A-Z]+)\$[0-9]+"))),_xlfn.REGEXEXTRACT(CELL("address",D27), "\$([A-Z]+)\$[0-9]+"))</f>
        <v/>
      </c>
      <c r="E27" s="6" t="str" cm="1">
        <f t="array" aca="1" ref="E27" ca="1">IFERROR(IF(OR('Raw Data'!E27="",LEN(TRIM('Raw Data'!E27))=0),"",IF(AND(ISNUMBER('Raw Data'!E27),'Raw Data'!E27=ROUND('Raw Data'!E27,4),IFERROR(ROUND('Raw Data'!E27,4)&lt;=99999999999.99,FALSE))=TRUE,"",_xlfn.REGEXEXTRACT(CELL("address",'Raw Data'!E27), "\$([A-Z]+)\$[0-9]+"))),_xlfn.REGEXEXTRACT(CELL("address",'Raw Data'!E27), "\$([A-Z]+)\$[0-9]+"))</f>
        <v/>
      </c>
      <c r="F27" s="6" t="str" cm="1">
        <f t="array" aca="1" ref="F27" ca="1">IFERROR(IF(OR('Raw Data'!F27="",LEN(TRIM('Raw Data'!F27))=0),"",IF(AND(ISNUMBER('Raw Data'!F27),'Raw Data'!F27=ROUND('Raw Data'!F27,4),IFERROR(ROUND('Raw Data'!F27,4)&lt;=99999999999.99,FALSE))=TRUE,"",_xlfn.REGEXEXTRACT(CELL("address",'Raw Data'!F27), "\$([A-Z]+)\$[0-9]+"))),_xlfn.REGEXEXTRACT(CELL("address",'Raw Data'!F27), "\$([A-Z]+)\$[0-9]+"))</f>
        <v/>
      </c>
      <c r="G27" s="6" t="str" cm="1">
        <f t="array" aca="1" ref="G27" ca="1">IFERROR(IF(OR('Raw Data'!G27="",LEN(TRIM('Raw Data'!G27))=0),"",IF(AND(ISNUMBER('Raw Data'!G27),'Raw Data'!G27=ROUND('Raw Data'!G27,4),IFERROR(ROUND('Raw Data'!G27,4)&lt;=99999999999.99,FALSE))=TRUE,"",_xlfn.REGEXEXTRACT(CELL("address",'Raw Data'!G27), "\$([A-Z]+)\$[0-9]+"))),_xlfn.REGEXEXTRACT(CELL("address",'Raw Data'!G27), "\$([A-Z]+)\$[0-9]+"))</f>
        <v/>
      </c>
      <c r="H27" s="6" t="str" cm="1">
        <f t="array" aca="1" ref="H27" ca="1">IFERROR(IF(OR('Raw Data'!H27="",LEN(TRIM('Raw Data'!H27))=0),"",IF(AND(ISNUMBER('Raw Data'!H27),'Raw Data'!H27=ROUND('Raw Data'!H27,4),IFERROR(ROUND('Raw Data'!H27,4)&lt;=99999999999.99,FALSE))=TRUE,"",_xlfn.REGEXEXTRACT(CELL("address",'Raw Data'!H27), "\$([A-Z]+)\$[0-9]+"))),_xlfn.REGEXEXTRACT(CELL("address",'Raw Data'!H27), "\$([A-Z]+)\$[0-9]+"))</f>
        <v/>
      </c>
      <c r="I27" s="6" t="str" cm="1">
        <f t="array" aca="1" ref="I27" ca="1">IFERROR(IF(OR('Raw Data'!I27="",LEN(TRIM('Raw Data'!I27))=0),"",IF(AND(ISNUMBER('Raw Data'!I27),'Raw Data'!I27=ROUND('Raw Data'!I27,4),IFERROR(ROUND('Raw Data'!I27,4)&lt;=99999999999.99,FALSE))=TRUE,"",_xlfn.REGEXEXTRACT(CELL("address",'Raw Data'!I27), "\$([A-Z]+)\$[0-9]+"))),_xlfn.REGEXEXTRACT(CELL("address",'Raw Data'!I27), "\$([A-Z]+)\$[0-9]+"))</f>
        <v/>
      </c>
      <c r="J27" s="6" t="str" cm="1">
        <f t="array" aca="1" ref="J27" ca="1">IFERROR(IF(OR('Raw Data'!J27="",LEN(TRIM('Raw Data'!J27))=0),"",IF(AND(ISNUMBER('Raw Data'!J27),'Raw Data'!J27=ROUND('Raw Data'!J27,4),IFERROR(ROUND('Raw Data'!J27,4)&lt;=99999999999.99,FALSE))=TRUE,"",_xlfn.REGEXEXTRACT(CELL("address",'Raw Data'!J27), "\$([A-Z]+)\$[0-9]+"))),_xlfn.REGEXEXTRACT(CELL("address",'Raw Data'!J27), "\$([A-Z]+)\$[0-9]+"))</f>
        <v/>
      </c>
    </row>
    <row r="28" spans="2:10" x14ac:dyDescent="0.25">
      <c r="B28" s="6" t="str" cm="1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6" t="str" cm="1">
        <f t="array" aca="1" ref="C28" ca="1">IFERROR(IF(OR('Raw Data'!C28="",LEN(TRIM('Raw Data'!C28))=0),"",IF(AND(LEN('Raw Data'!C28) &lt;= 20,LEN('Raw Data'!C28)&gt; 0),"",_xlfn.REGEXEXTRACT(CELL("address",'Raw Data'!C28),"\$([A-Z]+)\$[0-9]+"))),_xlfn.REGEXEXTRACT(CELL("address",'Raw Data'!C28),"\$([A-Z]+)\$[0-9]+"))</f>
        <v/>
      </c>
      <c r="D28" s="6" t="str" cm="1">
        <f t="array" aca="1" ref="D28" ca="1">IFERROR(IF(OR('Raw Data'!D28="",LEN(TRIM('Raw Data'!D28))=0),"",IF(AND(ISNUMBER('Raw Data'!D28),'Raw Data'!D28&gt;=Configuration!$D$2),"",_xlfn.REGEXEXTRACT(CELL("address",'Raw Data'!D28),"\$([A-Z]+)\$[0-9]+"))),_xlfn.REGEXEXTRACT(CELL("address",D28), "\$([A-Z]+)\$[0-9]+"))</f>
        <v/>
      </c>
      <c r="E28" s="6" t="str" cm="1">
        <f t="array" aca="1" ref="E28" ca="1">IFERROR(IF(OR('Raw Data'!E28="",LEN(TRIM('Raw Data'!E28))=0),"",IF(AND(ISNUMBER('Raw Data'!E28),'Raw Data'!E28=ROUND('Raw Data'!E28,4),IFERROR(ROUND('Raw Data'!E28,4)&lt;=99999999999.99,FALSE))=TRUE,"",_xlfn.REGEXEXTRACT(CELL("address",'Raw Data'!E28), "\$([A-Z]+)\$[0-9]+"))),_xlfn.REGEXEXTRACT(CELL("address",'Raw Data'!E28), "\$([A-Z]+)\$[0-9]+"))</f>
        <v/>
      </c>
      <c r="F28" s="6" t="str" cm="1">
        <f t="array" aca="1" ref="F28" ca="1">IFERROR(IF(OR('Raw Data'!F28="",LEN(TRIM('Raw Data'!F28))=0),"",IF(AND(ISNUMBER('Raw Data'!F28),'Raw Data'!F28=ROUND('Raw Data'!F28,4),IFERROR(ROUND('Raw Data'!F28,4)&lt;=99999999999.99,FALSE))=TRUE,"",_xlfn.REGEXEXTRACT(CELL("address",'Raw Data'!F28), "\$([A-Z]+)\$[0-9]+"))),_xlfn.REGEXEXTRACT(CELL("address",'Raw Data'!F28), "\$([A-Z]+)\$[0-9]+"))</f>
        <v/>
      </c>
      <c r="G28" s="6" t="str" cm="1">
        <f t="array" aca="1" ref="G28" ca="1">IFERROR(IF(OR('Raw Data'!G28="",LEN(TRIM('Raw Data'!G28))=0),"",IF(AND(ISNUMBER('Raw Data'!G28),'Raw Data'!G28=ROUND('Raw Data'!G28,4),IFERROR(ROUND('Raw Data'!G28,4)&lt;=99999999999.99,FALSE))=TRUE,"",_xlfn.REGEXEXTRACT(CELL("address",'Raw Data'!G28), "\$([A-Z]+)\$[0-9]+"))),_xlfn.REGEXEXTRACT(CELL("address",'Raw Data'!G28), "\$([A-Z]+)\$[0-9]+"))</f>
        <v/>
      </c>
      <c r="H28" s="6" t="str" cm="1">
        <f t="array" aca="1" ref="H28" ca="1">IFERROR(IF(OR('Raw Data'!H28="",LEN(TRIM('Raw Data'!H28))=0),"",IF(AND(ISNUMBER('Raw Data'!H28),'Raw Data'!H28=ROUND('Raw Data'!H28,4),IFERROR(ROUND('Raw Data'!H28,4)&lt;=99999999999.99,FALSE))=TRUE,"",_xlfn.REGEXEXTRACT(CELL("address",'Raw Data'!H28), "\$([A-Z]+)\$[0-9]+"))),_xlfn.REGEXEXTRACT(CELL("address",'Raw Data'!H28), "\$([A-Z]+)\$[0-9]+"))</f>
        <v/>
      </c>
      <c r="I28" s="6" t="str" cm="1">
        <f t="array" aca="1" ref="I28" ca="1">IFERROR(IF(OR('Raw Data'!I28="",LEN(TRIM('Raw Data'!I28))=0),"",IF(AND(ISNUMBER('Raw Data'!I28),'Raw Data'!I28=ROUND('Raw Data'!I28,4),IFERROR(ROUND('Raw Data'!I28,4)&lt;=99999999999.99,FALSE))=TRUE,"",_xlfn.REGEXEXTRACT(CELL("address",'Raw Data'!I28), "\$([A-Z]+)\$[0-9]+"))),_xlfn.REGEXEXTRACT(CELL("address",'Raw Data'!I28), "\$([A-Z]+)\$[0-9]+"))</f>
        <v/>
      </c>
      <c r="J28" s="6" t="str" cm="1">
        <f t="array" aca="1" ref="J28" ca="1">IFERROR(IF(OR('Raw Data'!J28="",LEN(TRIM('Raw Data'!J28))=0),"",IF(AND(ISNUMBER('Raw Data'!J28),'Raw Data'!J28=ROUND('Raw Data'!J28,4),IFERROR(ROUND('Raw Data'!J28,4)&lt;=99999999999.99,FALSE))=TRUE,"",_xlfn.REGEXEXTRACT(CELL("address",'Raw Data'!J28), "\$([A-Z]+)\$[0-9]+"))),_xlfn.REGEXEXTRACT(CELL("address",'Raw Data'!J28), "\$([A-Z]+)\$[0-9]+"))</f>
        <v/>
      </c>
    </row>
    <row r="29" spans="2:10" x14ac:dyDescent="0.25">
      <c r="B29" s="6" t="str" cm="1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6" t="str" cm="1">
        <f t="array" aca="1" ref="C29" ca="1">IFERROR(IF(OR('Raw Data'!C29="",LEN(TRIM('Raw Data'!C29))=0),"",IF(AND(LEN('Raw Data'!C29) &lt;= 20,LEN('Raw Data'!C29)&gt; 0),"",_xlfn.REGEXEXTRACT(CELL("address",'Raw Data'!C29),"\$([A-Z]+)\$[0-9]+"))),_xlfn.REGEXEXTRACT(CELL("address",'Raw Data'!C29),"\$([A-Z]+)\$[0-9]+"))</f>
        <v/>
      </c>
      <c r="D29" s="6" t="str" cm="1">
        <f t="array" aca="1" ref="D29" ca="1">IFERROR(IF(OR('Raw Data'!D29="",LEN(TRIM('Raw Data'!D29))=0),"",IF(AND(ISNUMBER('Raw Data'!D29),'Raw Data'!D29&gt;=Configuration!$D$2),"",_xlfn.REGEXEXTRACT(CELL("address",'Raw Data'!D29),"\$([A-Z]+)\$[0-9]+"))),_xlfn.REGEXEXTRACT(CELL("address",D29), "\$([A-Z]+)\$[0-9]+"))</f>
        <v/>
      </c>
      <c r="E29" s="6" t="str" cm="1">
        <f t="array" aca="1" ref="E29" ca="1">IFERROR(IF(OR('Raw Data'!E29="",LEN(TRIM('Raw Data'!E29))=0),"",IF(AND(ISNUMBER('Raw Data'!E29),'Raw Data'!E29=ROUND('Raw Data'!E29,4),IFERROR(ROUND('Raw Data'!E29,4)&lt;=99999999999.99,FALSE))=TRUE,"",_xlfn.REGEXEXTRACT(CELL("address",'Raw Data'!E29), "\$([A-Z]+)\$[0-9]+"))),_xlfn.REGEXEXTRACT(CELL("address",'Raw Data'!E29), "\$([A-Z]+)\$[0-9]+"))</f>
        <v/>
      </c>
      <c r="F29" s="6" t="str" cm="1">
        <f t="array" aca="1" ref="F29" ca="1">IFERROR(IF(OR('Raw Data'!F29="",LEN(TRIM('Raw Data'!F29))=0),"",IF(AND(ISNUMBER('Raw Data'!F29),'Raw Data'!F29=ROUND('Raw Data'!F29,4),IFERROR(ROUND('Raw Data'!F29,4)&lt;=99999999999.99,FALSE))=TRUE,"",_xlfn.REGEXEXTRACT(CELL("address",'Raw Data'!F29), "\$([A-Z]+)\$[0-9]+"))),_xlfn.REGEXEXTRACT(CELL("address",'Raw Data'!F29), "\$([A-Z]+)\$[0-9]+"))</f>
        <v/>
      </c>
      <c r="G29" s="6" t="str" cm="1">
        <f t="array" aca="1" ref="G29" ca="1">IFERROR(IF(OR('Raw Data'!G29="",LEN(TRIM('Raw Data'!G29))=0),"",IF(AND(ISNUMBER('Raw Data'!G29),'Raw Data'!G29=ROUND('Raw Data'!G29,4),IFERROR(ROUND('Raw Data'!G29,4)&lt;=99999999999.99,FALSE))=TRUE,"",_xlfn.REGEXEXTRACT(CELL("address",'Raw Data'!G29), "\$([A-Z]+)\$[0-9]+"))),_xlfn.REGEXEXTRACT(CELL("address",'Raw Data'!G29), "\$([A-Z]+)\$[0-9]+"))</f>
        <v/>
      </c>
      <c r="H29" s="6" t="str" cm="1">
        <f t="array" aca="1" ref="H29" ca="1">IFERROR(IF(OR('Raw Data'!H29="",LEN(TRIM('Raw Data'!H29))=0),"",IF(AND(ISNUMBER('Raw Data'!H29),'Raw Data'!H29=ROUND('Raw Data'!H29,4),IFERROR(ROUND('Raw Data'!H29,4)&lt;=99999999999.99,FALSE))=TRUE,"",_xlfn.REGEXEXTRACT(CELL("address",'Raw Data'!H29), "\$([A-Z]+)\$[0-9]+"))),_xlfn.REGEXEXTRACT(CELL("address",'Raw Data'!H29), "\$([A-Z]+)\$[0-9]+"))</f>
        <v/>
      </c>
      <c r="I29" s="6" t="str" cm="1">
        <f t="array" aca="1" ref="I29" ca="1">IFERROR(IF(OR('Raw Data'!I29="",LEN(TRIM('Raw Data'!I29))=0),"",IF(AND(ISNUMBER('Raw Data'!I29),'Raw Data'!I29=ROUND('Raw Data'!I29,4),IFERROR(ROUND('Raw Data'!I29,4)&lt;=99999999999.99,FALSE))=TRUE,"",_xlfn.REGEXEXTRACT(CELL("address",'Raw Data'!I29), "\$([A-Z]+)\$[0-9]+"))),_xlfn.REGEXEXTRACT(CELL("address",'Raw Data'!I29), "\$([A-Z]+)\$[0-9]+"))</f>
        <v/>
      </c>
      <c r="J29" s="6" t="str" cm="1">
        <f t="array" aca="1" ref="J29" ca="1">IFERROR(IF(OR('Raw Data'!J29="",LEN(TRIM('Raw Data'!J29))=0),"",IF(AND(ISNUMBER('Raw Data'!J29),'Raw Data'!J29=ROUND('Raw Data'!J29,4),IFERROR(ROUND('Raw Data'!J29,4)&lt;=99999999999.99,FALSE))=TRUE,"",_xlfn.REGEXEXTRACT(CELL("address",'Raw Data'!J29), "\$([A-Z]+)\$[0-9]+"))),_xlfn.REGEXEXTRACT(CELL("address",'Raw Data'!J29), "\$([A-Z]+)\$[0-9]+"))</f>
        <v/>
      </c>
    </row>
    <row r="30" spans="2:10" x14ac:dyDescent="0.25">
      <c r="B30" s="6" t="str" cm="1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6" t="str" cm="1">
        <f t="array" aca="1" ref="C30" ca="1">IFERROR(IF(OR('Raw Data'!C30="",LEN(TRIM('Raw Data'!C30))=0),"",IF(AND(LEN('Raw Data'!C30) &lt;= 20,LEN('Raw Data'!C30)&gt; 0),"",_xlfn.REGEXEXTRACT(CELL("address",'Raw Data'!C30),"\$([A-Z]+)\$[0-9]+"))),_xlfn.REGEXEXTRACT(CELL("address",'Raw Data'!C30),"\$([A-Z]+)\$[0-9]+"))</f>
        <v/>
      </c>
      <c r="D30" s="6" t="str" cm="1">
        <f t="array" aca="1" ref="D30" ca="1">IFERROR(IF(OR('Raw Data'!D30="",LEN(TRIM('Raw Data'!D30))=0),"",IF(AND(ISNUMBER('Raw Data'!D30),'Raw Data'!D30&gt;=Configuration!$D$2),"",_xlfn.REGEXEXTRACT(CELL("address",'Raw Data'!D30),"\$([A-Z]+)\$[0-9]+"))),_xlfn.REGEXEXTRACT(CELL("address",D30), "\$([A-Z]+)\$[0-9]+"))</f>
        <v/>
      </c>
      <c r="E30" s="6" t="str" cm="1">
        <f t="array" aca="1" ref="E30" ca="1">IFERROR(IF(OR('Raw Data'!E30="",LEN(TRIM('Raw Data'!E30))=0),"",IF(AND(ISNUMBER('Raw Data'!E30),'Raw Data'!E30=ROUND('Raw Data'!E30,4),IFERROR(ROUND('Raw Data'!E30,4)&lt;=99999999999.99,FALSE))=TRUE,"",_xlfn.REGEXEXTRACT(CELL("address",'Raw Data'!E30), "\$([A-Z]+)\$[0-9]+"))),_xlfn.REGEXEXTRACT(CELL("address",'Raw Data'!E30), "\$([A-Z]+)\$[0-9]+"))</f>
        <v/>
      </c>
      <c r="F30" s="6" t="str" cm="1">
        <f t="array" aca="1" ref="F30" ca="1">IFERROR(IF(OR('Raw Data'!F30="",LEN(TRIM('Raw Data'!F30))=0),"",IF(AND(ISNUMBER('Raw Data'!F30),'Raw Data'!F30=ROUND('Raw Data'!F30,4),IFERROR(ROUND('Raw Data'!F30,4)&lt;=99999999999.99,FALSE))=TRUE,"",_xlfn.REGEXEXTRACT(CELL("address",'Raw Data'!F30), "\$([A-Z]+)\$[0-9]+"))),_xlfn.REGEXEXTRACT(CELL("address",'Raw Data'!F30), "\$([A-Z]+)\$[0-9]+"))</f>
        <v/>
      </c>
      <c r="G30" s="6" t="str" cm="1">
        <f t="array" aca="1" ref="G30" ca="1">IFERROR(IF(OR('Raw Data'!G30="",LEN(TRIM('Raw Data'!G30))=0),"",IF(AND(ISNUMBER('Raw Data'!G30),'Raw Data'!G30=ROUND('Raw Data'!G30,4),IFERROR(ROUND('Raw Data'!G30,4)&lt;=99999999999.99,FALSE))=TRUE,"",_xlfn.REGEXEXTRACT(CELL("address",'Raw Data'!G30), "\$([A-Z]+)\$[0-9]+"))),_xlfn.REGEXEXTRACT(CELL("address",'Raw Data'!G30), "\$([A-Z]+)\$[0-9]+"))</f>
        <v/>
      </c>
      <c r="H30" s="6" t="str" cm="1">
        <f t="array" aca="1" ref="H30" ca="1">IFERROR(IF(OR('Raw Data'!H30="",LEN(TRIM('Raw Data'!H30))=0),"",IF(AND(ISNUMBER('Raw Data'!H30),'Raw Data'!H30=ROUND('Raw Data'!H30,4),IFERROR(ROUND('Raw Data'!H30,4)&lt;=99999999999.99,FALSE))=TRUE,"",_xlfn.REGEXEXTRACT(CELL("address",'Raw Data'!H30), "\$([A-Z]+)\$[0-9]+"))),_xlfn.REGEXEXTRACT(CELL("address",'Raw Data'!H30), "\$([A-Z]+)\$[0-9]+"))</f>
        <v/>
      </c>
      <c r="I30" s="6" t="str" cm="1">
        <f t="array" aca="1" ref="I30" ca="1">IFERROR(IF(OR('Raw Data'!I30="",LEN(TRIM('Raw Data'!I30))=0),"",IF(AND(ISNUMBER('Raw Data'!I30),'Raw Data'!I30=ROUND('Raw Data'!I30,4),IFERROR(ROUND('Raw Data'!I30,4)&lt;=99999999999.99,FALSE))=TRUE,"",_xlfn.REGEXEXTRACT(CELL("address",'Raw Data'!I30), "\$([A-Z]+)\$[0-9]+"))),_xlfn.REGEXEXTRACT(CELL("address",'Raw Data'!I30), "\$([A-Z]+)\$[0-9]+"))</f>
        <v/>
      </c>
      <c r="J30" s="6" t="str" cm="1">
        <f t="array" aca="1" ref="J30" ca="1">IFERROR(IF(OR('Raw Data'!J30="",LEN(TRIM('Raw Data'!J30))=0),"",IF(AND(ISNUMBER('Raw Data'!J30),'Raw Data'!J30=ROUND('Raw Data'!J30,4),IFERROR(ROUND('Raw Data'!J30,4)&lt;=99999999999.99,FALSE))=TRUE,"",_xlfn.REGEXEXTRACT(CELL("address",'Raw Data'!J30), "\$([A-Z]+)\$[0-9]+"))),_xlfn.REGEXEXTRACT(CELL("address",'Raw Data'!J30), "\$([A-Z]+)\$[0-9]+"))</f>
        <v/>
      </c>
    </row>
    <row r="31" spans="2:10" x14ac:dyDescent="0.25">
      <c r="B31" s="6" t="str" cm="1">
        <f t="array" aca="1" ref="B31" ca="1">IFERROR(IF(OR('Raw Data'!B31="",LEN(TRIM('Raw Data'!B31))=0),"",IF(AND(LEN('Raw Data'!B31) &lt;= 255,LEN('Raw Data'!B31)&gt; 0),"",_xlfn.REGEXEXTRACT(CELL("address",'Raw Data'!B31),"\$([A-Z]+)\$[0-9]+"))),_xlfn.REGEXEXTRACT(CELL("address",'Raw Data'!B31),"\$([A-Z]+)\$[0-9]+"))</f>
        <v/>
      </c>
      <c r="C31" s="6" t="str" cm="1">
        <f t="array" aca="1" ref="C31" ca="1">IFERROR(IF(OR('Raw Data'!C31="",LEN(TRIM('Raw Data'!C31))=0),"",IF(AND(LEN('Raw Data'!C31) &lt;= 20,LEN('Raw Data'!C31)&gt; 0),"",_xlfn.REGEXEXTRACT(CELL("address",'Raw Data'!C31),"\$([A-Z]+)\$[0-9]+"))),_xlfn.REGEXEXTRACT(CELL("address",'Raw Data'!C31),"\$([A-Z]+)\$[0-9]+"))</f>
        <v/>
      </c>
      <c r="D31" s="6" t="str" cm="1">
        <f t="array" aca="1" ref="D31" ca="1">IFERROR(IF(OR('Raw Data'!D31="",LEN(TRIM('Raw Data'!D31))=0),"",IF(AND(ISNUMBER('Raw Data'!D31),'Raw Data'!D31&gt;=Configuration!$D$2),"",_xlfn.REGEXEXTRACT(CELL("address",'Raw Data'!D31),"\$([A-Z]+)\$[0-9]+"))),_xlfn.REGEXEXTRACT(CELL("address",D31), "\$([A-Z]+)\$[0-9]+"))</f>
        <v/>
      </c>
      <c r="E31" s="6" t="str" cm="1">
        <f t="array" aca="1" ref="E31" ca="1">IFERROR(IF(OR('Raw Data'!E31="",LEN(TRIM('Raw Data'!E31))=0),"",IF(AND(ISNUMBER('Raw Data'!E31),'Raw Data'!E31=ROUND('Raw Data'!E31,4),IFERROR(ROUND('Raw Data'!E31,4)&lt;=99999999999.99,FALSE))=TRUE,"",_xlfn.REGEXEXTRACT(CELL("address",'Raw Data'!E31), "\$([A-Z]+)\$[0-9]+"))),_xlfn.REGEXEXTRACT(CELL("address",'Raw Data'!E31), "\$([A-Z]+)\$[0-9]+"))</f>
        <v/>
      </c>
      <c r="F31" s="6" t="str" cm="1">
        <f t="array" aca="1" ref="F31" ca="1">IFERROR(IF(OR('Raw Data'!F31="",LEN(TRIM('Raw Data'!F31))=0),"",IF(AND(ISNUMBER('Raw Data'!F31),'Raw Data'!F31=ROUND('Raw Data'!F31,4),IFERROR(ROUND('Raw Data'!F31,4)&lt;=99999999999.99,FALSE))=TRUE,"",_xlfn.REGEXEXTRACT(CELL("address",'Raw Data'!F31), "\$([A-Z]+)\$[0-9]+"))),_xlfn.REGEXEXTRACT(CELL("address",'Raw Data'!F31), "\$([A-Z]+)\$[0-9]+"))</f>
        <v/>
      </c>
      <c r="G31" s="6" t="str" cm="1">
        <f t="array" aca="1" ref="G31" ca="1">IFERROR(IF(OR('Raw Data'!G31="",LEN(TRIM('Raw Data'!G31))=0),"",IF(AND(ISNUMBER('Raw Data'!G31),'Raw Data'!G31=ROUND('Raw Data'!G31,4),IFERROR(ROUND('Raw Data'!G31,4)&lt;=99999999999.99,FALSE))=TRUE,"",_xlfn.REGEXEXTRACT(CELL("address",'Raw Data'!G31), "\$([A-Z]+)\$[0-9]+"))),_xlfn.REGEXEXTRACT(CELL("address",'Raw Data'!G31), "\$([A-Z]+)\$[0-9]+"))</f>
        <v/>
      </c>
      <c r="H31" s="6" t="str" cm="1">
        <f t="array" aca="1" ref="H31" ca="1">IFERROR(IF(OR('Raw Data'!H31="",LEN(TRIM('Raw Data'!H31))=0),"",IF(AND(ISNUMBER('Raw Data'!H31),'Raw Data'!H31=ROUND('Raw Data'!H31,4),IFERROR(ROUND('Raw Data'!H31,4)&lt;=99999999999.99,FALSE))=TRUE,"",_xlfn.REGEXEXTRACT(CELL("address",'Raw Data'!H31), "\$([A-Z]+)\$[0-9]+"))),_xlfn.REGEXEXTRACT(CELL("address",'Raw Data'!H31), "\$([A-Z]+)\$[0-9]+"))</f>
        <v/>
      </c>
      <c r="I31" s="6" t="str" cm="1">
        <f t="array" aca="1" ref="I31" ca="1">IFERROR(IF(OR('Raw Data'!I31="",LEN(TRIM('Raw Data'!I31))=0),"",IF(AND(ISNUMBER('Raw Data'!I31),'Raw Data'!I31=ROUND('Raw Data'!I31,4),IFERROR(ROUND('Raw Data'!I31,4)&lt;=99999999999.99,FALSE))=TRUE,"",_xlfn.REGEXEXTRACT(CELL("address",'Raw Data'!I31), "\$([A-Z]+)\$[0-9]+"))),_xlfn.REGEXEXTRACT(CELL("address",'Raw Data'!I31), "\$([A-Z]+)\$[0-9]+"))</f>
        <v/>
      </c>
      <c r="J31" s="6" t="str" cm="1">
        <f t="array" aca="1" ref="J31" ca="1">IFERROR(IF(OR('Raw Data'!J31="",LEN(TRIM('Raw Data'!J31))=0),"",IF(AND(ISNUMBER('Raw Data'!J31),'Raw Data'!J31=ROUND('Raw Data'!J31,4),IFERROR(ROUND('Raw Data'!J31,4)&lt;=99999999999.99,FALSE))=TRUE,"",_xlfn.REGEXEXTRACT(CELL("address",'Raw Data'!J31), "\$([A-Z]+)\$[0-9]+"))),_xlfn.REGEXEXTRACT(CELL("address",'Raw Data'!J31), "\$([A-Z]+)\$[0-9]+"))</f>
        <v/>
      </c>
    </row>
    <row r="32" spans="2:10" x14ac:dyDescent="0.25">
      <c r="B32" s="6" t="str" cm="1">
        <f t="array" aca="1" ref="B32" ca="1">IFERROR(IF(OR('Raw Data'!B32="",LEN(TRIM('Raw Data'!B32))=0),"",IF(AND(LEN('Raw Data'!B32) &lt;= 255,LEN('Raw Data'!B32)&gt; 0),"",_xlfn.REGEXEXTRACT(CELL("address",'Raw Data'!B32),"\$([A-Z]+)\$[0-9]+"))),_xlfn.REGEXEXTRACT(CELL("address",'Raw Data'!B32),"\$([A-Z]+)\$[0-9]+"))</f>
        <v/>
      </c>
      <c r="C32" s="6" t="str" cm="1">
        <f t="array" aca="1" ref="C32" ca="1">IFERROR(IF(OR('Raw Data'!C32="",LEN(TRIM('Raw Data'!C32))=0),"",IF(AND(LEN('Raw Data'!C32) &lt;= 20,LEN('Raw Data'!C32)&gt; 0),"",_xlfn.REGEXEXTRACT(CELL("address",'Raw Data'!C32),"\$([A-Z]+)\$[0-9]+"))),_xlfn.REGEXEXTRACT(CELL("address",'Raw Data'!C32),"\$([A-Z]+)\$[0-9]+"))</f>
        <v/>
      </c>
      <c r="D32" s="6" t="str" cm="1">
        <f t="array" aca="1" ref="D32" ca="1">IFERROR(IF(OR('Raw Data'!D32="",LEN(TRIM('Raw Data'!D32))=0),"",IF(AND(ISNUMBER('Raw Data'!D32),'Raw Data'!D32&gt;=Configuration!$D$2),"",_xlfn.REGEXEXTRACT(CELL("address",'Raw Data'!D32),"\$([A-Z]+)\$[0-9]+"))),_xlfn.REGEXEXTRACT(CELL("address",D32), "\$([A-Z]+)\$[0-9]+"))</f>
        <v/>
      </c>
      <c r="E32" s="6" t="str" cm="1">
        <f t="array" aca="1" ref="E32" ca="1">IFERROR(IF(OR('Raw Data'!E32="",LEN(TRIM('Raw Data'!E32))=0),"",IF(AND(ISNUMBER('Raw Data'!E32),'Raw Data'!E32=ROUND('Raw Data'!E32,4),IFERROR(ROUND('Raw Data'!E32,4)&lt;=99999999999.99,FALSE))=TRUE,"",_xlfn.REGEXEXTRACT(CELL("address",'Raw Data'!E32), "\$([A-Z]+)\$[0-9]+"))),_xlfn.REGEXEXTRACT(CELL("address",'Raw Data'!E32), "\$([A-Z]+)\$[0-9]+"))</f>
        <v/>
      </c>
      <c r="F32" s="6" t="str" cm="1">
        <f t="array" aca="1" ref="F32" ca="1">IFERROR(IF(OR('Raw Data'!F32="",LEN(TRIM('Raw Data'!F32))=0),"",IF(AND(ISNUMBER('Raw Data'!F32),'Raw Data'!F32=ROUND('Raw Data'!F32,4),IFERROR(ROUND('Raw Data'!F32,4)&lt;=99999999999.99,FALSE))=TRUE,"",_xlfn.REGEXEXTRACT(CELL("address",'Raw Data'!F32), "\$([A-Z]+)\$[0-9]+"))),_xlfn.REGEXEXTRACT(CELL("address",'Raw Data'!F32), "\$([A-Z]+)\$[0-9]+"))</f>
        <v/>
      </c>
      <c r="G32" s="6" t="str" cm="1">
        <f t="array" aca="1" ref="G32" ca="1">IFERROR(IF(OR('Raw Data'!G32="",LEN(TRIM('Raw Data'!G32))=0),"",IF(AND(ISNUMBER('Raw Data'!G32),'Raw Data'!G32=ROUND('Raw Data'!G32,4),IFERROR(ROUND('Raw Data'!G32,4)&lt;=99999999999.99,FALSE))=TRUE,"",_xlfn.REGEXEXTRACT(CELL("address",'Raw Data'!G32), "\$([A-Z]+)\$[0-9]+"))),_xlfn.REGEXEXTRACT(CELL("address",'Raw Data'!G32), "\$([A-Z]+)\$[0-9]+"))</f>
        <v/>
      </c>
      <c r="H32" s="6" t="str" cm="1">
        <f t="array" aca="1" ref="H32" ca="1">IFERROR(IF(OR('Raw Data'!H32="",LEN(TRIM('Raw Data'!H32))=0),"",IF(AND(ISNUMBER('Raw Data'!H32),'Raw Data'!H32=ROUND('Raw Data'!H32,4),IFERROR(ROUND('Raw Data'!H32,4)&lt;=99999999999.99,FALSE))=TRUE,"",_xlfn.REGEXEXTRACT(CELL("address",'Raw Data'!H32), "\$([A-Z]+)\$[0-9]+"))),_xlfn.REGEXEXTRACT(CELL("address",'Raw Data'!H32), "\$([A-Z]+)\$[0-9]+"))</f>
        <v/>
      </c>
      <c r="I32" s="6" t="str" cm="1">
        <f t="array" aca="1" ref="I32" ca="1">IFERROR(IF(OR('Raw Data'!I32="",LEN(TRIM('Raw Data'!I32))=0),"",IF(AND(ISNUMBER('Raw Data'!I32),'Raw Data'!I32=ROUND('Raw Data'!I32,4),IFERROR(ROUND('Raw Data'!I32,4)&lt;=99999999999.99,FALSE))=TRUE,"",_xlfn.REGEXEXTRACT(CELL("address",'Raw Data'!I32), "\$([A-Z]+)\$[0-9]+"))),_xlfn.REGEXEXTRACT(CELL("address",'Raw Data'!I32), "\$([A-Z]+)\$[0-9]+"))</f>
        <v/>
      </c>
      <c r="J32" s="6" t="str" cm="1">
        <f t="array" aca="1" ref="J32" ca="1">IFERROR(IF(OR('Raw Data'!J32="",LEN(TRIM('Raw Data'!J32))=0),"",IF(AND(ISNUMBER('Raw Data'!J32),'Raw Data'!J32=ROUND('Raw Data'!J32,4),IFERROR(ROUND('Raw Data'!J32,4)&lt;=99999999999.99,FALSE))=TRUE,"",_xlfn.REGEXEXTRACT(CELL("address",'Raw Data'!J32), "\$([A-Z]+)\$[0-9]+"))),_xlfn.REGEXEXTRACT(CELL("address",'Raw Data'!J32), "\$([A-Z]+)\$[0-9]+"))</f>
        <v/>
      </c>
    </row>
    <row r="33" spans="2:10" x14ac:dyDescent="0.25">
      <c r="B33" s="6" t="str" cm="1">
        <f t="array" aca="1" ref="B33" ca="1">IFERROR(IF(OR('Raw Data'!B33="",LEN(TRIM('Raw Data'!B33))=0),"",IF(AND(LEN('Raw Data'!B33) &lt;= 255,LEN('Raw Data'!B33)&gt; 0),"",_xlfn.REGEXEXTRACT(CELL("address",'Raw Data'!B33),"\$([A-Z]+)\$[0-9]+"))),_xlfn.REGEXEXTRACT(CELL("address",'Raw Data'!B33),"\$([A-Z]+)\$[0-9]+"))</f>
        <v/>
      </c>
      <c r="C33" s="6" t="str" cm="1">
        <f t="array" aca="1" ref="C33" ca="1">IFERROR(IF(OR('Raw Data'!C33="",LEN(TRIM('Raw Data'!C33))=0),"",IF(AND(LEN('Raw Data'!C33) &lt;= 20,LEN('Raw Data'!C33)&gt; 0),"",_xlfn.REGEXEXTRACT(CELL("address",'Raw Data'!C33),"\$([A-Z]+)\$[0-9]+"))),_xlfn.REGEXEXTRACT(CELL("address",'Raw Data'!C33),"\$([A-Z]+)\$[0-9]+"))</f>
        <v/>
      </c>
      <c r="D33" s="6" t="str" cm="1">
        <f t="array" aca="1" ref="D33" ca="1">IFERROR(IF(OR('Raw Data'!D33="",LEN(TRIM('Raw Data'!D33))=0),"",IF(AND(ISNUMBER('Raw Data'!D33),'Raw Data'!D33&gt;=Configuration!$D$2),"",_xlfn.REGEXEXTRACT(CELL("address",'Raw Data'!D33),"\$([A-Z]+)\$[0-9]+"))),_xlfn.REGEXEXTRACT(CELL("address",D33), "\$([A-Z]+)\$[0-9]+"))</f>
        <v/>
      </c>
      <c r="E33" s="6" t="str" cm="1">
        <f t="array" aca="1" ref="E33" ca="1">IFERROR(IF(OR('Raw Data'!E33="",LEN(TRIM('Raw Data'!E33))=0),"",IF(AND(ISNUMBER('Raw Data'!E33),'Raw Data'!E33=ROUND('Raw Data'!E33,4),IFERROR(ROUND('Raw Data'!E33,4)&lt;=99999999999.99,FALSE))=TRUE,"",_xlfn.REGEXEXTRACT(CELL("address",'Raw Data'!E33), "\$([A-Z]+)\$[0-9]+"))),_xlfn.REGEXEXTRACT(CELL("address",'Raw Data'!E33), "\$([A-Z]+)\$[0-9]+"))</f>
        <v/>
      </c>
      <c r="F33" s="6" t="str" cm="1">
        <f t="array" aca="1" ref="F33" ca="1">IFERROR(IF(OR('Raw Data'!F33="",LEN(TRIM('Raw Data'!F33))=0),"",IF(AND(ISNUMBER('Raw Data'!F33),'Raw Data'!F33=ROUND('Raw Data'!F33,4),IFERROR(ROUND('Raw Data'!F33,4)&lt;=99999999999.99,FALSE))=TRUE,"",_xlfn.REGEXEXTRACT(CELL("address",'Raw Data'!F33), "\$([A-Z]+)\$[0-9]+"))),_xlfn.REGEXEXTRACT(CELL("address",'Raw Data'!F33), "\$([A-Z]+)\$[0-9]+"))</f>
        <v/>
      </c>
      <c r="G33" s="6" t="str" cm="1">
        <f t="array" aca="1" ref="G33" ca="1">IFERROR(IF(OR('Raw Data'!G33="",LEN(TRIM('Raw Data'!G33))=0),"",IF(AND(ISNUMBER('Raw Data'!G33),'Raw Data'!G33=ROUND('Raw Data'!G33,4),IFERROR(ROUND('Raw Data'!G33,4)&lt;=99999999999.99,FALSE))=TRUE,"",_xlfn.REGEXEXTRACT(CELL("address",'Raw Data'!G33), "\$([A-Z]+)\$[0-9]+"))),_xlfn.REGEXEXTRACT(CELL("address",'Raw Data'!G33), "\$([A-Z]+)\$[0-9]+"))</f>
        <v/>
      </c>
      <c r="H33" s="6" t="str" cm="1">
        <f t="array" aca="1" ref="H33" ca="1">IFERROR(IF(OR('Raw Data'!H33="",LEN(TRIM('Raw Data'!H33))=0),"",IF(AND(ISNUMBER('Raw Data'!H33),'Raw Data'!H33=ROUND('Raw Data'!H33,4),IFERROR(ROUND('Raw Data'!H33,4)&lt;=99999999999.99,FALSE))=TRUE,"",_xlfn.REGEXEXTRACT(CELL("address",'Raw Data'!H33), "\$([A-Z]+)\$[0-9]+"))),_xlfn.REGEXEXTRACT(CELL("address",'Raw Data'!H33), "\$([A-Z]+)\$[0-9]+"))</f>
        <v/>
      </c>
      <c r="I33" s="6" t="str" cm="1">
        <f t="array" aca="1" ref="I33" ca="1">IFERROR(IF(OR('Raw Data'!I33="",LEN(TRIM('Raw Data'!I33))=0),"",IF(AND(ISNUMBER('Raw Data'!I33),'Raw Data'!I33=ROUND('Raw Data'!I33,4),IFERROR(ROUND('Raw Data'!I33,4)&lt;=99999999999.99,FALSE))=TRUE,"",_xlfn.REGEXEXTRACT(CELL("address",'Raw Data'!I33), "\$([A-Z]+)\$[0-9]+"))),_xlfn.REGEXEXTRACT(CELL("address",'Raw Data'!I33), "\$([A-Z]+)\$[0-9]+"))</f>
        <v/>
      </c>
      <c r="J33" s="6" t="str" cm="1">
        <f t="array" aca="1" ref="J33" ca="1">IFERROR(IF(OR('Raw Data'!J33="",LEN(TRIM('Raw Data'!J33))=0),"",IF(AND(ISNUMBER('Raw Data'!J33),'Raw Data'!J33=ROUND('Raw Data'!J33,4),IFERROR(ROUND('Raw Data'!J33,4)&lt;=99999999999.99,FALSE))=TRUE,"",_xlfn.REGEXEXTRACT(CELL("address",'Raw Data'!J33), "\$([A-Z]+)\$[0-9]+"))),_xlfn.REGEXEXTRACT(CELL("address",'Raw Data'!J33), "\$([A-Z]+)\$[0-9]+"))</f>
        <v/>
      </c>
    </row>
    <row r="34" spans="2:10" x14ac:dyDescent="0.25">
      <c r="B34" s="6" t="str" cm="1">
        <f t="array" aca="1" ref="B34" ca="1">IFERROR(IF(OR('Raw Data'!B34="",LEN(TRIM('Raw Data'!B34))=0),"",IF(AND(LEN('Raw Data'!B34) &lt;= 255,LEN('Raw Data'!B34)&gt; 0),"",_xlfn.REGEXEXTRACT(CELL("address",'Raw Data'!B34),"\$([A-Z]+)\$[0-9]+"))),_xlfn.REGEXEXTRACT(CELL("address",'Raw Data'!B34),"\$([A-Z]+)\$[0-9]+"))</f>
        <v/>
      </c>
      <c r="C34" s="6" t="str" cm="1">
        <f t="array" aca="1" ref="C34" ca="1">IFERROR(IF(OR('Raw Data'!C34="",LEN(TRIM('Raw Data'!C34))=0),"",IF(AND(LEN('Raw Data'!C34) &lt;= 20,LEN('Raw Data'!C34)&gt; 0),"",_xlfn.REGEXEXTRACT(CELL("address",'Raw Data'!C34),"\$([A-Z]+)\$[0-9]+"))),_xlfn.REGEXEXTRACT(CELL("address",'Raw Data'!C34),"\$([A-Z]+)\$[0-9]+"))</f>
        <v/>
      </c>
      <c r="D34" s="6" t="str" cm="1">
        <f t="array" aca="1" ref="D34" ca="1">IFERROR(IF(OR('Raw Data'!D34="",LEN(TRIM('Raw Data'!D34))=0),"",IF(AND(ISNUMBER('Raw Data'!D34),'Raw Data'!D34&gt;=Configuration!$D$2),"",_xlfn.REGEXEXTRACT(CELL("address",'Raw Data'!D34),"\$([A-Z]+)\$[0-9]+"))),_xlfn.REGEXEXTRACT(CELL("address",D34), "\$([A-Z]+)\$[0-9]+"))</f>
        <v/>
      </c>
      <c r="E34" s="6" t="str" cm="1">
        <f t="array" aca="1" ref="E34" ca="1">IFERROR(IF(OR('Raw Data'!E34="",LEN(TRIM('Raw Data'!E34))=0),"",IF(AND(ISNUMBER('Raw Data'!E34),'Raw Data'!E34=ROUND('Raw Data'!E34,4),IFERROR(ROUND('Raw Data'!E34,4)&lt;=99999999999.99,FALSE))=TRUE,"",_xlfn.REGEXEXTRACT(CELL("address",'Raw Data'!E34), "\$([A-Z]+)\$[0-9]+"))),_xlfn.REGEXEXTRACT(CELL("address",'Raw Data'!E34), "\$([A-Z]+)\$[0-9]+"))</f>
        <v/>
      </c>
      <c r="F34" s="6" t="str" cm="1">
        <f t="array" aca="1" ref="F34" ca="1">IFERROR(IF(OR('Raw Data'!F34="",LEN(TRIM('Raw Data'!F34))=0),"",IF(AND(ISNUMBER('Raw Data'!F34),'Raw Data'!F34=ROUND('Raw Data'!F34,4),IFERROR(ROUND('Raw Data'!F34,4)&lt;=99999999999.99,FALSE))=TRUE,"",_xlfn.REGEXEXTRACT(CELL("address",'Raw Data'!F34), "\$([A-Z]+)\$[0-9]+"))),_xlfn.REGEXEXTRACT(CELL("address",'Raw Data'!F34), "\$([A-Z]+)\$[0-9]+"))</f>
        <v/>
      </c>
      <c r="G34" s="6" t="str" cm="1">
        <f t="array" aca="1" ref="G34" ca="1">IFERROR(IF(OR('Raw Data'!G34="",LEN(TRIM('Raw Data'!G34))=0),"",IF(AND(ISNUMBER('Raw Data'!G34),'Raw Data'!G34=ROUND('Raw Data'!G34,4),IFERROR(ROUND('Raw Data'!G34,4)&lt;=99999999999.99,FALSE))=TRUE,"",_xlfn.REGEXEXTRACT(CELL("address",'Raw Data'!G34), "\$([A-Z]+)\$[0-9]+"))),_xlfn.REGEXEXTRACT(CELL("address",'Raw Data'!G34), "\$([A-Z]+)\$[0-9]+"))</f>
        <v/>
      </c>
      <c r="H34" s="6" t="str" cm="1">
        <f t="array" aca="1" ref="H34" ca="1">IFERROR(IF(OR('Raw Data'!H34="",LEN(TRIM('Raw Data'!H34))=0),"",IF(AND(ISNUMBER('Raw Data'!H34),'Raw Data'!H34=ROUND('Raw Data'!H34,4),IFERROR(ROUND('Raw Data'!H34,4)&lt;=99999999999.99,FALSE))=TRUE,"",_xlfn.REGEXEXTRACT(CELL("address",'Raw Data'!H34), "\$([A-Z]+)\$[0-9]+"))),_xlfn.REGEXEXTRACT(CELL("address",'Raw Data'!H34), "\$([A-Z]+)\$[0-9]+"))</f>
        <v/>
      </c>
      <c r="I34" s="6" t="str" cm="1">
        <f t="array" aca="1" ref="I34" ca="1">IFERROR(IF(OR('Raw Data'!I34="",LEN(TRIM('Raw Data'!I34))=0),"",IF(AND(ISNUMBER('Raw Data'!I34),'Raw Data'!I34=ROUND('Raw Data'!I34,4),IFERROR(ROUND('Raw Data'!I34,4)&lt;=99999999999.99,FALSE))=TRUE,"",_xlfn.REGEXEXTRACT(CELL("address",'Raw Data'!I34), "\$([A-Z]+)\$[0-9]+"))),_xlfn.REGEXEXTRACT(CELL("address",'Raw Data'!I34), "\$([A-Z]+)\$[0-9]+"))</f>
        <v/>
      </c>
      <c r="J34" s="6" t="str" cm="1">
        <f t="array" aca="1" ref="J34" ca="1">IFERROR(IF(OR('Raw Data'!J34="",LEN(TRIM('Raw Data'!J34))=0),"",IF(AND(ISNUMBER('Raw Data'!J34),'Raw Data'!J34=ROUND('Raw Data'!J34,4),IFERROR(ROUND('Raw Data'!J34,4)&lt;=99999999999.99,FALSE))=TRUE,"",_xlfn.REGEXEXTRACT(CELL("address",'Raw Data'!J34), "\$([A-Z]+)\$[0-9]+"))),_xlfn.REGEXEXTRACT(CELL("address",'Raw Data'!J34), "\$([A-Z]+)\$[0-9]+"))</f>
        <v/>
      </c>
    </row>
    <row r="35" spans="2:10" x14ac:dyDescent="0.25">
      <c r="B35" s="6" t="str" cm="1">
        <f t="array" aca="1" ref="B35" ca="1">IFERROR(IF(OR('Raw Data'!B35="",LEN(TRIM('Raw Data'!B35))=0),"",IF(AND(LEN('Raw Data'!B35) &lt;= 255,LEN('Raw Data'!B35)&gt; 0),"",_xlfn.REGEXEXTRACT(CELL("address",'Raw Data'!B35),"\$([A-Z]+)\$[0-9]+"))),_xlfn.REGEXEXTRACT(CELL("address",'Raw Data'!B35),"\$([A-Z]+)\$[0-9]+"))</f>
        <v/>
      </c>
      <c r="C35" s="6" t="str" cm="1">
        <f t="array" aca="1" ref="C35" ca="1">IFERROR(IF(OR('Raw Data'!C35="",LEN(TRIM('Raw Data'!C35))=0),"",IF(AND(LEN('Raw Data'!C35) &lt;= 20,LEN('Raw Data'!C35)&gt; 0),"",_xlfn.REGEXEXTRACT(CELL("address",'Raw Data'!C35),"\$([A-Z]+)\$[0-9]+"))),_xlfn.REGEXEXTRACT(CELL("address",'Raw Data'!C35),"\$([A-Z]+)\$[0-9]+"))</f>
        <v/>
      </c>
      <c r="D35" s="6" t="str" cm="1">
        <f t="array" aca="1" ref="D35" ca="1">IFERROR(IF(OR('Raw Data'!D35="",LEN(TRIM('Raw Data'!D35))=0),"",IF(AND(ISNUMBER('Raw Data'!D35),'Raw Data'!D35&gt;=Configuration!$D$2),"",_xlfn.REGEXEXTRACT(CELL("address",'Raw Data'!D35),"\$([A-Z]+)\$[0-9]+"))),_xlfn.REGEXEXTRACT(CELL("address",D35), "\$([A-Z]+)\$[0-9]+"))</f>
        <v/>
      </c>
      <c r="E35" s="6" t="str" cm="1">
        <f t="array" aca="1" ref="E35" ca="1">IFERROR(IF(OR('Raw Data'!E35="",LEN(TRIM('Raw Data'!E35))=0),"",IF(AND(ISNUMBER('Raw Data'!E35),'Raw Data'!E35=ROUND('Raw Data'!E35,4),IFERROR(ROUND('Raw Data'!E35,4)&lt;=99999999999.99,FALSE))=TRUE,"",_xlfn.REGEXEXTRACT(CELL("address",'Raw Data'!E35), "\$([A-Z]+)\$[0-9]+"))),_xlfn.REGEXEXTRACT(CELL("address",'Raw Data'!E35), "\$([A-Z]+)\$[0-9]+"))</f>
        <v/>
      </c>
      <c r="F35" s="6" t="str" cm="1">
        <f t="array" aca="1" ref="F35" ca="1">IFERROR(IF(OR('Raw Data'!F35="",LEN(TRIM('Raw Data'!F35))=0),"",IF(AND(ISNUMBER('Raw Data'!F35),'Raw Data'!F35=ROUND('Raw Data'!F35,4),IFERROR(ROUND('Raw Data'!F35,4)&lt;=99999999999.99,FALSE))=TRUE,"",_xlfn.REGEXEXTRACT(CELL("address",'Raw Data'!F35), "\$([A-Z]+)\$[0-9]+"))),_xlfn.REGEXEXTRACT(CELL("address",'Raw Data'!F35), "\$([A-Z]+)\$[0-9]+"))</f>
        <v/>
      </c>
      <c r="G35" s="6" t="str" cm="1">
        <f t="array" aca="1" ref="G35" ca="1">IFERROR(IF(OR('Raw Data'!G35="",LEN(TRIM('Raw Data'!G35))=0),"",IF(AND(ISNUMBER('Raw Data'!G35),'Raw Data'!G35=ROUND('Raw Data'!G35,4),IFERROR(ROUND('Raw Data'!G35,4)&lt;=99999999999.99,FALSE))=TRUE,"",_xlfn.REGEXEXTRACT(CELL("address",'Raw Data'!G35), "\$([A-Z]+)\$[0-9]+"))),_xlfn.REGEXEXTRACT(CELL("address",'Raw Data'!G35), "\$([A-Z]+)\$[0-9]+"))</f>
        <v/>
      </c>
      <c r="H35" s="6" t="str" cm="1">
        <f t="array" aca="1" ref="H35" ca="1">IFERROR(IF(OR('Raw Data'!H35="",LEN(TRIM('Raw Data'!H35))=0),"",IF(AND(ISNUMBER('Raw Data'!H35),'Raw Data'!H35=ROUND('Raw Data'!H35,4),IFERROR(ROUND('Raw Data'!H35,4)&lt;=99999999999.99,FALSE))=TRUE,"",_xlfn.REGEXEXTRACT(CELL("address",'Raw Data'!H35), "\$([A-Z]+)\$[0-9]+"))),_xlfn.REGEXEXTRACT(CELL("address",'Raw Data'!H35), "\$([A-Z]+)\$[0-9]+"))</f>
        <v/>
      </c>
      <c r="I35" s="6" t="str" cm="1">
        <f t="array" aca="1" ref="I35" ca="1">IFERROR(IF(OR('Raw Data'!I35="",LEN(TRIM('Raw Data'!I35))=0),"",IF(AND(ISNUMBER('Raw Data'!I35),'Raw Data'!I35=ROUND('Raw Data'!I35,4),IFERROR(ROUND('Raw Data'!I35,4)&lt;=99999999999.99,FALSE))=TRUE,"",_xlfn.REGEXEXTRACT(CELL("address",'Raw Data'!I35), "\$([A-Z]+)\$[0-9]+"))),_xlfn.REGEXEXTRACT(CELL("address",'Raw Data'!I35), "\$([A-Z]+)\$[0-9]+"))</f>
        <v/>
      </c>
      <c r="J35" s="6" t="str" cm="1">
        <f t="array" aca="1" ref="J35" ca="1">IFERROR(IF(OR('Raw Data'!J35="",LEN(TRIM('Raw Data'!J35))=0),"",IF(AND(ISNUMBER('Raw Data'!J35),'Raw Data'!J35=ROUND('Raw Data'!J35,4),IFERROR(ROUND('Raw Data'!J35,4)&lt;=99999999999.99,FALSE))=TRUE,"",_xlfn.REGEXEXTRACT(CELL("address",'Raw Data'!J35), "\$([A-Z]+)\$[0-9]+"))),_xlfn.REGEXEXTRACT(CELL("address",'Raw Data'!J35), "\$([A-Z]+)\$[0-9]+"))</f>
        <v/>
      </c>
    </row>
    <row r="36" spans="2:10" x14ac:dyDescent="0.25">
      <c r="B36" s="6" t="str" cm="1">
        <f t="array" aca="1" ref="B36" ca="1">IFERROR(IF(OR('Raw Data'!B36="",LEN(TRIM('Raw Data'!B36))=0),"",IF(AND(LEN('Raw Data'!B36) &lt;= 255,LEN('Raw Data'!B36)&gt; 0),"",_xlfn.REGEXEXTRACT(CELL("address",'Raw Data'!B36),"\$([A-Z]+)\$[0-9]+"))),_xlfn.REGEXEXTRACT(CELL("address",'Raw Data'!B36),"\$([A-Z]+)\$[0-9]+"))</f>
        <v/>
      </c>
      <c r="C36" s="6" t="str" cm="1">
        <f t="array" aca="1" ref="C36" ca="1">IFERROR(IF(OR('Raw Data'!C36="",LEN(TRIM('Raw Data'!C36))=0),"",IF(AND(LEN('Raw Data'!C36) &lt;= 20,LEN('Raw Data'!C36)&gt; 0),"",_xlfn.REGEXEXTRACT(CELL("address",'Raw Data'!C36),"\$([A-Z]+)\$[0-9]+"))),_xlfn.REGEXEXTRACT(CELL("address",'Raw Data'!C36),"\$([A-Z]+)\$[0-9]+"))</f>
        <v/>
      </c>
      <c r="D36" s="6" t="str" cm="1">
        <f t="array" aca="1" ref="D36" ca="1">IFERROR(IF(OR('Raw Data'!D36="",LEN(TRIM('Raw Data'!D36))=0),"",IF(AND(ISNUMBER('Raw Data'!D36),'Raw Data'!D36&gt;=Configuration!$D$2),"",_xlfn.REGEXEXTRACT(CELL("address",'Raw Data'!D36),"\$([A-Z]+)\$[0-9]+"))),_xlfn.REGEXEXTRACT(CELL("address",D36), "\$([A-Z]+)\$[0-9]+"))</f>
        <v/>
      </c>
      <c r="E36" s="6" t="str" cm="1">
        <f t="array" aca="1" ref="E36" ca="1">IFERROR(IF(OR('Raw Data'!E36="",LEN(TRIM('Raw Data'!E36))=0),"",IF(AND(ISNUMBER('Raw Data'!E36),'Raw Data'!E36=ROUND('Raw Data'!E36,4),IFERROR(ROUND('Raw Data'!E36,4)&lt;=99999999999.99,FALSE))=TRUE,"",_xlfn.REGEXEXTRACT(CELL("address",'Raw Data'!E36), "\$([A-Z]+)\$[0-9]+"))),_xlfn.REGEXEXTRACT(CELL("address",'Raw Data'!E36), "\$([A-Z]+)\$[0-9]+"))</f>
        <v/>
      </c>
      <c r="F36" s="6" t="str" cm="1">
        <f t="array" aca="1" ref="F36" ca="1">IFERROR(IF(OR('Raw Data'!F36="",LEN(TRIM('Raw Data'!F36))=0),"",IF(AND(ISNUMBER('Raw Data'!F36),'Raw Data'!F36=ROUND('Raw Data'!F36,4),IFERROR(ROUND('Raw Data'!F36,4)&lt;=99999999999.99,FALSE))=TRUE,"",_xlfn.REGEXEXTRACT(CELL("address",'Raw Data'!F36), "\$([A-Z]+)\$[0-9]+"))),_xlfn.REGEXEXTRACT(CELL("address",'Raw Data'!F36), "\$([A-Z]+)\$[0-9]+"))</f>
        <v/>
      </c>
      <c r="G36" s="6" t="str" cm="1">
        <f t="array" aca="1" ref="G36" ca="1">IFERROR(IF(OR('Raw Data'!G36="",LEN(TRIM('Raw Data'!G36))=0),"",IF(AND(ISNUMBER('Raw Data'!G36),'Raw Data'!G36=ROUND('Raw Data'!G36,4),IFERROR(ROUND('Raw Data'!G36,4)&lt;=99999999999.99,FALSE))=TRUE,"",_xlfn.REGEXEXTRACT(CELL("address",'Raw Data'!G36), "\$([A-Z]+)\$[0-9]+"))),_xlfn.REGEXEXTRACT(CELL("address",'Raw Data'!G36), "\$([A-Z]+)\$[0-9]+"))</f>
        <v/>
      </c>
      <c r="H36" s="6" t="str" cm="1">
        <f t="array" aca="1" ref="H36" ca="1">IFERROR(IF(OR('Raw Data'!H36="",LEN(TRIM('Raw Data'!H36))=0),"",IF(AND(ISNUMBER('Raw Data'!H36),'Raw Data'!H36=ROUND('Raw Data'!H36,4),IFERROR(ROUND('Raw Data'!H36,4)&lt;=99999999999.99,FALSE))=TRUE,"",_xlfn.REGEXEXTRACT(CELL("address",'Raw Data'!H36), "\$([A-Z]+)\$[0-9]+"))),_xlfn.REGEXEXTRACT(CELL("address",'Raw Data'!H36), "\$([A-Z]+)\$[0-9]+"))</f>
        <v/>
      </c>
      <c r="I36" s="6" t="str" cm="1">
        <f t="array" aca="1" ref="I36" ca="1">IFERROR(IF(OR('Raw Data'!I36="",LEN(TRIM('Raw Data'!I36))=0),"",IF(AND(ISNUMBER('Raw Data'!I36),'Raw Data'!I36=ROUND('Raw Data'!I36,4),IFERROR(ROUND('Raw Data'!I36,4)&lt;=99999999999.99,FALSE))=TRUE,"",_xlfn.REGEXEXTRACT(CELL("address",'Raw Data'!I36), "\$([A-Z]+)\$[0-9]+"))),_xlfn.REGEXEXTRACT(CELL("address",'Raw Data'!I36), "\$([A-Z]+)\$[0-9]+"))</f>
        <v/>
      </c>
      <c r="J36" s="6" t="str" cm="1">
        <f t="array" aca="1" ref="J36" ca="1">IFERROR(IF(OR('Raw Data'!J36="",LEN(TRIM('Raw Data'!J36))=0),"",IF(AND(ISNUMBER('Raw Data'!J36),'Raw Data'!J36=ROUND('Raw Data'!J36,4),IFERROR(ROUND('Raw Data'!J36,4)&lt;=99999999999.99,FALSE))=TRUE,"",_xlfn.REGEXEXTRACT(CELL("address",'Raw Data'!J36), "\$([A-Z]+)\$[0-9]+"))),_xlfn.REGEXEXTRACT(CELL("address",'Raw Data'!J36), "\$([A-Z]+)\$[0-9]+"))</f>
        <v/>
      </c>
    </row>
    <row r="37" spans="2:10" x14ac:dyDescent="0.25">
      <c r="B37" s="6" t="str" cm="1">
        <f t="array" aca="1" ref="B37" ca="1">IFERROR(IF(OR('Raw Data'!B37="",LEN(TRIM('Raw Data'!B37))=0),"",IF(AND(LEN('Raw Data'!B37) &lt;= 255,LEN('Raw Data'!B37)&gt; 0),"",_xlfn.REGEXEXTRACT(CELL("address",'Raw Data'!B37),"\$([A-Z]+)\$[0-9]+"))),_xlfn.REGEXEXTRACT(CELL("address",'Raw Data'!B37),"\$([A-Z]+)\$[0-9]+"))</f>
        <v/>
      </c>
      <c r="C37" s="6" t="str" cm="1">
        <f t="array" aca="1" ref="C37" ca="1">IFERROR(IF(OR('Raw Data'!C37="",LEN(TRIM('Raw Data'!C37))=0),"",IF(AND(LEN('Raw Data'!C37) &lt;= 20,LEN('Raw Data'!C37)&gt; 0),"",_xlfn.REGEXEXTRACT(CELL("address",'Raw Data'!C37),"\$([A-Z]+)\$[0-9]+"))),_xlfn.REGEXEXTRACT(CELL("address",'Raw Data'!C37),"\$([A-Z]+)\$[0-9]+"))</f>
        <v/>
      </c>
      <c r="D37" s="6" t="str" cm="1">
        <f t="array" aca="1" ref="D37" ca="1">IFERROR(IF(OR('Raw Data'!D37="",LEN(TRIM('Raw Data'!D37))=0),"",IF(AND(ISNUMBER('Raw Data'!D37),'Raw Data'!D37&gt;=Configuration!$D$2),"",_xlfn.REGEXEXTRACT(CELL("address",'Raw Data'!D37),"\$([A-Z]+)\$[0-9]+"))),_xlfn.REGEXEXTRACT(CELL("address",D37), "\$([A-Z]+)\$[0-9]+"))</f>
        <v/>
      </c>
      <c r="E37" s="6" t="str" cm="1">
        <f t="array" aca="1" ref="E37" ca="1">IFERROR(IF(OR('Raw Data'!E37="",LEN(TRIM('Raw Data'!E37))=0),"",IF(AND(ISNUMBER('Raw Data'!E37),'Raw Data'!E37=ROUND('Raw Data'!E37,4),IFERROR(ROUND('Raw Data'!E37,4)&lt;=99999999999.99,FALSE))=TRUE,"",_xlfn.REGEXEXTRACT(CELL("address",'Raw Data'!E37), "\$([A-Z]+)\$[0-9]+"))),_xlfn.REGEXEXTRACT(CELL("address",'Raw Data'!E37), "\$([A-Z]+)\$[0-9]+"))</f>
        <v/>
      </c>
      <c r="F37" s="6" t="str" cm="1">
        <f t="array" aca="1" ref="F37" ca="1">IFERROR(IF(OR('Raw Data'!F37="",LEN(TRIM('Raw Data'!F37))=0),"",IF(AND(ISNUMBER('Raw Data'!F37),'Raw Data'!F37=ROUND('Raw Data'!F37,4),IFERROR(ROUND('Raw Data'!F37,4)&lt;=99999999999.99,FALSE))=TRUE,"",_xlfn.REGEXEXTRACT(CELL("address",'Raw Data'!F37), "\$([A-Z]+)\$[0-9]+"))),_xlfn.REGEXEXTRACT(CELL("address",'Raw Data'!F37), "\$([A-Z]+)\$[0-9]+"))</f>
        <v/>
      </c>
      <c r="G37" s="6" t="str" cm="1">
        <f t="array" aca="1" ref="G37" ca="1">IFERROR(IF(OR('Raw Data'!G37="",LEN(TRIM('Raw Data'!G37))=0),"",IF(AND(ISNUMBER('Raw Data'!G37),'Raw Data'!G37=ROUND('Raw Data'!G37,4),IFERROR(ROUND('Raw Data'!G37,4)&lt;=99999999999.99,FALSE))=TRUE,"",_xlfn.REGEXEXTRACT(CELL("address",'Raw Data'!G37), "\$([A-Z]+)\$[0-9]+"))),_xlfn.REGEXEXTRACT(CELL("address",'Raw Data'!G37), "\$([A-Z]+)\$[0-9]+"))</f>
        <v/>
      </c>
      <c r="H37" s="6" t="str" cm="1">
        <f t="array" aca="1" ref="H37" ca="1">IFERROR(IF(OR('Raw Data'!H37="",LEN(TRIM('Raw Data'!H37))=0),"",IF(AND(ISNUMBER('Raw Data'!H37),'Raw Data'!H37=ROUND('Raw Data'!H37,4),IFERROR(ROUND('Raw Data'!H37,4)&lt;=99999999999.99,FALSE))=TRUE,"",_xlfn.REGEXEXTRACT(CELL("address",'Raw Data'!H37), "\$([A-Z]+)\$[0-9]+"))),_xlfn.REGEXEXTRACT(CELL("address",'Raw Data'!H37), "\$([A-Z]+)\$[0-9]+"))</f>
        <v/>
      </c>
      <c r="I37" s="6" t="str" cm="1">
        <f t="array" aca="1" ref="I37" ca="1">IFERROR(IF(OR('Raw Data'!I37="",LEN(TRIM('Raw Data'!I37))=0),"",IF(AND(ISNUMBER('Raw Data'!I37),'Raw Data'!I37=ROUND('Raw Data'!I37,4),IFERROR(ROUND('Raw Data'!I37,4)&lt;=99999999999.99,FALSE))=TRUE,"",_xlfn.REGEXEXTRACT(CELL("address",'Raw Data'!I37), "\$([A-Z]+)\$[0-9]+"))),_xlfn.REGEXEXTRACT(CELL("address",'Raw Data'!I37), "\$([A-Z]+)\$[0-9]+"))</f>
        <v/>
      </c>
      <c r="J37" s="6" t="str" cm="1">
        <f t="array" aca="1" ref="J37" ca="1">IFERROR(IF(OR('Raw Data'!J37="",LEN(TRIM('Raw Data'!J37))=0),"",IF(AND(ISNUMBER('Raw Data'!J37),'Raw Data'!J37=ROUND('Raw Data'!J37,4),IFERROR(ROUND('Raw Data'!J37,4)&lt;=99999999999.99,FALSE))=TRUE,"",_xlfn.REGEXEXTRACT(CELL("address",'Raw Data'!J37), "\$([A-Z]+)\$[0-9]+"))),_xlfn.REGEXEXTRACT(CELL("address",'Raw Data'!J37), "\$([A-Z]+)\$[0-9]+"))</f>
        <v/>
      </c>
    </row>
    <row r="38" spans="2:10" x14ac:dyDescent="0.25">
      <c r="B38" s="6" t="str" cm="1">
        <f t="array" aca="1" ref="B38" ca="1">IFERROR(IF(OR('Raw Data'!B38="",LEN(TRIM('Raw Data'!B38))=0),"",IF(AND(LEN('Raw Data'!B38) &lt;= 255,LEN('Raw Data'!B38)&gt; 0),"",_xlfn.REGEXEXTRACT(CELL("address",'Raw Data'!B38),"\$([A-Z]+)\$[0-9]+"))),_xlfn.REGEXEXTRACT(CELL("address",'Raw Data'!B38),"\$([A-Z]+)\$[0-9]+"))</f>
        <v/>
      </c>
      <c r="C38" s="6" t="str" cm="1">
        <f t="array" aca="1" ref="C38" ca="1">IFERROR(IF(OR('Raw Data'!C38="",LEN(TRIM('Raw Data'!C38))=0),"",IF(AND(LEN('Raw Data'!C38) &lt;= 20,LEN('Raw Data'!C38)&gt; 0),"",_xlfn.REGEXEXTRACT(CELL("address",'Raw Data'!C38),"\$([A-Z]+)\$[0-9]+"))),_xlfn.REGEXEXTRACT(CELL("address",'Raw Data'!C38),"\$([A-Z]+)\$[0-9]+"))</f>
        <v/>
      </c>
      <c r="D38" s="6" t="str" cm="1">
        <f t="array" aca="1" ref="D38" ca="1">IFERROR(IF(OR('Raw Data'!D38="",LEN(TRIM('Raw Data'!D38))=0),"",IF(AND(ISNUMBER('Raw Data'!D38),'Raw Data'!D38&gt;=Configuration!$D$2),"",_xlfn.REGEXEXTRACT(CELL("address",'Raw Data'!D38),"\$([A-Z]+)\$[0-9]+"))),_xlfn.REGEXEXTRACT(CELL("address",D38), "\$([A-Z]+)\$[0-9]+"))</f>
        <v/>
      </c>
      <c r="E38" s="6" t="str" cm="1">
        <f t="array" aca="1" ref="E38" ca="1">IFERROR(IF(OR('Raw Data'!E38="",LEN(TRIM('Raw Data'!E38))=0),"",IF(AND(ISNUMBER('Raw Data'!E38),'Raw Data'!E38=ROUND('Raw Data'!E38,4),IFERROR(ROUND('Raw Data'!E38,4)&lt;=99999999999.99,FALSE))=TRUE,"",_xlfn.REGEXEXTRACT(CELL("address",'Raw Data'!E38), "\$([A-Z]+)\$[0-9]+"))),_xlfn.REGEXEXTRACT(CELL("address",'Raw Data'!E38), "\$([A-Z]+)\$[0-9]+"))</f>
        <v/>
      </c>
      <c r="F38" s="6" t="str" cm="1">
        <f t="array" aca="1" ref="F38" ca="1">IFERROR(IF(OR('Raw Data'!F38="",LEN(TRIM('Raw Data'!F38))=0),"",IF(AND(ISNUMBER('Raw Data'!F38),'Raw Data'!F38=ROUND('Raw Data'!F38,4),IFERROR(ROUND('Raw Data'!F38,4)&lt;=99999999999.99,FALSE))=TRUE,"",_xlfn.REGEXEXTRACT(CELL("address",'Raw Data'!F38), "\$([A-Z]+)\$[0-9]+"))),_xlfn.REGEXEXTRACT(CELL("address",'Raw Data'!F38), "\$([A-Z]+)\$[0-9]+"))</f>
        <v/>
      </c>
      <c r="G38" s="6" t="str" cm="1">
        <f t="array" aca="1" ref="G38" ca="1">IFERROR(IF(OR('Raw Data'!G38="",LEN(TRIM('Raw Data'!G38))=0),"",IF(AND(ISNUMBER('Raw Data'!G38),'Raw Data'!G38=ROUND('Raw Data'!G38,4),IFERROR(ROUND('Raw Data'!G38,4)&lt;=99999999999.99,FALSE))=TRUE,"",_xlfn.REGEXEXTRACT(CELL("address",'Raw Data'!G38), "\$([A-Z]+)\$[0-9]+"))),_xlfn.REGEXEXTRACT(CELL("address",'Raw Data'!G38), "\$([A-Z]+)\$[0-9]+"))</f>
        <v/>
      </c>
      <c r="H38" s="6" t="str" cm="1">
        <f t="array" aca="1" ref="H38" ca="1">IFERROR(IF(OR('Raw Data'!H38="",LEN(TRIM('Raw Data'!H38))=0),"",IF(AND(ISNUMBER('Raw Data'!H38),'Raw Data'!H38=ROUND('Raw Data'!H38,4),IFERROR(ROUND('Raw Data'!H38,4)&lt;=99999999999.99,FALSE))=TRUE,"",_xlfn.REGEXEXTRACT(CELL("address",'Raw Data'!H38), "\$([A-Z]+)\$[0-9]+"))),_xlfn.REGEXEXTRACT(CELL("address",'Raw Data'!H38), "\$([A-Z]+)\$[0-9]+"))</f>
        <v/>
      </c>
      <c r="I38" s="6" t="str" cm="1">
        <f t="array" aca="1" ref="I38" ca="1">IFERROR(IF(OR('Raw Data'!I38="",LEN(TRIM('Raw Data'!I38))=0),"",IF(AND(ISNUMBER('Raw Data'!I38),'Raw Data'!I38=ROUND('Raw Data'!I38,4),IFERROR(ROUND('Raw Data'!I38,4)&lt;=99999999999.99,FALSE))=TRUE,"",_xlfn.REGEXEXTRACT(CELL("address",'Raw Data'!I38), "\$([A-Z]+)\$[0-9]+"))),_xlfn.REGEXEXTRACT(CELL("address",'Raw Data'!I38), "\$([A-Z]+)\$[0-9]+"))</f>
        <v/>
      </c>
      <c r="J38" s="6" t="str" cm="1">
        <f t="array" aca="1" ref="J38" ca="1">IFERROR(IF(OR('Raw Data'!J38="",LEN(TRIM('Raw Data'!J38))=0),"",IF(AND(ISNUMBER('Raw Data'!J38),'Raw Data'!J38=ROUND('Raw Data'!J38,4),IFERROR(ROUND('Raw Data'!J38,4)&lt;=99999999999.99,FALSE))=TRUE,"",_xlfn.REGEXEXTRACT(CELL("address",'Raw Data'!J38), "\$([A-Z]+)\$[0-9]+"))),_xlfn.REGEXEXTRACT(CELL("address",'Raw Data'!J38), "\$([A-Z]+)\$[0-9]+"))</f>
        <v/>
      </c>
    </row>
    <row r="39" spans="2:10" x14ac:dyDescent="0.25">
      <c r="B39" s="6" t="str" cm="1">
        <f t="array" aca="1" ref="B39" ca="1">IFERROR(IF(OR('Raw Data'!B39="",LEN(TRIM('Raw Data'!B39))=0),"",IF(AND(LEN('Raw Data'!B39) &lt;= 255,LEN('Raw Data'!B39)&gt; 0),"",_xlfn.REGEXEXTRACT(CELL("address",'Raw Data'!B39),"\$([A-Z]+)\$[0-9]+"))),_xlfn.REGEXEXTRACT(CELL("address",'Raw Data'!B39),"\$([A-Z]+)\$[0-9]+"))</f>
        <v/>
      </c>
      <c r="C39" s="6" t="str" cm="1">
        <f t="array" aca="1" ref="C39" ca="1">IFERROR(IF(OR('Raw Data'!C39="",LEN(TRIM('Raw Data'!C39))=0),"",IF(AND(LEN('Raw Data'!C39) &lt;= 20,LEN('Raw Data'!C39)&gt; 0),"",_xlfn.REGEXEXTRACT(CELL("address",'Raw Data'!C39),"\$([A-Z]+)\$[0-9]+"))),_xlfn.REGEXEXTRACT(CELL("address",'Raw Data'!C39),"\$([A-Z]+)\$[0-9]+"))</f>
        <v/>
      </c>
      <c r="D39" s="6" t="str" cm="1">
        <f t="array" aca="1" ref="D39" ca="1">IFERROR(IF(OR('Raw Data'!D39="",LEN(TRIM('Raw Data'!D39))=0),"",IF(AND(ISNUMBER('Raw Data'!D39),'Raw Data'!D39&gt;=Configuration!$D$2),"",_xlfn.REGEXEXTRACT(CELL("address",'Raw Data'!D39),"\$([A-Z]+)\$[0-9]+"))),_xlfn.REGEXEXTRACT(CELL("address",D39), "\$([A-Z]+)\$[0-9]+"))</f>
        <v/>
      </c>
      <c r="E39" s="6" t="str" cm="1">
        <f t="array" aca="1" ref="E39" ca="1">IFERROR(IF(OR('Raw Data'!E39="",LEN(TRIM('Raw Data'!E39))=0),"",IF(AND(ISNUMBER('Raw Data'!E39),'Raw Data'!E39=ROUND('Raw Data'!E39,4),IFERROR(ROUND('Raw Data'!E39,4)&lt;=99999999999.99,FALSE))=TRUE,"",_xlfn.REGEXEXTRACT(CELL("address",'Raw Data'!E39), "\$([A-Z]+)\$[0-9]+"))),_xlfn.REGEXEXTRACT(CELL("address",'Raw Data'!E39), "\$([A-Z]+)\$[0-9]+"))</f>
        <v/>
      </c>
      <c r="F39" s="6" t="str" cm="1">
        <f t="array" aca="1" ref="F39" ca="1">IFERROR(IF(OR('Raw Data'!F39="",LEN(TRIM('Raw Data'!F39))=0),"",IF(AND(ISNUMBER('Raw Data'!F39),'Raw Data'!F39=ROUND('Raw Data'!F39,4),IFERROR(ROUND('Raw Data'!F39,4)&lt;=99999999999.99,FALSE))=TRUE,"",_xlfn.REGEXEXTRACT(CELL("address",'Raw Data'!F39), "\$([A-Z]+)\$[0-9]+"))),_xlfn.REGEXEXTRACT(CELL("address",'Raw Data'!F39), "\$([A-Z]+)\$[0-9]+"))</f>
        <v/>
      </c>
      <c r="G39" s="6" t="str" cm="1">
        <f t="array" aca="1" ref="G39" ca="1">IFERROR(IF(OR('Raw Data'!G39="",LEN(TRIM('Raw Data'!G39))=0),"",IF(AND(ISNUMBER('Raw Data'!G39),'Raw Data'!G39=ROUND('Raw Data'!G39,4),IFERROR(ROUND('Raw Data'!G39,4)&lt;=99999999999.99,FALSE))=TRUE,"",_xlfn.REGEXEXTRACT(CELL("address",'Raw Data'!G39), "\$([A-Z]+)\$[0-9]+"))),_xlfn.REGEXEXTRACT(CELL("address",'Raw Data'!G39), "\$([A-Z]+)\$[0-9]+"))</f>
        <v/>
      </c>
      <c r="H39" s="6" t="str" cm="1">
        <f t="array" aca="1" ref="H39" ca="1">IFERROR(IF(OR('Raw Data'!H39="",LEN(TRIM('Raw Data'!H39))=0),"",IF(AND(ISNUMBER('Raw Data'!H39),'Raw Data'!H39=ROUND('Raw Data'!H39,4),IFERROR(ROUND('Raw Data'!H39,4)&lt;=99999999999.99,FALSE))=TRUE,"",_xlfn.REGEXEXTRACT(CELL("address",'Raw Data'!H39), "\$([A-Z]+)\$[0-9]+"))),_xlfn.REGEXEXTRACT(CELL("address",'Raw Data'!H39), "\$([A-Z]+)\$[0-9]+"))</f>
        <v/>
      </c>
      <c r="I39" s="6" t="str" cm="1">
        <f t="array" aca="1" ref="I39" ca="1">IFERROR(IF(OR('Raw Data'!I39="",LEN(TRIM('Raw Data'!I39))=0),"",IF(AND(ISNUMBER('Raw Data'!I39),'Raw Data'!I39=ROUND('Raw Data'!I39,4),IFERROR(ROUND('Raw Data'!I39,4)&lt;=99999999999.99,FALSE))=TRUE,"",_xlfn.REGEXEXTRACT(CELL("address",'Raw Data'!I39), "\$([A-Z]+)\$[0-9]+"))),_xlfn.REGEXEXTRACT(CELL("address",'Raw Data'!I39), "\$([A-Z]+)\$[0-9]+"))</f>
        <v/>
      </c>
      <c r="J39" s="6" t="str" cm="1">
        <f t="array" aca="1" ref="J39" ca="1">IFERROR(IF(OR('Raw Data'!J39="",LEN(TRIM('Raw Data'!J39))=0),"",IF(AND(ISNUMBER('Raw Data'!J39),'Raw Data'!J39=ROUND('Raw Data'!J39,4),IFERROR(ROUND('Raw Data'!J39,4)&lt;=99999999999.99,FALSE))=TRUE,"",_xlfn.REGEXEXTRACT(CELL("address",'Raw Data'!J39), "\$([A-Z]+)\$[0-9]+"))),_xlfn.REGEXEXTRACT(CELL("address",'Raw Data'!J39), "\$([A-Z]+)\$[0-9]+"))</f>
        <v/>
      </c>
    </row>
    <row r="40" spans="2:10" x14ac:dyDescent="0.25">
      <c r="B40" s="6" t="str" cm="1">
        <f t="array" aca="1" ref="B40" ca="1">IFERROR(IF(OR('Raw Data'!B40="",LEN(TRIM('Raw Data'!B40))=0),"",IF(AND(LEN('Raw Data'!B40) &lt;= 255,LEN('Raw Data'!B40)&gt; 0),"",_xlfn.REGEXEXTRACT(CELL("address",'Raw Data'!B40),"\$([A-Z]+)\$[0-9]+"))),_xlfn.REGEXEXTRACT(CELL("address",'Raw Data'!B40),"\$([A-Z]+)\$[0-9]+"))</f>
        <v/>
      </c>
      <c r="C40" s="6" t="str" cm="1">
        <f t="array" aca="1" ref="C40" ca="1">IFERROR(IF(OR('Raw Data'!C40="",LEN(TRIM('Raw Data'!C40))=0),"",IF(AND(LEN('Raw Data'!C40) &lt;= 20,LEN('Raw Data'!C40)&gt; 0),"",_xlfn.REGEXEXTRACT(CELL("address",'Raw Data'!C40),"\$([A-Z]+)\$[0-9]+"))),_xlfn.REGEXEXTRACT(CELL("address",'Raw Data'!C40),"\$([A-Z]+)\$[0-9]+"))</f>
        <v/>
      </c>
      <c r="D40" s="6" t="str" cm="1">
        <f t="array" aca="1" ref="D40" ca="1">IFERROR(IF(OR('Raw Data'!D40="",LEN(TRIM('Raw Data'!D40))=0),"",IF(AND(ISNUMBER('Raw Data'!D40),'Raw Data'!D40&gt;=Configuration!$D$2),"",_xlfn.REGEXEXTRACT(CELL("address",'Raw Data'!D40),"\$([A-Z]+)\$[0-9]+"))),_xlfn.REGEXEXTRACT(CELL("address",D40), "\$([A-Z]+)\$[0-9]+"))</f>
        <v/>
      </c>
      <c r="E40" s="6" t="str" cm="1">
        <f t="array" aca="1" ref="E40" ca="1">IFERROR(IF(OR('Raw Data'!E40="",LEN(TRIM('Raw Data'!E40))=0),"",IF(AND(ISNUMBER('Raw Data'!E40),'Raw Data'!E40=ROUND('Raw Data'!E40,4),IFERROR(ROUND('Raw Data'!E40,4)&lt;=99999999999.99,FALSE))=TRUE,"",_xlfn.REGEXEXTRACT(CELL("address",'Raw Data'!E40), "\$([A-Z]+)\$[0-9]+"))),_xlfn.REGEXEXTRACT(CELL("address",'Raw Data'!E40), "\$([A-Z]+)\$[0-9]+"))</f>
        <v/>
      </c>
      <c r="F40" s="6" t="str" cm="1">
        <f t="array" aca="1" ref="F40" ca="1">IFERROR(IF(OR('Raw Data'!F40="",LEN(TRIM('Raw Data'!F40))=0),"",IF(AND(ISNUMBER('Raw Data'!F40),'Raw Data'!F40=ROUND('Raw Data'!F40,4),IFERROR(ROUND('Raw Data'!F40,4)&lt;=99999999999.99,FALSE))=TRUE,"",_xlfn.REGEXEXTRACT(CELL("address",'Raw Data'!F40), "\$([A-Z]+)\$[0-9]+"))),_xlfn.REGEXEXTRACT(CELL("address",'Raw Data'!F40), "\$([A-Z]+)\$[0-9]+"))</f>
        <v/>
      </c>
      <c r="G40" s="6" t="str" cm="1">
        <f t="array" aca="1" ref="G40" ca="1">IFERROR(IF(OR('Raw Data'!G40="",LEN(TRIM('Raw Data'!G40))=0),"",IF(AND(ISNUMBER('Raw Data'!G40),'Raw Data'!G40=ROUND('Raw Data'!G40,4),IFERROR(ROUND('Raw Data'!G40,4)&lt;=99999999999.99,FALSE))=TRUE,"",_xlfn.REGEXEXTRACT(CELL("address",'Raw Data'!G40), "\$([A-Z]+)\$[0-9]+"))),_xlfn.REGEXEXTRACT(CELL("address",'Raw Data'!G40), "\$([A-Z]+)\$[0-9]+"))</f>
        <v/>
      </c>
      <c r="H40" s="6" t="str" cm="1">
        <f t="array" aca="1" ref="H40" ca="1">IFERROR(IF(OR('Raw Data'!H40="",LEN(TRIM('Raw Data'!H40))=0),"",IF(AND(ISNUMBER('Raw Data'!H40),'Raw Data'!H40=ROUND('Raw Data'!H40,4),IFERROR(ROUND('Raw Data'!H40,4)&lt;=99999999999.99,FALSE))=TRUE,"",_xlfn.REGEXEXTRACT(CELL("address",'Raw Data'!H40), "\$([A-Z]+)\$[0-9]+"))),_xlfn.REGEXEXTRACT(CELL("address",'Raw Data'!H40), "\$([A-Z]+)\$[0-9]+"))</f>
        <v/>
      </c>
      <c r="I40" s="6" t="str" cm="1">
        <f t="array" aca="1" ref="I40" ca="1">IFERROR(IF(OR('Raw Data'!I40="",LEN(TRIM('Raw Data'!I40))=0),"",IF(AND(ISNUMBER('Raw Data'!I40),'Raw Data'!I40=ROUND('Raw Data'!I40,4),IFERROR(ROUND('Raw Data'!I40,4)&lt;=99999999999.99,FALSE))=TRUE,"",_xlfn.REGEXEXTRACT(CELL("address",'Raw Data'!I40), "\$([A-Z]+)\$[0-9]+"))),_xlfn.REGEXEXTRACT(CELL("address",'Raw Data'!I40), "\$([A-Z]+)\$[0-9]+"))</f>
        <v/>
      </c>
      <c r="J40" s="6" t="str" cm="1">
        <f t="array" aca="1" ref="J40" ca="1">IFERROR(IF(OR('Raw Data'!J40="",LEN(TRIM('Raw Data'!J40))=0),"",IF(AND(ISNUMBER('Raw Data'!J40),'Raw Data'!J40=ROUND('Raw Data'!J40,4),IFERROR(ROUND('Raw Data'!J40,4)&lt;=99999999999.99,FALSE))=TRUE,"",_xlfn.REGEXEXTRACT(CELL("address",'Raw Data'!J40), "\$([A-Z]+)\$[0-9]+"))),_xlfn.REGEXEXTRACT(CELL("address",'Raw Data'!J40), "\$([A-Z]+)\$[0-9]+"))</f>
        <v/>
      </c>
    </row>
    <row r="41" spans="2:10" x14ac:dyDescent="0.25">
      <c r="B41" s="6" t="str" cm="1">
        <f t="array" aca="1" ref="B41" ca="1">IFERROR(IF(OR('Raw Data'!B41="",LEN(TRIM('Raw Data'!B41))=0),"",IF(AND(LEN('Raw Data'!B41) &lt;= 255,LEN('Raw Data'!B41)&gt; 0),"",_xlfn.REGEXEXTRACT(CELL("address",'Raw Data'!B41),"\$([A-Z]+)\$[0-9]+"))),_xlfn.REGEXEXTRACT(CELL("address",'Raw Data'!B41),"\$([A-Z]+)\$[0-9]+"))</f>
        <v/>
      </c>
      <c r="C41" s="6" t="str" cm="1">
        <f t="array" aca="1" ref="C41" ca="1">IFERROR(IF(OR('Raw Data'!C41="",LEN(TRIM('Raw Data'!C41))=0),"",IF(AND(LEN('Raw Data'!C41) &lt;= 20,LEN('Raw Data'!C41)&gt; 0),"",_xlfn.REGEXEXTRACT(CELL("address",'Raw Data'!C41),"\$([A-Z]+)\$[0-9]+"))),_xlfn.REGEXEXTRACT(CELL("address",'Raw Data'!C41),"\$([A-Z]+)\$[0-9]+"))</f>
        <v/>
      </c>
      <c r="D41" s="6" t="str" cm="1">
        <f t="array" aca="1" ref="D41" ca="1">IFERROR(IF(OR('Raw Data'!D41="",LEN(TRIM('Raw Data'!D41))=0),"",IF(AND(ISNUMBER('Raw Data'!D41),'Raw Data'!D41&gt;=Configuration!$D$2),"",_xlfn.REGEXEXTRACT(CELL("address",'Raw Data'!D41),"\$([A-Z]+)\$[0-9]+"))),_xlfn.REGEXEXTRACT(CELL("address",D41), "\$([A-Z]+)\$[0-9]+"))</f>
        <v/>
      </c>
      <c r="E41" s="6" t="str" cm="1">
        <f t="array" aca="1" ref="E41" ca="1">IFERROR(IF(OR('Raw Data'!E41="",LEN(TRIM('Raw Data'!E41))=0),"",IF(AND(ISNUMBER('Raw Data'!E41),'Raw Data'!E41=ROUND('Raw Data'!E41,4),IFERROR(ROUND('Raw Data'!E41,4)&lt;=99999999999.99,FALSE))=TRUE,"",_xlfn.REGEXEXTRACT(CELL("address",'Raw Data'!E41), "\$([A-Z]+)\$[0-9]+"))),_xlfn.REGEXEXTRACT(CELL("address",'Raw Data'!E41), "\$([A-Z]+)\$[0-9]+"))</f>
        <v/>
      </c>
      <c r="F41" s="6" t="str" cm="1">
        <f t="array" aca="1" ref="F41" ca="1">IFERROR(IF(OR('Raw Data'!F41="",LEN(TRIM('Raw Data'!F41))=0),"",IF(AND(ISNUMBER('Raw Data'!F41),'Raw Data'!F41=ROUND('Raw Data'!F41,4),IFERROR(ROUND('Raw Data'!F41,4)&lt;=99999999999.99,FALSE))=TRUE,"",_xlfn.REGEXEXTRACT(CELL("address",'Raw Data'!F41), "\$([A-Z]+)\$[0-9]+"))),_xlfn.REGEXEXTRACT(CELL("address",'Raw Data'!F41), "\$([A-Z]+)\$[0-9]+"))</f>
        <v/>
      </c>
      <c r="G41" s="6" t="str" cm="1">
        <f t="array" aca="1" ref="G41" ca="1">IFERROR(IF(OR('Raw Data'!G41="",LEN(TRIM('Raw Data'!G41))=0),"",IF(AND(ISNUMBER('Raw Data'!G41),'Raw Data'!G41=ROUND('Raw Data'!G41,4),IFERROR(ROUND('Raw Data'!G41,4)&lt;=99999999999.99,FALSE))=TRUE,"",_xlfn.REGEXEXTRACT(CELL("address",'Raw Data'!G41), "\$([A-Z]+)\$[0-9]+"))),_xlfn.REGEXEXTRACT(CELL("address",'Raw Data'!G41), "\$([A-Z]+)\$[0-9]+"))</f>
        <v/>
      </c>
      <c r="H41" s="6" t="str" cm="1">
        <f t="array" aca="1" ref="H41" ca="1">IFERROR(IF(OR('Raw Data'!H41="",LEN(TRIM('Raw Data'!H41))=0),"",IF(AND(ISNUMBER('Raw Data'!H41),'Raw Data'!H41=ROUND('Raw Data'!H41,4),IFERROR(ROUND('Raw Data'!H41,4)&lt;=99999999999.99,FALSE))=TRUE,"",_xlfn.REGEXEXTRACT(CELL("address",'Raw Data'!H41), "\$([A-Z]+)\$[0-9]+"))),_xlfn.REGEXEXTRACT(CELL("address",'Raw Data'!H41), "\$([A-Z]+)\$[0-9]+"))</f>
        <v/>
      </c>
      <c r="I41" s="6" t="str" cm="1">
        <f t="array" aca="1" ref="I41" ca="1">IFERROR(IF(OR('Raw Data'!I41="",LEN(TRIM('Raw Data'!I41))=0),"",IF(AND(ISNUMBER('Raw Data'!I41),'Raw Data'!I41=ROUND('Raw Data'!I41,4),IFERROR(ROUND('Raw Data'!I41,4)&lt;=99999999999.99,FALSE))=TRUE,"",_xlfn.REGEXEXTRACT(CELL("address",'Raw Data'!I41), "\$([A-Z]+)\$[0-9]+"))),_xlfn.REGEXEXTRACT(CELL("address",'Raw Data'!I41), "\$([A-Z]+)\$[0-9]+"))</f>
        <v/>
      </c>
      <c r="J41" s="6" t="str" cm="1">
        <f t="array" aca="1" ref="J41" ca="1">IFERROR(IF(OR('Raw Data'!J41="",LEN(TRIM('Raw Data'!J41))=0),"",IF(AND(ISNUMBER('Raw Data'!J41),'Raw Data'!J41=ROUND('Raw Data'!J41,4),IFERROR(ROUND('Raw Data'!J41,4)&lt;=99999999999.99,FALSE))=TRUE,"",_xlfn.REGEXEXTRACT(CELL("address",'Raw Data'!J41), "\$([A-Z]+)\$[0-9]+"))),_xlfn.REGEXEXTRACT(CELL("address",'Raw Data'!J41), "\$([A-Z]+)\$[0-9]+"))</f>
        <v/>
      </c>
    </row>
    <row r="42" spans="2:10" x14ac:dyDescent="0.25">
      <c r="B42" s="6" t="str" cm="1">
        <f t="array" aca="1" ref="B42" ca="1">IFERROR(IF(OR('Raw Data'!B42="",LEN(TRIM('Raw Data'!B42))=0),"",IF(AND(LEN('Raw Data'!B42) &lt;= 255,LEN('Raw Data'!B42)&gt; 0),"",_xlfn.REGEXEXTRACT(CELL("address",'Raw Data'!B42),"\$([A-Z]+)\$[0-9]+"))),_xlfn.REGEXEXTRACT(CELL("address",'Raw Data'!B42),"\$([A-Z]+)\$[0-9]+"))</f>
        <v/>
      </c>
      <c r="C42" s="6" t="str" cm="1">
        <f t="array" aca="1" ref="C42" ca="1">IFERROR(IF(OR('Raw Data'!C42="",LEN(TRIM('Raw Data'!C42))=0),"",IF(AND(LEN('Raw Data'!C42) &lt;= 20,LEN('Raw Data'!C42)&gt; 0),"",_xlfn.REGEXEXTRACT(CELL("address",'Raw Data'!C42),"\$([A-Z]+)\$[0-9]+"))),_xlfn.REGEXEXTRACT(CELL("address",'Raw Data'!C42),"\$([A-Z]+)\$[0-9]+"))</f>
        <v/>
      </c>
      <c r="D42" s="6" t="str" cm="1">
        <f t="array" aca="1" ref="D42" ca="1">IFERROR(IF(OR('Raw Data'!D42="",LEN(TRIM('Raw Data'!D42))=0),"",IF(AND(ISNUMBER('Raw Data'!D42),'Raw Data'!D42&gt;=Configuration!$D$2),"",_xlfn.REGEXEXTRACT(CELL("address",'Raw Data'!D42),"\$([A-Z]+)\$[0-9]+"))),_xlfn.REGEXEXTRACT(CELL("address",D42), "\$([A-Z]+)\$[0-9]+"))</f>
        <v/>
      </c>
      <c r="E42" s="6" t="str" cm="1">
        <f t="array" aca="1" ref="E42" ca="1">IFERROR(IF(OR('Raw Data'!E42="",LEN(TRIM('Raw Data'!E42))=0),"",IF(AND(ISNUMBER('Raw Data'!E42),'Raw Data'!E42=ROUND('Raw Data'!E42,4),IFERROR(ROUND('Raw Data'!E42,4)&lt;=99999999999.99,FALSE))=TRUE,"",_xlfn.REGEXEXTRACT(CELL("address",'Raw Data'!E42), "\$([A-Z]+)\$[0-9]+"))),_xlfn.REGEXEXTRACT(CELL("address",'Raw Data'!E42), "\$([A-Z]+)\$[0-9]+"))</f>
        <v/>
      </c>
      <c r="F42" s="6" t="str" cm="1">
        <f t="array" aca="1" ref="F42" ca="1">IFERROR(IF(OR('Raw Data'!F42="",LEN(TRIM('Raw Data'!F42))=0),"",IF(AND(ISNUMBER('Raw Data'!F42),'Raw Data'!F42=ROUND('Raw Data'!F42,4),IFERROR(ROUND('Raw Data'!F42,4)&lt;=99999999999.99,FALSE))=TRUE,"",_xlfn.REGEXEXTRACT(CELL("address",'Raw Data'!F42), "\$([A-Z]+)\$[0-9]+"))),_xlfn.REGEXEXTRACT(CELL("address",'Raw Data'!F42), "\$([A-Z]+)\$[0-9]+"))</f>
        <v/>
      </c>
      <c r="G42" s="6" t="str" cm="1">
        <f t="array" aca="1" ref="G42" ca="1">IFERROR(IF(OR('Raw Data'!G42="",LEN(TRIM('Raw Data'!G42))=0),"",IF(AND(ISNUMBER('Raw Data'!G42),'Raw Data'!G42=ROUND('Raw Data'!G42,4),IFERROR(ROUND('Raw Data'!G42,4)&lt;=99999999999.99,FALSE))=TRUE,"",_xlfn.REGEXEXTRACT(CELL("address",'Raw Data'!G42), "\$([A-Z]+)\$[0-9]+"))),_xlfn.REGEXEXTRACT(CELL("address",'Raw Data'!G42), "\$([A-Z]+)\$[0-9]+"))</f>
        <v/>
      </c>
      <c r="H42" s="6" t="str" cm="1">
        <f t="array" aca="1" ref="H42" ca="1">IFERROR(IF(OR('Raw Data'!H42="",LEN(TRIM('Raw Data'!H42))=0),"",IF(AND(ISNUMBER('Raw Data'!H42),'Raw Data'!H42=ROUND('Raw Data'!H42,4),IFERROR(ROUND('Raw Data'!H42,4)&lt;=99999999999.99,FALSE))=TRUE,"",_xlfn.REGEXEXTRACT(CELL("address",'Raw Data'!H42), "\$([A-Z]+)\$[0-9]+"))),_xlfn.REGEXEXTRACT(CELL("address",'Raw Data'!H42), "\$([A-Z]+)\$[0-9]+"))</f>
        <v/>
      </c>
      <c r="I42" s="6" t="str" cm="1">
        <f t="array" aca="1" ref="I42" ca="1">IFERROR(IF(OR('Raw Data'!I42="",LEN(TRIM('Raw Data'!I42))=0),"",IF(AND(ISNUMBER('Raw Data'!I42),'Raw Data'!I42=ROUND('Raw Data'!I42,4),IFERROR(ROUND('Raw Data'!I42,4)&lt;=99999999999.99,FALSE))=TRUE,"",_xlfn.REGEXEXTRACT(CELL("address",'Raw Data'!I42), "\$([A-Z]+)\$[0-9]+"))),_xlfn.REGEXEXTRACT(CELL("address",'Raw Data'!I42), "\$([A-Z]+)\$[0-9]+"))</f>
        <v/>
      </c>
      <c r="J42" s="6" t="str" cm="1">
        <f t="array" aca="1" ref="J42" ca="1">IFERROR(IF(OR('Raw Data'!J42="",LEN(TRIM('Raw Data'!J42))=0),"",IF(AND(ISNUMBER('Raw Data'!J42),'Raw Data'!J42=ROUND('Raw Data'!J42,4),IFERROR(ROUND('Raw Data'!J42,4)&lt;=99999999999.99,FALSE))=TRUE,"",_xlfn.REGEXEXTRACT(CELL("address",'Raw Data'!J42), "\$([A-Z]+)\$[0-9]+"))),_xlfn.REGEXEXTRACT(CELL("address",'Raw Data'!J42), "\$([A-Z]+)\$[0-9]+"))</f>
        <v/>
      </c>
    </row>
    <row r="43" spans="2:10" x14ac:dyDescent="0.25">
      <c r="B43" s="6" t="str" cm="1">
        <f t="array" aca="1" ref="B43" ca="1">IFERROR(IF(OR('Raw Data'!B43="",LEN(TRIM('Raw Data'!B43))=0),"",IF(AND(LEN('Raw Data'!B43) &lt;= 255,LEN('Raw Data'!B43)&gt; 0),"",_xlfn.REGEXEXTRACT(CELL("address",'Raw Data'!B43),"\$([A-Z]+)\$[0-9]+"))),_xlfn.REGEXEXTRACT(CELL("address",'Raw Data'!B43),"\$([A-Z]+)\$[0-9]+"))</f>
        <v/>
      </c>
      <c r="C43" s="6" t="str" cm="1">
        <f t="array" aca="1" ref="C43" ca="1">IFERROR(IF(OR('Raw Data'!C43="",LEN(TRIM('Raw Data'!C43))=0),"",IF(AND(LEN('Raw Data'!C43) &lt;= 20,LEN('Raw Data'!C43)&gt; 0),"",_xlfn.REGEXEXTRACT(CELL("address",'Raw Data'!C43),"\$([A-Z]+)\$[0-9]+"))),_xlfn.REGEXEXTRACT(CELL("address",'Raw Data'!C43),"\$([A-Z]+)\$[0-9]+"))</f>
        <v/>
      </c>
      <c r="D43" s="6" t="str" cm="1">
        <f t="array" aca="1" ref="D43" ca="1">IFERROR(IF(OR('Raw Data'!D43="",LEN(TRIM('Raw Data'!D43))=0),"",IF(AND(ISNUMBER('Raw Data'!D43),'Raw Data'!D43&gt;=Configuration!$D$2),"",_xlfn.REGEXEXTRACT(CELL("address",'Raw Data'!D43),"\$([A-Z]+)\$[0-9]+"))),_xlfn.REGEXEXTRACT(CELL("address",D43), "\$([A-Z]+)\$[0-9]+"))</f>
        <v/>
      </c>
      <c r="E43" s="6" t="str" cm="1">
        <f t="array" aca="1" ref="E43" ca="1">IFERROR(IF(OR('Raw Data'!E43="",LEN(TRIM('Raw Data'!E43))=0),"",IF(AND(ISNUMBER('Raw Data'!E43),'Raw Data'!E43=ROUND('Raw Data'!E43,4),IFERROR(ROUND('Raw Data'!E43,4)&lt;=99999999999.99,FALSE))=TRUE,"",_xlfn.REGEXEXTRACT(CELL("address",'Raw Data'!E43), "\$([A-Z]+)\$[0-9]+"))),_xlfn.REGEXEXTRACT(CELL("address",'Raw Data'!E43), "\$([A-Z]+)\$[0-9]+"))</f>
        <v/>
      </c>
      <c r="F43" s="6" t="str" cm="1">
        <f t="array" aca="1" ref="F43" ca="1">IFERROR(IF(OR('Raw Data'!F43="",LEN(TRIM('Raw Data'!F43))=0),"",IF(AND(ISNUMBER('Raw Data'!F43),'Raw Data'!F43=ROUND('Raw Data'!F43,4),IFERROR(ROUND('Raw Data'!F43,4)&lt;=99999999999.99,FALSE))=TRUE,"",_xlfn.REGEXEXTRACT(CELL("address",'Raw Data'!F43), "\$([A-Z]+)\$[0-9]+"))),_xlfn.REGEXEXTRACT(CELL("address",'Raw Data'!F43), "\$([A-Z]+)\$[0-9]+"))</f>
        <v/>
      </c>
      <c r="G43" s="6" t="str" cm="1">
        <f t="array" aca="1" ref="G43" ca="1">IFERROR(IF(OR('Raw Data'!G43="",LEN(TRIM('Raw Data'!G43))=0),"",IF(AND(ISNUMBER('Raw Data'!G43),'Raw Data'!G43=ROUND('Raw Data'!G43,4),IFERROR(ROUND('Raw Data'!G43,4)&lt;=99999999999.99,FALSE))=TRUE,"",_xlfn.REGEXEXTRACT(CELL("address",'Raw Data'!G43), "\$([A-Z]+)\$[0-9]+"))),_xlfn.REGEXEXTRACT(CELL("address",'Raw Data'!G43), "\$([A-Z]+)\$[0-9]+"))</f>
        <v/>
      </c>
      <c r="H43" s="6" t="str" cm="1">
        <f t="array" aca="1" ref="H43" ca="1">IFERROR(IF(OR('Raw Data'!H43="",LEN(TRIM('Raw Data'!H43))=0),"",IF(AND(ISNUMBER('Raw Data'!H43),'Raw Data'!H43=ROUND('Raw Data'!H43,4),IFERROR(ROUND('Raw Data'!H43,4)&lt;=99999999999.99,FALSE))=TRUE,"",_xlfn.REGEXEXTRACT(CELL("address",'Raw Data'!H43), "\$([A-Z]+)\$[0-9]+"))),_xlfn.REGEXEXTRACT(CELL("address",'Raw Data'!H43), "\$([A-Z]+)\$[0-9]+"))</f>
        <v/>
      </c>
      <c r="I43" s="6" t="str" cm="1">
        <f t="array" aca="1" ref="I43" ca="1">IFERROR(IF(OR('Raw Data'!I43="",LEN(TRIM('Raw Data'!I43))=0),"",IF(AND(ISNUMBER('Raw Data'!I43),'Raw Data'!I43=ROUND('Raw Data'!I43,4),IFERROR(ROUND('Raw Data'!I43,4)&lt;=99999999999.99,FALSE))=TRUE,"",_xlfn.REGEXEXTRACT(CELL("address",'Raw Data'!I43), "\$([A-Z]+)\$[0-9]+"))),_xlfn.REGEXEXTRACT(CELL("address",'Raw Data'!I43), "\$([A-Z]+)\$[0-9]+"))</f>
        <v/>
      </c>
      <c r="J43" s="6" t="str" cm="1">
        <f t="array" aca="1" ref="J43" ca="1">IFERROR(IF(OR('Raw Data'!J43="",LEN(TRIM('Raw Data'!J43))=0),"",IF(AND(ISNUMBER('Raw Data'!J43),'Raw Data'!J43=ROUND('Raw Data'!J43,4),IFERROR(ROUND('Raw Data'!J43,4)&lt;=99999999999.99,FALSE))=TRUE,"",_xlfn.REGEXEXTRACT(CELL("address",'Raw Data'!J43), "\$([A-Z]+)\$[0-9]+"))),_xlfn.REGEXEXTRACT(CELL("address",'Raw Data'!J43), "\$([A-Z]+)\$[0-9]+"))</f>
        <v/>
      </c>
    </row>
    <row r="44" spans="2:10" x14ac:dyDescent="0.25">
      <c r="B44" s="6" t="str" cm="1">
        <f t="array" aca="1" ref="B44" ca="1">IFERROR(IF(OR('Raw Data'!B44="",LEN(TRIM('Raw Data'!B44))=0),"",IF(AND(LEN('Raw Data'!B44) &lt;= 255,LEN('Raw Data'!B44)&gt; 0),"",_xlfn.REGEXEXTRACT(CELL("address",'Raw Data'!B44),"\$([A-Z]+)\$[0-9]+"))),_xlfn.REGEXEXTRACT(CELL("address",'Raw Data'!B44),"\$([A-Z]+)\$[0-9]+"))</f>
        <v/>
      </c>
      <c r="C44" s="6" t="str" cm="1">
        <f t="array" aca="1" ref="C44" ca="1">IFERROR(IF(OR('Raw Data'!C44="",LEN(TRIM('Raw Data'!C44))=0),"",IF(AND(LEN('Raw Data'!C44) &lt;= 20,LEN('Raw Data'!C44)&gt; 0),"",_xlfn.REGEXEXTRACT(CELL("address",'Raw Data'!C44),"\$([A-Z]+)\$[0-9]+"))),_xlfn.REGEXEXTRACT(CELL("address",'Raw Data'!C44),"\$([A-Z]+)\$[0-9]+"))</f>
        <v/>
      </c>
      <c r="D44" s="6" t="str" cm="1">
        <f t="array" aca="1" ref="D44" ca="1">IFERROR(IF(OR('Raw Data'!D44="",LEN(TRIM('Raw Data'!D44))=0),"",IF(AND(ISNUMBER('Raw Data'!D44),'Raw Data'!D44&gt;=Configuration!$D$2),"",_xlfn.REGEXEXTRACT(CELL("address",'Raw Data'!D44),"\$([A-Z]+)\$[0-9]+"))),_xlfn.REGEXEXTRACT(CELL("address",D44), "\$([A-Z]+)\$[0-9]+"))</f>
        <v/>
      </c>
      <c r="E44" s="6" t="str" cm="1">
        <f t="array" aca="1" ref="E44" ca="1">IFERROR(IF(OR('Raw Data'!E44="",LEN(TRIM('Raw Data'!E44))=0),"",IF(AND(ISNUMBER('Raw Data'!E44),'Raw Data'!E44=ROUND('Raw Data'!E44,4),IFERROR(ROUND('Raw Data'!E44,4)&lt;=99999999999.99,FALSE))=TRUE,"",_xlfn.REGEXEXTRACT(CELL("address",'Raw Data'!E44), "\$([A-Z]+)\$[0-9]+"))),_xlfn.REGEXEXTRACT(CELL("address",'Raw Data'!E44), "\$([A-Z]+)\$[0-9]+"))</f>
        <v/>
      </c>
      <c r="F44" s="6" t="str" cm="1">
        <f t="array" aca="1" ref="F44" ca="1">IFERROR(IF(OR('Raw Data'!F44="",LEN(TRIM('Raw Data'!F44))=0),"",IF(AND(ISNUMBER('Raw Data'!F44),'Raw Data'!F44=ROUND('Raw Data'!F44,4),IFERROR(ROUND('Raw Data'!F44,4)&lt;=99999999999.99,FALSE))=TRUE,"",_xlfn.REGEXEXTRACT(CELL("address",'Raw Data'!F44), "\$([A-Z]+)\$[0-9]+"))),_xlfn.REGEXEXTRACT(CELL("address",'Raw Data'!F44), "\$([A-Z]+)\$[0-9]+"))</f>
        <v/>
      </c>
      <c r="G44" s="6" t="str" cm="1">
        <f t="array" aca="1" ref="G44" ca="1">IFERROR(IF(OR('Raw Data'!G44="",LEN(TRIM('Raw Data'!G44))=0),"",IF(AND(ISNUMBER('Raw Data'!G44),'Raw Data'!G44=ROUND('Raw Data'!G44,4),IFERROR(ROUND('Raw Data'!G44,4)&lt;=99999999999.99,FALSE))=TRUE,"",_xlfn.REGEXEXTRACT(CELL("address",'Raw Data'!G44), "\$([A-Z]+)\$[0-9]+"))),_xlfn.REGEXEXTRACT(CELL("address",'Raw Data'!G44), "\$([A-Z]+)\$[0-9]+"))</f>
        <v/>
      </c>
      <c r="H44" s="6" t="str" cm="1">
        <f t="array" aca="1" ref="H44" ca="1">IFERROR(IF(OR('Raw Data'!H44="",LEN(TRIM('Raw Data'!H44))=0),"",IF(AND(ISNUMBER('Raw Data'!H44),'Raw Data'!H44=ROUND('Raw Data'!H44,4),IFERROR(ROUND('Raw Data'!H44,4)&lt;=99999999999.99,FALSE))=TRUE,"",_xlfn.REGEXEXTRACT(CELL("address",'Raw Data'!H44), "\$([A-Z]+)\$[0-9]+"))),_xlfn.REGEXEXTRACT(CELL("address",'Raw Data'!H44), "\$([A-Z]+)\$[0-9]+"))</f>
        <v/>
      </c>
      <c r="I44" s="6" t="str" cm="1">
        <f t="array" aca="1" ref="I44" ca="1">IFERROR(IF(OR('Raw Data'!I44="",LEN(TRIM('Raw Data'!I44))=0),"",IF(AND(ISNUMBER('Raw Data'!I44),'Raw Data'!I44=ROUND('Raw Data'!I44,4),IFERROR(ROUND('Raw Data'!I44,4)&lt;=99999999999.99,FALSE))=TRUE,"",_xlfn.REGEXEXTRACT(CELL("address",'Raw Data'!I44), "\$([A-Z]+)\$[0-9]+"))),_xlfn.REGEXEXTRACT(CELL("address",'Raw Data'!I44), "\$([A-Z]+)\$[0-9]+"))</f>
        <v/>
      </c>
      <c r="J44" s="6" t="str" cm="1">
        <f t="array" aca="1" ref="J44" ca="1">IFERROR(IF(OR('Raw Data'!J44="",LEN(TRIM('Raw Data'!J44))=0),"",IF(AND(ISNUMBER('Raw Data'!J44),'Raw Data'!J44=ROUND('Raw Data'!J44,4),IFERROR(ROUND('Raw Data'!J44,4)&lt;=99999999999.99,FALSE))=TRUE,"",_xlfn.REGEXEXTRACT(CELL("address",'Raw Data'!J44), "\$([A-Z]+)\$[0-9]+"))),_xlfn.REGEXEXTRACT(CELL("address",'Raw Data'!J44), "\$([A-Z]+)\$[0-9]+"))</f>
        <v/>
      </c>
    </row>
    <row r="45" spans="2:10" x14ac:dyDescent="0.25">
      <c r="B45" s="6" t="str" cm="1">
        <f t="array" aca="1" ref="B45" ca="1">IFERROR(IF(OR('Raw Data'!B45="",LEN(TRIM('Raw Data'!B45))=0),"",IF(AND(LEN('Raw Data'!B45) &lt;= 255,LEN('Raw Data'!B45)&gt; 0),"",_xlfn.REGEXEXTRACT(CELL("address",'Raw Data'!B45),"\$([A-Z]+)\$[0-9]+"))),_xlfn.REGEXEXTRACT(CELL("address",'Raw Data'!B45),"\$([A-Z]+)\$[0-9]+"))</f>
        <v/>
      </c>
      <c r="C45" s="6" t="str" cm="1">
        <f t="array" aca="1" ref="C45" ca="1">IFERROR(IF(OR('Raw Data'!C45="",LEN(TRIM('Raw Data'!C45))=0),"",IF(AND(LEN('Raw Data'!C45) &lt;= 20,LEN('Raw Data'!C45)&gt; 0),"",_xlfn.REGEXEXTRACT(CELL("address",'Raw Data'!C45),"\$([A-Z]+)\$[0-9]+"))),_xlfn.REGEXEXTRACT(CELL("address",'Raw Data'!C45),"\$([A-Z]+)\$[0-9]+"))</f>
        <v/>
      </c>
      <c r="D45" s="6" t="str" cm="1">
        <f t="array" aca="1" ref="D45" ca="1">IFERROR(IF(OR('Raw Data'!D45="",LEN(TRIM('Raw Data'!D45))=0),"",IF(AND(ISNUMBER('Raw Data'!D45),'Raw Data'!D45&gt;=Configuration!$D$2),"",_xlfn.REGEXEXTRACT(CELL("address",'Raw Data'!D45),"\$([A-Z]+)\$[0-9]+"))),_xlfn.REGEXEXTRACT(CELL("address",D45), "\$([A-Z]+)\$[0-9]+"))</f>
        <v/>
      </c>
      <c r="E45" s="6" t="str" cm="1">
        <f t="array" aca="1" ref="E45" ca="1">IFERROR(IF(OR('Raw Data'!E45="",LEN(TRIM('Raw Data'!E45))=0),"",IF(AND(ISNUMBER('Raw Data'!E45),'Raw Data'!E45=ROUND('Raw Data'!E45,4),IFERROR(ROUND('Raw Data'!E45,4)&lt;=99999999999.99,FALSE))=TRUE,"",_xlfn.REGEXEXTRACT(CELL("address",'Raw Data'!E45), "\$([A-Z]+)\$[0-9]+"))),_xlfn.REGEXEXTRACT(CELL("address",'Raw Data'!E45), "\$([A-Z]+)\$[0-9]+"))</f>
        <v/>
      </c>
      <c r="F45" s="6" t="str" cm="1">
        <f t="array" aca="1" ref="F45" ca="1">IFERROR(IF(OR('Raw Data'!F45="",LEN(TRIM('Raw Data'!F45))=0),"",IF(AND(ISNUMBER('Raw Data'!F45),'Raw Data'!F45=ROUND('Raw Data'!F45,4),IFERROR(ROUND('Raw Data'!F45,4)&lt;=99999999999.99,FALSE))=TRUE,"",_xlfn.REGEXEXTRACT(CELL("address",'Raw Data'!F45), "\$([A-Z]+)\$[0-9]+"))),_xlfn.REGEXEXTRACT(CELL("address",'Raw Data'!F45), "\$([A-Z]+)\$[0-9]+"))</f>
        <v/>
      </c>
      <c r="G45" s="6" t="str" cm="1">
        <f t="array" aca="1" ref="G45" ca="1">IFERROR(IF(OR('Raw Data'!G45="",LEN(TRIM('Raw Data'!G45))=0),"",IF(AND(ISNUMBER('Raw Data'!G45),'Raw Data'!G45=ROUND('Raw Data'!G45,4),IFERROR(ROUND('Raw Data'!G45,4)&lt;=99999999999.99,FALSE))=TRUE,"",_xlfn.REGEXEXTRACT(CELL("address",'Raw Data'!G45), "\$([A-Z]+)\$[0-9]+"))),_xlfn.REGEXEXTRACT(CELL("address",'Raw Data'!G45), "\$([A-Z]+)\$[0-9]+"))</f>
        <v/>
      </c>
      <c r="H45" s="6" t="str" cm="1">
        <f t="array" aca="1" ref="H45" ca="1">IFERROR(IF(OR('Raw Data'!H45="",LEN(TRIM('Raw Data'!H45))=0),"",IF(AND(ISNUMBER('Raw Data'!H45),'Raw Data'!H45=ROUND('Raw Data'!H45,4),IFERROR(ROUND('Raw Data'!H45,4)&lt;=99999999999.99,FALSE))=TRUE,"",_xlfn.REGEXEXTRACT(CELL("address",'Raw Data'!H45), "\$([A-Z]+)\$[0-9]+"))),_xlfn.REGEXEXTRACT(CELL("address",'Raw Data'!H45), "\$([A-Z]+)\$[0-9]+"))</f>
        <v/>
      </c>
      <c r="I45" s="6" t="str" cm="1">
        <f t="array" aca="1" ref="I45" ca="1">IFERROR(IF(OR('Raw Data'!I45="",LEN(TRIM('Raw Data'!I45))=0),"",IF(AND(ISNUMBER('Raw Data'!I45),'Raw Data'!I45=ROUND('Raw Data'!I45,4),IFERROR(ROUND('Raw Data'!I45,4)&lt;=99999999999.99,FALSE))=TRUE,"",_xlfn.REGEXEXTRACT(CELL("address",'Raw Data'!I45), "\$([A-Z]+)\$[0-9]+"))),_xlfn.REGEXEXTRACT(CELL("address",'Raw Data'!I45), "\$([A-Z]+)\$[0-9]+"))</f>
        <v/>
      </c>
      <c r="J45" s="6" t="str" cm="1">
        <f t="array" aca="1" ref="J45" ca="1">IFERROR(IF(OR('Raw Data'!J45="",LEN(TRIM('Raw Data'!J45))=0),"",IF(AND(ISNUMBER('Raw Data'!J45),'Raw Data'!J45=ROUND('Raw Data'!J45,4),IFERROR(ROUND('Raw Data'!J45,4)&lt;=99999999999.99,FALSE))=TRUE,"",_xlfn.REGEXEXTRACT(CELL("address",'Raw Data'!J45), "\$([A-Z]+)\$[0-9]+"))),_xlfn.REGEXEXTRACT(CELL("address",'Raw Data'!J45), "\$([A-Z]+)\$[0-9]+"))</f>
        <v/>
      </c>
    </row>
    <row r="46" spans="2:10" x14ac:dyDescent="0.25">
      <c r="B46" s="6" t="str" cm="1">
        <f t="array" aca="1" ref="B46" ca="1">IFERROR(IF(OR('Raw Data'!B46="",LEN(TRIM('Raw Data'!B46))=0),"",IF(AND(LEN('Raw Data'!B46) &lt;= 255,LEN('Raw Data'!B46)&gt; 0),"",_xlfn.REGEXEXTRACT(CELL("address",'Raw Data'!B46),"\$([A-Z]+)\$[0-9]+"))),_xlfn.REGEXEXTRACT(CELL("address",'Raw Data'!B46),"\$([A-Z]+)\$[0-9]+"))</f>
        <v/>
      </c>
      <c r="C46" s="6" t="str" cm="1">
        <f t="array" aca="1" ref="C46" ca="1">IFERROR(IF(OR('Raw Data'!C46="",LEN(TRIM('Raw Data'!C46))=0),"",IF(AND(LEN('Raw Data'!C46) &lt;= 20,LEN('Raw Data'!C46)&gt; 0),"",_xlfn.REGEXEXTRACT(CELL("address",'Raw Data'!C46),"\$([A-Z]+)\$[0-9]+"))),_xlfn.REGEXEXTRACT(CELL("address",'Raw Data'!C46),"\$([A-Z]+)\$[0-9]+"))</f>
        <v/>
      </c>
      <c r="D46" s="6" t="str" cm="1">
        <f t="array" aca="1" ref="D46" ca="1">IFERROR(IF(OR('Raw Data'!D46="",LEN(TRIM('Raw Data'!D46))=0),"",IF(AND(ISNUMBER('Raw Data'!D46),'Raw Data'!D46&gt;=Configuration!$D$2),"",_xlfn.REGEXEXTRACT(CELL("address",'Raw Data'!D46),"\$([A-Z]+)\$[0-9]+"))),_xlfn.REGEXEXTRACT(CELL("address",D46), "\$([A-Z]+)\$[0-9]+"))</f>
        <v/>
      </c>
      <c r="E46" s="6" t="str" cm="1">
        <f t="array" aca="1" ref="E46" ca="1">IFERROR(IF(OR('Raw Data'!E46="",LEN(TRIM('Raw Data'!E46))=0),"",IF(AND(ISNUMBER('Raw Data'!E46),'Raw Data'!E46=ROUND('Raw Data'!E46,4),IFERROR(ROUND('Raw Data'!E46,4)&lt;=99999999999.99,FALSE))=TRUE,"",_xlfn.REGEXEXTRACT(CELL("address",'Raw Data'!E46), "\$([A-Z]+)\$[0-9]+"))),_xlfn.REGEXEXTRACT(CELL("address",'Raw Data'!E46), "\$([A-Z]+)\$[0-9]+"))</f>
        <v/>
      </c>
      <c r="F46" s="6" t="str" cm="1">
        <f t="array" aca="1" ref="F46" ca="1">IFERROR(IF(OR('Raw Data'!F46="",LEN(TRIM('Raw Data'!F46))=0),"",IF(AND(ISNUMBER('Raw Data'!F46),'Raw Data'!F46=ROUND('Raw Data'!F46,4),IFERROR(ROUND('Raw Data'!F46,4)&lt;=99999999999.99,FALSE))=TRUE,"",_xlfn.REGEXEXTRACT(CELL("address",'Raw Data'!F46), "\$([A-Z]+)\$[0-9]+"))),_xlfn.REGEXEXTRACT(CELL("address",'Raw Data'!F46), "\$([A-Z]+)\$[0-9]+"))</f>
        <v/>
      </c>
      <c r="G46" s="6" t="str" cm="1">
        <f t="array" aca="1" ref="G46" ca="1">IFERROR(IF(OR('Raw Data'!G46="",LEN(TRIM('Raw Data'!G46))=0),"",IF(AND(ISNUMBER('Raw Data'!G46),'Raw Data'!G46=ROUND('Raw Data'!G46,4),IFERROR(ROUND('Raw Data'!G46,4)&lt;=99999999999.99,FALSE))=TRUE,"",_xlfn.REGEXEXTRACT(CELL("address",'Raw Data'!G46), "\$([A-Z]+)\$[0-9]+"))),_xlfn.REGEXEXTRACT(CELL("address",'Raw Data'!G46), "\$([A-Z]+)\$[0-9]+"))</f>
        <v/>
      </c>
      <c r="H46" s="6" t="str" cm="1">
        <f t="array" aca="1" ref="H46" ca="1">IFERROR(IF(OR('Raw Data'!H46="",LEN(TRIM('Raw Data'!H46))=0),"",IF(AND(ISNUMBER('Raw Data'!H46),'Raw Data'!H46=ROUND('Raw Data'!H46,4),IFERROR(ROUND('Raw Data'!H46,4)&lt;=99999999999.99,FALSE))=TRUE,"",_xlfn.REGEXEXTRACT(CELL("address",'Raw Data'!H46), "\$([A-Z]+)\$[0-9]+"))),_xlfn.REGEXEXTRACT(CELL("address",'Raw Data'!H46), "\$([A-Z]+)\$[0-9]+"))</f>
        <v/>
      </c>
      <c r="I46" s="6" t="str" cm="1">
        <f t="array" aca="1" ref="I46" ca="1">IFERROR(IF(OR('Raw Data'!I46="",LEN(TRIM('Raw Data'!I46))=0),"",IF(AND(ISNUMBER('Raw Data'!I46),'Raw Data'!I46=ROUND('Raw Data'!I46,4),IFERROR(ROUND('Raw Data'!I46,4)&lt;=99999999999.99,FALSE))=TRUE,"",_xlfn.REGEXEXTRACT(CELL("address",'Raw Data'!I46), "\$([A-Z]+)\$[0-9]+"))),_xlfn.REGEXEXTRACT(CELL("address",'Raw Data'!I46), "\$([A-Z]+)\$[0-9]+"))</f>
        <v/>
      </c>
      <c r="J46" s="6" t="str" cm="1">
        <f t="array" aca="1" ref="J46" ca="1">IFERROR(IF(OR('Raw Data'!J46="",LEN(TRIM('Raw Data'!J46))=0),"",IF(AND(ISNUMBER('Raw Data'!J46),'Raw Data'!J46=ROUND('Raw Data'!J46,4),IFERROR(ROUND('Raw Data'!J46,4)&lt;=99999999999.99,FALSE))=TRUE,"",_xlfn.REGEXEXTRACT(CELL("address",'Raw Data'!J46), "\$([A-Z]+)\$[0-9]+"))),_xlfn.REGEXEXTRACT(CELL("address",'Raw Data'!J46), "\$([A-Z]+)\$[0-9]+"))</f>
        <v/>
      </c>
    </row>
    <row r="47" spans="2:10" x14ac:dyDescent="0.25">
      <c r="B47" s="6" t="str" cm="1">
        <f t="array" aca="1" ref="B47" ca="1">IFERROR(IF(OR('Raw Data'!B47="",LEN(TRIM('Raw Data'!B47))=0),"",IF(AND(LEN('Raw Data'!B47) &lt;= 255,LEN('Raw Data'!B47)&gt; 0),"",_xlfn.REGEXEXTRACT(CELL("address",'Raw Data'!B47),"\$([A-Z]+)\$[0-9]+"))),_xlfn.REGEXEXTRACT(CELL("address",'Raw Data'!B47),"\$([A-Z]+)\$[0-9]+"))</f>
        <v/>
      </c>
      <c r="C47" s="6" t="str" cm="1">
        <f t="array" aca="1" ref="C47" ca="1">IFERROR(IF(OR('Raw Data'!C47="",LEN(TRIM('Raw Data'!C47))=0),"",IF(AND(LEN('Raw Data'!C47) &lt;= 20,LEN('Raw Data'!C47)&gt; 0),"",_xlfn.REGEXEXTRACT(CELL("address",'Raw Data'!C47),"\$([A-Z]+)\$[0-9]+"))),_xlfn.REGEXEXTRACT(CELL("address",'Raw Data'!C47),"\$([A-Z]+)\$[0-9]+"))</f>
        <v/>
      </c>
      <c r="D47" s="6" t="str" cm="1">
        <f t="array" aca="1" ref="D47" ca="1">IFERROR(IF(OR('Raw Data'!D47="",LEN(TRIM('Raw Data'!D47))=0),"",IF(AND(ISNUMBER('Raw Data'!D47),'Raw Data'!D47&gt;=Configuration!$D$2),"",_xlfn.REGEXEXTRACT(CELL("address",'Raw Data'!D47),"\$([A-Z]+)\$[0-9]+"))),_xlfn.REGEXEXTRACT(CELL("address",D47), "\$([A-Z]+)\$[0-9]+"))</f>
        <v/>
      </c>
      <c r="E47" s="6" t="str" cm="1">
        <f t="array" aca="1" ref="E47" ca="1">IFERROR(IF(OR('Raw Data'!E47="",LEN(TRIM('Raw Data'!E47))=0),"",IF(AND(ISNUMBER('Raw Data'!E47),'Raw Data'!E47=ROUND('Raw Data'!E47,4),IFERROR(ROUND('Raw Data'!E47,4)&lt;=99999999999.99,FALSE))=TRUE,"",_xlfn.REGEXEXTRACT(CELL("address",'Raw Data'!E47), "\$([A-Z]+)\$[0-9]+"))),_xlfn.REGEXEXTRACT(CELL("address",'Raw Data'!E47), "\$([A-Z]+)\$[0-9]+"))</f>
        <v/>
      </c>
      <c r="F47" s="6" t="str" cm="1">
        <f t="array" aca="1" ref="F47" ca="1">IFERROR(IF(OR('Raw Data'!F47="",LEN(TRIM('Raw Data'!F47))=0),"",IF(AND(ISNUMBER('Raw Data'!F47),'Raw Data'!F47=ROUND('Raw Data'!F47,4),IFERROR(ROUND('Raw Data'!F47,4)&lt;=99999999999.99,FALSE))=TRUE,"",_xlfn.REGEXEXTRACT(CELL("address",'Raw Data'!F47), "\$([A-Z]+)\$[0-9]+"))),_xlfn.REGEXEXTRACT(CELL("address",'Raw Data'!F47), "\$([A-Z]+)\$[0-9]+"))</f>
        <v/>
      </c>
      <c r="G47" s="6" t="str" cm="1">
        <f t="array" aca="1" ref="G47" ca="1">IFERROR(IF(OR('Raw Data'!G47="",LEN(TRIM('Raw Data'!G47))=0),"",IF(AND(ISNUMBER('Raw Data'!G47),'Raw Data'!G47=ROUND('Raw Data'!G47,4),IFERROR(ROUND('Raw Data'!G47,4)&lt;=99999999999.99,FALSE))=TRUE,"",_xlfn.REGEXEXTRACT(CELL("address",'Raw Data'!G47), "\$([A-Z]+)\$[0-9]+"))),_xlfn.REGEXEXTRACT(CELL("address",'Raw Data'!G47), "\$([A-Z]+)\$[0-9]+"))</f>
        <v/>
      </c>
      <c r="H47" s="6" t="str" cm="1">
        <f t="array" aca="1" ref="H47" ca="1">IFERROR(IF(OR('Raw Data'!H47="",LEN(TRIM('Raw Data'!H47))=0),"",IF(AND(ISNUMBER('Raw Data'!H47),'Raw Data'!H47=ROUND('Raw Data'!H47,4),IFERROR(ROUND('Raw Data'!H47,4)&lt;=99999999999.99,FALSE))=TRUE,"",_xlfn.REGEXEXTRACT(CELL("address",'Raw Data'!H47), "\$([A-Z]+)\$[0-9]+"))),_xlfn.REGEXEXTRACT(CELL("address",'Raw Data'!H47), "\$([A-Z]+)\$[0-9]+"))</f>
        <v/>
      </c>
      <c r="I47" s="6" t="str" cm="1">
        <f t="array" aca="1" ref="I47" ca="1">IFERROR(IF(OR('Raw Data'!I47="",LEN(TRIM('Raw Data'!I47))=0),"",IF(AND(ISNUMBER('Raw Data'!I47),'Raw Data'!I47=ROUND('Raw Data'!I47,4),IFERROR(ROUND('Raw Data'!I47,4)&lt;=99999999999.99,FALSE))=TRUE,"",_xlfn.REGEXEXTRACT(CELL("address",'Raw Data'!I47), "\$([A-Z]+)\$[0-9]+"))),_xlfn.REGEXEXTRACT(CELL("address",'Raw Data'!I47), "\$([A-Z]+)\$[0-9]+"))</f>
        <v/>
      </c>
      <c r="J47" s="6" t="str" cm="1">
        <f t="array" aca="1" ref="J47" ca="1">IFERROR(IF(OR('Raw Data'!J47="",LEN(TRIM('Raw Data'!J47))=0),"",IF(AND(ISNUMBER('Raw Data'!J47),'Raw Data'!J47=ROUND('Raw Data'!J47,4),IFERROR(ROUND('Raw Data'!J47,4)&lt;=99999999999.99,FALSE))=TRUE,"",_xlfn.REGEXEXTRACT(CELL("address",'Raw Data'!J47), "\$([A-Z]+)\$[0-9]+"))),_xlfn.REGEXEXTRACT(CELL("address",'Raw Data'!J47), "\$([A-Z]+)\$[0-9]+"))</f>
        <v/>
      </c>
    </row>
    <row r="48" spans="2:10" x14ac:dyDescent="0.25">
      <c r="B48" s="6" t="str" cm="1">
        <f t="array" aca="1" ref="B48" ca="1">IFERROR(IF(OR('Raw Data'!B48="",LEN(TRIM('Raw Data'!B48))=0),"",IF(AND(LEN('Raw Data'!B48) &lt;= 255,LEN('Raw Data'!B48)&gt; 0),"",_xlfn.REGEXEXTRACT(CELL("address",'Raw Data'!B48),"\$([A-Z]+)\$[0-9]+"))),_xlfn.REGEXEXTRACT(CELL("address",'Raw Data'!B48),"\$([A-Z]+)\$[0-9]+"))</f>
        <v/>
      </c>
      <c r="C48" s="6" t="str" cm="1">
        <f t="array" aca="1" ref="C48" ca="1">IFERROR(IF(OR('Raw Data'!C48="",LEN(TRIM('Raw Data'!C48))=0),"",IF(AND(LEN('Raw Data'!C48) &lt;= 20,LEN('Raw Data'!C48)&gt; 0),"",_xlfn.REGEXEXTRACT(CELL("address",'Raw Data'!C48),"\$([A-Z]+)\$[0-9]+"))),_xlfn.REGEXEXTRACT(CELL("address",'Raw Data'!C48),"\$([A-Z]+)\$[0-9]+"))</f>
        <v/>
      </c>
      <c r="D48" s="6" t="str" cm="1">
        <f t="array" aca="1" ref="D48" ca="1">IFERROR(IF(OR('Raw Data'!D48="",LEN(TRIM('Raw Data'!D48))=0),"",IF(AND(ISNUMBER('Raw Data'!D48),'Raw Data'!D48&gt;=Configuration!$D$2),"",_xlfn.REGEXEXTRACT(CELL("address",'Raw Data'!D48),"\$([A-Z]+)\$[0-9]+"))),_xlfn.REGEXEXTRACT(CELL("address",D48), "\$([A-Z]+)\$[0-9]+"))</f>
        <v/>
      </c>
      <c r="E48" s="6" t="str" cm="1">
        <f t="array" aca="1" ref="E48" ca="1">IFERROR(IF(OR('Raw Data'!E48="",LEN(TRIM('Raw Data'!E48))=0),"",IF(AND(ISNUMBER('Raw Data'!E48),'Raw Data'!E48=ROUND('Raw Data'!E48,4),IFERROR(ROUND('Raw Data'!E48,4)&lt;=99999999999.99,FALSE))=TRUE,"",_xlfn.REGEXEXTRACT(CELL("address",'Raw Data'!E48), "\$([A-Z]+)\$[0-9]+"))),_xlfn.REGEXEXTRACT(CELL("address",'Raw Data'!E48), "\$([A-Z]+)\$[0-9]+"))</f>
        <v/>
      </c>
      <c r="F48" s="6" t="str" cm="1">
        <f t="array" aca="1" ref="F48" ca="1">IFERROR(IF(OR('Raw Data'!F48="",LEN(TRIM('Raw Data'!F48))=0),"",IF(AND(ISNUMBER('Raw Data'!F48),'Raw Data'!F48=ROUND('Raw Data'!F48,4),IFERROR(ROUND('Raw Data'!F48,4)&lt;=99999999999.99,FALSE))=TRUE,"",_xlfn.REGEXEXTRACT(CELL("address",'Raw Data'!F48), "\$([A-Z]+)\$[0-9]+"))),_xlfn.REGEXEXTRACT(CELL("address",'Raw Data'!F48), "\$([A-Z]+)\$[0-9]+"))</f>
        <v/>
      </c>
      <c r="G48" s="6" t="str" cm="1">
        <f t="array" aca="1" ref="G48" ca="1">IFERROR(IF(OR('Raw Data'!G48="",LEN(TRIM('Raw Data'!G48))=0),"",IF(AND(ISNUMBER('Raw Data'!G48),'Raw Data'!G48=ROUND('Raw Data'!G48,4),IFERROR(ROUND('Raw Data'!G48,4)&lt;=99999999999.99,FALSE))=TRUE,"",_xlfn.REGEXEXTRACT(CELL("address",'Raw Data'!G48), "\$([A-Z]+)\$[0-9]+"))),_xlfn.REGEXEXTRACT(CELL("address",'Raw Data'!G48), "\$([A-Z]+)\$[0-9]+"))</f>
        <v/>
      </c>
      <c r="H48" s="6" t="str" cm="1">
        <f t="array" aca="1" ref="H48" ca="1">IFERROR(IF(OR('Raw Data'!H48="",LEN(TRIM('Raw Data'!H48))=0),"",IF(AND(ISNUMBER('Raw Data'!H48),'Raw Data'!H48=ROUND('Raw Data'!H48,4),IFERROR(ROUND('Raw Data'!H48,4)&lt;=99999999999.99,FALSE))=TRUE,"",_xlfn.REGEXEXTRACT(CELL("address",'Raw Data'!H48), "\$([A-Z]+)\$[0-9]+"))),_xlfn.REGEXEXTRACT(CELL("address",'Raw Data'!H48), "\$([A-Z]+)\$[0-9]+"))</f>
        <v/>
      </c>
      <c r="I48" s="6" t="str" cm="1">
        <f t="array" aca="1" ref="I48" ca="1">IFERROR(IF(OR('Raw Data'!I48="",LEN(TRIM('Raw Data'!I48))=0),"",IF(AND(ISNUMBER('Raw Data'!I48),'Raw Data'!I48=ROUND('Raw Data'!I48,4),IFERROR(ROUND('Raw Data'!I48,4)&lt;=99999999999.99,FALSE))=TRUE,"",_xlfn.REGEXEXTRACT(CELL("address",'Raw Data'!I48), "\$([A-Z]+)\$[0-9]+"))),_xlfn.REGEXEXTRACT(CELL("address",'Raw Data'!I48), "\$([A-Z]+)\$[0-9]+"))</f>
        <v/>
      </c>
      <c r="J48" s="6" t="str" cm="1">
        <f t="array" aca="1" ref="J48" ca="1">IFERROR(IF(OR('Raw Data'!J48="",LEN(TRIM('Raw Data'!J48))=0),"",IF(AND(ISNUMBER('Raw Data'!J48),'Raw Data'!J48=ROUND('Raw Data'!J48,4),IFERROR(ROUND('Raw Data'!J48,4)&lt;=99999999999.99,FALSE))=TRUE,"",_xlfn.REGEXEXTRACT(CELL("address",'Raw Data'!J48), "\$([A-Z]+)\$[0-9]+"))),_xlfn.REGEXEXTRACT(CELL("address",'Raw Data'!J48), "\$([A-Z]+)\$[0-9]+"))</f>
        <v/>
      </c>
    </row>
    <row r="49" spans="2:10" x14ac:dyDescent="0.25">
      <c r="B49" s="6" t="str" cm="1">
        <f t="array" aca="1" ref="B49" ca="1">IFERROR(IF(OR('Raw Data'!B49="",LEN(TRIM('Raw Data'!B49))=0),"",IF(AND(LEN('Raw Data'!B49) &lt;= 255,LEN('Raw Data'!B49)&gt; 0),"",_xlfn.REGEXEXTRACT(CELL("address",'Raw Data'!B49),"\$([A-Z]+)\$[0-9]+"))),_xlfn.REGEXEXTRACT(CELL("address",'Raw Data'!B49),"\$([A-Z]+)\$[0-9]+"))</f>
        <v/>
      </c>
      <c r="C49" s="6" t="str" cm="1">
        <f t="array" aca="1" ref="C49" ca="1">IFERROR(IF(OR('Raw Data'!C49="",LEN(TRIM('Raw Data'!C49))=0),"",IF(AND(LEN('Raw Data'!C49) &lt;= 20,LEN('Raw Data'!C49)&gt; 0),"",_xlfn.REGEXEXTRACT(CELL("address",'Raw Data'!C49),"\$([A-Z]+)\$[0-9]+"))),_xlfn.REGEXEXTRACT(CELL("address",'Raw Data'!C49),"\$([A-Z]+)\$[0-9]+"))</f>
        <v/>
      </c>
      <c r="D49" s="6" t="str" cm="1">
        <f t="array" aca="1" ref="D49" ca="1">IFERROR(IF(OR('Raw Data'!D49="",LEN(TRIM('Raw Data'!D49))=0),"",IF(AND(ISNUMBER('Raw Data'!D49),'Raw Data'!D49&gt;=Configuration!$D$2),"",_xlfn.REGEXEXTRACT(CELL("address",'Raw Data'!D49),"\$([A-Z]+)\$[0-9]+"))),_xlfn.REGEXEXTRACT(CELL("address",D49), "\$([A-Z]+)\$[0-9]+"))</f>
        <v/>
      </c>
      <c r="E49" s="6" t="str" cm="1">
        <f t="array" aca="1" ref="E49" ca="1">IFERROR(IF(OR('Raw Data'!E49="",LEN(TRIM('Raw Data'!E49))=0),"",IF(AND(ISNUMBER('Raw Data'!E49),'Raw Data'!E49=ROUND('Raw Data'!E49,4),IFERROR(ROUND('Raw Data'!E49,4)&lt;=99999999999.99,FALSE))=TRUE,"",_xlfn.REGEXEXTRACT(CELL("address",'Raw Data'!E49), "\$([A-Z]+)\$[0-9]+"))),_xlfn.REGEXEXTRACT(CELL("address",'Raw Data'!E49), "\$([A-Z]+)\$[0-9]+"))</f>
        <v/>
      </c>
      <c r="F49" s="6" t="str" cm="1">
        <f t="array" aca="1" ref="F49" ca="1">IFERROR(IF(OR('Raw Data'!F49="",LEN(TRIM('Raw Data'!F49))=0),"",IF(AND(ISNUMBER('Raw Data'!F49),'Raw Data'!F49=ROUND('Raw Data'!F49,4),IFERROR(ROUND('Raw Data'!F49,4)&lt;=99999999999.99,FALSE))=TRUE,"",_xlfn.REGEXEXTRACT(CELL("address",'Raw Data'!F49), "\$([A-Z]+)\$[0-9]+"))),_xlfn.REGEXEXTRACT(CELL("address",'Raw Data'!F49), "\$([A-Z]+)\$[0-9]+"))</f>
        <v/>
      </c>
      <c r="G49" s="6" t="str" cm="1">
        <f t="array" aca="1" ref="G49" ca="1">IFERROR(IF(OR('Raw Data'!G49="",LEN(TRIM('Raw Data'!G49))=0),"",IF(AND(ISNUMBER('Raw Data'!G49),'Raw Data'!G49=ROUND('Raw Data'!G49,4),IFERROR(ROUND('Raw Data'!G49,4)&lt;=99999999999.99,FALSE))=TRUE,"",_xlfn.REGEXEXTRACT(CELL("address",'Raw Data'!G49), "\$([A-Z]+)\$[0-9]+"))),_xlfn.REGEXEXTRACT(CELL("address",'Raw Data'!G49), "\$([A-Z]+)\$[0-9]+"))</f>
        <v/>
      </c>
      <c r="H49" s="6" t="str" cm="1">
        <f t="array" aca="1" ref="H49" ca="1">IFERROR(IF(OR('Raw Data'!H49="",LEN(TRIM('Raw Data'!H49))=0),"",IF(AND(ISNUMBER('Raw Data'!H49),'Raw Data'!H49=ROUND('Raw Data'!H49,4),IFERROR(ROUND('Raw Data'!H49,4)&lt;=99999999999.99,FALSE))=TRUE,"",_xlfn.REGEXEXTRACT(CELL("address",'Raw Data'!H49), "\$([A-Z]+)\$[0-9]+"))),_xlfn.REGEXEXTRACT(CELL("address",'Raw Data'!H49), "\$([A-Z]+)\$[0-9]+"))</f>
        <v/>
      </c>
      <c r="I49" s="6" t="str" cm="1">
        <f t="array" aca="1" ref="I49" ca="1">IFERROR(IF(OR('Raw Data'!I49="",LEN(TRIM('Raw Data'!I49))=0),"",IF(AND(ISNUMBER('Raw Data'!I49),'Raw Data'!I49=ROUND('Raw Data'!I49,4),IFERROR(ROUND('Raw Data'!I49,4)&lt;=99999999999.99,FALSE))=TRUE,"",_xlfn.REGEXEXTRACT(CELL("address",'Raw Data'!I49), "\$([A-Z]+)\$[0-9]+"))),_xlfn.REGEXEXTRACT(CELL("address",'Raw Data'!I49), "\$([A-Z]+)\$[0-9]+"))</f>
        <v/>
      </c>
      <c r="J49" s="6" t="str" cm="1">
        <f t="array" aca="1" ref="J49" ca="1">IFERROR(IF(OR('Raw Data'!J49="",LEN(TRIM('Raw Data'!J49))=0),"",IF(AND(ISNUMBER('Raw Data'!J49),'Raw Data'!J49=ROUND('Raw Data'!J49,4),IFERROR(ROUND('Raw Data'!J49,4)&lt;=99999999999.99,FALSE))=TRUE,"",_xlfn.REGEXEXTRACT(CELL("address",'Raw Data'!J49), "\$([A-Z]+)\$[0-9]+"))),_xlfn.REGEXEXTRACT(CELL("address",'Raw Data'!J49), "\$([A-Z]+)\$[0-9]+"))</f>
        <v/>
      </c>
    </row>
    <row r="50" spans="2:10" x14ac:dyDescent="0.25">
      <c r="B50" s="6" t="str" cm="1">
        <f t="array" aca="1" ref="B50" ca="1">IFERROR(IF(OR('Raw Data'!B50="",LEN(TRIM('Raw Data'!B50))=0),"",IF(AND(LEN('Raw Data'!B50) &lt;= 255,LEN('Raw Data'!B50)&gt; 0),"",_xlfn.REGEXEXTRACT(CELL("address",'Raw Data'!B50),"\$([A-Z]+)\$[0-9]+"))),_xlfn.REGEXEXTRACT(CELL("address",'Raw Data'!B50),"\$([A-Z]+)\$[0-9]+"))</f>
        <v/>
      </c>
      <c r="C50" s="6" t="str" cm="1">
        <f t="array" aca="1" ref="C50" ca="1">IFERROR(IF(OR('Raw Data'!C50="",LEN(TRIM('Raw Data'!C50))=0),"",IF(AND(LEN('Raw Data'!C50) &lt;= 20,LEN('Raw Data'!C50)&gt; 0),"",_xlfn.REGEXEXTRACT(CELL("address",'Raw Data'!C50),"\$([A-Z]+)\$[0-9]+"))),_xlfn.REGEXEXTRACT(CELL("address",'Raw Data'!C50),"\$([A-Z]+)\$[0-9]+"))</f>
        <v/>
      </c>
      <c r="D50" s="6" t="str" cm="1">
        <f t="array" aca="1" ref="D50" ca="1">IFERROR(IF(OR('Raw Data'!D50="",LEN(TRIM('Raw Data'!D50))=0),"",IF(AND(ISNUMBER('Raw Data'!D50),'Raw Data'!D50&gt;=Configuration!$D$2),"",_xlfn.REGEXEXTRACT(CELL("address",'Raw Data'!D50),"\$([A-Z]+)\$[0-9]+"))),_xlfn.REGEXEXTRACT(CELL("address",D50), "\$([A-Z]+)\$[0-9]+"))</f>
        <v/>
      </c>
      <c r="E50" s="6" t="str" cm="1">
        <f t="array" aca="1" ref="E50" ca="1">IFERROR(IF(OR('Raw Data'!E50="",LEN(TRIM('Raw Data'!E50))=0),"",IF(AND(ISNUMBER('Raw Data'!E50),'Raw Data'!E50=ROUND('Raw Data'!E50,4),IFERROR(ROUND('Raw Data'!E50,4)&lt;=99999999999.99,FALSE))=TRUE,"",_xlfn.REGEXEXTRACT(CELL("address",'Raw Data'!E50), "\$([A-Z]+)\$[0-9]+"))),_xlfn.REGEXEXTRACT(CELL("address",'Raw Data'!E50), "\$([A-Z]+)\$[0-9]+"))</f>
        <v/>
      </c>
      <c r="F50" s="6" t="str" cm="1">
        <f t="array" aca="1" ref="F50" ca="1">IFERROR(IF(OR('Raw Data'!F50="",LEN(TRIM('Raw Data'!F50))=0),"",IF(AND(ISNUMBER('Raw Data'!F50),'Raw Data'!F50=ROUND('Raw Data'!F50,4),IFERROR(ROUND('Raw Data'!F50,4)&lt;=99999999999.99,FALSE))=TRUE,"",_xlfn.REGEXEXTRACT(CELL("address",'Raw Data'!F50), "\$([A-Z]+)\$[0-9]+"))),_xlfn.REGEXEXTRACT(CELL("address",'Raw Data'!F50), "\$([A-Z]+)\$[0-9]+"))</f>
        <v/>
      </c>
      <c r="G50" s="6" t="str" cm="1">
        <f t="array" aca="1" ref="G50" ca="1">IFERROR(IF(OR('Raw Data'!G50="",LEN(TRIM('Raw Data'!G50))=0),"",IF(AND(ISNUMBER('Raw Data'!G50),'Raw Data'!G50=ROUND('Raw Data'!G50,4),IFERROR(ROUND('Raw Data'!G50,4)&lt;=99999999999.99,FALSE))=TRUE,"",_xlfn.REGEXEXTRACT(CELL("address",'Raw Data'!G50), "\$([A-Z]+)\$[0-9]+"))),_xlfn.REGEXEXTRACT(CELL("address",'Raw Data'!G50), "\$([A-Z]+)\$[0-9]+"))</f>
        <v/>
      </c>
      <c r="H50" s="6" t="str" cm="1">
        <f t="array" aca="1" ref="H50" ca="1">IFERROR(IF(OR('Raw Data'!H50="",LEN(TRIM('Raw Data'!H50))=0),"",IF(AND(ISNUMBER('Raw Data'!H50),'Raw Data'!H50=ROUND('Raw Data'!H50,4),IFERROR(ROUND('Raw Data'!H50,4)&lt;=99999999999.99,FALSE))=TRUE,"",_xlfn.REGEXEXTRACT(CELL("address",'Raw Data'!H50), "\$([A-Z]+)\$[0-9]+"))),_xlfn.REGEXEXTRACT(CELL("address",'Raw Data'!H50), "\$([A-Z]+)\$[0-9]+"))</f>
        <v/>
      </c>
      <c r="I50" s="6" t="str" cm="1">
        <f t="array" aca="1" ref="I50" ca="1">IFERROR(IF(OR('Raw Data'!I50="",LEN(TRIM('Raw Data'!I50))=0),"",IF(AND(ISNUMBER('Raw Data'!I50),'Raw Data'!I50=ROUND('Raw Data'!I50,4),IFERROR(ROUND('Raw Data'!I50,4)&lt;=99999999999.99,FALSE))=TRUE,"",_xlfn.REGEXEXTRACT(CELL("address",'Raw Data'!I50), "\$([A-Z]+)\$[0-9]+"))),_xlfn.REGEXEXTRACT(CELL("address",'Raw Data'!I50), "\$([A-Z]+)\$[0-9]+"))</f>
        <v/>
      </c>
      <c r="J50" s="6" t="str" cm="1">
        <f t="array" aca="1" ref="J50" ca="1">IFERROR(IF(OR('Raw Data'!J50="",LEN(TRIM('Raw Data'!J50))=0),"",IF(AND(ISNUMBER('Raw Data'!J50),'Raw Data'!J50=ROUND('Raw Data'!J50,4),IFERROR(ROUND('Raw Data'!J50,4)&lt;=99999999999.99,FALSE))=TRUE,"",_xlfn.REGEXEXTRACT(CELL("address",'Raw Data'!J50), "\$([A-Z]+)\$[0-9]+"))),_xlfn.REGEXEXTRACT(CELL("address",'Raw Data'!J50), "\$([A-Z]+)\$[0-9]+"))</f>
        <v/>
      </c>
    </row>
    <row r="51" spans="2:10" x14ac:dyDescent="0.25">
      <c r="B51" s="6" t="str" cm="1">
        <f t="array" aca="1" ref="B51" ca="1">IFERROR(IF(OR('Raw Data'!B51="",LEN(TRIM('Raw Data'!B51))=0),"",IF(AND(LEN('Raw Data'!B51) &lt;= 255,LEN('Raw Data'!B51)&gt; 0),"",_xlfn.REGEXEXTRACT(CELL("address",'Raw Data'!B51),"\$([A-Z]+)\$[0-9]+"))),_xlfn.REGEXEXTRACT(CELL("address",'Raw Data'!B51),"\$([A-Z]+)\$[0-9]+"))</f>
        <v/>
      </c>
      <c r="C51" s="6" t="str" cm="1">
        <f t="array" aca="1" ref="C51" ca="1">IFERROR(IF(OR('Raw Data'!C51="",LEN(TRIM('Raw Data'!C51))=0),"",IF(AND(LEN('Raw Data'!C51) &lt;= 20,LEN('Raw Data'!C51)&gt; 0),"",_xlfn.REGEXEXTRACT(CELL("address",'Raw Data'!C51),"\$([A-Z]+)\$[0-9]+"))),_xlfn.REGEXEXTRACT(CELL("address",'Raw Data'!C51),"\$([A-Z]+)\$[0-9]+"))</f>
        <v/>
      </c>
      <c r="D51" s="6" t="str" cm="1">
        <f t="array" aca="1" ref="D51" ca="1">IFERROR(IF(OR('Raw Data'!D51="",LEN(TRIM('Raw Data'!D51))=0),"",IF(AND(ISNUMBER('Raw Data'!D51),'Raw Data'!D51&gt;=Configuration!$D$2),"",_xlfn.REGEXEXTRACT(CELL("address",'Raw Data'!D51),"\$([A-Z]+)\$[0-9]+"))),_xlfn.REGEXEXTRACT(CELL("address",D51), "\$([A-Z]+)\$[0-9]+"))</f>
        <v/>
      </c>
      <c r="E51" s="6" t="str" cm="1">
        <f t="array" aca="1" ref="E51" ca="1">IFERROR(IF(OR('Raw Data'!E51="",LEN(TRIM('Raw Data'!E51))=0),"",IF(AND(ISNUMBER('Raw Data'!E51),'Raw Data'!E51=ROUND('Raw Data'!E51,4),IFERROR(ROUND('Raw Data'!E51,4)&lt;=99999999999.99,FALSE))=TRUE,"",_xlfn.REGEXEXTRACT(CELL("address",'Raw Data'!E51), "\$([A-Z]+)\$[0-9]+"))),_xlfn.REGEXEXTRACT(CELL("address",'Raw Data'!E51), "\$([A-Z]+)\$[0-9]+"))</f>
        <v/>
      </c>
      <c r="F51" s="6" t="str" cm="1">
        <f t="array" aca="1" ref="F51" ca="1">IFERROR(IF(OR('Raw Data'!F51="",LEN(TRIM('Raw Data'!F51))=0),"",IF(AND(ISNUMBER('Raw Data'!F51),'Raw Data'!F51=ROUND('Raw Data'!F51,4),IFERROR(ROUND('Raw Data'!F51,4)&lt;=99999999999.99,FALSE))=TRUE,"",_xlfn.REGEXEXTRACT(CELL("address",'Raw Data'!F51), "\$([A-Z]+)\$[0-9]+"))),_xlfn.REGEXEXTRACT(CELL("address",'Raw Data'!F51), "\$([A-Z]+)\$[0-9]+"))</f>
        <v/>
      </c>
      <c r="G51" s="6" t="str" cm="1">
        <f t="array" aca="1" ref="G51" ca="1">IFERROR(IF(OR('Raw Data'!G51="",LEN(TRIM('Raw Data'!G51))=0),"",IF(AND(ISNUMBER('Raw Data'!G51),'Raw Data'!G51=ROUND('Raw Data'!G51,4),IFERROR(ROUND('Raw Data'!G51,4)&lt;=99999999999.99,FALSE))=TRUE,"",_xlfn.REGEXEXTRACT(CELL("address",'Raw Data'!G51), "\$([A-Z]+)\$[0-9]+"))),_xlfn.REGEXEXTRACT(CELL("address",'Raw Data'!G51), "\$([A-Z]+)\$[0-9]+"))</f>
        <v/>
      </c>
      <c r="H51" s="6" t="str" cm="1">
        <f t="array" aca="1" ref="H51" ca="1">IFERROR(IF(OR('Raw Data'!H51="",LEN(TRIM('Raw Data'!H51))=0),"",IF(AND(ISNUMBER('Raw Data'!H51),'Raw Data'!H51=ROUND('Raw Data'!H51,4),IFERROR(ROUND('Raw Data'!H51,4)&lt;=99999999999.99,FALSE))=TRUE,"",_xlfn.REGEXEXTRACT(CELL("address",'Raw Data'!H51), "\$([A-Z]+)\$[0-9]+"))),_xlfn.REGEXEXTRACT(CELL("address",'Raw Data'!H51), "\$([A-Z]+)\$[0-9]+"))</f>
        <v/>
      </c>
      <c r="I51" s="6" t="str" cm="1">
        <f t="array" aca="1" ref="I51" ca="1">IFERROR(IF(OR('Raw Data'!I51="",LEN(TRIM('Raw Data'!I51))=0),"",IF(AND(ISNUMBER('Raw Data'!I51),'Raw Data'!I51=ROUND('Raw Data'!I51,4),IFERROR(ROUND('Raw Data'!I51,4)&lt;=99999999999.99,FALSE))=TRUE,"",_xlfn.REGEXEXTRACT(CELL("address",'Raw Data'!I51), "\$([A-Z]+)\$[0-9]+"))),_xlfn.REGEXEXTRACT(CELL("address",'Raw Data'!I51), "\$([A-Z]+)\$[0-9]+"))</f>
        <v/>
      </c>
      <c r="J51" s="6" t="str" cm="1">
        <f t="array" aca="1" ref="J51" ca="1">IFERROR(IF(OR('Raw Data'!J51="",LEN(TRIM('Raw Data'!J51))=0),"",IF(AND(ISNUMBER('Raw Data'!J51),'Raw Data'!J51=ROUND('Raw Data'!J51,4),IFERROR(ROUND('Raw Data'!J51,4)&lt;=99999999999.99,FALSE))=TRUE,"",_xlfn.REGEXEXTRACT(CELL("address",'Raw Data'!J51), "\$([A-Z]+)\$[0-9]+"))),_xlfn.REGEXEXTRACT(CELL("address",'Raw Data'!J51), "\$([A-Z]+)\$[0-9]+"))</f>
        <v/>
      </c>
    </row>
    <row r="52" spans="2:10" x14ac:dyDescent="0.25">
      <c r="B52" s="6" t="str" cm="1">
        <f t="array" aca="1" ref="B52" ca="1">IFERROR(IF(OR('Raw Data'!B52="",LEN(TRIM('Raw Data'!B52))=0),"",IF(AND(LEN('Raw Data'!B52) &lt;= 255,LEN('Raw Data'!B52)&gt; 0),"",_xlfn.REGEXEXTRACT(CELL("address",'Raw Data'!B52),"\$([A-Z]+)\$[0-9]+"))),_xlfn.REGEXEXTRACT(CELL("address",'Raw Data'!B52),"\$([A-Z]+)\$[0-9]+"))</f>
        <v/>
      </c>
      <c r="C52" s="6" t="str" cm="1">
        <f t="array" aca="1" ref="C52" ca="1">IFERROR(IF(OR('Raw Data'!C52="",LEN(TRIM('Raw Data'!C52))=0),"",IF(AND(LEN('Raw Data'!C52) &lt;= 20,LEN('Raw Data'!C52)&gt; 0),"",_xlfn.REGEXEXTRACT(CELL("address",'Raw Data'!C52),"\$([A-Z]+)\$[0-9]+"))),_xlfn.REGEXEXTRACT(CELL("address",'Raw Data'!C52),"\$([A-Z]+)\$[0-9]+"))</f>
        <v/>
      </c>
      <c r="D52" s="6" t="str" cm="1">
        <f t="array" aca="1" ref="D52" ca="1">IFERROR(IF(OR('Raw Data'!D52="",LEN(TRIM('Raw Data'!D52))=0),"",IF(AND(ISNUMBER('Raw Data'!D52),'Raw Data'!D52&gt;=Configuration!$D$2),"",_xlfn.REGEXEXTRACT(CELL("address",'Raw Data'!D52),"\$([A-Z]+)\$[0-9]+"))),_xlfn.REGEXEXTRACT(CELL("address",D52), "\$([A-Z]+)\$[0-9]+"))</f>
        <v/>
      </c>
      <c r="E52" s="6" t="str" cm="1">
        <f t="array" aca="1" ref="E52" ca="1">IFERROR(IF(OR('Raw Data'!E52="",LEN(TRIM('Raw Data'!E52))=0),"",IF(AND(ISNUMBER('Raw Data'!E52),'Raw Data'!E52=ROUND('Raw Data'!E52,4),IFERROR(ROUND('Raw Data'!E52,4)&lt;=99999999999.99,FALSE))=TRUE,"",_xlfn.REGEXEXTRACT(CELL("address",'Raw Data'!E52), "\$([A-Z]+)\$[0-9]+"))),_xlfn.REGEXEXTRACT(CELL("address",'Raw Data'!E52), "\$([A-Z]+)\$[0-9]+"))</f>
        <v/>
      </c>
      <c r="F52" s="6" t="str" cm="1">
        <f t="array" aca="1" ref="F52" ca="1">IFERROR(IF(OR('Raw Data'!F52="",LEN(TRIM('Raw Data'!F52))=0),"",IF(AND(ISNUMBER('Raw Data'!F52),'Raw Data'!F52=ROUND('Raw Data'!F52,4),IFERROR(ROUND('Raw Data'!F52,4)&lt;=99999999999.99,FALSE))=TRUE,"",_xlfn.REGEXEXTRACT(CELL("address",'Raw Data'!F52), "\$([A-Z]+)\$[0-9]+"))),_xlfn.REGEXEXTRACT(CELL("address",'Raw Data'!F52), "\$([A-Z]+)\$[0-9]+"))</f>
        <v/>
      </c>
      <c r="G52" s="6" t="str" cm="1">
        <f t="array" aca="1" ref="G52" ca="1">IFERROR(IF(OR('Raw Data'!G52="",LEN(TRIM('Raw Data'!G52))=0),"",IF(AND(ISNUMBER('Raw Data'!G52),'Raw Data'!G52=ROUND('Raw Data'!G52,4),IFERROR(ROUND('Raw Data'!G52,4)&lt;=99999999999.99,FALSE))=TRUE,"",_xlfn.REGEXEXTRACT(CELL("address",'Raw Data'!G52), "\$([A-Z]+)\$[0-9]+"))),_xlfn.REGEXEXTRACT(CELL("address",'Raw Data'!G52), "\$([A-Z]+)\$[0-9]+"))</f>
        <v/>
      </c>
      <c r="H52" s="6" t="str" cm="1">
        <f t="array" aca="1" ref="H52" ca="1">IFERROR(IF(OR('Raw Data'!H52="",LEN(TRIM('Raw Data'!H52))=0),"",IF(AND(ISNUMBER('Raw Data'!H52),'Raw Data'!H52=ROUND('Raw Data'!H52,4),IFERROR(ROUND('Raw Data'!H52,4)&lt;=99999999999.99,FALSE))=TRUE,"",_xlfn.REGEXEXTRACT(CELL("address",'Raw Data'!H52), "\$([A-Z]+)\$[0-9]+"))),_xlfn.REGEXEXTRACT(CELL("address",'Raw Data'!H52), "\$([A-Z]+)\$[0-9]+"))</f>
        <v/>
      </c>
      <c r="I52" s="6" t="str" cm="1">
        <f t="array" aca="1" ref="I52" ca="1">IFERROR(IF(OR('Raw Data'!I52="",LEN(TRIM('Raw Data'!I52))=0),"",IF(AND(ISNUMBER('Raw Data'!I52),'Raw Data'!I52=ROUND('Raw Data'!I52,4),IFERROR(ROUND('Raw Data'!I52,4)&lt;=99999999999.99,FALSE))=TRUE,"",_xlfn.REGEXEXTRACT(CELL("address",'Raw Data'!I52), "\$([A-Z]+)\$[0-9]+"))),_xlfn.REGEXEXTRACT(CELL("address",'Raw Data'!I52), "\$([A-Z]+)\$[0-9]+"))</f>
        <v/>
      </c>
      <c r="J52" s="6" t="str" cm="1">
        <f t="array" aca="1" ref="J52" ca="1">IFERROR(IF(OR('Raw Data'!J52="",LEN(TRIM('Raw Data'!J52))=0),"",IF(AND(ISNUMBER('Raw Data'!J52),'Raw Data'!J52=ROUND('Raw Data'!J52,4),IFERROR(ROUND('Raw Data'!J52,4)&lt;=99999999999.99,FALSE))=TRUE,"",_xlfn.REGEXEXTRACT(CELL("address",'Raw Data'!J52), "\$([A-Z]+)\$[0-9]+"))),_xlfn.REGEXEXTRACT(CELL("address",'Raw Data'!J52), "\$([A-Z]+)\$[0-9]+"))</f>
        <v/>
      </c>
    </row>
    <row r="53" spans="2:10" x14ac:dyDescent="0.25">
      <c r="B53" s="6" t="str" cm="1">
        <f t="array" aca="1" ref="B53" ca="1">IFERROR(IF(OR('Raw Data'!B53="",LEN(TRIM('Raw Data'!B53))=0),"",IF(AND(LEN('Raw Data'!B53) &lt;= 255,LEN('Raw Data'!B53)&gt; 0),"",_xlfn.REGEXEXTRACT(CELL("address",'Raw Data'!B53),"\$([A-Z]+)\$[0-9]+"))),_xlfn.REGEXEXTRACT(CELL("address",'Raw Data'!B53),"\$([A-Z]+)\$[0-9]+"))</f>
        <v/>
      </c>
      <c r="C53" s="6" t="str" cm="1">
        <f t="array" aca="1" ref="C53" ca="1">IFERROR(IF(OR('Raw Data'!C53="",LEN(TRIM('Raw Data'!C53))=0),"",IF(AND(LEN('Raw Data'!C53) &lt;= 20,LEN('Raw Data'!C53)&gt; 0),"",_xlfn.REGEXEXTRACT(CELL("address",'Raw Data'!C53),"\$([A-Z]+)\$[0-9]+"))),_xlfn.REGEXEXTRACT(CELL("address",'Raw Data'!C53),"\$([A-Z]+)\$[0-9]+"))</f>
        <v/>
      </c>
      <c r="D53" s="6" t="str" cm="1">
        <f t="array" aca="1" ref="D53" ca="1">IFERROR(IF(OR('Raw Data'!D53="",LEN(TRIM('Raw Data'!D53))=0),"",IF(AND(ISNUMBER('Raw Data'!D53),'Raw Data'!D53&gt;=Configuration!$D$2),"",_xlfn.REGEXEXTRACT(CELL("address",'Raw Data'!D53),"\$([A-Z]+)\$[0-9]+"))),_xlfn.REGEXEXTRACT(CELL("address",D53), "\$([A-Z]+)\$[0-9]+"))</f>
        <v/>
      </c>
      <c r="E53" s="6" t="str" cm="1">
        <f t="array" aca="1" ref="E53" ca="1">IFERROR(IF(OR('Raw Data'!E53="",LEN(TRIM('Raw Data'!E53))=0),"",IF(AND(ISNUMBER('Raw Data'!E53),'Raw Data'!E53=ROUND('Raw Data'!E53,4),IFERROR(ROUND('Raw Data'!E53,4)&lt;=99999999999.99,FALSE))=TRUE,"",_xlfn.REGEXEXTRACT(CELL("address",'Raw Data'!E53), "\$([A-Z]+)\$[0-9]+"))),_xlfn.REGEXEXTRACT(CELL("address",'Raw Data'!E53), "\$([A-Z]+)\$[0-9]+"))</f>
        <v/>
      </c>
      <c r="F53" s="6" t="str" cm="1">
        <f t="array" aca="1" ref="F53" ca="1">IFERROR(IF(OR('Raw Data'!F53="",LEN(TRIM('Raw Data'!F53))=0),"",IF(AND(ISNUMBER('Raw Data'!F53),'Raw Data'!F53=ROUND('Raw Data'!F53,4),IFERROR(ROUND('Raw Data'!F53,4)&lt;=99999999999.99,FALSE))=TRUE,"",_xlfn.REGEXEXTRACT(CELL("address",'Raw Data'!F53), "\$([A-Z]+)\$[0-9]+"))),_xlfn.REGEXEXTRACT(CELL("address",'Raw Data'!F53), "\$([A-Z]+)\$[0-9]+"))</f>
        <v/>
      </c>
      <c r="G53" s="6" t="str" cm="1">
        <f t="array" aca="1" ref="G53" ca="1">IFERROR(IF(OR('Raw Data'!G53="",LEN(TRIM('Raw Data'!G53))=0),"",IF(AND(ISNUMBER('Raw Data'!G53),'Raw Data'!G53=ROUND('Raw Data'!G53,4),IFERROR(ROUND('Raw Data'!G53,4)&lt;=99999999999.99,FALSE))=TRUE,"",_xlfn.REGEXEXTRACT(CELL("address",'Raw Data'!G53), "\$([A-Z]+)\$[0-9]+"))),_xlfn.REGEXEXTRACT(CELL("address",'Raw Data'!G53), "\$([A-Z]+)\$[0-9]+"))</f>
        <v/>
      </c>
      <c r="H53" s="6" t="str" cm="1">
        <f t="array" aca="1" ref="H53" ca="1">IFERROR(IF(OR('Raw Data'!H53="",LEN(TRIM('Raw Data'!H53))=0),"",IF(AND(ISNUMBER('Raw Data'!H53),'Raw Data'!H53=ROUND('Raw Data'!H53,4),IFERROR(ROUND('Raw Data'!H53,4)&lt;=99999999999.99,FALSE))=TRUE,"",_xlfn.REGEXEXTRACT(CELL("address",'Raw Data'!H53), "\$([A-Z]+)\$[0-9]+"))),_xlfn.REGEXEXTRACT(CELL("address",'Raw Data'!H53), "\$([A-Z]+)\$[0-9]+"))</f>
        <v/>
      </c>
      <c r="I53" s="6" t="str" cm="1">
        <f t="array" aca="1" ref="I53" ca="1">IFERROR(IF(OR('Raw Data'!I53="",LEN(TRIM('Raw Data'!I53))=0),"",IF(AND(ISNUMBER('Raw Data'!I53),'Raw Data'!I53=ROUND('Raw Data'!I53,4),IFERROR(ROUND('Raw Data'!I53,4)&lt;=99999999999.99,FALSE))=TRUE,"",_xlfn.REGEXEXTRACT(CELL("address",'Raw Data'!I53), "\$([A-Z]+)\$[0-9]+"))),_xlfn.REGEXEXTRACT(CELL("address",'Raw Data'!I53), "\$([A-Z]+)\$[0-9]+"))</f>
        <v/>
      </c>
      <c r="J53" s="6" t="str" cm="1">
        <f t="array" aca="1" ref="J53" ca="1">IFERROR(IF(OR('Raw Data'!J53="",LEN(TRIM('Raw Data'!J53))=0),"",IF(AND(ISNUMBER('Raw Data'!J53),'Raw Data'!J53=ROUND('Raw Data'!J53,4),IFERROR(ROUND('Raw Data'!J53,4)&lt;=99999999999.99,FALSE))=TRUE,"",_xlfn.REGEXEXTRACT(CELL("address",'Raw Data'!J53), "\$([A-Z]+)\$[0-9]+"))),_xlfn.REGEXEXTRACT(CELL("address",'Raw Data'!J53), "\$([A-Z]+)\$[0-9]+"))</f>
        <v/>
      </c>
    </row>
    <row r="54" spans="2:10" x14ac:dyDescent="0.25">
      <c r="B54" s="6" t="str" cm="1">
        <f t="array" aca="1" ref="B54" ca="1">IFERROR(IF(OR('Raw Data'!B54="",LEN(TRIM('Raw Data'!B54))=0),"",IF(AND(LEN('Raw Data'!B54) &lt;= 255,LEN('Raw Data'!B54)&gt; 0),"",_xlfn.REGEXEXTRACT(CELL("address",'Raw Data'!B54),"\$([A-Z]+)\$[0-9]+"))),_xlfn.REGEXEXTRACT(CELL("address",'Raw Data'!B54),"\$([A-Z]+)\$[0-9]+"))</f>
        <v/>
      </c>
      <c r="C54" s="6" t="str" cm="1">
        <f t="array" aca="1" ref="C54" ca="1">IFERROR(IF(OR('Raw Data'!C54="",LEN(TRIM('Raw Data'!C54))=0),"",IF(AND(LEN('Raw Data'!C54) &lt;= 20,LEN('Raw Data'!C54)&gt; 0),"",_xlfn.REGEXEXTRACT(CELL("address",'Raw Data'!C54),"\$([A-Z]+)\$[0-9]+"))),_xlfn.REGEXEXTRACT(CELL("address",'Raw Data'!C54),"\$([A-Z]+)\$[0-9]+"))</f>
        <v/>
      </c>
      <c r="D54" s="6" t="str" cm="1">
        <f t="array" aca="1" ref="D54" ca="1">IFERROR(IF(OR('Raw Data'!D54="",LEN(TRIM('Raw Data'!D54))=0),"",IF(AND(ISNUMBER('Raw Data'!D54),'Raw Data'!D54&gt;=Configuration!$D$2),"",_xlfn.REGEXEXTRACT(CELL("address",'Raw Data'!D54),"\$([A-Z]+)\$[0-9]+"))),_xlfn.REGEXEXTRACT(CELL("address",D54), "\$([A-Z]+)\$[0-9]+"))</f>
        <v/>
      </c>
      <c r="E54" s="6" t="str" cm="1">
        <f t="array" aca="1" ref="E54" ca="1">IFERROR(IF(OR('Raw Data'!E54="",LEN(TRIM('Raw Data'!E54))=0),"",IF(AND(ISNUMBER('Raw Data'!E54),'Raw Data'!E54=ROUND('Raw Data'!E54,4),IFERROR(ROUND('Raw Data'!E54,4)&lt;=99999999999.99,FALSE))=TRUE,"",_xlfn.REGEXEXTRACT(CELL("address",'Raw Data'!E54), "\$([A-Z]+)\$[0-9]+"))),_xlfn.REGEXEXTRACT(CELL("address",'Raw Data'!E54), "\$([A-Z]+)\$[0-9]+"))</f>
        <v/>
      </c>
      <c r="F54" s="6" t="str" cm="1">
        <f t="array" aca="1" ref="F54" ca="1">IFERROR(IF(OR('Raw Data'!F54="",LEN(TRIM('Raw Data'!F54))=0),"",IF(AND(ISNUMBER('Raw Data'!F54),'Raw Data'!F54=ROUND('Raw Data'!F54,4),IFERROR(ROUND('Raw Data'!F54,4)&lt;=99999999999.99,FALSE))=TRUE,"",_xlfn.REGEXEXTRACT(CELL("address",'Raw Data'!F54), "\$([A-Z]+)\$[0-9]+"))),_xlfn.REGEXEXTRACT(CELL("address",'Raw Data'!F54), "\$([A-Z]+)\$[0-9]+"))</f>
        <v/>
      </c>
      <c r="G54" s="6" t="str" cm="1">
        <f t="array" aca="1" ref="G54" ca="1">IFERROR(IF(OR('Raw Data'!G54="",LEN(TRIM('Raw Data'!G54))=0),"",IF(AND(ISNUMBER('Raw Data'!G54),'Raw Data'!G54=ROUND('Raw Data'!G54,4),IFERROR(ROUND('Raw Data'!G54,4)&lt;=99999999999.99,FALSE))=TRUE,"",_xlfn.REGEXEXTRACT(CELL("address",'Raw Data'!G54), "\$([A-Z]+)\$[0-9]+"))),_xlfn.REGEXEXTRACT(CELL("address",'Raw Data'!G54), "\$([A-Z]+)\$[0-9]+"))</f>
        <v/>
      </c>
      <c r="H54" s="6" t="str" cm="1">
        <f t="array" aca="1" ref="H54" ca="1">IFERROR(IF(OR('Raw Data'!H54="",LEN(TRIM('Raw Data'!H54))=0),"",IF(AND(ISNUMBER('Raw Data'!H54),'Raw Data'!H54=ROUND('Raw Data'!H54,4),IFERROR(ROUND('Raw Data'!H54,4)&lt;=99999999999.99,FALSE))=TRUE,"",_xlfn.REGEXEXTRACT(CELL("address",'Raw Data'!H54), "\$([A-Z]+)\$[0-9]+"))),_xlfn.REGEXEXTRACT(CELL("address",'Raw Data'!H54), "\$([A-Z]+)\$[0-9]+"))</f>
        <v/>
      </c>
      <c r="I54" s="6" t="str" cm="1">
        <f t="array" aca="1" ref="I54" ca="1">IFERROR(IF(OR('Raw Data'!I54="",LEN(TRIM('Raw Data'!I54))=0),"",IF(AND(ISNUMBER('Raw Data'!I54),'Raw Data'!I54=ROUND('Raw Data'!I54,4),IFERROR(ROUND('Raw Data'!I54,4)&lt;=99999999999.99,FALSE))=TRUE,"",_xlfn.REGEXEXTRACT(CELL("address",'Raw Data'!I54), "\$([A-Z]+)\$[0-9]+"))),_xlfn.REGEXEXTRACT(CELL("address",'Raw Data'!I54), "\$([A-Z]+)\$[0-9]+"))</f>
        <v/>
      </c>
      <c r="J54" s="6" t="str" cm="1">
        <f t="array" aca="1" ref="J54" ca="1">IFERROR(IF(OR('Raw Data'!J54="",LEN(TRIM('Raw Data'!J54))=0),"",IF(AND(ISNUMBER('Raw Data'!J54),'Raw Data'!J54=ROUND('Raw Data'!J54,4),IFERROR(ROUND('Raw Data'!J54,4)&lt;=99999999999.99,FALSE))=TRUE,"",_xlfn.REGEXEXTRACT(CELL("address",'Raw Data'!J54), "\$([A-Z]+)\$[0-9]+"))),_xlfn.REGEXEXTRACT(CELL("address",'Raw Data'!J54), "\$([A-Z]+)\$[0-9]+"))</f>
        <v/>
      </c>
    </row>
    <row r="55" spans="2:10" x14ac:dyDescent="0.25">
      <c r="B55" s="6" t="str" cm="1">
        <f t="array" aca="1" ref="B55" ca="1">IFERROR(IF(OR('Raw Data'!B55="",LEN(TRIM('Raw Data'!B55))=0),"",IF(AND(LEN('Raw Data'!B55) &lt;= 255,LEN('Raw Data'!B55)&gt; 0),"",_xlfn.REGEXEXTRACT(CELL("address",'Raw Data'!B55),"\$([A-Z]+)\$[0-9]+"))),_xlfn.REGEXEXTRACT(CELL("address",'Raw Data'!B55),"\$([A-Z]+)\$[0-9]+"))</f>
        <v/>
      </c>
      <c r="C55" s="6" t="str" cm="1">
        <f t="array" aca="1" ref="C55" ca="1">IFERROR(IF(OR('Raw Data'!C55="",LEN(TRIM('Raw Data'!C55))=0),"",IF(AND(LEN('Raw Data'!C55) &lt;= 20,LEN('Raw Data'!C55)&gt; 0),"",_xlfn.REGEXEXTRACT(CELL("address",'Raw Data'!C55),"\$([A-Z]+)\$[0-9]+"))),_xlfn.REGEXEXTRACT(CELL("address",'Raw Data'!C55),"\$([A-Z]+)\$[0-9]+"))</f>
        <v/>
      </c>
      <c r="D55" s="6" t="str" cm="1">
        <f t="array" aca="1" ref="D55" ca="1">IFERROR(IF(OR('Raw Data'!D55="",LEN(TRIM('Raw Data'!D55))=0),"",IF(AND(ISNUMBER('Raw Data'!D55),'Raw Data'!D55&gt;=Configuration!$D$2),"",_xlfn.REGEXEXTRACT(CELL("address",'Raw Data'!D55),"\$([A-Z]+)\$[0-9]+"))),_xlfn.REGEXEXTRACT(CELL("address",D55), "\$([A-Z]+)\$[0-9]+"))</f>
        <v/>
      </c>
      <c r="E55" s="6" t="str" cm="1">
        <f t="array" aca="1" ref="E55" ca="1">IFERROR(IF(OR('Raw Data'!E55="",LEN(TRIM('Raw Data'!E55))=0),"",IF(AND(ISNUMBER('Raw Data'!E55),'Raw Data'!E55=ROUND('Raw Data'!E55,4),IFERROR(ROUND('Raw Data'!E55,4)&lt;=99999999999.99,FALSE))=TRUE,"",_xlfn.REGEXEXTRACT(CELL("address",'Raw Data'!E55), "\$([A-Z]+)\$[0-9]+"))),_xlfn.REGEXEXTRACT(CELL("address",'Raw Data'!E55), "\$([A-Z]+)\$[0-9]+"))</f>
        <v/>
      </c>
      <c r="F55" s="6" t="str" cm="1">
        <f t="array" aca="1" ref="F55" ca="1">IFERROR(IF(OR('Raw Data'!F55="",LEN(TRIM('Raw Data'!F55))=0),"",IF(AND(ISNUMBER('Raw Data'!F55),'Raw Data'!F55=ROUND('Raw Data'!F55,4),IFERROR(ROUND('Raw Data'!F55,4)&lt;=99999999999.99,FALSE))=TRUE,"",_xlfn.REGEXEXTRACT(CELL("address",'Raw Data'!F55), "\$([A-Z]+)\$[0-9]+"))),_xlfn.REGEXEXTRACT(CELL("address",'Raw Data'!F55), "\$([A-Z]+)\$[0-9]+"))</f>
        <v/>
      </c>
      <c r="G55" s="6" t="str" cm="1">
        <f t="array" aca="1" ref="G55" ca="1">IFERROR(IF(OR('Raw Data'!G55="",LEN(TRIM('Raw Data'!G55))=0),"",IF(AND(ISNUMBER('Raw Data'!G55),'Raw Data'!G55=ROUND('Raw Data'!G55,4),IFERROR(ROUND('Raw Data'!G55,4)&lt;=99999999999.99,FALSE))=TRUE,"",_xlfn.REGEXEXTRACT(CELL("address",'Raw Data'!G55), "\$([A-Z]+)\$[0-9]+"))),_xlfn.REGEXEXTRACT(CELL("address",'Raw Data'!G55), "\$([A-Z]+)\$[0-9]+"))</f>
        <v/>
      </c>
      <c r="H55" s="6" t="str" cm="1">
        <f t="array" aca="1" ref="H55" ca="1">IFERROR(IF(OR('Raw Data'!H55="",LEN(TRIM('Raw Data'!H55))=0),"",IF(AND(ISNUMBER('Raw Data'!H55),'Raw Data'!H55=ROUND('Raw Data'!H55,4),IFERROR(ROUND('Raw Data'!H55,4)&lt;=99999999999.99,FALSE))=TRUE,"",_xlfn.REGEXEXTRACT(CELL("address",'Raw Data'!H55), "\$([A-Z]+)\$[0-9]+"))),_xlfn.REGEXEXTRACT(CELL("address",'Raw Data'!H55), "\$([A-Z]+)\$[0-9]+"))</f>
        <v/>
      </c>
      <c r="I55" s="6" t="str" cm="1">
        <f t="array" aca="1" ref="I55" ca="1">IFERROR(IF(OR('Raw Data'!I55="",LEN(TRIM('Raw Data'!I55))=0),"",IF(AND(ISNUMBER('Raw Data'!I55),'Raw Data'!I55=ROUND('Raw Data'!I55,4),IFERROR(ROUND('Raw Data'!I55,4)&lt;=99999999999.99,FALSE))=TRUE,"",_xlfn.REGEXEXTRACT(CELL("address",'Raw Data'!I55), "\$([A-Z]+)\$[0-9]+"))),_xlfn.REGEXEXTRACT(CELL("address",'Raw Data'!I55), "\$([A-Z]+)\$[0-9]+"))</f>
        <v/>
      </c>
      <c r="J55" s="6" t="str" cm="1">
        <f t="array" aca="1" ref="J55" ca="1">IFERROR(IF(OR('Raw Data'!J55="",LEN(TRIM('Raw Data'!J55))=0),"",IF(AND(ISNUMBER('Raw Data'!J55),'Raw Data'!J55=ROUND('Raw Data'!J55,4),IFERROR(ROUND('Raw Data'!J55,4)&lt;=99999999999.99,FALSE))=TRUE,"",_xlfn.REGEXEXTRACT(CELL("address",'Raw Data'!J55), "\$([A-Z]+)\$[0-9]+"))),_xlfn.REGEXEXTRACT(CELL("address",'Raw Data'!J55), "\$([A-Z]+)\$[0-9]+"))</f>
        <v/>
      </c>
    </row>
    <row r="56" spans="2:10" x14ac:dyDescent="0.25">
      <c r="B56" s="6" t="str" cm="1">
        <f t="array" aca="1" ref="B56" ca="1">IFERROR(IF(OR('Raw Data'!B56="",LEN(TRIM('Raw Data'!B56))=0),"",IF(AND(LEN('Raw Data'!B56) &lt;= 255,LEN('Raw Data'!B56)&gt; 0),"",_xlfn.REGEXEXTRACT(CELL("address",'Raw Data'!B56),"\$([A-Z]+)\$[0-9]+"))),_xlfn.REGEXEXTRACT(CELL("address",'Raw Data'!B56),"\$([A-Z]+)\$[0-9]+"))</f>
        <v/>
      </c>
      <c r="C56" s="6" t="str" cm="1">
        <f t="array" aca="1" ref="C56" ca="1">IFERROR(IF(OR('Raw Data'!C56="",LEN(TRIM('Raw Data'!C56))=0),"",IF(AND(LEN('Raw Data'!C56) &lt;= 20,LEN('Raw Data'!C56)&gt; 0),"",_xlfn.REGEXEXTRACT(CELL("address",'Raw Data'!C56),"\$([A-Z]+)\$[0-9]+"))),_xlfn.REGEXEXTRACT(CELL("address",'Raw Data'!C56),"\$([A-Z]+)\$[0-9]+"))</f>
        <v/>
      </c>
      <c r="D56" s="6" t="str" cm="1">
        <f t="array" aca="1" ref="D56" ca="1">IFERROR(IF(OR('Raw Data'!D56="",LEN(TRIM('Raw Data'!D56))=0),"",IF(AND(ISNUMBER('Raw Data'!D56),'Raw Data'!D56&gt;=Configuration!$D$2),"",_xlfn.REGEXEXTRACT(CELL("address",'Raw Data'!D56),"\$([A-Z]+)\$[0-9]+"))),_xlfn.REGEXEXTRACT(CELL("address",D56), "\$([A-Z]+)\$[0-9]+"))</f>
        <v/>
      </c>
      <c r="E56" s="6" t="str" cm="1">
        <f t="array" aca="1" ref="E56" ca="1">IFERROR(IF(OR('Raw Data'!E56="",LEN(TRIM('Raw Data'!E56))=0),"",IF(AND(ISNUMBER('Raw Data'!E56),'Raw Data'!E56=ROUND('Raw Data'!E56,4),IFERROR(ROUND('Raw Data'!E56,4)&lt;=99999999999.99,FALSE))=TRUE,"",_xlfn.REGEXEXTRACT(CELL("address",'Raw Data'!E56), "\$([A-Z]+)\$[0-9]+"))),_xlfn.REGEXEXTRACT(CELL("address",'Raw Data'!E56), "\$([A-Z]+)\$[0-9]+"))</f>
        <v/>
      </c>
      <c r="F56" s="6" t="str" cm="1">
        <f t="array" aca="1" ref="F56" ca="1">IFERROR(IF(OR('Raw Data'!F56="",LEN(TRIM('Raw Data'!F56))=0),"",IF(AND(ISNUMBER('Raw Data'!F56),'Raw Data'!F56=ROUND('Raw Data'!F56,4),IFERROR(ROUND('Raw Data'!F56,4)&lt;=99999999999.99,FALSE))=TRUE,"",_xlfn.REGEXEXTRACT(CELL("address",'Raw Data'!F56), "\$([A-Z]+)\$[0-9]+"))),_xlfn.REGEXEXTRACT(CELL("address",'Raw Data'!F56), "\$([A-Z]+)\$[0-9]+"))</f>
        <v/>
      </c>
      <c r="G56" s="6" t="str" cm="1">
        <f t="array" aca="1" ref="G56" ca="1">IFERROR(IF(OR('Raw Data'!G56="",LEN(TRIM('Raw Data'!G56))=0),"",IF(AND(ISNUMBER('Raw Data'!G56),'Raw Data'!G56=ROUND('Raw Data'!G56,4),IFERROR(ROUND('Raw Data'!G56,4)&lt;=99999999999.99,FALSE))=TRUE,"",_xlfn.REGEXEXTRACT(CELL("address",'Raw Data'!G56), "\$([A-Z]+)\$[0-9]+"))),_xlfn.REGEXEXTRACT(CELL("address",'Raw Data'!G56), "\$([A-Z]+)\$[0-9]+"))</f>
        <v/>
      </c>
      <c r="H56" s="6" t="str" cm="1">
        <f t="array" aca="1" ref="H56" ca="1">IFERROR(IF(OR('Raw Data'!H56="",LEN(TRIM('Raw Data'!H56))=0),"",IF(AND(ISNUMBER('Raw Data'!H56),'Raw Data'!H56=ROUND('Raw Data'!H56,4),IFERROR(ROUND('Raw Data'!H56,4)&lt;=99999999999.99,FALSE))=TRUE,"",_xlfn.REGEXEXTRACT(CELL("address",'Raw Data'!H56), "\$([A-Z]+)\$[0-9]+"))),_xlfn.REGEXEXTRACT(CELL("address",'Raw Data'!H56), "\$([A-Z]+)\$[0-9]+"))</f>
        <v/>
      </c>
      <c r="I56" s="6" t="str" cm="1">
        <f t="array" aca="1" ref="I56" ca="1">IFERROR(IF(OR('Raw Data'!I56="",LEN(TRIM('Raw Data'!I56))=0),"",IF(AND(ISNUMBER('Raw Data'!I56),'Raw Data'!I56=ROUND('Raw Data'!I56,4),IFERROR(ROUND('Raw Data'!I56,4)&lt;=99999999999.99,FALSE))=TRUE,"",_xlfn.REGEXEXTRACT(CELL("address",'Raw Data'!I56), "\$([A-Z]+)\$[0-9]+"))),_xlfn.REGEXEXTRACT(CELL("address",'Raw Data'!I56), "\$([A-Z]+)\$[0-9]+"))</f>
        <v/>
      </c>
      <c r="J56" s="6" t="str" cm="1">
        <f t="array" aca="1" ref="J56" ca="1">IFERROR(IF(OR('Raw Data'!J56="",LEN(TRIM('Raw Data'!J56))=0),"",IF(AND(ISNUMBER('Raw Data'!J56),'Raw Data'!J56=ROUND('Raw Data'!J56,4),IFERROR(ROUND('Raw Data'!J56,4)&lt;=99999999999.99,FALSE))=TRUE,"",_xlfn.REGEXEXTRACT(CELL("address",'Raw Data'!J56), "\$([A-Z]+)\$[0-9]+"))),_xlfn.REGEXEXTRACT(CELL("address",'Raw Data'!J56), "\$([A-Z]+)\$[0-9]+"))</f>
        <v/>
      </c>
    </row>
    <row r="57" spans="2:10" x14ac:dyDescent="0.25">
      <c r="B57" s="6" t="str" cm="1">
        <f t="array" aca="1" ref="B57" ca="1">IFERROR(IF(OR('Raw Data'!B57="",LEN(TRIM('Raw Data'!B57))=0),"",IF(AND(LEN('Raw Data'!B57) &lt;= 255,LEN('Raw Data'!B57)&gt; 0),"",_xlfn.REGEXEXTRACT(CELL("address",'Raw Data'!B57),"\$([A-Z]+)\$[0-9]+"))),_xlfn.REGEXEXTRACT(CELL("address",'Raw Data'!B57),"\$([A-Z]+)\$[0-9]+"))</f>
        <v/>
      </c>
      <c r="C57" s="6" t="str" cm="1">
        <f t="array" aca="1" ref="C57" ca="1">IFERROR(IF(OR('Raw Data'!C57="",LEN(TRIM('Raw Data'!C57))=0),"",IF(AND(LEN('Raw Data'!C57) &lt;= 20,LEN('Raw Data'!C57)&gt; 0),"",_xlfn.REGEXEXTRACT(CELL("address",'Raw Data'!C57),"\$([A-Z]+)\$[0-9]+"))),_xlfn.REGEXEXTRACT(CELL("address",'Raw Data'!C57),"\$([A-Z]+)\$[0-9]+"))</f>
        <v/>
      </c>
      <c r="D57" s="6" t="str" cm="1">
        <f t="array" aca="1" ref="D57" ca="1">IFERROR(IF(OR('Raw Data'!D57="",LEN(TRIM('Raw Data'!D57))=0),"",IF(AND(ISNUMBER('Raw Data'!D57),'Raw Data'!D57&gt;=Configuration!$D$2),"",_xlfn.REGEXEXTRACT(CELL("address",'Raw Data'!D57),"\$([A-Z]+)\$[0-9]+"))),_xlfn.REGEXEXTRACT(CELL("address",D57), "\$([A-Z]+)\$[0-9]+"))</f>
        <v/>
      </c>
      <c r="E57" s="6" t="str" cm="1">
        <f t="array" aca="1" ref="E57" ca="1">IFERROR(IF(OR('Raw Data'!E57="",LEN(TRIM('Raw Data'!E57))=0),"",IF(AND(ISNUMBER('Raw Data'!E57),'Raw Data'!E57=ROUND('Raw Data'!E57,4),IFERROR(ROUND('Raw Data'!E57,4)&lt;=99999999999.99,FALSE))=TRUE,"",_xlfn.REGEXEXTRACT(CELL("address",'Raw Data'!E57), "\$([A-Z]+)\$[0-9]+"))),_xlfn.REGEXEXTRACT(CELL("address",'Raw Data'!E57), "\$([A-Z]+)\$[0-9]+"))</f>
        <v/>
      </c>
      <c r="F57" s="6" t="str" cm="1">
        <f t="array" aca="1" ref="F57" ca="1">IFERROR(IF(OR('Raw Data'!F57="",LEN(TRIM('Raw Data'!F57))=0),"",IF(AND(ISNUMBER('Raw Data'!F57),'Raw Data'!F57=ROUND('Raw Data'!F57,4),IFERROR(ROUND('Raw Data'!F57,4)&lt;=99999999999.99,FALSE))=TRUE,"",_xlfn.REGEXEXTRACT(CELL("address",'Raw Data'!F57), "\$([A-Z]+)\$[0-9]+"))),_xlfn.REGEXEXTRACT(CELL("address",'Raw Data'!F57), "\$([A-Z]+)\$[0-9]+"))</f>
        <v/>
      </c>
      <c r="G57" s="6" t="str" cm="1">
        <f t="array" aca="1" ref="G57" ca="1">IFERROR(IF(OR('Raw Data'!G57="",LEN(TRIM('Raw Data'!G57))=0),"",IF(AND(ISNUMBER('Raw Data'!G57),'Raw Data'!G57=ROUND('Raw Data'!G57,4),IFERROR(ROUND('Raw Data'!G57,4)&lt;=99999999999.99,FALSE))=TRUE,"",_xlfn.REGEXEXTRACT(CELL("address",'Raw Data'!G57), "\$([A-Z]+)\$[0-9]+"))),_xlfn.REGEXEXTRACT(CELL("address",'Raw Data'!G57), "\$([A-Z]+)\$[0-9]+"))</f>
        <v/>
      </c>
      <c r="H57" s="6" t="str" cm="1">
        <f t="array" aca="1" ref="H57" ca="1">IFERROR(IF(OR('Raw Data'!H57="",LEN(TRIM('Raw Data'!H57))=0),"",IF(AND(ISNUMBER('Raw Data'!H57),'Raw Data'!H57=ROUND('Raw Data'!H57,4),IFERROR(ROUND('Raw Data'!H57,4)&lt;=99999999999.99,FALSE))=TRUE,"",_xlfn.REGEXEXTRACT(CELL("address",'Raw Data'!H57), "\$([A-Z]+)\$[0-9]+"))),_xlfn.REGEXEXTRACT(CELL("address",'Raw Data'!H57), "\$([A-Z]+)\$[0-9]+"))</f>
        <v/>
      </c>
      <c r="I57" s="6" t="str" cm="1">
        <f t="array" aca="1" ref="I57" ca="1">IFERROR(IF(OR('Raw Data'!I57="",LEN(TRIM('Raw Data'!I57))=0),"",IF(AND(ISNUMBER('Raw Data'!I57),'Raw Data'!I57=ROUND('Raw Data'!I57,4),IFERROR(ROUND('Raw Data'!I57,4)&lt;=99999999999.99,FALSE))=TRUE,"",_xlfn.REGEXEXTRACT(CELL("address",'Raw Data'!I57), "\$([A-Z]+)\$[0-9]+"))),_xlfn.REGEXEXTRACT(CELL("address",'Raw Data'!I57), "\$([A-Z]+)\$[0-9]+"))</f>
        <v/>
      </c>
      <c r="J57" s="6" t="str" cm="1">
        <f t="array" aca="1" ref="J57" ca="1">IFERROR(IF(OR('Raw Data'!J57="",LEN(TRIM('Raw Data'!J57))=0),"",IF(AND(ISNUMBER('Raw Data'!J57),'Raw Data'!J57=ROUND('Raw Data'!J57,4),IFERROR(ROUND('Raw Data'!J57,4)&lt;=99999999999.99,FALSE))=TRUE,"",_xlfn.REGEXEXTRACT(CELL("address",'Raw Data'!J57), "\$([A-Z]+)\$[0-9]+"))),_xlfn.REGEXEXTRACT(CELL("address",'Raw Data'!J57), "\$([A-Z]+)\$[0-9]+"))</f>
        <v/>
      </c>
    </row>
    <row r="58" spans="2:10" x14ac:dyDescent="0.25">
      <c r="B58" s="6" t="str" cm="1">
        <f t="array" aca="1" ref="B58" ca="1">IFERROR(IF(OR('Raw Data'!B58="",LEN(TRIM('Raw Data'!B58))=0),"",IF(AND(LEN('Raw Data'!B58) &lt;= 255,LEN('Raw Data'!B58)&gt; 0),"",_xlfn.REGEXEXTRACT(CELL("address",'Raw Data'!B58),"\$([A-Z]+)\$[0-9]+"))),_xlfn.REGEXEXTRACT(CELL("address",'Raw Data'!B58),"\$([A-Z]+)\$[0-9]+"))</f>
        <v/>
      </c>
      <c r="C58" s="6" t="str" cm="1">
        <f t="array" aca="1" ref="C58" ca="1">IFERROR(IF(OR('Raw Data'!C58="",LEN(TRIM('Raw Data'!C58))=0),"",IF(AND(LEN('Raw Data'!C58) &lt;= 20,LEN('Raw Data'!C58)&gt; 0),"",_xlfn.REGEXEXTRACT(CELL("address",'Raw Data'!C58),"\$([A-Z]+)\$[0-9]+"))),_xlfn.REGEXEXTRACT(CELL("address",'Raw Data'!C58),"\$([A-Z]+)\$[0-9]+"))</f>
        <v/>
      </c>
      <c r="D58" s="6" t="str" cm="1">
        <f t="array" aca="1" ref="D58" ca="1">IFERROR(IF(OR('Raw Data'!D58="",LEN(TRIM('Raw Data'!D58))=0),"",IF(AND(ISNUMBER('Raw Data'!D58),'Raw Data'!D58&gt;=Configuration!$D$2),"",_xlfn.REGEXEXTRACT(CELL("address",'Raw Data'!D58),"\$([A-Z]+)\$[0-9]+"))),_xlfn.REGEXEXTRACT(CELL("address",D58), "\$([A-Z]+)\$[0-9]+"))</f>
        <v/>
      </c>
      <c r="E58" s="6" t="str" cm="1">
        <f t="array" aca="1" ref="E58" ca="1">IFERROR(IF(OR('Raw Data'!E58="",LEN(TRIM('Raw Data'!E58))=0),"",IF(AND(ISNUMBER('Raw Data'!E58),'Raw Data'!E58=ROUND('Raw Data'!E58,4),IFERROR(ROUND('Raw Data'!E58,4)&lt;=99999999999.99,FALSE))=TRUE,"",_xlfn.REGEXEXTRACT(CELL("address",'Raw Data'!E58), "\$([A-Z]+)\$[0-9]+"))),_xlfn.REGEXEXTRACT(CELL("address",'Raw Data'!E58), "\$([A-Z]+)\$[0-9]+"))</f>
        <v/>
      </c>
      <c r="F58" s="6" t="str" cm="1">
        <f t="array" aca="1" ref="F58" ca="1">IFERROR(IF(OR('Raw Data'!F58="",LEN(TRIM('Raw Data'!F58))=0),"",IF(AND(ISNUMBER('Raw Data'!F58),'Raw Data'!F58=ROUND('Raw Data'!F58,4),IFERROR(ROUND('Raw Data'!F58,4)&lt;=99999999999.99,FALSE))=TRUE,"",_xlfn.REGEXEXTRACT(CELL("address",'Raw Data'!F58), "\$([A-Z]+)\$[0-9]+"))),_xlfn.REGEXEXTRACT(CELL("address",'Raw Data'!F58), "\$([A-Z]+)\$[0-9]+"))</f>
        <v/>
      </c>
      <c r="G58" s="6" t="str" cm="1">
        <f t="array" aca="1" ref="G58" ca="1">IFERROR(IF(OR('Raw Data'!G58="",LEN(TRIM('Raw Data'!G58))=0),"",IF(AND(ISNUMBER('Raw Data'!G58),'Raw Data'!G58=ROUND('Raw Data'!G58,4),IFERROR(ROUND('Raw Data'!G58,4)&lt;=99999999999.99,FALSE))=TRUE,"",_xlfn.REGEXEXTRACT(CELL("address",'Raw Data'!G58), "\$([A-Z]+)\$[0-9]+"))),_xlfn.REGEXEXTRACT(CELL("address",'Raw Data'!G58), "\$([A-Z]+)\$[0-9]+"))</f>
        <v/>
      </c>
      <c r="H58" s="6" t="str" cm="1">
        <f t="array" aca="1" ref="H58" ca="1">IFERROR(IF(OR('Raw Data'!H58="",LEN(TRIM('Raw Data'!H58))=0),"",IF(AND(ISNUMBER('Raw Data'!H58),'Raw Data'!H58=ROUND('Raw Data'!H58,4),IFERROR(ROUND('Raw Data'!H58,4)&lt;=99999999999.99,FALSE))=TRUE,"",_xlfn.REGEXEXTRACT(CELL("address",'Raw Data'!H58), "\$([A-Z]+)\$[0-9]+"))),_xlfn.REGEXEXTRACT(CELL("address",'Raw Data'!H58), "\$([A-Z]+)\$[0-9]+"))</f>
        <v/>
      </c>
      <c r="I58" s="6" t="str" cm="1">
        <f t="array" aca="1" ref="I58" ca="1">IFERROR(IF(OR('Raw Data'!I58="",LEN(TRIM('Raw Data'!I58))=0),"",IF(AND(ISNUMBER('Raw Data'!I58),'Raw Data'!I58=ROUND('Raw Data'!I58,4),IFERROR(ROUND('Raw Data'!I58,4)&lt;=99999999999.99,FALSE))=TRUE,"",_xlfn.REGEXEXTRACT(CELL("address",'Raw Data'!I58), "\$([A-Z]+)\$[0-9]+"))),_xlfn.REGEXEXTRACT(CELL("address",'Raw Data'!I58), "\$([A-Z]+)\$[0-9]+"))</f>
        <v/>
      </c>
      <c r="J58" s="6" t="str" cm="1">
        <f t="array" aca="1" ref="J58" ca="1">IFERROR(IF(OR('Raw Data'!J58="",LEN(TRIM('Raw Data'!J58))=0),"",IF(AND(ISNUMBER('Raw Data'!J58),'Raw Data'!J58=ROUND('Raw Data'!J58,4),IFERROR(ROUND('Raw Data'!J58,4)&lt;=99999999999.99,FALSE))=TRUE,"",_xlfn.REGEXEXTRACT(CELL("address",'Raw Data'!J58), "\$([A-Z]+)\$[0-9]+"))),_xlfn.REGEXEXTRACT(CELL("address",'Raw Data'!J58), "\$([A-Z]+)\$[0-9]+"))</f>
        <v/>
      </c>
    </row>
    <row r="59" spans="2:10" x14ac:dyDescent="0.25">
      <c r="B59" s="6" t="str" cm="1">
        <f t="array" aca="1" ref="B59" ca="1">IFERROR(IF(OR('Raw Data'!B59="",LEN(TRIM('Raw Data'!B59))=0),"",IF(AND(LEN('Raw Data'!B59) &lt;= 255,LEN('Raw Data'!B59)&gt; 0),"",_xlfn.REGEXEXTRACT(CELL("address",'Raw Data'!B59),"\$([A-Z]+)\$[0-9]+"))),_xlfn.REGEXEXTRACT(CELL("address",'Raw Data'!B59),"\$([A-Z]+)\$[0-9]+"))</f>
        <v/>
      </c>
      <c r="C59" s="6" t="str" cm="1">
        <f t="array" aca="1" ref="C59" ca="1">IFERROR(IF(OR('Raw Data'!C59="",LEN(TRIM('Raw Data'!C59))=0),"",IF(AND(LEN('Raw Data'!C59) &lt;= 20,LEN('Raw Data'!C59)&gt; 0),"",_xlfn.REGEXEXTRACT(CELL("address",'Raw Data'!C59),"\$([A-Z]+)\$[0-9]+"))),_xlfn.REGEXEXTRACT(CELL("address",'Raw Data'!C59),"\$([A-Z]+)\$[0-9]+"))</f>
        <v/>
      </c>
      <c r="D59" s="6" t="str" cm="1">
        <f t="array" aca="1" ref="D59" ca="1">IFERROR(IF(OR('Raw Data'!D59="",LEN(TRIM('Raw Data'!D59))=0),"",IF(AND(ISNUMBER('Raw Data'!D59),'Raw Data'!D59&gt;=Configuration!$D$2),"",_xlfn.REGEXEXTRACT(CELL("address",'Raw Data'!D59),"\$([A-Z]+)\$[0-9]+"))),_xlfn.REGEXEXTRACT(CELL("address",D59), "\$([A-Z]+)\$[0-9]+"))</f>
        <v/>
      </c>
      <c r="E59" s="6" t="str" cm="1">
        <f t="array" aca="1" ref="E59" ca="1">IFERROR(IF(OR('Raw Data'!E59="",LEN(TRIM('Raw Data'!E59))=0),"",IF(AND(ISNUMBER('Raw Data'!E59),'Raw Data'!E59=ROUND('Raw Data'!E59,4),IFERROR(ROUND('Raw Data'!E59,4)&lt;=99999999999.99,FALSE))=TRUE,"",_xlfn.REGEXEXTRACT(CELL("address",'Raw Data'!E59), "\$([A-Z]+)\$[0-9]+"))),_xlfn.REGEXEXTRACT(CELL("address",'Raw Data'!E59), "\$([A-Z]+)\$[0-9]+"))</f>
        <v/>
      </c>
      <c r="F59" s="6" t="str" cm="1">
        <f t="array" aca="1" ref="F59" ca="1">IFERROR(IF(OR('Raw Data'!F59="",LEN(TRIM('Raw Data'!F59))=0),"",IF(AND(ISNUMBER('Raw Data'!F59),'Raw Data'!F59=ROUND('Raw Data'!F59,4),IFERROR(ROUND('Raw Data'!F59,4)&lt;=99999999999.99,FALSE))=TRUE,"",_xlfn.REGEXEXTRACT(CELL("address",'Raw Data'!F59), "\$([A-Z]+)\$[0-9]+"))),_xlfn.REGEXEXTRACT(CELL("address",'Raw Data'!F59), "\$([A-Z]+)\$[0-9]+"))</f>
        <v/>
      </c>
      <c r="G59" s="6" t="str" cm="1">
        <f t="array" aca="1" ref="G59" ca="1">IFERROR(IF(OR('Raw Data'!G59="",LEN(TRIM('Raw Data'!G59))=0),"",IF(AND(ISNUMBER('Raw Data'!G59),'Raw Data'!G59=ROUND('Raw Data'!G59,4),IFERROR(ROUND('Raw Data'!G59,4)&lt;=99999999999.99,FALSE))=TRUE,"",_xlfn.REGEXEXTRACT(CELL("address",'Raw Data'!G59), "\$([A-Z]+)\$[0-9]+"))),_xlfn.REGEXEXTRACT(CELL("address",'Raw Data'!G59), "\$([A-Z]+)\$[0-9]+"))</f>
        <v/>
      </c>
      <c r="H59" s="6" t="str" cm="1">
        <f t="array" aca="1" ref="H59" ca="1">IFERROR(IF(OR('Raw Data'!H59="",LEN(TRIM('Raw Data'!H59))=0),"",IF(AND(ISNUMBER('Raw Data'!H59),'Raw Data'!H59=ROUND('Raw Data'!H59,4),IFERROR(ROUND('Raw Data'!H59,4)&lt;=99999999999.99,FALSE))=TRUE,"",_xlfn.REGEXEXTRACT(CELL("address",'Raw Data'!H59), "\$([A-Z]+)\$[0-9]+"))),_xlfn.REGEXEXTRACT(CELL("address",'Raw Data'!H59), "\$([A-Z]+)\$[0-9]+"))</f>
        <v/>
      </c>
      <c r="I59" s="6" t="str" cm="1">
        <f t="array" aca="1" ref="I59" ca="1">IFERROR(IF(OR('Raw Data'!I59="",LEN(TRIM('Raw Data'!I59))=0),"",IF(AND(ISNUMBER('Raw Data'!I59),'Raw Data'!I59=ROUND('Raw Data'!I59,4),IFERROR(ROUND('Raw Data'!I59,4)&lt;=99999999999.99,FALSE))=TRUE,"",_xlfn.REGEXEXTRACT(CELL("address",'Raw Data'!I59), "\$([A-Z]+)\$[0-9]+"))),_xlfn.REGEXEXTRACT(CELL("address",'Raw Data'!I59), "\$([A-Z]+)\$[0-9]+"))</f>
        <v/>
      </c>
      <c r="J59" s="6" t="str" cm="1">
        <f t="array" aca="1" ref="J59" ca="1">IFERROR(IF(OR('Raw Data'!J59="",LEN(TRIM('Raw Data'!J59))=0),"",IF(AND(ISNUMBER('Raw Data'!J59),'Raw Data'!J59=ROUND('Raw Data'!J59,4),IFERROR(ROUND('Raw Data'!J59,4)&lt;=99999999999.99,FALSE))=TRUE,"",_xlfn.REGEXEXTRACT(CELL("address",'Raw Data'!J59), "\$([A-Z]+)\$[0-9]+"))),_xlfn.REGEXEXTRACT(CELL("address",'Raw Data'!J59), "\$([A-Z]+)\$[0-9]+"))</f>
        <v/>
      </c>
    </row>
    <row r="60" spans="2:10" x14ac:dyDescent="0.25">
      <c r="B60" s="6" t="str" cm="1">
        <f t="array" aca="1" ref="B60" ca="1">IFERROR(IF(OR('Raw Data'!B60="",LEN(TRIM('Raw Data'!B60))=0),"",IF(AND(LEN('Raw Data'!B60) &lt;= 255,LEN('Raw Data'!B60)&gt; 0),"",_xlfn.REGEXEXTRACT(CELL("address",'Raw Data'!B60),"\$([A-Z]+)\$[0-9]+"))),_xlfn.REGEXEXTRACT(CELL("address",'Raw Data'!B60),"\$([A-Z]+)\$[0-9]+"))</f>
        <v/>
      </c>
      <c r="C60" s="6" t="str" cm="1">
        <f t="array" aca="1" ref="C60" ca="1">IFERROR(IF(OR('Raw Data'!C60="",LEN(TRIM('Raw Data'!C60))=0),"",IF(AND(LEN('Raw Data'!C60) &lt;= 20,LEN('Raw Data'!C60)&gt; 0),"",_xlfn.REGEXEXTRACT(CELL("address",'Raw Data'!C60),"\$([A-Z]+)\$[0-9]+"))),_xlfn.REGEXEXTRACT(CELL("address",'Raw Data'!C60),"\$([A-Z]+)\$[0-9]+"))</f>
        <v/>
      </c>
      <c r="D60" s="6" t="str" cm="1">
        <f t="array" aca="1" ref="D60" ca="1">IFERROR(IF(OR('Raw Data'!D60="",LEN(TRIM('Raw Data'!D60))=0),"",IF(AND(ISNUMBER('Raw Data'!D60),'Raw Data'!D60&gt;=Configuration!$D$2),"",_xlfn.REGEXEXTRACT(CELL("address",'Raw Data'!D60),"\$([A-Z]+)\$[0-9]+"))),_xlfn.REGEXEXTRACT(CELL("address",D60), "\$([A-Z]+)\$[0-9]+"))</f>
        <v/>
      </c>
      <c r="E60" s="6" t="str" cm="1">
        <f t="array" aca="1" ref="E60" ca="1">IFERROR(IF(OR('Raw Data'!E60="",LEN(TRIM('Raw Data'!E60))=0),"",IF(AND(ISNUMBER('Raw Data'!E60),'Raw Data'!E60=ROUND('Raw Data'!E60,4),IFERROR(ROUND('Raw Data'!E60,4)&lt;=99999999999.99,FALSE))=TRUE,"",_xlfn.REGEXEXTRACT(CELL("address",'Raw Data'!E60), "\$([A-Z]+)\$[0-9]+"))),_xlfn.REGEXEXTRACT(CELL("address",'Raw Data'!E60), "\$([A-Z]+)\$[0-9]+"))</f>
        <v/>
      </c>
      <c r="F60" s="6" t="str" cm="1">
        <f t="array" aca="1" ref="F60" ca="1">IFERROR(IF(OR('Raw Data'!F60="",LEN(TRIM('Raw Data'!F60))=0),"",IF(AND(ISNUMBER('Raw Data'!F60),'Raw Data'!F60=ROUND('Raw Data'!F60,4),IFERROR(ROUND('Raw Data'!F60,4)&lt;=99999999999.99,FALSE))=TRUE,"",_xlfn.REGEXEXTRACT(CELL("address",'Raw Data'!F60), "\$([A-Z]+)\$[0-9]+"))),_xlfn.REGEXEXTRACT(CELL("address",'Raw Data'!F60), "\$([A-Z]+)\$[0-9]+"))</f>
        <v/>
      </c>
      <c r="G60" s="6" t="str" cm="1">
        <f t="array" aca="1" ref="G60" ca="1">IFERROR(IF(OR('Raw Data'!G60="",LEN(TRIM('Raw Data'!G60))=0),"",IF(AND(ISNUMBER('Raw Data'!G60),'Raw Data'!G60=ROUND('Raw Data'!G60,4),IFERROR(ROUND('Raw Data'!G60,4)&lt;=99999999999.99,FALSE))=TRUE,"",_xlfn.REGEXEXTRACT(CELL("address",'Raw Data'!G60), "\$([A-Z]+)\$[0-9]+"))),_xlfn.REGEXEXTRACT(CELL("address",'Raw Data'!G60), "\$([A-Z]+)\$[0-9]+"))</f>
        <v/>
      </c>
      <c r="H60" s="6" t="str" cm="1">
        <f t="array" aca="1" ref="H60" ca="1">IFERROR(IF(OR('Raw Data'!H60="",LEN(TRIM('Raw Data'!H60))=0),"",IF(AND(ISNUMBER('Raw Data'!H60),'Raw Data'!H60=ROUND('Raw Data'!H60,4),IFERROR(ROUND('Raw Data'!H60,4)&lt;=99999999999.99,FALSE))=TRUE,"",_xlfn.REGEXEXTRACT(CELL("address",'Raw Data'!H60), "\$([A-Z]+)\$[0-9]+"))),_xlfn.REGEXEXTRACT(CELL("address",'Raw Data'!H60), "\$([A-Z]+)\$[0-9]+"))</f>
        <v/>
      </c>
      <c r="I60" s="6" t="str" cm="1">
        <f t="array" aca="1" ref="I60" ca="1">IFERROR(IF(OR('Raw Data'!I60="",LEN(TRIM('Raw Data'!I60))=0),"",IF(AND(ISNUMBER('Raw Data'!I60),'Raw Data'!I60=ROUND('Raw Data'!I60,4),IFERROR(ROUND('Raw Data'!I60,4)&lt;=99999999999.99,FALSE))=TRUE,"",_xlfn.REGEXEXTRACT(CELL("address",'Raw Data'!I60), "\$([A-Z]+)\$[0-9]+"))),_xlfn.REGEXEXTRACT(CELL("address",'Raw Data'!I60), "\$([A-Z]+)\$[0-9]+"))</f>
        <v/>
      </c>
      <c r="J60" s="6" t="str" cm="1">
        <f t="array" aca="1" ref="J60" ca="1">IFERROR(IF(OR('Raw Data'!J60="",LEN(TRIM('Raw Data'!J60))=0),"",IF(AND(ISNUMBER('Raw Data'!J60),'Raw Data'!J60=ROUND('Raw Data'!J60,4),IFERROR(ROUND('Raw Data'!J60,4)&lt;=99999999999.99,FALSE))=TRUE,"",_xlfn.REGEXEXTRACT(CELL("address",'Raw Data'!J60), "\$([A-Z]+)\$[0-9]+"))),_xlfn.REGEXEXTRACT(CELL("address",'Raw Data'!J60), "\$([A-Z]+)\$[0-9]+"))</f>
        <v/>
      </c>
    </row>
    <row r="61" spans="2:10" x14ac:dyDescent="0.25">
      <c r="B61" s="6" t="str" cm="1">
        <f t="array" aca="1" ref="B61" ca="1">IFERROR(IF(OR('Raw Data'!B61="",LEN(TRIM('Raw Data'!B61))=0),"",IF(AND(LEN('Raw Data'!B61) &lt;= 255,LEN('Raw Data'!B61)&gt; 0),"",_xlfn.REGEXEXTRACT(CELL("address",'Raw Data'!B61),"\$([A-Z]+)\$[0-9]+"))),_xlfn.REGEXEXTRACT(CELL("address",'Raw Data'!B61),"\$([A-Z]+)\$[0-9]+"))</f>
        <v/>
      </c>
      <c r="C61" s="6" t="str" cm="1">
        <f t="array" aca="1" ref="C61" ca="1">IFERROR(IF(OR('Raw Data'!C61="",LEN(TRIM('Raw Data'!C61))=0),"",IF(AND(LEN('Raw Data'!C61) &lt;= 20,LEN('Raw Data'!C61)&gt; 0),"",_xlfn.REGEXEXTRACT(CELL("address",'Raw Data'!C61),"\$([A-Z]+)\$[0-9]+"))),_xlfn.REGEXEXTRACT(CELL("address",'Raw Data'!C61),"\$([A-Z]+)\$[0-9]+"))</f>
        <v/>
      </c>
      <c r="D61" s="6" t="str" cm="1">
        <f t="array" aca="1" ref="D61" ca="1">IFERROR(IF(OR('Raw Data'!D61="",LEN(TRIM('Raw Data'!D61))=0),"",IF(AND(ISNUMBER('Raw Data'!D61),'Raw Data'!D61&gt;=Configuration!$D$2),"",_xlfn.REGEXEXTRACT(CELL("address",'Raw Data'!D61),"\$([A-Z]+)\$[0-9]+"))),_xlfn.REGEXEXTRACT(CELL("address",D61), "\$([A-Z]+)\$[0-9]+"))</f>
        <v/>
      </c>
      <c r="E61" s="6" t="str" cm="1">
        <f t="array" aca="1" ref="E61" ca="1">IFERROR(IF(OR('Raw Data'!E61="",LEN(TRIM('Raw Data'!E61))=0),"",IF(AND(ISNUMBER('Raw Data'!E61),'Raw Data'!E61=ROUND('Raw Data'!E61,4),IFERROR(ROUND('Raw Data'!E61,4)&lt;=99999999999.99,FALSE))=TRUE,"",_xlfn.REGEXEXTRACT(CELL("address",'Raw Data'!E61), "\$([A-Z]+)\$[0-9]+"))),_xlfn.REGEXEXTRACT(CELL("address",'Raw Data'!E61), "\$([A-Z]+)\$[0-9]+"))</f>
        <v/>
      </c>
      <c r="F61" s="6" t="str" cm="1">
        <f t="array" aca="1" ref="F61" ca="1">IFERROR(IF(OR('Raw Data'!F61="",LEN(TRIM('Raw Data'!F61))=0),"",IF(AND(ISNUMBER('Raw Data'!F61),'Raw Data'!F61=ROUND('Raw Data'!F61,4),IFERROR(ROUND('Raw Data'!F61,4)&lt;=99999999999.99,FALSE))=TRUE,"",_xlfn.REGEXEXTRACT(CELL("address",'Raw Data'!F61), "\$([A-Z]+)\$[0-9]+"))),_xlfn.REGEXEXTRACT(CELL("address",'Raw Data'!F61), "\$([A-Z]+)\$[0-9]+"))</f>
        <v/>
      </c>
      <c r="G61" s="6" t="str" cm="1">
        <f t="array" aca="1" ref="G61" ca="1">IFERROR(IF(OR('Raw Data'!G61="",LEN(TRIM('Raw Data'!G61))=0),"",IF(AND(ISNUMBER('Raw Data'!G61),'Raw Data'!G61=ROUND('Raw Data'!G61,4),IFERROR(ROUND('Raw Data'!G61,4)&lt;=99999999999.99,FALSE))=TRUE,"",_xlfn.REGEXEXTRACT(CELL("address",'Raw Data'!G61), "\$([A-Z]+)\$[0-9]+"))),_xlfn.REGEXEXTRACT(CELL("address",'Raw Data'!G61), "\$([A-Z]+)\$[0-9]+"))</f>
        <v/>
      </c>
      <c r="H61" s="6" t="str" cm="1">
        <f t="array" aca="1" ref="H61" ca="1">IFERROR(IF(OR('Raw Data'!H61="",LEN(TRIM('Raw Data'!H61))=0),"",IF(AND(ISNUMBER('Raw Data'!H61),'Raw Data'!H61=ROUND('Raw Data'!H61,4),IFERROR(ROUND('Raw Data'!H61,4)&lt;=99999999999.99,FALSE))=TRUE,"",_xlfn.REGEXEXTRACT(CELL("address",'Raw Data'!H61), "\$([A-Z]+)\$[0-9]+"))),_xlfn.REGEXEXTRACT(CELL("address",'Raw Data'!H61), "\$([A-Z]+)\$[0-9]+"))</f>
        <v/>
      </c>
      <c r="I61" s="6" t="str" cm="1">
        <f t="array" aca="1" ref="I61" ca="1">IFERROR(IF(OR('Raw Data'!I61="",LEN(TRIM('Raw Data'!I61))=0),"",IF(AND(ISNUMBER('Raw Data'!I61),'Raw Data'!I61=ROUND('Raw Data'!I61,4),IFERROR(ROUND('Raw Data'!I61,4)&lt;=99999999999.99,FALSE))=TRUE,"",_xlfn.REGEXEXTRACT(CELL("address",'Raw Data'!I61), "\$([A-Z]+)\$[0-9]+"))),_xlfn.REGEXEXTRACT(CELL("address",'Raw Data'!I61), "\$([A-Z]+)\$[0-9]+"))</f>
        <v/>
      </c>
      <c r="J61" s="6" t="str" cm="1">
        <f t="array" aca="1" ref="J61" ca="1">IFERROR(IF(OR('Raw Data'!J61="",LEN(TRIM('Raw Data'!J61))=0),"",IF(AND(ISNUMBER('Raw Data'!J61),'Raw Data'!J61=ROUND('Raw Data'!J61,4),IFERROR(ROUND('Raw Data'!J61,4)&lt;=99999999999.99,FALSE))=TRUE,"",_xlfn.REGEXEXTRACT(CELL("address",'Raw Data'!J61), "\$([A-Z]+)\$[0-9]+"))),_xlfn.REGEXEXTRACT(CELL("address",'Raw Data'!J61), "\$([A-Z]+)\$[0-9]+"))</f>
        <v/>
      </c>
    </row>
    <row r="62" spans="2:10" x14ac:dyDescent="0.25">
      <c r="B62" s="6" t="str" cm="1">
        <f t="array" aca="1" ref="B62" ca="1">IFERROR(IF(OR('Raw Data'!B62="",LEN(TRIM('Raw Data'!B62))=0),"",IF(AND(LEN('Raw Data'!B62) &lt;= 255,LEN('Raw Data'!B62)&gt; 0),"",_xlfn.REGEXEXTRACT(CELL("address",'Raw Data'!B62),"\$([A-Z]+)\$[0-9]+"))),_xlfn.REGEXEXTRACT(CELL("address",'Raw Data'!B62),"\$([A-Z]+)\$[0-9]+"))</f>
        <v/>
      </c>
      <c r="C62" s="6" t="str" cm="1">
        <f t="array" aca="1" ref="C62" ca="1">IFERROR(IF(OR('Raw Data'!C62="",LEN(TRIM('Raw Data'!C62))=0),"",IF(AND(LEN('Raw Data'!C62) &lt;= 20,LEN('Raw Data'!C62)&gt; 0),"",_xlfn.REGEXEXTRACT(CELL("address",'Raw Data'!C62),"\$([A-Z]+)\$[0-9]+"))),_xlfn.REGEXEXTRACT(CELL("address",'Raw Data'!C62),"\$([A-Z]+)\$[0-9]+"))</f>
        <v/>
      </c>
      <c r="D62" s="6" t="str" cm="1">
        <f t="array" aca="1" ref="D62" ca="1">IFERROR(IF(OR('Raw Data'!D62="",LEN(TRIM('Raw Data'!D62))=0),"",IF(AND(ISNUMBER('Raw Data'!D62),'Raw Data'!D62&gt;=Configuration!$D$2),"",_xlfn.REGEXEXTRACT(CELL("address",'Raw Data'!D62),"\$([A-Z]+)\$[0-9]+"))),_xlfn.REGEXEXTRACT(CELL("address",D62), "\$([A-Z]+)\$[0-9]+"))</f>
        <v/>
      </c>
      <c r="E62" s="6" t="str" cm="1">
        <f t="array" aca="1" ref="E62" ca="1">IFERROR(IF(OR('Raw Data'!E62="",LEN(TRIM('Raw Data'!E62))=0),"",IF(AND(ISNUMBER('Raw Data'!E62),'Raw Data'!E62=ROUND('Raw Data'!E62,4),IFERROR(ROUND('Raw Data'!E62,4)&lt;=99999999999.99,FALSE))=TRUE,"",_xlfn.REGEXEXTRACT(CELL("address",'Raw Data'!E62), "\$([A-Z]+)\$[0-9]+"))),_xlfn.REGEXEXTRACT(CELL("address",'Raw Data'!E62), "\$([A-Z]+)\$[0-9]+"))</f>
        <v/>
      </c>
      <c r="F62" s="6" t="str" cm="1">
        <f t="array" aca="1" ref="F62" ca="1">IFERROR(IF(OR('Raw Data'!F62="",LEN(TRIM('Raw Data'!F62))=0),"",IF(AND(ISNUMBER('Raw Data'!F62),'Raw Data'!F62=ROUND('Raw Data'!F62,4),IFERROR(ROUND('Raw Data'!F62,4)&lt;=99999999999.99,FALSE))=TRUE,"",_xlfn.REGEXEXTRACT(CELL("address",'Raw Data'!F62), "\$([A-Z]+)\$[0-9]+"))),_xlfn.REGEXEXTRACT(CELL("address",'Raw Data'!F62), "\$([A-Z]+)\$[0-9]+"))</f>
        <v/>
      </c>
      <c r="G62" s="6" t="str" cm="1">
        <f t="array" aca="1" ref="G62" ca="1">IFERROR(IF(OR('Raw Data'!G62="",LEN(TRIM('Raw Data'!G62))=0),"",IF(AND(ISNUMBER('Raw Data'!G62),'Raw Data'!G62=ROUND('Raw Data'!G62,4),IFERROR(ROUND('Raw Data'!G62,4)&lt;=99999999999.99,FALSE))=TRUE,"",_xlfn.REGEXEXTRACT(CELL("address",'Raw Data'!G62), "\$([A-Z]+)\$[0-9]+"))),_xlfn.REGEXEXTRACT(CELL("address",'Raw Data'!G62), "\$([A-Z]+)\$[0-9]+"))</f>
        <v/>
      </c>
      <c r="H62" s="6" t="str" cm="1">
        <f t="array" aca="1" ref="H62" ca="1">IFERROR(IF(OR('Raw Data'!H62="",LEN(TRIM('Raw Data'!H62))=0),"",IF(AND(ISNUMBER('Raw Data'!H62),'Raw Data'!H62=ROUND('Raw Data'!H62,4),IFERROR(ROUND('Raw Data'!H62,4)&lt;=99999999999.99,FALSE))=TRUE,"",_xlfn.REGEXEXTRACT(CELL("address",'Raw Data'!H62), "\$([A-Z]+)\$[0-9]+"))),_xlfn.REGEXEXTRACT(CELL("address",'Raw Data'!H62), "\$([A-Z]+)\$[0-9]+"))</f>
        <v/>
      </c>
      <c r="I62" s="6" t="str" cm="1">
        <f t="array" aca="1" ref="I62" ca="1">IFERROR(IF(OR('Raw Data'!I62="",LEN(TRIM('Raw Data'!I62))=0),"",IF(AND(ISNUMBER('Raw Data'!I62),'Raw Data'!I62=ROUND('Raw Data'!I62,4),IFERROR(ROUND('Raw Data'!I62,4)&lt;=99999999999.99,FALSE))=TRUE,"",_xlfn.REGEXEXTRACT(CELL("address",'Raw Data'!I62), "\$([A-Z]+)\$[0-9]+"))),_xlfn.REGEXEXTRACT(CELL("address",'Raw Data'!I62), "\$([A-Z]+)\$[0-9]+"))</f>
        <v/>
      </c>
      <c r="J62" s="6" t="str" cm="1">
        <f t="array" aca="1" ref="J62" ca="1">IFERROR(IF(OR('Raw Data'!J62="",LEN(TRIM('Raw Data'!J62))=0),"",IF(AND(ISNUMBER('Raw Data'!J62),'Raw Data'!J62=ROUND('Raw Data'!J62,4),IFERROR(ROUND('Raw Data'!J62,4)&lt;=99999999999.99,FALSE))=TRUE,"",_xlfn.REGEXEXTRACT(CELL("address",'Raw Data'!J62), "\$([A-Z]+)\$[0-9]+"))),_xlfn.REGEXEXTRACT(CELL("address",'Raw Data'!J62), "\$([A-Z]+)\$[0-9]+"))</f>
        <v/>
      </c>
    </row>
    <row r="63" spans="2:10" x14ac:dyDescent="0.25">
      <c r="B63" s="6" t="str" cm="1">
        <f t="array" aca="1" ref="B63" ca="1">IFERROR(IF(OR('Raw Data'!B63="",LEN(TRIM('Raw Data'!B63))=0),"",IF(AND(LEN('Raw Data'!B63) &lt;= 255,LEN('Raw Data'!B63)&gt; 0),"",_xlfn.REGEXEXTRACT(CELL("address",'Raw Data'!B63),"\$([A-Z]+)\$[0-9]+"))),_xlfn.REGEXEXTRACT(CELL("address",'Raw Data'!B63),"\$([A-Z]+)\$[0-9]+"))</f>
        <v/>
      </c>
      <c r="C63" s="6" t="str" cm="1">
        <f t="array" aca="1" ref="C63" ca="1">IFERROR(IF(OR('Raw Data'!C63="",LEN(TRIM('Raw Data'!C63))=0),"",IF(AND(LEN('Raw Data'!C63) &lt;= 20,LEN('Raw Data'!C63)&gt; 0),"",_xlfn.REGEXEXTRACT(CELL("address",'Raw Data'!C63),"\$([A-Z]+)\$[0-9]+"))),_xlfn.REGEXEXTRACT(CELL("address",'Raw Data'!C63),"\$([A-Z]+)\$[0-9]+"))</f>
        <v/>
      </c>
      <c r="D63" s="6" t="str" cm="1">
        <f t="array" aca="1" ref="D63" ca="1">IFERROR(IF(OR('Raw Data'!D63="",LEN(TRIM('Raw Data'!D63))=0),"",IF(AND(ISNUMBER('Raw Data'!D63),'Raw Data'!D63&gt;=Configuration!$D$2),"",_xlfn.REGEXEXTRACT(CELL("address",'Raw Data'!D63),"\$([A-Z]+)\$[0-9]+"))),_xlfn.REGEXEXTRACT(CELL("address",D63), "\$([A-Z]+)\$[0-9]+"))</f>
        <v/>
      </c>
      <c r="E63" s="6" t="str" cm="1">
        <f t="array" aca="1" ref="E63" ca="1">IFERROR(IF(OR('Raw Data'!E63="",LEN(TRIM('Raw Data'!E63))=0),"",IF(AND(ISNUMBER('Raw Data'!E63),'Raw Data'!E63=ROUND('Raw Data'!E63,4),IFERROR(ROUND('Raw Data'!E63,4)&lt;=99999999999.99,FALSE))=TRUE,"",_xlfn.REGEXEXTRACT(CELL("address",'Raw Data'!E63), "\$([A-Z]+)\$[0-9]+"))),_xlfn.REGEXEXTRACT(CELL("address",'Raw Data'!E63), "\$([A-Z]+)\$[0-9]+"))</f>
        <v/>
      </c>
      <c r="F63" s="6" t="str" cm="1">
        <f t="array" aca="1" ref="F63" ca="1">IFERROR(IF(OR('Raw Data'!F63="",LEN(TRIM('Raw Data'!F63))=0),"",IF(AND(ISNUMBER('Raw Data'!F63),'Raw Data'!F63=ROUND('Raw Data'!F63,4),IFERROR(ROUND('Raw Data'!F63,4)&lt;=99999999999.99,FALSE))=TRUE,"",_xlfn.REGEXEXTRACT(CELL("address",'Raw Data'!F63), "\$([A-Z]+)\$[0-9]+"))),_xlfn.REGEXEXTRACT(CELL("address",'Raw Data'!F63), "\$([A-Z]+)\$[0-9]+"))</f>
        <v/>
      </c>
      <c r="G63" s="6" t="str" cm="1">
        <f t="array" aca="1" ref="G63" ca="1">IFERROR(IF(OR('Raw Data'!G63="",LEN(TRIM('Raw Data'!G63))=0),"",IF(AND(ISNUMBER('Raw Data'!G63),'Raw Data'!G63=ROUND('Raw Data'!G63,4),IFERROR(ROUND('Raw Data'!G63,4)&lt;=99999999999.99,FALSE))=TRUE,"",_xlfn.REGEXEXTRACT(CELL("address",'Raw Data'!G63), "\$([A-Z]+)\$[0-9]+"))),_xlfn.REGEXEXTRACT(CELL("address",'Raw Data'!G63), "\$([A-Z]+)\$[0-9]+"))</f>
        <v/>
      </c>
      <c r="H63" s="6" t="str" cm="1">
        <f t="array" aca="1" ref="H63" ca="1">IFERROR(IF(OR('Raw Data'!H63="",LEN(TRIM('Raw Data'!H63))=0),"",IF(AND(ISNUMBER('Raw Data'!H63),'Raw Data'!H63=ROUND('Raw Data'!H63,4),IFERROR(ROUND('Raw Data'!H63,4)&lt;=99999999999.99,FALSE))=TRUE,"",_xlfn.REGEXEXTRACT(CELL("address",'Raw Data'!H63), "\$([A-Z]+)\$[0-9]+"))),_xlfn.REGEXEXTRACT(CELL("address",'Raw Data'!H63), "\$([A-Z]+)\$[0-9]+"))</f>
        <v/>
      </c>
      <c r="I63" s="6" t="str" cm="1">
        <f t="array" aca="1" ref="I63" ca="1">IFERROR(IF(OR('Raw Data'!I63="",LEN(TRIM('Raw Data'!I63))=0),"",IF(AND(ISNUMBER('Raw Data'!I63),'Raw Data'!I63=ROUND('Raw Data'!I63,4),IFERROR(ROUND('Raw Data'!I63,4)&lt;=99999999999.99,FALSE))=TRUE,"",_xlfn.REGEXEXTRACT(CELL("address",'Raw Data'!I63), "\$([A-Z]+)\$[0-9]+"))),_xlfn.REGEXEXTRACT(CELL("address",'Raw Data'!I63), "\$([A-Z]+)\$[0-9]+"))</f>
        <v/>
      </c>
      <c r="J63" s="6" t="str" cm="1">
        <f t="array" aca="1" ref="J63" ca="1">IFERROR(IF(OR('Raw Data'!J63="",LEN(TRIM('Raw Data'!J63))=0),"",IF(AND(ISNUMBER('Raw Data'!J63),'Raw Data'!J63=ROUND('Raw Data'!J63,4),IFERROR(ROUND('Raw Data'!J63,4)&lt;=99999999999.99,FALSE))=TRUE,"",_xlfn.REGEXEXTRACT(CELL("address",'Raw Data'!J63), "\$([A-Z]+)\$[0-9]+"))),_xlfn.REGEXEXTRACT(CELL("address",'Raw Data'!J63), "\$([A-Z]+)\$[0-9]+"))</f>
        <v/>
      </c>
    </row>
    <row r="64" spans="2:10" x14ac:dyDescent="0.25">
      <c r="B64" s="6" t="str" cm="1">
        <f t="array" aca="1" ref="B64" ca="1">IFERROR(IF(OR('Raw Data'!B64="",LEN(TRIM('Raw Data'!B64))=0),"",IF(AND(LEN('Raw Data'!B64) &lt;= 255,LEN('Raw Data'!B64)&gt; 0),"",_xlfn.REGEXEXTRACT(CELL("address",'Raw Data'!B64),"\$([A-Z]+)\$[0-9]+"))),_xlfn.REGEXEXTRACT(CELL("address",'Raw Data'!B64),"\$([A-Z]+)\$[0-9]+"))</f>
        <v/>
      </c>
      <c r="C64" s="6" t="str" cm="1">
        <f t="array" aca="1" ref="C64" ca="1">IFERROR(IF(OR('Raw Data'!C64="",LEN(TRIM('Raw Data'!C64))=0),"",IF(AND(LEN('Raw Data'!C64) &lt;= 20,LEN('Raw Data'!C64)&gt; 0),"",_xlfn.REGEXEXTRACT(CELL("address",'Raw Data'!C64),"\$([A-Z]+)\$[0-9]+"))),_xlfn.REGEXEXTRACT(CELL("address",'Raw Data'!C64),"\$([A-Z]+)\$[0-9]+"))</f>
        <v/>
      </c>
      <c r="D64" s="6" t="str" cm="1">
        <f t="array" aca="1" ref="D64" ca="1">IFERROR(IF(OR('Raw Data'!D64="",LEN(TRIM('Raw Data'!D64))=0),"",IF(AND(ISNUMBER('Raw Data'!D64),'Raw Data'!D64&gt;=Configuration!$D$2),"",_xlfn.REGEXEXTRACT(CELL("address",'Raw Data'!D64),"\$([A-Z]+)\$[0-9]+"))),_xlfn.REGEXEXTRACT(CELL("address",D64), "\$([A-Z]+)\$[0-9]+"))</f>
        <v/>
      </c>
      <c r="E64" s="6" t="str" cm="1">
        <f t="array" aca="1" ref="E64" ca="1">IFERROR(IF(OR('Raw Data'!E64="",LEN(TRIM('Raw Data'!E64))=0),"",IF(AND(ISNUMBER('Raw Data'!E64),'Raw Data'!E64=ROUND('Raw Data'!E64,4),IFERROR(ROUND('Raw Data'!E64,4)&lt;=99999999999.99,FALSE))=TRUE,"",_xlfn.REGEXEXTRACT(CELL("address",'Raw Data'!E64), "\$([A-Z]+)\$[0-9]+"))),_xlfn.REGEXEXTRACT(CELL("address",'Raw Data'!E64), "\$([A-Z]+)\$[0-9]+"))</f>
        <v/>
      </c>
      <c r="F64" s="6" t="str" cm="1">
        <f t="array" aca="1" ref="F64" ca="1">IFERROR(IF(OR('Raw Data'!F64="",LEN(TRIM('Raw Data'!F64))=0),"",IF(AND(ISNUMBER('Raw Data'!F64),'Raw Data'!F64=ROUND('Raw Data'!F64,4),IFERROR(ROUND('Raw Data'!F64,4)&lt;=99999999999.99,FALSE))=TRUE,"",_xlfn.REGEXEXTRACT(CELL("address",'Raw Data'!F64), "\$([A-Z]+)\$[0-9]+"))),_xlfn.REGEXEXTRACT(CELL("address",'Raw Data'!F64), "\$([A-Z]+)\$[0-9]+"))</f>
        <v/>
      </c>
      <c r="G64" s="6" t="str" cm="1">
        <f t="array" aca="1" ref="G64" ca="1">IFERROR(IF(OR('Raw Data'!G64="",LEN(TRIM('Raw Data'!G64))=0),"",IF(AND(ISNUMBER('Raw Data'!G64),'Raw Data'!G64=ROUND('Raw Data'!G64,4),IFERROR(ROUND('Raw Data'!G64,4)&lt;=99999999999.99,FALSE))=TRUE,"",_xlfn.REGEXEXTRACT(CELL("address",'Raw Data'!G64), "\$([A-Z]+)\$[0-9]+"))),_xlfn.REGEXEXTRACT(CELL("address",'Raw Data'!G64), "\$([A-Z]+)\$[0-9]+"))</f>
        <v/>
      </c>
      <c r="H64" s="6" t="str" cm="1">
        <f t="array" aca="1" ref="H64" ca="1">IFERROR(IF(OR('Raw Data'!H64="",LEN(TRIM('Raw Data'!H64))=0),"",IF(AND(ISNUMBER('Raw Data'!H64),'Raw Data'!H64=ROUND('Raw Data'!H64,4),IFERROR(ROUND('Raw Data'!H64,4)&lt;=99999999999.99,FALSE))=TRUE,"",_xlfn.REGEXEXTRACT(CELL("address",'Raw Data'!H64), "\$([A-Z]+)\$[0-9]+"))),_xlfn.REGEXEXTRACT(CELL("address",'Raw Data'!H64), "\$([A-Z]+)\$[0-9]+"))</f>
        <v/>
      </c>
      <c r="I64" s="6" t="str" cm="1">
        <f t="array" aca="1" ref="I64" ca="1">IFERROR(IF(OR('Raw Data'!I64="",LEN(TRIM('Raw Data'!I64))=0),"",IF(AND(ISNUMBER('Raw Data'!I64),'Raw Data'!I64=ROUND('Raw Data'!I64,4),IFERROR(ROUND('Raw Data'!I64,4)&lt;=99999999999.99,FALSE))=TRUE,"",_xlfn.REGEXEXTRACT(CELL("address",'Raw Data'!I64), "\$([A-Z]+)\$[0-9]+"))),_xlfn.REGEXEXTRACT(CELL("address",'Raw Data'!I64), "\$([A-Z]+)\$[0-9]+"))</f>
        <v/>
      </c>
      <c r="J64" s="6" t="str" cm="1">
        <f t="array" aca="1" ref="J64" ca="1">IFERROR(IF(OR('Raw Data'!J64="",LEN(TRIM('Raw Data'!J64))=0),"",IF(AND(ISNUMBER('Raw Data'!J64),'Raw Data'!J64=ROUND('Raw Data'!J64,4),IFERROR(ROUND('Raw Data'!J64,4)&lt;=99999999999.99,FALSE))=TRUE,"",_xlfn.REGEXEXTRACT(CELL("address",'Raw Data'!J64), "\$([A-Z]+)\$[0-9]+"))),_xlfn.REGEXEXTRACT(CELL("address",'Raw Data'!J64), "\$([A-Z]+)\$[0-9]+"))</f>
        <v/>
      </c>
    </row>
    <row r="65" spans="2:10" x14ac:dyDescent="0.25">
      <c r="B65" s="6" t="str" cm="1">
        <f t="array" aca="1" ref="B65" ca="1">IFERROR(IF(OR('Raw Data'!B65="",LEN(TRIM('Raw Data'!B65))=0),"",IF(AND(LEN('Raw Data'!B65) &lt;= 255,LEN('Raw Data'!B65)&gt; 0),"",_xlfn.REGEXEXTRACT(CELL("address",'Raw Data'!B65),"\$([A-Z]+)\$[0-9]+"))),_xlfn.REGEXEXTRACT(CELL("address",'Raw Data'!B65),"\$([A-Z]+)\$[0-9]+"))</f>
        <v/>
      </c>
      <c r="C65" s="6" t="str" cm="1">
        <f t="array" aca="1" ref="C65" ca="1">IFERROR(IF(OR('Raw Data'!C65="",LEN(TRIM('Raw Data'!C65))=0),"",IF(AND(LEN('Raw Data'!C65) &lt;= 20,LEN('Raw Data'!C65)&gt; 0),"",_xlfn.REGEXEXTRACT(CELL("address",'Raw Data'!C65),"\$([A-Z]+)\$[0-9]+"))),_xlfn.REGEXEXTRACT(CELL("address",'Raw Data'!C65),"\$([A-Z]+)\$[0-9]+"))</f>
        <v/>
      </c>
      <c r="D65" s="6" t="str" cm="1">
        <f t="array" aca="1" ref="D65" ca="1">IFERROR(IF(OR('Raw Data'!D65="",LEN(TRIM('Raw Data'!D65))=0),"",IF(AND(ISNUMBER('Raw Data'!D65),'Raw Data'!D65&gt;=Configuration!$D$2),"",_xlfn.REGEXEXTRACT(CELL("address",'Raw Data'!D65),"\$([A-Z]+)\$[0-9]+"))),_xlfn.REGEXEXTRACT(CELL("address",D65), "\$([A-Z]+)\$[0-9]+"))</f>
        <v/>
      </c>
      <c r="E65" s="6" t="str" cm="1">
        <f t="array" aca="1" ref="E65" ca="1">IFERROR(IF(OR('Raw Data'!E65="",LEN(TRIM('Raw Data'!E65))=0),"",IF(AND(ISNUMBER('Raw Data'!E65),'Raw Data'!E65=ROUND('Raw Data'!E65,4),IFERROR(ROUND('Raw Data'!E65,4)&lt;=99999999999.99,FALSE))=TRUE,"",_xlfn.REGEXEXTRACT(CELL("address",'Raw Data'!E65), "\$([A-Z]+)\$[0-9]+"))),_xlfn.REGEXEXTRACT(CELL("address",'Raw Data'!E65), "\$([A-Z]+)\$[0-9]+"))</f>
        <v/>
      </c>
      <c r="F65" s="6" t="str" cm="1">
        <f t="array" aca="1" ref="F65" ca="1">IFERROR(IF(OR('Raw Data'!F65="",LEN(TRIM('Raw Data'!F65))=0),"",IF(AND(ISNUMBER('Raw Data'!F65),'Raw Data'!F65=ROUND('Raw Data'!F65,4),IFERROR(ROUND('Raw Data'!F65,4)&lt;=99999999999.99,FALSE))=TRUE,"",_xlfn.REGEXEXTRACT(CELL("address",'Raw Data'!F65), "\$([A-Z]+)\$[0-9]+"))),_xlfn.REGEXEXTRACT(CELL("address",'Raw Data'!F65), "\$([A-Z]+)\$[0-9]+"))</f>
        <v/>
      </c>
      <c r="G65" s="6" t="str" cm="1">
        <f t="array" aca="1" ref="G65" ca="1">IFERROR(IF(OR('Raw Data'!G65="",LEN(TRIM('Raw Data'!G65))=0),"",IF(AND(ISNUMBER('Raw Data'!G65),'Raw Data'!G65=ROUND('Raw Data'!G65,4),IFERROR(ROUND('Raw Data'!G65,4)&lt;=99999999999.99,FALSE))=TRUE,"",_xlfn.REGEXEXTRACT(CELL("address",'Raw Data'!G65), "\$([A-Z]+)\$[0-9]+"))),_xlfn.REGEXEXTRACT(CELL("address",'Raw Data'!G65), "\$([A-Z]+)\$[0-9]+"))</f>
        <v/>
      </c>
      <c r="H65" s="6" t="str" cm="1">
        <f t="array" aca="1" ref="H65" ca="1">IFERROR(IF(OR('Raw Data'!H65="",LEN(TRIM('Raw Data'!H65))=0),"",IF(AND(ISNUMBER('Raw Data'!H65),'Raw Data'!H65=ROUND('Raw Data'!H65,4),IFERROR(ROUND('Raw Data'!H65,4)&lt;=99999999999.99,FALSE))=TRUE,"",_xlfn.REGEXEXTRACT(CELL("address",'Raw Data'!H65), "\$([A-Z]+)\$[0-9]+"))),_xlfn.REGEXEXTRACT(CELL("address",'Raw Data'!H65), "\$([A-Z]+)\$[0-9]+"))</f>
        <v/>
      </c>
      <c r="I65" s="6" t="str" cm="1">
        <f t="array" aca="1" ref="I65" ca="1">IFERROR(IF(OR('Raw Data'!I65="",LEN(TRIM('Raw Data'!I65))=0),"",IF(AND(ISNUMBER('Raw Data'!I65),'Raw Data'!I65=ROUND('Raw Data'!I65,4),IFERROR(ROUND('Raw Data'!I65,4)&lt;=99999999999.99,FALSE))=TRUE,"",_xlfn.REGEXEXTRACT(CELL("address",'Raw Data'!I65), "\$([A-Z]+)\$[0-9]+"))),_xlfn.REGEXEXTRACT(CELL("address",'Raw Data'!I65), "\$([A-Z]+)\$[0-9]+"))</f>
        <v/>
      </c>
      <c r="J65" s="6" t="str" cm="1">
        <f t="array" aca="1" ref="J65" ca="1">IFERROR(IF(OR('Raw Data'!J65="",LEN(TRIM('Raw Data'!J65))=0),"",IF(AND(ISNUMBER('Raw Data'!J65),'Raw Data'!J65=ROUND('Raw Data'!J65,4),IFERROR(ROUND('Raw Data'!J65,4)&lt;=99999999999.99,FALSE))=TRUE,"",_xlfn.REGEXEXTRACT(CELL("address",'Raw Data'!J65), "\$([A-Z]+)\$[0-9]+"))),_xlfn.REGEXEXTRACT(CELL("address",'Raw Data'!J65), "\$([A-Z]+)\$[0-9]+"))</f>
        <v/>
      </c>
    </row>
    <row r="66" spans="2:10" x14ac:dyDescent="0.25">
      <c r="B66" s="6" t="str" cm="1">
        <f t="array" aca="1" ref="B66" ca="1">IFERROR(IF(OR('Raw Data'!B66="",LEN(TRIM('Raw Data'!B66))=0),"",IF(AND(LEN('Raw Data'!B66) &lt;= 255,LEN('Raw Data'!B66)&gt; 0),"",_xlfn.REGEXEXTRACT(CELL("address",'Raw Data'!B66),"\$([A-Z]+)\$[0-9]+"))),_xlfn.REGEXEXTRACT(CELL("address",'Raw Data'!B66),"\$([A-Z]+)\$[0-9]+"))</f>
        <v/>
      </c>
      <c r="C66" s="6" t="str" cm="1">
        <f t="array" aca="1" ref="C66" ca="1">IFERROR(IF(OR('Raw Data'!C66="",LEN(TRIM('Raw Data'!C66))=0),"",IF(AND(LEN('Raw Data'!C66) &lt;= 20,LEN('Raw Data'!C66)&gt; 0),"",_xlfn.REGEXEXTRACT(CELL("address",'Raw Data'!C66),"\$([A-Z]+)\$[0-9]+"))),_xlfn.REGEXEXTRACT(CELL("address",'Raw Data'!C66),"\$([A-Z]+)\$[0-9]+"))</f>
        <v/>
      </c>
      <c r="D66" s="6" t="str" cm="1">
        <f t="array" aca="1" ref="D66" ca="1">IFERROR(IF(OR('Raw Data'!D66="",LEN(TRIM('Raw Data'!D66))=0),"",IF(AND(ISNUMBER('Raw Data'!D66),'Raw Data'!D66&gt;=Configuration!$D$2),"",_xlfn.REGEXEXTRACT(CELL("address",'Raw Data'!D66),"\$([A-Z]+)\$[0-9]+"))),_xlfn.REGEXEXTRACT(CELL("address",D66), "\$([A-Z]+)\$[0-9]+"))</f>
        <v/>
      </c>
      <c r="E66" s="6" t="str" cm="1">
        <f t="array" aca="1" ref="E66" ca="1">IFERROR(IF(OR('Raw Data'!E66="",LEN(TRIM('Raw Data'!E66))=0),"",IF(AND(ISNUMBER('Raw Data'!E66),'Raw Data'!E66=ROUND('Raw Data'!E66,4),IFERROR(ROUND('Raw Data'!E66,4)&lt;=99999999999.99,FALSE))=TRUE,"",_xlfn.REGEXEXTRACT(CELL("address",'Raw Data'!E66), "\$([A-Z]+)\$[0-9]+"))),_xlfn.REGEXEXTRACT(CELL("address",'Raw Data'!E66), "\$([A-Z]+)\$[0-9]+"))</f>
        <v/>
      </c>
      <c r="F66" s="6" t="str" cm="1">
        <f t="array" aca="1" ref="F66" ca="1">IFERROR(IF(OR('Raw Data'!F66="",LEN(TRIM('Raw Data'!F66))=0),"",IF(AND(ISNUMBER('Raw Data'!F66),'Raw Data'!F66=ROUND('Raw Data'!F66,4),IFERROR(ROUND('Raw Data'!F66,4)&lt;=99999999999.99,FALSE))=TRUE,"",_xlfn.REGEXEXTRACT(CELL("address",'Raw Data'!F66), "\$([A-Z]+)\$[0-9]+"))),_xlfn.REGEXEXTRACT(CELL("address",'Raw Data'!F66), "\$([A-Z]+)\$[0-9]+"))</f>
        <v/>
      </c>
      <c r="G66" s="6" t="str" cm="1">
        <f t="array" aca="1" ref="G66" ca="1">IFERROR(IF(OR('Raw Data'!G66="",LEN(TRIM('Raw Data'!G66))=0),"",IF(AND(ISNUMBER('Raw Data'!G66),'Raw Data'!G66=ROUND('Raw Data'!G66,4),IFERROR(ROUND('Raw Data'!G66,4)&lt;=99999999999.99,FALSE))=TRUE,"",_xlfn.REGEXEXTRACT(CELL("address",'Raw Data'!G66), "\$([A-Z]+)\$[0-9]+"))),_xlfn.REGEXEXTRACT(CELL("address",'Raw Data'!G66), "\$([A-Z]+)\$[0-9]+"))</f>
        <v/>
      </c>
      <c r="H66" s="6" t="str" cm="1">
        <f t="array" aca="1" ref="H66" ca="1">IFERROR(IF(OR('Raw Data'!H66="",LEN(TRIM('Raw Data'!H66))=0),"",IF(AND(ISNUMBER('Raw Data'!H66),'Raw Data'!H66=ROUND('Raw Data'!H66,4),IFERROR(ROUND('Raw Data'!H66,4)&lt;=99999999999.99,FALSE))=TRUE,"",_xlfn.REGEXEXTRACT(CELL("address",'Raw Data'!H66), "\$([A-Z]+)\$[0-9]+"))),_xlfn.REGEXEXTRACT(CELL("address",'Raw Data'!H66), "\$([A-Z]+)\$[0-9]+"))</f>
        <v/>
      </c>
      <c r="I66" s="6" t="str" cm="1">
        <f t="array" aca="1" ref="I66" ca="1">IFERROR(IF(OR('Raw Data'!I66="",LEN(TRIM('Raw Data'!I66))=0),"",IF(AND(ISNUMBER('Raw Data'!I66),'Raw Data'!I66=ROUND('Raw Data'!I66,4),IFERROR(ROUND('Raw Data'!I66,4)&lt;=99999999999.99,FALSE))=TRUE,"",_xlfn.REGEXEXTRACT(CELL("address",'Raw Data'!I66), "\$([A-Z]+)\$[0-9]+"))),_xlfn.REGEXEXTRACT(CELL("address",'Raw Data'!I66), "\$([A-Z]+)\$[0-9]+"))</f>
        <v/>
      </c>
      <c r="J66" s="6" t="str" cm="1">
        <f t="array" aca="1" ref="J66" ca="1">IFERROR(IF(OR('Raw Data'!J66="",LEN(TRIM('Raw Data'!J66))=0),"",IF(AND(ISNUMBER('Raw Data'!J66),'Raw Data'!J66=ROUND('Raw Data'!J66,4),IFERROR(ROUND('Raw Data'!J66,4)&lt;=99999999999.99,FALSE))=TRUE,"",_xlfn.REGEXEXTRACT(CELL("address",'Raw Data'!J66), "\$([A-Z]+)\$[0-9]+"))),_xlfn.REGEXEXTRACT(CELL("address",'Raw Data'!J66), "\$([A-Z]+)\$[0-9]+"))</f>
        <v/>
      </c>
    </row>
    <row r="67" spans="2:10" x14ac:dyDescent="0.25">
      <c r="B67" s="6" t="str" cm="1">
        <f t="array" aca="1" ref="B67" ca="1">IFERROR(IF(OR('Raw Data'!B67="",LEN(TRIM('Raw Data'!B67))=0),"",IF(AND(LEN('Raw Data'!B67) &lt;= 255,LEN('Raw Data'!B67)&gt; 0),"",_xlfn.REGEXEXTRACT(CELL("address",'Raw Data'!B67),"\$([A-Z]+)\$[0-9]+"))),_xlfn.REGEXEXTRACT(CELL("address",'Raw Data'!B67),"\$([A-Z]+)\$[0-9]+"))</f>
        <v/>
      </c>
      <c r="C67" s="6" t="str" cm="1">
        <f t="array" aca="1" ref="C67" ca="1">IFERROR(IF(OR('Raw Data'!C67="",LEN(TRIM('Raw Data'!C67))=0),"",IF(AND(LEN('Raw Data'!C67) &lt;= 20,LEN('Raw Data'!C67)&gt; 0),"",_xlfn.REGEXEXTRACT(CELL("address",'Raw Data'!C67),"\$([A-Z]+)\$[0-9]+"))),_xlfn.REGEXEXTRACT(CELL("address",'Raw Data'!C67),"\$([A-Z]+)\$[0-9]+"))</f>
        <v/>
      </c>
      <c r="D67" s="6" t="str" cm="1">
        <f t="array" aca="1" ref="D67" ca="1">IFERROR(IF(OR('Raw Data'!D67="",LEN(TRIM('Raw Data'!D67))=0),"",IF(AND(ISNUMBER('Raw Data'!D67),'Raw Data'!D67&gt;=Configuration!$D$2),"",_xlfn.REGEXEXTRACT(CELL("address",'Raw Data'!D67),"\$([A-Z]+)\$[0-9]+"))),_xlfn.REGEXEXTRACT(CELL("address",D67), "\$([A-Z]+)\$[0-9]+"))</f>
        <v/>
      </c>
      <c r="E67" s="6" t="str" cm="1">
        <f t="array" aca="1" ref="E67" ca="1">IFERROR(IF(OR('Raw Data'!E67="",LEN(TRIM('Raw Data'!E67))=0),"",IF(AND(ISNUMBER('Raw Data'!E67),'Raw Data'!E67=ROUND('Raw Data'!E67,4),IFERROR(ROUND('Raw Data'!E67,4)&lt;=99999999999.99,FALSE))=TRUE,"",_xlfn.REGEXEXTRACT(CELL("address",'Raw Data'!E67), "\$([A-Z]+)\$[0-9]+"))),_xlfn.REGEXEXTRACT(CELL("address",'Raw Data'!E67), "\$([A-Z]+)\$[0-9]+"))</f>
        <v/>
      </c>
      <c r="F67" s="6" t="str" cm="1">
        <f t="array" aca="1" ref="F67" ca="1">IFERROR(IF(OR('Raw Data'!F67="",LEN(TRIM('Raw Data'!F67))=0),"",IF(AND(ISNUMBER('Raw Data'!F67),'Raw Data'!F67=ROUND('Raw Data'!F67,4),IFERROR(ROUND('Raw Data'!F67,4)&lt;=99999999999.99,FALSE))=TRUE,"",_xlfn.REGEXEXTRACT(CELL("address",'Raw Data'!F67), "\$([A-Z]+)\$[0-9]+"))),_xlfn.REGEXEXTRACT(CELL("address",'Raw Data'!F67), "\$([A-Z]+)\$[0-9]+"))</f>
        <v/>
      </c>
      <c r="G67" s="6" t="str" cm="1">
        <f t="array" aca="1" ref="G67" ca="1">IFERROR(IF(OR('Raw Data'!G67="",LEN(TRIM('Raw Data'!G67))=0),"",IF(AND(ISNUMBER('Raw Data'!G67),'Raw Data'!G67=ROUND('Raw Data'!G67,4),IFERROR(ROUND('Raw Data'!G67,4)&lt;=99999999999.99,FALSE))=TRUE,"",_xlfn.REGEXEXTRACT(CELL("address",'Raw Data'!G67), "\$([A-Z]+)\$[0-9]+"))),_xlfn.REGEXEXTRACT(CELL("address",'Raw Data'!G67), "\$([A-Z]+)\$[0-9]+"))</f>
        <v/>
      </c>
      <c r="H67" s="6" t="str" cm="1">
        <f t="array" aca="1" ref="H67" ca="1">IFERROR(IF(OR('Raw Data'!H67="",LEN(TRIM('Raw Data'!H67))=0),"",IF(AND(ISNUMBER('Raw Data'!H67),'Raw Data'!H67=ROUND('Raw Data'!H67,4),IFERROR(ROUND('Raw Data'!H67,4)&lt;=99999999999.99,FALSE))=TRUE,"",_xlfn.REGEXEXTRACT(CELL("address",'Raw Data'!H67), "\$([A-Z]+)\$[0-9]+"))),_xlfn.REGEXEXTRACT(CELL("address",'Raw Data'!H67), "\$([A-Z]+)\$[0-9]+"))</f>
        <v/>
      </c>
      <c r="I67" s="6" t="str" cm="1">
        <f t="array" aca="1" ref="I67" ca="1">IFERROR(IF(OR('Raw Data'!I67="",LEN(TRIM('Raw Data'!I67))=0),"",IF(AND(ISNUMBER('Raw Data'!I67),'Raw Data'!I67=ROUND('Raw Data'!I67,4),IFERROR(ROUND('Raw Data'!I67,4)&lt;=99999999999.99,FALSE))=TRUE,"",_xlfn.REGEXEXTRACT(CELL("address",'Raw Data'!I67), "\$([A-Z]+)\$[0-9]+"))),_xlfn.REGEXEXTRACT(CELL("address",'Raw Data'!I67), "\$([A-Z]+)\$[0-9]+"))</f>
        <v/>
      </c>
      <c r="J67" s="6" t="str" cm="1">
        <f t="array" aca="1" ref="J67" ca="1">IFERROR(IF(OR('Raw Data'!J67="",LEN(TRIM('Raw Data'!J67))=0),"",IF(AND(ISNUMBER('Raw Data'!J67),'Raw Data'!J67=ROUND('Raw Data'!J67,4),IFERROR(ROUND('Raw Data'!J67,4)&lt;=99999999999.99,FALSE))=TRUE,"",_xlfn.REGEXEXTRACT(CELL("address",'Raw Data'!J67), "\$([A-Z]+)\$[0-9]+"))),_xlfn.REGEXEXTRACT(CELL("address",'Raw Data'!J67), "\$([A-Z]+)\$[0-9]+"))</f>
        <v/>
      </c>
    </row>
    <row r="68" spans="2:10" x14ac:dyDescent="0.25">
      <c r="B68" s="6" t="str" cm="1">
        <f t="array" aca="1" ref="B68" ca="1">IFERROR(IF(OR('Raw Data'!B68="",LEN(TRIM('Raw Data'!B68))=0),"",IF(AND(LEN('Raw Data'!B68) &lt;= 255,LEN('Raw Data'!B68)&gt; 0),"",_xlfn.REGEXEXTRACT(CELL("address",'Raw Data'!B68),"\$([A-Z]+)\$[0-9]+"))),_xlfn.REGEXEXTRACT(CELL("address",'Raw Data'!B68),"\$([A-Z]+)\$[0-9]+"))</f>
        <v/>
      </c>
      <c r="C68" s="6" t="str" cm="1">
        <f t="array" aca="1" ref="C68" ca="1">IFERROR(IF(OR('Raw Data'!C68="",LEN(TRIM('Raw Data'!C68))=0),"",IF(AND(LEN('Raw Data'!C68) &lt;= 20,LEN('Raw Data'!C68)&gt; 0),"",_xlfn.REGEXEXTRACT(CELL("address",'Raw Data'!C68),"\$([A-Z]+)\$[0-9]+"))),_xlfn.REGEXEXTRACT(CELL("address",'Raw Data'!C68),"\$([A-Z]+)\$[0-9]+"))</f>
        <v/>
      </c>
      <c r="D68" s="6" t="str" cm="1">
        <f t="array" aca="1" ref="D68" ca="1">IFERROR(IF(OR('Raw Data'!D68="",LEN(TRIM('Raw Data'!D68))=0),"",IF(AND(ISNUMBER('Raw Data'!D68),'Raw Data'!D68&gt;=Configuration!$D$2),"",_xlfn.REGEXEXTRACT(CELL("address",'Raw Data'!D68),"\$([A-Z]+)\$[0-9]+"))),_xlfn.REGEXEXTRACT(CELL("address",D68), "\$([A-Z]+)\$[0-9]+"))</f>
        <v/>
      </c>
      <c r="E68" s="6" t="str" cm="1">
        <f t="array" aca="1" ref="E68" ca="1">IFERROR(IF(OR('Raw Data'!E68="",LEN(TRIM('Raw Data'!E68))=0),"",IF(AND(ISNUMBER('Raw Data'!E68),'Raw Data'!E68=ROUND('Raw Data'!E68,4),IFERROR(ROUND('Raw Data'!E68,4)&lt;=99999999999.99,FALSE))=TRUE,"",_xlfn.REGEXEXTRACT(CELL("address",'Raw Data'!E68), "\$([A-Z]+)\$[0-9]+"))),_xlfn.REGEXEXTRACT(CELL("address",'Raw Data'!E68), "\$([A-Z]+)\$[0-9]+"))</f>
        <v/>
      </c>
      <c r="F68" s="6" t="str" cm="1">
        <f t="array" aca="1" ref="F68" ca="1">IFERROR(IF(OR('Raw Data'!F68="",LEN(TRIM('Raw Data'!F68))=0),"",IF(AND(ISNUMBER('Raw Data'!F68),'Raw Data'!F68=ROUND('Raw Data'!F68,4),IFERROR(ROUND('Raw Data'!F68,4)&lt;=99999999999.99,FALSE))=TRUE,"",_xlfn.REGEXEXTRACT(CELL("address",'Raw Data'!F68), "\$([A-Z]+)\$[0-9]+"))),_xlfn.REGEXEXTRACT(CELL("address",'Raw Data'!F68), "\$([A-Z]+)\$[0-9]+"))</f>
        <v/>
      </c>
      <c r="G68" s="6" t="str" cm="1">
        <f t="array" aca="1" ref="G68" ca="1">IFERROR(IF(OR('Raw Data'!G68="",LEN(TRIM('Raw Data'!G68))=0),"",IF(AND(ISNUMBER('Raw Data'!G68),'Raw Data'!G68=ROUND('Raw Data'!G68,4),IFERROR(ROUND('Raw Data'!G68,4)&lt;=99999999999.99,FALSE))=TRUE,"",_xlfn.REGEXEXTRACT(CELL("address",'Raw Data'!G68), "\$([A-Z]+)\$[0-9]+"))),_xlfn.REGEXEXTRACT(CELL("address",'Raw Data'!G68), "\$([A-Z]+)\$[0-9]+"))</f>
        <v/>
      </c>
      <c r="H68" s="6" t="str" cm="1">
        <f t="array" aca="1" ref="H68" ca="1">IFERROR(IF(OR('Raw Data'!H68="",LEN(TRIM('Raw Data'!H68))=0),"",IF(AND(ISNUMBER('Raw Data'!H68),'Raw Data'!H68=ROUND('Raw Data'!H68,4),IFERROR(ROUND('Raw Data'!H68,4)&lt;=99999999999.99,FALSE))=TRUE,"",_xlfn.REGEXEXTRACT(CELL("address",'Raw Data'!H68), "\$([A-Z]+)\$[0-9]+"))),_xlfn.REGEXEXTRACT(CELL("address",'Raw Data'!H68), "\$([A-Z]+)\$[0-9]+"))</f>
        <v/>
      </c>
      <c r="I68" s="6" t="str" cm="1">
        <f t="array" aca="1" ref="I68" ca="1">IFERROR(IF(OR('Raw Data'!I68="",LEN(TRIM('Raw Data'!I68))=0),"",IF(AND(ISNUMBER('Raw Data'!I68),'Raw Data'!I68=ROUND('Raw Data'!I68,4),IFERROR(ROUND('Raw Data'!I68,4)&lt;=99999999999.99,FALSE))=TRUE,"",_xlfn.REGEXEXTRACT(CELL("address",'Raw Data'!I68), "\$([A-Z]+)\$[0-9]+"))),_xlfn.REGEXEXTRACT(CELL("address",'Raw Data'!I68), "\$([A-Z]+)\$[0-9]+"))</f>
        <v/>
      </c>
      <c r="J68" s="6" t="str" cm="1">
        <f t="array" aca="1" ref="J68" ca="1">IFERROR(IF(OR('Raw Data'!J68="",LEN(TRIM('Raw Data'!J68))=0),"",IF(AND(ISNUMBER('Raw Data'!J68),'Raw Data'!J68=ROUND('Raw Data'!J68,4),IFERROR(ROUND('Raw Data'!J68,4)&lt;=99999999999.99,FALSE))=TRUE,"",_xlfn.REGEXEXTRACT(CELL("address",'Raw Data'!J68), "\$([A-Z]+)\$[0-9]+"))),_xlfn.REGEXEXTRACT(CELL("address",'Raw Data'!J68), "\$([A-Z]+)\$[0-9]+"))</f>
        <v/>
      </c>
    </row>
    <row r="69" spans="2:10" x14ac:dyDescent="0.25">
      <c r="B69" s="6" t="str" cm="1">
        <f t="array" aca="1" ref="B69" ca="1">IFERROR(IF(OR('Raw Data'!B69="",LEN(TRIM('Raw Data'!B69))=0),"",IF(AND(LEN('Raw Data'!B69) &lt;= 255,LEN('Raw Data'!B69)&gt; 0),"",_xlfn.REGEXEXTRACT(CELL("address",'Raw Data'!B69),"\$([A-Z]+)\$[0-9]+"))),_xlfn.REGEXEXTRACT(CELL("address",'Raw Data'!B69),"\$([A-Z]+)\$[0-9]+"))</f>
        <v/>
      </c>
      <c r="C69" s="6" t="str" cm="1">
        <f t="array" aca="1" ref="C69" ca="1">IFERROR(IF(OR('Raw Data'!C69="",LEN(TRIM('Raw Data'!C69))=0),"",IF(AND(LEN('Raw Data'!C69) &lt;= 20,LEN('Raw Data'!C69)&gt; 0),"",_xlfn.REGEXEXTRACT(CELL("address",'Raw Data'!C69),"\$([A-Z]+)\$[0-9]+"))),_xlfn.REGEXEXTRACT(CELL("address",'Raw Data'!C69),"\$([A-Z]+)\$[0-9]+"))</f>
        <v/>
      </c>
      <c r="D69" s="6" t="str" cm="1">
        <f t="array" aca="1" ref="D69" ca="1">IFERROR(IF(OR('Raw Data'!D69="",LEN(TRIM('Raw Data'!D69))=0),"",IF(AND(ISNUMBER('Raw Data'!D69),'Raw Data'!D69&gt;=Configuration!$D$2),"",_xlfn.REGEXEXTRACT(CELL("address",'Raw Data'!D69),"\$([A-Z]+)\$[0-9]+"))),_xlfn.REGEXEXTRACT(CELL("address",D69), "\$([A-Z]+)\$[0-9]+"))</f>
        <v/>
      </c>
      <c r="E69" s="6" t="str" cm="1">
        <f t="array" aca="1" ref="E69" ca="1">IFERROR(IF(OR('Raw Data'!E69="",LEN(TRIM('Raw Data'!E69))=0),"",IF(AND(ISNUMBER('Raw Data'!E69),'Raw Data'!E69=ROUND('Raw Data'!E69,4),IFERROR(ROUND('Raw Data'!E69,4)&lt;=99999999999.99,FALSE))=TRUE,"",_xlfn.REGEXEXTRACT(CELL("address",'Raw Data'!E69), "\$([A-Z]+)\$[0-9]+"))),_xlfn.REGEXEXTRACT(CELL("address",'Raw Data'!E69), "\$([A-Z]+)\$[0-9]+"))</f>
        <v/>
      </c>
      <c r="F69" s="6" t="str" cm="1">
        <f t="array" aca="1" ref="F69" ca="1">IFERROR(IF(OR('Raw Data'!F69="",LEN(TRIM('Raw Data'!F69))=0),"",IF(AND(ISNUMBER('Raw Data'!F69),'Raw Data'!F69=ROUND('Raw Data'!F69,4),IFERROR(ROUND('Raw Data'!F69,4)&lt;=99999999999.99,FALSE))=TRUE,"",_xlfn.REGEXEXTRACT(CELL("address",'Raw Data'!F69), "\$([A-Z]+)\$[0-9]+"))),_xlfn.REGEXEXTRACT(CELL("address",'Raw Data'!F69), "\$([A-Z]+)\$[0-9]+"))</f>
        <v/>
      </c>
      <c r="G69" s="6" t="str" cm="1">
        <f t="array" aca="1" ref="G69" ca="1">IFERROR(IF(OR('Raw Data'!G69="",LEN(TRIM('Raw Data'!G69))=0),"",IF(AND(ISNUMBER('Raw Data'!G69),'Raw Data'!G69=ROUND('Raw Data'!G69,4),IFERROR(ROUND('Raw Data'!G69,4)&lt;=99999999999.99,FALSE))=TRUE,"",_xlfn.REGEXEXTRACT(CELL("address",'Raw Data'!G69), "\$([A-Z]+)\$[0-9]+"))),_xlfn.REGEXEXTRACT(CELL("address",'Raw Data'!G69), "\$([A-Z]+)\$[0-9]+"))</f>
        <v/>
      </c>
      <c r="H69" s="6" t="str" cm="1">
        <f t="array" aca="1" ref="H69" ca="1">IFERROR(IF(OR('Raw Data'!H69="",LEN(TRIM('Raw Data'!H69))=0),"",IF(AND(ISNUMBER('Raw Data'!H69),'Raw Data'!H69=ROUND('Raw Data'!H69,4),IFERROR(ROUND('Raw Data'!H69,4)&lt;=99999999999.99,FALSE))=TRUE,"",_xlfn.REGEXEXTRACT(CELL("address",'Raw Data'!H69), "\$([A-Z]+)\$[0-9]+"))),_xlfn.REGEXEXTRACT(CELL("address",'Raw Data'!H69), "\$([A-Z]+)\$[0-9]+"))</f>
        <v/>
      </c>
      <c r="I69" s="6" t="str" cm="1">
        <f t="array" aca="1" ref="I69" ca="1">IFERROR(IF(OR('Raw Data'!I69="",LEN(TRIM('Raw Data'!I69))=0),"",IF(AND(ISNUMBER('Raw Data'!I69),'Raw Data'!I69=ROUND('Raw Data'!I69,4),IFERROR(ROUND('Raw Data'!I69,4)&lt;=99999999999.99,FALSE))=TRUE,"",_xlfn.REGEXEXTRACT(CELL("address",'Raw Data'!I69), "\$([A-Z]+)\$[0-9]+"))),_xlfn.REGEXEXTRACT(CELL("address",'Raw Data'!I69), "\$([A-Z]+)\$[0-9]+"))</f>
        <v/>
      </c>
      <c r="J69" s="6" t="str" cm="1">
        <f t="array" aca="1" ref="J69" ca="1">IFERROR(IF(OR('Raw Data'!J69="",LEN(TRIM('Raw Data'!J69))=0),"",IF(AND(ISNUMBER('Raw Data'!J69),'Raw Data'!J69=ROUND('Raw Data'!J69,4),IFERROR(ROUND('Raw Data'!J69,4)&lt;=99999999999.99,FALSE))=TRUE,"",_xlfn.REGEXEXTRACT(CELL("address",'Raw Data'!J69), "\$([A-Z]+)\$[0-9]+"))),_xlfn.REGEXEXTRACT(CELL("address",'Raw Data'!J69), "\$([A-Z]+)\$[0-9]+"))</f>
        <v/>
      </c>
    </row>
    <row r="70" spans="2:10" x14ac:dyDescent="0.25">
      <c r="B70" s="6" t="str" cm="1">
        <f t="array" aca="1" ref="B70" ca="1">IFERROR(IF(OR('Raw Data'!B70="",LEN(TRIM('Raw Data'!B70))=0),"",IF(AND(LEN('Raw Data'!B70) &lt;= 255,LEN('Raw Data'!B70)&gt; 0),"",_xlfn.REGEXEXTRACT(CELL("address",'Raw Data'!B70),"\$([A-Z]+)\$[0-9]+"))),_xlfn.REGEXEXTRACT(CELL("address",'Raw Data'!B70),"\$([A-Z]+)\$[0-9]+"))</f>
        <v/>
      </c>
      <c r="C70" s="6" t="str" cm="1">
        <f t="array" aca="1" ref="C70" ca="1">IFERROR(IF(OR('Raw Data'!C70="",LEN(TRIM('Raw Data'!C70))=0),"",IF(AND(LEN('Raw Data'!C70) &lt;= 20,LEN('Raw Data'!C70)&gt; 0),"",_xlfn.REGEXEXTRACT(CELL("address",'Raw Data'!C70),"\$([A-Z]+)\$[0-9]+"))),_xlfn.REGEXEXTRACT(CELL("address",'Raw Data'!C70),"\$([A-Z]+)\$[0-9]+"))</f>
        <v/>
      </c>
      <c r="D70" s="6" t="str" cm="1">
        <f t="array" aca="1" ref="D70" ca="1">IFERROR(IF(OR('Raw Data'!D70="",LEN(TRIM('Raw Data'!D70))=0),"",IF(AND(ISNUMBER('Raw Data'!D70),'Raw Data'!D70&gt;=Configuration!$D$2),"",_xlfn.REGEXEXTRACT(CELL("address",'Raw Data'!D70),"\$([A-Z]+)\$[0-9]+"))),_xlfn.REGEXEXTRACT(CELL("address",D70), "\$([A-Z]+)\$[0-9]+"))</f>
        <v/>
      </c>
      <c r="E70" s="6" t="str" cm="1">
        <f t="array" aca="1" ref="E70" ca="1">IFERROR(IF(OR('Raw Data'!E70="",LEN(TRIM('Raw Data'!E70))=0),"",IF(AND(ISNUMBER('Raw Data'!E70),'Raw Data'!E70=ROUND('Raw Data'!E70,4),IFERROR(ROUND('Raw Data'!E70,4)&lt;=99999999999.99,FALSE))=TRUE,"",_xlfn.REGEXEXTRACT(CELL("address",'Raw Data'!E70), "\$([A-Z]+)\$[0-9]+"))),_xlfn.REGEXEXTRACT(CELL("address",'Raw Data'!E70), "\$([A-Z]+)\$[0-9]+"))</f>
        <v/>
      </c>
      <c r="F70" s="6" t="str" cm="1">
        <f t="array" aca="1" ref="F70" ca="1">IFERROR(IF(OR('Raw Data'!F70="",LEN(TRIM('Raw Data'!F70))=0),"",IF(AND(ISNUMBER('Raw Data'!F70),'Raw Data'!F70=ROUND('Raw Data'!F70,4),IFERROR(ROUND('Raw Data'!F70,4)&lt;=99999999999.99,FALSE))=TRUE,"",_xlfn.REGEXEXTRACT(CELL("address",'Raw Data'!F70), "\$([A-Z]+)\$[0-9]+"))),_xlfn.REGEXEXTRACT(CELL("address",'Raw Data'!F70), "\$([A-Z]+)\$[0-9]+"))</f>
        <v/>
      </c>
      <c r="G70" s="6" t="str" cm="1">
        <f t="array" aca="1" ref="G70" ca="1">IFERROR(IF(OR('Raw Data'!G70="",LEN(TRIM('Raw Data'!G70))=0),"",IF(AND(ISNUMBER('Raw Data'!G70),'Raw Data'!G70=ROUND('Raw Data'!G70,4),IFERROR(ROUND('Raw Data'!G70,4)&lt;=99999999999.99,FALSE))=TRUE,"",_xlfn.REGEXEXTRACT(CELL("address",'Raw Data'!G70), "\$([A-Z]+)\$[0-9]+"))),_xlfn.REGEXEXTRACT(CELL("address",'Raw Data'!G70), "\$([A-Z]+)\$[0-9]+"))</f>
        <v/>
      </c>
      <c r="H70" s="6" t="str" cm="1">
        <f t="array" aca="1" ref="H70" ca="1">IFERROR(IF(OR('Raw Data'!H70="",LEN(TRIM('Raw Data'!H70))=0),"",IF(AND(ISNUMBER('Raw Data'!H70),'Raw Data'!H70=ROUND('Raw Data'!H70,4),IFERROR(ROUND('Raw Data'!H70,4)&lt;=99999999999.99,FALSE))=TRUE,"",_xlfn.REGEXEXTRACT(CELL("address",'Raw Data'!H70), "\$([A-Z]+)\$[0-9]+"))),_xlfn.REGEXEXTRACT(CELL("address",'Raw Data'!H70), "\$([A-Z]+)\$[0-9]+"))</f>
        <v/>
      </c>
      <c r="I70" s="6" t="str" cm="1">
        <f t="array" aca="1" ref="I70" ca="1">IFERROR(IF(OR('Raw Data'!I70="",LEN(TRIM('Raw Data'!I70))=0),"",IF(AND(ISNUMBER('Raw Data'!I70),'Raw Data'!I70=ROUND('Raw Data'!I70,4),IFERROR(ROUND('Raw Data'!I70,4)&lt;=99999999999.99,FALSE))=TRUE,"",_xlfn.REGEXEXTRACT(CELL("address",'Raw Data'!I70), "\$([A-Z]+)\$[0-9]+"))),_xlfn.REGEXEXTRACT(CELL("address",'Raw Data'!I70), "\$([A-Z]+)\$[0-9]+"))</f>
        <v/>
      </c>
      <c r="J70" s="6" t="str" cm="1">
        <f t="array" aca="1" ref="J70" ca="1">IFERROR(IF(OR('Raw Data'!J70="",LEN(TRIM('Raw Data'!J70))=0),"",IF(AND(ISNUMBER('Raw Data'!J70),'Raw Data'!J70=ROUND('Raw Data'!J70,4),IFERROR(ROUND('Raw Data'!J70,4)&lt;=99999999999.99,FALSE))=TRUE,"",_xlfn.REGEXEXTRACT(CELL("address",'Raw Data'!J70), "\$([A-Z]+)\$[0-9]+"))),_xlfn.REGEXEXTRACT(CELL("address",'Raw Data'!J70), "\$([A-Z]+)\$[0-9]+"))</f>
        <v/>
      </c>
    </row>
    <row r="71" spans="2:10" x14ac:dyDescent="0.25">
      <c r="B71" s="6" t="str" cm="1">
        <f t="array" aca="1" ref="B71" ca="1">IFERROR(IF(OR('Raw Data'!B71="",LEN(TRIM('Raw Data'!B71))=0),"",IF(AND(LEN('Raw Data'!B71) &lt;= 255,LEN('Raw Data'!B71)&gt; 0),"",_xlfn.REGEXEXTRACT(CELL("address",'Raw Data'!B71),"\$([A-Z]+)\$[0-9]+"))),_xlfn.REGEXEXTRACT(CELL("address",'Raw Data'!B71),"\$([A-Z]+)\$[0-9]+"))</f>
        <v/>
      </c>
      <c r="C71" s="6" t="str" cm="1">
        <f t="array" aca="1" ref="C71" ca="1">IFERROR(IF(OR('Raw Data'!C71="",LEN(TRIM('Raw Data'!C71))=0),"",IF(AND(LEN('Raw Data'!C71) &lt;= 20,LEN('Raw Data'!C71)&gt; 0),"",_xlfn.REGEXEXTRACT(CELL("address",'Raw Data'!C71),"\$([A-Z]+)\$[0-9]+"))),_xlfn.REGEXEXTRACT(CELL("address",'Raw Data'!C71),"\$([A-Z]+)\$[0-9]+"))</f>
        <v/>
      </c>
      <c r="D71" s="6" t="str" cm="1">
        <f t="array" aca="1" ref="D71" ca="1">IFERROR(IF(OR('Raw Data'!D71="",LEN(TRIM('Raw Data'!D71))=0),"",IF(AND(ISNUMBER('Raw Data'!D71),'Raw Data'!D71&gt;=Configuration!$D$2),"",_xlfn.REGEXEXTRACT(CELL("address",'Raw Data'!D71),"\$([A-Z]+)\$[0-9]+"))),_xlfn.REGEXEXTRACT(CELL("address",D71), "\$([A-Z]+)\$[0-9]+"))</f>
        <v/>
      </c>
      <c r="E71" s="6" t="str" cm="1">
        <f t="array" aca="1" ref="E71" ca="1">IFERROR(IF(OR('Raw Data'!E71="",LEN(TRIM('Raw Data'!E71))=0),"",IF(AND(ISNUMBER('Raw Data'!E71),'Raw Data'!E71=ROUND('Raw Data'!E71,4),IFERROR(ROUND('Raw Data'!E71,4)&lt;=99999999999.99,FALSE))=TRUE,"",_xlfn.REGEXEXTRACT(CELL("address",'Raw Data'!E71), "\$([A-Z]+)\$[0-9]+"))),_xlfn.REGEXEXTRACT(CELL("address",'Raw Data'!E71), "\$([A-Z]+)\$[0-9]+"))</f>
        <v/>
      </c>
      <c r="F71" s="6" t="str" cm="1">
        <f t="array" aca="1" ref="F71" ca="1">IFERROR(IF(OR('Raw Data'!F71="",LEN(TRIM('Raw Data'!F71))=0),"",IF(AND(ISNUMBER('Raw Data'!F71),'Raw Data'!F71=ROUND('Raw Data'!F71,4),IFERROR(ROUND('Raw Data'!F71,4)&lt;=99999999999.99,FALSE))=TRUE,"",_xlfn.REGEXEXTRACT(CELL("address",'Raw Data'!F71), "\$([A-Z]+)\$[0-9]+"))),_xlfn.REGEXEXTRACT(CELL("address",'Raw Data'!F71), "\$([A-Z]+)\$[0-9]+"))</f>
        <v/>
      </c>
      <c r="G71" s="6" t="str" cm="1">
        <f t="array" aca="1" ref="G71" ca="1">IFERROR(IF(OR('Raw Data'!G71="",LEN(TRIM('Raw Data'!G71))=0),"",IF(AND(ISNUMBER('Raw Data'!G71),'Raw Data'!G71=ROUND('Raw Data'!G71,4),IFERROR(ROUND('Raw Data'!G71,4)&lt;=99999999999.99,FALSE))=TRUE,"",_xlfn.REGEXEXTRACT(CELL("address",'Raw Data'!G71), "\$([A-Z]+)\$[0-9]+"))),_xlfn.REGEXEXTRACT(CELL("address",'Raw Data'!G71), "\$([A-Z]+)\$[0-9]+"))</f>
        <v/>
      </c>
      <c r="H71" s="6" t="str" cm="1">
        <f t="array" aca="1" ref="H71" ca="1">IFERROR(IF(OR('Raw Data'!H71="",LEN(TRIM('Raw Data'!H71))=0),"",IF(AND(ISNUMBER('Raw Data'!H71),'Raw Data'!H71=ROUND('Raw Data'!H71,4),IFERROR(ROUND('Raw Data'!H71,4)&lt;=99999999999.99,FALSE))=TRUE,"",_xlfn.REGEXEXTRACT(CELL("address",'Raw Data'!H71), "\$([A-Z]+)\$[0-9]+"))),_xlfn.REGEXEXTRACT(CELL("address",'Raw Data'!H71), "\$([A-Z]+)\$[0-9]+"))</f>
        <v/>
      </c>
      <c r="I71" s="6" t="str" cm="1">
        <f t="array" aca="1" ref="I71" ca="1">IFERROR(IF(OR('Raw Data'!I71="",LEN(TRIM('Raw Data'!I71))=0),"",IF(AND(ISNUMBER('Raw Data'!I71),'Raw Data'!I71=ROUND('Raw Data'!I71,4),IFERROR(ROUND('Raw Data'!I71,4)&lt;=99999999999.99,FALSE))=TRUE,"",_xlfn.REGEXEXTRACT(CELL("address",'Raw Data'!I71), "\$([A-Z]+)\$[0-9]+"))),_xlfn.REGEXEXTRACT(CELL("address",'Raw Data'!I71), "\$([A-Z]+)\$[0-9]+"))</f>
        <v/>
      </c>
      <c r="J71" s="6" t="str" cm="1">
        <f t="array" aca="1" ref="J71" ca="1">IFERROR(IF(OR('Raw Data'!J71="",LEN(TRIM('Raw Data'!J71))=0),"",IF(AND(ISNUMBER('Raw Data'!J71),'Raw Data'!J71=ROUND('Raw Data'!J71,4),IFERROR(ROUND('Raw Data'!J71,4)&lt;=99999999999.99,FALSE))=TRUE,"",_xlfn.REGEXEXTRACT(CELL("address",'Raw Data'!J71), "\$([A-Z]+)\$[0-9]+"))),_xlfn.REGEXEXTRACT(CELL("address",'Raw Data'!J71), "\$([A-Z]+)\$[0-9]+"))</f>
        <v/>
      </c>
    </row>
    <row r="72" spans="2:10" x14ac:dyDescent="0.25">
      <c r="B72" s="6" t="str" cm="1">
        <f t="array" aca="1" ref="B72" ca="1">IFERROR(IF(OR('Raw Data'!B72="",LEN(TRIM('Raw Data'!B72))=0),"",IF(AND(LEN('Raw Data'!B72) &lt;= 255,LEN('Raw Data'!B72)&gt; 0),"",_xlfn.REGEXEXTRACT(CELL("address",'Raw Data'!B72),"\$([A-Z]+)\$[0-9]+"))),_xlfn.REGEXEXTRACT(CELL("address",'Raw Data'!B72),"\$([A-Z]+)\$[0-9]+"))</f>
        <v/>
      </c>
      <c r="C72" s="6" t="str" cm="1">
        <f t="array" aca="1" ref="C72" ca="1">IFERROR(IF(OR('Raw Data'!C72="",LEN(TRIM('Raw Data'!C72))=0),"",IF(AND(LEN('Raw Data'!C72) &lt;= 20,LEN('Raw Data'!C72)&gt; 0),"",_xlfn.REGEXEXTRACT(CELL("address",'Raw Data'!C72),"\$([A-Z]+)\$[0-9]+"))),_xlfn.REGEXEXTRACT(CELL("address",'Raw Data'!C72),"\$([A-Z]+)\$[0-9]+"))</f>
        <v/>
      </c>
      <c r="D72" s="6" t="str" cm="1">
        <f t="array" aca="1" ref="D72" ca="1">IFERROR(IF(OR('Raw Data'!D72="",LEN(TRIM('Raw Data'!D72))=0),"",IF(AND(ISNUMBER('Raw Data'!D72),'Raw Data'!D72&gt;=Configuration!$D$2),"",_xlfn.REGEXEXTRACT(CELL("address",'Raw Data'!D72),"\$([A-Z]+)\$[0-9]+"))),_xlfn.REGEXEXTRACT(CELL("address",D72), "\$([A-Z]+)\$[0-9]+"))</f>
        <v/>
      </c>
      <c r="E72" s="6" t="str" cm="1">
        <f t="array" aca="1" ref="E72" ca="1">IFERROR(IF(OR('Raw Data'!E72="",LEN(TRIM('Raw Data'!E72))=0),"",IF(AND(ISNUMBER('Raw Data'!E72),'Raw Data'!E72=ROUND('Raw Data'!E72,4),IFERROR(ROUND('Raw Data'!E72,4)&lt;=99999999999.99,FALSE))=TRUE,"",_xlfn.REGEXEXTRACT(CELL("address",'Raw Data'!E72), "\$([A-Z]+)\$[0-9]+"))),_xlfn.REGEXEXTRACT(CELL("address",'Raw Data'!E72), "\$([A-Z]+)\$[0-9]+"))</f>
        <v/>
      </c>
      <c r="F72" s="6" t="str" cm="1">
        <f t="array" aca="1" ref="F72" ca="1">IFERROR(IF(OR('Raw Data'!F72="",LEN(TRIM('Raw Data'!F72))=0),"",IF(AND(ISNUMBER('Raw Data'!F72),'Raw Data'!F72=ROUND('Raw Data'!F72,4),IFERROR(ROUND('Raw Data'!F72,4)&lt;=99999999999.99,FALSE))=TRUE,"",_xlfn.REGEXEXTRACT(CELL("address",'Raw Data'!F72), "\$([A-Z]+)\$[0-9]+"))),_xlfn.REGEXEXTRACT(CELL("address",'Raw Data'!F72), "\$([A-Z]+)\$[0-9]+"))</f>
        <v/>
      </c>
      <c r="G72" s="6" t="str" cm="1">
        <f t="array" aca="1" ref="G72" ca="1">IFERROR(IF(OR('Raw Data'!G72="",LEN(TRIM('Raw Data'!G72))=0),"",IF(AND(ISNUMBER('Raw Data'!G72),'Raw Data'!G72=ROUND('Raw Data'!G72,4),IFERROR(ROUND('Raw Data'!G72,4)&lt;=99999999999.99,FALSE))=TRUE,"",_xlfn.REGEXEXTRACT(CELL("address",'Raw Data'!G72), "\$([A-Z]+)\$[0-9]+"))),_xlfn.REGEXEXTRACT(CELL("address",'Raw Data'!G72), "\$([A-Z]+)\$[0-9]+"))</f>
        <v/>
      </c>
      <c r="H72" s="6" t="str" cm="1">
        <f t="array" aca="1" ref="H72" ca="1">IFERROR(IF(OR('Raw Data'!H72="",LEN(TRIM('Raw Data'!H72))=0),"",IF(AND(ISNUMBER('Raw Data'!H72),'Raw Data'!H72=ROUND('Raw Data'!H72,4),IFERROR(ROUND('Raw Data'!H72,4)&lt;=99999999999.99,FALSE))=TRUE,"",_xlfn.REGEXEXTRACT(CELL("address",'Raw Data'!H72), "\$([A-Z]+)\$[0-9]+"))),_xlfn.REGEXEXTRACT(CELL("address",'Raw Data'!H72), "\$([A-Z]+)\$[0-9]+"))</f>
        <v/>
      </c>
      <c r="I72" s="6" t="str" cm="1">
        <f t="array" aca="1" ref="I72" ca="1">IFERROR(IF(OR('Raw Data'!I72="",LEN(TRIM('Raw Data'!I72))=0),"",IF(AND(ISNUMBER('Raw Data'!I72),'Raw Data'!I72=ROUND('Raw Data'!I72,4),IFERROR(ROUND('Raw Data'!I72,4)&lt;=99999999999.99,FALSE))=TRUE,"",_xlfn.REGEXEXTRACT(CELL("address",'Raw Data'!I72), "\$([A-Z]+)\$[0-9]+"))),_xlfn.REGEXEXTRACT(CELL("address",'Raw Data'!I72), "\$([A-Z]+)\$[0-9]+"))</f>
        <v/>
      </c>
      <c r="J72" s="6" t="str" cm="1">
        <f t="array" aca="1" ref="J72" ca="1">IFERROR(IF(OR('Raw Data'!J72="",LEN(TRIM('Raw Data'!J72))=0),"",IF(AND(ISNUMBER('Raw Data'!J72),'Raw Data'!J72=ROUND('Raw Data'!J72,4),IFERROR(ROUND('Raw Data'!J72,4)&lt;=99999999999.99,FALSE))=TRUE,"",_xlfn.REGEXEXTRACT(CELL("address",'Raw Data'!J72), "\$([A-Z]+)\$[0-9]+"))),_xlfn.REGEXEXTRACT(CELL("address",'Raw Data'!J72), "\$([A-Z]+)\$[0-9]+"))</f>
        <v/>
      </c>
    </row>
    <row r="73" spans="2:10" x14ac:dyDescent="0.25">
      <c r="B73" s="6" t="str" cm="1">
        <f t="array" aca="1" ref="B73" ca="1">IFERROR(IF(OR('Raw Data'!B73="",LEN(TRIM('Raw Data'!B73))=0),"",IF(AND(LEN('Raw Data'!B73) &lt;= 255,LEN('Raw Data'!B73)&gt; 0),"",_xlfn.REGEXEXTRACT(CELL("address",'Raw Data'!B73),"\$([A-Z]+)\$[0-9]+"))),_xlfn.REGEXEXTRACT(CELL("address",'Raw Data'!B73),"\$([A-Z]+)\$[0-9]+"))</f>
        <v/>
      </c>
      <c r="C73" s="6" t="str" cm="1">
        <f t="array" aca="1" ref="C73" ca="1">IFERROR(IF(OR('Raw Data'!C73="",LEN(TRIM('Raw Data'!C73))=0),"",IF(AND(LEN('Raw Data'!C73) &lt;= 20,LEN('Raw Data'!C73)&gt; 0),"",_xlfn.REGEXEXTRACT(CELL("address",'Raw Data'!C73),"\$([A-Z]+)\$[0-9]+"))),_xlfn.REGEXEXTRACT(CELL("address",'Raw Data'!C73),"\$([A-Z]+)\$[0-9]+"))</f>
        <v/>
      </c>
      <c r="D73" s="6" t="str" cm="1">
        <f t="array" aca="1" ref="D73" ca="1">IFERROR(IF(OR('Raw Data'!D73="",LEN(TRIM('Raw Data'!D73))=0),"",IF(AND(ISNUMBER('Raw Data'!D73),'Raw Data'!D73&gt;=Configuration!$D$2),"",_xlfn.REGEXEXTRACT(CELL("address",'Raw Data'!D73),"\$([A-Z]+)\$[0-9]+"))),_xlfn.REGEXEXTRACT(CELL("address",D73), "\$([A-Z]+)\$[0-9]+"))</f>
        <v/>
      </c>
      <c r="E73" s="6" t="str" cm="1">
        <f t="array" aca="1" ref="E73" ca="1">IFERROR(IF(OR('Raw Data'!E73="",LEN(TRIM('Raw Data'!E73))=0),"",IF(AND(ISNUMBER('Raw Data'!E73),'Raw Data'!E73=ROUND('Raw Data'!E73,4),IFERROR(ROUND('Raw Data'!E73,4)&lt;=99999999999.99,FALSE))=TRUE,"",_xlfn.REGEXEXTRACT(CELL("address",'Raw Data'!E73), "\$([A-Z]+)\$[0-9]+"))),_xlfn.REGEXEXTRACT(CELL("address",'Raw Data'!E73), "\$([A-Z]+)\$[0-9]+"))</f>
        <v/>
      </c>
      <c r="F73" s="6" t="str" cm="1">
        <f t="array" aca="1" ref="F73" ca="1">IFERROR(IF(OR('Raw Data'!F73="",LEN(TRIM('Raw Data'!F73))=0),"",IF(AND(ISNUMBER('Raw Data'!F73),'Raw Data'!F73=ROUND('Raw Data'!F73,4),IFERROR(ROUND('Raw Data'!F73,4)&lt;=99999999999.99,FALSE))=TRUE,"",_xlfn.REGEXEXTRACT(CELL("address",'Raw Data'!F73), "\$([A-Z]+)\$[0-9]+"))),_xlfn.REGEXEXTRACT(CELL("address",'Raw Data'!F73), "\$([A-Z]+)\$[0-9]+"))</f>
        <v/>
      </c>
      <c r="G73" s="6" t="str" cm="1">
        <f t="array" aca="1" ref="G73" ca="1">IFERROR(IF(OR('Raw Data'!G73="",LEN(TRIM('Raw Data'!G73))=0),"",IF(AND(ISNUMBER('Raw Data'!G73),'Raw Data'!G73=ROUND('Raw Data'!G73,4),IFERROR(ROUND('Raw Data'!G73,4)&lt;=99999999999.99,FALSE))=TRUE,"",_xlfn.REGEXEXTRACT(CELL("address",'Raw Data'!G73), "\$([A-Z]+)\$[0-9]+"))),_xlfn.REGEXEXTRACT(CELL("address",'Raw Data'!G73), "\$([A-Z]+)\$[0-9]+"))</f>
        <v/>
      </c>
      <c r="H73" s="6" t="str" cm="1">
        <f t="array" aca="1" ref="H73" ca="1">IFERROR(IF(OR('Raw Data'!H73="",LEN(TRIM('Raw Data'!H73))=0),"",IF(AND(ISNUMBER('Raw Data'!H73),'Raw Data'!H73=ROUND('Raw Data'!H73,4),IFERROR(ROUND('Raw Data'!H73,4)&lt;=99999999999.99,FALSE))=TRUE,"",_xlfn.REGEXEXTRACT(CELL("address",'Raw Data'!H73), "\$([A-Z]+)\$[0-9]+"))),_xlfn.REGEXEXTRACT(CELL("address",'Raw Data'!H73), "\$([A-Z]+)\$[0-9]+"))</f>
        <v/>
      </c>
      <c r="I73" s="6" t="str" cm="1">
        <f t="array" aca="1" ref="I73" ca="1">IFERROR(IF(OR('Raw Data'!I73="",LEN(TRIM('Raw Data'!I73))=0),"",IF(AND(ISNUMBER('Raw Data'!I73),'Raw Data'!I73=ROUND('Raw Data'!I73,4),IFERROR(ROUND('Raw Data'!I73,4)&lt;=99999999999.99,FALSE))=TRUE,"",_xlfn.REGEXEXTRACT(CELL("address",'Raw Data'!I73), "\$([A-Z]+)\$[0-9]+"))),_xlfn.REGEXEXTRACT(CELL("address",'Raw Data'!I73), "\$([A-Z]+)\$[0-9]+"))</f>
        <v/>
      </c>
      <c r="J73" s="6" t="str" cm="1">
        <f t="array" aca="1" ref="J73" ca="1">IFERROR(IF(OR('Raw Data'!J73="",LEN(TRIM('Raw Data'!J73))=0),"",IF(AND(ISNUMBER('Raw Data'!J73),'Raw Data'!J73=ROUND('Raw Data'!J73,4),IFERROR(ROUND('Raw Data'!J73,4)&lt;=99999999999.99,FALSE))=TRUE,"",_xlfn.REGEXEXTRACT(CELL("address",'Raw Data'!J73), "\$([A-Z]+)\$[0-9]+"))),_xlfn.REGEXEXTRACT(CELL("address",'Raw Data'!J73), "\$([A-Z]+)\$[0-9]+"))</f>
        <v/>
      </c>
    </row>
    <row r="74" spans="2:10" x14ac:dyDescent="0.25">
      <c r="B74" s="6" t="str" cm="1">
        <f t="array" aca="1" ref="B74" ca="1">IFERROR(IF(OR('Raw Data'!B74="",LEN(TRIM('Raw Data'!B74))=0),"",IF(AND(LEN('Raw Data'!B74) &lt;= 255,LEN('Raw Data'!B74)&gt; 0),"",_xlfn.REGEXEXTRACT(CELL("address",'Raw Data'!B74),"\$([A-Z]+)\$[0-9]+"))),_xlfn.REGEXEXTRACT(CELL("address",'Raw Data'!B74),"\$([A-Z]+)\$[0-9]+"))</f>
        <v/>
      </c>
      <c r="C74" s="6" t="str" cm="1">
        <f t="array" aca="1" ref="C74" ca="1">IFERROR(IF(OR('Raw Data'!C74="",LEN(TRIM('Raw Data'!C74))=0),"",IF(AND(LEN('Raw Data'!C74) &lt;= 20,LEN('Raw Data'!C74)&gt; 0),"",_xlfn.REGEXEXTRACT(CELL("address",'Raw Data'!C74),"\$([A-Z]+)\$[0-9]+"))),_xlfn.REGEXEXTRACT(CELL("address",'Raw Data'!C74),"\$([A-Z]+)\$[0-9]+"))</f>
        <v/>
      </c>
      <c r="D74" s="6" t="str" cm="1">
        <f t="array" aca="1" ref="D74" ca="1">IFERROR(IF(OR('Raw Data'!D74="",LEN(TRIM('Raw Data'!D74))=0),"",IF(AND(ISNUMBER('Raw Data'!D74),'Raw Data'!D74&gt;=Configuration!$D$2),"",_xlfn.REGEXEXTRACT(CELL("address",'Raw Data'!D74),"\$([A-Z]+)\$[0-9]+"))),_xlfn.REGEXEXTRACT(CELL("address",D74), "\$([A-Z]+)\$[0-9]+"))</f>
        <v/>
      </c>
      <c r="E74" s="6" t="str" cm="1">
        <f t="array" aca="1" ref="E74" ca="1">IFERROR(IF(OR('Raw Data'!E74="",LEN(TRIM('Raw Data'!E74))=0),"",IF(AND(ISNUMBER('Raw Data'!E74),'Raw Data'!E74=ROUND('Raw Data'!E74,4),IFERROR(ROUND('Raw Data'!E74,4)&lt;=99999999999.99,FALSE))=TRUE,"",_xlfn.REGEXEXTRACT(CELL("address",'Raw Data'!E74), "\$([A-Z]+)\$[0-9]+"))),_xlfn.REGEXEXTRACT(CELL("address",'Raw Data'!E74), "\$([A-Z]+)\$[0-9]+"))</f>
        <v/>
      </c>
      <c r="F74" s="6" t="str" cm="1">
        <f t="array" aca="1" ref="F74" ca="1">IFERROR(IF(OR('Raw Data'!F74="",LEN(TRIM('Raw Data'!F74))=0),"",IF(AND(ISNUMBER('Raw Data'!F74),'Raw Data'!F74=ROUND('Raw Data'!F74,4),IFERROR(ROUND('Raw Data'!F74,4)&lt;=99999999999.99,FALSE))=TRUE,"",_xlfn.REGEXEXTRACT(CELL("address",'Raw Data'!F74), "\$([A-Z]+)\$[0-9]+"))),_xlfn.REGEXEXTRACT(CELL("address",'Raw Data'!F74), "\$([A-Z]+)\$[0-9]+"))</f>
        <v/>
      </c>
      <c r="G74" s="6" t="str" cm="1">
        <f t="array" aca="1" ref="G74" ca="1">IFERROR(IF(OR('Raw Data'!G74="",LEN(TRIM('Raw Data'!G74))=0),"",IF(AND(ISNUMBER('Raw Data'!G74),'Raw Data'!G74=ROUND('Raw Data'!G74,4),IFERROR(ROUND('Raw Data'!G74,4)&lt;=99999999999.99,FALSE))=TRUE,"",_xlfn.REGEXEXTRACT(CELL("address",'Raw Data'!G74), "\$([A-Z]+)\$[0-9]+"))),_xlfn.REGEXEXTRACT(CELL("address",'Raw Data'!G74), "\$([A-Z]+)\$[0-9]+"))</f>
        <v/>
      </c>
      <c r="H74" s="6" t="str" cm="1">
        <f t="array" aca="1" ref="H74" ca="1">IFERROR(IF(OR('Raw Data'!H74="",LEN(TRIM('Raw Data'!H74))=0),"",IF(AND(ISNUMBER('Raw Data'!H74),'Raw Data'!H74=ROUND('Raw Data'!H74,4),IFERROR(ROUND('Raw Data'!H74,4)&lt;=99999999999.99,FALSE))=TRUE,"",_xlfn.REGEXEXTRACT(CELL("address",'Raw Data'!H74), "\$([A-Z]+)\$[0-9]+"))),_xlfn.REGEXEXTRACT(CELL("address",'Raw Data'!H74), "\$([A-Z]+)\$[0-9]+"))</f>
        <v/>
      </c>
      <c r="I74" s="6" t="str" cm="1">
        <f t="array" aca="1" ref="I74" ca="1">IFERROR(IF(OR('Raw Data'!I74="",LEN(TRIM('Raw Data'!I74))=0),"",IF(AND(ISNUMBER('Raw Data'!I74),'Raw Data'!I74=ROUND('Raw Data'!I74,4),IFERROR(ROUND('Raw Data'!I74,4)&lt;=99999999999.99,FALSE))=TRUE,"",_xlfn.REGEXEXTRACT(CELL("address",'Raw Data'!I74), "\$([A-Z]+)\$[0-9]+"))),_xlfn.REGEXEXTRACT(CELL("address",'Raw Data'!I74), "\$([A-Z]+)\$[0-9]+"))</f>
        <v/>
      </c>
      <c r="J74" s="6" t="str" cm="1">
        <f t="array" aca="1" ref="J74" ca="1">IFERROR(IF(OR('Raw Data'!J74="",LEN(TRIM('Raw Data'!J74))=0),"",IF(AND(ISNUMBER('Raw Data'!J74),'Raw Data'!J74=ROUND('Raw Data'!J74,4),IFERROR(ROUND('Raw Data'!J74,4)&lt;=99999999999.99,FALSE))=TRUE,"",_xlfn.REGEXEXTRACT(CELL("address",'Raw Data'!J74), "\$([A-Z]+)\$[0-9]+"))),_xlfn.REGEXEXTRACT(CELL("address",'Raw Data'!J74), "\$([A-Z]+)\$[0-9]+"))</f>
        <v/>
      </c>
    </row>
    <row r="75" spans="2:10" x14ac:dyDescent="0.25">
      <c r="B75" s="6" t="str" cm="1">
        <f t="array" aca="1" ref="B75" ca="1">IFERROR(IF(OR('Raw Data'!B75="",LEN(TRIM('Raw Data'!B75))=0),"",IF(AND(LEN('Raw Data'!B75) &lt;= 255,LEN('Raw Data'!B75)&gt; 0),"",_xlfn.REGEXEXTRACT(CELL("address",'Raw Data'!B75),"\$([A-Z]+)\$[0-9]+"))),_xlfn.REGEXEXTRACT(CELL("address",'Raw Data'!B75),"\$([A-Z]+)\$[0-9]+"))</f>
        <v/>
      </c>
      <c r="C75" s="6" t="str" cm="1">
        <f t="array" aca="1" ref="C75" ca="1">IFERROR(IF(OR('Raw Data'!C75="",LEN(TRIM('Raw Data'!C75))=0),"",IF(AND(LEN('Raw Data'!C75) &lt;= 20,LEN('Raw Data'!C75)&gt; 0),"",_xlfn.REGEXEXTRACT(CELL("address",'Raw Data'!C75),"\$([A-Z]+)\$[0-9]+"))),_xlfn.REGEXEXTRACT(CELL("address",'Raw Data'!C75),"\$([A-Z]+)\$[0-9]+"))</f>
        <v/>
      </c>
      <c r="D75" s="6" t="str" cm="1">
        <f t="array" aca="1" ref="D75" ca="1">IFERROR(IF(OR('Raw Data'!D75="",LEN(TRIM('Raw Data'!D75))=0),"",IF(AND(ISNUMBER('Raw Data'!D75),'Raw Data'!D75&gt;=Configuration!$D$2),"",_xlfn.REGEXEXTRACT(CELL("address",'Raw Data'!D75),"\$([A-Z]+)\$[0-9]+"))),_xlfn.REGEXEXTRACT(CELL("address",D75), "\$([A-Z]+)\$[0-9]+"))</f>
        <v/>
      </c>
      <c r="E75" s="6" t="str" cm="1">
        <f t="array" aca="1" ref="E75" ca="1">IFERROR(IF(OR('Raw Data'!E75="",LEN(TRIM('Raw Data'!E75))=0),"",IF(AND(ISNUMBER('Raw Data'!E75),'Raw Data'!E75=ROUND('Raw Data'!E75,4),IFERROR(ROUND('Raw Data'!E75,4)&lt;=99999999999.99,FALSE))=TRUE,"",_xlfn.REGEXEXTRACT(CELL("address",'Raw Data'!E75), "\$([A-Z]+)\$[0-9]+"))),_xlfn.REGEXEXTRACT(CELL("address",'Raw Data'!E75), "\$([A-Z]+)\$[0-9]+"))</f>
        <v/>
      </c>
      <c r="F75" s="6" t="str" cm="1">
        <f t="array" aca="1" ref="F75" ca="1">IFERROR(IF(OR('Raw Data'!F75="",LEN(TRIM('Raw Data'!F75))=0),"",IF(AND(ISNUMBER('Raw Data'!F75),'Raw Data'!F75=ROUND('Raw Data'!F75,4),IFERROR(ROUND('Raw Data'!F75,4)&lt;=99999999999.99,FALSE))=TRUE,"",_xlfn.REGEXEXTRACT(CELL("address",'Raw Data'!F75), "\$([A-Z]+)\$[0-9]+"))),_xlfn.REGEXEXTRACT(CELL("address",'Raw Data'!F75), "\$([A-Z]+)\$[0-9]+"))</f>
        <v/>
      </c>
      <c r="G75" s="6" t="str" cm="1">
        <f t="array" aca="1" ref="G75" ca="1">IFERROR(IF(OR('Raw Data'!G75="",LEN(TRIM('Raw Data'!G75))=0),"",IF(AND(ISNUMBER('Raw Data'!G75),'Raw Data'!G75=ROUND('Raw Data'!G75,4),IFERROR(ROUND('Raw Data'!G75,4)&lt;=99999999999.99,FALSE))=TRUE,"",_xlfn.REGEXEXTRACT(CELL("address",'Raw Data'!G75), "\$([A-Z]+)\$[0-9]+"))),_xlfn.REGEXEXTRACT(CELL("address",'Raw Data'!G75), "\$([A-Z]+)\$[0-9]+"))</f>
        <v/>
      </c>
      <c r="H75" s="6" t="str" cm="1">
        <f t="array" aca="1" ref="H75" ca="1">IFERROR(IF(OR('Raw Data'!H75="",LEN(TRIM('Raw Data'!H75))=0),"",IF(AND(ISNUMBER('Raw Data'!H75),'Raw Data'!H75=ROUND('Raw Data'!H75,4),IFERROR(ROUND('Raw Data'!H75,4)&lt;=99999999999.99,FALSE))=TRUE,"",_xlfn.REGEXEXTRACT(CELL("address",'Raw Data'!H75), "\$([A-Z]+)\$[0-9]+"))),_xlfn.REGEXEXTRACT(CELL("address",'Raw Data'!H75), "\$([A-Z]+)\$[0-9]+"))</f>
        <v/>
      </c>
      <c r="I75" s="6" t="str" cm="1">
        <f t="array" aca="1" ref="I75" ca="1">IFERROR(IF(OR('Raw Data'!I75="",LEN(TRIM('Raw Data'!I75))=0),"",IF(AND(ISNUMBER('Raw Data'!I75),'Raw Data'!I75=ROUND('Raw Data'!I75,4),IFERROR(ROUND('Raw Data'!I75,4)&lt;=99999999999.99,FALSE))=TRUE,"",_xlfn.REGEXEXTRACT(CELL("address",'Raw Data'!I75), "\$([A-Z]+)\$[0-9]+"))),_xlfn.REGEXEXTRACT(CELL("address",'Raw Data'!I75), "\$([A-Z]+)\$[0-9]+"))</f>
        <v/>
      </c>
      <c r="J75" s="6" t="str" cm="1">
        <f t="array" aca="1" ref="J75" ca="1">IFERROR(IF(OR('Raw Data'!J75="",LEN(TRIM('Raw Data'!J75))=0),"",IF(AND(ISNUMBER('Raw Data'!J75),'Raw Data'!J75=ROUND('Raw Data'!J75,4),IFERROR(ROUND('Raw Data'!J75,4)&lt;=99999999999.99,FALSE))=TRUE,"",_xlfn.REGEXEXTRACT(CELL("address",'Raw Data'!J75), "\$([A-Z]+)\$[0-9]+"))),_xlfn.REGEXEXTRACT(CELL("address",'Raw Data'!J75), "\$([A-Z]+)\$[0-9]+"))</f>
        <v/>
      </c>
    </row>
    <row r="76" spans="2:10" x14ac:dyDescent="0.25">
      <c r="B76" s="6" t="str" cm="1">
        <f t="array" aca="1" ref="B76" ca="1">IFERROR(IF(OR('Raw Data'!B76="",LEN(TRIM('Raw Data'!B76))=0),"",IF(AND(LEN('Raw Data'!B76) &lt;= 255,LEN('Raw Data'!B76)&gt; 0),"",_xlfn.REGEXEXTRACT(CELL("address",'Raw Data'!B76),"\$([A-Z]+)\$[0-9]+"))),_xlfn.REGEXEXTRACT(CELL("address",'Raw Data'!B76),"\$([A-Z]+)\$[0-9]+"))</f>
        <v/>
      </c>
      <c r="C76" s="6" t="str" cm="1">
        <f t="array" aca="1" ref="C76" ca="1">IFERROR(IF(OR('Raw Data'!C76="",LEN(TRIM('Raw Data'!C76))=0),"",IF(AND(LEN('Raw Data'!C76) &lt;= 20,LEN('Raw Data'!C76)&gt; 0),"",_xlfn.REGEXEXTRACT(CELL("address",'Raw Data'!C76),"\$([A-Z]+)\$[0-9]+"))),_xlfn.REGEXEXTRACT(CELL("address",'Raw Data'!C76),"\$([A-Z]+)\$[0-9]+"))</f>
        <v/>
      </c>
      <c r="D76" s="6" t="str" cm="1">
        <f t="array" aca="1" ref="D76" ca="1">IFERROR(IF(OR('Raw Data'!D76="",LEN(TRIM('Raw Data'!D76))=0),"",IF(AND(ISNUMBER('Raw Data'!D76),'Raw Data'!D76&gt;=Configuration!$D$2),"",_xlfn.REGEXEXTRACT(CELL("address",'Raw Data'!D76),"\$([A-Z]+)\$[0-9]+"))),_xlfn.REGEXEXTRACT(CELL("address",D76), "\$([A-Z]+)\$[0-9]+"))</f>
        <v/>
      </c>
      <c r="E76" s="6" t="str" cm="1">
        <f t="array" aca="1" ref="E76" ca="1">IFERROR(IF(OR('Raw Data'!E76="",LEN(TRIM('Raw Data'!E76))=0),"",IF(AND(ISNUMBER('Raw Data'!E76),'Raw Data'!E76=ROUND('Raw Data'!E76,4),IFERROR(ROUND('Raw Data'!E76,4)&lt;=99999999999.99,FALSE))=TRUE,"",_xlfn.REGEXEXTRACT(CELL("address",'Raw Data'!E76), "\$([A-Z]+)\$[0-9]+"))),_xlfn.REGEXEXTRACT(CELL("address",'Raw Data'!E76), "\$([A-Z]+)\$[0-9]+"))</f>
        <v/>
      </c>
      <c r="F76" s="6" t="str" cm="1">
        <f t="array" aca="1" ref="F76" ca="1">IFERROR(IF(OR('Raw Data'!F76="",LEN(TRIM('Raw Data'!F76))=0),"",IF(AND(ISNUMBER('Raw Data'!F76),'Raw Data'!F76=ROUND('Raw Data'!F76,4),IFERROR(ROUND('Raw Data'!F76,4)&lt;=99999999999.99,FALSE))=TRUE,"",_xlfn.REGEXEXTRACT(CELL("address",'Raw Data'!F76), "\$([A-Z]+)\$[0-9]+"))),_xlfn.REGEXEXTRACT(CELL("address",'Raw Data'!F76), "\$([A-Z]+)\$[0-9]+"))</f>
        <v/>
      </c>
      <c r="G76" s="6" t="str" cm="1">
        <f t="array" aca="1" ref="G76" ca="1">IFERROR(IF(OR('Raw Data'!G76="",LEN(TRIM('Raw Data'!G76))=0),"",IF(AND(ISNUMBER('Raw Data'!G76),'Raw Data'!G76=ROUND('Raw Data'!G76,4),IFERROR(ROUND('Raw Data'!G76,4)&lt;=99999999999.99,FALSE))=TRUE,"",_xlfn.REGEXEXTRACT(CELL("address",'Raw Data'!G76), "\$([A-Z]+)\$[0-9]+"))),_xlfn.REGEXEXTRACT(CELL("address",'Raw Data'!G76), "\$([A-Z]+)\$[0-9]+"))</f>
        <v/>
      </c>
      <c r="H76" s="6" t="str" cm="1">
        <f t="array" aca="1" ref="H76" ca="1">IFERROR(IF(OR('Raw Data'!H76="",LEN(TRIM('Raw Data'!H76))=0),"",IF(AND(ISNUMBER('Raw Data'!H76),'Raw Data'!H76=ROUND('Raw Data'!H76,4),IFERROR(ROUND('Raw Data'!H76,4)&lt;=99999999999.99,FALSE))=TRUE,"",_xlfn.REGEXEXTRACT(CELL("address",'Raw Data'!H76), "\$([A-Z]+)\$[0-9]+"))),_xlfn.REGEXEXTRACT(CELL("address",'Raw Data'!H76), "\$([A-Z]+)\$[0-9]+"))</f>
        <v/>
      </c>
      <c r="I76" s="6" t="str" cm="1">
        <f t="array" aca="1" ref="I76" ca="1">IFERROR(IF(OR('Raw Data'!I76="",LEN(TRIM('Raw Data'!I76))=0),"",IF(AND(ISNUMBER('Raw Data'!I76),'Raw Data'!I76=ROUND('Raw Data'!I76,4),IFERROR(ROUND('Raw Data'!I76,4)&lt;=99999999999.99,FALSE))=TRUE,"",_xlfn.REGEXEXTRACT(CELL("address",'Raw Data'!I76), "\$([A-Z]+)\$[0-9]+"))),_xlfn.REGEXEXTRACT(CELL("address",'Raw Data'!I76), "\$([A-Z]+)\$[0-9]+"))</f>
        <v/>
      </c>
      <c r="J76" s="6" t="str" cm="1">
        <f t="array" aca="1" ref="J76" ca="1">IFERROR(IF(OR('Raw Data'!J76="",LEN(TRIM('Raw Data'!J76))=0),"",IF(AND(ISNUMBER('Raw Data'!J76),'Raw Data'!J76=ROUND('Raw Data'!J76,4),IFERROR(ROUND('Raw Data'!J76,4)&lt;=99999999999.99,FALSE))=TRUE,"",_xlfn.REGEXEXTRACT(CELL("address",'Raw Data'!J76), "\$([A-Z]+)\$[0-9]+"))),_xlfn.REGEXEXTRACT(CELL("address",'Raw Data'!J76), "\$([A-Z]+)\$[0-9]+"))</f>
        <v/>
      </c>
    </row>
    <row r="77" spans="2:10" x14ac:dyDescent="0.25">
      <c r="B77" s="6" t="str" cm="1">
        <f t="array" aca="1" ref="B77" ca="1">IFERROR(IF(OR('Raw Data'!B77="",LEN(TRIM('Raw Data'!B77))=0),"",IF(AND(LEN('Raw Data'!B77) &lt;= 255,LEN('Raw Data'!B77)&gt; 0),"",_xlfn.REGEXEXTRACT(CELL("address",'Raw Data'!B77),"\$([A-Z]+)\$[0-9]+"))),_xlfn.REGEXEXTRACT(CELL("address",'Raw Data'!B77),"\$([A-Z]+)\$[0-9]+"))</f>
        <v/>
      </c>
      <c r="C77" s="6" t="str" cm="1">
        <f t="array" aca="1" ref="C77" ca="1">IFERROR(IF(OR('Raw Data'!C77="",LEN(TRIM('Raw Data'!C77))=0),"",IF(AND(LEN('Raw Data'!C77) &lt;= 20,LEN('Raw Data'!C77)&gt; 0),"",_xlfn.REGEXEXTRACT(CELL("address",'Raw Data'!C77),"\$([A-Z]+)\$[0-9]+"))),_xlfn.REGEXEXTRACT(CELL("address",'Raw Data'!C77),"\$([A-Z]+)\$[0-9]+"))</f>
        <v/>
      </c>
      <c r="D77" s="6" t="str" cm="1">
        <f t="array" aca="1" ref="D77" ca="1">IFERROR(IF(OR('Raw Data'!D77="",LEN(TRIM('Raw Data'!D77))=0),"",IF(AND(ISNUMBER('Raw Data'!D77),'Raw Data'!D77&gt;=Configuration!$D$2),"",_xlfn.REGEXEXTRACT(CELL("address",'Raw Data'!D77),"\$([A-Z]+)\$[0-9]+"))),_xlfn.REGEXEXTRACT(CELL("address",D77), "\$([A-Z]+)\$[0-9]+"))</f>
        <v/>
      </c>
      <c r="E77" s="6" t="str" cm="1">
        <f t="array" aca="1" ref="E77" ca="1">IFERROR(IF(OR('Raw Data'!E77="",LEN(TRIM('Raw Data'!E77))=0),"",IF(AND(ISNUMBER('Raw Data'!E77),'Raw Data'!E77=ROUND('Raw Data'!E77,4),IFERROR(ROUND('Raw Data'!E77,4)&lt;=99999999999.99,FALSE))=TRUE,"",_xlfn.REGEXEXTRACT(CELL("address",'Raw Data'!E77), "\$([A-Z]+)\$[0-9]+"))),_xlfn.REGEXEXTRACT(CELL("address",'Raw Data'!E77), "\$([A-Z]+)\$[0-9]+"))</f>
        <v/>
      </c>
      <c r="F77" s="6" t="str" cm="1">
        <f t="array" aca="1" ref="F77" ca="1">IFERROR(IF(OR('Raw Data'!F77="",LEN(TRIM('Raw Data'!F77))=0),"",IF(AND(ISNUMBER('Raw Data'!F77),'Raw Data'!F77=ROUND('Raw Data'!F77,4),IFERROR(ROUND('Raw Data'!F77,4)&lt;=99999999999.99,FALSE))=TRUE,"",_xlfn.REGEXEXTRACT(CELL("address",'Raw Data'!F77), "\$([A-Z]+)\$[0-9]+"))),_xlfn.REGEXEXTRACT(CELL("address",'Raw Data'!F77), "\$([A-Z]+)\$[0-9]+"))</f>
        <v/>
      </c>
      <c r="G77" s="6" t="str" cm="1">
        <f t="array" aca="1" ref="G77" ca="1">IFERROR(IF(OR('Raw Data'!G77="",LEN(TRIM('Raw Data'!G77))=0),"",IF(AND(ISNUMBER('Raw Data'!G77),'Raw Data'!G77=ROUND('Raw Data'!G77,4),IFERROR(ROUND('Raw Data'!G77,4)&lt;=99999999999.99,FALSE))=TRUE,"",_xlfn.REGEXEXTRACT(CELL("address",'Raw Data'!G77), "\$([A-Z]+)\$[0-9]+"))),_xlfn.REGEXEXTRACT(CELL("address",'Raw Data'!G77), "\$([A-Z]+)\$[0-9]+"))</f>
        <v/>
      </c>
      <c r="H77" s="6" t="str" cm="1">
        <f t="array" aca="1" ref="H77" ca="1">IFERROR(IF(OR('Raw Data'!H77="",LEN(TRIM('Raw Data'!H77))=0),"",IF(AND(ISNUMBER('Raw Data'!H77),'Raw Data'!H77=ROUND('Raw Data'!H77,4),IFERROR(ROUND('Raw Data'!H77,4)&lt;=99999999999.99,FALSE))=TRUE,"",_xlfn.REGEXEXTRACT(CELL("address",'Raw Data'!H77), "\$([A-Z]+)\$[0-9]+"))),_xlfn.REGEXEXTRACT(CELL("address",'Raw Data'!H77), "\$([A-Z]+)\$[0-9]+"))</f>
        <v/>
      </c>
      <c r="I77" s="6" t="str" cm="1">
        <f t="array" aca="1" ref="I77" ca="1">IFERROR(IF(OR('Raw Data'!I77="",LEN(TRIM('Raw Data'!I77))=0),"",IF(AND(ISNUMBER('Raw Data'!I77),'Raw Data'!I77=ROUND('Raw Data'!I77,4),IFERROR(ROUND('Raw Data'!I77,4)&lt;=99999999999.99,FALSE))=TRUE,"",_xlfn.REGEXEXTRACT(CELL("address",'Raw Data'!I77), "\$([A-Z]+)\$[0-9]+"))),_xlfn.REGEXEXTRACT(CELL("address",'Raw Data'!I77), "\$([A-Z]+)\$[0-9]+"))</f>
        <v/>
      </c>
      <c r="J77" s="6" t="str" cm="1">
        <f t="array" aca="1" ref="J77" ca="1">IFERROR(IF(OR('Raw Data'!J77="",LEN(TRIM('Raw Data'!J77))=0),"",IF(AND(ISNUMBER('Raw Data'!J77),'Raw Data'!J77=ROUND('Raw Data'!J77,4),IFERROR(ROUND('Raw Data'!J77,4)&lt;=99999999999.99,FALSE))=TRUE,"",_xlfn.REGEXEXTRACT(CELL("address",'Raw Data'!J77), "\$([A-Z]+)\$[0-9]+"))),_xlfn.REGEXEXTRACT(CELL("address",'Raw Data'!J77), "\$([A-Z]+)\$[0-9]+"))</f>
        <v/>
      </c>
    </row>
    <row r="78" spans="2:10" x14ac:dyDescent="0.25">
      <c r="B78" s="6" t="str" cm="1">
        <f t="array" aca="1" ref="B78" ca="1">IFERROR(IF(OR('Raw Data'!B78="",LEN(TRIM('Raw Data'!B78))=0),"",IF(AND(LEN('Raw Data'!B78) &lt;= 255,LEN('Raw Data'!B78)&gt; 0),"",_xlfn.REGEXEXTRACT(CELL("address",'Raw Data'!B78),"\$([A-Z]+)\$[0-9]+"))),_xlfn.REGEXEXTRACT(CELL("address",'Raw Data'!B78),"\$([A-Z]+)\$[0-9]+"))</f>
        <v/>
      </c>
      <c r="C78" s="6" t="str" cm="1">
        <f t="array" aca="1" ref="C78" ca="1">IFERROR(IF(OR('Raw Data'!C78="",LEN(TRIM('Raw Data'!C78))=0),"",IF(AND(LEN('Raw Data'!C78) &lt;= 20,LEN('Raw Data'!C78)&gt; 0),"",_xlfn.REGEXEXTRACT(CELL("address",'Raw Data'!C78),"\$([A-Z]+)\$[0-9]+"))),_xlfn.REGEXEXTRACT(CELL("address",'Raw Data'!C78),"\$([A-Z]+)\$[0-9]+"))</f>
        <v/>
      </c>
      <c r="D78" s="6" t="str" cm="1">
        <f t="array" aca="1" ref="D78" ca="1">IFERROR(IF(OR('Raw Data'!D78="",LEN(TRIM('Raw Data'!D78))=0),"",IF(AND(ISNUMBER('Raw Data'!D78),'Raw Data'!D78&gt;=Configuration!$D$2),"",_xlfn.REGEXEXTRACT(CELL("address",'Raw Data'!D78),"\$([A-Z]+)\$[0-9]+"))),_xlfn.REGEXEXTRACT(CELL("address",D78), "\$([A-Z]+)\$[0-9]+"))</f>
        <v/>
      </c>
      <c r="E78" s="6" t="str" cm="1">
        <f t="array" aca="1" ref="E78" ca="1">IFERROR(IF(OR('Raw Data'!E78="",LEN(TRIM('Raw Data'!E78))=0),"",IF(AND(ISNUMBER('Raw Data'!E78),'Raw Data'!E78=ROUND('Raw Data'!E78,4),IFERROR(ROUND('Raw Data'!E78,4)&lt;=99999999999.99,FALSE))=TRUE,"",_xlfn.REGEXEXTRACT(CELL("address",'Raw Data'!E78), "\$([A-Z]+)\$[0-9]+"))),_xlfn.REGEXEXTRACT(CELL("address",'Raw Data'!E78), "\$([A-Z]+)\$[0-9]+"))</f>
        <v/>
      </c>
      <c r="F78" s="6" t="str" cm="1">
        <f t="array" aca="1" ref="F78" ca="1">IFERROR(IF(OR('Raw Data'!F78="",LEN(TRIM('Raw Data'!F78))=0),"",IF(AND(ISNUMBER('Raw Data'!F78),'Raw Data'!F78=ROUND('Raw Data'!F78,4),IFERROR(ROUND('Raw Data'!F78,4)&lt;=99999999999.99,FALSE))=TRUE,"",_xlfn.REGEXEXTRACT(CELL("address",'Raw Data'!F78), "\$([A-Z]+)\$[0-9]+"))),_xlfn.REGEXEXTRACT(CELL("address",'Raw Data'!F78), "\$([A-Z]+)\$[0-9]+"))</f>
        <v/>
      </c>
      <c r="G78" s="6" t="str" cm="1">
        <f t="array" aca="1" ref="G78" ca="1">IFERROR(IF(OR('Raw Data'!G78="",LEN(TRIM('Raw Data'!G78))=0),"",IF(AND(ISNUMBER('Raw Data'!G78),'Raw Data'!G78=ROUND('Raw Data'!G78,4),IFERROR(ROUND('Raw Data'!G78,4)&lt;=99999999999.99,FALSE))=TRUE,"",_xlfn.REGEXEXTRACT(CELL("address",'Raw Data'!G78), "\$([A-Z]+)\$[0-9]+"))),_xlfn.REGEXEXTRACT(CELL("address",'Raw Data'!G78), "\$([A-Z]+)\$[0-9]+"))</f>
        <v/>
      </c>
      <c r="H78" s="6" t="str" cm="1">
        <f t="array" aca="1" ref="H78" ca="1">IFERROR(IF(OR('Raw Data'!H78="",LEN(TRIM('Raw Data'!H78))=0),"",IF(AND(ISNUMBER('Raw Data'!H78),'Raw Data'!H78=ROUND('Raw Data'!H78,4),IFERROR(ROUND('Raw Data'!H78,4)&lt;=99999999999.99,FALSE))=TRUE,"",_xlfn.REGEXEXTRACT(CELL("address",'Raw Data'!H78), "\$([A-Z]+)\$[0-9]+"))),_xlfn.REGEXEXTRACT(CELL("address",'Raw Data'!H78), "\$([A-Z]+)\$[0-9]+"))</f>
        <v/>
      </c>
      <c r="I78" s="6" t="str" cm="1">
        <f t="array" aca="1" ref="I78" ca="1">IFERROR(IF(OR('Raw Data'!I78="",LEN(TRIM('Raw Data'!I78))=0),"",IF(AND(ISNUMBER('Raw Data'!I78),'Raw Data'!I78=ROUND('Raw Data'!I78,4),IFERROR(ROUND('Raw Data'!I78,4)&lt;=99999999999.99,FALSE))=TRUE,"",_xlfn.REGEXEXTRACT(CELL("address",'Raw Data'!I78), "\$([A-Z]+)\$[0-9]+"))),_xlfn.REGEXEXTRACT(CELL("address",'Raw Data'!I78), "\$([A-Z]+)\$[0-9]+"))</f>
        <v/>
      </c>
      <c r="J78" s="6" t="str" cm="1">
        <f t="array" aca="1" ref="J78" ca="1">IFERROR(IF(OR('Raw Data'!J78="",LEN(TRIM('Raw Data'!J78))=0),"",IF(AND(ISNUMBER('Raw Data'!J78),'Raw Data'!J78=ROUND('Raw Data'!J78,4),IFERROR(ROUND('Raw Data'!J78,4)&lt;=99999999999.99,FALSE))=TRUE,"",_xlfn.REGEXEXTRACT(CELL("address",'Raw Data'!J78), "\$([A-Z]+)\$[0-9]+"))),_xlfn.REGEXEXTRACT(CELL("address",'Raw Data'!J78), "\$([A-Z]+)\$[0-9]+"))</f>
        <v/>
      </c>
    </row>
    <row r="79" spans="2:10" x14ac:dyDescent="0.25">
      <c r="B79" s="6" t="str" cm="1">
        <f t="array" aca="1" ref="B79" ca="1">IFERROR(IF(OR('Raw Data'!B79="",LEN(TRIM('Raw Data'!B79))=0),"",IF(AND(LEN('Raw Data'!B79) &lt;= 255,LEN('Raw Data'!B79)&gt; 0),"",_xlfn.REGEXEXTRACT(CELL("address",'Raw Data'!B79),"\$([A-Z]+)\$[0-9]+"))),_xlfn.REGEXEXTRACT(CELL("address",'Raw Data'!B79),"\$([A-Z]+)\$[0-9]+"))</f>
        <v/>
      </c>
      <c r="C79" s="6" t="str" cm="1">
        <f t="array" aca="1" ref="C79" ca="1">IFERROR(IF(OR('Raw Data'!C79="",LEN(TRIM('Raw Data'!C79))=0),"",IF(AND(LEN('Raw Data'!C79) &lt;= 20,LEN('Raw Data'!C79)&gt; 0),"",_xlfn.REGEXEXTRACT(CELL("address",'Raw Data'!C79),"\$([A-Z]+)\$[0-9]+"))),_xlfn.REGEXEXTRACT(CELL("address",'Raw Data'!C79),"\$([A-Z]+)\$[0-9]+"))</f>
        <v/>
      </c>
      <c r="D79" s="6" t="str" cm="1">
        <f t="array" aca="1" ref="D79" ca="1">IFERROR(IF(OR('Raw Data'!D79="",LEN(TRIM('Raw Data'!D79))=0),"",IF(AND(ISNUMBER('Raw Data'!D79),'Raw Data'!D79&gt;=Configuration!$D$2),"",_xlfn.REGEXEXTRACT(CELL("address",'Raw Data'!D79),"\$([A-Z]+)\$[0-9]+"))),_xlfn.REGEXEXTRACT(CELL("address",D79), "\$([A-Z]+)\$[0-9]+"))</f>
        <v/>
      </c>
      <c r="E79" s="6" t="str" cm="1">
        <f t="array" aca="1" ref="E79" ca="1">IFERROR(IF(OR('Raw Data'!E79="",LEN(TRIM('Raw Data'!E79))=0),"",IF(AND(ISNUMBER('Raw Data'!E79),'Raw Data'!E79=ROUND('Raw Data'!E79,4),IFERROR(ROUND('Raw Data'!E79,4)&lt;=99999999999.99,FALSE))=TRUE,"",_xlfn.REGEXEXTRACT(CELL("address",'Raw Data'!E79), "\$([A-Z]+)\$[0-9]+"))),_xlfn.REGEXEXTRACT(CELL("address",'Raw Data'!E79), "\$([A-Z]+)\$[0-9]+"))</f>
        <v/>
      </c>
      <c r="F79" s="6" t="str" cm="1">
        <f t="array" aca="1" ref="F79" ca="1">IFERROR(IF(OR('Raw Data'!F79="",LEN(TRIM('Raw Data'!F79))=0),"",IF(AND(ISNUMBER('Raw Data'!F79),'Raw Data'!F79=ROUND('Raw Data'!F79,4),IFERROR(ROUND('Raw Data'!F79,4)&lt;=99999999999.99,FALSE))=TRUE,"",_xlfn.REGEXEXTRACT(CELL("address",'Raw Data'!F79), "\$([A-Z]+)\$[0-9]+"))),_xlfn.REGEXEXTRACT(CELL("address",'Raw Data'!F79), "\$([A-Z]+)\$[0-9]+"))</f>
        <v/>
      </c>
      <c r="G79" s="6" t="str" cm="1">
        <f t="array" aca="1" ref="G79" ca="1">IFERROR(IF(OR('Raw Data'!G79="",LEN(TRIM('Raw Data'!G79))=0),"",IF(AND(ISNUMBER('Raw Data'!G79),'Raw Data'!G79=ROUND('Raw Data'!G79,4),IFERROR(ROUND('Raw Data'!G79,4)&lt;=99999999999.99,FALSE))=TRUE,"",_xlfn.REGEXEXTRACT(CELL("address",'Raw Data'!G79), "\$([A-Z]+)\$[0-9]+"))),_xlfn.REGEXEXTRACT(CELL("address",'Raw Data'!G79), "\$([A-Z]+)\$[0-9]+"))</f>
        <v/>
      </c>
      <c r="H79" s="6" t="str" cm="1">
        <f t="array" aca="1" ref="H79" ca="1">IFERROR(IF(OR('Raw Data'!H79="",LEN(TRIM('Raw Data'!H79))=0),"",IF(AND(ISNUMBER('Raw Data'!H79),'Raw Data'!H79=ROUND('Raw Data'!H79,4),IFERROR(ROUND('Raw Data'!H79,4)&lt;=99999999999.99,FALSE))=TRUE,"",_xlfn.REGEXEXTRACT(CELL("address",'Raw Data'!H79), "\$([A-Z]+)\$[0-9]+"))),_xlfn.REGEXEXTRACT(CELL("address",'Raw Data'!H79), "\$([A-Z]+)\$[0-9]+"))</f>
        <v/>
      </c>
      <c r="I79" s="6" t="str" cm="1">
        <f t="array" aca="1" ref="I79" ca="1">IFERROR(IF(OR('Raw Data'!I79="",LEN(TRIM('Raw Data'!I79))=0),"",IF(AND(ISNUMBER('Raw Data'!I79),'Raw Data'!I79=ROUND('Raw Data'!I79,4),IFERROR(ROUND('Raw Data'!I79,4)&lt;=99999999999.99,FALSE))=TRUE,"",_xlfn.REGEXEXTRACT(CELL("address",'Raw Data'!I79), "\$([A-Z]+)\$[0-9]+"))),_xlfn.REGEXEXTRACT(CELL("address",'Raw Data'!I79), "\$([A-Z]+)\$[0-9]+"))</f>
        <v/>
      </c>
      <c r="J79" s="6" t="str" cm="1">
        <f t="array" aca="1" ref="J79" ca="1">IFERROR(IF(OR('Raw Data'!J79="",LEN(TRIM('Raw Data'!J79))=0),"",IF(AND(ISNUMBER('Raw Data'!J79),'Raw Data'!J79=ROUND('Raw Data'!J79,4),IFERROR(ROUND('Raw Data'!J79,4)&lt;=99999999999.99,FALSE))=TRUE,"",_xlfn.REGEXEXTRACT(CELL("address",'Raw Data'!J79), "\$([A-Z]+)\$[0-9]+"))),_xlfn.REGEXEXTRACT(CELL("address",'Raw Data'!J79), "\$([A-Z]+)\$[0-9]+"))</f>
        <v/>
      </c>
    </row>
    <row r="80" spans="2:10" x14ac:dyDescent="0.25">
      <c r="B80" s="6" t="str" cm="1">
        <f t="array" aca="1" ref="B80" ca="1">IFERROR(IF(OR('Raw Data'!B80="",LEN(TRIM('Raw Data'!B80))=0),"",IF(AND(LEN('Raw Data'!B80) &lt;= 255,LEN('Raw Data'!B80)&gt; 0),"",_xlfn.REGEXEXTRACT(CELL("address",'Raw Data'!B80),"\$([A-Z]+)\$[0-9]+"))),_xlfn.REGEXEXTRACT(CELL("address",'Raw Data'!B80),"\$([A-Z]+)\$[0-9]+"))</f>
        <v/>
      </c>
      <c r="C80" s="6" t="str" cm="1">
        <f t="array" aca="1" ref="C80" ca="1">IFERROR(IF(OR('Raw Data'!C80="",LEN(TRIM('Raw Data'!C80))=0),"",IF(AND(LEN('Raw Data'!C80) &lt;= 20,LEN('Raw Data'!C80)&gt; 0),"",_xlfn.REGEXEXTRACT(CELL("address",'Raw Data'!C80),"\$([A-Z]+)\$[0-9]+"))),_xlfn.REGEXEXTRACT(CELL("address",'Raw Data'!C80),"\$([A-Z]+)\$[0-9]+"))</f>
        <v/>
      </c>
      <c r="D80" s="6" t="str" cm="1">
        <f t="array" aca="1" ref="D80" ca="1">IFERROR(IF(OR('Raw Data'!D80="",LEN(TRIM('Raw Data'!D80))=0),"",IF(AND(ISNUMBER('Raw Data'!D80),'Raw Data'!D80&gt;=Configuration!$D$2),"",_xlfn.REGEXEXTRACT(CELL("address",'Raw Data'!D80),"\$([A-Z]+)\$[0-9]+"))),_xlfn.REGEXEXTRACT(CELL("address",D80), "\$([A-Z]+)\$[0-9]+"))</f>
        <v/>
      </c>
      <c r="E80" s="6" t="str" cm="1">
        <f t="array" aca="1" ref="E80" ca="1">IFERROR(IF(OR('Raw Data'!E80="",LEN(TRIM('Raw Data'!E80))=0),"",IF(AND(ISNUMBER('Raw Data'!E80),'Raw Data'!E80=ROUND('Raw Data'!E80,4),IFERROR(ROUND('Raw Data'!E80,4)&lt;=99999999999.99,FALSE))=TRUE,"",_xlfn.REGEXEXTRACT(CELL("address",'Raw Data'!E80), "\$([A-Z]+)\$[0-9]+"))),_xlfn.REGEXEXTRACT(CELL("address",'Raw Data'!E80), "\$([A-Z]+)\$[0-9]+"))</f>
        <v/>
      </c>
      <c r="F80" s="6" t="str" cm="1">
        <f t="array" aca="1" ref="F80" ca="1">IFERROR(IF(OR('Raw Data'!F80="",LEN(TRIM('Raw Data'!F80))=0),"",IF(AND(ISNUMBER('Raw Data'!F80),'Raw Data'!F80=ROUND('Raw Data'!F80,4),IFERROR(ROUND('Raw Data'!F80,4)&lt;=99999999999.99,FALSE))=TRUE,"",_xlfn.REGEXEXTRACT(CELL("address",'Raw Data'!F80), "\$([A-Z]+)\$[0-9]+"))),_xlfn.REGEXEXTRACT(CELL("address",'Raw Data'!F80), "\$([A-Z]+)\$[0-9]+"))</f>
        <v/>
      </c>
      <c r="G80" s="6" t="str" cm="1">
        <f t="array" aca="1" ref="G80" ca="1">IFERROR(IF(OR('Raw Data'!G80="",LEN(TRIM('Raw Data'!G80))=0),"",IF(AND(ISNUMBER('Raw Data'!G80),'Raw Data'!G80=ROUND('Raw Data'!G80,4),IFERROR(ROUND('Raw Data'!G80,4)&lt;=99999999999.99,FALSE))=TRUE,"",_xlfn.REGEXEXTRACT(CELL("address",'Raw Data'!G80), "\$([A-Z]+)\$[0-9]+"))),_xlfn.REGEXEXTRACT(CELL("address",'Raw Data'!G80), "\$([A-Z]+)\$[0-9]+"))</f>
        <v/>
      </c>
      <c r="H80" s="6" t="str" cm="1">
        <f t="array" aca="1" ref="H80" ca="1">IFERROR(IF(OR('Raw Data'!H80="",LEN(TRIM('Raw Data'!H80))=0),"",IF(AND(ISNUMBER('Raw Data'!H80),'Raw Data'!H80=ROUND('Raw Data'!H80,4),IFERROR(ROUND('Raw Data'!H80,4)&lt;=99999999999.99,FALSE))=TRUE,"",_xlfn.REGEXEXTRACT(CELL("address",'Raw Data'!H80), "\$([A-Z]+)\$[0-9]+"))),_xlfn.REGEXEXTRACT(CELL("address",'Raw Data'!H80), "\$([A-Z]+)\$[0-9]+"))</f>
        <v/>
      </c>
      <c r="I80" s="6" t="str" cm="1">
        <f t="array" aca="1" ref="I80" ca="1">IFERROR(IF(OR('Raw Data'!I80="",LEN(TRIM('Raw Data'!I80))=0),"",IF(AND(ISNUMBER('Raw Data'!I80),'Raw Data'!I80=ROUND('Raw Data'!I80,4),IFERROR(ROUND('Raw Data'!I80,4)&lt;=99999999999.99,FALSE))=TRUE,"",_xlfn.REGEXEXTRACT(CELL("address",'Raw Data'!I80), "\$([A-Z]+)\$[0-9]+"))),_xlfn.REGEXEXTRACT(CELL("address",'Raw Data'!I80), "\$([A-Z]+)\$[0-9]+"))</f>
        <v/>
      </c>
      <c r="J80" s="6" t="str" cm="1">
        <f t="array" aca="1" ref="J80" ca="1">IFERROR(IF(OR('Raw Data'!J80="",LEN(TRIM('Raw Data'!J80))=0),"",IF(AND(ISNUMBER('Raw Data'!J80),'Raw Data'!J80=ROUND('Raw Data'!J80,4),IFERROR(ROUND('Raw Data'!J80,4)&lt;=99999999999.99,FALSE))=TRUE,"",_xlfn.REGEXEXTRACT(CELL("address",'Raw Data'!J80), "\$([A-Z]+)\$[0-9]+"))),_xlfn.REGEXEXTRACT(CELL("address",'Raw Data'!J80), "\$([A-Z]+)\$[0-9]+"))</f>
        <v/>
      </c>
    </row>
    <row r="81" spans="2:10" x14ac:dyDescent="0.25">
      <c r="B81" s="6" t="str" cm="1">
        <f t="array" aca="1" ref="B81" ca="1">IFERROR(IF(OR('Raw Data'!B81="",LEN(TRIM('Raw Data'!B81))=0),"",IF(AND(LEN('Raw Data'!B81) &lt;= 255,LEN('Raw Data'!B81)&gt; 0),"",_xlfn.REGEXEXTRACT(CELL("address",'Raw Data'!B81),"\$([A-Z]+)\$[0-9]+"))),_xlfn.REGEXEXTRACT(CELL("address",'Raw Data'!B81),"\$([A-Z]+)\$[0-9]+"))</f>
        <v/>
      </c>
      <c r="C81" s="6" t="str" cm="1">
        <f t="array" aca="1" ref="C81" ca="1">IFERROR(IF(OR('Raw Data'!C81="",LEN(TRIM('Raw Data'!C81))=0),"",IF(AND(LEN('Raw Data'!C81) &lt;= 20,LEN('Raw Data'!C81)&gt; 0),"",_xlfn.REGEXEXTRACT(CELL("address",'Raw Data'!C81),"\$([A-Z]+)\$[0-9]+"))),_xlfn.REGEXEXTRACT(CELL("address",'Raw Data'!C81),"\$([A-Z]+)\$[0-9]+"))</f>
        <v/>
      </c>
      <c r="D81" s="6" t="str" cm="1">
        <f t="array" aca="1" ref="D81" ca="1">IFERROR(IF(OR('Raw Data'!D81="",LEN(TRIM('Raw Data'!D81))=0),"",IF(AND(ISNUMBER('Raw Data'!D81),'Raw Data'!D81&gt;=Configuration!$D$2),"",_xlfn.REGEXEXTRACT(CELL("address",'Raw Data'!D81),"\$([A-Z]+)\$[0-9]+"))),_xlfn.REGEXEXTRACT(CELL("address",D81), "\$([A-Z]+)\$[0-9]+"))</f>
        <v/>
      </c>
      <c r="E81" s="6" t="str" cm="1">
        <f t="array" aca="1" ref="E81" ca="1">IFERROR(IF(OR('Raw Data'!E81="",LEN(TRIM('Raw Data'!E81))=0),"",IF(AND(ISNUMBER('Raw Data'!E81),'Raw Data'!E81=ROUND('Raw Data'!E81,4),IFERROR(ROUND('Raw Data'!E81,4)&lt;=99999999999.99,FALSE))=TRUE,"",_xlfn.REGEXEXTRACT(CELL("address",'Raw Data'!E81), "\$([A-Z]+)\$[0-9]+"))),_xlfn.REGEXEXTRACT(CELL("address",'Raw Data'!E81), "\$([A-Z]+)\$[0-9]+"))</f>
        <v/>
      </c>
      <c r="F81" s="6" t="str" cm="1">
        <f t="array" aca="1" ref="F81" ca="1">IFERROR(IF(OR('Raw Data'!F81="",LEN(TRIM('Raw Data'!F81))=0),"",IF(AND(ISNUMBER('Raw Data'!F81),'Raw Data'!F81=ROUND('Raw Data'!F81,4),IFERROR(ROUND('Raw Data'!F81,4)&lt;=99999999999.99,FALSE))=TRUE,"",_xlfn.REGEXEXTRACT(CELL("address",'Raw Data'!F81), "\$([A-Z]+)\$[0-9]+"))),_xlfn.REGEXEXTRACT(CELL("address",'Raw Data'!F81), "\$([A-Z]+)\$[0-9]+"))</f>
        <v/>
      </c>
      <c r="G81" s="6" t="str" cm="1">
        <f t="array" aca="1" ref="G81" ca="1">IFERROR(IF(OR('Raw Data'!G81="",LEN(TRIM('Raw Data'!G81))=0),"",IF(AND(ISNUMBER('Raw Data'!G81),'Raw Data'!G81=ROUND('Raw Data'!G81,4),IFERROR(ROUND('Raw Data'!G81,4)&lt;=99999999999.99,FALSE))=TRUE,"",_xlfn.REGEXEXTRACT(CELL("address",'Raw Data'!G81), "\$([A-Z]+)\$[0-9]+"))),_xlfn.REGEXEXTRACT(CELL("address",'Raw Data'!G81), "\$([A-Z]+)\$[0-9]+"))</f>
        <v/>
      </c>
      <c r="H81" s="6" t="str" cm="1">
        <f t="array" aca="1" ref="H81" ca="1">IFERROR(IF(OR('Raw Data'!H81="",LEN(TRIM('Raw Data'!H81))=0),"",IF(AND(ISNUMBER('Raw Data'!H81),'Raw Data'!H81=ROUND('Raw Data'!H81,4),IFERROR(ROUND('Raw Data'!H81,4)&lt;=99999999999.99,FALSE))=TRUE,"",_xlfn.REGEXEXTRACT(CELL("address",'Raw Data'!H81), "\$([A-Z]+)\$[0-9]+"))),_xlfn.REGEXEXTRACT(CELL("address",'Raw Data'!H81), "\$([A-Z]+)\$[0-9]+"))</f>
        <v/>
      </c>
      <c r="I81" s="6" t="str" cm="1">
        <f t="array" aca="1" ref="I81" ca="1">IFERROR(IF(OR('Raw Data'!I81="",LEN(TRIM('Raw Data'!I81))=0),"",IF(AND(ISNUMBER('Raw Data'!I81),'Raw Data'!I81=ROUND('Raw Data'!I81,4),IFERROR(ROUND('Raw Data'!I81,4)&lt;=99999999999.99,FALSE))=TRUE,"",_xlfn.REGEXEXTRACT(CELL("address",'Raw Data'!I81), "\$([A-Z]+)\$[0-9]+"))),_xlfn.REGEXEXTRACT(CELL("address",'Raw Data'!I81), "\$([A-Z]+)\$[0-9]+"))</f>
        <v/>
      </c>
      <c r="J81" s="6" t="str" cm="1">
        <f t="array" aca="1" ref="J81" ca="1">IFERROR(IF(OR('Raw Data'!J81="",LEN(TRIM('Raw Data'!J81))=0),"",IF(AND(ISNUMBER('Raw Data'!J81),'Raw Data'!J81=ROUND('Raw Data'!J81,4),IFERROR(ROUND('Raw Data'!J81,4)&lt;=99999999999.99,FALSE))=TRUE,"",_xlfn.REGEXEXTRACT(CELL("address",'Raw Data'!J81), "\$([A-Z]+)\$[0-9]+"))),_xlfn.REGEXEXTRACT(CELL("address",'Raw Data'!J81), "\$([A-Z]+)\$[0-9]+"))</f>
        <v/>
      </c>
    </row>
    <row r="82" spans="2:10" x14ac:dyDescent="0.25">
      <c r="B82" s="6" t="str" cm="1">
        <f t="array" aca="1" ref="B82" ca="1">IFERROR(IF(OR('Raw Data'!B82="",LEN(TRIM('Raw Data'!B82))=0),"",IF(AND(LEN('Raw Data'!B82) &lt;= 255,LEN('Raw Data'!B82)&gt; 0),"",_xlfn.REGEXEXTRACT(CELL("address",'Raw Data'!B82),"\$([A-Z]+)\$[0-9]+"))),_xlfn.REGEXEXTRACT(CELL("address",'Raw Data'!B82),"\$([A-Z]+)\$[0-9]+"))</f>
        <v/>
      </c>
      <c r="C82" s="6" t="str" cm="1">
        <f t="array" aca="1" ref="C82" ca="1">IFERROR(IF(OR('Raw Data'!C82="",LEN(TRIM('Raw Data'!C82))=0),"",IF(AND(LEN('Raw Data'!C82) &lt;= 20,LEN('Raw Data'!C82)&gt; 0),"",_xlfn.REGEXEXTRACT(CELL("address",'Raw Data'!C82),"\$([A-Z]+)\$[0-9]+"))),_xlfn.REGEXEXTRACT(CELL("address",'Raw Data'!C82),"\$([A-Z]+)\$[0-9]+"))</f>
        <v/>
      </c>
      <c r="D82" s="6" t="str" cm="1">
        <f t="array" aca="1" ref="D82" ca="1">IFERROR(IF(OR('Raw Data'!D82="",LEN(TRIM('Raw Data'!D82))=0),"",IF(AND(ISNUMBER('Raw Data'!D82),'Raw Data'!D82&gt;=Configuration!$D$2),"",_xlfn.REGEXEXTRACT(CELL("address",'Raw Data'!D82),"\$([A-Z]+)\$[0-9]+"))),_xlfn.REGEXEXTRACT(CELL("address",D82), "\$([A-Z]+)\$[0-9]+"))</f>
        <v/>
      </c>
      <c r="E82" s="6" t="str" cm="1">
        <f t="array" aca="1" ref="E82" ca="1">IFERROR(IF(OR('Raw Data'!E82="",LEN(TRIM('Raw Data'!E82))=0),"",IF(AND(ISNUMBER('Raw Data'!E82),'Raw Data'!E82=ROUND('Raw Data'!E82,4),IFERROR(ROUND('Raw Data'!E82,4)&lt;=99999999999.99,FALSE))=TRUE,"",_xlfn.REGEXEXTRACT(CELL("address",'Raw Data'!E82), "\$([A-Z]+)\$[0-9]+"))),_xlfn.REGEXEXTRACT(CELL("address",'Raw Data'!E82), "\$([A-Z]+)\$[0-9]+"))</f>
        <v/>
      </c>
      <c r="F82" s="6" t="str" cm="1">
        <f t="array" aca="1" ref="F82" ca="1">IFERROR(IF(OR('Raw Data'!F82="",LEN(TRIM('Raw Data'!F82))=0),"",IF(AND(ISNUMBER('Raw Data'!F82),'Raw Data'!F82=ROUND('Raw Data'!F82,4),IFERROR(ROUND('Raw Data'!F82,4)&lt;=99999999999.99,FALSE))=TRUE,"",_xlfn.REGEXEXTRACT(CELL("address",'Raw Data'!F82), "\$([A-Z]+)\$[0-9]+"))),_xlfn.REGEXEXTRACT(CELL("address",'Raw Data'!F82), "\$([A-Z]+)\$[0-9]+"))</f>
        <v/>
      </c>
      <c r="G82" s="6" t="str" cm="1">
        <f t="array" aca="1" ref="G82" ca="1">IFERROR(IF(OR('Raw Data'!G82="",LEN(TRIM('Raw Data'!G82))=0),"",IF(AND(ISNUMBER('Raw Data'!G82),'Raw Data'!G82=ROUND('Raw Data'!G82,4),IFERROR(ROUND('Raw Data'!G82,4)&lt;=99999999999.99,FALSE))=TRUE,"",_xlfn.REGEXEXTRACT(CELL("address",'Raw Data'!G82), "\$([A-Z]+)\$[0-9]+"))),_xlfn.REGEXEXTRACT(CELL("address",'Raw Data'!G82), "\$([A-Z]+)\$[0-9]+"))</f>
        <v/>
      </c>
      <c r="H82" s="6" t="str" cm="1">
        <f t="array" aca="1" ref="H82" ca="1">IFERROR(IF(OR('Raw Data'!H82="",LEN(TRIM('Raw Data'!H82))=0),"",IF(AND(ISNUMBER('Raw Data'!H82),'Raw Data'!H82=ROUND('Raw Data'!H82,4),IFERROR(ROUND('Raw Data'!H82,4)&lt;=99999999999.99,FALSE))=TRUE,"",_xlfn.REGEXEXTRACT(CELL("address",'Raw Data'!H82), "\$([A-Z]+)\$[0-9]+"))),_xlfn.REGEXEXTRACT(CELL("address",'Raw Data'!H82), "\$([A-Z]+)\$[0-9]+"))</f>
        <v/>
      </c>
      <c r="I82" s="6" t="str" cm="1">
        <f t="array" aca="1" ref="I82" ca="1">IFERROR(IF(OR('Raw Data'!I82="",LEN(TRIM('Raw Data'!I82))=0),"",IF(AND(ISNUMBER('Raw Data'!I82),'Raw Data'!I82=ROUND('Raw Data'!I82,4),IFERROR(ROUND('Raw Data'!I82,4)&lt;=99999999999.99,FALSE))=TRUE,"",_xlfn.REGEXEXTRACT(CELL("address",'Raw Data'!I82), "\$([A-Z]+)\$[0-9]+"))),_xlfn.REGEXEXTRACT(CELL("address",'Raw Data'!I82), "\$([A-Z]+)\$[0-9]+"))</f>
        <v/>
      </c>
      <c r="J82" s="6" t="str" cm="1">
        <f t="array" aca="1" ref="J82" ca="1">IFERROR(IF(OR('Raw Data'!J82="",LEN(TRIM('Raw Data'!J82))=0),"",IF(AND(ISNUMBER('Raw Data'!J82),'Raw Data'!J82=ROUND('Raw Data'!J82,4),IFERROR(ROUND('Raw Data'!J82,4)&lt;=99999999999.99,FALSE))=TRUE,"",_xlfn.REGEXEXTRACT(CELL("address",'Raw Data'!J82), "\$([A-Z]+)\$[0-9]+"))),_xlfn.REGEXEXTRACT(CELL("address",'Raw Data'!J82), "\$([A-Z]+)\$[0-9]+"))</f>
        <v/>
      </c>
    </row>
    <row r="83" spans="2:10" x14ac:dyDescent="0.25">
      <c r="B83" s="6" t="str" cm="1">
        <f t="array" aca="1" ref="B83" ca="1">IFERROR(IF(OR('Raw Data'!B83="",LEN(TRIM('Raw Data'!B83))=0),"",IF(AND(LEN('Raw Data'!B83) &lt;= 255,LEN('Raw Data'!B83)&gt; 0),"",_xlfn.REGEXEXTRACT(CELL("address",'Raw Data'!B83),"\$([A-Z]+)\$[0-9]+"))),_xlfn.REGEXEXTRACT(CELL("address",'Raw Data'!B83),"\$([A-Z]+)\$[0-9]+"))</f>
        <v/>
      </c>
      <c r="C83" s="6" t="str" cm="1">
        <f t="array" aca="1" ref="C83" ca="1">IFERROR(IF(OR('Raw Data'!C83="",LEN(TRIM('Raw Data'!C83))=0),"",IF(AND(LEN('Raw Data'!C83) &lt;= 20,LEN('Raw Data'!C83)&gt; 0),"",_xlfn.REGEXEXTRACT(CELL("address",'Raw Data'!C83),"\$([A-Z]+)\$[0-9]+"))),_xlfn.REGEXEXTRACT(CELL("address",'Raw Data'!C83),"\$([A-Z]+)\$[0-9]+"))</f>
        <v/>
      </c>
      <c r="D83" s="6" t="str" cm="1">
        <f t="array" aca="1" ref="D83" ca="1">IFERROR(IF(OR('Raw Data'!D83="",LEN(TRIM('Raw Data'!D83))=0),"",IF(AND(ISNUMBER('Raw Data'!D83),'Raw Data'!D83&gt;=Configuration!$D$2),"",_xlfn.REGEXEXTRACT(CELL("address",'Raw Data'!D83),"\$([A-Z]+)\$[0-9]+"))),_xlfn.REGEXEXTRACT(CELL("address",D83), "\$([A-Z]+)\$[0-9]+"))</f>
        <v/>
      </c>
      <c r="E83" s="6" t="str" cm="1">
        <f t="array" aca="1" ref="E83" ca="1">IFERROR(IF(OR('Raw Data'!E83="",LEN(TRIM('Raw Data'!E83))=0),"",IF(AND(ISNUMBER('Raw Data'!E83),'Raw Data'!E83=ROUND('Raw Data'!E83,4),IFERROR(ROUND('Raw Data'!E83,4)&lt;=99999999999.99,FALSE))=TRUE,"",_xlfn.REGEXEXTRACT(CELL("address",'Raw Data'!E83), "\$([A-Z]+)\$[0-9]+"))),_xlfn.REGEXEXTRACT(CELL("address",'Raw Data'!E83), "\$([A-Z]+)\$[0-9]+"))</f>
        <v/>
      </c>
      <c r="F83" s="6" t="str" cm="1">
        <f t="array" aca="1" ref="F83" ca="1">IFERROR(IF(OR('Raw Data'!F83="",LEN(TRIM('Raw Data'!F83))=0),"",IF(AND(ISNUMBER('Raw Data'!F83),'Raw Data'!F83=ROUND('Raw Data'!F83,4),IFERROR(ROUND('Raw Data'!F83,4)&lt;=99999999999.99,FALSE))=TRUE,"",_xlfn.REGEXEXTRACT(CELL("address",'Raw Data'!F83), "\$([A-Z]+)\$[0-9]+"))),_xlfn.REGEXEXTRACT(CELL("address",'Raw Data'!F83), "\$([A-Z]+)\$[0-9]+"))</f>
        <v/>
      </c>
      <c r="G83" s="6" t="str" cm="1">
        <f t="array" aca="1" ref="G83" ca="1">IFERROR(IF(OR('Raw Data'!G83="",LEN(TRIM('Raw Data'!G83))=0),"",IF(AND(ISNUMBER('Raw Data'!G83),'Raw Data'!G83=ROUND('Raw Data'!G83,4),IFERROR(ROUND('Raw Data'!G83,4)&lt;=99999999999.99,FALSE))=TRUE,"",_xlfn.REGEXEXTRACT(CELL("address",'Raw Data'!G83), "\$([A-Z]+)\$[0-9]+"))),_xlfn.REGEXEXTRACT(CELL("address",'Raw Data'!G83), "\$([A-Z]+)\$[0-9]+"))</f>
        <v/>
      </c>
      <c r="H83" s="6" t="str" cm="1">
        <f t="array" aca="1" ref="H83" ca="1">IFERROR(IF(OR('Raw Data'!H83="",LEN(TRIM('Raw Data'!H83))=0),"",IF(AND(ISNUMBER('Raw Data'!H83),'Raw Data'!H83=ROUND('Raw Data'!H83,4),IFERROR(ROUND('Raw Data'!H83,4)&lt;=99999999999.99,FALSE))=TRUE,"",_xlfn.REGEXEXTRACT(CELL("address",'Raw Data'!H83), "\$([A-Z]+)\$[0-9]+"))),_xlfn.REGEXEXTRACT(CELL("address",'Raw Data'!H83), "\$([A-Z]+)\$[0-9]+"))</f>
        <v/>
      </c>
      <c r="I83" s="6" t="str" cm="1">
        <f t="array" aca="1" ref="I83" ca="1">IFERROR(IF(OR('Raw Data'!I83="",LEN(TRIM('Raw Data'!I83))=0),"",IF(AND(ISNUMBER('Raw Data'!I83),'Raw Data'!I83=ROUND('Raw Data'!I83,4),IFERROR(ROUND('Raw Data'!I83,4)&lt;=99999999999.99,FALSE))=TRUE,"",_xlfn.REGEXEXTRACT(CELL("address",'Raw Data'!I83), "\$([A-Z]+)\$[0-9]+"))),_xlfn.REGEXEXTRACT(CELL("address",'Raw Data'!I83), "\$([A-Z]+)\$[0-9]+"))</f>
        <v/>
      </c>
      <c r="J83" s="6" t="str" cm="1">
        <f t="array" aca="1" ref="J83" ca="1">IFERROR(IF(OR('Raw Data'!J83="",LEN(TRIM('Raw Data'!J83))=0),"",IF(AND(ISNUMBER('Raw Data'!J83),'Raw Data'!J83=ROUND('Raw Data'!J83,4),IFERROR(ROUND('Raw Data'!J83,4)&lt;=99999999999.99,FALSE))=TRUE,"",_xlfn.REGEXEXTRACT(CELL("address",'Raw Data'!J83), "\$([A-Z]+)\$[0-9]+"))),_xlfn.REGEXEXTRACT(CELL("address",'Raw Data'!J83), "\$([A-Z]+)\$[0-9]+"))</f>
        <v/>
      </c>
    </row>
    <row r="84" spans="2:10" x14ac:dyDescent="0.25">
      <c r="B84" s="6" t="str" cm="1">
        <f t="array" aca="1" ref="B84" ca="1">IFERROR(IF(OR('Raw Data'!B84="",LEN(TRIM('Raw Data'!B84))=0),"",IF(AND(LEN('Raw Data'!B84) &lt;= 255,LEN('Raw Data'!B84)&gt; 0),"",_xlfn.REGEXEXTRACT(CELL("address",'Raw Data'!B84),"\$([A-Z]+)\$[0-9]+"))),_xlfn.REGEXEXTRACT(CELL("address",'Raw Data'!B84),"\$([A-Z]+)\$[0-9]+"))</f>
        <v/>
      </c>
      <c r="C84" s="6" t="str" cm="1">
        <f t="array" aca="1" ref="C84" ca="1">IFERROR(IF(OR('Raw Data'!C84="",LEN(TRIM('Raw Data'!C84))=0),"",IF(AND(LEN('Raw Data'!C84) &lt;= 20,LEN('Raw Data'!C84)&gt; 0),"",_xlfn.REGEXEXTRACT(CELL("address",'Raw Data'!C84),"\$([A-Z]+)\$[0-9]+"))),_xlfn.REGEXEXTRACT(CELL("address",'Raw Data'!C84),"\$([A-Z]+)\$[0-9]+"))</f>
        <v/>
      </c>
      <c r="D84" s="6" t="str" cm="1">
        <f t="array" aca="1" ref="D84" ca="1">IFERROR(IF(OR('Raw Data'!D84="",LEN(TRIM('Raw Data'!D84))=0),"",IF(AND(ISNUMBER('Raw Data'!D84),'Raw Data'!D84&gt;=Configuration!$D$2),"",_xlfn.REGEXEXTRACT(CELL("address",'Raw Data'!D84),"\$([A-Z]+)\$[0-9]+"))),_xlfn.REGEXEXTRACT(CELL("address",D84), "\$([A-Z]+)\$[0-9]+"))</f>
        <v/>
      </c>
      <c r="E84" s="6" t="str" cm="1">
        <f t="array" aca="1" ref="E84" ca="1">IFERROR(IF(OR('Raw Data'!E84="",LEN(TRIM('Raw Data'!E84))=0),"",IF(AND(ISNUMBER('Raw Data'!E84),'Raw Data'!E84=ROUND('Raw Data'!E84,4),IFERROR(ROUND('Raw Data'!E84,4)&lt;=99999999999.99,FALSE))=TRUE,"",_xlfn.REGEXEXTRACT(CELL("address",'Raw Data'!E84), "\$([A-Z]+)\$[0-9]+"))),_xlfn.REGEXEXTRACT(CELL("address",'Raw Data'!E84), "\$([A-Z]+)\$[0-9]+"))</f>
        <v/>
      </c>
      <c r="F84" s="6" t="str" cm="1">
        <f t="array" aca="1" ref="F84" ca="1">IFERROR(IF(OR('Raw Data'!F84="",LEN(TRIM('Raw Data'!F84))=0),"",IF(AND(ISNUMBER('Raw Data'!F84),'Raw Data'!F84=ROUND('Raw Data'!F84,4),IFERROR(ROUND('Raw Data'!F84,4)&lt;=99999999999.99,FALSE))=TRUE,"",_xlfn.REGEXEXTRACT(CELL("address",'Raw Data'!F84), "\$([A-Z]+)\$[0-9]+"))),_xlfn.REGEXEXTRACT(CELL("address",'Raw Data'!F84), "\$([A-Z]+)\$[0-9]+"))</f>
        <v/>
      </c>
      <c r="G84" s="6" t="str" cm="1">
        <f t="array" aca="1" ref="G84" ca="1">IFERROR(IF(OR('Raw Data'!G84="",LEN(TRIM('Raw Data'!G84))=0),"",IF(AND(ISNUMBER('Raw Data'!G84),'Raw Data'!G84=ROUND('Raw Data'!G84,4),IFERROR(ROUND('Raw Data'!G84,4)&lt;=99999999999.99,FALSE))=TRUE,"",_xlfn.REGEXEXTRACT(CELL("address",'Raw Data'!G84), "\$([A-Z]+)\$[0-9]+"))),_xlfn.REGEXEXTRACT(CELL("address",'Raw Data'!G84), "\$([A-Z]+)\$[0-9]+"))</f>
        <v/>
      </c>
      <c r="H84" s="6" t="str" cm="1">
        <f t="array" aca="1" ref="H84" ca="1">IFERROR(IF(OR('Raw Data'!H84="",LEN(TRIM('Raw Data'!H84))=0),"",IF(AND(ISNUMBER('Raw Data'!H84),'Raw Data'!H84=ROUND('Raw Data'!H84,4),IFERROR(ROUND('Raw Data'!H84,4)&lt;=99999999999.99,FALSE))=TRUE,"",_xlfn.REGEXEXTRACT(CELL("address",'Raw Data'!H84), "\$([A-Z]+)\$[0-9]+"))),_xlfn.REGEXEXTRACT(CELL("address",'Raw Data'!H84), "\$([A-Z]+)\$[0-9]+"))</f>
        <v/>
      </c>
      <c r="I84" s="6" t="str" cm="1">
        <f t="array" aca="1" ref="I84" ca="1">IFERROR(IF(OR('Raw Data'!I84="",LEN(TRIM('Raw Data'!I84))=0),"",IF(AND(ISNUMBER('Raw Data'!I84),'Raw Data'!I84=ROUND('Raw Data'!I84,4),IFERROR(ROUND('Raw Data'!I84,4)&lt;=99999999999.99,FALSE))=TRUE,"",_xlfn.REGEXEXTRACT(CELL("address",'Raw Data'!I84), "\$([A-Z]+)\$[0-9]+"))),_xlfn.REGEXEXTRACT(CELL("address",'Raw Data'!I84), "\$([A-Z]+)\$[0-9]+"))</f>
        <v/>
      </c>
      <c r="J84" s="6" t="str" cm="1">
        <f t="array" aca="1" ref="J84" ca="1">IFERROR(IF(OR('Raw Data'!J84="",LEN(TRIM('Raw Data'!J84))=0),"",IF(AND(ISNUMBER('Raw Data'!J84),'Raw Data'!J84=ROUND('Raw Data'!J84,4),IFERROR(ROUND('Raw Data'!J84,4)&lt;=99999999999.99,FALSE))=TRUE,"",_xlfn.REGEXEXTRACT(CELL("address",'Raw Data'!J84), "\$([A-Z]+)\$[0-9]+"))),_xlfn.REGEXEXTRACT(CELL("address",'Raw Data'!J84), "\$([A-Z]+)\$[0-9]+"))</f>
        <v/>
      </c>
    </row>
    <row r="85" spans="2:10" x14ac:dyDescent="0.25">
      <c r="B85" s="6" t="str" cm="1">
        <f t="array" aca="1" ref="B85" ca="1">IFERROR(IF(OR('Raw Data'!B85="",LEN(TRIM('Raw Data'!B85))=0),"",IF(AND(LEN('Raw Data'!B85) &lt;= 255,LEN('Raw Data'!B85)&gt; 0),"",_xlfn.REGEXEXTRACT(CELL("address",'Raw Data'!B85),"\$([A-Z]+)\$[0-9]+"))),_xlfn.REGEXEXTRACT(CELL("address",'Raw Data'!B85),"\$([A-Z]+)\$[0-9]+"))</f>
        <v/>
      </c>
      <c r="C85" s="6" t="str" cm="1">
        <f t="array" aca="1" ref="C85" ca="1">IFERROR(IF(OR('Raw Data'!C85="",LEN(TRIM('Raw Data'!C85))=0),"",IF(AND(LEN('Raw Data'!C85) &lt;= 20,LEN('Raw Data'!C85)&gt; 0),"",_xlfn.REGEXEXTRACT(CELL("address",'Raw Data'!C85),"\$([A-Z]+)\$[0-9]+"))),_xlfn.REGEXEXTRACT(CELL("address",'Raw Data'!C85),"\$([A-Z]+)\$[0-9]+"))</f>
        <v/>
      </c>
      <c r="D85" s="6" t="str" cm="1">
        <f t="array" aca="1" ref="D85" ca="1">IFERROR(IF(OR('Raw Data'!D85="",LEN(TRIM('Raw Data'!D85))=0),"",IF(AND(ISNUMBER('Raw Data'!D85),'Raw Data'!D85&gt;=Configuration!$D$2),"",_xlfn.REGEXEXTRACT(CELL("address",'Raw Data'!D85),"\$([A-Z]+)\$[0-9]+"))),_xlfn.REGEXEXTRACT(CELL("address",D85), "\$([A-Z]+)\$[0-9]+"))</f>
        <v/>
      </c>
      <c r="E85" s="6" t="str" cm="1">
        <f t="array" aca="1" ref="E85" ca="1">IFERROR(IF(OR('Raw Data'!E85="",LEN(TRIM('Raw Data'!E85))=0),"",IF(AND(ISNUMBER('Raw Data'!E85),'Raw Data'!E85=ROUND('Raw Data'!E85,4),IFERROR(ROUND('Raw Data'!E85,4)&lt;=99999999999.99,FALSE))=TRUE,"",_xlfn.REGEXEXTRACT(CELL("address",'Raw Data'!E85), "\$([A-Z]+)\$[0-9]+"))),_xlfn.REGEXEXTRACT(CELL("address",'Raw Data'!E85), "\$([A-Z]+)\$[0-9]+"))</f>
        <v/>
      </c>
      <c r="F85" s="6" t="str" cm="1">
        <f t="array" aca="1" ref="F85" ca="1">IFERROR(IF(OR('Raw Data'!F85="",LEN(TRIM('Raw Data'!F85))=0),"",IF(AND(ISNUMBER('Raw Data'!F85),'Raw Data'!F85=ROUND('Raw Data'!F85,4),IFERROR(ROUND('Raw Data'!F85,4)&lt;=99999999999.99,FALSE))=TRUE,"",_xlfn.REGEXEXTRACT(CELL("address",'Raw Data'!F85), "\$([A-Z]+)\$[0-9]+"))),_xlfn.REGEXEXTRACT(CELL("address",'Raw Data'!F85), "\$([A-Z]+)\$[0-9]+"))</f>
        <v/>
      </c>
      <c r="G85" s="6" t="str" cm="1">
        <f t="array" aca="1" ref="G85" ca="1">IFERROR(IF(OR('Raw Data'!G85="",LEN(TRIM('Raw Data'!G85))=0),"",IF(AND(ISNUMBER('Raw Data'!G85),'Raw Data'!G85=ROUND('Raw Data'!G85,4),IFERROR(ROUND('Raw Data'!G85,4)&lt;=99999999999.99,FALSE))=TRUE,"",_xlfn.REGEXEXTRACT(CELL("address",'Raw Data'!G85), "\$([A-Z]+)\$[0-9]+"))),_xlfn.REGEXEXTRACT(CELL("address",'Raw Data'!G85), "\$([A-Z]+)\$[0-9]+"))</f>
        <v/>
      </c>
      <c r="H85" s="6" t="str" cm="1">
        <f t="array" aca="1" ref="H85" ca="1">IFERROR(IF(OR('Raw Data'!H85="",LEN(TRIM('Raw Data'!H85))=0),"",IF(AND(ISNUMBER('Raw Data'!H85),'Raw Data'!H85=ROUND('Raw Data'!H85,4),IFERROR(ROUND('Raw Data'!H85,4)&lt;=99999999999.99,FALSE))=TRUE,"",_xlfn.REGEXEXTRACT(CELL("address",'Raw Data'!H85), "\$([A-Z]+)\$[0-9]+"))),_xlfn.REGEXEXTRACT(CELL("address",'Raw Data'!H85), "\$([A-Z]+)\$[0-9]+"))</f>
        <v/>
      </c>
      <c r="I85" s="6" t="str" cm="1">
        <f t="array" aca="1" ref="I85" ca="1">IFERROR(IF(OR('Raw Data'!I85="",LEN(TRIM('Raw Data'!I85))=0),"",IF(AND(ISNUMBER('Raw Data'!I85),'Raw Data'!I85=ROUND('Raw Data'!I85,4),IFERROR(ROUND('Raw Data'!I85,4)&lt;=99999999999.99,FALSE))=TRUE,"",_xlfn.REGEXEXTRACT(CELL("address",'Raw Data'!I85), "\$([A-Z]+)\$[0-9]+"))),_xlfn.REGEXEXTRACT(CELL("address",'Raw Data'!I85), "\$([A-Z]+)\$[0-9]+"))</f>
        <v/>
      </c>
      <c r="J85" s="6" t="str" cm="1">
        <f t="array" aca="1" ref="J85" ca="1">IFERROR(IF(OR('Raw Data'!J85="",LEN(TRIM('Raw Data'!J85))=0),"",IF(AND(ISNUMBER('Raw Data'!J85),'Raw Data'!J85=ROUND('Raw Data'!J85,4),IFERROR(ROUND('Raw Data'!J85,4)&lt;=99999999999.99,FALSE))=TRUE,"",_xlfn.REGEXEXTRACT(CELL("address",'Raw Data'!J85), "\$([A-Z]+)\$[0-9]+"))),_xlfn.REGEXEXTRACT(CELL("address",'Raw Data'!J85), "\$([A-Z]+)\$[0-9]+"))</f>
        <v/>
      </c>
    </row>
    <row r="86" spans="2:10" x14ac:dyDescent="0.25">
      <c r="B86" s="6" t="str" cm="1">
        <f t="array" aca="1" ref="B86" ca="1">IFERROR(IF(OR('Raw Data'!B86="",LEN(TRIM('Raw Data'!B86))=0),"",IF(AND(LEN('Raw Data'!B86) &lt;= 255,LEN('Raw Data'!B86)&gt; 0),"",_xlfn.REGEXEXTRACT(CELL("address",'Raw Data'!B86),"\$([A-Z]+)\$[0-9]+"))),_xlfn.REGEXEXTRACT(CELL("address",'Raw Data'!B86),"\$([A-Z]+)\$[0-9]+"))</f>
        <v/>
      </c>
      <c r="C86" s="6" t="str" cm="1">
        <f t="array" aca="1" ref="C86" ca="1">IFERROR(IF(OR('Raw Data'!C86="",LEN(TRIM('Raw Data'!C86))=0),"",IF(AND(LEN('Raw Data'!C86) &lt;= 20,LEN('Raw Data'!C86)&gt; 0),"",_xlfn.REGEXEXTRACT(CELL("address",'Raw Data'!C86),"\$([A-Z]+)\$[0-9]+"))),_xlfn.REGEXEXTRACT(CELL("address",'Raw Data'!C86),"\$([A-Z]+)\$[0-9]+"))</f>
        <v/>
      </c>
      <c r="D86" s="6" t="str" cm="1">
        <f t="array" aca="1" ref="D86" ca="1">IFERROR(IF(OR('Raw Data'!D86="",LEN(TRIM('Raw Data'!D86))=0),"",IF(AND(ISNUMBER('Raw Data'!D86),'Raw Data'!D86&gt;=Configuration!$D$2),"",_xlfn.REGEXEXTRACT(CELL("address",'Raw Data'!D86),"\$([A-Z]+)\$[0-9]+"))),_xlfn.REGEXEXTRACT(CELL("address",D86), "\$([A-Z]+)\$[0-9]+"))</f>
        <v/>
      </c>
      <c r="E86" s="6" t="str" cm="1">
        <f t="array" aca="1" ref="E86" ca="1">IFERROR(IF(OR('Raw Data'!E86="",LEN(TRIM('Raw Data'!E86))=0),"",IF(AND(ISNUMBER('Raw Data'!E86),'Raw Data'!E86=ROUND('Raw Data'!E86,4),IFERROR(ROUND('Raw Data'!E86,4)&lt;=99999999999.99,FALSE))=TRUE,"",_xlfn.REGEXEXTRACT(CELL("address",'Raw Data'!E86), "\$([A-Z]+)\$[0-9]+"))),_xlfn.REGEXEXTRACT(CELL("address",'Raw Data'!E86), "\$([A-Z]+)\$[0-9]+"))</f>
        <v/>
      </c>
      <c r="F86" s="6" t="str" cm="1">
        <f t="array" aca="1" ref="F86" ca="1">IFERROR(IF(OR('Raw Data'!F86="",LEN(TRIM('Raw Data'!F86))=0),"",IF(AND(ISNUMBER('Raw Data'!F86),'Raw Data'!F86=ROUND('Raw Data'!F86,4),IFERROR(ROUND('Raw Data'!F86,4)&lt;=99999999999.99,FALSE))=TRUE,"",_xlfn.REGEXEXTRACT(CELL("address",'Raw Data'!F86), "\$([A-Z]+)\$[0-9]+"))),_xlfn.REGEXEXTRACT(CELL("address",'Raw Data'!F86), "\$([A-Z]+)\$[0-9]+"))</f>
        <v/>
      </c>
      <c r="G86" s="6" t="str" cm="1">
        <f t="array" aca="1" ref="G86" ca="1">IFERROR(IF(OR('Raw Data'!G86="",LEN(TRIM('Raw Data'!G86))=0),"",IF(AND(ISNUMBER('Raw Data'!G86),'Raw Data'!G86=ROUND('Raw Data'!G86,4),IFERROR(ROUND('Raw Data'!G86,4)&lt;=99999999999.99,FALSE))=TRUE,"",_xlfn.REGEXEXTRACT(CELL("address",'Raw Data'!G86), "\$([A-Z]+)\$[0-9]+"))),_xlfn.REGEXEXTRACT(CELL("address",'Raw Data'!G86), "\$([A-Z]+)\$[0-9]+"))</f>
        <v/>
      </c>
      <c r="H86" s="6" t="str" cm="1">
        <f t="array" aca="1" ref="H86" ca="1">IFERROR(IF(OR('Raw Data'!H86="",LEN(TRIM('Raw Data'!H86))=0),"",IF(AND(ISNUMBER('Raw Data'!H86),'Raw Data'!H86=ROUND('Raw Data'!H86,4),IFERROR(ROUND('Raw Data'!H86,4)&lt;=99999999999.99,FALSE))=TRUE,"",_xlfn.REGEXEXTRACT(CELL("address",'Raw Data'!H86), "\$([A-Z]+)\$[0-9]+"))),_xlfn.REGEXEXTRACT(CELL("address",'Raw Data'!H86), "\$([A-Z]+)\$[0-9]+"))</f>
        <v/>
      </c>
      <c r="I86" s="6" t="str" cm="1">
        <f t="array" aca="1" ref="I86" ca="1">IFERROR(IF(OR('Raw Data'!I86="",LEN(TRIM('Raw Data'!I86))=0),"",IF(AND(ISNUMBER('Raw Data'!I86),'Raw Data'!I86=ROUND('Raw Data'!I86,4),IFERROR(ROUND('Raw Data'!I86,4)&lt;=99999999999.99,FALSE))=TRUE,"",_xlfn.REGEXEXTRACT(CELL("address",'Raw Data'!I86), "\$([A-Z]+)\$[0-9]+"))),_xlfn.REGEXEXTRACT(CELL("address",'Raw Data'!I86), "\$([A-Z]+)\$[0-9]+"))</f>
        <v/>
      </c>
      <c r="J86" s="6" t="str" cm="1">
        <f t="array" aca="1" ref="J86" ca="1">IFERROR(IF(OR('Raw Data'!J86="",LEN(TRIM('Raw Data'!J86))=0),"",IF(AND(ISNUMBER('Raw Data'!J86),'Raw Data'!J86=ROUND('Raw Data'!J86,4),IFERROR(ROUND('Raw Data'!J86,4)&lt;=99999999999.99,FALSE))=TRUE,"",_xlfn.REGEXEXTRACT(CELL("address",'Raw Data'!J86), "\$([A-Z]+)\$[0-9]+"))),_xlfn.REGEXEXTRACT(CELL("address",'Raw Data'!J86), "\$([A-Z]+)\$[0-9]+"))</f>
        <v/>
      </c>
    </row>
    <row r="87" spans="2:10" x14ac:dyDescent="0.25">
      <c r="B87" s="6" t="str" cm="1">
        <f t="array" aca="1" ref="B87" ca="1">IFERROR(IF(OR('Raw Data'!B87="",LEN(TRIM('Raw Data'!B87))=0),"",IF(AND(LEN('Raw Data'!B87) &lt;= 255,LEN('Raw Data'!B87)&gt; 0),"",_xlfn.REGEXEXTRACT(CELL("address",'Raw Data'!B87),"\$([A-Z]+)\$[0-9]+"))),_xlfn.REGEXEXTRACT(CELL("address",'Raw Data'!B87),"\$([A-Z]+)\$[0-9]+"))</f>
        <v/>
      </c>
      <c r="C87" s="6" t="str" cm="1">
        <f t="array" aca="1" ref="C87" ca="1">IFERROR(IF(OR('Raw Data'!C87="",LEN(TRIM('Raw Data'!C87))=0),"",IF(AND(LEN('Raw Data'!C87) &lt;= 20,LEN('Raw Data'!C87)&gt; 0),"",_xlfn.REGEXEXTRACT(CELL("address",'Raw Data'!C87),"\$([A-Z]+)\$[0-9]+"))),_xlfn.REGEXEXTRACT(CELL("address",'Raw Data'!C87),"\$([A-Z]+)\$[0-9]+"))</f>
        <v/>
      </c>
      <c r="D87" s="6" t="str" cm="1">
        <f t="array" aca="1" ref="D87" ca="1">IFERROR(IF(OR('Raw Data'!D87="",LEN(TRIM('Raw Data'!D87))=0),"",IF(AND(ISNUMBER('Raw Data'!D87),'Raw Data'!D87&gt;=Configuration!$D$2),"",_xlfn.REGEXEXTRACT(CELL("address",'Raw Data'!D87),"\$([A-Z]+)\$[0-9]+"))),_xlfn.REGEXEXTRACT(CELL("address",D87), "\$([A-Z]+)\$[0-9]+"))</f>
        <v/>
      </c>
      <c r="E87" s="6" t="str" cm="1">
        <f t="array" aca="1" ref="E87" ca="1">IFERROR(IF(OR('Raw Data'!E87="",LEN(TRIM('Raw Data'!E87))=0),"",IF(AND(ISNUMBER('Raw Data'!E87),'Raw Data'!E87=ROUND('Raw Data'!E87,4),IFERROR(ROUND('Raw Data'!E87,4)&lt;=99999999999.99,FALSE))=TRUE,"",_xlfn.REGEXEXTRACT(CELL("address",'Raw Data'!E87), "\$([A-Z]+)\$[0-9]+"))),_xlfn.REGEXEXTRACT(CELL("address",'Raw Data'!E87), "\$([A-Z]+)\$[0-9]+"))</f>
        <v/>
      </c>
      <c r="F87" s="6" t="str" cm="1">
        <f t="array" aca="1" ref="F87" ca="1">IFERROR(IF(OR('Raw Data'!F87="",LEN(TRIM('Raw Data'!F87))=0),"",IF(AND(ISNUMBER('Raw Data'!F87),'Raw Data'!F87=ROUND('Raw Data'!F87,4),IFERROR(ROUND('Raw Data'!F87,4)&lt;=99999999999.99,FALSE))=TRUE,"",_xlfn.REGEXEXTRACT(CELL("address",'Raw Data'!F87), "\$([A-Z]+)\$[0-9]+"))),_xlfn.REGEXEXTRACT(CELL("address",'Raw Data'!F87), "\$([A-Z]+)\$[0-9]+"))</f>
        <v/>
      </c>
      <c r="G87" s="6" t="str" cm="1">
        <f t="array" aca="1" ref="G87" ca="1">IFERROR(IF(OR('Raw Data'!G87="",LEN(TRIM('Raw Data'!G87))=0),"",IF(AND(ISNUMBER('Raw Data'!G87),'Raw Data'!G87=ROUND('Raw Data'!G87,4),IFERROR(ROUND('Raw Data'!G87,4)&lt;=99999999999.99,FALSE))=TRUE,"",_xlfn.REGEXEXTRACT(CELL("address",'Raw Data'!G87), "\$([A-Z]+)\$[0-9]+"))),_xlfn.REGEXEXTRACT(CELL("address",'Raw Data'!G87), "\$([A-Z]+)\$[0-9]+"))</f>
        <v/>
      </c>
      <c r="H87" s="6" t="str" cm="1">
        <f t="array" aca="1" ref="H87" ca="1">IFERROR(IF(OR('Raw Data'!H87="",LEN(TRIM('Raw Data'!H87))=0),"",IF(AND(ISNUMBER('Raw Data'!H87),'Raw Data'!H87=ROUND('Raw Data'!H87,4),IFERROR(ROUND('Raw Data'!H87,4)&lt;=99999999999.99,FALSE))=TRUE,"",_xlfn.REGEXEXTRACT(CELL("address",'Raw Data'!H87), "\$([A-Z]+)\$[0-9]+"))),_xlfn.REGEXEXTRACT(CELL("address",'Raw Data'!H87), "\$([A-Z]+)\$[0-9]+"))</f>
        <v/>
      </c>
      <c r="I87" s="6" t="str" cm="1">
        <f t="array" aca="1" ref="I87" ca="1">IFERROR(IF(OR('Raw Data'!I87="",LEN(TRIM('Raw Data'!I87))=0),"",IF(AND(ISNUMBER('Raw Data'!I87),'Raw Data'!I87=ROUND('Raw Data'!I87,4),IFERROR(ROUND('Raw Data'!I87,4)&lt;=99999999999.99,FALSE))=TRUE,"",_xlfn.REGEXEXTRACT(CELL("address",'Raw Data'!I87), "\$([A-Z]+)\$[0-9]+"))),_xlfn.REGEXEXTRACT(CELL("address",'Raw Data'!I87), "\$([A-Z]+)\$[0-9]+"))</f>
        <v/>
      </c>
      <c r="J87" s="6" t="str" cm="1">
        <f t="array" aca="1" ref="J87" ca="1">IFERROR(IF(OR('Raw Data'!J87="",LEN(TRIM('Raw Data'!J87))=0),"",IF(AND(ISNUMBER('Raw Data'!J87),'Raw Data'!J87=ROUND('Raw Data'!J87,4),IFERROR(ROUND('Raw Data'!J87,4)&lt;=99999999999.99,FALSE))=TRUE,"",_xlfn.REGEXEXTRACT(CELL("address",'Raw Data'!J87), "\$([A-Z]+)\$[0-9]+"))),_xlfn.REGEXEXTRACT(CELL("address",'Raw Data'!J87), "\$([A-Z]+)\$[0-9]+"))</f>
        <v/>
      </c>
    </row>
    <row r="88" spans="2:10" x14ac:dyDescent="0.25">
      <c r="B88" s="6" t="str" cm="1">
        <f t="array" aca="1" ref="B88" ca="1">IFERROR(IF(OR('Raw Data'!B88="",LEN(TRIM('Raw Data'!B88))=0),"",IF(AND(LEN('Raw Data'!B88) &lt;= 255,LEN('Raw Data'!B88)&gt; 0),"",_xlfn.REGEXEXTRACT(CELL("address",'Raw Data'!B88),"\$([A-Z]+)\$[0-9]+"))),_xlfn.REGEXEXTRACT(CELL("address",'Raw Data'!B88),"\$([A-Z]+)\$[0-9]+"))</f>
        <v/>
      </c>
      <c r="C88" s="6" t="str" cm="1">
        <f t="array" aca="1" ref="C88" ca="1">IFERROR(IF(OR('Raw Data'!C88="",LEN(TRIM('Raw Data'!C88))=0),"",IF(AND(LEN('Raw Data'!C88) &lt;= 20,LEN('Raw Data'!C88)&gt; 0),"",_xlfn.REGEXEXTRACT(CELL("address",'Raw Data'!C88),"\$([A-Z]+)\$[0-9]+"))),_xlfn.REGEXEXTRACT(CELL("address",'Raw Data'!C88),"\$([A-Z]+)\$[0-9]+"))</f>
        <v/>
      </c>
      <c r="D88" s="6" t="str" cm="1">
        <f t="array" aca="1" ref="D88" ca="1">IFERROR(IF(OR('Raw Data'!D88="",LEN(TRIM('Raw Data'!D88))=0),"",IF(AND(ISNUMBER('Raw Data'!D88),'Raw Data'!D88&gt;=Configuration!$D$2),"",_xlfn.REGEXEXTRACT(CELL("address",'Raw Data'!D88),"\$([A-Z]+)\$[0-9]+"))),_xlfn.REGEXEXTRACT(CELL("address",D88), "\$([A-Z]+)\$[0-9]+"))</f>
        <v/>
      </c>
      <c r="E88" s="6" t="str" cm="1">
        <f t="array" aca="1" ref="E88" ca="1">IFERROR(IF(OR('Raw Data'!E88="",LEN(TRIM('Raw Data'!E88))=0),"",IF(AND(ISNUMBER('Raw Data'!E88),'Raw Data'!E88=ROUND('Raw Data'!E88,4),IFERROR(ROUND('Raw Data'!E88,4)&lt;=99999999999.99,FALSE))=TRUE,"",_xlfn.REGEXEXTRACT(CELL("address",'Raw Data'!E88), "\$([A-Z]+)\$[0-9]+"))),_xlfn.REGEXEXTRACT(CELL("address",'Raw Data'!E88), "\$([A-Z]+)\$[0-9]+"))</f>
        <v/>
      </c>
      <c r="F88" s="6" t="str" cm="1">
        <f t="array" aca="1" ref="F88" ca="1">IFERROR(IF(OR('Raw Data'!F88="",LEN(TRIM('Raw Data'!F88))=0),"",IF(AND(ISNUMBER('Raw Data'!F88),'Raw Data'!F88=ROUND('Raw Data'!F88,4),IFERROR(ROUND('Raw Data'!F88,4)&lt;=99999999999.99,FALSE))=TRUE,"",_xlfn.REGEXEXTRACT(CELL("address",'Raw Data'!F88), "\$([A-Z]+)\$[0-9]+"))),_xlfn.REGEXEXTRACT(CELL("address",'Raw Data'!F88), "\$([A-Z]+)\$[0-9]+"))</f>
        <v/>
      </c>
      <c r="G88" s="6" t="str" cm="1">
        <f t="array" aca="1" ref="G88" ca="1">IFERROR(IF(OR('Raw Data'!G88="",LEN(TRIM('Raw Data'!G88))=0),"",IF(AND(ISNUMBER('Raw Data'!G88),'Raw Data'!G88=ROUND('Raw Data'!G88,4),IFERROR(ROUND('Raw Data'!G88,4)&lt;=99999999999.99,FALSE))=TRUE,"",_xlfn.REGEXEXTRACT(CELL("address",'Raw Data'!G88), "\$([A-Z]+)\$[0-9]+"))),_xlfn.REGEXEXTRACT(CELL("address",'Raw Data'!G88), "\$([A-Z]+)\$[0-9]+"))</f>
        <v/>
      </c>
      <c r="H88" s="6" t="str" cm="1">
        <f t="array" aca="1" ref="H88" ca="1">IFERROR(IF(OR('Raw Data'!H88="",LEN(TRIM('Raw Data'!H88))=0),"",IF(AND(ISNUMBER('Raw Data'!H88),'Raw Data'!H88=ROUND('Raw Data'!H88,4),IFERROR(ROUND('Raw Data'!H88,4)&lt;=99999999999.99,FALSE))=TRUE,"",_xlfn.REGEXEXTRACT(CELL("address",'Raw Data'!H88), "\$([A-Z]+)\$[0-9]+"))),_xlfn.REGEXEXTRACT(CELL("address",'Raw Data'!H88), "\$([A-Z]+)\$[0-9]+"))</f>
        <v/>
      </c>
      <c r="I88" s="6" t="str" cm="1">
        <f t="array" aca="1" ref="I88" ca="1">IFERROR(IF(OR('Raw Data'!I88="",LEN(TRIM('Raw Data'!I88))=0),"",IF(AND(ISNUMBER('Raw Data'!I88),'Raw Data'!I88=ROUND('Raw Data'!I88,4),IFERROR(ROUND('Raw Data'!I88,4)&lt;=99999999999.99,FALSE))=TRUE,"",_xlfn.REGEXEXTRACT(CELL("address",'Raw Data'!I88), "\$([A-Z]+)\$[0-9]+"))),_xlfn.REGEXEXTRACT(CELL("address",'Raw Data'!I88), "\$([A-Z]+)\$[0-9]+"))</f>
        <v/>
      </c>
      <c r="J88" s="6" t="str" cm="1">
        <f t="array" aca="1" ref="J88" ca="1">IFERROR(IF(OR('Raw Data'!J88="",LEN(TRIM('Raw Data'!J88))=0),"",IF(AND(ISNUMBER('Raw Data'!J88),'Raw Data'!J88=ROUND('Raw Data'!J88,4),IFERROR(ROUND('Raw Data'!J88,4)&lt;=99999999999.99,FALSE))=TRUE,"",_xlfn.REGEXEXTRACT(CELL("address",'Raw Data'!J88), "\$([A-Z]+)\$[0-9]+"))),_xlfn.REGEXEXTRACT(CELL("address",'Raw Data'!J88), "\$([A-Z]+)\$[0-9]+"))</f>
        <v/>
      </c>
    </row>
    <row r="89" spans="2:10" x14ac:dyDescent="0.25">
      <c r="B89" s="6" t="str" cm="1">
        <f t="array" aca="1" ref="B89" ca="1">IFERROR(IF(OR('Raw Data'!B89="",LEN(TRIM('Raw Data'!B89))=0),"",IF(AND(LEN('Raw Data'!B89) &lt;= 255,LEN('Raw Data'!B89)&gt; 0),"",_xlfn.REGEXEXTRACT(CELL("address",'Raw Data'!B89),"\$([A-Z]+)\$[0-9]+"))),_xlfn.REGEXEXTRACT(CELL("address",'Raw Data'!B89),"\$([A-Z]+)\$[0-9]+"))</f>
        <v/>
      </c>
      <c r="C89" s="6" t="str" cm="1">
        <f t="array" aca="1" ref="C89" ca="1">IFERROR(IF(OR('Raw Data'!C89="",LEN(TRIM('Raw Data'!C89))=0),"",IF(AND(LEN('Raw Data'!C89) &lt;= 20,LEN('Raw Data'!C89)&gt; 0),"",_xlfn.REGEXEXTRACT(CELL("address",'Raw Data'!C89),"\$([A-Z]+)\$[0-9]+"))),_xlfn.REGEXEXTRACT(CELL("address",'Raw Data'!C89),"\$([A-Z]+)\$[0-9]+"))</f>
        <v/>
      </c>
      <c r="D89" s="6" t="str" cm="1">
        <f t="array" aca="1" ref="D89" ca="1">IFERROR(IF(OR('Raw Data'!D89="",LEN(TRIM('Raw Data'!D89))=0),"",IF(AND(ISNUMBER('Raw Data'!D89),'Raw Data'!D89&gt;=Configuration!$D$2),"",_xlfn.REGEXEXTRACT(CELL("address",'Raw Data'!D89),"\$([A-Z]+)\$[0-9]+"))),_xlfn.REGEXEXTRACT(CELL("address",D89), "\$([A-Z]+)\$[0-9]+"))</f>
        <v/>
      </c>
      <c r="E89" s="6" t="str" cm="1">
        <f t="array" aca="1" ref="E89" ca="1">IFERROR(IF(OR('Raw Data'!E89="",LEN(TRIM('Raw Data'!E89))=0),"",IF(AND(ISNUMBER('Raw Data'!E89),'Raw Data'!E89=ROUND('Raw Data'!E89,4),IFERROR(ROUND('Raw Data'!E89,4)&lt;=99999999999.99,FALSE))=TRUE,"",_xlfn.REGEXEXTRACT(CELL("address",'Raw Data'!E89), "\$([A-Z]+)\$[0-9]+"))),_xlfn.REGEXEXTRACT(CELL("address",'Raw Data'!E89), "\$([A-Z]+)\$[0-9]+"))</f>
        <v/>
      </c>
      <c r="F89" s="6" t="str" cm="1">
        <f t="array" aca="1" ref="F89" ca="1">IFERROR(IF(OR('Raw Data'!F89="",LEN(TRIM('Raw Data'!F89))=0),"",IF(AND(ISNUMBER('Raw Data'!F89),'Raw Data'!F89=ROUND('Raw Data'!F89,4),IFERROR(ROUND('Raw Data'!F89,4)&lt;=99999999999.99,FALSE))=TRUE,"",_xlfn.REGEXEXTRACT(CELL("address",'Raw Data'!F89), "\$([A-Z]+)\$[0-9]+"))),_xlfn.REGEXEXTRACT(CELL("address",'Raw Data'!F89), "\$([A-Z]+)\$[0-9]+"))</f>
        <v/>
      </c>
      <c r="G89" s="6" t="str" cm="1">
        <f t="array" aca="1" ref="G89" ca="1">IFERROR(IF(OR('Raw Data'!G89="",LEN(TRIM('Raw Data'!G89))=0),"",IF(AND(ISNUMBER('Raw Data'!G89),'Raw Data'!G89=ROUND('Raw Data'!G89,4),IFERROR(ROUND('Raw Data'!G89,4)&lt;=99999999999.99,FALSE))=TRUE,"",_xlfn.REGEXEXTRACT(CELL("address",'Raw Data'!G89), "\$([A-Z]+)\$[0-9]+"))),_xlfn.REGEXEXTRACT(CELL("address",'Raw Data'!G89), "\$([A-Z]+)\$[0-9]+"))</f>
        <v/>
      </c>
      <c r="H89" s="6" t="str" cm="1">
        <f t="array" aca="1" ref="H89" ca="1">IFERROR(IF(OR('Raw Data'!H89="",LEN(TRIM('Raw Data'!H89))=0),"",IF(AND(ISNUMBER('Raw Data'!H89),'Raw Data'!H89=ROUND('Raw Data'!H89,4),IFERROR(ROUND('Raw Data'!H89,4)&lt;=99999999999.99,FALSE))=TRUE,"",_xlfn.REGEXEXTRACT(CELL("address",'Raw Data'!H89), "\$([A-Z]+)\$[0-9]+"))),_xlfn.REGEXEXTRACT(CELL("address",'Raw Data'!H89), "\$([A-Z]+)\$[0-9]+"))</f>
        <v/>
      </c>
      <c r="I89" s="6" t="str" cm="1">
        <f t="array" aca="1" ref="I89" ca="1">IFERROR(IF(OR('Raw Data'!I89="",LEN(TRIM('Raw Data'!I89))=0),"",IF(AND(ISNUMBER('Raw Data'!I89),'Raw Data'!I89=ROUND('Raw Data'!I89,4),IFERROR(ROUND('Raw Data'!I89,4)&lt;=99999999999.99,FALSE))=TRUE,"",_xlfn.REGEXEXTRACT(CELL("address",'Raw Data'!I89), "\$([A-Z]+)\$[0-9]+"))),_xlfn.REGEXEXTRACT(CELL("address",'Raw Data'!I89), "\$([A-Z]+)\$[0-9]+"))</f>
        <v/>
      </c>
      <c r="J89" s="6" t="str" cm="1">
        <f t="array" aca="1" ref="J89" ca="1">IFERROR(IF(OR('Raw Data'!J89="",LEN(TRIM('Raw Data'!J89))=0),"",IF(AND(ISNUMBER('Raw Data'!J89),'Raw Data'!J89=ROUND('Raw Data'!J89,4),IFERROR(ROUND('Raw Data'!J89,4)&lt;=99999999999.99,FALSE))=TRUE,"",_xlfn.REGEXEXTRACT(CELL("address",'Raw Data'!J89), "\$([A-Z]+)\$[0-9]+"))),_xlfn.REGEXEXTRACT(CELL("address",'Raw Data'!J89), "\$([A-Z]+)\$[0-9]+"))</f>
        <v/>
      </c>
    </row>
    <row r="90" spans="2:10" x14ac:dyDescent="0.25">
      <c r="B90" s="6" t="str" cm="1">
        <f t="array" aca="1" ref="B90" ca="1">IFERROR(IF(OR('Raw Data'!B90="",LEN(TRIM('Raw Data'!B90))=0),"",IF(AND(LEN('Raw Data'!B90) &lt;= 255,LEN('Raw Data'!B90)&gt; 0),"",_xlfn.REGEXEXTRACT(CELL("address",'Raw Data'!B90),"\$([A-Z]+)\$[0-9]+"))),_xlfn.REGEXEXTRACT(CELL("address",'Raw Data'!B90),"\$([A-Z]+)\$[0-9]+"))</f>
        <v/>
      </c>
      <c r="C90" s="6" t="str" cm="1">
        <f t="array" aca="1" ref="C90" ca="1">IFERROR(IF(OR('Raw Data'!C90="",LEN(TRIM('Raw Data'!C90))=0),"",IF(AND(LEN('Raw Data'!C90) &lt;= 20,LEN('Raw Data'!C90)&gt; 0),"",_xlfn.REGEXEXTRACT(CELL("address",'Raw Data'!C90),"\$([A-Z]+)\$[0-9]+"))),_xlfn.REGEXEXTRACT(CELL("address",'Raw Data'!C90),"\$([A-Z]+)\$[0-9]+"))</f>
        <v/>
      </c>
      <c r="D90" s="6" t="str" cm="1">
        <f t="array" aca="1" ref="D90" ca="1">IFERROR(IF(OR('Raw Data'!D90="",LEN(TRIM('Raw Data'!D90))=0),"",IF(AND(ISNUMBER('Raw Data'!D90),'Raw Data'!D90&gt;=Configuration!$D$2),"",_xlfn.REGEXEXTRACT(CELL("address",'Raw Data'!D90),"\$([A-Z]+)\$[0-9]+"))),_xlfn.REGEXEXTRACT(CELL("address",D90), "\$([A-Z]+)\$[0-9]+"))</f>
        <v/>
      </c>
      <c r="E90" s="6" t="str" cm="1">
        <f t="array" aca="1" ref="E90" ca="1">IFERROR(IF(OR('Raw Data'!E90="",LEN(TRIM('Raw Data'!E90))=0),"",IF(AND(ISNUMBER('Raw Data'!E90),'Raw Data'!E90=ROUND('Raw Data'!E90,4),IFERROR(ROUND('Raw Data'!E90,4)&lt;=99999999999.99,FALSE))=TRUE,"",_xlfn.REGEXEXTRACT(CELL("address",'Raw Data'!E90), "\$([A-Z]+)\$[0-9]+"))),_xlfn.REGEXEXTRACT(CELL("address",'Raw Data'!E90), "\$([A-Z]+)\$[0-9]+"))</f>
        <v/>
      </c>
      <c r="F90" s="6" t="str" cm="1">
        <f t="array" aca="1" ref="F90" ca="1">IFERROR(IF(OR('Raw Data'!F90="",LEN(TRIM('Raw Data'!F90))=0),"",IF(AND(ISNUMBER('Raw Data'!F90),'Raw Data'!F90=ROUND('Raw Data'!F90,4),IFERROR(ROUND('Raw Data'!F90,4)&lt;=99999999999.99,FALSE))=TRUE,"",_xlfn.REGEXEXTRACT(CELL("address",'Raw Data'!F90), "\$([A-Z]+)\$[0-9]+"))),_xlfn.REGEXEXTRACT(CELL("address",'Raw Data'!F90), "\$([A-Z]+)\$[0-9]+"))</f>
        <v/>
      </c>
      <c r="G90" s="6" t="str" cm="1">
        <f t="array" aca="1" ref="G90" ca="1">IFERROR(IF(OR('Raw Data'!G90="",LEN(TRIM('Raw Data'!G90))=0),"",IF(AND(ISNUMBER('Raw Data'!G90),'Raw Data'!G90=ROUND('Raw Data'!G90,4),IFERROR(ROUND('Raw Data'!G90,4)&lt;=99999999999.99,FALSE))=TRUE,"",_xlfn.REGEXEXTRACT(CELL("address",'Raw Data'!G90), "\$([A-Z]+)\$[0-9]+"))),_xlfn.REGEXEXTRACT(CELL("address",'Raw Data'!G90), "\$([A-Z]+)\$[0-9]+"))</f>
        <v/>
      </c>
      <c r="H90" s="6" t="str" cm="1">
        <f t="array" aca="1" ref="H90" ca="1">IFERROR(IF(OR('Raw Data'!H90="",LEN(TRIM('Raw Data'!H90))=0),"",IF(AND(ISNUMBER('Raw Data'!H90),'Raw Data'!H90=ROUND('Raw Data'!H90,4),IFERROR(ROUND('Raw Data'!H90,4)&lt;=99999999999.99,FALSE))=TRUE,"",_xlfn.REGEXEXTRACT(CELL("address",'Raw Data'!H90), "\$([A-Z]+)\$[0-9]+"))),_xlfn.REGEXEXTRACT(CELL("address",'Raw Data'!H90), "\$([A-Z]+)\$[0-9]+"))</f>
        <v/>
      </c>
      <c r="I90" s="6" t="str" cm="1">
        <f t="array" aca="1" ref="I90" ca="1">IFERROR(IF(OR('Raw Data'!I90="",LEN(TRIM('Raw Data'!I90))=0),"",IF(AND(ISNUMBER('Raw Data'!I90),'Raw Data'!I90=ROUND('Raw Data'!I90,4),IFERROR(ROUND('Raw Data'!I90,4)&lt;=99999999999.99,FALSE))=TRUE,"",_xlfn.REGEXEXTRACT(CELL("address",'Raw Data'!I90), "\$([A-Z]+)\$[0-9]+"))),_xlfn.REGEXEXTRACT(CELL("address",'Raw Data'!I90), "\$([A-Z]+)\$[0-9]+"))</f>
        <v/>
      </c>
      <c r="J90" s="6" t="str" cm="1">
        <f t="array" aca="1" ref="J90" ca="1">IFERROR(IF(OR('Raw Data'!J90="",LEN(TRIM('Raw Data'!J90))=0),"",IF(AND(ISNUMBER('Raw Data'!J90),'Raw Data'!J90=ROUND('Raw Data'!J90,4),IFERROR(ROUND('Raw Data'!J90,4)&lt;=99999999999.99,FALSE))=TRUE,"",_xlfn.REGEXEXTRACT(CELL("address",'Raw Data'!J90), "\$([A-Z]+)\$[0-9]+"))),_xlfn.REGEXEXTRACT(CELL("address",'Raw Data'!J90), "\$([A-Z]+)\$[0-9]+"))</f>
        <v/>
      </c>
    </row>
    <row r="91" spans="2:10" x14ac:dyDescent="0.25">
      <c r="B91" s="6" t="str" cm="1">
        <f t="array" aca="1" ref="B91" ca="1">IFERROR(IF(OR('Raw Data'!B91="",LEN(TRIM('Raw Data'!B91))=0),"",IF(AND(LEN('Raw Data'!B91) &lt;= 255,LEN('Raw Data'!B91)&gt; 0),"",_xlfn.REGEXEXTRACT(CELL("address",'Raw Data'!B91),"\$([A-Z]+)\$[0-9]+"))),_xlfn.REGEXEXTRACT(CELL("address",'Raw Data'!B91),"\$([A-Z]+)\$[0-9]+"))</f>
        <v/>
      </c>
      <c r="C91" s="6" t="str" cm="1">
        <f t="array" aca="1" ref="C91" ca="1">IFERROR(IF(OR('Raw Data'!C91="",LEN(TRIM('Raw Data'!C91))=0),"",IF(AND(LEN('Raw Data'!C91) &lt;= 20,LEN('Raw Data'!C91)&gt; 0),"",_xlfn.REGEXEXTRACT(CELL("address",'Raw Data'!C91),"\$([A-Z]+)\$[0-9]+"))),_xlfn.REGEXEXTRACT(CELL("address",'Raw Data'!C91),"\$([A-Z]+)\$[0-9]+"))</f>
        <v/>
      </c>
      <c r="D91" s="6" t="str" cm="1">
        <f t="array" aca="1" ref="D91" ca="1">IFERROR(IF(OR('Raw Data'!D91="",LEN(TRIM('Raw Data'!D91))=0),"",IF(AND(ISNUMBER('Raw Data'!D91),'Raw Data'!D91&gt;=Configuration!$D$2),"",_xlfn.REGEXEXTRACT(CELL("address",'Raw Data'!D91),"\$([A-Z]+)\$[0-9]+"))),_xlfn.REGEXEXTRACT(CELL("address",D91), "\$([A-Z]+)\$[0-9]+"))</f>
        <v/>
      </c>
      <c r="E91" s="6" t="str" cm="1">
        <f t="array" aca="1" ref="E91" ca="1">IFERROR(IF(OR('Raw Data'!E91="",LEN(TRIM('Raw Data'!E91))=0),"",IF(AND(ISNUMBER('Raw Data'!E91),'Raw Data'!E91=ROUND('Raw Data'!E91,4),IFERROR(ROUND('Raw Data'!E91,4)&lt;=99999999999.99,FALSE))=TRUE,"",_xlfn.REGEXEXTRACT(CELL("address",'Raw Data'!E91), "\$([A-Z]+)\$[0-9]+"))),_xlfn.REGEXEXTRACT(CELL("address",'Raw Data'!E91), "\$([A-Z]+)\$[0-9]+"))</f>
        <v/>
      </c>
      <c r="F91" s="6" t="str" cm="1">
        <f t="array" aca="1" ref="F91" ca="1">IFERROR(IF(OR('Raw Data'!F91="",LEN(TRIM('Raw Data'!F91))=0),"",IF(AND(ISNUMBER('Raw Data'!F91),'Raw Data'!F91=ROUND('Raw Data'!F91,4),IFERROR(ROUND('Raw Data'!F91,4)&lt;=99999999999.99,FALSE))=TRUE,"",_xlfn.REGEXEXTRACT(CELL("address",'Raw Data'!F91), "\$([A-Z]+)\$[0-9]+"))),_xlfn.REGEXEXTRACT(CELL("address",'Raw Data'!F91), "\$([A-Z]+)\$[0-9]+"))</f>
        <v/>
      </c>
      <c r="G91" s="6" t="str" cm="1">
        <f t="array" aca="1" ref="G91" ca="1">IFERROR(IF(OR('Raw Data'!G91="",LEN(TRIM('Raw Data'!G91))=0),"",IF(AND(ISNUMBER('Raw Data'!G91),'Raw Data'!G91=ROUND('Raw Data'!G91,4),IFERROR(ROUND('Raw Data'!G91,4)&lt;=99999999999.99,FALSE))=TRUE,"",_xlfn.REGEXEXTRACT(CELL("address",'Raw Data'!G91), "\$([A-Z]+)\$[0-9]+"))),_xlfn.REGEXEXTRACT(CELL("address",'Raw Data'!G91), "\$([A-Z]+)\$[0-9]+"))</f>
        <v/>
      </c>
      <c r="H91" s="6" t="str" cm="1">
        <f t="array" aca="1" ref="H91" ca="1">IFERROR(IF(OR('Raw Data'!H91="",LEN(TRIM('Raw Data'!H91))=0),"",IF(AND(ISNUMBER('Raw Data'!H91),'Raw Data'!H91=ROUND('Raw Data'!H91,4),IFERROR(ROUND('Raw Data'!H91,4)&lt;=99999999999.99,FALSE))=TRUE,"",_xlfn.REGEXEXTRACT(CELL("address",'Raw Data'!H91), "\$([A-Z]+)\$[0-9]+"))),_xlfn.REGEXEXTRACT(CELL("address",'Raw Data'!H91), "\$([A-Z]+)\$[0-9]+"))</f>
        <v/>
      </c>
      <c r="I91" s="6" t="str" cm="1">
        <f t="array" aca="1" ref="I91" ca="1">IFERROR(IF(OR('Raw Data'!I91="",LEN(TRIM('Raw Data'!I91))=0),"",IF(AND(ISNUMBER('Raw Data'!I91),'Raw Data'!I91=ROUND('Raw Data'!I91,4),IFERROR(ROUND('Raw Data'!I91,4)&lt;=99999999999.99,FALSE))=TRUE,"",_xlfn.REGEXEXTRACT(CELL("address",'Raw Data'!I91), "\$([A-Z]+)\$[0-9]+"))),_xlfn.REGEXEXTRACT(CELL("address",'Raw Data'!I91), "\$([A-Z]+)\$[0-9]+"))</f>
        <v/>
      </c>
      <c r="J91" s="6" t="str" cm="1">
        <f t="array" aca="1" ref="J91" ca="1">IFERROR(IF(OR('Raw Data'!J91="",LEN(TRIM('Raw Data'!J91))=0),"",IF(AND(ISNUMBER('Raw Data'!J91),'Raw Data'!J91=ROUND('Raw Data'!J91,4),IFERROR(ROUND('Raw Data'!J91,4)&lt;=99999999999.99,FALSE))=TRUE,"",_xlfn.REGEXEXTRACT(CELL("address",'Raw Data'!J91), "\$([A-Z]+)\$[0-9]+"))),_xlfn.REGEXEXTRACT(CELL("address",'Raw Data'!J91), "\$([A-Z]+)\$[0-9]+"))</f>
        <v/>
      </c>
    </row>
    <row r="92" spans="2:10" x14ac:dyDescent="0.25">
      <c r="B92" s="6" t="str" cm="1">
        <f t="array" aca="1" ref="B92" ca="1">IFERROR(IF(OR('Raw Data'!B92="",LEN(TRIM('Raw Data'!B92))=0),"",IF(AND(LEN('Raw Data'!B92) &lt;= 255,LEN('Raw Data'!B92)&gt; 0),"",_xlfn.REGEXEXTRACT(CELL("address",'Raw Data'!B92),"\$([A-Z]+)\$[0-9]+"))),_xlfn.REGEXEXTRACT(CELL("address",'Raw Data'!B92),"\$([A-Z]+)\$[0-9]+"))</f>
        <v/>
      </c>
      <c r="C92" s="6" t="str" cm="1">
        <f t="array" aca="1" ref="C92" ca="1">IFERROR(IF(OR('Raw Data'!C92="",LEN(TRIM('Raw Data'!C92))=0),"",IF(AND(LEN('Raw Data'!C92) &lt;= 20,LEN('Raw Data'!C92)&gt; 0),"",_xlfn.REGEXEXTRACT(CELL("address",'Raw Data'!C92),"\$([A-Z]+)\$[0-9]+"))),_xlfn.REGEXEXTRACT(CELL("address",'Raw Data'!C92),"\$([A-Z]+)\$[0-9]+"))</f>
        <v/>
      </c>
      <c r="D92" s="6" t="str" cm="1">
        <f t="array" aca="1" ref="D92" ca="1">IFERROR(IF(OR('Raw Data'!D92="",LEN(TRIM('Raw Data'!D92))=0),"",IF(AND(ISNUMBER('Raw Data'!D92),'Raw Data'!D92&gt;=Configuration!$D$2),"",_xlfn.REGEXEXTRACT(CELL("address",'Raw Data'!D92),"\$([A-Z]+)\$[0-9]+"))),_xlfn.REGEXEXTRACT(CELL("address",D92), "\$([A-Z]+)\$[0-9]+"))</f>
        <v/>
      </c>
      <c r="E92" s="6" t="str" cm="1">
        <f t="array" aca="1" ref="E92" ca="1">IFERROR(IF(OR('Raw Data'!E92="",LEN(TRIM('Raw Data'!E92))=0),"",IF(AND(ISNUMBER('Raw Data'!E92),'Raw Data'!E92=ROUND('Raw Data'!E92,4),IFERROR(ROUND('Raw Data'!E92,4)&lt;=99999999999.99,FALSE))=TRUE,"",_xlfn.REGEXEXTRACT(CELL("address",'Raw Data'!E92), "\$([A-Z]+)\$[0-9]+"))),_xlfn.REGEXEXTRACT(CELL("address",'Raw Data'!E92), "\$([A-Z]+)\$[0-9]+"))</f>
        <v/>
      </c>
      <c r="F92" s="6" t="str" cm="1">
        <f t="array" aca="1" ref="F92" ca="1">IFERROR(IF(OR('Raw Data'!F92="",LEN(TRIM('Raw Data'!F92))=0),"",IF(AND(ISNUMBER('Raw Data'!F92),'Raw Data'!F92=ROUND('Raw Data'!F92,4),IFERROR(ROUND('Raw Data'!F92,4)&lt;=99999999999.99,FALSE))=TRUE,"",_xlfn.REGEXEXTRACT(CELL("address",'Raw Data'!F92), "\$([A-Z]+)\$[0-9]+"))),_xlfn.REGEXEXTRACT(CELL("address",'Raw Data'!F92), "\$([A-Z]+)\$[0-9]+"))</f>
        <v/>
      </c>
      <c r="G92" s="6" t="str" cm="1">
        <f t="array" aca="1" ref="G92" ca="1">IFERROR(IF(OR('Raw Data'!G92="",LEN(TRIM('Raw Data'!G92))=0),"",IF(AND(ISNUMBER('Raw Data'!G92),'Raw Data'!G92=ROUND('Raw Data'!G92,4),IFERROR(ROUND('Raw Data'!G92,4)&lt;=99999999999.99,FALSE))=TRUE,"",_xlfn.REGEXEXTRACT(CELL("address",'Raw Data'!G92), "\$([A-Z]+)\$[0-9]+"))),_xlfn.REGEXEXTRACT(CELL("address",'Raw Data'!G92), "\$([A-Z]+)\$[0-9]+"))</f>
        <v/>
      </c>
      <c r="H92" s="6" t="str" cm="1">
        <f t="array" aca="1" ref="H92" ca="1">IFERROR(IF(OR('Raw Data'!H92="",LEN(TRIM('Raw Data'!H92))=0),"",IF(AND(ISNUMBER('Raw Data'!H92),'Raw Data'!H92=ROUND('Raw Data'!H92,4),IFERROR(ROUND('Raw Data'!H92,4)&lt;=99999999999.99,FALSE))=TRUE,"",_xlfn.REGEXEXTRACT(CELL("address",'Raw Data'!H92), "\$([A-Z]+)\$[0-9]+"))),_xlfn.REGEXEXTRACT(CELL("address",'Raw Data'!H92), "\$([A-Z]+)\$[0-9]+"))</f>
        <v/>
      </c>
      <c r="I92" s="6" t="str" cm="1">
        <f t="array" aca="1" ref="I92" ca="1">IFERROR(IF(OR('Raw Data'!I92="",LEN(TRIM('Raw Data'!I92))=0),"",IF(AND(ISNUMBER('Raw Data'!I92),'Raw Data'!I92=ROUND('Raw Data'!I92,4),IFERROR(ROUND('Raw Data'!I92,4)&lt;=99999999999.99,FALSE))=TRUE,"",_xlfn.REGEXEXTRACT(CELL("address",'Raw Data'!I92), "\$([A-Z]+)\$[0-9]+"))),_xlfn.REGEXEXTRACT(CELL("address",'Raw Data'!I92), "\$([A-Z]+)\$[0-9]+"))</f>
        <v/>
      </c>
      <c r="J92" s="6" t="str" cm="1">
        <f t="array" aca="1" ref="J92" ca="1">IFERROR(IF(OR('Raw Data'!J92="",LEN(TRIM('Raw Data'!J92))=0),"",IF(AND(ISNUMBER('Raw Data'!J92),'Raw Data'!J92=ROUND('Raw Data'!J92,4),IFERROR(ROUND('Raw Data'!J92,4)&lt;=99999999999.99,FALSE))=TRUE,"",_xlfn.REGEXEXTRACT(CELL("address",'Raw Data'!J92), "\$([A-Z]+)\$[0-9]+"))),_xlfn.REGEXEXTRACT(CELL("address",'Raw Data'!J92), "\$([A-Z]+)\$[0-9]+"))</f>
        <v/>
      </c>
    </row>
    <row r="93" spans="2:10" x14ac:dyDescent="0.25">
      <c r="B93" s="6" t="str" cm="1">
        <f t="array" aca="1" ref="B93" ca="1">IFERROR(IF(OR('Raw Data'!B93="",LEN(TRIM('Raw Data'!B93))=0),"",IF(AND(LEN('Raw Data'!B93) &lt;= 255,LEN('Raw Data'!B93)&gt; 0),"",_xlfn.REGEXEXTRACT(CELL("address",'Raw Data'!B93),"\$([A-Z]+)\$[0-9]+"))),_xlfn.REGEXEXTRACT(CELL("address",'Raw Data'!B93),"\$([A-Z]+)\$[0-9]+"))</f>
        <v/>
      </c>
      <c r="C93" s="6" t="str" cm="1">
        <f t="array" aca="1" ref="C93" ca="1">IFERROR(IF(OR('Raw Data'!C93="",LEN(TRIM('Raw Data'!C93))=0),"",IF(AND(LEN('Raw Data'!C93) &lt;= 20,LEN('Raw Data'!C93)&gt; 0),"",_xlfn.REGEXEXTRACT(CELL("address",'Raw Data'!C93),"\$([A-Z]+)\$[0-9]+"))),_xlfn.REGEXEXTRACT(CELL("address",'Raw Data'!C93),"\$([A-Z]+)\$[0-9]+"))</f>
        <v/>
      </c>
      <c r="D93" s="6" t="str" cm="1">
        <f t="array" aca="1" ref="D93" ca="1">IFERROR(IF(OR('Raw Data'!D93="",LEN(TRIM('Raw Data'!D93))=0),"",IF(AND(ISNUMBER('Raw Data'!D93),'Raw Data'!D93&gt;=Configuration!$D$2),"",_xlfn.REGEXEXTRACT(CELL("address",'Raw Data'!D93),"\$([A-Z]+)\$[0-9]+"))),_xlfn.REGEXEXTRACT(CELL("address",D93), "\$([A-Z]+)\$[0-9]+"))</f>
        <v/>
      </c>
      <c r="E93" s="6" t="str" cm="1">
        <f t="array" aca="1" ref="E93" ca="1">IFERROR(IF(OR('Raw Data'!E93="",LEN(TRIM('Raw Data'!E93))=0),"",IF(AND(ISNUMBER('Raw Data'!E93),'Raw Data'!E93=ROUND('Raw Data'!E93,4),IFERROR(ROUND('Raw Data'!E93,4)&lt;=99999999999.99,FALSE))=TRUE,"",_xlfn.REGEXEXTRACT(CELL("address",'Raw Data'!E93), "\$([A-Z]+)\$[0-9]+"))),_xlfn.REGEXEXTRACT(CELL("address",'Raw Data'!E93), "\$([A-Z]+)\$[0-9]+"))</f>
        <v/>
      </c>
      <c r="F93" s="6" t="str" cm="1">
        <f t="array" aca="1" ref="F93" ca="1">IFERROR(IF(OR('Raw Data'!F93="",LEN(TRIM('Raw Data'!F93))=0),"",IF(AND(ISNUMBER('Raw Data'!F93),'Raw Data'!F93=ROUND('Raw Data'!F93,4),IFERROR(ROUND('Raw Data'!F93,4)&lt;=99999999999.99,FALSE))=TRUE,"",_xlfn.REGEXEXTRACT(CELL("address",'Raw Data'!F93), "\$([A-Z]+)\$[0-9]+"))),_xlfn.REGEXEXTRACT(CELL("address",'Raw Data'!F93), "\$([A-Z]+)\$[0-9]+"))</f>
        <v/>
      </c>
      <c r="G93" s="6" t="str" cm="1">
        <f t="array" aca="1" ref="G93" ca="1">IFERROR(IF(OR('Raw Data'!G93="",LEN(TRIM('Raw Data'!G93))=0),"",IF(AND(ISNUMBER('Raw Data'!G93),'Raw Data'!G93=ROUND('Raw Data'!G93,4),IFERROR(ROUND('Raw Data'!G93,4)&lt;=99999999999.99,FALSE))=TRUE,"",_xlfn.REGEXEXTRACT(CELL("address",'Raw Data'!G93), "\$([A-Z]+)\$[0-9]+"))),_xlfn.REGEXEXTRACT(CELL("address",'Raw Data'!G93), "\$([A-Z]+)\$[0-9]+"))</f>
        <v/>
      </c>
      <c r="H93" s="6" t="str" cm="1">
        <f t="array" aca="1" ref="H93" ca="1">IFERROR(IF(OR('Raw Data'!H93="",LEN(TRIM('Raw Data'!H93))=0),"",IF(AND(ISNUMBER('Raw Data'!H93),'Raw Data'!H93=ROUND('Raw Data'!H93,4),IFERROR(ROUND('Raw Data'!H93,4)&lt;=99999999999.99,FALSE))=TRUE,"",_xlfn.REGEXEXTRACT(CELL("address",'Raw Data'!H93), "\$([A-Z]+)\$[0-9]+"))),_xlfn.REGEXEXTRACT(CELL("address",'Raw Data'!H93), "\$([A-Z]+)\$[0-9]+"))</f>
        <v/>
      </c>
      <c r="I93" s="6" t="str" cm="1">
        <f t="array" aca="1" ref="I93" ca="1">IFERROR(IF(OR('Raw Data'!I93="",LEN(TRIM('Raw Data'!I93))=0),"",IF(AND(ISNUMBER('Raw Data'!I93),'Raw Data'!I93=ROUND('Raw Data'!I93,4),IFERROR(ROUND('Raw Data'!I93,4)&lt;=99999999999.99,FALSE))=TRUE,"",_xlfn.REGEXEXTRACT(CELL("address",'Raw Data'!I93), "\$([A-Z]+)\$[0-9]+"))),_xlfn.REGEXEXTRACT(CELL("address",'Raw Data'!I93), "\$([A-Z]+)\$[0-9]+"))</f>
        <v/>
      </c>
      <c r="J93" s="6" t="str" cm="1">
        <f t="array" aca="1" ref="J93" ca="1">IFERROR(IF(OR('Raw Data'!J93="",LEN(TRIM('Raw Data'!J93))=0),"",IF(AND(ISNUMBER('Raw Data'!J93),'Raw Data'!J93=ROUND('Raw Data'!J93,4),IFERROR(ROUND('Raw Data'!J93,4)&lt;=99999999999.99,FALSE))=TRUE,"",_xlfn.REGEXEXTRACT(CELL("address",'Raw Data'!J93), "\$([A-Z]+)\$[0-9]+"))),_xlfn.REGEXEXTRACT(CELL("address",'Raw Data'!J93), "\$([A-Z]+)\$[0-9]+"))</f>
        <v/>
      </c>
    </row>
    <row r="94" spans="2:10" x14ac:dyDescent="0.25">
      <c r="B94" s="6" t="str" cm="1">
        <f t="array" aca="1" ref="B94" ca="1">IFERROR(IF(OR('Raw Data'!B94="",LEN(TRIM('Raw Data'!B94))=0),"",IF(AND(LEN('Raw Data'!B94) &lt;= 255,LEN('Raw Data'!B94)&gt; 0),"",_xlfn.REGEXEXTRACT(CELL("address",'Raw Data'!B94),"\$([A-Z]+)\$[0-9]+"))),_xlfn.REGEXEXTRACT(CELL("address",'Raw Data'!B94),"\$([A-Z]+)\$[0-9]+"))</f>
        <v/>
      </c>
      <c r="C94" s="6" t="str" cm="1">
        <f t="array" aca="1" ref="C94" ca="1">IFERROR(IF(OR('Raw Data'!C94="",LEN(TRIM('Raw Data'!C94))=0),"",IF(AND(LEN('Raw Data'!C94) &lt;= 20,LEN('Raw Data'!C94)&gt; 0),"",_xlfn.REGEXEXTRACT(CELL("address",'Raw Data'!C94),"\$([A-Z]+)\$[0-9]+"))),_xlfn.REGEXEXTRACT(CELL("address",'Raw Data'!C94),"\$([A-Z]+)\$[0-9]+"))</f>
        <v/>
      </c>
      <c r="D94" s="6" t="str" cm="1">
        <f t="array" aca="1" ref="D94" ca="1">IFERROR(IF(OR('Raw Data'!D94="",LEN(TRIM('Raw Data'!D94))=0),"",IF(AND(ISNUMBER('Raw Data'!D94),'Raw Data'!D94&gt;=Configuration!$D$2),"",_xlfn.REGEXEXTRACT(CELL("address",'Raw Data'!D94),"\$([A-Z]+)\$[0-9]+"))),_xlfn.REGEXEXTRACT(CELL("address",D94), "\$([A-Z]+)\$[0-9]+"))</f>
        <v/>
      </c>
      <c r="E94" s="6" t="str" cm="1">
        <f t="array" aca="1" ref="E94" ca="1">IFERROR(IF(OR('Raw Data'!E94="",LEN(TRIM('Raw Data'!E94))=0),"",IF(AND(ISNUMBER('Raw Data'!E94),'Raw Data'!E94=ROUND('Raw Data'!E94,4),IFERROR(ROUND('Raw Data'!E94,4)&lt;=99999999999.99,FALSE))=TRUE,"",_xlfn.REGEXEXTRACT(CELL("address",'Raw Data'!E94), "\$([A-Z]+)\$[0-9]+"))),_xlfn.REGEXEXTRACT(CELL("address",'Raw Data'!E94), "\$([A-Z]+)\$[0-9]+"))</f>
        <v/>
      </c>
      <c r="F94" s="6" t="str" cm="1">
        <f t="array" aca="1" ref="F94" ca="1">IFERROR(IF(OR('Raw Data'!F94="",LEN(TRIM('Raw Data'!F94))=0),"",IF(AND(ISNUMBER('Raw Data'!F94),'Raw Data'!F94=ROUND('Raw Data'!F94,4),IFERROR(ROUND('Raw Data'!F94,4)&lt;=99999999999.99,FALSE))=TRUE,"",_xlfn.REGEXEXTRACT(CELL("address",'Raw Data'!F94), "\$([A-Z]+)\$[0-9]+"))),_xlfn.REGEXEXTRACT(CELL("address",'Raw Data'!F94), "\$([A-Z]+)\$[0-9]+"))</f>
        <v/>
      </c>
      <c r="G94" s="6" t="str" cm="1">
        <f t="array" aca="1" ref="G94" ca="1">IFERROR(IF(OR('Raw Data'!G94="",LEN(TRIM('Raw Data'!G94))=0),"",IF(AND(ISNUMBER('Raw Data'!G94),'Raw Data'!G94=ROUND('Raw Data'!G94,4),IFERROR(ROUND('Raw Data'!G94,4)&lt;=99999999999.99,FALSE))=TRUE,"",_xlfn.REGEXEXTRACT(CELL("address",'Raw Data'!G94), "\$([A-Z]+)\$[0-9]+"))),_xlfn.REGEXEXTRACT(CELL("address",'Raw Data'!G94), "\$([A-Z]+)\$[0-9]+"))</f>
        <v/>
      </c>
      <c r="H94" s="6" t="str" cm="1">
        <f t="array" aca="1" ref="H94" ca="1">IFERROR(IF(OR('Raw Data'!H94="",LEN(TRIM('Raw Data'!H94))=0),"",IF(AND(ISNUMBER('Raw Data'!H94),'Raw Data'!H94=ROUND('Raw Data'!H94,4),IFERROR(ROUND('Raw Data'!H94,4)&lt;=99999999999.99,FALSE))=TRUE,"",_xlfn.REGEXEXTRACT(CELL("address",'Raw Data'!H94), "\$([A-Z]+)\$[0-9]+"))),_xlfn.REGEXEXTRACT(CELL("address",'Raw Data'!H94), "\$([A-Z]+)\$[0-9]+"))</f>
        <v/>
      </c>
      <c r="I94" s="6" t="str" cm="1">
        <f t="array" aca="1" ref="I94" ca="1">IFERROR(IF(OR('Raw Data'!I94="",LEN(TRIM('Raw Data'!I94))=0),"",IF(AND(ISNUMBER('Raw Data'!I94),'Raw Data'!I94=ROUND('Raw Data'!I94,4),IFERROR(ROUND('Raw Data'!I94,4)&lt;=99999999999.99,FALSE))=TRUE,"",_xlfn.REGEXEXTRACT(CELL("address",'Raw Data'!I94), "\$([A-Z]+)\$[0-9]+"))),_xlfn.REGEXEXTRACT(CELL("address",'Raw Data'!I94), "\$([A-Z]+)\$[0-9]+"))</f>
        <v/>
      </c>
      <c r="J94" s="6" t="str" cm="1">
        <f t="array" aca="1" ref="J94" ca="1">IFERROR(IF(OR('Raw Data'!J94="",LEN(TRIM('Raw Data'!J94))=0),"",IF(AND(ISNUMBER('Raw Data'!J94),'Raw Data'!J94=ROUND('Raw Data'!J94,4),IFERROR(ROUND('Raw Data'!J94,4)&lt;=99999999999.99,FALSE))=TRUE,"",_xlfn.REGEXEXTRACT(CELL("address",'Raw Data'!J94), "\$([A-Z]+)\$[0-9]+"))),_xlfn.REGEXEXTRACT(CELL("address",'Raw Data'!J94), "\$([A-Z]+)\$[0-9]+"))</f>
        <v/>
      </c>
    </row>
    <row r="95" spans="2:10" x14ac:dyDescent="0.25">
      <c r="B95" s="6" t="str" cm="1">
        <f t="array" aca="1" ref="B95" ca="1">IFERROR(IF(OR('Raw Data'!B95="",LEN(TRIM('Raw Data'!B95))=0),"",IF(AND(LEN('Raw Data'!B95) &lt;= 255,LEN('Raw Data'!B95)&gt; 0),"",_xlfn.REGEXEXTRACT(CELL("address",'Raw Data'!B95),"\$([A-Z]+)\$[0-9]+"))),_xlfn.REGEXEXTRACT(CELL("address",'Raw Data'!B95),"\$([A-Z]+)\$[0-9]+"))</f>
        <v/>
      </c>
      <c r="C95" s="6" t="str" cm="1">
        <f t="array" aca="1" ref="C95" ca="1">IFERROR(IF(OR('Raw Data'!C95="",LEN(TRIM('Raw Data'!C95))=0),"",IF(AND(LEN('Raw Data'!C95) &lt;= 20,LEN('Raw Data'!C95)&gt; 0),"",_xlfn.REGEXEXTRACT(CELL("address",'Raw Data'!C95),"\$([A-Z]+)\$[0-9]+"))),_xlfn.REGEXEXTRACT(CELL("address",'Raw Data'!C95),"\$([A-Z]+)\$[0-9]+"))</f>
        <v/>
      </c>
      <c r="D95" s="6" t="str" cm="1">
        <f t="array" aca="1" ref="D95" ca="1">IFERROR(IF(OR('Raw Data'!D95="",LEN(TRIM('Raw Data'!D95))=0),"",IF(AND(ISNUMBER('Raw Data'!D95),'Raw Data'!D95&gt;=Configuration!$D$2),"",_xlfn.REGEXEXTRACT(CELL("address",'Raw Data'!D95),"\$([A-Z]+)\$[0-9]+"))),_xlfn.REGEXEXTRACT(CELL("address",D95), "\$([A-Z]+)\$[0-9]+"))</f>
        <v/>
      </c>
      <c r="E95" s="6" t="str" cm="1">
        <f t="array" aca="1" ref="E95" ca="1">IFERROR(IF(OR('Raw Data'!E95="",LEN(TRIM('Raw Data'!E95))=0),"",IF(AND(ISNUMBER('Raw Data'!E95),'Raw Data'!E95=ROUND('Raw Data'!E95,4),IFERROR(ROUND('Raw Data'!E95,4)&lt;=99999999999.99,FALSE))=TRUE,"",_xlfn.REGEXEXTRACT(CELL("address",'Raw Data'!E95), "\$([A-Z]+)\$[0-9]+"))),_xlfn.REGEXEXTRACT(CELL("address",'Raw Data'!E95), "\$([A-Z]+)\$[0-9]+"))</f>
        <v/>
      </c>
      <c r="F95" s="6" t="str" cm="1">
        <f t="array" aca="1" ref="F95" ca="1">IFERROR(IF(OR('Raw Data'!F95="",LEN(TRIM('Raw Data'!F95))=0),"",IF(AND(ISNUMBER('Raw Data'!F95),'Raw Data'!F95=ROUND('Raw Data'!F95,4),IFERROR(ROUND('Raw Data'!F95,4)&lt;=99999999999.99,FALSE))=TRUE,"",_xlfn.REGEXEXTRACT(CELL("address",'Raw Data'!F95), "\$([A-Z]+)\$[0-9]+"))),_xlfn.REGEXEXTRACT(CELL("address",'Raw Data'!F95), "\$([A-Z]+)\$[0-9]+"))</f>
        <v/>
      </c>
      <c r="G95" s="6" t="str" cm="1">
        <f t="array" aca="1" ref="G95" ca="1">IFERROR(IF(OR('Raw Data'!G95="",LEN(TRIM('Raw Data'!G95))=0),"",IF(AND(ISNUMBER('Raw Data'!G95),'Raw Data'!G95=ROUND('Raw Data'!G95,4),IFERROR(ROUND('Raw Data'!G95,4)&lt;=99999999999.99,FALSE))=TRUE,"",_xlfn.REGEXEXTRACT(CELL("address",'Raw Data'!G95), "\$([A-Z]+)\$[0-9]+"))),_xlfn.REGEXEXTRACT(CELL("address",'Raw Data'!G95), "\$([A-Z]+)\$[0-9]+"))</f>
        <v/>
      </c>
      <c r="H95" s="6" t="str" cm="1">
        <f t="array" aca="1" ref="H95" ca="1">IFERROR(IF(OR('Raw Data'!H95="",LEN(TRIM('Raw Data'!H95))=0),"",IF(AND(ISNUMBER('Raw Data'!H95),'Raw Data'!H95=ROUND('Raw Data'!H95,4),IFERROR(ROUND('Raw Data'!H95,4)&lt;=99999999999.99,FALSE))=TRUE,"",_xlfn.REGEXEXTRACT(CELL("address",'Raw Data'!H95), "\$([A-Z]+)\$[0-9]+"))),_xlfn.REGEXEXTRACT(CELL("address",'Raw Data'!H95), "\$([A-Z]+)\$[0-9]+"))</f>
        <v/>
      </c>
      <c r="I95" s="6" t="str" cm="1">
        <f t="array" aca="1" ref="I95" ca="1">IFERROR(IF(OR('Raw Data'!I95="",LEN(TRIM('Raw Data'!I95))=0),"",IF(AND(ISNUMBER('Raw Data'!I95),'Raw Data'!I95=ROUND('Raw Data'!I95,4),IFERROR(ROUND('Raw Data'!I95,4)&lt;=99999999999.99,FALSE))=TRUE,"",_xlfn.REGEXEXTRACT(CELL("address",'Raw Data'!I95), "\$([A-Z]+)\$[0-9]+"))),_xlfn.REGEXEXTRACT(CELL("address",'Raw Data'!I95), "\$([A-Z]+)\$[0-9]+"))</f>
        <v/>
      </c>
      <c r="J95" s="6" t="str" cm="1">
        <f t="array" aca="1" ref="J95" ca="1">IFERROR(IF(OR('Raw Data'!J95="",LEN(TRIM('Raw Data'!J95))=0),"",IF(AND(ISNUMBER('Raw Data'!J95),'Raw Data'!J95=ROUND('Raw Data'!J95,4),IFERROR(ROUND('Raw Data'!J95,4)&lt;=99999999999.99,FALSE))=TRUE,"",_xlfn.REGEXEXTRACT(CELL("address",'Raw Data'!J95), "\$([A-Z]+)\$[0-9]+"))),_xlfn.REGEXEXTRACT(CELL("address",'Raw Data'!J95), "\$([A-Z]+)\$[0-9]+"))</f>
        <v/>
      </c>
    </row>
    <row r="96" spans="2:10" x14ac:dyDescent="0.25">
      <c r="B96" s="6" t="str" cm="1">
        <f t="array" aca="1" ref="B96" ca="1">IFERROR(IF(OR('Raw Data'!B96="",LEN(TRIM('Raw Data'!B96))=0),"",IF(AND(LEN('Raw Data'!B96) &lt;= 255,LEN('Raw Data'!B96)&gt; 0),"",_xlfn.REGEXEXTRACT(CELL("address",'Raw Data'!B96),"\$([A-Z]+)\$[0-9]+"))),_xlfn.REGEXEXTRACT(CELL("address",'Raw Data'!B96),"\$([A-Z]+)\$[0-9]+"))</f>
        <v/>
      </c>
      <c r="C96" s="6" t="str" cm="1">
        <f t="array" aca="1" ref="C96" ca="1">IFERROR(IF(OR('Raw Data'!C96="",LEN(TRIM('Raw Data'!C96))=0),"",IF(AND(LEN('Raw Data'!C96) &lt;= 20,LEN('Raw Data'!C96)&gt; 0),"",_xlfn.REGEXEXTRACT(CELL("address",'Raw Data'!C96),"\$([A-Z]+)\$[0-9]+"))),_xlfn.REGEXEXTRACT(CELL("address",'Raw Data'!C96),"\$([A-Z]+)\$[0-9]+"))</f>
        <v/>
      </c>
      <c r="D96" s="6" t="str" cm="1">
        <f t="array" aca="1" ref="D96" ca="1">IFERROR(IF(OR('Raw Data'!D96="",LEN(TRIM('Raw Data'!D96))=0),"",IF(AND(ISNUMBER('Raw Data'!D96),'Raw Data'!D96&gt;=Configuration!$D$2),"",_xlfn.REGEXEXTRACT(CELL("address",'Raw Data'!D96),"\$([A-Z]+)\$[0-9]+"))),_xlfn.REGEXEXTRACT(CELL("address",D96), "\$([A-Z]+)\$[0-9]+"))</f>
        <v/>
      </c>
      <c r="E96" s="6" t="str" cm="1">
        <f t="array" aca="1" ref="E96" ca="1">IFERROR(IF(OR('Raw Data'!E96="",LEN(TRIM('Raw Data'!E96))=0),"",IF(AND(ISNUMBER('Raw Data'!E96),'Raw Data'!E96=ROUND('Raw Data'!E96,4),IFERROR(ROUND('Raw Data'!E96,4)&lt;=99999999999.99,FALSE))=TRUE,"",_xlfn.REGEXEXTRACT(CELL("address",'Raw Data'!E96), "\$([A-Z]+)\$[0-9]+"))),_xlfn.REGEXEXTRACT(CELL("address",'Raw Data'!E96), "\$([A-Z]+)\$[0-9]+"))</f>
        <v/>
      </c>
      <c r="F96" s="6" t="str" cm="1">
        <f t="array" aca="1" ref="F96" ca="1">IFERROR(IF(OR('Raw Data'!F96="",LEN(TRIM('Raw Data'!F96))=0),"",IF(AND(ISNUMBER('Raw Data'!F96),'Raw Data'!F96=ROUND('Raw Data'!F96,4),IFERROR(ROUND('Raw Data'!F96,4)&lt;=99999999999.99,FALSE))=TRUE,"",_xlfn.REGEXEXTRACT(CELL("address",'Raw Data'!F96), "\$([A-Z]+)\$[0-9]+"))),_xlfn.REGEXEXTRACT(CELL("address",'Raw Data'!F96), "\$([A-Z]+)\$[0-9]+"))</f>
        <v/>
      </c>
      <c r="G96" s="6" t="str" cm="1">
        <f t="array" aca="1" ref="G96" ca="1">IFERROR(IF(OR('Raw Data'!G96="",LEN(TRIM('Raw Data'!G96))=0),"",IF(AND(ISNUMBER('Raw Data'!G96),'Raw Data'!G96=ROUND('Raw Data'!G96,4),IFERROR(ROUND('Raw Data'!G96,4)&lt;=99999999999.99,FALSE))=TRUE,"",_xlfn.REGEXEXTRACT(CELL("address",'Raw Data'!G96), "\$([A-Z]+)\$[0-9]+"))),_xlfn.REGEXEXTRACT(CELL("address",'Raw Data'!G96), "\$([A-Z]+)\$[0-9]+"))</f>
        <v/>
      </c>
      <c r="H96" s="6" t="str" cm="1">
        <f t="array" aca="1" ref="H96" ca="1">IFERROR(IF(OR('Raw Data'!H96="",LEN(TRIM('Raw Data'!H96))=0),"",IF(AND(ISNUMBER('Raw Data'!H96),'Raw Data'!H96=ROUND('Raw Data'!H96,4),IFERROR(ROUND('Raw Data'!H96,4)&lt;=99999999999.99,FALSE))=TRUE,"",_xlfn.REGEXEXTRACT(CELL("address",'Raw Data'!H96), "\$([A-Z]+)\$[0-9]+"))),_xlfn.REGEXEXTRACT(CELL("address",'Raw Data'!H96), "\$([A-Z]+)\$[0-9]+"))</f>
        <v/>
      </c>
      <c r="I96" s="6" t="str" cm="1">
        <f t="array" aca="1" ref="I96" ca="1">IFERROR(IF(OR('Raw Data'!I96="",LEN(TRIM('Raw Data'!I96))=0),"",IF(AND(ISNUMBER('Raw Data'!I96),'Raw Data'!I96=ROUND('Raw Data'!I96,4),IFERROR(ROUND('Raw Data'!I96,4)&lt;=99999999999.99,FALSE))=TRUE,"",_xlfn.REGEXEXTRACT(CELL("address",'Raw Data'!I96), "\$([A-Z]+)\$[0-9]+"))),_xlfn.REGEXEXTRACT(CELL("address",'Raw Data'!I96), "\$([A-Z]+)\$[0-9]+"))</f>
        <v/>
      </c>
      <c r="J96" s="6" t="str" cm="1">
        <f t="array" aca="1" ref="J96" ca="1">IFERROR(IF(OR('Raw Data'!J96="",LEN(TRIM('Raw Data'!J96))=0),"",IF(AND(ISNUMBER('Raw Data'!J96),'Raw Data'!J96=ROUND('Raw Data'!J96,4),IFERROR(ROUND('Raw Data'!J96,4)&lt;=99999999999.99,FALSE))=TRUE,"",_xlfn.REGEXEXTRACT(CELL("address",'Raw Data'!J96), "\$([A-Z]+)\$[0-9]+"))),_xlfn.REGEXEXTRACT(CELL("address",'Raw Data'!J96), "\$([A-Z]+)\$[0-9]+"))</f>
        <v/>
      </c>
    </row>
    <row r="97" spans="2:10" x14ac:dyDescent="0.25">
      <c r="B97" s="6" t="str" cm="1">
        <f t="array" aca="1" ref="B97" ca="1">IFERROR(IF(OR('Raw Data'!B97="",LEN(TRIM('Raw Data'!B97))=0),"",IF(AND(LEN('Raw Data'!B97) &lt;= 255,LEN('Raw Data'!B97)&gt; 0),"",_xlfn.REGEXEXTRACT(CELL("address",'Raw Data'!B97),"\$([A-Z]+)\$[0-9]+"))),_xlfn.REGEXEXTRACT(CELL("address",'Raw Data'!B97),"\$([A-Z]+)\$[0-9]+"))</f>
        <v/>
      </c>
      <c r="C97" s="6" t="str" cm="1">
        <f t="array" aca="1" ref="C97" ca="1">IFERROR(IF(OR('Raw Data'!C97="",LEN(TRIM('Raw Data'!C97))=0),"",IF(AND(LEN('Raw Data'!C97) &lt;= 20,LEN('Raw Data'!C97)&gt; 0),"",_xlfn.REGEXEXTRACT(CELL("address",'Raw Data'!C97),"\$([A-Z]+)\$[0-9]+"))),_xlfn.REGEXEXTRACT(CELL("address",'Raw Data'!C97),"\$([A-Z]+)\$[0-9]+"))</f>
        <v/>
      </c>
      <c r="D97" s="6" t="str" cm="1">
        <f t="array" aca="1" ref="D97" ca="1">IFERROR(IF(OR('Raw Data'!D97="",LEN(TRIM('Raw Data'!D97))=0),"",IF(AND(ISNUMBER('Raw Data'!D97),'Raw Data'!D97&gt;=Configuration!$D$2),"",_xlfn.REGEXEXTRACT(CELL("address",'Raw Data'!D97),"\$([A-Z]+)\$[0-9]+"))),_xlfn.REGEXEXTRACT(CELL("address",D97), "\$([A-Z]+)\$[0-9]+"))</f>
        <v/>
      </c>
      <c r="E97" s="6" t="str" cm="1">
        <f t="array" aca="1" ref="E97" ca="1">IFERROR(IF(OR('Raw Data'!E97="",LEN(TRIM('Raw Data'!E97))=0),"",IF(AND(ISNUMBER('Raw Data'!E97),'Raw Data'!E97=ROUND('Raw Data'!E97,4),IFERROR(ROUND('Raw Data'!E97,4)&lt;=99999999999.99,FALSE))=TRUE,"",_xlfn.REGEXEXTRACT(CELL("address",'Raw Data'!E97), "\$([A-Z]+)\$[0-9]+"))),_xlfn.REGEXEXTRACT(CELL("address",'Raw Data'!E97), "\$([A-Z]+)\$[0-9]+"))</f>
        <v/>
      </c>
      <c r="F97" s="6" t="str" cm="1">
        <f t="array" aca="1" ref="F97" ca="1">IFERROR(IF(OR('Raw Data'!F97="",LEN(TRIM('Raw Data'!F97))=0),"",IF(AND(ISNUMBER('Raw Data'!F97),'Raw Data'!F97=ROUND('Raw Data'!F97,4),IFERROR(ROUND('Raw Data'!F97,4)&lt;=99999999999.99,FALSE))=TRUE,"",_xlfn.REGEXEXTRACT(CELL("address",'Raw Data'!F97), "\$([A-Z]+)\$[0-9]+"))),_xlfn.REGEXEXTRACT(CELL("address",'Raw Data'!F97), "\$([A-Z]+)\$[0-9]+"))</f>
        <v/>
      </c>
      <c r="G97" s="6" t="str" cm="1">
        <f t="array" aca="1" ref="G97" ca="1">IFERROR(IF(OR('Raw Data'!G97="",LEN(TRIM('Raw Data'!G97))=0),"",IF(AND(ISNUMBER('Raw Data'!G97),'Raw Data'!G97=ROUND('Raw Data'!G97,4),IFERROR(ROUND('Raw Data'!G97,4)&lt;=99999999999.99,FALSE))=TRUE,"",_xlfn.REGEXEXTRACT(CELL("address",'Raw Data'!G97), "\$([A-Z]+)\$[0-9]+"))),_xlfn.REGEXEXTRACT(CELL("address",'Raw Data'!G97), "\$([A-Z]+)\$[0-9]+"))</f>
        <v/>
      </c>
      <c r="H97" s="6" t="str" cm="1">
        <f t="array" aca="1" ref="H97" ca="1">IFERROR(IF(OR('Raw Data'!H97="",LEN(TRIM('Raw Data'!H97))=0),"",IF(AND(ISNUMBER('Raw Data'!H97),'Raw Data'!H97=ROUND('Raw Data'!H97,4),IFERROR(ROUND('Raw Data'!H97,4)&lt;=99999999999.99,FALSE))=TRUE,"",_xlfn.REGEXEXTRACT(CELL("address",'Raw Data'!H97), "\$([A-Z]+)\$[0-9]+"))),_xlfn.REGEXEXTRACT(CELL("address",'Raw Data'!H97), "\$([A-Z]+)\$[0-9]+"))</f>
        <v/>
      </c>
      <c r="I97" s="6" t="str" cm="1">
        <f t="array" aca="1" ref="I97" ca="1">IFERROR(IF(OR('Raw Data'!I97="",LEN(TRIM('Raw Data'!I97))=0),"",IF(AND(ISNUMBER('Raw Data'!I97),'Raw Data'!I97=ROUND('Raw Data'!I97,4),IFERROR(ROUND('Raw Data'!I97,4)&lt;=99999999999.99,FALSE))=TRUE,"",_xlfn.REGEXEXTRACT(CELL("address",'Raw Data'!I97), "\$([A-Z]+)\$[0-9]+"))),_xlfn.REGEXEXTRACT(CELL("address",'Raw Data'!I97), "\$([A-Z]+)\$[0-9]+"))</f>
        <v/>
      </c>
      <c r="J97" s="6" t="str" cm="1">
        <f t="array" aca="1" ref="J97" ca="1">IFERROR(IF(OR('Raw Data'!J97="",LEN(TRIM('Raw Data'!J97))=0),"",IF(AND(ISNUMBER('Raw Data'!J97),'Raw Data'!J97=ROUND('Raw Data'!J97,4),IFERROR(ROUND('Raw Data'!J97,4)&lt;=99999999999.99,FALSE))=TRUE,"",_xlfn.REGEXEXTRACT(CELL("address",'Raw Data'!J97), "\$([A-Z]+)\$[0-9]+"))),_xlfn.REGEXEXTRACT(CELL("address",'Raw Data'!J97), "\$([A-Z]+)\$[0-9]+"))</f>
        <v/>
      </c>
    </row>
    <row r="98" spans="2:10" x14ac:dyDescent="0.25">
      <c r="B98" s="6" t="str" cm="1">
        <f t="array" aca="1" ref="B98" ca="1">IFERROR(IF(OR('Raw Data'!B98="",LEN(TRIM('Raw Data'!B98))=0),"",IF(AND(LEN('Raw Data'!B98) &lt;= 255,LEN('Raw Data'!B98)&gt; 0),"",_xlfn.REGEXEXTRACT(CELL("address",'Raw Data'!B98),"\$([A-Z]+)\$[0-9]+"))),_xlfn.REGEXEXTRACT(CELL("address",'Raw Data'!B98),"\$([A-Z]+)\$[0-9]+"))</f>
        <v/>
      </c>
      <c r="C98" s="6" t="str" cm="1">
        <f t="array" aca="1" ref="C98" ca="1">IFERROR(IF(OR('Raw Data'!C98="",LEN(TRIM('Raw Data'!C98))=0),"",IF(AND(LEN('Raw Data'!C98) &lt;= 20,LEN('Raw Data'!C98)&gt; 0),"",_xlfn.REGEXEXTRACT(CELL("address",'Raw Data'!C98),"\$([A-Z]+)\$[0-9]+"))),_xlfn.REGEXEXTRACT(CELL("address",'Raw Data'!C98),"\$([A-Z]+)\$[0-9]+"))</f>
        <v/>
      </c>
      <c r="D98" s="6" t="str" cm="1">
        <f t="array" aca="1" ref="D98" ca="1">IFERROR(IF(OR('Raw Data'!D98="",LEN(TRIM('Raw Data'!D98))=0),"",IF(AND(ISNUMBER('Raw Data'!D98),'Raw Data'!D98&gt;=Configuration!$D$2),"",_xlfn.REGEXEXTRACT(CELL("address",'Raw Data'!D98),"\$([A-Z]+)\$[0-9]+"))),_xlfn.REGEXEXTRACT(CELL("address",D98), "\$([A-Z]+)\$[0-9]+"))</f>
        <v/>
      </c>
      <c r="E98" s="6" t="str" cm="1">
        <f t="array" aca="1" ref="E98" ca="1">IFERROR(IF(OR('Raw Data'!E98="",LEN(TRIM('Raw Data'!E98))=0),"",IF(AND(ISNUMBER('Raw Data'!E98),'Raw Data'!E98=ROUND('Raw Data'!E98,4),IFERROR(ROUND('Raw Data'!E98,4)&lt;=99999999999.99,FALSE))=TRUE,"",_xlfn.REGEXEXTRACT(CELL("address",'Raw Data'!E98), "\$([A-Z]+)\$[0-9]+"))),_xlfn.REGEXEXTRACT(CELL("address",'Raw Data'!E98), "\$([A-Z]+)\$[0-9]+"))</f>
        <v/>
      </c>
      <c r="F98" s="6" t="str" cm="1">
        <f t="array" aca="1" ref="F98" ca="1">IFERROR(IF(OR('Raw Data'!F98="",LEN(TRIM('Raw Data'!F98))=0),"",IF(AND(ISNUMBER('Raw Data'!F98),'Raw Data'!F98=ROUND('Raw Data'!F98,4),IFERROR(ROUND('Raw Data'!F98,4)&lt;=99999999999.99,FALSE))=TRUE,"",_xlfn.REGEXEXTRACT(CELL("address",'Raw Data'!F98), "\$([A-Z]+)\$[0-9]+"))),_xlfn.REGEXEXTRACT(CELL("address",'Raw Data'!F98), "\$([A-Z]+)\$[0-9]+"))</f>
        <v/>
      </c>
      <c r="G98" s="6" t="str" cm="1">
        <f t="array" aca="1" ref="G98" ca="1">IFERROR(IF(OR('Raw Data'!G98="",LEN(TRIM('Raw Data'!G98))=0),"",IF(AND(ISNUMBER('Raw Data'!G98),'Raw Data'!G98=ROUND('Raw Data'!G98,4),IFERROR(ROUND('Raw Data'!G98,4)&lt;=99999999999.99,FALSE))=TRUE,"",_xlfn.REGEXEXTRACT(CELL("address",'Raw Data'!G98), "\$([A-Z]+)\$[0-9]+"))),_xlfn.REGEXEXTRACT(CELL("address",'Raw Data'!G98), "\$([A-Z]+)\$[0-9]+"))</f>
        <v/>
      </c>
      <c r="H98" s="6" t="str" cm="1">
        <f t="array" aca="1" ref="H98" ca="1">IFERROR(IF(OR('Raw Data'!H98="",LEN(TRIM('Raw Data'!H98))=0),"",IF(AND(ISNUMBER('Raw Data'!H98),'Raw Data'!H98=ROUND('Raw Data'!H98,4),IFERROR(ROUND('Raw Data'!H98,4)&lt;=99999999999.99,FALSE))=TRUE,"",_xlfn.REGEXEXTRACT(CELL("address",'Raw Data'!H98), "\$([A-Z]+)\$[0-9]+"))),_xlfn.REGEXEXTRACT(CELL("address",'Raw Data'!H98), "\$([A-Z]+)\$[0-9]+"))</f>
        <v/>
      </c>
      <c r="I98" s="6" t="str" cm="1">
        <f t="array" aca="1" ref="I98" ca="1">IFERROR(IF(OR('Raw Data'!I98="",LEN(TRIM('Raw Data'!I98))=0),"",IF(AND(ISNUMBER('Raw Data'!I98),'Raw Data'!I98=ROUND('Raw Data'!I98,4),IFERROR(ROUND('Raw Data'!I98,4)&lt;=99999999999.99,FALSE))=TRUE,"",_xlfn.REGEXEXTRACT(CELL("address",'Raw Data'!I98), "\$([A-Z]+)\$[0-9]+"))),_xlfn.REGEXEXTRACT(CELL("address",'Raw Data'!I98), "\$([A-Z]+)\$[0-9]+"))</f>
        <v/>
      </c>
      <c r="J98" s="6" t="str" cm="1">
        <f t="array" aca="1" ref="J98" ca="1">IFERROR(IF(OR('Raw Data'!J98="",LEN(TRIM('Raw Data'!J98))=0),"",IF(AND(ISNUMBER('Raw Data'!J98),'Raw Data'!J98=ROUND('Raw Data'!J98,4),IFERROR(ROUND('Raw Data'!J98,4)&lt;=99999999999.99,FALSE))=TRUE,"",_xlfn.REGEXEXTRACT(CELL("address",'Raw Data'!J98), "\$([A-Z]+)\$[0-9]+"))),_xlfn.REGEXEXTRACT(CELL("address",'Raw Data'!J98), "\$([A-Z]+)\$[0-9]+"))</f>
        <v/>
      </c>
    </row>
    <row r="99" spans="2:10" x14ac:dyDescent="0.25">
      <c r="B99" s="6" t="str" cm="1">
        <f t="array" aca="1" ref="B99" ca="1">IFERROR(IF(OR('Raw Data'!B99="",LEN(TRIM('Raw Data'!B99))=0),"",IF(AND(LEN('Raw Data'!B99) &lt;= 255,LEN('Raw Data'!B99)&gt; 0),"",_xlfn.REGEXEXTRACT(CELL("address",'Raw Data'!B99),"\$([A-Z]+)\$[0-9]+"))),_xlfn.REGEXEXTRACT(CELL("address",'Raw Data'!B99),"\$([A-Z]+)\$[0-9]+"))</f>
        <v/>
      </c>
      <c r="C99" s="6" t="str" cm="1">
        <f t="array" aca="1" ref="C99" ca="1">IFERROR(IF(OR('Raw Data'!C99="",LEN(TRIM('Raw Data'!C99))=0),"",IF(AND(LEN('Raw Data'!C99) &lt;= 20,LEN('Raw Data'!C99)&gt; 0),"",_xlfn.REGEXEXTRACT(CELL("address",'Raw Data'!C99),"\$([A-Z]+)\$[0-9]+"))),_xlfn.REGEXEXTRACT(CELL("address",'Raw Data'!C99),"\$([A-Z]+)\$[0-9]+"))</f>
        <v/>
      </c>
      <c r="D99" s="6" t="str" cm="1">
        <f t="array" aca="1" ref="D99" ca="1">IFERROR(IF(OR('Raw Data'!D99="",LEN(TRIM('Raw Data'!D99))=0),"",IF(AND(ISNUMBER('Raw Data'!D99),'Raw Data'!D99&gt;=Configuration!$D$2),"",_xlfn.REGEXEXTRACT(CELL("address",'Raw Data'!D99),"\$([A-Z]+)\$[0-9]+"))),_xlfn.REGEXEXTRACT(CELL("address",D99), "\$([A-Z]+)\$[0-9]+"))</f>
        <v/>
      </c>
      <c r="E99" s="6" t="str" cm="1">
        <f t="array" aca="1" ref="E99" ca="1">IFERROR(IF(OR('Raw Data'!E99="",LEN(TRIM('Raw Data'!E99))=0),"",IF(AND(ISNUMBER('Raw Data'!E99),'Raw Data'!E99=ROUND('Raw Data'!E99,4),IFERROR(ROUND('Raw Data'!E99,4)&lt;=99999999999.99,FALSE))=TRUE,"",_xlfn.REGEXEXTRACT(CELL("address",'Raw Data'!E99), "\$([A-Z]+)\$[0-9]+"))),_xlfn.REGEXEXTRACT(CELL("address",'Raw Data'!E99), "\$([A-Z]+)\$[0-9]+"))</f>
        <v/>
      </c>
      <c r="F99" s="6" t="str" cm="1">
        <f t="array" aca="1" ref="F99" ca="1">IFERROR(IF(OR('Raw Data'!F99="",LEN(TRIM('Raw Data'!F99))=0),"",IF(AND(ISNUMBER('Raw Data'!F99),'Raw Data'!F99=ROUND('Raw Data'!F99,4),IFERROR(ROUND('Raw Data'!F99,4)&lt;=99999999999.99,FALSE))=TRUE,"",_xlfn.REGEXEXTRACT(CELL("address",'Raw Data'!F99), "\$([A-Z]+)\$[0-9]+"))),_xlfn.REGEXEXTRACT(CELL("address",'Raw Data'!F99), "\$([A-Z]+)\$[0-9]+"))</f>
        <v/>
      </c>
      <c r="G99" s="6" t="str" cm="1">
        <f t="array" aca="1" ref="G99" ca="1">IFERROR(IF(OR('Raw Data'!G99="",LEN(TRIM('Raw Data'!G99))=0),"",IF(AND(ISNUMBER('Raw Data'!G99),'Raw Data'!G99=ROUND('Raw Data'!G99,4),IFERROR(ROUND('Raw Data'!G99,4)&lt;=99999999999.99,FALSE))=TRUE,"",_xlfn.REGEXEXTRACT(CELL("address",'Raw Data'!G99), "\$([A-Z]+)\$[0-9]+"))),_xlfn.REGEXEXTRACT(CELL("address",'Raw Data'!G99), "\$([A-Z]+)\$[0-9]+"))</f>
        <v/>
      </c>
      <c r="H99" s="6" t="str" cm="1">
        <f t="array" aca="1" ref="H99" ca="1">IFERROR(IF(OR('Raw Data'!H99="",LEN(TRIM('Raw Data'!H99))=0),"",IF(AND(ISNUMBER('Raw Data'!H99),'Raw Data'!H99=ROUND('Raw Data'!H99,4),IFERROR(ROUND('Raw Data'!H99,4)&lt;=99999999999.99,FALSE))=TRUE,"",_xlfn.REGEXEXTRACT(CELL("address",'Raw Data'!H99), "\$([A-Z]+)\$[0-9]+"))),_xlfn.REGEXEXTRACT(CELL("address",'Raw Data'!H99), "\$([A-Z]+)\$[0-9]+"))</f>
        <v/>
      </c>
      <c r="I99" s="6" t="str" cm="1">
        <f t="array" aca="1" ref="I99" ca="1">IFERROR(IF(OR('Raw Data'!I99="",LEN(TRIM('Raw Data'!I99))=0),"",IF(AND(ISNUMBER('Raw Data'!I99),'Raw Data'!I99=ROUND('Raw Data'!I99,4),IFERROR(ROUND('Raw Data'!I99,4)&lt;=99999999999.99,FALSE))=TRUE,"",_xlfn.REGEXEXTRACT(CELL("address",'Raw Data'!I99), "\$([A-Z]+)\$[0-9]+"))),_xlfn.REGEXEXTRACT(CELL("address",'Raw Data'!I99), "\$([A-Z]+)\$[0-9]+"))</f>
        <v/>
      </c>
      <c r="J99" s="6" t="str" cm="1">
        <f t="array" aca="1" ref="J99" ca="1">IFERROR(IF(OR('Raw Data'!J99="",LEN(TRIM('Raw Data'!J99))=0),"",IF(AND(ISNUMBER('Raw Data'!J99),'Raw Data'!J99=ROUND('Raw Data'!J99,4),IFERROR(ROUND('Raw Data'!J99,4)&lt;=99999999999.99,FALSE))=TRUE,"",_xlfn.REGEXEXTRACT(CELL("address",'Raw Data'!J99), "\$([A-Z]+)\$[0-9]+"))),_xlfn.REGEXEXTRACT(CELL("address",'Raw Data'!J99), "\$([A-Z]+)\$[0-9]+"))</f>
        <v/>
      </c>
    </row>
    <row r="100" spans="2:10" x14ac:dyDescent="0.25">
      <c r="B100" s="6" t="str" cm="1">
        <f t="array" aca="1" ref="B100" ca="1">IFERROR(IF(OR('Raw Data'!B100="",LEN(TRIM('Raw Data'!B100))=0),"",IF(AND(LEN('Raw Data'!B100) &lt;= 255,LEN('Raw Data'!B100)&gt; 0),"",_xlfn.REGEXEXTRACT(CELL("address",'Raw Data'!B100),"\$([A-Z]+)\$[0-9]+"))),_xlfn.REGEXEXTRACT(CELL("address",'Raw Data'!B100),"\$([A-Z]+)\$[0-9]+"))</f>
        <v/>
      </c>
      <c r="C100" s="6" t="str" cm="1">
        <f t="array" aca="1" ref="C100" ca="1">IFERROR(IF(OR('Raw Data'!C100="",LEN(TRIM('Raw Data'!C100))=0),"",IF(AND(LEN('Raw Data'!C100) &lt;= 20,LEN('Raw Data'!C100)&gt; 0),"",_xlfn.REGEXEXTRACT(CELL("address",'Raw Data'!C100),"\$([A-Z]+)\$[0-9]+"))),_xlfn.REGEXEXTRACT(CELL("address",'Raw Data'!C100),"\$([A-Z]+)\$[0-9]+"))</f>
        <v/>
      </c>
      <c r="D100" s="6" t="str" cm="1">
        <f t="array" aca="1" ref="D100" ca="1">IFERROR(IF(OR('Raw Data'!D100="",LEN(TRIM('Raw Data'!D100))=0),"",IF(AND(ISNUMBER('Raw Data'!D100),'Raw Data'!D100&gt;=Configuration!$D$2),"",_xlfn.REGEXEXTRACT(CELL("address",'Raw Data'!D100),"\$([A-Z]+)\$[0-9]+"))),_xlfn.REGEXEXTRACT(CELL("address",D100), "\$([A-Z]+)\$[0-9]+"))</f>
        <v/>
      </c>
      <c r="E100" s="6" t="str" cm="1">
        <f t="array" aca="1" ref="E100" ca="1">IFERROR(IF(OR('Raw Data'!E100="",LEN(TRIM('Raw Data'!E100))=0),"",IF(AND(ISNUMBER('Raw Data'!E100),'Raw Data'!E100=ROUND('Raw Data'!E100,4),IFERROR(ROUND('Raw Data'!E100,4)&lt;=99999999999.99,FALSE))=TRUE,"",_xlfn.REGEXEXTRACT(CELL("address",'Raw Data'!E100), "\$([A-Z]+)\$[0-9]+"))),_xlfn.REGEXEXTRACT(CELL("address",'Raw Data'!E100), "\$([A-Z]+)\$[0-9]+"))</f>
        <v/>
      </c>
      <c r="F100" s="6" t="str" cm="1">
        <f t="array" aca="1" ref="F100" ca="1">IFERROR(IF(OR('Raw Data'!F100="",LEN(TRIM('Raw Data'!F100))=0),"",IF(AND(ISNUMBER('Raw Data'!F100),'Raw Data'!F100=ROUND('Raw Data'!F100,4),IFERROR(ROUND('Raw Data'!F100,4)&lt;=99999999999.99,FALSE))=TRUE,"",_xlfn.REGEXEXTRACT(CELL("address",'Raw Data'!F100), "\$([A-Z]+)\$[0-9]+"))),_xlfn.REGEXEXTRACT(CELL("address",'Raw Data'!F100), "\$([A-Z]+)\$[0-9]+"))</f>
        <v/>
      </c>
      <c r="G100" s="6" t="str" cm="1">
        <f t="array" aca="1" ref="G100" ca="1">IFERROR(IF(OR('Raw Data'!G100="",LEN(TRIM('Raw Data'!G100))=0),"",IF(AND(ISNUMBER('Raw Data'!G100),'Raw Data'!G100=ROUND('Raw Data'!G100,4),IFERROR(ROUND('Raw Data'!G100,4)&lt;=99999999999.99,FALSE))=TRUE,"",_xlfn.REGEXEXTRACT(CELL("address",'Raw Data'!G100), "\$([A-Z]+)\$[0-9]+"))),_xlfn.REGEXEXTRACT(CELL("address",'Raw Data'!G100), "\$([A-Z]+)\$[0-9]+"))</f>
        <v/>
      </c>
      <c r="H100" s="6" t="str" cm="1">
        <f t="array" aca="1" ref="H100" ca="1">IFERROR(IF(OR('Raw Data'!H100="",LEN(TRIM('Raw Data'!H100))=0),"",IF(AND(ISNUMBER('Raw Data'!H100),'Raw Data'!H100=ROUND('Raw Data'!H100,4),IFERROR(ROUND('Raw Data'!H100,4)&lt;=99999999999.99,FALSE))=TRUE,"",_xlfn.REGEXEXTRACT(CELL("address",'Raw Data'!H100), "\$([A-Z]+)\$[0-9]+"))),_xlfn.REGEXEXTRACT(CELL("address",'Raw Data'!H100), "\$([A-Z]+)\$[0-9]+"))</f>
        <v/>
      </c>
      <c r="I100" s="6" t="str" cm="1">
        <f t="array" aca="1" ref="I100" ca="1">IFERROR(IF(OR('Raw Data'!I100="",LEN(TRIM('Raw Data'!I100))=0),"",IF(AND(ISNUMBER('Raw Data'!I100),'Raw Data'!I100=ROUND('Raw Data'!I100,4),IFERROR(ROUND('Raw Data'!I100,4)&lt;=99999999999.99,FALSE))=TRUE,"",_xlfn.REGEXEXTRACT(CELL("address",'Raw Data'!I100), "\$([A-Z]+)\$[0-9]+"))),_xlfn.REGEXEXTRACT(CELL("address",'Raw Data'!I100), "\$([A-Z]+)\$[0-9]+"))</f>
        <v/>
      </c>
      <c r="J100" s="6" t="str" cm="1">
        <f t="array" aca="1" ref="J100" ca="1">IFERROR(IF(OR('Raw Data'!J100="",LEN(TRIM('Raw Data'!J100))=0),"",IF(AND(ISNUMBER('Raw Data'!J100),'Raw Data'!J100=ROUND('Raw Data'!J100,4),IFERROR(ROUND('Raw Data'!J100,4)&lt;=99999999999.99,FALSE))=TRUE,"",_xlfn.REGEXEXTRACT(CELL("address",'Raw Data'!J100), "\$([A-Z]+)\$[0-9]+"))),_xlfn.REGEXEXTRACT(CELL("address",'Raw Data'!J100), "\$([A-Z]+)\$[0-9]+"))</f>
        <v/>
      </c>
    </row>
    <row r="101" spans="2:10" x14ac:dyDescent="0.25">
      <c r="B101" s="6" t="str" cm="1">
        <f t="array" aca="1" ref="B101" ca="1">IFERROR(IF(OR('Raw Data'!B101="",LEN(TRIM('Raw Data'!B101))=0),"",IF(AND(LEN('Raw Data'!B101) &lt;= 255,LEN('Raw Data'!B101)&gt; 0),"",_xlfn.REGEXEXTRACT(CELL("address",'Raw Data'!B101),"\$([A-Z]+)\$[0-9]+"))),_xlfn.REGEXEXTRACT(CELL("address",'Raw Data'!B101),"\$([A-Z]+)\$[0-9]+"))</f>
        <v/>
      </c>
      <c r="C101" s="6" t="str" cm="1">
        <f t="array" aca="1" ref="C101" ca="1">IFERROR(IF(OR('Raw Data'!C101="",LEN(TRIM('Raw Data'!C101))=0),"",IF(AND(LEN('Raw Data'!C101) &lt;= 20,LEN('Raw Data'!C101)&gt; 0),"",_xlfn.REGEXEXTRACT(CELL("address",'Raw Data'!C101),"\$([A-Z]+)\$[0-9]+"))),_xlfn.REGEXEXTRACT(CELL("address",'Raw Data'!C101),"\$([A-Z]+)\$[0-9]+"))</f>
        <v/>
      </c>
      <c r="D101" s="6" t="str" cm="1">
        <f t="array" aca="1" ref="D101" ca="1">IFERROR(IF(OR('Raw Data'!D101="",LEN(TRIM('Raw Data'!D101))=0),"",IF(AND(ISNUMBER('Raw Data'!D101),'Raw Data'!D101&gt;=Configuration!$D$2),"",_xlfn.REGEXEXTRACT(CELL("address",'Raw Data'!D101),"\$([A-Z]+)\$[0-9]+"))),_xlfn.REGEXEXTRACT(CELL("address",D101), "\$([A-Z]+)\$[0-9]+"))</f>
        <v/>
      </c>
      <c r="E101" s="6" t="str" cm="1">
        <f t="array" aca="1" ref="E101" ca="1">IFERROR(IF(OR('Raw Data'!E101="",LEN(TRIM('Raw Data'!E101))=0),"",IF(AND(ISNUMBER('Raw Data'!E101),'Raw Data'!E101=ROUND('Raw Data'!E101,4),IFERROR(ROUND('Raw Data'!E101,4)&lt;=99999999999.99,FALSE))=TRUE,"",_xlfn.REGEXEXTRACT(CELL("address",'Raw Data'!E101), "\$([A-Z]+)\$[0-9]+"))),_xlfn.REGEXEXTRACT(CELL("address",'Raw Data'!E101), "\$([A-Z]+)\$[0-9]+"))</f>
        <v/>
      </c>
      <c r="F101" s="6" t="str" cm="1">
        <f t="array" aca="1" ref="F101" ca="1">IFERROR(IF(OR('Raw Data'!F101="",LEN(TRIM('Raw Data'!F101))=0),"",IF(AND(ISNUMBER('Raw Data'!F101),'Raw Data'!F101=ROUND('Raw Data'!F101,4),IFERROR(ROUND('Raw Data'!F101,4)&lt;=99999999999.99,FALSE))=TRUE,"",_xlfn.REGEXEXTRACT(CELL("address",'Raw Data'!F101), "\$([A-Z]+)\$[0-9]+"))),_xlfn.REGEXEXTRACT(CELL("address",'Raw Data'!F101), "\$([A-Z]+)\$[0-9]+"))</f>
        <v/>
      </c>
      <c r="G101" s="6" t="str" cm="1">
        <f t="array" aca="1" ref="G101" ca="1">IFERROR(IF(OR('Raw Data'!G101="",LEN(TRIM('Raw Data'!G101))=0),"",IF(AND(ISNUMBER('Raw Data'!G101),'Raw Data'!G101=ROUND('Raw Data'!G101,4),IFERROR(ROUND('Raw Data'!G101,4)&lt;=99999999999.99,FALSE))=TRUE,"",_xlfn.REGEXEXTRACT(CELL("address",'Raw Data'!G101), "\$([A-Z]+)\$[0-9]+"))),_xlfn.REGEXEXTRACT(CELL("address",'Raw Data'!G101), "\$([A-Z]+)\$[0-9]+"))</f>
        <v/>
      </c>
      <c r="H101" s="6" t="str" cm="1">
        <f t="array" aca="1" ref="H101" ca="1">IFERROR(IF(OR('Raw Data'!H101="",LEN(TRIM('Raw Data'!H101))=0),"",IF(AND(ISNUMBER('Raw Data'!H101),'Raw Data'!H101=ROUND('Raw Data'!H101,4),IFERROR(ROUND('Raw Data'!H101,4)&lt;=99999999999.99,FALSE))=TRUE,"",_xlfn.REGEXEXTRACT(CELL("address",'Raw Data'!H101), "\$([A-Z]+)\$[0-9]+"))),_xlfn.REGEXEXTRACT(CELL("address",'Raw Data'!H101), "\$([A-Z]+)\$[0-9]+"))</f>
        <v/>
      </c>
      <c r="I101" s="6" t="str" cm="1">
        <f t="array" aca="1" ref="I101" ca="1">IFERROR(IF(OR('Raw Data'!I101="",LEN(TRIM('Raw Data'!I101))=0),"",IF(AND(ISNUMBER('Raw Data'!I101),'Raw Data'!I101=ROUND('Raw Data'!I101,4),IFERROR(ROUND('Raw Data'!I101,4)&lt;=99999999999.99,FALSE))=TRUE,"",_xlfn.REGEXEXTRACT(CELL("address",'Raw Data'!I101), "\$([A-Z]+)\$[0-9]+"))),_xlfn.REGEXEXTRACT(CELL("address",'Raw Data'!I101), "\$([A-Z]+)\$[0-9]+"))</f>
        <v/>
      </c>
      <c r="J101" s="6" t="str" cm="1">
        <f t="array" aca="1" ref="J101" ca="1">IFERROR(IF(OR('Raw Data'!J101="",LEN(TRIM('Raw Data'!J101))=0),"",IF(AND(ISNUMBER('Raw Data'!J101),'Raw Data'!J101=ROUND('Raw Data'!J101,4),IFERROR(ROUND('Raw Data'!J101,4)&lt;=99999999999.99,FALSE))=TRUE,"",_xlfn.REGEXEXTRACT(CELL("address",'Raw Data'!J101), "\$([A-Z]+)\$[0-9]+"))),_xlfn.REGEXEXTRACT(CELL("address",'Raw Data'!J101), "\$([A-Z]+)\$[0-9]+"))</f>
        <v/>
      </c>
    </row>
    <row r="102" spans="2:10" x14ac:dyDescent="0.25">
      <c r="B102" s="6" t="str" cm="1">
        <f t="array" aca="1" ref="B102" ca="1">IFERROR(IF(OR('Raw Data'!B102="",LEN(TRIM('Raw Data'!B102))=0),"",IF(AND(LEN('Raw Data'!B102) &lt;= 255,LEN('Raw Data'!B102)&gt; 0),"",_xlfn.REGEXEXTRACT(CELL("address",'Raw Data'!B102),"\$([A-Z]+)\$[0-9]+"))),_xlfn.REGEXEXTRACT(CELL("address",'Raw Data'!B102),"\$([A-Z]+)\$[0-9]+"))</f>
        <v/>
      </c>
      <c r="C102" s="6" t="str" cm="1">
        <f t="array" aca="1" ref="C102" ca="1">IFERROR(IF(OR('Raw Data'!C102="",LEN(TRIM('Raw Data'!C102))=0),"",IF(AND(LEN('Raw Data'!C102) &lt;= 20,LEN('Raw Data'!C102)&gt; 0),"",_xlfn.REGEXEXTRACT(CELL("address",'Raw Data'!C102),"\$([A-Z]+)\$[0-9]+"))),_xlfn.REGEXEXTRACT(CELL("address",'Raw Data'!C102),"\$([A-Z]+)\$[0-9]+"))</f>
        <v/>
      </c>
      <c r="D102" s="6" t="str" cm="1">
        <f t="array" aca="1" ref="D102" ca="1">IFERROR(IF(OR('Raw Data'!D102="",LEN(TRIM('Raw Data'!D102))=0),"",IF(AND(ISNUMBER('Raw Data'!D102),'Raw Data'!D102&gt;=Configuration!$D$2),"",_xlfn.REGEXEXTRACT(CELL("address",'Raw Data'!D102),"\$([A-Z]+)\$[0-9]+"))),_xlfn.REGEXEXTRACT(CELL("address",D102), "\$([A-Z]+)\$[0-9]+"))</f>
        <v/>
      </c>
      <c r="E102" s="6" t="str" cm="1">
        <f t="array" aca="1" ref="E102" ca="1">IFERROR(IF(OR('Raw Data'!E102="",LEN(TRIM('Raw Data'!E102))=0),"",IF(AND(ISNUMBER('Raw Data'!E102),'Raw Data'!E102=ROUND('Raw Data'!E102,4),IFERROR(ROUND('Raw Data'!E102,4)&lt;=99999999999.99,FALSE))=TRUE,"",_xlfn.REGEXEXTRACT(CELL("address",'Raw Data'!E102), "\$([A-Z]+)\$[0-9]+"))),_xlfn.REGEXEXTRACT(CELL("address",'Raw Data'!E102), "\$([A-Z]+)\$[0-9]+"))</f>
        <v/>
      </c>
      <c r="F102" s="6" t="str" cm="1">
        <f t="array" aca="1" ref="F102" ca="1">IFERROR(IF(OR('Raw Data'!F102="",LEN(TRIM('Raw Data'!F102))=0),"",IF(AND(ISNUMBER('Raw Data'!F102),'Raw Data'!F102=ROUND('Raw Data'!F102,4),IFERROR(ROUND('Raw Data'!F102,4)&lt;=99999999999.99,FALSE))=TRUE,"",_xlfn.REGEXEXTRACT(CELL("address",'Raw Data'!F102), "\$([A-Z]+)\$[0-9]+"))),_xlfn.REGEXEXTRACT(CELL("address",'Raw Data'!F102), "\$([A-Z]+)\$[0-9]+"))</f>
        <v/>
      </c>
      <c r="G102" s="6" t="str" cm="1">
        <f t="array" aca="1" ref="G102" ca="1">IFERROR(IF(OR('Raw Data'!G102="",LEN(TRIM('Raw Data'!G102))=0),"",IF(AND(ISNUMBER('Raw Data'!G102),'Raw Data'!G102=ROUND('Raw Data'!G102,4),IFERROR(ROUND('Raw Data'!G102,4)&lt;=99999999999.99,FALSE))=TRUE,"",_xlfn.REGEXEXTRACT(CELL("address",'Raw Data'!G102), "\$([A-Z]+)\$[0-9]+"))),_xlfn.REGEXEXTRACT(CELL("address",'Raw Data'!G102), "\$([A-Z]+)\$[0-9]+"))</f>
        <v/>
      </c>
      <c r="H102" s="6" t="str" cm="1">
        <f t="array" aca="1" ref="H102" ca="1">IFERROR(IF(OR('Raw Data'!H102="",LEN(TRIM('Raw Data'!H102))=0),"",IF(AND(ISNUMBER('Raw Data'!H102),'Raw Data'!H102=ROUND('Raw Data'!H102,4),IFERROR(ROUND('Raw Data'!H102,4)&lt;=99999999999.99,FALSE))=TRUE,"",_xlfn.REGEXEXTRACT(CELL("address",'Raw Data'!H102), "\$([A-Z]+)\$[0-9]+"))),_xlfn.REGEXEXTRACT(CELL("address",'Raw Data'!H102), "\$([A-Z]+)\$[0-9]+"))</f>
        <v/>
      </c>
      <c r="I102" s="6" t="str" cm="1">
        <f t="array" aca="1" ref="I102" ca="1">IFERROR(IF(OR('Raw Data'!I102="",LEN(TRIM('Raw Data'!I102))=0),"",IF(AND(ISNUMBER('Raw Data'!I102),'Raw Data'!I102=ROUND('Raw Data'!I102,4),IFERROR(ROUND('Raw Data'!I102,4)&lt;=99999999999.99,FALSE))=TRUE,"",_xlfn.REGEXEXTRACT(CELL("address",'Raw Data'!I102), "\$([A-Z]+)\$[0-9]+"))),_xlfn.REGEXEXTRACT(CELL("address",'Raw Data'!I102), "\$([A-Z]+)\$[0-9]+"))</f>
        <v/>
      </c>
      <c r="J102" s="6" t="str" cm="1">
        <f t="array" aca="1" ref="J102" ca="1">IFERROR(IF(OR('Raw Data'!J102="",LEN(TRIM('Raw Data'!J102))=0),"",IF(AND(ISNUMBER('Raw Data'!J102),'Raw Data'!J102=ROUND('Raw Data'!J102,4),IFERROR(ROUND('Raw Data'!J102,4)&lt;=99999999999.99,FALSE))=TRUE,"",_xlfn.REGEXEXTRACT(CELL("address",'Raw Data'!J102), "\$([A-Z]+)\$[0-9]+"))),_xlfn.REGEXEXTRACT(CELL("address",'Raw Data'!J102), "\$([A-Z]+)\$[0-9]+"))</f>
        <v/>
      </c>
    </row>
    <row r="103" spans="2:10" x14ac:dyDescent="0.25">
      <c r="B103" s="6" t="str" cm="1">
        <f t="array" aca="1" ref="B103" ca="1">IFERROR(IF(OR('Raw Data'!B103="",LEN(TRIM('Raw Data'!B103))=0),"",IF(AND(LEN('Raw Data'!B103) &lt;= 255,LEN('Raw Data'!B103)&gt; 0),"",_xlfn.REGEXEXTRACT(CELL("address",'Raw Data'!B103),"\$([A-Z]+)\$[0-9]+"))),_xlfn.REGEXEXTRACT(CELL("address",'Raw Data'!B103),"\$([A-Z]+)\$[0-9]+"))</f>
        <v/>
      </c>
      <c r="C103" s="6" t="str" cm="1">
        <f t="array" aca="1" ref="C103" ca="1">IFERROR(IF(OR('Raw Data'!C103="",LEN(TRIM('Raw Data'!C103))=0),"",IF(AND(LEN('Raw Data'!C103) &lt;= 20,LEN('Raw Data'!C103)&gt; 0),"",_xlfn.REGEXEXTRACT(CELL("address",'Raw Data'!C103),"\$([A-Z]+)\$[0-9]+"))),_xlfn.REGEXEXTRACT(CELL("address",'Raw Data'!C103),"\$([A-Z]+)\$[0-9]+"))</f>
        <v/>
      </c>
      <c r="D103" s="6" t="str" cm="1">
        <f t="array" aca="1" ref="D103" ca="1">IFERROR(IF(OR('Raw Data'!D103="",LEN(TRIM('Raw Data'!D103))=0),"",IF(AND(ISNUMBER('Raw Data'!D103),'Raw Data'!D103&gt;=Configuration!$D$2),"",_xlfn.REGEXEXTRACT(CELL("address",'Raw Data'!D103),"\$([A-Z]+)\$[0-9]+"))),_xlfn.REGEXEXTRACT(CELL("address",D103), "\$([A-Z]+)\$[0-9]+"))</f>
        <v/>
      </c>
      <c r="E103" s="6" t="str" cm="1">
        <f t="array" aca="1" ref="E103" ca="1">IFERROR(IF(OR('Raw Data'!E103="",LEN(TRIM('Raw Data'!E103))=0),"",IF(AND(ISNUMBER('Raw Data'!E103),'Raw Data'!E103=ROUND('Raw Data'!E103,4),IFERROR(ROUND('Raw Data'!E103,4)&lt;=99999999999.99,FALSE))=TRUE,"",_xlfn.REGEXEXTRACT(CELL("address",'Raw Data'!E103), "\$([A-Z]+)\$[0-9]+"))),_xlfn.REGEXEXTRACT(CELL("address",'Raw Data'!E103), "\$([A-Z]+)\$[0-9]+"))</f>
        <v/>
      </c>
      <c r="F103" s="6" t="str" cm="1">
        <f t="array" aca="1" ref="F103" ca="1">IFERROR(IF(OR('Raw Data'!F103="",LEN(TRIM('Raw Data'!F103))=0),"",IF(AND(ISNUMBER('Raw Data'!F103),'Raw Data'!F103=ROUND('Raw Data'!F103,4),IFERROR(ROUND('Raw Data'!F103,4)&lt;=99999999999.99,FALSE))=TRUE,"",_xlfn.REGEXEXTRACT(CELL("address",'Raw Data'!F103), "\$([A-Z]+)\$[0-9]+"))),_xlfn.REGEXEXTRACT(CELL("address",'Raw Data'!F103), "\$([A-Z]+)\$[0-9]+"))</f>
        <v/>
      </c>
      <c r="G103" s="6" t="str" cm="1">
        <f t="array" aca="1" ref="G103" ca="1">IFERROR(IF(OR('Raw Data'!G103="",LEN(TRIM('Raw Data'!G103))=0),"",IF(AND(ISNUMBER('Raw Data'!G103),'Raw Data'!G103=ROUND('Raw Data'!G103,4),IFERROR(ROUND('Raw Data'!G103,4)&lt;=99999999999.99,FALSE))=TRUE,"",_xlfn.REGEXEXTRACT(CELL("address",'Raw Data'!G103), "\$([A-Z]+)\$[0-9]+"))),_xlfn.REGEXEXTRACT(CELL("address",'Raw Data'!G103), "\$([A-Z]+)\$[0-9]+"))</f>
        <v/>
      </c>
      <c r="H103" s="6" t="str" cm="1">
        <f t="array" aca="1" ref="H103" ca="1">IFERROR(IF(OR('Raw Data'!H103="",LEN(TRIM('Raw Data'!H103))=0),"",IF(AND(ISNUMBER('Raw Data'!H103),'Raw Data'!H103=ROUND('Raw Data'!H103,4),IFERROR(ROUND('Raw Data'!H103,4)&lt;=99999999999.99,FALSE))=TRUE,"",_xlfn.REGEXEXTRACT(CELL("address",'Raw Data'!H103), "\$([A-Z]+)\$[0-9]+"))),_xlfn.REGEXEXTRACT(CELL("address",'Raw Data'!H103), "\$([A-Z]+)\$[0-9]+"))</f>
        <v/>
      </c>
      <c r="I103" s="6" t="str" cm="1">
        <f t="array" aca="1" ref="I103" ca="1">IFERROR(IF(OR('Raw Data'!I103="",LEN(TRIM('Raw Data'!I103))=0),"",IF(AND(ISNUMBER('Raw Data'!I103),'Raw Data'!I103=ROUND('Raw Data'!I103,4),IFERROR(ROUND('Raw Data'!I103,4)&lt;=99999999999.99,FALSE))=TRUE,"",_xlfn.REGEXEXTRACT(CELL("address",'Raw Data'!I103), "\$([A-Z]+)\$[0-9]+"))),_xlfn.REGEXEXTRACT(CELL("address",'Raw Data'!I103), "\$([A-Z]+)\$[0-9]+"))</f>
        <v/>
      </c>
      <c r="J103" s="6" t="str" cm="1">
        <f t="array" aca="1" ref="J103" ca="1">IFERROR(IF(OR('Raw Data'!J103="",LEN(TRIM('Raw Data'!J103))=0),"",IF(AND(ISNUMBER('Raw Data'!J103),'Raw Data'!J103=ROUND('Raw Data'!J103,4),IFERROR(ROUND('Raw Data'!J103,4)&lt;=99999999999.99,FALSE))=TRUE,"",_xlfn.REGEXEXTRACT(CELL("address",'Raw Data'!J103), "\$([A-Z]+)\$[0-9]+"))),_xlfn.REGEXEXTRACT(CELL("address",'Raw Data'!J103), "\$([A-Z]+)\$[0-9]+"))</f>
        <v/>
      </c>
    </row>
    <row r="104" spans="2:10" x14ac:dyDescent="0.25">
      <c r="B104" s="6" t="str" cm="1">
        <f t="array" aca="1" ref="B104" ca="1">IFERROR(IF(OR('Raw Data'!B104="",LEN(TRIM('Raw Data'!B104))=0),"",IF(AND(LEN('Raw Data'!B104) &lt;= 255,LEN('Raw Data'!B104)&gt; 0),"",_xlfn.REGEXEXTRACT(CELL("address",'Raw Data'!B104),"\$([A-Z]+)\$[0-9]+"))),_xlfn.REGEXEXTRACT(CELL("address",'Raw Data'!B104),"\$([A-Z]+)\$[0-9]+"))</f>
        <v/>
      </c>
      <c r="C104" s="6" t="str" cm="1">
        <f t="array" aca="1" ref="C104" ca="1">IFERROR(IF(OR('Raw Data'!C104="",LEN(TRIM('Raw Data'!C104))=0),"",IF(AND(LEN('Raw Data'!C104) &lt;= 20,LEN('Raw Data'!C104)&gt; 0),"",_xlfn.REGEXEXTRACT(CELL("address",'Raw Data'!C104),"\$([A-Z]+)\$[0-9]+"))),_xlfn.REGEXEXTRACT(CELL("address",'Raw Data'!C104),"\$([A-Z]+)\$[0-9]+"))</f>
        <v/>
      </c>
      <c r="D104" s="6" t="str" cm="1">
        <f t="array" aca="1" ref="D104" ca="1">IFERROR(IF(OR('Raw Data'!D104="",LEN(TRIM('Raw Data'!D104))=0),"",IF(AND(ISNUMBER('Raw Data'!D104),'Raw Data'!D104&gt;=Configuration!$D$2),"",_xlfn.REGEXEXTRACT(CELL("address",'Raw Data'!D104),"\$([A-Z]+)\$[0-9]+"))),_xlfn.REGEXEXTRACT(CELL("address",D104), "\$([A-Z]+)\$[0-9]+"))</f>
        <v/>
      </c>
      <c r="E104" s="6" t="str" cm="1">
        <f t="array" aca="1" ref="E104" ca="1">IFERROR(IF(OR('Raw Data'!E104="",LEN(TRIM('Raw Data'!E104))=0),"",IF(AND(ISNUMBER('Raw Data'!E104),'Raw Data'!E104=ROUND('Raw Data'!E104,4),IFERROR(ROUND('Raw Data'!E104,4)&lt;=99999999999.99,FALSE))=TRUE,"",_xlfn.REGEXEXTRACT(CELL("address",'Raw Data'!E104), "\$([A-Z]+)\$[0-9]+"))),_xlfn.REGEXEXTRACT(CELL("address",'Raw Data'!E104), "\$([A-Z]+)\$[0-9]+"))</f>
        <v/>
      </c>
      <c r="F104" s="6" t="str" cm="1">
        <f t="array" aca="1" ref="F104" ca="1">IFERROR(IF(OR('Raw Data'!F104="",LEN(TRIM('Raw Data'!F104))=0),"",IF(AND(ISNUMBER('Raw Data'!F104),'Raw Data'!F104=ROUND('Raw Data'!F104,4),IFERROR(ROUND('Raw Data'!F104,4)&lt;=99999999999.99,FALSE))=TRUE,"",_xlfn.REGEXEXTRACT(CELL("address",'Raw Data'!F104), "\$([A-Z]+)\$[0-9]+"))),_xlfn.REGEXEXTRACT(CELL("address",'Raw Data'!F104), "\$([A-Z]+)\$[0-9]+"))</f>
        <v/>
      </c>
      <c r="G104" s="6" t="str" cm="1">
        <f t="array" aca="1" ref="G104" ca="1">IFERROR(IF(OR('Raw Data'!G104="",LEN(TRIM('Raw Data'!G104))=0),"",IF(AND(ISNUMBER('Raw Data'!G104),'Raw Data'!G104=ROUND('Raw Data'!G104,4),IFERROR(ROUND('Raw Data'!G104,4)&lt;=99999999999.99,FALSE))=TRUE,"",_xlfn.REGEXEXTRACT(CELL("address",'Raw Data'!G104), "\$([A-Z]+)\$[0-9]+"))),_xlfn.REGEXEXTRACT(CELL("address",'Raw Data'!G104), "\$([A-Z]+)\$[0-9]+"))</f>
        <v/>
      </c>
      <c r="H104" s="6" t="str" cm="1">
        <f t="array" aca="1" ref="H104" ca="1">IFERROR(IF(OR('Raw Data'!H104="",LEN(TRIM('Raw Data'!H104))=0),"",IF(AND(ISNUMBER('Raw Data'!H104),'Raw Data'!H104=ROUND('Raw Data'!H104,4),IFERROR(ROUND('Raw Data'!H104,4)&lt;=99999999999.99,FALSE))=TRUE,"",_xlfn.REGEXEXTRACT(CELL("address",'Raw Data'!H104), "\$([A-Z]+)\$[0-9]+"))),_xlfn.REGEXEXTRACT(CELL("address",'Raw Data'!H104), "\$([A-Z]+)\$[0-9]+"))</f>
        <v/>
      </c>
      <c r="I104" s="6" t="str" cm="1">
        <f t="array" aca="1" ref="I104" ca="1">IFERROR(IF(OR('Raw Data'!I104="",LEN(TRIM('Raw Data'!I104))=0),"",IF(AND(ISNUMBER('Raw Data'!I104),'Raw Data'!I104=ROUND('Raw Data'!I104,4),IFERROR(ROUND('Raw Data'!I104,4)&lt;=99999999999.99,FALSE))=TRUE,"",_xlfn.REGEXEXTRACT(CELL("address",'Raw Data'!I104), "\$([A-Z]+)\$[0-9]+"))),_xlfn.REGEXEXTRACT(CELL("address",'Raw Data'!I104), "\$([A-Z]+)\$[0-9]+"))</f>
        <v/>
      </c>
      <c r="J104" s="6" t="str" cm="1">
        <f t="array" aca="1" ref="J104" ca="1">IFERROR(IF(OR('Raw Data'!J104="",LEN(TRIM('Raw Data'!J104))=0),"",IF(AND(ISNUMBER('Raw Data'!J104),'Raw Data'!J104=ROUND('Raw Data'!J104,4),IFERROR(ROUND('Raw Data'!J104,4)&lt;=99999999999.99,FALSE))=TRUE,"",_xlfn.REGEXEXTRACT(CELL("address",'Raw Data'!J104), "\$([A-Z]+)\$[0-9]+"))),_xlfn.REGEXEXTRACT(CELL("address",'Raw Data'!J104), "\$([A-Z]+)\$[0-9]+"))</f>
        <v/>
      </c>
    </row>
    <row r="105" spans="2:10" x14ac:dyDescent="0.25">
      <c r="B105" s="6" t="str" cm="1">
        <f t="array" aca="1" ref="B105" ca="1">IFERROR(IF(OR('Raw Data'!B105="",LEN(TRIM('Raw Data'!B105))=0),"",IF(AND(LEN('Raw Data'!B105) &lt;= 255,LEN('Raw Data'!B105)&gt; 0),"",_xlfn.REGEXEXTRACT(CELL("address",'Raw Data'!B105),"\$([A-Z]+)\$[0-9]+"))),_xlfn.REGEXEXTRACT(CELL("address",'Raw Data'!B105),"\$([A-Z]+)\$[0-9]+"))</f>
        <v/>
      </c>
      <c r="C105" s="6" t="str" cm="1">
        <f t="array" aca="1" ref="C105" ca="1">IFERROR(IF(OR('Raw Data'!C105="",LEN(TRIM('Raw Data'!C105))=0),"",IF(AND(LEN('Raw Data'!C105) &lt;= 20,LEN('Raw Data'!C105)&gt; 0),"",_xlfn.REGEXEXTRACT(CELL("address",'Raw Data'!C105),"\$([A-Z]+)\$[0-9]+"))),_xlfn.REGEXEXTRACT(CELL("address",'Raw Data'!C105),"\$([A-Z]+)\$[0-9]+"))</f>
        <v/>
      </c>
      <c r="D105" s="6" t="str" cm="1">
        <f t="array" aca="1" ref="D105" ca="1">IFERROR(IF(OR('Raw Data'!D105="",LEN(TRIM('Raw Data'!D105))=0),"",IF(AND(ISNUMBER('Raw Data'!D105),'Raw Data'!D105&gt;=Configuration!$D$2),"",_xlfn.REGEXEXTRACT(CELL("address",'Raw Data'!D105),"\$([A-Z]+)\$[0-9]+"))),_xlfn.REGEXEXTRACT(CELL("address",D105), "\$([A-Z]+)\$[0-9]+"))</f>
        <v/>
      </c>
      <c r="E105" s="6" t="str" cm="1">
        <f t="array" aca="1" ref="E105" ca="1">IFERROR(IF(OR('Raw Data'!E105="",LEN(TRIM('Raw Data'!E105))=0),"",IF(AND(ISNUMBER('Raw Data'!E105),'Raw Data'!E105=ROUND('Raw Data'!E105,4),IFERROR(ROUND('Raw Data'!E105,4)&lt;=99999999999.99,FALSE))=TRUE,"",_xlfn.REGEXEXTRACT(CELL("address",'Raw Data'!E105), "\$([A-Z]+)\$[0-9]+"))),_xlfn.REGEXEXTRACT(CELL("address",'Raw Data'!E105), "\$([A-Z]+)\$[0-9]+"))</f>
        <v/>
      </c>
      <c r="F105" s="6" t="str" cm="1">
        <f t="array" aca="1" ref="F105" ca="1">IFERROR(IF(OR('Raw Data'!F105="",LEN(TRIM('Raw Data'!F105))=0),"",IF(AND(ISNUMBER('Raw Data'!F105),'Raw Data'!F105=ROUND('Raw Data'!F105,4),IFERROR(ROUND('Raw Data'!F105,4)&lt;=99999999999.99,FALSE))=TRUE,"",_xlfn.REGEXEXTRACT(CELL("address",'Raw Data'!F105), "\$([A-Z]+)\$[0-9]+"))),_xlfn.REGEXEXTRACT(CELL("address",'Raw Data'!F105), "\$([A-Z]+)\$[0-9]+"))</f>
        <v/>
      </c>
      <c r="G105" s="6" t="str" cm="1">
        <f t="array" aca="1" ref="G105" ca="1">IFERROR(IF(OR('Raw Data'!G105="",LEN(TRIM('Raw Data'!G105))=0),"",IF(AND(ISNUMBER('Raw Data'!G105),'Raw Data'!G105=ROUND('Raw Data'!G105,4),IFERROR(ROUND('Raw Data'!G105,4)&lt;=99999999999.99,FALSE))=TRUE,"",_xlfn.REGEXEXTRACT(CELL("address",'Raw Data'!G105), "\$([A-Z]+)\$[0-9]+"))),_xlfn.REGEXEXTRACT(CELL("address",'Raw Data'!G105), "\$([A-Z]+)\$[0-9]+"))</f>
        <v/>
      </c>
      <c r="H105" s="6" t="str" cm="1">
        <f t="array" aca="1" ref="H105" ca="1">IFERROR(IF(OR('Raw Data'!H105="",LEN(TRIM('Raw Data'!H105))=0),"",IF(AND(ISNUMBER('Raw Data'!H105),'Raw Data'!H105=ROUND('Raw Data'!H105,4),IFERROR(ROUND('Raw Data'!H105,4)&lt;=99999999999.99,FALSE))=TRUE,"",_xlfn.REGEXEXTRACT(CELL("address",'Raw Data'!H105), "\$([A-Z]+)\$[0-9]+"))),_xlfn.REGEXEXTRACT(CELL("address",'Raw Data'!H105), "\$([A-Z]+)\$[0-9]+"))</f>
        <v/>
      </c>
      <c r="I105" s="6" t="str" cm="1">
        <f t="array" aca="1" ref="I105" ca="1">IFERROR(IF(OR('Raw Data'!I105="",LEN(TRIM('Raw Data'!I105))=0),"",IF(AND(ISNUMBER('Raw Data'!I105),'Raw Data'!I105=ROUND('Raw Data'!I105,4),IFERROR(ROUND('Raw Data'!I105,4)&lt;=99999999999.99,FALSE))=TRUE,"",_xlfn.REGEXEXTRACT(CELL("address",'Raw Data'!I105), "\$([A-Z]+)\$[0-9]+"))),_xlfn.REGEXEXTRACT(CELL("address",'Raw Data'!I105), "\$([A-Z]+)\$[0-9]+"))</f>
        <v/>
      </c>
      <c r="J105" s="6" t="str" cm="1">
        <f t="array" aca="1" ref="J105" ca="1">IFERROR(IF(OR('Raw Data'!J105="",LEN(TRIM('Raw Data'!J105))=0),"",IF(AND(ISNUMBER('Raw Data'!J105),'Raw Data'!J105=ROUND('Raw Data'!J105,4),IFERROR(ROUND('Raw Data'!J105,4)&lt;=99999999999.99,FALSE))=TRUE,"",_xlfn.REGEXEXTRACT(CELL("address",'Raw Data'!J105), "\$([A-Z]+)\$[0-9]+"))),_xlfn.REGEXEXTRACT(CELL("address",'Raw Data'!J105), "\$([A-Z]+)\$[0-9]+"))</f>
        <v/>
      </c>
    </row>
    <row r="106" spans="2:10" x14ac:dyDescent="0.25">
      <c r="B106" s="6" t="str" cm="1">
        <f t="array" aca="1" ref="B106" ca="1">IFERROR(IF(OR('Raw Data'!B106="",LEN(TRIM('Raw Data'!B106))=0),"",IF(AND(LEN('Raw Data'!B106) &lt;= 255,LEN('Raw Data'!B106)&gt; 0),"",_xlfn.REGEXEXTRACT(CELL("address",'Raw Data'!B106),"\$([A-Z]+)\$[0-9]+"))),_xlfn.REGEXEXTRACT(CELL("address",'Raw Data'!B106),"\$([A-Z]+)\$[0-9]+"))</f>
        <v/>
      </c>
      <c r="C106" s="6" t="str" cm="1">
        <f t="array" aca="1" ref="C106" ca="1">IFERROR(IF(OR('Raw Data'!C106="",LEN(TRIM('Raw Data'!C106))=0),"",IF(AND(LEN('Raw Data'!C106) &lt;= 20,LEN('Raw Data'!C106)&gt; 0),"",_xlfn.REGEXEXTRACT(CELL("address",'Raw Data'!C106),"\$([A-Z]+)\$[0-9]+"))),_xlfn.REGEXEXTRACT(CELL("address",'Raw Data'!C106),"\$([A-Z]+)\$[0-9]+"))</f>
        <v/>
      </c>
      <c r="D106" s="6" t="str" cm="1">
        <f t="array" aca="1" ref="D106" ca="1">IFERROR(IF(OR('Raw Data'!D106="",LEN(TRIM('Raw Data'!D106))=0),"",IF(AND(ISNUMBER('Raw Data'!D106),'Raw Data'!D106&gt;=Configuration!$D$2),"",_xlfn.REGEXEXTRACT(CELL("address",'Raw Data'!D106),"\$([A-Z]+)\$[0-9]+"))),_xlfn.REGEXEXTRACT(CELL("address",D106), "\$([A-Z]+)\$[0-9]+"))</f>
        <v/>
      </c>
      <c r="E106" s="6" t="str" cm="1">
        <f t="array" aca="1" ref="E106" ca="1">IFERROR(IF(OR('Raw Data'!E106="",LEN(TRIM('Raw Data'!E106))=0),"",IF(AND(ISNUMBER('Raw Data'!E106),'Raw Data'!E106=ROUND('Raw Data'!E106,4),IFERROR(ROUND('Raw Data'!E106,4)&lt;=99999999999.99,FALSE))=TRUE,"",_xlfn.REGEXEXTRACT(CELL("address",'Raw Data'!E106), "\$([A-Z]+)\$[0-9]+"))),_xlfn.REGEXEXTRACT(CELL("address",'Raw Data'!E106), "\$([A-Z]+)\$[0-9]+"))</f>
        <v/>
      </c>
      <c r="F106" s="6" t="str" cm="1">
        <f t="array" aca="1" ref="F106" ca="1">IFERROR(IF(OR('Raw Data'!F106="",LEN(TRIM('Raw Data'!F106))=0),"",IF(AND(ISNUMBER('Raw Data'!F106),'Raw Data'!F106=ROUND('Raw Data'!F106,4),IFERROR(ROUND('Raw Data'!F106,4)&lt;=99999999999.99,FALSE))=TRUE,"",_xlfn.REGEXEXTRACT(CELL("address",'Raw Data'!F106), "\$([A-Z]+)\$[0-9]+"))),_xlfn.REGEXEXTRACT(CELL("address",'Raw Data'!F106), "\$([A-Z]+)\$[0-9]+"))</f>
        <v/>
      </c>
      <c r="G106" s="6" t="str" cm="1">
        <f t="array" aca="1" ref="G106" ca="1">IFERROR(IF(OR('Raw Data'!G106="",LEN(TRIM('Raw Data'!G106))=0),"",IF(AND(ISNUMBER('Raw Data'!G106),'Raw Data'!G106=ROUND('Raw Data'!G106,4),IFERROR(ROUND('Raw Data'!G106,4)&lt;=99999999999.99,FALSE))=TRUE,"",_xlfn.REGEXEXTRACT(CELL("address",'Raw Data'!G106), "\$([A-Z]+)\$[0-9]+"))),_xlfn.REGEXEXTRACT(CELL("address",'Raw Data'!G106), "\$([A-Z]+)\$[0-9]+"))</f>
        <v/>
      </c>
      <c r="H106" s="6" t="str" cm="1">
        <f t="array" aca="1" ref="H106" ca="1">IFERROR(IF(OR('Raw Data'!H106="",LEN(TRIM('Raw Data'!H106))=0),"",IF(AND(ISNUMBER('Raw Data'!H106),'Raw Data'!H106=ROUND('Raw Data'!H106,4),IFERROR(ROUND('Raw Data'!H106,4)&lt;=99999999999.99,FALSE))=TRUE,"",_xlfn.REGEXEXTRACT(CELL("address",'Raw Data'!H106), "\$([A-Z]+)\$[0-9]+"))),_xlfn.REGEXEXTRACT(CELL("address",'Raw Data'!H106), "\$([A-Z]+)\$[0-9]+"))</f>
        <v/>
      </c>
      <c r="I106" s="6" t="str" cm="1">
        <f t="array" aca="1" ref="I106" ca="1">IFERROR(IF(OR('Raw Data'!I106="",LEN(TRIM('Raw Data'!I106))=0),"",IF(AND(ISNUMBER('Raw Data'!I106),'Raw Data'!I106=ROUND('Raw Data'!I106,4),IFERROR(ROUND('Raw Data'!I106,4)&lt;=99999999999.99,FALSE))=TRUE,"",_xlfn.REGEXEXTRACT(CELL("address",'Raw Data'!I106), "\$([A-Z]+)\$[0-9]+"))),_xlfn.REGEXEXTRACT(CELL("address",'Raw Data'!I106), "\$([A-Z]+)\$[0-9]+"))</f>
        <v/>
      </c>
      <c r="J106" s="6" t="str" cm="1">
        <f t="array" aca="1" ref="J106" ca="1">IFERROR(IF(OR('Raw Data'!J106="",LEN(TRIM('Raw Data'!J106))=0),"",IF(AND(ISNUMBER('Raw Data'!J106),'Raw Data'!J106=ROUND('Raw Data'!J106,4),IFERROR(ROUND('Raw Data'!J106,4)&lt;=99999999999.99,FALSE))=TRUE,"",_xlfn.REGEXEXTRACT(CELL("address",'Raw Data'!J106), "\$([A-Z]+)\$[0-9]+"))),_xlfn.REGEXEXTRACT(CELL("address",'Raw Data'!J106), "\$([A-Z]+)\$[0-9]+"))</f>
        <v/>
      </c>
    </row>
    <row r="107" spans="2:10" x14ac:dyDescent="0.25">
      <c r="B107" s="6" t="str" cm="1">
        <f t="array" aca="1" ref="B107" ca="1">IFERROR(IF(OR('Raw Data'!B107="",LEN(TRIM('Raw Data'!B107))=0),"",IF(AND(LEN('Raw Data'!B107) &lt;= 255,LEN('Raw Data'!B107)&gt; 0),"",_xlfn.REGEXEXTRACT(CELL("address",'Raw Data'!B107),"\$([A-Z]+)\$[0-9]+"))),_xlfn.REGEXEXTRACT(CELL("address",'Raw Data'!B107),"\$([A-Z]+)\$[0-9]+"))</f>
        <v/>
      </c>
      <c r="C107" s="6" t="str" cm="1">
        <f t="array" aca="1" ref="C107" ca="1">IFERROR(IF(OR('Raw Data'!C107="",LEN(TRIM('Raw Data'!C107))=0),"",IF(AND(LEN('Raw Data'!C107) &lt;= 20,LEN('Raw Data'!C107)&gt; 0),"",_xlfn.REGEXEXTRACT(CELL("address",'Raw Data'!C107),"\$([A-Z]+)\$[0-9]+"))),_xlfn.REGEXEXTRACT(CELL("address",'Raw Data'!C107),"\$([A-Z]+)\$[0-9]+"))</f>
        <v/>
      </c>
      <c r="D107" s="6" t="str" cm="1">
        <f t="array" aca="1" ref="D107" ca="1">IFERROR(IF(OR('Raw Data'!D107="",LEN(TRIM('Raw Data'!D107))=0),"",IF(AND(ISNUMBER('Raw Data'!D107),'Raw Data'!D107&gt;=Configuration!$D$2),"",_xlfn.REGEXEXTRACT(CELL("address",'Raw Data'!D107),"\$([A-Z]+)\$[0-9]+"))),_xlfn.REGEXEXTRACT(CELL("address",D107), "\$([A-Z]+)\$[0-9]+"))</f>
        <v/>
      </c>
      <c r="E107" s="6" t="str" cm="1">
        <f t="array" aca="1" ref="E107" ca="1">IFERROR(IF(OR('Raw Data'!E107="",LEN(TRIM('Raw Data'!E107))=0),"",IF(AND(ISNUMBER('Raw Data'!E107),'Raw Data'!E107=ROUND('Raw Data'!E107,4),IFERROR(ROUND('Raw Data'!E107,4)&lt;=99999999999.99,FALSE))=TRUE,"",_xlfn.REGEXEXTRACT(CELL("address",'Raw Data'!E107), "\$([A-Z]+)\$[0-9]+"))),_xlfn.REGEXEXTRACT(CELL("address",'Raw Data'!E107), "\$([A-Z]+)\$[0-9]+"))</f>
        <v/>
      </c>
      <c r="F107" s="6" t="str" cm="1">
        <f t="array" aca="1" ref="F107" ca="1">IFERROR(IF(OR('Raw Data'!F107="",LEN(TRIM('Raw Data'!F107))=0),"",IF(AND(ISNUMBER('Raw Data'!F107),'Raw Data'!F107=ROUND('Raw Data'!F107,4),IFERROR(ROUND('Raw Data'!F107,4)&lt;=99999999999.99,FALSE))=TRUE,"",_xlfn.REGEXEXTRACT(CELL("address",'Raw Data'!F107), "\$([A-Z]+)\$[0-9]+"))),_xlfn.REGEXEXTRACT(CELL("address",'Raw Data'!F107), "\$([A-Z]+)\$[0-9]+"))</f>
        <v/>
      </c>
      <c r="G107" s="6" t="str" cm="1">
        <f t="array" aca="1" ref="G107" ca="1">IFERROR(IF(OR('Raw Data'!G107="",LEN(TRIM('Raw Data'!G107))=0),"",IF(AND(ISNUMBER('Raw Data'!G107),'Raw Data'!G107=ROUND('Raw Data'!G107,4),IFERROR(ROUND('Raw Data'!G107,4)&lt;=99999999999.99,FALSE))=TRUE,"",_xlfn.REGEXEXTRACT(CELL("address",'Raw Data'!G107), "\$([A-Z]+)\$[0-9]+"))),_xlfn.REGEXEXTRACT(CELL("address",'Raw Data'!G107), "\$([A-Z]+)\$[0-9]+"))</f>
        <v/>
      </c>
      <c r="H107" s="6" t="str" cm="1">
        <f t="array" aca="1" ref="H107" ca="1">IFERROR(IF(OR('Raw Data'!H107="",LEN(TRIM('Raw Data'!H107))=0),"",IF(AND(ISNUMBER('Raw Data'!H107),'Raw Data'!H107=ROUND('Raw Data'!H107,4),IFERROR(ROUND('Raw Data'!H107,4)&lt;=99999999999.99,FALSE))=TRUE,"",_xlfn.REGEXEXTRACT(CELL("address",'Raw Data'!H107), "\$([A-Z]+)\$[0-9]+"))),_xlfn.REGEXEXTRACT(CELL("address",'Raw Data'!H107), "\$([A-Z]+)\$[0-9]+"))</f>
        <v/>
      </c>
      <c r="I107" s="6" t="str" cm="1">
        <f t="array" aca="1" ref="I107" ca="1">IFERROR(IF(OR('Raw Data'!I107="",LEN(TRIM('Raw Data'!I107))=0),"",IF(AND(ISNUMBER('Raw Data'!I107),'Raw Data'!I107=ROUND('Raw Data'!I107,4),IFERROR(ROUND('Raw Data'!I107,4)&lt;=99999999999.99,FALSE))=TRUE,"",_xlfn.REGEXEXTRACT(CELL("address",'Raw Data'!I107), "\$([A-Z]+)\$[0-9]+"))),_xlfn.REGEXEXTRACT(CELL("address",'Raw Data'!I107), "\$([A-Z]+)\$[0-9]+"))</f>
        <v/>
      </c>
      <c r="J107" s="6" t="str" cm="1">
        <f t="array" aca="1" ref="J107" ca="1">IFERROR(IF(OR('Raw Data'!J107="",LEN(TRIM('Raw Data'!J107))=0),"",IF(AND(ISNUMBER('Raw Data'!J107),'Raw Data'!J107=ROUND('Raw Data'!J107,4),IFERROR(ROUND('Raw Data'!J107,4)&lt;=99999999999.99,FALSE))=TRUE,"",_xlfn.REGEXEXTRACT(CELL("address",'Raw Data'!J107), "\$([A-Z]+)\$[0-9]+"))),_xlfn.REGEXEXTRACT(CELL("address",'Raw Data'!J107), "\$([A-Z]+)\$[0-9]+"))</f>
        <v/>
      </c>
    </row>
    <row r="108" spans="2:10" x14ac:dyDescent="0.25">
      <c r="B108" s="6" t="str" cm="1">
        <f t="array" aca="1" ref="B108" ca="1">IFERROR(IF(OR('Raw Data'!B108="",LEN(TRIM('Raw Data'!B108))=0),"",IF(AND(LEN('Raw Data'!B108) &lt;= 255,LEN('Raw Data'!B108)&gt; 0),"",_xlfn.REGEXEXTRACT(CELL("address",'Raw Data'!B108),"\$([A-Z]+)\$[0-9]+"))),_xlfn.REGEXEXTRACT(CELL("address",'Raw Data'!B108),"\$([A-Z]+)\$[0-9]+"))</f>
        <v/>
      </c>
      <c r="C108" s="6" t="str" cm="1">
        <f t="array" aca="1" ref="C108" ca="1">IFERROR(IF(OR('Raw Data'!C108="",LEN(TRIM('Raw Data'!C108))=0),"",IF(AND(LEN('Raw Data'!C108) &lt;= 20,LEN('Raw Data'!C108)&gt; 0),"",_xlfn.REGEXEXTRACT(CELL("address",'Raw Data'!C108),"\$([A-Z]+)\$[0-9]+"))),_xlfn.REGEXEXTRACT(CELL("address",'Raw Data'!C108),"\$([A-Z]+)\$[0-9]+"))</f>
        <v/>
      </c>
      <c r="D108" s="6" t="str" cm="1">
        <f t="array" aca="1" ref="D108" ca="1">IFERROR(IF(OR('Raw Data'!D108="",LEN(TRIM('Raw Data'!D108))=0),"",IF(AND(ISNUMBER('Raw Data'!D108),'Raw Data'!D108&gt;=Configuration!$D$2),"",_xlfn.REGEXEXTRACT(CELL("address",'Raw Data'!D108),"\$([A-Z]+)\$[0-9]+"))),_xlfn.REGEXEXTRACT(CELL("address",D108), "\$([A-Z]+)\$[0-9]+"))</f>
        <v/>
      </c>
      <c r="E108" s="6" t="str" cm="1">
        <f t="array" aca="1" ref="E108" ca="1">IFERROR(IF(OR('Raw Data'!E108="",LEN(TRIM('Raw Data'!E108))=0),"",IF(AND(ISNUMBER('Raw Data'!E108),'Raw Data'!E108=ROUND('Raw Data'!E108,4),IFERROR(ROUND('Raw Data'!E108,4)&lt;=99999999999.99,FALSE))=TRUE,"",_xlfn.REGEXEXTRACT(CELL("address",'Raw Data'!E108), "\$([A-Z]+)\$[0-9]+"))),_xlfn.REGEXEXTRACT(CELL("address",'Raw Data'!E108), "\$([A-Z]+)\$[0-9]+"))</f>
        <v/>
      </c>
      <c r="F108" s="6" t="str" cm="1">
        <f t="array" aca="1" ref="F108" ca="1">IFERROR(IF(OR('Raw Data'!F108="",LEN(TRIM('Raw Data'!F108))=0),"",IF(AND(ISNUMBER('Raw Data'!F108),'Raw Data'!F108=ROUND('Raw Data'!F108,4),IFERROR(ROUND('Raw Data'!F108,4)&lt;=99999999999.99,FALSE))=TRUE,"",_xlfn.REGEXEXTRACT(CELL("address",'Raw Data'!F108), "\$([A-Z]+)\$[0-9]+"))),_xlfn.REGEXEXTRACT(CELL("address",'Raw Data'!F108), "\$([A-Z]+)\$[0-9]+"))</f>
        <v/>
      </c>
      <c r="G108" s="6" t="str" cm="1">
        <f t="array" aca="1" ref="G108" ca="1">IFERROR(IF(OR('Raw Data'!G108="",LEN(TRIM('Raw Data'!G108))=0),"",IF(AND(ISNUMBER('Raw Data'!G108),'Raw Data'!G108=ROUND('Raw Data'!G108,4),IFERROR(ROUND('Raw Data'!G108,4)&lt;=99999999999.99,FALSE))=TRUE,"",_xlfn.REGEXEXTRACT(CELL("address",'Raw Data'!G108), "\$([A-Z]+)\$[0-9]+"))),_xlfn.REGEXEXTRACT(CELL("address",'Raw Data'!G108), "\$([A-Z]+)\$[0-9]+"))</f>
        <v/>
      </c>
      <c r="H108" s="6" t="str" cm="1">
        <f t="array" aca="1" ref="H108" ca="1">IFERROR(IF(OR('Raw Data'!H108="",LEN(TRIM('Raw Data'!H108))=0),"",IF(AND(ISNUMBER('Raw Data'!H108),'Raw Data'!H108=ROUND('Raw Data'!H108,4),IFERROR(ROUND('Raw Data'!H108,4)&lt;=99999999999.99,FALSE))=TRUE,"",_xlfn.REGEXEXTRACT(CELL("address",'Raw Data'!H108), "\$([A-Z]+)\$[0-9]+"))),_xlfn.REGEXEXTRACT(CELL("address",'Raw Data'!H108), "\$([A-Z]+)\$[0-9]+"))</f>
        <v/>
      </c>
      <c r="I108" s="6" t="str" cm="1">
        <f t="array" aca="1" ref="I108" ca="1">IFERROR(IF(OR('Raw Data'!I108="",LEN(TRIM('Raw Data'!I108))=0),"",IF(AND(ISNUMBER('Raw Data'!I108),'Raw Data'!I108=ROUND('Raw Data'!I108,4),IFERROR(ROUND('Raw Data'!I108,4)&lt;=99999999999.99,FALSE))=TRUE,"",_xlfn.REGEXEXTRACT(CELL("address",'Raw Data'!I108), "\$([A-Z]+)\$[0-9]+"))),_xlfn.REGEXEXTRACT(CELL("address",'Raw Data'!I108), "\$([A-Z]+)\$[0-9]+"))</f>
        <v/>
      </c>
      <c r="J108" s="6" t="str" cm="1">
        <f t="array" aca="1" ref="J108" ca="1">IFERROR(IF(OR('Raw Data'!J108="",LEN(TRIM('Raw Data'!J108))=0),"",IF(AND(ISNUMBER('Raw Data'!J108),'Raw Data'!J108=ROUND('Raw Data'!J108,4),IFERROR(ROUND('Raw Data'!J108,4)&lt;=99999999999.99,FALSE))=TRUE,"",_xlfn.REGEXEXTRACT(CELL("address",'Raw Data'!J108), "\$([A-Z]+)\$[0-9]+"))),_xlfn.REGEXEXTRACT(CELL("address",'Raw Data'!J108), "\$([A-Z]+)\$[0-9]+"))</f>
        <v/>
      </c>
    </row>
    <row r="109" spans="2:10" x14ac:dyDescent="0.25">
      <c r="B109" s="6" t="str" cm="1">
        <f t="array" aca="1" ref="B109" ca="1">IFERROR(IF(OR('Raw Data'!B109="",LEN(TRIM('Raw Data'!B109))=0),"",IF(AND(LEN('Raw Data'!B109) &lt;= 255,LEN('Raw Data'!B109)&gt; 0),"",_xlfn.REGEXEXTRACT(CELL("address",'Raw Data'!B109),"\$([A-Z]+)\$[0-9]+"))),_xlfn.REGEXEXTRACT(CELL("address",'Raw Data'!B109),"\$([A-Z]+)\$[0-9]+"))</f>
        <v/>
      </c>
      <c r="C109" s="6" t="str" cm="1">
        <f t="array" aca="1" ref="C109" ca="1">IFERROR(IF(OR('Raw Data'!C109="",LEN(TRIM('Raw Data'!C109))=0),"",IF(AND(LEN('Raw Data'!C109) &lt;= 20,LEN('Raw Data'!C109)&gt; 0),"",_xlfn.REGEXEXTRACT(CELL("address",'Raw Data'!C109),"\$([A-Z]+)\$[0-9]+"))),_xlfn.REGEXEXTRACT(CELL("address",'Raw Data'!C109),"\$([A-Z]+)\$[0-9]+"))</f>
        <v/>
      </c>
      <c r="D109" s="6" t="str" cm="1">
        <f t="array" aca="1" ref="D109" ca="1">IFERROR(IF(OR('Raw Data'!D109="",LEN(TRIM('Raw Data'!D109))=0),"",IF(AND(ISNUMBER('Raw Data'!D109),'Raw Data'!D109&gt;=Configuration!$D$2),"",_xlfn.REGEXEXTRACT(CELL("address",'Raw Data'!D109),"\$([A-Z]+)\$[0-9]+"))),_xlfn.REGEXEXTRACT(CELL("address",D109), "\$([A-Z]+)\$[0-9]+"))</f>
        <v/>
      </c>
      <c r="E109" s="6" t="str" cm="1">
        <f t="array" aca="1" ref="E109" ca="1">IFERROR(IF(OR('Raw Data'!E109="",LEN(TRIM('Raw Data'!E109))=0),"",IF(AND(ISNUMBER('Raw Data'!E109),'Raw Data'!E109=ROUND('Raw Data'!E109,4),IFERROR(ROUND('Raw Data'!E109,4)&lt;=99999999999.99,FALSE))=TRUE,"",_xlfn.REGEXEXTRACT(CELL("address",'Raw Data'!E109), "\$([A-Z]+)\$[0-9]+"))),_xlfn.REGEXEXTRACT(CELL("address",'Raw Data'!E109), "\$([A-Z]+)\$[0-9]+"))</f>
        <v/>
      </c>
      <c r="F109" s="6" t="str" cm="1">
        <f t="array" aca="1" ref="F109" ca="1">IFERROR(IF(OR('Raw Data'!F109="",LEN(TRIM('Raw Data'!F109))=0),"",IF(AND(ISNUMBER('Raw Data'!F109),'Raw Data'!F109=ROUND('Raw Data'!F109,4),IFERROR(ROUND('Raw Data'!F109,4)&lt;=99999999999.99,FALSE))=TRUE,"",_xlfn.REGEXEXTRACT(CELL("address",'Raw Data'!F109), "\$([A-Z]+)\$[0-9]+"))),_xlfn.REGEXEXTRACT(CELL("address",'Raw Data'!F109), "\$([A-Z]+)\$[0-9]+"))</f>
        <v/>
      </c>
      <c r="G109" s="6" t="str" cm="1">
        <f t="array" aca="1" ref="G109" ca="1">IFERROR(IF(OR('Raw Data'!G109="",LEN(TRIM('Raw Data'!G109))=0),"",IF(AND(ISNUMBER('Raw Data'!G109),'Raw Data'!G109=ROUND('Raw Data'!G109,4),IFERROR(ROUND('Raw Data'!G109,4)&lt;=99999999999.99,FALSE))=TRUE,"",_xlfn.REGEXEXTRACT(CELL("address",'Raw Data'!G109), "\$([A-Z]+)\$[0-9]+"))),_xlfn.REGEXEXTRACT(CELL("address",'Raw Data'!G109), "\$([A-Z]+)\$[0-9]+"))</f>
        <v/>
      </c>
      <c r="H109" s="6" t="str" cm="1">
        <f t="array" aca="1" ref="H109" ca="1">IFERROR(IF(OR('Raw Data'!H109="",LEN(TRIM('Raw Data'!H109))=0),"",IF(AND(ISNUMBER('Raw Data'!H109),'Raw Data'!H109=ROUND('Raw Data'!H109,4),IFERROR(ROUND('Raw Data'!H109,4)&lt;=99999999999.99,FALSE))=TRUE,"",_xlfn.REGEXEXTRACT(CELL("address",'Raw Data'!H109), "\$([A-Z]+)\$[0-9]+"))),_xlfn.REGEXEXTRACT(CELL("address",'Raw Data'!H109), "\$([A-Z]+)\$[0-9]+"))</f>
        <v/>
      </c>
      <c r="I109" s="6" t="str" cm="1">
        <f t="array" aca="1" ref="I109" ca="1">IFERROR(IF(OR('Raw Data'!I109="",LEN(TRIM('Raw Data'!I109))=0),"",IF(AND(ISNUMBER('Raw Data'!I109),'Raw Data'!I109=ROUND('Raw Data'!I109,4),IFERROR(ROUND('Raw Data'!I109,4)&lt;=99999999999.99,FALSE))=TRUE,"",_xlfn.REGEXEXTRACT(CELL("address",'Raw Data'!I109), "\$([A-Z]+)\$[0-9]+"))),_xlfn.REGEXEXTRACT(CELL("address",'Raw Data'!I109), "\$([A-Z]+)\$[0-9]+"))</f>
        <v/>
      </c>
      <c r="J109" s="6" t="str" cm="1">
        <f t="array" aca="1" ref="J109" ca="1">IFERROR(IF(OR('Raw Data'!J109="",LEN(TRIM('Raw Data'!J109))=0),"",IF(AND(ISNUMBER('Raw Data'!J109),'Raw Data'!J109=ROUND('Raw Data'!J109,4),IFERROR(ROUND('Raw Data'!J109,4)&lt;=99999999999.99,FALSE))=TRUE,"",_xlfn.REGEXEXTRACT(CELL("address",'Raw Data'!J109), "\$([A-Z]+)\$[0-9]+"))),_xlfn.REGEXEXTRACT(CELL("address",'Raw Data'!J109), "\$([A-Z]+)\$[0-9]+"))</f>
        <v/>
      </c>
    </row>
    <row r="110" spans="2:10" x14ac:dyDescent="0.25">
      <c r="B110" s="6" t="str" cm="1">
        <f t="array" aca="1" ref="B110" ca="1">IFERROR(IF(OR('Raw Data'!B110="",LEN(TRIM('Raw Data'!B110))=0),"",IF(AND(LEN('Raw Data'!B110) &lt;= 255,LEN('Raw Data'!B110)&gt; 0),"",_xlfn.REGEXEXTRACT(CELL("address",'Raw Data'!B110),"\$([A-Z]+)\$[0-9]+"))),_xlfn.REGEXEXTRACT(CELL("address",'Raw Data'!B110),"\$([A-Z]+)\$[0-9]+"))</f>
        <v/>
      </c>
      <c r="C110" s="6" t="str" cm="1">
        <f t="array" aca="1" ref="C110" ca="1">IFERROR(IF(OR('Raw Data'!C110="",LEN(TRIM('Raw Data'!C110))=0),"",IF(AND(LEN('Raw Data'!C110) &lt;= 20,LEN('Raw Data'!C110)&gt; 0),"",_xlfn.REGEXEXTRACT(CELL("address",'Raw Data'!C110),"\$([A-Z]+)\$[0-9]+"))),_xlfn.REGEXEXTRACT(CELL("address",'Raw Data'!C110),"\$([A-Z]+)\$[0-9]+"))</f>
        <v/>
      </c>
      <c r="D110" s="6" t="str" cm="1">
        <f t="array" aca="1" ref="D110" ca="1">IFERROR(IF(OR('Raw Data'!D110="",LEN(TRIM('Raw Data'!D110))=0),"",IF(AND(ISNUMBER('Raw Data'!D110),'Raw Data'!D110&gt;=Configuration!$D$2),"",_xlfn.REGEXEXTRACT(CELL("address",'Raw Data'!D110),"\$([A-Z]+)\$[0-9]+"))),_xlfn.REGEXEXTRACT(CELL("address",D110), "\$([A-Z]+)\$[0-9]+"))</f>
        <v/>
      </c>
      <c r="E110" s="6" t="str" cm="1">
        <f t="array" aca="1" ref="E110" ca="1">IFERROR(IF(OR('Raw Data'!E110="",LEN(TRIM('Raw Data'!E110))=0),"",IF(AND(ISNUMBER('Raw Data'!E110),'Raw Data'!E110=ROUND('Raw Data'!E110,4),IFERROR(ROUND('Raw Data'!E110,4)&lt;=99999999999.99,FALSE))=TRUE,"",_xlfn.REGEXEXTRACT(CELL("address",'Raw Data'!E110), "\$([A-Z]+)\$[0-9]+"))),_xlfn.REGEXEXTRACT(CELL("address",'Raw Data'!E110), "\$([A-Z]+)\$[0-9]+"))</f>
        <v/>
      </c>
      <c r="F110" s="6" t="str" cm="1">
        <f t="array" aca="1" ref="F110" ca="1">IFERROR(IF(OR('Raw Data'!F110="",LEN(TRIM('Raw Data'!F110))=0),"",IF(AND(ISNUMBER('Raw Data'!F110),'Raw Data'!F110=ROUND('Raw Data'!F110,4),IFERROR(ROUND('Raw Data'!F110,4)&lt;=99999999999.99,FALSE))=TRUE,"",_xlfn.REGEXEXTRACT(CELL("address",'Raw Data'!F110), "\$([A-Z]+)\$[0-9]+"))),_xlfn.REGEXEXTRACT(CELL("address",'Raw Data'!F110), "\$([A-Z]+)\$[0-9]+"))</f>
        <v/>
      </c>
      <c r="G110" s="6" t="str" cm="1">
        <f t="array" aca="1" ref="G110" ca="1">IFERROR(IF(OR('Raw Data'!G110="",LEN(TRIM('Raw Data'!G110))=0),"",IF(AND(ISNUMBER('Raw Data'!G110),'Raw Data'!G110=ROUND('Raw Data'!G110,4),IFERROR(ROUND('Raw Data'!G110,4)&lt;=99999999999.99,FALSE))=TRUE,"",_xlfn.REGEXEXTRACT(CELL("address",'Raw Data'!G110), "\$([A-Z]+)\$[0-9]+"))),_xlfn.REGEXEXTRACT(CELL("address",'Raw Data'!G110), "\$([A-Z]+)\$[0-9]+"))</f>
        <v/>
      </c>
      <c r="H110" s="6" t="str" cm="1">
        <f t="array" aca="1" ref="H110" ca="1">IFERROR(IF(OR('Raw Data'!H110="",LEN(TRIM('Raw Data'!H110))=0),"",IF(AND(ISNUMBER('Raw Data'!H110),'Raw Data'!H110=ROUND('Raw Data'!H110,4),IFERROR(ROUND('Raw Data'!H110,4)&lt;=99999999999.99,FALSE))=TRUE,"",_xlfn.REGEXEXTRACT(CELL("address",'Raw Data'!H110), "\$([A-Z]+)\$[0-9]+"))),_xlfn.REGEXEXTRACT(CELL("address",'Raw Data'!H110), "\$([A-Z]+)\$[0-9]+"))</f>
        <v/>
      </c>
      <c r="I110" s="6" t="str" cm="1">
        <f t="array" aca="1" ref="I110" ca="1">IFERROR(IF(OR('Raw Data'!I110="",LEN(TRIM('Raw Data'!I110))=0),"",IF(AND(ISNUMBER('Raw Data'!I110),'Raw Data'!I110=ROUND('Raw Data'!I110,4),IFERROR(ROUND('Raw Data'!I110,4)&lt;=99999999999.99,FALSE))=TRUE,"",_xlfn.REGEXEXTRACT(CELL("address",'Raw Data'!I110), "\$([A-Z]+)\$[0-9]+"))),_xlfn.REGEXEXTRACT(CELL("address",'Raw Data'!I110), "\$([A-Z]+)\$[0-9]+"))</f>
        <v/>
      </c>
      <c r="J110" s="6" t="str" cm="1">
        <f t="array" aca="1" ref="J110" ca="1">IFERROR(IF(OR('Raw Data'!J110="",LEN(TRIM('Raw Data'!J110))=0),"",IF(AND(ISNUMBER('Raw Data'!J110),'Raw Data'!J110=ROUND('Raw Data'!J110,4),IFERROR(ROUND('Raw Data'!J110,4)&lt;=99999999999.99,FALSE))=TRUE,"",_xlfn.REGEXEXTRACT(CELL("address",'Raw Data'!J110), "\$([A-Z]+)\$[0-9]+"))),_xlfn.REGEXEXTRACT(CELL("address",'Raw Data'!J110), "\$([A-Z]+)\$[0-9]+"))</f>
        <v/>
      </c>
    </row>
    <row r="111" spans="2:10" x14ac:dyDescent="0.25">
      <c r="B111" s="6" t="str" cm="1">
        <f t="array" aca="1" ref="B111" ca="1">IFERROR(IF(OR('Raw Data'!B111="",LEN(TRIM('Raw Data'!B111))=0),"",IF(AND(LEN('Raw Data'!B111) &lt;= 255,LEN('Raw Data'!B111)&gt; 0),"",_xlfn.REGEXEXTRACT(CELL("address",'Raw Data'!B111),"\$([A-Z]+)\$[0-9]+"))),_xlfn.REGEXEXTRACT(CELL("address",'Raw Data'!B111),"\$([A-Z]+)\$[0-9]+"))</f>
        <v/>
      </c>
      <c r="C111" s="6" t="str" cm="1">
        <f t="array" aca="1" ref="C111" ca="1">IFERROR(IF(OR('Raw Data'!C111="",LEN(TRIM('Raw Data'!C111))=0),"",IF(AND(LEN('Raw Data'!C111) &lt;= 20,LEN('Raw Data'!C111)&gt; 0),"",_xlfn.REGEXEXTRACT(CELL("address",'Raw Data'!C111),"\$([A-Z]+)\$[0-9]+"))),_xlfn.REGEXEXTRACT(CELL("address",'Raw Data'!C111),"\$([A-Z]+)\$[0-9]+"))</f>
        <v/>
      </c>
      <c r="D111" s="6" t="str" cm="1">
        <f t="array" aca="1" ref="D111" ca="1">IFERROR(IF(OR('Raw Data'!D111="",LEN(TRIM('Raw Data'!D111))=0),"",IF(AND(ISNUMBER('Raw Data'!D111),'Raw Data'!D111&gt;=Configuration!$D$2),"",_xlfn.REGEXEXTRACT(CELL("address",'Raw Data'!D111),"\$([A-Z]+)\$[0-9]+"))),_xlfn.REGEXEXTRACT(CELL("address",D111), "\$([A-Z]+)\$[0-9]+"))</f>
        <v/>
      </c>
      <c r="E111" s="6" t="str" cm="1">
        <f t="array" aca="1" ref="E111" ca="1">IFERROR(IF(OR('Raw Data'!E111="",LEN(TRIM('Raw Data'!E111))=0),"",IF(AND(ISNUMBER('Raw Data'!E111),'Raw Data'!E111=ROUND('Raw Data'!E111,4),IFERROR(ROUND('Raw Data'!E111,4)&lt;=99999999999.99,FALSE))=TRUE,"",_xlfn.REGEXEXTRACT(CELL("address",'Raw Data'!E111), "\$([A-Z]+)\$[0-9]+"))),_xlfn.REGEXEXTRACT(CELL("address",'Raw Data'!E111), "\$([A-Z]+)\$[0-9]+"))</f>
        <v/>
      </c>
      <c r="F111" s="6" t="str" cm="1">
        <f t="array" aca="1" ref="F111" ca="1">IFERROR(IF(OR('Raw Data'!F111="",LEN(TRIM('Raw Data'!F111))=0),"",IF(AND(ISNUMBER('Raw Data'!F111),'Raw Data'!F111=ROUND('Raw Data'!F111,4),IFERROR(ROUND('Raw Data'!F111,4)&lt;=99999999999.99,FALSE))=TRUE,"",_xlfn.REGEXEXTRACT(CELL("address",'Raw Data'!F111), "\$([A-Z]+)\$[0-9]+"))),_xlfn.REGEXEXTRACT(CELL("address",'Raw Data'!F111), "\$([A-Z]+)\$[0-9]+"))</f>
        <v/>
      </c>
      <c r="G111" s="6" t="str" cm="1">
        <f t="array" aca="1" ref="G111" ca="1">IFERROR(IF(OR('Raw Data'!G111="",LEN(TRIM('Raw Data'!G111))=0),"",IF(AND(ISNUMBER('Raw Data'!G111),'Raw Data'!G111=ROUND('Raw Data'!G111,4),IFERROR(ROUND('Raw Data'!G111,4)&lt;=99999999999.99,FALSE))=TRUE,"",_xlfn.REGEXEXTRACT(CELL("address",'Raw Data'!G111), "\$([A-Z]+)\$[0-9]+"))),_xlfn.REGEXEXTRACT(CELL("address",'Raw Data'!G111), "\$([A-Z]+)\$[0-9]+"))</f>
        <v/>
      </c>
      <c r="H111" s="6" t="str" cm="1">
        <f t="array" aca="1" ref="H111" ca="1">IFERROR(IF(OR('Raw Data'!H111="",LEN(TRIM('Raw Data'!H111))=0),"",IF(AND(ISNUMBER('Raw Data'!H111),'Raw Data'!H111=ROUND('Raw Data'!H111,4),IFERROR(ROUND('Raw Data'!H111,4)&lt;=99999999999.99,FALSE))=TRUE,"",_xlfn.REGEXEXTRACT(CELL("address",'Raw Data'!H111), "\$([A-Z]+)\$[0-9]+"))),_xlfn.REGEXEXTRACT(CELL("address",'Raw Data'!H111), "\$([A-Z]+)\$[0-9]+"))</f>
        <v/>
      </c>
      <c r="I111" s="6" t="str" cm="1">
        <f t="array" aca="1" ref="I111" ca="1">IFERROR(IF(OR('Raw Data'!I111="",LEN(TRIM('Raw Data'!I111))=0),"",IF(AND(ISNUMBER('Raw Data'!I111),'Raw Data'!I111=ROUND('Raw Data'!I111,4),IFERROR(ROUND('Raw Data'!I111,4)&lt;=99999999999.99,FALSE))=TRUE,"",_xlfn.REGEXEXTRACT(CELL("address",'Raw Data'!I111), "\$([A-Z]+)\$[0-9]+"))),_xlfn.REGEXEXTRACT(CELL("address",'Raw Data'!I111), "\$([A-Z]+)\$[0-9]+"))</f>
        <v/>
      </c>
      <c r="J111" s="6" t="str" cm="1">
        <f t="array" aca="1" ref="J111" ca="1">IFERROR(IF(OR('Raw Data'!J111="",LEN(TRIM('Raw Data'!J111))=0),"",IF(AND(ISNUMBER('Raw Data'!J111),'Raw Data'!J111=ROUND('Raw Data'!J111,4),IFERROR(ROUND('Raw Data'!J111,4)&lt;=99999999999.99,FALSE))=TRUE,"",_xlfn.REGEXEXTRACT(CELL("address",'Raw Data'!J111), "\$([A-Z]+)\$[0-9]+"))),_xlfn.REGEXEXTRACT(CELL("address",'Raw Data'!J111), "\$([A-Z]+)\$[0-9]+"))</f>
        <v/>
      </c>
    </row>
    <row r="112" spans="2:10" x14ac:dyDescent="0.25">
      <c r="B112" s="6" t="str" cm="1">
        <f t="array" aca="1" ref="B112" ca="1">IFERROR(IF(OR('Raw Data'!B112="",LEN(TRIM('Raw Data'!B112))=0),"",IF(AND(LEN('Raw Data'!B112) &lt;= 255,LEN('Raw Data'!B112)&gt; 0),"",_xlfn.REGEXEXTRACT(CELL("address",'Raw Data'!B112),"\$([A-Z]+)\$[0-9]+"))),_xlfn.REGEXEXTRACT(CELL("address",'Raw Data'!B112),"\$([A-Z]+)\$[0-9]+"))</f>
        <v/>
      </c>
      <c r="C112" s="6" t="str" cm="1">
        <f t="array" aca="1" ref="C112" ca="1">IFERROR(IF(OR('Raw Data'!C112="",LEN(TRIM('Raw Data'!C112))=0),"",IF(AND(LEN('Raw Data'!C112) &lt;= 20,LEN('Raw Data'!C112)&gt; 0),"",_xlfn.REGEXEXTRACT(CELL("address",'Raw Data'!C112),"\$([A-Z]+)\$[0-9]+"))),_xlfn.REGEXEXTRACT(CELL("address",'Raw Data'!C112),"\$([A-Z]+)\$[0-9]+"))</f>
        <v/>
      </c>
      <c r="D112" s="6" t="str" cm="1">
        <f t="array" aca="1" ref="D112" ca="1">IFERROR(IF(OR('Raw Data'!D112="",LEN(TRIM('Raw Data'!D112))=0),"",IF(AND(ISNUMBER('Raw Data'!D112),'Raw Data'!D112&gt;=Configuration!$D$2),"",_xlfn.REGEXEXTRACT(CELL("address",'Raw Data'!D112),"\$([A-Z]+)\$[0-9]+"))),_xlfn.REGEXEXTRACT(CELL("address",D112), "\$([A-Z]+)\$[0-9]+"))</f>
        <v/>
      </c>
      <c r="E112" s="6" t="str" cm="1">
        <f t="array" aca="1" ref="E112" ca="1">IFERROR(IF(OR('Raw Data'!E112="",LEN(TRIM('Raw Data'!E112))=0),"",IF(AND(ISNUMBER('Raw Data'!E112),'Raw Data'!E112=ROUND('Raw Data'!E112,4),IFERROR(ROUND('Raw Data'!E112,4)&lt;=99999999999.99,FALSE))=TRUE,"",_xlfn.REGEXEXTRACT(CELL("address",'Raw Data'!E112), "\$([A-Z]+)\$[0-9]+"))),_xlfn.REGEXEXTRACT(CELL("address",'Raw Data'!E112), "\$([A-Z]+)\$[0-9]+"))</f>
        <v/>
      </c>
      <c r="F112" s="6" t="str" cm="1">
        <f t="array" aca="1" ref="F112" ca="1">IFERROR(IF(OR('Raw Data'!F112="",LEN(TRIM('Raw Data'!F112))=0),"",IF(AND(ISNUMBER('Raw Data'!F112),'Raw Data'!F112=ROUND('Raw Data'!F112,4),IFERROR(ROUND('Raw Data'!F112,4)&lt;=99999999999.99,FALSE))=TRUE,"",_xlfn.REGEXEXTRACT(CELL("address",'Raw Data'!F112), "\$([A-Z]+)\$[0-9]+"))),_xlfn.REGEXEXTRACT(CELL("address",'Raw Data'!F112), "\$([A-Z]+)\$[0-9]+"))</f>
        <v/>
      </c>
      <c r="G112" s="6" t="str" cm="1">
        <f t="array" aca="1" ref="G112" ca="1">IFERROR(IF(OR('Raw Data'!G112="",LEN(TRIM('Raw Data'!G112))=0),"",IF(AND(ISNUMBER('Raw Data'!G112),'Raw Data'!G112=ROUND('Raw Data'!G112,4),IFERROR(ROUND('Raw Data'!G112,4)&lt;=99999999999.99,FALSE))=TRUE,"",_xlfn.REGEXEXTRACT(CELL("address",'Raw Data'!G112), "\$([A-Z]+)\$[0-9]+"))),_xlfn.REGEXEXTRACT(CELL("address",'Raw Data'!G112), "\$([A-Z]+)\$[0-9]+"))</f>
        <v/>
      </c>
      <c r="H112" s="6" t="str" cm="1">
        <f t="array" aca="1" ref="H112" ca="1">IFERROR(IF(OR('Raw Data'!H112="",LEN(TRIM('Raw Data'!H112))=0),"",IF(AND(ISNUMBER('Raw Data'!H112),'Raw Data'!H112=ROUND('Raw Data'!H112,4),IFERROR(ROUND('Raw Data'!H112,4)&lt;=99999999999.99,FALSE))=TRUE,"",_xlfn.REGEXEXTRACT(CELL("address",'Raw Data'!H112), "\$([A-Z]+)\$[0-9]+"))),_xlfn.REGEXEXTRACT(CELL("address",'Raw Data'!H112), "\$([A-Z]+)\$[0-9]+"))</f>
        <v/>
      </c>
      <c r="I112" s="6" t="str" cm="1">
        <f t="array" aca="1" ref="I112" ca="1">IFERROR(IF(OR('Raw Data'!I112="",LEN(TRIM('Raw Data'!I112))=0),"",IF(AND(ISNUMBER('Raw Data'!I112),'Raw Data'!I112=ROUND('Raw Data'!I112,4),IFERROR(ROUND('Raw Data'!I112,4)&lt;=99999999999.99,FALSE))=TRUE,"",_xlfn.REGEXEXTRACT(CELL("address",'Raw Data'!I112), "\$([A-Z]+)\$[0-9]+"))),_xlfn.REGEXEXTRACT(CELL("address",'Raw Data'!I112), "\$([A-Z]+)\$[0-9]+"))</f>
        <v/>
      </c>
      <c r="J112" s="6" t="str" cm="1">
        <f t="array" aca="1" ref="J112" ca="1">IFERROR(IF(OR('Raw Data'!J112="",LEN(TRIM('Raw Data'!J112))=0),"",IF(AND(ISNUMBER('Raw Data'!J112),'Raw Data'!J112=ROUND('Raw Data'!J112,4),IFERROR(ROUND('Raw Data'!J112,4)&lt;=99999999999.99,FALSE))=TRUE,"",_xlfn.REGEXEXTRACT(CELL("address",'Raw Data'!J112), "\$([A-Z]+)\$[0-9]+"))),_xlfn.REGEXEXTRACT(CELL("address",'Raw Data'!J112), "\$([A-Z]+)\$[0-9]+"))</f>
        <v/>
      </c>
    </row>
    <row r="113" spans="2:10" x14ac:dyDescent="0.25">
      <c r="B113" s="6" t="str" cm="1">
        <f t="array" aca="1" ref="B113" ca="1">IFERROR(IF(OR('Raw Data'!B113="",LEN(TRIM('Raw Data'!B113))=0),"",IF(AND(LEN('Raw Data'!B113) &lt;= 255,LEN('Raw Data'!B113)&gt; 0),"",_xlfn.REGEXEXTRACT(CELL("address",'Raw Data'!B113),"\$([A-Z]+)\$[0-9]+"))),_xlfn.REGEXEXTRACT(CELL("address",'Raw Data'!B113),"\$([A-Z]+)\$[0-9]+"))</f>
        <v/>
      </c>
      <c r="C113" s="6" t="str" cm="1">
        <f t="array" aca="1" ref="C113" ca="1">IFERROR(IF(OR('Raw Data'!C113="",LEN(TRIM('Raw Data'!C113))=0),"",IF(AND(LEN('Raw Data'!C113) &lt;= 20,LEN('Raw Data'!C113)&gt; 0),"",_xlfn.REGEXEXTRACT(CELL("address",'Raw Data'!C113),"\$([A-Z]+)\$[0-9]+"))),_xlfn.REGEXEXTRACT(CELL("address",'Raw Data'!C113),"\$([A-Z]+)\$[0-9]+"))</f>
        <v/>
      </c>
      <c r="D113" s="6" t="str" cm="1">
        <f t="array" aca="1" ref="D113" ca="1">IFERROR(IF(OR('Raw Data'!D113="",LEN(TRIM('Raw Data'!D113))=0),"",IF(AND(ISNUMBER('Raw Data'!D113),'Raw Data'!D113&gt;=Configuration!$D$2),"",_xlfn.REGEXEXTRACT(CELL("address",'Raw Data'!D113),"\$([A-Z]+)\$[0-9]+"))),_xlfn.REGEXEXTRACT(CELL("address",D113), "\$([A-Z]+)\$[0-9]+"))</f>
        <v/>
      </c>
      <c r="E113" s="6" t="str" cm="1">
        <f t="array" aca="1" ref="E113" ca="1">IFERROR(IF(OR('Raw Data'!E113="",LEN(TRIM('Raw Data'!E113))=0),"",IF(AND(ISNUMBER('Raw Data'!E113),'Raw Data'!E113=ROUND('Raw Data'!E113,4),IFERROR(ROUND('Raw Data'!E113,4)&lt;=99999999999.99,FALSE))=TRUE,"",_xlfn.REGEXEXTRACT(CELL("address",'Raw Data'!E113), "\$([A-Z]+)\$[0-9]+"))),_xlfn.REGEXEXTRACT(CELL("address",'Raw Data'!E113), "\$([A-Z]+)\$[0-9]+"))</f>
        <v/>
      </c>
      <c r="F113" s="6" t="str" cm="1">
        <f t="array" aca="1" ref="F113" ca="1">IFERROR(IF(OR('Raw Data'!F113="",LEN(TRIM('Raw Data'!F113))=0),"",IF(AND(ISNUMBER('Raw Data'!F113),'Raw Data'!F113=ROUND('Raw Data'!F113,4),IFERROR(ROUND('Raw Data'!F113,4)&lt;=99999999999.99,FALSE))=TRUE,"",_xlfn.REGEXEXTRACT(CELL("address",'Raw Data'!F113), "\$([A-Z]+)\$[0-9]+"))),_xlfn.REGEXEXTRACT(CELL("address",'Raw Data'!F113), "\$([A-Z]+)\$[0-9]+"))</f>
        <v/>
      </c>
      <c r="G113" s="6" t="str" cm="1">
        <f t="array" aca="1" ref="G113" ca="1">IFERROR(IF(OR('Raw Data'!G113="",LEN(TRIM('Raw Data'!G113))=0),"",IF(AND(ISNUMBER('Raw Data'!G113),'Raw Data'!G113=ROUND('Raw Data'!G113,4),IFERROR(ROUND('Raw Data'!G113,4)&lt;=99999999999.99,FALSE))=TRUE,"",_xlfn.REGEXEXTRACT(CELL("address",'Raw Data'!G113), "\$([A-Z]+)\$[0-9]+"))),_xlfn.REGEXEXTRACT(CELL("address",'Raw Data'!G113), "\$([A-Z]+)\$[0-9]+"))</f>
        <v/>
      </c>
      <c r="H113" s="6" t="str" cm="1">
        <f t="array" aca="1" ref="H113" ca="1">IFERROR(IF(OR('Raw Data'!H113="",LEN(TRIM('Raw Data'!H113))=0),"",IF(AND(ISNUMBER('Raw Data'!H113),'Raw Data'!H113=ROUND('Raw Data'!H113,4),IFERROR(ROUND('Raw Data'!H113,4)&lt;=99999999999.99,FALSE))=TRUE,"",_xlfn.REGEXEXTRACT(CELL("address",'Raw Data'!H113), "\$([A-Z]+)\$[0-9]+"))),_xlfn.REGEXEXTRACT(CELL("address",'Raw Data'!H113), "\$([A-Z]+)\$[0-9]+"))</f>
        <v/>
      </c>
      <c r="I113" s="6" t="str" cm="1">
        <f t="array" aca="1" ref="I113" ca="1">IFERROR(IF(OR('Raw Data'!I113="",LEN(TRIM('Raw Data'!I113))=0),"",IF(AND(ISNUMBER('Raw Data'!I113),'Raw Data'!I113=ROUND('Raw Data'!I113,4),IFERROR(ROUND('Raw Data'!I113,4)&lt;=99999999999.99,FALSE))=TRUE,"",_xlfn.REGEXEXTRACT(CELL("address",'Raw Data'!I113), "\$([A-Z]+)\$[0-9]+"))),_xlfn.REGEXEXTRACT(CELL("address",'Raw Data'!I113), "\$([A-Z]+)\$[0-9]+"))</f>
        <v/>
      </c>
      <c r="J113" s="6" t="str" cm="1">
        <f t="array" aca="1" ref="J113" ca="1">IFERROR(IF(OR('Raw Data'!J113="",LEN(TRIM('Raw Data'!J113))=0),"",IF(AND(ISNUMBER('Raw Data'!J113),'Raw Data'!J113=ROUND('Raw Data'!J113,4),IFERROR(ROUND('Raw Data'!J113,4)&lt;=99999999999.99,FALSE))=TRUE,"",_xlfn.REGEXEXTRACT(CELL("address",'Raw Data'!J113), "\$([A-Z]+)\$[0-9]+"))),_xlfn.REGEXEXTRACT(CELL("address",'Raw Data'!J113), "\$([A-Z]+)\$[0-9]+"))</f>
        <v/>
      </c>
    </row>
    <row r="114" spans="2:10" x14ac:dyDescent="0.25">
      <c r="B114" s="6" t="str" cm="1">
        <f t="array" aca="1" ref="B114" ca="1">IFERROR(IF(OR('Raw Data'!B114="",LEN(TRIM('Raw Data'!B114))=0),"",IF(AND(LEN('Raw Data'!B114) &lt;= 255,LEN('Raw Data'!B114)&gt; 0),"",_xlfn.REGEXEXTRACT(CELL("address",'Raw Data'!B114),"\$([A-Z]+)\$[0-9]+"))),_xlfn.REGEXEXTRACT(CELL("address",'Raw Data'!B114),"\$([A-Z]+)\$[0-9]+"))</f>
        <v/>
      </c>
      <c r="C114" s="6" t="str" cm="1">
        <f t="array" aca="1" ref="C114" ca="1">IFERROR(IF(OR('Raw Data'!C114="",LEN(TRIM('Raw Data'!C114))=0),"",IF(AND(LEN('Raw Data'!C114) &lt;= 20,LEN('Raw Data'!C114)&gt; 0),"",_xlfn.REGEXEXTRACT(CELL("address",'Raw Data'!C114),"\$([A-Z]+)\$[0-9]+"))),_xlfn.REGEXEXTRACT(CELL("address",'Raw Data'!C114),"\$([A-Z]+)\$[0-9]+"))</f>
        <v/>
      </c>
      <c r="D114" s="6" t="str" cm="1">
        <f t="array" aca="1" ref="D114" ca="1">IFERROR(IF(OR('Raw Data'!D114="",LEN(TRIM('Raw Data'!D114))=0),"",IF(AND(ISNUMBER('Raw Data'!D114),'Raw Data'!D114&gt;=Configuration!$D$2),"",_xlfn.REGEXEXTRACT(CELL("address",'Raw Data'!D114),"\$([A-Z]+)\$[0-9]+"))),_xlfn.REGEXEXTRACT(CELL("address",D114), "\$([A-Z]+)\$[0-9]+"))</f>
        <v/>
      </c>
      <c r="E114" s="6" t="str" cm="1">
        <f t="array" aca="1" ref="E114" ca="1">IFERROR(IF(OR('Raw Data'!E114="",LEN(TRIM('Raw Data'!E114))=0),"",IF(AND(ISNUMBER('Raw Data'!E114),'Raw Data'!E114=ROUND('Raw Data'!E114,4),IFERROR(ROUND('Raw Data'!E114,4)&lt;=99999999999.99,FALSE))=TRUE,"",_xlfn.REGEXEXTRACT(CELL("address",'Raw Data'!E114), "\$([A-Z]+)\$[0-9]+"))),_xlfn.REGEXEXTRACT(CELL("address",'Raw Data'!E114), "\$([A-Z]+)\$[0-9]+"))</f>
        <v/>
      </c>
      <c r="F114" s="6" t="str" cm="1">
        <f t="array" aca="1" ref="F114" ca="1">IFERROR(IF(OR('Raw Data'!F114="",LEN(TRIM('Raw Data'!F114))=0),"",IF(AND(ISNUMBER('Raw Data'!F114),'Raw Data'!F114=ROUND('Raw Data'!F114,4),IFERROR(ROUND('Raw Data'!F114,4)&lt;=99999999999.99,FALSE))=TRUE,"",_xlfn.REGEXEXTRACT(CELL("address",'Raw Data'!F114), "\$([A-Z]+)\$[0-9]+"))),_xlfn.REGEXEXTRACT(CELL("address",'Raw Data'!F114), "\$([A-Z]+)\$[0-9]+"))</f>
        <v/>
      </c>
      <c r="G114" s="6" t="str" cm="1">
        <f t="array" aca="1" ref="G114" ca="1">IFERROR(IF(OR('Raw Data'!G114="",LEN(TRIM('Raw Data'!G114))=0),"",IF(AND(ISNUMBER('Raw Data'!G114),'Raw Data'!G114=ROUND('Raw Data'!G114,4),IFERROR(ROUND('Raw Data'!G114,4)&lt;=99999999999.99,FALSE))=TRUE,"",_xlfn.REGEXEXTRACT(CELL("address",'Raw Data'!G114), "\$([A-Z]+)\$[0-9]+"))),_xlfn.REGEXEXTRACT(CELL("address",'Raw Data'!G114), "\$([A-Z]+)\$[0-9]+"))</f>
        <v/>
      </c>
      <c r="H114" s="6" t="str" cm="1">
        <f t="array" aca="1" ref="H114" ca="1">IFERROR(IF(OR('Raw Data'!H114="",LEN(TRIM('Raw Data'!H114))=0),"",IF(AND(ISNUMBER('Raw Data'!H114),'Raw Data'!H114=ROUND('Raw Data'!H114,4),IFERROR(ROUND('Raw Data'!H114,4)&lt;=99999999999.99,FALSE))=TRUE,"",_xlfn.REGEXEXTRACT(CELL("address",'Raw Data'!H114), "\$([A-Z]+)\$[0-9]+"))),_xlfn.REGEXEXTRACT(CELL("address",'Raw Data'!H114), "\$([A-Z]+)\$[0-9]+"))</f>
        <v/>
      </c>
      <c r="I114" s="6" t="str" cm="1">
        <f t="array" aca="1" ref="I114" ca="1">IFERROR(IF(OR('Raw Data'!I114="",LEN(TRIM('Raw Data'!I114))=0),"",IF(AND(ISNUMBER('Raw Data'!I114),'Raw Data'!I114=ROUND('Raw Data'!I114,4),IFERROR(ROUND('Raw Data'!I114,4)&lt;=99999999999.99,FALSE))=TRUE,"",_xlfn.REGEXEXTRACT(CELL("address",'Raw Data'!I114), "\$([A-Z]+)\$[0-9]+"))),_xlfn.REGEXEXTRACT(CELL("address",'Raw Data'!I114), "\$([A-Z]+)\$[0-9]+"))</f>
        <v/>
      </c>
      <c r="J114" s="6" t="str" cm="1">
        <f t="array" aca="1" ref="J114" ca="1">IFERROR(IF(OR('Raw Data'!J114="",LEN(TRIM('Raw Data'!J114))=0),"",IF(AND(ISNUMBER('Raw Data'!J114),'Raw Data'!J114=ROUND('Raw Data'!J114,4),IFERROR(ROUND('Raw Data'!J114,4)&lt;=99999999999.99,FALSE))=TRUE,"",_xlfn.REGEXEXTRACT(CELL("address",'Raw Data'!J114), "\$([A-Z]+)\$[0-9]+"))),_xlfn.REGEXEXTRACT(CELL("address",'Raw Data'!J114), "\$([A-Z]+)\$[0-9]+"))</f>
        <v/>
      </c>
    </row>
    <row r="115" spans="2:10" x14ac:dyDescent="0.25">
      <c r="B115" s="6" t="str" cm="1">
        <f t="array" aca="1" ref="B115" ca="1">IFERROR(IF(OR('Raw Data'!B115="",LEN(TRIM('Raw Data'!B115))=0),"",IF(AND(LEN('Raw Data'!B115) &lt;= 255,LEN('Raw Data'!B115)&gt; 0),"",_xlfn.REGEXEXTRACT(CELL("address",'Raw Data'!B115),"\$([A-Z]+)\$[0-9]+"))),_xlfn.REGEXEXTRACT(CELL("address",'Raw Data'!B115),"\$([A-Z]+)\$[0-9]+"))</f>
        <v/>
      </c>
      <c r="C115" s="6" t="str" cm="1">
        <f t="array" aca="1" ref="C115" ca="1">IFERROR(IF(OR('Raw Data'!C115="",LEN(TRIM('Raw Data'!C115))=0),"",IF(AND(LEN('Raw Data'!C115) &lt;= 20,LEN('Raw Data'!C115)&gt; 0),"",_xlfn.REGEXEXTRACT(CELL("address",'Raw Data'!C115),"\$([A-Z]+)\$[0-9]+"))),_xlfn.REGEXEXTRACT(CELL("address",'Raw Data'!C115),"\$([A-Z]+)\$[0-9]+"))</f>
        <v/>
      </c>
      <c r="D115" s="6" t="str" cm="1">
        <f t="array" aca="1" ref="D115" ca="1">IFERROR(IF(OR('Raw Data'!D115="",LEN(TRIM('Raw Data'!D115))=0),"",IF(AND(ISNUMBER('Raw Data'!D115),'Raw Data'!D115&gt;=Configuration!$D$2),"",_xlfn.REGEXEXTRACT(CELL("address",'Raw Data'!D115),"\$([A-Z]+)\$[0-9]+"))),_xlfn.REGEXEXTRACT(CELL("address",D115), "\$([A-Z]+)\$[0-9]+"))</f>
        <v/>
      </c>
      <c r="E115" s="6" t="str" cm="1">
        <f t="array" aca="1" ref="E115" ca="1">IFERROR(IF(OR('Raw Data'!E115="",LEN(TRIM('Raw Data'!E115))=0),"",IF(AND(ISNUMBER('Raw Data'!E115),'Raw Data'!E115=ROUND('Raw Data'!E115,4),IFERROR(ROUND('Raw Data'!E115,4)&lt;=99999999999.99,FALSE))=TRUE,"",_xlfn.REGEXEXTRACT(CELL("address",'Raw Data'!E115), "\$([A-Z]+)\$[0-9]+"))),_xlfn.REGEXEXTRACT(CELL("address",'Raw Data'!E115), "\$([A-Z]+)\$[0-9]+"))</f>
        <v/>
      </c>
      <c r="F115" s="6" t="str" cm="1">
        <f t="array" aca="1" ref="F115" ca="1">IFERROR(IF(OR('Raw Data'!F115="",LEN(TRIM('Raw Data'!F115))=0),"",IF(AND(ISNUMBER('Raw Data'!F115),'Raw Data'!F115=ROUND('Raw Data'!F115,4),IFERROR(ROUND('Raw Data'!F115,4)&lt;=99999999999.99,FALSE))=TRUE,"",_xlfn.REGEXEXTRACT(CELL("address",'Raw Data'!F115), "\$([A-Z]+)\$[0-9]+"))),_xlfn.REGEXEXTRACT(CELL("address",'Raw Data'!F115), "\$([A-Z]+)\$[0-9]+"))</f>
        <v/>
      </c>
      <c r="G115" s="6" t="str" cm="1">
        <f t="array" aca="1" ref="G115" ca="1">IFERROR(IF(OR('Raw Data'!G115="",LEN(TRIM('Raw Data'!G115))=0),"",IF(AND(ISNUMBER('Raw Data'!G115),'Raw Data'!G115=ROUND('Raw Data'!G115,4),IFERROR(ROUND('Raw Data'!G115,4)&lt;=99999999999.99,FALSE))=TRUE,"",_xlfn.REGEXEXTRACT(CELL("address",'Raw Data'!G115), "\$([A-Z]+)\$[0-9]+"))),_xlfn.REGEXEXTRACT(CELL("address",'Raw Data'!G115), "\$([A-Z]+)\$[0-9]+"))</f>
        <v/>
      </c>
      <c r="H115" s="6" t="str" cm="1">
        <f t="array" aca="1" ref="H115" ca="1">IFERROR(IF(OR('Raw Data'!H115="",LEN(TRIM('Raw Data'!H115))=0),"",IF(AND(ISNUMBER('Raw Data'!H115),'Raw Data'!H115=ROUND('Raw Data'!H115,4),IFERROR(ROUND('Raw Data'!H115,4)&lt;=99999999999.99,FALSE))=TRUE,"",_xlfn.REGEXEXTRACT(CELL("address",'Raw Data'!H115), "\$([A-Z]+)\$[0-9]+"))),_xlfn.REGEXEXTRACT(CELL("address",'Raw Data'!H115), "\$([A-Z]+)\$[0-9]+"))</f>
        <v/>
      </c>
      <c r="I115" s="6" t="str" cm="1">
        <f t="array" aca="1" ref="I115" ca="1">IFERROR(IF(OR('Raw Data'!I115="",LEN(TRIM('Raw Data'!I115))=0),"",IF(AND(ISNUMBER('Raw Data'!I115),'Raw Data'!I115=ROUND('Raw Data'!I115,4),IFERROR(ROUND('Raw Data'!I115,4)&lt;=99999999999.99,FALSE))=TRUE,"",_xlfn.REGEXEXTRACT(CELL("address",'Raw Data'!I115), "\$([A-Z]+)\$[0-9]+"))),_xlfn.REGEXEXTRACT(CELL("address",'Raw Data'!I115), "\$([A-Z]+)\$[0-9]+"))</f>
        <v/>
      </c>
      <c r="J115" s="6" t="str" cm="1">
        <f t="array" aca="1" ref="J115" ca="1">IFERROR(IF(OR('Raw Data'!J115="",LEN(TRIM('Raw Data'!J115))=0),"",IF(AND(ISNUMBER('Raw Data'!J115),'Raw Data'!J115=ROUND('Raw Data'!J115,4),IFERROR(ROUND('Raw Data'!J115,4)&lt;=99999999999.99,FALSE))=TRUE,"",_xlfn.REGEXEXTRACT(CELL("address",'Raw Data'!J115), "\$([A-Z]+)\$[0-9]+"))),_xlfn.REGEXEXTRACT(CELL("address",'Raw Data'!J115), "\$([A-Z]+)\$[0-9]+"))</f>
        <v/>
      </c>
    </row>
    <row r="116" spans="2:10" x14ac:dyDescent="0.25">
      <c r="B116" s="6" t="str" cm="1">
        <f t="array" aca="1" ref="B116" ca="1">IFERROR(IF(OR('Raw Data'!B116="",LEN(TRIM('Raw Data'!B116))=0),"",IF(AND(LEN('Raw Data'!B116) &lt;= 255,LEN('Raw Data'!B116)&gt; 0),"",_xlfn.REGEXEXTRACT(CELL("address",'Raw Data'!B116),"\$([A-Z]+)\$[0-9]+"))),_xlfn.REGEXEXTRACT(CELL("address",'Raw Data'!B116),"\$([A-Z]+)\$[0-9]+"))</f>
        <v/>
      </c>
      <c r="C116" s="6" t="str" cm="1">
        <f t="array" aca="1" ref="C116" ca="1">IFERROR(IF(OR('Raw Data'!C116="",LEN(TRIM('Raw Data'!C116))=0),"",IF(AND(LEN('Raw Data'!C116) &lt;= 20,LEN('Raw Data'!C116)&gt; 0),"",_xlfn.REGEXEXTRACT(CELL("address",'Raw Data'!C116),"\$([A-Z]+)\$[0-9]+"))),_xlfn.REGEXEXTRACT(CELL("address",'Raw Data'!C116),"\$([A-Z]+)\$[0-9]+"))</f>
        <v/>
      </c>
      <c r="D116" s="6" t="str" cm="1">
        <f t="array" aca="1" ref="D116" ca="1">IFERROR(IF(OR('Raw Data'!D116="",LEN(TRIM('Raw Data'!D116))=0),"",IF(AND(ISNUMBER('Raw Data'!D116),'Raw Data'!D116&gt;=Configuration!$D$2),"",_xlfn.REGEXEXTRACT(CELL("address",'Raw Data'!D116),"\$([A-Z]+)\$[0-9]+"))),_xlfn.REGEXEXTRACT(CELL("address",D116), "\$([A-Z]+)\$[0-9]+"))</f>
        <v/>
      </c>
      <c r="E116" s="6" t="str" cm="1">
        <f t="array" aca="1" ref="E116" ca="1">IFERROR(IF(OR('Raw Data'!E116="",LEN(TRIM('Raw Data'!E116))=0),"",IF(AND(ISNUMBER('Raw Data'!E116),'Raw Data'!E116=ROUND('Raw Data'!E116,4),IFERROR(ROUND('Raw Data'!E116,4)&lt;=99999999999.99,FALSE))=TRUE,"",_xlfn.REGEXEXTRACT(CELL("address",'Raw Data'!E116), "\$([A-Z]+)\$[0-9]+"))),_xlfn.REGEXEXTRACT(CELL("address",'Raw Data'!E116), "\$([A-Z]+)\$[0-9]+"))</f>
        <v/>
      </c>
      <c r="F116" s="6" t="str" cm="1">
        <f t="array" aca="1" ref="F116" ca="1">IFERROR(IF(OR('Raw Data'!F116="",LEN(TRIM('Raw Data'!F116))=0),"",IF(AND(ISNUMBER('Raw Data'!F116),'Raw Data'!F116=ROUND('Raw Data'!F116,4),IFERROR(ROUND('Raw Data'!F116,4)&lt;=99999999999.99,FALSE))=TRUE,"",_xlfn.REGEXEXTRACT(CELL("address",'Raw Data'!F116), "\$([A-Z]+)\$[0-9]+"))),_xlfn.REGEXEXTRACT(CELL("address",'Raw Data'!F116), "\$([A-Z]+)\$[0-9]+"))</f>
        <v/>
      </c>
      <c r="G116" s="6" t="str" cm="1">
        <f t="array" aca="1" ref="G116" ca="1">IFERROR(IF(OR('Raw Data'!G116="",LEN(TRIM('Raw Data'!G116))=0),"",IF(AND(ISNUMBER('Raw Data'!G116),'Raw Data'!G116=ROUND('Raw Data'!G116,4),IFERROR(ROUND('Raw Data'!G116,4)&lt;=99999999999.99,FALSE))=TRUE,"",_xlfn.REGEXEXTRACT(CELL("address",'Raw Data'!G116), "\$([A-Z]+)\$[0-9]+"))),_xlfn.REGEXEXTRACT(CELL("address",'Raw Data'!G116), "\$([A-Z]+)\$[0-9]+"))</f>
        <v/>
      </c>
      <c r="H116" s="6" t="str" cm="1">
        <f t="array" aca="1" ref="H116" ca="1">IFERROR(IF(OR('Raw Data'!H116="",LEN(TRIM('Raw Data'!H116))=0),"",IF(AND(ISNUMBER('Raw Data'!H116),'Raw Data'!H116=ROUND('Raw Data'!H116,4),IFERROR(ROUND('Raw Data'!H116,4)&lt;=99999999999.99,FALSE))=TRUE,"",_xlfn.REGEXEXTRACT(CELL("address",'Raw Data'!H116), "\$([A-Z]+)\$[0-9]+"))),_xlfn.REGEXEXTRACT(CELL("address",'Raw Data'!H116), "\$([A-Z]+)\$[0-9]+"))</f>
        <v/>
      </c>
      <c r="I116" s="6" t="str" cm="1">
        <f t="array" aca="1" ref="I116" ca="1">IFERROR(IF(OR('Raw Data'!I116="",LEN(TRIM('Raw Data'!I116))=0),"",IF(AND(ISNUMBER('Raw Data'!I116),'Raw Data'!I116=ROUND('Raw Data'!I116,4),IFERROR(ROUND('Raw Data'!I116,4)&lt;=99999999999.99,FALSE))=TRUE,"",_xlfn.REGEXEXTRACT(CELL("address",'Raw Data'!I116), "\$([A-Z]+)\$[0-9]+"))),_xlfn.REGEXEXTRACT(CELL("address",'Raw Data'!I116), "\$([A-Z]+)\$[0-9]+"))</f>
        <v/>
      </c>
      <c r="J116" s="6" t="str" cm="1">
        <f t="array" aca="1" ref="J116" ca="1">IFERROR(IF(OR('Raw Data'!J116="",LEN(TRIM('Raw Data'!J116))=0),"",IF(AND(ISNUMBER('Raw Data'!J116),'Raw Data'!J116=ROUND('Raw Data'!J116,4),IFERROR(ROUND('Raw Data'!J116,4)&lt;=99999999999.99,FALSE))=TRUE,"",_xlfn.REGEXEXTRACT(CELL("address",'Raw Data'!J116), "\$([A-Z]+)\$[0-9]+"))),_xlfn.REGEXEXTRACT(CELL("address",'Raw Data'!J116), "\$([A-Z]+)\$[0-9]+"))</f>
        <v/>
      </c>
    </row>
    <row r="117" spans="2:10" x14ac:dyDescent="0.25">
      <c r="B117" s="6" t="str" cm="1">
        <f t="array" aca="1" ref="B117" ca="1">IFERROR(IF(OR('Raw Data'!B117="",LEN(TRIM('Raw Data'!B117))=0),"",IF(AND(LEN('Raw Data'!B117) &lt;= 255,LEN('Raw Data'!B117)&gt; 0),"",_xlfn.REGEXEXTRACT(CELL("address",'Raw Data'!B117),"\$([A-Z]+)\$[0-9]+"))),_xlfn.REGEXEXTRACT(CELL("address",'Raw Data'!B117),"\$([A-Z]+)\$[0-9]+"))</f>
        <v/>
      </c>
      <c r="C117" s="6" t="str" cm="1">
        <f t="array" aca="1" ref="C117" ca="1">IFERROR(IF(OR('Raw Data'!C117="",LEN(TRIM('Raw Data'!C117))=0),"",IF(AND(LEN('Raw Data'!C117) &lt;= 20,LEN('Raw Data'!C117)&gt; 0),"",_xlfn.REGEXEXTRACT(CELL("address",'Raw Data'!C117),"\$([A-Z]+)\$[0-9]+"))),_xlfn.REGEXEXTRACT(CELL("address",'Raw Data'!C117),"\$([A-Z]+)\$[0-9]+"))</f>
        <v/>
      </c>
      <c r="D117" s="6" t="str" cm="1">
        <f t="array" aca="1" ref="D117" ca="1">IFERROR(IF(OR('Raw Data'!D117="",LEN(TRIM('Raw Data'!D117))=0),"",IF(AND(ISNUMBER('Raw Data'!D117),'Raw Data'!D117&gt;=Configuration!$D$2),"",_xlfn.REGEXEXTRACT(CELL("address",'Raw Data'!D117),"\$([A-Z]+)\$[0-9]+"))),_xlfn.REGEXEXTRACT(CELL("address",D117), "\$([A-Z]+)\$[0-9]+"))</f>
        <v/>
      </c>
      <c r="E117" s="6" t="str" cm="1">
        <f t="array" aca="1" ref="E117" ca="1">IFERROR(IF(OR('Raw Data'!E117="",LEN(TRIM('Raw Data'!E117))=0),"",IF(AND(ISNUMBER('Raw Data'!E117),'Raw Data'!E117=ROUND('Raw Data'!E117,4),IFERROR(ROUND('Raw Data'!E117,4)&lt;=99999999999.99,FALSE))=TRUE,"",_xlfn.REGEXEXTRACT(CELL("address",'Raw Data'!E117), "\$([A-Z]+)\$[0-9]+"))),_xlfn.REGEXEXTRACT(CELL("address",'Raw Data'!E117), "\$([A-Z]+)\$[0-9]+"))</f>
        <v/>
      </c>
      <c r="F117" s="6" t="str" cm="1">
        <f t="array" aca="1" ref="F117" ca="1">IFERROR(IF(OR('Raw Data'!F117="",LEN(TRIM('Raw Data'!F117))=0),"",IF(AND(ISNUMBER('Raw Data'!F117),'Raw Data'!F117=ROUND('Raw Data'!F117,4),IFERROR(ROUND('Raw Data'!F117,4)&lt;=99999999999.99,FALSE))=TRUE,"",_xlfn.REGEXEXTRACT(CELL("address",'Raw Data'!F117), "\$([A-Z]+)\$[0-9]+"))),_xlfn.REGEXEXTRACT(CELL("address",'Raw Data'!F117), "\$([A-Z]+)\$[0-9]+"))</f>
        <v/>
      </c>
      <c r="G117" s="6" t="str" cm="1">
        <f t="array" aca="1" ref="G117" ca="1">IFERROR(IF(OR('Raw Data'!G117="",LEN(TRIM('Raw Data'!G117))=0),"",IF(AND(ISNUMBER('Raw Data'!G117),'Raw Data'!G117=ROUND('Raw Data'!G117,4),IFERROR(ROUND('Raw Data'!G117,4)&lt;=99999999999.99,FALSE))=TRUE,"",_xlfn.REGEXEXTRACT(CELL("address",'Raw Data'!G117), "\$([A-Z]+)\$[0-9]+"))),_xlfn.REGEXEXTRACT(CELL("address",'Raw Data'!G117), "\$([A-Z]+)\$[0-9]+"))</f>
        <v/>
      </c>
      <c r="H117" s="6" t="str" cm="1">
        <f t="array" aca="1" ref="H117" ca="1">IFERROR(IF(OR('Raw Data'!H117="",LEN(TRIM('Raw Data'!H117))=0),"",IF(AND(ISNUMBER('Raw Data'!H117),'Raw Data'!H117=ROUND('Raw Data'!H117,4),IFERROR(ROUND('Raw Data'!H117,4)&lt;=99999999999.99,FALSE))=TRUE,"",_xlfn.REGEXEXTRACT(CELL("address",'Raw Data'!H117), "\$([A-Z]+)\$[0-9]+"))),_xlfn.REGEXEXTRACT(CELL("address",'Raw Data'!H117), "\$([A-Z]+)\$[0-9]+"))</f>
        <v/>
      </c>
      <c r="I117" s="6" t="str" cm="1">
        <f t="array" aca="1" ref="I117" ca="1">IFERROR(IF(OR('Raw Data'!I117="",LEN(TRIM('Raw Data'!I117))=0),"",IF(AND(ISNUMBER('Raw Data'!I117),'Raw Data'!I117=ROUND('Raw Data'!I117,4),IFERROR(ROUND('Raw Data'!I117,4)&lt;=99999999999.99,FALSE))=TRUE,"",_xlfn.REGEXEXTRACT(CELL("address",'Raw Data'!I117), "\$([A-Z]+)\$[0-9]+"))),_xlfn.REGEXEXTRACT(CELL("address",'Raw Data'!I117), "\$([A-Z]+)\$[0-9]+"))</f>
        <v/>
      </c>
      <c r="J117" s="6" t="str" cm="1">
        <f t="array" aca="1" ref="J117" ca="1">IFERROR(IF(OR('Raw Data'!J117="",LEN(TRIM('Raw Data'!J117))=0),"",IF(AND(ISNUMBER('Raw Data'!J117),'Raw Data'!J117=ROUND('Raw Data'!J117,4),IFERROR(ROUND('Raw Data'!J117,4)&lt;=99999999999.99,FALSE))=TRUE,"",_xlfn.REGEXEXTRACT(CELL("address",'Raw Data'!J117), "\$([A-Z]+)\$[0-9]+"))),_xlfn.REGEXEXTRACT(CELL("address",'Raw Data'!J117), "\$([A-Z]+)\$[0-9]+"))</f>
        <v/>
      </c>
    </row>
    <row r="118" spans="2:10" x14ac:dyDescent="0.25">
      <c r="B118" s="6" t="str" cm="1">
        <f t="array" aca="1" ref="B118" ca="1">IFERROR(IF(OR('Raw Data'!B118="",LEN(TRIM('Raw Data'!B118))=0),"",IF(AND(LEN('Raw Data'!B118) &lt;= 255,LEN('Raw Data'!B118)&gt; 0),"",_xlfn.REGEXEXTRACT(CELL("address",'Raw Data'!B118),"\$([A-Z]+)\$[0-9]+"))),_xlfn.REGEXEXTRACT(CELL("address",'Raw Data'!B118),"\$([A-Z]+)\$[0-9]+"))</f>
        <v/>
      </c>
      <c r="C118" s="6" t="str" cm="1">
        <f t="array" aca="1" ref="C118" ca="1">IFERROR(IF(OR('Raw Data'!C118="",LEN(TRIM('Raw Data'!C118))=0),"",IF(AND(LEN('Raw Data'!C118) &lt;= 20,LEN('Raw Data'!C118)&gt; 0),"",_xlfn.REGEXEXTRACT(CELL("address",'Raw Data'!C118),"\$([A-Z]+)\$[0-9]+"))),_xlfn.REGEXEXTRACT(CELL("address",'Raw Data'!C118),"\$([A-Z]+)\$[0-9]+"))</f>
        <v/>
      </c>
      <c r="D118" s="6" t="str" cm="1">
        <f t="array" aca="1" ref="D118" ca="1">IFERROR(IF(OR('Raw Data'!D118="",LEN(TRIM('Raw Data'!D118))=0),"",IF(AND(ISNUMBER('Raw Data'!D118),'Raw Data'!D118&gt;=Configuration!$D$2),"",_xlfn.REGEXEXTRACT(CELL("address",'Raw Data'!D118),"\$([A-Z]+)\$[0-9]+"))),_xlfn.REGEXEXTRACT(CELL("address",D118), "\$([A-Z]+)\$[0-9]+"))</f>
        <v/>
      </c>
      <c r="E118" s="6" t="str" cm="1">
        <f t="array" aca="1" ref="E118" ca="1">IFERROR(IF(OR('Raw Data'!E118="",LEN(TRIM('Raw Data'!E118))=0),"",IF(AND(ISNUMBER('Raw Data'!E118),'Raw Data'!E118=ROUND('Raw Data'!E118,4),IFERROR(ROUND('Raw Data'!E118,4)&lt;=99999999999.99,FALSE))=TRUE,"",_xlfn.REGEXEXTRACT(CELL("address",'Raw Data'!E118), "\$([A-Z]+)\$[0-9]+"))),_xlfn.REGEXEXTRACT(CELL("address",'Raw Data'!E118), "\$([A-Z]+)\$[0-9]+"))</f>
        <v/>
      </c>
      <c r="F118" s="6" t="str" cm="1">
        <f t="array" aca="1" ref="F118" ca="1">IFERROR(IF(OR('Raw Data'!F118="",LEN(TRIM('Raw Data'!F118))=0),"",IF(AND(ISNUMBER('Raw Data'!F118),'Raw Data'!F118=ROUND('Raw Data'!F118,4),IFERROR(ROUND('Raw Data'!F118,4)&lt;=99999999999.99,FALSE))=TRUE,"",_xlfn.REGEXEXTRACT(CELL("address",'Raw Data'!F118), "\$([A-Z]+)\$[0-9]+"))),_xlfn.REGEXEXTRACT(CELL("address",'Raw Data'!F118), "\$([A-Z]+)\$[0-9]+"))</f>
        <v/>
      </c>
      <c r="G118" s="6" t="str" cm="1">
        <f t="array" aca="1" ref="G118" ca="1">IFERROR(IF(OR('Raw Data'!G118="",LEN(TRIM('Raw Data'!G118))=0),"",IF(AND(ISNUMBER('Raw Data'!G118),'Raw Data'!G118=ROUND('Raw Data'!G118,4),IFERROR(ROUND('Raw Data'!G118,4)&lt;=99999999999.99,FALSE))=TRUE,"",_xlfn.REGEXEXTRACT(CELL("address",'Raw Data'!G118), "\$([A-Z]+)\$[0-9]+"))),_xlfn.REGEXEXTRACT(CELL("address",'Raw Data'!G118), "\$([A-Z]+)\$[0-9]+"))</f>
        <v/>
      </c>
      <c r="H118" s="6" t="str" cm="1">
        <f t="array" aca="1" ref="H118" ca="1">IFERROR(IF(OR('Raw Data'!H118="",LEN(TRIM('Raw Data'!H118))=0),"",IF(AND(ISNUMBER('Raw Data'!H118),'Raw Data'!H118=ROUND('Raw Data'!H118,4),IFERROR(ROUND('Raw Data'!H118,4)&lt;=99999999999.99,FALSE))=TRUE,"",_xlfn.REGEXEXTRACT(CELL("address",'Raw Data'!H118), "\$([A-Z]+)\$[0-9]+"))),_xlfn.REGEXEXTRACT(CELL("address",'Raw Data'!H118), "\$([A-Z]+)\$[0-9]+"))</f>
        <v/>
      </c>
      <c r="I118" s="6" t="str" cm="1">
        <f t="array" aca="1" ref="I118" ca="1">IFERROR(IF(OR('Raw Data'!I118="",LEN(TRIM('Raw Data'!I118))=0),"",IF(AND(ISNUMBER('Raw Data'!I118),'Raw Data'!I118=ROUND('Raw Data'!I118,4),IFERROR(ROUND('Raw Data'!I118,4)&lt;=99999999999.99,FALSE))=TRUE,"",_xlfn.REGEXEXTRACT(CELL("address",'Raw Data'!I118), "\$([A-Z]+)\$[0-9]+"))),_xlfn.REGEXEXTRACT(CELL("address",'Raw Data'!I118), "\$([A-Z]+)\$[0-9]+"))</f>
        <v/>
      </c>
      <c r="J118" s="6" t="str" cm="1">
        <f t="array" aca="1" ref="J118" ca="1">IFERROR(IF(OR('Raw Data'!J118="",LEN(TRIM('Raw Data'!J118))=0),"",IF(AND(ISNUMBER('Raw Data'!J118),'Raw Data'!J118=ROUND('Raw Data'!J118,4),IFERROR(ROUND('Raw Data'!J118,4)&lt;=99999999999.99,FALSE))=TRUE,"",_xlfn.REGEXEXTRACT(CELL("address",'Raw Data'!J118), "\$([A-Z]+)\$[0-9]+"))),_xlfn.REGEXEXTRACT(CELL("address",'Raw Data'!J118), "\$([A-Z]+)\$[0-9]+"))</f>
        <v/>
      </c>
    </row>
    <row r="119" spans="2:10" x14ac:dyDescent="0.25">
      <c r="B119" s="6" t="str" cm="1">
        <f t="array" aca="1" ref="B119" ca="1">IFERROR(IF(OR('Raw Data'!B119="",LEN(TRIM('Raw Data'!B119))=0),"",IF(AND(LEN('Raw Data'!B119) &lt;= 255,LEN('Raw Data'!B119)&gt; 0),"",_xlfn.REGEXEXTRACT(CELL("address",'Raw Data'!B119),"\$([A-Z]+)\$[0-9]+"))),_xlfn.REGEXEXTRACT(CELL("address",'Raw Data'!B119),"\$([A-Z]+)\$[0-9]+"))</f>
        <v/>
      </c>
      <c r="C119" s="6" t="str" cm="1">
        <f t="array" aca="1" ref="C119" ca="1">IFERROR(IF(OR('Raw Data'!C119="",LEN(TRIM('Raw Data'!C119))=0),"",IF(AND(LEN('Raw Data'!C119) &lt;= 20,LEN('Raw Data'!C119)&gt; 0),"",_xlfn.REGEXEXTRACT(CELL("address",'Raw Data'!C119),"\$([A-Z]+)\$[0-9]+"))),_xlfn.REGEXEXTRACT(CELL("address",'Raw Data'!C119),"\$([A-Z]+)\$[0-9]+"))</f>
        <v/>
      </c>
      <c r="D119" s="6" t="str" cm="1">
        <f t="array" aca="1" ref="D119" ca="1">IFERROR(IF(OR('Raw Data'!D119="",LEN(TRIM('Raw Data'!D119))=0),"",IF(AND(ISNUMBER('Raw Data'!D119),'Raw Data'!D119&gt;=Configuration!$D$2),"",_xlfn.REGEXEXTRACT(CELL("address",'Raw Data'!D119),"\$([A-Z]+)\$[0-9]+"))),_xlfn.REGEXEXTRACT(CELL("address",D119), "\$([A-Z]+)\$[0-9]+"))</f>
        <v/>
      </c>
      <c r="E119" s="6" t="str" cm="1">
        <f t="array" aca="1" ref="E119" ca="1">IFERROR(IF(OR('Raw Data'!E119="",LEN(TRIM('Raw Data'!E119))=0),"",IF(AND(ISNUMBER('Raw Data'!E119),'Raw Data'!E119=ROUND('Raw Data'!E119,4),IFERROR(ROUND('Raw Data'!E119,4)&lt;=99999999999.99,FALSE))=TRUE,"",_xlfn.REGEXEXTRACT(CELL("address",'Raw Data'!E119), "\$([A-Z]+)\$[0-9]+"))),_xlfn.REGEXEXTRACT(CELL("address",'Raw Data'!E119), "\$([A-Z]+)\$[0-9]+"))</f>
        <v/>
      </c>
      <c r="F119" s="6" t="str" cm="1">
        <f t="array" aca="1" ref="F119" ca="1">IFERROR(IF(OR('Raw Data'!F119="",LEN(TRIM('Raw Data'!F119))=0),"",IF(AND(ISNUMBER('Raw Data'!F119),'Raw Data'!F119=ROUND('Raw Data'!F119,4),IFERROR(ROUND('Raw Data'!F119,4)&lt;=99999999999.99,FALSE))=TRUE,"",_xlfn.REGEXEXTRACT(CELL("address",'Raw Data'!F119), "\$([A-Z]+)\$[0-9]+"))),_xlfn.REGEXEXTRACT(CELL("address",'Raw Data'!F119), "\$([A-Z]+)\$[0-9]+"))</f>
        <v/>
      </c>
      <c r="G119" s="6" t="str" cm="1">
        <f t="array" aca="1" ref="G119" ca="1">IFERROR(IF(OR('Raw Data'!G119="",LEN(TRIM('Raw Data'!G119))=0),"",IF(AND(ISNUMBER('Raw Data'!G119),'Raw Data'!G119=ROUND('Raw Data'!G119,4),IFERROR(ROUND('Raw Data'!G119,4)&lt;=99999999999.99,FALSE))=TRUE,"",_xlfn.REGEXEXTRACT(CELL("address",'Raw Data'!G119), "\$([A-Z]+)\$[0-9]+"))),_xlfn.REGEXEXTRACT(CELL("address",'Raw Data'!G119), "\$([A-Z]+)\$[0-9]+"))</f>
        <v/>
      </c>
      <c r="H119" s="6" t="str" cm="1">
        <f t="array" aca="1" ref="H119" ca="1">IFERROR(IF(OR('Raw Data'!H119="",LEN(TRIM('Raw Data'!H119))=0),"",IF(AND(ISNUMBER('Raw Data'!H119),'Raw Data'!H119=ROUND('Raw Data'!H119,4),IFERROR(ROUND('Raw Data'!H119,4)&lt;=99999999999.99,FALSE))=TRUE,"",_xlfn.REGEXEXTRACT(CELL("address",'Raw Data'!H119), "\$([A-Z]+)\$[0-9]+"))),_xlfn.REGEXEXTRACT(CELL("address",'Raw Data'!H119), "\$([A-Z]+)\$[0-9]+"))</f>
        <v/>
      </c>
      <c r="I119" s="6" t="str" cm="1">
        <f t="array" aca="1" ref="I119" ca="1">IFERROR(IF(OR('Raw Data'!I119="",LEN(TRIM('Raw Data'!I119))=0),"",IF(AND(ISNUMBER('Raw Data'!I119),'Raw Data'!I119=ROUND('Raw Data'!I119,4),IFERROR(ROUND('Raw Data'!I119,4)&lt;=99999999999.99,FALSE))=TRUE,"",_xlfn.REGEXEXTRACT(CELL("address",'Raw Data'!I119), "\$([A-Z]+)\$[0-9]+"))),_xlfn.REGEXEXTRACT(CELL("address",'Raw Data'!I119), "\$([A-Z]+)\$[0-9]+"))</f>
        <v/>
      </c>
      <c r="J119" s="6" t="str" cm="1">
        <f t="array" aca="1" ref="J119" ca="1">IFERROR(IF(OR('Raw Data'!J119="",LEN(TRIM('Raw Data'!J119))=0),"",IF(AND(ISNUMBER('Raw Data'!J119),'Raw Data'!J119=ROUND('Raw Data'!J119,4),IFERROR(ROUND('Raw Data'!J119,4)&lt;=99999999999.99,FALSE))=TRUE,"",_xlfn.REGEXEXTRACT(CELL("address",'Raw Data'!J119), "\$([A-Z]+)\$[0-9]+"))),_xlfn.REGEXEXTRACT(CELL("address",'Raw Data'!J119), "\$([A-Z]+)\$[0-9]+"))</f>
        <v/>
      </c>
    </row>
    <row r="120" spans="2:10" x14ac:dyDescent="0.25">
      <c r="B120" s="6" t="str" cm="1">
        <f t="array" aca="1" ref="B120" ca="1">IFERROR(IF(OR('Raw Data'!B120="",LEN(TRIM('Raw Data'!B120))=0),"",IF(AND(LEN('Raw Data'!B120) &lt;= 255,LEN('Raw Data'!B120)&gt; 0),"",_xlfn.REGEXEXTRACT(CELL("address",'Raw Data'!B120),"\$([A-Z]+)\$[0-9]+"))),_xlfn.REGEXEXTRACT(CELL("address",'Raw Data'!B120),"\$([A-Z]+)\$[0-9]+"))</f>
        <v/>
      </c>
      <c r="C120" s="6" t="str" cm="1">
        <f t="array" aca="1" ref="C120" ca="1">IFERROR(IF(OR('Raw Data'!C120="",LEN(TRIM('Raw Data'!C120))=0),"",IF(AND(LEN('Raw Data'!C120) &lt;= 20,LEN('Raw Data'!C120)&gt; 0),"",_xlfn.REGEXEXTRACT(CELL("address",'Raw Data'!C120),"\$([A-Z]+)\$[0-9]+"))),_xlfn.REGEXEXTRACT(CELL("address",'Raw Data'!C120),"\$([A-Z]+)\$[0-9]+"))</f>
        <v/>
      </c>
      <c r="D120" s="6" t="str" cm="1">
        <f t="array" aca="1" ref="D120" ca="1">IFERROR(IF(OR('Raw Data'!D120="",LEN(TRIM('Raw Data'!D120))=0),"",IF(AND(ISNUMBER('Raw Data'!D120),'Raw Data'!D120&gt;=Configuration!$D$2),"",_xlfn.REGEXEXTRACT(CELL("address",'Raw Data'!D120),"\$([A-Z]+)\$[0-9]+"))),_xlfn.REGEXEXTRACT(CELL("address",D120), "\$([A-Z]+)\$[0-9]+"))</f>
        <v/>
      </c>
      <c r="E120" s="6" t="str" cm="1">
        <f t="array" aca="1" ref="E120" ca="1">IFERROR(IF(OR('Raw Data'!E120="",LEN(TRIM('Raw Data'!E120))=0),"",IF(AND(ISNUMBER('Raw Data'!E120),'Raw Data'!E120=ROUND('Raw Data'!E120,4),IFERROR(ROUND('Raw Data'!E120,4)&lt;=99999999999.99,FALSE))=TRUE,"",_xlfn.REGEXEXTRACT(CELL("address",'Raw Data'!E120), "\$([A-Z]+)\$[0-9]+"))),_xlfn.REGEXEXTRACT(CELL("address",'Raw Data'!E120), "\$([A-Z]+)\$[0-9]+"))</f>
        <v/>
      </c>
      <c r="F120" s="6" t="str" cm="1">
        <f t="array" aca="1" ref="F120" ca="1">IFERROR(IF(OR('Raw Data'!F120="",LEN(TRIM('Raw Data'!F120))=0),"",IF(AND(ISNUMBER('Raw Data'!F120),'Raw Data'!F120=ROUND('Raw Data'!F120,4),IFERROR(ROUND('Raw Data'!F120,4)&lt;=99999999999.99,FALSE))=TRUE,"",_xlfn.REGEXEXTRACT(CELL("address",'Raw Data'!F120), "\$([A-Z]+)\$[0-9]+"))),_xlfn.REGEXEXTRACT(CELL("address",'Raw Data'!F120), "\$([A-Z]+)\$[0-9]+"))</f>
        <v/>
      </c>
      <c r="G120" s="6" t="str" cm="1">
        <f t="array" aca="1" ref="G120" ca="1">IFERROR(IF(OR('Raw Data'!G120="",LEN(TRIM('Raw Data'!G120))=0),"",IF(AND(ISNUMBER('Raw Data'!G120),'Raw Data'!G120=ROUND('Raw Data'!G120,4),IFERROR(ROUND('Raw Data'!G120,4)&lt;=99999999999.99,FALSE))=TRUE,"",_xlfn.REGEXEXTRACT(CELL("address",'Raw Data'!G120), "\$([A-Z]+)\$[0-9]+"))),_xlfn.REGEXEXTRACT(CELL("address",'Raw Data'!G120), "\$([A-Z]+)\$[0-9]+"))</f>
        <v/>
      </c>
      <c r="H120" s="6" t="str" cm="1">
        <f t="array" aca="1" ref="H120" ca="1">IFERROR(IF(OR('Raw Data'!H120="",LEN(TRIM('Raw Data'!H120))=0),"",IF(AND(ISNUMBER('Raw Data'!H120),'Raw Data'!H120=ROUND('Raw Data'!H120,4),IFERROR(ROUND('Raw Data'!H120,4)&lt;=99999999999.99,FALSE))=TRUE,"",_xlfn.REGEXEXTRACT(CELL("address",'Raw Data'!H120), "\$([A-Z]+)\$[0-9]+"))),_xlfn.REGEXEXTRACT(CELL("address",'Raw Data'!H120), "\$([A-Z]+)\$[0-9]+"))</f>
        <v/>
      </c>
      <c r="I120" s="6" t="str" cm="1">
        <f t="array" aca="1" ref="I120" ca="1">IFERROR(IF(OR('Raw Data'!I120="",LEN(TRIM('Raw Data'!I120))=0),"",IF(AND(ISNUMBER('Raw Data'!I120),'Raw Data'!I120=ROUND('Raw Data'!I120,4),IFERROR(ROUND('Raw Data'!I120,4)&lt;=99999999999.99,FALSE))=TRUE,"",_xlfn.REGEXEXTRACT(CELL("address",'Raw Data'!I120), "\$([A-Z]+)\$[0-9]+"))),_xlfn.REGEXEXTRACT(CELL("address",'Raw Data'!I120), "\$([A-Z]+)\$[0-9]+"))</f>
        <v/>
      </c>
      <c r="J120" s="6" t="str" cm="1">
        <f t="array" aca="1" ref="J120" ca="1">IFERROR(IF(OR('Raw Data'!J120="",LEN(TRIM('Raw Data'!J120))=0),"",IF(AND(ISNUMBER('Raw Data'!J120),'Raw Data'!J120=ROUND('Raw Data'!J120,4),IFERROR(ROUND('Raw Data'!J120,4)&lt;=99999999999.99,FALSE))=TRUE,"",_xlfn.REGEXEXTRACT(CELL("address",'Raw Data'!J120), "\$([A-Z]+)\$[0-9]+"))),_xlfn.REGEXEXTRACT(CELL("address",'Raw Data'!J120), "\$([A-Z]+)\$[0-9]+"))</f>
        <v/>
      </c>
    </row>
    <row r="121" spans="2:10" x14ac:dyDescent="0.25">
      <c r="B121" s="6" t="str" cm="1">
        <f t="array" aca="1" ref="B121" ca="1">IFERROR(IF(OR('Raw Data'!B121="",LEN(TRIM('Raw Data'!B121))=0),"",IF(AND(LEN('Raw Data'!B121) &lt;= 255,LEN('Raw Data'!B121)&gt; 0),"",_xlfn.REGEXEXTRACT(CELL("address",'Raw Data'!B121),"\$([A-Z]+)\$[0-9]+"))),_xlfn.REGEXEXTRACT(CELL("address",'Raw Data'!B121),"\$([A-Z]+)\$[0-9]+"))</f>
        <v/>
      </c>
      <c r="C121" s="6" t="str" cm="1">
        <f t="array" aca="1" ref="C121" ca="1">IFERROR(IF(OR('Raw Data'!C121="",LEN(TRIM('Raw Data'!C121))=0),"",IF(AND(LEN('Raw Data'!C121) &lt;= 20,LEN('Raw Data'!C121)&gt; 0),"",_xlfn.REGEXEXTRACT(CELL("address",'Raw Data'!C121),"\$([A-Z]+)\$[0-9]+"))),_xlfn.REGEXEXTRACT(CELL("address",'Raw Data'!C121),"\$([A-Z]+)\$[0-9]+"))</f>
        <v/>
      </c>
      <c r="D121" s="6" t="str" cm="1">
        <f t="array" aca="1" ref="D121" ca="1">IFERROR(IF(OR('Raw Data'!D121="",LEN(TRIM('Raw Data'!D121))=0),"",IF(AND(ISNUMBER('Raw Data'!D121),'Raw Data'!D121&gt;=Configuration!$D$2),"",_xlfn.REGEXEXTRACT(CELL("address",'Raw Data'!D121),"\$([A-Z]+)\$[0-9]+"))),_xlfn.REGEXEXTRACT(CELL("address",D121), "\$([A-Z]+)\$[0-9]+"))</f>
        <v/>
      </c>
      <c r="E121" s="6" t="str" cm="1">
        <f t="array" aca="1" ref="E121" ca="1">IFERROR(IF(OR('Raw Data'!E121="",LEN(TRIM('Raw Data'!E121))=0),"",IF(AND(ISNUMBER('Raw Data'!E121),'Raw Data'!E121=ROUND('Raw Data'!E121,4),IFERROR(ROUND('Raw Data'!E121,4)&lt;=99999999999.99,FALSE))=TRUE,"",_xlfn.REGEXEXTRACT(CELL("address",'Raw Data'!E121), "\$([A-Z]+)\$[0-9]+"))),_xlfn.REGEXEXTRACT(CELL("address",'Raw Data'!E121), "\$([A-Z]+)\$[0-9]+"))</f>
        <v/>
      </c>
      <c r="F121" s="6" t="str" cm="1">
        <f t="array" aca="1" ref="F121" ca="1">IFERROR(IF(OR('Raw Data'!F121="",LEN(TRIM('Raw Data'!F121))=0),"",IF(AND(ISNUMBER('Raw Data'!F121),'Raw Data'!F121=ROUND('Raw Data'!F121,4),IFERROR(ROUND('Raw Data'!F121,4)&lt;=99999999999.99,FALSE))=TRUE,"",_xlfn.REGEXEXTRACT(CELL("address",'Raw Data'!F121), "\$([A-Z]+)\$[0-9]+"))),_xlfn.REGEXEXTRACT(CELL("address",'Raw Data'!F121), "\$([A-Z]+)\$[0-9]+"))</f>
        <v/>
      </c>
      <c r="G121" s="6" t="str" cm="1">
        <f t="array" aca="1" ref="G121" ca="1">IFERROR(IF(OR('Raw Data'!G121="",LEN(TRIM('Raw Data'!G121))=0),"",IF(AND(ISNUMBER('Raw Data'!G121),'Raw Data'!G121=ROUND('Raw Data'!G121,4),IFERROR(ROUND('Raw Data'!G121,4)&lt;=99999999999.99,FALSE))=TRUE,"",_xlfn.REGEXEXTRACT(CELL("address",'Raw Data'!G121), "\$([A-Z]+)\$[0-9]+"))),_xlfn.REGEXEXTRACT(CELL("address",'Raw Data'!G121), "\$([A-Z]+)\$[0-9]+"))</f>
        <v/>
      </c>
      <c r="H121" s="6" t="str" cm="1">
        <f t="array" aca="1" ref="H121" ca="1">IFERROR(IF(OR('Raw Data'!H121="",LEN(TRIM('Raw Data'!H121))=0),"",IF(AND(ISNUMBER('Raw Data'!H121),'Raw Data'!H121=ROUND('Raw Data'!H121,4),IFERROR(ROUND('Raw Data'!H121,4)&lt;=99999999999.99,FALSE))=TRUE,"",_xlfn.REGEXEXTRACT(CELL("address",'Raw Data'!H121), "\$([A-Z]+)\$[0-9]+"))),_xlfn.REGEXEXTRACT(CELL("address",'Raw Data'!H121), "\$([A-Z]+)\$[0-9]+"))</f>
        <v/>
      </c>
      <c r="I121" s="6" t="str" cm="1">
        <f t="array" aca="1" ref="I121" ca="1">IFERROR(IF(OR('Raw Data'!I121="",LEN(TRIM('Raw Data'!I121))=0),"",IF(AND(ISNUMBER('Raw Data'!I121),'Raw Data'!I121=ROUND('Raw Data'!I121,4),IFERROR(ROUND('Raw Data'!I121,4)&lt;=99999999999.99,FALSE))=TRUE,"",_xlfn.REGEXEXTRACT(CELL("address",'Raw Data'!I121), "\$([A-Z]+)\$[0-9]+"))),_xlfn.REGEXEXTRACT(CELL("address",'Raw Data'!I121), "\$([A-Z]+)\$[0-9]+"))</f>
        <v/>
      </c>
      <c r="J121" s="6" t="str" cm="1">
        <f t="array" aca="1" ref="J121" ca="1">IFERROR(IF(OR('Raw Data'!J121="",LEN(TRIM('Raw Data'!J121))=0),"",IF(AND(ISNUMBER('Raw Data'!J121),'Raw Data'!J121=ROUND('Raw Data'!J121,4),IFERROR(ROUND('Raw Data'!J121,4)&lt;=99999999999.99,FALSE))=TRUE,"",_xlfn.REGEXEXTRACT(CELL("address",'Raw Data'!J121), "\$([A-Z]+)\$[0-9]+"))),_xlfn.REGEXEXTRACT(CELL("address",'Raw Data'!J121), "\$([A-Z]+)\$[0-9]+"))</f>
        <v/>
      </c>
    </row>
    <row r="122" spans="2:10" x14ac:dyDescent="0.25">
      <c r="B122" s="6" t="str" cm="1">
        <f t="array" aca="1" ref="B122" ca="1">IFERROR(IF(OR('Raw Data'!B122="",LEN(TRIM('Raw Data'!B122))=0),"",IF(AND(LEN('Raw Data'!B122) &lt;= 255,LEN('Raw Data'!B122)&gt; 0),"",_xlfn.REGEXEXTRACT(CELL("address",'Raw Data'!B122),"\$([A-Z]+)\$[0-9]+"))),_xlfn.REGEXEXTRACT(CELL("address",'Raw Data'!B122),"\$([A-Z]+)\$[0-9]+"))</f>
        <v/>
      </c>
      <c r="C122" s="6" t="str" cm="1">
        <f t="array" aca="1" ref="C122" ca="1">IFERROR(IF(OR('Raw Data'!C122="",LEN(TRIM('Raw Data'!C122))=0),"",IF(AND(LEN('Raw Data'!C122) &lt;= 20,LEN('Raw Data'!C122)&gt; 0),"",_xlfn.REGEXEXTRACT(CELL("address",'Raw Data'!C122),"\$([A-Z]+)\$[0-9]+"))),_xlfn.REGEXEXTRACT(CELL("address",'Raw Data'!C122),"\$([A-Z]+)\$[0-9]+"))</f>
        <v/>
      </c>
      <c r="D122" s="6" t="str" cm="1">
        <f t="array" aca="1" ref="D122" ca="1">IFERROR(IF(OR('Raw Data'!D122="",LEN(TRIM('Raw Data'!D122))=0),"",IF(AND(ISNUMBER('Raw Data'!D122),'Raw Data'!D122&gt;=Configuration!$D$2),"",_xlfn.REGEXEXTRACT(CELL("address",'Raw Data'!D122),"\$([A-Z]+)\$[0-9]+"))),_xlfn.REGEXEXTRACT(CELL("address",D122), "\$([A-Z]+)\$[0-9]+"))</f>
        <v/>
      </c>
      <c r="E122" s="6" t="str" cm="1">
        <f t="array" aca="1" ref="E122" ca="1">IFERROR(IF(OR('Raw Data'!E122="",LEN(TRIM('Raw Data'!E122))=0),"",IF(AND(ISNUMBER('Raw Data'!E122),'Raw Data'!E122=ROUND('Raw Data'!E122,4),IFERROR(ROUND('Raw Data'!E122,4)&lt;=99999999999.99,FALSE))=TRUE,"",_xlfn.REGEXEXTRACT(CELL("address",'Raw Data'!E122), "\$([A-Z]+)\$[0-9]+"))),_xlfn.REGEXEXTRACT(CELL("address",'Raw Data'!E122), "\$([A-Z]+)\$[0-9]+"))</f>
        <v/>
      </c>
      <c r="F122" s="6" t="str" cm="1">
        <f t="array" aca="1" ref="F122" ca="1">IFERROR(IF(OR('Raw Data'!F122="",LEN(TRIM('Raw Data'!F122))=0),"",IF(AND(ISNUMBER('Raw Data'!F122),'Raw Data'!F122=ROUND('Raw Data'!F122,4),IFERROR(ROUND('Raw Data'!F122,4)&lt;=99999999999.99,FALSE))=TRUE,"",_xlfn.REGEXEXTRACT(CELL("address",'Raw Data'!F122), "\$([A-Z]+)\$[0-9]+"))),_xlfn.REGEXEXTRACT(CELL("address",'Raw Data'!F122), "\$([A-Z]+)\$[0-9]+"))</f>
        <v/>
      </c>
      <c r="G122" s="6" t="str" cm="1">
        <f t="array" aca="1" ref="G122" ca="1">IFERROR(IF(OR('Raw Data'!G122="",LEN(TRIM('Raw Data'!G122))=0),"",IF(AND(ISNUMBER('Raw Data'!G122),'Raw Data'!G122=ROUND('Raw Data'!G122,4),IFERROR(ROUND('Raw Data'!G122,4)&lt;=99999999999.99,FALSE))=TRUE,"",_xlfn.REGEXEXTRACT(CELL("address",'Raw Data'!G122), "\$([A-Z]+)\$[0-9]+"))),_xlfn.REGEXEXTRACT(CELL("address",'Raw Data'!G122), "\$([A-Z]+)\$[0-9]+"))</f>
        <v/>
      </c>
      <c r="H122" s="6" t="str" cm="1">
        <f t="array" aca="1" ref="H122" ca="1">IFERROR(IF(OR('Raw Data'!H122="",LEN(TRIM('Raw Data'!H122))=0),"",IF(AND(ISNUMBER('Raw Data'!H122),'Raw Data'!H122=ROUND('Raw Data'!H122,4),IFERROR(ROUND('Raw Data'!H122,4)&lt;=99999999999.99,FALSE))=TRUE,"",_xlfn.REGEXEXTRACT(CELL("address",'Raw Data'!H122), "\$([A-Z]+)\$[0-9]+"))),_xlfn.REGEXEXTRACT(CELL("address",'Raw Data'!H122), "\$([A-Z]+)\$[0-9]+"))</f>
        <v/>
      </c>
      <c r="I122" s="6" t="str" cm="1">
        <f t="array" aca="1" ref="I122" ca="1">IFERROR(IF(OR('Raw Data'!I122="",LEN(TRIM('Raw Data'!I122))=0),"",IF(AND(ISNUMBER('Raw Data'!I122),'Raw Data'!I122=ROUND('Raw Data'!I122,4),IFERROR(ROUND('Raw Data'!I122,4)&lt;=99999999999.99,FALSE))=TRUE,"",_xlfn.REGEXEXTRACT(CELL("address",'Raw Data'!I122), "\$([A-Z]+)\$[0-9]+"))),_xlfn.REGEXEXTRACT(CELL("address",'Raw Data'!I122), "\$([A-Z]+)\$[0-9]+"))</f>
        <v/>
      </c>
      <c r="J122" s="6" t="str" cm="1">
        <f t="array" aca="1" ref="J122" ca="1">IFERROR(IF(OR('Raw Data'!J122="",LEN(TRIM('Raw Data'!J122))=0),"",IF(AND(ISNUMBER('Raw Data'!J122),'Raw Data'!J122=ROUND('Raw Data'!J122,4),IFERROR(ROUND('Raw Data'!J122,4)&lt;=99999999999.99,FALSE))=TRUE,"",_xlfn.REGEXEXTRACT(CELL("address",'Raw Data'!J122), "\$([A-Z]+)\$[0-9]+"))),_xlfn.REGEXEXTRACT(CELL("address",'Raw Data'!J122), "\$([A-Z]+)\$[0-9]+"))</f>
        <v/>
      </c>
    </row>
    <row r="123" spans="2:10" x14ac:dyDescent="0.25">
      <c r="B123" s="6" t="str" cm="1">
        <f t="array" aca="1" ref="B123" ca="1">IFERROR(IF(OR('Raw Data'!B123="",LEN(TRIM('Raw Data'!B123))=0),"",IF(AND(LEN('Raw Data'!B123) &lt;= 255,LEN('Raw Data'!B123)&gt; 0),"",_xlfn.REGEXEXTRACT(CELL("address",'Raw Data'!B123),"\$([A-Z]+)\$[0-9]+"))),_xlfn.REGEXEXTRACT(CELL("address",'Raw Data'!B123),"\$([A-Z]+)\$[0-9]+"))</f>
        <v/>
      </c>
      <c r="C123" s="6" t="str" cm="1">
        <f t="array" aca="1" ref="C123" ca="1">IFERROR(IF(OR('Raw Data'!C123="",LEN(TRIM('Raw Data'!C123))=0),"",IF(AND(LEN('Raw Data'!C123) &lt;= 20,LEN('Raw Data'!C123)&gt; 0),"",_xlfn.REGEXEXTRACT(CELL("address",'Raw Data'!C123),"\$([A-Z]+)\$[0-9]+"))),_xlfn.REGEXEXTRACT(CELL("address",'Raw Data'!C123),"\$([A-Z]+)\$[0-9]+"))</f>
        <v/>
      </c>
      <c r="D123" s="6" t="str" cm="1">
        <f t="array" aca="1" ref="D123" ca="1">IFERROR(IF(OR('Raw Data'!D123="",LEN(TRIM('Raw Data'!D123))=0),"",IF(AND(ISNUMBER('Raw Data'!D123),'Raw Data'!D123&gt;=Configuration!$D$2),"",_xlfn.REGEXEXTRACT(CELL("address",'Raw Data'!D123),"\$([A-Z]+)\$[0-9]+"))),_xlfn.REGEXEXTRACT(CELL("address",D123), "\$([A-Z]+)\$[0-9]+"))</f>
        <v/>
      </c>
      <c r="E123" s="6" t="str" cm="1">
        <f t="array" aca="1" ref="E123" ca="1">IFERROR(IF(OR('Raw Data'!E123="",LEN(TRIM('Raw Data'!E123))=0),"",IF(AND(ISNUMBER('Raw Data'!E123),'Raw Data'!E123=ROUND('Raw Data'!E123,4),IFERROR(ROUND('Raw Data'!E123,4)&lt;=99999999999.99,FALSE))=TRUE,"",_xlfn.REGEXEXTRACT(CELL("address",'Raw Data'!E123), "\$([A-Z]+)\$[0-9]+"))),_xlfn.REGEXEXTRACT(CELL("address",'Raw Data'!E123), "\$([A-Z]+)\$[0-9]+"))</f>
        <v/>
      </c>
      <c r="F123" s="6" t="str" cm="1">
        <f t="array" aca="1" ref="F123" ca="1">IFERROR(IF(OR('Raw Data'!F123="",LEN(TRIM('Raw Data'!F123))=0),"",IF(AND(ISNUMBER('Raw Data'!F123),'Raw Data'!F123=ROUND('Raw Data'!F123,4),IFERROR(ROUND('Raw Data'!F123,4)&lt;=99999999999.99,FALSE))=TRUE,"",_xlfn.REGEXEXTRACT(CELL("address",'Raw Data'!F123), "\$([A-Z]+)\$[0-9]+"))),_xlfn.REGEXEXTRACT(CELL("address",'Raw Data'!F123), "\$([A-Z]+)\$[0-9]+"))</f>
        <v/>
      </c>
      <c r="G123" s="6" t="str" cm="1">
        <f t="array" aca="1" ref="G123" ca="1">IFERROR(IF(OR('Raw Data'!G123="",LEN(TRIM('Raw Data'!G123))=0),"",IF(AND(ISNUMBER('Raw Data'!G123),'Raw Data'!G123=ROUND('Raw Data'!G123,4),IFERROR(ROUND('Raw Data'!G123,4)&lt;=99999999999.99,FALSE))=TRUE,"",_xlfn.REGEXEXTRACT(CELL("address",'Raw Data'!G123), "\$([A-Z]+)\$[0-9]+"))),_xlfn.REGEXEXTRACT(CELL("address",'Raw Data'!G123), "\$([A-Z]+)\$[0-9]+"))</f>
        <v/>
      </c>
      <c r="H123" s="6" t="str" cm="1">
        <f t="array" aca="1" ref="H123" ca="1">IFERROR(IF(OR('Raw Data'!H123="",LEN(TRIM('Raw Data'!H123))=0),"",IF(AND(ISNUMBER('Raw Data'!H123),'Raw Data'!H123=ROUND('Raw Data'!H123,4),IFERROR(ROUND('Raw Data'!H123,4)&lt;=99999999999.99,FALSE))=TRUE,"",_xlfn.REGEXEXTRACT(CELL("address",'Raw Data'!H123), "\$([A-Z]+)\$[0-9]+"))),_xlfn.REGEXEXTRACT(CELL("address",'Raw Data'!H123), "\$([A-Z]+)\$[0-9]+"))</f>
        <v/>
      </c>
      <c r="I123" s="6" t="str" cm="1">
        <f t="array" aca="1" ref="I123" ca="1">IFERROR(IF(OR('Raw Data'!I123="",LEN(TRIM('Raw Data'!I123))=0),"",IF(AND(ISNUMBER('Raw Data'!I123),'Raw Data'!I123=ROUND('Raw Data'!I123,4),IFERROR(ROUND('Raw Data'!I123,4)&lt;=99999999999.99,FALSE))=TRUE,"",_xlfn.REGEXEXTRACT(CELL("address",'Raw Data'!I123), "\$([A-Z]+)\$[0-9]+"))),_xlfn.REGEXEXTRACT(CELL("address",'Raw Data'!I123), "\$([A-Z]+)\$[0-9]+"))</f>
        <v/>
      </c>
      <c r="J123" s="6" t="str" cm="1">
        <f t="array" aca="1" ref="J123" ca="1">IFERROR(IF(OR('Raw Data'!J123="",LEN(TRIM('Raw Data'!J123))=0),"",IF(AND(ISNUMBER('Raw Data'!J123),'Raw Data'!J123=ROUND('Raw Data'!J123,4),IFERROR(ROUND('Raw Data'!J123,4)&lt;=99999999999.99,FALSE))=TRUE,"",_xlfn.REGEXEXTRACT(CELL("address",'Raw Data'!J123), "\$([A-Z]+)\$[0-9]+"))),_xlfn.REGEXEXTRACT(CELL("address",'Raw Data'!J123), "\$([A-Z]+)\$[0-9]+"))</f>
        <v/>
      </c>
    </row>
    <row r="124" spans="2:10" x14ac:dyDescent="0.25">
      <c r="B124" s="6" t="str" cm="1">
        <f t="array" aca="1" ref="B124" ca="1">IFERROR(IF(OR('Raw Data'!B124="",LEN(TRIM('Raw Data'!B124))=0),"",IF(AND(LEN('Raw Data'!B124) &lt;= 255,LEN('Raw Data'!B124)&gt; 0),"",_xlfn.REGEXEXTRACT(CELL("address",'Raw Data'!B124),"\$([A-Z]+)\$[0-9]+"))),_xlfn.REGEXEXTRACT(CELL("address",'Raw Data'!B124),"\$([A-Z]+)\$[0-9]+"))</f>
        <v/>
      </c>
      <c r="C124" s="6" t="str" cm="1">
        <f t="array" aca="1" ref="C124" ca="1">IFERROR(IF(OR('Raw Data'!C124="",LEN(TRIM('Raw Data'!C124))=0),"",IF(AND(LEN('Raw Data'!C124) &lt;= 20,LEN('Raw Data'!C124)&gt; 0),"",_xlfn.REGEXEXTRACT(CELL("address",'Raw Data'!C124),"\$([A-Z]+)\$[0-9]+"))),_xlfn.REGEXEXTRACT(CELL("address",'Raw Data'!C124),"\$([A-Z]+)\$[0-9]+"))</f>
        <v/>
      </c>
      <c r="D124" s="6" t="str" cm="1">
        <f t="array" aca="1" ref="D124" ca="1">IFERROR(IF(OR('Raw Data'!D124="",LEN(TRIM('Raw Data'!D124))=0),"",IF(AND(ISNUMBER('Raw Data'!D124),'Raw Data'!D124&gt;=Configuration!$D$2),"",_xlfn.REGEXEXTRACT(CELL("address",'Raw Data'!D124),"\$([A-Z]+)\$[0-9]+"))),_xlfn.REGEXEXTRACT(CELL("address",D124), "\$([A-Z]+)\$[0-9]+"))</f>
        <v/>
      </c>
      <c r="E124" s="6" t="str" cm="1">
        <f t="array" aca="1" ref="E124" ca="1">IFERROR(IF(OR('Raw Data'!E124="",LEN(TRIM('Raw Data'!E124))=0),"",IF(AND(ISNUMBER('Raw Data'!E124),'Raw Data'!E124=ROUND('Raw Data'!E124,4),IFERROR(ROUND('Raw Data'!E124,4)&lt;=99999999999.99,FALSE))=TRUE,"",_xlfn.REGEXEXTRACT(CELL("address",'Raw Data'!E124), "\$([A-Z]+)\$[0-9]+"))),_xlfn.REGEXEXTRACT(CELL("address",'Raw Data'!E124), "\$([A-Z]+)\$[0-9]+"))</f>
        <v/>
      </c>
      <c r="F124" s="6" t="str" cm="1">
        <f t="array" aca="1" ref="F124" ca="1">IFERROR(IF(OR('Raw Data'!F124="",LEN(TRIM('Raw Data'!F124))=0),"",IF(AND(ISNUMBER('Raw Data'!F124),'Raw Data'!F124=ROUND('Raw Data'!F124,4),IFERROR(ROUND('Raw Data'!F124,4)&lt;=99999999999.99,FALSE))=TRUE,"",_xlfn.REGEXEXTRACT(CELL("address",'Raw Data'!F124), "\$([A-Z]+)\$[0-9]+"))),_xlfn.REGEXEXTRACT(CELL("address",'Raw Data'!F124), "\$([A-Z]+)\$[0-9]+"))</f>
        <v/>
      </c>
      <c r="G124" s="6" t="str" cm="1">
        <f t="array" aca="1" ref="G124" ca="1">IFERROR(IF(OR('Raw Data'!G124="",LEN(TRIM('Raw Data'!G124))=0),"",IF(AND(ISNUMBER('Raw Data'!G124),'Raw Data'!G124=ROUND('Raw Data'!G124,4),IFERROR(ROUND('Raw Data'!G124,4)&lt;=99999999999.99,FALSE))=TRUE,"",_xlfn.REGEXEXTRACT(CELL("address",'Raw Data'!G124), "\$([A-Z]+)\$[0-9]+"))),_xlfn.REGEXEXTRACT(CELL("address",'Raw Data'!G124), "\$([A-Z]+)\$[0-9]+"))</f>
        <v/>
      </c>
      <c r="H124" s="6" t="str" cm="1">
        <f t="array" aca="1" ref="H124" ca="1">IFERROR(IF(OR('Raw Data'!H124="",LEN(TRIM('Raw Data'!H124))=0),"",IF(AND(ISNUMBER('Raw Data'!H124),'Raw Data'!H124=ROUND('Raw Data'!H124,4),IFERROR(ROUND('Raw Data'!H124,4)&lt;=99999999999.99,FALSE))=TRUE,"",_xlfn.REGEXEXTRACT(CELL("address",'Raw Data'!H124), "\$([A-Z]+)\$[0-9]+"))),_xlfn.REGEXEXTRACT(CELL("address",'Raw Data'!H124), "\$([A-Z]+)\$[0-9]+"))</f>
        <v/>
      </c>
      <c r="I124" s="6" t="str" cm="1">
        <f t="array" aca="1" ref="I124" ca="1">IFERROR(IF(OR('Raw Data'!I124="",LEN(TRIM('Raw Data'!I124))=0),"",IF(AND(ISNUMBER('Raw Data'!I124),'Raw Data'!I124=ROUND('Raw Data'!I124,4),IFERROR(ROUND('Raw Data'!I124,4)&lt;=99999999999.99,FALSE))=TRUE,"",_xlfn.REGEXEXTRACT(CELL("address",'Raw Data'!I124), "\$([A-Z]+)\$[0-9]+"))),_xlfn.REGEXEXTRACT(CELL("address",'Raw Data'!I124), "\$([A-Z]+)\$[0-9]+"))</f>
        <v/>
      </c>
      <c r="J124" s="6" t="str" cm="1">
        <f t="array" aca="1" ref="J124" ca="1">IFERROR(IF(OR('Raw Data'!J124="",LEN(TRIM('Raw Data'!J124))=0),"",IF(AND(ISNUMBER('Raw Data'!J124),'Raw Data'!J124=ROUND('Raw Data'!J124,4),IFERROR(ROUND('Raw Data'!J124,4)&lt;=99999999999.99,FALSE))=TRUE,"",_xlfn.REGEXEXTRACT(CELL("address",'Raw Data'!J124), "\$([A-Z]+)\$[0-9]+"))),_xlfn.REGEXEXTRACT(CELL("address",'Raw Data'!J124), "\$([A-Z]+)\$[0-9]+"))</f>
        <v/>
      </c>
    </row>
    <row r="125" spans="2:10" x14ac:dyDescent="0.25">
      <c r="B125" s="6" t="str" cm="1">
        <f t="array" aca="1" ref="B125" ca="1">IFERROR(IF(OR('Raw Data'!B125="",LEN(TRIM('Raw Data'!B125))=0),"",IF(AND(LEN('Raw Data'!B125) &lt;= 255,LEN('Raw Data'!B125)&gt; 0),"",_xlfn.REGEXEXTRACT(CELL("address",'Raw Data'!B125),"\$([A-Z]+)\$[0-9]+"))),_xlfn.REGEXEXTRACT(CELL("address",'Raw Data'!B125),"\$([A-Z]+)\$[0-9]+"))</f>
        <v/>
      </c>
      <c r="C125" s="6" t="str" cm="1">
        <f t="array" aca="1" ref="C125" ca="1">IFERROR(IF(OR('Raw Data'!C125="",LEN(TRIM('Raw Data'!C125))=0),"",IF(AND(LEN('Raw Data'!C125) &lt;= 20,LEN('Raw Data'!C125)&gt; 0),"",_xlfn.REGEXEXTRACT(CELL("address",'Raw Data'!C125),"\$([A-Z]+)\$[0-9]+"))),_xlfn.REGEXEXTRACT(CELL("address",'Raw Data'!C125),"\$([A-Z]+)\$[0-9]+"))</f>
        <v/>
      </c>
      <c r="D125" s="6" t="str" cm="1">
        <f t="array" aca="1" ref="D125" ca="1">IFERROR(IF(OR('Raw Data'!D125="",LEN(TRIM('Raw Data'!D125))=0),"",IF(AND(ISNUMBER('Raw Data'!D125),'Raw Data'!D125&gt;=Configuration!$D$2),"",_xlfn.REGEXEXTRACT(CELL("address",'Raw Data'!D125),"\$([A-Z]+)\$[0-9]+"))),_xlfn.REGEXEXTRACT(CELL("address",D125), "\$([A-Z]+)\$[0-9]+"))</f>
        <v/>
      </c>
      <c r="E125" s="6" t="str" cm="1">
        <f t="array" aca="1" ref="E125" ca="1">IFERROR(IF(OR('Raw Data'!E125="",LEN(TRIM('Raw Data'!E125))=0),"",IF(AND(ISNUMBER('Raw Data'!E125),'Raw Data'!E125=ROUND('Raw Data'!E125,4),IFERROR(ROUND('Raw Data'!E125,4)&lt;=99999999999.99,FALSE))=TRUE,"",_xlfn.REGEXEXTRACT(CELL("address",'Raw Data'!E125), "\$([A-Z]+)\$[0-9]+"))),_xlfn.REGEXEXTRACT(CELL("address",'Raw Data'!E125), "\$([A-Z]+)\$[0-9]+"))</f>
        <v/>
      </c>
      <c r="F125" s="6" t="str" cm="1">
        <f t="array" aca="1" ref="F125" ca="1">IFERROR(IF(OR('Raw Data'!F125="",LEN(TRIM('Raw Data'!F125))=0),"",IF(AND(ISNUMBER('Raw Data'!F125),'Raw Data'!F125=ROUND('Raw Data'!F125,4),IFERROR(ROUND('Raw Data'!F125,4)&lt;=99999999999.99,FALSE))=TRUE,"",_xlfn.REGEXEXTRACT(CELL("address",'Raw Data'!F125), "\$([A-Z]+)\$[0-9]+"))),_xlfn.REGEXEXTRACT(CELL("address",'Raw Data'!F125), "\$([A-Z]+)\$[0-9]+"))</f>
        <v/>
      </c>
      <c r="G125" s="6" t="str" cm="1">
        <f t="array" aca="1" ref="G125" ca="1">IFERROR(IF(OR('Raw Data'!G125="",LEN(TRIM('Raw Data'!G125))=0),"",IF(AND(ISNUMBER('Raw Data'!G125),'Raw Data'!G125=ROUND('Raw Data'!G125,4),IFERROR(ROUND('Raw Data'!G125,4)&lt;=99999999999.99,FALSE))=TRUE,"",_xlfn.REGEXEXTRACT(CELL("address",'Raw Data'!G125), "\$([A-Z]+)\$[0-9]+"))),_xlfn.REGEXEXTRACT(CELL("address",'Raw Data'!G125), "\$([A-Z]+)\$[0-9]+"))</f>
        <v/>
      </c>
      <c r="H125" s="6" t="str" cm="1">
        <f t="array" aca="1" ref="H125" ca="1">IFERROR(IF(OR('Raw Data'!H125="",LEN(TRIM('Raw Data'!H125))=0),"",IF(AND(ISNUMBER('Raw Data'!H125),'Raw Data'!H125=ROUND('Raw Data'!H125,4),IFERROR(ROUND('Raw Data'!H125,4)&lt;=99999999999.99,FALSE))=TRUE,"",_xlfn.REGEXEXTRACT(CELL("address",'Raw Data'!H125), "\$([A-Z]+)\$[0-9]+"))),_xlfn.REGEXEXTRACT(CELL("address",'Raw Data'!H125), "\$([A-Z]+)\$[0-9]+"))</f>
        <v/>
      </c>
      <c r="I125" s="6" t="str" cm="1">
        <f t="array" aca="1" ref="I125" ca="1">IFERROR(IF(OR('Raw Data'!I125="",LEN(TRIM('Raw Data'!I125))=0),"",IF(AND(ISNUMBER('Raw Data'!I125),'Raw Data'!I125=ROUND('Raw Data'!I125,4),IFERROR(ROUND('Raw Data'!I125,4)&lt;=99999999999.99,FALSE))=TRUE,"",_xlfn.REGEXEXTRACT(CELL("address",'Raw Data'!I125), "\$([A-Z]+)\$[0-9]+"))),_xlfn.REGEXEXTRACT(CELL("address",'Raw Data'!I125), "\$([A-Z]+)\$[0-9]+"))</f>
        <v/>
      </c>
      <c r="J125" s="6" t="str" cm="1">
        <f t="array" aca="1" ref="J125" ca="1">IFERROR(IF(OR('Raw Data'!J125="",LEN(TRIM('Raw Data'!J125))=0),"",IF(AND(ISNUMBER('Raw Data'!J125),'Raw Data'!J125=ROUND('Raw Data'!J125,4),IFERROR(ROUND('Raw Data'!J125,4)&lt;=99999999999.99,FALSE))=TRUE,"",_xlfn.REGEXEXTRACT(CELL("address",'Raw Data'!J125), "\$([A-Z]+)\$[0-9]+"))),_xlfn.REGEXEXTRACT(CELL("address",'Raw Data'!J125), "\$([A-Z]+)\$[0-9]+"))</f>
        <v/>
      </c>
    </row>
    <row r="126" spans="2:10" x14ac:dyDescent="0.25">
      <c r="B126" s="6" t="str" cm="1">
        <f t="array" aca="1" ref="B126" ca="1">IFERROR(IF(OR('Raw Data'!B126="",LEN(TRIM('Raw Data'!B126))=0),"",IF(AND(LEN('Raw Data'!B126) &lt;= 255,LEN('Raw Data'!B126)&gt; 0),"",_xlfn.REGEXEXTRACT(CELL("address",'Raw Data'!B126),"\$([A-Z]+)\$[0-9]+"))),_xlfn.REGEXEXTRACT(CELL("address",'Raw Data'!B126),"\$([A-Z]+)\$[0-9]+"))</f>
        <v/>
      </c>
      <c r="C126" s="6" t="str" cm="1">
        <f t="array" aca="1" ref="C126" ca="1">IFERROR(IF(OR('Raw Data'!C126="",LEN(TRIM('Raw Data'!C126))=0),"",IF(AND(LEN('Raw Data'!C126) &lt;= 20,LEN('Raw Data'!C126)&gt; 0),"",_xlfn.REGEXEXTRACT(CELL("address",'Raw Data'!C126),"\$([A-Z]+)\$[0-9]+"))),_xlfn.REGEXEXTRACT(CELL("address",'Raw Data'!C126),"\$([A-Z]+)\$[0-9]+"))</f>
        <v/>
      </c>
      <c r="D126" s="6" t="str" cm="1">
        <f t="array" aca="1" ref="D126" ca="1">IFERROR(IF(OR('Raw Data'!D126="",LEN(TRIM('Raw Data'!D126))=0),"",IF(AND(ISNUMBER('Raw Data'!D126),'Raw Data'!D126&gt;=Configuration!$D$2),"",_xlfn.REGEXEXTRACT(CELL("address",'Raw Data'!D126),"\$([A-Z]+)\$[0-9]+"))),_xlfn.REGEXEXTRACT(CELL("address",D126), "\$([A-Z]+)\$[0-9]+"))</f>
        <v/>
      </c>
      <c r="E126" s="6" t="str" cm="1">
        <f t="array" aca="1" ref="E126" ca="1">IFERROR(IF(OR('Raw Data'!E126="",LEN(TRIM('Raw Data'!E126))=0),"",IF(AND(ISNUMBER('Raw Data'!E126),'Raw Data'!E126=ROUND('Raw Data'!E126,4),IFERROR(ROUND('Raw Data'!E126,4)&lt;=99999999999.99,FALSE))=TRUE,"",_xlfn.REGEXEXTRACT(CELL("address",'Raw Data'!E126), "\$([A-Z]+)\$[0-9]+"))),_xlfn.REGEXEXTRACT(CELL("address",'Raw Data'!E126), "\$([A-Z]+)\$[0-9]+"))</f>
        <v/>
      </c>
      <c r="F126" s="6" t="str" cm="1">
        <f t="array" aca="1" ref="F126" ca="1">IFERROR(IF(OR('Raw Data'!F126="",LEN(TRIM('Raw Data'!F126))=0),"",IF(AND(ISNUMBER('Raw Data'!F126),'Raw Data'!F126=ROUND('Raw Data'!F126,4),IFERROR(ROUND('Raw Data'!F126,4)&lt;=99999999999.99,FALSE))=TRUE,"",_xlfn.REGEXEXTRACT(CELL("address",'Raw Data'!F126), "\$([A-Z]+)\$[0-9]+"))),_xlfn.REGEXEXTRACT(CELL("address",'Raw Data'!F126), "\$([A-Z]+)\$[0-9]+"))</f>
        <v/>
      </c>
      <c r="G126" s="6" t="str" cm="1">
        <f t="array" aca="1" ref="G126" ca="1">IFERROR(IF(OR('Raw Data'!G126="",LEN(TRIM('Raw Data'!G126))=0),"",IF(AND(ISNUMBER('Raw Data'!G126),'Raw Data'!G126=ROUND('Raw Data'!G126,4),IFERROR(ROUND('Raw Data'!G126,4)&lt;=99999999999.99,FALSE))=TRUE,"",_xlfn.REGEXEXTRACT(CELL("address",'Raw Data'!G126), "\$([A-Z]+)\$[0-9]+"))),_xlfn.REGEXEXTRACT(CELL("address",'Raw Data'!G126), "\$([A-Z]+)\$[0-9]+"))</f>
        <v/>
      </c>
      <c r="H126" s="6" t="str" cm="1">
        <f t="array" aca="1" ref="H126" ca="1">IFERROR(IF(OR('Raw Data'!H126="",LEN(TRIM('Raw Data'!H126))=0),"",IF(AND(ISNUMBER('Raw Data'!H126),'Raw Data'!H126=ROUND('Raw Data'!H126,4),IFERROR(ROUND('Raw Data'!H126,4)&lt;=99999999999.99,FALSE))=TRUE,"",_xlfn.REGEXEXTRACT(CELL("address",'Raw Data'!H126), "\$([A-Z]+)\$[0-9]+"))),_xlfn.REGEXEXTRACT(CELL("address",'Raw Data'!H126), "\$([A-Z]+)\$[0-9]+"))</f>
        <v/>
      </c>
      <c r="I126" s="6" t="str" cm="1">
        <f t="array" aca="1" ref="I126" ca="1">IFERROR(IF(OR('Raw Data'!I126="",LEN(TRIM('Raw Data'!I126))=0),"",IF(AND(ISNUMBER('Raw Data'!I126),'Raw Data'!I126=ROUND('Raw Data'!I126,4),IFERROR(ROUND('Raw Data'!I126,4)&lt;=99999999999.99,FALSE))=TRUE,"",_xlfn.REGEXEXTRACT(CELL("address",'Raw Data'!I126), "\$([A-Z]+)\$[0-9]+"))),_xlfn.REGEXEXTRACT(CELL("address",'Raw Data'!I126), "\$([A-Z]+)\$[0-9]+"))</f>
        <v/>
      </c>
      <c r="J126" s="6" t="str" cm="1">
        <f t="array" aca="1" ref="J126" ca="1">IFERROR(IF(OR('Raw Data'!J126="",LEN(TRIM('Raw Data'!J126))=0),"",IF(AND(ISNUMBER('Raw Data'!J126),'Raw Data'!J126=ROUND('Raw Data'!J126,4),IFERROR(ROUND('Raw Data'!J126,4)&lt;=99999999999.99,FALSE))=TRUE,"",_xlfn.REGEXEXTRACT(CELL("address",'Raw Data'!J126), "\$([A-Z]+)\$[0-9]+"))),_xlfn.REGEXEXTRACT(CELL("address",'Raw Data'!J126), "\$([A-Z]+)\$[0-9]+"))</f>
        <v/>
      </c>
    </row>
    <row r="127" spans="2:10" x14ac:dyDescent="0.25">
      <c r="B127" s="6" t="str" cm="1">
        <f t="array" aca="1" ref="B127" ca="1">IFERROR(IF(OR('Raw Data'!B127="",LEN(TRIM('Raw Data'!B127))=0),"",IF(AND(LEN('Raw Data'!B127) &lt;= 255,LEN('Raw Data'!B127)&gt; 0),"",_xlfn.REGEXEXTRACT(CELL("address",'Raw Data'!B127),"\$([A-Z]+)\$[0-9]+"))),_xlfn.REGEXEXTRACT(CELL("address",'Raw Data'!B127),"\$([A-Z]+)\$[0-9]+"))</f>
        <v/>
      </c>
      <c r="C127" s="6" t="str" cm="1">
        <f t="array" aca="1" ref="C127" ca="1">IFERROR(IF(OR('Raw Data'!C127="",LEN(TRIM('Raw Data'!C127))=0),"",IF(AND(LEN('Raw Data'!C127) &lt;= 20,LEN('Raw Data'!C127)&gt; 0),"",_xlfn.REGEXEXTRACT(CELL("address",'Raw Data'!C127),"\$([A-Z]+)\$[0-9]+"))),_xlfn.REGEXEXTRACT(CELL("address",'Raw Data'!C127),"\$([A-Z]+)\$[0-9]+"))</f>
        <v/>
      </c>
      <c r="D127" s="6" t="str" cm="1">
        <f t="array" aca="1" ref="D127" ca="1">IFERROR(IF(OR('Raw Data'!D127="",LEN(TRIM('Raw Data'!D127))=0),"",IF(AND(ISNUMBER('Raw Data'!D127),'Raw Data'!D127&gt;=Configuration!$D$2),"",_xlfn.REGEXEXTRACT(CELL("address",'Raw Data'!D127),"\$([A-Z]+)\$[0-9]+"))),_xlfn.REGEXEXTRACT(CELL("address",D127), "\$([A-Z]+)\$[0-9]+"))</f>
        <v/>
      </c>
      <c r="E127" s="6" t="str" cm="1">
        <f t="array" aca="1" ref="E127" ca="1">IFERROR(IF(OR('Raw Data'!E127="",LEN(TRIM('Raw Data'!E127))=0),"",IF(AND(ISNUMBER('Raw Data'!E127),'Raw Data'!E127=ROUND('Raw Data'!E127,4),IFERROR(ROUND('Raw Data'!E127,4)&lt;=99999999999.99,FALSE))=TRUE,"",_xlfn.REGEXEXTRACT(CELL("address",'Raw Data'!E127), "\$([A-Z]+)\$[0-9]+"))),_xlfn.REGEXEXTRACT(CELL("address",'Raw Data'!E127), "\$([A-Z]+)\$[0-9]+"))</f>
        <v/>
      </c>
      <c r="F127" s="6" t="str" cm="1">
        <f t="array" aca="1" ref="F127" ca="1">IFERROR(IF(OR('Raw Data'!F127="",LEN(TRIM('Raw Data'!F127))=0),"",IF(AND(ISNUMBER('Raw Data'!F127),'Raw Data'!F127=ROUND('Raw Data'!F127,4),IFERROR(ROUND('Raw Data'!F127,4)&lt;=99999999999.99,FALSE))=TRUE,"",_xlfn.REGEXEXTRACT(CELL("address",'Raw Data'!F127), "\$([A-Z]+)\$[0-9]+"))),_xlfn.REGEXEXTRACT(CELL("address",'Raw Data'!F127), "\$([A-Z]+)\$[0-9]+"))</f>
        <v/>
      </c>
      <c r="G127" s="6" t="str" cm="1">
        <f t="array" aca="1" ref="G127" ca="1">IFERROR(IF(OR('Raw Data'!G127="",LEN(TRIM('Raw Data'!G127))=0),"",IF(AND(ISNUMBER('Raw Data'!G127),'Raw Data'!G127=ROUND('Raw Data'!G127,4),IFERROR(ROUND('Raw Data'!G127,4)&lt;=99999999999.99,FALSE))=TRUE,"",_xlfn.REGEXEXTRACT(CELL("address",'Raw Data'!G127), "\$([A-Z]+)\$[0-9]+"))),_xlfn.REGEXEXTRACT(CELL("address",'Raw Data'!G127), "\$([A-Z]+)\$[0-9]+"))</f>
        <v/>
      </c>
      <c r="H127" s="6" t="str" cm="1">
        <f t="array" aca="1" ref="H127" ca="1">IFERROR(IF(OR('Raw Data'!H127="",LEN(TRIM('Raw Data'!H127))=0),"",IF(AND(ISNUMBER('Raw Data'!H127),'Raw Data'!H127=ROUND('Raw Data'!H127,4),IFERROR(ROUND('Raw Data'!H127,4)&lt;=99999999999.99,FALSE))=TRUE,"",_xlfn.REGEXEXTRACT(CELL("address",'Raw Data'!H127), "\$([A-Z]+)\$[0-9]+"))),_xlfn.REGEXEXTRACT(CELL("address",'Raw Data'!H127), "\$([A-Z]+)\$[0-9]+"))</f>
        <v/>
      </c>
      <c r="I127" s="6" t="str" cm="1">
        <f t="array" aca="1" ref="I127" ca="1">IFERROR(IF(OR('Raw Data'!I127="",LEN(TRIM('Raw Data'!I127))=0),"",IF(AND(ISNUMBER('Raw Data'!I127),'Raw Data'!I127=ROUND('Raw Data'!I127,4),IFERROR(ROUND('Raw Data'!I127,4)&lt;=99999999999.99,FALSE))=TRUE,"",_xlfn.REGEXEXTRACT(CELL("address",'Raw Data'!I127), "\$([A-Z]+)\$[0-9]+"))),_xlfn.REGEXEXTRACT(CELL("address",'Raw Data'!I127), "\$([A-Z]+)\$[0-9]+"))</f>
        <v/>
      </c>
      <c r="J127" s="6" t="str" cm="1">
        <f t="array" aca="1" ref="J127" ca="1">IFERROR(IF(OR('Raw Data'!J127="",LEN(TRIM('Raw Data'!J127))=0),"",IF(AND(ISNUMBER('Raw Data'!J127),'Raw Data'!J127=ROUND('Raw Data'!J127,4),IFERROR(ROUND('Raw Data'!J127,4)&lt;=99999999999.99,FALSE))=TRUE,"",_xlfn.REGEXEXTRACT(CELL("address",'Raw Data'!J127), "\$([A-Z]+)\$[0-9]+"))),_xlfn.REGEXEXTRACT(CELL("address",'Raw Data'!J127), "\$([A-Z]+)\$[0-9]+"))</f>
        <v/>
      </c>
    </row>
    <row r="128" spans="2:10" x14ac:dyDescent="0.25">
      <c r="B128" s="6" t="str" cm="1">
        <f t="array" aca="1" ref="B128" ca="1">IFERROR(IF(OR('Raw Data'!B128="",LEN(TRIM('Raw Data'!B128))=0),"",IF(AND(LEN('Raw Data'!B128) &lt;= 255,LEN('Raw Data'!B128)&gt; 0),"",_xlfn.REGEXEXTRACT(CELL("address",'Raw Data'!B128),"\$([A-Z]+)\$[0-9]+"))),_xlfn.REGEXEXTRACT(CELL("address",'Raw Data'!B128),"\$([A-Z]+)\$[0-9]+"))</f>
        <v/>
      </c>
      <c r="C128" s="6" t="str" cm="1">
        <f t="array" aca="1" ref="C128" ca="1">IFERROR(IF(OR('Raw Data'!C128="",LEN(TRIM('Raw Data'!C128))=0),"",IF(AND(LEN('Raw Data'!C128) &lt;= 20,LEN('Raw Data'!C128)&gt; 0),"",_xlfn.REGEXEXTRACT(CELL("address",'Raw Data'!C128),"\$([A-Z]+)\$[0-9]+"))),_xlfn.REGEXEXTRACT(CELL("address",'Raw Data'!C128),"\$([A-Z]+)\$[0-9]+"))</f>
        <v/>
      </c>
      <c r="D128" s="6" t="str" cm="1">
        <f t="array" aca="1" ref="D128" ca="1">IFERROR(IF(OR('Raw Data'!D128="",LEN(TRIM('Raw Data'!D128))=0),"",IF(AND(ISNUMBER('Raw Data'!D128),'Raw Data'!D128&gt;=Configuration!$D$2),"",_xlfn.REGEXEXTRACT(CELL("address",'Raw Data'!D128),"\$([A-Z]+)\$[0-9]+"))),_xlfn.REGEXEXTRACT(CELL("address",D128), "\$([A-Z]+)\$[0-9]+"))</f>
        <v/>
      </c>
      <c r="E128" s="6" t="str" cm="1">
        <f t="array" aca="1" ref="E128" ca="1">IFERROR(IF(OR('Raw Data'!E128="",LEN(TRIM('Raw Data'!E128))=0),"",IF(AND(ISNUMBER('Raw Data'!E128),'Raw Data'!E128=ROUND('Raw Data'!E128,4),IFERROR(ROUND('Raw Data'!E128,4)&lt;=99999999999.99,FALSE))=TRUE,"",_xlfn.REGEXEXTRACT(CELL("address",'Raw Data'!E128), "\$([A-Z]+)\$[0-9]+"))),_xlfn.REGEXEXTRACT(CELL("address",'Raw Data'!E128), "\$([A-Z]+)\$[0-9]+"))</f>
        <v/>
      </c>
      <c r="F128" s="6" t="str" cm="1">
        <f t="array" aca="1" ref="F128" ca="1">IFERROR(IF(OR('Raw Data'!F128="",LEN(TRIM('Raw Data'!F128))=0),"",IF(AND(ISNUMBER('Raw Data'!F128),'Raw Data'!F128=ROUND('Raw Data'!F128,4),IFERROR(ROUND('Raw Data'!F128,4)&lt;=99999999999.99,FALSE))=TRUE,"",_xlfn.REGEXEXTRACT(CELL("address",'Raw Data'!F128), "\$([A-Z]+)\$[0-9]+"))),_xlfn.REGEXEXTRACT(CELL("address",'Raw Data'!F128), "\$([A-Z]+)\$[0-9]+"))</f>
        <v/>
      </c>
      <c r="G128" s="6" t="str" cm="1">
        <f t="array" aca="1" ref="G128" ca="1">IFERROR(IF(OR('Raw Data'!G128="",LEN(TRIM('Raw Data'!G128))=0),"",IF(AND(ISNUMBER('Raw Data'!G128),'Raw Data'!G128=ROUND('Raw Data'!G128,4),IFERROR(ROUND('Raw Data'!G128,4)&lt;=99999999999.99,FALSE))=TRUE,"",_xlfn.REGEXEXTRACT(CELL("address",'Raw Data'!G128), "\$([A-Z]+)\$[0-9]+"))),_xlfn.REGEXEXTRACT(CELL("address",'Raw Data'!G128), "\$([A-Z]+)\$[0-9]+"))</f>
        <v/>
      </c>
      <c r="H128" s="6" t="str" cm="1">
        <f t="array" aca="1" ref="H128" ca="1">IFERROR(IF(OR('Raw Data'!H128="",LEN(TRIM('Raw Data'!H128))=0),"",IF(AND(ISNUMBER('Raw Data'!H128),'Raw Data'!H128=ROUND('Raw Data'!H128,4),IFERROR(ROUND('Raw Data'!H128,4)&lt;=99999999999.99,FALSE))=TRUE,"",_xlfn.REGEXEXTRACT(CELL("address",'Raw Data'!H128), "\$([A-Z]+)\$[0-9]+"))),_xlfn.REGEXEXTRACT(CELL("address",'Raw Data'!H128), "\$([A-Z]+)\$[0-9]+"))</f>
        <v/>
      </c>
      <c r="I128" s="6" t="str" cm="1">
        <f t="array" aca="1" ref="I128" ca="1">IFERROR(IF(OR('Raw Data'!I128="",LEN(TRIM('Raw Data'!I128))=0),"",IF(AND(ISNUMBER('Raw Data'!I128),'Raw Data'!I128=ROUND('Raw Data'!I128,4),IFERROR(ROUND('Raw Data'!I128,4)&lt;=99999999999.99,FALSE))=TRUE,"",_xlfn.REGEXEXTRACT(CELL("address",'Raw Data'!I128), "\$([A-Z]+)\$[0-9]+"))),_xlfn.REGEXEXTRACT(CELL("address",'Raw Data'!I128), "\$([A-Z]+)\$[0-9]+"))</f>
        <v/>
      </c>
      <c r="J128" s="6" t="str" cm="1">
        <f t="array" aca="1" ref="J128" ca="1">IFERROR(IF(OR('Raw Data'!J128="",LEN(TRIM('Raw Data'!J128))=0),"",IF(AND(ISNUMBER('Raw Data'!J128),'Raw Data'!J128=ROUND('Raw Data'!J128,4),IFERROR(ROUND('Raw Data'!J128,4)&lt;=99999999999.99,FALSE))=TRUE,"",_xlfn.REGEXEXTRACT(CELL("address",'Raw Data'!J128), "\$([A-Z]+)\$[0-9]+"))),_xlfn.REGEXEXTRACT(CELL("address",'Raw Data'!J128), "\$([A-Z]+)\$[0-9]+"))</f>
        <v/>
      </c>
    </row>
    <row r="129" spans="2:10" x14ac:dyDescent="0.25">
      <c r="B129" s="6" t="str" cm="1">
        <f t="array" aca="1" ref="B129" ca="1">IFERROR(IF(OR('Raw Data'!B129="",LEN(TRIM('Raw Data'!B129))=0),"",IF(AND(LEN('Raw Data'!B129) &lt;= 255,LEN('Raw Data'!B129)&gt; 0),"",_xlfn.REGEXEXTRACT(CELL("address",'Raw Data'!B129),"\$([A-Z]+)\$[0-9]+"))),_xlfn.REGEXEXTRACT(CELL("address",'Raw Data'!B129),"\$([A-Z]+)\$[0-9]+"))</f>
        <v/>
      </c>
      <c r="C129" s="6" t="str" cm="1">
        <f t="array" aca="1" ref="C129" ca="1">IFERROR(IF(OR('Raw Data'!C129="",LEN(TRIM('Raw Data'!C129))=0),"",IF(AND(LEN('Raw Data'!C129) &lt;= 20,LEN('Raw Data'!C129)&gt; 0),"",_xlfn.REGEXEXTRACT(CELL("address",'Raw Data'!C129),"\$([A-Z]+)\$[0-9]+"))),_xlfn.REGEXEXTRACT(CELL("address",'Raw Data'!C129),"\$([A-Z]+)\$[0-9]+"))</f>
        <v/>
      </c>
      <c r="D129" s="6" t="str" cm="1">
        <f t="array" aca="1" ref="D129" ca="1">IFERROR(IF(OR('Raw Data'!D129="",LEN(TRIM('Raw Data'!D129))=0),"",IF(AND(ISNUMBER('Raw Data'!D129),'Raw Data'!D129&gt;=Configuration!$D$2),"",_xlfn.REGEXEXTRACT(CELL("address",'Raw Data'!D129),"\$([A-Z]+)\$[0-9]+"))),_xlfn.REGEXEXTRACT(CELL("address",D129), "\$([A-Z]+)\$[0-9]+"))</f>
        <v/>
      </c>
      <c r="E129" s="6" t="str" cm="1">
        <f t="array" aca="1" ref="E129" ca="1">IFERROR(IF(OR('Raw Data'!E129="",LEN(TRIM('Raw Data'!E129))=0),"",IF(AND(ISNUMBER('Raw Data'!E129),'Raw Data'!E129=ROUND('Raw Data'!E129,4),IFERROR(ROUND('Raw Data'!E129,4)&lt;=99999999999.99,FALSE))=TRUE,"",_xlfn.REGEXEXTRACT(CELL("address",'Raw Data'!E129), "\$([A-Z]+)\$[0-9]+"))),_xlfn.REGEXEXTRACT(CELL("address",'Raw Data'!E129), "\$([A-Z]+)\$[0-9]+"))</f>
        <v/>
      </c>
      <c r="F129" s="6" t="str" cm="1">
        <f t="array" aca="1" ref="F129" ca="1">IFERROR(IF(OR('Raw Data'!F129="",LEN(TRIM('Raw Data'!F129))=0),"",IF(AND(ISNUMBER('Raw Data'!F129),'Raw Data'!F129=ROUND('Raw Data'!F129,4),IFERROR(ROUND('Raw Data'!F129,4)&lt;=99999999999.99,FALSE))=TRUE,"",_xlfn.REGEXEXTRACT(CELL("address",'Raw Data'!F129), "\$([A-Z]+)\$[0-9]+"))),_xlfn.REGEXEXTRACT(CELL("address",'Raw Data'!F129), "\$([A-Z]+)\$[0-9]+"))</f>
        <v/>
      </c>
      <c r="G129" s="6" t="str" cm="1">
        <f t="array" aca="1" ref="G129" ca="1">IFERROR(IF(OR('Raw Data'!G129="",LEN(TRIM('Raw Data'!G129))=0),"",IF(AND(ISNUMBER('Raw Data'!G129),'Raw Data'!G129=ROUND('Raw Data'!G129,4),IFERROR(ROUND('Raw Data'!G129,4)&lt;=99999999999.99,FALSE))=TRUE,"",_xlfn.REGEXEXTRACT(CELL("address",'Raw Data'!G129), "\$([A-Z]+)\$[0-9]+"))),_xlfn.REGEXEXTRACT(CELL("address",'Raw Data'!G129), "\$([A-Z]+)\$[0-9]+"))</f>
        <v/>
      </c>
      <c r="H129" s="6" t="str" cm="1">
        <f t="array" aca="1" ref="H129" ca="1">IFERROR(IF(OR('Raw Data'!H129="",LEN(TRIM('Raw Data'!H129))=0),"",IF(AND(ISNUMBER('Raw Data'!H129),'Raw Data'!H129=ROUND('Raw Data'!H129,4),IFERROR(ROUND('Raw Data'!H129,4)&lt;=99999999999.99,FALSE))=TRUE,"",_xlfn.REGEXEXTRACT(CELL("address",'Raw Data'!H129), "\$([A-Z]+)\$[0-9]+"))),_xlfn.REGEXEXTRACT(CELL("address",'Raw Data'!H129), "\$([A-Z]+)\$[0-9]+"))</f>
        <v/>
      </c>
      <c r="I129" s="6" t="str" cm="1">
        <f t="array" aca="1" ref="I129" ca="1">IFERROR(IF(OR('Raw Data'!I129="",LEN(TRIM('Raw Data'!I129))=0),"",IF(AND(ISNUMBER('Raw Data'!I129),'Raw Data'!I129=ROUND('Raw Data'!I129,4),IFERROR(ROUND('Raw Data'!I129,4)&lt;=99999999999.99,FALSE))=TRUE,"",_xlfn.REGEXEXTRACT(CELL("address",'Raw Data'!I129), "\$([A-Z]+)\$[0-9]+"))),_xlfn.REGEXEXTRACT(CELL("address",'Raw Data'!I129), "\$([A-Z]+)\$[0-9]+"))</f>
        <v/>
      </c>
      <c r="J129" s="6" t="str" cm="1">
        <f t="array" aca="1" ref="J129" ca="1">IFERROR(IF(OR('Raw Data'!J129="",LEN(TRIM('Raw Data'!J129))=0),"",IF(AND(ISNUMBER('Raw Data'!J129),'Raw Data'!J129=ROUND('Raw Data'!J129,4),IFERROR(ROUND('Raw Data'!J129,4)&lt;=99999999999.99,FALSE))=TRUE,"",_xlfn.REGEXEXTRACT(CELL("address",'Raw Data'!J129), "\$([A-Z]+)\$[0-9]+"))),_xlfn.REGEXEXTRACT(CELL("address",'Raw Data'!J129), "\$([A-Z]+)\$[0-9]+"))</f>
        <v/>
      </c>
    </row>
    <row r="130" spans="2:10" x14ac:dyDescent="0.25">
      <c r="B130" s="6" t="str" cm="1">
        <f t="array" aca="1" ref="B130" ca="1">IFERROR(IF(OR('Raw Data'!B130="",LEN(TRIM('Raw Data'!B130))=0),"",IF(AND(LEN('Raw Data'!B130) &lt;= 255,LEN('Raw Data'!B130)&gt; 0),"",_xlfn.REGEXEXTRACT(CELL("address",'Raw Data'!B130),"\$([A-Z]+)\$[0-9]+"))),_xlfn.REGEXEXTRACT(CELL("address",'Raw Data'!B130),"\$([A-Z]+)\$[0-9]+"))</f>
        <v/>
      </c>
      <c r="C130" s="6" t="str" cm="1">
        <f t="array" aca="1" ref="C130" ca="1">IFERROR(IF(OR('Raw Data'!C130="",LEN(TRIM('Raw Data'!C130))=0),"",IF(AND(LEN('Raw Data'!C130) &lt;= 20,LEN('Raw Data'!C130)&gt; 0),"",_xlfn.REGEXEXTRACT(CELL("address",'Raw Data'!C130),"\$([A-Z]+)\$[0-9]+"))),_xlfn.REGEXEXTRACT(CELL("address",'Raw Data'!C130),"\$([A-Z]+)\$[0-9]+"))</f>
        <v/>
      </c>
      <c r="D130" s="6" t="str" cm="1">
        <f t="array" aca="1" ref="D130" ca="1">IFERROR(IF(OR('Raw Data'!D130="",LEN(TRIM('Raw Data'!D130))=0),"",IF(AND(ISNUMBER('Raw Data'!D130),'Raw Data'!D130&gt;=Configuration!$D$2),"",_xlfn.REGEXEXTRACT(CELL("address",'Raw Data'!D130),"\$([A-Z]+)\$[0-9]+"))),_xlfn.REGEXEXTRACT(CELL("address",D130), "\$([A-Z]+)\$[0-9]+"))</f>
        <v/>
      </c>
      <c r="E130" s="6" t="str" cm="1">
        <f t="array" aca="1" ref="E130" ca="1">IFERROR(IF(OR('Raw Data'!E130="",LEN(TRIM('Raw Data'!E130))=0),"",IF(AND(ISNUMBER('Raw Data'!E130),'Raw Data'!E130=ROUND('Raw Data'!E130,4),IFERROR(ROUND('Raw Data'!E130,4)&lt;=99999999999.99,FALSE))=TRUE,"",_xlfn.REGEXEXTRACT(CELL("address",'Raw Data'!E130), "\$([A-Z]+)\$[0-9]+"))),_xlfn.REGEXEXTRACT(CELL("address",'Raw Data'!E130), "\$([A-Z]+)\$[0-9]+"))</f>
        <v/>
      </c>
      <c r="F130" s="6" t="str" cm="1">
        <f t="array" aca="1" ref="F130" ca="1">IFERROR(IF(OR('Raw Data'!F130="",LEN(TRIM('Raw Data'!F130))=0),"",IF(AND(ISNUMBER('Raw Data'!F130),'Raw Data'!F130=ROUND('Raw Data'!F130,4),IFERROR(ROUND('Raw Data'!F130,4)&lt;=99999999999.99,FALSE))=TRUE,"",_xlfn.REGEXEXTRACT(CELL("address",'Raw Data'!F130), "\$([A-Z]+)\$[0-9]+"))),_xlfn.REGEXEXTRACT(CELL("address",'Raw Data'!F130), "\$([A-Z]+)\$[0-9]+"))</f>
        <v/>
      </c>
      <c r="G130" s="6" t="str" cm="1">
        <f t="array" aca="1" ref="G130" ca="1">IFERROR(IF(OR('Raw Data'!G130="",LEN(TRIM('Raw Data'!G130))=0),"",IF(AND(ISNUMBER('Raw Data'!G130),'Raw Data'!G130=ROUND('Raw Data'!G130,4),IFERROR(ROUND('Raw Data'!G130,4)&lt;=99999999999.99,FALSE))=TRUE,"",_xlfn.REGEXEXTRACT(CELL("address",'Raw Data'!G130), "\$([A-Z]+)\$[0-9]+"))),_xlfn.REGEXEXTRACT(CELL("address",'Raw Data'!G130), "\$([A-Z]+)\$[0-9]+"))</f>
        <v/>
      </c>
      <c r="H130" s="6" t="str" cm="1">
        <f t="array" aca="1" ref="H130" ca="1">IFERROR(IF(OR('Raw Data'!H130="",LEN(TRIM('Raw Data'!H130))=0),"",IF(AND(ISNUMBER('Raw Data'!H130),'Raw Data'!H130=ROUND('Raw Data'!H130,4),IFERROR(ROUND('Raw Data'!H130,4)&lt;=99999999999.99,FALSE))=TRUE,"",_xlfn.REGEXEXTRACT(CELL("address",'Raw Data'!H130), "\$([A-Z]+)\$[0-9]+"))),_xlfn.REGEXEXTRACT(CELL("address",'Raw Data'!H130), "\$([A-Z]+)\$[0-9]+"))</f>
        <v/>
      </c>
      <c r="I130" s="6" t="str" cm="1">
        <f t="array" aca="1" ref="I130" ca="1">IFERROR(IF(OR('Raw Data'!I130="",LEN(TRIM('Raw Data'!I130))=0),"",IF(AND(ISNUMBER('Raw Data'!I130),'Raw Data'!I130=ROUND('Raw Data'!I130,4),IFERROR(ROUND('Raw Data'!I130,4)&lt;=99999999999.99,FALSE))=TRUE,"",_xlfn.REGEXEXTRACT(CELL("address",'Raw Data'!I130), "\$([A-Z]+)\$[0-9]+"))),_xlfn.REGEXEXTRACT(CELL("address",'Raw Data'!I130), "\$([A-Z]+)\$[0-9]+"))</f>
        <v/>
      </c>
      <c r="J130" s="6" t="str" cm="1">
        <f t="array" aca="1" ref="J130" ca="1">IFERROR(IF(OR('Raw Data'!J130="",LEN(TRIM('Raw Data'!J130))=0),"",IF(AND(ISNUMBER('Raw Data'!J130),'Raw Data'!J130=ROUND('Raw Data'!J130,4),IFERROR(ROUND('Raw Data'!J130,4)&lt;=99999999999.99,FALSE))=TRUE,"",_xlfn.REGEXEXTRACT(CELL("address",'Raw Data'!J130), "\$([A-Z]+)\$[0-9]+"))),_xlfn.REGEXEXTRACT(CELL("address",'Raw Data'!J130), "\$([A-Z]+)\$[0-9]+"))</f>
        <v/>
      </c>
    </row>
    <row r="131" spans="2:10" x14ac:dyDescent="0.25">
      <c r="B131" s="6" t="str" cm="1">
        <f t="array" aca="1" ref="B131" ca="1">IFERROR(IF(OR('Raw Data'!B131="",LEN(TRIM('Raw Data'!B131))=0),"",IF(AND(LEN('Raw Data'!B131) &lt;= 255,LEN('Raw Data'!B131)&gt; 0),"",_xlfn.REGEXEXTRACT(CELL("address",'Raw Data'!B131),"\$([A-Z]+)\$[0-9]+"))),_xlfn.REGEXEXTRACT(CELL("address",'Raw Data'!B131),"\$([A-Z]+)\$[0-9]+"))</f>
        <v/>
      </c>
      <c r="C131" s="6" t="str" cm="1">
        <f t="array" aca="1" ref="C131" ca="1">IFERROR(IF(OR('Raw Data'!C131="",LEN(TRIM('Raw Data'!C131))=0),"",IF(AND(LEN('Raw Data'!C131) &lt;= 20,LEN('Raw Data'!C131)&gt; 0),"",_xlfn.REGEXEXTRACT(CELL("address",'Raw Data'!C131),"\$([A-Z]+)\$[0-9]+"))),_xlfn.REGEXEXTRACT(CELL("address",'Raw Data'!C131),"\$([A-Z]+)\$[0-9]+"))</f>
        <v/>
      </c>
      <c r="D131" s="6" t="str" cm="1">
        <f t="array" aca="1" ref="D131" ca="1">IFERROR(IF(OR('Raw Data'!D131="",LEN(TRIM('Raw Data'!D131))=0),"",IF(AND(ISNUMBER('Raw Data'!D131),'Raw Data'!D131&gt;=Configuration!$D$2),"",_xlfn.REGEXEXTRACT(CELL("address",'Raw Data'!D131),"\$([A-Z]+)\$[0-9]+"))),_xlfn.REGEXEXTRACT(CELL("address",D131), "\$([A-Z]+)\$[0-9]+"))</f>
        <v/>
      </c>
      <c r="E131" s="6" t="str" cm="1">
        <f t="array" aca="1" ref="E131" ca="1">IFERROR(IF(OR('Raw Data'!E131="",LEN(TRIM('Raw Data'!E131))=0),"",IF(AND(ISNUMBER('Raw Data'!E131),'Raw Data'!E131=ROUND('Raw Data'!E131,4),IFERROR(ROUND('Raw Data'!E131,4)&lt;=99999999999.99,FALSE))=TRUE,"",_xlfn.REGEXEXTRACT(CELL("address",'Raw Data'!E131), "\$([A-Z]+)\$[0-9]+"))),_xlfn.REGEXEXTRACT(CELL("address",'Raw Data'!E131), "\$([A-Z]+)\$[0-9]+"))</f>
        <v/>
      </c>
      <c r="F131" s="6" t="str" cm="1">
        <f t="array" aca="1" ref="F131" ca="1">IFERROR(IF(OR('Raw Data'!F131="",LEN(TRIM('Raw Data'!F131))=0),"",IF(AND(ISNUMBER('Raw Data'!F131),'Raw Data'!F131=ROUND('Raw Data'!F131,4),IFERROR(ROUND('Raw Data'!F131,4)&lt;=99999999999.99,FALSE))=TRUE,"",_xlfn.REGEXEXTRACT(CELL("address",'Raw Data'!F131), "\$([A-Z]+)\$[0-9]+"))),_xlfn.REGEXEXTRACT(CELL("address",'Raw Data'!F131), "\$([A-Z]+)\$[0-9]+"))</f>
        <v/>
      </c>
      <c r="G131" s="6" t="str" cm="1">
        <f t="array" aca="1" ref="G131" ca="1">IFERROR(IF(OR('Raw Data'!G131="",LEN(TRIM('Raw Data'!G131))=0),"",IF(AND(ISNUMBER('Raw Data'!G131),'Raw Data'!G131=ROUND('Raw Data'!G131,4),IFERROR(ROUND('Raw Data'!G131,4)&lt;=99999999999.99,FALSE))=TRUE,"",_xlfn.REGEXEXTRACT(CELL("address",'Raw Data'!G131), "\$([A-Z]+)\$[0-9]+"))),_xlfn.REGEXEXTRACT(CELL("address",'Raw Data'!G131), "\$([A-Z]+)\$[0-9]+"))</f>
        <v/>
      </c>
      <c r="H131" s="6" t="str" cm="1">
        <f t="array" aca="1" ref="H131" ca="1">IFERROR(IF(OR('Raw Data'!H131="",LEN(TRIM('Raw Data'!H131))=0),"",IF(AND(ISNUMBER('Raw Data'!H131),'Raw Data'!H131=ROUND('Raw Data'!H131,4),IFERROR(ROUND('Raw Data'!H131,4)&lt;=99999999999.99,FALSE))=TRUE,"",_xlfn.REGEXEXTRACT(CELL("address",'Raw Data'!H131), "\$([A-Z]+)\$[0-9]+"))),_xlfn.REGEXEXTRACT(CELL("address",'Raw Data'!H131), "\$([A-Z]+)\$[0-9]+"))</f>
        <v/>
      </c>
      <c r="I131" s="6" t="str" cm="1">
        <f t="array" aca="1" ref="I131" ca="1">IFERROR(IF(OR('Raw Data'!I131="",LEN(TRIM('Raw Data'!I131))=0),"",IF(AND(ISNUMBER('Raw Data'!I131),'Raw Data'!I131=ROUND('Raw Data'!I131,4),IFERROR(ROUND('Raw Data'!I131,4)&lt;=99999999999.99,FALSE))=TRUE,"",_xlfn.REGEXEXTRACT(CELL("address",'Raw Data'!I131), "\$([A-Z]+)\$[0-9]+"))),_xlfn.REGEXEXTRACT(CELL("address",'Raw Data'!I131), "\$([A-Z]+)\$[0-9]+"))</f>
        <v/>
      </c>
      <c r="J131" s="6" t="str" cm="1">
        <f t="array" aca="1" ref="J131" ca="1">IFERROR(IF(OR('Raw Data'!J131="",LEN(TRIM('Raw Data'!J131))=0),"",IF(AND(ISNUMBER('Raw Data'!J131),'Raw Data'!J131=ROUND('Raw Data'!J131,4),IFERROR(ROUND('Raw Data'!J131,4)&lt;=99999999999.99,FALSE))=TRUE,"",_xlfn.REGEXEXTRACT(CELL("address",'Raw Data'!J131), "\$([A-Z]+)\$[0-9]+"))),_xlfn.REGEXEXTRACT(CELL("address",'Raw Data'!J131), "\$([A-Z]+)\$[0-9]+"))</f>
        <v/>
      </c>
    </row>
    <row r="132" spans="2:10" x14ac:dyDescent="0.25">
      <c r="B132" s="6" t="str" cm="1">
        <f t="array" aca="1" ref="B132" ca="1">IFERROR(IF(OR('Raw Data'!B132="",LEN(TRIM('Raw Data'!B132))=0),"",IF(AND(LEN('Raw Data'!B132) &lt;= 255,LEN('Raw Data'!B132)&gt; 0),"",_xlfn.REGEXEXTRACT(CELL("address",'Raw Data'!B132),"\$([A-Z]+)\$[0-9]+"))),_xlfn.REGEXEXTRACT(CELL("address",'Raw Data'!B132),"\$([A-Z]+)\$[0-9]+"))</f>
        <v/>
      </c>
      <c r="C132" s="6" t="str" cm="1">
        <f t="array" aca="1" ref="C132" ca="1">IFERROR(IF(OR('Raw Data'!C132="",LEN(TRIM('Raw Data'!C132))=0),"",IF(AND(LEN('Raw Data'!C132) &lt;= 20,LEN('Raw Data'!C132)&gt; 0),"",_xlfn.REGEXEXTRACT(CELL("address",'Raw Data'!C132),"\$([A-Z]+)\$[0-9]+"))),_xlfn.REGEXEXTRACT(CELL("address",'Raw Data'!C132),"\$([A-Z]+)\$[0-9]+"))</f>
        <v/>
      </c>
      <c r="D132" s="6" t="str" cm="1">
        <f t="array" aca="1" ref="D132" ca="1">IFERROR(IF(OR('Raw Data'!D132="",LEN(TRIM('Raw Data'!D132))=0),"",IF(AND(ISNUMBER('Raw Data'!D132),'Raw Data'!D132&gt;=Configuration!$D$2),"",_xlfn.REGEXEXTRACT(CELL("address",'Raw Data'!D132),"\$([A-Z]+)\$[0-9]+"))),_xlfn.REGEXEXTRACT(CELL("address",D132), "\$([A-Z]+)\$[0-9]+"))</f>
        <v/>
      </c>
      <c r="E132" s="6" t="str" cm="1">
        <f t="array" aca="1" ref="E132" ca="1">IFERROR(IF(OR('Raw Data'!E132="",LEN(TRIM('Raw Data'!E132))=0),"",IF(AND(ISNUMBER('Raw Data'!E132),'Raw Data'!E132=ROUND('Raw Data'!E132,4),IFERROR(ROUND('Raw Data'!E132,4)&lt;=99999999999.99,FALSE))=TRUE,"",_xlfn.REGEXEXTRACT(CELL("address",'Raw Data'!E132), "\$([A-Z]+)\$[0-9]+"))),_xlfn.REGEXEXTRACT(CELL("address",'Raw Data'!E132), "\$([A-Z]+)\$[0-9]+"))</f>
        <v/>
      </c>
      <c r="F132" s="6" t="str" cm="1">
        <f t="array" aca="1" ref="F132" ca="1">IFERROR(IF(OR('Raw Data'!F132="",LEN(TRIM('Raw Data'!F132))=0),"",IF(AND(ISNUMBER('Raw Data'!F132),'Raw Data'!F132=ROUND('Raw Data'!F132,4),IFERROR(ROUND('Raw Data'!F132,4)&lt;=99999999999.99,FALSE))=TRUE,"",_xlfn.REGEXEXTRACT(CELL("address",'Raw Data'!F132), "\$([A-Z]+)\$[0-9]+"))),_xlfn.REGEXEXTRACT(CELL("address",'Raw Data'!F132), "\$([A-Z]+)\$[0-9]+"))</f>
        <v/>
      </c>
      <c r="G132" s="6" t="str" cm="1">
        <f t="array" aca="1" ref="G132" ca="1">IFERROR(IF(OR('Raw Data'!G132="",LEN(TRIM('Raw Data'!G132))=0),"",IF(AND(ISNUMBER('Raw Data'!G132),'Raw Data'!G132=ROUND('Raw Data'!G132,4),IFERROR(ROUND('Raw Data'!G132,4)&lt;=99999999999.99,FALSE))=TRUE,"",_xlfn.REGEXEXTRACT(CELL("address",'Raw Data'!G132), "\$([A-Z]+)\$[0-9]+"))),_xlfn.REGEXEXTRACT(CELL("address",'Raw Data'!G132), "\$([A-Z]+)\$[0-9]+"))</f>
        <v/>
      </c>
      <c r="H132" s="6" t="str" cm="1">
        <f t="array" aca="1" ref="H132" ca="1">IFERROR(IF(OR('Raw Data'!H132="",LEN(TRIM('Raw Data'!H132))=0),"",IF(AND(ISNUMBER('Raw Data'!H132),'Raw Data'!H132=ROUND('Raw Data'!H132,4),IFERROR(ROUND('Raw Data'!H132,4)&lt;=99999999999.99,FALSE))=TRUE,"",_xlfn.REGEXEXTRACT(CELL("address",'Raw Data'!H132), "\$([A-Z]+)\$[0-9]+"))),_xlfn.REGEXEXTRACT(CELL("address",'Raw Data'!H132), "\$([A-Z]+)\$[0-9]+"))</f>
        <v/>
      </c>
      <c r="I132" s="6" t="str" cm="1">
        <f t="array" aca="1" ref="I132" ca="1">IFERROR(IF(OR('Raw Data'!I132="",LEN(TRIM('Raw Data'!I132))=0),"",IF(AND(ISNUMBER('Raw Data'!I132),'Raw Data'!I132=ROUND('Raw Data'!I132,4),IFERROR(ROUND('Raw Data'!I132,4)&lt;=99999999999.99,FALSE))=TRUE,"",_xlfn.REGEXEXTRACT(CELL("address",'Raw Data'!I132), "\$([A-Z]+)\$[0-9]+"))),_xlfn.REGEXEXTRACT(CELL("address",'Raw Data'!I132), "\$([A-Z]+)\$[0-9]+"))</f>
        <v/>
      </c>
      <c r="J132" s="6" t="str" cm="1">
        <f t="array" aca="1" ref="J132" ca="1">IFERROR(IF(OR('Raw Data'!J132="",LEN(TRIM('Raw Data'!J132))=0),"",IF(AND(ISNUMBER('Raw Data'!J132),'Raw Data'!J132=ROUND('Raw Data'!J132,4),IFERROR(ROUND('Raw Data'!J132,4)&lt;=99999999999.99,FALSE))=TRUE,"",_xlfn.REGEXEXTRACT(CELL("address",'Raw Data'!J132), "\$([A-Z]+)\$[0-9]+"))),_xlfn.REGEXEXTRACT(CELL("address",'Raw Data'!J132), "\$([A-Z]+)\$[0-9]+"))</f>
        <v/>
      </c>
    </row>
    <row r="133" spans="2:10" x14ac:dyDescent="0.25">
      <c r="B133" s="6" t="str" cm="1">
        <f t="array" aca="1" ref="B133" ca="1">IFERROR(IF(OR('Raw Data'!B133="",LEN(TRIM('Raw Data'!B133))=0),"",IF(AND(LEN('Raw Data'!B133) &lt;= 255,LEN('Raw Data'!B133)&gt; 0),"",_xlfn.REGEXEXTRACT(CELL("address",'Raw Data'!B133),"\$([A-Z]+)\$[0-9]+"))),_xlfn.REGEXEXTRACT(CELL("address",'Raw Data'!B133),"\$([A-Z]+)\$[0-9]+"))</f>
        <v/>
      </c>
      <c r="C133" s="6" t="str" cm="1">
        <f t="array" aca="1" ref="C133" ca="1">IFERROR(IF(OR('Raw Data'!C133="",LEN(TRIM('Raw Data'!C133))=0),"",IF(AND(LEN('Raw Data'!C133) &lt;= 20,LEN('Raw Data'!C133)&gt; 0),"",_xlfn.REGEXEXTRACT(CELL("address",'Raw Data'!C133),"\$([A-Z]+)\$[0-9]+"))),_xlfn.REGEXEXTRACT(CELL("address",'Raw Data'!C133),"\$([A-Z]+)\$[0-9]+"))</f>
        <v/>
      </c>
      <c r="D133" s="6" t="str" cm="1">
        <f t="array" aca="1" ref="D133" ca="1">IFERROR(IF(OR('Raw Data'!D133="",LEN(TRIM('Raw Data'!D133))=0),"",IF(AND(ISNUMBER('Raw Data'!D133),'Raw Data'!D133&gt;=Configuration!$D$2),"",_xlfn.REGEXEXTRACT(CELL("address",'Raw Data'!D133),"\$([A-Z]+)\$[0-9]+"))),_xlfn.REGEXEXTRACT(CELL("address",D133), "\$([A-Z]+)\$[0-9]+"))</f>
        <v/>
      </c>
      <c r="E133" s="6" t="str" cm="1">
        <f t="array" aca="1" ref="E133" ca="1">IFERROR(IF(OR('Raw Data'!E133="",LEN(TRIM('Raw Data'!E133))=0),"",IF(AND(ISNUMBER('Raw Data'!E133),'Raw Data'!E133=ROUND('Raw Data'!E133,4),IFERROR(ROUND('Raw Data'!E133,4)&lt;=99999999999.99,FALSE))=TRUE,"",_xlfn.REGEXEXTRACT(CELL("address",'Raw Data'!E133), "\$([A-Z]+)\$[0-9]+"))),_xlfn.REGEXEXTRACT(CELL("address",'Raw Data'!E133), "\$([A-Z]+)\$[0-9]+"))</f>
        <v/>
      </c>
      <c r="F133" s="6" t="str" cm="1">
        <f t="array" aca="1" ref="F133" ca="1">IFERROR(IF(OR('Raw Data'!F133="",LEN(TRIM('Raw Data'!F133))=0),"",IF(AND(ISNUMBER('Raw Data'!F133),'Raw Data'!F133=ROUND('Raw Data'!F133,4),IFERROR(ROUND('Raw Data'!F133,4)&lt;=99999999999.99,FALSE))=TRUE,"",_xlfn.REGEXEXTRACT(CELL("address",'Raw Data'!F133), "\$([A-Z]+)\$[0-9]+"))),_xlfn.REGEXEXTRACT(CELL("address",'Raw Data'!F133), "\$([A-Z]+)\$[0-9]+"))</f>
        <v/>
      </c>
      <c r="G133" s="6" t="str" cm="1">
        <f t="array" aca="1" ref="G133" ca="1">IFERROR(IF(OR('Raw Data'!G133="",LEN(TRIM('Raw Data'!G133))=0),"",IF(AND(ISNUMBER('Raw Data'!G133),'Raw Data'!G133=ROUND('Raw Data'!G133,4),IFERROR(ROUND('Raw Data'!G133,4)&lt;=99999999999.99,FALSE))=TRUE,"",_xlfn.REGEXEXTRACT(CELL("address",'Raw Data'!G133), "\$([A-Z]+)\$[0-9]+"))),_xlfn.REGEXEXTRACT(CELL("address",'Raw Data'!G133), "\$([A-Z]+)\$[0-9]+"))</f>
        <v/>
      </c>
      <c r="H133" s="6" t="str" cm="1">
        <f t="array" aca="1" ref="H133" ca="1">IFERROR(IF(OR('Raw Data'!H133="",LEN(TRIM('Raw Data'!H133))=0),"",IF(AND(ISNUMBER('Raw Data'!H133),'Raw Data'!H133=ROUND('Raw Data'!H133,4),IFERROR(ROUND('Raw Data'!H133,4)&lt;=99999999999.99,FALSE))=TRUE,"",_xlfn.REGEXEXTRACT(CELL("address",'Raw Data'!H133), "\$([A-Z]+)\$[0-9]+"))),_xlfn.REGEXEXTRACT(CELL("address",'Raw Data'!H133), "\$([A-Z]+)\$[0-9]+"))</f>
        <v/>
      </c>
      <c r="I133" s="6" t="str" cm="1">
        <f t="array" aca="1" ref="I133" ca="1">IFERROR(IF(OR('Raw Data'!I133="",LEN(TRIM('Raw Data'!I133))=0),"",IF(AND(ISNUMBER('Raw Data'!I133),'Raw Data'!I133=ROUND('Raw Data'!I133,4),IFERROR(ROUND('Raw Data'!I133,4)&lt;=99999999999.99,FALSE))=TRUE,"",_xlfn.REGEXEXTRACT(CELL("address",'Raw Data'!I133), "\$([A-Z]+)\$[0-9]+"))),_xlfn.REGEXEXTRACT(CELL("address",'Raw Data'!I133), "\$([A-Z]+)\$[0-9]+"))</f>
        <v/>
      </c>
      <c r="J133" s="6" t="str" cm="1">
        <f t="array" aca="1" ref="J133" ca="1">IFERROR(IF(OR('Raw Data'!J133="",LEN(TRIM('Raw Data'!J133))=0),"",IF(AND(ISNUMBER('Raw Data'!J133),'Raw Data'!J133=ROUND('Raw Data'!J133,4),IFERROR(ROUND('Raw Data'!J133,4)&lt;=99999999999.99,FALSE))=TRUE,"",_xlfn.REGEXEXTRACT(CELL("address",'Raw Data'!J133), "\$([A-Z]+)\$[0-9]+"))),_xlfn.REGEXEXTRACT(CELL("address",'Raw Data'!J133), "\$([A-Z]+)\$[0-9]+"))</f>
        <v/>
      </c>
    </row>
    <row r="134" spans="2:10" x14ac:dyDescent="0.25">
      <c r="B134" s="6" t="str" cm="1">
        <f t="array" aca="1" ref="B134" ca="1">IFERROR(IF(OR('Raw Data'!B134="",LEN(TRIM('Raw Data'!B134))=0),"",IF(AND(LEN('Raw Data'!B134) &lt;= 255,LEN('Raw Data'!B134)&gt; 0),"",_xlfn.REGEXEXTRACT(CELL("address",'Raw Data'!B134),"\$([A-Z]+)\$[0-9]+"))),_xlfn.REGEXEXTRACT(CELL("address",'Raw Data'!B134),"\$([A-Z]+)\$[0-9]+"))</f>
        <v/>
      </c>
      <c r="C134" s="6" t="str" cm="1">
        <f t="array" aca="1" ref="C134" ca="1">IFERROR(IF(OR('Raw Data'!C134="",LEN(TRIM('Raw Data'!C134))=0),"",IF(AND(LEN('Raw Data'!C134) &lt;= 20,LEN('Raw Data'!C134)&gt; 0),"",_xlfn.REGEXEXTRACT(CELL("address",'Raw Data'!C134),"\$([A-Z]+)\$[0-9]+"))),_xlfn.REGEXEXTRACT(CELL("address",'Raw Data'!C134),"\$([A-Z]+)\$[0-9]+"))</f>
        <v/>
      </c>
      <c r="D134" s="6" t="str" cm="1">
        <f t="array" aca="1" ref="D134" ca="1">IFERROR(IF(OR('Raw Data'!D134="",LEN(TRIM('Raw Data'!D134))=0),"",IF(AND(ISNUMBER('Raw Data'!D134),'Raw Data'!D134&gt;=Configuration!$D$2),"",_xlfn.REGEXEXTRACT(CELL("address",'Raw Data'!D134),"\$([A-Z]+)\$[0-9]+"))),_xlfn.REGEXEXTRACT(CELL("address",D134), "\$([A-Z]+)\$[0-9]+"))</f>
        <v/>
      </c>
      <c r="E134" s="6" t="str" cm="1">
        <f t="array" aca="1" ref="E134" ca="1">IFERROR(IF(OR('Raw Data'!E134="",LEN(TRIM('Raw Data'!E134))=0),"",IF(AND(ISNUMBER('Raw Data'!E134),'Raw Data'!E134=ROUND('Raw Data'!E134,4),IFERROR(ROUND('Raw Data'!E134,4)&lt;=99999999999.99,FALSE))=TRUE,"",_xlfn.REGEXEXTRACT(CELL("address",'Raw Data'!E134), "\$([A-Z]+)\$[0-9]+"))),_xlfn.REGEXEXTRACT(CELL("address",'Raw Data'!E134), "\$([A-Z]+)\$[0-9]+"))</f>
        <v/>
      </c>
      <c r="F134" s="6" t="str" cm="1">
        <f t="array" aca="1" ref="F134" ca="1">IFERROR(IF(OR('Raw Data'!F134="",LEN(TRIM('Raw Data'!F134))=0),"",IF(AND(ISNUMBER('Raw Data'!F134),'Raw Data'!F134=ROUND('Raw Data'!F134,4),IFERROR(ROUND('Raw Data'!F134,4)&lt;=99999999999.99,FALSE))=TRUE,"",_xlfn.REGEXEXTRACT(CELL("address",'Raw Data'!F134), "\$([A-Z]+)\$[0-9]+"))),_xlfn.REGEXEXTRACT(CELL("address",'Raw Data'!F134), "\$([A-Z]+)\$[0-9]+"))</f>
        <v/>
      </c>
      <c r="G134" s="6" t="str" cm="1">
        <f t="array" aca="1" ref="G134" ca="1">IFERROR(IF(OR('Raw Data'!G134="",LEN(TRIM('Raw Data'!G134))=0),"",IF(AND(ISNUMBER('Raw Data'!G134),'Raw Data'!G134=ROUND('Raw Data'!G134,4),IFERROR(ROUND('Raw Data'!G134,4)&lt;=99999999999.99,FALSE))=TRUE,"",_xlfn.REGEXEXTRACT(CELL("address",'Raw Data'!G134), "\$([A-Z]+)\$[0-9]+"))),_xlfn.REGEXEXTRACT(CELL("address",'Raw Data'!G134), "\$([A-Z]+)\$[0-9]+"))</f>
        <v/>
      </c>
      <c r="H134" s="6" t="str" cm="1">
        <f t="array" aca="1" ref="H134" ca="1">IFERROR(IF(OR('Raw Data'!H134="",LEN(TRIM('Raw Data'!H134))=0),"",IF(AND(ISNUMBER('Raw Data'!H134),'Raw Data'!H134=ROUND('Raw Data'!H134,4),IFERROR(ROUND('Raw Data'!H134,4)&lt;=99999999999.99,FALSE))=TRUE,"",_xlfn.REGEXEXTRACT(CELL("address",'Raw Data'!H134), "\$([A-Z]+)\$[0-9]+"))),_xlfn.REGEXEXTRACT(CELL("address",'Raw Data'!H134), "\$([A-Z]+)\$[0-9]+"))</f>
        <v/>
      </c>
      <c r="I134" s="6" t="str" cm="1">
        <f t="array" aca="1" ref="I134" ca="1">IFERROR(IF(OR('Raw Data'!I134="",LEN(TRIM('Raw Data'!I134))=0),"",IF(AND(ISNUMBER('Raw Data'!I134),'Raw Data'!I134=ROUND('Raw Data'!I134,4),IFERROR(ROUND('Raw Data'!I134,4)&lt;=99999999999.99,FALSE))=TRUE,"",_xlfn.REGEXEXTRACT(CELL("address",'Raw Data'!I134), "\$([A-Z]+)\$[0-9]+"))),_xlfn.REGEXEXTRACT(CELL("address",'Raw Data'!I134), "\$([A-Z]+)\$[0-9]+"))</f>
        <v/>
      </c>
      <c r="J134" s="6" t="str" cm="1">
        <f t="array" aca="1" ref="J134" ca="1">IFERROR(IF(OR('Raw Data'!J134="",LEN(TRIM('Raw Data'!J134))=0),"",IF(AND(ISNUMBER('Raw Data'!J134),'Raw Data'!J134=ROUND('Raw Data'!J134,4),IFERROR(ROUND('Raw Data'!J134,4)&lt;=99999999999.99,FALSE))=TRUE,"",_xlfn.REGEXEXTRACT(CELL("address",'Raw Data'!J134), "\$([A-Z]+)\$[0-9]+"))),_xlfn.REGEXEXTRACT(CELL("address",'Raw Data'!J134), "\$([A-Z]+)\$[0-9]+"))</f>
        <v/>
      </c>
    </row>
    <row r="135" spans="2:10" x14ac:dyDescent="0.25">
      <c r="B135" s="6" t="str" cm="1">
        <f t="array" aca="1" ref="B135" ca="1">IFERROR(IF(OR('Raw Data'!B135="",LEN(TRIM('Raw Data'!B135))=0),"",IF(AND(LEN('Raw Data'!B135) &lt;= 255,LEN('Raw Data'!B135)&gt; 0),"",_xlfn.REGEXEXTRACT(CELL("address",'Raw Data'!B135),"\$([A-Z]+)\$[0-9]+"))),_xlfn.REGEXEXTRACT(CELL("address",'Raw Data'!B135),"\$([A-Z]+)\$[0-9]+"))</f>
        <v/>
      </c>
      <c r="C135" s="6" t="str" cm="1">
        <f t="array" aca="1" ref="C135" ca="1">IFERROR(IF(OR('Raw Data'!C135="",LEN(TRIM('Raw Data'!C135))=0),"",IF(AND(LEN('Raw Data'!C135) &lt;= 20,LEN('Raw Data'!C135)&gt; 0),"",_xlfn.REGEXEXTRACT(CELL("address",'Raw Data'!C135),"\$([A-Z]+)\$[0-9]+"))),_xlfn.REGEXEXTRACT(CELL("address",'Raw Data'!C135),"\$([A-Z]+)\$[0-9]+"))</f>
        <v/>
      </c>
      <c r="D135" s="6" t="str" cm="1">
        <f t="array" aca="1" ref="D135" ca="1">IFERROR(IF(OR('Raw Data'!D135="",LEN(TRIM('Raw Data'!D135))=0),"",IF(AND(ISNUMBER('Raw Data'!D135),'Raw Data'!D135&gt;=Configuration!$D$2),"",_xlfn.REGEXEXTRACT(CELL("address",'Raw Data'!D135),"\$([A-Z]+)\$[0-9]+"))),_xlfn.REGEXEXTRACT(CELL("address",D135), "\$([A-Z]+)\$[0-9]+"))</f>
        <v/>
      </c>
      <c r="E135" s="6" t="str" cm="1">
        <f t="array" aca="1" ref="E135" ca="1">IFERROR(IF(OR('Raw Data'!E135="",LEN(TRIM('Raw Data'!E135))=0),"",IF(AND(ISNUMBER('Raw Data'!E135),'Raw Data'!E135=ROUND('Raw Data'!E135,4),IFERROR(ROUND('Raw Data'!E135,4)&lt;=99999999999.99,FALSE))=TRUE,"",_xlfn.REGEXEXTRACT(CELL("address",'Raw Data'!E135), "\$([A-Z]+)\$[0-9]+"))),_xlfn.REGEXEXTRACT(CELL("address",'Raw Data'!E135), "\$([A-Z]+)\$[0-9]+"))</f>
        <v/>
      </c>
      <c r="F135" s="6" t="str" cm="1">
        <f t="array" aca="1" ref="F135" ca="1">IFERROR(IF(OR('Raw Data'!F135="",LEN(TRIM('Raw Data'!F135))=0),"",IF(AND(ISNUMBER('Raw Data'!F135),'Raw Data'!F135=ROUND('Raw Data'!F135,4),IFERROR(ROUND('Raw Data'!F135,4)&lt;=99999999999.99,FALSE))=TRUE,"",_xlfn.REGEXEXTRACT(CELL("address",'Raw Data'!F135), "\$([A-Z]+)\$[0-9]+"))),_xlfn.REGEXEXTRACT(CELL("address",'Raw Data'!F135), "\$([A-Z]+)\$[0-9]+"))</f>
        <v/>
      </c>
      <c r="G135" s="6" t="str" cm="1">
        <f t="array" aca="1" ref="G135" ca="1">IFERROR(IF(OR('Raw Data'!G135="",LEN(TRIM('Raw Data'!G135))=0),"",IF(AND(ISNUMBER('Raw Data'!G135),'Raw Data'!G135=ROUND('Raw Data'!G135,4),IFERROR(ROUND('Raw Data'!G135,4)&lt;=99999999999.99,FALSE))=TRUE,"",_xlfn.REGEXEXTRACT(CELL("address",'Raw Data'!G135), "\$([A-Z]+)\$[0-9]+"))),_xlfn.REGEXEXTRACT(CELL("address",'Raw Data'!G135), "\$([A-Z]+)\$[0-9]+"))</f>
        <v/>
      </c>
      <c r="H135" s="6" t="str" cm="1">
        <f t="array" aca="1" ref="H135" ca="1">IFERROR(IF(OR('Raw Data'!H135="",LEN(TRIM('Raw Data'!H135))=0),"",IF(AND(ISNUMBER('Raw Data'!H135),'Raw Data'!H135=ROUND('Raw Data'!H135,4),IFERROR(ROUND('Raw Data'!H135,4)&lt;=99999999999.99,FALSE))=TRUE,"",_xlfn.REGEXEXTRACT(CELL("address",'Raw Data'!H135), "\$([A-Z]+)\$[0-9]+"))),_xlfn.REGEXEXTRACT(CELL("address",'Raw Data'!H135), "\$([A-Z]+)\$[0-9]+"))</f>
        <v/>
      </c>
      <c r="I135" s="6" t="str" cm="1">
        <f t="array" aca="1" ref="I135" ca="1">IFERROR(IF(OR('Raw Data'!I135="",LEN(TRIM('Raw Data'!I135))=0),"",IF(AND(ISNUMBER('Raw Data'!I135),'Raw Data'!I135=ROUND('Raw Data'!I135,4),IFERROR(ROUND('Raw Data'!I135,4)&lt;=99999999999.99,FALSE))=TRUE,"",_xlfn.REGEXEXTRACT(CELL("address",'Raw Data'!I135), "\$([A-Z]+)\$[0-9]+"))),_xlfn.REGEXEXTRACT(CELL("address",'Raw Data'!I135), "\$([A-Z]+)\$[0-9]+"))</f>
        <v/>
      </c>
      <c r="J135" s="6" t="str" cm="1">
        <f t="array" aca="1" ref="J135" ca="1">IFERROR(IF(OR('Raw Data'!J135="",LEN(TRIM('Raw Data'!J135))=0),"",IF(AND(ISNUMBER('Raw Data'!J135),'Raw Data'!J135=ROUND('Raw Data'!J135,4),IFERROR(ROUND('Raw Data'!J135,4)&lt;=99999999999.99,FALSE))=TRUE,"",_xlfn.REGEXEXTRACT(CELL("address",'Raw Data'!J135), "\$([A-Z]+)\$[0-9]+"))),_xlfn.REGEXEXTRACT(CELL("address",'Raw Data'!J135), "\$([A-Z]+)\$[0-9]+"))</f>
        <v/>
      </c>
    </row>
    <row r="136" spans="2:10" x14ac:dyDescent="0.25">
      <c r="B136" s="6" t="str" cm="1">
        <f t="array" aca="1" ref="B136" ca="1">IFERROR(IF(OR('Raw Data'!B136="",LEN(TRIM('Raw Data'!B136))=0),"",IF(AND(LEN('Raw Data'!B136) &lt;= 255,LEN('Raw Data'!B136)&gt; 0),"",_xlfn.REGEXEXTRACT(CELL("address",'Raw Data'!B136),"\$([A-Z]+)\$[0-9]+"))),_xlfn.REGEXEXTRACT(CELL("address",'Raw Data'!B136),"\$([A-Z]+)\$[0-9]+"))</f>
        <v/>
      </c>
      <c r="C136" s="6" t="str" cm="1">
        <f t="array" aca="1" ref="C136" ca="1">IFERROR(IF(OR('Raw Data'!C136="",LEN(TRIM('Raw Data'!C136))=0),"",IF(AND(LEN('Raw Data'!C136) &lt;= 20,LEN('Raw Data'!C136)&gt; 0),"",_xlfn.REGEXEXTRACT(CELL("address",'Raw Data'!C136),"\$([A-Z]+)\$[0-9]+"))),_xlfn.REGEXEXTRACT(CELL("address",'Raw Data'!C136),"\$([A-Z]+)\$[0-9]+"))</f>
        <v/>
      </c>
      <c r="D136" s="6" t="str" cm="1">
        <f t="array" aca="1" ref="D136" ca="1">IFERROR(IF(OR('Raw Data'!D136="",LEN(TRIM('Raw Data'!D136))=0),"",IF(AND(ISNUMBER('Raw Data'!D136),'Raw Data'!D136&gt;=Configuration!$D$2),"",_xlfn.REGEXEXTRACT(CELL("address",'Raw Data'!D136),"\$([A-Z]+)\$[0-9]+"))),_xlfn.REGEXEXTRACT(CELL("address",D136), "\$([A-Z]+)\$[0-9]+"))</f>
        <v/>
      </c>
      <c r="E136" s="6" t="str" cm="1">
        <f t="array" aca="1" ref="E136" ca="1">IFERROR(IF(OR('Raw Data'!E136="",LEN(TRIM('Raw Data'!E136))=0),"",IF(AND(ISNUMBER('Raw Data'!E136),'Raw Data'!E136=ROUND('Raw Data'!E136,4),IFERROR(ROUND('Raw Data'!E136,4)&lt;=99999999999.99,FALSE))=TRUE,"",_xlfn.REGEXEXTRACT(CELL("address",'Raw Data'!E136), "\$([A-Z]+)\$[0-9]+"))),_xlfn.REGEXEXTRACT(CELL("address",'Raw Data'!E136), "\$([A-Z]+)\$[0-9]+"))</f>
        <v/>
      </c>
      <c r="F136" s="6" t="str" cm="1">
        <f t="array" aca="1" ref="F136" ca="1">IFERROR(IF(OR('Raw Data'!F136="",LEN(TRIM('Raw Data'!F136))=0),"",IF(AND(ISNUMBER('Raw Data'!F136),'Raw Data'!F136=ROUND('Raw Data'!F136,4),IFERROR(ROUND('Raw Data'!F136,4)&lt;=99999999999.99,FALSE))=TRUE,"",_xlfn.REGEXEXTRACT(CELL("address",'Raw Data'!F136), "\$([A-Z]+)\$[0-9]+"))),_xlfn.REGEXEXTRACT(CELL("address",'Raw Data'!F136), "\$([A-Z]+)\$[0-9]+"))</f>
        <v/>
      </c>
      <c r="G136" s="6" t="str" cm="1">
        <f t="array" aca="1" ref="G136" ca="1">IFERROR(IF(OR('Raw Data'!G136="",LEN(TRIM('Raw Data'!G136))=0),"",IF(AND(ISNUMBER('Raw Data'!G136),'Raw Data'!G136=ROUND('Raw Data'!G136,4),IFERROR(ROUND('Raw Data'!G136,4)&lt;=99999999999.99,FALSE))=TRUE,"",_xlfn.REGEXEXTRACT(CELL("address",'Raw Data'!G136), "\$([A-Z]+)\$[0-9]+"))),_xlfn.REGEXEXTRACT(CELL("address",'Raw Data'!G136), "\$([A-Z]+)\$[0-9]+"))</f>
        <v/>
      </c>
      <c r="H136" s="6" t="str" cm="1">
        <f t="array" aca="1" ref="H136" ca="1">IFERROR(IF(OR('Raw Data'!H136="",LEN(TRIM('Raw Data'!H136))=0),"",IF(AND(ISNUMBER('Raw Data'!H136),'Raw Data'!H136=ROUND('Raw Data'!H136,4),IFERROR(ROUND('Raw Data'!H136,4)&lt;=99999999999.99,FALSE))=TRUE,"",_xlfn.REGEXEXTRACT(CELL("address",'Raw Data'!H136), "\$([A-Z]+)\$[0-9]+"))),_xlfn.REGEXEXTRACT(CELL("address",'Raw Data'!H136), "\$([A-Z]+)\$[0-9]+"))</f>
        <v/>
      </c>
      <c r="I136" s="6" t="str" cm="1">
        <f t="array" aca="1" ref="I136" ca="1">IFERROR(IF(OR('Raw Data'!I136="",LEN(TRIM('Raw Data'!I136))=0),"",IF(AND(ISNUMBER('Raw Data'!I136),'Raw Data'!I136=ROUND('Raw Data'!I136,4),IFERROR(ROUND('Raw Data'!I136,4)&lt;=99999999999.99,FALSE))=TRUE,"",_xlfn.REGEXEXTRACT(CELL("address",'Raw Data'!I136), "\$([A-Z]+)\$[0-9]+"))),_xlfn.REGEXEXTRACT(CELL("address",'Raw Data'!I136), "\$([A-Z]+)\$[0-9]+"))</f>
        <v/>
      </c>
      <c r="J136" s="6" t="str" cm="1">
        <f t="array" aca="1" ref="J136" ca="1">IFERROR(IF(OR('Raw Data'!J136="",LEN(TRIM('Raw Data'!J136))=0),"",IF(AND(ISNUMBER('Raw Data'!J136),'Raw Data'!J136=ROUND('Raw Data'!J136,4),IFERROR(ROUND('Raw Data'!J136,4)&lt;=99999999999.99,FALSE))=TRUE,"",_xlfn.REGEXEXTRACT(CELL("address",'Raw Data'!J136), "\$([A-Z]+)\$[0-9]+"))),_xlfn.REGEXEXTRACT(CELL("address",'Raw Data'!J136), "\$([A-Z]+)\$[0-9]+"))</f>
        <v/>
      </c>
    </row>
    <row r="137" spans="2:10" x14ac:dyDescent="0.25">
      <c r="B137" s="6" t="str" cm="1">
        <f t="array" aca="1" ref="B137" ca="1">IFERROR(IF(OR('Raw Data'!B137="",LEN(TRIM('Raw Data'!B137))=0),"",IF(AND(LEN('Raw Data'!B137) &lt;= 255,LEN('Raw Data'!B137)&gt; 0),"",_xlfn.REGEXEXTRACT(CELL("address",'Raw Data'!B137),"\$([A-Z]+)\$[0-9]+"))),_xlfn.REGEXEXTRACT(CELL("address",'Raw Data'!B137),"\$([A-Z]+)\$[0-9]+"))</f>
        <v/>
      </c>
      <c r="C137" s="6" t="str" cm="1">
        <f t="array" aca="1" ref="C137" ca="1">IFERROR(IF(OR('Raw Data'!C137="",LEN(TRIM('Raw Data'!C137))=0),"",IF(AND(LEN('Raw Data'!C137) &lt;= 20,LEN('Raw Data'!C137)&gt; 0),"",_xlfn.REGEXEXTRACT(CELL("address",'Raw Data'!C137),"\$([A-Z]+)\$[0-9]+"))),_xlfn.REGEXEXTRACT(CELL("address",'Raw Data'!C137),"\$([A-Z]+)\$[0-9]+"))</f>
        <v/>
      </c>
      <c r="D137" s="6" t="str" cm="1">
        <f t="array" aca="1" ref="D137" ca="1">IFERROR(IF(OR('Raw Data'!D137="",LEN(TRIM('Raw Data'!D137))=0),"",IF(AND(ISNUMBER('Raw Data'!D137),'Raw Data'!D137&gt;=Configuration!$D$2),"",_xlfn.REGEXEXTRACT(CELL("address",'Raw Data'!D137),"\$([A-Z]+)\$[0-9]+"))),_xlfn.REGEXEXTRACT(CELL("address",D137), "\$([A-Z]+)\$[0-9]+"))</f>
        <v/>
      </c>
      <c r="E137" s="6" t="str" cm="1">
        <f t="array" aca="1" ref="E137" ca="1">IFERROR(IF(OR('Raw Data'!E137="",LEN(TRIM('Raw Data'!E137))=0),"",IF(AND(ISNUMBER('Raw Data'!E137),'Raw Data'!E137=ROUND('Raw Data'!E137,4),IFERROR(ROUND('Raw Data'!E137,4)&lt;=99999999999.99,FALSE))=TRUE,"",_xlfn.REGEXEXTRACT(CELL("address",'Raw Data'!E137), "\$([A-Z]+)\$[0-9]+"))),_xlfn.REGEXEXTRACT(CELL("address",'Raw Data'!E137), "\$([A-Z]+)\$[0-9]+"))</f>
        <v/>
      </c>
      <c r="F137" s="6" t="str" cm="1">
        <f t="array" aca="1" ref="F137" ca="1">IFERROR(IF(OR('Raw Data'!F137="",LEN(TRIM('Raw Data'!F137))=0),"",IF(AND(ISNUMBER('Raw Data'!F137),'Raw Data'!F137=ROUND('Raw Data'!F137,4),IFERROR(ROUND('Raw Data'!F137,4)&lt;=99999999999.99,FALSE))=TRUE,"",_xlfn.REGEXEXTRACT(CELL("address",'Raw Data'!F137), "\$([A-Z]+)\$[0-9]+"))),_xlfn.REGEXEXTRACT(CELL("address",'Raw Data'!F137), "\$([A-Z]+)\$[0-9]+"))</f>
        <v/>
      </c>
      <c r="G137" s="6" t="str" cm="1">
        <f t="array" aca="1" ref="G137" ca="1">IFERROR(IF(OR('Raw Data'!G137="",LEN(TRIM('Raw Data'!G137))=0),"",IF(AND(ISNUMBER('Raw Data'!G137),'Raw Data'!G137=ROUND('Raw Data'!G137,4),IFERROR(ROUND('Raw Data'!G137,4)&lt;=99999999999.99,FALSE))=TRUE,"",_xlfn.REGEXEXTRACT(CELL("address",'Raw Data'!G137), "\$([A-Z]+)\$[0-9]+"))),_xlfn.REGEXEXTRACT(CELL("address",'Raw Data'!G137), "\$([A-Z]+)\$[0-9]+"))</f>
        <v/>
      </c>
      <c r="H137" s="6" t="str" cm="1">
        <f t="array" aca="1" ref="H137" ca="1">IFERROR(IF(OR('Raw Data'!H137="",LEN(TRIM('Raw Data'!H137))=0),"",IF(AND(ISNUMBER('Raw Data'!H137),'Raw Data'!H137=ROUND('Raw Data'!H137,4),IFERROR(ROUND('Raw Data'!H137,4)&lt;=99999999999.99,FALSE))=TRUE,"",_xlfn.REGEXEXTRACT(CELL("address",'Raw Data'!H137), "\$([A-Z]+)\$[0-9]+"))),_xlfn.REGEXEXTRACT(CELL("address",'Raw Data'!H137), "\$([A-Z]+)\$[0-9]+"))</f>
        <v/>
      </c>
      <c r="I137" s="6" t="str" cm="1">
        <f t="array" aca="1" ref="I137" ca="1">IFERROR(IF(OR('Raw Data'!I137="",LEN(TRIM('Raw Data'!I137))=0),"",IF(AND(ISNUMBER('Raw Data'!I137),'Raw Data'!I137=ROUND('Raw Data'!I137,4),IFERROR(ROUND('Raw Data'!I137,4)&lt;=99999999999.99,FALSE))=TRUE,"",_xlfn.REGEXEXTRACT(CELL("address",'Raw Data'!I137), "\$([A-Z]+)\$[0-9]+"))),_xlfn.REGEXEXTRACT(CELL("address",'Raw Data'!I137), "\$([A-Z]+)\$[0-9]+"))</f>
        <v/>
      </c>
      <c r="J137" s="6" t="str" cm="1">
        <f t="array" aca="1" ref="J137" ca="1">IFERROR(IF(OR('Raw Data'!J137="",LEN(TRIM('Raw Data'!J137))=0),"",IF(AND(ISNUMBER('Raw Data'!J137),'Raw Data'!J137=ROUND('Raw Data'!J137,4),IFERROR(ROUND('Raw Data'!J137,4)&lt;=99999999999.99,FALSE))=TRUE,"",_xlfn.REGEXEXTRACT(CELL("address",'Raw Data'!J137), "\$([A-Z]+)\$[0-9]+"))),_xlfn.REGEXEXTRACT(CELL("address",'Raw Data'!J137), "\$([A-Z]+)\$[0-9]+"))</f>
        <v/>
      </c>
    </row>
    <row r="138" spans="2:10" x14ac:dyDescent="0.25">
      <c r="B138" s="6" t="str" cm="1">
        <f t="array" aca="1" ref="B138" ca="1">IFERROR(IF(OR('Raw Data'!B138="",LEN(TRIM('Raw Data'!B138))=0),"",IF(AND(LEN('Raw Data'!B138) &lt;= 255,LEN('Raw Data'!B138)&gt; 0),"",_xlfn.REGEXEXTRACT(CELL("address",'Raw Data'!B138),"\$([A-Z]+)\$[0-9]+"))),_xlfn.REGEXEXTRACT(CELL("address",'Raw Data'!B138),"\$([A-Z]+)\$[0-9]+"))</f>
        <v/>
      </c>
      <c r="C138" s="6" t="str" cm="1">
        <f t="array" aca="1" ref="C138" ca="1">IFERROR(IF(OR('Raw Data'!C138="",LEN(TRIM('Raw Data'!C138))=0),"",IF(AND(LEN('Raw Data'!C138) &lt;= 20,LEN('Raw Data'!C138)&gt; 0),"",_xlfn.REGEXEXTRACT(CELL("address",'Raw Data'!C138),"\$([A-Z]+)\$[0-9]+"))),_xlfn.REGEXEXTRACT(CELL("address",'Raw Data'!C138),"\$([A-Z]+)\$[0-9]+"))</f>
        <v/>
      </c>
      <c r="D138" s="6" t="str" cm="1">
        <f t="array" aca="1" ref="D138" ca="1">IFERROR(IF(OR('Raw Data'!D138="",LEN(TRIM('Raw Data'!D138))=0),"",IF(AND(ISNUMBER('Raw Data'!D138),'Raw Data'!D138&gt;=Configuration!$D$2),"",_xlfn.REGEXEXTRACT(CELL("address",'Raw Data'!D138),"\$([A-Z]+)\$[0-9]+"))),_xlfn.REGEXEXTRACT(CELL("address",D138), "\$([A-Z]+)\$[0-9]+"))</f>
        <v/>
      </c>
      <c r="E138" s="6" t="str" cm="1">
        <f t="array" aca="1" ref="E138" ca="1">IFERROR(IF(OR('Raw Data'!E138="",LEN(TRIM('Raw Data'!E138))=0),"",IF(AND(ISNUMBER('Raw Data'!E138),'Raw Data'!E138=ROUND('Raw Data'!E138,4),IFERROR(ROUND('Raw Data'!E138,4)&lt;=99999999999.99,FALSE))=TRUE,"",_xlfn.REGEXEXTRACT(CELL("address",'Raw Data'!E138), "\$([A-Z]+)\$[0-9]+"))),_xlfn.REGEXEXTRACT(CELL("address",'Raw Data'!E138), "\$([A-Z]+)\$[0-9]+"))</f>
        <v/>
      </c>
      <c r="F138" s="6" t="str" cm="1">
        <f t="array" aca="1" ref="F138" ca="1">IFERROR(IF(OR('Raw Data'!F138="",LEN(TRIM('Raw Data'!F138))=0),"",IF(AND(ISNUMBER('Raw Data'!F138),'Raw Data'!F138=ROUND('Raw Data'!F138,4),IFERROR(ROUND('Raw Data'!F138,4)&lt;=99999999999.99,FALSE))=TRUE,"",_xlfn.REGEXEXTRACT(CELL("address",'Raw Data'!F138), "\$([A-Z]+)\$[0-9]+"))),_xlfn.REGEXEXTRACT(CELL("address",'Raw Data'!F138), "\$([A-Z]+)\$[0-9]+"))</f>
        <v/>
      </c>
      <c r="G138" s="6" t="str" cm="1">
        <f t="array" aca="1" ref="G138" ca="1">IFERROR(IF(OR('Raw Data'!G138="",LEN(TRIM('Raw Data'!G138))=0),"",IF(AND(ISNUMBER('Raw Data'!G138),'Raw Data'!G138=ROUND('Raw Data'!G138,4),IFERROR(ROUND('Raw Data'!G138,4)&lt;=99999999999.99,FALSE))=TRUE,"",_xlfn.REGEXEXTRACT(CELL("address",'Raw Data'!G138), "\$([A-Z]+)\$[0-9]+"))),_xlfn.REGEXEXTRACT(CELL("address",'Raw Data'!G138), "\$([A-Z]+)\$[0-9]+"))</f>
        <v/>
      </c>
      <c r="H138" s="6" t="str" cm="1">
        <f t="array" aca="1" ref="H138" ca="1">IFERROR(IF(OR('Raw Data'!H138="",LEN(TRIM('Raw Data'!H138))=0),"",IF(AND(ISNUMBER('Raw Data'!H138),'Raw Data'!H138=ROUND('Raw Data'!H138,4),IFERROR(ROUND('Raw Data'!H138,4)&lt;=99999999999.99,FALSE))=TRUE,"",_xlfn.REGEXEXTRACT(CELL("address",'Raw Data'!H138), "\$([A-Z]+)\$[0-9]+"))),_xlfn.REGEXEXTRACT(CELL("address",'Raw Data'!H138), "\$([A-Z]+)\$[0-9]+"))</f>
        <v/>
      </c>
      <c r="I138" s="6" t="str" cm="1">
        <f t="array" aca="1" ref="I138" ca="1">IFERROR(IF(OR('Raw Data'!I138="",LEN(TRIM('Raw Data'!I138))=0),"",IF(AND(ISNUMBER('Raw Data'!I138),'Raw Data'!I138=ROUND('Raw Data'!I138,4),IFERROR(ROUND('Raw Data'!I138,4)&lt;=99999999999.99,FALSE))=TRUE,"",_xlfn.REGEXEXTRACT(CELL("address",'Raw Data'!I138), "\$([A-Z]+)\$[0-9]+"))),_xlfn.REGEXEXTRACT(CELL("address",'Raw Data'!I138), "\$([A-Z]+)\$[0-9]+"))</f>
        <v/>
      </c>
      <c r="J138" s="6" t="str" cm="1">
        <f t="array" aca="1" ref="J138" ca="1">IFERROR(IF(OR('Raw Data'!J138="",LEN(TRIM('Raw Data'!J138))=0),"",IF(AND(ISNUMBER('Raw Data'!J138),'Raw Data'!J138=ROUND('Raw Data'!J138,4),IFERROR(ROUND('Raw Data'!J138,4)&lt;=99999999999.99,FALSE))=TRUE,"",_xlfn.REGEXEXTRACT(CELL("address",'Raw Data'!J138), "\$([A-Z]+)\$[0-9]+"))),_xlfn.REGEXEXTRACT(CELL("address",'Raw Data'!J138), "\$([A-Z]+)\$[0-9]+"))</f>
        <v/>
      </c>
    </row>
    <row r="139" spans="2:10" x14ac:dyDescent="0.25">
      <c r="B139" s="6" t="str" cm="1">
        <f t="array" aca="1" ref="B139" ca="1">IFERROR(IF(OR('Raw Data'!B139="",LEN(TRIM('Raw Data'!B139))=0),"",IF(AND(LEN('Raw Data'!B139) &lt;= 255,LEN('Raw Data'!B139)&gt; 0),"",_xlfn.REGEXEXTRACT(CELL("address",'Raw Data'!B139),"\$([A-Z]+)\$[0-9]+"))),_xlfn.REGEXEXTRACT(CELL("address",'Raw Data'!B139),"\$([A-Z]+)\$[0-9]+"))</f>
        <v/>
      </c>
      <c r="C139" s="6" t="str" cm="1">
        <f t="array" aca="1" ref="C139" ca="1">IFERROR(IF(OR('Raw Data'!C139="",LEN(TRIM('Raw Data'!C139))=0),"",IF(AND(LEN('Raw Data'!C139) &lt;= 20,LEN('Raw Data'!C139)&gt; 0),"",_xlfn.REGEXEXTRACT(CELL("address",'Raw Data'!C139),"\$([A-Z]+)\$[0-9]+"))),_xlfn.REGEXEXTRACT(CELL("address",'Raw Data'!C139),"\$([A-Z]+)\$[0-9]+"))</f>
        <v/>
      </c>
      <c r="D139" s="6" t="str" cm="1">
        <f t="array" aca="1" ref="D139" ca="1">IFERROR(IF(OR('Raw Data'!D139="",LEN(TRIM('Raw Data'!D139))=0),"",IF(AND(ISNUMBER('Raw Data'!D139),'Raw Data'!D139&gt;=Configuration!$D$2),"",_xlfn.REGEXEXTRACT(CELL("address",'Raw Data'!D139),"\$([A-Z]+)\$[0-9]+"))),_xlfn.REGEXEXTRACT(CELL("address",D139), "\$([A-Z]+)\$[0-9]+"))</f>
        <v/>
      </c>
      <c r="E139" s="6" t="str" cm="1">
        <f t="array" aca="1" ref="E139" ca="1">IFERROR(IF(OR('Raw Data'!E139="",LEN(TRIM('Raw Data'!E139))=0),"",IF(AND(ISNUMBER('Raw Data'!E139),'Raw Data'!E139=ROUND('Raw Data'!E139,4),IFERROR(ROUND('Raw Data'!E139,4)&lt;=99999999999.99,FALSE))=TRUE,"",_xlfn.REGEXEXTRACT(CELL("address",'Raw Data'!E139), "\$([A-Z]+)\$[0-9]+"))),_xlfn.REGEXEXTRACT(CELL("address",'Raw Data'!E139), "\$([A-Z]+)\$[0-9]+"))</f>
        <v/>
      </c>
      <c r="F139" s="6" t="str" cm="1">
        <f t="array" aca="1" ref="F139" ca="1">IFERROR(IF(OR('Raw Data'!F139="",LEN(TRIM('Raw Data'!F139))=0),"",IF(AND(ISNUMBER('Raw Data'!F139),'Raw Data'!F139=ROUND('Raw Data'!F139,4),IFERROR(ROUND('Raw Data'!F139,4)&lt;=99999999999.99,FALSE))=TRUE,"",_xlfn.REGEXEXTRACT(CELL("address",'Raw Data'!F139), "\$([A-Z]+)\$[0-9]+"))),_xlfn.REGEXEXTRACT(CELL("address",'Raw Data'!F139), "\$([A-Z]+)\$[0-9]+"))</f>
        <v/>
      </c>
      <c r="G139" s="6" t="str" cm="1">
        <f t="array" aca="1" ref="G139" ca="1">IFERROR(IF(OR('Raw Data'!G139="",LEN(TRIM('Raw Data'!G139))=0),"",IF(AND(ISNUMBER('Raw Data'!G139),'Raw Data'!G139=ROUND('Raw Data'!G139,4),IFERROR(ROUND('Raw Data'!G139,4)&lt;=99999999999.99,FALSE))=TRUE,"",_xlfn.REGEXEXTRACT(CELL("address",'Raw Data'!G139), "\$([A-Z]+)\$[0-9]+"))),_xlfn.REGEXEXTRACT(CELL("address",'Raw Data'!G139), "\$([A-Z]+)\$[0-9]+"))</f>
        <v/>
      </c>
      <c r="H139" s="6" t="str" cm="1">
        <f t="array" aca="1" ref="H139" ca="1">IFERROR(IF(OR('Raw Data'!H139="",LEN(TRIM('Raw Data'!H139))=0),"",IF(AND(ISNUMBER('Raw Data'!H139),'Raw Data'!H139=ROUND('Raw Data'!H139,4),IFERROR(ROUND('Raw Data'!H139,4)&lt;=99999999999.99,FALSE))=TRUE,"",_xlfn.REGEXEXTRACT(CELL("address",'Raw Data'!H139), "\$([A-Z]+)\$[0-9]+"))),_xlfn.REGEXEXTRACT(CELL("address",'Raw Data'!H139), "\$([A-Z]+)\$[0-9]+"))</f>
        <v/>
      </c>
      <c r="I139" s="6" t="str" cm="1">
        <f t="array" aca="1" ref="I139" ca="1">IFERROR(IF(OR('Raw Data'!I139="",LEN(TRIM('Raw Data'!I139))=0),"",IF(AND(ISNUMBER('Raw Data'!I139),'Raw Data'!I139=ROUND('Raw Data'!I139,4),IFERROR(ROUND('Raw Data'!I139,4)&lt;=99999999999.99,FALSE))=TRUE,"",_xlfn.REGEXEXTRACT(CELL("address",'Raw Data'!I139), "\$([A-Z]+)\$[0-9]+"))),_xlfn.REGEXEXTRACT(CELL("address",'Raw Data'!I139), "\$([A-Z]+)\$[0-9]+"))</f>
        <v/>
      </c>
      <c r="J139" s="6" t="str" cm="1">
        <f t="array" aca="1" ref="J139" ca="1">IFERROR(IF(OR('Raw Data'!J139="",LEN(TRIM('Raw Data'!J139))=0),"",IF(AND(ISNUMBER('Raw Data'!J139),'Raw Data'!J139=ROUND('Raw Data'!J139,4),IFERROR(ROUND('Raw Data'!J139,4)&lt;=99999999999.99,FALSE))=TRUE,"",_xlfn.REGEXEXTRACT(CELL("address",'Raw Data'!J139), "\$([A-Z]+)\$[0-9]+"))),_xlfn.REGEXEXTRACT(CELL("address",'Raw Data'!J139), "\$([A-Z]+)\$[0-9]+"))</f>
        <v/>
      </c>
    </row>
    <row r="140" spans="2:10" x14ac:dyDescent="0.25">
      <c r="B140" s="6" t="str" cm="1">
        <f t="array" aca="1" ref="B140" ca="1">IFERROR(IF(OR('Raw Data'!B140="",LEN(TRIM('Raw Data'!B140))=0),"",IF(AND(LEN('Raw Data'!B140) &lt;= 255,LEN('Raw Data'!B140)&gt; 0),"",_xlfn.REGEXEXTRACT(CELL("address",'Raw Data'!B140),"\$([A-Z]+)\$[0-9]+"))),_xlfn.REGEXEXTRACT(CELL("address",'Raw Data'!B140),"\$([A-Z]+)\$[0-9]+"))</f>
        <v/>
      </c>
      <c r="C140" s="6" t="str" cm="1">
        <f t="array" aca="1" ref="C140" ca="1">IFERROR(IF(OR('Raw Data'!C140="",LEN(TRIM('Raw Data'!C140))=0),"",IF(AND(LEN('Raw Data'!C140) &lt;= 20,LEN('Raw Data'!C140)&gt; 0),"",_xlfn.REGEXEXTRACT(CELL("address",'Raw Data'!C140),"\$([A-Z]+)\$[0-9]+"))),_xlfn.REGEXEXTRACT(CELL("address",'Raw Data'!C140),"\$([A-Z]+)\$[0-9]+"))</f>
        <v/>
      </c>
      <c r="D140" s="6" t="str" cm="1">
        <f t="array" aca="1" ref="D140" ca="1">IFERROR(IF(OR('Raw Data'!D140="",LEN(TRIM('Raw Data'!D140))=0),"",IF(AND(ISNUMBER('Raw Data'!D140),'Raw Data'!D140&gt;=Configuration!$D$2),"",_xlfn.REGEXEXTRACT(CELL("address",'Raw Data'!D140),"\$([A-Z]+)\$[0-9]+"))),_xlfn.REGEXEXTRACT(CELL("address",D140), "\$([A-Z]+)\$[0-9]+"))</f>
        <v/>
      </c>
      <c r="E140" s="6" t="str" cm="1">
        <f t="array" aca="1" ref="E140" ca="1">IFERROR(IF(OR('Raw Data'!E140="",LEN(TRIM('Raw Data'!E140))=0),"",IF(AND(ISNUMBER('Raw Data'!E140),'Raw Data'!E140=ROUND('Raw Data'!E140,4),IFERROR(ROUND('Raw Data'!E140,4)&lt;=99999999999.99,FALSE))=TRUE,"",_xlfn.REGEXEXTRACT(CELL("address",'Raw Data'!E140), "\$([A-Z]+)\$[0-9]+"))),_xlfn.REGEXEXTRACT(CELL("address",'Raw Data'!E140), "\$([A-Z]+)\$[0-9]+"))</f>
        <v/>
      </c>
      <c r="F140" s="6" t="str" cm="1">
        <f t="array" aca="1" ref="F140" ca="1">IFERROR(IF(OR('Raw Data'!F140="",LEN(TRIM('Raw Data'!F140))=0),"",IF(AND(ISNUMBER('Raw Data'!F140),'Raw Data'!F140=ROUND('Raw Data'!F140,4),IFERROR(ROUND('Raw Data'!F140,4)&lt;=99999999999.99,FALSE))=TRUE,"",_xlfn.REGEXEXTRACT(CELL("address",'Raw Data'!F140), "\$([A-Z]+)\$[0-9]+"))),_xlfn.REGEXEXTRACT(CELL("address",'Raw Data'!F140), "\$([A-Z]+)\$[0-9]+"))</f>
        <v/>
      </c>
      <c r="G140" s="6" t="str" cm="1">
        <f t="array" aca="1" ref="G140" ca="1">IFERROR(IF(OR('Raw Data'!G140="",LEN(TRIM('Raw Data'!G140))=0),"",IF(AND(ISNUMBER('Raw Data'!G140),'Raw Data'!G140=ROUND('Raw Data'!G140,4),IFERROR(ROUND('Raw Data'!G140,4)&lt;=99999999999.99,FALSE))=TRUE,"",_xlfn.REGEXEXTRACT(CELL("address",'Raw Data'!G140), "\$([A-Z]+)\$[0-9]+"))),_xlfn.REGEXEXTRACT(CELL("address",'Raw Data'!G140), "\$([A-Z]+)\$[0-9]+"))</f>
        <v/>
      </c>
      <c r="H140" s="6" t="str" cm="1">
        <f t="array" aca="1" ref="H140" ca="1">IFERROR(IF(OR('Raw Data'!H140="",LEN(TRIM('Raw Data'!H140))=0),"",IF(AND(ISNUMBER('Raw Data'!H140),'Raw Data'!H140=ROUND('Raw Data'!H140,4),IFERROR(ROUND('Raw Data'!H140,4)&lt;=99999999999.99,FALSE))=TRUE,"",_xlfn.REGEXEXTRACT(CELL("address",'Raw Data'!H140), "\$([A-Z]+)\$[0-9]+"))),_xlfn.REGEXEXTRACT(CELL("address",'Raw Data'!H140), "\$([A-Z]+)\$[0-9]+"))</f>
        <v/>
      </c>
      <c r="I140" s="6" t="str" cm="1">
        <f t="array" aca="1" ref="I140" ca="1">IFERROR(IF(OR('Raw Data'!I140="",LEN(TRIM('Raw Data'!I140))=0),"",IF(AND(ISNUMBER('Raw Data'!I140),'Raw Data'!I140=ROUND('Raw Data'!I140,4),IFERROR(ROUND('Raw Data'!I140,4)&lt;=99999999999.99,FALSE))=TRUE,"",_xlfn.REGEXEXTRACT(CELL("address",'Raw Data'!I140), "\$([A-Z]+)\$[0-9]+"))),_xlfn.REGEXEXTRACT(CELL("address",'Raw Data'!I140), "\$([A-Z]+)\$[0-9]+"))</f>
        <v/>
      </c>
      <c r="J140" s="6" t="str" cm="1">
        <f t="array" aca="1" ref="J140" ca="1">IFERROR(IF(OR('Raw Data'!J140="",LEN(TRIM('Raw Data'!J140))=0),"",IF(AND(ISNUMBER('Raw Data'!J140),'Raw Data'!J140=ROUND('Raw Data'!J140,4),IFERROR(ROUND('Raw Data'!J140,4)&lt;=99999999999.99,FALSE))=TRUE,"",_xlfn.REGEXEXTRACT(CELL("address",'Raw Data'!J140), "\$([A-Z]+)\$[0-9]+"))),_xlfn.REGEXEXTRACT(CELL("address",'Raw Data'!J140), "\$([A-Z]+)\$[0-9]+"))</f>
        <v/>
      </c>
    </row>
    <row r="141" spans="2:10" x14ac:dyDescent="0.25">
      <c r="B141" s="6" t="str" cm="1">
        <f t="array" aca="1" ref="B141" ca="1">IFERROR(IF(OR('Raw Data'!B141="",LEN(TRIM('Raw Data'!B141))=0),"",IF(AND(LEN('Raw Data'!B141) &lt;= 255,LEN('Raw Data'!B141)&gt; 0),"",_xlfn.REGEXEXTRACT(CELL("address",'Raw Data'!B141),"\$([A-Z]+)\$[0-9]+"))),_xlfn.REGEXEXTRACT(CELL("address",'Raw Data'!B141),"\$([A-Z]+)\$[0-9]+"))</f>
        <v/>
      </c>
      <c r="C141" s="6" t="str" cm="1">
        <f t="array" aca="1" ref="C141" ca="1">IFERROR(IF(OR('Raw Data'!C141="",LEN(TRIM('Raw Data'!C141))=0),"",IF(AND(LEN('Raw Data'!C141) &lt;= 20,LEN('Raw Data'!C141)&gt; 0),"",_xlfn.REGEXEXTRACT(CELL("address",'Raw Data'!C141),"\$([A-Z]+)\$[0-9]+"))),_xlfn.REGEXEXTRACT(CELL("address",'Raw Data'!C141),"\$([A-Z]+)\$[0-9]+"))</f>
        <v/>
      </c>
      <c r="D141" s="6" t="str" cm="1">
        <f t="array" aca="1" ref="D141" ca="1">IFERROR(IF(OR('Raw Data'!D141="",LEN(TRIM('Raw Data'!D141))=0),"",IF(AND(ISNUMBER('Raw Data'!D141),'Raw Data'!D141&gt;=Configuration!$D$2),"",_xlfn.REGEXEXTRACT(CELL("address",'Raw Data'!D141),"\$([A-Z]+)\$[0-9]+"))),_xlfn.REGEXEXTRACT(CELL("address",D141), "\$([A-Z]+)\$[0-9]+"))</f>
        <v/>
      </c>
      <c r="E141" s="6" t="str" cm="1">
        <f t="array" aca="1" ref="E141" ca="1">IFERROR(IF(OR('Raw Data'!E141="",LEN(TRIM('Raw Data'!E141))=0),"",IF(AND(ISNUMBER('Raw Data'!E141),'Raw Data'!E141=ROUND('Raw Data'!E141,4),IFERROR(ROUND('Raw Data'!E141,4)&lt;=99999999999.99,FALSE))=TRUE,"",_xlfn.REGEXEXTRACT(CELL("address",'Raw Data'!E141), "\$([A-Z]+)\$[0-9]+"))),_xlfn.REGEXEXTRACT(CELL("address",'Raw Data'!E141), "\$([A-Z]+)\$[0-9]+"))</f>
        <v/>
      </c>
      <c r="F141" s="6" t="str" cm="1">
        <f t="array" aca="1" ref="F141" ca="1">IFERROR(IF(OR('Raw Data'!F141="",LEN(TRIM('Raw Data'!F141))=0),"",IF(AND(ISNUMBER('Raw Data'!F141),'Raw Data'!F141=ROUND('Raw Data'!F141,4),IFERROR(ROUND('Raw Data'!F141,4)&lt;=99999999999.99,FALSE))=TRUE,"",_xlfn.REGEXEXTRACT(CELL("address",'Raw Data'!F141), "\$([A-Z]+)\$[0-9]+"))),_xlfn.REGEXEXTRACT(CELL("address",'Raw Data'!F141), "\$([A-Z]+)\$[0-9]+"))</f>
        <v/>
      </c>
      <c r="G141" s="6" t="str" cm="1">
        <f t="array" aca="1" ref="G141" ca="1">IFERROR(IF(OR('Raw Data'!G141="",LEN(TRIM('Raw Data'!G141))=0),"",IF(AND(ISNUMBER('Raw Data'!G141),'Raw Data'!G141=ROUND('Raw Data'!G141,4),IFERROR(ROUND('Raw Data'!G141,4)&lt;=99999999999.99,FALSE))=TRUE,"",_xlfn.REGEXEXTRACT(CELL("address",'Raw Data'!G141), "\$([A-Z]+)\$[0-9]+"))),_xlfn.REGEXEXTRACT(CELL("address",'Raw Data'!G141), "\$([A-Z]+)\$[0-9]+"))</f>
        <v/>
      </c>
      <c r="H141" s="6" t="str" cm="1">
        <f t="array" aca="1" ref="H141" ca="1">IFERROR(IF(OR('Raw Data'!H141="",LEN(TRIM('Raw Data'!H141))=0),"",IF(AND(ISNUMBER('Raw Data'!H141),'Raw Data'!H141=ROUND('Raw Data'!H141,4),IFERROR(ROUND('Raw Data'!H141,4)&lt;=99999999999.99,FALSE))=TRUE,"",_xlfn.REGEXEXTRACT(CELL("address",'Raw Data'!H141), "\$([A-Z]+)\$[0-9]+"))),_xlfn.REGEXEXTRACT(CELL("address",'Raw Data'!H141), "\$([A-Z]+)\$[0-9]+"))</f>
        <v/>
      </c>
      <c r="I141" s="6" t="str" cm="1">
        <f t="array" aca="1" ref="I141" ca="1">IFERROR(IF(OR('Raw Data'!I141="",LEN(TRIM('Raw Data'!I141))=0),"",IF(AND(ISNUMBER('Raw Data'!I141),'Raw Data'!I141=ROUND('Raw Data'!I141,4),IFERROR(ROUND('Raw Data'!I141,4)&lt;=99999999999.99,FALSE))=TRUE,"",_xlfn.REGEXEXTRACT(CELL("address",'Raw Data'!I141), "\$([A-Z]+)\$[0-9]+"))),_xlfn.REGEXEXTRACT(CELL("address",'Raw Data'!I141), "\$([A-Z]+)\$[0-9]+"))</f>
        <v/>
      </c>
      <c r="J141" s="6" t="str" cm="1">
        <f t="array" aca="1" ref="J141" ca="1">IFERROR(IF(OR('Raw Data'!J141="",LEN(TRIM('Raw Data'!J141))=0),"",IF(AND(ISNUMBER('Raw Data'!J141),'Raw Data'!J141=ROUND('Raw Data'!J141,4),IFERROR(ROUND('Raw Data'!J141,4)&lt;=99999999999.99,FALSE))=TRUE,"",_xlfn.REGEXEXTRACT(CELL("address",'Raw Data'!J141), "\$([A-Z]+)\$[0-9]+"))),_xlfn.REGEXEXTRACT(CELL("address",'Raw Data'!J141), "\$([A-Z]+)\$[0-9]+"))</f>
        <v/>
      </c>
    </row>
    <row r="142" spans="2:10" x14ac:dyDescent="0.25">
      <c r="B142" s="6" t="str" cm="1">
        <f t="array" aca="1" ref="B142" ca="1">IFERROR(IF(OR('Raw Data'!B142="",LEN(TRIM('Raw Data'!B142))=0),"",IF(AND(LEN('Raw Data'!B142) &lt;= 255,LEN('Raw Data'!B142)&gt; 0),"",_xlfn.REGEXEXTRACT(CELL("address",'Raw Data'!B142),"\$([A-Z]+)\$[0-9]+"))),_xlfn.REGEXEXTRACT(CELL("address",'Raw Data'!B142),"\$([A-Z]+)\$[0-9]+"))</f>
        <v/>
      </c>
      <c r="C142" s="6" t="str" cm="1">
        <f t="array" aca="1" ref="C142" ca="1">IFERROR(IF(OR('Raw Data'!C142="",LEN(TRIM('Raw Data'!C142))=0),"",IF(AND(LEN('Raw Data'!C142) &lt;= 20,LEN('Raw Data'!C142)&gt; 0),"",_xlfn.REGEXEXTRACT(CELL("address",'Raw Data'!C142),"\$([A-Z]+)\$[0-9]+"))),_xlfn.REGEXEXTRACT(CELL("address",'Raw Data'!C142),"\$([A-Z]+)\$[0-9]+"))</f>
        <v/>
      </c>
      <c r="D142" s="6" t="str" cm="1">
        <f t="array" aca="1" ref="D142" ca="1">IFERROR(IF(OR('Raw Data'!D142="",LEN(TRIM('Raw Data'!D142))=0),"",IF(AND(ISNUMBER('Raw Data'!D142),'Raw Data'!D142&gt;=Configuration!$D$2),"",_xlfn.REGEXEXTRACT(CELL("address",'Raw Data'!D142),"\$([A-Z]+)\$[0-9]+"))),_xlfn.REGEXEXTRACT(CELL("address",D142), "\$([A-Z]+)\$[0-9]+"))</f>
        <v/>
      </c>
      <c r="E142" s="6" t="str" cm="1">
        <f t="array" aca="1" ref="E142" ca="1">IFERROR(IF(OR('Raw Data'!E142="",LEN(TRIM('Raw Data'!E142))=0),"",IF(AND(ISNUMBER('Raw Data'!E142),'Raw Data'!E142=ROUND('Raw Data'!E142,4),IFERROR(ROUND('Raw Data'!E142,4)&lt;=99999999999.99,FALSE))=TRUE,"",_xlfn.REGEXEXTRACT(CELL("address",'Raw Data'!E142), "\$([A-Z]+)\$[0-9]+"))),_xlfn.REGEXEXTRACT(CELL("address",'Raw Data'!E142), "\$([A-Z]+)\$[0-9]+"))</f>
        <v/>
      </c>
      <c r="F142" s="6" t="str" cm="1">
        <f t="array" aca="1" ref="F142" ca="1">IFERROR(IF(OR('Raw Data'!F142="",LEN(TRIM('Raw Data'!F142))=0),"",IF(AND(ISNUMBER('Raw Data'!F142),'Raw Data'!F142=ROUND('Raw Data'!F142,4),IFERROR(ROUND('Raw Data'!F142,4)&lt;=99999999999.99,FALSE))=TRUE,"",_xlfn.REGEXEXTRACT(CELL("address",'Raw Data'!F142), "\$([A-Z]+)\$[0-9]+"))),_xlfn.REGEXEXTRACT(CELL("address",'Raw Data'!F142), "\$([A-Z]+)\$[0-9]+"))</f>
        <v/>
      </c>
      <c r="G142" s="6" t="str" cm="1">
        <f t="array" aca="1" ref="G142" ca="1">IFERROR(IF(OR('Raw Data'!G142="",LEN(TRIM('Raw Data'!G142))=0),"",IF(AND(ISNUMBER('Raw Data'!G142),'Raw Data'!G142=ROUND('Raw Data'!G142,4),IFERROR(ROUND('Raw Data'!G142,4)&lt;=99999999999.99,FALSE))=TRUE,"",_xlfn.REGEXEXTRACT(CELL("address",'Raw Data'!G142), "\$([A-Z]+)\$[0-9]+"))),_xlfn.REGEXEXTRACT(CELL("address",'Raw Data'!G142), "\$([A-Z]+)\$[0-9]+"))</f>
        <v/>
      </c>
      <c r="H142" s="6" t="str" cm="1">
        <f t="array" aca="1" ref="H142" ca="1">IFERROR(IF(OR('Raw Data'!H142="",LEN(TRIM('Raw Data'!H142))=0),"",IF(AND(ISNUMBER('Raw Data'!H142),'Raw Data'!H142=ROUND('Raw Data'!H142,4),IFERROR(ROUND('Raw Data'!H142,4)&lt;=99999999999.99,FALSE))=TRUE,"",_xlfn.REGEXEXTRACT(CELL("address",'Raw Data'!H142), "\$([A-Z]+)\$[0-9]+"))),_xlfn.REGEXEXTRACT(CELL("address",'Raw Data'!H142), "\$([A-Z]+)\$[0-9]+"))</f>
        <v/>
      </c>
      <c r="I142" s="6" t="str" cm="1">
        <f t="array" aca="1" ref="I142" ca="1">IFERROR(IF(OR('Raw Data'!I142="",LEN(TRIM('Raw Data'!I142))=0),"",IF(AND(ISNUMBER('Raw Data'!I142),'Raw Data'!I142=ROUND('Raw Data'!I142,4),IFERROR(ROUND('Raw Data'!I142,4)&lt;=99999999999.99,FALSE))=TRUE,"",_xlfn.REGEXEXTRACT(CELL("address",'Raw Data'!I142), "\$([A-Z]+)\$[0-9]+"))),_xlfn.REGEXEXTRACT(CELL("address",'Raw Data'!I142), "\$([A-Z]+)\$[0-9]+"))</f>
        <v/>
      </c>
      <c r="J142" s="6" t="str" cm="1">
        <f t="array" aca="1" ref="J142" ca="1">IFERROR(IF(OR('Raw Data'!J142="",LEN(TRIM('Raw Data'!J142))=0),"",IF(AND(ISNUMBER('Raw Data'!J142),'Raw Data'!J142=ROUND('Raw Data'!J142,4),IFERROR(ROUND('Raw Data'!J142,4)&lt;=99999999999.99,FALSE))=TRUE,"",_xlfn.REGEXEXTRACT(CELL("address",'Raw Data'!J142), "\$([A-Z]+)\$[0-9]+"))),_xlfn.REGEXEXTRACT(CELL("address",'Raw Data'!J142), "\$([A-Z]+)\$[0-9]+"))</f>
        <v/>
      </c>
    </row>
    <row r="143" spans="2:10" x14ac:dyDescent="0.25">
      <c r="B143" s="6" t="str" cm="1">
        <f t="array" aca="1" ref="B143" ca="1">IFERROR(IF(OR('Raw Data'!B143="",LEN(TRIM('Raw Data'!B143))=0),"",IF(AND(LEN('Raw Data'!B143) &lt;= 255,LEN('Raw Data'!B143)&gt; 0),"",_xlfn.REGEXEXTRACT(CELL("address",'Raw Data'!B143),"\$([A-Z]+)\$[0-9]+"))),_xlfn.REGEXEXTRACT(CELL("address",'Raw Data'!B143),"\$([A-Z]+)\$[0-9]+"))</f>
        <v/>
      </c>
      <c r="C143" s="6" t="str" cm="1">
        <f t="array" aca="1" ref="C143" ca="1">IFERROR(IF(OR('Raw Data'!C143="",LEN(TRIM('Raw Data'!C143))=0),"",IF(AND(LEN('Raw Data'!C143) &lt;= 20,LEN('Raw Data'!C143)&gt; 0),"",_xlfn.REGEXEXTRACT(CELL("address",'Raw Data'!C143),"\$([A-Z]+)\$[0-9]+"))),_xlfn.REGEXEXTRACT(CELL("address",'Raw Data'!C143),"\$([A-Z]+)\$[0-9]+"))</f>
        <v/>
      </c>
      <c r="D143" s="6" t="str" cm="1">
        <f t="array" aca="1" ref="D143" ca="1">IFERROR(IF(OR('Raw Data'!D143="",LEN(TRIM('Raw Data'!D143))=0),"",IF(AND(ISNUMBER('Raw Data'!D143),'Raw Data'!D143&gt;=Configuration!$D$2),"",_xlfn.REGEXEXTRACT(CELL("address",'Raw Data'!D143),"\$([A-Z]+)\$[0-9]+"))),_xlfn.REGEXEXTRACT(CELL("address",D143), "\$([A-Z]+)\$[0-9]+"))</f>
        <v/>
      </c>
      <c r="E143" s="6" t="str" cm="1">
        <f t="array" aca="1" ref="E143" ca="1">IFERROR(IF(OR('Raw Data'!E143="",LEN(TRIM('Raw Data'!E143))=0),"",IF(AND(ISNUMBER('Raw Data'!E143),'Raw Data'!E143=ROUND('Raw Data'!E143,4),IFERROR(ROUND('Raw Data'!E143,4)&lt;=99999999999.99,FALSE))=TRUE,"",_xlfn.REGEXEXTRACT(CELL("address",'Raw Data'!E143), "\$([A-Z]+)\$[0-9]+"))),_xlfn.REGEXEXTRACT(CELL("address",'Raw Data'!E143), "\$([A-Z]+)\$[0-9]+"))</f>
        <v/>
      </c>
      <c r="F143" s="6" t="str" cm="1">
        <f t="array" aca="1" ref="F143" ca="1">IFERROR(IF(OR('Raw Data'!F143="",LEN(TRIM('Raw Data'!F143))=0),"",IF(AND(ISNUMBER('Raw Data'!F143),'Raw Data'!F143=ROUND('Raw Data'!F143,4),IFERROR(ROUND('Raw Data'!F143,4)&lt;=99999999999.99,FALSE))=TRUE,"",_xlfn.REGEXEXTRACT(CELL("address",'Raw Data'!F143), "\$([A-Z]+)\$[0-9]+"))),_xlfn.REGEXEXTRACT(CELL("address",'Raw Data'!F143), "\$([A-Z]+)\$[0-9]+"))</f>
        <v/>
      </c>
      <c r="G143" s="6" t="str" cm="1">
        <f t="array" aca="1" ref="G143" ca="1">IFERROR(IF(OR('Raw Data'!G143="",LEN(TRIM('Raw Data'!G143))=0),"",IF(AND(ISNUMBER('Raw Data'!G143),'Raw Data'!G143=ROUND('Raw Data'!G143,4),IFERROR(ROUND('Raw Data'!G143,4)&lt;=99999999999.99,FALSE))=TRUE,"",_xlfn.REGEXEXTRACT(CELL("address",'Raw Data'!G143), "\$([A-Z]+)\$[0-9]+"))),_xlfn.REGEXEXTRACT(CELL("address",'Raw Data'!G143), "\$([A-Z]+)\$[0-9]+"))</f>
        <v/>
      </c>
      <c r="H143" s="6" t="str" cm="1">
        <f t="array" aca="1" ref="H143" ca="1">IFERROR(IF(OR('Raw Data'!H143="",LEN(TRIM('Raw Data'!H143))=0),"",IF(AND(ISNUMBER('Raw Data'!H143),'Raw Data'!H143=ROUND('Raw Data'!H143,4),IFERROR(ROUND('Raw Data'!H143,4)&lt;=99999999999.99,FALSE))=TRUE,"",_xlfn.REGEXEXTRACT(CELL("address",'Raw Data'!H143), "\$([A-Z]+)\$[0-9]+"))),_xlfn.REGEXEXTRACT(CELL("address",'Raw Data'!H143), "\$([A-Z]+)\$[0-9]+"))</f>
        <v/>
      </c>
      <c r="I143" s="6" t="str" cm="1">
        <f t="array" aca="1" ref="I143" ca="1">IFERROR(IF(OR('Raw Data'!I143="",LEN(TRIM('Raw Data'!I143))=0),"",IF(AND(ISNUMBER('Raw Data'!I143),'Raw Data'!I143=ROUND('Raw Data'!I143,4),IFERROR(ROUND('Raw Data'!I143,4)&lt;=99999999999.99,FALSE))=TRUE,"",_xlfn.REGEXEXTRACT(CELL("address",'Raw Data'!I143), "\$([A-Z]+)\$[0-9]+"))),_xlfn.REGEXEXTRACT(CELL("address",'Raw Data'!I143), "\$([A-Z]+)\$[0-9]+"))</f>
        <v/>
      </c>
      <c r="J143" s="6" t="str" cm="1">
        <f t="array" aca="1" ref="J143" ca="1">IFERROR(IF(OR('Raw Data'!J143="",LEN(TRIM('Raw Data'!J143))=0),"",IF(AND(ISNUMBER('Raw Data'!J143),'Raw Data'!J143=ROUND('Raw Data'!J143,4),IFERROR(ROUND('Raw Data'!J143,4)&lt;=99999999999.99,FALSE))=TRUE,"",_xlfn.REGEXEXTRACT(CELL("address",'Raw Data'!J143), "\$([A-Z]+)\$[0-9]+"))),_xlfn.REGEXEXTRACT(CELL("address",'Raw Data'!J143), "\$([A-Z]+)\$[0-9]+"))</f>
        <v/>
      </c>
    </row>
    <row r="144" spans="2:10" x14ac:dyDescent="0.25">
      <c r="B144" s="6" t="str" cm="1">
        <f t="array" aca="1" ref="B144" ca="1">IFERROR(IF(OR('Raw Data'!B144="",LEN(TRIM('Raw Data'!B144))=0),"",IF(AND(LEN('Raw Data'!B144) &lt;= 255,LEN('Raw Data'!B144)&gt; 0),"",_xlfn.REGEXEXTRACT(CELL("address",'Raw Data'!B144),"\$([A-Z]+)\$[0-9]+"))),_xlfn.REGEXEXTRACT(CELL("address",'Raw Data'!B144),"\$([A-Z]+)\$[0-9]+"))</f>
        <v/>
      </c>
      <c r="C144" s="6" t="str" cm="1">
        <f t="array" aca="1" ref="C144" ca="1">IFERROR(IF(OR('Raw Data'!C144="",LEN(TRIM('Raw Data'!C144))=0),"",IF(AND(LEN('Raw Data'!C144) &lt;= 20,LEN('Raw Data'!C144)&gt; 0),"",_xlfn.REGEXEXTRACT(CELL("address",'Raw Data'!C144),"\$([A-Z]+)\$[0-9]+"))),_xlfn.REGEXEXTRACT(CELL("address",'Raw Data'!C144),"\$([A-Z]+)\$[0-9]+"))</f>
        <v/>
      </c>
      <c r="D144" s="6" t="str" cm="1">
        <f t="array" aca="1" ref="D144" ca="1">IFERROR(IF(OR('Raw Data'!D144="",LEN(TRIM('Raw Data'!D144))=0),"",IF(AND(ISNUMBER('Raw Data'!D144),'Raw Data'!D144&gt;=Configuration!$D$2),"",_xlfn.REGEXEXTRACT(CELL("address",'Raw Data'!D144),"\$([A-Z]+)\$[0-9]+"))),_xlfn.REGEXEXTRACT(CELL("address",D144), "\$([A-Z]+)\$[0-9]+"))</f>
        <v/>
      </c>
      <c r="E144" s="6" t="str" cm="1">
        <f t="array" aca="1" ref="E144" ca="1">IFERROR(IF(OR('Raw Data'!E144="",LEN(TRIM('Raw Data'!E144))=0),"",IF(AND(ISNUMBER('Raw Data'!E144),'Raw Data'!E144=ROUND('Raw Data'!E144,4),IFERROR(ROUND('Raw Data'!E144,4)&lt;=99999999999.99,FALSE))=TRUE,"",_xlfn.REGEXEXTRACT(CELL("address",'Raw Data'!E144), "\$([A-Z]+)\$[0-9]+"))),_xlfn.REGEXEXTRACT(CELL("address",'Raw Data'!E144), "\$([A-Z]+)\$[0-9]+"))</f>
        <v/>
      </c>
      <c r="F144" s="6" t="str" cm="1">
        <f t="array" aca="1" ref="F144" ca="1">IFERROR(IF(OR('Raw Data'!F144="",LEN(TRIM('Raw Data'!F144))=0),"",IF(AND(ISNUMBER('Raw Data'!F144),'Raw Data'!F144=ROUND('Raw Data'!F144,4),IFERROR(ROUND('Raw Data'!F144,4)&lt;=99999999999.99,FALSE))=TRUE,"",_xlfn.REGEXEXTRACT(CELL("address",'Raw Data'!F144), "\$([A-Z]+)\$[0-9]+"))),_xlfn.REGEXEXTRACT(CELL("address",'Raw Data'!F144), "\$([A-Z]+)\$[0-9]+"))</f>
        <v/>
      </c>
      <c r="G144" s="6" t="str" cm="1">
        <f t="array" aca="1" ref="G144" ca="1">IFERROR(IF(OR('Raw Data'!G144="",LEN(TRIM('Raw Data'!G144))=0),"",IF(AND(ISNUMBER('Raw Data'!G144),'Raw Data'!G144=ROUND('Raw Data'!G144,4),IFERROR(ROUND('Raw Data'!G144,4)&lt;=99999999999.99,FALSE))=TRUE,"",_xlfn.REGEXEXTRACT(CELL("address",'Raw Data'!G144), "\$([A-Z]+)\$[0-9]+"))),_xlfn.REGEXEXTRACT(CELL("address",'Raw Data'!G144), "\$([A-Z]+)\$[0-9]+"))</f>
        <v/>
      </c>
      <c r="H144" s="6" t="str" cm="1">
        <f t="array" aca="1" ref="H144" ca="1">IFERROR(IF(OR('Raw Data'!H144="",LEN(TRIM('Raw Data'!H144))=0),"",IF(AND(ISNUMBER('Raw Data'!H144),'Raw Data'!H144=ROUND('Raw Data'!H144,4),IFERROR(ROUND('Raw Data'!H144,4)&lt;=99999999999.99,FALSE))=TRUE,"",_xlfn.REGEXEXTRACT(CELL("address",'Raw Data'!H144), "\$([A-Z]+)\$[0-9]+"))),_xlfn.REGEXEXTRACT(CELL("address",'Raw Data'!H144), "\$([A-Z]+)\$[0-9]+"))</f>
        <v/>
      </c>
      <c r="I144" s="6" t="str" cm="1">
        <f t="array" aca="1" ref="I144" ca="1">IFERROR(IF(OR('Raw Data'!I144="",LEN(TRIM('Raw Data'!I144))=0),"",IF(AND(ISNUMBER('Raw Data'!I144),'Raw Data'!I144=ROUND('Raw Data'!I144,4),IFERROR(ROUND('Raw Data'!I144,4)&lt;=99999999999.99,FALSE))=TRUE,"",_xlfn.REGEXEXTRACT(CELL("address",'Raw Data'!I144), "\$([A-Z]+)\$[0-9]+"))),_xlfn.REGEXEXTRACT(CELL("address",'Raw Data'!I144), "\$([A-Z]+)\$[0-9]+"))</f>
        <v/>
      </c>
      <c r="J144" s="6" t="str" cm="1">
        <f t="array" aca="1" ref="J144" ca="1">IFERROR(IF(OR('Raw Data'!J144="",LEN(TRIM('Raw Data'!J144))=0),"",IF(AND(ISNUMBER('Raw Data'!J144),'Raw Data'!J144=ROUND('Raw Data'!J144,4),IFERROR(ROUND('Raw Data'!J144,4)&lt;=99999999999.99,FALSE))=TRUE,"",_xlfn.REGEXEXTRACT(CELL("address",'Raw Data'!J144), "\$([A-Z]+)\$[0-9]+"))),_xlfn.REGEXEXTRACT(CELL("address",'Raw Data'!J144), "\$([A-Z]+)\$[0-9]+"))</f>
        <v/>
      </c>
    </row>
    <row r="145" spans="2:10" x14ac:dyDescent="0.25">
      <c r="B145" s="6" t="str" cm="1">
        <f t="array" aca="1" ref="B145" ca="1">IFERROR(IF(OR('Raw Data'!B145="",LEN(TRIM('Raw Data'!B145))=0),"",IF(AND(LEN('Raw Data'!B145) &lt;= 255,LEN('Raw Data'!B145)&gt; 0),"",_xlfn.REGEXEXTRACT(CELL("address",'Raw Data'!B145),"\$([A-Z]+)\$[0-9]+"))),_xlfn.REGEXEXTRACT(CELL("address",'Raw Data'!B145),"\$([A-Z]+)\$[0-9]+"))</f>
        <v/>
      </c>
      <c r="C145" s="6" t="str" cm="1">
        <f t="array" aca="1" ref="C145" ca="1">IFERROR(IF(OR('Raw Data'!C145="",LEN(TRIM('Raw Data'!C145))=0),"",IF(AND(LEN('Raw Data'!C145) &lt;= 20,LEN('Raw Data'!C145)&gt; 0),"",_xlfn.REGEXEXTRACT(CELL("address",'Raw Data'!C145),"\$([A-Z]+)\$[0-9]+"))),_xlfn.REGEXEXTRACT(CELL("address",'Raw Data'!C145),"\$([A-Z]+)\$[0-9]+"))</f>
        <v/>
      </c>
      <c r="D145" s="6" t="str" cm="1">
        <f t="array" aca="1" ref="D145" ca="1">IFERROR(IF(OR('Raw Data'!D145="",LEN(TRIM('Raw Data'!D145))=0),"",IF(AND(ISNUMBER('Raw Data'!D145),'Raw Data'!D145&gt;=Configuration!$D$2),"",_xlfn.REGEXEXTRACT(CELL("address",'Raw Data'!D145),"\$([A-Z]+)\$[0-9]+"))),_xlfn.REGEXEXTRACT(CELL("address",D145), "\$([A-Z]+)\$[0-9]+"))</f>
        <v/>
      </c>
      <c r="E145" s="6" t="str" cm="1">
        <f t="array" aca="1" ref="E145" ca="1">IFERROR(IF(OR('Raw Data'!E145="",LEN(TRIM('Raw Data'!E145))=0),"",IF(AND(ISNUMBER('Raw Data'!E145),'Raw Data'!E145=ROUND('Raw Data'!E145,4),IFERROR(ROUND('Raw Data'!E145,4)&lt;=99999999999.99,FALSE))=TRUE,"",_xlfn.REGEXEXTRACT(CELL("address",'Raw Data'!E145), "\$([A-Z]+)\$[0-9]+"))),_xlfn.REGEXEXTRACT(CELL("address",'Raw Data'!E145), "\$([A-Z]+)\$[0-9]+"))</f>
        <v/>
      </c>
      <c r="F145" s="6" t="str" cm="1">
        <f t="array" aca="1" ref="F145" ca="1">IFERROR(IF(OR('Raw Data'!F145="",LEN(TRIM('Raw Data'!F145))=0),"",IF(AND(ISNUMBER('Raw Data'!F145),'Raw Data'!F145=ROUND('Raw Data'!F145,4),IFERROR(ROUND('Raw Data'!F145,4)&lt;=99999999999.99,FALSE))=TRUE,"",_xlfn.REGEXEXTRACT(CELL("address",'Raw Data'!F145), "\$([A-Z]+)\$[0-9]+"))),_xlfn.REGEXEXTRACT(CELL("address",'Raw Data'!F145), "\$([A-Z]+)\$[0-9]+"))</f>
        <v/>
      </c>
      <c r="G145" s="6" t="str" cm="1">
        <f t="array" aca="1" ref="G145" ca="1">IFERROR(IF(OR('Raw Data'!G145="",LEN(TRIM('Raw Data'!G145))=0),"",IF(AND(ISNUMBER('Raw Data'!G145),'Raw Data'!G145=ROUND('Raw Data'!G145,4),IFERROR(ROUND('Raw Data'!G145,4)&lt;=99999999999.99,FALSE))=TRUE,"",_xlfn.REGEXEXTRACT(CELL("address",'Raw Data'!G145), "\$([A-Z]+)\$[0-9]+"))),_xlfn.REGEXEXTRACT(CELL("address",'Raw Data'!G145), "\$([A-Z]+)\$[0-9]+"))</f>
        <v/>
      </c>
      <c r="H145" s="6" t="str" cm="1">
        <f t="array" aca="1" ref="H145" ca="1">IFERROR(IF(OR('Raw Data'!H145="",LEN(TRIM('Raw Data'!H145))=0),"",IF(AND(ISNUMBER('Raw Data'!H145),'Raw Data'!H145=ROUND('Raw Data'!H145,4),IFERROR(ROUND('Raw Data'!H145,4)&lt;=99999999999.99,FALSE))=TRUE,"",_xlfn.REGEXEXTRACT(CELL("address",'Raw Data'!H145), "\$([A-Z]+)\$[0-9]+"))),_xlfn.REGEXEXTRACT(CELL("address",'Raw Data'!H145), "\$([A-Z]+)\$[0-9]+"))</f>
        <v/>
      </c>
      <c r="I145" s="6" t="str" cm="1">
        <f t="array" aca="1" ref="I145" ca="1">IFERROR(IF(OR('Raw Data'!I145="",LEN(TRIM('Raw Data'!I145))=0),"",IF(AND(ISNUMBER('Raw Data'!I145),'Raw Data'!I145=ROUND('Raw Data'!I145,4),IFERROR(ROUND('Raw Data'!I145,4)&lt;=99999999999.99,FALSE))=TRUE,"",_xlfn.REGEXEXTRACT(CELL("address",'Raw Data'!I145), "\$([A-Z]+)\$[0-9]+"))),_xlfn.REGEXEXTRACT(CELL("address",'Raw Data'!I145), "\$([A-Z]+)\$[0-9]+"))</f>
        <v/>
      </c>
      <c r="J145" s="6" t="str" cm="1">
        <f t="array" aca="1" ref="J145" ca="1">IFERROR(IF(OR('Raw Data'!J145="",LEN(TRIM('Raw Data'!J145))=0),"",IF(AND(ISNUMBER('Raw Data'!J145),'Raw Data'!J145=ROUND('Raw Data'!J145,4),IFERROR(ROUND('Raw Data'!J145,4)&lt;=99999999999.99,FALSE))=TRUE,"",_xlfn.REGEXEXTRACT(CELL("address",'Raw Data'!J145), "\$([A-Z]+)\$[0-9]+"))),_xlfn.REGEXEXTRACT(CELL("address",'Raw Data'!J145), "\$([A-Z]+)\$[0-9]+"))</f>
        <v/>
      </c>
    </row>
    <row r="146" spans="2:10" x14ac:dyDescent="0.25">
      <c r="B146" s="6" t="str" cm="1">
        <f t="array" aca="1" ref="B146" ca="1">IFERROR(IF(OR('Raw Data'!B146="",LEN(TRIM('Raw Data'!B146))=0),"",IF(AND(LEN('Raw Data'!B146) &lt;= 255,LEN('Raw Data'!B146)&gt; 0),"",_xlfn.REGEXEXTRACT(CELL("address",'Raw Data'!B146),"\$([A-Z]+)\$[0-9]+"))),_xlfn.REGEXEXTRACT(CELL("address",'Raw Data'!B146),"\$([A-Z]+)\$[0-9]+"))</f>
        <v/>
      </c>
      <c r="C146" s="6" t="str" cm="1">
        <f t="array" aca="1" ref="C146" ca="1">IFERROR(IF(OR('Raw Data'!C146="",LEN(TRIM('Raw Data'!C146))=0),"",IF(AND(LEN('Raw Data'!C146) &lt;= 20,LEN('Raw Data'!C146)&gt; 0),"",_xlfn.REGEXEXTRACT(CELL("address",'Raw Data'!C146),"\$([A-Z]+)\$[0-9]+"))),_xlfn.REGEXEXTRACT(CELL("address",'Raw Data'!C146),"\$([A-Z]+)\$[0-9]+"))</f>
        <v/>
      </c>
      <c r="D146" s="6" t="str" cm="1">
        <f t="array" aca="1" ref="D146" ca="1">IFERROR(IF(OR('Raw Data'!D146="",LEN(TRIM('Raw Data'!D146))=0),"",IF(AND(ISNUMBER('Raw Data'!D146),'Raw Data'!D146&gt;=Configuration!$D$2),"",_xlfn.REGEXEXTRACT(CELL("address",'Raw Data'!D146),"\$([A-Z]+)\$[0-9]+"))),_xlfn.REGEXEXTRACT(CELL("address",D146), "\$([A-Z]+)\$[0-9]+"))</f>
        <v/>
      </c>
      <c r="E146" s="6" t="str" cm="1">
        <f t="array" aca="1" ref="E146" ca="1">IFERROR(IF(OR('Raw Data'!E146="",LEN(TRIM('Raw Data'!E146))=0),"",IF(AND(ISNUMBER('Raw Data'!E146),'Raw Data'!E146=ROUND('Raw Data'!E146,4),IFERROR(ROUND('Raw Data'!E146,4)&lt;=99999999999.99,FALSE))=TRUE,"",_xlfn.REGEXEXTRACT(CELL("address",'Raw Data'!E146), "\$([A-Z]+)\$[0-9]+"))),_xlfn.REGEXEXTRACT(CELL("address",'Raw Data'!E146), "\$([A-Z]+)\$[0-9]+"))</f>
        <v/>
      </c>
      <c r="F146" s="6" t="str" cm="1">
        <f t="array" aca="1" ref="F146" ca="1">IFERROR(IF(OR('Raw Data'!F146="",LEN(TRIM('Raw Data'!F146))=0),"",IF(AND(ISNUMBER('Raw Data'!F146),'Raw Data'!F146=ROUND('Raw Data'!F146,4),IFERROR(ROUND('Raw Data'!F146,4)&lt;=99999999999.99,FALSE))=TRUE,"",_xlfn.REGEXEXTRACT(CELL("address",'Raw Data'!F146), "\$([A-Z]+)\$[0-9]+"))),_xlfn.REGEXEXTRACT(CELL("address",'Raw Data'!F146), "\$([A-Z]+)\$[0-9]+"))</f>
        <v/>
      </c>
      <c r="G146" s="6" t="str" cm="1">
        <f t="array" aca="1" ref="G146" ca="1">IFERROR(IF(OR('Raw Data'!G146="",LEN(TRIM('Raw Data'!G146))=0),"",IF(AND(ISNUMBER('Raw Data'!G146),'Raw Data'!G146=ROUND('Raw Data'!G146,4),IFERROR(ROUND('Raw Data'!G146,4)&lt;=99999999999.99,FALSE))=TRUE,"",_xlfn.REGEXEXTRACT(CELL("address",'Raw Data'!G146), "\$([A-Z]+)\$[0-9]+"))),_xlfn.REGEXEXTRACT(CELL("address",'Raw Data'!G146), "\$([A-Z]+)\$[0-9]+"))</f>
        <v/>
      </c>
      <c r="H146" s="6" t="str" cm="1">
        <f t="array" aca="1" ref="H146" ca="1">IFERROR(IF(OR('Raw Data'!H146="",LEN(TRIM('Raw Data'!H146))=0),"",IF(AND(ISNUMBER('Raw Data'!H146),'Raw Data'!H146=ROUND('Raw Data'!H146,4),IFERROR(ROUND('Raw Data'!H146,4)&lt;=99999999999.99,FALSE))=TRUE,"",_xlfn.REGEXEXTRACT(CELL("address",'Raw Data'!H146), "\$([A-Z]+)\$[0-9]+"))),_xlfn.REGEXEXTRACT(CELL("address",'Raw Data'!H146), "\$([A-Z]+)\$[0-9]+"))</f>
        <v/>
      </c>
      <c r="I146" s="6" t="str" cm="1">
        <f t="array" aca="1" ref="I146" ca="1">IFERROR(IF(OR('Raw Data'!I146="",LEN(TRIM('Raw Data'!I146))=0),"",IF(AND(ISNUMBER('Raw Data'!I146),'Raw Data'!I146=ROUND('Raw Data'!I146,4),IFERROR(ROUND('Raw Data'!I146,4)&lt;=99999999999.99,FALSE))=TRUE,"",_xlfn.REGEXEXTRACT(CELL("address",'Raw Data'!I146), "\$([A-Z]+)\$[0-9]+"))),_xlfn.REGEXEXTRACT(CELL("address",'Raw Data'!I146), "\$([A-Z]+)\$[0-9]+"))</f>
        <v/>
      </c>
      <c r="J146" s="6" t="str" cm="1">
        <f t="array" aca="1" ref="J146" ca="1">IFERROR(IF(OR('Raw Data'!J146="",LEN(TRIM('Raw Data'!J146))=0),"",IF(AND(ISNUMBER('Raw Data'!J146),'Raw Data'!J146=ROUND('Raw Data'!J146,4),IFERROR(ROUND('Raw Data'!J146,4)&lt;=99999999999.99,FALSE))=TRUE,"",_xlfn.REGEXEXTRACT(CELL("address",'Raw Data'!J146), "\$([A-Z]+)\$[0-9]+"))),_xlfn.REGEXEXTRACT(CELL("address",'Raw Data'!J146), "\$([A-Z]+)\$[0-9]+"))</f>
        <v/>
      </c>
    </row>
    <row r="147" spans="2:10" x14ac:dyDescent="0.25">
      <c r="B147" s="6" t="str" cm="1">
        <f t="array" aca="1" ref="B147" ca="1">IFERROR(IF(OR('Raw Data'!B147="",LEN(TRIM('Raw Data'!B147))=0),"",IF(AND(LEN('Raw Data'!B147) &lt;= 255,LEN('Raw Data'!B147)&gt; 0),"",_xlfn.REGEXEXTRACT(CELL("address",'Raw Data'!B147),"\$([A-Z]+)\$[0-9]+"))),_xlfn.REGEXEXTRACT(CELL("address",'Raw Data'!B147),"\$([A-Z]+)\$[0-9]+"))</f>
        <v/>
      </c>
      <c r="C147" s="6" t="str" cm="1">
        <f t="array" aca="1" ref="C147" ca="1">IFERROR(IF(OR('Raw Data'!C147="",LEN(TRIM('Raw Data'!C147))=0),"",IF(AND(LEN('Raw Data'!C147) &lt;= 20,LEN('Raw Data'!C147)&gt; 0),"",_xlfn.REGEXEXTRACT(CELL("address",'Raw Data'!C147),"\$([A-Z]+)\$[0-9]+"))),_xlfn.REGEXEXTRACT(CELL("address",'Raw Data'!C147),"\$([A-Z]+)\$[0-9]+"))</f>
        <v/>
      </c>
      <c r="D147" s="6" t="str" cm="1">
        <f t="array" aca="1" ref="D147" ca="1">IFERROR(IF(OR('Raw Data'!D147="",LEN(TRIM('Raw Data'!D147))=0),"",IF(AND(ISNUMBER('Raw Data'!D147),'Raw Data'!D147&gt;=Configuration!$D$2),"",_xlfn.REGEXEXTRACT(CELL("address",'Raw Data'!D147),"\$([A-Z]+)\$[0-9]+"))),_xlfn.REGEXEXTRACT(CELL("address",D147), "\$([A-Z]+)\$[0-9]+"))</f>
        <v/>
      </c>
      <c r="E147" s="6" t="str" cm="1">
        <f t="array" aca="1" ref="E147" ca="1">IFERROR(IF(OR('Raw Data'!E147="",LEN(TRIM('Raw Data'!E147))=0),"",IF(AND(ISNUMBER('Raw Data'!E147),'Raw Data'!E147=ROUND('Raw Data'!E147,4),IFERROR(ROUND('Raw Data'!E147,4)&lt;=99999999999.99,FALSE))=TRUE,"",_xlfn.REGEXEXTRACT(CELL("address",'Raw Data'!E147), "\$([A-Z]+)\$[0-9]+"))),_xlfn.REGEXEXTRACT(CELL("address",'Raw Data'!E147), "\$([A-Z]+)\$[0-9]+"))</f>
        <v/>
      </c>
      <c r="F147" s="6" t="str" cm="1">
        <f t="array" aca="1" ref="F147" ca="1">IFERROR(IF(OR('Raw Data'!F147="",LEN(TRIM('Raw Data'!F147))=0),"",IF(AND(ISNUMBER('Raw Data'!F147),'Raw Data'!F147=ROUND('Raw Data'!F147,4),IFERROR(ROUND('Raw Data'!F147,4)&lt;=99999999999.99,FALSE))=TRUE,"",_xlfn.REGEXEXTRACT(CELL("address",'Raw Data'!F147), "\$([A-Z]+)\$[0-9]+"))),_xlfn.REGEXEXTRACT(CELL("address",'Raw Data'!F147), "\$([A-Z]+)\$[0-9]+"))</f>
        <v/>
      </c>
      <c r="G147" s="6" t="str" cm="1">
        <f t="array" aca="1" ref="G147" ca="1">IFERROR(IF(OR('Raw Data'!G147="",LEN(TRIM('Raw Data'!G147))=0),"",IF(AND(ISNUMBER('Raw Data'!G147),'Raw Data'!G147=ROUND('Raw Data'!G147,4),IFERROR(ROUND('Raw Data'!G147,4)&lt;=99999999999.99,FALSE))=TRUE,"",_xlfn.REGEXEXTRACT(CELL("address",'Raw Data'!G147), "\$([A-Z]+)\$[0-9]+"))),_xlfn.REGEXEXTRACT(CELL("address",'Raw Data'!G147), "\$([A-Z]+)\$[0-9]+"))</f>
        <v/>
      </c>
      <c r="H147" s="6" t="str" cm="1">
        <f t="array" aca="1" ref="H147" ca="1">IFERROR(IF(OR('Raw Data'!H147="",LEN(TRIM('Raw Data'!H147))=0),"",IF(AND(ISNUMBER('Raw Data'!H147),'Raw Data'!H147=ROUND('Raw Data'!H147,4),IFERROR(ROUND('Raw Data'!H147,4)&lt;=99999999999.99,FALSE))=TRUE,"",_xlfn.REGEXEXTRACT(CELL("address",'Raw Data'!H147), "\$([A-Z]+)\$[0-9]+"))),_xlfn.REGEXEXTRACT(CELL("address",'Raw Data'!H147), "\$([A-Z]+)\$[0-9]+"))</f>
        <v/>
      </c>
      <c r="I147" s="6" t="str" cm="1">
        <f t="array" aca="1" ref="I147" ca="1">IFERROR(IF(OR('Raw Data'!I147="",LEN(TRIM('Raw Data'!I147))=0),"",IF(AND(ISNUMBER('Raw Data'!I147),'Raw Data'!I147=ROUND('Raw Data'!I147,4),IFERROR(ROUND('Raw Data'!I147,4)&lt;=99999999999.99,FALSE))=TRUE,"",_xlfn.REGEXEXTRACT(CELL("address",'Raw Data'!I147), "\$([A-Z]+)\$[0-9]+"))),_xlfn.REGEXEXTRACT(CELL("address",'Raw Data'!I147), "\$([A-Z]+)\$[0-9]+"))</f>
        <v/>
      </c>
      <c r="J147" s="6" t="str" cm="1">
        <f t="array" aca="1" ref="J147" ca="1">IFERROR(IF(OR('Raw Data'!J147="",LEN(TRIM('Raw Data'!J147))=0),"",IF(AND(ISNUMBER('Raw Data'!J147),'Raw Data'!J147=ROUND('Raw Data'!J147,4),IFERROR(ROUND('Raw Data'!J147,4)&lt;=99999999999.99,FALSE))=TRUE,"",_xlfn.REGEXEXTRACT(CELL("address",'Raw Data'!J147), "\$([A-Z]+)\$[0-9]+"))),_xlfn.REGEXEXTRACT(CELL("address",'Raw Data'!J147), "\$([A-Z]+)\$[0-9]+"))</f>
        <v/>
      </c>
    </row>
    <row r="148" spans="2:10" x14ac:dyDescent="0.25">
      <c r="B148" s="6" t="str" cm="1">
        <f t="array" aca="1" ref="B148" ca="1">IFERROR(IF(OR('Raw Data'!B148="",LEN(TRIM('Raw Data'!B148))=0),"",IF(AND(LEN('Raw Data'!B148) &lt;= 255,LEN('Raw Data'!B148)&gt; 0),"",_xlfn.REGEXEXTRACT(CELL("address",'Raw Data'!B148),"\$([A-Z]+)\$[0-9]+"))),_xlfn.REGEXEXTRACT(CELL("address",'Raw Data'!B148),"\$([A-Z]+)\$[0-9]+"))</f>
        <v/>
      </c>
      <c r="C148" s="6" t="str" cm="1">
        <f t="array" aca="1" ref="C148" ca="1">IFERROR(IF(OR('Raw Data'!C148="",LEN(TRIM('Raw Data'!C148))=0),"",IF(AND(LEN('Raw Data'!C148) &lt;= 20,LEN('Raw Data'!C148)&gt; 0),"",_xlfn.REGEXEXTRACT(CELL("address",'Raw Data'!C148),"\$([A-Z]+)\$[0-9]+"))),_xlfn.REGEXEXTRACT(CELL("address",'Raw Data'!C148),"\$([A-Z]+)\$[0-9]+"))</f>
        <v/>
      </c>
      <c r="D148" s="6" t="str" cm="1">
        <f t="array" aca="1" ref="D148" ca="1">IFERROR(IF(OR('Raw Data'!D148="",LEN(TRIM('Raw Data'!D148))=0),"",IF(AND(ISNUMBER('Raw Data'!D148),'Raw Data'!D148&gt;=Configuration!$D$2),"",_xlfn.REGEXEXTRACT(CELL("address",'Raw Data'!D148),"\$([A-Z]+)\$[0-9]+"))),_xlfn.REGEXEXTRACT(CELL("address",D148), "\$([A-Z]+)\$[0-9]+"))</f>
        <v/>
      </c>
      <c r="E148" s="6" t="str" cm="1">
        <f t="array" aca="1" ref="E148" ca="1">IFERROR(IF(OR('Raw Data'!E148="",LEN(TRIM('Raw Data'!E148))=0),"",IF(AND(ISNUMBER('Raw Data'!E148),'Raw Data'!E148=ROUND('Raw Data'!E148,4),IFERROR(ROUND('Raw Data'!E148,4)&lt;=99999999999.99,FALSE))=TRUE,"",_xlfn.REGEXEXTRACT(CELL("address",'Raw Data'!E148), "\$([A-Z]+)\$[0-9]+"))),_xlfn.REGEXEXTRACT(CELL("address",'Raw Data'!E148), "\$([A-Z]+)\$[0-9]+"))</f>
        <v/>
      </c>
      <c r="F148" s="6" t="str" cm="1">
        <f t="array" aca="1" ref="F148" ca="1">IFERROR(IF(OR('Raw Data'!F148="",LEN(TRIM('Raw Data'!F148))=0),"",IF(AND(ISNUMBER('Raw Data'!F148),'Raw Data'!F148=ROUND('Raw Data'!F148,4),IFERROR(ROUND('Raw Data'!F148,4)&lt;=99999999999.99,FALSE))=TRUE,"",_xlfn.REGEXEXTRACT(CELL("address",'Raw Data'!F148), "\$([A-Z]+)\$[0-9]+"))),_xlfn.REGEXEXTRACT(CELL("address",'Raw Data'!F148), "\$([A-Z]+)\$[0-9]+"))</f>
        <v/>
      </c>
      <c r="G148" s="6" t="str" cm="1">
        <f t="array" aca="1" ref="G148" ca="1">IFERROR(IF(OR('Raw Data'!G148="",LEN(TRIM('Raw Data'!G148))=0),"",IF(AND(ISNUMBER('Raw Data'!G148),'Raw Data'!G148=ROUND('Raw Data'!G148,4),IFERROR(ROUND('Raw Data'!G148,4)&lt;=99999999999.99,FALSE))=TRUE,"",_xlfn.REGEXEXTRACT(CELL("address",'Raw Data'!G148), "\$([A-Z]+)\$[0-9]+"))),_xlfn.REGEXEXTRACT(CELL("address",'Raw Data'!G148), "\$([A-Z]+)\$[0-9]+"))</f>
        <v/>
      </c>
      <c r="H148" s="6" t="str" cm="1">
        <f t="array" aca="1" ref="H148" ca="1">IFERROR(IF(OR('Raw Data'!H148="",LEN(TRIM('Raw Data'!H148))=0),"",IF(AND(ISNUMBER('Raw Data'!H148),'Raw Data'!H148=ROUND('Raw Data'!H148,4),IFERROR(ROUND('Raw Data'!H148,4)&lt;=99999999999.99,FALSE))=TRUE,"",_xlfn.REGEXEXTRACT(CELL("address",'Raw Data'!H148), "\$([A-Z]+)\$[0-9]+"))),_xlfn.REGEXEXTRACT(CELL("address",'Raw Data'!H148), "\$([A-Z]+)\$[0-9]+"))</f>
        <v/>
      </c>
      <c r="I148" s="6" t="str" cm="1">
        <f t="array" aca="1" ref="I148" ca="1">IFERROR(IF(OR('Raw Data'!I148="",LEN(TRIM('Raw Data'!I148))=0),"",IF(AND(ISNUMBER('Raw Data'!I148),'Raw Data'!I148=ROUND('Raw Data'!I148,4),IFERROR(ROUND('Raw Data'!I148,4)&lt;=99999999999.99,FALSE))=TRUE,"",_xlfn.REGEXEXTRACT(CELL("address",'Raw Data'!I148), "\$([A-Z]+)\$[0-9]+"))),_xlfn.REGEXEXTRACT(CELL("address",'Raw Data'!I148), "\$([A-Z]+)\$[0-9]+"))</f>
        <v/>
      </c>
      <c r="J148" s="6" t="str" cm="1">
        <f t="array" aca="1" ref="J148" ca="1">IFERROR(IF(OR('Raw Data'!J148="",LEN(TRIM('Raw Data'!J148))=0),"",IF(AND(ISNUMBER('Raw Data'!J148),'Raw Data'!J148=ROUND('Raw Data'!J148,4),IFERROR(ROUND('Raw Data'!J148,4)&lt;=99999999999.99,FALSE))=TRUE,"",_xlfn.REGEXEXTRACT(CELL("address",'Raw Data'!J148), "\$([A-Z]+)\$[0-9]+"))),_xlfn.REGEXEXTRACT(CELL("address",'Raw Data'!J148), "\$([A-Z]+)\$[0-9]+"))</f>
        <v/>
      </c>
    </row>
    <row r="149" spans="2:10" x14ac:dyDescent="0.25">
      <c r="B149" s="6" t="str" cm="1">
        <f t="array" aca="1" ref="B149" ca="1">IFERROR(IF(OR('Raw Data'!B149="",LEN(TRIM('Raw Data'!B149))=0),"",IF(AND(LEN('Raw Data'!B149) &lt;= 255,LEN('Raw Data'!B149)&gt; 0),"",_xlfn.REGEXEXTRACT(CELL("address",'Raw Data'!B149),"\$([A-Z]+)\$[0-9]+"))),_xlfn.REGEXEXTRACT(CELL("address",'Raw Data'!B149),"\$([A-Z]+)\$[0-9]+"))</f>
        <v/>
      </c>
      <c r="C149" s="6" t="str" cm="1">
        <f t="array" aca="1" ref="C149" ca="1">IFERROR(IF(OR('Raw Data'!C149="",LEN(TRIM('Raw Data'!C149))=0),"",IF(AND(LEN('Raw Data'!C149) &lt;= 20,LEN('Raw Data'!C149)&gt; 0),"",_xlfn.REGEXEXTRACT(CELL("address",'Raw Data'!C149),"\$([A-Z]+)\$[0-9]+"))),_xlfn.REGEXEXTRACT(CELL("address",'Raw Data'!C149),"\$([A-Z]+)\$[0-9]+"))</f>
        <v/>
      </c>
      <c r="D149" s="6" t="str" cm="1">
        <f t="array" aca="1" ref="D149" ca="1">IFERROR(IF(OR('Raw Data'!D149="",LEN(TRIM('Raw Data'!D149))=0),"",IF(AND(ISNUMBER('Raw Data'!D149),'Raw Data'!D149&gt;=Configuration!$D$2),"",_xlfn.REGEXEXTRACT(CELL("address",'Raw Data'!D149),"\$([A-Z]+)\$[0-9]+"))),_xlfn.REGEXEXTRACT(CELL("address",D149), "\$([A-Z]+)\$[0-9]+"))</f>
        <v/>
      </c>
      <c r="E149" s="6" t="str" cm="1">
        <f t="array" aca="1" ref="E149" ca="1">IFERROR(IF(OR('Raw Data'!E149="",LEN(TRIM('Raw Data'!E149))=0),"",IF(AND(ISNUMBER('Raw Data'!E149),'Raw Data'!E149=ROUND('Raw Data'!E149,4),IFERROR(ROUND('Raw Data'!E149,4)&lt;=99999999999.99,FALSE))=TRUE,"",_xlfn.REGEXEXTRACT(CELL("address",'Raw Data'!E149), "\$([A-Z]+)\$[0-9]+"))),_xlfn.REGEXEXTRACT(CELL("address",'Raw Data'!E149), "\$([A-Z]+)\$[0-9]+"))</f>
        <v/>
      </c>
      <c r="F149" s="6" t="str" cm="1">
        <f t="array" aca="1" ref="F149" ca="1">IFERROR(IF(OR('Raw Data'!F149="",LEN(TRIM('Raw Data'!F149))=0),"",IF(AND(ISNUMBER('Raw Data'!F149),'Raw Data'!F149=ROUND('Raw Data'!F149,4),IFERROR(ROUND('Raw Data'!F149,4)&lt;=99999999999.99,FALSE))=TRUE,"",_xlfn.REGEXEXTRACT(CELL("address",'Raw Data'!F149), "\$([A-Z]+)\$[0-9]+"))),_xlfn.REGEXEXTRACT(CELL("address",'Raw Data'!F149), "\$([A-Z]+)\$[0-9]+"))</f>
        <v/>
      </c>
      <c r="G149" s="6" t="str" cm="1">
        <f t="array" aca="1" ref="G149" ca="1">IFERROR(IF(OR('Raw Data'!G149="",LEN(TRIM('Raw Data'!G149))=0),"",IF(AND(ISNUMBER('Raw Data'!G149),'Raw Data'!G149=ROUND('Raw Data'!G149,4),IFERROR(ROUND('Raw Data'!G149,4)&lt;=99999999999.99,FALSE))=TRUE,"",_xlfn.REGEXEXTRACT(CELL("address",'Raw Data'!G149), "\$([A-Z]+)\$[0-9]+"))),_xlfn.REGEXEXTRACT(CELL("address",'Raw Data'!G149), "\$([A-Z]+)\$[0-9]+"))</f>
        <v/>
      </c>
      <c r="H149" s="6" t="str" cm="1">
        <f t="array" aca="1" ref="H149" ca="1">IFERROR(IF(OR('Raw Data'!H149="",LEN(TRIM('Raw Data'!H149))=0),"",IF(AND(ISNUMBER('Raw Data'!H149),'Raw Data'!H149=ROUND('Raw Data'!H149,4),IFERROR(ROUND('Raw Data'!H149,4)&lt;=99999999999.99,FALSE))=TRUE,"",_xlfn.REGEXEXTRACT(CELL("address",'Raw Data'!H149), "\$([A-Z]+)\$[0-9]+"))),_xlfn.REGEXEXTRACT(CELL("address",'Raw Data'!H149), "\$([A-Z]+)\$[0-9]+"))</f>
        <v/>
      </c>
      <c r="I149" s="6" t="str" cm="1">
        <f t="array" aca="1" ref="I149" ca="1">IFERROR(IF(OR('Raw Data'!I149="",LEN(TRIM('Raw Data'!I149))=0),"",IF(AND(ISNUMBER('Raw Data'!I149),'Raw Data'!I149=ROUND('Raw Data'!I149,4),IFERROR(ROUND('Raw Data'!I149,4)&lt;=99999999999.99,FALSE))=TRUE,"",_xlfn.REGEXEXTRACT(CELL("address",'Raw Data'!I149), "\$([A-Z]+)\$[0-9]+"))),_xlfn.REGEXEXTRACT(CELL("address",'Raw Data'!I149), "\$([A-Z]+)\$[0-9]+"))</f>
        <v/>
      </c>
      <c r="J149" s="6" t="str" cm="1">
        <f t="array" aca="1" ref="J149" ca="1">IFERROR(IF(OR('Raw Data'!J149="",LEN(TRIM('Raw Data'!J149))=0),"",IF(AND(ISNUMBER('Raw Data'!J149),'Raw Data'!J149=ROUND('Raw Data'!J149,4),IFERROR(ROUND('Raw Data'!J149,4)&lt;=99999999999.99,FALSE))=TRUE,"",_xlfn.REGEXEXTRACT(CELL("address",'Raw Data'!J149), "\$([A-Z]+)\$[0-9]+"))),_xlfn.REGEXEXTRACT(CELL("address",'Raw Data'!J149), "\$([A-Z]+)\$[0-9]+"))</f>
        <v/>
      </c>
    </row>
    <row r="150" spans="2:10" x14ac:dyDescent="0.25">
      <c r="B150" s="6" t="str" cm="1">
        <f t="array" aca="1" ref="B150" ca="1">IFERROR(IF(OR('Raw Data'!B150="",LEN(TRIM('Raw Data'!B150))=0),"",IF(AND(LEN('Raw Data'!B150) &lt;= 255,LEN('Raw Data'!B150)&gt; 0),"",_xlfn.REGEXEXTRACT(CELL("address",'Raw Data'!B150),"\$([A-Z]+)\$[0-9]+"))),_xlfn.REGEXEXTRACT(CELL("address",'Raw Data'!B150),"\$([A-Z]+)\$[0-9]+"))</f>
        <v/>
      </c>
      <c r="C150" s="6" t="str" cm="1">
        <f t="array" aca="1" ref="C150" ca="1">IFERROR(IF(OR('Raw Data'!C150="",LEN(TRIM('Raw Data'!C150))=0),"",IF(AND(LEN('Raw Data'!C150) &lt;= 20,LEN('Raw Data'!C150)&gt; 0),"",_xlfn.REGEXEXTRACT(CELL("address",'Raw Data'!C150),"\$([A-Z]+)\$[0-9]+"))),_xlfn.REGEXEXTRACT(CELL("address",'Raw Data'!C150),"\$([A-Z]+)\$[0-9]+"))</f>
        <v/>
      </c>
      <c r="D150" s="6" t="str" cm="1">
        <f t="array" aca="1" ref="D150" ca="1">IFERROR(IF(OR('Raw Data'!D150="",LEN(TRIM('Raw Data'!D150))=0),"",IF(AND(ISNUMBER('Raw Data'!D150),'Raw Data'!D150&gt;=Configuration!$D$2),"",_xlfn.REGEXEXTRACT(CELL("address",'Raw Data'!D150),"\$([A-Z]+)\$[0-9]+"))),_xlfn.REGEXEXTRACT(CELL("address",D150), "\$([A-Z]+)\$[0-9]+"))</f>
        <v/>
      </c>
      <c r="E150" s="6" t="str" cm="1">
        <f t="array" aca="1" ref="E150" ca="1">IFERROR(IF(OR('Raw Data'!E150="",LEN(TRIM('Raw Data'!E150))=0),"",IF(AND(ISNUMBER('Raw Data'!E150),'Raw Data'!E150=ROUND('Raw Data'!E150,4),IFERROR(ROUND('Raw Data'!E150,4)&lt;=99999999999.99,FALSE))=TRUE,"",_xlfn.REGEXEXTRACT(CELL("address",'Raw Data'!E150), "\$([A-Z]+)\$[0-9]+"))),_xlfn.REGEXEXTRACT(CELL("address",'Raw Data'!E150), "\$([A-Z]+)\$[0-9]+"))</f>
        <v/>
      </c>
      <c r="F150" s="6" t="str" cm="1">
        <f t="array" aca="1" ref="F150" ca="1">IFERROR(IF(OR('Raw Data'!F150="",LEN(TRIM('Raw Data'!F150))=0),"",IF(AND(ISNUMBER('Raw Data'!F150),'Raw Data'!F150=ROUND('Raw Data'!F150,4),IFERROR(ROUND('Raw Data'!F150,4)&lt;=99999999999.99,FALSE))=TRUE,"",_xlfn.REGEXEXTRACT(CELL("address",'Raw Data'!F150), "\$([A-Z]+)\$[0-9]+"))),_xlfn.REGEXEXTRACT(CELL("address",'Raw Data'!F150), "\$([A-Z]+)\$[0-9]+"))</f>
        <v/>
      </c>
      <c r="G150" s="6" t="str" cm="1">
        <f t="array" aca="1" ref="G150" ca="1">IFERROR(IF(OR('Raw Data'!G150="",LEN(TRIM('Raw Data'!G150))=0),"",IF(AND(ISNUMBER('Raw Data'!G150),'Raw Data'!G150=ROUND('Raw Data'!G150,4),IFERROR(ROUND('Raw Data'!G150,4)&lt;=99999999999.99,FALSE))=TRUE,"",_xlfn.REGEXEXTRACT(CELL("address",'Raw Data'!G150), "\$([A-Z]+)\$[0-9]+"))),_xlfn.REGEXEXTRACT(CELL("address",'Raw Data'!G150), "\$([A-Z]+)\$[0-9]+"))</f>
        <v/>
      </c>
      <c r="H150" s="6" t="str" cm="1">
        <f t="array" aca="1" ref="H150" ca="1">IFERROR(IF(OR('Raw Data'!H150="",LEN(TRIM('Raw Data'!H150))=0),"",IF(AND(ISNUMBER('Raw Data'!H150),'Raw Data'!H150=ROUND('Raw Data'!H150,4),IFERROR(ROUND('Raw Data'!H150,4)&lt;=99999999999.99,FALSE))=TRUE,"",_xlfn.REGEXEXTRACT(CELL("address",'Raw Data'!H150), "\$([A-Z]+)\$[0-9]+"))),_xlfn.REGEXEXTRACT(CELL("address",'Raw Data'!H150), "\$([A-Z]+)\$[0-9]+"))</f>
        <v/>
      </c>
      <c r="I150" s="6" t="str" cm="1">
        <f t="array" aca="1" ref="I150" ca="1">IFERROR(IF(OR('Raw Data'!I150="",LEN(TRIM('Raw Data'!I150))=0),"",IF(AND(ISNUMBER('Raw Data'!I150),'Raw Data'!I150=ROUND('Raw Data'!I150,4),IFERROR(ROUND('Raw Data'!I150,4)&lt;=99999999999.99,FALSE))=TRUE,"",_xlfn.REGEXEXTRACT(CELL("address",'Raw Data'!I150), "\$([A-Z]+)\$[0-9]+"))),_xlfn.REGEXEXTRACT(CELL("address",'Raw Data'!I150), "\$([A-Z]+)\$[0-9]+"))</f>
        <v/>
      </c>
      <c r="J150" s="6" t="str" cm="1">
        <f t="array" aca="1" ref="J150" ca="1">IFERROR(IF(OR('Raw Data'!J150="",LEN(TRIM('Raw Data'!J150))=0),"",IF(AND(ISNUMBER('Raw Data'!J150),'Raw Data'!J150=ROUND('Raw Data'!J150,4),IFERROR(ROUND('Raw Data'!J150,4)&lt;=99999999999.99,FALSE))=TRUE,"",_xlfn.REGEXEXTRACT(CELL("address",'Raw Data'!J150), "\$([A-Z]+)\$[0-9]+"))),_xlfn.REGEXEXTRACT(CELL("address",'Raw Data'!J150), "\$([A-Z]+)\$[0-9]+"))</f>
        <v/>
      </c>
    </row>
    <row r="151" spans="2:10" x14ac:dyDescent="0.25">
      <c r="B151" s="6" t="str" cm="1">
        <f t="array" aca="1" ref="B151" ca="1">IFERROR(IF(OR('Raw Data'!B151="",LEN(TRIM('Raw Data'!B151))=0),"",IF(AND(LEN('Raw Data'!B151) &lt;= 255,LEN('Raw Data'!B151)&gt; 0),"",_xlfn.REGEXEXTRACT(CELL("address",'Raw Data'!B151),"\$([A-Z]+)\$[0-9]+"))),_xlfn.REGEXEXTRACT(CELL("address",'Raw Data'!B151),"\$([A-Z]+)\$[0-9]+"))</f>
        <v/>
      </c>
      <c r="C151" s="6" t="str" cm="1">
        <f t="array" aca="1" ref="C151" ca="1">IFERROR(IF(OR('Raw Data'!C151="",LEN(TRIM('Raw Data'!C151))=0),"",IF(AND(LEN('Raw Data'!C151) &lt;= 20,LEN('Raw Data'!C151)&gt; 0),"",_xlfn.REGEXEXTRACT(CELL("address",'Raw Data'!C151),"\$([A-Z]+)\$[0-9]+"))),_xlfn.REGEXEXTRACT(CELL("address",'Raw Data'!C151),"\$([A-Z]+)\$[0-9]+"))</f>
        <v/>
      </c>
      <c r="D151" s="6" t="str" cm="1">
        <f t="array" aca="1" ref="D151" ca="1">IFERROR(IF(OR('Raw Data'!D151="",LEN(TRIM('Raw Data'!D151))=0),"",IF(AND(ISNUMBER('Raw Data'!D151),'Raw Data'!D151&gt;=Configuration!$D$2),"",_xlfn.REGEXEXTRACT(CELL("address",'Raw Data'!D151),"\$([A-Z]+)\$[0-9]+"))),_xlfn.REGEXEXTRACT(CELL("address",D151), "\$([A-Z]+)\$[0-9]+"))</f>
        <v/>
      </c>
      <c r="E151" s="6" t="str" cm="1">
        <f t="array" aca="1" ref="E151" ca="1">IFERROR(IF(OR('Raw Data'!E151="",LEN(TRIM('Raw Data'!E151))=0),"",IF(AND(ISNUMBER('Raw Data'!E151),'Raw Data'!E151=ROUND('Raw Data'!E151,4),IFERROR(ROUND('Raw Data'!E151,4)&lt;=99999999999.99,FALSE))=TRUE,"",_xlfn.REGEXEXTRACT(CELL("address",'Raw Data'!E151), "\$([A-Z]+)\$[0-9]+"))),_xlfn.REGEXEXTRACT(CELL("address",'Raw Data'!E151), "\$([A-Z]+)\$[0-9]+"))</f>
        <v/>
      </c>
      <c r="F151" s="6" t="str" cm="1">
        <f t="array" aca="1" ref="F151" ca="1">IFERROR(IF(OR('Raw Data'!F151="",LEN(TRIM('Raw Data'!F151))=0),"",IF(AND(ISNUMBER('Raw Data'!F151),'Raw Data'!F151=ROUND('Raw Data'!F151,4),IFERROR(ROUND('Raw Data'!F151,4)&lt;=99999999999.99,FALSE))=TRUE,"",_xlfn.REGEXEXTRACT(CELL("address",'Raw Data'!F151), "\$([A-Z]+)\$[0-9]+"))),_xlfn.REGEXEXTRACT(CELL("address",'Raw Data'!F151), "\$([A-Z]+)\$[0-9]+"))</f>
        <v/>
      </c>
      <c r="G151" s="6" t="str" cm="1">
        <f t="array" aca="1" ref="G151" ca="1">IFERROR(IF(OR('Raw Data'!G151="",LEN(TRIM('Raw Data'!G151))=0),"",IF(AND(ISNUMBER('Raw Data'!G151),'Raw Data'!G151=ROUND('Raw Data'!G151,4),IFERROR(ROUND('Raw Data'!G151,4)&lt;=99999999999.99,FALSE))=TRUE,"",_xlfn.REGEXEXTRACT(CELL("address",'Raw Data'!G151), "\$([A-Z]+)\$[0-9]+"))),_xlfn.REGEXEXTRACT(CELL("address",'Raw Data'!G151), "\$([A-Z]+)\$[0-9]+"))</f>
        <v/>
      </c>
      <c r="H151" s="6" t="str" cm="1">
        <f t="array" aca="1" ref="H151" ca="1">IFERROR(IF(OR('Raw Data'!H151="",LEN(TRIM('Raw Data'!H151))=0),"",IF(AND(ISNUMBER('Raw Data'!H151),'Raw Data'!H151=ROUND('Raw Data'!H151,4),IFERROR(ROUND('Raw Data'!H151,4)&lt;=99999999999.99,FALSE))=TRUE,"",_xlfn.REGEXEXTRACT(CELL("address",'Raw Data'!H151), "\$([A-Z]+)\$[0-9]+"))),_xlfn.REGEXEXTRACT(CELL("address",'Raw Data'!H151), "\$([A-Z]+)\$[0-9]+"))</f>
        <v/>
      </c>
      <c r="I151" s="6" t="str" cm="1">
        <f t="array" aca="1" ref="I151" ca="1">IFERROR(IF(OR('Raw Data'!I151="",LEN(TRIM('Raw Data'!I151))=0),"",IF(AND(ISNUMBER('Raw Data'!I151),'Raw Data'!I151=ROUND('Raw Data'!I151,4),IFERROR(ROUND('Raw Data'!I151,4)&lt;=99999999999.99,FALSE))=TRUE,"",_xlfn.REGEXEXTRACT(CELL("address",'Raw Data'!I151), "\$([A-Z]+)\$[0-9]+"))),_xlfn.REGEXEXTRACT(CELL("address",'Raw Data'!I151), "\$([A-Z]+)\$[0-9]+"))</f>
        <v/>
      </c>
      <c r="J151" s="6" t="str" cm="1">
        <f t="array" aca="1" ref="J151" ca="1">IFERROR(IF(OR('Raw Data'!J151="",LEN(TRIM('Raw Data'!J151))=0),"",IF(AND(ISNUMBER('Raw Data'!J151),'Raw Data'!J151=ROUND('Raw Data'!J151,4),IFERROR(ROUND('Raw Data'!J151,4)&lt;=99999999999.99,FALSE))=TRUE,"",_xlfn.REGEXEXTRACT(CELL("address",'Raw Data'!J151), "\$([A-Z]+)\$[0-9]+"))),_xlfn.REGEXEXTRACT(CELL("address",'Raw Data'!J151), "\$([A-Z]+)\$[0-9]+"))</f>
        <v/>
      </c>
    </row>
    <row r="152" spans="2:10" x14ac:dyDescent="0.25">
      <c r="B152" s="6" t="str" cm="1">
        <f t="array" aca="1" ref="B152" ca="1">IFERROR(IF(OR('Raw Data'!B152="",LEN(TRIM('Raw Data'!B152))=0),"",IF(AND(LEN('Raw Data'!B152) &lt;= 255,LEN('Raw Data'!B152)&gt; 0),"",_xlfn.REGEXEXTRACT(CELL("address",'Raw Data'!B152),"\$([A-Z]+)\$[0-9]+"))),_xlfn.REGEXEXTRACT(CELL("address",'Raw Data'!B152),"\$([A-Z]+)\$[0-9]+"))</f>
        <v/>
      </c>
      <c r="C152" s="6" t="str" cm="1">
        <f t="array" aca="1" ref="C152" ca="1">IFERROR(IF(OR('Raw Data'!C152="",LEN(TRIM('Raw Data'!C152))=0),"",IF(AND(LEN('Raw Data'!C152) &lt;= 20,LEN('Raw Data'!C152)&gt; 0),"",_xlfn.REGEXEXTRACT(CELL("address",'Raw Data'!C152),"\$([A-Z]+)\$[0-9]+"))),_xlfn.REGEXEXTRACT(CELL("address",'Raw Data'!C152),"\$([A-Z]+)\$[0-9]+"))</f>
        <v/>
      </c>
      <c r="D152" s="6" t="str" cm="1">
        <f t="array" aca="1" ref="D152" ca="1">IFERROR(IF(OR('Raw Data'!D152="",LEN(TRIM('Raw Data'!D152))=0),"",IF(AND(ISNUMBER('Raw Data'!D152),'Raw Data'!D152&gt;=Configuration!$D$2),"",_xlfn.REGEXEXTRACT(CELL("address",'Raw Data'!D152),"\$([A-Z]+)\$[0-9]+"))),_xlfn.REGEXEXTRACT(CELL("address",D152), "\$([A-Z]+)\$[0-9]+"))</f>
        <v/>
      </c>
      <c r="E152" s="6" t="str" cm="1">
        <f t="array" aca="1" ref="E152" ca="1">IFERROR(IF(OR('Raw Data'!E152="",LEN(TRIM('Raw Data'!E152))=0),"",IF(AND(ISNUMBER('Raw Data'!E152),'Raw Data'!E152=ROUND('Raw Data'!E152,4),IFERROR(ROUND('Raw Data'!E152,4)&lt;=99999999999.99,FALSE))=TRUE,"",_xlfn.REGEXEXTRACT(CELL("address",'Raw Data'!E152), "\$([A-Z]+)\$[0-9]+"))),_xlfn.REGEXEXTRACT(CELL("address",'Raw Data'!E152), "\$([A-Z]+)\$[0-9]+"))</f>
        <v/>
      </c>
      <c r="F152" s="6" t="str" cm="1">
        <f t="array" aca="1" ref="F152" ca="1">IFERROR(IF(OR('Raw Data'!F152="",LEN(TRIM('Raw Data'!F152))=0),"",IF(AND(ISNUMBER('Raw Data'!F152),'Raw Data'!F152=ROUND('Raw Data'!F152,4),IFERROR(ROUND('Raw Data'!F152,4)&lt;=99999999999.99,FALSE))=TRUE,"",_xlfn.REGEXEXTRACT(CELL("address",'Raw Data'!F152), "\$([A-Z]+)\$[0-9]+"))),_xlfn.REGEXEXTRACT(CELL("address",'Raw Data'!F152), "\$([A-Z]+)\$[0-9]+"))</f>
        <v/>
      </c>
      <c r="G152" s="6" t="str" cm="1">
        <f t="array" aca="1" ref="G152" ca="1">IFERROR(IF(OR('Raw Data'!G152="",LEN(TRIM('Raw Data'!G152))=0),"",IF(AND(ISNUMBER('Raw Data'!G152),'Raw Data'!G152=ROUND('Raw Data'!G152,4),IFERROR(ROUND('Raw Data'!G152,4)&lt;=99999999999.99,FALSE))=TRUE,"",_xlfn.REGEXEXTRACT(CELL("address",'Raw Data'!G152), "\$([A-Z]+)\$[0-9]+"))),_xlfn.REGEXEXTRACT(CELL("address",'Raw Data'!G152), "\$([A-Z]+)\$[0-9]+"))</f>
        <v/>
      </c>
      <c r="H152" s="6" t="str" cm="1">
        <f t="array" aca="1" ref="H152" ca="1">IFERROR(IF(OR('Raw Data'!H152="",LEN(TRIM('Raw Data'!H152))=0),"",IF(AND(ISNUMBER('Raw Data'!H152),'Raw Data'!H152=ROUND('Raw Data'!H152,4),IFERROR(ROUND('Raw Data'!H152,4)&lt;=99999999999.99,FALSE))=TRUE,"",_xlfn.REGEXEXTRACT(CELL("address",'Raw Data'!H152), "\$([A-Z]+)\$[0-9]+"))),_xlfn.REGEXEXTRACT(CELL("address",'Raw Data'!H152), "\$([A-Z]+)\$[0-9]+"))</f>
        <v/>
      </c>
      <c r="I152" s="6" t="str" cm="1">
        <f t="array" aca="1" ref="I152" ca="1">IFERROR(IF(OR('Raw Data'!I152="",LEN(TRIM('Raw Data'!I152))=0),"",IF(AND(ISNUMBER('Raw Data'!I152),'Raw Data'!I152=ROUND('Raw Data'!I152,4),IFERROR(ROUND('Raw Data'!I152,4)&lt;=99999999999.99,FALSE))=TRUE,"",_xlfn.REGEXEXTRACT(CELL("address",'Raw Data'!I152), "\$([A-Z]+)\$[0-9]+"))),_xlfn.REGEXEXTRACT(CELL("address",'Raw Data'!I152), "\$([A-Z]+)\$[0-9]+"))</f>
        <v/>
      </c>
      <c r="J152" s="6" t="str" cm="1">
        <f t="array" aca="1" ref="J152" ca="1">IFERROR(IF(OR('Raw Data'!J152="",LEN(TRIM('Raw Data'!J152))=0),"",IF(AND(ISNUMBER('Raw Data'!J152),'Raw Data'!J152=ROUND('Raw Data'!J152,4),IFERROR(ROUND('Raw Data'!J152,4)&lt;=99999999999.99,FALSE))=TRUE,"",_xlfn.REGEXEXTRACT(CELL("address",'Raw Data'!J152), "\$([A-Z]+)\$[0-9]+"))),_xlfn.REGEXEXTRACT(CELL("address",'Raw Data'!J152), "\$([A-Z]+)\$[0-9]+"))</f>
        <v/>
      </c>
    </row>
    <row r="153" spans="2:10" x14ac:dyDescent="0.25">
      <c r="B153" s="6" t="str" cm="1">
        <f t="array" aca="1" ref="B153" ca="1">IFERROR(IF(OR('Raw Data'!B153="",LEN(TRIM('Raw Data'!B153))=0),"",IF(AND(LEN('Raw Data'!B153) &lt;= 255,LEN('Raw Data'!B153)&gt; 0),"",_xlfn.REGEXEXTRACT(CELL("address",'Raw Data'!B153),"\$([A-Z]+)\$[0-9]+"))),_xlfn.REGEXEXTRACT(CELL("address",'Raw Data'!B153),"\$([A-Z]+)\$[0-9]+"))</f>
        <v/>
      </c>
      <c r="C153" s="6" t="str" cm="1">
        <f t="array" aca="1" ref="C153" ca="1">IFERROR(IF(OR('Raw Data'!C153="",LEN(TRIM('Raw Data'!C153))=0),"",IF(AND(LEN('Raw Data'!C153) &lt;= 20,LEN('Raw Data'!C153)&gt; 0),"",_xlfn.REGEXEXTRACT(CELL("address",'Raw Data'!C153),"\$([A-Z]+)\$[0-9]+"))),_xlfn.REGEXEXTRACT(CELL("address",'Raw Data'!C153),"\$([A-Z]+)\$[0-9]+"))</f>
        <v/>
      </c>
      <c r="D153" s="6" t="str" cm="1">
        <f t="array" aca="1" ref="D153" ca="1">IFERROR(IF(OR('Raw Data'!D153="",LEN(TRIM('Raw Data'!D153))=0),"",IF(AND(ISNUMBER('Raw Data'!D153),'Raw Data'!D153&gt;=Configuration!$D$2),"",_xlfn.REGEXEXTRACT(CELL("address",'Raw Data'!D153),"\$([A-Z]+)\$[0-9]+"))),_xlfn.REGEXEXTRACT(CELL("address",D153), "\$([A-Z]+)\$[0-9]+"))</f>
        <v/>
      </c>
      <c r="E153" s="6" t="str" cm="1">
        <f t="array" aca="1" ref="E153" ca="1">IFERROR(IF(OR('Raw Data'!E153="",LEN(TRIM('Raw Data'!E153))=0),"",IF(AND(ISNUMBER('Raw Data'!E153),'Raw Data'!E153=ROUND('Raw Data'!E153,4),IFERROR(ROUND('Raw Data'!E153,4)&lt;=99999999999.99,FALSE))=TRUE,"",_xlfn.REGEXEXTRACT(CELL("address",'Raw Data'!E153), "\$([A-Z]+)\$[0-9]+"))),_xlfn.REGEXEXTRACT(CELL("address",'Raw Data'!E153), "\$([A-Z]+)\$[0-9]+"))</f>
        <v/>
      </c>
      <c r="F153" s="6" t="str" cm="1">
        <f t="array" aca="1" ref="F153" ca="1">IFERROR(IF(OR('Raw Data'!F153="",LEN(TRIM('Raw Data'!F153))=0),"",IF(AND(ISNUMBER('Raw Data'!F153),'Raw Data'!F153=ROUND('Raw Data'!F153,4),IFERROR(ROUND('Raw Data'!F153,4)&lt;=99999999999.99,FALSE))=TRUE,"",_xlfn.REGEXEXTRACT(CELL("address",'Raw Data'!F153), "\$([A-Z]+)\$[0-9]+"))),_xlfn.REGEXEXTRACT(CELL("address",'Raw Data'!F153), "\$([A-Z]+)\$[0-9]+"))</f>
        <v/>
      </c>
      <c r="G153" s="6" t="str" cm="1">
        <f t="array" aca="1" ref="G153" ca="1">IFERROR(IF(OR('Raw Data'!G153="",LEN(TRIM('Raw Data'!G153))=0),"",IF(AND(ISNUMBER('Raw Data'!G153),'Raw Data'!G153=ROUND('Raw Data'!G153,4),IFERROR(ROUND('Raw Data'!G153,4)&lt;=99999999999.99,FALSE))=TRUE,"",_xlfn.REGEXEXTRACT(CELL("address",'Raw Data'!G153), "\$([A-Z]+)\$[0-9]+"))),_xlfn.REGEXEXTRACT(CELL("address",'Raw Data'!G153), "\$([A-Z]+)\$[0-9]+"))</f>
        <v/>
      </c>
      <c r="H153" s="6" t="str" cm="1">
        <f t="array" aca="1" ref="H153" ca="1">IFERROR(IF(OR('Raw Data'!H153="",LEN(TRIM('Raw Data'!H153))=0),"",IF(AND(ISNUMBER('Raw Data'!H153),'Raw Data'!H153=ROUND('Raw Data'!H153,4),IFERROR(ROUND('Raw Data'!H153,4)&lt;=99999999999.99,FALSE))=TRUE,"",_xlfn.REGEXEXTRACT(CELL("address",'Raw Data'!H153), "\$([A-Z]+)\$[0-9]+"))),_xlfn.REGEXEXTRACT(CELL("address",'Raw Data'!H153), "\$([A-Z]+)\$[0-9]+"))</f>
        <v/>
      </c>
      <c r="I153" s="6" t="str" cm="1">
        <f t="array" aca="1" ref="I153" ca="1">IFERROR(IF(OR('Raw Data'!I153="",LEN(TRIM('Raw Data'!I153))=0),"",IF(AND(ISNUMBER('Raw Data'!I153),'Raw Data'!I153=ROUND('Raw Data'!I153,4),IFERROR(ROUND('Raw Data'!I153,4)&lt;=99999999999.99,FALSE))=TRUE,"",_xlfn.REGEXEXTRACT(CELL("address",'Raw Data'!I153), "\$([A-Z]+)\$[0-9]+"))),_xlfn.REGEXEXTRACT(CELL("address",'Raw Data'!I153), "\$([A-Z]+)\$[0-9]+"))</f>
        <v/>
      </c>
      <c r="J153" s="6" t="str" cm="1">
        <f t="array" aca="1" ref="J153" ca="1">IFERROR(IF(OR('Raw Data'!J153="",LEN(TRIM('Raw Data'!J153))=0),"",IF(AND(ISNUMBER('Raw Data'!J153),'Raw Data'!J153=ROUND('Raw Data'!J153,4),IFERROR(ROUND('Raw Data'!J153,4)&lt;=99999999999.99,FALSE))=TRUE,"",_xlfn.REGEXEXTRACT(CELL("address",'Raw Data'!J153), "\$([A-Z]+)\$[0-9]+"))),_xlfn.REGEXEXTRACT(CELL("address",'Raw Data'!J153), "\$([A-Z]+)\$[0-9]+"))</f>
        <v/>
      </c>
    </row>
    <row r="154" spans="2:10" x14ac:dyDescent="0.25">
      <c r="B154" s="6" t="str" cm="1">
        <f t="array" aca="1" ref="B154" ca="1">IFERROR(IF(OR('Raw Data'!B154="",LEN(TRIM('Raw Data'!B154))=0),"",IF(AND(LEN('Raw Data'!B154) &lt;= 255,LEN('Raw Data'!B154)&gt; 0),"",_xlfn.REGEXEXTRACT(CELL("address",'Raw Data'!B154),"\$([A-Z]+)\$[0-9]+"))),_xlfn.REGEXEXTRACT(CELL("address",'Raw Data'!B154),"\$([A-Z]+)\$[0-9]+"))</f>
        <v/>
      </c>
      <c r="C154" s="6" t="str" cm="1">
        <f t="array" aca="1" ref="C154" ca="1">IFERROR(IF(OR('Raw Data'!C154="",LEN(TRIM('Raw Data'!C154))=0),"",IF(AND(LEN('Raw Data'!C154) &lt;= 20,LEN('Raw Data'!C154)&gt; 0),"",_xlfn.REGEXEXTRACT(CELL("address",'Raw Data'!C154),"\$([A-Z]+)\$[0-9]+"))),_xlfn.REGEXEXTRACT(CELL("address",'Raw Data'!C154),"\$([A-Z]+)\$[0-9]+"))</f>
        <v/>
      </c>
      <c r="D154" s="6" t="str" cm="1">
        <f t="array" aca="1" ref="D154" ca="1">IFERROR(IF(OR('Raw Data'!D154="",LEN(TRIM('Raw Data'!D154))=0),"",IF(AND(ISNUMBER('Raw Data'!D154),'Raw Data'!D154&gt;=Configuration!$D$2),"",_xlfn.REGEXEXTRACT(CELL("address",'Raw Data'!D154),"\$([A-Z]+)\$[0-9]+"))),_xlfn.REGEXEXTRACT(CELL("address",D154), "\$([A-Z]+)\$[0-9]+"))</f>
        <v/>
      </c>
      <c r="E154" s="6" t="str" cm="1">
        <f t="array" aca="1" ref="E154" ca="1">IFERROR(IF(OR('Raw Data'!E154="",LEN(TRIM('Raw Data'!E154))=0),"",IF(AND(ISNUMBER('Raw Data'!E154),'Raw Data'!E154=ROUND('Raw Data'!E154,4),IFERROR(ROUND('Raw Data'!E154,4)&lt;=99999999999.99,FALSE))=TRUE,"",_xlfn.REGEXEXTRACT(CELL("address",'Raw Data'!E154), "\$([A-Z]+)\$[0-9]+"))),_xlfn.REGEXEXTRACT(CELL("address",'Raw Data'!E154), "\$([A-Z]+)\$[0-9]+"))</f>
        <v/>
      </c>
      <c r="F154" s="6" t="str" cm="1">
        <f t="array" aca="1" ref="F154" ca="1">IFERROR(IF(OR('Raw Data'!F154="",LEN(TRIM('Raw Data'!F154))=0),"",IF(AND(ISNUMBER('Raw Data'!F154),'Raw Data'!F154=ROUND('Raw Data'!F154,4),IFERROR(ROUND('Raw Data'!F154,4)&lt;=99999999999.99,FALSE))=TRUE,"",_xlfn.REGEXEXTRACT(CELL("address",'Raw Data'!F154), "\$([A-Z]+)\$[0-9]+"))),_xlfn.REGEXEXTRACT(CELL("address",'Raw Data'!F154), "\$([A-Z]+)\$[0-9]+"))</f>
        <v/>
      </c>
      <c r="G154" s="6" t="str" cm="1">
        <f t="array" aca="1" ref="G154" ca="1">IFERROR(IF(OR('Raw Data'!G154="",LEN(TRIM('Raw Data'!G154))=0),"",IF(AND(ISNUMBER('Raw Data'!G154),'Raw Data'!G154=ROUND('Raw Data'!G154,4),IFERROR(ROUND('Raw Data'!G154,4)&lt;=99999999999.99,FALSE))=TRUE,"",_xlfn.REGEXEXTRACT(CELL("address",'Raw Data'!G154), "\$([A-Z]+)\$[0-9]+"))),_xlfn.REGEXEXTRACT(CELL("address",'Raw Data'!G154), "\$([A-Z]+)\$[0-9]+"))</f>
        <v/>
      </c>
      <c r="H154" s="6" t="str" cm="1">
        <f t="array" aca="1" ref="H154" ca="1">IFERROR(IF(OR('Raw Data'!H154="",LEN(TRIM('Raw Data'!H154))=0),"",IF(AND(ISNUMBER('Raw Data'!H154),'Raw Data'!H154=ROUND('Raw Data'!H154,4),IFERROR(ROUND('Raw Data'!H154,4)&lt;=99999999999.99,FALSE))=TRUE,"",_xlfn.REGEXEXTRACT(CELL("address",'Raw Data'!H154), "\$([A-Z]+)\$[0-9]+"))),_xlfn.REGEXEXTRACT(CELL("address",'Raw Data'!H154), "\$([A-Z]+)\$[0-9]+"))</f>
        <v/>
      </c>
      <c r="I154" s="6" t="str" cm="1">
        <f t="array" aca="1" ref="I154" ca="1">IFERROR(IF(OR('Raw Data'!I154="",LEN(TRIM('Raw Data'!I154))=0),"",IF(AND(ISNUMBER('Raw Data'!I154),'Raw Data'!I154=ROUND('Raw Data'!I154,4),IFERROR(ROUND('Raw Data'!I154,4)&lt;=99999999999.99,FALSE))=TRUE,"",_xlfn.REGEXEXTRACT(CELL("address",'Raw Data'!I154), "\$([A-Z]+)\$[0-9]+"))),_xlfn.REGEXEXTRACT(CELL("address",'Raw Data'!I154), "\$([A-Z]+)\$[0-9]+"))</f>
        <v/>
      </c>
      <c r="J154" s="6" t="str" cm="1">
        <f t="array" aca="1" ref="J154" ca="1">IFERROR(IF(OR('Raw Data'!J154="",LEN(TRIM('Raw Data'!J154))=0),"",IF(AND(ISNUMBER('Raw Data'!J154),'Raw Data'!J154=ROUND('Raw Data'!J154,4),IFERROR(ROUND('Raw Data'!J154,4)&lt;=99999999999.99,FALSE))=TRUE,"",_xlfn.REGEXEXTRACT(CELL("address",'Raw Data'!J154), "\$([A-Z]+)\$[0-9]+"))),_xlfn.REGEXEXTRACT(CELL("address",'Raw Data'!J154), "\$([A-Z]+)\$[0-9]+"))</f>
        <v/>
      </c>
    </row>
    <row r="155" spans="2:10" x14ac:dyDescent="0.25">
      <c r="B155" s="6" t="str" cm="1">
        <f t="array" aca="1" ref="B155" ca="1">IFERROR(IF(OR('Raw Data'!B155="",LEN(TRIM('Raw Data'!B155))=0),"",IF(AND(LEN('Raw Data'!B155) &lt;= 255,LEN('Raw Data'!B155)&gt; 0),"",_xlfn.REGEXEXTRACT(CELL("address",'Raw Data'!B155),"\$([A-Z]+)\$[0-9]+"))),_xlfn.REGEXEXTRACT(CELL("address",'Raw Data'!B155),"\$([A-Z]+)\$[0-9]+"))</f>
        <v/>
      </c>
      <c r="C155" s="6" t="str" cm="1">
        <f t="array" aca="1" ref="C155" ca="1">IFERROR(IF(OR('Raw Data'!C155="",LEN(TRIM('Raw Data'!C155))=0),"",IF(AND(LEN('Raw Data'!C155) &lt;= 20,LEN('Raw Data'!C155)&gt; 0),"",_xlfn.REGEXEXTRACT(CELL("address",'Raw Data'!C155),"\$([A-Z]+)\$[0-9]+"))),_xlfn.REGEXEXTRACT(CELL("address",'Raw Data'!C155),"\$([A-Z]+)\$[0-9]+"))</f>
        <v/>
      </c>
      <c r="D155" s="6" t="str" cm="1">
        <f t="array" aca="1" ref="D155" ca="1">IFERROR(IF(OR('Raw Data'!D155="",LEN(TRIM('Raw Data'!D155))=0),"",IF(AND(ISNUMBER('Raw Data'!D155),'Raw Data'!D155&gt;=Configuration!$D$2),"",_xlfn.REGEXEXTRACT(CELL("address",'Raw Data'!D155),"\$([A-Z]+)\$[0-9]+"))),_xlfn.REGEXEXTRACT(CELL("address",D155), "\$([A-Z]+)\$[0-9]+"))</f>
        <v/>
      </c>
      <c r="E155" s="6" t="str" cm="1">
        <f t="array" aca="1" ref="E155" ca="1">IFERROR(IF(OR('Raw Data'!E155="",LEN(TRIM('Raw Data'!E155))=0),"",IF(AND(ISNUMBER('Raw Data'!E155),'Raw Data'!E155=ROUND('Raw Data'!E155,4),IFERROR(ROUND('Raw Data'!E155,4)&lt;=99999999999.99,FALSE))=TRUE,"",_xlfn.REGEXEXTRACT(CELL("address",'Raw Data'!E155), "\$([A-Z]+)\$[0-9]+"))),_xlfn.REGEXEXTRACT(CELL("address",'Raw Data'!E155), "\$([A-Z]+)\$[0-9]+"))</f>
        <v/>
      </c>
      <c r="F155" s="6" t="str" cm="1">
        <f t="array" aca="1" ref="F155" ca="1">IFERROR(IF(OR('Raw Data'!F155="",LEN(TRIM('Raw Data'!F155))=0),"",IF(AND(ISNUMBER('Raw Data'!F155),'Raw Data'!F155=ROUND('Raw Data'!F155,4),IFERROR(ROUND('Raw Data'!F155,4)&lt;=99999999999.99,FALSE))=TRUE,"",_xlfn.REGEXEXTRACT(CELL("address",'Raw Data'!F155), "\$([A-Z]+)\$[0-9]+"))),_xlfn.REGEXEXTRACT(CELL("address",'Raw Data'!F155), "\$([A-Z]+)\$[0-9]+"))</f>
        <v/>
      </c>
      <c r="G155" s="6" t="str" cm="1">
        <f t="array" aca="1" ref="G155" ca="1">IFERROR(IF(OR('Raw Data'!G155="",LEN(TRIM('Raw Data'!G155))=0),"",IF(AND(ISNUMBER('Raw Data'!G155),'Raw Data'!G155=ROUND('Raw Data'!G155,4),IFERROR(ROUND('Raw Data'!G155,4)&lt;=99999999999.99,FALSE))=TRUE,"",_xlfn.REGEXEXTRACT(CELL("address",'Raw Data'!G155), "\$([A-Z]+)\$[0-9]+"))),_xlfn.REGEXEXTRACT(CELL("address",'Raw Data'!G155), "\$([A-Z]+)\$[0-9]+"))</f>
        <v/>
      </c>
      <c r="H155" s="6" t="str" cm="1">
        <f t="array" aca="1" ref="H155" ca="1">IFERROR(IF(OR('Raw Data'!H155="",LEN(TRIM('Raw Data'!H155))=0),"",IF(AND(ISNUMBER('Raw Data'!H155),'Raw Data'!H155=ROUND('Raw Data'!H155,4),IFERROR(ROUND('Raw Data'!H155,4)&lt;=99999999999.99,FALSE))=TRUE,"",_xlfn.REGEXEXTRACT(CELL("address",'Raw Data'!H155), "\$([A-Z]+)\$[0-9]+"))),_xlfn.REGEXEXTRACT(CELL("address",'Raw Data'!H155), "\$([A-Z]+)\$[0-9]+"))</f>
        <v/>
      </c>
      <c r="I155" s="6" t="str" cm="1">
        <f t="array" aca="1" ref="I155" ca="1">IFERROR(IF(OR('Raw Data'!I155="",LEN(TRIM('Raw Data'!I155))=0),"",IF(AND(ISNUMBER('Raw Data'!I155),'Raw Data'!I155=ROUND('Raw Data'!I155,4),IFERROR(ROUND('Raw Data'!I155,4)&lt;=99999999999.99,FALSE))=TRUE,"",_xlfn.REGEXEXTRACT(CELL("address",'Raw Data'!I155), "\$([A-Z]+)\$[0-9]+"))),_xlfn.REGEXEXTRACT(CELL("address",'Raw Data'!I155), "\$([A-Z]+)\$[0-9]+"))</f>
        <v/>
      </c>
      <c r="J155" s="6" t="str" cm="1">
        <f t="array" aca="1" ref="J155" ca="1">IFERROR(IF(OR('Raw Data'!J155="",LEN(TRIM('Raw Data'!J155))=0),"",IF(AND(ISNUMBER('Raw Data'!J155),'Raw Data'!J155=ROUND('Raw Data'!J155,4),IFERROR(ROUND('Raw Data'!J155,4)&lt;=99999999999.99,FALSE))=TRUE,"",_xlfn.REGEXEXTRACT(CELL("address",'Raw Data'!J155), "\$([A-Z]+)\$[0-9]+"))),_xlfn.REGEXEXTRACT(CELL("address",'Raw Data'!J155), "\$([A-Z]+)\$[0-9]+"))</f>
        <v/>
      </c>
    </row>
    <row r="156" spans="2:10" x14ac:dyDescent="0.25">
      <c r="B156" s="6" t="str" cm="1">
        <f t="array" aca="1" ref="B156" ca="1">IFERROR(IF(OR('Raw Data'!B156="",LEN(TRIM('Raw Data'!B156))=0),"",IF(AND(LEN('Raw Data'!B156) &lt;= 255,LEN('Raw Data'!B156)&gt; 0),"",_xlfn.REGEXEXTRACT(CELL("address",'Raw Data'!B156),"\$([A-Z]+)\$[0-9]+"))),_xlfn.REGEXEXTRACT(CELL("address",'Raw Data'!B156),"\$([A-Z]+)\$[0-9]+"))</f>
        <v/>
      </c>
      <c r="C156" s="6" t="str" cm="1">
        <f t="array" aca="1" ref="C156" ca="1">IFERROR(IF(OR('Raw Data'!C156="",LEN(TRIM('Raw Data'!C156))=0),"",IF(AND(LEN('Raw Data'!C156) &lt;= 20,LEN('Raw Data'!C156)&gt; 0),"",_xlfn.REGEXEXTRACT(CELL("address",'Raw Data'!C156),"\$([A-Z]+)\$[0-9]+"))),_xlfn.REGEXEXTRACT(CELL("address",'Raw Data'!C156),"\$([A-Z]+)\$[0-9]+"))</f>
        <v/>
      </c>
      <c r="D156" s="6" t="str" cm="1">
        <f t="array" aca="1" ref="D156" ca="1">IFERROR(IF(OR('Raw Data'!D156="",LEN(TRIM('Raw Data'!D156))=0),"",IF(AND(ISNUMBER('Raw Data'!D156),'Raw Data'!D156&gt;=Configuration!$D$2),"",_xlfn.REGEXEXTRACT(CELL("address",'Raw Data'!D156),"\$([A-Z]+)\$[0-9]+"))),_xlfn.REGEXEXTRACT(CELL("address",D156), "\$([A-Z]+)\$[0-9]+"))</f>
        <v/>
      </c>
      <c r="E156" s="6" t="str" cm="1">
        <f t="array" aca="1" ref="E156" ca="1">IFERROR(IF(OR('Raw Data'!E156="",LEN(TRIM('Raw Data'!E156))=0),"",IF(AND(ISNUMBER('Raw Data'!E156),'Raw Data'!E156=ROUND('Raw Data'!E156,4),IFERROR(ROUND('Raw Data'!E156,4)&lt;=99999999999.99,FALSE))=TRUE,"",_xlfn.REGEXEXTRACT(CELL("address",'Raw Data'!E156), "\$([A-Z]+)\$[0-9]+"))),_xlfn.REGEXEXTRACT(CELL("address",'Raw Data'!E156), "\$([A-Z]+)\$[0-9]+"))</f>
        <v/>
      </c>
      <c r="F156" s="6" t="str" cm="1">
        <f t="array" aca="1" ref="F156" ca="1">IFERROR(IF(OR('Raw Data'!F156="",LEN(TRIM('Raw Data'!F156))=0),"",IF(AND(ISNUMBER('Raw Data'!F156),'Raw Data'!F156=ROUND('Raw Data'!F156,4),IFERROR(ROUND('Raw Data'!F156,4)&lt;=99999999999.99,FALSE))=TRUE,"",_xlfn.REGEXEXTRACT(CELL("address",'Raw Data'!F156), "\$([A-Z]+)\$[0-9]+"))),_xlfn.REGEXEXTRACT(CELL("address",'Raw Data'!F156), "\$([A-Z]+)\$[0-9]+"))</f>
        <v/>
      </c>
      <c r="G156" s="6" t="str" cm="1">
        <f t="array" aca="1" ref="G156" ca="1">IFERROR(IF(OR('Raw Data'!G156="",LEN(TRIM('Raw Data'!G156))=0),"",IF(AND(ISNUMBER('Raw Data'!G156),'Raw Data'!G156=ROUND('Raw Data'!G156,4),IFERROR(ROUND('Raw Data'!G156,4)&lt;=99999999999.99,FALSE))=TRUE,"",_xlfn.REGEXEXTRACT(CELL("address",'Raw Data'!G156), "\$([A-Z]+)\$[0-9]+"))),_xlfn.REGEXEXTRACT(CELL("address",'Raw Data'!G156), "\$([A-Z]+)\$[0-9]+"))</f>
        <v/>
      </c>
      <c r="H156" s="6" t="str" cm="1">
        <f t="array" aca="1" ref="H156" ca="1">IFERROR(IF(OR('Raw Data'!H156="",LEN(TRIM('Raw Data'!H156))=0),"",IF(AND(ISNUMBER('Raw Data'!H156),'Raw Data'!H156=ROUND('Raw Data'!H156,4),IFERROR(ROUND('Raw Data'!H156,4)&lt;=99999999999.99,FALSE))=TRUE,"",_xlfn.REGEXEXTRACT(CELL("address",'Raw Data'!H156), "\$([A-Z]+)\$[0-9]+"))),_xlfn.REGEXEXTRACT(CELL("address",'Raw Data'!H156), "\$([A-Z]+)\$[0-9]+"))</f>
        <v/>
      </c>
      <c r="I156" s="6" t="str" cm="1">
        <f t="array" aca="1" ref="I156" ca="1">IFERROR(IF(OR('Raw Data'!I156="",LEN(TRIM('Raw Data'!I156))=0),"",IF(AND(ISNUMBER('Raw Data'!I156),'Raw Data'!I156=ROUND('Raw Data'!I156,4),IFERROR(ROUND('Raw Data'!I156,4)&lt;=99999999999.99,FALSE))=TRUE,"",_xlfn.REGEXEXTRACT(CELL("address",'Raw Data'!I156), "\$([A-Z]+)\$[0-9]+"))),_xlfn.REGEXEXTRACT(CELL("address",'Raw Data'!I156), "\$([A-Z]+)\$[0-9]+"))</f>
        <v/>
      </c>
      <c r="J156" s="6" t="str" cm="1">
        <f t="array" aca="1" ref="J156" ca="1">IFERROR(IF(OR('Raw Data'!J156="",LEN(TRIM('Raw Data'!J156))=0),"",IF(AND(ISNUMBER('Raw Data'!J156),'Raw Data'!J156=ROUND('Raw Data'!J156,4),IFERROR(ROUND('Raw Data'!J156,4)&lt;=99999999999.99,FALSE))=TRUE,"",_xlfn.REGEXEXTRACT(CELL("address",'Raw Data'!J156), "\$([A-Z]+)\$[0-9]+"))),_xlfn.REGEXEXTRACT(CELL("address",'Raw Data'!J156), "\$([A-Z]+)\$[0-9]+"))</f>
        <v/>
      </c>
    </row>
    <row r="157" spans="2:10" x14ac:dyDescent="0.25">
      <c r="B157" s="6" t="str" cm="1">
        <f t="array" aca="1" ref="B157" ca="1">IFERROR(IF(OR('Raw Data'!B157="",LEN(TRIM('Raw Data'!B157))=0),"",IF(AND(LEN('Raw Data'!B157) &lt;= 255,LEN('Raw Data'!B157)&gt; 0),"",_xlfn.REGEXEXTRACT(CELL("address",'Raw Data'!B157),"\$([A-Z]+)\$[0-9]+"))),_xlfn.REGEXEXTRACT(CELL("address",'Raw Data'!B157),"\$([A-Z]+)\$[0-9]+"))</f>
        <v/>
      </c>
      <c r="C157" s="6" t="str" cm="1">
        <f t="array" aca="1" ref="C157" ca="1">IFERROR(IF(OR('Raw Data'!C157="",LEN(TRIM('Raw Data'!C157))=0),"",IF(AND(LEN('Raw Data'!C157) &lt;= 20,LEN('Raw Data'!C157)&gt; 0),"",_xlfn.REGEXEXTRACT(CELL("address",'Raw Data'!C157),"\$([A-Z]+)\$[0-9]+"))),_xlfn.REGEXEXTRACT(CELL("address",'Raw Data'!C157),"\$([A-Z]+)\$[0-9]+"))</f>
        <v/>
      </c>
      <c r="D157" s="6" t="str" cm="1">
        <f t="array" aca="1" ref="D157" ca="1">IFERROR(IF(OR('Raw Data'!D157="",LEN(TRIM('Raw Data'!D157))=0),"",IF(AND(ISNUMBER('Raw Data'!D157),'Raw Data'!D157&gt;=Configuration!$D$2),"",_xlfn.REGEXEXTRACT(CELL("address",'Raw Data'!D157),"\$([A-Z]+)\$[0-9]+"))),_xlfn.REGEXEXTRACT(CELL("address",D157), "\$([A-Z]+)\$[0-9]+"))</f>
        <v/>
      </c>
      <c r="E157" s="6" t="str" cm="1">
        <f t="array" aca="1" ref="E157" ca="1">IFERROR(IF(OR('Raw Data'!E157="",LEN(TRIM('Raw Data'!E157))=0),"",IF(AND(ISNUMBER('Raw Data'!E157),'Raw Data'!E157=ROUND('Raw Data'!E157,4),IFERROR(ROUND('Raw Data'!E157,4)&lt;=99999999999.99,FALSE))=TRUE,"",_xlfn.REGEXEXTRACT(CELL("address",'Raw Data'!E157), "\$([A-Z]+)\$[0-9]+"))),_xlfn.REGEXEXTRACT(CELL("address",'Raw Data'!E157), "\$([A-Z]+)\$[0-9]+"))</f>
        <v/>
      </c>
      <c r="F157" s="6" t="str" cm="1">
        <f t="array" aca="1" ref="F157" ca="1">IFERROR(IF(OR('Raw Data'!F157="",LEN(TRIM('Raw Data'!F157))=0),"",IF(AND(ISNUMBER('Raw Data'!F157),'Raw Data'!F157=ROUND('Raw Data'!F157,4),IFERROR(ROUND('Raw Data'!F157,4)&lt;=99999999999.99,FALSE))=TRUE,"",_xlfn.REGEXEXTRACT(CELL("address",'Raw Data'!F157), "\$([A-Z]+)\$[0-9]+"))),_xlfn.REGEXEXTRACT(CELL("address",'Raw Data'!F157), "\$([A-Z]+)\$[0-9]+"))</f>
        <v/>
      </c>
      <c r="G157" s="6" t="str" cm="1">
        <f t="array" aca="1" ref="G157" ca="1">IFERROR(IF(OR('Raw Data'!G157="",LEN(TRIM('Raw Data'!G157))=0),"",IF(AND(ISNUMBER('Raw Data'!G157),'Raw Data'!G157=ROUND('Raw Data'!G157,4),IFERROR(ROUND('Raw Data'!G157,4)&lt;=99999999999.99,FALSE))=TRUE,"",_xlfn.REGEXEXTRACT(CELL("address",'Raw Data'!G157), "\$([A-Z]+)\$[0-9]+"))),_xlfn.REGEXEXTRACT(CELL("address",'Raw Data'!G157), "\$([A-Z]+)\$[0-9]+"))</f>
        <v/>
      </c>
      <c r="H157" s="6" t="str" cm="1">
        <f t="array" aca="1" ref="H157" ca="1">IFERROR(IF(OR('Raw Data'!H157="",LEN(TRIM('Raw Data'!H157))=0),"",IF(AND(ISNUMBER('Raw Data'!H157),'Raw Data'!H157=ROUND('Raw Data'!H157,4),IFERROR(ROUND('Raw Data'!H157,4)&lt;=99999999999.99,FALSE))=TRUE,"",_xlfn.REGEXEXTRACT(CELL("address",'Raw Data'!H157), "\$([A-Z]+)\$[0-9]+"))),_xlfn.REGEXEXTRACT(CELL("address",'Raw Data'!H157), "\$([A-Z]+)\$[0-9]+"))</f>
        <v/>
      </c>
      <c r="I157" s="6" t="str" cm="1">
        <f t="array" aca="1" ref="I157" ca="1">IFERROR(IF(OR('Raw Data'!I157="",LEN(TRIM('Raw Data'!I157))=0),"",IF(AND(ISNUMBER('Raw Data'!I157),'Raw Data'!I157=ROUND('Raw Data'!I157,4),IFERROR(ROUND('Raw Data'!I157,4)&lt;=99999999999.99,FALSE))=TRUE,"",_xlfn.REGEXEXTRACT(CELL("address",'Raw Data'!I157), "\$([A-Z]+)\$[0-9]+"))),_xlfn.REGEXEXTRACT(CELL("address",'Raw Data'!I157), "\$([A-Z]+)\$[0-9]+"))</f>
        <v/>
      </c>
      <c r="J157" s="6" t="str" cm="1">
        <f t="array" aca="1" ref="J157" ca="1">IFERROR(IF(OR('Raw Data'!J157="",LEN(TRIM('Raw Data'!J157))=0),"",IF(AND(ISNUMBER('Raw Data'!J157),'Raw Data'!J157=ROUND('Raw Data'!J157,4),IFERROR(ROUND('Raw Data'!J157,4)&lt;=99999999999.99,FALSE))=TRUE,"",_xlfn.REGEXEXTRACT(CELL("address",'Raw Data'!J157), "\$([A-Z]+)\$[0-9]+"))),_xlfn.REGEXEXTRACT(CELL("address",'Raw Data'!J157), "\$([A-Z]+)\$[0-9]+"))</f>
        <v/>
      </c>
    </row>
    <row r="158" spans="2:10" x14ac:dyDescent="0.25">
      <c r="B158" s="6" t="str" cm="1">
        <f t="array" aca="1" ref="B158" ca="1">IFERROR(IF(OR('Raw Data'!B158="",LEN(TRIM('Raw Data'!B158))=0),"",IF(AND(LEN('Raw Data'!B158) &lt;= 255,LEN('Raw Data'!B158)&gt; 0),"",_xlfn.REGEXEXTRACT(CELL("address",'Raw Data'!B158),"\$([A-Z]+)\$[0-9]+"))),_xlfn.REGEXEXTRACT(CELL("address",'Raw Data'!B158),"\$([A-Z]+)\$[0-9]+"))</f>
        <v/>
      </c>
      <c r="C158" s="6" t="str" cm="1">
        <f t="array" aca="1" ref="C158" ca="1">IFERROR(IF(OR('Raw Data'!C158="",LEN(TRIM('Raw Data'!C158))=0),"",IF(AND(LEN('Raw Data'!C158) &lt;= 20,LEN('Raw Data'!C158)&gt; 0),"",_xlfn.REGEXEXTRACT(CELL("address",'Raw Data'!C158),"\$([A-Z]+)\$[0-9]+"))),_xlfn.REGEXEXTRACT(CELL("address",'Raw Data'!C158),"\$([A-Z]+)\$[0-9]+"))</f>
        <v/>
      </c>
      <c r="D158" s="6" t="str" cm="1">
        <f t="array" aca="1" ref="D158" ca="1">IFERROR(IF(OR('Raw Data'!D158="",LEN(TRIM('Raw Data'!D158))=0),"",IF(AND(ISNUMBER('Raw Data'!D158),'Raw Data'!D158&gt;=Configuration!$D$2),"",_xlfn.REGEXEXTRACT(CELL("address",'Raw Data'!D158),"\$([A-Z]+)\$[0-9]+"))),_xlfn.REGEXEXTRACT(CELL("address",D158), "\$([A-Z]+)\$[0-9]+"))</f>
        <v/>
      </c>
      <c r="E158" s="6" t="str" cm="1">
        <f t="array" aca="1" ref="E158" ca="1">IFERROR(IF(OR('Raw Data'!E158="",LEN(TRIM('Raw Data'!E158))=0),"",IF(AND(ISNUMBER('Raw Data'!E158),'Raw Data'!E158=ROUND('Raw Data'!E158,4),IFERROR(ROUND('Raw Data'!E158,4)&lt;=99999999999.99,FALSE))=TRUE,"",_xlfn.REGEXEXTRACT(CELL("address",'Raw Data'!E158), "\$([A-Z]+)\$[0-9]+"))),_xlfn.REGEXEXTRACT(CELL("address",'Raw Data'!E158), "\$([A-Z]+)\$[0-9]+"))</f>
        <v/>
      </c>
      <c r="F158" s="6" t="str" cm="1">
        <f t="array" aca="1" ref="F158" ca="1">IFERROR(IF(OR('Raw Data'!F158="",LEN(TRIM('Raw Data'!F158))=0),"",IF(AND(ISNUMBER('Raw Data'!F158),'Raw Data'!F158=ROUND('Raw Data'!F158,4),IFERROR(ROUND('Raw Data'!F158,4)&lt;=99999999999.99,FALSE))=TRUE,"",_xlfn.REGEXEXTRACT(CELL("address",'Raw Data'!F158), "\$([A-Z]+)\$[0-9]+"))),_xlfn.REGEXEXTRACT(CELL("address",'Raw Data'!F158), "\$([A-Z]+)\$[0-9]+"))</f>
        <v/>
      </c>
      <c r="G158" s="6" t="str" cm="1">
        <f t="array" aca="1" ref="G158" ca="1">IFERROR(IF(OR('Raw Data'!G158="",LEN(TRIM('Raw Data'!G158))=0),"",IF(AND(ISNUMBER('Raw Data'!G158),'Raw Data'!G158=ROUND('Raw Data'!G158,4),IFERROR(ROUND('Raw Data'!G158,4)&lt;=99999999999.99,FALSE))=TRUE,"",_xlfn.REGEXEXTRACT(CELL("address",'Raw Data'!G158), "\$([A-Z]+)\$[0-9]+"))),_xlfn.REGEXEXTRACT(CELL("address",'Raw Data'!G158), "\$([A-Z]+)\$[0-9]+"))</f>
        <v/>
      </c>
      <c r="H158" s="6" t="str" cm="1">
        <f t="array" aca="1" ref="H158" ca="1">IFERROR(IF(OR('Raw Data'!H158="",LEN(TRIM('Raw Data'!H158))=0),"",IF(AND(ISNUMBER('Raw Data'!H158),'Raw Data'!H158=ROUND('Raw Data'!H158,4),IFERROR(ROUND('Raw Data'!H158,4)&lt;=99999999999.99,FALSE))=TRUE,"",_xlfn.REGEXEXTRACT(CELL("address",'Raw Data'!H158), "\$([A-Z]+)\$[0-9]+"))),_xlfn.REGEXEXTRACT(CELL("address",'Raw Data'!H158), "\$([A-Z]+)\$[0-9]+"))</f>
        <v/>
      </c>
      <c r="I158" s="6" t="str" cm="1">
        <f t="array" aca="1" ref="I158" ca="1">IFERROR(IF(OR('Raw Data'!I158="",LEN(TRIM('Raw Data'!I158))=0),"",IF(AND(ISNUMBER('Raw Data'!I158),'Raw Data'!I158=ROUND('Raw Data'!I158,4),IFERROR(ROUND('Raw Data'!I158,4)&lt;=99999999999.99,FALSE))=TRUE,"",_xlfn.REGEXEXTRACT(CELL("address",'Raw Data'!I158), "\$([A-Z]+)\$[0-9]+"))),_xlfn.REGEXEXTRACT(CELL("address",'Raw Data'!I158), "\$([A-Z]+)\$[0-9]+"))</f>
        <v/>
      </c>
      <c r="J158" s="6" t="str" cm="1">
        <f t="array" aca="1" ref="J158" ca="1">IFERROR(IF(OR('Raw Data'!J158="",LEN(TRIM('Raw Data'!J158))=0),"",IF(AND(ISNUMBER('Raw Data'!J158),'Raw Data'!J158=ROUND('Raw Data'!J158,4),IFERROR(ROUND('Raw Data'!J158,4)&lt;=99999999999.99,FALSE))=TRUE,"",_xlfn.REGEXEXTRACT(CELL("address",'Raw Data'!J158), "\$([A-Z]+)\$[0-9]+"))),_xlfn.REGEXEXTRACT(CELL("address",'Raw Data'!J158), "\$([A-Z]+)\$[0-9]+"))</f>
        <v/>
      </c>
    </row>
    <row r="159" spans="2:10" x14ac:dyDescent="0.25">
      <c r="B159" s="6" t="str" cm="1">
        <f t="array" aca="1" ref="B159" ca="1">IFERROR(IF(OR('Raw Data'!B159="",LEN(TRIM('Raw Data'!B159))=0),"",IF(AND(LEN('Raw Data'!B159) &lt;= 255,LEN('Raw Data'!B159)&gt; 0),"",_xlfn.REGEXEXTRACT(CELL("address",'Raw Data'!B159),"\$([A-Z]+)\$[0-9]+"))),_xlfn.REGEXEXTRACT(CELL("address",'Raw Data'!B159),"\$([A-Z]+)\$[0-9]+"))</f>
        <v/>
      </c>
      <c r="C159" s="6" t="str" cm="1">
        <f t="array" aca="1" ref="C159" ca="1">IFERROR(IF(OR('Raw Data'!C159="",LEN(TRIM('Raw Data'!C159))=0),"",IF(AND(LEN('Raw Data'!C159) &lt;= 20,LEN('Raw Data'!C159)&gt; 0),"",_xlfn.REGEXEXTRACT(CELL("address",'Raw Data'!C159),"\$([A-Z]+)\$[0-9]+"))),_xlfn.REGEXEXTRACT(CELL("address",'Raw Data'!C159),"\$([A-Z]+)\$[0-9]+"))</f>
        <v/>
      </c>
      <c r="D159" s="6" t="str" cm="1">
        <f t="array" aca="1" ref="D159" ca="1">IFERROR(IF(OR('Raw Data'!D159="",LEN(TRIM('Raw Data'!D159))=0),"",IF(AND(ISNUMBER('Raw Data'!D159),'Raw Data'!D159&gt;=Configuration!$D$2),"",_xlfn.REGEXEXTRACT(CELL("address",'Raw Data'!D159),"\$([A-Z]+)\$[0-9]+"))),_xlfn.REGEXEXTRACT(CELL("address",D159), "\$([A-Z]+)\$[0-9]+"))</f>
        <v/>
      </c>
      <c r="E159" s="6" t="str" cm="1">
        <f t="array" aca="1" ref="E159" ca="1">IFERROR(IF(OR('Raw Data'!E159="",LEN(TRIM('Raw Data'!E159))=0),"",IF(AND(ISNUMBER('Raw Data'!E159),'Raw Data'!E159=ROUND('Raw Data'!E159,4),IFERROR(ROUND('Raw Data'!E159,4)&lt;=99999999999.99,FALSE))=TRUE,"",_xlfn.REGEXEXTRACT(CELL("address",'Raw Data'!E159), "\$([A-Z]+)\$[0-9]+"))),_xlfn.REGEXEXTRACT(CELL("address",'Raw Data'!E159), "\$([A-Z]+)\$[0-9]+"))</f>
        <v/>
      </c>
      <c r="F159" s="6" t="str" cm="1">
        <f t="array" aca="1" ref="F159" ca="1">IFERROR(IF(OR('Raw Data'!F159="",LEN(TRIM('Raw Data'!F159))=0),"",IF(AND(ISNUMBER('Raw Data'!F159),'Raw Data'!F159=ROUND('Raw Data'!F159,4),IFERROR(ROUND('Raw Data'!F159,4)&lt;=99999999999.99,FALSE))=TRUE,"",_xlfn.REGEXEXTRACT(CELL("address",'Raw Data'!F159), "\$([A-Z]+)\$[0-9]+"))),_xlfn.REGEXEXTRACT(CELL("address",'Raw Data'!F159), "\$([A-Z]+)\$[0-9]+"))</f>
        <v/>
      </c>
      <c r="G159" s="6" t="str" cm="1">
        <f t="array" aca="1" ref="G159" ca="1">IFERROR(IF(OR('Raw Data'!G159="",LEN(TRIM('Raw Data'!G159))=0),"",IF(AND(ISNUMBER('Raw Data'!G159),'Raw Data'!G159=ROUND('Raw Data'!G159,4),IFERROR(ROUND('Raw Data'!G159,4)&lt;=99999999999.99,FALSE))=TRUE,"",_xlfn.REGEXEXTRACT(CELL("address",'Raw Data'!G159), "\$([A-Z]+)\$[0-9]+"))),_xlfn.REGEXEXTRACT(CELL("address",'Raw Data'!G159), "\$([A-Z]+)\$[0-9]+"))</f>
        <v/>
      </c>
      <c r="H159" s="6" t="str" cm="1">
        <f t="array" aca="1" ref="H159" ca="1">IFERROR(IF(OR('Raw Data'!H159="",LEN(TRIM('Raw Data'!H159))=0),"",IF(AND(ISNUMBER('Raw Data'!H159),'Raw Data'!H159=ROUND('Raw Data'!H159,4),IFERROR(ROUND('Raw Data'!H159,4)&lt;=99999999999.99,FALSE))=TRUE,"",_xlfn.REGEXEXTRACT(CELL("address",'Raw Data'!H159), "\$([A-Z]+)\$[0-9]+"))),_xlfn.REGEXEXTRACT(CELL("address",'Raw Data'!H159), "\$([A-Z]+)\$[0-9]+"))</f>
        <v/>
      </c>
      <c r="I159" s="6" t="str" cm="1">
        <f t="array" aca="1" ref="I159" ca="1">IFERROR(IF(OR('Raw Data'!I159="",LEN(TRIM('Raw Data'!I159))=0),"",IF(AND(ISNUMBER('Raw Data'!I159),'Raw Data'!I159=ROUND('Raw Data'!I159,4),IFERROR(ROUND('Raw Data'!I159,4)&lt;=99999999999.99,FALSE))=TRUE,"",_xlfn.REGEXEXTRACT(CELL("address",'Raw Data'!I159), "\$([A-Z]+)\$[0-9]+"))),_xlfn.REGEXEXTRACT(CELL("address",'Raw Data'!I159), "\$([A-Z]+)\$[0-9]+"))</f>
        <v/>
      </c>
      <c r="J159" s="6" t="str" cm="1">
        <f t="array" aca="1" ref="J159" ca="1">IFERROR(IF(OR('Raw Data'!J159="",LEN(TRIM('Raw Data'!J159))=0),"",IF(AND(ISNUMBER('Raw Data'!J159),'Raw Data'!J159=ROUND('Raw Data'!J159,4),IFERROR(ROUND('Raw Data'!J159,4)&lt;=99999999999.99,FALSE))=TRUE,"",_xlfn.REGEXEXTRACT(CELL("address",'Raw Data'!J159), "\$([A-Z]+)\$[0-9]+"))),_xlfn.REGEXEXTRACT(CELL("address",'Raw Data'!J159), "\$([A-Z]+)\$[0-9]+"))</f>
        <v/>
      </c>
    </row>
    <row r="160" spans="2:10" x14ac:dyDescent="0.25">
      <c r="B160" s="6" t="str" cm="1">
        <f t="array" aca="1" ref="B160" ca="1">IFERROR(IF(OR('Raw Data'!B160="",LEN(TRIM('Raw Data'!B160))=0),"",IF(AND(LEN('Raw Data'!B160) &lt;= 255,LEN('Raw Data'!B160)&gt; 0),"",_xlfn.REGEXEXTRACT(CELL("address",'Raw Data'!B160),"\$([A-Z]+)\$[0-9]+"))),_xlfn.REGEXEXTRACT(CELL("address",'Raw Data'!B160),"\$([A-Z]+)\$[0-9]+"))</f>
        <v/>
      </c>
      <c r="C160" s="6" t="str" cm="1">
        <f t="array" aca="1" ref="C160" ca="1">IFERROR(IF(OR('Raw Data'!C160="",LEN(TRIM('Raw Data'!C160))=0),"",IF(AND(LEN('Raw Data'!C160) &lt;= 20,LEN('Raw Data'!C160)&gt; 0),"",_xlfn.REGEXEXTRACT(CELL("address",'Raw Data'!C160),"\$([A-Z]+)\$[0-9]+"))),_xlfn.REGEXEXTRACT(CELL("address",'Raw Data'!C160),"\$([A-Z]+)\$[0-9]+"))</f>
        <v/>
      </c>
      <c r="D160" s="6" t="str" cm="1">
        <f t="array" aca="1" ref="D160" ca="1">IFERROR(IF(OR('Raw Data'!D160="",LEN(TRIM('Raw Data'!D160))=0),"",IF(AND(ISNUMBER('Raw Data'!D160),'Raw Data'!D160&gt;=Configuration!$D$2),"",_xlfn.REGEXEXTRACT(CELL("address",'Raw Data'!D160),"\$([A-Z]+)\$[0-9]+"))),_xlfn.REGEXEXTRACT(CELL("address",D160), "\$([A-Z]+)\$[0-9]+"))</f>
        <v/>
      </c>
      <c r="E160" s="6" t="str" cm="1">
        <f t="array" aca="1" ref="E160" ca="1">IFERROR(IF(OR('Raw Data'!E160="",LEN(TRIM('Raw Data'!E160))=0),"",IF(AND(ISNUMBER('Raw Data'!E160),'Raw Data'!E160=ROUND('Raw Data'!E160,4),IFERROR(ROUND('Raw Data'!E160,4)&lt;=99999999999.99,FALSE))=TRUE,"",_xlfn.REGEXEXTRACT(CELL("address",'Raw Data'!E160), "\$([A-Z]+)\$[0-9]+"))),_xlfn.REGEXEXTRACT(CELL("address",'Raw Data'!E160), "\$([A-Z]+)\$[0-9]+"))</f>
        <v/>
      </c>
      <c r="F160" s="6" t="str" cm="1">
        <f t="array" aca="1" ref="F160" ca="1">IFERROR(IF(OR('Raw Data'!F160="",LEN(TRIM('Raw Data'!F160))=0),"",IF(AND(ISNUMBER('Raw Data'!F160),'Raw Data'!F160=ROUND('Raw Data'!F160,4),IFERROR(ROUND('Raw Data'!F160,4)&lt;=99999999999.99,FALSE))=TRUE,"",_xlfn.REGEXEXTRACT(CELL("address",'Raw Data'!F160), "\$([A-Z]+)\$[0-9]+"))),_xlfn.REGEXEXTRACT(CELL("address",'Raw Data'!F160), "\$([A-Z]+)\$[0-9]+"))</f>
        <v/>
      </c>
      <c r="G160" s="6" t="str" cm="1">
        <f t="array" aca="1" ref="G160" ca="1">IFERROR(IF(OR('Raw Data'!G160="",LEN(TRIM('Raw Data'!G160))=0),"",IF(AND(ISNUMBER('Raw Data'!G160),'Raw Data'!G160=ROUND('Raw Data'!G160,4),IFERROR(ROUND('Raw Data'!G160,4)&lt;=99999999999.99,FALSE))=TRUE,"",_xlfn.REGEXEXTRACT(CELL("address",'Raw Data'!G160), "\$([A-Z]+)\$[0-9]+"))),_xlfn.REGEXEXTRACT(CELL("address",'Raw Data'!G160), "\$([A-Z]+)\$[0-9]+"))</f>
        <v/>
      </c>
      <c r="H160" s="6" t="str" cm="1">
        <f t="array" aca="1" ref="H160" ca="1">IFERROR(IF(OR('Raw Data'!H160="",LEN(TRIM('Raw Data'!H160))=0),"",IF(AND(ISNUMBER('Raw Data'!H160),'Raw Data'!H160=ROUND('Raw Data'!H160,4),IFERROR(ROUND('Raw Data'!H160,4)&lt;=99999999999.99,FALSE))=TRUE,"",_xlfn.REGEXEXTRACT(CELL("address",'Raw Data'!H160), "\$([A-Z]+)\$[0-9]+"))),_xlfn.REGEXEXTRACT(CELL("address",'Raw Data'!H160), "\$([A-Z]+)\$[0-9]+"))</f>
        <v/>
      </c>
      <c r="I160" s="6" t="str" cm="1">
        <f t="array" aca="1" ref="I160" ca="1">IFERROR(IF(OR('Raw Data'!I160="",LEN(TRIM('Raw Data'!I160))=0),"",IF(AND(ISNUMBER('Raw Data'!I160),'Raw Data'!I160=ROUND('Raw Data'!I160,4),IFERROR(ROUND('Raw Data'!I160,4)&lt;=99999999999.99,FALSE))=TRUE,"",_xlfn.REGEXEXTRACT(CELL("address",'Raw Data'!I160), "\$([A-Z]+)\$[0-9]+"))),_xlfn.REGEXEXTRACT(CELL("address",'Raw Data'!I160), "\$([A-Z]+)\$[0-9]+"))</f>
        <v/>
      </c>
      <c r="J160" s="6" t="str" cm="1">
        <f t="array" aca="1" ref="J160" ca="1">IFERROR(IF(OR('Raw Data'!J160="",LEN(TRIM('Raw Data'!J160))=0),"",IF(AND(ISNUMBER('Raw Data'!J160),'Raw Data'!J160=ROUND('Raw Data'!J160,4),IFERROR(ROUND('Raw Data'!J160,4)&lt;=99999999999.99,FALSE))=TRUE,"",_xlfn.REGEXEXTRACT(CELL("address",'Raw Data'!J160), "\$([A-Z]+)\$[0-9]+"))),_xlfn.REGEXEXTRACT(CELL("address",'Raw Data'!J160), "\$([A-Z]+)\$[0-9]+"))</f>
        <v/>
      </c>
    </row>
    <row r="161" spans="2:10" x14ac:dyDescent="0.25">
      <c r="B161" s="6" t="str" cm="1">
        <f t="array" aca="1" ref="B161" ca="1">IFERROR(IF(OR('Raw Data'!B161="",LEN(TRIM('Raw Data'!B161))=0),"",IF(AND(LEN('Raw Data'!B161) &lt;= 255,LEN('Raw Data'!B161)&gt; 0),"",_xlfn.REGEXEXTRACT(CELL("address",'Raw Data'!B161),"\$([A-Z]+)\$[0-9]+"))),_xlfn.REGEXEXTRACT(CELL("address",'Raw Data'!B161),"\$([A-Z]+)\$[0-9]+"))</f>
        <v/>
      </c>
      <c r="C161" s="6" t="str" cm="1">
        <f t="array" aca="1" ref="C161" ca="1">IFERROR(IF(OR('Raw Data'!C161="",LEN(TRIM('Raw Data'!C161))=0),"",IF(AND(LEN('Raw Data'!C161) &lt;= 20,LEN('Raw Data'!C161)&gt; 0),"",_xlfn.REGEXEXTRACT(CELL("address",'Raw Data'!C161),"\$([A-Z]+)\$[0-9]+"))),_xlfn.REGEXEXTRACT(CELL("address",'Raw Data'!C161),"\$([A-Z]+)\$[0-9]+"))</f>
        <v/>
      </c>
      <c r="D161" s="6" t="str" cm="1">
        <f t="array" aca="1" ref="D161" ca="1">IFERROR(IF(OR('Raw Data'!D161="",LEN(TRIM('Raw Data'!D161))=0),"",IF(AND(ISNUMBER('Raw Data'!D161),'Raw Data'!D161&gt;=Configuration!$D$2),"",_xlfn.REGEXEXTRACT(CELL("address",'Raw Data'!D161),"\$([A-Z]+)\$[0-9]+"))),_xlfn.REGEXEXTRACT(CELL("address",D161), "\$([A-Z]+)\$[0-9]+"))</f>
        <v/>
      </c>
      <c r="E161" s="6" t="str" cm="1">
        <f t="array" aca="1" ref="E161" ca="1">IFERROR(IF(OR('Raw Data'!E161="",LEN(TRIM('Raw Data'!E161))=0),"",IF(AND(ISNUMBER('Raw Data'!E161),'Raw Data'!E161=ROUND('Raw Data'!E161,4),IFERROR(ROUND('Raw Data'!E161,4)&lt;=99999999999.99,FALSE))=TRUE,"",_xlfn.REGEXEXTRACT(CELL("address",'Raw Data'!E161), "\$([A-Z]+)\$[0-9]+"))),_xlfn.REGEXEXTRACT(CELL("address",'Raw Data'!E161), "\$([A-Z]+)\$[0-9]+"))</f>
        <v/>
      </c>
      <c r="F161" s="6" t="str" cm="1">
        <f t="array" aca="1" ref="F161" ca="1">IFERROR(IF(OR('Raw Data'!F161="",LEN(TRIM('Raw Data'!F161))=0),"",IF(AND(ISNUMBER('Raw Data'!F161),'Raw Data'!F161=ROUND('Raw Data'!F161,4),IFERROR(ROUND('Raw Data'!F161,4)&lt;=99999999999.99,FALSE))=TRUE,"",_xlfn.REGEXEXTRACT(CELL("address",'Raw Data'!F161), "\$([A-Z]+)\$[0-9]+"))),_xlfn.REGEXEXTRACT(CELL("address",'Raw Data'!F161), "\$([A-Z]+)\$[0-9]+"))</f>
        <v/>
      </c>
      <c r="G161" s="6" t="str" cm="1">
        <f t="array" aca="1" ref="G161" ca="1">IFERROR(IF(OR('Raw Data'!G161="",LEN(TRIM('Raw Data'!G161))=0),"",IF(AND(ISNUMBER('Raw Data'!G161),'Raw Data'!G161=ROUND('Raw Data'!G161,4),IFERROR(ROUND('Raw Data'!G161,4)&lt;=99999999999.99,FALSE))=TRUE,"",_xlfn.REGEXEXTRACT(CELL("address",'Raw Data'!G161), "\$([A-Z]+)\$[0-9]+"))),_xlfn.REGEXEXTRACT(CELL("address",'Raw Data'!G161), "\$([A-Z]+)\$[0-9]+"))</f>
        <v/>
      </c>
      <c r="H161" s="6" t="str" cm="1">
        <f t="array" aca="1" ref="H161" ca="1">IFERROR(IF(OR('Raw Data'!H161="",LEN(TRIM('Raw Data'!H161))=0),"",IF(AND(ISNUMBER('Raw Data'!H161),'Raw Data'!H161=ROUND('Raw Data'!H161,4),IFERROR(ROUND('Raw Data'!H161,4)&lt;=99999999999.99,FALSE))=TRUE,"",_xlfn.REGEXEXTRACT(CELL("address",'Raw Data'!H161), "\$([A-Z]+)\$[0-9]+"))),_xlfn.REGEXEXTRACT(CELL("address",'Raw Data'!H161), "\$([A-Z]+)\$[0-9]+"))</f>
        <v/>
      </c>
      <c r="I161" s="6" t="str" cm="1">
        <f t="array" aca="1" ref="I161" ca="1">IFERROR(IF(OR('Raw Data'!I161="",LEN(TRIM('Raw Data'!I161))=0),"",IF(AND(ISNUMBER('Raw Data'!I161),'Raw Data'!I161=ROUND('Raw Data'!I161,4),IFERROR(ROUND('Raw Data'!I161,4)&lt;=99999999999.99,FALSE))=TRUE,"",_xlfn.REGEXEXTRACT(CELL("address",'Raw Data'!I161), "\$([A-Z]+)\$[0-9]+"))),_xlfn.REGEXEXTRACT(CELL("address",'Raw Data'!I161), "\$([A-Z]+)\$[0-9]+"))</f>
        <v/>
      </c>
      <c r="J161" s="6" t="str" cm="1">
        <f t="array" aca="1" ref="J161" ca="1">IFERROR(IF(OR('Raw Data'!J161="",LEN(TRIM('Raw Data'!J161))=0),"",IF(AND(ISNUMBER('Raw Data'!J161),'Raw Data'!J161=ROUND('Raw Data'!J161,4),IFERROR(ROUND('Raw Data'!J161,4)&lt;=99999999999.99,FALSE))=TRUE,"",_xlfn.REGEXEXTRACT(CELL("address",'Raw Data'!J161), "\$([A-Z]+)\$[0-9]+"))),_xlfn.REGEXEXTRACT(CELL("address",'Raw Data'!J161), "\$([A-Z]+)\$[0-9]+"))</f>
        <v/>
      </c>
    </row>
    <row r="162" spans="2:10" x14ac:dyDescent="0.25">
      <c r="B162" s="6" t="str" cm="1">
        <f t="array" aca="1" ref="B162" ca="1">IFERROR(IF(OR('Raw Data'!B162="",LEN(TRIM('Raw Data'!B162))=0),"",IF(AND(LEN('Raw Data'!B162) &lt;= 255,LEN('Raw Data'!B162)&gt; 0),"",_xlfn.REGEXEXTRACT(CELL("address",'Raw Data'!B162),"\$([A-Z]+)\$[0-9]+"))),_xlfn.REGEXEXTRACT(CELL("address",'Raw Data'!B162),"\$([A-Z]+)\$[0-9]+"))</f>
        <v/>
      </c>
      <c r="C162" s="6" t="str" cm="1">
        <f t="array" aca="1" ref="C162" ca="1">IFERROR(IF(OR('Raw Data'!C162="",LEN(TRIM('Raw Data'!C162))=0),"",IF(AND(LEN('Raw Data'!C162) &lt;= 20,LEN('Raw Data'!C162)&gt; 0),"",_xlfn.REGEXEXTRACT(CELL("address",'Raw Data'!C162),"\$([A-Z]+)\$[0-9]+"))),_xlfn.REGEXEXTRACT(CELL("address",'Raw Data'!C162),"\$([A-Z]+)\$[0-9]+"))</f>
        <v/>
      </c>
      <c r="D162" s="6" t="str" cm="1">
        <f t="array" aca="1" ref="D162" ca="1">IFERROR(IF(OR('Raw Data'!D162="",LEN(TRIM('Raw Data'!D162))=0),"",IF(AND(ISNUMBER('Raw Data'!D162),'Raw Data'!D162&gt;=Configuration!$D$2),"",_xlfn.REGEXEXTRACT(CELL("address",'Raw Data'!D162),"\$([A-Z]+)\$[0-9]+"))),_xlfn.REGEXEXTRACT(CELL("address",D162), "\$([A-Z]+)\$[0-9]+"))</f>
        <v/>
      </c>
      <c r="E162" s="6" t="str" cm="1">
        <f t="array" aca="1" ref="E162" ca="1">IFERROR(IF(OR('Raw Data'!E162="",LEN(TRIM('Raw Data'!E162))=0),"",IF(AND(ISNUMBER('Raw Data'!E162),'Raw Data'!E162=ROUND('Raw Data'!E162,4),IFERROR(ROUND('Raw Data'!E162,4)&lt;=99999999999.99,FALSE))=TRUE,"",_xlfn.REGEXEXTRACT(CELL("address",'Raw Data'!E162), "\$([A-Z]+)\$[0-9]+"))),_xlfn.REGEXEXTRACT(CELL("address",'Raw Data'!E162), "\$([A-Z]+)\$[0-9]+"))</f>
        <v/>
      </c>
      <c r="F162" s="6" t="str" cm="1">
        <f t="array" aca="1" ref="F162" ca="1">IFERROR(IF(OR('Raw Data'!F162="",LEN(TRIM('Raw Data'!F162))=0),"",IF(AND(ISNUMBER('Raw Data'!F162),'Raw Data'!F162=ROUND('Raw Data'!F162,4),IFERROR(ROUND('Raw Data'!F162,4)&lt;=99999999999.99,FALSE))=TRUE,"",_xlfn.REGEXEXTRACT(CELL("address",'Raw Data'!F162), "\$([A-Z]+)\$[0-9]+"))),_xlfn.REGEXEXTRACT(CELL("address",'Raw Data'!F162), "\$([A-Z]+)\$[0-9]+"))</f>
        <v/>
      </c>
      <c r="G162" s="6" t="str" cm="1">
        <f t="array" aca="1" ref="G162" ca="1">IFERROR(IF(OR('Raw Data'!G162="",LEN(TRIM('Raw Data'!G162))=0),"",IF(AND(ISNUMBER('Raw Data'!G162),'Raw Data'!G162=ROUND('Raw Data'!G162,4),IFERROR(ROUND('Raw Data'!G162,4)&lt;=99999999999.99,FALSE))=TRUE,"",_xlfn.REGEXEXTRACT(CELL("address",'Raw Data'!G162), "\$([A-Z]+)\$[0-9]+"))),_xlfn.REGEXEXTRACT(CELL("address",'Raw Data'!G162), "\$([A-Z]+)\$[0-9]+"))</f>
        <v/>
      </c>
      <c r="H162" s="6" t="str" cm="1">
        <f t="array" aca="1" ref="H162" ca="1">IFERROR(IF(OR('Raw Data'!H162="",LEN(TRIM('Raw Data'!H162))=0),"",IF(AND(ISNUMBER('Raw Data'!H162),'Raw Data'!H162=ROUND('Raw Data'!H162,4),IFERROR(ROUND('Raw Data'!H162,4)&lt;=99999999999.99,FALSE))=TRUE,"",_xlfn.REGEXEXTRACT(CELL("address",'Raw Data'!H162), "\$([A-Z]+)\$[0-9]+"))),_xlfn.REGEXEXTRACT(CELL("address",'Raw Data'!H162), "\$([A-Z]+)\$[0-9]+"))</f>
        <v/>
      </c>
      <c r="I162" s="6" t="str" cm="1">
        <f t="array" aca="1" ref="I162" ca="1">IFERROR(IF(OR('Raw Data'!I162="",LEN(TRIM('Raw Data'!I162))=0),"",IF(AND(ISNUMBER('Raw Data'!I162),'Raw Data'!I162=ROUND('Raw Data'!I162,4),IFERROR(ROUND('Raw Data'!I162,4)&lt;=99999999999.99,FALSE))=TRUE,"",_xlfn.REGEXEXTRACT(CELL("address",'Raw Data'!I162), "\$([A-Z]+)\$[0-9]+"))),_xlfn.REGEXEXTRACT(CELL("address",'Raw Data'!I162), "\$([A-Z]+)\$[0-9]+"))</f>
        <v/>
      </c>
      <c r="J162" s="6" t="str" cm="1">
        <f t="array" aca="1" ref="J162" ca="1">IFERROR(IF(OR('Raw Data'!J162="",LEN(TRIM('Raw Data'!J162))=0),"",IF(AND(ISNUMBER('Raw Data'!J162),'Raw Data'!J162=ROUND('Raw Data'!J162,4),IFERROR(ROUND('Raw Data'!J162,4)&lt;=99999999999.99,FALSE))=TRUE,"",_xlfn.REGEXEXTRACT(CELL("address",'Raw Data'!J162), "\$([A-Z]+)\$[0-9]+"))),_xlfn.REGEXEXTRACT(CELL("address",'Raw Data'!J162), "\$([A-Z]+)\$[0-9]+"))</f>
        <v/>
      </c>
    </row>
    <row r="163" spans="2:10" x14ac:dyDescent="0.25">
      <c r="B163" s="6" t="str" cm="1">
        <f t="array" aca="1" ref="B163" ca="1">IFERROR(IF(OR('Raw Data'!B163="",LEN(TRIM('Raw Data'!B163))=0),"",IF(AND(LEN('Raw Data'!B163) &lt;= 255,LEN('Raw Data'!B163)&gt; 0),"",_xlfn.REGEXEXTRACT(CELL("address",'Raw Data'!B163),"\$([A-Z]+)\$[0-9]+"))),_xlfn.REGEXEXTRACT(CELL("address",'Raw Data'!B163),"\$([A-Z]+)\$[0-9]+"))</f>
        <v/>
      </c>
      <c r="C163" s="6" t="str" cm="1">
        <f t="array" aca="1" ref="C163" ca="1">IFERROR(IF(OR('Raw Data'!C163="",LEN(TRIM('Raw Data'!C163))=0),"",IF(AND(LEN('Raw Data'!C163) &lt;= 20,LEN('Raw Data'!C163)&gt; 0),"",_xlfn.REGEXEXTRACT(CELL("address",'Raw Data'!C163),"\$([A-Z]+)\$[0-9]+"))),_xlfn.REGEXEXTRACT(CELL("address",'Raw Data'!C163),"\$([A-Z]+)\$[0-9]+"))</f>
        <v/>
      </c>
      <c r="D163" s="6" t="str" cm="1">
        <f t="array" aca="1" ref="D163" ca="1">IFERROR(IF(OR('Raw Data'!D163="",LEN(TRIM('Raw Data'!D163))=0),"",IF(AND(ISNUMBER('Raw Data'!D163),'Raw Data'!D163&gt;=Configuration!$D$2),"",_xlfn.REGEXEXTRACT(CELL("address",'Raw Data'!D163),"\$([A-Z]+)\$[0-9]+"))),_xlfn.REGEXEXTRACT(CELL("address",D163), "\$([A-Z]+)\$[0-9]+"))</f>
        <v/>
      </c>
      <c r="E163" s="6" t="str" cm="1">
        <f t="array" aca="1" ref="E163" ca="1">IFERROR(IF(OR('Raw Data'!E163="",LEN(TRIM('Raw Data'!E163))=0),"",IF(AND(ISNUMBER('Raw Data'!E163),'Raw Data'!E163=ROUND('Raw Data'!E163,4),IFERROR(ROUND('Raw Data'!E163,4)&lt;=99999999999.99,FALSE))=TRUE,"",_xlfn.REGEXEXTRACT(CELL("address",'Raw Data'!E163), "\$([A-Z]+)\$[0-9]+"))),_xlfn.REGEXEXTRACT(CELL("address",'Raw Data'!E163), "\$([A-Z]+)\$[0-9]+"))</f>
        <v/>
      </c>
      <c r="F163" s="6" t="str" cm="1">
        <f t="array" aca="1" ref="F163" ca="1">IFERROR(IF(OR('Raw Data'!F163="",LEN(TRIM('Raw Data'!F163))=0),"",IF(AND(ISNUMBER('Raw Data'!F163),'Raw Data'!F163=ROUND('Raw Data'!F163,4),IFERROR(ROUND('Raw Data'!F163,4)&lt;=99999999999.99,FALSE))=TRUE,"",_xlfn.REGEXEXTRACT(CELL("address",'Raw Data'!F163), "\$([A-Z]+)\$[0-9]+"))),_xlfn.REGEXEXTRACT(CELL("address",'Raw Data'!F163), "\$([A-Z]+)\$[0-9]+"))</f>
        <v/>
      </c>
      <c r="G163" s="6" t="str" cm="1">
        <f t="array" aca="1" ref="G163" ca="1">IFERROR(IF(OR('Raw Data'!G163="",LEN(TRIM('Raw Data'!G163))=0),"",IF(AND(ISNUMBER('Raw Data'!G163),'Raw Data'!G163=ROUND('Raw Data'!G163,4),IFERROR(ROUND('Raw Data'!G163,4)&lt;=99999999999.99,FALSE))=TRUE,"",_xlfn.REGEXEXTRACT(CELL("address",'Raw Data'!G163), "\$([A-Z]+)\$[0-9]+"))),_xlfn.REGEXEXTRACT(CELL("address",'Raw Data'!G163), "\$([A-Z]+)\$[0-9]+"))</f>
        <v/>
      </c>
      <c r="H163" s="6" t="str" cm="1">
        <f t="array" aca="1" ref="H163" ca="1">IFERROR(IF(OR('Raw Data'!H163="",LEN(TRIM('Raw Data'!H163))=0),"",IF(AND(ISNUMBER('Raw Data'!H163),'Raw Data'!H163=ROUND('Raw Data'!H163,4),IFERROR(ROUND('Raw Data'!H163,4)&lt;=99999999999.99,FALSE))=TRUE,"",_xlfn.REGEXEXTRACT(CELL("address",'Raw Data'!H163), "\$([A-Z]+)\$[0-9]+"))),_xlfn.REGEXEXTRACT(CELL("address",'Raw Data'!H163), "\$([A-Z]+)\$[0-9]+"))</f>
        <v/>
      </c>
      <c r="I163" s="6" t="str" cm="1">
        <f t="array" aca="1" ref="I163" ca="1">IFERROR(IF(OR('Raw Data'!I163="",LEN(TRIM('Raw Data'!I163))=0),"",IF(AND(ISNUMBER('Raw Data'!I163),'Raw Data'!I163=ROUND('Raw Data'!I163,4),IFERROR(ROUND('Raw Data'!I163,4)&lt;=99999999999.99,FALSE))=TRUE,"",_xlfn.REGEXEXTRACT(CELL("address",'Raw Data'!I163), "\$([A-Z]+)\$[0-9]+"))),_xlfn.REGEXEXTRACT(CELL("address",'Raw Data'!I163), "\$([A-Z]+)\$[0-9]+"))</f>
        <v/>
      </c>
      <c r="J163" s="6" t="str" cm="1">
        <f t="array" aca="1" ref="J163" ca="1">IFERROR(IF(OR('Raw Data'!J163="",LEN(TRIM('Raw Data'!J163))=0),"",IF(AND(ISNUMBER('Raw Data'!J163),'Raw Data'!J163=ROUND('Raw Data'!J163,4),IFERROR(ROUND('Raw Data'!J163,4)&lt;=99999999999.99,FALSE))=TRUE,"",_xlfn.REGEXEXTRACT(CELL("address",'Raw Data'!J163), "\$([A-Z]+)\$[0-9]+"))),_xlfn.REGEXEXTRACT(CELL("address",'Raw Data'!J163), "\$([A-Z]+)\$[0-9]+"))</f>
        <v/>
      </c>
    </row>
    <row r="164" spans="2:10" x14ac:dyDescent="0.25">
      <c r="B164" s="6" t="str" cm="1">
        <f t="array" aca="1" ref="B164" ca="1">IFERROR(IF(OR('Raw Data'!B164="",LEN(TRIM('Raw Data'!B164))=0),"",IF(AND(LEN('Raw Data'!B164) &lt;= 255,LEN('Raw Data'!B164)&gt; 0),"",_xlfn.REGEXEXTRACT(CELL("address",'Raw Data'!B164),"\$([A-Z]+)\$[0-9]+"))),_xlfn.REGEXEXTRACT(CELL("address",'Raw Data'!B164),"\$([A-Z]+)\$[0-9]+"))</f>
        <v/>
      </c>
      <c r="C164" s="6" t="str" cm="1">
        <f t="array" aca="1" ref="C164" ca="1">IFERROR(IF(OR('Raw Data'!C164="",LEN(TRIM('Raw Data'!C164))=0),"",IF(AND(LEN('Raw Data'!C164) &lt;= 20,LEN('Raw Data'!C164)&gt; 0),"",_xlfn.REGEXEXTRACT(CELL("address",'Raw Data'!C164),"\$([A-Z]+)\$[0-9]+"))),_xlfn.REGEXEXTRACT(CELL("address",'Raw Data'!C164),"\$([A-Z]+)\$[0-9]+"))</f>
        <v/>
      </c>
      <c r="D164" s="6" t="str" cm="1">
        <f t="array" aca="1" ref="D164" ca="1">IFERROR(IF(OR('Raw Data'!D164="",LEN(TRIM('Raw Data'!D164))=0),"",IF(AND(ISNUMBER('Raw Data'!D164),'Raw Data'!D164&gt;=Configuration!$D$2),"",_xlfn.REGEXEXTRACT(CELL("address",'Raw Data'!D164),"\$([A-Z]+)\$[0-9]+"))),_xlfn.REGEXEXTRACT(CELL("address",D164), "\$([A-Z]+)\$[0-9]+"))</f>
        <v/>
      </c>
      <c r="E164" s="6" t="str" cm="1">
        <f t="array" aca="1" ref="E164" ca="1">IFERROR(IF(OR('Raw Data'!E164="",LEN(TRIM('Raw Data'!E164))=0),"",IF(AND(ISNUMBER('Raw Data'!E164),'Raw Data'!E164=ROUND('Raw Data'!E164,4),IFERROR(ROUND('Raw Data'!E164,4)&lt;=99999999999.99,FALSE))=TRUE,"",_xlfn.REGEXEXTRACT(CELL("address",'Raw Data'!E164), "\$([A-Z]+)\$[0-9]+"))),_xlfn.REGEXEXTRACT(CELL("address",'Raw Data'!E164), "\$([A-Z]+)\$[0-9]+"))</f>
        <v/>
      </c>
      <c r="F164" s="6" t="str" cm="1">
        <f t="array" aca="1" ref="F164" ca="1">IFERROR(IF(OR('Raw Data'!F164="",LEN(TRIM('Raw Data'!F164))=0),"",IF(AND(ISNUMBER('Raw Data'!F164),'Raw Data'!F164=ROUND('Raw Data'!F164,4),IFERROR(ROUND('Raw Data'!F164,4)&lt;=99999999999.99,FALSE))=TRUE,"",_xlfn.REGEXEXTRACT(CELL("address",'Raw Data'!F164), "\$([A-Z]+)\$[0-9]+"))),_xlfn.REGEXEXTRACT(CELL("address",'Raw Data'!F164), "\$([A-Z]+)\$[0-9]+"))</f>
        <v/>
      </c>
      <c r="G164" s="6" t="str" cm="1">
        <f t="array" aca="1" ref="G164" ca="1">IFERROR(IF(OR('Raw Data'!G164="",LEN(TRIM('Raw Data'!G164))=0),"",IF(AND(ISNUMBER('Raw Data'!G164),'Raw Data'!G164=ROUND('Raw Data'!G164,4),IFERROR(ROUND('Raw Data'!G164,4)&lt;=99999999999.99,FALSE))=TRUE,"",_xlfn.REGEXEXTRACT(CELL("address",'Raw Data'!G164), "\$([A-Z]+)\$[0-9]+"))),_xlfn.REGEXEXTRACT(CELL("address",'Raw Data'!G164), "\$([A-Z]+)\$[0-9]+"))</f>
        <v/>
      </c>
      <c r="H164" s="6" t="str" cm="1">
        <f t="array" aca="1" ref="H164" ca="1">IFERROR(IF(OR('Raw Data'!H164="",LEN(TRIM('Raw Data'!H164))=0),"",IF(AND(ISNUMBER('Raw Data'!H164),'Raw Data'!H164=ROUND('Raw Data'!H164,4),IFERROR(ROUND('Raw Data'!H164,4)&lt;=99999999999.99,FALSE))=TRUE,"",_xlfn.REGEXEXTRACT(CELL("address",'Raw Data'!H164), "\$([A-Z]+)\$[0-9]+"))),_xlfn.REGEXEXTRACT(CELL("address",'Raw Data'!H164), "\$([A-Z]+)\$[0-9]+"))</f>
        <v/>
      </c>
      <c r="I164" s="6" t="str" cm="1">
        <f t="array" aca="1" ref="I164" ca="1">IFERROR(IF(OR('Raw Data'!I164="",LEN(TRIM('Raw Data'!I164))=0),"",IF(AND(ISNUMBER('Raw Data'!I164),'Raw Data'!I164=ROUND('Raw Data'!I164,4),IFERROR(ROUND('Raw Data'!I164,4)&lt;=99999999999.99,FALSE))=TRUE,"",_xlfn.REGEXEXTRACT(CELL("address",'Raw Data'!I164), "\$([A-Z]+)\$[0-9]+"))),_xlfn.REGEXEXTRACT(CELL("address",'Raw Data'!I164), "\$([A-Z]+)\$[0-9]+"))</f>
        <v/>
      </c>
      <c r="J164" s="6" t="str" cm="1">
        <f t="array" aca="1" ref="J164" ca="1">IFERROR(IF(OR('Raw Data'!J164="",LEN(TRIM('Raw Data'!J164))=0),"",IF(AND(ISNUMBER('Raw Data'!J164),'Raw Data'!J164=ROUND('Raw Data'!J164,4),IFERROR(ROUND('Raw Data'!J164,4)&lt;=99999999999.99,FALSE))=TRUE,"",_xlfn.REGEXEXTRACT(CELL("address",'Raw Data'!J164), "\$([A-Z]+)\$[0-9]+"))),_xlfn.REGEXEXTRACT(CELL("address",'Raw Data'!J164), "\$([A-Z]+)\$[0-9]+"))</f>
        <v/>
      </c>
    </row>
    <row r="165" spans="2:10" x14ac:dyDescent="0.25">
      <c r="B165" s="6" t="str" cm="1">
        <f t="array" aca="1" ref="B165" ca="1">IFERROR(IF(OR('Raw Data'!B165="",LEN(TRIM('Raw Data'!B165))=0),"",IF(AND(LEN('Raw Data'!B165) &lt;= 255,LEN('Raw Data'!B165)&gt; 0),"",_xlfn.REGEXEXTRACT(CELL("address",'Raw Data'!B165),"\$([A-Z]+)\$[0-9]+"))),_xlfn.REGEXEXTRACT(CELL("address",'Raw Data'!B165),"\$([A-Z]+)\$[0-9]+"))</f>
        <v/>
      </c>
      <c r="C165" s="6" t="str" cm="1">
        <f t="array" aca="1" ref="C165" ca="1">IFERROR(IF(OR('Raw Data'!C165="",LEN(TRIM('Raw Data'!C165))=0),"",IF(AND(LEN('Raw Data'!C165) &lt;= 20,LEN('Raw Data'!C165)&gt; 0),"",_xlfn.REGEXEXTRACT(CELL("address",'Raw Data'!C165),"\$([A-Z]+)\$[0-9]+"))),_xlfn.REGEXEXTRACT(CELL("address",'Raw Data'!C165),"\$([A-Z]+)\$[0-9]+"))</f>
        <v/>
      </c>
      <c r="D165" s="6" t="str" cm="1">
        <f t="array" aca="1" ref="D165" ca="1">IFERROR(IF(OR('Raw Data'!D165="",LEN(TRIM('Raw Data'!D165))=0),"",IF(AND(ISNUMBER('Raw Data'!D165),'Raw Data'!D165&gt;=Configuration!$D$2),"",_xlfn.REGEXEXTRACT(CELL("address",'Raw Data'!D165),"\$([A-Z]+)\$[0-9]+"))),_xlfn.REGEXEXTRACT(CELL("address",D165), "\$([A-Z]+)\$[0-9]+"))</f>
        <v/>
      </c>
      <c r="E165" s="6" t="str" cm="1">
        <f t="array" aca="1" ref="E165" ca="1">IFERROR(IF(OR('Raw Data'!E165="",LEN(TRIM('Raw Data'!E165))=0),"",IF(AND(ISNUMBER('Raw Data'!E165),'Raw Data'!E165=ROUND('Raw Data'!E165,4),IFERROR(ROUND('Raw Data'!E165,4)&lt;=99999999999.99,FALSE))=TRUE,"",_xlfn.REGEXEXTRACT(CELL("address",'Raw Data'!E165), "\$([A-Z]+)\$[0-9]+"))),_xlfn.REGEXEXTRACT(CELL("address",'Raw Data'!E165), "\$([A-Z]+)\$[0-9]+"))</f>
        <v/>
      </c>
      <c r="F165" s="6" t="str" cm="1">
        <f t="array" aca="1" ref="F165" ca="1">IFERROR(IF(OR('Raw Data'!F165="",LEN(TRIM('Raw Data'!F165))=0),"",IF(AND(ISNUMBER('Raw Data'!F165),'Raw Data'!F165=ROUND('Raw Data'!F165,4),IFERROR(ROUND('Raw Data'!F165,4)&lt;=99999999999.99,FALSE))=TRUE,"",_xlfn.REGEXEXTRACT(CELL("address",'Raw Data'!F165), "\$([A-Z]+)\$[0-9]+"))),_xlfn.REGEXEXTRACT(CELL("address",'Raw Data'!F165), "\$([A-Z]+)\$[0-9]+"))</f>
        <v/>
      </c>
      <c r="G165" s="6" t="str" cm="1">
        <f t="array" aca="1" ref="G165" ca="1">IFERROR(IF(OR('Raw Data'!G165="",LEN(TRIM('Raw Data'!G165))=0),"",IF(AND(ISNUMBER('Raw Data'!G165),'Raw Data'!G165=ROUND('Raw Data'!G165,4),IFERROR(ROUND('Raw Data'!G165,4)&lt;=99999999999.99,FALSE))=TRUE,"",_xlfn.REGEXEXTRACT(CELL("address",'Raw Data'!G165), "\$([A-Z]+)\$[0-9]+"))),_xlfn.REGEXEXTRACT(CELL("address",'Raw Data'!G165), "\$([A-Z]+)\$[0-9]+"))</f>
        <v/>
      </c>
      <c r="H165" s="6" t="str" cm="1">
        <f t="array" aca="1" ref="H165" ca="1">IFERROR(IF(OR('Raw Data'!H165="",LEN(TRIM('Raw Data'!H165))=0),"",IF(AND(ISNUMBER('Raw Data'!H165),'Raw Data'!H165=ROUND('Raw Data'!H165,4),IFERROR(ROUND('Raw Data'!H165,4)&lt;=99999999999.99,FALSE))=TRUE,"",_xlfn.REGEXEXTRACT(CELL("address",'Raw Data'!H165), "\$([A-Z]+)\$[0-9]+"))),_xlfn.REGEXEXTRACT(CELL("address",'Raw Data'!H165), "\$([A-Z]+)\$[0-9]+"))</f>
        <v/>
      </c>
      <c r="I165" s="6" t="str" cm="1">
        <f t="array" aca="1" ref="I165" ca="1">IFERROR(IF(OR('Raw Data'!I165="",LEN(TRIM('Raw Data'!I165))=0),"",IF(AND(ISNUMBER('Raw Data'!I165),'Raw Data'!I165=ROUND('Raw Data'!I165,4),IFERROR(ROUND('Raw Data'!I165,4)&lt;=99999999999.99,FALSE))=TRUE,"",_xlfn.REGEXEXTRACT(CELL("address",'Raw Data'!I165), "\$([A-Z]+)\$[0-9]+"))),_xlfn.REGEXEXTRACT(CELL("address",'Raw Data'!I165), "\$([A-Z]+)\$[0-9]+"))</f>
        <v/>
      </c>
      <c r="J165" s="6" t="str" cm="1">
        <f t="array" aca="1" ref="J165" ca="1">IFERROR(IF(OR('Raw Data'!J165="",LEN(TRIM('Raw Data'!J165))=0),"",IF(AND(ISNUMBER('Raw Data'!J165),'Raw Data'!J165=ROUND('Raw Data'!J165,4),IFERROR(ROUND('Raw Data'!J165,4)&lt;=99999999999.99,FALSE))=TRUE,"",_xlfn.REGEXEXTRACT(CELL("address",'Raw Data'!J165), "\$([A-Z]+)\$[0-9]+"))),_xlfn.REGEXEXTRACT(CELL("address",'Raw Data'!J165), "\$([A-Z]+)\$[0-9]+"))</f>
        <v/>
      </c>
    </row>
    <row r="166" spans="2:10" x14ac:dyDescent="0.25">
      <c r="B166" s="6" t="str" cm="1">
        <f t="array" aca="1" ref="B166" ca="1">IFERROR(IF(OR('Raw Data'!B166="",LEN(TRIM('Raw Data'!B166))=0),"",IF(AND(LEN('Raw Data'!B166) &lt;= 255,LEN('Raw Data'!B166)&gt; 0),"",_xlfn.REGEXEXTRACT(CELL("address",'Raw Data'!B166),"\$([A-Z]+)\$[0-9]+"))),_xlfn.REGEXEXTRACT(CELL("address",'Raw Data'!B166),"\$([A-Z]+)\$[0-9]+"))</f>
        <v/>
      </c>
      <c r="C166" s="6" t="str" cm="1">
        <f t="array" aca="1" ref="C166" ca="1">IFERROR(IF(OR('Raw Data'!C166="",LEN(TRIM('Raw Data'!C166))=0),"",IF(AND(LEN('Raw Data'!C166) &lt;= 20,LEN('Raw Data'!C166)&gt; 0),"",_xlfn.REGEXEXTRACT(CELL("address",'Raw Data'!C166),"\$([A-Z]+)\$[0-9]+"))),_xlfn.REGEXEXTRACT(CELL("address",'Raw Data'!C166),"\$([A-Z]+)\$[0-9]+"))</f>
        <v/>
      </c>
      <c r="D166" s="6" t="str" cm="1">
        <f t="array" aca="1" ref="D166" ca="1">IFERROR(IF(OR('Raw Data'!D166="",LEN(TRIM('Raw Data'!D166))=0),"",IF(AND(ISNUMBER('Raw Data'!D166),'Raw Data'!D166&gt;=Configuration!$D$2),"",_xlfn.REGEXEXTRACT(CELL("address",'Raw Data'!D166),"\$([A-Z]+)\$[0-9]+"))),_xlfn.REGEXEXTRACT(CELL("address",D166), "\$([A-Z]+)\$[0-9]+"))</f>
        <v/>
      </c>
      <c r="E166" s="6" t="str" cm="1">
        <f t="array" aca="1" ref="E166" ca="1">IFERROR(IF(OR('Raw Data'!E166="",LEN(TRIM('Raw Data'!E166))=0),"",IF(AND(ISNUMBER('Raw Data'!E166),'Raw Data'!E166=ROUND('Raw Data'!E166,4),IFERROR(ROUND('Raw Data'!E166,4)&lt;=99999999999.99,FALSE))=TRUE,"",_xlfn.REGEXEXTRACT(CELL("address",'Raw Data'!E166), "\$([A-Z]+)\$[0-9]+"))),_xlfn.REGEXEXTRACT(CELL("address",'Raw Data'!E166), "\$([A-Z]+)\$[0-9]+"))</f>
        <v/>
      </c>
      <c r="F166" s="6" t="str" cm="1">
        <f t="array" aca="1" ref="F166" ca="1">IFERROR(IF(OR('Raw Data'!F166="",LEN(TRIM('Raw Data'!F166))=0),"",IF(AND(ISNUMBER('Raw Data'!F166),'Raw Data'!F166=ROUND('Raw Data'!F166,4),IFERROR(ROUND('Raw Data'!F166,4)&lt;=99999999999.99,FALSE))=TRUE,"",_xlfn.REGEXEXTRACT(CELL("address",'Raw Data'!F166), "\$([A-Z]+)\$[0-9]+"))),_xlfn.REGEXEXTRACT(CELL("address",'Raw Data'!F166), "\$([A-Z]+)\$[0-9]+"))</f>
        <v/>
      </c>
      <c r="G166" s="6" t="str" cm="1">
        <f t="array" aca="1" ref="G166" ca="1">IFERROR(IF(OR('Raw Data'!G166="",LEN(TRIM('Raw Data'!G166))=0),"",IF(AND(ISNUMBER('Raw Data'!G166),'Raw Data'!G166=ROUND('Raw Data'!G166,4),IFERROR(ROUND('Raw Data'!G166,4)&lt;=99999999999.99,FALSE))=TRUE,"",_xlfn.REGEXEXTRACT(CELL("address",'Raw Data'!G166), "\$([A-Z]+)\$[0-9]+"))),_xlfn.REGEXEXTRACT(CELL("address",'Raw Data'!G166), "\$([A-Z]+)\$[0-9]+"))</f>
        <v/>
      </c>
      <c r="H166" s="6" t="str" cm="1">
        <f t="array" aca="1" ref="H166" ca="1">IFERROR(IF(OR('Raw Data'!H166="",LEN(TRIM('Raw Data'!H166))=0),"",IF(AND(ISNUMBER('Raw Data'!H166),'Raw Data'!H166=ROUND('Raw Data'!H166,4),IFERROR(ROUND('Raw Data'!H166,4)&lt;=99999999999.99,FALSE))=TRUE,"",_xlfn.REGEXEXTRACT(CELL("address",'Raw Data'!H166), "\$([A-Z]+)\$[0-9]+"))),_xlfn.REGEXEXTRACT(CELL("address",'Raw Data'!H166), "\$([A-Z]+)\$[0-9]+"))</f>
        <v/>
      </c>
      <c r="I166" s="6" t="str" cm="1">
        <f t="array" aca="1" ref="I166" ca="1">IFERROR(IF(OR('Raw Data'!I166="",LEN(TRIM('Raw Data'!I166))=0),"",IF(AND(ISNUMBER('Raw Data'!I166),'Raw Data'!I166=ROUND('Raw Data'!I166,4),IFERROR(ROUND('Raw Data'!I166,4)&lt;=99999999999.99,FALSE))=TRUE,"",_xlfn.REGEXEXTRACT(CELL("address",'Raw Data'!I166), "\$([A-Z]+)\$[0-9]+"))),_xlfn.REGEXEXTRACT(CELL("address",'Raw Data'!I166), "\$([A-Z]+)\$[0-9]+"))</f>
        <v/>
      </c>
      <c r="J166" s="6" t="str" cm="1">
        <f t="array" aca="1" ref="J166" ca="1">IFERROR(IF(OR('Raw Data'!J166="",LEN(TRIM('Raw Data'!J166))=0),"",IF(AND(ISNUMBER('Raw Data'!J166),'Raw Data'!J166=ROUND('Raw Data'!J166,4),IFERROR(ROUND('Raw Data'!J166,4)&lt;=99999999999.99,FALSE))=TRUE,"",_xlfn.REGEXEXTRACT(CELL("address",'Raw Data'!J166), "\$([A-Z]+)\$[0-9]+"))),_xlfn.REGEXEXTRACT(CELL("address",'Raw Data'!J166), "\$([A-Z]+)\$[0-9]+"))</f>
        <v/>
      </c>
    </row>
    <row r="167" spans="2:10" x14ac:dyDescent="0.25">
      <c r="B167" s="6" t="str" cm="1">
        <f t="array" aca="1" ref="B167" ca="1">IFERROR(IF(OR('Raw Data'!B167="",LEN(TRIM('Raw Data'!B167))=0),"",IF(AND(LEN('Raw Data'!B167) &lt;= 255,LEN('Raw Data'!B167)&gt; 0),"",_xlfn.REGEXEXTRACT(CELL("address",'Raw Data'!B167),"\$([A-Z]+)\$[0-9]+"))),_xlfn.REGEXEXTRACT(CELL("address",'Raw Data'!B167),"\$([A-Z]+)\$[0-9]+"))</f>
        <v/>
      </c>
      <c r="C167" s="6" t="str" cm="1">
        <f t="array" aca="1" ref="C167" ca="1">IFERROR(IF(OR('Raw Data'!C167="",LEN(TRIM('Raw Data'!C167))=0),"",IF(AND(LEN('Raw Data'!C167) &lt;= 20,LEN('Raw Data'!C167)&gt; 0),"",_xlfn.REGEXEXTRACT(CELL("address",'Raw Data'!C167),"\$([A-Z]+)\$[0-9]+"))),_xlfn.REGEXEXTRACT(CELL("address",'Raw Data'!C167),"\$([A-Z]+)\$[0-9]+"))</f>
        <v/>
      </c>
      <c r="D167" s="6" t="str" cm="1">
        <f t="array" aca="1" ref="D167" ca="1">IFERROR(IF(OR('Raw Data'!D167="",LEN(TRIM('Raw Data'!D167))=0),"",IF(AND(ISNUMBER('Raw Data'!D167),'Raw Data'!D167&gt;=Configuration!$D$2),"",_xlfn.REGEXEXTRACT(CELL("address",'Raw Data'!D167),"\$([A-Z]+)\$[0-9]+"))),_xlfn.REGEXEXTRACT(CELL("address",D167), "\$([A-Z]+)\$[0-9]+"))</f>
        <v/>
      </c>
      <c r="E167" s="6" t="str" cm="1">
        <f t="array" aca="1" ref="E167" ca="1">IFERROR(IF(OR('Raw Data'!E167="",LEN(TRIM('Raw Data'!E167))=0),"",IF(AND(ISNUMBER('Raw Data'!E167),'Raw Data'!E167=ROUND('Raw Data'!E167,4),IFERROR(ROUND('Raw Data'!E167,4)&lt;=99999999999.99,FALSE))=TRUE,"",_xlfn.REGEXEXTRACT(CELL("address",'Raw Data'!E167), "\$([A-Z]+)\$[0-9]+"))),_xlfn.REGEXEXTRACT(CELL("address",'Raw Data'!E167), "\$([A-Z]+)\$[0-9]+"))</f>
        <v/>
      </c>
      <c r="F167" s="6" t="str" cm="1">
        <f t="array" aca="1" ref="F167" ca="1">IFERROR(IF(OR('Raw Data'!F167="",LEN(TRIM('Raw Data'!F167))=0),"",IF(AND(ISNUMBER('Raw Data'!F167),'Raw Data'!F167=ROUND('Raw Data'!F167,4),IFERROR(ROUND('Raw Data'!F167,4)&lt;=99999999999.99,FALSE))=TRUE,"",_xlfn.REGEXEXTRACT(CELL("address",'Raw Data'!F167), "\$([A-Z]+)\$[0-9]+"))),_xlfn.REGEXEXTRACT(CELL("address",'Raw Data'!F167), "\$([A-Z]+)\$[0-9]+"))</f>
        <v/>
      </c>
      <c r="G167" s="6" t="str" cm="1">
        <f t="array" aca="1" ref="G167" ca="1">IFERROR(IF(OR('Raw Data'!G167="",LEN(TRIM('Raw Data'!G167))=0),"",IF(AND(ISNUMBER('Raw Data'!G167),'Raw Data'!G167=ROUND('Raw Data'!G167,4),IFERROR(ROUND('Raw Data'!G167,4)&lt;=99999999999.99,FALSE))=TRUE,"",_xlfn.REGEXEXTRACT(CELL("address",'Raw Data'!G167), "\$([A-Z]+)\$[0-9]+"))),_xlfn.REGEXEXTRACT(CELL("address",'Raw Data'!G167), "\$([A-Z]+)\$[0-9]+"))</f>
        <v/>
      </c>
      <c r="H167" s="6" t="str" cm="1">
        <f t="array" aca="1" ref="H167" ca="1">IFERROR(IF(OR('Raw Data'!H167="",LEN(TRIM('Raw Data'!H167))=0),"",IF(AND(ISNUMBER('Raw Data'!H167),'Raw Data'!H167=ROUND('Raw Data'!H167,4),IFERROR(ROUND('Raw Data'!H167,4)&lt;=99999999999.99,FALSE))=TRUE,"",_xlfn.REGEXEXTRACT(CELL("address",'Raw Data'!H167), "\$([A-Z]+)\$[0-9]+"))),_xlfn.REGEXEXTRACT(CELL("address",'Raw Data'!H167), "\$([A-Z]+)\$[0-9]+"))</f>
        <v/>
      </c>
      <c r="I167" s="6" t="str" cm="1">
        <f t="array" aca="1" ref="I167" ca="1">IFERROR(IF(OR('Raw Data'!I167="",LEN(TRIM('Raw Data'!I167))=0),"",IF(AND(ISNUMBER('Raw Data'!I167),'Raw Data'!I167=ROUND('Raw Data'!I167,4),IFERROR(ROUND('Raw Data'!I167,4)&lt;=99999999999.99,FALSE))=TRUE,"",_xlfn.REGEXEXTRACT(CELL("address",'Raw Data'!I167), "\$([A-Z]+)\$[0-9]+"))),_xlfn.REGEXEXTRACT(CELL("address",'Raw Data'!I167), "\$([A-Z]+)\$[0-9]+"))</f>
        <v/>
      </c>
      <c r="J167" s="6" t="str" cm="1">
        <f t="array" aca="1" ref="J167" ca="1">IFERROR(IF(OR('Raw Data'!J167="",LEN(TRIM('Raw Data'!J167))=0),"",IF(AND(ISNUMBER('Raw Data'!J167),'Raw Data'!J167=ROUND('Raw Data'!J167,4),IFERROR(ROUND('Raw Data'!J167,4)&lt;=99999999999.99,FALSE))=TRUE,"",_xlfn.REGEXEXTRACT(CELL("address",'Raw Data'!J167), "\$([A-Z]+)\$[0-9]+"))),_xlfn.REGEXEXTRACT(CELL("address",'Raw Data'!J167), "\$([A-Z]+)\$[0-9]+"))</f>
        <v/>
      </c>
    </row>
    <row r="168" spans="2:10" x14ac:dyDescent="0.25">
      <c r="B168" s="6" t="str" cm="1">
        <f t="array" aca="1" ref="B168" ca="1">IFERROR(IF(OR('Raw Data'!B168="",LEN(TRIM('Raw Data'!B168))=0),"",IF(AND(LEN('Raw Data'!B168) &lt;= 255,LEN('Raw Data'!B168)&gt; 0),"",_xlfn.REGEXEXTRACT(CELL("address",'Raw Data'!B168),"\$([A-Z]+)\$[0-9]+"))),_xlfn.REGEXEXTRACT(CELL("address",'Raw Data'!B168),"\$([A-Z]+)\$[0-9]+"))</f>
        <v/>
      </c>
      <c r="C168" s="6" t="str" cm="1">
        <f t="array" aca="1" ref="C168" ca="1">IFERROR(IF(OR('Raw Data'!C168="",LEN(TRIM('Raw Data'!C168))=0),"",IF(AND(LEN('Raw Data'!C168) &lt;= 20,LEN('Raw Data'!C168)&gt; 0),"",_xlfn.REGEXEXTRACT(CELL("address",'Raw Data'!C168),"\$([A-Z]+)\$[0-9]+"))),_xlfn.REGEXEXTRACT(CELL("address",'Raw Data'!C168),"\$([A-Z]+)\$[0-9]+"))</f>
        <v/>
      </c>
      <c r="D168" s="6" t="str" cm="1">
        <f t="array" aca="1" ref="D168" ca="1">IFERROR(IF(OR('Raw Data'!D168="",LEN(TRIM('Raw Data'!D168))=0),"",IF(AND(ISNUMBER('Raw Data'!D168),'Raw Data'!D168&gt;=Configuration!$D$2),"",_xlfn.REGEXEXTRACT(CELL("address",'Raw Data'!D168),"\$([A-Z]+)\$[0-9]+"))),_xlfn.REGEXEXTRACT(CELL("address",D168), "\$([A-Z]+)\$[0-9]+"))</f>
        <v/>
      </c>
      <c r="E168" s="6" t="str" cm="1">
        <f t="array" aca="1" ref="E168" ca="1">IFERROR(IF(OR('Raw Data'!E168="",LEN(TRIM('Raw Data'!E168))=0),"",IF(AND(ISNUMBER('Raw Data'!E168),'Raw Data'!E168=ROUND('Raw Data'!E168,4),IFERROR(ROUND('Raw Data'!E168,4)&lt;=99999999999.99,FALSE))=TRUE,"",_xlfn.REGEXEXTRACT(CELL("address",'Raw Data'!E168), "\$([A-Z]+)\$[0-9]+"))),_xlfn.REGEXEXTRACT(CELL("address",'Raw Data'!E168), "\$([A-Z]+)\$[0-9]+"))</f>
        <v/>
      </c>
      <c r="F168" s="6" t="str" cm="1">
        <f t="array" aca="1" ref="F168" ca="1">IFERROR(IF(OR('Raw Data'!F168="",LEN(TRIM('Raw Data'!F168))=0),"",IF(AND(ISNUMBER('Raw Data'!F168),'Raw Data'!F168=ROUND('Raw Data'!F168,4),IFERROR(ROUND('Raw Data'!F168,4)&lt;=99999999999.99,FALSE))=TRUE,"",_xlfn.REGEXEXTRACT(CELL("address",'Raw Data'!F168), "\$([A-Z]+)\$[0-9]+"))),_xlfn.REGEXEXTRACT(CELL("address",'Raw Data'!F168), "\$([A-Z]+)\$[0-9]+"))</f>
        <v/>
      </c>
      <c r="G168" s="6" t="str" cm="1">
        <f t="array" aca="1" ref="G168" ca="1">IFERROR(IF(OR('Raw Data'!G168="",LEN(TRIM('Raw Data'!G168))=0),"",IF(AND(ISNUMBER('Raw Data'!G168),'Raw Data'!G168=ROUND('Raw Data'!G168,4),IFERROR(ROUND('Raw Data'!G168,4)&lt;=99999999999.99,FALSE))=TRUE,"",_xlfn.REGEXEXTRACT(CELL("address",'Raw Data'!G168), "\$([A-Z]+)\$[0-9]+"))),_xlfn.REGEXEXTRACT(CELL("address",'Raw Data'!G168), "\$([A-Z]+)\$[0-9]+"))</f>
        <v/>
      </c>
      <c r="H168" s="6" t="str" cm="1">
        <f t="array" aca="1" ref="H168" ca="1">IFERROR(IF(OR('Raw Data'!H168="",LEN(TRIM('Raw Data'!H168))=0),"",IF(AND(ISNUMBER('Raw Data'!H168),'Raw Data'!H168=ROUND('Raw Data'!H168,4),IFERROR(ROUND('Raw Data'!H168,4)&lt;=99999999999.99,FALSE))=TRUE,"",_xlfn.REGEXEXTRACT(CELL("address",'Raw Data'!H168), "\$([A-Z]+)\$[0-9]+"))),_xlfn.REGEXEXTRACT(CELL("address",'Raw Data'!H168), "\$([A-Z]+)\$[0-9]+"))</f>
        <v/>
      </c>
      <c r="I168" s="6" t="str" cm="1">
        <f t="array" aca="1" ref="I168" ca="1">IFERROR(IF(OR('Raw Data'!I168="",LEN(TRIM('Raw Data'!I168))=0),"",IF(AND(ISNUMBER('Raw Data'!I168),'Raw Data'!I168=ROUND('Raw Data'!I168,4),IFERROR(ROUND('Raw Data'!I168,4)&lt;=99999999999.99,FALSE))=TRUE,"",_xlfn.REGEXEXTRACT(CELL("address",'Raw Data'!I168), "\$([A-Z]+)\$[0-9]+"))),_xlfn.REGEXEXTRACT(CELL("address",'Raw Data'!I168), "\$([A-Z]+)\$[0-9]+"))</f>
        <v/>
      </c>
      <c r="J168" s="6" t="str" cm="1">
        <f t="array" aca="1" ref="J168" ca="1">IFERROR(IF(OR('Raw Data'!J168="",LEN(TRIM('Raw Data'!J168))=0),"",IF(AND(ISNUMBER('Raw Data'!J168),'Raw Data'!J168=ROUND('Raw Data'!J168,4),IFERROR(ROUND('Raw Data'!J168,4)&lt;=99999999999.99,FALSE))=TRUE,"",_xlfn.REGEXEXTRACT(CELL("address",'Raw Data'!J168), "\$([A-Z]+)\$[0-9]+"))),_xlfn.REGEXEXTRACT(CELL("address",'Raw Data'!J168), "\$([A-Z]+)\$[0-9]+"))</f>
        <v/>
      </c>
    </row>
    <row r="169" spans="2:10" x14ac:dyDescent="0.25">
      <c r="B169" s="6" t="str" cm="1">
        <f t="array" aca="1" ref="B169" ca="1">IFERROR(IF(OR('Raw Data'!B169="",LEN(TRIM('Raw Data'!B169))=0),"",IF(AND(LEN('Raw Data'!B169) &lt;= 255,LEN('Raw Data'!B169)&gt; 0),"",_xlfn.REGEXEXTRACT(CELL("address",'Raw Data'!B169),"\$([A-Z]+)\$[0-9]+"))),_xlfn.REGEXEXTRACT(CELL("address",'Raw Data'!B169),"\$([A-Z]+)\$[0-9]+"))</f>
        <v/>
      </c>
      <c r="C169" s="6" t="str" cm="1">
        <f t="array" aca="1" ref="C169" ca="1">IFERROR(IF(OR('Raw Data'!C169="",LEN(TRIM('Raw Data'!C169))=0),"",IF(AND(LEN('Raw Data'!C169) &lt;= 20,LEN('Raw Data'!C169)&gt; 0),"",_xlfn.REGEXEXTRACT(CELL("address",'Raw Data'!C169),"\$([A-Z]+)\$[0-9]+"))),_xlfn.REGEXEXTRACT(CELL("address",'Raw Data'!C169),"\$([A-Z]+)\$[0-9]+"))</f>
        <v/>
      </c>
      <c r="D169" s="6" t="str" cm="1">
        <f t="array" aca="1" ref="D169" ca="1">IFERROR(IF(OR('Raw Data'!D169="",LEN(TRIM('Raw Data'!D169))=0),"",IF(AND(ISNUMBER('Raw Data'!D169),'Raw Data'!D169&gt;=Configuration!$D$2),"",_xlfn.REGEXEXTRACT(CELL("address",'Raw Data'!D169),"\$([A-Z]+)\$[0-9]+"))),_xlfn.REGEXEXTRACT(CELL("address",D169), "\$([A-Z]+)\$[0-9]+"))</f>
        <v/>
      </c>
      <c r="E169" s="6" t="str" cm="1">
        <f t="array" aca="1" ref="E169" ca="1">IFERROR(IF(OR('Raw Data'!E169="",LEN(TRIM('Raw Data'!E169))=0),"",IF(AND(ISNUMBER('Raw Data'!E169),'Raw Data'!E169=ROUND('Raw Data'!E169,4),IFERROR(ROUND('Raw Data'!E169,4)&lt;=99999999999.99,FALSE))=TRUE,"",_xlfn.REGEXEXTRACT(CELL("address",'Raw Data'!E169), "\$([A-Z]+)\$[0-9]+"))),_xlfn.REGEXEXTRACT(CELL("address",'Raw Data'!E169), "\$([A-Z]+)\$[0-9]+"))</f>
        <v/>
      </c>
      <c r="F169" s="6" t="str" cm="1">
        <f t="array" aca="1" ref="F169" ca="1">IFERROR(IF(OR('Raw Data'!F169="",LEN(TRIM('Raw Data'!F169))=0),"",IF(AND(ISNUMBER('Raw Data'!F169),'Raw Data'!F169=ROUND('Raw Data'!F169,4),IFERROR(ROUND('Raw Data'!F169,4)&lt;=99999999999.99,FALSE))=TRUE,"",_xlfn.REGEXEXTRACT(CELL("address",'Raw Data'!F169), "\$([A-Z]+)\$[0-9]+"))),_xlfn.REGEXEXTRACT(CELL("address",'Raw Data'!F169), "\$([A-Z]+)\$[0-9]+"))</f>
        <v/>
      </c>
      <c r="G169" s="6" t="str" cm="1">
        <f t="array" aca="1" ref="G169" ca="1">IFERROR(IF(OR('Raw Data'!G169="",LEN(TRIM('Raw Data'!G169))=0),"",IF(AND(ISNUMBER('Raw Data'!G169),'Raw Data'!G169=ROUND('Raw Data'!G169,4),IFERROR(ROUND('Raw Data'!G169,4)&lt;=99999999999.99,FALSE))=TRUE,"",_xlfn.REGEXEXTRACT(CELL("address",'Raw Data'!G169), "\$([A-Z]+)\$[0-9]+"))),_xlfn.REGEXEXTRACT(CELL("address",'Raw Data'!G169), "\$([A-Z]+)\$[0-9]+"))</f>
        <v/>
      </c>
      <c r="H169" s="6" t="str" cm="1">
        <f t="array" aca="1" ref="H169" ca="1">IFERROR(IF(OR('Raw Data'!H169="",LEN(TRIM('Raw Data'!H169))=0),"",IF(AND(ISNUMBER('Raw Data'!H169),'Raw Data'!H169=ROUND('Raw Data'!H169,4),IFERROR(ROUND('Raw Data'!H169,4)&lt;=99999999999.99,FALSE))=TRUE,"",_xlfn.REGEXEXTRACT(CELL("address",'Raw Data'!H169), "\$([A-Z]+)\$[0-9]+"))),_xlfn.REGEXEXTRACT(CELL("address",'Raw Data'!H169), "\$([A-Z]+)\$[0-9]+"))</f>
        <v/>
      </c>
      <c r="I169" s="6" t="str" cm="1">
        <f t="array" aca="1" ref="I169" ca="1">IFERROR(IF(OR('Raw Data'!I169="",LEN(TRIM('Raw Data'!I169))=0),"",IF(AND(ISNUMBER('Raw Data'!I169),'Raw Data'!I169=ROUND('Raw Data'!I169,4),IFERROR(ROUND('Raw Data'!I169,4)&lt;=99999999999.99,FALSE))=TRUE,"",_xlfn.REGEXEXTRACT(CELL("address",'Raw Data'!I169), "\$([A-Z]+)\$[0-9]+"))),_xlfn.REGEXEXTRACT(CELL("address",'Raw Data'!I169), "\$([A-Z]+)\$[0-9]+"))</f>
        <v/>
      </c>
      <c r="J169" s="6" t="str" cm="1">
        <f t="array" aca="1" ref="J169" ca="1">IFERROR(IF(OR('Raw Data'!J169="",LEN(TRIM('Raw Data'!J169))=0),"",IF(AND(ISNUMBER('Raw Data'!J169),'Raw Data'!J169=ROUND('Raw Data'!J169,4),IFERROR(ROUND('Raw Data'!J169,4)&lt;=99999999999.99,FALSE))=TRUE,"",_xlfn.REGEXEXTRACT(CELL("address",'Raw Data'!J169), "\$([A-Z]+)\$[0-9]+"))),_xlfn.REGEXEXTRACT(CELL("address",'Raw Data'!J169), "\$([A-Z]+)\$[0-9]+"))</f>
        <v/>
      </c>
    </row>
    <row r="170" spans="2:10" x14ac:dyDescent="0.25">
      <c r="B170" s="6" t="str" cm="1">
        <f t="array" aca="1" ref="B170" ca="1">IFERROR(IF(OR('Raw Data'!B170="",LEN(TRIM('Raw Data'!B170))=0),"",IF(AND(LEN('Raw Data'!B170) &lt;= 255,LEN('Raw Data'!B170)&gt; 0),"",_xlfn.REGEXEXTRACT(CELL("address",'Raw Data'!B170),"\$([A-Z]+)\$[0-9]+"))),_xlfn.REGEXEXTRACT(CELL("address",'Raw Data'!B170),"\$([A-Z]+)\$[0-9]+"))</f>
        <v/>
      </c>
      <c r="C170" s="6" t="str" cm="1">
        <f t="array" aca="1" ref="C170" ca="1">IFERROR(IF(OR('Raw Data'!C170="",LEN(TRIM('Raw Data'!C170))=0),"",IF(AND(LEN('Raw Data'!C170) &lt;= 20,LEN('Raw Data'!C170)&gt; 0),"",_xlfn.REGEXEXTRACT(CELL("address",'Raw Data'!C170),"\$([A-Z]+)\$[0-9]+"))),_xlfn.REGEXEXTRACT(CELL("address",'Raw Data'!C170),"\$([A-Z]+)\$[0-9]+"))</f>
        <v/>
      </c>
      <c r="D170" s="6" t="str" cm="1">
        <f t="array" aca="1" ref="D170" ca="1">IFERROR(IF(OR('Raw Data'!D170="",LEN(TRIM('Raw Data'!D170))=0),"",IF(AND(ISNUMBER('Raw Data'!D170),'Raw Data'!D170&gt;=Configuration!$D$2),"",_xlfn.REGEXEXTRACT(CELL("address",'Raw Data'!D170),"\$([A-Z]+)\$[0-9]+"))),_xlfn.REGEXEXTRACT(CELL("address",D170), "\$([A-Z]+)\$[0-9]+"))</f>
        <v/>
      </c>
      <c r="E170" s="6" t="str" cm="1">
        <f t="array" aca="1" ref="E170" ca="1">IFERROR(IF(OR('Raw Data'!E170="",LEN(TRIM('Raw Data'!E170))=0),"",IF(AND(ISNUMBER('Raw Data'!E170),'Raw Data'!E170=ROUND('Raw Data'!E170,4),IFERROR(ROUND('Raw Data'!E170,4)&lt;=99999999999.99,FALSE))=TRUE,"",_xlfn.REGEXEXTRACT(CELL("address",'Raw Data'!E170), "\$([A-Z]+)\$[0-9]+"))),_xlfn.REGEXEXTRACT(CELL("address",'Raw Data'!E170), "\$([A-Z]+)\$[0-9]+"))</f>
        <v/>
      </c>
      <c r="F170" s="6" t="str" cm="1">
        <f t="array" aca="1" ref="F170" ca="1">IFERROR(IF(OR('Raw Data'!F170="",LEN(TRIM('Raw Data'!F170))=0),"",IF(AND(ISNUMBER('Raw Data'!F170),'Raw Data'!F170=ROUND('Raw Data'!F170,4),IFERROR(ROUND('Raw Data'!F170,4)&lt;=99999999999.99,FALSE))=TRUE,"",_xlfn.REGEXEXTRACT(CELL("address",'Raw Data'!F170), "\$([A-Z]+)\$[0-9]+"))),_xlfn.REGEXEXTRACT(CELL("address",'Raw Data'!F170), "\$([A-Z]+)\$[0-9]+"))</f>
        <v/>
      </c>
      <c r="G170" s="6" t="str" cm="1">
        <f t="array" aca="1" ref="G170" ca="1">IFERROR(IF(OR('Raw Data'!G170="",LEN(TRIM('Raw Data'!G170))=0),"",IF(AND(ISNUMBER('Raw Data'!G170),'Raw Data'!G170=ROUND('Raw Data'!G170,4),IFERROR(ROUND('Raw Data'!G170,4)&lt;=99999999999.99,FALSE))=TRUE,"",_xlfn.REGEXEXTRACT(CELL("address",'Raw Data'!G170), "\$([A-Z]+)\$[0-9]+"))),_xlfn.REGEXEXTRACT(CELL("address",'Raw Data'!G170), "\$([A-Z]+)\$[0-9]+"))</f>
        <v/>
      </c>
      <c r="H170" s="6" t="str" cm="1">
        <f t="array" aca="1" ref="H170" ca="1">IFERROR(IF(OR('Raw Data'!H170="",LEN(TRIM('Raw Data'!H170))=0),"",IF(AND(ISNUMBER('Raw Data'!H170),'Raw Data'!H170=ROUND('Raw Data'!H170,4),IFERROR(ROUND('Raw Data'!H170,4)&lt;=99999999999.99,FALSE))=TRUE,"",_xlfn.REGEXEXTRACT(CELL("address",'Raw Data'!H170), "\$([A-Z]+)\$[0-9]+"))),_xlfn.REGEXEXTRACT(CELL("address",'Raw Data'!H170), "\$([A-Z]+)\$[0-9]+"))</f>
        <v/>
      </c>
      <c r="I170" s="6" t="str" cm="1">
        <f t="array" aca="1" ref="I170" ca="1">IFERROR(IF(OR('Raw Data'!I170="",LEN(TRIM('Raw Data'!I170))=0),"",IF(AND(ISNUMBER('Raw Data'!I170),'Raw Data'!I170=ROUND('Raw Data'!I170,4),IFERROR(ROUND('Raw Data'!I170,4)&lt;=99999999999.99,FALSE))=TRUE,"",_xlfn.REGEXEXTRACT(CELL("address",'Raw Data'!I170), "\$([A-Z]+)\$[0-9]+"))),_xlfn.REGEXEXTRACT(CELL("address",'Raw Data'!I170), "\$([A-Z]+)\$[0-9]+"))</f>
        <v/>
      </c>
      <c r="J170" s="6" t="str" cm="1">
        <f t="array" aca="1" ref="J170" ca="1">IFERROR(IF(OR('Raw Data'!J170="",LEN(TRIM('Raw Data'!J170))=0),"",IF(AND(ISNUMBER('Raw Data'!J170),'Raw Data'!J170=ROUND('Raw Data'!J170,4),IFERROR(ROUND('Raw Data'!J170,4)&lt;=99999999999.99,FALSE))=TRUE,"",_xlfn.REGEXEXTRACT(CELL("address",'Raw Data'!J170), "\$([A-Z]+)\$[0-9]+"))),_xlfn.REGEXEXTRACT(CELL("address",'Raw Data'!J170), "\$([A-Z]+)\$[0-9]+"))</f>
        <v/>
      </c>
    </row>
    <row r="171" spans="2:10" x14ac:dyDescent="0.25">
      <c r="B171" s="6" t="str" cm="1">
        <f t="array" aca="1" ref="B171" ca="1">IFERROR(IF(OR('Raw Data'!B171="",LEN(TRIM('Raw Data'!B171))=0),"",IF(AND(LEN('Raw Data'!B171) &lt;= 255,LEN('Raw Data'!B171)&gt; 0),"",_xlfn.REGEXEXTRACT(CELL("address",'Raw Data'!B171),"\$([A-Z]+)\$[0-9]+"))),_xlfn.REGEXEXTRACT(CELL("address",'Raw Data'!B171),"\$([A-Z]+)\$[0-9]+"))</f>
        <v/>
      </c>
      <c r="C171" s="6" t="str" cm="1">
        <f t="array" aca="1" ref="C171" ca="1">IFERROR(IF(OR('Raw Data'!C171="",LEN(TRIM('Raw Data'!C171))=0),"",IF(AND(LEN('Raw Data'!C171) &lt;= 20,LEN('Raw Data'!C171)&gt; 0),"",_xlfn.REGEXEXTRACT(CELL("address",'Raw Data'!C171),"\$([A-Z]+)\$[0-9]+"))),_xlfn.REGEXEXTRACT(CELL("address",'Raw Data'!C171),"\$([A-Z]+)\$[0-9]+"))</f>
        <v/>
      </c>
      <c r="D171" s="6" t="str" cm="1">
        <f t="array" aca="1" ref="D171" ca="1">IFERROR(IF(OR('Raw Data'!D171="",LEN(TRIM('Raw Data'!D171))=0),"",IF(AND(ISNUMBER('Raw Data'!D171),'Raw Data'!D171&gt;=Configuration!$D$2),"",_xlfn.REGEXEXTRACT(CELL("address",'Raw Data'!D171),"\$([A-Z]+)\$[0-9]+"))),_xlfn.REGEXEXTRACT(CELL("address",D171), "\$([A-Z]+)\$[0-9]+"))</f>
        <v/>
      </c>
      <c r="E171" s="6" t="str" cm="1">
        <f t="array" aca="1" ref="E171" ca="1">IFERROR(IF(OR('Raw Data'!E171="",LEN(TRIM('Raw Data'!E171))=0),"",IF(AND(ISNUMBER('Raw Data'!E171),'Raw Data'!E171=ROUND('Raw Data'!E171,4),IFERROR(ROUND('Raw Data'!E171,4)&lt;=99999999999.99,FALSE))=TRUE,"",_xlfn.REGEXEXTRACT(CELL("address",'Raw Data'!E171), "\$([A-Z]+)\$[0-9]+"))),_xlfn.REGEXEXTRACT(CELL("address",'Raw Data'!E171), "\$([A-Z]+)\$[0-9]+"))</f>
        <v/>
      </c>
      <c r="F171" s="6" t="str" cm="1">
        <f t="array" aca="1" ref="F171" ca="1">IFERROR(IF(OR('Raw Data'!F171="",LEN(TRIM('Raw Data'!F171))=0),"",IF(AND(ISNUMBER('Raw Data'!F171),'Raw Data'!F171=ROUND('Raw Data'!F171,4),IFERROR(ROUND('Raw Data'!F171,4)&lt;=99999999999.99,FALSE))=TRUE,"",_xlfn.REGEXEXTRACT(CELL("address",'Raw Data'!F171), "\$([A-Z]+)\$[0-9]+"))),_xlfn.REGEXEXTRACT(CELL("address",'Raw Data'!F171), "\$([A-Z]+)\$[0-9]+"))</f>
        <v/>
      </c>
      <c r="G171" s="6" t="str" cm="1">
        <f t="array" aca="1" ref="G171" ca="1">IFERROR(IF(OR('Raw Data'!G171="",LEN(TRIM('Raw Data'!G171))=0),"",IF(AND(ISNUMBER('Raw Data'!G171),'Raw Data'!G171=ROUND('Raw Data'!G171,4),IFERROR(ROUND('Raw Data'!G171,4)&lt;=99999999999.99,FALSE))=TRUE,"",_xlfn.REGEXEXTRACT(CELL("address",'Raw Data'!G171), "\$([A-Z]+)\$[0-9]+"))),_xlfn.REGEXEXTRACT(CELL("address",'Raw Data'!G171), "\$([A-Z]+)\$[0-9]+"))</f>
        <v/>
      </c>
      <c r="H171" s="6" t="str" cm="1">
        <f t="array" aca="1" ref="H171" ca="1">IFERROR(IF(OR('Raw Data'!H171="",LEN(TRIM('Raw Data'!H171))=0),"",IF(AND(ISNUMBER('Raw Data'!H171),'Raw Data'!H171=ROUND('Raw Data'!H171,4),IFERROR(ROUND('Raw Data'!H171,4)&lt;=99999999999.99,FALSE))=TRUE,"",_xlfn.REGEXEXTRACT(CELL("address",'Raw Data'!H171), "\$([A-Z]+)\$[0-9]+"))),_xlfn.REGEXEXTRACT(CELL("address",'Raw Data'!H171), "\$([A-Z]+)\$[0-9]+"))</f>
        <v/>
      </c>
      <c r="I171" s="6" t="str" cm="1">
        <f t="array" aca="1" ref="I171" ca="1">IFERROR(IF(OR('Raw Data'!I171="",LEN(TRIM('Raw Data'!I171))=0),"",IF(AND(ISNUMBER('Raw Data'!I171),'Raw Data'!I171=ROUND('Raw Data'!I171,4),IFERROR(ROUND('Raw Data'!I171,4)&lt;=99999999999.99,FALSE))=TRUE,"",_xlfn.REGEXEXTRACT(CELL("address",'Raw Data'!I171), "\$([A-Z]+)\$[0-9]+"))),_xlfn.REGEXEXTRACT(CELL("address",'Raw Data'!I171), "\$([A-Z]+)\$[0-9]+"))</f>
        <v/>
      </c>
      <c r="J171" s="6" t="str" cm="1">
        <f t="array" aca="1" ref="J171" ca="1">IFERROR(IF(OR('Raw Data'!J171="",LEN(TRIM('Raw Data'!J171))=0),"",IF(AND(ISNUMBER('Raw Data'!J171),'Raw Data'!J171=ROUND('Raw Data'!J171,4),IFERROR(ROUND('Raw Data'!J171,4)&lt;=99999999999.99,FALSE))=TRUE,"",_xlfn.REGEXEXTRACT(CELL("address",'Raw Data'!J171), "\$([A-Z]+)\$[0-9]+"))),_xlfn.REGEXEXTRACT(CELL("address",'Raw Data'!J171), "\$([A-Z]+)\$[0-9]+"))</f>
        <v/>
      </c>
    </row>
    <row r="172" spans="2:10" x14ac:dyDescent="0.25">
      <c r="B172" s="6" t="str" cm="1">
        <f t="array" aca="1" ref="B172" ca="1">IFERROR(IF(OR('Raw Data'!B172="",LEN(TRIM('Raw Data'!B172))=0),"",IF(AND(LEN('Raw Data'!B172) &lt;= 255,LEN('Raw Data'!B172)&gt; 0),"",_xlfn.REGEXEXTRACT(CELL("address",'Raw Data'!B172),"\$([A-Z]+)\$[0-9]+"))),_xlfn.REGEXEXTRACT(CELL("address",'Raw Data'!B172),"\$([A-Z]+)\$[0-9]+"))</f>
        <v/>
      </c>
      <c r="C172" s="6" t="str" cm="1">
        <f t="array" aca="1" ref="C172" ca="1">IFERROR(IF(OR('Raw Data'!C172="",LEN(TRIM('Raw Data'!C172))=0),"",IF(AND(LEN('Raw Data'!C172) &lt;= 20,LEN('Raw Data'!C172)&gt; 0),"",_xlfn.REGEXEXTRACT(CELL("address",'Raw Data'!C172),"\$([A-Z]+)\$[0-9]+"))),_xlfn.REGEXEXTRACT(CELL("address",'Raw Data'!C172),"\$([A-Z]+)\$[0-9]+"))</f>
        <v/>
      </c>
      <c r="D172" s="6" t="str" cm="1">
        <f t="array" aca="1" ref="D172" ca="1">IFERROR(IF(OR('Raw Data'!D172="",LEN(TRIM('Raw Data'!D172))=0),"",IF(AND(ISNUMBER('Raw Data'!D172),'Raw Data'!D172&gt;=Configuration!$D$2),"",_xlfn.REGEXEXTRACT(CELL("address",'Raw Data'!D172),"\$([A-Z]+)\$[0-9]+"))),_xlfn.REGEXEXTRACT(CELL("address",D172), "\$([A-Z]+)\$[0-9]+"))</f>
        <v/>
      </c>
      <c r="E172" s="6" t="str" cm="1">
        <f t="array" aca="1" ref="E172" ca="1">IFERROR(IF(OR('Raw Data'!E172="",LEN(TRIM('Raw Data'!E172))=0),"",IF(AND(ISNUMBER('Raw Data'!E172),'Raw Data'!E172=ROUND('Raw Data'!E172,4),IFERROR(ROUND('Raw Data'!E172,4)&lt;=99999999999.99,FALSE))=TRUE,"",_xlfn.REGEXEXTRACT(CELL("address",'Raw Data'!E172), "\$([A-Z]+)\$[0-9]+"))),_xlfn.REGEXEXTRACT(CELL("address",'Raw Data'!E172), "\$([A-Z]+)\$[0-9]+"))</f>
        <v/>
      </c>
      <c r="F172" s="6" t="str" cm="1">
        <f t="array" aca="1" ref="F172" ca="1">IFERROR(IF(OR('Raw Data'!F172="",LEN(TRIM('Raw Data'!F172))=0),"",IF(AND(ISNUMBER('Raw Data'!F172),'Raw Data'!F172=ROUND('Raw Data'!F172,4),IFERROR(ROUND('Raw Data'!F172,4)&lt;=99999999999.99,FALSE))=TRUE,"",_xlfn.REGEXEXTRACT(CELL("address",'Raw Data'!F172), "\$([A-Z]+)\$[0-9]+"))),_xlfn.REGEXEXTRACT(CELL("address",'Raw Data'!F172), "\$([A-Z]+)\$[0-9]+"))</f>
        <v/>
      </c>
      <c r="G172" s="6" t="str" cm="1">
        <f t="array" aca="1" ref="G172" ca="1">IFERROR(IF(OR('Raw Data'!G172="",LEN(TRIM('Raw Data'!G172))=0),"",IF(AND(ISNUMBER('Raw Data'!G172),'Raw Data'!G172=ROUND('Raw Data'!G172,4),IFERROR(ROUND('Raw Data'!G172,4)&lt;=99999999999.99,FALSE))=TRUE,"",_xlfn.REGEXEXTRACT(CELL("address",'Raw Data'!G172), "\$([A-Z]+)\$[0-9]+"))),_xlfn.REGEXEXTRACT(CELL("address",'Raw Data'!G172), "\$([A-Z]+)\$[0-9]+"))</f>
        <v/>
      </c>
      <c r="H172" s="6" t="str" cm="1">
        <f t="array" aca="1" ref="H172" ca="1">IFERROR(IF(OR('Raw Data'!H172="",LEN(TRIM('Raw Data'!H172))=0),"",IF(AND(ISNUMBER('Raw Data'!H172),'Raw Data'!H172=ROUND('Raw Data'!H172,4),IFERROR(ROUND('Raw Data'!H172,4)&lt;=99999999999.99,FALSE))=TRUE,"",_xlfn.REGEXEXTRACT(CELL("address",'Raw Data'!H172), "\$([A-Z]+)\$[0-9]+"))),_xlfn.REGEXEXTRACT(CELL("address",'Raw Data'!H172), "\$([A-Z]+)\$[0-9]+"))</f>
        <v/>
      </c>
      <c r="I172" s="6" t="str" cm="1">
        <f t="array" aca="1" ref="I172" ca="1">IFERROR(IF(OR('Raw Data'!I172="",LEN(TRIM('Raw Data'!I172))=0),"",IF(AND(ISNUMBER('Raw Data'!I172),'Raw Data'!I172=ROUND('Raw Data'!I172,4),IFERROR(ROUND('Raw Data'!I172,4)&lt;=99999999999.99,FALSE))=TRUE,"",_xlfn.REGEXEXTRACT(CELL("address",'Raw Data'!I172), "\$([A-Z]+)\$[0-9]+"))),_xlfn.REGEXEXTRACT(CELL("address",'Raw Data'!I172), "\$([A-Z]+)\$[0-9]+"))</f>
        <v/>
      </c>
      <c r="J172" s="6" t="str" cm="1">
        <f t="array" aca="1" ref="J172" ca="1">IFERROR(IF(OR('Raw Data'!J172="",LEN(TRIM('Raw Data'!J172))=0),"",IF(AND(ISNUMBER('Raw Data'!J172),'Raw Data'!J172=ROUND('Raw Data'!J172,4),IFERROR(ROUND('Raw Data'!J172,4)&lt;=99999999999.99,FALSE))=TRUE,"",_xlfn.REGEXEXTRACT(CELL("address",'Raw Data'!J172), "\$([A-Z]+)\$[0-9]+"))),_xlfn.REGEXEXTRACT(CELL("address",'Raw Data'!J172), "\$([A-Z]+)\$[0-9]+"))</f>
        <v/>
      </c>
    </row>
    <row r="173" spans="2:10" x14ac:dyDescent="0.25">
      <c r="B173" s="6" t="str" cm="1">
        <f t="array" aca="1" ref="B173" ca="1">IFERROR(IF(OR('Raw Data'!B173="",LEN(TRIM('Raw Data'!B173))=0),"",IF(AND(LEN('Raw Data'!B173) &lt;= 255,LEN('Raw Data'!B173)&gt; 0),"",_xlfn.REGEXEXTRACT(CELL("address",'Raw Data'!B173),"\$([A-Z]+)\$[0-9]+"))),_xlfn.REGEXEXTRACT(CELL("address",'Raw Data'!B173),"\$([A-Z]+)\$[0-9]+"))</f>
        <v/>
      </c>
      <c r="C173" s="6" t="str" cm="1">
        <f t="array" aca="1" ref="C173" ca="1">IFERROR(IF(OR('Raw Data'!C173="",LEN(TRIM('Raw Data'!C173))=0),"",IF(AND(LEN('Raw Data'!C173) &lt;= 20,LEN('Raw Data'!C173)&gt; 0),"",_xlfn.REGEXEXTRACT(CELL("address",'Raw Data'!C173),"\$([A-Z]+)\$[0-9]+"))),_xlfn.REGEXEXTRACT(CELL("address",'Raw Data'!C173),"\$([A-Z]+)\$[0-9]+"))</f>
        <v/>
      </c>
      <c r="D173" s="6" t="str" cm="1">
        <f t="array" aca="1" ref="D173" ca="1">IFERROR(IF(OR('Raw Data'!D173="",LEN(TRIM('Raw Data'!D173))=0),"",IF(AND(ISNUMBER('Raw Data'!D173),'Raw Data'!D173&gt;=Configuration!$D$2),"",_xlfn.REGEXEXTRACT(CELL("address",'Raw Data'!D173),"\$([A-Z]+)\$[0-9]+"))),_xlfn.REGEXEXTRACT(CELL("address",D173), "\$([A-Z]+)\$[0-9]+"))</f>
        <v/>
      </c>
      <c r="E173" s="6" t="str" cm="1">
        <f t="array" aca="1" ref="E173" ca="1">IFERROR(IF(OR('Raw Data'!E173="",LEN(TRIM('Raw Data'!E173))=0),"",IF(AND(ISNUMBER('Raw Data'!E173),'Raw Data'!E173=ROUND('Raw Data'!E173,4),IFERROR(ROUND('Raw Data'!E173,4)&lt;=99999999999.99,FALSE))=TRUE,"",_xlfn.REGEXEXTRACT(CELL("address",'Raw Data'!E173), "\$([A-Z]+)\$[0-9]+"))),_xlfn.REGEXEXTRACT(CELL("address",'Raw Data'!E173), "\$([A-Z]+)\$[0-9]+"))</f>
        <v/>
      </c>
      <c r="F173" s="6" t="str" cm="1">
        <f t="array" aca="1" ref="F173" ca="1">IFERROR(IF(OR('Raw Data'!F173="",LEN(TRIM('Raw Data'!F173))=0),"",IF(AND(ISNUMBER('Raw Data'!F173),'Raw Data'!F173=ROUND('Raw Data'!F173,4),IFERROR(ROUND('Raw Data'!F173,4)&lt;=99999999999.99,FALSE))=TRUE,"",_xlfn.REGEXEXTRACT(CELL("address",'Raw Data'!F173), "\$([A-Z]+)\$[0-9]+"))),_xlfn.REGEXEXTRACT(CELL("address",'Raw Data'!F173), "\$([A-Z]+)\$[0-9]+"))</f>
        <v/>
      </c>
      <c r="G173" s="6" t="str" cm="1">
        <f t="array" aca="1" ref="G173" ca="1">IFERROR(IF(OR('Raw Data'!G173="",LEN(TRIM('Raw Data'!G173))=0),"",IF(AND(ISNUMBER('Raw Data'!G173),'Raw Data'!G173=ROUND('Raw Data'!G173,4),IFERROR(ROUND('Raw Data'!G173,4)&lt;=99999999999.99,FALSE))=TRUE,"",_xlfn.REGEXEXTRACT(CELL("address",'Raw Data'!G173), "\$([A-Z]+)\$[0-9]+"))),_xlfn.REGEXEXTRACT(CELL("address",'Raw Data'!G173), "\$([A-Z]+)\$[0-9]+"))</f>
        <v/>
      </c>
      <c r="H173" s="6" t="str" cm="1">
        <f t="array" aca="1" ref="H173" ca="1">IFERROR(IF(OR('Raw Data'!H173="",LEN(TRIM('Raw Data'!H173))=0),"",IF(AND(ISNUMBER('Raw Data'!H173),'Raw Data'!H173=ROUND('Raw Data'!H173,4),IFERROR(ROUND('Raw Data'!H173,4)&lt;=99999999999.99,FALSE))=TRUE,"",_xlfn.REGEXEXTRACT(CELL("address",'Raw Data'!H173), "\$([A-Z]+)\$[0-9]+"))),_xlfn.REGEXEXTRACT(CELL("address",'Raw Data'!H173), "\$([A-Z]+)\$[0-9]+"))</f>
        <v/>
      </c>
      <c r="I173" s="6" t="str" cm="1">
        <f t="array" aca="1" ref="I173" ca="1">IFERROR(IF(OR('Raw Data'!I173="",LEN(TRIM('Raw Data'!I173))=0),"",IF(AND(ISNUMBER('Raw Data'!I173),'Raw Data'!I173=ROUND('Raw Data'!I173,4),IFERROR(ROUND('Raw Data'!I173,4)&lt;=99999999999.99,FALSE))=TRUE,"",_xlfn.REGEXEXTRACT(CELL("address",'Raw Data'!I173), "\$([A-Z]+)\$[0-9]+"))),_xlfn.REGEXEXTRACT(CELL("address",'Raw Data'!I173), "\$([A-Z]+)\$[0-9]+"))</f>
        <v/>
      </c>
      <c r="J173" s="6" t="str" cm="1">
        <f t="array" aca="1" ref="J173" ca="1">IFERROR(IF(OR('Raw Data'!J173="",LEN(TRIM('Raw Data'!J173))=0),"",IF(AND(ISNUMBER('Raw Data'!J173),'Raw Data'!J173=ROUND('Raw Data'!J173,4),IFERROR(ROUND('Raw Data'!J173,4)&lt;=99999999999.99,FALSE))=TRUE,"",_xlfn.REGEXEXTRACT(CELL("address",'Raw Data'!J173), "\$([A-Z]+)\$[0-9]+"))),_xlfn.REGEXEXTRACT(CELL("address",'Raw Data'!J173), "\$([A-Z]+)\$[0-9]+"))</f>
        <v/>
      </c>
    </row>
    <row r="174" spans="2:10" x14ac:dyDescent="0.25">
      <c r="B174" s="6" t="str" cm="1">
        <f t="array" aca="1" ref="B174" ca="1">IFERROR(IF(OR('Raw Data'!B174="",LEN(TRIM('Raw Data'!B174))=0),"",IF(AND(LEN('Raw Data'!B174) &lt;= 255,LEN('Raw Data'!B174)&gt; 0),"",_xlfn.REGEXEXTRACT(CELL("address",'Raw Data'!B174),"\$([A-Z]+)\$[0-9]+"))),_xlfn.REGEXEXTRACT(CELL("address",'Raw Data'!B174),"\$([A-Z]+)\$[0-9]+"))</f>
        <v/>
      </c>
      <c r="C174" s="6" t="str" cm="1">
        <f t="array" aca="1" ref="C174" ca="1">IFERROR(IF(OR('Raw Data'!C174="",LEN(TRIM('Raw Data'!C174))=0),"",IF(AND(LEN('Raw Data'!C174) &lt;= 20,LEN('Raw Data'!C174)&gt; 0),"",_xlfn.REGEXEXTRACT(CELL("address",'Raw Data'!C174),"\$([A-Z]+)\$[0-9]+"))),_xlfn.REGEXEXTRACT(CELL("address",'Raw Data'!C174),"\$([A-Z]+)\$[0-9]+"))</f>
        <v/>
      </c>
      <c r="D174" s="6" t="str" cm="1">
        <f t="array" aca="1" ref="D174" ca="1">IFERROR(IF(OR('Raw Data'!D174="",LEN(TRIM('Raw Data'!D174))=0),"",IF(AND(ISNUMBER('Raw Data'!D174),'Raw Data'!D174&gt;=Configuration!$D$2),"",_xlfn.REGEXEXTRACT(CELL("address",'Raw Data'!D174),"\$([A-Z]+)\$[0-9]+"))),_xlfn.REGEXEXTRACT(CELL("address",D174), "\$([A-Z]+)\$[0-9]+"))</f>
        <v/>
      </c>
      <c r="E174" s="6" t="str" cm="1">
        <f t="array" aca="1" ref="E174" ca="1">IFERROR(IF(OR('Raw Data'!E174="",LEN(TRIM('Raw Data'!E174))=0),"",IF(AND(ISNUMBER('Raw Data'!E174),'Raw Data'!E174=ROUND('Raw Data'!E174,4),IFERROR(ROUND('Raw Data'!E174,4)&lt;=99999999999.99,FALSE))=TRUE,"",_xlfn.REGEXEXTRACT(CELL("address",'Raw Data'!E174), "\$([A-Z]+)\$[0-9]+"))),_xlfn.REGEXEXTRACT(CELL("address",'Raw Data'!E174), "\$([A-Z]+)\$[0-9]+"))</f>
        <v/>
      </c>
      <c r="F174" s="6" t="str" cm="1">
        <f t="array" aca="1" ref="F174" ca="1">IFERROR(IF(OR('Raw Data'!F174="",LEN(TRIM('Raw Data'!F174))=0),"",IF(AND(ISNUMBER('Raw Data'!F174),'Raw Data'!F174=ROUND('Raw Data'!F174,4),IFERROR(ROUND('Raw Data'!F174,4)&lt;=99999999999.99,FALSE))=TRUE,"",_xlfn.REGEXEXTRACT(CELL("address",'Raw Data'!F174), "\$([A-Z]+)\$[0-9]+"))),_xlfn.REGEXEXTRACT(CELL("address",'Raw Data'!F174), "\$([A-Z]+)\$[0-9]+"))</f>
        <v/>
      </c>
      <c r="G174" s="6" t="str" cm="1">
        <f t="array" aca="1" ref="G174" ca="1">IFERROR(IF(OR('Raw Data'!G174="",LEN(TRIM('Raw Data'!G174))=0),"",IF(AND(ISNUMBER('Raw Data'!G174),'Raw Data'!G174=ROUND('Raw Data'!G174,4),IFERROR(ROUND('Raw Data'!G174,4)&lt;=99999999999.99,FALSE))=TRUE,"",_xlfn.REGEXEXTRACT(CELL("address",'Raw Data'!G174), "\$([A-Z]+)\$[0-9]+"))),_xlfn.REGEXEXTRACT(CELL("address",'Raw Data'!G174), "\$([A-Z]+)\$[0-9]+"))</f>
        <v/>
      </c>
      <c r="H174" s="6" t="str" cm="1">
        <f t="array" aca="1" ref="H174" ca="1">IFERROR(IF(OR('Raw Data'!H174="",LEN(TRIM('Raw Data'!H174))=0),"",IF(AND(ISNUMBER('Raw Data'!H174),'Raw Data'!H174=ROUND('Raw Data'!H174,4),IFERROR(ROUND('Raw Data'!H174,4)&lt;=99999999999.99,FALSE))=TRUE,"",_xlfn.REGEXEXTRACT(CELL("address",'Raw Data'!H174), "\$([A-Z]+)\$[0-9]+"))),_xlfn.REGEXEXTRACT(CELL("address",'Raw Data'!H174), "\$([A-Z]+)\$[0-9]+"))</f>
        <v/>
      </c>
      <c r="I174" s="6" t="str" cm="1">
        <f t="array" aca="1" ref="I174" ca="1">IFERROR(IF(OR('Raw Data'!I174="",LEN(TRIM('Raw Data'!I174))=0),"",IF(AND(ISNUMBER('Raw Data'!I174),'Raw Data'!I174=ROUND('Raw Data'!I174,4),IFERROR(ROUND('Raw Data'!I174,4)&lt;=99999999999.99,FALSE))=TRUE,"",_xlfn.REGEXEXTRACT(CELL("address",'Raw Data'!I174), "\$([A-Z]+)\$[0-9]+"))),_xlfn.REGEXEXTRACT(CELL("address",'Raw Data'!I174), "\$([A-Z]+)\$[0-9]+"))</f>
        <v/>
      </c>
      <c r="J174" s="6" t="str" cm="1">
        <f t="array" aca="1" ref="J174" ca="1">IFERROR(IF(OR('Raw Data'!J174="",LEN(TRIM('Raw Data'!J174))=0),"",IF(AND(ISNUMBER('Raw Data'!J174),'Raw Data'!J174=ROUND('Raw Data'!J174,4),IFERROR(ROUND('Raw Data'!J174,4)&lt;=99999999999.99,FALSE))=TRUE,"",_xlfn.REGEXEXTRACT(CELL("address",'Raw Data'!J174), "\$([A-Z]+)\$[0-9]+"))),_xlfn.REGEXEXTRACT(CELL("address",'Raw Data'!J174), "\$([A-Z]+)\$[0-9]+"))</f>
        <v/>
      </c>
    </row>
    <row r="175" spans="2:10" x14ac:dyDescent="0.25">
      <c r="B175" s="6" t="str" cm="1">
        <f t="array" aca="1" ref="B175" ca="1">IFERROR(IF(OR('Raw Data'!B175="",LEN(TRIM('Raw Data'!B175))=0),"",IF(AND(LEN('Raw Data'!B175) &lt;= 255,LEN('Raw Data'!B175)&gt; 0),"",_xlfn.REGEXEXTRACT(CELL("address",'Raw Data'!B175),"\$([A-Z]+)\$[0-9]+"))),_xlfn.REGEXEXTRACT(CELL("address",'Raw Data'!B175),"\$([A-Z]+)\$[0-9]+"))</f>
        <v/>
      </c>
      <c r="C175" s="6" t="str" cm="1">
        <f t="array" aca="1" ref="C175" ca="1">IFERROR(IF(OR('Raw Data'!C175="",LEN(TRIM('Raw Data'!C175))=0),"",IF(AND(LEN('Raw Data'!C175) &lt;= 20,LEN('Raw Data'!C175)&gt; 0),"",_xlfn.REGEXEXTRACT(CELL("address",'Raw Data'!C175),"\$([A-Z]+)\$[0-9]+"))),_xlfn.REGEXEXTRACT(CELL("address",'Raw Data'!C175),"\$([A-Z]+)\$[0-9]+"))</f>
        <v/>
      </c>
      <c r="D175" s="6" t="str" cm="1">
        <f t="array" aca="1" ref="D175" ca="1">IFERROR(IF(OR('Raw Data'!D175="",LEN(TRIM('Raw Data'!D175))=0),"",IF(AND(ISNUMBER('Raw Data'!D175),'Raw Data'!D175&gt;=Configuration!$D$2),"",_xlfn.REGEXEXTRACT(CELL("address",'Raw Data'!D175),"\$([A-Z]+)\$[0-9]+"))),_xlfn.REGEXEXTRACT(CELL("address",D175), "\$([A-Z]+)\$[0-9]+"))</f>
        <v/>
      </c>
      <c r="E175" s="6" t="str" cm="1">
        <f t="array" aca="1" ref="E175" ca="1">IFERROR(IF(OR('Raw Data'!E175="",LEN(TRIM('Raw Data'!E175))=0),"",IF(AND(ISNUMBER('Raw Data'!E175),'Raw Data'!E175=ROUND('Raw Data'!E175,4),IFERROR(ROUND('Raw Data'!E175,4)&lt;=99999999999.99,FALSE))=TRUE,"",_xlfn.REGEXEXTRACT(CELL("address",'Raw Data'!E175), "\$([A-Z]+)\$[0-9]+"))),_xlfn.REGEXEXTRACT(CELL("address",'Raw Data'!E175), "\$([A-Z]+)\$[0-9]+"))</f>
        <v/>
      </c>
      <c r="F175" s="6" t="str" cm="1">
        <f t="array" aca="1" ref="F175" ca="1">IFERROR(IF(OR('Raw Data'!F175="",LEN(TRIM('Raw Data'!F175))=0),"",IF(AND(ISNUMBER('Raw Data'!F175),'Raw Data'!F175=ROUND('Raw Data'!F175,4),IFERROR(ROUND('Raw Data'!F175,4)&lt;=99999999999.99,FALSE))=TRUE,"",_xlfn.REGEXEXTRACT(CELL("address",'Raw Data'!F175), "\$([A-Z]+)\$[0-9]+"))),_xlfn.REGEXEXTRACT(CELL("address",'Raw Data'!F175), "\$([A-Z]+)\$[0-9]+"))</f>
        <v/>
      </c>
      <c r="G175" s="6" t="str" cm="1">
        <f t="array" aca="1" ref="G175" ca="1">IFERROR(IF(OR('Raw Data'!G175="",LEN(TRIM('Raw Data'!G175))=0),"",IF(AND(ISNUMBER('Raw Data'!G175),'Raw Data'!G175=ROUND('Raw Data'!G175,4),IFERROR(ROUND('Raw Data'!G175,4)&lt;=99999999999.99,FALSE))=TRUE,"",_xlfn.REGEXEXTRACT(CELL("address",'Raw Data'!G175), "\$([A-Z]+)\$[0-9]+"))),_xlfn.REGEXEXTRACT(CELL("address",'Raw Data'!G175), "\$([A-Z]+)\$[0-9]+"))</f>
        <v/>
      </c>
      <c r="H175" s="6" t="str" cm="1">
        <f t="array" aca="1" ref="H175" ca="1">IFERROR(IF(OR('Raw Data'!H175="",LEN(TRIM('Raw Data'!H175))=0),"",IF(AND(ISNUMBER('Raw Data'!H175),'Raw Data'!H175=ROUND('Raw Data'!H175,4),IFERROR(ROUND('Raw Data'!H175,4)&lt;=99999999999.99,FALSE))=TRUE,"",_xlfn.REGEXEXTRACT(CELL("address",'Raw Data'!H175), "\$([A-Z]+)\$[0-9]+"))),_xlfn.REGEXEXTRACT(CELL("address",'Raw Data'!H175), "\$([A-Z]+)\$[0-9]+"))</f>
        <v/>
      </c>
      <c r="I175" s="6" t="str" cm="1">
        <f t="array" aca="1" ref="I175" ca="1">IFERROR(IF(OR('Raw Data'!I175="",LEN(TRIM('Raw Data'!I175))=0),"",IF(AND(ISNUMBER('Raw Data'!I175),'Raw Data'!I175=ROUND('Raw Data'!I175,4),IFERROR(ROUND('Raw Data'!I175,4)&lt;=99999999999.99,FALSE))=TRUE,"",_xlfn.REGEXEXTRACT(CELL("address",'Raw Data'!I175), "\$([A-Z]+)\$[0-9]+"))),_xlfn.REGEXEXTRACT(CELL("address",'Raw Data'!I175), "\$([A-Z]+)\$[0-9]+"))</f>
        <v/>
      </c>
      <c r="J175" s="6" t="str" cm="1">
        <f t="array" aca="1" ref="J175" ca="1">IFERROR(IF(OR('Raw Data'!J175="",LEN(TRIM('Raw Data'!J175))=0),"",IF(AND(ISNUMBER('Raw Data'!J175),'Raw Data'!J175=ROUND('Raw Data'!J175,4),IFERROR(ROUND('Raw Data'!J175,4)&lt;=99999999999.99,FALSE))=TRUE,"",_xlfn.REGEXEXTRACT(CELL("address",'Raw Data'!J175), "\$([A-Z]+)\$[0-9]+"))),_xlfn.REGEXEXTRACT(CELL("address",'Raw Data'!J175), "\$([A-Z]+)\$[0-9]+"))</f>
        <v/>
      </c>
    </row>
    <row r="176" spans="2:10" x14ac:dyDescent="0.25">
      <c r="B176" s="6" t="str" cm="1">
        <f t="array" aca="1" ref="B176" ca="1">IFERROR(IF(OR('Raw Data'!B176="",LEN(TRIM('Raw Data'!B176))=0),"",IF(AND(LEN('Raw Data'!B176) &lt;= 255,LEN('Raw Data'!B176)&gt; 0),"",_xlfn.REGEXEXTRACT(CELL("address",'Raw Data'!B176),"\$([A-Z]+)\$[0-9]+"))),_xlfn.REGEXEXTRACT(CELL("address",'Raw Data'!B176),"\$([A-Z]+)\$[0-9]+"))</f>
        <v/>
      </c>
      <c r="C176" s="6" t="str" cm="1">
        <f t="array" aca="1" ref="C176" ca="1">IFERROR(IF(OR('Raw Data'!C176="",LEN(TRIM('Raw Data'!C176))=0),"",IF(AND(LEN('Raw Data'!C176) &lt;= 20,LEN('Raw Data'!C176)&gt; 0),"",_xlfn.REGEXEXTRACT(CELL("address",'Raw Data'!C176),"\$([A-Z]+)\$[0-9]+"))),_xlfn.REGEXEXTRACT(CELL("address",'Raw Data'!C176),"\$([A-Z]+)\$[0-9]+"))</f>
        <v/>
      </c>
      <c r="D176" s="6" t="str" cm="1">
        <f t="array" aca="1" ref="D176" ca="1">IFERROR(IF(OR('Raw Data'!D176="",LEN(TRIM('Raw Data'!D176))=0),"",IF(AND(ISNUMBER('Raw Data'!D176),'Raw Data'!D176&gt;=Configuration!$D$2),"",_xlfn.REGEXEXTRACT(CELL("address",'Raw Data'!D176),"\$([A-Z]+)\$[0-9]+"))),_xlfn.REGEXEXTRACT(CELL("address",D176), "\$([A-Z]+)\$[0-9]+"))</f>
        <v/>
      </c>
      <c r="E176" s="6" t="str" cm="1">
        <f t="array" aca="1" ref="E176" ca="1">IFERROR(IF(OR('Raw Data'!E176="",LEN(TRIM('Raw Data'!E176))=0),"",IF(AND(ISNUMBER('Raw Data'!E176),'Raw Data'!E176=ROUND('Raw Data'!E176,4),IFERROR(ROUND('Raw Data'!E176,4)&lt;=99999999999.99,FALSE))=TRUE,"",_xlfn.REGEXEXTRACT(CELL("address",'Raw Data'!E176), "\$([A-Z]+)\$[0-9]+"))),_xlfn.REGEXEXTRACT(CELL("address",'Raw Data'!E176), "\$([A-Z]+)\$[0-9]+"))</f>
        <v/>
      </c>
      <c r="F176" s="6" t="str" cm="1">
        <f t="array" aca="1" ref="F176" ca="1">IFERROR(IF(OR('Raw Data'!F176="",LEN(TRIM('Raw Data'!F176))=0),"",IF(AND(ISNUMBER('Raw Data'!F176),'Raw Data'!F176=ROUND('Raw Data'!F176,4),IFERROR(ROUND('Raw Data'!F176,4)&lt;=99999999999.99,FALSE))=TRUE,"",_xlfn.REGEXEXTRACT(CELL("address",'Raw Data'!F176), "\$([A-Z]+)\$[0-9]+"))),_xlfn.REGEXEXTRACT(CELL("address",'Raw Data'!F176), "\$([A-Z]+)\$[0-9]+"))</f>
        <v/>
      </c>
      <c r="G176" s="6" t="str" cm="1">
        <f t="array" aca="1" ref="G176" ca="1">IFERROR(IF(OR('Raw Data'!G176="",LEN(TRIM('Raw Data'!G176))=0),"",IF(AND(ISNUMBER('Raw Data'!G176),'Raw Data'!G176=ROUND('Raw Data'!G176,4),IFERROR(ROUND('Raw Data'!G176,4)&lt;=99999999999.99,FALSE))=TRUE,"",_xlfn.REGEXEXTRACT(CELL("address",'Raw Data'!G176), "\$([A-Z]+)\$[0-9]+"))),_xlfn.REGEXEXTRACT(CELL("address",'Raw Data'!G176), "\$([A-Z]+)\$[0-9]+"))</f>
        <v/>
      </c>
      <c r="H176" s="6" t="str" cm="1">
        <f t="array" aca="1" ref="H176" ca="1">IFERROR(IF(OR('Raw Data'!H176="",LEN(TRIM('Raw Data'!H176))=0),"",IF(AND(ISNUMBER('Raw Data'!H176),'Raw Data'!H176=ROUND('Raw Data'!H176,4),IFERROR(ROUND('Raw Data'!H176,4)&lt;=99999999999.99,FALSE))=TRUE,"",_xlfn.REGEXEXTRACT(CELL("address",'Raw Data'!H176), "\$([A-Z]+)\$[0-9]+"))),_xlfn.REGEXEXTRACT(CELL("address",'Raw Data'!H176), "\$([A-Z]+)\$[0-9]+"))</f>
        <v/>
      </c>
      <c r="I176" s="6" t="str" cm="1">
        <f t="array" aca="1" ref="I176" ca="1">IFERROR(IF(OR('Raw Data'!I176="",LEN(TRIM('Raw Data'!I176))=0),"",IF(AND(ISNUMBER('Raw Data'!I176),'Raw Data'!I176=ROUND('Raw Data'!I176,4),IFERROR(ROUND('Raw Data'!I176,4)&lt;=99999999999.99,FALSE))=TRUE,"",_xlfn.REGEXEXTRACT(CELL("address",'Raw Data'!I176), "\$([A-Z]+)\$[0-9]+"))),_xlfn.REGEXEXTRACT(CELL("address",'Raw Data'!I176), "\$([A-Z]+)\$[0-9]+"))</f>
        <v/>
      </c>
      <c r="J176" s="6" t="str" cm="1">
        <f t="array" aca="1" ref="J176" ca="1">IFERROR(IF(OR('Raw Data'!J176="",LEN(TRIM('Raw Data'!J176))=0),"",IF(AND(ISNUMBER('Raw Data'!J176),'Raw Data'!J176=ROUND('Raw Data'!J176,4),IFERROR(ROUND('Raw Data'!J176,4)&lt;=99999999999.99,FALSE))=TRUE,"",_xlfn.REGEXEXTRACT(CELL("address",'Raw Data'!J176), "\$([A-Z]+)\$[0-9]+"))),_xlfn.REGEXEXTRACT(CELL("address",'Raw Data'!J176), "\$([A-Z]+)\$[0-9]+"))</f>
        <v/>
      </c>
    </row>
    <row r="177" spans="2:10" x14ac:dyDescent="0.25">
      <c r="B177" s="6" t="str" cm="1">
        <f t="array" aca="1" ref="B177" ca="1">IFERROR(IF(OR('Raw Data'!B177="",LEN(TRIM('Raw Data'!B177))=0),"",IF(AND(LEN('Raw Data'!B177) &lt;= 255,LEN('Raw Data'!B177)&gt; 0),"",_xlfn.REGEXEXTRACT(CELL("address",'Raw Data'!B177),"\$([A-Z]+)\$[0-9]+"))),_xlfn.REGEXEXTRACT(CELL("address",'Raw Data'!B177),"\$([A-Z]+)\$[0-9]+"))</f>
        <v/>
      </c>
      <c r="C177" s="6" t="str" cm="1">
        <f t="array" aca="1" ref="C177" ca="1">IFERROR(IF(OR('Raw Data'!C177="",LEN(TRIM('Raw Data'!C177))=0),"",IF(AND(LEN('Raw Data'!C177) &lt;= 20,LEN('Raw Data'!C177)&gt; 0),"",_xlfn.REGEXEXTRACT(CELL("address",'Raw Data'!C177),"\$([A-Z]+)\$[0-9]+"))),_xlfn.REGEXEXTRACT(CELL("address",'Raw Data'!C177),"\$([A-Z]+)\$[0-9]+"))</f>
        <v/>
      </c>
      <c r="D177" s="6" t="str" cm="1">
        <f t="array" aca="1" ref="D177" ca="1">IFERROR(IF(OR('Raw Data'!D177="",LEN(TRIM('Raw Data'!D177))=0),"",IF(AND(ISNUMBER('Raw Data'!D177),'Raw Data'!D177&gt;=Configuration!$D$2),"",_xlfn.REGEXEXTRACT(CELL("address",'Raw Data'!D177),"\$([A-Z]+)\$[0-9]+"))),_xlfn.REGEXEXTRACT(CELL("address",D177), "\$([A-Z]+)\$[0-9]+"))</f>
        <v/>
      </c>
      <c r="E177" s="6" t="str" cm="1">
        <f t="array" aca="1" ref="E177" ca="1">IFERROR(IF(OR('Raw Data'!E177="",LEN(TRIM('Raw Data'!E177))=0),"",IF(AND(ISNUMBER('Raw Data'!E177),'Raw Data'!E177=ROUND('Raw Data'!E177,4),IFERROR(ROUND('Raw Data'!E177,4)&lt;=99999999999.99,FALSE))=TRUE,"",_xlfn.REGEXEXTRACT(CELL("address",'Raw Data'!E177), "\$([A-Z]+)\$[0-9]+"))),_xlfn.REGEXEXTRACT(CELL("address",'Raw Data'!E177), "\$([A-Z]+)\$[0-9]+"))</f>
        <v/>
      </c>
      <c r="F177" s="6" t="str" cm="1">
        <f t="array" aca="1" ref="F177" ca="1">IFERROR(IF(OR('Raw Data'!F177="",LEN(TRIM('Raw Data'!F177))=0),"",IF(AND(ISNUMBER('Raw Data'!F177),'Raw Data'!F177=ROUND('Raw Data'!F177,4),IFERROR(ROUND('Raw Data'!F177,4)&lt;=99999999999.99,FALSE))=TRUE,"",_xlfn.REGEXEXTRACT(CELL("address",'Raw Data'!F177), "\$([A-Z]+)\$[0-9]+"))),_xlfn.REGEXEXTRACT(CELL("address",'Raw Data'!F177), "\$([A-Z]+)\$[0-9]+"))</f>
        <v/>
      </c>
      <c r="G177" s="6" t="str" cm="1">
        <f t="array" aca="1" ref="G177" ca="1">IFERROR(IF(OR('Raw Data'!G177="",LEN(TRIM('Raw Data'!G177))=0),"",IF(AND(ISNUMBER('Raw Data'!G177),'Raw Data'!G177=ROUND('Raw Data'!G177,4),IFERROR(ROUND('Raw Data'!G177,4)&lt;=99999999999.99,FALSE))=TRUE,"",_xlfn.REGEXEXTRACT(CELL("address",'Raw Data'!G177), "\$([A-Z]+)\$[0-9]+"))),_xlfn.REGEXEXTRACT(CELL("address",'Raw Data'!G177), "\$([A-Z]+)\$[0-9]+"))</f>
        <v/>
      </c>
      <c r="H177" s="6" t="str" cm="1">
        <f t="array" aca="1" ref="H177" ca="1">IFERROR(IF(OR('Raw Data'!H177="",LEN(TRIM('Raw Data'!H177))=0),"",IF(AND(ISNUMBER('Raw Data'!H177),'Raw Data'!H177=ROUND('Raw Data'!H177,4),IFERROR(ROUND('Raw Data'!H177,4)&lt;=99999999999.99,FALSE))=TRUE,"",_xlfn.REGEXEXTRACT(CELL("address",'Raw Data'!H177), "\$([A-Z]+)\$[0-9]+"))),_xlfn.REGEXEXTRACT(CELL("address",'Raw Data'!H177), "\$([A-Z]+)\$[0-9]+"))</f>
        <v/>
      </c>
      <c r="I177" s="6" t="str" cm="1">
        <f t="array" aca="1" ref="I177" ca="1">IFERROR(IF(OR('Raw Data'!I177="",LEN(TRIM('Raw Data'!I177))=0),"",IF(AND(ISNUMBER('Raw Data'!I177),'Raw Data'!I177=ROUND('Raw Data'!I177,4),IFERROR(ROUND('Raw Data'!I177,4)&lt;=99999999999.99,FALSE))=TRUE,"",_xlfn.REGEXEXTRACT(CELL("address",'Raw Data'!I177), "\$([A-Z]+)\$[0-9]+"))),_xlfn.REGEXEXTRACT(CELL("address",'Raw Data'!I177), "\$([A-Z]+)\$[0-9]+"))</f>
        <v/>
      </c>
      <c r="J177" s="6" t="str" cm="1">
        <f t="array" aca="1" ref="J177" ca="1">IFERROR(IF(OR('Raw Data'!J177="",LEN(TRIM('Raw Data'!J177))=0),"",IF(AND(ISNUMBER('Raw Data'!J177),'Raw Data'!J177=ROUND('Raw Data'!J177,4),IFERROR(ROUND('Raw Data'!J177,4)&lt;=99999999999.99,FALSE))=TRUE,"",_xlfn.REGEXEXTRACT(CELL("address",'Raw Data'!J177), "\$([A-Z]+)\$[0-9]+"))),_xlfn.REGEXEXTRACT(CELL("address",'Raw Data'!J177), "\$([A-Z]+)\$[0-9]+"))</f>
        <v/>
      </c>
    </row>
    <row r="178" spans="2:10" x14ac:dyDescent="0.25">
      <c r="B178" s="6" t="str" cm="1">
        <f t="array" aca="1" ref="B178" ca="1">IFERROR(IF(OR('Raw Data'!B178="",LEN(TRIM('Raw Data'!B178))=0),"",IF(AND(LEN('Raw Data'!B178) &lt;= 255,LEN('Raw Data'!B178)&gt; 0),"",_xlfn.REGEXEXTRACT(CELL("address",'Raw Data'!B178),"\$([A-Z]+)\$[0-9]+"))),_xlfn.REGEXEXTRACT(CELL("address",'Raw Data'!B178),"\$([A-Z]+)\$[0-9]+"))</f>
        <v/>
      </c>
      <c r="C178" s="6" t="str" cm="1">
        <f t="array" aca="1" ref="C178" ca="1">IFERROR(IF(OR('Raw Data'!C178="",LEN(TRIM('Raw Data'!C178))=0),"",IF(AND(LEN('Raw Data'!C178) &lt;= 20,LEN('Raw Data'!C178)&gt; 0),"",_xlfn.REGEXEXTRACT(CELL("address",'Raw Data'!C178),"\$([A-Z]+)\$[0-9]+"))),_xlfn.REGEXEXTRACT(CELL("address",'Raw Data'!C178),"\$([A-Z]+)\$[0-9]+"))</f>
        <v/>
      </c>
      <c r="D178" s="6" t="str" cm="1">
        <f t="array" aca="1" ref="D178" ca="1">IFERROR(IF(OR('Raw Data'!D178="",LEN(TRIM('Raw Data'!D178))=0),"",IF(AND(ISNUMBER('Raw Data'!D178),'Raw Data'!D178&gt;=Configuration!$D$2),"",_xlfn.REGEXEXTRACT(CELL("address",'Raw Data'!D178),"\$([A-Z]+)\$[0-9]+"))),_xlfn.REGEXEXTRACT(CELL("address",D178), "\$([A-Z]+)\$[0-9]+"))</f>
        <v/>
      </c>
      <c r="E178" s="6" t="str" cm="1">
        <f t="array" aca="1" ref="E178" ca="1">IFERROR(IF(OR('Raw Data'!E178="",LEN(TRIM('Raw Data'!E178))=0),"",IF(AND(ISNUMBER('Raw Data'!E178),'Raw Data'!E178=ROUND('Raw Data'!E178,4),IFERROR(ROUND('Raw Data'!E178,4)&lt;=99999999999.99,FALSE))=TRUE,"",_xlfn.REGEXEXTRACT(CELL("address",'Raw Data'!E178), "\$([A-Z]+)\$[0-9]+"))),_xlfn.REGEXEXTRACT(CELL("address",'Raw Data'!E178), "\$([A-Z]+)\$[0-9]+"))</f>
        <v/>
      </c>
      <c r="F178" s="6" t="str" cm="1">
        <f t="array" aca="1" ref="F178" ca="1">IFERROR(IF(OR('Raw Data'!F178="",LEN(TRIM('Raw Data'!F178))=0),"",IF(AND(ISNUMBER('Raw Data'!F178),'Raw Data'!F178=ROUND('Raw Data'!F178,4),IFERROR(ROUND('Raw Data'!F178,4)&lt;=99999999999.99,FALSE))=TRUE,"",_xlfn.REGEXEXTRACT(CELL("address",'Raw Data'!F178), "\$([A-Z]+)\$[0-9]+"))),_xlfn.REGEXEXTRACT(CELL("address",'Raw Data'!F178), "\$([A-Z]+)\$[0-9]+"))</f>
        <v/>
      </c>
      <c r="G178" s="6" t="str" cm="1">
        <f t="array" aca="1" ref="G178" ca="1">IFERROR(IF(OR('Raw Data'!G178="",LEN(TRIM('Raw Data'!G178))=0),"",IF(AND(ISNUMBER('Raw Data'!G178),'Raw Data'!G178=ROUND('Raw Data'!G178,4),IFERROR(ROUND('Raw Data'!G178,4)&lt;=99999999999.99,FALSE))=TRUE,"",_xlfn.REGEXEXTRACT(CELL("address",'Raw Data'!G178), "\$([A-Z]+)\$[0-9]+"))),_xlfn.REGEXEXTRACT(CELL("address",'Raw Data'!G178), "\$([A-Z]+)\$[0-9]+"))</f>
        <v/>
      </c>
      <c r="H178" s="6" t="str" cm="1">
        <f t="array" aca="1" ref="H178" ca="1">IFERROR(IF(OR('Raw Data'!H178="",LEN(TRIM('Raw Data'!H178))=0),"",IF(AND(ISNUMBER('Raw Data'!H178),'Raw Data'!H178=ROUND('Raw Data'!H178,4),IFERROR(ROUND('Raw Data'!H178,4)&lt;=99999999999.99,FALSE))=TRUE,"",_xlfn.REGEXEXTRACT(CELL("address",'Raw Data'!H178), "\$([A-Z]+)\$[0-9]+"))),_xlfn.REGEXEXTRACT(CELL("address",'Raw Data'!H178), "\$([A-Z]+)\$[0-9]+"))</f>
        <v/>
      </c>
      <c r="I178" s="6" t="str" cm="1">
        <f t="array" aca="1" ref="I178" ca="1">IFERROR(IF(OR('Raw Data'!I178="",LEN(TRIM('Raw Data'!I178))=0),"",IF(AND(ISNUMBER('Raw Data'!I178),'Raw Data'!I178=ROUND('Raw Data'!I178,4),IFERROR(ROUND('Raw Data'!I178,4)&lt;=99999999999.99,FALSE))=TRUE,"",_xlfn.REGEXEXTRACT(CELL("address",'Raw Data'!I178), "\$([A-Z]+)\$[0-9]+"))),_xlfn.REGEXEXTRACT(CELL("address",'Raw Data'!I178), "\$([A-Z]+)\$[0-9]+"))</f>
        <v/>
      </c>
      <c r="J178" s="6" t="str" cm="1">
        <f t="array" aca="1" ref="J178" ca="1">IFERROR(IF(OR('Raw Data'!J178="",LEN(TRIM('Raw Data'!J178))=0),"",IF(AND(ISNUMBER('Raw Data'!J178),'Raw Data'!J178=ROUND('Raw Data'!J178,4),IFERROR(ROUND('Raw Data'!J178,4)&lt;=99999999999.99,FALSE))=TRUE,"",_xlfn.REGEXEXTRACT(CELL("address",'Raw Data'!J178), "\$([A-Z]+)\$[0-9]+"))),_xlfn.REGEXEXTRACT(CELL("address",'Raw Data'!J178), "\$([A-Z]+)\$[0-9]+"))</f>
        <v/>
      </c>
    </row>
    <row r="179" spans="2:10" x14ac:dyDescent="0.25">
      <c r="B179" s="6" t="str" cm="1">
        <f t="array" aca="1" ref="B179" ca="1">IFERROR(IF(OR('Raw Data'!B179="",LEN(TRIM('Raw Data'!B179))=0),"",IF(AND(LEN('Raw Data'!B179) &lt;= 255,LEN('Raw Data'!B179)&gt; 0),"",_xlfn.REGEXEXTRACT(CELL("address",'Raw Data'!B179),"\$([A-Z]+)\$[0-9]+"))),_xlfn.REGEXEXTRACT(CELL("address",'Raw Data'!B179),"\$([A-Z]+)\$[0-9]+"))</f>
        <v/>
      </c>
      <c r="C179" s="6" t="str" cm="1">
        <f t="array" aca="1" ref="C179" ca="1">IFERROR(IF(OR('Raw Data'!C179="",LEN(TRIM('Raw Data'!C179))=0),"",IF(AND(LEN('Raw Data'!C179) &lt;= 20,LEN('Raw Data'!C179)&gt; 0),"",_xlfn.REGEXEXTRACT(CELL("address",'Raw Data'!C179),"\$([A-Z]+)\$[0-9]+"))),_xlfn.REGEXEXTRACT(CELL("address",'Raw Data'!C179),"\$([A-Z]+)\$[0-9]+"))</f>
        <v/>
      </c>
      <c r="D179" s="6" t="str" cm="1">
        <f t="array" aca="1" ref="D179" ca="1">IFERROR(IF(OR('Raw Data'!D179="",LEN(TRIM('Raw Data'!D179))=0),"",IF(AND(ISNUMBER('Raw Data'!D179),'Raw Data'!D179&gt;=Configuration!$D$2),"",_xlfn.REGEXEXTRACT(CELL("address",'Raw Data'!D179),"\$([A-Z]+)\$[0-9]+"))),_xlfn.REGEXEXTRACT(CELL("address",D179), "\$([A-Z]+)\$[0-9]+"))</f>
        <v/>
      </c>
      <c r="E179" s="6" t="str" cm="1">
        <f t="array" aca="1" ref="E179" ca="1">IFERROR(IF(OR('Raw Data'!E179="",LEN(TRIM('Raw Data'!E179))=0),"",IF(AND(ISNUMBER('Raw Data'!E179),'Raw Data'!E179=ROUND('Raw Data'!E179,4),IFERROR(ROUND('Raw Data'!E179,4)&lt;=99999999999.99,FALSE))=TRUE,"",_xlfn.REGEXEXTRACT(CELL("address",'Raw Data'!E179), "\$([A-Z]+)\$[0-9]+"))),_xlfn.REGEXEXTRACT(CELL("address",'Raw Data'!E179), "\$([A-Z]+)\$[0-9]+"))</f>
        <v/>
      </c>
      <c r="F179" s="6" t="str" cm="1">
        <f t="array" aca="1" ref="F179" ca="1">IFERROR(IF(OR('Raw Data'!F179="",LEN(TRIM('Raw Data'!F179))=0),"",IF(AND(ISNUMBER('Raw Data'!F179),'Raw Data'!F179=ROUND('Raw Data'!F179,4),IFERROR(ROUND('Raw Data'!F179,4)&lt;=99999999999.99,FALSE))=TRUE,"",_xlfn.REGEXEXTRACT(CELL("address",'Raw Data'!F179), "\$([A-Z]+)\$[0-9]+"))),_xlfn.REGEXEXTRACT(CELL("address",'Raw Data'!F179), "\$([A-Z]+)\$[0-9]+"))</f>
        <v/>
      </c>
      <c r="G179" s="6" t="str" cm="1">
        <f t="array" aca="1" ref="G179" ca="1">IFERROR(IF(OR('Raw Data'!G179="",LEN(TRIM('Raw Data'!G179))=0),"",IF(AND(ISNUMBER('Raw Data'!G179),'Raw Data'!G179=ROUND('Raw Data'!G179,4),IFERROR(ROUND('Raw Data'!G179,4)&lt;=99999999999.99,FALSE))=TRUE,"",_xlfn.REGEXEXTRACT(CELL("address",'Raw Data'!G179), "\$([A-Z]+)\$[0-9]+"))),_xlfn.REGEXEXTRACT(CELL("address",'Raw Data'!G179), "\$([A-Z]+)\$[0-9]+"))</f>
        <v/>
      </c>
      <c r="H179" s="6" t="str" cm="1">
        <f t="array" aca="1" ref="H179" ca="1">IFERROR(IF(OR('Raw Data'!H179="",LEN(TRIM('Raw Data'!H179))=0),"",IF(AND(ISNUMBER('Raw Data'!H179),'Raw Data'!H179=ROUND('Raw Data'!H179,4),IFERROR(ROUND('Raw Data'!H179,4)&lt;=99999999999.99,FALSE))=TRUE,"",_xlfn.REGEXEXTRACT(CELL("address",'Raw Data'!H179), "\$([A-Z]+)\$[0-9]+"))),_xlfn.REGEXEXTRACT(CELL("address",'Raw Data'!H179), "\$([A-Z]+)\$[0-9]+"))</f>
        <v/>
      </c>
      <c r="I179" s="6" t="str" cm="1">
        <f t="array" aca="1" ref="I179" ca="1">IFERROR(IF(OR('Raw Data'!I179="",LEN(TRIM('Raw Data'!I179))=0),"",IF(AND(ISNUMBER('Raw Data'!I179),'Raw Data'!I179=ROUND('Raw Data'!I179,4),IFERROR(ROUND('Raw Data'!I179,4)&lt;=99999999999.99,FALSE))=TRUE,"",_xlfn.REGEXEXTRACT(CELL("address",'Raw Data'!I179), "\$([A-Z]+)\$[0-9]+"))),_xlfn.REGEXEXTRACT(CELL("address",'Raw Data'!I179), "\$([A-Z]+)\$[0-9]+"))</f>
        <v/>
      </c>
      <c r="J179" s="6" t="str" cm="1">
        <f t="array" aca="1" ref="J179" ca="1">IFERROR(IF(OR('Raw Data'!J179="",LEN(TRIM('Raw Data'!J179))=0),"",IF(AND(ISNUMBER('Raw Data'!J179),'Raw Data'!J179=ROUND('Raw Data'!J179,4),IFERROR(ROUND('Raw Data'!J179,4)&lt;=99999999999.99,FALSE))=TRUE,"",_xlfn.REGEXEXTRACT(CELL("address",'Raw Data'!J179), "\$([A-Z]+)\$[0-9]+"))),_xlfn.REGEXEXTRACT(CELL("address",'Raw Data'!J179), "\$([A-Z]+)\$[0-9]+"))</f>
        <v/>
      </c>
    </row>
    <row r="180" spans="2:10" x14ac:dyDescent="0.25">
      <c r="B180" s="6" t="str" cm="1">
        <f t="array" aca="1" ref="B180" ca="1">IFERROR(IF(OR('Raw Data'!B180="",LEN(TRIM('Raw Data'!B180))=0),"",IF(AND(LEN('Raw Data'!B180) &lt;= 255,LEN('Raw Data'!B180)&gt; 0),"",_xlfn.REGEXEXTRACT(CELL("address",'Raw Data'!B180),"\$([A-Z]+)\$[0-9]+"))),_xlfn.REGEXEXTRACT(CELL("address",'Raw Data'!B180),"\$([A-Z]+)\$[0-9]+"))</f>
        <v/>
      </c>
      <c r="C180" s="6" t="str" cm="1">
        <f t="array" aca="1" ref="C180" ca="1">IFERROR(IF(OR('Raw Data'!C180="",LEN(TRIM('Raw Data'!C180))=0),"",IF(AND(LEN('Raw Data'!C180) &lt;= 20,LEN('Raw Data'!C180)&gt; 0),"",_xlfn.REGEXEXTRACT(CELL("address",'Raw Data'!C180),"\$([A-Z]+)\$[0-9]+"))),_xlfn.REGEXEXTRACT(CELL("address",'Raw Data'!C180),"\$([A-Z]+)\$[0-9]+"))</f>
        <v/>
      </c>
      <c r="D180" s="6" t="str" cm="1">
        <f t="array" aca="1" ref="D180" ca="1">IFERROR(IF(OR('Raw Data'!D180="",LEN(TRIM('Raw Data'!D180))=0),"",IF(AND(ISNUMBER('Raw Data'!D180),'Raw Data'!D180&gt;=Configuration!$D$2),"",_xlfn.REGEXEXTRACT(CELL("address",'Raw Data'!D180),"\$([A-Z]+)\$[0-9]+"))),_xlfn.REGEXEXTRACT(CELL("address",D180), "\$([A-Z]+)\$[0-9]+"))</f>
        <v/>
      </c>
      <c r="E180" s="6" t="str" cm="1">
        <f t="array" aca="1" ref="E180" ca="1">IFERROR(IF(OR('Raw Data'!E180="",LEN(TRIM('Raw Data'!E180))=0),"",IF(AND(ISNUMBER('Raw Data'!E180),'Raw Data'!E180=ROUND('Raw Data'!E180,4),IFERROR(ROUND('Raw Data'!E180,4)&lt;=99999999999.99,FALSE))=TRUE,"",_xlfn.REGEXEXTRACT(CELL("address",'Raw Data'!E180), "\$([A-Z]+)\$[0-9]+"))),_xlfn.REGEXEXTRACT(CELL("address",'Raw Data'!E180), "\$([A-Z]+)\$[0-9]+"))</f>
        <v/>
      </c>
      <c r="F180" s="6" t="str" cm="1">
        <f t="array" aca="1" ref="F180" ca="1">IFERROR(IF(OR('Raw Data'!F180="",LEN(TRIM('Raw Data'!F180))=0),"",IF(AND(ISNUMBER('Raw Data'!F180),'Raw Data'!F180=ROUND('Raw Data'!F180,4),IFERROR(ROUND('Raw Data'!F180,4)&lt;=99999999999.99,FALSE))=TRUE,"",_xlfn.REGEXEXTRACT(CELL("address",'Raw Data'!F180), "\$([A-Z]+)\$[0-9]+"))),_xlfn.REGEXEXTRACT(CELL("address",'Raw Data'!F180), "\$([A-Z]+)\$[0-9]+"))</f>
        <v/>
      </c>
      <c r="G180" s="6" t="str" cm="1">
        <f t="array" aca="1" ref="G180" ca="1">IFERROR(IF(OR('Raw Data'!G180="",LEN(TRIM('Raw Data'!G180))=0),"",IF(AND(ISNUMBER('Raw Data'!G180),'Raw Data'!G180=ROUND('Raw Data'!G180,4),IFERROR(ROUND('Raw Data'!G180,4)&lt;=99999999999.99,FALSE))=TRUE,"",_xlfn.REGEXEXTRACT(CELL("address",'Raw Data'!G180), "\$([A-Z]+)\$[0-9]+"))),_xlfn.REGEXEXTRACT(CELL("address",'Raw Data'!G180), "\$([A-Z]+)\$[0-9]+"))</f>
        <v/>
      </c>
      <c r="H180" s="6" t="str" cm="1">
        <f t="array" aca="1" ref="H180" ca="1">IFERROR(IF(OR('Raw Data'!H180="",LEN(TRIM('Raw Data'!H180))=0),"",IF(AND(ISNUMBER('Raw Data'!H180),'Raw Data'!H180=ROUND('Raw Data'!H180,4),IFERROR(ROUND('Raw Data'!H180,4)&lt;=99999999999.99,FALSE))=TRUE,"",_xlfn.REGEXEXTRACT(CELL("address",'Raw Data'!H180), "\$([A-Z]+)\$[0-9]+"))),_xlfn.REGEXEXTRACT(CELL("address",'Raw Data'!H180), "\$([A-Z]+)\$[0-9]+"))</f>
        <v/>
      </c>
      <c r="I180" s="6" t="str" cm="1">
        <f t="array" aca="1" ref="I180" ca="1">IFERROR(IF(OR('Raw Data'!I180="",LEN(TRIM('Raw Data'!I180))=0),"",IF(AND(ISNUMBER('Raw Data'!I180),'Raw Data'!I180=ROUND('Raw Data'!I180,4),IFERROR(ROUND('Raw Data'!I180,4)&lt;=99999999999.99,FALSE))=TRUE,"",_xlfn.REGEXEXTRACT(CELL("address",'Raw Data'!I180), "\$([A-Z]+)\$[0-9]+"))),_xlfn.REGEXEXTRACT(CELL("address",'Raw Data'!I180), "\$([A-Z]+)\$[0-9]+"))</f>
        <v/>
      </c>
      <c r="J180" s="6" t="str" cm="1">
        <f t="array" aca="1" ref="J180" ca="1">IFERROR(IF(OR('Raw Data'!J180="",LEN(TRIM('Raw Data'!J180))=0),"",IF(AND(ISNUMBER('Raw Data'!J180),'Raw Data'!J180=ROUND('Raw Data'!J180,4),IFERROR(ROUND('Raw Data'!J180,4)&lt;=99999999999.99,FALSE))=TRUE,"",_xlfn.REGEXEXTRACT(CELL("address",'Raw Data'!J180), "\$([A-Z]+)\$[0-9]+"))),_xlfn.REGEXEXTRACT(CELL("address",'Raw Data'!J180), "\$([A-Z]+)\$[0-9]+"))</f>
        <v/>
      </c>
    </row>
    <row r="181" spans="2:10" x14ac:dyDescent="0.25">
      <c r="B181" s="6" t="str" cm="1">
        <f t="array" aca="1" ref="B181" ca="1">IFERROR(IF(OR('Raw Data'!B181="",LEN(TRIM('Raw Data'!B181))=0),"",IF(AND(LEN('Raw Data'!B181) &lt;= 255,LEN('Raw Data'!B181)&gt; 0),"",_xlfn.REGEXEXTRACT(CELL("address",'Raw Data'!B181),"\$([A-Z]+)\$[0-9]+"))),_xlfn.REGEXEXTRACT(CELL("address",'Raw Data'!B181),"\$([A-Z]+)\$[0-9]+"))</f>
        <v/>
      </c>
      <c r="C181" s="6" t="str" cm="1">
        <f t="array" aca="1" ref="C181" ca="1">IFERROR(IF(OR('Raw Data'!C181="",LEN(TRIM('Raw Data'!C181))=0),"",IF(AND(LEN('Raw Data'!C181) &lt;= 20,LEN('Raw Data'!C181)&gt; 0),"",_xlfn.REGEXEXTRACT(CELL("address",'Raw Data'!C181),"\$([A-Z]+)\$[0-9]+"))),_xlfn.REGEXEXTRACT(CELL("address",'Raw Data'!C181),"\$([A-Z]+)\$[0-9]+"))</f>
        <v/>
      </c>
      <c r="D181" s="6" t="str" cm="1">
        <f t="array" aca="1" ref="D181" ca="1">IFERROR(IF(OR('Raw Data'!D181="",LEN(TRIM('Raw Data'!D181))=0),"",IF(AND(ISNUMBER('Raw Data'!D181),'Raw Data'!D181&gt;=Configuration!$D$2),"",_xlfn.REGEXEXTRACT(CELL("address",'Raw Data'!D181),"\$([A-Z]+)\$[0-9]+"))),_xlfn.REGEXEXTRACT(CELL("address",D181), "\$([A-Z]+)\$[0-9]+"))</f>
        <v/>
      </c>
      <c r="E181" s="6" t="str" cm="1">
        <f t="array" aca="1" ref="E181" ca="1">IFERROR(IF(OR('Raw Data'!E181="",LEN(TRIM('Raw Data'!E181))=0),"",IF(AND(ISNUMBER('Raw Data'!E181),'Raw Data'!E181=ROUND('Raw Data'!E181,4),IFERROR(ROUND('Raw Data'!E181,4)&lt;=99999999999.99,FALSE))=TRUE,"",_xlfn.REGEXEXTRACT(CELL("address",'Raw Data'!E181), "\$([A-Z]+)\$[0-9]+"))),_xlfn.REGEXEXTRACT(CELL("address",'Raw Data'!E181), "\$([A-Z]+)\$[0-9]+"))</f>
        <v/>
      </c>
      <c r="F181" s="6" t="str" cm="1">
        <f t="array" aca="1" ref="F181" ca="1">IFERROR(IF(OR('Raw Data'!F181="",LEN(TRIM('Raw Data'!F181))=0),"",IF(AND(ISNUMBER('Raw Data'!F181),'Raw Data'!F181=ROUND('Raw Data'!F181,4),IFERROR(ROUND('Raw Data'!F181,4)&lt;=99999999999.99,FALSE))=TRUE,"",_xlfn.REGEXEXTRACT(CELL("address",'Raw Data'!F181), "\$([A-Z]+)\$[0-9]+"))),_xlfn.REGEXEXTRACT(CELL("address",'Raw Data'!F181), "\$([A-Z]+)\$[0-9]+"))</f>
        <v/>
      </c>
      <c r="G181" s="6" t="str" cm="1">
        <f t="array" aca="1" ref="G181" ca="1">IFERROR(IF(OR('Raw Data'!G181="",LEN(TRIM('Raw Data'!G181))=0),"",IF(AND(ISNUMBER('Raw Data'!G181),'Raw Data'!G181=ROUND('Raw Data'!G181,4),IFERROR(ROUND('Raw Data'!G181,4)&lt;=99999999999.99,FALSE))=TRUE,"",_xlfn.REGEXEXTRACT(CELL("address",'Raw Data'!G181), "\$([A-Z]+)\$[0-9]+"))),_xlfn.REGEXEXTRACT(CELL("address",'Raw Data'!G181), "\$([A-Z]+)\$[0-9]+"))</f>
        <v/>
      </c>
      <c r="H181" s="6" t="str" cm="1">
        <f t="array" aca="1" ref="H181" ca="1">IFERROR(IF(OR('Raw Data'!H181="",LEN(TRIM('Raw Data'!H181))=0),"",IF(AND(ISNUMBER('Raw Data'!H181),'Raw Data'!H181=ROUND('Raw Data'!H181,4),IFERROR(ROUND('Raw Data'!H181,4)&lt;=99999999999.99,FALSE))=TRUE,"",_xlfn.REGEXEXTRACT(CELL("address",'Raw Data'!H181), "\$([A-Z]+)\$[0-9]+"))),_xlfn.REGEXEXTRACT(CELL("address",'Raw Data'!H181), "\$([A-Z]+)\$[0-9]+"))</f>
        <v/>
      </c>
      <c r="I181" s="6" t="str" cm="1">
        <f t="array" aca="1" ref="I181" ca="1">IFERROR(IF(OR('Raw Data'!I181="",LEN(TRIM('Raw Data'!I181))=0),"",IF(AND(ISNUMBER('Raw Data'!I181),'Raw Data'!I181=ROUND('Raw Data'!I181,4),IFERROR(ROUND('Raw Data'!I181,4)&lt;=99999999999.99,FALSE))=TRUE,"",_xlfn.REGEXEXTRACT(CELL("address",'Raw Data'!I181), "\$([A-Z]+)\$[0-9]+"))),_xlfn.REGEXEXTRACT(CELL("address",'Raw Data'!I181), "\$([A-Z]+)\$[0-9]+"))</f>
        <v/>
      </c>
      <c r="J181" s="6" t="str" cm="1">
        <f t="array" aca="1" ref="J181" ca="1">IFERROR(IF(OR('Raw Data'!J181="",LEN(TRIM('Raw Data'!J181))=0),"",IF(AND(ISNUMBER('Raw Data'!J181),'Raw Data'!J181=ROUND('Raw Data'!J181,4),IFERROR(ROUND('Raw Data'!J181,4)&lt;=99999999999.99,FALSE))=TRUE,"",_xlfn.REGEXEXTRACT(CELL("address",'Raw Data'!J181), "\$([A-Z]+)\$[0-9]+"))),_xlfn.REGEXEXTRACT(CELL("address",'Raw Data'!J181), "\$([A-Z]+)\$[0-9]+"))</f>
        <v/>
      </c>
    </row>
    <row r="182" spans="2:10" x14ac:dyDescent="0.25">
      <c r="B182" s="6" t="str" cm="1">
        <f t="array" aca="1" ref="B182" ca="1">IFERROR(IF(OR('Raw Data'!B182="",LEN(TRIM('Raw Data'!B182))=0),"",IF(AND(LEN('Raw Data'!B182) &lt;= 255,LEN('Raw Data'!B182)&gt; 0),"",_xlfn.REGEXEXTRACT(CELL("address",'Raw Data'!B182),"\$([A-Z]+)\$[0-9]+"))),_xlfn.REGEXEXTRACT(CELL("address",'Raw Data'!B182),"\$([A-Z]+)\$[0-9]+"))</f>
        <v/>
      </c>
      <c r="C182" s="6" t="str" cm="1">
        <f t="array" aca="1" ref="C182" ca="1">IFERROR(IF(OR('Raw Data'!C182="",LEN(TRIM('Raw Data'!C182))=0),"",IF(AND(LEN('Raw Data'!C182) &lt;= 20,LEN('Raw Data'!C182)&gt; 0),"",_xlfn.REGEXEXTRACT(CELL("address",'Raw Data'!C182),"\$([A-Z]+)\$[0-9]+"))),_xlfn.REGEXEXTRACT(CELL("address",'Raw Data'!C182),"\$([A-Z]+)\$[0-9]+"))</f>
        <v/>
      </c>
      <c r="D182" s="6" t="str" cm="1">
        <f t="array" aca="1" ref="D182" ca="1">IFERROR(IF(OR('Raw Data'!D182="",LEN(TRIM('Raw Data'!D182))=0),"",IF(AND(ISNUMBER('Raw Data'!D182),'Raw Data'!D182&gt;=Configuration!$D$2),"",_xlfn.REGEXEXTRACT(CELL("address",'Raw Data'!D182),"\$([A-Z]+)\$[0-9]+"))),_xlfn.REGEXEXTRACT(CELL("address",D182), "\$([A-Z]+)\$[0-9]+"))</f>
        <v/>
      </c>
      <c r="E182" s="6" t="str" cm="1">
        <f t="array" aca="1" ref="E182" ca="1">IFERROR(IF(OR('Raw Data'!E182="",LEN(TRIM('Raw Data'!E182))=0),"",IF(AND(ISNUMBER('Raw Data'!E182),'Raw Data'!E182=ROUND('Raw Data'!E182,4),IFERROR(ROUND('Raw Data'!E182,4)&lt;=99999999999.99,FALSE))=TRUE,"",_xlfn.REGEXEXTRACT(CELL("address",'Raw Data'!E182), "\$([A-Z]+)\$[0-9]+"))),_xlfn.REGEXEXTRACT(CELL("address",'Raw Data'!E182), "\$([A-Z]+)\$[0-9]+"))</f>
        <v/>
      </c>
      <c r="F182" s="6" t="str" cm="1">
        <f t="array" aca="1" ref="F182" ca="1">IFERROR(IF(OR('Raw Data'!F182="",LEN(TRIM('Raw Data'!F182))=0),"",IF(AND(ISNUMBER('Raw Data'!F182),'Raw Data'!F182=ROUND('Raw Data'!F182,4),IFERROR(ROUND('Raw Data'!F182,4)&lt;=99999999999.99,FALSE))=TRUE,"",_xlfn.REGEXEXTRACT(CELL("address",'Raw Data'!F182), "\$([A-Z]+)\$[0-9]+"))),_xlfn.REGEXEXTRACT(CELL("address",'Raw Data'!F182), "\$([A-Z]+)\$[0-9]+"))</f>
        <v/>
      </c>
      <c r="G182" s="6" t="str" cm="1">
        <f t="array" aca="1" ref="G182" ca="1">IFERROR(IF(OR('Raw Data'!G182="",LEN(TRIM('Raw Data'!G182))=0),"",IF(AND(ISNUMBER('Raw Data'!G182),'Raw Data'!G182=ROUND('Raw Data'!G182,4),IFERROR(ROUND('Raw Data'!G182,4)&lt;=99999999999.99,FALSE))=TRUE,"",_xlfn.REGEXEXTRACT(CELL("address",'Raw Data'!G182), "\$([A-Z]+)\$[0-9]+"))),_xlfn.REGEXEXTRACT(CELL("address",'Raw Data'!G182), "\$([A-Z]+)\$[0-9]+"))</f>
        <v/>
      </c>
      <c r="H182" s="6" t="str" cm="1">
        <f t="array" aca="1" ref="H182" ca="1">IFERROR(IF(OR('Raw Data'!H182="",LEN(TRIM('Raw Data'!H182))=0),"",IF(AND(ISNUMBER('Raw Data'!H182),'Raw Data'!H182=ROUND('Raw Data'!H182,4),IFERROR(ROUND('Raw Data'!H182,4)&lt;=99999999999.99,FALSE))=TRUE,"",_xlfn.REGEXEXTRACT(CELL("address",'Raw Data'!H182), "\$([A-Z]+)\$[0-9]+"))),_xlfn.REGEXEXTRACT(CELL("address",'Raw Data'!H182), "\$([A-Z]+)\$[0-9]+"))</f>
        <v/>
      </c>
      <c r="I182" s="6" t="str" cm="1">
        <f t="array" aca="1" ref="I182" ca="1">IFERROR(IF(OR('Raw Data'!I182="",LEN(TRIM('Raw Data'!I182))=0),"",IF(AND(ISNUMBER('Raw Data'!I182),'Raw Data'!I182=ROUND('Raw Data'!I182,4),IFERROR(ROUND('Raw Data'!I182,4)&lt;=99999999999.99,FALSE))=TRUE,"",_xlfn.REGEXEXTRACT(CELL("address",'Raw Data'!I182), "\$([A-Z]+)\$[0-9]+"))),_xlfn.REGEXEXTRACT(CELL("address",'Raw Data'!I182), "\$([A-Z]+)\$[0-9]+"))</f>
        <v/>
      </c>
      <c r="J182" s="6" t="str" cm="1">
        <f t="array" aca="1" ref="J182" ca="1">IFERROR(IF(OR('Raw Data'!J182="",LEN(TRIM('Raw Data'!J182))=0),"",IF(AND(ISNUMBER('Raw Data'!J182),'Raw Data'!J182=ROUND('Raw Data'!J182,4),IFERROR(ROUND('Raw Data'!J182,4)&lt;=99999999999.99,FALSE))=TRUE,"",_xlfn.REGEXEXTRACT(CELL("address",'Raw Data'!J182), "\$([A-Z]+)\$[0-9]+"))),_xlfn.REGEXEXTRACT(CELL("address",'Raw Data'!J182), "\$([A-Z]+)\$[0-9]+"))</f>
        <v/>
      </c>
    </row>
    <row r="183" spans="2:10" x14ac:dyDescent="0.25">
      <c r="B183" s="6" t="str" cm="1">
        <f t="array" aca="1" ref="B183" ca="1">IFERROR(IF(OR('Raw Data'!B183="",LEN(TRIM('Raw Data'!B183))=0),"",IF(AND(LEN('Raw Data'!B183) &lt;= 255,LEN('Raw Data'!B183)&gt; 0),"",_xlfn.REGEXEXTRACT(CELL("address",'Raw Data'!B183),"\$([A-Z]+)\$[0-9]+"))),_xlfn.REGEXEXTRACT(CELL("address",'Raw Data'!B183),"\$([A-Z]+)\$[0-9]+"))</f>
        <v/>
      </c>
      <c r="C183" s="6" t="str" cm="1">
        <f t="array" aca="1" ref="C183" ca="1">IFERROR(IF(OR('Raw Data'!C183="",LEN(TRIM('Raw Data'!C183))=0),"",IF(AND(LEN('Raw Data'!C183) &lt;= 20,LEN('Raw Data'!C183)&gt; 0),"",_xlfn.REGEXEXTRACT(CELL("address",'Raw Data'!C183),"\$([A-Z]+)\$[0-9]+"))),_xlfn.REGEXEXTRACT(CELL("address",'Raw Data'!C183),"\$([A-Z]+)\$[0-9]+"))</f>
        <v/>
      </c>
      <c r="D183" s="6" t="str" cm="1">
        <f t="array" aca="1" ref="D183" ca="1">IFERROR(IF(OR('Raw Data'!D183="",LEN(TRIM('Raw Data'!D183))=0),"",IF(AND(ISNUMBER('Raw Data'!D183),'Raw Data'!D183&gt;=Configuration!$D$2),"",_xlfn.REGEXEXTRACT(CELL("address",'Raw Data'!D183),"\$([A-Z]+)\$[0-9]+"))),_xlfn.REGEXEXTRACT(CELL("address",D183), "\$([A-Z]+)\$[0-9]+"))</f>
        <v/>
      </c>
      <c r="E183" s="6" t="str" cm="1">
        <f t="array" aca="1" ref="E183" ca="1">IFERROR(IF(OR('Raw Data'!E183="",LEN(TRIM('Raw Data'!E183))=0),"",IF(AND(ISNUMBER('Raw Data'!E183),'Raw Data'!E183=ROUND('Raw Data'!E183,4),IFERROR(ROUND('Raw Data'!E183,4)&lt;=99999999999.99,FALSE))=TRUE,"",_xlfn.REGEXEXTRACT(CELL("address",'Raw Data'!E183), "\$([A-Z]+)\$[0-9]+"))),_xlfn.REGEXEXTRACT(CELL("address",'Raw Data'!E183), "\$([A-Z]+)\$[0-9]+"))</f>
        <v/>
      </c>
      <c r="F183" s="6" t="str" cm="1">
        <f t="array" aca="1" ref="F183" ca="1">IFERROR(IF(OR('Raw Data'!F183="",LEN(TRIM('Raw Data'!F183))=0),"",IF(AND(ISNUMBER('Raw Data'!F183),'Raw Data'!F183=ROUND('Raw Data'!F183,4),IFERROR(ROUND('Raw Data'!F183,4)&lt;=99999999999.99,FALSE))=TRUE,"",_xlfn.REGEXEXTRACT(CELL("address",'Raw Data'!F183), "\$([A-Z]+)\$[0-9]+"))),_xlfn.REGEXEXTRACT(CELL("address",'Raw Data'!F183), "\$([A-Z]+)\$[0-9]+"))</f>
        <v/>
      </c>
      <c r="G183" s="6" t="str" cm="1">
        <f t="array" aca="1" ref="G183" ca="1">IFERROR(IF(OR('Raw Data'!G183="",LEN(TRIM('Raw Data'!G183))=0),"",IF(AND(ISNUMBER('Raw Data'!G183),'Raw Data'!G183=ROUND('Raw Data'!G183,4),IFERROR(ROUND('Raw Data'!G183,4)&lt;=99999999999.99,FALSE))=TRUE,"",_xlfn.REGEXEXTRACT(CELL("address",'Raw Data'!G183), "\$([A-Z]+)\$[0-9]+"))),_xlfn.REGEXEXTRACT(CELL("address",'Raw Data'!G183), "\$([A-Z]+)\$[0-9]+"))</f>
        <v/>
      </c>
      <c r="H183" s="6" t="str" cm="1">
        <f t="array" aca="1" ref="H183" ca="1">IFERROR(IF(OR('Raw Data'!H183="",LEN(TRIM('Raw Data'!H183))=0),"",IF(AND(ISNUMBER('Raw Data'!H183),'Raw Data'!H183=ROUND('Raw Data'!H183,4),IFERROR(ROUND('Raw Data'!H183,4)&lt;=99999999999.99,FALSE))=TRUE,"",_xlfn.REGEXEXTRACT(CELL("address",'Raw Data'!H183), "\$([A-Z]+)\$[0-9]+"))),_xlfn.REGEXEXTRACT(CELL("address",'Raw Data'!H183), "\$([A-Z]+)\$[0-9]+"))</f>
        <v/>
      </c>
      <c r="I183" s="6" t="str" cm="1">
        <f t="array" aca="1" ref="I183" ca="1">IFERROR(IF(OR('Raw Data'!I183="",LEN(TRIM('Raw Data'!I183))=0),"",IF(AND(ISNUMBER('Raw Data'!I183),'Raw Data'!I183=ROUND('Raw Data'!I183,4),IFERROR(ROUND('Raw Data'!I183,4)&lt;=99999999999.99,FALSE))=TRUE,"",_xlfn.REGEXEXTRACT(CELL("address",'Raw Data'!I183), "\$([A-Z]+)\$[0-9]+"))),_xlfn.REGEXEXTRACT(CELL("address",'Raw Data'!I183), "\$([A-Z]+)\$[0-9]+"))</f>
        <v/>
      </c>
      <c r="J183" s="6" t="str" cm="1">
        <f t="array" aca="1" ref="J183" ca="1">IFERROR(IF(OR('Raw Data'!J183="",LEN(TRIM('Raw Data'!J183))=0),"",IF(AND(ISNUMBER('Raw Data'!J183),'Raw Data'!J183=ROUND('Raw Data'!J183,4),IFERROR(ROUND('Raw Data'!J183,4)&lt;=99999999999.99,FALSE))=TRUE,"",_xlfn.REGEXEXTRACT(CELL("address",'Raw Data'!J183), "\$([A-Z]+)\$[0-9]+"))),_xlfn.REGEXEXTRACT(CELL("address",'Raw Data'!J183), "\$([A-Z]+)\$[0-9]+"))</f>
        <v/>
      </c>
    </row>
    <row r="184" spans="2:10" x14ac:dyDescent="0.25">
      <c r="B184" s="6" t="str" cm="1">
        <f t="array" aca="1" ref="B184" ca="1">IFERROR(IF(OR('Raw Data'!B184="",LEN(TRIM('Raw Data'!B184))=0),"",IF(AND(LEN('Raw Data'!B184) &lt;= 255,LEN('Raw Data'!B184)&gt; 0),"",_xlfn.REGEXEXTRACT(CELL("address",'Raw Data'!B184),"\$([A-Z]+)\$[0-9]+"))),_xlfn.REGEXEXTRACT(CELL("address",'Raw Data'!B184),"\$([A-Z]+)\$[0-9]+"))</f>
        <v/>
      </c>
      <c r="C184" s="6" t="str" cm="1">
        <f t="array" aca="1" ref="C184" ca="1">IFERROR(IF(OR('Raw Data'!C184="",LEN(TRIM('Raw Data'!C184))=0),"",IF(AND(LEN('Raw Data'!C184) &lt;= 20,LEN('Raw Data'!C184)&gt; 0),"",_xlfn.REGEXEXTRACT(CELL("address",'Raw Data'!C184),"\$([A-Z]+)\$[0-9]+"))),_xlfn.REGEXEXTRACT(CELL("address",'Raw Data'!C184),"\$([A-Z]+)\$[0-9]+"))</f>
        <v/>
      </c>
      <c r="D184" s="6" t="str" cm="1">
        <f t="array" aca="1" ref="D184" ca="1">IFERROR(IF(OR('Raw Data'!D184="",LEN(TRIM('Raw Data'!D184))=0),"",IF(AND(ISNUMBER('Raw Data'!D184),'Raw Data'!D184&gt;=Configuration!$D$2),"",_xlfn.REGEXEXTRACT(CELL("address",'Raw Data'!D184),"\$([A-Z]+)\$[0-9]+"))),_xlfn.REGEXEXTRACT(CELL("address",D184), "\$([A-Z]+)\$[0-9]+"))</f>
        <v/>
      </c>
      <c r="E184" s="6" t="str" cm="1">
        <f t="array" aca="1" ref="E184" ca="1">IFERROR(IF(OR('Raw Data'!E184="",LEN(TRIM('Raw Data'!E184))=0),"",IF(AND(ISNUMBER('Raw Data'!E184),'Raw Data'!E184=ROUND('Raw Data'!E184,4),IFERROR(ROUND('Raw Data'!E184,4)&lt;=99999999999.99,FALSE))=TRUE,"",_xlfn.REGEXEXTRACT(CELL("address",'Raw Data'!E184), "\$([A-Z]+)\$[0-9]+"))),_xlfn.REGEXEXTRACT(CELL("address",'Raw Data'!E184), "\$([A-Z]+)\$[0-9]+"))</f>
        <v/>
      </c>
      <c r="F184" s="6" t="str" cm="1">
        <f t="array" aca="1" ref="F184" ca="1">IFERROR(IF(OR('Raw Data'!F184="",LEN(TRIM('Raw Data'!F184))=0),"",IF(AND(ISNUMBER('Raw Data'!F184),'Raw Data'!F184=ROUND('Raw Data'!F184,4),IFERROR(ROUND('Raw Data'!F184,4)&lt;=99999999999.99,FALSE))=TRUE,"",_xlfn.REGEXEXTRACT(CELL("address",'Raw Data'!F184), "\$([A-Z]+)\$[0-9]+"))),_xlfn.REGEXEXTRACT(CELL("address",'Raw Data'!F184), "\$([A-Z]+)\$[0-9]+"))</f>
        <v/>
      </c>
      <c r="G184" s="6" t="str" cm="1">
        <f t="array" aca="1" ref="G184" ca="1">IFERROR(IF(OR('Raw Data'!G184="",LEN(TRIM('Raw Data'!G184))=0),"",IF(AND(ISNUMBER('Raw Data'!G184),'Raw Data'!G184=ROUND('Raw Data'!G184,4),IFERROR(ROUND('Raw Data'!G184,4)&lt;=99999999999.99,FALSE))=TRUE,"",_xlfn.REGEXEXTRACT(CELL("address",'Raw Data'!G184), "\$([A-Z]+)\$[0-9]+"))),_xlfn.REGEXEXTRACT(CELL("address",'Raw Data'!G184), "\$([A-Z]+)\$[0-9]+"))</f>
        <v/>
      </c>
      <c r="H184" s="6" t="str" cm="1">
        <f t="array" aca="1" ref="H184" ca="1">IFERROR(IF(OR('Raw Data'!H184="",LEN(TRIM('Raw Data'!H184))=0),"",IF(AND(ISNUMBER('Raw Data'!H184),'Raw Data'!H184=ROUND('Raw Data'!H184,4),IFERROR(ROUND('Raw Data'!H184,4)&lt;=99999999999.99,FALSE))=TRUE,"",_xlfn.REGEXEXTRACT(CELL("address",'Raw Data'!H184), "\$([A-Z]+)\$[0-9]+"))),_xlfn.REGEXEXTRACT(CELL("address",'Raw Data'!H184), "\$([A-Z]+)\$[0-9]+"))</f>
        <v/>
      </c>
      <c r="I184" s="6" t="str" cm="1">
        <f t="array" aca="1" ref="I184" ca="1">IFERROR(IF(OR('Raw Data'!I184="",LEN(TRIM('Raw Data'!I184))=0),"",IF(AND(ISNUMBER('Raw Data'!I184),'Raw Data'!I184=ROUND('Raw Data'!I184,4),IFERROR(ROUND('Raw Data'!I184,4)&lt;=99999999999.99,FALSE))=TRUE,"",_xlfn.REGEXEXTRACT(CELL("address",'Raw Data'!I184), "\$([A-Z]+)\$[0-9]+"))),_xlfn.REGEXEXTRACT(CELL("address",'Raw Data'!I184), "\$([A-Z]+)\$[0-9]+"))</f>
        <v/>
      </c>
      <c r="J184" s="6" t="str" cm="1">
        <f t="array" aca="1" ref="J184" ca="1">IFERROR(IF(OR('Raw Data'!J184="",LEN(TRIM('Raw Data'!J184))=0),"",IF(AND(ISNUMBER('Raw Data'!J184),'Raw Data'!J184=ROUND('Raw Data'!J184,4),IFERROR(ROUND('Raw Data'!J184,4)&lt;=99999999999.99,FALSE))=TRUE,"",_xlfn.REGEXEXTRACT(CELL("address",'Raw Data'!J184), "\$([A-Z]+)\$[0-9]+"))),_xlfn.REGEXEXTRACT(CELL("address",'Raw Data'!J184), "\$([A-Z]+)\$[0-9]+"))</f>
        <v/>
      </c>
    </row>
    <row r="185" spans="2:10" x14ac:dyDescent="0.25">
      <c r="B185" s="6" t="str" cm="1">
        <f t="array" aca="1" ref="B185" ca="1">IFERROR(IF(OR('Raw Data'!B185="",LEN(TRIM('Raw Data'!B185))=0),"",IF(AND(LEN('Raw Data'!B185) &lt;= 255,LEN('Raw Data'!B185)&gt; 0),"",_xlfn.REGEXEXTRACT(CELL("address",'Raw Data'!B185),"\$([A-Z]+)\$[0-9]+"))),_xlfn.REGEXEXTRACT(CELL("address",'Raw Data'!B185),"\$([A-Z]+)\$[0-9]+"))</f>
        <v/>
      </c>
      <c r="C185" s="6" t="str" cm="1">
        <f t="array" aca="1" ref="C185" ca="1">IFERROR(IF(OR('Raw Data'!C185="",LEN(TRIM('Raw Data'!C185))=0),"",IF(AND(LEN('Raw Data'!C185) &lt;= 20,LEN('Raw Data'!C185)&gt; 0),"",_xlfn.REGEXEXTRACT(CELL("address",'Raw Data'!C185),"\$([A-Z]+)\$[0-9]+"))),_xlfn.REGEXEXTRACT(CELL("address",'Raw Data'!C185),"\$([A-Z]+)\$[0-9]+"))</f>
        <v/>
      </c>
      <c r="D185" s="6" t="str" cm="1">
        <f t="array" aca="1" ref="D185" ca="1">IFERROR(IF(OR('Raw Data'!D185="",LEN(TRIM('Raw Data'!D185))=0),"",IF(AND(ISNUMBER('Raw Data'!D185),'Raw Data'!D185&gt;=Configuration!$D$2),"",_xlfn.REGEXEXTRACT(CELL("address",'Raw Data'!D185),"\$([A-Z]+)\$[0-9]+"))),_xlfn.REGEXEXTRACT(CELL("address",D185), "\$([A-Z]+)\$[0-9]+"))</f>
        <v/>
      </c>
      <c r="E185" s="6" t="str" cm="1">
        <f t="array" aca="1" ref="E185" ca="1">IFERROR(IF(OR('Raw Data'!E185="",LEN(TRIM('Raw Data'!E185))=0),"",IF(AND(ISNUMBER('Raw Data'!E185),'Raw Data'!E185=ROUND('Raw Data'!E185,4),IFERROR(ROUND('Raw Data'!E185,4)&lt;=99999999999.99,FALSE))=TRUE,"",_xlfn.REGEXEXTRACT(CELL("address",'Raw Data'!E185), "\$([A-Z]+)\$[0-9]+"))),_xlfn.REGEXEXTRACT(CELL("address",'Raw Data'!E185), "\$([A-Z]+)\$[0-9]+"))</f>
        <v/>
      </c>
      <c r="F185" s="6" t="str" cm="1">
        <f t="array" aca="1" ref="F185" ca="1">IFERROR(IF(OR('Raw Data'!F185="",LEN(TRIM('Raw Data'!F185))=0),"",IF(AND(ISNUMBER('Raw Data'!F185),'Raw Data'!F185=ROUND('Raw Data'!F185,4),IFERROR(ROUND('Raw Data'!F185,4)&lt;=99999999999.99,FALSE))=TRUE,"",_xlfn.REGEXEXTRACT(CELL("address",'Raw Data'!F185), "\$([A-Z]+)\$[0-9]+"))),_xlfn.REGEXEXTRACT(CELL("address",'Raw Data'!F185), "\$([A-Z]+)\$[0-9]+"))</f>
        <v/>
      </c>
      <c r="G185" s="6" t="str" cm="1">
        <f t="array" aca="1" ref="G185" ca="1">IFERROR(IF(OR('Raw Data'!G185="",LEN(TRIM('Raw Data'!G185))=0),"",IF(AND(ISNUMBER('Raw Data'!G185),'Raw Data'!G185=ROUND('Raw Data'!G185,4),IFERROR(ROUND('Raw Data'!G185,4)&lt;=99999999999.99,FALSE))=TRUE,"",_xlfn.REGEXEXTRACT(CELL("address",'Raw Data'!G185), "\$([A-Z]+)\$[0-9]+"))),_xlfn.REGEXEXTRACT(CELL("address",'Raw Data'!G185), "\$([A-Z]+)\$[0-9]+"))</f>
        <v/>
      </c>
      <c r="H185" s="6" t="str" cm="1">
        <f t="array" aca="1" ref="H185" ca="1">IFERROR(IF(OR('Raw Data'!H185="",LEN(TRIM('Raw Data'!H185))=0),"",IF(AND(ISNUMBER('Raw Data'!H185),'Raw Data'!H185=ROUND('Raw Data'!H185,4),IFERROR(ROUND('Raw Data'!H185,4)&lt;=99999999999.99,FALSE))=TRUE,"",_xlfn.REGEXEXTRACT(CELL("address",'Raw Data'!H185), "\$([A-Z]+)\$[0-9]+"))),_xlfn.REGEXEXTRACT(CELL("address",'Raw Data'!H185), "\$([A-Z]+)\$[0-9]+"))</f>
        <v/>
      </c>
      <c r="I185" s="6" t="str" cm="1">
        <f t="array" aca="1" ref="I185" ca="1">IFERROR(IF(OR('Raw Data'!I185="",LEN(TRIM('Raw Data'!I185))=0),"",IF(AND(ISNUMBER('Raw Data'!I185),'Raw Data'!I185=ROUND('Raw Data'!I185,4),IFERROR(ROUND('Raw Data'!I185,4)&lt;=99999999999.99,FALSE))=TRUE,"",_xlfn.REGEXEXTRACT(CELL("address",'Raw Data'!I185), "\$([A-Z]+)\$[0-9]+"))),_xlfn.REGEXEXTRACT(CELL("address",'Raw Data'!I185), "\$([A-Z]+)\$[0-9]+"))</f>
        <v/>
      </c>
      <c r="J185" s="6" t="str" cm="1">
        <f t="array" aca="1" ref="J185" ca="1">IFERROR(IF(OR('Raw Data'!J185="",LEN(TRIM('Raw Data'!J185))=0),"",IF(AND(ISNUMBER('Raw Data'!J185),'Raw Data'!J185=ROUND('Raw Data'!J185,4),IFERROR(ROUND('Raw Data'!J185,4)&lt;=99999999999.99,FALSE))=TRUE,"",_xlfn.REGEXEXTRACT(CELL("address",'Raw Data'!J185), "\$([A-Z]+)\$[0-9]+"))),_xlfn.REGEXEXTRACT(CELL("address",'Raw Data'!J185), "\$([A-Z]+)\$[0-9]+"))</f>
        <v/>
      </c>
    </row>
    <row r="186" spans="2:10" x14ac:dyDescent="0.25">
      <c r="B186" s="6" t="str" cm="1">
        <f t="array" aca="1" ref="B186" ca="1">IFERROR(IF(OR('Raw Data'!B186="",LEN(TRIM('Raw Data'!B186))=0),"",IF(AND(LEN('Raw Data'!B186) &lt;= 255,LEN('Raw Data'!B186)&gt; 0),"",_xlfn.REGEXEXTRACT(CELL("address",'Raw Data'!B186),"\$([A-Z]+)\$[0-9]+"))),_xlfn.REGEXEXTRACT(CELL("address",'Raw Data'!B186),"\$([A-Z]+)\$[0-9]+"))</f>
        <v/>
      </c>
      <c r="C186" s="6" t="str" cm="1">
        <f t="array" aca="1" ref="C186" ca="1">IFERROR(IF(OR('Raw Data'!C186="",LEN(TRIM('Raw Data'!C186))=0),"",IF(AND(LEN('Raw Data'!C186) &lt;= 20,LEN('Raw Data'!C186)&gt; 0),"",_xlfn.REGEXEXTRACT(CELL("address",'Raw Data'!C186),"\$([A-Z]+)\$[0-9]+"))),_xlfn.REGEXEXTRACT(CELL("address",'Raw Data'!C186),"\$([A-Z]+)\$[0-9]+"))</f>
        <v/>
      </c>
      <c r="D186" s="6" t="str" cm="1">
        <f t="array" aca="1" ref="D186" ca="1">IFERROR(IF(OR('Raw Data'!D186="",LEN(TRIM('Raw Data'!D186))=0),"",IF(AND(ISNUMBER('Raw Data'!D186),'Raw Data'!D186&gt;=Configuration!$D$2),"",_xlfn.REGEXEXTRACT(CELL("address",'Raw Data'!D186),"\$([A-Z]+)\$[0-9]+"))),_xlfn.REGEXEXTRACT(CELL("address",D186), "\$([A-Z]+)\$[0-9]+"))</f>
        <v/>
      </c>
      <c r="E186" s="6" t="str" cm="1">
        <f t="array" aca="1" ref="E186" ca="1">IFERROR(IF(OR('Raw Data'!E186="",LEN(TRIM('Raw Data'!E186))=0),"",IF(AND(ISNUMBER('Raw Data'!E186),'Raw Data'!E186=ROUND('Raw Data'!E186,4),IFERROR(ROUND('Raw Data'!E186,4)&lt;=99999999999.99,FALSE))=TRUE,"",_xlfn.REGEXEXTRACT(CELL("address",'Raw Data'!E186), "\$([A-Z]+)\$[0-9]+"))),_xlfn.REGEXEXTRACT(CELL("address",'Raw Data'!E186), "\$([A-Z]+)\$[0-9]+"))</f>
        <v/>
      </c>
      <c r="F186" s="6" t="str" cm="1">
        <f t="array" aca="1" ref="F186" ca="1">IFERROR(IF(OR('Raw Data'!F186="",LEN(TRIM('Raw Data'!F186))=0),"",IF(AND(ISNUMBER('Raw Data'!F186),'Raw Data'!F186=ROUND('Raw Data'!F186,4),IFERROR(ROUND('Raw Data'!F186,4)&lt;=99999999999.99,FALSE))=TRUE,"",_xlfn.REGEXEXTRACT(CELL("address",'Raw Data'!F186), "\$([A-Z]+)\$[0-9]+"))),_xlfn.REGEXEXTRACT(CELL("address",'Raw Data'!F186), "\$([A-Z]+)\$[0-9]+"))</f>
        <v/>
      </c>
      <c r="G186" s="6" t="str" cm="1">
        <f t="array" aca="1" ref="G186" ca="1">IFERROR(IF(OR('Raw Data'!G186="",LEN(TRIM('Raw Data'!G186))=0),"",IF(AND(ISNUMBER('Raw Data'!G186),'Raw Data'!G186=ROUND('Raw Data'!G186,4),IFERROR(ROUND('Raw Data'!G186,4)&lt;=99999999999.99,FALSE))=TRUE,"",_xlfn.REGEXEXTRACT(CELL("address",'Raw Data'!G186), "\$([A-Z]+)\$[0-9]+"))),_xlfn.REGEXEXTRACT(CELL("address",'Raw Data'!G186), "\$([A-Z]+)\$[0-9]+"))</f>
        <v/>
      </c>
      <c r="H186" s="6" t="str" cm="1">
        <f t="array" aca="1" ref="H186" ca="1">IFERROR(IF(OR('Raw Data'!H186="",LEN(TRIM('Raw Data'!H186))=0),"",IF(AND(ISNUMBER('Raw Data'!H186),'Raw Data'!H186=ROUND('Raw Data'!H186,4),IFERROR(ROUND('Raw Data'!H186,4)&lt;=99999999999.99,FALSE))=TRUE,"",_xlfn.REGEXEXTRACT(CELL("address",'Raw Data'!H186), "\$([A-Z]+)\$[0-9]+"))),_xlfn.REGEXEXTRACT(CELL("address",'Raw Data'!H186), "\$([A-Z]+)\$[0-9]+"))</f>
        <v/>
      </c>
      <c r="I186" s="6" t="str" cm="1">
        <f t="array" aca="1" ref="I186" ca="1">IFERROR(IF(OR('Raw Data'!I186="",LEN(TRIM('Raw Data'!I186))=0),"",IF(AND(ISNUMBER('Raw Data'!I186),'Raw Data'!I186=ROUND('Raw Data'!I186,4),IFERROR(ROUND('Raw Data'!I186,4)&lt;=99999999999.99,FALSE))=TRUE,"",_xlfn.REGEXEXTRACT(CELL("address",'Raw Data'!I186), "\$([A-Z]+)\$[0-9]+"))),_xlfn.REGEXEXTRACT(CELL("address",'Raw Data'!I186), "\$([A-Z]+)\$[0-9]+"))</f>
        <v/>
      </c>
      <c r="J186" s="6" t="str" cm="1">
        <f t="array" aca="1" ref="J186" ca="1">IFERROR(IF(OR('Raw Data'!J186="",LEN(TRIM('Raw Data'!J186))=0),"",IF(AND(ISNUMBER('Raw Data'!J186),'Raw Data'!J186=ROUND('Raw Data'!J186,4),IFERROR(ROUND('Raw Data'!J186,4)&lt;=99999999999.99,FALSE))=TRUE,"",_xlfn.REGEXEXTRACT(CELL("address",'Raw Data'!J186), "\$([A-Z]+)\$[0-9]+"))),_xlfn.REGEXEXTRACT(CELL("address",'Raw Data'!J186), "\$([A-Z]+)\$[0-9]+"))</f>
        <v/>
      </c>
    </row>
    <row r="187" spans="2:10" x14ac:dyDescent="0.25">
      <c r="B187" s="6" t="str" cm="1">
        <f t="array" aca="1" ref="B187" ca="1">IFERROR(IF(OR('Raw Data'!B187="",LEN(TRIM('Raw Data'!B187))=0),"",IF(AND(LEN('Raw Data'!B187) &lt;= 255,LEN('Raw Data'!B187)&gt; 0),"",_xlfn.REGEXEXTRACT(CELL("address",'Raw Data'!B187),"\$([A-Z]+)\$[0-9]+"))),_xlfn.REGEXEXTRACT(CELL("address",'Raw Data'!B187),"\$([A-Z]+)\$[0-9]+"))</f>
        <v/>
      </c>
      <c r="C187" s="6" t="str" cm="1">
        <f t="array" aca="1" ref="C187" ca="1">IFERROR(IF(OR('Raw Data'!C187="",LEN(TRIM('Raw Data'!C187))=0),"",IF(AND(LEN('Raw Data'!C187) &lt;= 20,LEN('Raw Data'!C187)&gt; 0),"",_xlfn.REGEXEXTRACT(CELL("address",'Raw Data'!C187),"\$([A-Z]+)\$[0-9]+"))),_xlfn.REGEXEXTRACT(CELL("address",'Raw Data'!C187),"\$([A-Z]+)\$[0-9]+"))</f>
        <v/>
      </c>
      <c r="D187" s="6" t="str" cm="1">
        <f t="array" aca="1" ref="D187" ca="1">IFERROR(IF(OR('Raw Data'!D187="",LEN(TRIM('Raw Data'!D187))=0),"",IF(AND(ISNUMBER('Raw Data'!D187),'Raw Data'!D187&gt;=Configuration!$D$2),"",_xlfn.REGEXEXTRACT(CELL("address",'Raw Data'!D187),"\$([A-Z]+)\$[0-9]+"))),_xlfn.REGEXEXTRACT(CELL("address",D187), "\$([A-Z]+)\$[0-9]+"))</f>
        <v/>
      </c>
      <c r="E187" s="6" t="str" cm="1">
        <f t="array" aca="1" ref="E187" ca="1">IFERROR(IF(OR('Raw Data'!E187="",LEN(TRIM('Raw Data'!E187))=0),"",IF(AND(ISNUMBER('Raw Data'!E187),'Raw Data'!E187=ROUND('Raw Data'!E187,4),IFERROR(ROUND('Raw Data'!E187,4)&lt;=99999999999.99,FALSE))=TRUE,"",_xlfn.REGEXEXTRACT(CELL("address",'Raw Data'!E187), "\$([A-Z]+)\$[0-9]+"))),_xlfn.REGEXEXTRACT(CELL("address",'Raw Data'!E187), "\$([A-Z]+)\$[0-9]+"))</f>
        <v/>
      </c>
      <c r="F187" s="6" t="str" cm="1">
        <f t="array" aca="1" ref="F187" ca="1">IFERROR(IF(OR('Raw Data'!F187="",LEN(TRIM('Raw Data'!F187))=0),"",IF(AND(ISNUMBER('Raw Data'!F187),'Raw Data'!F187=ROUND('Raw Data'!F187,4),IFERROR(ROUND('Raw Data'!F187,4)&lt;=99999999999.99,FALSE))=TRUE,"",_xlfn.REGEXEXTRACT(CELL("address",'Raw Data'!F187), "\$([A-Z]+)\$[0-9]+"))),_xlfn.REGEXEXTRACT(CELL("address",'Raw Data'!F187), "\$([A-Z]+)\$[0-9]+"))</f>
        <v/>
      </c>
      <c r="G187" s="6" t="str" cm="1">
        <f t="array" aca="1" ref="G187" ca="1">IFERROR(IF(OR('Raw Data'!G187="",LEN(TRIM('Raw Data'!G187))=0),"",IF(AND(ISNUMBER('Raw Data'!G187),'Raw Data'!G187=ROUND('Raw Data'!G187,4),IFERROR(ROUND('Raw Data'!G187,4)&lt;=99999999999.99,FALSE))=TRUE,"",_xlfn.REGEXEXTRACT(CELL("address",'Raw Data'!G187), "\$([A-Z]+)\$[0-9]+"))),_xlfn.REGEXEXTRACT(CELL("address",'Raw Data'!G187), "\$([A-Z]+)\$[0-9]+"))</f>
        <v/>
      </c>
      <c r="H187" s="6" t="str" cm="1">
        <f t="array" aca="1" ref="H187" ca="1">IFERROR(IF(OR('Raw Data'!H187="",LEN(TRIM('Raw Data'!H187))=0),"",IF(AND(ISNUMBER('Raw Data'!H187),'Raw Data'!H187=ROUND('Raw Data'!H187,4),IFERROR(ROUND('Raw Data'!H187,4)&lt;=99999999999.99,FALSE))=TRUE,"",_xlfn.REGEXEXTRACT(CELL("address",'Raw Data'!H187), "\$([A-Z]+)\$[0-9]+"))),_xlfn.REGEXEXTRACT(CELL("address",'Raw Data'!H187), "\$([A-Z]+)\$[0-9]+"))</f>
        <v/>
      </c>
      <c r="I187" s="6" t="str" cm="1">
        <f t="array" aca="1" ref="I187" ca="1">IFERROR(IF(OR('Raw Data'!I187="",LEN(TRIM('Raw Data'!I187))=0),"",IF(AND(ISNUMBER('Raw Data'!I187),'Raw Data'!I187=ROUND('Raw Data'!I187,4),IFERROR(ROUND('Raw Data'!I187,4)&lt;=99999999999.99,FALSE))=TRUE,"",_xlfn.REGEXEXTRACT(CELL("address",'Raw Data'!I187), "\$([A-Z]+)\$[0-9]+"))),_xlfn.REGEXEXTRACT(CELL("address",'Raw Data'!I187), "\$([A-Z]+)\$[0-9]+"))</f>
        <v/>
      </c>
      <c r="J187" s="6" t="str" cm="1">
        <f t="array" aca="1" ref="J187" ca="1">IFERROR(IF(OR('Raw Data'!J187="",LEN(TRIM('Raw Data'!J187))=0),"",IF(AND(ISNUMBER('Raw Data'!J187),'Raw Data'!J187=ROUND('Raw Data'!J187,4),IFERROR(ROUND('Raw Data'!J187,4)&lt;=99999999999.99,FALSE))=TRUE,"",_xlfn.REGEXEXTRACT(CELL("address",'Raw Data'!J187), "\$([A-Z]+)\$[0-9]+"))),_xlfn.REGEXEXTRACT(CELL("address",'Raw Data'!J187), "\$([A-Z]+)\$[0-9]+"))</f>
        <v/>
      </c>
    </row>
    <row r="188" spans="2:10" x14ac:dyDescent="0.25">
      <c r="B188" s="6" t="str" cm="1">
        <f t="array" aca="1" ref="B188" ca="1">IFERROR(IF(OR('Raw Data'!B188="",LEN(TRIM('Raw Data'!B188))=0),"",IF(AND(LEN('Raw Data'!B188) &lt;= 255,LEN('Raw Data'!B188)&gt; 0),"",_xlfn.REGEXEXTRACT(CELL("address",'Raw Data'!B188),"\$([A-Z]+)\$[0-9]+"))),_xlfn.REGEXEXTRACT(CELL("address",'Raw Data'!B188),"\$([A-Z]+)\$[0-9]+"))</f>
        <v/>
      </c>
      <c r="C188" s="6" t="str" cm="1">
        <f t="array" aca="1" ref="C188" ca="1">IFERROR(IF(OR('Raw Data'!C188="",LEN(TRIM('Raw Data'!C188))=0),"",IF(AND(LEN('Raw Data'!C188) &lt;= 20,LEN('Raw Data'!C188)&gt; 0),"",_xlfn.REGEXEXTRACT(CELL("address",'Raw Data'!C188),"\$([A-Z]+)\$[0-9]+"))),_xlfn.REGEXEXTRACT(CELL("address",'Raw Data'!C188),"\$([A-Z]+)\$[0-9]+"))</f>
        <v/>
      </c>
      <c r="D188" s="6" t="str" cm="1">
        <f t="array" aca="1" ref="D188" ca="1">IFERROR(IF(OR('Raw Data'!D188="",LEN(TRIM('Raw Data'!D188))=0),"",IF(AND(ISNUMBER('Raw Data'!D188),'Raw Data'!D188&gt;=Configuration!$D$2),"",_xlfn.REGEXEXTRACT(CELL("address",'Raw Data'!D188),"\$([A-Z]+)\$[0-9]+"))),_xlfn.REGEXEXTRACT(CELL("address",D188), "\$([A-Z]+)\$[0-9]+"))</f>
        <v/>
      </c>
      <c r="E188" s="6" t="str" cm="1">
        <f t="array" aca="1" ref="E188" ca="1">IFERROR(IF(OR('Raw Data'!E188="",LEN(TRIM('Raw Data'!E188))=0),"",IF(AND(ISNUMBER('Raw Data'!E188),'Raw Data'!E188=ROUND('Raw Data'!E188,4),IFERROR(ROUND('Raw Data'!E188,4)&lt;=99999999999.99,FALSE))=TRUE,"",_xlfn.REGEXEXTRACT(CELL("address",'Raw Data'!E188), "\$([A-Z]+)\$[0-9]+"))),_xlfn.REGEXEXTRACT(CELL("address",'Raw Data'!E188), "\$([A-Z]+)\$[0-9]+"))</f>
        <v/>
      </c>
      <c r="F188" s="6" t="str" cm="1">
        <f t="array" aca="1" ref="F188" ca="1">IFERROR(IF(OR('Raw Data'!F188="",LEN(TRIM('Raw Data'!F188))=0),"",IF(AND(ISNUMBER('Raw Data'!F188),'Raw Data'!F188=ROUND('Raw Data'!F188,4),IFERROR(ROUND('Raw Data'!F188,4)&lt;=99999999999.99,FALSE))=TRUE,"",_xlfn.REGEXEXTRACT(CELL("address",'Raw Data'!F188), "\$([A-Z]+)\$[0-9]+"))),_xlfn.REGEXEXTRACT(CELL("address",'Raw Data'!F188), "\$([A-Z]+)\$[0-9]+"))</f>
        <v/>
      </c>
      <c r="G188" s="6" t="str" cm="1">
        <f t="array" aca="1" ref="G188" ca="1">IFERROR(IF(OR('Raw Data'!G188="",LEN(TRIM('Raw Data'!G188))=0),"",IF(AND(ISNUMBER('Raw Data'!G188),'Raw Data'!G188=ROUND('Raw Data'!G188,4),IFERROR(ROUND('Raw Data'!G188,4)&lt;=99999999999.99,FALSE))=TRUE,"",_xlfn.REGEXEXTRACT(CELL("address",'Raw Data'!G188), "\$([A-Z]+)\$[0-9]+"))),_xlfn.REGEXEXTRACT(CELL("address",'Raw Data'!G188), "\$([A-Z]+)\$[0-9]+"))</f>
        <v/>
      </c>
      <c r="H188" s="6" t="str" cm="1">
        <f t="array" aca="1" ref="H188" ca="1">IFERROR(IF(OR('Raw Data'!H188="",LEN(TRIM('Raw Data'!H188))=0),"",IF(AND(ISNUMBER('Raw Data'!H188),'Raw Data'!H188=ROUND('Raw Data'!H188,4),IFERROR(ROUND('Raw Data'!H188,4)&lt;=99999999999.99,FALSE))=TRUE,"",_xlfn.REGEXEXTRACT(CELL("address",'Raw Data'!H188), "\$([A-Z]+)\$[0-9]+"))),_xlfn.REGEXEXTRACT(CELL("address",'Raw Data'!H188), "\$([A-Z]+)\$[0-9]+"))</f>
        <v/>
      </c>
      <c r="I188" s="6" t="str" cm="1">
        <f t="array" aca="1" ref="I188" ca="1">IFERROR(IF(OR('Raw Data'!I188="",LEN(TRIM('Raw Data'!I188))=0),"",IF(AND(ISNUMBER('Raw Data'!I188),'Raw Data'!I188=ROUND('Raw Data'!I188,4),IFERROR(ROUND('Raw Data'!I188,4)&lt;=99999999999.99,FALSE))=TRUE,"",_xlfn.REGEXEXTRACT(CELL("address",'Raw Data'!I188), "\$([A-Z]+)\$[0-9]+"))),_xlfn.REGEXEXTRACT(CELL("address",'Raw Data'!I188), "\$([A-Z]+)\$[0-9]+"))</f>
        <v/>
      </c>
      <c r="J188" s="6" t="str" cm="1">
        <f t="array" aca="1" ref="J188" ca="1">IFERROR(IF(OR('Raw Data'!J188="",LEN(TRIM('Raw Data'!J188))=0),"",IF(AND(ISNUMBER('Raw Data'!J188),'Raw Data'!J188=ROUND('Raw Data'!J188,4),IFERROR(ROUND('Raw Data'!J188,4)&lt;=99999999999.99,FALSE))=TRUE,"",_xlfn.REGEXEXTRACT(CELL("address",'Raw Data'!J188), "\$([A-Z]+)\$[0-9]+"))),_xlfn.REGEXEXTRACT(CELL("address",'Raw Data'!J188), "\$([A-Z]+)\$[0-9]+"))</f>
        <v/>
      </c>
    </row>
    <row r="189" spans="2:10" x14ac:dyDescent="0.25">
      <c r="B189" s="6" t="str" cm="1">
        <f t="array" aca="1" ref="B189" ca="1">IFERROR(IF(OR('Raw Data'!B189="",LEN(TRIM('Raw Data'!B189))=0),"",IF(AND(LEN('Raw Data'!B189) &lt;= 255,LEN('Raw Data'!B189)&gt; 0),"",_xlfn.REGEXEXTRACT(CELL("address",'Raw Data'!B189),"\$([A-Z]+)\$[0-9]+"))),_xlfn.REGEXEXTRACT(CELL("address",'Raw Data'!B189),"\$([A-Z]+)\$[0-9]+"))</f>
        <v/>
      </c>
      <c r="C189" s="6" t="str" cm="1">
        <f t="array" aca="1" ref="C189" ca="1">IFERROR(IF(OR('Raw Data'!C189="",LEN(TRIM('Raw Data'!C189))=0),"",IF(AND(LEN('Raw Data'!C189) &lt;= 20,LEN('Raw Data'!C189)&gt; 0),"",_xlfn.REGEXEXTRACT(CELL("address",'Raw Data'!C189),"\$([A-Z]+)\$[0-9]+"))),_xlfn.REGEXEXTRACT(CELL("address",'Raw Data'!C189),"\$([A-Z]+)\$[0-9]+"))</f>
        <v/>
      </c>
      <c r="D189" s="6" t="str" cm="1">
        <f t="array" aca="1" ref="D189" ca="1">IFERROR(IF(OR('Raw Data'!D189="",LEN(TRIM('Raw Data'!D189))=0),"",IF(AND(ISNUMBER('Raw Data'!D189),'Raw Data'!D189&gt;=Configuration!$D$2),"",_xlfn.REGEXEXTRACT(CELL("address",'Raw Data'!D189),"\$([A-Z]+)\$[0-9]+"))),_xlfn.REGEXEXTRACT(CELL("address",D189), "\$([A-Z]+)\$[0-9]+"))</f>
        <v/>
      </c>
      <c r="E189" s="6" t="str" cm="1">
        <f t="array" aca="1" ref="E189" ca="1">IFERROR(IF(OR('Raw Data'!E189="",LEN(TRIM('Raw Data'!E189))=0),"",IF(AND(ISNUMBER('Raw Data'!E189),'Raw Data'!E189=ROUND('Raw Data'!E189,4),IFERROR(ROUND('Raw Data'!E189,4)&lt;=99999999999.99,FALSE))=TRUE,"",_xlfn.REGEXEXTRACT(CELL("address",'Raw Data'!E189), "\$([A-Z]+)\$[0-9]+"))),_xlfn.REGEXEXTRACT(CELL("address",'Raw Data'!E189), "\$([A-Z]+)\$[0-9]+"))</f>
        <v/>
      </c>
      <c r="F189" s="6" t="str" cm="1">
        <f t="array" aca="1" ref="F189" ca="1">IFERROR(IF(OR('Raw Data'!F189="",LEN(TRIM('Raw Data'!F189))=0),"",IF(AND(ISNUMBER('Raw Data'!F189),'Raw Data'!F189=ROUND('Raw Data'!F189,4),IFERROR(ROUND('Raw Data'!F189,4)&lt;=99999999999.99,FALSE))=TRUE,"",_xlfn.REGEXEXTRACT(CELL("address",'Raw Data'!F189), "\$([A-Z]+)\$[0-9]+"))),_xlfn.REGEXEXTRACT(CELL("address",'Raw Data'!F189), "\$([A-Z]+)\$[0-9]+"))</f>
        <v/>
      </c>
      <c r="G189" s="6" t="str" cm="1">
        <f t="array" aca="1" ref="G189" ca="1">IFERROR(IF(OR('Raw Data'!G189="",LEN(TRIM('Raw Data'!G189))=0),"",IF(AND(ISNUMBER('Raw Data'!G189),'Raw Data'!G189=ROUND('Raw Data'!G189,4),IFERROR(ROUND('Raw Data'!G189,4)&lt;=99999999999.99,FALSE))=TRUE,"",_xlfn.REGEXEXTRACT(CELL("address",'Raw Data'!G189), "\$([A-Z]+)\$[0-9]+"))),_xlfn.REGEXEXTRACT(CELL("address",'Raw Data'!G189), "\$([A-Z]+)\$[0-9]+"))</f>
        <v/>
      </c>
      <c r="H189" s="6" t="str" cm="1">
        <f t="array" aca="1" ref="H189" ca="1">IFERROR(IF(OR('Raw Data'!H189="",LEN(TRIM('Raw Data'!H189))=0),"",IF(AND(ISNUMBER('Raw Data'!H189),'Raw Data'!H189=ROUND('Raw Data'!H189,4),IFERROR(ROUND('Raw Data'!H189,4)&lt;=99999999999.99,FALSE))=TRUE,"",_xlfn.REGEXEXTRACT(CELL("address",'Raw Data'!H189), "\$([A-Z]+)\$[0-9]+"))),_xlfn.REGEXEXTRACT(CELL("address",'Raw Data'!H189), "\$([A-Z]+)\$[0-9]+"))</f>
        <v/>
      </c>
      <c r="I189" s="6" t="str" cm="1">
        <f t="array" aca="1" ref="I189" ca="1">IFERROR(IF(OR('Raw Data'!I189="",LEN(TRIM('Raw Data'!I189))=0),"",IF(AND(ISNUMBER('Raw Data'!I189),'Raw Data'!I189=ROUND('Raw Data'!I189,4),IFERROR(ROUND('Raw Data'!I189,4)&lt;=99999999999.99,FALSE))=TRUE,"",_xlfn.REGEXEXTRACT(CELL("address",'Raw Data'!I189), "\$([A-Z]+)\$[0-9]+"))),_xlfn.REGEXEXTRACT(CELL("address",'Raw Data'!I189), "\$([A-Z]+)\$[0-9]+"))</f>
        <v/>
      </c>
      <c r="J189" s="6" t="str" cm="1">
        <f t="array" aca="1" ref="J189" ca="1">IFERROR(IF(OR('Raw Data'!J189="",LEN(TRIM('Raw Data'!J189))=0),"",IF(AND(ISNUMBER('Raw Data'!J189),'Raw Data'!J189=ROUND('Raw Data'!J189,4),IFERROR(ROUND('Raw Data'!J189,4)&lt;=99999999999.99,FALSE))=TRUE,"",_xlfn.REGEXEXTRACT(CELL("address",'Raw Data'!J189), "\$([A-Z]+)\$[0-9]+"))),_xlfn.REGEXEXTRACT(CELL("address",'Raw Data'!J189), "\$([A-Z]+)\$[0-9]+"))</f>
        <v/>
      </c>
    </row>
    <row r="190" spans="2:10" x14ac:dyDescent="0.25">
      <c r="B190" s="6" t="str" cm="1">
        <f t="array" aca="1" ref="B190" ca="1">IFERROR(IF(OR('Raw Data'!B190="",LEN(TRIM('Raw Data'!B190))=0),"",IF(AND(LEN('Raw Data'!B190) &lt;= 255,LEN('Raw Data'!B190)&gt; 0),"",_xlfn.REGEXEXTRACT(CELL("address",'Raw Data'!B190),"\$([A-Z]+)\$[0-9]+"))),_xlfn.REGEXEXTRACT(CELL("address",'Raw Data'!B190),"\$([A-Z]+)\$[0-9]+"))</f>
        <v/>
      </c>
      <c r="C190" s="6" t="str" cm="1">
        <f t="array" aca="1" ref="C190" ca="1">IFERROR(IF(OR('Raw Data'!C190="",LEN(TRIM('Raw Data'!C190))=0),"",IF(AND(LEN('Raw Data'!C190) &lt;= 20,LEN('Raw Data'!C190)&gt; 0),"",_xlfn.REGEXEXTRACT(CELL("address",'Raw Data'!C190),"\$([A-Z]+)\$[0-9]+"))),_xlfn.REGEXEXTRACT(CELL("address",'Raw Data'!C190),"\$([A-Z]+)\$[0-9]+"))</f>
        <v/>
      </c>
      <c r="D190" s="6" t="str" cm="1">
        <f t="array" aca="1" ref="D190" ca="1">IFERROR(IF(OR('Raw Data'!D190="",LEN(TRIM('Raw Data'!D190))=0),"",IF(AND(ISNUMBER('Raw Data'!D190),'Raw Data'!D190&gt;=Configuration!$D$2),"",_xlfn.REGEXEXTRACT(CELL("address",'Raw Data'!D190),"\$([A-Z]+)\$[0-9]+"))),_xlfn.REGEXEXTRACT(CELL("address",D190), "\$([A-Z]+)\$[0-9]+"))</f>
        <v/>
      </c>
      <c r="E190" s="6" t="str" cm="1">
        <f t="array" aca="1" ref="E190" ca="1">IFERROR(IF(OR('Raw Data'!E190="",LEN(TRIM('Raw Data'!E190))=0),"",IF(AND(ISNUMBER('Raw Data'!E190),'Raw Data'!E190=ROUND('Raw Data'!E190,4),IFERROR(ROUND('Raw Data'!E190,4)&lt;=99999999999.99,FALSE))=TRUE,"",_xlfn.REGEXEXTRACT(CELL("address",'Raw Data'!E190), "\$([A-Z]+)\$[0-9]+"))),_xlfn.REGEXEXTRACT(CELL("address",'Raw Data'!E190), "\$([A-Z]+)\$[0-9]+"))</f>
        <v/>
      </c>
      <c r="F190" s="6" t="str" cm="1">
        <f t="array" aca="1" ref="F190" ca="1">IFERROR(IF(OR('Raw Data'!F190="",LEN(TRIM('Raw Data'!F190))=0),"",IF(AND(ISNUMBER('Raw Data'!F190),'Raw Data'!F190=ROUND('Raw Data'!F190,4),IFERROR(ROUND('Raw Data'!F190,4)&lt;=99999999999.99,FALSE))=TRUE,"",_xlfn.REGEXEXTRACT(CELL("address",'Raw Data'!F190), "\$([A-Z]+)\$[0-9]+"))),_xlfn.REGEXEXTRACT(CELL("address",'Raw Data'!F190), "\$([A-Z]+)\$[0-9]+"))</f>
        <v/>
      </c>
      <c r="G190" s="6" t="str" cm="1">
        <f t="array" aca="1" ref="G190" ca="1">IFERROR(IF(OR('Raw Data'!G190="",LEN(TRIM('Raw Data'!G190))=0),"",IF(AND(ISNUMBER('Raw Data'!G190),'Raw Data'!G190=ROUND('Raw Data'!G190,4),IFERROR(ROUND('Raw Data'!G190,4)&lt;=99999999999.99,FALSE))=TRUE,"",_xlfn.REGEXEXTRACT(CELL("address",'Raw Data'!G190), "\$([A-Z]+)\$[0-9]+"))),_xlfn.REGEXEXTRACT(CELL("address",'Raw Data'!G190), "\$([A-Z]+)\$[0-9]+"))</f>
        <v/>
      </c>
      <c r="H190" s="6" t="str" cm="1">
        <f t="array" aca="1" ref="H190" ca="1">IFERROR(IF(OR('Raw Data'!H190="",LEN(TRIM('Raw Data'!H190))=0),"",IF(AND(ISNUMBER('Raw Data'!H190),'Raw Data'!H190=ROUND('Raw Data'!H190,4),IFERROR(ROUND('Raw Data'!H190,4)&lt;=99999999999.99,FALSE))=TRUE,"",_xlfn.REGEXEXTRACT(CELL("address",'Raw Data'!H190), "\$([A-Z]+)\$[0-9]+"))),_xlfn.REGEXEXTRACT(CELL("address",'Raw Data'!H190), "\$([A-Z]+)\$[0-9]+"))</f>
        <v/>
      </c>
      <c r="I190" s="6" t="str" cm="1">
        <f t="array" aca="1" ref="I190" ca="1">IFERROR(IF(OR('Raw Data'!I190="",LEN(TRIM('Raw Data'!I190))=0),"",IF(AND(ISNUMBER('Raw Data'!I190),'Raw Data'!I190=ROUND('Raw Data'!I190,4),IFERROR(ROUND('Raw Data'!I190,4)&lt;=99999999999.99,FALSE))=TRUE,"",_xlfn.REGEXEXTRACT(CELL("address",'Raw Data'!I190), "\$([A-Z]+)\$[0-9]+"))),_xlfn.REGEXEXTRACT(CELL("address",'Raw Data'!I190), "\$([A-Z]+)\$[0-9]+"))</f>
        <v/>
      </c>
      <c r="J190" s="6" t="str" cm="1">
        <f t="array" aca="1" ref="J190" ca="1">IFERROR(IF(OR('Raw Data'!J190="",LEN(TRIM('Raw Data'!J190))=0),"",IF(AND(ISNUMBER('Raw Data'!J190),'Raw Data'!J190=ROUND('Raw Data'!J190,4),IFERROR(ROUND('Raw Data'!J190,4)&lt;=99999999999.99,FALSE))=TRUE,"",_xlfn.REGEXEXTRACT(CELL("address",'Raw Data'!J190), "\$([A-Z]+)\$[0-9]+"))),_xlfn.REGEXEXTRACT(CELL("address",'Raw Data'!J190), "\$([A-Z]+)\$[0-9]+"))</f>
        <v/>
      </c>
    </row>
    <row r="191" spans="2:10" x14ac:dyDescent="0.25">
      <c r="B191" s="6" t="str" cm="1">
        <f t="array" aca="1" ref="B191" ca="1">IFERROR(IF(OR('Raw Data'!B191="",LEN(TRIM('Raw Data'!B191))=0),"",IF(AND(LEN('Raw Data'!B191) &lt;= 255,LEN('Raw Data'!B191)&gt; 0),"",_xlfn.REGEXEXTRACT(CELL("address",'Raw Data'!B191),"\$([A-Z]+)\$[0-9]+"))),_xlfn.REGEXEXTRACT(CELL("address",'Raw Data'!B191),"\$([A-Z]+)\$[0-9]+"))</f>
        <v/>
      </c>
      <c r="C191" s="6" t="str" cm="1">
        <f t="array" aca="1" ref="C191" ca="1">IFERROR(IF(OR('Raw Data'!C191="",LEN(TRIM('Raw Data'!C191))=0),"",IF(AND(LEN('Raw Data'!C191) &lt;= 20,LEN('Raw Data'!C191)&gt; 0),"",_xlfn.REGEXEXTRACT(CELL("address",'Raw Data'!C191),"\$([A-Z]+)\$[0-9]+"))),_xlfn.REGEXEXTRACT(CELL("address",'Raw Data'!C191),"\$([A-Z]+)\$[0-9]+"))</f>
        <v/>
      </c>
      <c r="D191" s="6" t="str" cm="1">
        <f t="array" aca="1" ref="D191" ca="1">IFERROR(IF(OR('Raw Data'!D191="",LEN(TRIM('Raw Data'!D191))=0),"",IF(AND(ISNUMBER('Raw Data'!D191),'Raw Data'!D191&gt;=Configuration!$D$2),"",_xlfn.REGEXEXTRACT(CELL("address",'Raw Data'!D191),"\$([A-Z]+)\$[0-9]+"))),_xlfn.REGEXEXTRACT(CELL("address",D191), "\$([A-Z]+)\$[0-9]+"))</f>
        <v/>
      </c>
      <c r="E191" s="6" t="str" cm="1">
        <f t="array" aca="1" ref="E191" ca="1">IFERROR(IF(OR('Raw Data'!E191="",LEN(TRIM('Raw Data'!E191))=0),"",IF(AND(ISNUMBER('Raw Data'!E191),'Raw Data'!E191=ROUND('Raw Data'!E191,4),IFERROR(ROUND('Raw Data'!E191,4)&lt;=99999999999.99,FALSE))=TRUE,"",_xlfn.REGEXEXTRACT(CELL("address",'Raw Data'!E191), "\$([A-Z]+)\$[0-9]+"))),_xlfn.REGEXEXTRACT(CELL("address",'Raw Data'!E191), "\$([A-Z]+)\$[0-9]+"))</f>
        <v/>
      </c>
      <c r="F191" s="6" t="str" cm="1">
        <f t="array" aca="1" ref="F191" ca="1">IFERROR(IF(OR('Raw Data'!F191="",LEN(TRIM('Raw Data'!F191))=0),"",IF(AND(ISNUMBER('Raw Data'!F191),'Raw Data'!F191=ROUND('Raw Data'!F191,4),IFERROR(ROUND('Raw Data'!F191,4)&lt;=99999999999.99,FALSE))=TRUE,"",_xlfn.REGEXEXTRACT(CELL("address",'Raw Data'!F191), "\$([A-Z]+)\$[0-9]+"))),_xlfn.REGEXEXTRACT(CELL("address",'Raw Data'!F191), "\$([A-Z]+)\$[0-9]+"))</f>
        <v/>
      </c>
      <c r="G191" s="6" t="str" cm="1">
        <f t="array" aca="1" ref="G191" ca="1">IFERROR(IF(OR('Raw Data'!G191="",LEN(TRIM('Raw Data'!G191))=0),"",IF(AND(ISNUMBER('Raw Data'!G191),'Raw Data'!G191=ROUND('Raw Data'!G191,4),IFERROR(ROUND('Raw Data'!G191,4)&lt;=99999999999.99,FALSE))=TRUE,"",_xlfn.REGEXEXTRACT(CELL("address",'Raw Data'!G191), "\$([A-Z]+)\$[0-9]+"))),_xlfn.REGEXEXTRACT(CELL("address",'Raw Data'!G191), "\$([A-Z]+)\$[0-9]+"))</f>
        <v/>
      </c>
      <c r="H191" s="6" t="str" cm="1">
        <f t="array" aca="1" ref="H191" ca="1">IFERROR(IF(OR('Raw Data'!H191="",LEN(TRIM('Raw Data'!H191))=0),"",IF(AND(ISNUMBER('Raw Data'!H191),'Raw Data'!H191=ROUND('Raw Data'!H191,4),IFERROR(ROUND('Raw Data'!H191,4)&lt;=99999999999.99,FALSE))=TRUE,"",_xlfn.REGEXEXTRACT(CELL("address",'Raw Data'!H191), "\$([A-Z]+)\$[0-9]+"))),_xlfn.REGEXEXTRACT(CELL("address",'Raw Data'!H191), "\$([A-Z]+)\$[0-9]+"))</f>
        <v/>
      </c>
      <c r="I191" s="6" t="str" cm="1">
        <f t="array" aca="1" ref="I191" ca="1">IFERROR(IF(OR('Raw Data'!I191="",LEN(TRIM('Raw Data'!I191))=0),"",IF(AND(ISNUMBER('Raw Data'!I191),'Raw Data'!I191=ROUND('Raw Data'!I191,4),IFERROR(ROUND('Raw Data'!I191,4)&lt;=99999999999.99,FALSE))=TRUE,"",_xlfn.REGEXEXTRACT(CELL("address",'Raw Data'!I191), "\$([A-Z]+)\$[0-9]+"))),_xlfn.REGEXEXTRACT(CELL("address",'Raw Data'!I191), "\$([A-Z]+)\$[0-9]+"))</f>
        <v/>
      </c>
      <c r="J191" s="6" t="str" cm="1">
        <f t="array" aca="1" ref="J191" ca="1">IFERROR(IF(OR('Raw Data'!J191="",LEN(TRIM('Raw Data'!J191))=0),"",IF(AND(ISNUMBER('Raw Data'!J191),'Raw Data'!J191=ROUND('Raw Data'!J191,4),IFERROR(ROUND('Raw Data'!J191,4)&lt;=99999999999.99,FALSE))=TRUE,"",_xlfn.REGEXEXTRACT(CELL("address",'Raw Data'!J191), "\$([A-Z]+)\$[0-9]+"))),_xlfn.REGEXEXTRACT(CELL("address",'Raw Data'!J191), "\$([A-Z]+)\$[0-9]+"))</f>
        <v/>
      </c>
    </row>
    <row r="192" spans="2:10" x14ac:dyDescent="0.25">
      <c r="B192" s="6" t="str" cm="1">
        <f t="array" aca="1" ref="B192" ca="1">IFERROR(IF(OR('Raw Data'!B192="",LEN(TRIM('Raw Data'!B192))=0),"",IF(AND(LEN('Raw Data'!B192) &lt;= 255,LEN('Raw Data'!B192)&gt; 0),"",_xlfn.REGEXEXTRACT(CELL("address",'Raw Data'!B192),"\$([A-Z]+)\$[0-9]+"))),_xlfn.REGEXEXTRACT(CELL("address",'Raw Data'!B192),"\$([A-Z]+)\$[0-9]+"))</f>
        <v/>
      </c>
      <c r="C192" s="6" t="str" cm="1">
        <f t="array" aca="1" ref="C192" ca="1">IFERROR(IF(OR('Raw Data'!C192="",LEN(TRIM('Raw Data'!C192))=0),"",IF(AND(LEN('Raw Data'!C192) &lt;= 20,LEN('Raw Data'!C192)&gt; 0),"",_xlfn.REGEXEXTRACT(CELL("address",'Raw Data'!C192),"\$([A-Z]+)\$[0-9]+"))),_xlfn.REGEXEXTRACT(CELL("address",'Raw Data'!C192),"\$([A-Z]+)\$[0-9]+"))</f>
        <v/>
      </c>
      <c r="D192" s="6" t="str" cm="1">
        <f t="array" aca="1" ref="D192" ca="1">IFERROR(IF(OR('Raw Data'!D192="",LEN(TRIM('Raw Data'!D192))=0),"",IF(AND(ISNUMBER('Raw Data'!D192),'Raw Data'!D192&gt;=Configuration!$D$2),"",_xlfn.REGEXEXTRACT(CELL("address",'Raw Data'!D192),"\$([A-Z]+)\$[0-9]+"))),_xlfn.REGEXEXTRACT(CELL("address",D192), "\$([A-Z]+)\$[0-9]+"))</f>
        <v/>
      </c>
      <c r="E192" s="6" t="str" cm="1">
        <f t="array" aca="1" ref="E192" ca="1">IFERROR(IF(OR('Raw Data'!E192="",LEN(TRIM('Raw Data'!E192))=0),"",IF(AND(ISNUMBER('Raw Data'!E192),'Raw Data'!E192=ROUND('Raw Data'!E192,4),IFERROR(ROUND('Raw Data'!E192,4)&lt;=99999999999.99,FALSE))=TRUE,"",_xlfn.REGEXEXTRACT(CELL("address",'Raw Data'!E192), "\$([A-Z]+)\$[0-9]+"))),_xlfn.REGEXEXTRACT(CELL("address",'Raw Data'!E192), "\$([A-Z]+)\$[0-9]+"))</f>
        <v/>
      </c>
      <c r="F192" s="6" t="str" cm="1">
        <f t="array" aca="1" ref="F192" ca="1">IFERROR(IF(OR('Raw Data'!F192="",LEN(TRIM('Raw Data'!F192))=0),"",IF(AND(ISNUMBER('Raw Data'!F192),'Raw Data'!F192=ROUND('Raw Data'!F192,4),IFERROR(ROUND('Raw Data'!F192,4)&lt;=99999999999.99,FALSE))=TRUE,"",_xlfn.REGEXEXTRACT(CELL("address",'Raw Data'!F192), "\$([A-Z]+)\$[0-9]+"))),_xlfn.REGEXEXTRACT(CELL("address",'Raw Data'!F192), "\$([A-Z]+)\$[0-9]+"))</f>
        <v/>
      </c>
      <c r="G192" s="6" t="str" cm="1">
        <f t="array" aca="1" ref="G192" ca="1">IFERROR(IF(OR('Raw Data'!G192="",LEN(TRIM('Raw Data'!G192))=0),"",IF(AND(ISNUMBER('Raw Data'!G192),'Raw Data'!G192=ROUND('Raw Data'!G192,4),IFERROR(ROUND('Raw Data'!G192,4)&lt;=99999999999.99,FALSE))=TRUE,"",_xlfn.REGEXEXTRACT(CELL("address",'Raw Data'!G192), "\$([A-Z]+)\$[0-9]+"))),_xlfn.REGEXEXTRACT(CELL("address",'Raw Data'!G192), "\$([A-Z]+)\$[0-9]+"))</f>
        <v/>
      </c>
      <c r="H192" s="6" t="str" cm="1">
        <f t="array" aca="1" ref="H192" ca="1">IFERROR(IF(OR('Raw Data'!H192="",LEN(TRIM('Raw Data'!H192))=0),"",IF(AND(ISNUMBER('Raw Data'!H192),'Raw Data'!H192=ROUND('Raw Data'!H192,4),IFERROR(ROUND('Raw Data'!H192,4)&lt;=99999999999.99,FALSE))=TRUE,"",_xlfn.REGEXEXTRACT(CELL("address",'Raw Data'!H192), "\$([A-Z]+)\$[0-9]+"))),_xlfn.REGEXEXTRACT(CELL("address",'Raw Data'!H192), "\$([A-Z]+)\$[0-9]+"))</f>
        <v/>
      </c>
      <c r="I192" s="6" t="str" cm="1">
        <f t="array" aca="1" ref="I192" ca="1">IFERROR(IF(OR('Raw Data'!I192="",LEN(TRIM('Raw Data'!I192))=0),"",IF(AND(ISNUMBER('Raw Data'!I192),'Raw Data'!I192=ROUND('Raw Data'!I192,4),IFERROR(ROUND('Raw Data'!I192,4)&lt;=99999999999.99,FALSE))=TRUE,"",_xlfn.REGEXEXTRACT(CELL("address",'Raw Data'!I192), "\$([A-Z]+)\$[0-9]+"))),_xlfn.REGEXEXTRACT(CELL("address",'Raw Data'!I192), "\$([A-Z]+)\$[0-9]+"))</f>
        <v/>
      </c>
      <c r="J192" s="6" t="str" cm="1">
        <f t="array" aca="1" ref="J192" ca="1">IFERROR(IF(OR('Raw Data'!J192="",LEN(TRIM('Raw Data'!J192))=0),"",IF(AND(ISNUMBER('Raw Data'!J192),'Raw Data'!J192=ROUND('Raw Data'!J192,4),IFERROR(ROUND('Raw Data'!J192,4)&lt;=99999999999.99,FALSE))=TRUE,"",_xlfn.REGEXEXTRACT(CELL("address",'Raw Data'!J192), "\$([A-Z]+)\$[0-9]+"))),_xlfn.REGEXEXTRACT(CELL("address",'Raw Data'!J192), "\$([A-Z]+)\$[0-9]+"))</f>
        <v/>
      </c>
    </row>
    <row r="193" spans="2:10" x14ac:dyDescent="0.25">
      <c r="B193" s="6" t="str" cm="1">
        <f t="array" aca="1" ref="B193" ca="1">IFERROR(IF(OR('Raw Data'!B193="",LEN(TRIM('Raw Data'!B193))=0),"",IF(AND(LEN('Raw Data'!B193) &lt;= 255,LEN('Raw Data'!B193)&gt; 0),"",_xlfn.REGEXEXTRACT(CELL("address",'Raw Data'!B193),"\$([A-Z]+)\$[0-9]+"))),_xlfn.REGEXEXTRACT(CELL("address",'Raw Data'!B193),"\$([A-Z]+)\$[0-9]+"))</f>
        <v/>
      </c>
      <c r="C193" s="6" t="str" cm="1">
        <f t="array" aca="1" ref="C193" ca="1">IFERROR(IF(OR('Raw Data'!C193="",LEN(TRIM('Raw Data'!C193))=0),"",IF(AND(LEN('Raw Data'!C193) &lt;= 20,LEN('Raw Data'!C193)&gt; 0),"",_xlfn.REGEXEXTRACT(CELL("address",'Raw Data'!C193),"\$([A-Z]+)\$[0-9]+"))),_xlfn.REGEXEXTRACT(CELL("address",'Raw Data'!C193),"\$([A-Z]+)\$[0-9]+"))</f>
        <v/>
      </c>
      <c r="D193" s="6" t="str" cm="1">
        <f t="array" aca="1" ref="D193" ca="1">IFERROR(IF(OR('Raw Data'!D193="",LEN(TRIM('Raw Data'!D193))=0),"",IF(AND(ISNUMBER('Raw Data'!D193),'Raw Data'!D193&gt;=Configuration!$D$2),"",_xlfn.REGEXEXTRACT(CELL("address",'Raw Data'!D193),"\$([A-Z]+)\$[0-9]+"))),_xlfn.REGEXEXTRACT(CELL("address",D193), "\$([A-Z]+)\$[0-9]+"))</f>
        <v/>
      </c>
      <c r="E193" s="6" t="str" cm="1">
        <f t="array" aca="1" ref="E193" ca="1">IFERROR(IF(OR('Raw Data'!E193="",LEN(TRIM('Raw Data'!E193))=0),"",IF(AND(ISNUMBER('Raw Data'!E193),'Raw Data'!E193=ROUND('Raw Data'!E193,4),IFERROR(ROUND('Raw Data'!E193,4)&lt;=99999999999.99,FALSE))=TRUE,"",_xlfn.REGEXEXTRACT(CELL("address",'Raw Data'!E193), "\$([A-Z]+)\$[0-9]+"))),_xlfn.REGEXEXTRACT(CELL("address",'Raw Data'!E193), "\$([A-Z]+)\$[0-9]+"))</f>
        <v/>
      </c>
      <c r="F193" s="6" t="str" cm="1">
        <f t="array" aca="1" ref="F193" ca="1">IFERROR(IF(OR('Raw Data'!F193="",LEN(TRIM('Raw Data'!F193))=0),"",IF(AND(ISNUMBER('Raw Data'!F193),'Raw Data'!F193=ROUND('Raw Data'!F193,4),IFERROR(ROUND('Raw Data'!F193,4)&lt;=99999999999.99,FALSE))=TRUE,"",_xlfn.REGEXEXTRACT(CELL("address",'Raw Data'!F193), "\$([A-Z]+)\$[0-9]+"))),_xlfn.REGEXEXTRACT(CELL("address",'Raw Data'!F193), "\$([A-Z]+)\$[0-9]+"))</f>
        <v/>
      </c>
      <c r="G193" s="6" t="str" cm="1">
        <f t="array" aca="1" ref="G193" ca="1">IFERROR(IF(OR('Raw Data'!G193="",LEN(TRIM('Raw Data'!G193))=0),"",IF(AND(ISNUMBER('Raw Data'!G193),'Raw Data'!G193=ROUND('Raw Data'!G193,4),IFERROR(ROUND('Raw Data'!G193,4)&lt;=99999999999.99,FALSE))=TRUE,"",_xlfn.REGEXEXTRACT(CELL("address",'Raw Data'!G193), "\$([A-Z]+)\$[0-9]+"))),_xlfn.REGEXEXTRACT(CELL("address",'Raw Data'!G193), "\$([A-Z]+)\$[0-9]+"))</f>
        <v/>
      </c>
      <c r="H193" s="6" t="str" cm="1">
        <f t="array" aca="1" ref="H193" ca="1">IFERROR(IF(OR('Raw Data'!H193="",LEN(TRIM('Raw Data'!H193))=0),"",IF(AND(ISNUMBER('Raw Data'!H193),'Raw Data'!H193=ROUND('Raw Data'!H193,4),IFERROR(ROUND('Raw Data'!H193,4)&lt;=99999999999.99,FALSE))=TRUE,"",_xlfn.REGEXEXTRACT(CELL("address",'Raw Data'!H193), "\$([A-Z]+)\$[0-9]+"))),_xlfn.REGEXEXTRACT(CELL("address",'Raw Data'!H193), "\$([A-Z]+)\$[0-9]+"))</f>
        <v/>
      </c>
      <c r="I193" s="6" t="str" cm="1">
        <f t="array" aca="1" ref="I193" ca="1">IFERROR(IF(OR('Raw Data'!I193="",LEN(TRIM('Raw Data'!I193))=0),"",IF(AND(ISNUMBER('Raw Data'!I193),'Raw Data'!I193=ROUND('Raw Data'!I193,4),IFERROR(ROUND('Raw Data'!I193,4)&lt;=99999999999.99,FALSE))=TRUE,"",_xlfn.REGEXEXTRACT(CELL("address",'Raw Data'!I193), "\$([A-Z]+)\$[0-9]+"))),_xlfn.REGEXEXTRACT(CELL("address",'Raw Data'!I193), "\$([A-Z]+)\$[0-9]+"))</f>
        <v/>
      </c>
      <c r="J193" s="6" t="str" cm="1">
        <f t="array" aca="1" ref="J193" ca="1">IFERROR(IF(OR('Raw Data'!J193="",LEN(TRIM('Raw Data'!J193))=0),"",IF(AND(ISNUMBER('Raw Data'!J193),'Raw Data'!J193=ROUND('Raw Data'!J193,4),IFERROR(ROUND('Raw Data'!J193,4)&lt;=99999999999.99,FALSE))=TRUE,"",_xlfn.REGEXEXTRACT(CELL("address",'Raw Data'!J193), "\$([A-Z]+)\$[0-9]+"))),_xlfn.REGEXEXTRACT(CELL("address",'Raw Data'!J193), "\$([A-Z]+)\$[0-9]+"))</f>
        <v/>
      </c>
    </row>
    <row r="194" spans="2:10" x14ac:dyDescent="0.25">
      <c r="B194" s="6" t="str" cm="1">
        <f t="array" aca="1" ref="B194" ca="1">IFERROR(IF(OR('Raw Data'!B194="",LEN(TRIM('Raw Data'!B194))=0),"",IF(AND(LEN('Raw Data'!B194) &lt;= 255,LEN('Raw Data'!B194)&gt; 0),"",_xlfn.REGEXEXTRACT(CELL("address",'Raw Data'!B194),"\$([A-Z]+)\$[0-9]+"))),_xlfn.REGEXEXTRACT(CELL("address",'Raw Data'!B194),"\$([A-Z]+)\$[0-9]+"))</f>
        <v/>
      </c>
      <c r="C194" s="6" t="str" cm="1">
        <f t="array" aca="1" ref="C194" ca="1">IFERROR(IF(OR('Raw Data'!C194="",LEN(TRIM('Raw Data'!C194))=0),"",IF(AND(LEN('Raw Data'!C194) &lt;= 20,LEN('Raw Data'!C194)&gt; 0),"",_xlfn.REGEXEXTRACT(CELL("address",'Raw Data'!C194),"\$([A-Z]+)\$[0-9]+"))),_xlfn.REGEXEXTRACT(CELL("address",'Raw Data'!C194),"\$([A-Z]+)\$[0-9]+"))</f>
        <v/>
      </c>
      <c r="D194" s="6" t="str" cm="1">
        <f t="array" aca="1" ref="D194" ca="1">IFERROR(IF(OR('Raw Data'!D194="",LEN(TRIM('Raw Data'!D194))=0),"",IF(AND(ISNUMBER('Raw Data'!D194),'Raw Data'!D194&gt;=Configuration!$D$2),"",_xlfn.REGEXEXTRACT(CELL("address",'Raw Data'!D194),"\$([A-Z]+)\$[0-9]+"))),_xlfn.REGEXEXTRACT(CELL("address",D194), "\$([A-Z]+)\$[0-9]+"))</f>
        <v/>
      </c>
      <c r="E194" s="6" t="str" cm="1">
        <f t="array" aca="1" ref="E194" ca="1">IFERROR(IF(OR('Raw Data'!E194="",LEN(TRIM('Raw Data'!E194))=0),"",IF(AND(ISNUMBER('Raw Data'!E194),'Raw Data'!E194=ROUND('Raw Data'!E194,4),IFERROR(ROUND('Raw Data'!E194,4)&lt;=99999999999.99,FALSE))=TRUE,"",_xlfn.REGEXEXTRACT(CELL("address",'Raw Data'!E194), "\$([A-Z]+)\$[0-9]+"))),_xlfn.REGEXEXTRACT(CELL("address",'Raw Data'!E194), "\$([A-Z]+)\$[0-9]+"))</f>
        <v/>
      </c>
      <c r="F194" s="6" t="str" cm="1">
        <f t="array" aca="1" ref="F194" ca="1">IFERROR(IF(OR('Raw Data'!F194="",LEN(TRIM('Raw Data'!F194))=0),"",IF(AND(ISNUMBER('Raw Data'!F194),'Raw Data'!F194=ROUND('Raw Data'!F194,4),IFERROR(ROUND('Raw Data'!F194,4)&lt;=99999999999.99,FALSE))=TRUE,"",_xlfn.REGEXEXTRACT(CELL("address",'Raw Data'!F194), "\$([A-Z]+)\$[0-9]+"))),_xlfn.REGEXEXTRACT(CELL("address",'Raw Data'!F194), "\$([A-Z]+)\$[0-9]+"))</f>
        <v/>
      </c>
      <c r="G194" s="6" t="str" cm="1">
        <f t="array" aca="1" ref="G194" ca="1">IFERROR(IF(OR('Raw Data'!G194="",LEN(TRIM('Raw Data'!G194))=0),"",IF(AND(ISNUMBER('Raw Data'!G194),'Raw Data'!G194=ROUND('Raw Data'!G194,4),IFERROR(ROUND('Raw Data'!G194,4)&lt;=99999999999.99,FALSE))=TRUE,"",_xlfn.REGEXEXTRACT(CELL("address",'Raw Data'!G194), "\$([A-Z]+)\$[0-9]+"))),_xlfn.REGEXEXTRACT(CELL("address",'Raw Data'!G194), "\$([A-Z]+)\$[0-9]+"))</f>
        <v/>
      </c>
      <c r="H194" s="6" t="str" cm="1">
        <f t="array" aca="1" ref="H194" ca="1">IFERROR(IF(OR('Raw Data'!H194="",LEN(TRIM('Raw Data'!H194))=0),"",IF(AND(ISNUMBER('Raw Data'!H194),'Raw Data'!H194=ROUND('Raw Data'!H194,4),IFERROR(ROUND('Raw Data'!H194,4)&lt;=99999999999.99,FALSE))=TRUE,"",_xlfn.REGEXEXTRACT(CELL("address",'Raw Data'!H194), "\$([A-Z]+)\$[0-9]+"))),_xlfn.REGEXEXTRACT(CELL("address",'Raw Data'!H194), "\$([A-Z]+)\$[0-9]+"))</f>
        <v/>
      </c>
      <c r="I194" s="6" t="str" cm="1">
        <f t="array" aca="1" ref="I194" ca="1">IFERROR(IF(OR('Raw Data'!I194="",LEN(TRIM('Raw Data'!I194))=0),"",IF(AND(ISNUMBER('Raw Data'!I194),'Raw Data'!I194=ROUND('Raw Data'!I194,4),IFERROR(ROUND('Raw Data'!I194,4)&lt;=99999999999.99,FALSE))=TRUE,"",_xlfn.REGEXEXTRACT(CELL("address",'Raw Data'!I194), "\$([A-Z]+)\$[0-9]+"))),_xlfn.REGEXEXTRACT(CELL("address",'Raw Data'!I194), "\$([A-Z]+)\$[0-9]+"))</f>
        <v/>
      </c>
      <c r="J194" s="6" t="str" cm="1">
        <f t="array" aca="1" ref="J194" ca="1">IFERROR(IF(OR('Raw Data'!J194="",LEN(TRIM('Raw Data'!J194))=0),"",IF(AND(ISNUMBER('Raw Data'!J194),'Raw Data'!J194=ROUND('Raw Data'!J194,4),IFERROR(ROUND('Raw Data'!J194,4)&lt;=99999999999.99,FALSE))=TRUE,"",_xlfn.REGEXEXTRACT(CELL("address",'Raw Data'!J194), "\$([A-Z]+)\$[0-9]+"))),_xlfn.REGEXEXTRACT(CELL("address",'Raw Data'!J194), "\$([A-Z]+)\$[0-9]+"))</f>
        <v/>
      </c>
    </row>
    <row r="195" spans="2:10" x14ac:dyDescent="0.25">
      <c r="B195" s="6" t="str" cm="1">
        <f t="array" aca="1" ref="B195" ca="1">IFERROR(IF(OR('Raw Data'!B195="",LEN(TRIM('Raw Data'!B195))=0),"",IF(AND(LEN('Raw Data'!B195) &lt;= 255,LEN('Raw Data'!B195)&gt; 0),"",_xlfn.REGEXEXTRACT(CELL("address",'Raw Data'!B195),"\$([A-Z]+)\$[0-9]+"))),_xlfn.REGEXEXTRACT(CELL("address",'Raw Data'!B195),"\$([A-Z]+)\$[0-9]+"))</f>
        <v/>
      </c>
      <c r="C195" s="6" t="str" cm="1">
        <f t="array" aca="1" ref="C195" ca="1">IFERROR(IF(OR('Raw Data'!C195="",LEN(TRIM('Raw Data'!C195))=0),"",IF(AND(LEN('Raw Data'!C195) &lt;= 20,LEN('Raw Data'!C195)&gt; 0),"",_xlfn.REGEXEXTRACT(CELL("address",'Raw Data'!C195),"\$([A-Z]+)\$[0-9]+"))),_xlfn.REGEXEXTRACT(CELL("address",'Raw Data'!C195),"\$([A-Z]+)\$[0-9]+"))</f>
        <v/>
      </c>
      <c r="D195" s="6" t="str" cm="1">
        <f t="array" aca="1" ref="D195" ca="1">IFERROR(IF(OR('Raw Data'!D195="",LEN(TRIM('Raw Data'!D195))=0),"",IF(AND(ISNUMBER('Raw Data'!D195),'Raw Data'!D195&gt;=Configuration!$D$2),"",_xlfn.REGEXEXTRACT(CELL("address",'Raw Data'!D195),"\$([A-Z]+)\$[0-9]+"))),_xlfn.REGEXEXTRACT(CELL("address",D195), "\$([A-Z]+)\$[0-9]+"))</f>
        <v/>
      </c>
      <c r="E195" s="6" t="str" cm="1">
        <f t="array" aca="1" ref="E195" ca="1">IFERROR(IF(OR('Raw Data'!E195="",LEN(TRIM('Raw Data'!E195))=0),"",IF(AND(ISNUMBER('Raw Data'!E195),'Raw Data'!E195=ROUND('Raw Data'!E195,4),IFERROR(ROUND('Raw Data'!E195,4)&lt;=99999999999.99,FALSE))=TRUE,"",_xlfn.REGEXEXTRACT(CELL("address",'Raw Data'!E195), "\$([A-Z]+)\$[0-9]+"))),_xlfn.REGEXEXTRACT(CELL("address",'Raw Data'!E195), "\$([A-Z]+)\$[0-9]+"))</f>
        <v/>
      </c>
      <c r="F195" s="6" t="str" cm="1">
        <f t="array" aca="1" ref="F195" ca="1">IFERROR(IF(OR('Raw Data'!F195="",LEN(TRIM('Raw Data'!F195))=0),"",IF(AND(ISNUMBER('Raw Data'!F195),'Raw Data'!F195=ROUND('Raw Data'!F195,4),IFERROR(ROUND('Raw Data'!F195,4)&lt;=99999999999.99,FALSE))=TRUE,"",_xlfn.REGEXEXTRACT(CELL("address",'Raw Data'!F195), "\$([A-Z]+)\$[0-9]+"))),_xlfn.REGEXEXTRACT(CELL("address",'Raw Data'!F195), "\$([A-Z]+)\$[0-9]+"))</f>
        <v/>
      </c>
      <c r="G195" s="6" t="str" cm="1">
        <f t="array" aca="1" ref="G195" ca="1">IFERROR(IF(OR('Raw Data'!G195="",LEN(TRIM('Raw Data'!G195))=0),"",IF(AND(ISNUMBER('Raw Data'!G195),'Raw Data'!G195=ROUND('Raw Data'!G195,4),IFERROR(ROUND('Raw Data'!G195,4)&lt;=99999999999.99,FALSE))=TRUE,"",_xlfn.REGEXEXTRACT(CELL("address",'Raw Data'!G195), "\$([A-Z]+)\$[0-9]+"))),_xlfn.REGEXEXTRACT(CELL("address",'Raw Data'!G195), "\$([A-Z]+)\$[0-9]+"))</f>
        <v/>
      </c>
      <c r="H195" s="6" t="str" cm="1">
        <f t="array" aca="1" ref="H195" ca="1">IFERROR(IF(OR('Raw Data'!H195="",LEN(TRIM('Raw Data'!H195))=0),"",IF(AND(ISNUMBER('Raw Data'!H195),'Raw Data'!H195=ROUND('Raw Data'!H195,4),IFERROR(ROUND('Raw Data'!H195,4)&lt;=99999999999.99,FALSE))=TRUE,"",_xlfn.REGEXEXTRACT(CELL("address",'Raw Data'!H195), "\$([A-Z]+)\$[0-9]+"))),_xlfn.REGEXEXTRACT(CELL("address",'Raw Data'!H195), "\$([A-Z]+)\$[0-9]+"))</f>
        <v/>
      </c>
      <c r="I195" s="6" t="str" cm="1">
        <f t="array" aca="1" ref="I195" ca="1">IFERROR(IF(OR('Raw Data'!I195="",LEN(TRIM('Raw Data'!I195))=0),"",IF(AND(ISNUMBER('Raw Data'!I195),'Raw Data'!I195=ROUND('Raw Data'!I195,4),IFERROR(ROUND('Raw Data'!I195,4)&lt;=99999999999.99,FALSE))=TRUE,"",_xlfn.REGEXEXTRACT(CELL("address",'Raw Data'!I195), "\$([A-Z]+)\$[0-9]+"))),_xlfn.REGEXEXTRACT(CELL("address",'Raw Data'!I195), "\$([A-Z]+)\$[0-9]+"))</f>
        <v/>
      </c>
      <c r="J195" s="6" t="str" cm="1">
        <f t="array" aca="1" ref="J195" ca="1">IFERROR(IF(OR('Raw Data'!J195="",LEN(TRIM('Raw Data'!J195))=0),"",IF(AND(ISNUMBER('Raw Data'!J195),'Raw Data'!J195=ROUND('Raw Data'!J195,4),IFERROR(ROUND('Raw Data'!J195,4)&lt;=99999999999.99,FALSE))=TRUE,"",_xlfn.REGEXEXTRACT(CELL("address",'Raw Data'!J195), "\$([A-Z]+)\$[0-9]+"))),_xlfn.REGEXEXTRACT(CELL("address",'Raw Data'!J195), "\$([A-Z]+)\$[0-9]+"))</f>
        <v/>
      </c>
    </row>
    <row r="196" spans="2:10" x14ac:dyDescent="0.25">
      <c r="B196" s="6" t="str" cm="1">
        <f t="array" aca="1" ref="B196" ca="1">IFERROR(IF(OR('Raw Data'!B196="",LEN(TRIM('Raw Data'!B196))=0),"",IF(AND(LEN('Raw Data'!B196) &lt;= 255,LEN('Raw Data'!B196)&gt; 0),"",_xlfn.REGEXEXTRACT(CELL("address",'Raw Data'!B196),"\$([A-Z]+)\$[0-9]+"))),_xlfn.REGEXEXTRACT(CELL("address",'Raw Data'!B196),"\$([A-Z]+)\$[0-9]+"))</f>
        <v/>
      </c>
      <c r="C196" s="6" t="str" cm="1">
        <f t="array" aca="1" ref="C196" ca="1">IFERROR(IF(OR('Raw Data'!C196="",LEN(TRIM('Raw Data'!C196))=0),"",IF(AND(LEN('Raw Data'!C196) &lt;= 20,LEN('Raw Data'!C196)&gt; 0),"",_xlfn.REGEXEXTRACT(CELL("address",'Raw Data'!C196),"\$([A-Z]+)\$[0-9]+"))),_xlfn.REGEXEXTRACT(CELL("address",'Raw Data'!C196),"\$([A-Z]+)\$[0-9]+"))</f>
        <v/>
      </c>
      <c r="D196" s="6" t="str" cm="1">
        <f t="array" aca="1" ref="D196" ca="1">IFERROR(IF(OR('Raw Data'!D196="",LEN(TRIM('Raw Data'!D196))=0),"",IF(AND(ISNUMBER('Raw Data'!D196),'Raw Data'!D196&gt;=Configuration!$D$2),"",_xlfn.REGEXEXTRACT(CELL("address",'Raw Data'!D196),"\$([A-Z]+)\$[0-9]+"))),_xlfn.REGEXEXTRACT(CELL("address",D196), "\$([A-Z]+)\$[0-9]+"))</f>
        <v/>
      </c>
      <c r="E196" s="6" t="str" cm="1">
        <f t="array" aca="1" ref="E196" ca="1">IFERROR(IF(OR('Raw Data'!E196="",LEN(TRIM('Raw Data'!E196))=0),"",IF(AND(ISNUMBER('Raw Data'!E196),'Raw Data'!E196=ROUND('Raw Data'!E196,4),IFERROR(ROUND('Raw Data'!E196,4)&lt;=99999999999.99,FALSE))=TRUE,"",_xlfn.REGEXEXTRACT(CELL("address",'Raw Data'!E196), "\$([A-Z]+)\$[0-9]+"))),_xlfn.REGEXEXTRACT(CELL("address",'Raw Data'!E196), "\$([A-Z]+)\$[0-9]+"))</f>
        <v/>
      </c>
      <c r="F196" s="6" t="str" cm="1">
        <f t="array" aca="1" ref="F196" ca="1">IFERROR(IF(OR('Raw Data'!F196="",LEN(TRIM('Raw Data'!F196))=0),"",IF(AND(ISNUMBER('Raw Data'!F196),'Raw Data'!F196=ROUND('Raw Data'!F196,4),IFERROR(ROUND('Raw Data'!F196,4)&lt;=99999999999.99,FALSE))=TRUE,"",_xlfn.REGEXEXTRACT(CELL("address",'Raw Data'!F196), "\$([A-Z]+)\$[0-9]+"))),_xlfn.REGEXEXTRACT(CELL("address",'Raw Data'!F196), "\$([A-Z]+)\$[0-9]+"))</f>
        <v/>
      </c>
      <c r="G196" s="6" t="str" cm="1">
        <f t="array" aca="1" ref="G196" ca="1">IFERROR(IF(OR('Raw Data'!G196="",LEN(TRIM('Raw Data'!G196))=0),"",IF(AND(ISNUMBER('Raw Data'!G196),'Raw Data'!G196=ROUND('Raw Data'!G196,4),IFERROR(ROUND('Raw Data'!G196,4)&lt;=99999999999.99,FALSE))=TRUE,"",_xlfn.REGEXEXTRACT(CELL("address",'Raw Data'!G196), "\$([A-Z]+)\$[0-9]+"))),_xlfn.REGEXEXTRACT(CELL("address",'Raw Data'!G196), "\$([A-Z]+)\$[0-9]+"))</f>
        <v/>
      </c>
      <c r="H196" s="6" t="str" cm="1">
        <f t="array" aca="1" ref="H196" ca="1">IFERROR(IF(OR('Raw Data'!H196="",LEN(TRIM('Raw Data'!H196))=0),"",IF(AND(ISNUMBER('Raw Data'!H196),'Raw Data'!H196=ROUND('Raw Data'!H196,4),IFERROR(ROUND('Raw Data'!H196,4)&lt;=99999999999.99,FALSE))=TRUE,"",_xlfn.REGEXEXTRACT(CELL("address",'Raw Data'!H196), "\$([A-Z]+)\$[0-9]+"))),_xlfn.REGEXEXTRACT(CELL("address",'Raw Data'!H196), "\$([A-Z]+)\$[0-9]+"))</f>
        <v/>
      </c>
      <c r="I196" s="6" t="str" cm="1">
        <f t="array" aca="1" ref="I196" ca="1">IFERROR(IF(OR('Raw Data'!I196="",LEN(TRIM('Raw Data'!I196))=0),"",IF(AND(ISNUMBER('Raw Data'!I196),'Raw Data'!I196=ROUND('Raw Data'!I196,4),IFERROR(ROUND('Raw Data'!I196,4)&lt;=99999999999.99,FALSE))=TRUE,"",_xlfn.REGEXEXTRACT(CELL("address",'Raw Data'!I196), "\$([A-Z]+)\$[0-9]+"))),_xlfn.REGEXEXTRACT(CELL("address",'Raw Data'!I196), "\$([A-Z]+)\$[0-9]+"))</f>
        <v/>
      </c>
      <c r="J196" s="6" t="str" cm="1">
        <f t="array" aca="1" ref="J196" ca="1">IFERROR(IF(OR('Raw Data'!J196="",LEN(TRIM('Raw Data'!J196))=0),"",IF(AND(ISNUMBER('Raw Data'!J196),'Raw Data'!J196=ROUND('Raw Data'!J196,4),IFERROR(ROUND('Raw Data'!J196,4)&lt;=99999999999.99,FALSE))=TRUE,"",_xlfn.REGEXEXTRACT(CELL("address",'Raw Data'!J196), "\$([A-Z]+)\$[0-9]+"))),_xlfn.REGEXEXTRACT(CELL("address",'Raw Data'!J196), "\$([A-Z]+)\$[0-9]+"))</f>
        <v/>
      </c>
    </row>
    <row r="197" spans="2:10" x14ac:dyDescent="0.25">
      <c r="B197" s="6" t="str" cm="1">
        <f t="array" aca="1" ref="B197" ca="1">IFERROR(IF(OR('Raw Data'!B197="",LEN(TRIM('Raw Data'!B197))=0),"",IF(AND(LEN('Raw Data'!B197) &lt;= 255,LEN('Raw Data'!B197)&gt; 0),"",_xlfn.REGEXEXTRACT(CELL("address",'Raw Data'!B197),"\$([A-Z]+)\$[0-9]+"))),_xlfn.REGEXEXTRACT(CELL("address",'Raw Data'!B197),"\$([A-Z]+)\$[0-9]+"))</f>
        <v/>
      </c>
      <c r="C197" s="6" t="str" cm="1">
        <f t="array" aca="1" ref="C197" ca="1">IFERROR(IF(OR('Raw Data'!C197="",LEN(TRIM('Raw Data'!C197))=0),"",IF(AND(LEN('Raw Data'!C197) &lt;= 20,LEN('Raw Data'!C197)&gt; 0),"",_xlfn.REGEXEXTRACT(CELL("address",'Raw Data'!C197),"\$([A-Z]+)\$[0-9]+"))),_xlfn.REGEXEXTRACT(CELL("address",'Raw Data'!C197),"\$([A-Z]+)\$[0-9]+"))</f>
        <v/>
      </c>
      <c r="D197" s="6" t="str" cm="1">
        <f t="array" aca="1" ref="D197" ca="1">IFERROR(IF(OR('Raw Data'!D197="",LEN(TRIM('Raw Data'!D197))=0),"",IF(AND(ISNUMBER('Raw Data'!D197),'Raw Data'!D197&gt;=Configuration!$D$2),"",_xlfn.REGEXEXTRACT(CELL("address",'Raw Data'!D197),"\$([A-Z]+)\$[0-9]+"))),_xlfn.REGEXEXTRACT(CELL("address",D197), "\$([A-Z]+)\$[0-9]+"))</f>
        <v/>
      </c>
      <c r="E197" s="6" t="str" cm="1">
        <f t="array" aca="1" ref="E197" ca="1">IFERROR(IF(OR('Raw Data'!E197="",LEN(TRIM('Raw Data'!E197))=0),"",IF(AND(ISNUMBER('Raw Data'!E197),'Raw Data'!E197=ROUND('Raw Data'!E197,4),IFERROR(ROUND('Raw Data'!E197,4)&lt;=99999999999.99,FALSE))=TRUE,"",_xlfn.REGEXEXTRACT(CELL("address",'Raw Data'!E197), "\$([A-Z]+)\$[0-9]+"))),_xlfn.REGEXEXTRACT(CELL("address",'Raw Data'!E197), "\$([A-Z]+)\$[0-9]+"))</f>
        <v/>
      </c>
      <c r="F197" s="6" t="str" cm="1">
        <f t="array" aca="1" ref="F197" ca="1">IFERROR(IF(OR('Raw Data'!F197="",LEN(TRIM('Raw Data'!F197))=0),"",IF(AND(ISNUMBER('Raw Data'!F197),'Raw Data'!F197=ROUND('Raw Data'!F197,4),IFERROR(ROUND('Raw Data'!F197,4)&lt;=99999999999.99,FALSE))=TRUE,"",_xlfn.REGEXEXTRACT(CELL("address",'Raw Data'!F197), "\$([A-Z]+)\$[0-9]+"))),_xlfn.REGEXEXTRACT(CELL("address",'Raw Data'!F197), "\$([A-Z]+)\$[0-9]+"))</f>
        <v/>
      </c>
      <c r="G197" s="6" t="str" cm="1">
        <f t="array" aca="1" ref="G197" ca="1">IFERROR(IF(OR('Raw Data'!G197="",LEN(TRIM('Raw Data'!G197))=0),"",IF(AND(ISNUMBER('Raw Data'!G197),'Raw Data'!G197=ROUND('Raw Data'!G197,4),IFERROR(ROUND('Raw Data'!G197,4)&lt;=99999999999.99,FALSE))=TRUE,"",_xlfn.REGEXEXTRACT(CELL("address",'Raw Data'!G197), "\$([A-Z]+)\$[0-9]+"))),_xlfn.REGEXEXTRACT(CELL("address",'Raw Data'!G197), "\$([A-Z]+)\$[0-9]+"))</f>
        <v/>
      </c>
      <c r="H197" s="6" t="str" cm="1">
        <f t="array" aca="1" ref="H197" ca="1">IFERROR(IF(OR('Raw Data'!H197="",LEN(TRIM('Raw Data'!H197))=0),"",IF(AND(ISNUMBER('Raw Data'!H197),'Raw Data'!H197=ROUND('Raw Data'!H197,4),IFERROR(ROUND('Raw Data'!H197,4)&lt;=99999999999.99,FALSE))=TRUE,"",_xlfn.REGEXEXTRACT(CELL("address",'Raw Data'!H197), "\$([A-Z]+)\$[0-9]+"))),_xlfn.REGEXEXTRACT(CELL("address",'Raw Data'!H197), "\$([A-Z]+)\$[0-9]+"))</f>
        <v/>
      </c>
      <c r="I197" s="6" t="str" cm="1">
        <f t="array" aca="1" ref="I197" ca="1">IFERROR(IF(OR('Raw Data'!I197="",LEN(TRIM('Raw Data'!I197))=0),"",IF(AND(ISNUMBER('Raw Data'!I197),'Raw Data'!I197=ROUND('Raw Data'!I197,4),IFERROR(ROUND('Raw Data'!I197,4)&lt;=99999999999.99,FALSE))=TRUE,"",_xlfn.REGEXEXTRACT(CELL("address",'Raw Data'!I197), "\$([A-Z]+)\$[0-9]+"))),_xlfn.REGEXEXTRACT(CELL("address",'Raw Data'!I197), "\$([A-Z]+)\$[0-9]+"))</f>
        <v/>
      </c>
      <c r="J197" s="6" t="str" cm="1">
        <f t="array" aca="1" ref="J197" ca="1">IFERROR(IF(OR('Raw Data'!J197="",LEN(TRIM('Raw Data'!J197))=0),"",IF(AND(ISNUMBER('Raw Data'!J197),'Raw Data'!J197=ROUND('Raw Data'!J197,4),IFERROR(ROUND('Raw Data'!J197,4)&lt;=99999999999.99,FALSE))=TRUE,"",_xlfn.REGEXEXTRACT(CELL("address",'Raw Data'!J197), "\$([A-Z]+)\$[0-9]+"))),_xlfn.REGEXEXTRACT(CELL("address",'Raw Data'!J197), "\$([A-Z]+)\$[0-9]+"))</f>
        <v/>
      </c>
    </row>
    <row r="198" spans="2:10" x14ac:dyDescent="0.25">
      <c r="B198" s="6" t="str" cm="1">
        <f t="array" aca="1" ref="B198" ca="1">IFERROR(IF(OR('Raw Data'!B198="",LEN(TRIM('Raw Data'!B198))=0),"",IF(AND(LEN('Raw Data'!B198) &lt;= 255,LEN('Raw Data'!B198)&gt; 0),"",_xlfn.REGEXEXTRACT(CELL("address",'Raw Data'!B198),"\$([A-Z]+)\$[0-9]+"))),_xlfn.REGEXEXTRACT(CELL("address",'Raw Data'!B198),"\$([A-Z]+)\$[0-9]+"))</f>
        <v/>
      </c>
      <c r="C198" s="6" t="str" cm="1">
        <f t="array" aca="1" ref="C198" ca="1">IFERROR(IF(OR('Raw Data'!C198="",LEN(TRIM('Raw Data'!C198))=0),"",IF(AND(LEN('Raw Data'!C198) &lt;= 20,LEN('Raw Data'!C198)&gt; 0),"",_xlfn.REGEXEXTRACT(CELL("address",'Raw Data'!C198),"\$([A-Z]+)\$[0-9]+"))),_xlfn.REGEXEXTRACT(CELL("address",'Raw Data'!C198),"\$([A-Z]+)\$[0-9]+"))</f>
        <v/>
      </c>
      <c r="D198" s="6" t="str" cm="1">
        <f t="array" aca="1" ref="D198" ca="1">IFERROR(IF(OR('Raw Data'!D198="",LEN(TRIM('Raw Data'!D198))=0),"",IF(AND(ISNUMBER('Raw Data'!D198),'Raw Data'!D198&gt;=Configuration!$D$2),"",_xlfn.REGEXEXTRACT(CELL("address",'Raw Data'!D198),"\$([A-Z]+)\$[0-9]+"))),_xlfn.REGEXEXTRACT(CELL("address",D198), "\$([A-Z]+)\$[0-9]+"))</f>
        <v/>
      </c>
      <c r="E198" s="6" t="str" cm="1">
        <f t="array" aca="1" ref="E198" ca="1">IFERROR(IF(OR('Raw Data'!E198="",LEN(TRIM('Raw Data'!E198))=0),"",IF(AND(ISNUMBER('Raw Data'!E198),'Raw Data'!E198=ROUND('Raw Data'!E198,4),IFERROR(ROUND('Raw Data'!E198,4)&lt;=99999999999.99,FALSE))=TRUE,"",_xlfn.REGEXEXTRACT(CELL("address",'Raw Data'!E198), "\$([A-Z]+)\$[0-9]+"))),_xlfn.REGEXEXTRACT(CELL("address",'Raw Data'!E198), "\$([A-Z]+)\$[0-9]+"))</f>
        <v/>
      </c>
      <c r="F198" s="6" t="str" cm="1">
        <f t="array" aca="1" ref="F198" ca="1">IFERROR(IF(OR('Raw Data'!F198="",LEN(TRIM('Raw Data'!F198))=0),"",IF(AND(ISNUMBER('Raw Data'!F198),'Raw Data'!F198=ROUND('Raw Data'!F198,4),IFERROR(ROUND('Raw Data'!F198,4)&lt;=99999999999.99,FALSE))=TRUE,"",_xlfn.REGEXEXTRACT(CELL("address",'Raw Data'!F198), "\$([A-Z]+)\$[0-9]+"))),_xlfn.REGEXEXTRACT(CELL("address",'Raw Data'!F198), "\$([A-Z]+)\$[0-9]+"))</f>
        <v/>
      </c>
      <c r="G198" s="6" t="str" cm="1">
        <f t="array" aca="1" ref="G198" ca="1">IFERROR(IF(OR('Raw Data'!G198="",LEN(TRIM('Raw Data'!G198))=0),"",IF(AND(ISNUMBER('Raw Data'!G198),'Raw Data'!G198=ROUND('Raw Data'!G198,4),IFERROR(ROUND('Raw Data'!G198,4)&lt;=99999999999.99,FALSE))=TRUE,"",_xlfn.REGEXEXTRACT(CELL("address",'Raw Data'!G198), "\$([A-Z]+)\$[0-9]+"))),_xlfn.REGEXEXTRACT(CELL("address",'Raw Data'!G198), "\$([A-Z]+)\$[0-9]+"))</f>
        <v/>
      </c>
      <c r="H198" s="6" t="str" cm="1">
        <f t="array" aca="1" ref="H198" ca="1">IFERROR(IF(OR('Raw Data'!H198="",LEN(TRIM('Raw Data'!H198))=0),"",IF(AND(ISNUMBER('Raw Data'!H198),'Raw Data'!H198=ROUND('Raw Data'!H198,4),IFERROR(ROUND('Raw Data'!H198,4)&lt;=99999999999.99,FALSE))=TRUE,"",_xlfn.REGEXEXTRACT(CELL("address",'Raw Data'!H198), "\$([A-Z]+)\$[0-9]+"))),_xlfn.REGEXEXTRACT(CELL("address",'Raw Data'!H198), "\$([A-Z]+)\$[0-9]+"))</f>
        <v/>
      </c>
      <c r="I198" s="6" t="str" cm="1">
        <f t="array" aca="1" ref="I198" ca="1">IFERROR(IF(OR('Raw Data'!I198="",LEN(TRIM('Raw Data'!I198))=0),"",IF(AND(ISNUMBER('Raw Data'!I198),'Raw Data'!I198=ROUND('Raw Data'!I198,4),IFERROR(ROUND('Raw Data'!I198,4)&lt;=99999999999.99,FALSE))=TRUE,"",_xlfn.REGEXEXTRACT(CELL("address",'Raw Data'!I198), "\$([A-Z]+)\$[0-9]+"))),_xlfn.REGEXEXTRACT(CELL("address",'Raw Data'!I198), "\$([A-Z]+)\$[0-9]+"))</f>
        <v/>
      </c>
      <c r="J198" s="6" t="str" cm="1">
        <f t="array" aca="1" ref="J198" ca="1">IFERROR(IF(OR('Raw Data'!J198="",LEN(TRIM('Raw Data'!J198))=0),"",IF(AND(ISNUMBER('Raw Data'!J198),'Raw Data'!J198=ROUND('Raw Data'!J198,4),IFERROR(ROUND('Raw Data'!J198,4)&lt;=99999999999.99,FALSE))=TRUE,"",_xlfn.REGEXEXTRACT(CELL("address",'Raw Data'!J198), "\$([A-Z]+)\$[0-9]+"))),_xlfn.REGEXEXTRACT(CELL("address",'Raw Data'!J198), "\$([A-Z]+)\$[0-9]+"))</f>
        <v/>
      </c>
    </row>
    <row r="199" spans="2:10" x14ac:dyDescent="0.25">
      <c r="B199" s="6" t="str" cm="1">
        <f t="array" aca="1" ref="B199" ca="1">IFERROR(IF(OR('Raw Data'!B199="",LEN(TRIM('Raw Data'!B199))=0),"",IF(AND(LEN('Raw Data'!B199) &lt;= 255,LEN('Raw Data'!B199)&gt; 0),"",_xlfn.REGEXEXTRACT(CELL("address",'Raw Data'!B199),"\$([A-Z]+)\$[0-9]+"))),_xlfn.REGEXEXTRACT(CELL("address",'Raw Data'!B199),"\$([A-Z]+)\$[0-9]+"))</f>
        <v/>
      </c>
      <c r="C199" s="6" t="str" cm="1">
        <f t="array" aca="1" ref="C199" ca="1">IFERROR(IF(OR('Raw Data'!C199="",LEN(TRIM('Raw Data'!C199))=0),"",IF(AND(LEN('Raw Data'!C199) &lt;= 20,LEN('Raw Data'!C199)&gt; 0),"",_xlfn.REGEXEXTRACT(CELL("address",'Raw Data'!C199),"\$([A-Z]+)\$[0-9]+"))),_xlfn.REGEXEXTRACT(CELL("address",'Raw Data'!C199),"\$([A-Z]+)\$[0-9]+"))</f>
        <v/>
      </c>
      <c r="D199" s="6" t="str" cm="1">
        <f t="array" aca="1" ref="D199" ca="1">IFERROR(IF(OR('Raw Data'!D199="",LEN(TRIM('Raw Data'!D199))=0),"",IF(AND(ISNUMBER('Raw Data'!D199),'Raw Data'!D199&gt;=Configuration!$D$2),"",_xlfn.REGEXEXTRACT(CELL("address",'Raw Data'!D199),"\$([A-Z]+)\$[0-9]+"))),_xlfn.REGEXEXTRACT(CELL("address",D199), "\$([A-Z]+)\$[0-9]+"))</f>
        <v/>
      </c>
      <c r="E199" s="6" t="str" cm="1">
        <f t="array" aca="1" ref="E199" ca="1">IFERROR(IF(OR('Raw Data'!E199="",LEN(TRIM('Raw Data'!E199))=0),"",IF(AND(ISNUMBER('Raw Data'!E199),'Raw Data'!E199=ROUND('Raw Data'!E199,4),IFERROR(ROUND('Raw Data'!E199,4)&lt;=99999999999.99,FALSE))=TRUE,"",_xlfn.REGEXEXTRACT(CELL("address",'Raw Data'!E199), "\$([A-Z]+)\$[0-9]+"))),_xlfn.REGEXEXTRACT(CELL("address",'Raw Data'!E199), "\$([A-Z]+)\$[0-9]+"))</f>
        <v/>
      </c>
      <c r="F199" s="6" t="str" cm="1">
        <f t="array" aca="1" ref="F199" ca="1">IFERROR(IF(OR('Raw Data'!F199="",LEN(TRIM('Raw Data'!F199))=0),"",IF(AND(ISNUMBER('Raw Data'!F199),'Raw Data'!F199=ROUND('Raw Data'!F199,4),IFERROR(ROUND('Raw Data'!F199,4)&lt;=99999999999.99,FALSE))=TRUE,"",_xlfn.REGEXEXTRACT(CELL("address",'Raw Data'!F199), "\$([A-Z]+)\$[0-9]+"))),_xlfn.REGEXEXTRACT(CELL("address",'Raw Data'!F199), "\$([A-Z]+)\$[0-9]+"))</f>
        <v/>
      </c>
      <c r="G199" s="6" t="str" cm="1">
        <f t="array" aca="1" ref="G199" ca="1">IFERROR(IF(OR('Raw Data'!G199="",LEN(TRIM('Raw Data'!G199))=0),"",IF(AND(ISNUMBER('Raw Data'!G199),'Raw Data'!G199=ROUND('Raw Data'!G199,4),IFERROR(ROUND('Raw Data'!G199,4)&lt;=99999999999.99,FALSE))=TRUE,"",_xlfn.REGEXEXTRACT(CELL("address",'Raw Data'!G199), "\$([A-Z]+)\$[0-9]+"))),_xlfn.REGEXEXTRACT(CELL("address",'Raw Data'!G199), "\$([A-Z]+)\$[0-9]+"))</f>
        <v/>
      </c>
      <c r="H199" s="6" t="str" cm="1">
        <f t="array" aca="1" ref="H199" ca="1">IFERROR(IF(OR('Raw Data'!H199="",LEN(TRIM('Raw Data'!H199))=0),"",IF(AND(ISNUMBER('Raw Data'!H199),'Raw Data'!H199=ROUND('Raw Data'!H199,4),IFERROR(ROUND('Raw Data'!H199,4)&lt;=99999999999.99,FALSE))=TRUE,"",_xlfn.REGEXEXTRACT(CELL("address",'Raw Data'!H199), "\$([A-Z]+)\$[0-9]+"))),_xlfn.REGEXEXTRACT(CELL("address",'Raw Data'!H199), "\$([A-Z]+)\$[0-9]+"))</f>
        <v/>
      </c>
      <c r="I199" s="6" t="str" cm="1">
        <f t="array" aca="1" ref="I199" ca="1">IFERROR(IF(OR('Raw Data'!I199="",LEN(TRIM('Raw Data'!I199))=0),"",IF(AND(ISNUMBER('Raw Data'!I199),'Raw Data'!I199=ROUND('Raw Data'!I199,4),IFERROR(ROUND('Raw Data'!I199,4)&lt;=99999999999.99,FALSE))=TRUE,"",_xlfn.REGEXEXTRACT(CELL("address",'Raw Data'!I199), "\$([A-Z]+)\$[0-9]+"))),_xlfn.REGEXEXTRACT(CELL("address",'Raw Data'!I199), "\$([A-Z]+)\$[0-9]+"))</f>
        <v/>
      </c>
      <c r="J199" s="6" t="str" cm="1">
        <f t="array" aca="1" ref="J199" ca="1">IFERROR(IF(OR('Raw Data'!J199="",LEN(TRIM('Raw Data'!J199))=0),"",IF(AND(ISNUMBER('Raw Data'!J199),'Raw Data'!J199=ROUND('Raw Data'!J199,4),IFERROR(ROUND('Raw Data'!J199,4)&lt;=99999999999.99,FALSE))=TRUE,"",_xlfn.REGEXEXTRACT(CELL("address",'Raw Data'!J199), "\$([A-Z]+)\$[0-9]+"))),_xlfn.REGEXEXTRACT(CELL("address",'Raw Data'!J199), "\$([A-Z]+)\$[0-9]+"))</f>
        <v/>
      </c>
    </row>
    <row r="200" spans="2:10" x14ac:dyDescent="0.25">
      <c r="B200" s="6" t="str" cm="1">
        <f t="array" aca="1" ref="B200" ca="1">IFERROR(IF(OR('Raw Data'!B200="",LEN(TRIM('Raw Data'!B200))=0),"",IF(AND(LEN('Raw Data'!B200) &lt;= 255,LEN('Raw Data'!B200)&gt; 0),"",_xlfn.REGEXEXTRACT(CELL("address",'Raw Data'!B200),"\$([A-Z]+)\$[0-9]+"))),_xlfn.REGEXEXTRACT(CELL("address",'Raw Data'!B200),"\$([A-Z]+)\$[0-9]+"))</f>
        <v/>
      </c>
      <c r="C200" s="6" t="str" cm="1">
        <f t="array" aca="1" ref="C200" ca="1">IFERROR(IF(OR('Raw Data'!C200="",LEN(TRIM('Raw Data'!C200))=0),"",IF(AND(LEN('Raw Data'!C200) &lt;= 20,LEN('Raw Data'!C200)&gt; 0),"",_xlfn.REGEXEXTRACT(CELL("address",'Raw Data'!C200),"\$([A-Z]+)\$[0-9]+"))),_xlfn.REGEXEXTRACT(CELL("address",'Raw Data'!C200),"\$([A-Z]+)\$[0-9]+"))</f>
        <v/>
      </c>
      <c r="D200" s="6" t="str" cm="1">
        <f t="array" aca="1" ref="D200" ca="1">IFERROR(IF(OR('Raw Data'!D200="",LEN(TRIM('Raw Data'!D200))=0),"",IF(AND(ISNUMBER('Raw Data'!D200),'Raw Data'!D200&gt;=Configuration!$D$2),"",_xlfn.REGEXEXTRACT(CELL("address",'Raw Data'!D200),"\$([A-Z]+)\$[0-9]+"))),_xlfn.REGEXEXTRACT(CELL("address",D200), "\$([A-Z]+)\$[0-9]+"))</f>
        <v/>
      </c>
      <c r="E200" s="6" t="str" cm="1">
        <f t="array" aca="1" ref="E200" ca="1">IFERROR(IF(OR('Raw Data'!E200="",LEN(TRIM('Raw Data'!E200))=0),"",IF(AND(ISNUMBER('Raw Data'!E200),'Raw Data'!E200=ROUND('Raw Data'!E200,4),IFERROR(ROUND('Raw Data'!E200,4)&lt;=99999999999.99,FALSE))=TRUE,"",_xlfn.REGEXEXTRACT(CELL("address",'Raw Data'!E200), "\$([A-Z]+)\$[0-9]+"))),_xlfn.REGEXEXTRACT(CELL("address",'Raw Data'!E200), "\$([A-Z]+)\$[0-9]+"))</f>
        <v/>
      </c>
      <c r="F200" s="6" t="str" cm="1">
        <f t="array" aca="1" ref="F200" ca="1">IFERROR(IF(OR('Raw Data'!F200="",LEN(TRIM('Raw Data'!F200))=0),"",IF(AND(ISNUMBER('Raw Data'!F200),'Raw Data'!F200=ROUND('Raw Data'!F200,4),IFERROR(ROUND('Raw Data'!F200,4)&lt;=99999999999.99,FALSE))=TRUE,"",_xlfn.REGEXEXTRACT(CELL("address",'Raw Data'!F200), "\$([A-Z]+)\$[0-9]+"))),_xlfn.REGEXEXTRACT(CELL("address",'Raw Data'!F200), "\$([A-Z]+)\$[0-9]+"))</f>
        <v/>
      </c>
      <c r="G200" s="6" t="str" cm="1">
        <f t="array" aca="1" ref="G200" ca="1">IFERROR(IF(OR('Raw Data'!G200="",LEN(TRIM('Raw Data'!G200))=0),"",IF(AND(ISNUMBER('Raw Data'!G200),'Raw Data'!G200=ROUND('Raw Data'!G200,4),IFERROR(ROUND('Raw Data'!G200,4)&lt;=99999999999.99,FALSE))=TRUE,"",_xlfn.REGEXEXTRACT(CELL("address",'Raw Data'!G200), "\$([A-Z]+)\$[0-9]+"))),_xlfn.REGEXEXTRACT(CELL("address",'Raw Data'!G200), "\$([A-Z]+)\$[0-9]+"))</f>
        <v/>
      </c>
      <c r="H200" s="6" t="str" cm="1">
        <f t="array" aca="1" ref="H200" ca="1">IFERROR(IF(OR('Raw Data'!H200="",LEN(TRIM('Raw Data'!H200))=0),"",IF(AND(ISNUMBER('Raw Data'!H200),'Raw Data'!H200=ROUND('Raw Data'!H200,4),IFERROR(ROUND('Raw Data'!H200,4)&lt;=99999999999.99,FALSE))=TRUE,"",_xlfn.REGEXEXTRACT(CELL("address",'Raw Data'!H200), "\$([A-Z]+)\$[0-9]+"))),_xlfn.REGEXEXTRACT(CELL("address",'Raw Data'!H200), "\$([A-Z]+)\$[0-9]+"))</f>
        <v/>
      </c>
      <c r="I200" s="6" t="str" cm="1">
        <f t="array" aca="1" ref="I200" ca="1">IFERROR(IF(OR('Raw Data'!I200="",LEN(TRIM('Raw Data'!I200))=0),"",IF(AND(ISNUMBER('Raw Data'!I200),'Raw Data'!I200=ROUND('Raw Data'!I200,4),IFERROR(ROUND('Raw Data'!I200,4)&lt;=99999999999.99,FALSE))=TRUE,"",_xlfn.REGEXEXTRACT(CELL("address",'Raw Data'!I200), "\$([A-Z]+)\$[0-9]+"))),_xlfn.REGEXEXTRACT(CELL("address",'Raw Data'!I200), "\$([A-Z]+)\$[0-9]+"))</f>
        <v/>
      </c>
      <c r="J200" s="6" t="str" cm="1">
        <f t="array" aca="1" ref="J200" ca="1">IFERROR(IF(OR('Raw Data'!J200="",LEN(TRIM('Raw Data'!J200))=0),"",IF(AND(ISNUMBER('Raw Data'!J200),'Raw Data'!J200=ROUND('Raw Data'!J200,4),IFERROR(ROUND('Raw Data'!J200,4)&lt;=99999999999.99,FALSE))=TRUE,"",_xlfn.REGEXEXTRACT(CELL("address",'Raw Data'!J200), "\$([A-Z]+)\$[0-9]+"))),_xlfn.REGEXEXTRACT(CELL("address",'Raw Data'!J200), "\$([A-Z]+)\$[0-9]+"))</f>
        <v/>
      </c>
    </row>
    <row r="201" spans="2:10" x14ac:dyDescent="0.25">
      <c r="B201" s="6" t="str" cm="1">
        <f t="array" aca="1" ref="B201" ca="1">IFERROR(IF(OR('Raw Data'!B201="",LEN(TRIM('Raw Data'!B201))=0),"",IF(AND(LEN('Raw Data'!B201) &lt;= 255,LEN('Raw Data'!B201)&gt; 0),"",_xlfn.REGEXEXTRACT(CELL("address",'Raw Data'!B201),"\$([A-Z]+)\$[0-9]+"))),_xlfn.REGEXEXTRACT(CELL("address",'Raw Data'!B201),"\$([A-Z]+)\$[0-9]+"))</f>
        <v/>
      </c>
      <c r="C201" s="6" t="str" cm="1">
        <f t="array" aca="1" ref="C201" ca="1">IFERROR(IF(OR('Raw Data'!C201="",LEN(TRIM('Raw Data'!C201))=0),"",IF(AND(LEN('Raw Data'!C201) &lt;= 20,LEN('Raw Data'!C201)&gt; 0),"",_xlfn.REGEXEXTRACT(CELL("address",'Raw Data'!C201),"\$([A-Z]+)\$[0-9]+"))),_xlfn.REGEXEXTRACT(CELL("address",'Raw Data'!C201),"\$([A-Z]+)\$[0-9]+"))</f>
        <v/>
      </c>
      <c r="D201" s="6" t="str" cm="1">
        <f t="array" aca="1" ref="D201" ca="1">IFERROR(IF(OR('Raw Data'!D201="",LEN(TRIM('Raw Data'!D201))=0),"",IF(AND(ISNUMBER('Raw Data'!D201),'Raw Data'!D201&gt;=Configuration!$D$2),"",_xlfn.REGEXEXTRACT(CELL("address",'Raw Data'!D201),"\$([A-Z]+)\$[0-9]+"))),_xlfn.REGEXEXTRACT(CELL("address",D201), "\$([A-Z]+)\$[0-9]+"))</f>
        <v/>
      </c>
      <c r="E201" s="6" t="str" cm="1">
        <f t="array" aca="1" ref="E201" ca="1">IFERROR(IF(OR('Raw Data'!E201="",LEN(TRIM('Raw Data'!E201))=0),"",IF(AND(ISNUMBER('Raw Data'!E201),'Raw Data'!E201=ROUND('Raw Data'!E201,4),IFERROR(ROUND('Raw Data'!E201,4)&lt;=99999999999.99,FALSE))=TRUE,"",_xlfn.REGEXEXTRACT(CELL("address",'Raw Data'!E201), "\$([A-Z]+)\$[0-9]+"))),_xlfn.REGEXEXTRACT(CELL("address",'Raw Data'!E201), "\$([A-Z]+)\$[0-9]+"))</f>
        <v/>
      </c>
      <c r="F201" s="6" t="str" cm="1">
        <f t="array" aca="1" ref="F201" ca="1">IFERROR(IF(OR('Raw Data'!F201="",LEN(TRIM('Raw Data'!F201))=0),"",IF(AND(ISNUMBER('Raw Data'!F201),'Raw Data'!F201=ROUND('Raw Data'!F201,4),IFERROR(ROUND('Raw Data'!F201,4)&lt;=99999999999.99,FALSE))=TRUE,"",_xlfn.REGEXEXTRACT(CELL("address",'Raw Data'!F201), "\$([A-Z]+)\$[0-9]+"))),_xlfn.REGEXEXTRACT(CELL("address",'Raw Data'!F201), "\$([A-Z]+)\$[0-9]+"))</f>
        <v/>
      </c>
      <c r="G201" s="6" t="str" cm="1">
        <f t="array" aca="1" ref="G201" ca="1">IFERROR(IF(OR('Raw Data'!G201="",LEN(TRIM('Raw Data'!G201))=0),"",IF(AND(ISNUMBER('Raw Data'!G201),'Raw Data'!G201=ROUND('Raw Data'!G201,4),IFERROR(ROUND('Raw Data'!G201,4)&lt;=99999999999.99,FALSE))=TRUE,"",_xlfn.REGEXEXTRACT(CELL("address",'Raw Data'!G201), "\$([A-Z]+)\$[0-9]+"))),_xlfn.REGEXEXTRACT(CELL("address",'Raw Data'!G201), "\$([A-Z]+)\$[0-9]+"))</f>
        <v/>
      </c>
      <c r="H201" s="6" t="str" cm="1">
        <f t="array" aca="1" ref="H201" ca="1">IFERROR(IF(OR('Raw Data'!H201="",LEN(TRIM('Raw Data'!H201))=0),"",IF(AND(ISNUMBER('Raw Data'!H201),'Raw Data'!H201=ROUND('Raw Data'!H201,4),IFERROR(ROUND('Raw Data'!H201,4)&lt;=99999999999.99,FALSE))=TRUE,"",_xlfn.REGEXEXTRACT(CELL("address",'Raw Data'!H201), "\$([A-Z]+)\$[0-9]+"))),_xlfn.REGEXEXTRACT(CELL("address",'Raw Data'!H201), "\$([A-Z]+)\$[0-9]+"))</f>
        <v/>
      </c>
      <c r="I201" s="6" t="str" cm="1">
        <f t="array" aca="1" ref="I201" ca="1">IFERROR(IF(OR('Raw Data'!I201="",LEN(TRIM('Raw Data'!I201))=0),"",IF(AND(ISNUMBER('Raw Data'!I201),'Raw Data'!I201=ROUND('Raw Data'!I201,4),IFERROR(ROUND('Raw Data'!I201,4)&lt;=99999999999.99,FALSE))=TRUE,"",_xlfn.REGEXEXTRACT(CELL("address",'Raw Data'!I201), "\$([A-Z]+)\$[0-9]+"))),_xlfn.REGEXEXTRACT(CELL("address",'Raw Data'!I201), "\$([A-Z]+)\$[0-9]+"))</f>
        <v/>
      </c>
      <c r="J201" s="6" t="str" cm="1">
        <f t="array" aca="1" ref="J201" ca="1">IFERROR(IF(OR('Raw Data'!J201="",LEN(TRIM('Raw Data'!J201))=0),"",IF(AND(ISNUMBER('Raw Data'!J201),'Raw Data'!J201=ROUND('Raw Data'!J201,4),IFERROR(ROUND('Raw Data'!J201,4)&lt;=99999999999.99,FALSE))=TRUE,"",_xlfn.REGEXEXTRACT(CELL("address",'Raw Data'!J201), "\$([A-Z]+)\$[0-9]+"))),_xlfn.REGEXEXTRACT(CELL("address",'Raw Data'!J201), "\$([A-Z]+)\$[0-9]+"))</f>
        <v/>
      </c>
    </row>
    <row r="202" spans="2:10" x14ac:dyDescent="0.25">
      <c r="B202" s="6" t="str" cm="1">
        <f t="array" aca="1" ref="B202" ca="1">IFERROR(IF(OR('Raw Data'!B202="",LEN(TRIM('Raw Data'!B202))=0),"",IF(AND(LEN('Raw Data'!B202) &lt;= 255,LEN('Raw Data'!B202)&gt; 0),"",_xlfn.REGEXEXTRACT(CELL("address",'Raw Data'!B202),"\$([A-Z]+)\$[0-9]+"))),_xlfn.REGEXEXTRACT(CELL("address",'Raw Data'!B202),"\$([A-Z]+)\$[0-9]+"))</f>
        <v/>
      </c>
      <c r="C202" s="6" t="str" cm="1">
        <f t="array" aca="1" ref="C202" ca="1">IFERROR(IF(OR('Raw Data'!C202="",LEN(TRIM('Raw Data'!C202))=0),"",IF(AND(LEN('Raw Data'!C202) &lt;= 20,LEN('Raw Data'!C202)&gt; 0),"",_xlfn.REGEXEXTRACT(CELL("address",'Raw Data'!C202),"\$([A-Z]+)\$[0-9]+"))),_xlfn.REGEXEXTRACT(CELL("address",'Raw Data'!C202),"\$([A-Z]+)\$[0-9]+"))</f>
        <v/>
      </c>
      <c r="D202" s="6" t="str" cm="1">
        <f t="array" aca="1" ref="D202" ca="1">IFERROR(IF(OR('Raw Data'!D202="",LEN(TRIM('Raw Data'!D202))=0),"",IF(AND(ISNUMBER('Raw Data'!D202),'Raw Data'!D202&gt;=Configuration!$D$2),"",_xlfn.REGEXEXTRACT(CELL("address",'Raw Data'!D202),"\$([A-Z]+)\$[0-9]+"))),_xlfn.REGEXEXTRACT(CELL("address",D202), "\$([A-Z]+)\$[0-9]+"))</f>
        <v/>
      </c>
      <c r="E202" s="6" t="str" cm="1">
        <f t="array" aca="1" ref="E202" ca="1">IFERROR(IF(OR('Raw Data'!E202="",LEN(TRIM('Raw Data'!E202))=0),"",IF(AND(ISNUMBER('Raw Data'!E202),'Raw Data'!E202=ROUND('Raw Data'!E202,4),IFERROR(ROUND('Raw Data'!E202,4)&lt;=99999999999.99,FALSE))=TRUE,"",_xlfn.REGEXEXTRACT(CELL("address",'Raw Data'!E202), "\$([A-Z]+)\$[0-9]+"))),_xlfn.REGEXEXTRACT(CELL("address",'Raw Data'!E202), "\$([A-Z]+)\$[0-9]+"))</f>
        <v/>
      </c>
      <c r="F202" s="6" t="str" cm="1">
        <f t="array" aca="1" ref="F202" ca="1">IFERROR(IF(OR('Raw Data'!F202="",LEN(TRIM('Raw Data'!F202))=0),"",IF(AND(ISNUMBER('Raw Data'!F202),'Raw Data'!F202=ROUND('Raw Data'!F202,4),IFERROR(ROUND('Raw Data'!F202,4)&lt;=99999999999.99,FALSE))=TRUE,"",_xlfn.REGEXEXTRACT(CELL("address",'Raw Data'!F202), "\$([A-Z]+)\$[0-9]+"))),_xlfn.REGEXEXTRACT(CELL("address",'Raw Data'!F202), "\$([A-Z]+)\$[0-9]+"))</f>
        <v/>
      </c>
      <c r="G202" s="6" t="str" cm="1">
        <f t="array" aca="1" ref="G202" ca="1">IFERROR(IF(OR('Raw Data'!G202="",LEN(TRIM('Raw Data'!G202))=0),"",IF(AND(ISNUMBER('Raw Data'!G202),'Raw Data'!G202=ROUND('Raw Data'!G202,4),IFERROR(ROUND('Raw Data'!G202,4)&lt;=99999999999.99,FALSE))=TRUE,"",_xlfn.REGEXEXTRACT(CELL("address",'Raw Data'!G202), "\$([A-Z]+)\$[0-9]+"))),_xlfn.REGEXEXTRACT(CELL("address",'Raw Data'!G202), "\$([A-Z]+)\$[0-9]+"))</f>
        <v/>
      </c>
      <c r="H202" s="6" t="str" cm="1">
        <f t="array" aca="1" ref="H202" ca="1">IFERROR(IF(OR('Raw Data'!H202="",LEN(TRIM('Raw Data'!H202))=0),"",IF(AND(ISNUMBER('Raw Data'!H202),'Raw Data'!H202=ROUND('Raw Data'!H202,4),IFERROR(ROUND('Raw Data'!H202,4)&lt;=99999999999.99,FALSE))=TRUE,"",_xlfn.REGEXEXTRACT(CELL("address",'Raw Data'!H202), "\$([A-Z]+)\$[0-9]+"))),_xlfn.REGEXEXTRACT(CELL("address",'Raw Data'!H202), "\$([A-Z]+)\$[0-9]+"))</f>
        <v/>
      </c>
      <c r="I202" s="6" t="str" cm="1">
        <f t="array" aca="1" ref="I202" ca="1">IFERROR(IF(OR('Raw Data'!I202="",LEN(TRIM('Raw Data'!I202))=0),"",IF(AND(ISNUMBER('Raw Data'!I202),'Raw Data'!I202=ROUND('Raw Data'!I202,4),IFERROR(ROUND('Raw Data'!I202,4)&lt;=99999999999.99,FALSE))=TRUE,"",_xlfn.REGEXEXTRACT(CELL("address",'Raw Data'!I202), "\$([A-Z]+)\$[0-9]+"))),_xlfn.REGEXEXTRACT(CELL("address",'Raw Data'!I202), "\$([A-Z]+)\$[0-9]+"))</f>
        <v/>
      </c>
      <c r="J202" s="6" t="str" cm="1">
        <f t="array" aca="1" ref="J202" ca="1">IFERROR(IF(OR('Raw Data'!J202="",LEN(TRIM('Raw Data'!J202))=0),"",IF(AND(ISNUMBER('Raw Data'!J202),'Raw Data'!J202=ROUND('Raw Data'!J202,4),IFERROR(ROUND('Raw Data'!J202,4)&lt;=99999999999.99,FALSE))=TRUE,"",_xlfn.REGEXEXTRACT(CELL("address",'Raw Data'!J202), "\$([A-Z]+)\$[0-9]+"))),_xlfn.REGEXEXTRACT(CELL("address",'Raw Data'!J202), "\$([A-Z]+)\$[0-9]+"))</f>
        <v/>
      </c>
    </row>
    <row r="203" spans="2:10" x14ac:dyDescent="0.25">
      <c r="B203" s="6" t="str" cm="1">
        <f t="array" aca="1" ref="B203" ca="1">IFERROR(IF(OR('Raw Data'!B203="",LEN(TRIM('Raw Data'!B203))=0),"",IF(AND(LEN('Raw Data'!B203) &lt;= 255,LEN('Raw Data'!B203)&gt; 0),"",_xlfn.REGEXEXTRACT(CELL("address",'Raw Data'!B203),"\$([A-Z]+)\$[0-9]+"))),_xlfn.REGEXEXTRACT(CELL("address",'Raw Data'!B203),"\$([A-Z]+)\$[0-9]+"))</f>
        <v/>
      </c>
      <c r="C203" s="6" t="str" cm="1">
        <f t="array" aca="1" ref="C203" ca="1">IFERROR(IF(OR('Raw Data'!C203="",LEN(TRIM('Raw Data'!C203))=0),"",IF(AND(LEN('Raw Data'!C203) &lt;= 20,LEN('Raw Data'!C203)&gt; 0),"",_xlfn.REGEXEXTRACT(CELL("address",'Raw Data'!C203),"\$([A-Z]+)\$[0-9]+"))),_xlfn.REGEXEXTRACT(CELL("address",'Raw Data'!C203),"\$([A-Z]+)\$[0-9]+"))</f>
        <v/>
      </c>
      <c r="D203" s="6" t="str" cm="1">
        <f t="array" aca="1" ref="D203" ca="1">IFERROR(IF(OR('Raw Data'!D203="",LEN(TRIM('Raw Data'!D203))=0),"",IF(AND(ISNUMBER('Raw Data'!D203),'Raw Data'!D203&gt;=Configuration!$D$2),"",_xlfn.REGEXEXTRACT(CELL("address",'Raw Data'!D203),"\$([A-Z]+)\$[0-9]+"))),_xlfn.REGEXEXTRACT(CELL("address",D203), "\$([A-Z]+)\$[0-9]+"))</f>
        <v/>
      </c>
      <c r="E203" s="6" t="str" cm="1">
        <f t="array" aca="1" ref="E203" ca="1">IFERROR(IF(OR('Raw Data'!E203="",LEN(TRIM('Raw Data'!E203))=0),"",IF(AND(ISNUMBER('Raw Data'!E203),'Raw Data'!E203=ROUND('Raw Data'!E203,4),IFERROR(ROUND('Raw Data'!E203,4)&lt;=99999999999.99,FALSE))=TRUE,"",_xlfn.REGEXEXTRACT(CELL("address",'Raw Data'!E203), "\$([A-Z]+)\$[0-9]+"))),_xlfn.REGEXEXTRACT(CELL("address",'Raw Data'!E203), "\$([A-Z]+)\$[0-9]+"))</f>
        <v/>
      </c>
      <c r="F203" s="6" t="str" cm="1">
        <f t="array" aca="1" ref="F203" ca="1">IFERROR(IF(OR('Raw Data'!F203="",LEN(TRIM('Raw Data'!F203))=0),"",IF(AND(ISNUMBER('Raw Data'!F203),'Raw Data'!F203=ROUND('Raw Data'!F203,4),IFERROR(ROUND('Raw Data'!F203,4)&lt;=99999999999.99,FALSE))=TRUE,"",_xlfn.REGEXEXTRACT(CELL("address",'Raw Data'!F203), "\$([A-Z]+)\$[0-9]+"))),_xlfn.REGEXEXTRACT(CELL("address",'Raw Data'!F203), "\$([A-Z]+)\$[0-9]+"))</f>
        <v/>
      </c>
      <c r="G203" s="6" t="str" cm="1">
        <f t="array" aca="1" ref="G203" ca="1">IFERROR(IF(OR('Raw Data'!G203="",LEN(TRIM('Raw Data'!G203))=0),"",IF(AND(ISNUMBER('Raw Data'!G203),'Raw Data'!G203=ROUND('Raw Data'!G203,4),IFERROR(ROUND('Raw Data'!G203,4)&lt;=99999999999.99,FALSE))=TRUE,"",_xlfn.REGEXEXTRACT(CELL("address",'Raw Data'!G203), "\$([A-Z]+)\$[0-9]+"))),_xlfn.REGEXEXTRACT(CELL("address",'Raw Data'!G203), "\$([A-Z]+)\$[0-9]+"))</f>
        <v/>
      </c>
      <c r="H203" s="6" t="str" cm="1">
        <f t="array" aca="1" ref="H203" ca="1">IFERROR(IF(OR('Raw Data'!H203="",LEN(TRIM('Raw Data'!H203))=0),"",IF(AND(ISNUMBER('Raw Data'!H203),'Raw Data'!H203=ROUND('Raw Data'!H203,4),IFERROR(ROUND('Raw Data'!H203,4)&lt;=99999999999.99,FALSE))=TRUE,"",_xlfn.REGEXEXTRACT(CELL("address",'Raw Data'!H203), "\$([A-Z]+)\$[0-9]+"))),_xlfn.REGEXEXTRACT(CELL("address",'Raw Data'!H203), "\$([A-Z]+)\$[0-9]+"))</f>
        <v/>
      </c>
      <c r="I203" s="6" t="str" cm="1">
        <f t="array" aca="1" ref="I203" ca="1">IFERROR(IF(OR('Raw Data'!I203="",LEN(TRIM('Raw Data'!I203))=0),"",IF(AND(ISNUMBER('Raw Data'!I203),'Raw Data'!I203=ROUND('Raw Data'!I203,4),IFERROR(ROUND('Raw Data'!I203,4)&lt;=99999999999.99,FALSE))=TRUE,"",_xlfn.REGEXEXTRACT(CELL("address",'Raw Data'!I203), "\$([A-Z]+)\$[0-9]+"))),_xlfn.REGEXEXTRACT(CELL("address",'Raw Data'!I203), "\$([A-Z]+)\$[0-9]+"))</f>
        <v/>
      </c>
      <c r="J203" s="6" t="str" cm="1">
        <f t="array" aca="1" ref="J203" ca="1">IFERROR(IF(OR('Raw Data'!J203="",LEN(TRIM('Raw Data'!J203))=0),"",IF(AND(ISNUMBER('Raw Data'!J203),'Raw Data'!J203=ROUND('Raw Data'!J203,4),IFERROR(ROUND('Raw Data'!J203,4)&lt;=99999999999.99,FALSE))=TRUE,"",_xlfn.REGEXEXTRACT(CELL("address",'Raw Data'!J203), "\$([A-Z]+)\$[0-9]+"))),_xlfn.REGEXEXTRACT(CELL("address",'Raw Data'!J203), "\$([A-Z]+)\$[0-9]+"))</f>
        <v/>
      </c>
    </row>
    <row r="204" spans="2:10" x14ac:dyDescent="0.25">
      <c r="B204" s="6" t="str" cm="1">
        <f t="array" aca="1" ref="B204" ca="1">IFERROR(IF(OR('Raw Data'!B204="",LEN(TRIM('Raw Data'!B204))=0),"",IF(AND(LEN('Raw Data'!B204) &lt;= 255,LEN('Raw Data'!B204)&gt; 0),"",_xlfn.REGEXEXTRACT(CELL("address",'Raw Data'!B204),"\$([A-Z]+)\$[0-9]+"))),_xlfn.REGEXEXTRACT(CELL("address",'Raw Data'!B204),"\$([A-Z]+)\$[0-9]+"))</f>
        <v/>
      </c>
      <c r="C204" s="6" t="str" cm="1">
        <f t="array" aca="1" ref="C204" ca="1">IFERROR(IF(OR('Raw Data'!C204="",LEN(TRIM('Raw Data'!C204))=0),"",IF(AND(LEN('Raw Data'!C204) &lt;= 20,LEN('Raw Data'!C204)&gt; 0),"",_xlfn.REGEXEXTRACT(CELL("address",'Raw Data'!C204),"\$([A-Z]+)\$[0-9]+"))),_xlfn.REGEXEXTRACT(CELL("address",'Raw Data'!C204),"\$([A-Z]+)\$[0-9]+"))</f>
        <v/>
      </c>
      <c r="D204" s="6" t="str" cm="1">
        <f t="array" aca="1" ref="D204" ca="1">IFERROR(IF(OR('Raw Data'!D204="",LEN(TRIM('Raw Data'!D204))=0),"",IF(AND(ISNUMBER('Raw Data'!D204),'Raw Data'!D204&gt;=Configuration!$D$2),"",_xlfn.REGEXEXTRACT(CELL("address",'Raw Data'!D204),"\$([A-Z]+)\$[0-9]+"))),_xlfn.REGEXEXTRACT(CELL("address",D204), "\$([A-Z]+)\$[0-9]+"))</f>
        <v/>
      </c>
      <c r="E204" s="6" t="str" cm="1">
        <f t="array" aca="1" ref="E204" ca="1">IFERROR(IF(OR('Raw Data'!E204="",LEN(TRIM('Raw Data'!E204))=0),"",IF(AND(ISNUMBER('Raw Data'!E204),'Raw Data'!E204=ROUND('Raw Data'!E204,4),IFERROR(ROUND('Raw Data'!E204,4)&lt;=99999999999.99,FALSE))=TRUE,"",_xlfn.REGEXEXTRACT(CELL("address",'Raw Data'!E204), "\$([A-Z]+)\$[0-9]+"))),_xlfn.REGEXEXTRACT(CELL("address",'Raw Data'!E204), "\$([A-Z]+)\$[0-9]+"))</f>
        <v/>
      </c>
      <c r="F204" s="6" t="str" cm="1">
        <f t="array" aca="1" ref="F204" ca="1">IFERROR(IF(OR('Raw Data'!F204="",LEN(TRIM('Raw Data'!F204))=0),"",IF(AND(ISNUMBER('Raw Data'!F204),'Raw Data'!F204=ROUND('Raw Data'!F204,4),IFERROR(ROUND('Raw Data'!F204,4)&lt;=99999999999.99,FALSE))=TRUE,"",_xlfn.REGEXEXTRACT(CELL("address",'Raw Data'!F204), "\$([A-Z]+)\$[0-9]+"))),_xlfn.REGEXEXTRACT(CELL("address",'Raw Data'!F204), "\$([A-Z]+)\$[0-9]+"))</f>
        <v/>
      </c>
      <c r="G204" s="6" t="str" cm="1">
        <f t="array" aca="1" ref="G204" ca="1">IFERROR(IF(OR('Raw Data'!G204="",LEN(TRIM('Raw Data'!G204))=0),"",IF(AND(ISNUMBER('Raw Data'!G204),'Raw Data'!G204=ROUND('Raw Data'!G204,4),IFERROR(ROUND('Raw Data'!G204,4)&lt;=99999999999.99,FALSE))=TRUE,"",_xlfn.REGEXEXTRACT(CELL("address",'Raw Data'!G204), "\$([A-Z]+)\$[0-9]+"))),_xlfn.REGEXEXTRACT(CELL("address",'Raw Data'!G204), "\$([A-Z]+)\$[0-9]+"))</f>
        <v/>
      </c>
      <c r="H204" s="6" t="str" cm="1">
        <f t="array" aca="1" ref="H204" ca="1">IFERROR(IF(OR('Raw Data'!H204="",LEN(TRIM('Raw Data'!H204))=0),"",IF(AND(ISNUMBER('Raw Data'!H204),'Raw Data'!H204=ROUND('Raw Data'!H204,4),IFERROR(ROUND('Raw Data'!H204,4)&lt;=99999999999.99,FALSE))=TRUE,"",_xlfn.REGEXEXTRACT(CELL("address",'Raw Data'!H204), "\$([A-Z]+)\$[0-9]+"))),_xlfn.REGEXEXTRACT(CELL("address",'Raw Data'!H204), "\$([A-Z]+)\$[0-9]+"))</f>
        <v/>
      </c>
      <c r="I204" s="6" t="str" cm="1">
        <f t="array" aca="1" ref="I204" ca="1">IFERROR(IF(OR('Raw Data'!I204="",LEN(TRIM('Raw Data'!I204))=0),"",IF(AND(ISNUMBER('Raw Data'!I204),'Raw Data'!I204=ROUND('Raw Data'!I204,4),IFERROR(ROUND('Raw Data'!I204,4)&lt;=99999999999.99,FALSE))=TRUE,"",_xlfn.REGEXEXTRACT(CELL("address",'Raw Data'!I204), "\$([A-Z]+)\$[0-9]+"))),_xlfn.REGEXEXTRACT(CELL("address",'Raw Data'!I204), "\$([A-Z]+)\$[0-9]+"))</f>
        <v/>
      </c>
      <c r="J204" s="6" t="str" cm="1">
        <f t="array" aca="1" ref="J204" ca="1">IFERROR(IF(OR('Raw Data'!J204="",LEN(TRIM('Raw Data'!J204))=0),"",IF(AND(ISNUMBER('Raw Data'!J204),'Raw Data'!J204=ROUND('Raw Data'!J204,4),IFERROR(ROUND('Raw Data'!J204,4)&lt;=99999999999.99,FALSE))=TRUE,"",_xlfn.REGEXEXTRACT(CELL("address",'Raw Data'!J204), "\$([A-Z]+)\$[0-9]+"))),_xlfn.REGEXEXTRACT(CELL("address",'Raw Data'!J204), "\$([A-Z]+)\$[0-9]+"))</f>
        <v/>
      </c>
    </row>
    <row r="205" spans="2:10" x14ac:dyDescent="0.25">
      <c r="B205" s="6" t="str" cm="1">
        <f t="array" aca="1" ref="B205" ca="1">IFERROR(IF(OR('Raw Data'!B205="",LEN(TRIM('Raw Data'!B205))=0),"",IF(AND(LEN('Raw Data'!B205) &lt;= 255,LEN('Raw Data'!B205)&gt; 0),"",_xlfn.REGEXEXTRACT(CELL("address",'Raw Data'!B205),"\$([A-Z]+)\$[0-9]+"))),_xlfn.REGEXEXTRACT(CELL("address",'Raw Data'!B205),"\$([A-Z]+)\$[0-9]+"))</f>
        <v/>
      </c>
      <c r="C205" s="6" t="str" cm="1">
        <f t="array" aca="1" ref="C205" ca="1">IFERROR(IF(OR('Raw Data'!C205="",LEN(TRIM('Raw Data'!C205))=0),"",IF(AND(LEN('Raw Data'!C205) &lt;= 20,LEN('Raw Data'!C205)&gt; 0),"",_xlfn.REGEXEXTRACT(CELL("address",'Raw Data'!C205),"\$([A-Z]+)\$[0-9]+"))),_xlfn.REGEXEXTRACT(CELL("address",'Raw Data'!C205),"\$([A-Z]+)\$[0-9]+"))</f>
        <v/>
      </c>
      <c r="D205" s="6" t="str" cm="1">
        <f t="array" aca="1" ref="D205" ca="1">IFERROR(IF(OR('Raw Data'!D205="",LEN(TRIM('Raw Data'!D205))=0),"",IF(AND(ISNUMBER('Raw Data'!D205),'Raw Data'!D205&gt;=Configuration!$D$2),"",_xlfn.REGEXEXTRACT(CELL("address",'Raw Data'!D205),"\$([A-Z]+)\$[0-9]+"))),_xlfn.REGEXEXTRACT(CELL("address",D205), "\$([A-Z]+)\$[0-9]+"))</f>
        <v/>
      </c>
      <c r="E205" s="6" t="str" cm="1">
        <f t="array" aca="1" ref="E205" ca="1">IFERROR(IF(OR('Raw Data'!E205="",LEN(TRIM('Raw Data'!E205))=0),"",IF(AND(ISNUMBER('Raw Data'!E205),'Raw Data'!E205=ROUND('Raw Data'!E205,4),IFERROR(ROUND('Raw Data'!E205,4)&lt;=99999999999.99,FALSE))=TRUE,"",_xlfn.REGEXEXTRACT(CELL("address",'Raw Data'!E205), "\$([A-Z]+)\$[0-9]+"))),_xlfn.REGEXEXTRACT(CELL("address",'Raw Data'!E205), "\$([A-Z]+)\$[0-9]+"))</f>
        <v/>
      </c>
      <c r="F205" s="6" t="str" cm="1">
        <f t="array" aca="1" ref="F205" ca="1">IFERROR(IF(OR('Raw Data'!F205="",LEN(TRIM('Raw Data'!F205))=0),"",IF(AND(ISNUMBER('Raw Data'!F205),'Raw Data'!F205=ROUND('Raw Data'!F205,4),IFERROR(ROUND('Raw Data'!F205,4)&lt;=99999999999.99,FALSE))=TRUE,"",_xlfn.REGEXEXTRACT(CELL("address",'Raw Data'!F205), "\$([A-Z]+)\$[0-9]+"))),_xlfn.REGEXEXTRACT(CELL("address",'Raw Data'!F205), "\$([A-Z]+)\$[0-9]+"))</f>
        <v/>
      </c>
      <c r="G205" s="6" t="str" cm="1">
        <f t="array" aca="1" ref="G205" ca="1">IFERROR(IF(OR('Raw Data'!G205="",LEN(TRIM('Raw Data'!G205))=0),"",IF(AND(ISNUMBER('Raw Data'!G205),'Raw Data'!G205=ROUND('Raw Data'!G205,4),IFERROR(ROUND('Raw Data'!G205,4)&lt;=99999999999.99,FALSE))=TRUE,"",_xlfn.REGEXEXTRACT(CELL("address",'Raw Data'!G205), "\$([A-Z]+)\$[0-9]+"))),_xlfn.REGEXEXTRACT(CELL("address",'Raw Data'!G205), "\$([A-Z]+)\$[0-9]+"))</f>
        <v/>
      </c>
      <c r="H205" s="6" t="str" cm="1">
        <f t="array" aca="1" ref="H205" ca="1">IFERROR(IF(OR('Raw Data'!H205="",LEN(TRIM('Raw Data'!H205))=0),"",IF(AND(ISNUMBER('Raw Data'!H205),'Raw Data'!H205=ROUND('Raw Data'!H205,4),IFERROR(ROUND('Raw Data'!H205,4)&lt;=99999999999.99,FALSE))=TRUE,"",_xlfn.REGEXEXTRACT(CELL("address",'Raw Data'!H205), "\$([A-Z]+)\$[0-9]+"))),_xlfn.REGEXEXTRACT(CELL("address",'Raw Data'!H205), "\$([A-Z]+)\$[0-9]+"))</f>
        <v/>
      </c>
      <c r="I205" s="6" t="str" cm="1">
        <f t="array" aca="1" ref="I205" ca="1">IFERROR(IF(OR('Raw Data'!I205="",LEN(TRIM('Raw Data'!I205))=0),"",IF(AND(ISNUMBER('Raw Data'!I205),'Raw Data'!I205=ROUND('Raw Data'!I205,4),IFERROR(ROUND('Raw Data'!I205,4)&lt;=99999999999.99,FALSE))=TRUE,"",_xlfn.REGEXEXTRACT(CELL("address",'Raw Data'!I205), "\$([A-Z]+)\$[0-9]+"))),_xlfn.REGEXEXTRACT(CELL("address",'Raw Data'!I205), "\$([A-Z]+)\$[0-9]+"))</f>
        <v/>
      </c>
      <c r="J205" s="6" t="str" cm="1">
        <f t="array" aca="1" ref="J205" ca="1">IFERROR(IF(OR('Raw Data'!J205="",LEN(TRIM('Raw Data'!J205))=0),"",IF(AND(ISNUMBER('Raw Data'!J205),'Raw Data'!J205=ROUND('Raw Data'!J205,4),IFERROR(ROUND('Raw Data'!J205,4)&lt;=99999999999.99,FALSE))=TRUE,"",_xlfn.REGEXEXTRACT(CELL("address",'Raw Data'!J205), "\$([A-Z]+)\$[0-9]+"))),_xlfn.REGEXEXTRACT(CELL("address",'Raw Data'!J205), "\$([A-Z]+)\$[0-9]+"))</f>
        <v/>
      </c>
    </row>
    <row r="206" spans="2:10" x14ac:dyDescent="0.25">
      <c r="B206" s="6" t="str" cm="1">
        <f t="array" aca="1" ref="B206" ca="1">IFERROR(IF(OR('Raw Data'!B206="",LEN(TRIM('Raw Data'!B206))=0),"",IF(AND(LEN('Raw Data'!B206) &lt;= 255,LEN('Raw Data'!B206)&gt; 0),"",_xlfn.REGEXEXTRACT(CELL("address",'Raw Data'!B206),"\$([A-Z]+)\$[0-9]+"))),_xlfn.REGEXEXTRACT(CELL("address",'Raw Data'!B206),"\$([A-Z]+)\$[0-9]+"))</f>
        <v/>
      </c>
      <c r="C206" s="6" t="str" cm="1">
        <f t="array" aca="1" ref="C206" ca="1">IFERROR(IF(OR('Raw Data'!C206="",LEN(TRIM('Raw Data'!C206))=0),"",IF(AND(LEN('Raw Data'!C206) &lt;= 20,LEN('Raw Data'!C206)&gt; 0),"",_xlfn.REGEXEXTRACT(CELL("address",'Raw Data'!C206),"\$([A-Z]+)\$[0-9]+"))),_xlfn.REGEXEXTRACT(CELL("address",'Raw Data'!C206),"\$([A-Z]+)\$[0-9]+"))</f>
        <v/>
      </c>
      <c r="D206" s="6" t="str" cm="1">
        <f t="array" aca="1" ref="D206" ca="1">IFERROR(IF(OR('Raw Data'!D206="",LEN(TRIM('Raw Data'!D206))=0),"",IF(AND(ISNUMBER('Raw Data'!D206),'Raw Data'!D206&gt;=Configuration!$D$2),"",_xlfn.REGEXEXTRACT(CELL("address",'Raw Data'!D206),"\$([A-Z]+)\$[0-9]+"))),_xlfn.REGEXEXTRACT(CELL("address",D206), "\$([A-Z]+)\$[0-9]+"))</f>
        <v/>
      </c>
      <c r="E206" s="6" t="str" cm="1">
        <f t="array" aca="1" ref="E206" ca="1">IFERROR(IF(OR('Raw Data'!E206="",LEN(TRIM('Raw Data'!E206))=0),"",IF(AND(ISNUMBER('Raw Data'!E206),'Raw Data'!E206=ROUND('Raw Data'!E206,4),IFERROR(ROUND('Raw Data'!E206,4)&lt;=99999999999.99,FALSE))=TRUE,"",_xlfn.REGEXEXTRACT(CELL("address",'Raw Data'!E206), "\$([A-Z]+)\$[0-9]+"))),_xlfn.REGEXEXTRACT(CELL("address",'Raw Data'!E206), "\$([A-Z]+)\$[0-9]+"))</f>
        <v/>
      </c>
      <c r="F206" s="6" t="str" cm="1">
        <f t="array" aca="1" ref="F206" ca="1">IFERROR(IF(OR('Raw Data'!F206="",LEN(TRIM('Raw Data'!F206))=0),"",IF(AND(ISNUMBER('Raw Data'!F206),'Raw Data'!F206=ROUND('Raw Data'!F206,4),IFERROR(ROUND('Raw Data'!F206,4)&lt;=99999999999.99,FALSE))=TRUE,"",_xlfn.REGEXEXTRACT(CELL("address",'Raw Data'!F206), "\$([A-Z]+)\$[0-9]+"))),_xlfn.REGEXEXTRACT(CELL("address",'Raw Data'!F206), "\$([A-Z]+)\$[0-9]+"))</f>
        <v/>
      </c>
      <c r="G206" s="6" t="str" cm="1">
        <f t="array" aca="1" ref="G206" ca="1">IFERROR(IF(OR('Raw Data'!G206="",LEN(TRIM('Raw Data'!G206))=0),"",IF(AND(ISNUMBER('Raw Data'!G206),'Raw Data'!G206=ROUND('Raw Data'!G206,4),IFERROR(ROUND('Raw Data'!G206,4)&lt;=99999999999.99,FALSE))=TRUE,"",_xlfn.REGEXEXTRACT(CELL("address",'Raw Data'!G206), "\$([A-Z]+)\$[0-9]+"))),_xlfn.REGEXEXTRACT(CELL("address",'Raw Data'!G206), "\$([A-Z]+)\$[0-9]+"))</f>
        <v/>
      </c>
      <c r="H206" s="6" t="str" cm="1">
        <f t="array" aca="1" ref="H206" ca="1">IFERROR(IF(OR('Raw Data'!H206="",LEN(TRIM('Raw Data'!H206))=0),"",IF(AND(ISNUMBER('Raw Data'!H206),'Raw Data'!H206=ROUND('Raw Data'!H206,4),IFERROR(ROUND('Raw Data'!H206,4)&lt;=99999999999.99,FALSE))=TRUE,"",_xlfn.REGEXEXTRACT(CELL("address",'Raw Data'!H206), "\$([A-Z]+)\$[0-9]+"))),_xlfn.REGEXEXTRACT(CELL("address",'Raw Data'!H206), "\$([A-Z]+)\$[0-9]+"))</f>
        <v/>
      </c>
      <c r="I206" s="6" t="str" cm="1">
        <f t="array" aca="1" ref="I206" ca="1">IFERROR(IF(OR('Raw Data'!I206="",LEN(TRIM('Raw Data'!I206))=0),"",IF(AND(ISNUMBER('Raw Data'!I206),'Raw Data'!I206=ROUND('Raw Data'!I206,4),IFERROR(ROUND('Raw Data'!I206,4)&lt;=99999999999.99,FALSE))=TRUE,"",_xlfn.REGEXEXTRACT(CELL("address",'Raw Data'!I206), "\$([A-Z]+)\$[0-9]+"))),_xlfn.REGEXEXTRACT(CELL("address",'Raw Data'!I206), "\$([A-Z]+)\$[0-9]+"))</f>
        <v/>
      </c>
      <c r="J206" s="6" t="str" cm="1">
        <f t="array" aca="1" ref="J206" ca="1">IFERROR(IF(OR('Raw Data'!J206="",LEN(TRIM('Raw Data'!J206))=0),"",IF(AND(ISNUMBER('Raw Data'!J206),'Raw Data'!J206=ROUND('Raw Data'!J206,4),IFERROR(ROUND('Raw Data'!J206,4)&lt;=99999999999.99,FALSE))=TRUE,"",_xlfn.REGEXEXTRACT(CELL("address",'Raw Data'!J206), "\$([A-Z]+)\$[0-9]+"))),_xlfn.REGEXEXTRACT(CELL("address",'Raw Data'!J206), "\$([A-Z]+)\$[0-9]+"))</f>
        <v/>
      </c>
    </row>
    <row r="207" spans="2:10" x14ac:dyDescent="0.25">
      <c r="B207" s="6" t="str" cm="1">
        <f t="array" aca="1" ref="B207" ca="1">IFERROR(IF(OR('Raw Data'!B207="",LEN(TRIM('Raw Data'!B207))=0),"",IF(AND(LEN('Raw Data'!B207) &lt;= 255,LEN('Raw Data'!B207)&gt; 0),"",_xlfn.REGEXEXTRACT(CELL("address",'Raw Data'!B207),"\$([A-Z]+)\$[0-9]+"))),_xlfn.REGEXEXTRACT(CELL("address",'Raw Data'!B207),"\$([A-Z]+)\$[0-9]+"))</f>
        <v/>
      </c>
      <c r="C207" s="6" t="str" cm="1">
        <f t="array" aca="1" ref="C207" ca="1">IFERROR(IF(OR('Raw Data'!C207="",LEN(TRIM('Raw Data'!C207))=0),"",IF(AND(LEN('Raw Data'!C207) &lt;= 20,LEN('Raw Data'!C207)&gt; 0),"",_xlfn.REGEXEXTRACT(CELL("address",'Raw Data'!C207),"\$([A-Z]+)\$[0-9]+"))),_xlfn.REGEXEXTRACT(CELL("address",'Raw Data'!C207),"\$([A-Z]+)\$[0-9]+"))</f>
        <v/>
      </c>
      <c r="D207" s="6" t="str" cm="1">
        <f t="array" aca="1" ref="D207" ca="1">IFERROR(IF(OR('Raw Data'!D207="",LEN(TRIM('Raw Data'!D207))=0),"",IF(AND(ISNUMBER('Raw Data'!D207),'Raw Data'!D207&gt;=Configuration!$D$2),"",_xlfn.REGEXEXTRACT(CELL("address",'Raw Data'!D207),"\$([A-Z]+)\$[0-9]+"))),_xlfn.REGEXEXTRACT(CELL("address",D207), "\$([A-Z]+)\$[0-9]+"))</f>
        <v/>
      </c>
      <c r="E207" s="6" t="str" cm="1">
        <f t="array" aca="1" ref="E207" ca="1">IFERROR(IF(OR('Raw Data'!E207="",LEN(TRIM('Raw Data'!E207))=0),"",IF(AND(ISNUMBER('Raw Data'!E207),'Raw Data'!E207=ROUND('Raw Data'!E207,4),IFERROR(ROUND('Raw Data'!E207,4)&lt;=99999999999.99,FALSE))=TRUE,"",_xlfn.REGEXEXTRACT(CELL("address",'Raw Data'!E207), "\$([A-Z]+)\$[0-9]+"))),_xlfn.REGEXEXTRACT(CELL("address",'Raw Data'!E207), "\$([A-Z]+)\$[0-9]+"))</f>
        <v/>
      </c>
      <c r="F207" s="6" t="str" cm="1">
        <f t="array" aca="1" ref="F207" ca="1">IFERROR(IF(OR('Raw Data'!F207="",LEN(TRIM('Raw Data'!F207))=0),"",IF(AND(ISNUMBER('Raw Data'!F207),'Raw Data'!F207=ROUND('Raw Data'!F207,4),IFERROR(ROUND('Raw Data'!F207,4)&lt;=99999999999.99,FALSE))=TRUE,"",_xlfn.REGEXEXTRACT(CELL("address",'Raw Data'!F207), "\$([A-Z]+)\$[0-9]+"))),_xlfn.REGEXEXTRACT(CELL("address",'Raw Data'!F207), "\$([A-Z]+)\$[0-9]+"))</f>
        <v/>
      </c>
      <c r="G207" s="6" t="str" cm="1">
        <f t="array" aca="1" ref="G207" ca="1">IFERROR(IF(OR('Raw Data'!G207="",LEN(TRIM('Raw Data'!G207))=0),"",IF(AND(ISNUMBER('Raw Data'!G207),'Raw Data'!G207=ROUND('Raw Data'!G207,4),IFERROR(ROUND('Raw Data'!G207,4)&lt;=99999999999.99,FALSE))=TRUE,"",_xlfn.REGEXEXTRACT(CELL("address",'Raw Data'!G207), "\$([A-Z]+)\$[0-9]+"))),_xlfn.REGEXEXTRACT(CELL("address",'Raw Data'!G207), "\$([A-Z]+)\$[0-9]+"))</f>
        <v/>
      </c>
      <c r="H207" s="6" t="str" cm="1">
        <f t="array" aca="1" ref="H207" ca="1">IFERROR(IF(OR('Raw Data'!H207="",LEN(TRIM('Raw Data'!H207))=0),"",IF(AND(ISNUMBER('Raw Data'!H207),'Raw Data'!H207=ROUND('Raw Data'!H207,4),IFERROR(ROUND('Raw Data'!H207,4)&lt;=99999999999.99,FALSE))=TRUE,"",_xlfn.REGEXEXTRACT(CELL("address",'Raw Data'!H207), "\$([A-Z]+)\$[0-9]+"))),_xlfn.REGEXEXTRACT(CELL("address",'Raw Data'!H207), "\$([A-Z]+)\$[0-9]+"))</f>
        <v/>
      </c>
      <c r="I207" s="6" t="str" cm="1">
        <f t="array" aca="1" ref="I207" ca="1">IFERROR(IF(OR('Raw Data'!I207="",LEN(TRIM('Raw Data'!I207))=0),"",IF(AND(ISNUMBER('Raw Data'!I207),'Raw Data'!I207=ROUND('Raw Data'!I207,4),IFERROR(ROUND('Raw Data'!I207,4)&lt;=99999999999.99,FALSE))=TRUE,"",_xlfn.REGEXEXTRACT(CELL("address",'Raw Data'!I207), "\$([A-Z]+)\$[0-9]+"))),_xlfn.REGEXEXTRACT(CELL("address",'Raw Data'!I207), "\$([A-Z]+)\$[0-9]+"))</f>
        <v/>
      </c>
      <c r="J207" s="6" t="str" cm="1">
        <f t="array" aca="1" ref="J207" ca="1">IFERROR(IF(OR('Raw Data'!J207="",LEN(TRIM('Raw Data'!J207))=0),"",IF(AND(ISNUMBER('Raw Data'!J207),'Raw Data'!J207=ROUND('Raw Data'!J207,4),IFERROR(ROUND('Raw Data'!J207,4)&lt;=99999999999.99,FALSE))=TRUE,"",_xlfn.REGEXEXTRACT(CELL("address",'Raw Data'!J207), "\$([A-Z]+)\$[0-9]+"))),_xlfn.REGEXEXTRACT(CELL("address",'Raw Data'!J207), "\$([A-Z]+)\$[0-9]+"))</f>
        <v/>
      </c>
    </row>
    <row r="208" spans="2:10" x14ac:dyDescent="0.25">
      <c r="B208" s="6" t="str" cm="1">
        <f t="array" aca="1" ref="B208" ca="1">IFERROR(IF(OR('Raw Data'!B208="",LEN(TRIM('Raw Data'!B208))=0),"",IF(AND(LEN('Raw Data'!B208) &lt;= 255,LEN('Raw Data'!B208)&gt; 0),"",_xlfn.REGEXEXTRACT(CELL("address",'Raw Data'!B208),"\$([A-Z]+)\$[0-9]+"))),_xlfn.REGEXEXTRACT(CELL("address",'Raw Data'!B208),"\$([A-Z]+)\$[0-9]+"))</f>
        <v/>
      </c>
      <c r="C208" s="6" t="str" cm="1">
        <f t="array" aca="1" ref="C208" ca="1">IFERROR(IF(OR('Raw Data'!C208="",LEN(TRIM('Raw Data'!C208))=0),"",IF(AND(LEN('Raw Data'!C208) &lt;= 20,LEN('Raw Data'!C208)&gt; 0),"",_xlfn.REGEXEXTRACT(CELL("address",'Raw Data'!C208),"\$([A-Z]+)\$[0-9]+"))),_xlfn.REGEXEXTRACT(CELL("address",'Raw Data'!C208),"\$([A-Z]+)\$[0-9]+"))</f>
        <v/>
      </c>
      <c r="D208" s="6" t="str" cm="1">
        <f t="array" aca="1" ref="D208" ca="1">IFERROR(IF(OR('Raw Data'!D208="",LEN(TRIM('Raw Data'!D208))=0),"",IF(AND(ISNUMBER('Raw Data'!D208),'Raw Data'!D208&gt;=Configuration!$D$2),"",_xlfn.REGEXEXTRACT(CELL("address",'Raw Data'!D208),"\$([A-Z]+)\$[0-9]+"))),_xlfn.REGEXEXTRACT(CELL("address",D208), "\$([A-Z]+)\$[0-9]+"))</f>
        <v/>
      </c>
      <c r="E208" s="6" t="str" cm="1">
        <f t="array" aca="1" ref="E208" ca="1">IFERROR(IF(OR('Raw Data'!E208="",LEN(TRIM('Raw Data'!E208))=0),"",IF(AND(ISNUMBER('Raw Data'!E208),'Raw Data'!E208=ROUND('Raw Data'!E208,4),IFERROR(ROUND('Raw Data'!E208,4)&lt;=99999999999.99,FALSE))=TRUE,"",_xlfn.REGEXEXTRACT(CELL("address",'Raw Data'!E208), "\$([A-Z]+)\$[0-9]+"))),_xlfn.REGEXEXTRACT(CELL("address",'Raw Data'!E208), "\$([A-Z]+)\$[0-9]+"))</f>
        <v/>
      </c>
      <c r="F208" s="6" t="str" cm="1">
        <f t="array" aca="1" ref="F208" ca="1">IFERROR(IF(OR('Raw Data'!F208="",LEN(TRIM('Raw Data'!F208))=0),"",IF(AND(ISNUMBER('Raw Data'!F208),'Raw Data'!F208=ROUND('Raw Data'!F208,4),IFERROR(ROUND('Raw Data'!F208,4)&lt;=99999999999.99,FALSE))=TRUE,"",_xlfn.REGEXEXTRACT(CELL("address",'Raw Data'!F208), "\$([A-Z]+)\$[0-9]+"))),_xlfn.REGEXEXTRACT(CELL("address",'Raw Data'!F208), "\$([A-Z]+)\$[0-9]+"))</f>
        <v/>
      </c>
      <c r="G208" s="6" t="str" cm="1">
        <f t="array" aca="1" ref="G208" ca="1">IFERROR(IF(OR('Raw Data'!G208="",LEN(TRIM('Raw Data'!G208))=0),"",IF(AND(ISNUMBER('Raw Data'!G208),'Raw Data'!G208=ROUND('Raw Data'!G208,4),IFERROR(ROUND('Raw Data'!G208,4)&lt;=99999999999.99,FALSE))=TRUE,"",_xlfn.REGEXEXTRACT(CELL("address",'Raw Data'!G208), "\$([A-Z]+)\$[0-9]+"))),_xlfn.REGEXEXTRACT(CELL("address",'Raw Data'!G208), "\$([A-Z]+)\$[0-9]+"))</f>
        <v/>
      </c>
      <c r="H208" s="6" t="str" cm="1">
        <f t="array" aca="1" ref="H208" ca="1">IFERROR(IF(OR('Raw Data'!H208="",LEN(TRIM('Raw Data'!H208))=0),"",IF(AND(ISNUMBER('Raw Data'!H208),'Raw Data'!H208=ROUND('Raw Data'!H208,4),IFERROR(ROUND('Raw Data'!H208,4)&lt;=99999999999.99,FALSE))=TRUE,"",_xlfn.REGEXEXTRACT(CELL("address",'Raw Data'!H208), "\$([A-Z]+)\$[0-9]+"))),_xlfn.REGEXEXTRACT(CELL("address",'Raw Data'!H208), "\$([A-Z]+)\$[0-9]+"))</f>
        <v/>
      </c>
      <c r="I208" s="6" t="str" cm="1">
        <f t="array" aca="1" ref="I208" ca="1">IFERROR(IF(OR('Raw Data'!I208="",LEN(TRIM('Raw Data'!I208))=0),"",IF(AND(ISNUMBER('Raw Data'!I208),'Raw Data'!I208=ROUND('Raw Data'!I208,4),IFERROR(ROUND('Raw Data'!I208,4)&lt;=99999999999.99,FALSE))=TRUE,"",_xlfn.REGEXEXTRACT(CELL("address",'Raw Data'!I208), "\$([A-Z]+)\$[0-9]+"))),_xlfn.REGEXEXTRACT(CELL("address",'Raw Data'!I208), "\$([A-Z]+)\$[0-9]+"))</f>
        <v/>
      </c>
      <c r="J208" s="6" t="str" cm="1">
        <f t="array" aca="1" ref="J208" ca="1">IFERROR(IF(OR('Raw Data'!J208="",LEN(TRIM('Raw Data'!J208))=0),"",IF(AND(ISNUMBER('Raw Data'!J208),'Raw Data'!J208=ROUND('Raw Data'!J208,4),IFERROR(ROUND('Raw Data'!J208,4)&lt;=99999999999.99,FALSE))=TRUE,"",_xlfn.REGEXEXTRACT(CELL("address",'Raw Data'!J208), "\$([A-Z]+)\$[0-9]+"))),_xlfn.REGEXEXTRACT(CELL("address",'Raw Data'!J208), "\$([A-Z]+)\$[0-9]+"))</f>
        <v/>
      </c>
    </row>
    <row r="209" spans="2:10" x14ac:dyDescent="0.25">
      <c r="B209" s="6" t="str" cm="1">
        <f t="array" aca="1" ref="B209" ca="1">IFERROR(IF(OR('Raw Data'!B209="",LEN(TRIM('Raw Data'!B209))=0),"",IF(AND(LEN('Raw Data'!B209) &lt;= 255,LEN('Raw Data'!B209)&gt; 0),"",_xlfn.REGEXEXTRACT(CELL("address",'Raw Data'!B209),"\$([A-Z]+)\$[0-9]+"))),_xlfn.REGEXEXTRACT(CELL("address",'Raw Data'!B209),"\$([A-Z]+)\$[0-9]+"))</f>
        <v/>
      </c>
      <c r="C209" s="6" t="str" cm="1">
        <f t="array" aca="1" ref="C209" ca="1">IFERROR(IF(OR('Raw Data'!C209="",LEN(TRIM('Raw Data'!C209))=0),"",IF(AND(LEN('Raw Data'!C209) &lt;= 20,LEN('Raw Data'!C209)&gt; 0),"",_xlfn.REGEXEXTRACT(CELL("address",'Raw Data'!C209),"\$([A-Z]+)\$[0-9]+"))),_xlfn.REGEXEXTRACT(CELL("address",'Raw Data'!C209),"\$([A-Z]+)\$[0-9]+"))</f>
        <v/>
      </c>
      <c r="D209" s="6" t="str" cm="1">
        <f t="array" aca="1" ref="D209" ca="1">IFERROR(IF(OR('Raw Data'!D209="",LEN(TRIM('Raw Data'!D209))=0),"",IF(AND(ISNUMBER('Raw Data'!D209),'Raw Data'!D209&gt;=Configuration!$D$2),"",_xlfn.REGEXEXTRACT(CELL("address",'Raw Data'!D209),"\$([A-Z]+)\$[0-9]+"))),_xlfn.REGEXEXTRACT(CELL("address",D209), "\$([A-Z]+)\$[0-9]+"))</f>
        <v/>
      </c>
      <c r="E209" s="6" t="str" cm="1">
        <f t="array" aca="1" ref="E209" ca="1">IFERROR(IF(OR('Raw Data'!E209="",LEN(TRIM('Raw Data'!E209))=0),"",IF(AND(ISNUMBER('Raw Data'!E209),'Raw Data'!E209=ROUND('Raw Data'!E209,4),IFERROR(ROUND('Raw Data'!E209,4)&lt;=99999999999.99,FALSE))=TRUE,"",_xlfn.REGEXEXTRACT(CELL("address",'Raw Data'!E209), "\$([A-Z]+)\$[0-9]+"))),_xlfn.REGEXEXTRACT(CELL("address",'Raw Data'!E209), "\$([A-Z]+)\$[0-9]+"))</f>
        <v/>
      </c>
      <c r="F209" s="6" t="str" cm="1">
        <f t="array" aca="1" ref="F209" ca="1">IFERROR(IF(OR('Raw Data'!F209="",LEN(TRIM('Raw Data'!F209))=0),"",IF(AND(ISNUMBER('Raw Data'!F209),'Raw Data'!F209=ROUND('Raw Data'!F209,4),IFERROR(ROUND('Raw Data'!F209,4)&lt;=99999999999.99,FALSE))=TRUE,"",_xlfn.REGEXEXTRACT(CELL("address",'Raw Data'!F209), "\$([A-Z]+)\$[0-9]+"))),_xlfn.REGEXEXTRACT(CELL("address",'Raw Data'!F209), "\$([A-Z]+)\$[0-9]+"))</f>
        <v/>
      </c>
      <c r="G209" s="6" t="str" cm="1">
        <f t="array" aca="1" ref="G209" ca="1">IFERROR(IF(OR('Raw Data'!G209="",LEN(TRIM('Raw Data'!G209))=0),"",IF(AND(ISNUMBER('Raw Data'!G209),'Raw Data'!G209=ROUND('Raw Data'!G209,4),IFERROR(ROUND('Raw Data'!G209,4)&lt;=99999999999.99,FALSE))=TRUE,"",_xlfn.REGEXEXTRACT(CELL("address",'Raw Data'!G209), "\$([A-Z]+)\$[0-9]+"))),_xlfn.REGEXEXTRACT(CELL("address",'Raw Data'!G209), "\$([A-Z]+)\$[0-9]+"))</f>
        <v/>
      </c>
      <c r="H209" s="6" t="str" cm="1">
        <f t="array" aca="1" ref="H209" ca="1">IFERROR(IF(OR('Raw Data'!H209="",LEN(TRIM('Raw Data'!H209))=0),"",IF(AND(ISNUMBER('Raw Data'!H209),'Raw Data'!H209=ROUND('Raw Data'!H209,4),IFERROR(ROUND('Raw Data'!H209,4)&lt;=99999999999.99,FALSE))=TRUE,"",_xlfn.REGEXEXTRACT(CELL("address",'Raw Data'!H209), "\$([A-Z]+)\$[0-9]+"))),_xlfn.REGEXEXTRACT(CELL("address",'Raw Data'!H209), "\$([A-Z]+)\$[0-9]+"))</f>
        <v/>
      </c>
      <c r="I209" s="6" t="str" cm="1">
        <f t="array" aca="1" ref="I209" ca="1">IFERROR(IF(OR('Raw Data'!I209="",LEN(TRIM('Raw Data'!I209))=0),"",IF(AND(ISNUMBER('Raw Data'!I209),'Raw Data'!I209=ROUND('Raw Data'!I209,4),IFERROR(ROUND('Raw Data'!I209,4)&lt;=99999999999.99,FALSE))=TRUE,"",_xlfn.REGEXEXTRACT(CELL("address",'Raw Data'!I209), "\$([A-Z]+)\$[0-9]+"))),_xlfn.REGEXEXTRACT(CELL("address",'Raw Data'!I209), "\$([A-Z]+)\$[0-9]+"))</f>
        <v/>
      </c>
      <c r="J209" s="6" t="str" cm="1">
        <f t="array" aca="1" ref="J209" ca="1">IFERROR(IF(OR('Raw Data'!J209="",LEN(TRIM('Raw Data'!J209))=0),"",IF(AND(ISNUMBER('Raw Data'!J209),'Raw Data'!J209=ROUND('Raw Data'!J209,4),IFERROR(ROUND('Raw Data'!J209,4)&lt;=99999999999.99,FALSE))=TRUE,"",_xlfn.REGEXEXTRACT(CELL("address",'Raw Data'!J209), "\$([A-Z]+)\$[0-9]+"))),_xlfn.REGEXEXTRACT(CELL("address",'Raw Data'!J209), "\$([A-Z]+)\$[0-9]+"))</f>
        <v/>
      </c>
    </row>
    <row r="210" spans="2:10" x14ac:dyDescent="0.25">
      <c r="B210" s="6" t="str" cm="1">
        <f t="array" aca="1" ref="B210" ca="1">IFERROR(IF(OR('Raw Data'!B210="",LEN(TRIM('Raw Data'!B210))=0),"",IF(AND(LEN('Raw Data'!B210) &lt;= 255,LEN('Raw Data'!B210)&gt; 0),"",_xlfn.REGEXEXTRACT(CELL("address",'Raw Data'!B210),"\$([A-Z]+)\$[0-9]+"))),_xlfn.REGEXEXTRACT(CELL("address",'Raw Data'!B210),"\$([A-Z]+)\$[0-9]+"))</f>
        <v/>
      </c>
      <c r="C210" s="6" t="str" cm="1">
        <f t="array" aca="1" ref="C210" ca="1">IFERROR(IF(OR('Raw Data'!C210="",LEN(TRIM('Raw Data'!C210))=0),"",IF(AND(LEN('Raw Data'!C210) &lt;= 20,LEN('Raw Data'!C210)&gt; 0),"",_xlfn.REGEXEXTRACT(CELL("address",'Raw Data'!C210),"\$([A-Z]+)\$[0-9]+"))),_xlfn.REGEXEXTRACT(CELL("address",'Raw Data'!C210),"\$([A-Z]+)\$[0-9]+"))</f>
        <v/>
      </c>
      <c r="D210" s="6" t="str" cm="1">
        <f t="array" aca="1" ref="D210" ca="1">IFERROR(IF(OR('Raw Data'!D210="",LEN(TRIM('Raw Data'!D210))=0),"",IF(AND(ISNUMBER('Raw Data'!D210),'Raw Data'!D210&gt;=Configuration!$D$2),"",_xlfn.REGEXEXTRACT(CELL("address",'Raw Data'!D210),"\$([A-Z]+)\$[0-9]+"))),_xlfn.REGEXEXTRACT(CELL("address",D210), "\$([A-Z]+)\$[0-9]+"))</f>
        <v/>
      </c>
      <c r="E210" s="6" t="str" cm="1">
        <f t="array" aca="1" ref="E210" ca="1">IFERROR(IF(OR('Raw Data'!E210="",LEN(TRIM('Raw Data'!E210))=0),"",IF(AND(ISNUMBER('Raw Data'!E210),'Raw Data'!E210=ROUND('Raw Data'!E210,4),IFERROR(ROUND('Raw Data'!E210,4)&lt;=99999999999.99,FALSE))=TRUE,"",_xlfn.REGEXEXTRACT(CELL("address",'Raw Data'!E210), "\$([A-Z]+)\$[0-9]+"))),_xlfn.REGEXEXTRACT(CELL("address",'Raw Data'!E210), "\$([A-Z]+)\$[0-9]+"))</f>
        <v/>
      </c>
      <c r="F210" s="6" t="str" cm="1">
        <f t="array" aca="1" ref="F210" ca="1">IFERROR(IF(OR('Raw Data'!F210="",LEN(TRIM('Raw Data'!F210))=0),"",IF(AND(ISNUMBER('Raw Data'!F210),'Raw Data'!F210=ROUND('Raw Data'!F210,4),IFERROR(ROUND('Raw Data'!F210,4)&lt;=99999999999.99,FALSE))=TRUE,"",_xlfn.REGEXEXTRACT(CELL("address",'Raw Data'!F210), "\$([A-Z]+)\$[0-9]+"))),_xlfn.REGEXEXTRACT(CELL("address",'Raw Data'!F210), "\$([A-Z]+)\$[0-9]+"))</f>
        <v/>
      </c>
      <c r="G210" s="6" t="str" cm="1">
        <f t="array" aca="1" ref="G210" ca="1">IFERROR(IF(OR('Raw Data'!G210="",LEN(TRIM('Raw Data'!G210))=0),"",IF(AND(ISNUMBER('Raw Data'!G210),'Raw Data'!G210=ROUND('Raw Data'!G210,4),IFERROR(ROUND('Raw Data'!G210,4)&lt;=99999999999.99,FALSE))=TRUE,"",_xlfn.REGEXEXTRACT(CELL("address",'Raw Data'!G210), "\$([A-Z]+)\$[0-9]+"))),_xlfn.REGEXEXTRACT(CELL("address",'Raw Data'!G210), "\$([A-Z]+)\$[0-9]+"))</f>
        <v/>
      </c>
      <c r="H210" s="6" t="str" cm="1">
        <f t="array" aca="1" ref="H210" ca="1">IFERROR(IF(OR('Raw Data'!H210="",LEN(TRIM('Raw Data'!H210))=0),"",IF(AND(ISNUMBER('Raw Data'!H210),'Raw Data'!H210=ROUND('Raw Data'!H210,4),IFERROR(ROUND('Raw Data'!H210,4)&lt;=99999999999.99,FALSE))=TRUE,"",_xlfn.REGEXEXTRACT(CELL("address",'Raw Data'!H210), "\$([A-Z]+)\$[0-9]+"))),_xlfn.REGEXEXTRACT(CELL("address",'Raw Data'!H210), "\$([A-Z]+)\$[0-9]+"))</f>
        <v/>
      </c>
      <c r="I210" s="6" t="str" cm="1">
        <f t="array" aca="1" ref="I210" ca="1">IFERROR(IF(OR('Raw Data'!I210="",LEN(TRIM('Raw Data'!I210))=0),"",IF(AND(ISNUMBER('Raw Data'!I210),'Raw Data'!I210=ROUND('Raw Data'!I210,4),IFERROR(ROUND('Raw Data'!I210,4)&lt;=99999999999.99,FALSE))=TRUE,"",_xlfn.REGEXEXTRACT(CELL("address",'Raw Data'!I210), "\$([A-Z]+)\$[0-9]+"))),_xlfn.REGEXEXTRACT(CELL("address",'Raw Data'!I210), "\$([A-Z]+)\$[0-9]+"))</f>
        <v/>
      </c>
      <c r="J210" s="6" t="str" cm="1">
        <f t="array" aca="1" ref="J210" ca="1">IFERROR(IF(OR('Raw Data'!J210="",LEN(TRIM('Raw Data'!J210))=0),"",IF(AND(ISNUMBER('Raw Data'!J210),'Raw Data'!J210=ROUND('Raw Data'!J210,4),IFERROR(ROUND('Raw Data'!J210,4)&lt;=99999999999.99,FALSE))=TRUE,"",_xlfn.REGEXEXTRACT(CELL("address",'Raw Data'!J210), "\$([A-Z]+)\$[0-9]+"))),_xlfn.REGEXEXTRACT(CELL("address",'Raw Data'!J210), "\$([A-Z]+)\$[0-9]+"))</f>
        <v/>
      </c>
    </row>
    <row r="211" spans="2:10" x14ac:dyDescent="0.25">
      <c r="B211" s="6" t="str" cm="1">
        <f t="array" aca="1" ref="B211" ca="1">IFERROR(IF(OR('Raw Data'!B211="",LEN(TRIM('Raw Data'!B211))=0),"",IF(AND(LEN('Raw Data'!B211) &lt;= 255,LEN('Raw Data'!B211)&gt; 0),"",_xlfn.REGEXEXTRACT(CELL("address",'Raw Data'!B211),"\$([A-Z]+)\$[0-9]+"))),_xlfn.REGEXEXTRACT(CELL("address",'Raw Data'!B211),"\$([A-Z]+)\$[0-9]+"))</f>
        <v/>
      </c>
      <c r="C211" s="6" t="str" cm="1">
        <f t="array" aca="1" ref="C211" ca="1">IFERROR(IF(OR('Raw Data'!C211="",LEN(TRIM('Raw Data'!C211))=0),"",IF(AND(LEN('Raw Data'!C211) &lt;= 20,LEN('Raw Data'!C211)&gt; 0),"",_xlfn.REGEXEXTRACT(CELL("address",'Raw Data'!C211),"\$([A-Z]+)\$[0-9]+"))),_xlfn.REGEXEXTRACT(CELL("address",'Raw Data'!C211),"\$([A-Z]+)\$[0-9]+"))</f>
        <v/>
      </c>
      <c r="D211" s="6" t="str" cm="1">
        <f t="array" aca="1" ref="D211" ca="1">IFERROR(IF(OR('Raw Data'!D211="",LEN(TRIM('Raw Data'!D211))=0),"",IF(AND(ISNUMBER('Raw Data'!D211),'Raw Data'!D211&gt;=Configuration!$D$2),"",_xlfn.REGEXEXTRACT(CELL("address",'Raw Data'!D211),"\$([A-Z]+)\$[0-9]+"))),_xlfn.REGEXEXTRACT(CELL("address",D211), "\$([A-Z]+)\$[0-9]+"))</f>
        <v/>
      </c>
      <c r="E211" s="6" t="str" cm="1">
        <f t="array" aca="1" ref="E211" ca="1">IFERROR(IF(OR('Raw Data'!E211="",LEN(TRIM('Raw Data'!E211))=0),"",IF(AND(ISNUMBER('Raw Data'!E211),'Raw Data'!E211=ROUND('Raw Data'!E211,4),IFERROR(ROUND('Raw Data'!E211,4)&lt;=99999999999.99,FALSE))=TRUE,"",_xlfn.REGEXEXTRACT(CELL("address",'Raw Data'!E211), "\$([A-Z]+)\$[0-9]+"))),_xlfn.REGEXEXTRACT(CELL("address",'Raw Data'!E211), "\$([A-Z]+)\$[0-9]+"))</f>
        <v/>
      </c>
      <c r="F211" s="6" t="str" cm="1">
        <f t="array" aca="1" ref="F211" ca="1">IFERROR(IF(OR('Raw Data'!F211="",LEN(TRIM('Raw Data'!F211))=0),"",IF(AND(ISNUMBER('Raw Data'!F211),'Raw Data'!F211=ROUND('Raw Data'!F211,4),IFERROR(ROUND('Raw Data'!F211,4)&lt;=99999999999.99,FALSE))=TRUE,"",_xlfn.REGEXEXTRACT(CELL("address",'Raw Data'!F211), "\$([A-Z]+)\$[0-9]+"))),_xlfn.REGEXEXTRACT(CELL("address",'Raw Data'!F211), "\$([A-Z]+)\$[0-9]+"))</f>
        <v/>
      </c>
      <c r="G211" s="6" t="str" cm="1">
        <f t="array" aca="1" ref="G211" ca="1">IFERROR(IF(OR('Raw Data'!G211="",LEN(TRIM('Raw Data'!G211))=0),"",IF(AND(ISNUMBER('Raw Data'!G211),'Raw Data'!G211=ROUND('Raw Data'!G211,4),IFERROR(ROUND('Raw Data'!G211,4)&lt;=99999999999.99,FALSE))=TRUE,"",_xlfn.REGEXEXTRACT(CELL("address",'Raw Data'!G211), "\$([A-Z]+)\$[0-9]+"))),_xlfn.REGEXEXTRACT(CELL("address",'Raw Data'!G211), "\$([A-Z]+)\$[0-9]+"))</f>
        <v/>
      </c>
      <c r="H211" s="6" t="str" cm="1">
        <f t="array" aca="1" ref="H211" ca="1">IFERROR(IF(OR('Raw Data'!H211="",LEN(TRIM('Raw Data'!H211))=0),"",IF(AND(ISNUMBER('Raw Data'!H211),'Raw Data'!H211=ROUND('Raw Data'!H211,4),IFERROR(ROUND('Raw Data'!H211,4)&lt;=99999999999.99,FALSE))=TRUE,"",_xlfn.REGEXEXTRACT(CELL("address",'Raw Data'!H211), "\$([A-Z]+)\$[0-9]+"))),_xlfn.REGEXEXTRACT(CELL("address",'Raw Data'!H211), "\$([A-Z]+)\$[0-9]+"))</f>
        <v/>
      </c>
      <c r="I211" s="6" t="str" cm="1">
        <f t="array" aca="1" ref="I211" ca="1">IFERROR(IF(OR('Raw Data'!I211="",LEN(TRIM('Raw Data'!I211))=0),"",IF(AND(ISNUMBER('Raw Data'!I211),'Raw Data'!I211=ROUND('Raw Data'!I211,4),IFERROR(ROUND('Raw Data'!I211,4)&lt;=99999999999.99,FALSE))=TRUE,"",_xlfn.REGEXEXTRACT(CELL("address",'Raw Data'!I211), "\$([A-Z]+)\$[0-9]+"))),_xlfn.REGEXEXTRACT(CELL("address",'Raw Data'!I211), "\$([A-Z]+)\$[0-9]+"))</f>
        <v/>
      </c>
      <c r="J211" s="6" t="str" cm="1">
        <f t="array" aca="1" ref="J211" ca="1">IFERROR(IF(OR('Raw Data'!J211="",LEN(TRIM('Raw Data'!J211))=0),"",IF(AND(ISNUMBER('Raw Data'!J211),'Raw Data'!J211=ROUND('Raw Data'!J211,4),IFERROR(ROUND('Raw Data'!J211,4)&lt;=99999999999.99,FALSE))=TRUE,"",_xlfn.REGEXEXTRACT(CELL("address",'Raw Data'!J211), "\$([A-Z]+)\$[0-9]+"))),_xlfn.REGEXEXTRACT(CELL("address",'Raw Data'!J211), "\$([A-Z]+)\$[0-9]+"))</f>
        <v/>
      </c>
    </row>
    <row r="212" spans="2:10" x14ac:dyDescent="0.25">
      <c r="B212" s="6" t="str" cm="1">
        <f t="array" aca="1" ref="B212" ca="1">IFERROR(IF(OR('Raw Data'!B212="",LEN(TRIM('Raw Data'!B212))=0),"",IF(AND(LEN('Raw Data'!B212) &lt;= 255,LEN('Raw Data'!B212)&gt; 0),"",_xlfn.REGEXEXTRACT(CELL("address",'Raw Data'!B212),"\$([A-Z]+)\$[0-9]+"))),_xlfn.REGEXEXTRACT(CELL("address",'Raw Data'!B212),"\$([A-Z]+)\$[0-9]+"))</f>
        <v/>
      </c>
      <c r="C212" s="6" t="str" cm="1">
        <f t="array" aca="1" ref="C212" ca="1">IFERROR(IF(OR('Raw Data'!C212="",LEN(TRIM('Raw Data'!C212))=0),"",IF(AND(LEN('Raw Data'!C212) &lt;= 20,LEN('Raw Data'!C212)&gt; 0),"",_xlfn.REGEXEXTRACT(CELL("address",'Raw Data'!C212),"\$([A-Z]+)\$[0-9]+"))),_xlfn.REGEXEXTRACT(CELL("address",'Raw Data'!C212),"\$([A-Z]+)\$[0-9]+"))</f>
        <v/>
      </c>
      <c r="D212" s="6" t="str" cm="1">
        <f t="array" aca="1" ref="D212" ca="1">IFERROR(IF(OR('Raw Data'!D212="",LEN(TRIM('Raw Data'!D212))=0),"",IF(AND(ISNUMBER('Raw Data'!D212),'Raw Data'!D212&gt;=Configuration!$D$2),"",_xlfn.REGEXEXTRACT(CELL("address",'Raw Data'!D212),"\$([A-Z]+)\$[0-9]+"))),_xlfn.REGEXEXTRACT(CELL("address",D212), "\$([A-Z]+)\$[0-9]+"))</f>
        <v/>
      </c>
      <c r="E212" s="6" t="str" cm="1">
        <f t="array" aca="1" ref="E212" ca="1">IFERROR(IF(OR('Raw Data'!E212="",LEN(TRIM('Raw Data'!E212))=0),"",IF(AND(ISNUMBER('Raw Data'!E212),'Raw Data'!E212=ROUND('Raw Data'!E212,4),IFERROR(ROUND('Raw Data'!E212,4)&lt;=99999999999.99,FALSE))=TRUE,"",_xlfn.REGEXEXTRACT(CELL("address",'Raw Data'!E212), "\$([A-Z]+)\$[0-9]+"))),_xlfn.REGEXEXTRACT(CELL("address",'Raw Data'!E212), "\$([A-Z]+)\$[0-9]+"))</f>
        <v/>
      </c>
      <c r="F212" s="6" t="str" cm="1">
        <f t="array" aca="1" ref="F212" ca="1">IFERROR(IF(OR('Raw Data'!F212="",LEN(TRIM('Raw Data'!F212))=0),"",IF(AND(ISNUMBER('Raw Data'!F212),'Raw Data'!F212=ROUND('Raw Data'!F212,4),IFERROR(ROUND('Raw Data'!F212,4)&lt;=99999999999.99,FALSE))=TRUE,"",_xlfn.REGEXEXTRACT(CELL("address",'Raw Data'!F212), "\$([A-Z]+)\$[0-9]+"))),_xlfn.REGEXEXTRACT(CELL("address",'Raw Data'!F212), "\$([A-Z]+)\$[0-9]+"))</f>
        <v/>
      </c>
      <c r="G212" s="6" t="str" cm="1">
        <f t="array" aca="1" ref="G212" ca="1">IFERROR(IF(OR('Raw Data'!G212="",LEN(TRIM('Raw Data'!G212))=0),"",IF(AND(ISNUMBER('Raw Data'!G212),'Raw Data'!G212=ROUND('Raw Data'!G212,4),IFERROR(ROUND('Raw Data'!G212,4)&lt;=99999999999.99,FALSE))=TRUE,"",_xlfn.REGEXEXTRACT(CELL("address",'Raw Data'!G212), "\$([A-Z]+)\$[0-9]+"))),_xlfn.REGEXEXTRACT(CELL("address",'Raw Data'!G212), "\$([A-Z]+)\$[0-9]+"))</f>
        <v/>
      </c>
      <c r="H212" s="6" t="str" cm="1">
        <f t="array" aca="1" ref="H212" ca="1">IFERROR(IF(OR('Raw Data'!H212="",LEN(TRIM('Raw Data'!H212))=0),"",IF(AND(ISNUMBER('Raw Data'!H212),'Raw Data'!H212=ROUND('Raw Data'!H212,4),IFERROR(ROUND('Raw Data'!H212,4)&lt;=99999999999.99,FALSE))=TRUE,"",_xlfn.REGEXEXTRACT(CELL("address",'Raw Data'!H212), "\$([A-Z]+)\$[0-9]+"))),_xlfn.REGEXEXTRACT(CELL("address",'Raw Data'!H212), "\$([A-Z]+)\$[0-9]+"))</f>
        <v/>
      </c>
      <c r="I212" s="6" t="str" cm="1">
        <f t="array" aca="1" ref="I212" ca="1">IFERROR(IF(OR('Raw Data'!I212="",LEN(TRIM('Raw Data'!I212))=0),"",IF(AND(ISNUMBER('Raw Data'!I212),'Raw Data'!I212=ROUND('Raw Data'!I212,4),IFERROR(ROUND('Raw Data'!I212,4)&lt;=99999999999.99,FALSE))=TRUE,"",_xlfn.REGEXEXTRACT(CELL("address",'Raw Data'!I212), "\$([A-Z]+)\$[0-9]+"))),_xlfn.REGEXEXTRACT(CELL("address",'Raw Data'!I212), "\$([A-Z]+)\$[0-9]+"))</f>
        <v/>
      </c>
      <c r="J212" s="6" t="str" cm="1">
        <f t="array" aca="1" ref="J212" ca="1">IFERROR(IF(OR('Raw Data'!J212="",LEN(TRIM('Raw Data'!J212))=0),"",IF(AND(ISNUMBER('Raw Data'!J212),'Raw Data'!J212=ROUND('Raw Data'!J212,4),IFERROR(ROUND('Raw Data'!J212,4)&lt;=99999999999.99,FALSE))=TRUE,"",_xlfn.REGEXEXTRACT(CELL("address",'Raw Data'!J212), "\$([A-Z]+)\$[0-9]+"))),_xlfn.REGEXEXTRACT(CELL("address",'Raw Data'!J212), "\$([A-Z]+)\$[0-9]+"))</f>
        <v/>
      </c>
    </row>
    <row r="213" spans="2:10" x14ac:dyDescent="0.25">
      <c r="B213" s="6" t="str" cm="1">
        <f t="array" aca="1" ref="B213" ca="1">IFERROR(IF(OR('Raw Data'!B213="",LEN(TRIM('Raw Data'!B213))=0),"",IF(AND(LEN('Raw Data'!B213) &lt;= 255,LEN('Raw Data'!B213)&gt; 0),"",_xlfn.REGEXEXTRACT(CELL("address",'Raw Data'!B213),"\$([A-Z]+)\$[0-9]+"))),_xlfn.REGEXEXTRACT(CELL("address",'Raw Data'!B213),"\$([A-Z]+)\$[0-9]+"))</f>
        <v/>
      </c>
      <c r="C213" s="6" t="str" cm="1">
        <f t="array" aca="1" ref="C213" ca="1">IFERROR(IF(OR('Raw Data'!C213="",LEN(TRIM('Raw Data'!C213))=0),"",IF(AND(LEN('Raw Data'!C213) &lt;= 20,LEN('Raw Data'!C213)&gt; 0),"",_xlfn.REGEXEXTRACT(CELL("address",'Raw Data'!C213),"\$([A-Z]+)\$[0-9]+"))),_xlfn.REGEXEXTRACT(CELL("address",'Raw Data'!C213),"\$([A-Z]+)\$[0-9]+"))</f>
        <v/>
      </c>
      <c r="D213" s="6" t="str" cm="1">
        <f t="array" aca="1" ref="D213" ca="1">IFERROR(IF(OR('Raw Data'!D213="",LEN(TRIM('Raw Data'!D213))=0),"",IF(AND(ISNUMBER('Raw Data'!D213),'Raw Data'!D213&gt;=Configuration!$D$2),"",_xlfn.REGEXEXTRACT(CELL("address",'Raw Data'!D213),"\$([A-Z]+)\$[0-9]+"))),_xlfn.REGEXEXTRACT(CELL("address",D213), "\$([A-Z]+)\$[0-9]+"))</f>
        <v/>
      </c>
      <c r="E213" s="6" t="str" cm="1">
        <f t="array" aca="1" ref="E213" ca="1">IFERROR(IF(OR('Raw Data'!E213="",LEN(TRIM('Raw Data'!E213))=0),"",IF(AND(ISNUMBER('Raw Data'!E213),'Raw Data'!E213=ROUND('Raw Data'!E213,4),IFERROR(ROUND('Raw Data'!E213,4)&lt;=99999999999.99,FALSE))=TRUE,"",_xlfn.REGEXEXTRACT(CELL("address",'Raw Data'!E213), "\$([A-Z]+)\$[0-9]+"))),_xlfn.REGEXEXTRACT(CELL("address",'Raw Data'!E213), "\$([A-Z]+)\$[0-9]+"))</f>
        <v/>
      </c>
      <c r="F213" s="6" t="str" cm="1">
        <f t="array" aca="1" ref="F213" ca="1">IFERROR(IF(OR('Raw Data'!F213="",LEN(TRIM('Raw Data'!F213))=0),"",IF(AND(ISNUMBER('Raw Data'!F213),'Raw Data'!F213=ROUND('Raw Data'!F213,4),IFERROR(ROUND('Raw Data'!F213,4)&lt;=99999999999.99,FALSE))=TRUE,"",_xlfn.REGEXEXTRACT(CELL("address",'Raw Data'!F213), "\$([A-Z]+)\$[0-9]+"))),_xlfn.REGEXEXTRACT(CELL("address",'Raw Data'!F213), "\$([A-Z]+)\$[0-9]+"))</f>
        <v/>
      </c>
      <c r="G213" s="6" t="str" cm="1">
        <f t="array" aca="1" ref="G213" ca="1">IFERROR(IF(OR('Raw Data'!G213="",LEN(TRIM('Raw Data'!G213))=0),"",IF(AND(ISNUMBER('Raw Data'!G213),'Raw Data'!G213=ROUND('Raw Data'!G213,4),IFERROR(ROUND('Raw Data'!G213,4)&lt;=99999999999.99,FALSE))=TRUE,"",_xlfn.REGEXEXTRACT(CELL("address",'Raw Data'!G213), "\$([A-Z]+)\$[0-9]+"))),_xlfn.REGEXEXTRACT(CELL("address",'Raw Data'!G213), "\$([A-Z]+)\$[0-9]+"))</f>
        <v/>
      </c>
      <c r="H213" s="6" t="str" cm="1">
        <f t="array" aca="1" ref="H213" ca="1">IFERROR(IF(OR('Raw Data'!H213="",LEN(TRIM('Raw Data'!H213))=0),"",IF(AND(ISNUMBER('Raw Data'!H213),'Raw Data'!H213=ROUND('Raw Data'!H213,4),IFERROR(ROUND('Raw Data'!H213,4)&lt;=99999999999.99,FALSE))=TRUE,"",_xlfn.REGEXEXTRACT(CELL("address",'Raw Data'!H213), "\$([A-Z]+)\$[0-9]+"))),_xlfn.REGEXEXTRACT(CELL("address",'Raw Data'!H213), "\$([A-Z]+)\$[0-9]+"))</f>
        <v/>
      </c>
      <c r="I213" s="6" t="str" cm="1">
        <f t="array" aca="1" ref="I213" ca="1">IFERROR(IF(OR('Raw Data'!I213="",LEN(TRIM('Raw Data'!I213))=0),"",IF(AND(ISNUMBER('Raw Data'!I213),'Raw Data'!I213=ROUND('Raw Data'!I213,4),IFERROR(ROUND('Raw Data'!I213,4)&lt;=99999999999.99,FALSE))=TRUE,"",_xlfn.REGEXEXTRACT(CELL("address",'Raw Data'!I213), "\$([A-Z]+)\$[0-9]+"))),_xlfn.REGEXEXTRACT(CELL("address",'Raw Data'!I213), "\$([A-Z]+)\$[0-9]+"))</f>
        <v/>
      </c>
      <c r="J213" s="6" t="str" cm="1">
        <f t="array" aca="1" ref="J213" ca="1">IFERROR(IF(OR('Raw Data'!J213="",LEN(TRIM('Raw Data'!J213))=0),"",IF(AND(ISNUMBER('Raw Data'!J213),'Raw Data'!J213=ROUND('Raw Data'!J213,4),IFERROR(ROUND('Raw Data'!J213,4)&lt;=99999999999.99,FALSE))=TRUE,"",_xlfn.REGEXEXTRACT(CELL("address",'Raw Data'!J213), "\$([A-Z]+)\$[0-9]+"))),_xlfn.REGEXEXTRACT(CELL("address",'Raw Data'!J213), "\$([A-Z]+)\$[0-9]+"))</f>
        <v/>
      </c>
    </row>
    <row r="214" spans="2:10" x14ac:dyDescent="0.25">
      <c r="B214" s="6" t="str" cm="1">
        <f t="array" aca="1" ref="B214" ca="1">IFERROR(IF(OR('Raw Data'!B214="",LEN(TRIM('Raw Data'!B214))=0),"",IF(AND(LEN('Raw Data'!B214) &lt;= 255,LEN('Raw Data'!B214)&gt; 0),"",_xlfn.REGEXEXTRACT(CELL("address",'Raw Data'!B214),"\$([A-Z]+)\$[0-9]+"))),_xlfn.REGEXEXTRACT(CELL("address",'Raw Data'!B214),"\$([A-Z]+)\$[0-9]+"))</f>
        <v/>
      </c>
      <c r="C214" s="6" t="str" cm="1">
        <f t="array" aca="1" ref="C214" ca="1">IFERROR(IF(OR('Raw Data'!C214="",LEN(TRIM('Raw Data'!C214))=0),"",IF(AND(LEN('Raw Data'!C214) &lt;= 20,LEN('Raw Data'!C214)&gt; 0),"",_xlfn.REGEXEXTRACT(CELL("address",'Raw Data'!C214),"\$([A-Z]+)\$[0-9]+"))),_xlfn.REGEXEXTRACT(CELL("address",'Raw Data'!C214),"\$([A-Z]+)\$[0-9]+"))</f>
        <v/>
      </c>
      <c r="D214" s="6" t="str" cm="1">
        <f t="array" aca="1" ref="D214" ca="1">IFERROR(IF(OR('Raw Data'!D214="",LEN(TRIM('Raw Data'!D214))=0),"",IF(AND(ISNUMBER('Raw Data'!D214),'Raw Data'!D214&gt;=Configuration!$D$2),"",_xlfn.REGEXEXTRACT(CELL("address",'Raw Data'!D214),"\$([A-Z]+)\$[0-9]+"))),_xlfn.REGEXEXTRACT(CELL("address",D214), "\$([A-Z]+)\$[0-9]+"))</f>
        <v/>
      </c>
      <c r="E214" s="6" t="str" cm="1">
        <f t="array" aca="1" ref="E214" ca="1">IFERROR(IF(OR('Raw Data'!E214="",LEN(TRIM('Raw Data'!E214))=0),"",IF(AND(ISNUMBER('Raw Data'!E214),'Raw Data'!E214=ROUND('Raw Data'!E214,4),IFERROR(ROUND('Raw Data'!E214,4)&lt;=99999999999.99,FALSE))=TRUE,"",_xlfn.REGEXEXTRACT(CELL("address",'Raw Data'!E214), "\$([A-Z]+)\$[0-9]+"))),_xlfn.REGEXEXTRACT(CELL("address",'Raw Data'!E214), "\$([A-Z]+)\$[0-9]+"))</f>
        <v/>
      </c>
      <c r="F214" s="6" t="str" cm="1">
        <f t="array" aca="1" ref="F214" ca="1">IFERROR(IF(OR('Raw Data'!F214="",LEN(TRIM('Raw Data'!F214))=0),"",IF(AND(ISNUMBER('Raw Data'!F214),'Raw Data'!F214=ROUND('Raw Data'!F214,4),IFERROR(ROUND('Raw Data'!F214,4)&lt;=99999999999.99,FALSE))=TRUE,"",_xlfn.REGEXEXTRACT(CELL("address",'Raw Data'!F214), "\$([A-Z]+)\$[0-9]+"))),_xlfn.REGEXEXTRACT(CELL("address",'Raw Data'!F214), "\$([A-Z]+)\$[0-9]+"))</f>
        <v/>
      </c>
      <c r="G214" s="6" t="str" cm="1">
        <f t="array" aca="1" ref="G214" ca="1">IFERROR(IF(OR('Raw Data'!G214="",LEN(TRIM('Raw Data'!G214))=0),"",IF(AND(ISNUMBER('Raw Data'!G214),'Raw Data'!G214=ROUND('Raw Data'!G214,4),IFERROR(ROUND('Raw Data'!G214,4)&lt;=99999999999.99,FALSE))=TRUE,"",_xlfn.REGEXEXTRACT(CELL("address",'Raw Data'!G214), "\$([A-Z]+)\$[0-9]+"))),_xlfn.REGEXEXTRACT(CELL("address",'Raw Data'!G214), "\$([A-Z]+)\$[0-9]+"))</f>
        <v/>
      </c>
      <c r="H214" s="6" t="str" cm="1">
        <f t="array" aca="1" ref="H214" ca="1">IFERROR(IF(OR('Raw Data'!H214="",LEN(TRIM('Raw Data'!H214))=0),"",IF(AND(ISNUMBER('Raw Data'!H214),'Raw Data'!H214=ROUND('Raw Data'!H214,4),IFERROR(ROUND('Raw Data'!H214,4)&lt;=99999999999.99,FALSE))=TRUE,"",_xlfn.REGEXEXTRACT(CELL("address",'Raw Data'!H214), "\$([A-Z]+)\$[0-9]+"))),_xlfn.REGEXEXTRACT(CELL("address",'Raw Data'!H214), "\$([A-Z]+)\$[0-9]+"))</f>
        <v/>
      </c>
      <c r="I214" s="6" t="str" cm="1">
        <f t="array" aca="1" ref="I214" ca="1">IFERROR(IF(OR('Raw Data'!I214="",LEN(TRIM('Raw Data'!I214))=0),"",IF(AND(ISNUMBER('Raw Data'!I214),'Raw Data'!I214=ROUND('Raw Data'!I214,4),IFERROR(ROUND('Raw Data'!I214,4)&lt;=99999999999.99,FALSE))=TRUE,"",_xlfn.REGEXEXTRACT(CELL("address",'Raw Data'!I214), "\$([A-Z]+)\$[0-9]+"))),_xlfn.REGEXEXTRACT(CELL("address",'Raw Data'!I214), "\$([A-Z]+)\$[0-9]+"))</f>
        <v/>
      </c>
      <c r="J214" s="6" t="str" cm="1">
        <f t="array" aca="1" ref="J214" ca="1">IFERROR(IF(OR('Raw Data'!J214="",LEN(TRIM('Raw Data'!J214))=0),"",IF(AND(ISNUMBER('Raw Data'!J214),'Raw Data'!J214=ROUND('Raw Data'!J214,4),IFERROR(ROUND('Raw Data'!J214,4)&lt;=99999999999.99,FALSE))=TRUE,"",_xlfn.REGEXEXTRACT(CELL("address",'Raw Data'!J214), "\$([A-Z]+)\$[0-9]+"))),_xlfn.REGEXEXTRACT(CELL("address",'Raw Data'!J214), "\$([A-Z]+)\$[0-9]+"))</f>
        <v/>
      </c>
    </row>
    <row r="215" spans="2:10" x14ac:dyDescent="0.25">
      <c r="B215" s="6" t="str" cm="1">
        <f t="array" aca="1" ref="B215" ca="1">IFERROR(IF(OR('Raw Data'!B215="",LEN(TRIM('Raw Data'!B215))=0),"",IF(AND(LEN('Raw Data'!B215) &lt;= 255,LEN('Raw Data'!B215)&gt; 0),"",_xlfn.REGEXEXTRACT(CELL("address",'Raw Data'!B215),"\$([A-Z]+)\$[0-9]+"))),_xlfn.REGEXEXTRACT(CELL("address",'Raw Data'!B215),"\$([A-Z]+)\$[0-9]+"))</f>
        <v/>
      </c>
      <c r="C215" s="6" t="str" cm="1">
        <f t="array" aca="1" ref="C215" ca="1">IFERROR(IF(OR('Raw Data'!C215="",LEN(TRIM('Raw Data'!C215))=0),"",IF(AND(LEN('Raw Data'!C215) &lt;= 20,LEN('Raw Data'!C215)&gt; 0),"",_xlfn.REGEXEXTRACT(CELL("address",'Raw Data'!C215),"\$([A-Z]+)\$[0-9]+"))),_xlfn.REGEXEXTRACT(CELL("address",'Raw Data'!C215),"\$([A-Z]+)\$[0-9]+"))</f>
        <v/>
      </c>
      <c r="D215" s="6" t="str" cm="1">
        <f t="array" aca="1" ref="D215" ca="1">IFERROR(IF(OR('Raw Data'!D215="",LEN(TRIM('Raw Data'!D215))=0),"",IF(AND(ISNUMBER('Raw Data'!D215),'Raw Data'!D215&gt;=Configuration!$D$2),"",_xlfn.REGEXEXTRACT(CELL("address",'Raw Data'!D215),"\$([A-Z]+)\$[0-9]+"))),_xlfn.REGEXEXTRACT(CELL("address",D215), "\$([A-Z]+)\$[0-9]+"))</f>
        <v/>
      </c>
      <c r="E215" s="6" t="str" cm="1">
        <f t="array" aca="1" ref="E215" ca="1">IFERROR(IF(OR('Raw Data'!E215="",LEN(TRIM('Raw Data'!E215))=0),"",IF(AND(ISNUMBER('Raw Data'!E215),'Raw Data'!E215=ROUND('Raw Data'!E215,4),IFERROR(ROUND('Raw Data'!E215,4)&lt;=99999999999.99,FALSE))=TRUE,"",_xlfn.REGEXEXTRACT(CELL("address",'Raw Data'!E215), "\$([A-Z]+)\$[0-9]+"))),_xlfn.REGEXEXTRACT(CELL("address",'Raw Data'!E215), "\$([A-Z]+)\$[0-9]+"))</f>
        <v/>
      </c>
      <c r="F215" s="6" t="str" cm="1">
        <f t="array" aca="1" ref="F215" ca="1">IFERROR(IF(OR('Raw Data'!F215="",LEN(TRIM('Raw Data'!F215))=0),"",IF(AND(ISNUMBER('Raw Data'!F215),'Raw Data'!F215=ROUND('Raw Data'!F215,4),IFERROR(ROUND('Raw Data'!F215,4)&lt;=99999999999.99,FALSE))=TRUE,"",_xlfn.REGEXEXTRACT(CELL("address",'Raw Data'!F215), "\$([A-Z]+)\$[0-9]+"))),_xlfn.REGEXEXTRACT(CELL("address",'Raw Data'!F215), "\$([A-Z]+)\$[0-9]+"))</f>
        <v/>
      </c>
      <c r="G215" s="6" t="str" cm="1">
        <f t="array" aca="1" ref="G215" ca="1">IFERROR(IF(OR('Raw Data'!G215="",LEN(TRIM('Raw Data'!G215))=0),"",IF(AND(ISNUMBER('Raw Data'!G215),'Raw Data'!G215=ROUND('Raw Data'!G215,4),IFERROR(ROUND('Raw Data'!G215,4)&lt;=99999999999.99,FALSE))=TRUE,"",_xlfn.REGEXEXTRACT(CELL("address",'Raw Data'!G215), "\$([A-Z]+)\$[0-9]+"))),_xlfn.REGEXEXTRACT(CELL("address",'Raw Data'!G215), "\$([A-Z]+)\$[0-9]+"))</f>
        <v/>
      </c>
      <c r="H215" s="6" t="str" cm="1">
        <f t="array" aca="1" ref="H215" ca="1">IFERROR(IF(OR('Raw Data'!H215="",LEN(TRIM('Raw Data'!H215))=0),"",IF(AND(ISNUMBER('Raw Data'!H215),'Raw Data'!H215=ROUND('Raw Data'!H215,4),IFERROR(ROUND('Raw Data'!H215,4)&lt;=99999999999.99,FALSE))=TRUE,"",_xlfn.REGEXEXTRACT(CELL("address",'Raw Data'!H215), "\$([A-Z]+)\$[0-9]+"))),_xlfn.REGEXEXTRACT(CELL("address",'Raw Data'!H215), "\$([A-Z]+)\$[0-9]+"))</f>
        <v/>
      </c>
      <c r="I215" s="6" t="str" cm="1">
        <f t="array" aca="1" ref="I215" ca="1">IFERROR(IF(OR('Raw Data'!I215="",LEN(TRIM('Raw Data'!I215))=0),"",IF(AND(ISNUMBER('Raw Data'!I215),'Raw Data'!I215=ROUND('Raw Data'!I215,4),IFERROR(ROUND('Raw Data'!I215,4)&lt;=99999999999.99,FALSE))=TRUE,"",_xlfn.REGEXEXTRACT(CELL("address",'Raw Data'!I215), "\$([A-Z]+)\$[0-9]+"))),_xlfn.REGEXEXTRACT(CELL("address",'Raw Data'!I215), "\$([A-Z]+)\$[0-9]+"))</f>
        <v/>
      </c>
      <c r="J215" s="6" t="str" cm="1">
        <f t="array" aca="1" ref="J215" ca="1">IFERROR(IF(OR('Raw Data'!J215="",LEN(TRIM('Raw Data'!J215))=0),"",IF(AND(ISNUMBER('Raw Data'!J215),'Raw Data'!J215=ROUND('Raw Data'!J215,4),IFERROR(ROUND('Raw Data'!J215,4)&lt;=99999999999.99,FALSE))=TRUE,"",_xlfn.REGEXEXTRACT(CELL("address",'Raw Data'!J215), "\$([A-Z]+)\$[0-9]+"))),_xlfn.REGEXEXTRACT(CELL("address",'Raw Data'!J215), "\$([A-Z]+)\$[0-9]+"))</f>
        <v/>
      </c>
    </row>
    <row r="216" spans="2:10" x14ac:dyDescent="0.25">
      <c r="B216" s="6" t="str" cm="1">
        <f t="array" aca="1" ref="B216" ca="1">IFERROR(IF(OR('Raw Data'!B216="",LEN(TRIM('Raw Data'!B216))=0),"",IF(AND(LEN('Raw Data'!B216) &lt;= 255,LEN('Raw Data'!B216)&gt; 0),"",_xlfn.REGEXEXTRACT(CELL("address",'Raw Data'!B216),"\$([A-Z]+)\$[0-9]+"))),_xlfn.REGEXEXTRACT(CELL("address",'Raw Data'!B216),"\$([A-Z]+)\$[0-9]+"))</f>
        <v/>
      </c>
      <c r="C216" s="6" t="str" cm="1">
        <f t="array" aca="1" ref="C216" ca="1">IFERROR(IF(OR('Raw Data'!C216="",LEN(TRIM('Raw Data'!C216))=0),"",IF(AND(LEN('Raw Data'!C216) &lt;= 20,LEN('Raw Data'!C216)&gt; 0),"",_xlfn.REGEXEXTRACT(CELL("address",'Raw Data'!C216),"\$([A-Z]+)\$[0-9]+"))),_xlfn.REGEXEXTRACT(CELL("address",'Raw Data'!C216),"\$([A-Z]+)\$[0-9]+"))</f>
        <v/>
      </c>
      <c r="D216" s="6" t="str" cm="1">
        <f t="array" aca="1" ref="D216" ca="1">IFERROR(IF(OR('Raw Data'!D216="",LEN(TRIM('Raw Data'!D216))=0),"",IF(AND(ISNUMBER('Raw Data'!D216),'Raw Data'!D216&gt;=Configuration!$D$2),"",_xlfn.REGEXEXTRACT(CELL("address",'Raw Data'!D216),"\$([A-Z]+)\$[0-9]+"))),_xlfn.REGEXEXTRACT(CELL("address",D216), "\$([A-Z]+)\$[0-9]+"))</f>
        <v/>
      </c>
      <c r="E216" s="6" t="str" cm="1">
        <f t="array" aca="1" ref="E216" ca="1">IFERROR(IF(OR('Raw Data'!E216="",LEN(TRIM('Raw Data'!E216))=0),"",IF(AND(ISNUMBER('Raw Data'!E216),'Raw Data'!E216=ROUND('Raw Data'!E216,4),IFERROR(ROUND('Raw Data'!E216,4)&lt;=99999999999.99,FALSE))=TRUE,"",_xlfn.REGEXEXTRACT(CELL("address",'Raw Data'!E216), "\$([A-Z]+)\$[0-9]+"))),_xlfn.REGEXEXTRACT(CELL("address",'Raw Data'!E216), "\$([A-Z]+)\$[0-9]+"))</f>
        <v/>
      </c>
      <c r="F216" s="6" t="str" cm="1">
        <f t="array" aca="1" ref="F216" ca="1">IFERROR(IF(OR('Raw Data'!F216="",LEN(TRIM('Raw Data'!F216))=0),"",IF(AND(ISNUMBER('Raw Data'!F216),'Raw Data'!F216=ROUND('Raw Data'!F216,4),IFERROR(ROUND('Raw Data'!F216,4)&lt;=99999999999.99,FALSE))=TRUE,"",_xlfn.REGEXEXTRACT(CELL("address",'Raw Data'!F216), "\$([A-Z]+)\$[0-9]+"))),_xlfn.REGEXEXTRACT(CELL("address",'Raw Data'!F216), "\$([A-Z]+)\$[0-9]+"))</f>
        <v/>
      </c>
      <c r="G216" s="6" t="str" cm="1">
        <f t="array" aca="1" ref="G216" ca="1">IFERROR(IF(OR('Raw Data'!G216="",LEN(TRIM('Raw Data'!G216))=0),"",IF(AND(ISNUMBER('Raw Data'!G216),'Raw Data'!G216=ROUND('Raw Data'!G216,4),IFERROR(ROUND('Raw Data'!G216,4)&lt;=99999999999.99,FALSE))=TRUE,"",_xlfn.REGEXEXTRACT(CELL("address",'Raw Data'!G216), "\$([A-Z]+)\$[0-9]+"))),_xlfn.REGEXEXTRACT(CELL("address",'Raw Data'!G216), "\$([A-Z]+)\$[0-9]+"))</f>
        <v/>
      </c>
      <c r="H216" s="6" t="str" cm="1">
        <f t="array" aca="1" ref="H216" ca="1">IFERROR(IF(OR('Raw Data'!H216="",LEN(TRIM('Raw Data'!H216))=0),"",IF(AND(ISNUMBER('Raw Data'!H216),'Raw Data'!H216=ROUND('Raw Data'!H216,4),IFERROR(ROUND('Raw Data'!H216,4)&lt;=99999999999.99,FALSE))=TRUE,"",_xlfn.REGEXEXTRACT(CELL("address",'Raw Data'!H216), "\$([A-Z]+)\$[0-9]+"))),_xlfn.REGEXEXTRACT(CELL("address",'Raw Data'!H216), "\$([A-Z]+)\$[0-9]+"))</f>
        <v/>
      </c>
      <c r="I216" s="6" t="str" cm="1">
        <f t="array" aca="1" ref="I216" ca="1">IFERROR(IF(OR('Raw Data'!I216="",LEN(TRIM('Raw Data'!I216))=0),"",IF(AND(ISNUMBER('Raw Data'!I216),'Raw Data'!I216=ROUND('Raw Data'!I216,4),IFERROR(ROUND('Raw Data'!I216,4)&lt;=99999999999.99,FALSE))=TRUE,"",_xlfn.REGEXEXTRACT(CELL("address",'Raw Data'!I216), "\$([A-Z]+)\$[0-9]+"))),_xlfn.REGEXEXTRACT(CELL("address",'Raw Data'!I216), "\$([A-Z]+)\$[0-9]+"))</f>
        <v/>
      </c>
      <c r="J216" s="6" t="str" cm="1">
        <f t="array" aca="1" ref="J216" ca="1">IFERROR(IF(OR('Raw Data'!J216="",LEN(TRIM('Raw Data'!J216))=0),"",IF(AND(ISNUMBER('Raw Data'!J216),'Raw Data'!J216=ROUND('Raw Data'!J216,4),IFERROR(ROUND('Raw Data'!J216,4)&lt;=99999999999.99,FALSE))=TRUE,"",_xlfn.REGEXEXTRACT(CELL("address",'Raw Data'!J216), "\$([A-Z]+)\$[0-9]+"))),_xlfn.REGEXEXTRACT(CELL("address",'Raw Data'!J216), "\$([A-Z]+)\$[0-9]+"))</f>
        <v/>
      </c>
    </row>
    <row r="217" spans="2:10" x14ac:dyDescent="0.25">
      <c r="B217" s="6" t="str" cm="1">
        <f t="array" aca="1" ref="B217" ca="1">IFERROR(IF(OR('Raw Data'!B217="",LEN(TRIM('Raw Data'!B217))=0),"",IF(AND(LEN('Raw Data'!B217) &lt;= 255,LEN('Raw Data'!B217)&gt; 0),"",_xlfn.REGEXEXTRACT(CELL("address",'Raw Data'!B217),"\$([A-Z]+)\$[0-9]+"))),_xlfn.REGEXEXTRACT(CELL("address",'Raw Data'!B217),"\$([A-Z]+)\$[0-9]+"))</f>
        <v/>
      </c>
      <c r="C217" s="6" t="str" cm="1">
        <f t="array" aca="1" ref="C217" ca="1">IFERROR(IF(OR('Raw Data'!C217="",LEN(TRIM('Raw Data'!C217))=0),"",IF(AND(LEN('Raw Data'!C217) &lt;= 20,LEN('Raw Data'!C217)&gt; 0),"",_xlfn.REGEXEXTRACT(CELL("address",'Raw Data'!C217),"\$([A-Z]+)\$[0-9]+"))),_xlfn.REGEXEXTRACT(CELL("address",'Raw Data'!C217),"\$([A-Z]+)\$[0-9]+"))</f>
        <v/>
      </c>
      <c r="D217" s="6" t="str" cm="1">
        <f t="array" aca="1" ref="D217" ca="1">IFERROR(IF(OR('Raw Data'!D217="",LEN(TRIM('Raw Data'!D217))=0),"",IF(AND(ISNUMBER('Raw Data'!D217),'Raw Data'!D217&gt;=Configuration!$D$2),"",_xlfn.REGEXEXTRACT(CELL("address",'Raw Data'!D217),"\$([A-Z]+)\$[0-9]+"))),_xlfn.REGEXEXTRACT(CELL("address",D217), "\$([A-Z]+)\$[0-9]+"))</f>
        <v/>
      </c>
      <c r="E217" s="6" t="str" cm="1">
        <f t="array" aca="1" ref="E217" ca="1">IFERROR(IF(OR('Raw Data'!E217="",LEN(TRIM('Raw Data'!E217))=0),"",IF(AND(ISNUMBER('Raw Data'!E217),'Raw Data'!E217=ROUND('Raw Data'!E217,4),IFERROR(ROUND('Raw Data'!E217,4)&lt;=99999999999.99,FALSE))=TRUE,"",_xlfn.REGEXEXTRACT(CELL("address",'Raw Data'!E217), "\$([A-Z]+)\$[0-9]+"))),_xlfn.REGEXEXTRACT(CELL("address",'Raw Data'!E217), "\$([A-Z]+)\$[0-9]+"))</f>
        <v/>
      </c>
      <c r="F217" s="6" t="str" cm="1">
        <f t="array" aca="1" ref="F217" ca="1">IFERROR(IF(OR('Raw Data'!F217="",LEN(TRIM('Raw Data'!F217))=0),"",IF(AND(ISNUMBER('Raw Data'!F217),'Raw Data'!F217=ROUND('Raw Data'!F217,4),IFERROR(ROUND('Raw Data'!F217,4)&lt;=99999999999.99,FALSE))=TRUE,"",_xlfn.REGEXEXTRACT(CELL("address",'Raw Data'!F217), "\$([A-Z]+)\$[0-9]+"))),_xlfn.REGEXEXTRACT(CELL("address",'Raw Data'!F217), "\$([A-Z]+)\$[0-9]+"))</f>
        <v/>
      </c>
      <c r="G217" s="6" t="str" cm="1">
        <f t="array" aca="1" ref="G217" ca="1">IFERROR(IF(OR('Raw Data'!G217="",LEN(TRIM('Raw Data'!G217))=0),"",IF(AND(ISNUMBER('Raw Data'!G217),'Raw Data'!G217=ROUND('Raw Data'!G217,4),IFERROR(ROUND('Raw Data'!G217,4)&lt;=99999999999.99,FALSE))=TRUE,"",_xlfn.REGEXEXTRACT(CELL("address",'Raw Data'!G217), "\$([A-Z]+)\$[0-9]+"))),_xlfn.REGEXEXTRACT(CELL("address",'Raw Data'!G217), "\$([A-Z]+)\$[0-9]+"))</f>
        <v/>
      </c>
      <c r="H217" s="6" t="str" cm="1">
        <f t="array" aca="1" ref="H217" ca="1">IFERROR(IF(OR('Raw Data'!H217="",LEN(TRIM('Raw Data'!H217))=0),"",IF(AND(ISNUMBER('Raw Data'!H217),'Raw Data'!H217=ROUND('Raw Data'!H217,4),IFERROR(ROUND('Raw Data'!H217,4)&lt;=99999999999.99,FALSE))=TRUE,"",_xlfn.REGEXEXTRACT(CELL("address",'Raw Data'!H217), "\$([A-Z]+)\$[0-9]+"))),_xlfn.REGEXEXTRACT(CELL("address",'Raw Data'!H217), "\$([A-Z]+)\$[0-9]+"))</f>
        <v/>
      </c>
      <c r="I217" s="6" t="str" cm="1">
        <f t="array" aca="1" ref="I217" ca="1">IFERROR(IF(OR('Raw Data'!I217="",LEN(TRIM('Raw Data'!I217))=0),"",IF(AND(ISNUMBER('Raw Data'!I217),'Raw Data'!I217=ROUND('Raw Data'!I217,4),IFERROR(ROUND('Raw Data'!I217,4)&lt;=99999999999.99,FALSE))=TRUE,"",_xlfn.REGEXEXTRACT(CELL("address",'Raw Data'!I217), "\$([A-Z]+)\$[0-9]+"))),_xlfn.REGEXEXTRACT(CELL("address",'Raw Data'!I217), "\$([A-Z]+)\$[0-9]+"))</f>
        <v/>
      </c>
      <c r="J217" s="6" t="str" cm="1">
        <f t="array" aca="1" ref="J217" ca="1">IFERROR(IF(OR('Raw Data'!J217="",LEN(TRIM('Raw Data'!J217))=0),"",IF(AND(ISNUMBER('Raw Data'!J217),'Raw Data'!J217=ROUND('Raw Data'!J217,4),IFERROR(ROUND('Raw Data'!J217,4)&lt;=99999999999.99,FALSE))=TRUE,"",_xlfn.REGEXEXTRACT(CELL("address",'Raw Data'!J217), "\$([A-Z]+)\$[0-9]+"))),_xlfn.REGEXEXTRACT(CELL("address",'Raw Data'!J217), "\$([A-Z]+)\$[0-9]+"))</f>
        <v/>
      </c>
    </row>
    <row r="218" spans="2:10" x14ac:dyDescent="0.25">
      <c r="B218" s="6" t="str" cm="1">
        <f t="array" aca="1" ref="B218" ca="1">IFERROR(IF(OR('Raw Data'!B218="",LEN(TRIM('Raw Data'!B218))=0),"",IF(AND(LEN('Raw Data'!B218) &lt;= 255,LEN('Raw Data'!B218)&gt; 0),"",_xlfn.REGEXEXTRACT(CELL("address",'Raw Data'!B218),"\$([A-Z]+)\$[0-9]+"))),_xlfn.REGEXEXTRACT(CELL("address",'Raw Data'!B218),"\$([A-Z]+)\$[0-9]+"))</f>
        <v/>
      </c>
      <c r="C218" s="6" t="str" cm="1">
        <f t="array" aca="1" ref="C218" ca="1">IFERROR(IF(OR('Raw Data'!C218="",LEN(TRIM('Raw Data'!C218))=0),"",IF(AND(LEN('Raw Data'!C218) &lt;= 20,LEN('Raw Data'!C218)&gt; 0),"",_xlfn.REGEXEXTRACT(CELL("address",'Raw Data'!C218),"\$([A-Z]+)\$[0-9]+"))),_xlfn.REGEXEXTRACT(CELL("address",'Raw Data'!C218),"\$([A-Z]+)\$[0-9]+"))</f>
        <v/>
      </c>
      <c r="D218" s="6" t="str" cm="1">
        <f t="array" aca="1" ref="D218" ca="1">IFERROR(IF(OR('Raw Data'!D218="",LEN(TRIM('Raw Data'!D218))=0),"",IF(AND(ISNUMBER('Raw Data'!D218),'Raw Data'!D218&gt;=Configuration!$D$2),"",_xlfn.REGEXEXTRACT(CELL("address",'Raw Data'!D218),"\$([A-Z]+)\$[0-9]+"))),_xlfn.REGEXEXTRACT(CELL("address",D218), "\$([A-Z]+)\$[0-9]+"))</f>
        <v/>
      </c>
      <c r="E218" s="6" t="str" cm="1">
        <f t="array" aca="1" ref="E218" ca="1">IFERROR(IF(OR('Raw Data'!E218="",LEN(TRIM('Raw Data'!E218))=0),"",IF(AND(ISNUMBER('Raw Data'!E218),'Raw Data'!E218=ROUND('Raw Data'!E218,4),IFERROR(ROUND('Raw Data'!E218,4)&lt;=99999999999.99,FALSE))=TRUE,"",_xlfn.REGEXEXTRACT(CELL("address",'Raw Data'!E218), "\$([A-Z]+)\$[0-9]+"))),_xlfn.REGEXEXTRACT(CELL("address",'Raw Data'!E218), "\$([A-Z]+)\$[0-9]+"))</f>
        <v/>
      </c>
      <c r="F218" s="6" t="str" cm="1">
        <f t="array" aca="1" ref="F218" ca="1">IFERROR(IF(OR('Raw Data'!F218="",LEN(TRIM('Raw Data'!F218))=0),"",IF(AND(ISNUMBER('Raw Data'!F218),'Raw Data'!F218=ROUND('Raw Data'!F218,4),IFERROR(ROUND('Raw Data'!F218,4)&lt;=99999999999.99,FALSE))=TRUE,"",_xlfn.REGEXEXTRACT(CELL("address",'Raw Data'!F218), "\$([A-Z]+)\$[0-9]+"))),_xlfn.REGEXEXTRACT(CELL("address",'Raw Data'!F218), "\$([A-Z]+)\$[0-9]+"))</f>
        <v/>
      </c>
      <c r="G218" s="6" t="str" cm="1">
        <f t="array" aca="1" ref="G218" ca="1">IFERROR(IF(OR('Raw Data'!G218="",LEN(TRIM('Raw Data'!G218))=0),"",IF(AND(ISNUMBER('Raw Data'!G218),'Raw Data'!G218=ROUND('Raw Data'!G218,4),IFERROR(ROUND('Raw Data'!G218,4)&lt;=99999999999.99,FALSE))=TRUE,"",_xlfn.REGEXEXTRACT(CELL("address",'Raw Data'!G218), "\$([A-Z]+)\$[0-9]+"))),_xlfn.REGEXEXTRACT(CELL("address",'Raw Data'!G218), "\$([A-Z]+)\$[0-9]+"))</f>
        <v/>
      </c>
      <c r="H218" s="6" t="str" cm="1">
        <f t="array" aca="1" ref="H218" ca="1">IFERROR(IF(OR('Raw Data'!H218="",LEN(TRIM('Raw Data'!H218))=0),"",IF(AND(ISNUMBER('Raw Data'!H218),'Raw Data'!H218=ROUND('Raw Data'!H218,4),IFERROR(ROUND('Raw Data'!H218,4)&lt;=99999999999.99,FALSE))=TRUE,"",_xlfn.REGEXEXTRACT(CELL("address",'Raw Data'!H218), "\$([A-Z]+)\$[0-9]+"))),_xlfn.REGEXEXTRACT(CELL("address",'Raw Data'!H218), "\$([A-Z]+)\$[0-9]+"))</f>
        <v/>
      </c>
      <c r="I218" s="6" t="str" cm="1">
        <f t="array" aca="1" ref="I218" ca="1">IFERROR(IF(OR('Raw Data'!I218="",LEN(TRIM('Raw Data'!I218))=0),"",IF(AND(ISNUMBER('Raw Data'!I218),'Raw Data'!I218=ROUND('Raw Data'!I218,4),IFERROR(ROUND('Raw Data'!I218,4)&lt;=99999999999.99,FALSE))=TRUE,"",_xlfn.REGEXEXTRACT(CELL("address",'Raw Data'!I218), "\$([A-Z]+)\$[0-9]+"))),_xlfn.REGEXEXTRACT(CELL("address",'Raw Data'!I218), "\$([A-Z]+)\$[0-9]+"))</f>
        <v/>
      </c>
      <c r="J218" s="6" t="str" cm="1">
        <f t="array" aca="1" ref="J218" ca="1">IFERROR(IF(OR('Raw Data'!J218="",LEN(TRIM('Raw Data'!J218))=0),"",IF(AND(ISNUMBER('Raw Data'!J218),'Raw Data'!J218=ROUND('Raw Data'!J218,4),IFERROR(ROUND('Raw Data'!J218,4)&lt;=99999999999.99,FALSE))=TRUE,"",_xlfn.REGEXEXTRACT(CELL("address",'Raw Data'!J218), "\$([A-Z]+)\$[0-9]+"))),_xlfn.REGEXEXTRACT(CELL("address",'Raw Data'!J218), "\$([A-Z]+)\$[0-9]+"))</f>
        <v/>
      </c>
    </row>
    <row r="219" spans="2:10" x14ac:dyDescent="0.25">
      <c r="B219" s="6" t="str" cm="1">
        <f t="array" aca="1" ref="B219" ca="1">IFERROR(IF(OR('Raw Data'!B219="",LEN(TRIM('Raw Data'!B219))=0),"",IF(AND(LEN('Raw Data'!B219) &lt;= 255,LEN('Raw Data'!B219)&gt; 0),"",_xlfn.REGEXEXTRACT(CELL("address",'Raw Data'!B219),"\$([A-Z]+)\$[0-9]+"))),_xlfn.REGEXEXTRACT(CELL("address",'Raw Data'!B219),"\$([A-Z]+)\$[0-9]+"))</f>
        <v/>
      </c>
      <c r="C219" s="6" t="str" cm="1">
        <f t="array" aca="1" ref="C219" ca="1">IFERROR(IF(OR('Raw Data'!C219="",LEN(TRIM('Raw Data'!C219))=0),"",IF(AND(LEN('Raw Data'!C219) &lt;= 20,LEN('Raw Data'!C219)&gt; 0),"",_xlfn.REGEXEXTRACT(CELL("address",'Raw Data'!C219),"\$([A-Z]+)\$[0-9]+"))),_xlfn.REGEXEXTRACT(CELL("address",'Raw Data'!C219),"\$([A-Z]+)\$[0-9]+"))</f>
        <v/>
      </c>
      <c r="D219" s="6" t="str" cm="1">
        <f t="array" aca="1" ref="D219" ca="1">IFERROR(IF(OR('Raw Data'!D219="",LEN(TRIM('Raw Data'!D219))=0),"",IF(AND(ISNUMBER('Raw Data'!D219),'Raw Data'!D219&gt;=Configuration!$D$2),"",_xlfn.REGEXEXTRACT(CELL("address",'Raw Data'!D219),"\$([A-Z]+)\$[0-9]+"))),_xlfn.REGEXEXTRACT(CELL("address",D219), "\$([A-Z]+)\$[0-9]+"))</f>
        <v/>
      </c>
      <c r="E219" s="6" t="str" cm="1">
        <f t="array" aca="1" ref="E219" ca="1">IFERROR(IF(OR('Raw Data'!E219="",LEN(TRIM('Raw Data'!E219))=0),"",IF(AND(ISNUMBER('Raw Data'!E219),'Raw Data'!E219=ROUND('Raw Data'!E219,4),IFERROR(ROUND('Raw Data'!E219,4)&lt;=99999999999.99,FALSE))=TRUE,"",_xlfn.REGEXEXTRACT(CELL("address",'Raw Data'!E219), "\$([A-Z]+)\$[0-9]+"))),_xlfn.REGEXEXTRACT(CELL("address",'Raw Data'!E219), "\$([A-Z]+)\$[0-9]+"))</f>
        <v/>
      </c>
      <c r="F219" s="6" t="str" cm="1">
        <f t="array" aca="1" ref="F219" ca="1">IFERROR(IF(OR('Raw Data'!F219="",LEN(TRIM('Raw Data'!F219))=0),"",IF(AND(ISNUMBER('Raw Data'!F219),'Raw Data'!F219=ROUND('Raw Data'!F219,4),IFERROR(ROUND('Raw Data'!F219,4)&lt;=99999999999.99,FALSE))=TRUE,"",_xlfn.REGEXEXTRACT(CELL("address",'Raw Data'!F219), "\$([A-Z]+)\$[0-9]+"))),_xlfn.REGEXEXTRACT(CELL("address",'Raw Data'!F219), "\$([A-Z]+)\$[0-9]+"))</f>
        <v/>
      </c>
      <c r="G219" s="6" t="str" cm="1">
        <f t="array" aca="1" ref="G219" ca="1">IFERROR(IF(OR('Raw Data'!G219="",LEN(TRIM('Raw Data'!G219))=0),"",IF(AND(ISNUMBER('Raw Data'!G219),'Raw Data'!G219=ROUND('Raw Data'!G219,4),IFERROR(ROUND('Raw Data'!G219,4)&lt;=99999999999.99,FALSE))=TRUE,"",_xlfn.REGEXEXTRACT(CELL("address",'Raw Data'!G219), "\$([A-Z]+)\$[0-9]+"))),_xlfn.REGEXEXTRACT(CELL("address",'Raw Data'!G219), "\$([A-Z]+)\$[0-9]+"))</f>
        <v/>
      </c>
      <c r="H219" s="6" t="str" cm="1">
        <f t="array" aca="1" ref="H219" ca="1">IFERROR(IF(OR('Raw Data'!H219="",LEN(TRIM('Raw Data'!H219))=0),"",IF(AND(ISNUMBER('Raw Data'!H219),'Raw Data'!H219=ROUND('Raw Data'!H219,4),IFERROR(ROUND('Raw Data'!H219,4)&lt;=99999999999.99,FALSE))=TRUE,"",_xlfn.REGEXEXTRACT(CELL("address",'Raw Data'!H219), "\$([A-Z]+)\$[0-9]+"))),_xlfn.REGEXEXTRACT(CELL("address",'Raw Data'!H219), "\$([A-Z]+)\$[0-9]+"))</f>
        <v/>
      </c>
      <c r="I219" s="6" t="str" cm="1">
        <f t="array" aca="1" ref="I219" ca="1">IFERROR(IF(OR('Raw Data'!I219="",LEN(TRIM('Raw Data'!I219))=0),"",IF(AND(ISNUMBER('Raw Data'!I219),'Raw Data'!I219=ROUND('Raw Data'!I219,4),IFERROR(ROUND('Raw Data'!I219,4)&lt;=99999999999.99,FALSE))=TRUE,"",_xlfn.REGEXEXTRACT(CELL("address",'Raw Data'!I219), "\$([A-Z]+)\$[0-9]+"))),_xlfn.REGEXEXTRACT(CELL("address",'Raw Data'!I219), "\$([A-Z]+)\$[0-9]+"))</f>
        <v/>
      </c>
      <c r="J219" s="6" t="str" cm="1">
        <f t="array" aca="1" ref="J219" ca="1">IFERROR(IF(OR('Raw Data'!J219="",LEN(TRIM('Raw Data'!J219))=0),"",IF(AND(ISNUMBER('Raw Data'!J219),'Raw Data'!J219=ROUND('Raw Data'!J219,4),IFERROR(ROUND('Raw Data'!J219,4)&lt;=99999999999.99,FALSE))=TRUE,"",_xlfn.REGEXEXTRACT(CELL("address",'Raw Data'!J219), "\$([A-Z]+)\$[0-9]+"))),_xlfn.REGEXEXTRACT(CELL("address",'Raw Data'!J219), "\$([A-Z]+)\$[0-9]+"))</f>
        <v/>
      </c>
    </row>
    <row r="220" spans="2:10" x14ac:dyDescent="0.25">
      <c r="B220" s="6" t="str" cm="1">
        <f t="array" aca="1" ref="B220" ca="1">IFERROR(IF(OR('Raw Data'!B220="",LEN(TRIM('Raw Data'!B220))=0),"",IF(AND(LEN('Raw Data'!B220) &lt;= 255,LEN('Raw Data'!B220)&gt; 0),"",_xlfn.REGEXEXTRACT(CELL("address",'Raw Data'!B220),"\$([A-Z]+)\$[0-9]+"))),_xlfn.REGEXEXTRACT(CELL("address",'Raw Data'!B220),"\$([A-Z]+)\$[0-9]+"))</f>
        <v/>
      </c>
      <c r="C220" s="6" t="str" cm="1">
        <f t="array" aca="1" ref="C220" ca="1">IFERROR(IF(OR('Raw Data'!C220="",LEN(TRIM('Raw Data'!C220))=0),"",IF(AND(LEN('Raw Data'!C220) &lt;= 20,LEN('Raw Data'!C220)&gt; 0),"",_xlfn.REGEXEXTRACT(CELL("address",'Raw Data'!C220),"\$([A-Z]+)\$[0-9]+"))),_xlfn.REGEXEXTRACT(CELL("address",'Raw Data'!C220),"\$([A-Z]+)\$[0-9]+"))</f>
        <v/>
      </c>
      <c r="D220" s="6" t="str" cm="1">
        <f t="array" aca="1" ref="D220" ca="1">IFERROR(IF(OR('Raw Data'!D220="",LEN(TRIM('Raw Data'!D220))=0),"",IF(AND(ISNUMBER('Raw Data'!D220),'Raw Data'!D220&gt;=Configuration!$D$2),"",_xlfn.REGEXEXTRACT(CELL("address",'Raw Data'!D220),"\$([A-Z]+)\$[0-9]+"))),_xlfn.REGEXEXTRACT(CELL("address",D220), "\$([A-Z]+)\$[0-9]+"))</f>
        <v/>
      </c>
      <c r="E220" s="6" t="str" cm="1">
        <f t="array" aca="1" ref="E220" ca="1">IFERROR(IF(OR('Raw Data'!E220="",LEN(TRIM('Raw Data'!E220))=0),"",IF(AND(ISNUMBER('Raw Data'!E220),'Raw Data'!E220=ROUND('Raw Data'!E220,4),IFERROR(ROUND('Raw Data'!E220,4)&lt;=99999999999.99,FALSE))=TRUE,"",_xlfn.REGEXEXTRACT(CELL("address",'Raw Data'!E220), "\$([A-Z]+)\$[0-9]+"))),_xlfn.REGEXEXTRACT(CELL("address",'Raw Data'!E220), "\$([A-Z]+)\$[0-9]+"))</f>
        <v/>
      </c>
      <c r="F220" s="6" t="str" cm="1">
        <f t="array" aca="1" ref="F220" ca="1">IFERROR(IF(OR('Raw Data'!F220="",LEN(TRIM('Raw Data'!F220))=0),"",IF(AND(ISNUMBER('Raw Data'!F220),'Raw Data'!F220=ROUND('Raw Data'!F220,4),IFERROR(ROUND('Raw Data'!F220,4)&lt;=99999999999.99,FALSE))=TRUE,"",_xlfn.REGEXEXTRACT(CELL("address",'Raw Data'!F220), "\$([A-Z]+)\$[0-9]+"))),_xlfn.REGEXEXTRACT(CELL("address",'Raw Data'!F220), "\$([A-Z]+)\$[0-9]+"))</f>
        <v/>
      </c>
      <c r="G220" s="6" t="str" cm="1">
        <f t="array" aca="1" ref="G220" ca="1">IFERROR(IF(OR('Raw Data'!G220="",LEN(TRIM('Raw Data'!G220))=0),"",IF(AND(ISNUMBER('Raw Data'!G220),'Raw Data'!G220=ROUND('Raw Data'!G220,4),IFERROR(ROUND('Raw Data'!G220,4)&lt;=99999999999.99,FALSE))=TRUE,"",_xlfn.REGEXEXTRACT(CELL("address",'Raw Data'!G220), "\$([A-Z]+)\$[0-9]+"))),_xlfn.REGEXEXTRACT(CELL("address",'Raw Data'!G220), "\$([A-Z]+)\$[0-9]+"))</f>
        <v/>
      </c>
      <c r="H220" s="6" t="str" cm="1">
        <f t="array" aca="1" ref="H220" ca="1">IFERROR(IF(OR('Raw Data'!H220="",LEN(TRIM('Raw Data'!H220))=0),"",IF(AND(ISNUMBER('Raw Data'!H220),'Raw Data'!H220=ROUND('Raw Data'!H220,4),IFERROR(ROUND('Raw Data'!H220,4)&lt;=99999999999.99,FALSE))=TRUE,"",_xlfn.REGEXEXTRACT(CELL("address",'Raw Data'!H220), "\$([A-Z]+)\$[0-9]+"))),_xlfn.REGEXEXTRACT(CELL("address",'Raw Data'!H220), "\$([A-Z]+)\$[0-9]+"))</f>
        <v/>
      </c>
      <c r="I220" s="6" t="str" cm="1">
        <f t="array" aca="1" ref="I220" ca="1">IFERROR(IF(OR('Raw Data'!I220="",LEN(TRIM('Raw Data'!I220))=0),"",IF(AND(ISNUMBER('Raw Data'!I220),'Raw Data'!I220=ROUND('Raw Data'!I220,4),IFERROR(ROUND('Raw Data'!I220,4)&lt;=99999999999.99,FALSE))=TRUE,"",_xlfn.REGEXEXTRACT(CELL("address",'Raw Data'!I220), "\$([A-Z]+)\$[0-9]+"))),_xlfn.REGEXEXTRACT(CELL("address",'Raw Data'!I220), "\$([A-Z]+)\$[0-9]+"))</f>
        <v/>
      </c>
      <c r="J220" s="6" t="str" cm="1">
        <f t="array" aca="1" ref="J220" ca="1">IFERROR(IF(OR('Raw Data'!J220="",LEN(TRIM('Raw Data'!J220))=0),"",IF(AND(ISNUMBER('Raw Data'!J220),'Raw Data'!J220=ROUND('Raw Data'!J220,4),IFERROR(ROUND('Raw Data'!J220,4)&lt;=99999999999.99,FALSE))=TRUE,"",_xlfn.REGEXEXTRACT(CELL("address",'Raw Data'!J220), "\$([A-Z]+)\$[0-9]+"))),_xlfn.REGEXEXTRACT(CELL("address",'Raw Data'!J220), "\$([A-Z]+)\$[0-9]+"))</f>
        <v/>
      </c>
    </row>
    <row r="221" spans="2:10" x14ac:dyDescent="0.25">
      <c r="B221" s="6" t="str" cm="1">
        <f t="array" aca="1" ref="B221" ca="1">IFERROR(IF(OR('Raw Data'!B221="",LEN(TRIM('Raw Data'!B221))=0),"",IF(AND(LEN('Raw Data'!B221) &lt;= 255,LEN('Raw Data'!B221)&gt; 0),"",_xlfn.REGEXEXTRACT(CELL("address",'Raw Data'!B221),"\$([A-Z]+)\$[0-9]+"))),_xlfn.REGEXEXTRACT(CELL("address",'Raw Data'!B221),"\$([A-Z]+)\$[0-9]+"))</f>
        <v/>
      </c>
      <c r="C221" s="6" t="str" cm="1">
        <f t="array" aca="1" ref="C221" ca="1">IFERROR(IF(OR('Raw Data'!C221="",LEN(TRIM('Raw Data'!C221))=0),"",IF(AND(LEN('Raw Data'!C221) &lt;= 20,LEN('Raw Data'!C221)&gt; 0),"",_xlfn.REGEXEXTRACT(CELL("address",'Raw Data'!C221),"\$([A-Z]+)\$[0-9]+"))),_xlfn.REGEXEXTRACT(CELL("address",'Raw Data'!C221),"\$([A-Z]+)\$[0-9]+"))</f>
        <v/>
      </c>
      <c r="D221" s="6" t="str" cm="1">
        <f t="array" aca="1" ref="D221" ca="1">IFERROR(IF(OR('Raw Data'!D221="",LEN(TRIM('Raw Data'!D221))=0),"",IF(AND(ISNUMBER('Raw Data'!D221),'Raw Data'!D221&gt;=Configuration!$D$2),"",_xlfn.REGEXEXTRACT(CELL("address",'Raw Data'!D221),"\$([A-Z]+)\$[0-9]+"))),_xlfn.REGEXEXTRACT(CELL("address",D221), "\$([A-Z]+)\$[0-9]+"))</f>
        <v/>
      </c>
      <c r="E221" s="6" t="str" cm="1">
        <f t="array" aca="1" ref="E221" ca="1">IFERROR(IF(OR('Raw Data'!E221="",LEN(TRIM('Raw Data'!E221))=0),"",IF(AND(ISNUMBER('Raw Data'!E221),'Raw Data'!E221=ROUND('Raw Data'!E221,4),IFERROR(ROUND('Raw Data'!E221,4)&lt;=99999999999.99,FALSE))=TRUE,"",_xlfn.REGEXEXTRACT(CELL("address",'Raw Data'!E221), "\$([A-Z]+)\$[0-9]+"))),_xlfn.REGEXEXTRACT(CELL("address",'Raw Data'!E221), "\$([A-Z]+)\$[0-9]+"))</f>
        <v/>
      </c>
      <c r="F221" s="6" t="str" cm="1">
        <f t="array" aca="1" ref="F221" ca="1">IFERROR(IF(OR('Raw Data'!F221="",LEN(TRIM('Raw Data'!F221))=0),"",IF(AND(ISNUMBER('Raw Data'!F221),'Raw Data'!F221=ROUND('Raw Data'!F221,4),IFERROR(ROUND('Raw Data'!F221,4)&lt;=99999999999.99,FALSE))=TRUE,"",_xlfn.REGEXEXTRACT(CELL("address",'Raw Data'!F221), "\$([A-Z]+)\$[0-9]+"))),_xlfn.REGEXEXTRACT(CELL("address",'Raw Data'!F221), "\$([A-Z]+)\$[0-9]+"))</f>
        <v/>
      </c>
      <c r="G221" s="6" t="str" cm="1">
        <f t="array" aca="1" ref="G221" ca="1">IFERROR(IF(OR('Raw Data'!G221="",LEN(TRIM('Raw Data'!G221))=0),"",IF(AND(ISNUMBER('Raw Data'!G221),'Raw Data'!G221=ROUND('Raw Data'!G221,4),IFERROR(ROUND('Raw Data'!G221,4)&lt;=99999999999.99,FALSE))=TRUE,"",_xlfn.REGEXEXTRACT(CELL("address",'Raw Data'!G221), "\$([A-Z]+)\$[0-9]+"))),_xlfn.REGEXEXTRACT(CELL("address",'Raw Data'!G221), "\$([A-Z]+)\$[0-9]+"))</f>
        <v/>
      </c>
      <c r="H221" s="6" t="str" cm="1">
        <f t="array" aca="1" ref="H221" ca="1">IFERROR(IF(OR('Raw Data'!H221="",LEN(TRIM('Raw Data'!H221))=0),"",IF(AND(ISNUMBER('Raw Data'!H221),'Raw Data'!H221=ROUND('Raw Data'!H221,4),IFERROR(ROUND('Raw Data'!H221,4)&lt;=99999999999.99,FALSE))=TRUE,"",_xlfn.REGEXEXTRACT(CELL("address",'Raw Data'!H221), "\$([A-Z]+)\$[0-9]+"))),_xlfn.REGEXEXTRACT(CELL("address",'Raw Data'!H221), "\$([A-Z]+)\$[0-9]+"))</f>
        <v/>
      </c>
      <c r="I221" s="6" t="str" cm="1">
        <f t="array" aca="1" ref="I221" ca="1">IFERROR(IF(OR('Raw Data'!I221="",LEN(TRIM('Raw Data'!I221))=0),"",IF(AND(ISNUMBER('Raw Data'!I221),'Raw Data'!I221=ROUND('Raw Data'!I221,4),IFERROR(ROUND('Raw Data'!I221,4)&lt;=99999999999.99,FALSE))=TRUE,"",_xlfn.REGEXEXTRACT(CELL("address",'Raw Data'!I221), "\$([A-Z]+)\$[0-9]+"))),_xlfn.REGEXEXTRACT(CELL("address",'Raw Data'!I221), "\$([A-Z]+)\$[0-9]+"))</f>
        <v/>
      </c>
      <c r="J221" s="6" t="str" cm="1">
        <f t="array" aca="1" ref="J221" ca="1">IFERROR(IF(OR('Raw Data'!J221="",LEN(TRIM('Raw Data'!J221))=0),"",IF(AND(ISNUMBER('Raw Data'!J221),'Raw Data'!J221=ROUND('Raw Data'!J221,4),IFERROR(ROUND('Raw Data'!J221,4)&lt;=99999999999.99,FALSE))=TRUE,"",_xlfn.REGEXEXTRACT(CELL("address",'Raw Data'!J221), "\$([A-Z]+)\$[0-9]+"))),_xlfn.REGEXEXTRACT(CELL("address",'Raw Data'!J221), "\$([A-Z]+)\$[0-9]+"))</f>
        <v/>
      </c>
    </row>
    <row r="222" spans="2:10" x14ac:dyDescent="0.25">
      <c r="B222" s="6" t="str" cm="1">
        <f t="array" aca="1" ref="B222" ca="1">IFERROR(IF(OR('Raw Data'!B222="",LEN(TRIM('Raw Data'!B222))=0),"",IF(AND(LEN('Raw Data'!B222) &lt;= 255,LEN('Raw Data'!B222)&gt; 0),"",_xlfn.REGEXEXTRACT(CELL("address",'Raw Data'!B222),"\$([A-Z]+)\$[0-9]+"))),_xlfn.REGEXEXTRACT(CELL("address",'Raw Data'!B222),"\$([A-Z]+)\$[0-9]+"))</f>
        <v/>
      </c>
      <c r="C222" s="6" t="str" cm="1">
        <f t="array" aca="1" ref="C222" ca="1">IFERROR(IF(OR('Raw Data'!C222="",LEN(TRIM('Raw Data'!C222))=0),"",IF(AND(LEN('Raw Data'!C222) &lt;= 20,LEN('Raw Data'!C222)&gt; 0),"",_xlfn.REGEXEXTRACT(CELL("address",'Raw Data'!C222),"\$([A-Z]+)\$[0-9]+"))),_xlfn.REGEXEXTRACT(CELL("address",'Raw Data'!C222),"\$([A-Z]+)\$[0-9]+"))</f>
        <v/>
      </c>
      <c r="D222" s="6" t="str" cm="1">
        <f t="array" aca="1" ref="D222" ca="1">IFERROR(IF(OR('Raw Data'!D222="",LEN(TRIM('Raw Data'!D222))=0),"",IF(AND(ISNUMBER('Raw Data'!D222),'Raw Data'!D222&gt;=Configuration!$D$2),"",_xlfn.REGEXEXTRACT(CELL("address",'Raw Data'!D222),"\$([A-Z]+)\$[0-9]+"))),_xlfn.REGEXEXTRACT(CELL("address",D222), "\$([A-Z]+)\$[0-9]+"))</f>
        <v/>
      </c>
      <c r="E222" s="6" t="str" cm="1">
        <f t="array" aca="1" ref="E222" ca="1">IFERROR(IF(OR('Raw Data'!E222="",LEN(TRIM('Raw Data'!E222))=0),"",IF(AND(ISNUMBER('Raw Data'!E222),'Raw Data'!E222=ROUND('Raw Data'!E222,4),IFERROR(ROUND('Raw Data'!E222,4)&lt;=99999999999.99,FALSE))=TRUE,"",_xlfn.REGEXEXTRACT(CELL("address",'Raw Data'!E222), "\$([A-Z]+)\$[0-9]+"))),_xlfn.REGEXEXTRACT(CELL("address",'Raw Data'!E222), "\$([A-Z]+)\$[0-9]+"))</f>
        <v/>
      </c>
      <c r="F222" s="6" t="str" cm="1">
        <f t="array" aca="1" ref="F222" ca="1">IFERROR(IF(OR('Raw Data'!F222="",LEN(TRIM('Raw Data'!F222))=0),"",IF(AND(ISNUMBER('Raw Data'!F222),'Raw Data'!F222=ROUND('Raw Data'!F222,4),IFERROR(ROUND('Raw Data'!F222,4)&lt;=99999999999.99,FALSE))=TRUE,"",_xlfn.REGEXEXTRACT(CELL("address",'Raw Data'!F222), "\$([A-Z]+)\$[0-9]+"))),_xlfn.REGEXEXTRACT(CELL("address",'Raw Data'!F222), "\$([A-Z]+)\$[0-9]+"))</f>
        <v/>
      </c>
      <c r="G222" s="6" t="str" cm="1">
        <f t="array" aca="1" ref="G222" ca="1">IFERROR(IF(OR('Raw Data'!G222="",LEN(TRIM('Raw Data'!G222))=0),"",IF(AND(ISNUMBER('Raw Data'!G222),'Raw Data'!G222=ROUND('Raw Data'!G222,4),IFERROR(ROUND('Raw Data'!G222,4)&lt;=99999999999.99,FALSE))=TRUE,"",_xlfn.REGEXEXTRACT(CELL("address",'Raw Data'!G222), "\$([A-Z]+)\$[0-9]+"))),_xlfn.REGEXEXTRACT(CELL("address",'Raw Data'!G222), "\$([A-Z]+)\$[0-9]+"))</f>
        <v/>
      </c>
      <c r="H222" s="6" t="str" cm="1">
        <f t="array" aca="1" ref="H222" ca="1">IFERROR(IF(OR('Raw Data'!H222="",LEN(TRIM('Raw Data'!H222))=0),"",IF(AND(ISNUMBER('Raw Data'!H222),'Raw Data'!H222=ROUND('Raw Data'!H222,4),IFERROR(ROUND('Raw Data'!H222,4)&lt;=99999999999.99,FALSE))=TRUE,"",_xlfn.REGEXEXTRACT(CELL("address",'Raw Data'!H222), "\$([A-Z]+)\$[0-9]+"))),_xlfn.REGEXEXTRACT(CELL("address",'Raw Data'!H222), "\$([A-Z]+)\$[0-9]+"))</f>
        <v/>
      </c>
      <c r="I222" s="6" t="str" cm="1">
        <f t="array" aca="1" ref="I222" ca="1">IFERROR(IF(OR('Raw Data'!I222="",LEN(TRIM('Raw Data'!I222))=0),"",IF(AND(ISNUMBER('Raw Data'!I222),'Raw Data'!I222=ROUND('Raw Data'!I222,4),IFERROR(ROUND('Raw Data'!I222,4)&lt;=99999999999.99,FALSE))=TRUE,"",_xlfn.REGEXEXTRACT(CELL("address",'Raw Data'!I222), "\$([A-Z]+)\$[0-9]+"))),_xlfn.REGEXEXTRACT(CELL("address",'Raw Data'!I222), "\$([A-Z]+)\$[0-9]+"))</f>
        <v/>
      </c>
      <c r="J222" s="6" t="str" cm="1">
        <f t="array" aca="1" ref="J222" ca="1">IFERROR(IF(OR('Raw Data'!J222="",LEN(TRIM('Raw Data'!J222))=0),"",IF(AND(ISNUMBER('Raw Data'!J222),'Raw Data'!J222=ROUND('Raw Data'!J222,4),IFERROR(ROUND('Raw Data'!J222,4)&lt;=99999999999.99,FALSE))=TRUE,"",_xlfn.REGEXEXTRACT(CELL("address",'Raw Data'!J222), "\$([A-Z]+)\$[0-9]+"))),_xlfn.REGEXEXTRACT(CELL("address",'Raw Data'!J222), "\$([A-Z]+)\$[0-9]+"))</f>
        <v/>
      </c>
    </row>
    <row r="223" spans="2:10" x14ac:dyDescent="0.25">
      <c r="B223" s="6" t="str" cm="1">
        <f t="array" aca="1" ref="B223" ca="1">IFERROR(IF(OR('Raw Data'!B223="",LEN(TRIM('Raw Data'!B223))=0),"",IF(AND(LEN('Raw Data'!B223) &lt;= 255,LEN('Raw Data'!B223)&gt; 0),"",_xlfn.REGEXEXTRACT(CELL("address",'Raw Data'!B223),"\$([A-Z]+)\$[0-9]+"))),_xlfn.REGEXEXTRACT(CELL("address",'Raw Data'!B223),"\$([A-Z]+)\$[0-9]+"))</f>
        <v/>
      </c>
      <c r="C223" s="6" t="str" cm="1">
        <f t="array" aca="1" ref="C223" ca="1">IFERROR(IF(OR('Raw Data'!C223="",LEN(TRIM('Raw Data'!C223))=0),"",IF(AND(LEN('Raw Data'!C223) &lt;= 20,LEN('Raw Data'!C223)&gt; 0),"",_xlfn.REGEXEXTRACT(CELL("address",'Raw Data'!C223),"\$([A-Z]+)\$[0-9]+"))),_xlfn.REGEXEXTRACT(CELL("address",'Raw Data'!C223),"\$([A-Z]+)\$[0-9]+"))</f>
        <v/>
      </c>
      <c r="D223" s="6" t="str" cm="1">
        <f t="array" aca="1" ref="D223" ca="1">IFERROR(IF(OR('Raw Data'!D223="",LEN(TRIM('Raw Data'!D223))=0),"",IF(AND(ISNUMBER('Raw Data'!D223),'Raw Data'!D223&gt;=Configuration!$D$2),"",_xlfn.REGEXEXTRACT(CELL("address",'Raw Data'!D223),"\$([A-Z]+)\$[0-9]+"))),_xlfn.REGEXEXTRACT(CELL("address",D223), "\$([A-Z]+)\$[0-9]+"))</f>
        <v/>
      </c>
      <c r="E223" s="6" t="str" cm="1">
        <f t="array" aca="1" ref="E223" ca="1">IFERROR(IF(OR('Raw Data'!E223="",LEN(TRIM('Raw Data'!E223))=0),"",IF(AND(ISNUMBER('Raw Data'!E223),'Raw Data'!E223=ROUND('Raw Data'!E223,4),IFERROR(ROUND('Raw Data'!E223,4)&lt;=99999999999.99,FALSE))=TRUE,"",_xlfn.REGEXEXTRACT(CELL("address",'Raw Data'!E223), "\$([A-Z]+)\$[0-9]+"))),_xlfn.REGEXEXTRACT(CELL("address",'Raw Data'!E223), "\$([A-Z]+)\$[0-9]+"))</f>
        <v/>
      </c>
      <c r="F223" s="6" t="str" cm="1">
        <f t="array" aca="1" ref="F223" ca="1">IFERROR(IF(OR('Raw Data'!F223="",LEN(TRIM('Raw Data'!F223))=0),"",IF(AND(ISNUMBER('Raw Data'!F223),'Raw Data'!F223=ROUND('Raw Data'!F223,4),IFERROR(ROUND('Raw Data'!F223,4)&lt;=99999999999.99,FALSE))=TRUE,"",_xlfn.REGEXEXTRACT(CELL("address",'Raw Data'!F223), "\$([A-Z]+)\$[0-9]+"))),_xlfn.REGEXEXTRACT(CELL("address",'Raw Data'!F223), "\$([A-Z]+)\$[0-9]+"))</f>
        <v/>
      </c>
      <c r="G223" s="6" t="str" cm="1">
        <f t="array" aca="1" ref="G223" ca="1">IFERROR(IF(OR('Raw Data'!G223="",LEN(TRIM('Raw Data'!G223))=0),"",IF(AND(ISNUMBER('Raw Data'!G223),'Raw Data'!G223=ROUND('Raw Data'!G223,4),IFERROR(ROUND('Raw Data'!G223,4)&lt;=99999999999.99,FALSE))=TRUE,"",_xlfn.REGEXEXTRACT(CELL("address",'Raw Data'!G223), "\$([A-Z]+)\$[0-9]+"))),_xlfn.REGEXEXTRACT(CELL("address",'Raw Data'!G223), "\$([A-Z]+)\$[0-9]+"))</f>
        <v/>
      </c>
      <c r="H223" s="6" t="str" cm="1">
        <f t="array" aca="1" ref="H223" ca="1">IFERROR(IF(OR('Raw Data'!H223="",LEN(TRIM('Raw Data'!H223))=0),"",IF(AND(ISNUMBER('Raw Data'!H223),'Raw Data'!H223=ROUND('Raw Data'!H223,4),IFERROR(ROUND('Raw Data'!H223,4)&lt;=99999999999.99,FALSE))=TRUE,"",_xlfn.REGEXEXTRACT(CELL("address",'Raw Data'!H223), "\$([A-Z]+)\$[0-9]+"))),_xlfn.REGEXEXTRACT(CELL("address",'Raw Data'!H223), "\$([A-Z]+)\$[0-9]+"))</f>
        <v/>
      </c>
      <c r="I223" s="6" t="str" cm="1">
        <f t="array" aca="1" ref="I223" ca="1">IFERROR(IF(OR('Raw Data'!I223="",LEN(TRIM('Raw Data'!I223))=0),"",IF(AND(ISNUMBER('Raw Data'!I223),'Raw Data'!I223=ROUND('Raw Data'!I223,4),IFERROR(ROUND('Raw Data'!I223,4)&lt;=99999999999.99,FALSE))=TRUE,"",_xlfn.REGEXEXTRACT(CELL("address",'Raw Data'!I223), "\$([A-Z]+)\$[0-9]+"))),_xlfn.REGEXEXTRACT(CELL("address",'Raw Data'!I223), "\$([A-Z]+)\$[0-9]+"))</f>
        <v/>
      </c>
      <c r="J223" s="6" t="str" cm="1">
        <f t="array" aca="1" ref="J223" ca="1">IFERROR(IF(OR('Raw Data'!J223="",LEN(TRIM('Raw Data'!J223))=0),"",IF(AND(ISNUMBER('Raw Data'!J223),'Raw Data'!J223=ROUND('Raw Data'!J223,4),IFERROR(ROUND('Raw Data'!J223,4)&lt;=99999999999.99,FALSE))=TRUE,"",_xlfn.REGEXEXTRACT(CELL("address",'Raw Data'!J223), "\$([A-Z]+)\$[0-9]+"))),_xlfn.REGEXEXTRACT(CELL("address",'Raw Data'!J223), "\$([A-Z]+)\$[0-9]+"))</f>
        <v/>
      </c>
    </row>
    <row r="224" spans="2:10" x14ac:dyDescent="0.25">
      <c r="B224" s="6" t="str" cm="1">
        <f t="array" aca="1" ref="B224" ca="1">IFERROR(IF(OR('Raw Data'!B224="",LEN(TRIM('Raw Data'!B224))=0),"",IF(AND(LEN('Raw Data'!B224) &lt;= 255,LEN('Raw Data'!B224)&gt; 0),"",_xlfn.REGEXEXTRACT(CELL("address",'Raw Data'!B224),"\$([A-Z]+)\$[0-9]+"))),_xlfn.REGEXEXTRACT(CELL("address",'Raw Data'!B224),"\$([A-Z]+)\$[0-9]+"))</f>
        <v/>
      </c>
      <c r="C224" s="6" t="str" cm="1">
        <f t="array" aca="1" ref="C224" ca="1">IFERROR(IF(OR('Raw Data'!C224="",LEN(TRIM('Raw Data'!C224))=0),"",IF(AND(LEN('Raw Data'!C224) &lt;= 20,LEN('Raw Data'!C224)&gt; 0),"",_xlfn.REGEXEXTRACT(CELL("address",'Raw Data'!C224),"\$([A-Z]+)\$[0-9]+"))),_xlfn.REGEXEXTRACT(CELL("address",'Raw Data'!C224),"\$([A-Z]+)\$[0-9]+"))</f>
        <v/>
      </c>
      <c r="D224" s="6" t="str" cm="1">
        <f t="array" aca="1" ref="D224" ca="1">IFERROR(IF(OR('Raw Data'!D224="",LEN(TRIM('Raw Data'!D224))=0),"",IF(AND(ISNUMBER('Raw Data'!D224),'Raw Data'!D224&gt;=Configuration!$D$2),"",_xlfn.REGEXEXTRACT(CELL("address",'Raw Data'!D224),"\$([A-Z]+)\$[0-9]+"))),_xlfn.REGEXEXTRACT(CELL("address",D224), "\$([A-Z]+)\$[0-9]+"))</f>
        <v/>
      </c>
      <c r="E224" s="6" t="str" cm="1">
        <f t="array" aca="1" ref="E224" ca="1">IFERROR(IF(OR('Raw Data'!E224="",LEN(TRIM('Raw Data'!E224))=0),"",IF(AND(ISNUMBER('Raw Data'!E224),'Raw Data'!E224=ROUND('Raw Data'!E224,4),IFERROR(ROUND('Raw Data'!E224,4)&lt;=99999999999.99,FALSE))=TRUE,"",_xlfn.REGEXEXTRACT(CELL("address",'Raw Data'!E224), "\$([A-Z]+)\$[0-9]+"))),_xlfn.REGEXEXTRACT(CELL("address",'Raw Data'!E224), "\$([A-Z]+)\$[0-9]+"))</f>
        <v/>
      </c>
      <c r="F224" s="6" t="str" cm="1">
        <f t="array" aca="1" ref="F224" ca="1">IFERROR(IF(OR('Raw Data'!F224="",LEN(TRIM('Raw Data'!F224))=0),"",IF(AND(ISNUMBER('Raw Data'!F224),'Raw Data'!F224=ROUND('Raw Data'!F224,4),IFERROR(ROUND('Raw Data'!F224,4)&lt;=99999999999.99,FALSE))=TRUE,"",_xlfn.REGEXEXTRACT(CELL("address",'Raw Data'!F224), "\$([A-Z]+)\$[0-9]+"))),_xlfn.REGEXEXTRACT(CELL("address",'Raw Data'!F224), "\$([A-Z]+)\$[0-9]+"))</f>
        <v/>
      </c>
      <c r="G224" s="6" t="str" cm="1">
        <f t="array" aca="1" ref="G224" ca="1">IFERROR(IF(OR('Raw Data'!G224="",LEN(TRIM('Raw Data'!G224))=0),"",IF(AND(ISNUMBER('Raw Data'!G224),'Raw Data'!G224=ROUND('Raw Data'!G224,4),IFERROR(ROUND('Raw Data'!G224,4)&lt;=99999999999.99,FALSE))=TRUE,"",_xlfn.REGEXEXTRACT(CELL("address",'Raw Data'!G224), "\$([A-Z]+)\$[0-9]+"))),_xlfn.REGEXEXTRACT(CELL("address",'Raw Data'!G224), "\$([A-Z]+)\$[0-9]+"))</f>
        <v/>
      </c>
      <c r="H224" s="6" t="str" cm="1">
        <f t="array" aca="1" ref="H224" ca="1">IFERROR(IF(OR('Raw Data'!H224="",LEN(TRIM('Raw Data'!H224))=0),"",IF(AND(ISNUMBER('Raw Data'!H224),'Raw Data'!H224=ROUND('Raw Data'!H224,4),IFERROR(ROUND('Raw Data'!H224,4)&lt;=99999999999.99,FALSE))=TRUE,"",_xlfn.REGEXEXTRACT(CELL("address",'Raw Data'!H224), "\$([A-Z]+)\$[0-9]+"))),_xlfn.REGEXEXTRACT(CELL("address",'Raw Data'!H224), "\$([A-Z]+)\$[0-9]+"))</f>
        <v/>
      </c>
      <c r="I224" s="6" t="str" cm="1">
        <f t="array" aca="1" ref="I224" ca="1">IFERROR(IF(OR('Raw Data'!I224="",LEN(TRIM('Raw Data'!I224))=0),"",IF(AND(ISNUMBER('Raw Data'!I224),'Raw Data'!I224=ROUND('Raw Data'!I224,4),IFERROR(ROUND('Raw Data'!I224,4)&lt;=99999999999.99,FALSE))=TRUE,"",_xlfn.REGEXEXTRACT(CELL("address",'Raw Data'!I224), "\$([A-Z]+)\$[0-9]+"))),_xlfn.REGEXEXTRACT(CELL("address",'Raw Data'!I224), "\$([A-Z]+)\$[0-9]+"))</f>
        <v/>
      </c>
      <c r="J224" s="6" t="str" cm="1">
        <f t="array" aca="1" ref="J224" ca="1">IFERROR(IF(OR('Raw Data'!J224="",LEN(TRIM('Raw Data'!J224))=0),"",IF(AND(ISNUMBER('Raw Data'!J224),'Raw Data'!J224=ROUND('Raw Data'!J224,4),IFERROR(ROUND('Raw Data'!J224,4)&lt;=99999999999.99,FALSE))=TRUE,"",_xlfn.REGEXEXTRACT(CELL("address",'Raw Data'!J224), "\$([A-Z]+)\$[0-9]+"))),_xlfn.REGEXEXTRACT(CELL("address",'Raw Data'!J224), "\$([A-Z]+)\$[0-9]+"))</f>
        <v/>
      </c>
    </row>
    <row r="225" spans="2:10" x14ac:dyDescent="0.25">
      <c r="B225" s="6" t="str" cm="1">
        <f t="array" aca="1" ref="B225" ca="1">IFERROR(IF(OR('Raw Data'!B225="",LEN(TRIM('Raw Data'!B225))=0),"",IF(AND(LEN('Raw Data'!B225) &lt;= 255,LEN('Raw Data'!B225)&gt; 0),"",_xlfn.REGEXEXTRACT(CELL("address",'Raw Data'!B225),"\$([A-Z]+)\$[0-9]+"))),_xlfn.REGEXEXTRACT(CELL("address",'Raw Data'!B225),"\$([A-Z]+)\$[0-9]+"))</f>
        <v/>
      </c>
      <c r="C225" s="6" t="str" cm="1">
        <f t="array" aca="1" ref="C225" ca="1">IFERROR(IF(OR('Raw Data'!C225="",LEN(TRIM('Raw Data'!C225))=0),"",IF(AND(LEN('Raw Data'!C225) &lt;= 20,LEN('Raw Data'!C225)&gt; 0),"",_xlfn.REGEXEXTRACT(CELL("address",'Raw Data'!C225),"\$([A-Z]+)\$[0-9]+"))),_xlfn.REGEXEXTRACT(CELL("address",'Raw Data'!C225),"\$([A-Z]+)\$[0-9]+"))</f>
        <v/>
      </c>
      <c r="D225" s="6" t="str" cm="1">
        <f t="array" aca="1" ref="D225" ca="1">IFERROR(IF(OR('Raw Data'!D225="",LEN(TRIM('Raw Data'!D225))=0),"",IF(AND(ISNUMBER('Raw Data'!D225),'Raw Data'!D225&gt;=Configuration!$D$2),"",_xlfn.REGEXEXTRACT(CELL("address",'Raw Data'!D225),"\$([A-Z]+)\$[0-9]+"))),_xlfn.REGEXEXTRACT(CELL("address",D225), "\$([A-Z]+)\$[0-9]+"))</f>
        <v/>
      </c>
      <c r="E225" s="6" t="str" cm="1">
        <f t="array" aca="1" ref="E225" ca="1">IFERROR(IF(OR('Raw Data'!E225="",LEN(TRIM('Raw Data'!E225))=0),"",IF(AND(ISNUMBER('Raw Data'!E225),'Raw Data'!E225=ROUND('Raw Data'!E225,4),IFERROR(ROUND('Raw Data'!E225,4)&lt;=99999999999.99,FALSE))=TRUE,"",_xlfn.REGEXEXTRACT(CELL("address",'Raw Data'!E225), "\$([A-Z]+)\$[0-9]+"))),_xlfn.REGEXEXTRACT(CELL("address",'Raw Data'!E225), "\$([A-Z]+)\$[0-9]+"))</f>
        <v/>
      </c>
      <c r="F225" s="6" t="str" cm="1">
        <f t="array" aca="1" ref="F225" ca="1">IFERROR(IF(OR('Raw Data'!F225="",LEN(TRIM('Raw Data'!F225))=0),"",IF(AND(ISNUMBER('Raw Data'!F225),'Raw Data'!F225=ROUND('Raw Data'!F225,4),IFERROR(ROUND('Raw Data'!F225,4)&lt;=99999999999.99,FALSE))=TRUE,"",_xlfn.REGEXEXTRACT(CELL("address",'Raw Data'!F225), "\$([A-Z]+)\$[0-9]+"))),_xlfn.REGEXEXTRACT(CELL("address",'Raw Data'!F225), "\$([A-Z]+)\$[0-9]+"))</f>
        <v/>
      </c>
      <c r="G225" s="6" t="str" cm="1">
        <f t="array" aca="1" ref="G225" ca="1">IFERROR(IF(OR('Raw Data'!G225="",LEN(TRIM('Raw Data'!G225))=0),"",IF(AND(ISNUMBER('Raw Data'!G225),'Raw Data'!G225=ROUND('Raw Data'!G225,4),IFERROR(ROUND('Raw Data'!G225,4)&lt;=99999999999.99,FALSE))=TRUE,"",_xlfn.REGEXEXTRACT(CELL("address",'Raw Data'!G225), "\$([A-Z]+)\$[0-9]+"))),_xlfn.REGEXEXTRACT(CELL("address",'Raw Data'!G225), "\$([A-Z]+)\$[0-9]+"))</f>
        <v/>
      </c>
      <c r="H225" s="6" t="str" cm="1">
        <f t="array" aca="1" ref="H225" ca="1">IFERROR(IF(OR('Raw Data'!H225="",LEN(TRIM('Raw Data'!H225))=0),"",IF(AND(ISNUMBER('Raw Data'!H225),'Raw Data'!H225=ROUND('Raw Data'!H225,4),IFERROR(ROUND('Raw Data'!H225,4)&lt;=99999999999.99,FALSE))=TRUE,"",_xlfn.REGEXEXTRACT(CELL("address",'Raw Data'!H225), "\$([A-Z]+)\$[0-9]+"))),_xlfn.REGEXEXTRACT(CELL("address",'Raw Data'!H225), "\$([A-Z]+)\$[0-9]+"))</f>
        <v/>
      </c>
      <c r="I225" s="6" t="str" cm="1">
        <f t="array" aca="1" ref="I225" ca="1">IFERROR(IF(OR('Raw Data'!I225="",LEN(TRIM('Raw Data'!I225))=0),"",IF(AND(ISNUMBER('Raw Data'!I225),'Raw Data'!I225=ROUND('Raw Data'!I225,4),IFERROR(ROUND('Raw Data'!I225,4)&lt;=99999999999.99,FALSE))=TRUE,"",_xlfn.REGEXEXTRACT(CELL("address",'Raw Data'!I225), "\$([A-Z]+)\$[0-9]+"))),_xlfn.REGEXEXTRACT(CELL("address",'Raw Data'!I225), "\$([A-Z]+)\$[0-9]+"))</f>
        <v/>
      </c>
      <c r="J225" s="6" t="str" cm="1">
        <f t="array" aca="1" ref="J225" ca="1">IFERROR(IF(OR('Raw Data'!J225="",LEN(TRIM('Raw Data'!J225))=0),"",IF(AND(ISNUMBER('Raw Data'!J225),'Raw Data'!J225=ROUND('Raw Data'!J225,4),IFERROR(ROUND('Raw Data'!J225,4)&lt;=99999999999.99,FALSE))=TRUE,"",_xlfn.REGEXEXTRACT(CELL("address",'Raw Data'!J225), "\$([A-Z]+)\$[0-9]+"))),_xlfn.REGEXEXTRACT(CELL("address",'Raw Data'!J225), "\$([A-Z]+)\$[0-9]+"))</f>
        <v/>
      </c>
    </row>
    <row r="226" spans="2:10" x14ac:dyDescent="0.25">
      <c r="B226" s="6" t="str" cm="1">
        <f t="array" aca="1" ref="B226" ca="1">IFERROR(IF(OR('Raw Data'!B226="",LEN(TRIM('Raw Data'!B226))=0),"",IF(AND(LEN('Raw Data'!B226) &lt;= 255,LEN('Raw Data'!B226)&gt; 0),"",_xlfn.REGEXEXTRACT(CELL("address",'Raw Data'!B226),"\$([A-Z]+)\$[0-9]+"))),_xlfn.REGEXEXTRACT(CELL("address",'Raw Data'!B226),"\$([A-Z]+)\$[0-9]+"))</f>
        <v/>
      </c>
      <c r="C226" s="6" t="str" cm="1">
        <f t="array" aca="1" ref="C226" ca="1">IFERROR(IF(OR('Raw Data'!C226="",LEN(TRIM('Raw Data'!C226))=0),"",IF(AND(LEN('Raw Data'!C226) &lt;= 20,LEN('Raw Data'!C226)&gt; 0),"",_xlfn.REGEXEXTRACT(CELL("address",'Raw Data'!C226),"\$([A-Z]+)\$[0-9]+"))),_xlfn.REGEXEXTRACT(CELL("address",'Raw Data'!C226),"\$([A-Z]+)\$[0-9]+"))</f>
        <v/>
      </c>
      <c r="D226" s="6" t="str" cm="1">
        <f t="array" aca="1" ref="D226" ca="1">IFERROR(IF(OR('Raw Data'!D226="",LEN(TRIM('Raw Data'!D226))=0),"",IF(AND(ISNUMBER('Raw Data'!D226),'Raw Data'!D226&gt;=Configuration!$D$2),"",_xlfn.REGEXEXTRACT(CELL("address",'Raw Data'!D226),"\$([A-Z]+)\$[0-9]+"))),_xlfn.REGEXEXTRACT(CELL("address",D226), "\$([A-Z]+)\$[0-9]+"))</f>
        <v/>
      </c>
      <c r="E226" s="6" t="str" cm="1">
        <f t="array" aca="1" ref="E226" ca="1">IFERROR(IF(OR('Raw Data'!E226="",LEN(TRIM('Raw Data'!E226))=0),"",IF(AND(ISNUMBER('Raw Data'!E226),'Raw Data'!E226=ROUND('Raw Data'!E226,4),IFERROR(ROUND('Raw Data'!E226,4)&lt;=99999999999.99,FALSE))=TRUE,"",_xlfn.REGEXEXTRACT(CELL("address",'Raw Data'!E226), "\$([A-Z]+)\$[0-9]+"))),_xlfn.REGEXEXTRACT(CELL("address",'Raw Data'!E226), "\$([A-Z]+)\$[0-9]+"))</f>
        <v/>
      </c>
      <c r="F226" s="6" t="str" cm="1">
        <f t="array" aca="1" ref="F226" ca="1">IFERROR(IF(OR('Raw Data'!F226="",LEN(TRIM('Raw Data'!F226))=0),"",IF(AND(ISNUMBER('Raw Data'!F226),'Raw Data'!F226=ROUND('Raw Data'!F226,4),IFERROR(ROUND('Raw Data'!F226,4)&lt;=99999999999.99,FALSE))=TRUE,"",_xlfn.REGEXEXTRACT(CELL("address",'Raw Data'!F226), "\$([A-Z]+)\$[0-9]+"))),_xlfn.REGEXEXTRACT(CELL("address",'Raw Data'!F226), "\$([A-Z]+)\$[0-9]+"))</f>
        <v/>
      </c>
      <c r="G226" s="6" t="str" cm="1">
        <f t="array" aca="1" ref="G226" ca="1">IFERROR(IF(OR('Raw Data'!G226="",LEN(TRIM('Raw Data'!G226))=0),"",IF(AND(ISNUMBER('Raw Data'!G226),'Raw Data'!G226=ROUND('Raw Data'!G226,4),IFERROR(ROUND('Raw Data'!G226,4)&lt;=99999999999.99,FALSE))=TRUE,"",_xlfn.REGEXEXTRACT(CELL("address",'Raw Data'!G226), "\$([A-Z]+)\$[0-9]+"))),_xlfn.REGEXEXTRACT(CELL("address",'Raw Data'!G226), "\$([A-Z]+)\$[0-9]+"))</f>
        <v/>
      </c>
      <c r="H226" s="6" t="str" cm="1">
        <f t="array" aca="1" ref="H226" ca="1">IFERROR(IF(OR('Raw Data'!H226="",LEN(TRIM('Raw Data'!H226))=0),"",IF(AND(ISNUMBER('Raw Data'!H226),'Raw Data'!H226=ROUND('Raw Data'!H226,4),IFERROR(ROUND('Raw Data'!H226,4)&lt;=99999999999.99,FALSE))=TRUE,"",_xlfn.REGEXEXTRACT(CELL("address",'Raw Data'!H226), "\$([A-Z]+)\$[0-9]+"))),_xlfn.REGEXEXTRACT(CELL("address",'Raw Data'!H226), "\$([A-Z]+)\$[0-9]+"))</f>
        <v/>
      </c>
      <c r="I226" s="6" t="str" cm="1">
        <f t="array" aca="1" ref="I226" ca="1">IFERROR(IF(OR('Raw Data'!I226="",LEN(TRIM('Raw Data'!I226))=0),"",IF(AND(ISNUMBER('Raw Data'!I226),'Raw Data'!I226=ROUND('Raw Data'!I226,4),IFERROR(ROUND('Raw Data'!I226,4)&lt;=99999999999.99,FALSE))=TRUE,"",_xlfn.REGEXEXTRACT(CELL("address",'Raw Data'!I226), "\$([A-Z]+)\$[0-9]+"))),_xlfn.REGEXEXTRACT(CELL("address",'Raw Data'!I226), "\$([A-Z]+)\$[0-9]+"))</f>
        <v/>
      </c>
      <c r="J226" s="6" t="str" cm="1">
        <f t="array" aca="1" ref="J226" ca="1">IFERROR(IF(OR('Raw Data'!J226="",LEN(TRIM('Raw Data'!J226))=0),"",IF(AND(ISNUMBER('Raw Data'!J226),'Raw Data'!J226=ROUND('Raw Data'!J226,4),IFERROR(ROUND('Raw Data'!J226,4)&lt;=99999999999.99,FALSE))=TRUE,"",_xlfn.REGEXEXTRACT(CELL("address",'Raw Data'!J226), "\$([A-Z]+)\$[0-9]+"))),_xlfn.REGEXEXTRACT(CELL("address",'Raw Data'!J226), "\$([A-Z]+)\$[0-9]+"))</f>
        <v/>
      </c>
    </row>
    <row r="227" spans="2:10" x14ac:dyDescent="0.25">
      <c r="B227" s="6" t="str" cm="1">
        <f t="array" aca="1" ref="B227" ca="1">IFERROR(IF(OR('Raw Data'!B227="",LEN(TRIM('Raw Data'!B227))=0),"",IF(AND(LEN('Raw Data'!B227) &lt;= 255,LEN('Raw Data'!B227)&gt; 0),"",_xlfn.REGEXEXTRACT(CELL("address",'Raw Data'!B227),"\$([A-Z]+)\$[0-9]+"))),_xlfn.REGEXEXTRACT(CELL("address",'Raw Data'!B227),"\$([A-Z]+)\$[0-9]+"))</f>
        <v/>
      </c>
      <c r="C227" s="6" t="str" cm="1">
        <f t="array" aca="1" ref="C227" ca="1">IFERROR(IF(OR('Raw Data'!C227="",LEN(TRIM('Raw Data'!C227))=0),"",IF(AND(LEN('Raw Data'!C227) &lt;= 20,LEN('Raw Data'!C227)&gt; 0),"",_xlfn.REGEXEXTRACT(CELL("address",'Raw Data'!C227),"\$([A-Z]+)\$[0-9]+"))),_xlfn.REGEXEXTRACT(CELL("address",'Raw Data'!C227),"\$([A-Z]+)\$[0-9]+"))</f>
        <v/>
      </c>
      <c r="D227" s="6" t="str" cm="1">
        <f t="array" aca="1" ref="D227" ca="1">IFERROR(IF(OR('Raw Data'!D227="",LEN(TRIM('Raw Data'!D227))=0),"",IF(AND(ISNUMBER('Raw Data'!D227),'Raw Data'!D227&gt;=Configuration!$D$2),"",_xlfn.REGEXEXTRACT(CELL("address",'Raw Data'!D227),"\$([A-Z]+)\$[0-9]+"))),_xlfn.REGEXEXTRACT(CELL("address",D227), "\$([A-Z]+)\$[0-9]+"))</f>
        <v/>
      </c>
      <c r="E227" s="6" t="str" cm="1">
        <f t="array" aca="1" ref="E227" ca="1">IFERROR(IF(OR('Raw Data'!E227="",LEN(TRIM('Raw Data'!E227))=0),"",IF(AND(ISNUMBER('Raw Data'!E227),'Raw Data'!E227=ROUND('Raw Data'!E227,4),IFERROR(ROUND('Raw Data'!E227,4)&lt;=99999999999.99,FALSE))=TRUE,"",_xlfn.REGEXEXTRACT(CELL("address",'Raw Data'!E227), "\$([A-Z]+)\$[0-9]+"))),_xlfn.REGEXEXTRACT(CELL("address",'Raw Data'!E227), "\$([A-Z]+)\$[0-9]+"))</f>
        <v/>
      </c>
      <c r="F227" s="6" t="str" cm="1">
        <f t="array" aca="1" ref="F227" ca="1">IFERROR(IF(OR('Raw Data'!F227="",LEN(TRIM('Raw Data'!F227))=0),"",IF(AND(ISNUMBER('Raw Data'!F227),'Raw Data'!F227=ROUND('Raw Data'!F227,4),IFERROR(ROUND('Raw Data'!F227,4)&lt;=99999999999.99,FALSE))=TRUE,"",_xlfn.REGEXEXTRACT(CELL("address",'Raw Data'!F227), "\$([A-Z]+)\$[0-9]+"))),_xlfn.REGEXEXTRACT(CELL("address",'Raw Data'!F227), "\$([A-Z]+)\$[0-9]+"))</f>
        <v/>
      </c>
      <c r="G227" s="6" t="str" cm="1">
        <f t="array" aca="1" ref="G227" ca="1">IFERROR(IF(OR('Raw Data'!G227="",LEN(TRIM('Raw Data'!G227))=0),"",IF(AND(ISNUMBER('Raw Data'!G227),'Raw Data'!G227=ROUND('Raw Data'!G227,4),IFERROR(ROUND('Raw Data'!G227,4)&lt;=99999999999.99,FALSE))=TRUE,"",_xlfn.REGEXEXTRACT(CELL("address",'Raw Data'!G227), "\$([A-Z]+)\$[0-9]+"))),_xlfn.REGEXEXTRACT(CELL("address",'Raw Data'!G227), "\$([A-Z]+)\$[0-9]+"))</f>
        <v/>
      </c>
      <c r="H227" s="6" t="str" cm="1">
        <f t="array" aca="1" ref="H227" ca="1">IFERROR(IF(OR('Raw Data'!H227="",LEN(TRIM('Raw Data'!H227))=0),"",IF(AND(ISNUMBER('Raw Data'!H227),'Raw Data'!H227=ROUND('Raw Data'!H227,4),IFERROR(ROUND('Raw Data'!H227,4)&lt;=99999999999.99,FALSE))=TRUE,"",_xlfn.REGEXEXTRACT(CELL("address",'Raw Data'!H227), "\$([A-Z]+)\$[0-9]+"))),_xlfn.REGEXEXTRACT(CELL("address",'Raw Data'!H227), "\$([A-Z]+)\$[0-9]+"))</f>
        <v/>
      </c>
      <c r="I227" s="6" t="str" cm="1">
        <f t="array" aca="1" ref="I227" ca="1">IFERROR(IF(OR('Raw Data'!I227="",LEN(TRIM('Raw Data'!I227))=0),"",IF(AND(ISNUMBER('Raw Data'!I227),'Raw Data'!I227=ROUND('Raw Data'!I227,4),IFERROR(ROUND('Raw Data'!I227,4)&lt;=99999999999.99,FALSE))=TRUE,"",_xlfn.REGEXEXTRACT(CELL("address",'Raw Data'!I227), "\$([A-Z]+)\$[0-9]+"))),_xlfn.REGEXEXTRACT(CELL("address",'Raw Data'!I227), "\$([A-Z]+)\$[0-9]+"))</f>
        <v/>
      </c>
      <c r="J227" s="6" t="str" cm="1">
        <f t="array" aca="1" ref="J227" ca="1">IFERROR(IF(OR('Raw Data'!J227="",LEN(TRIM('Raw Data'!J227))=0),"",IF(AND(ISNUMBER('Raw Data'!J227),'Raw Data'!J227=ROUND('Raw Data'!J227,4),IFERROR(ROUND('Raw Data'!J227,4)&lt;=99999999999.99,FALSE))=TRUE,"",_xlfn.REGEXEXTRACT(CELL("address",'Raw Data'!J227), "\$([A-Z]+)\$[0-9]+"))),_xlfn.REGEXEXTRACT(CELL("address",'Raw Data'!J227), "\$([A-Z]+)\$[0-9]+"))</f>
        <v/>
      </c>
    </row>
    <row r="228" spans="2:10" x14ac:dyDescent="0.25">
      <c r="B228" s="6" t="str" cm="1">
        <f t="array" aca="1" ref="B228" ca="1">IFERROR(IF(OR('Raw Data'!B228="",LEN(TRIM('Raw Data'!B228))=0),"",IF(AND(LEN('Raw Data'!B228) &lt;= 255,LEN('Raw Data'!B228)&gt; 0),"",_xlfn.REGEXEXTRACT(CELL("address",'Raw Data'!B228),"\$([A-Z]+)\$[0-9]+"))),_xlfn.REGEXEXTRACT(CELL("address",'Raw Data'!B228),"\$([A-Z]+)\$[0-9]+"))</f>
        <v/>
      </c>
      <c r="C228" s="6" t="str" cm="1">
        <f t="array" aca="1" ref="C228" ca="1">IFERROR(IF(OR('Raw Data'!C228="",LEN(TRIM('Raw Data'!C228))=0),"",IF(AND(LEN('Raw Data'!C228) &lt;= 20,LEN('Raw Data'!C228)&gt; 0),"",_xlfn.REGEXEXTRACT(CELL("address",'Raw Data'!C228),"\$([A-Z]+)\$[0-9]+"))),_xlfn.REGEXEXTRACT(CELL("address",'Raw Data'!C228),"\$([A-Z]+)\$[0-9]+"))</f>
        <v/>
      </c>
      <c r="D228" s="6" t="str" cm="1">
        <f t="array" aca="1" ref="D228" ca="1">IFERROR(IF(OR('Raw Data'!D228="",LEN(TRIM('Raw Data'!D228))=0),"",IF(AND(ISNUMBER('Raw Data'!D228),'Raw Data'!D228&gt;=Configuration!$D$2),"",_xlfn.REGEXEXTRACT(CELL("address",'Raw Data'!D228),"\$([A-Z]+)\$[0-9]+"))),_xlfn.REGEXEXTRACT(CELL("address",D228), "\$([A-Z]+)\$[0-9]+"))</f>
        <v/>
      </c>
      <c r="E228" s="6" t="str" cm="1">
        <f t="array" aca="1" ref="E228" ca="1">IFERROR(IF(OR('Raw Data'!E228="",LEN(TRIM('Raw Data'!E228))=0),"",IF(AND(ISNUMBER('Raw Data'!E228),'Raw Data'!E228=ROUND('Raw Data'!E228,4),IFERROR(ROUND('Raw Data'!E228,4)&lt;=99999999999.99,FALSE))=TRUE,"",_xlfn.REGEXEXTRACT(CELL("address",'Raw Data'!E228), "\$([A-Z]+)\$[0-9]+"))),_xlfn.REGEXEXTRACT(CELL("address",'Raw Data'!E228), "\$([A-Z]+)\$[0-9]+"))</f>
        <v/>
      </c>
      <c r="F228" s="6" t="str" cm="1">
        <f t="array" aca="1" ref="F228" ca="1">IFERROR(IF(OR('Raw Data'!F228="",LEN(TRIM('Raw Data'!F228))=0),"",IF(AND(ISNUMBER('Raw Data'!F228),'Raw Data'!F228=ROUND('Raw Data'!F228,4),IFERROR(ROUND('Raw Data'!F228,4)&lt;=99999999999.99,FALSE))=TRUE,"",_xlfn.REGEXEXTRACT(CELL("address",'Raw Data'!F228), "\$([A-Z]+)\$[0-9]+"))),_xlfn.REGEXEXTRACT(CELL("address",'Raw Data'!F228), "\$([A-Z]+)\$[0-9]+"))</f>
        <v/>
      </c>
      <c r="G228" s="6" t="str" cm="1">
        <f t="array" aca="1" ref="G228" ca="1">IFERROR(IF(OR('Raw Data'!G228="",LEN(TRIM('Raw Data'!G228))=0),"",IF(AND(ISNUMBER('Raw Data'!G228),'Raw Data'!G228=ROUND('Raw Data'!G228,4),IFERROR(ROUND('Raw Data'!G228,4)&lt;=99999999999.99,FALSE))=TRUE,"",_xlfn.REGEXEXTRACT(CELL("address",'Raw Data'!G228), "\$([A-Z]+)\$[0-9]+"))),_xlfn.REGEXEXTRACT(CELL("address",'Raw Data'!G228), "\$([A-Z]+)\$[0-9]+"))</f>
        <v/>
      </c>
      <c r="H228" s="6" t="str" cm="1">
        <f t="array" aca="1" ref="H228" ca="1">IFERROR(IF(OR('Raw Data'!H228="",LEN(TRIM('Raw Data'!H228))=0),"",IF(AND(ISNUMBER('Raw Data'!H228),'Raw Data'!H228=ROUND('Raw Data'!H228,4),IFERROR(ROUND('Raw Data'!H228,4)&lt;=99999999999.99,FALSE))=TRUE,"",_xlfn.REGEXEXTRACT(CELL("address",'Raw Data'!H228), "\$([A-Z]+)\$[0-9]+"))),_xlfn.REGEXEXTRACT(CELL("address",'Raw Data'!H228), "\$([A-Z]+)\$[0-9]+"))</f>
        <v/>
      </c>
      <c r="I228" s="6" t="str" cm="1">
        <f t="array" aca="1" ref="I228" ca="1">IFERROR(IF(OR('Raw Data'!I228="",LEN(TRIM('Raw Data'!I228))=0),"",IF(AND(ISNUMBER('Raw Data'!I228),'Raw Data'!I228=ROUND('Raw Data'!I228,4),IFERROR(ROUND('Raw Data'!I228,4)&lt;=99999999999.99,FALSE))=TRUE,"",_xlfn.REGEXEXTRACT(CELL("address",'Raw Data'!I228), "\$([A-Z]+)\$[0-9]+"))),_xlfn.REGEXEXTRACT(CELL("address",'Raw Data'!I228), "\$([A-Z]+)\$[0-9]+"))</f>
        <v/>
      </c>
      <c r="J228" s="6" t="str" cm="1">
        <f t="array" aca="1" ref="J228" ca="1">IFERROR(IF(OR('Raw Data'!J228="",LEN(TRIM('Raw Data'!J228))=0),"",IF(AND(ISNUMBER('Raw Data'!J228),'Raw Data'!J228=ROUND('Raw Data'!J228,4),IFERROR(ROUND('Raw Data'!J228,4)&lt;=99999999999.99,FALSE))=TRUE,"",_xlfn.REGEXEXTRACT(CELL("address",'Raw Data'!J228), "\$([A-Z]+)\$[0-9]+"))),_xlfn.REGEXEXTRACT(CELL("address",'Raw Data'!J228), "\$([A-Z]+)\$[0-9]+"))</f>
        <v/>
      </c>
    </row>
    <row r="229" spans="2:10" x14ac:dyDescent="0.25">
      <c r="B229" s="6" t="str" cm="1">
        <f t="array" aca="1" ref="B229" ca="1">IFERROR(IF(OR('Raw Data'!B229="",LEN(TRIM('Raw Data'!B229))=0),"",IF(AND(LEN('Raw Data'!B229) &lt;= 255,LEN('Raw Data'!B229)&gt; 0),"",_xlfn.REGEXEXTRACT(CELL("address",'Raw Data'!B229),"\$([A-Z]+)\$[0-9]+"))),_xlfn.REGEXEXTRACT(CELL("address",'Raw Data'!B229),"\$([A-Z]+)\$[0-9]+"))</f>
        <v/>
      </c>
      <c r="C229" s="6" t="str" cm="1">
        <f t="array" aca="1" ref="C229" ca="1">IFERROR(IF(OR('Raw Data'!C229="",LEN(TRIM('Raw Data'!C229))=0),"",IF(AND(LEN('Raw Data'!C229) &lt;= 20,LEN('Raw Data'!C229)&gt; 0),"",_xlfn.REGEXEXTRACT(CELL("address",'Raw Data'!C229),"\$([A-Z]+)\$[0-9]+"))),_xlfn.REGEXEXTRACT(CELL("address",'Raw Data'!C229),"\$([A-Z]+)\$[0-9]+"))</f>
        <v/>
      </c>
      <c r="D229" s="6" t="str" cm="1">
        <f t="array" aca="1" ref="D229" ca="1">IFERROR(IF(OR('Raw Data'!D229="",LEN(TRIM('Raw Data'!D229))=0),"",IF(AND(ISNUMBER('Raw Data'!D229),'Raw Data'!D229&gt;=Configuration!$D$2),"",_xlfn.REGEXEXTRACT(CELL("address",'Raw Data'!D229),"\$([A-Z]+)\$[0-9]+"))),_xlfn.REGEXEXTRACT(CELL("address",D229), "\$([A-Z]+)\$[0-9]+"))</f>
        <v/>
      </c>
      <c r="E229" s="6" t="str" cm="1">
        <f t="array" aca="1" ref="E229" ca="1">IFERROR(IF(OR('Raw Data'!E229="",LEN(TRIM('Raw Data'!E229))=0),"",IF(AND(ISNUMBER('Raw Data'!E229),'Raw Data'!E229=ROUND('Raw Data'!E229,4),IFERROR(ROUND('Raw Data'!E229,4)&lt;=99999999999.99,FALSE))=TRUE,"",_xlfn.REGEXEXTRACT(CELL("address",'Raw Data'!E229), "\$([A-Z]+)\$[0-9]+"))),_xlfn.REGEXEXTRACT(CELL("address",'Raw Data'!E229), "\$([A-Z]+)\$[0-9]+"))</f>
        <v/>
      </c>
      <c r="F229" s="6" t="str" cm="1">
        <f t="array" aca="1" ref="F229" ca="1">IFERROR(IF(OR('Raw Data'!F229="",LEN(TRIM('Raw Data'!F229))=0),"",IF(AND(ISNUMBER('Raw Data'!F229),'Raw Data'!F229=ROUND('Raw Data'!F229,4),IFERROR(ROUND('Raw Data'!F229,4)&lt;=99999999999.99,FALSE))=TRUE,"",_xlfn.REGEXEXTRACT(CELL("address",'Raw Data'!F229), "\$([A-Z]+)\$[0-9]+"))),_xlfn.REGEXEXTRACT(CELL("address",'Raw Data'!F229), "\$([A-Z]+)\$[0-9]+"))</f>
        <v/>
      </c>
      <c r="G229" s="6" t="str" cm="1">
        <f t="array" aca="1" ref="G229" ca="1">IFERROR(IF(OR('Raw Data'!G229="",LEN(TRIM('Raw Data'!G229))=0),"",IF(AND(ISNUMBER('Raw Data'!G229),'Raw Data'!G229=ROUND('Raw Data'!G229,4),IFERROR(ROUND('Raw Data'!G229,4)&lt;=99999999999.99,FALSE))=TRUE,"",_xlfn.REGEXEXTRACT(CELL("address",'Raw Data'!G229), "\$([A-Z]+)\$[0-9]+"))),_xlfn.REGEXEXTRACT(CELL("address",'Raw Data'!G229), "\$([A-Z]+)\$[0-9]+"))</f>
        <v/>
      </c>
      <c r="H229" s="6" t="str" cm="1">
        <f t="array" aca="1" ref="H229" ca="1">IFERROR(IF(OR('Raw Data'!H229="",LEN(TRIM('Raw Data'!H229))=0),"",IF(AND(ISNUMBER('Raw Data'!H229),'Raw Data'!H229=ROUND('Raw Data'!H229,4),IFERROR(ROUND('Raw Data'!H229,4)&lt;=99999999999.99,FALSE))=TRUE,"",_xlfn.REGEXEXTRACT(CELL("address",'Raw Data'!H229), "\$([A-Z]+)\$[0-9]+"))),_xlfn.REGEXEXTRACT(CELL("address",'Raw Data'!H229), "\$([A-Z]+)\$[0-9]+"))</f>
        <v/>
      </c>
      <c r="I229" s="6" t="str" cm="1">
        <f t="array" aca="1" ref="I229" ca="1">IFERROR(IF(OR('Raw Data'!I229="",LEN(TRIM('Raw Data'!I229))=0),"",IF(AND(ISNUMBER('Raw Data'!I229),'Raw Data'!I229=ROUND('Raw Data'!I229,4),IFERROR(ROUND('Raw Data'!I229,4)&lt;=99999999999.99,FALSE))=TRUE,"",_xlfn.REGEXEXTRACT(CELL("address",'Raw Data'!I229), "\$([A-Z]+)\$[0-9]+"))),_xlfn.REGEXEXTRACT(CELL("address",'Raw Data'!I229), "\$([A-Z]+)\$[0-9]+"))</f>
        <v/>
      </c>
      <c r="J229" s="6" t="str" cm="1">
        <f t="array" aca="1" ref="J229" ca="1">IFERROR(IF(OR('Raw Data'!J229="",LEN(TRIM('Raw Data'!J229))=0),"",IF(AND(ISNUMBER('Raw Data'!J229),'Raw Data'!J229=ROUND('Raw Data'!J229,4),IFERROR(ROUND('Raw Data'!J229,4)&lt;=99999999999.99,FALSE))=TRUE,"",_xlfn.REGEXEXTRACT(CELL("address",'Raw Data'!J229), "\$([A-Z]+)\$[0-9]+"))),_xlfn.REGEXEXTRACT(CELL("address",'Raw Data'!J229), "\$([A-Z]+)\$[0-9]+"))</f>
        <v/>
      </c>
    </row>
    <row r="230" spans="2:10" x14ac:dyDescent="0.25">
      <c r="B230" s="6" t="str" cm="1">
        <f t="array" aca="1" ref="B230" ca="1">IFERROR(IF(OR('Raw Data'!B230="",LEN(TRIM('Raw Data'!B230))=0),"",IF(AND(LEN('Raw Data'!B230) &lt;= 255,LEN('Raw Data'!B230)&gt; 0),"",_xlfn.REGEXEXTRACT(CELL("address",'Raw Data'!B230),"\$([A-Z]+)\$[0-9]+"))),_xlfn.REGEXEXTRACT(CELL("address",'Raw Data'!B230),"\$([A-Z]+)\$[0-9]+"))</f>
        <v/>
      </c>
      <c r="C230" s="6" t="str" cm="1">
        <f t="array" aca="1" ref="C230" ca="1">IFERROR(IF(OR('Raw Data'!C230="",LEN(TRIM('Raw Data'!C230))=0),"",IF(AND(LEN('Raw Data'!C230) &lt;= 20,LEN('Raw Data'!C230)&gt; 0),"",_xlfn.REGEXEXTRACT(CELL("address",'Raw Data'!C230),"\$([A-Z]+)\$[0-9]+"))),_xlfn.REGEXEXTRACT(CELL("address",'Raw Data'!C230),"\$([A-Z]+)\$[0-9]+"))</f>
        <v/>
      </c>
      <c r="D230" s="6" t="str" cm="1">
        <f t="array" aca="1" ref="D230" ca="1">IFERROR(IF(OR('Raw Data'!D230="",LEN(TRIM('Raw Data'!D230))=0),"",IF(AND(ISNUMBER('Raw Data'!D230),'Raw Data'!D230&gt;=Configuration!$D$2),"",_xlfn.REGEXEXTRACT(CELL("address",'Raw Data'!D230),"\$([A-Z]+)\$[0-9]+"))),_xlfn.REGEXEXTRACT(CELL("address",D230), "\$([A-Z]+)\$[0-9]+"))</f>
        <v/>
      </c>
      <c r="E230" s="6" t="str" cm="1">
        <f t="array" aca="1" ref="E230" ca="1">IFERROR(IF(OR('Raw Data'!E230="",LEN(TRIM('Raw Data'!E230))=0),"",IF(AND(ISNUMBER('Raw Data'!E230),'Raw Data'!E230=ROUND('Raw Data'!E230,4),IFERROR(ROUND('Raw Data'!E230,4)&lt;=99999999999.99,FALSE))=TRUE,"",_xlfn.REGEXEXTRACT(CELL("address",'Raw Data'!E230), "\$([A-Z]+)\$[0-9]+"))),_xlfn.REGEXEXTRACT(CELL("address",'Raw Data'!E230), "\$([A-Z]+)\$[0-9]+"))</f>
        <v/>
      </c>
      <c r="F230" s="6" t="str" cm="1">
        <f t="array" aca="1" ref="F230" ca="1">IFERROR(IF(OR('Raw Data'!F230="",LEN(TRIM('Raw Data'!F230))=0),"",IF(AND(ISNUMBER('Raw Data'!F230),'Raw Data'!F230=ROUND('Raw Data'!F230,4),IFERROR(ROUND('Raw Data'!F230,4)&lt;=99999999999.99,FALSE))=TRUE,"",_xlfn.REGEXEXTRACT(CELL("address",'Raw Data'!F230), "\$([A-Z]+)\$[0-9]+"))),_xlfn.REGEXEXTRACT(CELL("address",'Raw Data'!F230), "\$([A-Z]+)\$[0-9]+"))</f>
        <v/>
      </c>
      <c r="G230" s="6" t="str" cm="1">
        <f t="array" aca="1" ref="G230" ca="1">IFERROR(IF(OR('Raw Data'!G230="",LEN(TRIM('Raw Data'!G230))=0),"",IF(AND(ISNUMBER('Raw Data'!G230),'Raw Data'!G230=ROUND('Raw Data'!G230,4),IFERROR(ROUND('Raw Data'!G230,4)&lt;=99999999999.99,FALSE))=TRUE,"",_xlfn.REGEXEXTRACT(CELL("address",'Raw Data'!G230), "\$([A-Z]+)\$[0-9]+"))),_xlfn.REGEXEXTRACT(CELL("address",'Raw Data'!G230), "\$([A-Z]+)\$[0-9]+"))</f>
        <v/>
      </c>
      <c r="H230" s="6" t="str" cm="1">
        <f t="array" aca="1" ref="H230" ca="1">IFERROR(IF(OR('Raw Data'!H230="",LEN(TRIM('Raw Data'!H230))=0),"",IF(AND(ISNUMBER('Raw Data'!H230),'Raw Data'!H230=ROUND('Raw Data'!H230,4),IFERROR(ROUND('Raw Data'!H230,4)&lt;=99999999999.99,FALSE))=TRUE,"",_xlfn.REGEXEXTRACT(CELL("address",'Raw Data'!H230), "\$([A-Z]+)\$[0-9]+"))),_xlfn.REGEXEXTRACT(CELL("address",'Raw Data'!H230), "\$([A-Z]+)\$[0-9]+"))</f>
        <v/>
      </c>
      <c r="I230" s="6" t="str" cm="1">
        <f t="array" aca="1" ref="I230" ca="1">IFERROR(IF(OR('Raw Data'!I230="",LEN(TRIM('Raw Data'!I230))=0),"",IF(AND(ISNUMBER('Raw Data'!I230),'Raw Data'!I230=ROUND('Raw Data'!I230,4),IFERROR(ROUND('Raw Data'!I230,4)&lt;=99999999999.99,FALSE))=TRUE,"",_xlfn.REGEXEXTRACT(CELL("address",'Raw Data'!I230), "\$([A-Z]+)\$[0-9]+"))),_xlfn.REGEXEXTRACT(CELL("address",'Raw Data'!I230), "\$([A-Z]+)\$[0-9]+"))</f>
        <v/>
      </c>
      <c r="J230" s="6" t="str" cm="1">
        <f t="array" aca="1" ref="J230" ca="1">IFERROR(IF(OR('Raw Data'!J230="",LEN(TRIM('Raw Data'!J230))=0),"",IF(AND(ISNUMBER('Raw Data'!J230),'Raw Data'!J230=ROUND('Raw Data'!J230,4),IFERROR(ROUND('Raw Data'!J230,4)&lt;=99999999999.99,FALSE))=TRUE,"",_xlfn.REGEXEXTRACT(CELL("address",'Raw Data'!J230), "\$([A-Z]+)\$[0-9]+"))),_xlfn.REGEXEXTRACT(CELL("address",'Raw Data'!J230), "\$([A-Z]+)\$[0-9]+"))</f>
        <v/>
      </c>
    </row>
    <row r="231" spans="2:10" x14ac:dyDescent="0.25">
      <c r="B231" s="6" t="str" cm="1">
        <f t="array" aca="1" ref="B231" ca="1">IFERROR(IF(OR('Raw Data'!B231="",LEN(TRIM('Raw Data'!B231))=0),"",IF(AND(LEN('Raw Data'!B231) &lt;= 255,LEN('Raw Data'!B231)&gt; 0),"",_xlfn.REGEXEXTRACT(CELL("address",'Raw Data'!B231),"\$([A-Z]+)\$[0-9]+"))),_xlfn.REGEXEXTRACT(CELL("address",'Raw Data'!B231),"\$([A-Z]+)\$[0-9]+"))</f>
        <v/>
      </c>
      <c r="C231" s="6" t="str" cm="1">
        <f t="array" aca="1" ref="C231" ca="1">IFERROR(IF(OR('Raw Data'!C231="",LEN(TRIM('Raw Data'!C231))=0),"",IF(AND(LEN('Raw Data'!C231) &lt;= 20,LEN('Raw Data'!C231)&gt; 0),"",_xlfn.REGEXEXTRACT(CELL("address",'Raw Data'!C231),"\$([A-Z]+)\$[0-9]+"))),_xlfn.REGEXEXTRACT(CELL("address",'Raw Data'!C231),"\$([A-Z]+)\$[0-9]+"))</f>
        <v/>
      </c>
      <c r="D231" s="6" t="str" cm="1">
        <f t="array" aca="1" ref="D231" ca="1">IFERROR(IF(OR('Raw Data'!D231="",LEN(TRIM('Raw Data'!D231))=0),"",IF(AND(ISNUMBER('Raw Data'!D231),'Raw Data'!D231&gt;=Configuration!$D$2),"",_xlfn.REGEXEXTRACT(CELL("address",'Raw Data'!D231),"\$([A-Z]+)\$[0-9]+"))),_xlfn.REGEXEXTRACT(CELL("address",D231), "\$([A-Z]+)\$[0-9]+"))</f>
        <v/>
      </c>
      <c r="E231" s="6" t="str" cm="1">
        <f t="array" aca="1" ref="E231" ca="1">IFERROR(IF(OR('Raw Data'!E231="",LEN(TRIM('Raw Data'!E231))=0),"",IF(AND(ISNUMBER('Raw Data'!E231),'Raw Data'!E231=ROUND('Raw Data'!E231,4),IFERROR(ROUND('Raw Data'!E231,4)&lt;=99999999999.99,FALSE))=TRUE,"",_xlfn.REGEXEXTRACT(CELL("address",'Raw Data'!E231), "\$([A-Z]+)\$[0-9]+"))),_xlfn.REGEXEXTRACT(CELL("address",'Raw Data'!E231), "\$([A-Z]+)\$[0-9]+"))</f>
        <v/>
      </c>
      <c r="F231" s="6" t="str" cm="1">
        <f t="array" aca="1" ref="F231" ca="1">IFERROR(IF(OR('Raw Data'!F231="",LEN(TRIM('Raw Data'!F231))=0),"",IF(AND(ISNUMBER('Raw Data'!F231),'Raw Data'!F231=ROUND('Raw Data'!F231,4),IFERROR(ROUND('Raw Data'!F231,4)&lt;=99999999999.99,FALSE))=TRUE,"",_xlfn.REGEXEXTRACT(CELL("address",'Raw Data'!F231), "\$([A-Z]+)\$[0-9]+"))),_xlfn.REGEXEXTRACT(CELL("address",'Raw Data'!F231), "\$([A-Z]+)\$[0-9]+"))</f>
        <v/>
      </c>
      <c r="G231" s="6" t="str" cm="1">
        <f t="array" aca="1" ref="G231" ca="1">IFERROR(IF(OR('Raw Data'!G231="",LEN(TRIM('Raw Data'!G231))=0),"",IF(AND(ISNUMBER('Raw Data'!G231),'Raw Data'!G231=ROUND('Raw Data'!G231,4),IFERROR(ROUND('Raw Data'!G231,4)&lt;=99999999999.99,FALSE))=TRUE,"",_xlfn.REGEXEXTRACT(CELL("address",'Raw Data'!G231), "\$([A-Z]+)\$[0-9]+"))),_xlfn.REGEXEXTRACT(CELL("address",'Raw Data'!G231), "\$([A-Z]+)\$[0-9]+"))</f>
        <v/>
      </c>
      <c r="H231" s="6" t="str" cm="1">
        <f t="array" aca="1" ref="H231" ca="1">IFERROR(IF(OR('Raw Data'!H231="",LEN(TRIM('Raw Data'!H231))=0),"",IF(AND(ISNUMBER('Raw Data'!H231),'Raw Data'!H231=ROUND('Raw Data'!H231,4),IFERROR(ROUND('Raw Data'!H231,4)&lt;=99999999999.99,FALSE))=TRUE,"",_xlfn.REGEXEXTRACT(CELL("address",'Raw Data'!H231), "\$([A-Z]+)\$[0-9]+"))),_xlfn.REGEXEXTRACT(CELL("address",'Raw Data'!H231), "\$([A-Z]+)\$[0-9]+"))</f>
        <v/>
      </c>
      <c r="I231" s="6" t="str" cm="1">
        <f t="array" aca="1" ref="I231" ca="1">IFERROR(IF(OR('Raw Data'!I231="",LEN(TRIM('Raw Data'!I231))=0),"",IF(AND(ISNUMBER('Raw Data'!I231),'Raw Data'!I231=ROUND('Raw Data'!I231,4),IFERROR(ROUND('Raw Data'!I231,4)&lt;=99999999999.99,FALSE))=TRUE,"",_xlfn.REGEXEXTRACT(CELL("address",'Raw Data'!I231), "\$([A-Z]+)\$[0-9]+"))),_xlfn.REGEXEXTRACT(CELL("address",'Raw Data'!I231), "\$([A-Z]+)\$[0-9]+"))</f>
        <v/>
      </c>
      <c r="J231" s="6" t="str" cm="1">
        <f t="array" aca="1" ref="J231" ca="1">IFERROR(IF(OR('Raw Data'!J231="",LEN(TRIM('Raw Data'!J231))=0),"",IF(AND(ISNUMBER('Raw Data'!J231),'Raw Data'!J231=ROUND('Raw Data'!J231,4),IFERROR(ROUND('Raw Data'!J231,4)&lt;=99999999999.99,FALSE))=TRUE,"",_xlfn.REGEXEXTRACT(CELL("address",'Raw Data'!J231), "\$([A-Z]+)\$[0-9]+"))),_xlfn.REGEXEXTRACT(CELL("address",'Raw Data'!J231), "\$([A-Z]+)\$[0-9]+"))</f>
        <v/>
      </c>
    </row>
    <row r="232" spans="2:10" x14ac:dyDescent="0.25">
      <c r="B232" s="6" t="str" cm="1">
        <f t="array" aca="1" ref="B232" ca="1">IFERROR(IF(OR('Raw Data'!B232="",LEN(TRIM('Raw Data'!B232))=0),"",IF(AND(LEN('Raw Data'!B232) &lt;= 255,LEN('Raw Data'!B232)&gt; 0),"",_xlfn.REGEXEXTRACT(CELL("address",'Raw Data'!B232),"\$([A-Z]+)\$[0-9]+"))),_xlfn.REGEXEXTRACT(CELL("address",'Raw Data'!B232),"\$([A-Z]+)\$[0-9]+"))</f>
        <v/>
      </c>
      <c r="C232" s="6" t="str" cm="1">
        <f t="array" aca="1" ref="C232" ca="1">IFERROR(IF(OR('Raw Data'!C232="",LEN(TRIM('Raw Data'!C232))=0),"",IF(AND(LEN('Raw Data'!C232) &lt;= 20,LEN('Raw Data'!C232)&gt; 0),"",_xlfn.REGEXEXTRACT(CELL("address",'Raw Data'!C232),"\$([A-Z]+)\$[0-9]+"))),_xlfn.REGEXEXTRACT(CELL("address",'Raw Data'!C232),"\$([A-Z]+)\$[0-9]+"))</f>
        <v/>
      </c>
      <c r="D232" s="6" t="str" cm="1">
        <f t="array" aca="1" ref="D232" ca="1">IFERROR(IF(OR('Raw Data'!D232="",LEN(TRIM('Raw Data'!D232))=0),"",IF(AND(ISNUMBER('Raw Data'!D232),'Raw Data'!D232&gt;=Configuration!$D$2),"",_xlfn.REGEXEXTRACT(CELL("address",'Raw Data'!D232),"\$([A-Z]+)\$[0-9]+"))),_xlfn.REGEXEXTRACT(CELL("address",D232), "\$([A-Z]+)\$[0-9]+"))</f>
        <v/>
      </c>
      <c r="E232" s="6" t="str" cm="1">
        <f t="array" aca="1" ref="E232" ca="1">IFERROR(IF(OR('Raw Data'!E232="",LEN(TRIM('Raw Data'!E232))=0),"",IF(AND(ISNUMBER('Raw Data'!E232),'Raw Data'!E232=ROUND('Raw Data'!E232,4),IFERROR(ROUND('Raw Data'!E232,4)&lt;=99999999999.99,FALSE))=TRUE,"",_xlfn.REGEXEXTRACT(CELL("address",'Raw Data'!E232), "\$([A-Z]+)\$[0-9]+"))),_xlfn.REGEXEXTRACT(CELL("address",'Raw Data'!E232), "\$([A-Z]+)\$[0-9]+"))</f>
        <v/>
      </c>
      <c r="F232" s="6" t="str" cm="1">
        <f t="array" aca="1" ref="F232" ca="1">IFERROR(IF(OR('Raw Data'!F232="",LEN(TRIM('Raw Data'!F232))=0),"",IF(AND(ISNUMBER('Raw Data'!F232),'Raw Data'!F232=ROUND('Raw Data'!F232,4),IFERROR(ROUND('Raw Data'!F232,4)&lt;=99999999999.99,FALSE))=TRUE,"",_xlfn.REGEXEXTRACT(CELL("address",'Raw Data'!F232), "\$([A-Z]+)\$[0-9]+"))),_xlfn.REGEXEXTRACT(CELL("address",'Raw Data'!F232), "\$([A-Z]+)\$[0-9]+"))</f>
        <v/>
      </c>
      <c r="G232" s="6" t="str" cm="1">
        <f t="array" aca="1" ref="G232" ca="1">IFERROR(IF(OR('Raw Data'!G232="",LEN(TRIM('Raw Data'!G232))=0),"",IF(AND(ISNUMBER('Raw Data'!G232),'Raw Data'!G232=ROUND('Raw Data'!G232,4),IFERROR(ROUND('Raw Data'!G232,4)&lt;=99999999999.99,FALSE))=TRUE,"",_xlfn.REGEXEXTRACT(CELL("address",'Raw Data'!G232), "\$([A-Z]+)\$[0-9]+"))),_xlfn.REGEXEXTRACT(CELL("address",'Raw Data'!G232), "\$([A-Z]+)\$[0-9]+"))</f>
        <v/>
      </c>
      <c r="H232" s="6" t="str" cm="1">
        <f t="array" aca="1" ref="H232" ca="1">IFERROR(IF(OR('Raw Data'!H232="",LEN(TRIM('Raw Data'!H232))=0),"",IF(AND(ISNUMBER('Raw Data'!H232),'Raw Data'!H232=ROUND('Raw Data'!H232,4),IFERROR(ROUND('Raw Data'!H232,4)&lt;=99999999999.99,FALSE))=TRUE,"",_xlfn.REGEXEXTRACT(CELL("address",'Raw Data'!H232), "\$([A-Z]+)\$[0-9]+"))),_xlfn.REGEXEXTRACT(CELL("address",'Raw Data'!H232), "\$([A-Z]+)\$[0-9]+"))</f>
        <v/>
      </c>
      <c r="I232" s="6" t="str" cm="1">
        <f t="array" aca="1" ref="I232" ca="1">IFERROR(IF(OR('Raw Data'!I232="",LEN(TRIM('Raw Data'!I232))=0),"",IF(AND(ISNUMBER('Raw Data'!I232),'Raw Data'!I232=ROUND('Raw Data'!I232,4),IFERROR(ROUND('Raw Data'!I232,4)&lt;=99999999999.99,FALSE))=TRUE,"",_xlfn.REGEXEXTRACT(CELL("address",'Raw Data'!I232), "\$([A-Z]+)\$[0-9]+"))),_xlfn.REGEXEXTRACT(CELL("address",'Raw Data'!I232), "\$([A-Z]+)\$[0-9]+"))</f>
        <v/>
      </c>
      <c r="J232" s="6" t="str" cm="1">
        <f t="array" aca="1" ref="J232" ca="1">IFERROR(IF(OR('Raw Data'!J232="",LEN(TRIM('Raw Data'!J232))=0),"",IF(AND(ISNUMBER('Raw Data'!J232),'Raw Data'!J232=ROUND('Raw Data'!J232,4),IFERROR(ROUND('Raw Data'!J232,4)&lt;=99999999999.99,FALSE))=TRUE,"",_xlfn.REGEXEXTRACT(CELL("address",'Raw Data'!J232), "\$([A-Z]+)\$[0-9]+"))),_xlfn.REGEXEXTRACT(CELL("address",'Raw Data'!J232), "\$([A-Z]+)\$[0-9]+"))</f>
        <v/>
      </c>
    </row>
    <row r="233" spans="2:10" x14ac:dyDescent="0.25">
      <c r="B233" s="6" t="str" cm="1">
        <f t="array" aca="1" ref="B233" ca="1">IFERROR(IF(OR('Raw Data'!B233="",LEN(TRIM('Raw Data'!B233))=0),"",IF(AND(LEN('Raw Data'!B233) &lt;= 255,LEN('Raw Data'!B233)&gt; 0),"",_xlfn.REGEXEXTRACT(CELL("address",'Raw Data'!B233),"\$([A-Z]+)\$[0-9]+"))),_xlfn.REGEXEXTRACT(CELL("address",'Raw Data'!B233),"\$([A-Z]+)\$[0-9]+"))</f>
        <v/>
      </c>
      <c r="C233" s="6" t="str" cm="1">
        <f t="array" aca="1" ref="C233" ca="1">IFERROR(IF(OR('Raw Data'!C233="",LEN(TRIM('Raw Data'!C233))=0),"",IF(AND(LEN('Raw Data'!C233) &lt;= 20,LEN('Raw Data'!C233)&gt; 0),"",_xlfn.REGEXEXTRACT(CELL("address",'Raw Data'!C233),"\$([A-Z]+)\$[0-9]+"))),_xlfn.REGEXEXTRACT(CELL("address",'Raw Data'!C233),"\$([A-Z]+)\$[0-9]+"))</f>
        <v/>
      </c>
      <c r="D233" s="6" t="str" cm="1">
        <f t="array" aca="1" ref="D233" ca="1">IFERROR(IF(OR('Raw Data'!D233="",LEN(TRIM('Raw Data'!D233))=0),"",IF(AND(ISNUMBER('Raw Data'!D233),'Raw Data'!D233&gt;=Configuration!$D$2),"",_xlfn.REGEXEXTRACT(CELL("address",'Raw Data'!D233),"\$([A-Z]+)\$[0-9]+"))),_xlfn.REGEXEXTRACT(CELL("address",D233), "\$([A-Z]+)\$[0-9]+"))</f>
        <v/>
      </c>
      <c r="E233" s="6" t="str" cm="1">
        <f t="array" aca="1" ref="E233" ca="1">IFERROR(IF(OR('Raw Data'!E233="",LEN(TRIM('Raw Data'!E233))=0),"",IF(AND(ISNUMBER('Raw Data'!E233),'Raw Data'!E233=ROUND('Raw Data'!E233,4),IFERROR(ROUND('Raw Data'!E233,4)&lt;=99999999999.99,FALSE))=TRUE,"",_xlfn.REGEXEXTRACT(CELL("address",'Raw Data'!E233), "\$([A-Z]+)\$[0-9]+"))),_xlfn.REGEXEXTRACT(CELL("address",'Raw Data'!E233), "\$([A-Z]+)\$[0-9]+"))</f>
        <v/>
      </c>
      <c r="F233" s="6" t="str" cm="1">
        <f t="array" aca="1" ref="F233" ca="1">IFERROR(IF(OR('Raw Data'!F233="",LEN(TRIM('Raw Data'!F233))=0),"",IF(AND(ISNUMBER('Raw Data'!F233),'Raw Data'!F233=ROUND('Raw Data'!F233,4),IFERROR(ROUND('Raw Data'!F233,4)&lt;=99999999999.99,FALSE))=TRUE,"",_xlfn.REGEXEXTRACT(CELL("address",'Raw Data'!F233), "\$([A-Z]+)\$[0-9]+"))),_xlfn.REGEXEXTRACT(CELL("address",'Raw Data'!F233), "\$([A-Z]+)\$[0-9]+"))</f>
        <v/>
      </c>
      <c r="G233" s="6" t="str" cm="1">
        <f t="array" aca="1" ref="G233" ca="1">IFERROR(IF(OR('Raw Data'!G233="",LEN(TRIM('Raw Data'!G233))=0),"",IF(AND(ISNUMBER('Raw Data'!G233),'Raw Data'!G233=ROUND('Raw Data'!G233,4),IFERROR(ROUND('Raw Data'!G233,4)&lt;=99999999999.99,FALSE))=TRUE,"",_xlfn.REGEXEXTRACT(CELL("address",'Raw Data'!G233), "\$([A-Z]+)\$[0-9]+"))),_xlfn.REGEXEXTRACT(CELL("address",'Raw Data'!G233), "\$([A-Z]+)\$[0-9]+"))</f>
        <v/>
      </c>
      <c r="H233" s="6" t="str" cm="1">
        <f t="array" aca="1" ref="H233" ca="1">IFERROR(IF(OR('Raw Data'!H233="",LEN(TRIM('Raw Data'!H233))=0),"",IF(AND(ISNUMBER('Raw Data'!H233),'Raw Data'!H233=ROUND('Raw Data'!H233,4),IFERROR(ROUND('Raw Data'!H233,4)&lt;=99999999999.99,FALSE))=TRUE,"",_xlfn.REGEXEXTRACT(CELL("address",'Raw Data'!H233), "\$([A-Z]+)\$[0-9]+"))),_xlfn.REGEXEXTRACT(CELL("address",'Raw Data'!H233), "\$([A-Z]+)\$[0-9]+"))</f>
        <v/>
      </c>
      <c r="I233" s="6" t="str" cm="1">
        <f t="array" aca="1" ref="I233" ca="1">IFERROR(IF(OR('Raw Data'!I233="",LEN(TRIM('Raw Data'!I233))=0),"",IF(AND(ISNUMBER('Raw Data'!I233),'Raw Data'!I233=ROUND('Raw Data'!I233,4),IFERROR(ROUND('Raw Data'!I233,4)&lt;=99999999999.99,FALSE))=TRUE,"",_xlfn.REGEXEXTRACT(CELL("address",'Raw Data'!I233), "\$([A-Z]+)\$[0-9]+"))),_xlfn.REGEXEXTRACT(CELL("address",'Raw Data'!I233), "\$([A-Z]+)\$[0-9]+"))</f>
        <v/>
      </c>
      <c r="J233" s="6" t="str" cm="1">
        <f t="array" aca="1" ref="J233" ca="1">IFERROR(IF(OR('Raw Data'!J233="",LEN(TRIM('Raw Data'!J233))=0),"",IF(AND(ISNUMBER('Raw Data'!J233),'Raw Data'!J233=ROUND('Raw Data'!J233,4),IFERROR(ROUND('Raw Data'!J233,4)&lt;=99999999999.99,FALSE))=TRUE,"",_xlfn.REGEXEXTRACT(CELL("address",'Raw Data'!J233), "\$([A-Z]+)\$[0-9]+"))),_xlfn.REGEXEXTRACT(CELL("address",'Raw Data'!J233), "\$([A-Z]+)\$[0-9]+"))</f>
        <v/>
      </c>
    </row>
    <row r="234" spans="2:10" x14ac:dyDescent="0.25">
      <c r="B234" s="6" t="str" cm="1">
        <f t="array" aca="1" ref="B234" ca="1">IFERROR(IF(OR('Raw Data'!B234="",LEN(TRIM('Raw Data'!B234))=0),"",IF(AND(LEN('Raw Data'!B234) &lt;= 255,LEN('Raw Data'!B234)&gt; 0),"",_xlfn.REGEXEXTRACT(CELL("address",'Raw Data'!B234),"\$([A-Z]+)\$[0-9]+"))),_xlfn.REGEXEXTRACT(CELL("address",'Raw Data'!B234),"\$([A-Z]+)\$[0-9]+"))</f>
        <v/>
      </c>
      <c r="C234" s="6" t="str" cm="1">
        <f t="array" aca="1" ref="C234" ca="1">IFERROR(IF(OR('Raw Data'!C234="",LEN(TRIM('Raw Data'!C234))=0),"",IF(AND(LEN('Raw Data'!C234) &lt;= 20,LEN('Raw Data'!C234)&gt; 0),"",_xlfn.REGEXEXTRACT(CELL("address",'Raw Data'!C234),"\$([A-Z]+)\$[0-9]+"))),_xlfn.REGEXEXTRACT(CELL("address",'Raw Data'!C234),"\$([A-Z]+)\$[0-9]+"))</f>
        <v/>
      </c>
      <c r="D234" s="6" t="str" cm="1">
        <f t="array" aca="1" ref="D234" ca="1">IFERROR(IF(OR('Raw Data'!D234="",LEN(TRIM('Raw Data'!D234))=0),"",IF(AND(ISNUMBER('Raw Data'!D234),'Raw Data'!D234&gt;=Configuration!$D$2),"",_xlfn.REGEXEXTRACT(CELL("address",'Raw Data'!D234),"\$([A-Z]+)\$[0-9]+"))),_xlfn.REGEXEXTRACT(CELL("address",D234), "\$([A-Z]+)\$[0-9]+"))</f>
        <v/>
      </c>
      <c r="E234" s="6" t="str" cm="1">
        <f t="array" aca="1" ref="E234" ca="1">IFERROR(IF(OR('Raw Data'!E234="",LEN(TRIM('Raw Data'!E234))=0),"",IF(AND(ISNUMBER('Raw Data'!E234),'Raw Data'!E234=ROUND('Raw Data'!E234,4),IFERROR(ROUND('Raw Data'!E234,4)&lt;=99999999999.99,FALSE))=TRUE,"",_xlfn.REGEXEXTRACT(CELL("address",'Raw Data'!E234), "\$([A-Z]+)\$[0-9]+"))),_xlfn.REGEXEXTRACT(CELL("address",'Raw Data'!E234), "\$([A-Z]+)\$[0-9]+"))</f>
        <v/>
      </c>
      <c r="F234" s="6" t="str" cm="1">
        <f t="array" aca="1" ref="F234" ca="1">IFERROR(IF(OR('Raw Data'!F234="",LEN(TRIM('Raw Data'!F234))=0),"",IF(AND(ISNUMBER('Raw Data'!F234),'Raw Data'!F234=ROUND('Raw Data'!F234,4),IFERROR(ROUND('Raw Data'!F234,4)&lt;=99999999999.99,FALSE))=TRUE,"",_xlfn.REGEXEXTRACT(CELL("address",'Raw Data'!F234), "\$([A-Z]+)\$[0-9]+"))),_xlfn.REGEXEXTRACT(CELL("address",'Raw Data'!F234), "\$([A-Z]+)\$[0-9]+"))</f>
        <v/>
      </c>
      <c r="G234" s="6" t="str" cm="1">
        <f t="array" aca="1" ref="G234" ca="1">IFERROR(IF(OR('Raw Data'!G234="",LEN(TRIM('Raw Data'!G234))=0),"",IF(AND(ISNUMBER('Raw Data'!G234),'Raw Data'!G234=ROUND('Raw Data'!G234,4),IFERROR(ROUND('Raw Data'!G234,4)&lt;=99999999999.99,FALSE))=TRUE,"",_xlfn.REGEXEXTRACT(CELL("address",'Raw Data'!G234), "\$([A-Z]+)\$[0-9]+"))),_xlfn.REGEXEXTRACT(CELL("address",'Raw Data'!G234), "\$([A-Z]+)\$[0-9]+"))</f>
        <v/>
      </c>
      <c r="H234" s="6" t="str" cm="1">
        <f t="array" aca="1" ref="H234" ca="1">IFERROR(IF(OR('Raw Data'!H234="",LEN(TRIM('Raw Data'!H234))=0),"",IF(AND(ISNUMBER('Raw Data'!H234),'Raw Data'!H234=ROUND('Raw Data'!H234,4),IFERROR(ROUND('Raw Data'!H234,4)&lt;=99999999999.99,FALSE))=TRUE,"",_xlfn.REGEXEXTRACT(CELL("address",'Raw Data'!H234), "\$([A-Z]+)\$[0-9]+"))),_xlfn.REGEXEXTRACT(CELL("address",'Raw Data'!H234), "\$([A-Z]+)\$[0-9]+"))</f>
        <v/>
      </c>
      <c r="I234" s="6" t="str" cm="1">
        <f t="array" aca="1" ref="I234" ca="1">IFERROR(IF(OR('Raw Data'!I234="",LEN(TRIM('Raw Data'!I234))=0),"",IF(AND(ISNUMBER('Raw Data'!I234),'Raw Data'!I234=ROUND('Raw Data'!I234,4),IFERROR(ROUND('Raw Data'!I234,4)&lt;=99999999999.99,FALSE))=TRUE,"",_xlfn.REGEXEXTRACT(CELL("address",'Raw Data'!I234), "\$([A-Z]+)\$[0-9]+"))),_xlfn.REGEXEXTRACT(CELL("address",'Raw Data'!I234), "\$([A-Z]+)\$[0-9]+"))</f>
        <v/>
      </c>
      <c r="J234" s="6" t="str" cm="1">
        <f t="array" aca="1" ref="J234" ca="1">IFERROR(IF(OR('Raw Data'!J234="",LEN(TRIM('Raw Data'!J234))=0),"",IF(AND(ISNUMBER('Raw Data'!J234),'Raw Data'!J234=ROUND('Raw Data'!J234,4),IFERROR(ROUND('Raw Data'!J234,4)&lt;=99999999999.99,FALSE))=TRUE,"",_xlfn.REGEXEXTRACT(CELL("address",'Raw Data'!J234), "\$([A-Z]+)\$[0-9]+"))),_xlfn.REGEXEXTRACT(CELL("address",'Raw Data'!J234), "\$([A-Z]+)\$[0-9]+"))</f>
        <v/>
      </c>
    </row>
    <row r="235" spans="2:10" x14ac:dyDescent="0.25">
      <c r="B235" s="6" t="str" cm="1">
        <f t="array" aca="1" ref="B235" ca="1">IFERROR(IF(OR('Raw Data'!B235="",LEN(TRIM('Raw Data'!B235))=0),"",IF(AND(LEN('Raw Data'!B235) &lt;= 255,LEN('Raw Data'!B235)&gt; 0),"",_xlfn.REGEXEXTRACT(CELL("address",'Raw Data'!B235),"\$([A-Z]+)\$[0-9]+"))),_xlfn.REGEXEXTRACT(CELL("address",'Raw Data'!B235),"\$([A-Z]+)\$[0-9]+"))</f>
        <v/>
      </c>
      <c r="C235" s="6" t="str" cm="1">
        <f t="array" aca="1" ref="C235" ca="1">IFERROR(IF(OR('Raw Data'!C235="",LEN(TRIM('Raw Data'!C235))=0),"",IF(AND(LEN('Raw Data'!C235) &lt;= 20,LEN('Raw Data'!C235)&gt; 0),"",_xlfn.REGEXEXTRACT(CELL("address",'Raw Data'!C235),"\$([A-Z]+)\$[0-9]+"))),_xlfn.REGEXEXTRACT(CELL("address",'Raw Data'!C235),"\$([A-Z]+)\$[0-9]+"))</f>
        <v/>
      </c>
      <c r="D235" s="6" t="str" cm="1">
        <f t="array" aca="1" ref="D235" ca="1">IFERROR(IF(OR('Raw Data'!D235="",LEN(TRIM('Raw Data'!D235))=0),"",IF(AND(ISNUMBER('Raw Data'!D235),'Raw Data'!D235&gt;=Configuration!$D$2),"",_xlfn.REGEXEXTRACT(CELL("address",'Raw Data'!D235),"\$([A-Z]+)\$[0-9]+"))),_xlfn.REGEXEXTRACT(CELL("address",D235), "\$([A-Z]+)\$[0-9]+"))</f>
        <v/>
      </c>
      <c r="E235" s="6" t="str" cm="1">
        <f t="array" aca="1" ref="E235" ca="1">IFERROR(IF(OR('Raw Data'!E235="",LEN(TRIM('Raw Data'!E235))=0),"",IF(AND(ISNUMBER('Raw Data'!E235),'Raw Data'!E235=ROUND('Raw Data'!E235,4),IFERROR(ROUND('Raw Data'!E235,4)&lt;=99999999999.99,FALSE))=TRUE,"",_xlfn.REGEXEXTRACT(CELL("address",'Raw Data'!E235), "\$([A-Z]+)\$[0-9]+"))),_xlfn.REGEXEXTRACT(CELL("address",'Raw Data'!E235), "\$([A-Z]+)\$[0-9]+"))</f>
        <v/>
      </c>
      <c r="F235" s="6" t="str" cm="1">
        <f t="array" aca="1" ref="F235" ca="1">IFERROR(IF(OR('Raw Data'!F235="",LEN(TRIM('Raw Data'!F235))=0),"",IF(AND(ISNUMBER('Raw Data'!F235),'Raw Data'!F235=ROUND('Raw Data'!F235,4),IFERROR(ROUND('Raw Data'!F235,4)&lt;=99999999999.99,FALSE))=TRUE,"",_xlfn.REGEXEXTRACT(CELL("address",'Raw Data'!F235), "\$([A-Z]+)\$[0-9]+"))),_xlfn.REGEXEXTRACT(CELL("address",'Raw Data'!F235), "\$([A-Z]+)\$[0-9]+"))</f>
        <v/>
      </c>
      <c r="G235" s="6" t="str" cm="1">
        <f t="array" aca="1" ref="G235" ca="1">IFERROR(IF(OR('Raw Data'!G235="",LEN(TRIM('Raw Data'!G235))=0),"",IF(AND(ISNUMBER('Raw Data'!G235),'Raw Data'!G235=ROUND('Raw Data'!G235,4),IFERROR(ROUND('Raw Data'!G235,4)&lt;=99999999999.99,FALSE))=TRUE,"",_xlfn.REGEXEXTRACT(CELL("address",'Raw Data'!G235), "\$([A-Z]+)\$[0-9]+"))),_xlfn.REGEXEXTRACT(CELL("address",'Raw Data'!G235), "\$([A-Z]+)\$[0-9]+"))</f>
        <v/>
      </c>
      <c r="H235" s="6" t="str" cm="1">
        <f t="array" aca="1" ref="H235" ca="1">IFERROR(IF(OR('Raw Data'!H235="",LEN(TRIM('Raw Data'!H235))=0),"",IF(AND(ISNUMBER('Raw Data'!H235),'Raw Data'!H235=ROUND('Raw Data'!H235,4),IFERROR(ROUND('Raw Data'!H235,4)&lt;=99999999999.99,FALSE))=TRUE,"",_xlfn.REGEXEXTRACT(CELL("address",'Raw Data'!H235), "\$([A-Z]+)\$[0-9]+"))),_xlfn.REGEXEXTRACT(CELL("address",'Raw Data'!H235), "\$([A-Z]+)\$[0-9]+"))</f>
        <v/>
      </c>
      <c r="I235" s="6" t="str" cm="1">
        <f t="array" aca="1" ref="I235" ca="1">IFERROR(IF(OR('Raw Data'!I235="",LEN(TRIM('Raw Data'!I235))=0),"",IF(AND(ISNUMBER('Raw Data'!I235),'Raw Data'!I235=ROUND('Raw Data'!I235,4),IFERROR(ROUND('Raw Data'!I235,4)&lt;=99999999999.99,FALSE))=TRUE,"",_xlfn.REGEXEXTRACT(CELL("address",'Raw Data'!I235), "\$([A-Z]+)\$[0-9]+"))),_xlfn.REGEXEXTRACT(CELL("address",'Raw Data'!I235), "\$([A-Z]+)\$[0-9]+"))</f>
        <v/>
      </c>
      <c r="J235" s="6" t="str" cm="1">
        <f t="array" aca="1" ref="J235" ca="1">IFERROR(IF(OR('Raw Data'!J235="",LEN(TRIM('Raw Data'!J235))=0),"",IF(AND(ISNUMBER('Raw Data'!J235),'Raw Data'!J235=ROUND('Raw Data'!J235,4),IFERROR(ROUND('Raw Data'!J235,4)&lt;=99999999999.99,FALSE))=TRUE,"",_xlfn.REGEXEXTRACT(CELL("address",'Raw Data'!J235), "\$([A-Z]+)\$[0-9]+"))),_xlfn.REGEXEXTRACT(CELL("address",'Raw Data'!J235), "\$([A-Z]+)\$[0-9]+"))</f>
        <v/>
      </c>
    </row>
    <row r="236" spans="2:10" x14ac:dyDescent="0.25">
      <c r="B236" s="6" t="str" cm="1">
        <f t="array" aca="1" ref="B236" ca="1">IFERROR(IF(OR('Raw Data'!B236="",LEN(TRIM('Raw Data'!B236))=0),"",IF(AND(LEN('Raw Data'!B236) &lt;= 255,LEN('Raw Data'!B236)&gt; 0),"",_xlfn.REGEXEXTRACT(CELL("address",'Raw Data'!B236),"\$([A-Z]+)\$[0-9]+"))),_xlfn.REGEXEXTRACT(CELL("address",'Raw Data'!B236),"\$([A-Z]+)\$[0-9]+"))</f>
        <v/>
      </c>
      <c r="C236" s="6" t="str" cm="1">
        <f t="array" aca="1" ref="C236" ca="1">IFERROR(IF(OR('Raw Data'!C236="",LEN(TRIM('Raw Data'!C236))=0),"",IF(AND(LEN('Raw Data'!C236) &lt;= 20,LEN('Raw Data'!C236)&gt; 0),"",_xlfn.REGEXEXTRACT(CELL("address",'Raw Data'!C236),"\$([A-Z]+)\$[0-9]+"))),_xlfn.REGEXEXTRACT(CELL("address",'Raw Data'!C236),"\$([A-Z]+)\$[0-9]+"))</f>
        <v/>
      </c>
      <c r="D236" s="6" t="str" cm="1">
        <f t="array" aca="1" ref="D236" ca="1">IFERROR(IF(OR('Raw Data'!D236="",LEN(TRIM('Raw Data'!D236))=0),"",IF(AND(ISNUMBER('Raw Data'!D236),'Raw Data'!D236&gt;=Configuration!$D$2),"",_xlfn.REGEXEXTRACT(CELL("address",'Raw Data'!D236),"\$([A-Z]+)\$[0-9]+"))),_xlfn.REGEXEXTRACT(CELL("address",D236), "\$([A-Z]+)\$[0-9]+"))</f>
        <v/>
      </c>
      <c r="E236" s="6" t="str" cm="1">
        <f t="array" aca="1" ref="E236" ca="1">IFERROR(IF(OR('Raw Data'!E236="",LEN(TRIM('Raw Data'!E236))=0),"",IF(AND(ISNUMBER('Raw Data'!E236),'Raw Data'!E236=ROUND('Raw Data'!E236,4),IFERROR(ROUND('Raw Data'!E236,4)&lt;=99999999999.99,FALSE))=TRUE,"",_xlfn.REGEXEXTRACT(CELL("address",'Raw Data'!E236), "\$([A-Z]+)\$[0-9]+"))),_xlfn.REGEXEXTRACT(CELL("address",'Raw Data'!E236), "\$([A-Z]+)\$[0-9]+"))</f>
        <v/>
      </c>
      <c r="F236" s="6" t="str" cm="1">
        <f t="array" aca="1" ref="F236" ca="1">IFERROR(IF(OR('Raw Data'!F236="",LEN(TRIM('Raw Data'!F236))=0),"",IF(AND(ISNUMBER('Raw Data'!F236),'Raw Data'!F236=ROUND('Raw Data'!F236,4),IFERROR(ROUND('Raw Data'!F236,4)&lt;=99999999999.99,FALSE))=TRUE,"",_xlfn.REGEXEXTRACT(CELL("address",'Raw Data'!F236), "\$([A-Z]+)\$[0-9]+"))),_xlfn.REGEXEXTRACT(CELL("address",'Raw Data'!F236), "\$([A-Z]+)\$[0-9]+"))</f>
        <v/>
      </c>
      <c r="G236" s="6" t="str" cm="1">
        <f t="array" aca="1" ref="G236" ca="1">IFERROR(IF(OR('Raw Data'!G236="",LEN(TRIM('Raw Data'!G236))=0),"",IF(AND(ISNUMBER('Raw Data'!G236),'Raw Data'!G236=ROUND('Raw Data'!G236,4),IFERROR(ROUND('Raw Data'!G236,4)&lt;=99999999999.99,FALSE))=TRUE,"",_xlfn.REGEXEXTRACT(CELL("address",'Raw Data'!G236), "\$([A-Z]+)\$[0-9]+"))),_xlfn.REGEXEXTRACT(CELL("address",'Raw Data'!G236), "\$([A-Z]+)\$[0-9]+"))</f>
        <v/>
      </c>
      <c r="H236" s="6" t="str" cm="1">
        <f t="array" aca="1" ref="H236" ca="1">IFERROR(IF(OR('Raw Data'!H236="",LEN(TRIM('Raw Data'!H236))=0),"",IF(AND(ISNUMBER('Raw Data'!H236),'Raw Data'!H236=ROUND('Raw Data'!H236,4),IFERROR(ROUND('Raw Data'!H236,4)&lt;=99999999999.99,FALSE))=TRUE,"",_xlfn.REGEXEXTRACT(CELL("address",'Raw Data'!H236), "\$([A-Z]+)\$[0-9]+"))),_xlfn.REGEXEXTRACT(CELL("address",'Raw Data'!H236), "\$([A-Z]+)\$[0-9]+"))</f>
        <v/>
      </c>
      <c r="I236" s="6" t="str" cm="1">
        <f t="array" aca="1" ref="I236" ca="1">IFERROR(IF(OR('Raw Data'!I236="",LEN(TRIM('Raw Data'!I236))=0),"",IF(AND(ISNUMBER('Raw Data'!I236),'Raw Data'!I236=ROUND('Raw Data'!I236,4),IFERROR(ROUND('Raw Data'!I236,4)&lt;=99999999999.99,FALSE))=TRUE,"",_xlfn.REGEXEXTRACT(CELL("address",'Raw Data'!I236), "\$([A-Z]+)\$[0-9]+"))),_xlfn.REGEXEXTRACT(CELL("address",'Raw Data'!I236), "\$([A-Z]+)\$[0-9]+"))</f>
        <v/>
      </c>
      <c r="J236" s="6" t="str" cm="1">
        <f t="array" aca="1" ref="J236" ca="1">IFERROR(IF(OR('Raw Data'!J236="",LEN(TRIM('Raw Data'!J236))=0),"",IF(AND(ISNUMBER('Raw Data'!J236),'Raw Data'!J236=ROUND('Raw Data'!J236,4),IFERROR(ROUND('Raw Data'!J236,4)&lt;=99999999999.99,FALSE))=TRUE,"",_xlfn.REGEXEXTRACT(CELL("address",'Raw Data'!J236), "\$([A-Z]+)\$[0-9]+"))),_xlfn.REGEXEXTRACT(CELL("address",'Raw Data'!J236), "\$([A-Z]+)\$[0-9]+"))</f>
        <v/>
      </c>
    </row>
    <row r="237" spans="2:10" x14ac:dyDescent="0.25">
      <c r="B237" s="6" t="str" cm="1">
        <f t="array" aca="1" ref="B237" ca="1">IFERROR(IF(OR('Raw Data'!B237="",LEN(TRIM('Raw Data'!B237))=0),"",IF(AND(LEN('Raw Data'!B237) &lt;= 255,LEN('Raw Data'!B237)&gt; 0),"",_xlfn.REGEXEXTRACT(CELL("address",'Raw Data'!B237),"\$([A-Z]+)\$[0-9]+"))),_xlfn.REGEXEXTRACT(CELL("address",'Raw Data'!B237),"\$([A-Z]+)\$[0-9]+"))</f>
        <v/>
      </c>
      <c r="C237" s="6" t="str" cm="1">
        <f t="array" aca="1" ref="C237" ca="1">IFERROR(IF(OR('Raw Data'!C237="",LEN(TRIM('Raw Data'!C237))=0),"",IF(AND(LEN('Raw Data'!C237) &lt;= 20,LEN('Raw Data'!C237)&gt; 0),"",_xlfn.REGEXEXTRACT(CELL("address",'Raw Data'!C237),"\$([A-Z]+)\$[0-9]+"))),_xlfn.REGEXEXTRACT(CELL("address",'Raw Data'!C237),"\$([A-Z]+)\$[0-9]+"))</f>
        <v/>
      </c>
      <c r="D237" s="6" t="str" cm="1">
        <f t="array" aca="1" ref="D237" ca="1">IFERROR(IF(OR('Raw Data'!D237="",LEN(TRIM('Raw Data'!D237))=0),"",IF(AND(ISNUMBER('Raw Data'!D237),'Raw Data'!D237&gt;=Configuration!$D$2),"",_xlfn.REGEXEXTRACT(CELL("address",'Raw Data'!D237),"\$([A-Z]+)\$[0-9]+"))),_xlfn.REGEXEXTRACT(CELL("address",D237), "\$([A-Z]+)\$[0-9]+"))</f>
        <v/>
      </c>
      <c r="E237" s="6" t="str" cm="1">
        <f t="array" aca="1" ref="E237" ca="1">IFERROR(IF(OR('Raw Data'!E237="",LEN(TRIM('Raw Data'!E237))=0),"",IF(AND(ISNUMBER('Raw Data'!E237),'Raw Data'!E237=ROUND('Raw Data'!E237,4),IFERROR(ROUND('Raw Data'!E237,4)&lt;=99999999999.99,FALSE))=TRUE,"",_xlfn.REGEXEXTRACT(CELL("address",'Raw Data'!E237), "\$([A-Z]+)\$[0-9]+"))),_xlfn.REGEXEXTRACT(CELL("address",'Raw Data'!E237), "\$([A-Z]+)\$[0-9]+"))</f>
        <v/>
      </c>
      <c r="F237" s="6" t="str" cm="1">
        <f t="array" aca="1" ref="F237" ca="1">IFERROR(IF(OR('Raw Data'!F237="",LEN(TRIM('Raw Data'!F237))=0),"",IF(AND(ISNUMBER('Raw Data'!F237),'Raw Data'!F237=ROUND('Raw Data'!F237,4),IFERROR(ROUND('Raw Data'!F237,4)&lt;=99999999999.99,FALSE))=TRUE,"",_xlfn.REGEXEXTRACT(CELL("address",'Raw Data'!F237), "\$([A-Z]+)\$[0-9]+"))),_xlfn.REGEXEXTRACT(CELL("address",'Raw Data'!F237), "\$([A-Z]+)\$[0-9]+"))</f>
        <v/>
      </c>
      <c r="G237" s="6" t="str" cm="1">
        <f t="array" aca="1" ref="G237" ca="1">IFERROR(IF(OR('Raw Data'!G237="",LEN(TRIM('Raw Data'!G237))=0),"",IF(AND(ISNUMBER('Raw Data'!G237),'Raw Data'!G237=ROUND('Raw Data'!G237,4),IFERROR(ROUND('Raw Data'!G237,4)&lt;=99999999999.99,FALSE))=TRUE,"",_xlfn.REGEXEXTRACT(CELL("address",'Raw Data'!G237), "\$([A-Z]+)\$[0-9]+"))),_xlfn.REGEXEXTRACT(CELL("address",'Raw Data'!G237), "\$([A-Z]+)\$[0-9]+"))</f>
        <v/>
      </c>
      <c r="H237" s="6" t="str" cm="1">
        <f t="array" aca="1" ref="H237" ca="1">IFERROR(IF(OR('Raw Data'!H237="",LEN(TRIM('Raw Data'!H237))=0),"",IF(AND(ISNUMBER('Raw Data'!H237),'Raw Data'!H237=ROUND('Raw Data'!H237,4),IFERROR(ROUND('Raw Data'!H237,4)&lt;=99999999999.99,FALSE))=TRUE,"",_xlfn.REGEXEXTRACT(CELL("address",'Raw Data'!H237), "\$([A-Z]+)\$[0-9]+"))),_xlfn.REGEXEXTRACT(CELL("address",'Raw Data'!H237), "\$([A-Z]+)\$[0-9]+"))</f>
        <v/>
      </c>
      <c r="I237" s="6" t="str" cm="1">
        <f t="array" aca="1" ref="I237" ca="1">IFERROR(IF(OR('Raw Data'!I237="",LEN(TRIM('Raw Data'!I237))=0),"",IF(AND(ISNUMBER('Raw Data'!I237),'Raw Data'!I237=ROUND('Raw Data'!I237,4),IFERROR(ROUND('Raw Data'!I237,4)&lt;=99999999999.99,FALSE))=TRUE,"",_xlfn.REGEXEXTRACT(CELL("address",'Raw Data'!I237), "\$([A-Z]+)\$[0-9]+"))),_xlfn.REGEXEXTRACT(CELL("address",'Raw Data'!I237), "\$([A-Z]+)\$[0-9]+"))</f>
        <v/>
      </c>
      <c r="J237" s="6" t="str" cm="1">
        <f t="array" aca="1" ref="J237" ca="1">IFERROR(IF(OR('Raw Data'!J237="",LEN(TRIM('Raw Data'!J237))=0),"",IF(AND(ISNUMBER('Raw Data'!J237),'Raw Data'!J237=ROUND('Raw Data'!J237,4),IFERROR(ROUND('Raw Data'!J237,4)&lt;=99999999999.99,FALSE))=TRUE,"",_xlfn.REGEXEXTRACT(CELL("address",'Raw Data'!J237), "\$([A-Z]+)\$[0-9]+"))),_xlfn.REGEXEXTRACT(CELL("address",'Raw Data'!J237), "\$([A-Z]+)\$[0-9]+"))</f>
        <v/>
      </c>
    </row>
    <row r="238" spans="2:10" x14ac:dyDescent="0.25">
      <c r="B238" s="6" t="str" cm="1">
        <f t="array" aca="1" ref="B238" ca="1">IFERROR(IF(OR('Raw Data'!B238="",LEN(TRIM('Raw Data'!B238))=0),"",IF(AND(LEN('Raw Data'!B238) &lt;= 255,LEN('Raw Data'!B238)&gt; 0),"",_xlfn.REGEXEXTRACT(CELL("address",'Raw Data'!B238),"\$([A-Z]+)\$[0-9]+"))),_xlfn.REGEXEXTRACT(CELL("address",'Raw Data'!B238),"\$([A-Z]+)\$[0-9]+"))</f>
        <v/>
      </c>
      <c r="C238" s="6" t="str" cm="1">
        <f t="array" aca="1" ref="C238" ca="1">IFERROR(IF(OR('Raw Data'!C238="",LEN(TRIM('Raw Data'!C238))=0),"",IF(AND(LEN('Raw Data'!C238) &lt;= 20,LEN('Raw Data'!C238)&gt; 0),"",_xlfn.REGEXEXTRACT(CELL("address",'Raw Data'!C238),"\$([A-Z]+)\$[0-9]+"))),_xlfn.REGEXEXTRACT(CELL("address",'Raw Data'!C238),"\$([A-Z]+)\$[0-9]+"))</f>
        <v/>
      </c>
      <c r="D238" s="6" t="str" cm="1">
        <f t="array" aca="1" ref="D238" ca="1">IFERROR(IF(OR('Raw Data'!D238="",LEN(TRIM('Raw Data'!D238))=0),"",IF(AND(ISNUMBER('Raw Data'!D238),'Raw Data'!D238&gt;=Configuration!$D$2),"",_xlfn.REGEXEXTRACT(CELL("address",'Raw Data'!D238),"\$([A-Z]+)\$[0-9]+"))),_xlfn.REGEXEXTRACT(CELL("address",D238), "\$([A-Z]+)\$[0-9]+"))</f>
        <v/>
      </c>
      <c r="E238" s="6" t="str" cm="1">
        <f t="array" aca="1" ref="E238" ca="1">IFERROR(IF(OR('Raw Data'!E238="",LEN(TRIM('Raw Data'!E238))=0),"",IF(AND(ISNUMBER('Raw Data'!E238),'Raw Data'!E238=ROUND('Raw Data'!E238,4),IFERROR(ROUND('Raw Data'!E238,4)&lt;=99999999999.99,FALSE))=TRUE,"",_xlfn.REGEXEXTRACT(CELL("address",'Raw Data'!E238), "\$([A-Z]+)\$[0-9]+"))),_xlfn.REGEXEXTRACT(CELL("address",'Raw Data'!E238), "\$([A-Z]+)\$[0-9]+"))</f>
        <v/>
      </c>
      <c r="F238" s="6" t="str" cm="1">
        <f t="array" aca="1" ref="F238" ca="1">IFERROR(IF(OR('Raw Data'!F238="",LEN(TRIM('Raw Data'!F238))=0),"",IF(AND(ISNUMBER('Raw Data'!F238),'Raw Data'!F238=ROUND('Raw Data'!F238,4),IFERROR(ROUND('Raw Data'!F238,4)&lt;=99999999999.99,FALSE))=TRUE,"",_xlfn.REGEXEXTRACT(CELL("address",'Raw Data'!F238), "\$([A-Z]+)\$[0-9]+"))),_xlfn.REGEXEXTRACT(CELL("address",'Raw Data'!F238), "\$([A-Z]+)\$[0-9]+"))</f>
        <v/>
      </c>
      <c r="G238" s="6" t="str" cm="1">
        <f t="array" aca="1" ref="G238" ca="1">IFERROR(IF(OR('Raw Data'!G238="",LEN(TRIM('Raw Data'!G238))=0),"",IF(AND(ISNUMBER('Raw Data'!G238),'Raw Data'!G238=ROUND('Raw Data'!G238,4),IFERROR(ROUND('Raw Data'!G238,4)&lt;=99999999999.99,FALSE))=TRUE,"",_xlfn.REGEXEXTRACT(CELL("address",'Raw Data'!G238), "\$([A-Z]+)\$[0-9]+"))),_xlfn.REGEXEXTRACT(CELL("address",'Raw Data'!G238), "\$([A-Z]+)\$[0-9]+"))</f>
        <v/>
      </c>
      <c r="H238" s="6" t="str" cm="1">
        <f t="array" aca="1" ref="H238" ca="1">IFERROR(IF(OR('Raw Data'!H238="",LEN(TRIM('Raw Data'!H238))=0),"",IF(AND(ISNUMBER('Raw Data'!H238),'Raw Data'!H238=ROUND('Raw Data'!H238,4),IFERROR(ROUND('Raw Data'!H238,4)&lt;=99999999999.99,FALSE))=TRUE,"",_xlfn.REGEXEXTRACT(CELL("address",'Raw Data'!H238), "\$([A-Z]+)\$[0-9]+"))),_xlfn.REGEXEXTRACT(CELL("address",'Raw Data'!H238), "\$([A-Z]+)\$[0-9]+"))</f>
        <v/>
      </c>
      <c r="I238" s="6" t="str" cm="1">
        <f t="array" aca="1" ref="I238" ca="1">IFERROR(IF(OR('Raw Data'!I238="",LEN(TRIM('Raw Data'!I238))=0),"",IF(AND(ISNUMBER('Raw Data'!I238),'Raw Data'!I238=ROUND('Raw Data'!I238,4),IFERROR(ROUND('Raw Data'!I238,4)&lt;=99999999999.99,FALSE))=TRUE,"",_xlfn.REGEXEXTRACT(CELL("address",'Raw Data'!I238), "\$([A-Z]+)\$[0-9]+"))),_xlfn.REGEXEXTRACT(CELL("address",'Raw Data'!I238), "\$([A-Z]+)\$[0-9]+"))</f>
        <v/>
      </c>
      <c r="J238" s="6" t="str" cm="1">
        <f t="array" aca="1" ref="J238" ca="1">IFERROR(IF(OR('Raw Data'!J238="",LEN(TRIM('Raw Data'!J238))=0),"",IF(AND(ISNUMBER('Raw Data'!J238),'Raw Data'!J238=ROUND('Raw Data'!J238,4),IFERROR(ROUND('Raw Data'!J238,4)&lt;=99999999999.99,FALSE))=TRUE,"",_xlfn.REGEXEXTRACT(CELL("address",'Raw Data'!J238), "\$([A-Z]+)\$[0-9]+"))),_xlfn.REGEXEXTRACT(CELL("address",'Raw Data'!J238), "\$([A-Z]+)\$[0-9]+"))</f>
        <v/>
      </c>
    </row>
    <row r="239" spans="2:10" x14ac:dyDescent="0.25">
      <c r="B239" s="6" t="str" cm="1">
        <f t="array" aca="1" ref="B239" ca="1">IFERROR(IF(OR('Raw Data'!B239="",LEN(TRIM('Raw Data'!B239))=0),"",IF(AND(LEN('Raw Data'!B239) &lt;= 255,LEN('Raw Data'!B239)&gt; 0),"",_xlfn.REGEXEXTRACT(CELL("address",'Raw Data'!B239),"\$([A-Z]+)\$[0-9]+"))),_xlfn.REGEXEXTRACT(CELL("address",'Raw Data'!B239),"\$([A-Z]+)\$[0-9]+"))</f>
        <v/>
      </c>
      <c r="C239" s="6" t="str" cm="1">
        <f t="array" aca="1" ref="C239" ca="1">IFERROR(IF(OR('Raw Data'!C239="",LEN(TRIM('Raw Data'!C239))=0),"",IF(AND(LEN('Raw Data'!C239) &lt;= 20,LEN('Raw Data'!C239)&gt; 0),"",_xlfn.REGEXEXTRACT(CELL("address",'Raw Data'!C239),"\$([A-Z]+)\$[0-9]+"))),_xlfn.REGEXEXTRACT(CELL("address",'Raw Data'!C239),"\$([A-Z]+)\$[0-9]+"))</f>
        <v/>
      </c>
      <c r="D239" s="6" t="str" cm="1">
        <f t="array" aca="1" ref="D239" ca="1">IFERROR(IF(OR('Raw Data'!D239="",LEN(TRIM('Raw Data'!D239))=0),"",IF(AND(ISNUMBER('Raw Data'!D239),'Raw Data'!D239&gt;=Configuration!$D$2),"",_xlfn.REGEXEXTRACT(CELL("address",'Raw Data'!D239),"\$([A-Z]+)\$[0-9]+"))),_xlfn.REGEXEXTRACT(CELL("address",D239), "\$([A-Z]+)\$[0-9]+"))</f>
        <v/>
      </c>
      <c r="E239" s="6" t="str" cm="1">
        <f t="array" aca="1" ref="E239" ca="1">IFERROR(IF(OR('Raw Data'!E239="",LEN(TRIM('Raw Data'!E239))=0),"",IF(AND(ISNUMBER('Raw Data'!E239),'Raw Data'!E239=ROUND('Raw Data'!E239,4),IFERROR(ROUND('Raw Data'!E239,4)&lt;=99999999999.99,FALSE))=TRUE,"",_xlfn.REGEXEXTRACT(CELL("address",'Raw Data'!E239), "\$([A-Z]+)\$[0-9]+"))),_xlfn.REGEXEXTRACT(CELL("address",'Raw Data'!E239), "\$([A-Z]+)\$[0-9]+"))</f>
        <v/>
      </c>
      <c r="F239" s="6" t="str" cm="1">
        <f t="array" aca="1" ref="F239" ca="1">IFERROR(IF(OR('Raw Data'!F239="",LEN(TRIM('Raw Data'!F239))=0),"",IF(AND(ISNUMBER('Raw Data'!F239),'Raw Data'!F239=ROUND('Raw Data'!F239,4),IFERROR(ROUND('Raw Data'!F239,4)&lt;=99999999999.99,FALSE))=TRUE,"",_xlfn.REGEXEXTRACT(CELL("address",'Raw Data'!F239), "\$([A-Z]+)\$[0-9]+"))),_xlfn.REGEXEXTRACT(CELL("address",'Raw Data'!F239), "\$([A-Z]+)\$[0-9]+"))</f>
        <v/>
      </c>
      <c r="G239" s="6" t="str" cm="1">
        <f t="array" aca="1" ref="G239" ca="1">IFERROR(IF(OR('Raw Data'!G239="",LEN(TRIM('Raw Data'!G239))=0),"",IF(AND(ISNUMBER('Raw Data'!G239),'Raw Data'!G239=ROUND('Raw Data'!G239,4),IFERROR(ROUND('Raw Data'!G239,4)&lt;=99999999999.99,FALSE))=TRUE,"",_xlfn.REGEXEXTRACT(CELL("address",'Raw Data'!G239), "\$([A-Z]+)\$[0-9]+"))),_xlfn.REGEXEXTRACT(CELL("address",'Raw Data'!G239), "\$([A-Z]+)\$[0-9]+"))</f>
        <v/>
      </c>
      <c r="H239" s="6" t="str" cm="1">
        <f t="array" aca="1" ref="H239" ca="1">IFERROR(IF(OR('Raw Data'!H239="",LEN(TRIM('Raw Data'!H239))=0),"",IF(AND(ISNUMBER('Raw Data'!H239),'Raw Data'!H239=ROUND('Raw Data'!H239,4),IFERROR(ROUND('Raw Data'!H239,4)&lt;=99999999999.99,FALSE))=TRUE,"",_xlfn.REGEXEXTRACT(CELL("address",'Raw Data'!H239), "\$([A-Z]+)\$[0-9]+"))),_xlfn.REGEXEXTRACT(CELL("address",'Raw Data'!H239), "\$([A-Z]+)\$[0-9]+"))</f>
        <v/>
      </c>
      <c r="I239" s="6" t="str" cm="1">
        <f t="array" aca="1" ref="I239" ca="1">IFERROR(IF(OR('Raw Data'!I239="",LEN(TRIM('Raw Data'!I239))=0),"",IF(AND(ISNUMBER('Raw Data'!I239),'Raw Data'!I239=ROUND('Raw Data'!I239,4),IFERROR(ROUND('Raw Data'!I239,4)&lt;=99999999999.99,FALSE))=TRUE,"",_xlfn.REGEXEXTRACT(CELL("address",'Raw Data'!I239), "\$([A-Z]+)\$[0-9]+"))),_xlfn.REGEXEXTRACT(CELL("address",'Raw Data'!I239), "\$([A-Z]+)\$[0-9]+"))</f>
        <v/>
      </c>
      <c r="J239" s="6" t="str" cm="1">
        <f t="array" aca="1" ref="J239" ca="1">IFERROR(IF(OR('Raw Data'!J239="",LEN(TRIM('Raw Data'!J239))=0),"",IF(AND(ISNUMBER('Raw Data'!J239),'Raw Data'!J239=ROUND('Raw Data'!J239,4),IFERROR(ROUND('Raw Data'!J239,4)&lt;=99999999999.99,FALSE))=TRUE,"",_xlfn.REGEXEXTRACT(CELL("address",'Raw Data'!J239), "\$([A-Z]+)\$[0-9]+"))),_xlfn.REGEXEXTRACT(CELL("address",'Raw Data'!J239), "\$([A-Z]+)\$[0-9]+"))</f>
        <v/>
      </c>
    </row>
    <row r="240" spans="2:10" x14ac:dyDescent="0.25">
      <c r="B240" s="6" t="str" cm="1">
        <f t="array" aca="1" ref="B240" ca="1">IFERROR(IF(OR('Raw Data'!B240="",LEN(TRIM('Raw Data'!B240))=0),"",IF(AND(LEN('Raw Data'!B240) &lt;= 255,LEN('Raw Data'!B240)&gt; 0),"",_xlfn.REGEXEXTRACT(CELL("address",'Raw Data'!B240),"\$([A-Z]+)\$[0-9]+"))),_xlfn.REGEXEXTRACT(CELL("address",'Raw Data'!B240),"\$([A-Z]+)\$[0-9]+"))</f>
        <v/>
      </c>
      <c r="C240" s="6" t="str" cm="1">
        <f t="array" aca="1" ref="C240" ca="1">IFERROR(IF(OR('Raw Data'!C240="",LEN(TRIM('Raw Data'!C240))=0),"",IF(AND(LEN('Raw Data'!C240) &lt;= 20,LEN('Raw Data'!C240)&gt; 0),"",_xlfn.REGEXEXTRACT(CELL("address",'Raw Data'!C240),"\$([A-Z]+)\$[0-9]+"))),_xlfn.REGEXEXTRACT(CELL("address",'Raw Data'!C240),"\$([A-Z]+)\$[0-9]+"))</f>
        <v/>
      </c>
      <c r="D240" s="6" t="str" cm="1">
        <f t="array" aca="1" ref="D240" ca="1">IFERROR(IF(OR('Raw Data'!D240="",LEN(TRIM('Raw Data'!D240))=0),"",IF(AND(ISNUMBER('Raw Data'!D240),'Raw Data'!D240&gt;=Configuration!$D$2),"",_xlfn.REGEXEXTRACT(CELL("address",'Raw Data'!D240),"\$([A-Z]+)\$[0-9]+"))),_xlfn.REGEXEXTRACT(CELL("address",D240), "\$([A-Z]+)\$[0-9]+"))</f>
        <v/>
      </c>
      <c r="E240" s="6" t="str" cm="1">
        <f t="array" aca="1" ref="E240" ca="1">IFERROR(IF(OR('Raw Data'!E240="",LEN(TRIM('Raw Data'!E240))=0),"",IF(AND(ISNUMBER('Raw Data'!E240),'Raw Data'!E240=ROUND('Raw Data'!E240,4),IFERROR(ROUND('Raw Data'!E240,4)&lt;=99999999999.99,FALSE))=TRUE,"",_xlfn.REGEXEXTRACT(CELL("address",'Raw Data'!E240), "\$([A-Z]+)\$[0-9]+"))),_xlfn.REGEXEXTRACT(CELL("address",'Raw Data'!E240), "\$([A-Z]+)\$[0-9]+"))</f>
        <v/>
      </c>
      <c r="F240" s="6" t="str" cm="1">
        <f t="array" aca="1" ref="F240" ca="1">IFERROR(IF(OR('Raw Data'!F240="",LEN(TRIM('Raw Data'!F240))=0),"",IF(AND(ISNUMBER('Raw Data'!F240),'Raw Data'!F240=ROUND('Raw Data'!F240,4),IFERROR(ROUND('Raw Data'!F240,4)&lt;=99999999999.99,FALSE))=TRUE,"",_xlfn.REGEXEXTRACT(CELL("address",'Raw Data'!F240), "\$([A-Z]+)\$[0-9]+"))),_xlfn.REGEXEXTRACT(CELL("address",'Raw Data'!F240), "\$([A-Z]+)\$[0-9]+"))</f>
        <v/>
      </c>
      <c r="G240" s="6" t="str" cm="1">
        <f t="array" aca="1" ref="G240" ca="1">IFERROR(IF(OR('Raw Data'!G240="",LEN(TRIM('Raw Data'!G240))=0),"",IF(AND(ISNUMBER('Raw Data'!G240),'Raw Data'!G240=ROUND('Raw Data'!G240,4),IFERROR(ROUND('Raw Data'!G240,4)&lt;=99999999999.99,FALSE))=TRUE,"",_xlfn.REGEXEXTRACT(CELL("address",'Raw Data'!G240), "\$([A-Z]+)\$[0-9]+"))),_xlfn.REGEXEXTRACT(CELL("address",'Raw Data'!G240), "\$([A-Z]+)\$[0-9]+"))</f>
        <v/>
      </c>
      <c r="H240" s="6" t="str" cm="1">
        <f t="array" aca="1" ref="H240" ca="1">IFERROR(IF(OR('Raw Data'!H240="",LEN(TRIM('Raw Data'!H240))=0),"",IF(AND(ISNUMBER('Raw Data'!H240),'Raw Data'!H240=ROUND('Raw Data'!H240,4),IFERROR(ROUND('Raw Data'!H240,4)&lt;=99999999999.99,FALSE))=TRUE,"",_xlfn.REGEXEXTRACT(CELL("address",'Raw Data'!H240), "\$([A-Z]+)\$[0-9]+"))),_xlfn.REGEXEXTRACT(CELL("address",'Raw Data'!H240), "\$([A-Z]+)\$[0-9]+"))</f>
        <v/>
      </c>
      <c r="I240" s="6" t="str" cm="1">
        <f t="array" aca="1" ref="I240" ca="1">IFERROR(IF(OR('Raw Data'!I240="",LEN(TRIM('Raw Data'!I240))=0),"",IF(AND(ISNUMBER('Raw Data'!I240),'Raw Data'!I240=ROUND('Raw Data'!I240,4),IFERROR(ROUND('Raw Data'!I240,4)&lt;=99999999999.99,FALSE))=TRUE,"",_xlfn.REGEXEXTRACT(CELL("address",'Raw Data'!I240), "\$([A-Z]+)\$[0-9]+"))),_xlfn.REGEXEXTRACT(CELL("address",'Raw Data'!I240), "\$([A-Z]+)\$[0-9]+"))</f>
        <v/>
      </c>
      <c r="J240" s="6" t="str" cm="1">
        <f t="array" aca="1" ref="J240" ca="1">IFERROR(IF(OR('Raw Data'!J240="",LEN(TRIM('Raw Data'!J240))=0),"",IF(AND(ISNUMBER('Raw Data'!J240),'Raw Data'!J240=ROUND('Raw Data'!J240,4),IFERROR(ROUND('Raw Data'!J240,4)&lt;=99999999999.99,FALSE))=TRUE,"",_xlfn.REGEXEXTRACT(CELL("address",'Raw Data'!J240), "\$([A-Z]+)\$[0-9]+"))),_xlfn.REGEXEXTRACT(CELL("address",'Raw Data'!J240), "\$([A-Z]+)\$[0-9]+"))</f>
        <v/>
      </c>
    </row>
    <row r="241" spans="2:10" x14ac:dyDescent="0.25">
      <c r="B241" s="6" t="str" cm="1">
        <f t="array" aca="1" ref="B241" ca="1">IFERROR(IF(OR('Raw Data'!B241="",LEN(TRIM('Raw Data'!B241))=0),"",IF(AND(LEN('Raw Data'!B241) &lt;= 255,LEN('Raw Data'!B241)&gt; 0),"",_xlfn.REGEXEXTRACT(CELL("address",'Raw Data'!B241),"\$([A-Z]+)\$[0-9]+"))),_xlfn.REGEXEXTRACT(CELL("address",'Raw Data'!B241),"\$([A-Z]+)\$[0-9]+"))</f>
        <v/>
      </c>
      <c r="C241" s="6" t="str" cm="1">
        <f t="array" aca="1" ref="C241" ca="1">IFERROR(IF(OR('Raw Data'!C241="",LEN(TRIM('Raw Data'!C241))=0),"",IF(AND(LEN('Raw Data'!C241) &lt;= 20,LEN('Raw Data'!C241)&gt; 0),"",_xlfn.REGEXEXTRACT(CELL("address",'Raw Data'!C241),"\$([A-Z]+)\$[0-9]+"))),_xlfn.REGEXEXTRACT(CELL("address",'Raw Data'!C241),"\$([A-Z]+)\$[0-9]+"))</f>
        <v/>
      </c>
      <c r="D241" s="6" t="str" cm="1">
        <f t="array" aca="1" ref="D241" ca="1">IFERROR(IF(OR('Raw Data'!D241="",LEN(TRIM('Raw Data'!D241))=0),"",IF(AND(ISNUMBER('Raw Data'!D241),'Raw Data'!D241&gt;=Configuration!$D$2),"",_xlfn.REGEXEXTRACT(CELL("address",'Raw Data'!D241),"\$([A-Z]+)\$[0-9]+"))),_xlfn.REGEXEXTRACT(CELL("address",D241), "\$([A-Z]+)\$[0-9]+"))</f>
        <v/>
      </c>
      <c r="E241" s="6" t="str" cm="1">
        <f t="array" aca="1" ref="E241" ca="1">IFERROR(IF(OR('Raw Data'!E241="",LEN(TRIM('Raw Data'!E241))=0),"",IF(AND(ISNUMBER('Raw Data'!E241),'Raw Data'!E241=ROUND('Raw Data'!E241,4),IFERROR(ROUND('Raw Data'!E241,4)&lt;=99999999999.99,FALSE))=TRUE,"",_xlfn.REGEXEXTRACT(CELL("address",'Raw Data'!E241), "\$([A-Z]+)\$[0-9]+"))),_xlfn.REGEXEXTRACT(CELL("address",'Raw Data'!E241), "\$([A-Z]+)\$[0-9]+"))</f>
        <v/>
      </c>
      <c r="F241" s="6" t="str" cm="1">
        <f t="array" aca="1" ref="F241" ca="1">IFERROR(IF(OR('Raw Data'!F241="",LEN(TRIM('Raw Data'!F241))=0),"",IF(AND(ISNUMBER('Raw Data'!F241),'Raw Data'!F241=ROUND('Raw Data'!F241,4),IFERROR(ROUND('Raw Data'!F241,4)&lt;=99999999999.99,FALSE))=TRUE,"",_xlfn.REGEXEXTRACT(CELL("address",'Raw Data'!F241), "\$([A-Z]+)\$[0-9]+"))),_xlfn.REGEXEXTRACT(CELL("address",'Raw Data'!F241), "\$([A-Z]+)\$[0-9]+"))</f>
        <v/>
      </c>
      <c r="G241" s="6" t="str" cm="1">
        <f t="array" aca="1" ref="G241" ca="1">IFERROR(IF(OR('Raw Data'!G241="",LEN(TRIM('Raw Data'!G241))=0),"",IF(AND(ISNUMBER('Raw Data'!G241),'Raw Data'!G241=ROUND('Raw Data'!G241,4),IFERROR(ROUND('Raw Data'!G241,4)&lt;=99999999999.99,FALSE))=TRUE,"",_xlfn.REGEXEXTRACT(CELL("address",'Raw Data'!G241), "\$([A-Z]+)\$[0-9]+"))),_xlfn.REGEXEXTRACT(CELL("address",'Raw Data'!G241), "\$([A-Z]+)\$[0-9]+"))</f>
        <v/>
      </c>
      <c r="H241" s="6" t="str" cm="1">
        <f t="array" aca="1" ref="H241" ca="1">IFERROR(IF(OR('Raw Data'!H241="",LEN(TRIM('Raw Data'!H241))=0),"",IF(AND(ISNUMBER('Raw Data'!H241),'Raw Data'!H241=ROUND('Raw Data'!H241,4),IFERROR(ROUND('Raw Data'!H241,4)&lt;=99999999999.99,FALSE))=TRUE,"",_xlfn.REGEXEXTRACT(CELL("address",'Raw Data'!H241), "\$([A-Z]+)\$[0-9]+"))),_xlfn.REGEXEXTRACT(CELL("address",'Raw Data'!H241), "\$([A-Z]+)\$[0-9]+"))</f>
        <v/>
      </c>
      <c r="I241" s="6" t="str" cm="1">
        <f t="array" aca="1" ref="I241" ca="1">IFERROR(IF(OR('Raw Data'!I241="",LEN(TRIM('Raw Data'!I241))=0),"",IF(AND(ISNUMBER('Raw Data'!I241),'Raw Data'!I241=ROUND('Raw Data'!I241,4),IFERROR(ROUND('Raw Data'!I241,4)&lt;=99999999999.99,FALSE))=TRUE,"",_xlfn.REGEXEXTRACT(CELL("address",'Raw Data'!I241), "\$([A-Z]+)\$[0-9]+"))),_xlfn.REGEXEXTRACT(CELL("address",'Raw Data'!I241), "\$([A-Z]+)\$[0-9]+"))</f>
        <v/>
      </c>
      <c r="J241" s="6" t="str" cm="1">
        <f t="array" aca="1" ref="J241" ca="1">IFERROR(IF(OR('Raw Data'!J241="",LEN(TRIM('Raw Data'!J241))=0),"",IF(AND(ISNUMBER('Raw Data'!J241),'Raw Data'!J241=ROUND('Raw Data'!J241,4),IFERROR(ROUND('Raw Data'!J241,4)&lt;=99999999999.99,FALSE))=TRUE,"",_xlfn.REGEXEXTRACT(CELL("address",'Raw Data'!J241), "\$([A-Z]+)\$[0-9]+"))),_xlfn.REGEXEXTRACT(CELL("address",'Raw Data'!J241), "\$([A-Z]+)\$[0-9]+"))</f>
        <v/>
      </c>
    </row>
    <row r="242" spans="2:10" x14ac:dyDescent="0.25">
      <c r="B242" s="6" t="str" cm="1">
        <f t="array" aca="1" ref="B242" ca="1">IFERROR(IF(OR('Raw Data'!B242="",LEN(TRIM('Raw Data'!B242))=0),"",IF(AND(LEN('Raw Data'!B242) &lt;= 255,LEN('Raw Data'!B242)&gt; 0),"",_xlfn.REGEXEXTRACT(CELL("address",'Raw Data'!B242),"\$([A-Z]+)\$[0-9]+"))),_xlfn.REGEXEXTRACT(CELL("address",'Raw Data'!B242),"\$([A-Z]+)\$[0-9]+"))</f>
        <v/>
      </c>
      <c r="C242" s="6" t="str" cm="1">
        <f t="array" aca="1" ref="C242" ca="1">IFERROR(IF(OR('Raw Data'!C242="",LEN(TRIM('Raw Data'!C242))=0),"",IF(AND(LEN('Raw Data'!C242) &lt;= 20,LEN('Raw Data'!C242)&gt; 0),"",_xlfn.REGEXEXTRACT(CELL("address",'Raw Data'!C242),"\$([A-Z]+)\$[0-9]+"))),_xlfn.REGEXEXTRACT(CELL("address",'Raw Data'!C242),"\$([A-Z]+)\$[0-9]+"))</f>
        <v/>
      </c>
      <c r="D242" s="6" t="str" cm="1">
        <f t="array" aca="1" ref="D242" ca="1">IFERROR(IF(OR('Raw Data'!D242="",LEN(TRIM('Raw Data'!D242))=0),"",IF(AND(ISNUMBER('Raw Data'!D242),'Raw Data'!D242&gt;=Configuration!$D$2),"",_xlfn.REGEXEXTRACT(CELL("address",'Raw Data'!D242),"\$([A-Z]+)\$[0-9]+"))),_xlfn.REGEXEXTRACT(CELL("address",D242), "\$([A-Z]+)\$[0-9]+"))</f>
        <v/>
      </c>
      <c r="E242" s="6" t="str" cm="1">
        <f t="array" aca="1" ref="E242" ca="1">IFERROR(IF(OR('Raw Data'!E242="",LEN(TRIM('Raw Data'!E242))=0),"",IF(AND(ISNUMBER('Raw Data'!E242),'Raw Data'!E242=ROUND('Raw Data'!E242,4),IFERROR(ROUND('Raw Data'!E242,4)&lt;=99999999999.99,FALSE))=TRUE,"",_xlfn.REGEXEXTRACT(CELL("address",'Raw Data'!E242), "\$([A-Z]+)\$[0-9]+"))),_xlfn.REGEXEXTRACT(CELL("address",'Raw Data'!E242), "\$([A-Z]+)\$[0-9]+"))</f>
        <v/>
      </c>
      <c r="F242" s="6" t="str" cm="1">
        <f t="array" aca="1" ref="F242" ca="1">IFERROR(IF(OR('Raw Data'!F242="",LEN(TRIM('Raw Data'!F242))=0),"",IF(AND(ISNUMBER('Raw Data'!F242),'Raw Data'!F242=ROUND('Raw Data'!F242,4),IFERROR(ROUND('Raw Data'!F242,4)&lt;=99999999999.99,FALSE))=TRUE,"",_xlfn.REGEXEXTRACT(CELL("address",'Raw Data'!F242), "\$([A-Z]+)\$[0-9]+"))),_xlfn.REGEXEXTRACT(CELL("address",'Raw Data'!F242), "\$([A-Z]+)\$[0-9]+"))</f>
        <v/>
      </c>
      <c r="G242" s="6" t="str" cm="1">
        <f t="array" aca="1" ref="G242" ca="1">IFERROR(IF(OR('Raw Data'!G242="",LEN(TRIM('Raw Data'!G242))=0),"",IF(AND(ISNUMBER('Raw Data'!G242),'Raw Data'!G242=ROUND('Raw Data'!G242,4),IFERROR(ROUND('Raw Data'!G242,4)&lt;=99999999999.99,FALSE))=TRUE,"",_xlfn.REGEXEXTRACT(CELL("address",'Raw Data'!G242), "\$([A-Z]+)\$[0-9]+"))),_xlfn.REGEXEXTRACT(CELL("address",'Raw Data'!G242), "\$([A-Z]+)\$[0-9]+"))</f>
        <v/>
      </c>
      <c r="H242" s="6" t="str" cm="1">
        <f t="array" aca="1" ref="H242" ca="1">IFERROR(IF(OR('Raw Data'!H242="",LEN(TRIM('Raw Data'!H242))=0),"",IF(AND(ISNUMBER('Raw Data'!H242),'Raw Data'!H242=ROUND('Raw Data'!H242,4),IFERROR(ROUND('Raw Data'!H242,4)&lt;=99999999999.99,FALSE))=TRUE,"",_xlfn.REGEXEXTRACT(CELL("address",'Raw Data'!H242), "\$([A-Z]+)\$[0-9]+"))),_xlfn.REGEXEXTRACT(CELL("address",'Raw Data'!H242), "\$([A-Z]+)\$[0-9]+"))</f>
        <v/>
      </c>
      <c r="I242" s="6" t="str" cm="1">
        <f t="array" aca="1" ref="I242" ca="1">IFERROR(IF(OR('Raw Data'!I242="",LEN(TRIM('Raw Data'!I242))=0),"",IF(AND(ISNUMBER('Raw Data'!I242),'Raw Data'!I242=ROUND('Raw Data'!I242,4),IFERROR(ROUND('Raw Data'!I242,4)&lt;=99999999999.99,FALSE))=TRUE,"",_xlfn.REGEXEXTRACT(CELL("address",'Raw Data'!I242), "\$([A-Z]+)\$[0-9]+"))),_xlfn.REGEXEXTRACT(CELL("address",'Raw Data'!I242), "\$([A-Z]+)\$[0-9]+"))</f>
        <v/>
      </c>
      <c r="J242" s="6" t="str" cm="1">
        <f t="array" aca="1" ref="J242" ca="1">IFERROR(IF(OR('Raw Data'!J242="",LEN(TRIM('Raw Data'!J242))=0),"",IF(AND(ISNUMBER('Raw Data'!J242),'Raw Data'!J242=ROUND('Raw Data'!J242,4),IFERROR(ROUND('Raw Data'!J242,4)&lt;=99999999999.99,FALSE))=TRUE,"",_xlfn.REGEXEXTRACT(CELL("address",'Raw Data'!J242), "\$([A-Z]+)\$[0-9]+"))),_xlfn.REGEXEXTRACT(CELL("address",'Raw Data'!J242), "\$([A-Z]+)\$[0-9]+"))</f>
        <v/>
      </c>
    </row>
    <row r="243" spans="2:10" x14ac:dyDescent="0.25">
      <c r="B243" s="6" t="str" cm="1">
        <f t="array" aca="1" ref="B243" ca="1">IFERROR(IF(OR('Raw Data'!B243="",LEN(TRIM('Raw Data'!B243))=0),"",IF(AND(LEN('Raw Data'!B243) &lt;= 255,LEN('Raw Data'!B243)&gt; 0),"",_xlfn.REGEXEXTRACT(CELL("address",'Raw Data'!B243),"\$([A-Z]+)\$[0-9]+"))),_xlfn.REGEXEXTRACT(CELL("address",'Raw Data'!B243),"\$([A-Z]+)\$[0-9]+"))</f>
        <v/>
      </c>
      <c r="C243" s="6" t="str" cm="1">
        <f t="array" aca="1" ref="C243" ca="1">IFERROR(IF(OR('Raw Data'!C243="",LEN(TRIM('Raw Data'!C243))=0),"",IF(AND(LEN('Raw Data'!C243) &lt;= 20,LEN('Raw Data'!C243)&gt; 0),"",_xlfn.REGEXEXTRACT(CELL("address",'Raw Data'!C243),"\$([A-Z]+)\$[0-9]+"))),_xlfn.REGEXEXTRACT(CELL("address",'Raw Data'!C243),"\$([A-Z]+)\$[0-9]+"))</f>
        <v/>
      </c>
      <c r="D243" s="6" t="str" cm="1">
        <f t="array" aca="1" ref="D243" ca="1">IFERROR(IF(OR('Raw Data'!D243="",LEN(TRIM('Raw Data'!D243))=0),"",IF(AND(ISNUMBER('Raw Data'!D243),'Raw Data'!D243&gt;=Configuration!$D$2),"",_xlfn.REGEXEXTRACT(CELL("address",'Raw Data'!D243),"\$([A-Z]+)\$[0-9]+"))),_xlfn.REGEXEXTRACT(CELL("address",D243), "\$([A-Z]+)\$[0-9]+"))</f>
        <v/>
      </c>
      <c r="E243" s="6" t="str" cm="1">
        <f t="array" aca="1" ref="E243" ca="1">IFERROR(IF(OR('Raw Data'!E243="",LEN(TRIM('Raw Data'!E243))=0),"",IF(AND(ISNUMBER('Raw Data'!E243),'Raw Data'!E243=ROUND('Raw Data'!E243,4),IFERROR(ROUND('Raw Data'!E243,4)&lt;=99999999999.99,FALSE))=TRUE,"",_xlfn.REGEXEXTRACT(CELL("address",'Raw Data'!E243), "\$([A-Z]+)\$[0-9]+"))),_xlfn.REGEXEXTRACT(CELL("address",'Raw Data'!E243), "\$([A-Z]+)\$[0-9]+"))</f>
        <v/>
      </c>
      <c r="F243" s="6" t="str" cm="1">
        <f t="array" aca="1" ref="F243" ca="1">IFERROR(IF(OR('Raw Data'!F243="",LEN(TRIM('Raw Data'!F243))=0),"",IF(AND(ISNUMBER('Raw Data'!F243),'Raw Data'!F243=ROUND('Raw Data'!F243,4),IFERROR(ROUND('Raw Data'!F243,4)&lt;=99999999999.99,FALSE))=TRUE,"",_xlfn.REGEXEXTRACT(CELL("address",'Raw Data'!F243), "\$([A-Z]+)\$[0-9]+"))),_xlfn.REGEXEXTRACT(CELL("address",'Raw Data'!F243), "\$([A-Z]+)\$[0-9]+"))</f>
        <v/>
      </c>
      <c r="G243" s="6" t="str" cm="1">
        <f t="array" aca="1" ref="G243" ca="1">IFERROR(IF(OR('Raw Data'!G243="",LEN(TRIM('Raw Data'!G243))=0),"",IF(AND(ISNUMBER('Raw Data'!G243),'Raw Data'!G243=ROUND('Raw Data'!G243,4),IFERROR(ROUND('Raw Data'!G243,4)&lt;=99999999999.99,FALSE))=TRUE,"",_xlfn.REGEXEXTRACT(CELL("address",'Raw Data'!G243), "\$([A-Z]+)\$[0-9]+"))),_xlfn.REGEXEXTRACT(CELL("address",'Raw Data'!G243), "\$([A-Z]+)\$[0-9]+"))</f>
        <v/>
      </c>
      <c r="H243" s="6" t="str" cm="1">
        <f t="array" aca="1" ref="H243" ca="1">IFERROR(IF(OR('Raw Data'!H243="",LEN(TRIM('Raw Data'!H243))=0),"",IF(AND(ISNUMBER('Raw Data'!H243),'Raw Data'!H243=ROUND('Raw Data'!H243,4),IFERROR(ROUND('Raw Data'!H243,4)&lt;=99999999999.99,FALSE))=TRUE,"",_xlfn.REGEXEXTRACT(CELL("address",'Raw Data'!H243), "\$([A-Z]+)\$[0-9]+"))),_xlfn.REGEXEXTRACT(CELL("address",'Raw Data'!H243), "\$([A-Z]+)\$[0-9]+"))</f>
        <v/>
      </c>
      <c r="I243" s="6" t="str" cm="1">
        <f t="array" aca="1" ref="I243" ca="1">IFERROR(IF(OR('Raw Data'!I243="",LEN(TRIM('Raw Data'!I243))=0),"",IF(AND(ISNUMBER('Raw Data'!I243),'Raw Data'!I243=ROUND('Raw Data'!I243,4),IFERROR(ROUND('Raw Data'!I243,4)&lt;=99999999999.99,FALSE))=TRUE,"",_xlfn.REGEXEXTRACT(CELL("address",'Raw Data'!I243), "\$([A-Z]+)\$[0-9]+"))),_xlfn.REGEXEXTRACT(CELL("address",'Raw Data'!I243), "\$([A-Z]+)\$[0-9]+"))</f>
        <v/>
      </c>
      <c r="J243" s="6" t="str" cm="1">
        <f t="array" aca="1" ref="J243" ca="1">IFERROR(IF(OR('Raw Data'!J243="",LEN(TRIM('Raw Data'!J243))=0),"",IF(AND(ISNUMBER('Raw Data'!J243),'Raw Data'!J243=ROUND('Raw Data'!J243,4),IFERROR(ROUND('Raw Data'!J243,4)&lt;=99999999999.99,FALSE))=TRUE,"",_xlfn.REGEXEXTRACT(CELL("address",'Raw Data'!J243), "\$([A-Z]+)\$[0-9]+"))),_xlfn.REGEXEXTRACT(CELL("address",'Raw Data'!J243), "\$([A-Z]+)\$[0-9]+"))</f>
        <v/>
      </c>
    </row>
    <row r="244" spans="2:10" x14ac:dyDescent="0.25">
      <c r="B244" s="6" t="str" cm="1">
        <f t="array" aca="1" ref="B244" ca="1">IFERROR(IF(OR('Raw Data'!B244="",LEN(TRIM('Raw Data'!B244))=0),"",IF(AND(LEN('Raw Data'!B244) &lt;= 255,LEN('Raw Data'!B244)&gt; 0),"",_xlfn.REGEXEXTRACT(CELL("address",'Raw Data'!B244),"\$([A-Z]+)\$[0-9]+"))),_xlfn.REGEXEXTRACT(CELL("address",'Raw Data'!B244),"\$([A-Z]+)\$[0-9]+"))</f>
        <v/>
      </c>
      <c r="C244" s="6" t="str" cm="1">
        <f t="array" aca="1" ref="C244" ca="1">IFERROR(IF(OR('Raw Data'!C244="",LEN(TRIM('Raw Data'!C244))=0),"",IF(AND(LEN('Raw Data'!C244) &lt;= 20,LEN('Raw Data'!C244)&gt; 0),"",_xlfn.REGEXEXTRACT(CELL("address",'Raw Data'!C244),"\$([A-Z]+)\$[0-9]+"))),_xlfn.REGEXEXTRACT(CELL("address",'Raw Data'!C244),"\$([A-Z]+)\$[0-9]+"))</f>
        <v/>
      </c>
      <c r="D244" s="6" t="str" cm="1">
        <f t="array" aca="1" ref="D244" ca="1">IFERROR(IF(OR('Raw Data'!D244="",LEN(TRIM('Raw Data'!D244))=0),"",IF(AND(ISNUMBER('Raw Data'!D244),'Raw Data'!D244&gt;=Configuration!$D$2),"",_xlfn.REGEXEXTRACT(CELL("address",'Raw Data'!D244),"\$([A-Z]+)\$[0-9]+"))),_xlfn.REGEXEXTRACT(CELL("address",D244), "\$([A-Z]+)\$[0-9]+"))</f>
        <v/>
      </c>
      <c r="E244" s="6" t="str" cm="1">
        <f t="array" aca="1" ref="E244" ca="1">IFERROR(IF(OR('Raw Data'!E244="",LEN(TRIM('Raw Data'!E244))=0),"",IF(AND(ISNUMBER('Raw Data'!E244),'Raw Data'!E244=ROUND('Raw Data'!E244,4),IFERROR(ROUND('Raw Data'!E244,4)&lt;=99999999999.99,FALSE))=TRUE,"",_xlfn.REGEXEXTRACT(CELL("address",'Raw Data'!E244), "\$([A-Z]+)\$[0-9]+"))),_xlfn.REGEXEXTRACT(CELL("address",'Raw Data'!E244), "\$([A-Z]+)\$[0-9]+"))</f>
        <v/>
      </c>
      <c r="F244" s="6" t="str" cm="1">
        <f t="array" aca="1" ref="F244" ca="1">IFERROR(IF(OR('Raw Data'!F244="",LEN(TRIM('Raw Data'!F244))=0),"",IF(AND(ISNUMBER('Raw Data'!F244),'Raw Data'!F244=ROUND('Raw Data'!F244,4),IFERROR(ROUND('Raw Data'!F244,4)&lt;=99999999999.99,FALSE))=TRUE,"",_xlfn.REGEXEXTRACT(CELL("address",'Raw Data'!F244), "\$([A-Z]+)\$[0-9]+"))),_xlfn.REGEXEXTRACT(CELL("address",'Raw Data'!F244), "\$([A-Z]+)\$[0-9]+"))</f>
        <v/>
      </c>
      <c r="G244" s="6" t="str" cm="1">
        <f t="array" aca="1" ref="G244" ca="1">IFERROR(IF(OR('Raw Data'!G244="",LEN(TRIM('Raw Data'!G244))=0),"",IF(AND(ISNUMBER('Raw Data'!G244),'Raw Data'!G244=ROUND('Raw Data'!G244,4),IFERROR(ROUND('Raw Data'!G244,4)&lt;=99999999999.99,FALSE))=TRUE,"",_xlfn.REGEXEXTRACT(CELL("address",'Raw Data'!G244), "\$([A-Z]+)\$[0-9]+"))),_xlfn.REGEXEXTRACT(CELL("address",'Raw Data'!G244), "\$([A-Z]+)\$[0-9]+"))</f>
        <v/>
      </c>
      <c r="H244" s="6" t="str" cm="1">
        <f t="array" aca="1" ref="H244" ca="1">IFERROR(IF(OR('Raw Data'!H244="",LEN(TRIM('Raw Data'!H244))=0),"",IF(AND(ISNUMBER('Raw Data'!H244),'Raw Data'!H244=ROUND('Raw Data'!H244,4),IFERROR(ROUND('Raw Data'!H244,4)&lt;=99999999999.99,FALSE))=TRUE,"",_xlfn.REGEXEXTRACT(CELL("address",'Raw Data'!H244), "\$([A-Z]+)\$[0-9]+"))),_xlfn.REGEXEXTRACT(CELL("address",'Raw Data'!H244), "\$([A-Z]+)\$[0-9]+"))</f>
        <v/>
      </c>
      <c r="I244" s="6" t="str" cm="1">
        <f t="array" aca="1" ref="I244" ca="1">IFERROR(IF(OR('Raw Data'!I244="",LEN(TRIM('Raw Data'!I244))=0),"",IF(AND(ISNUMBER('Raw Data'!I244),'Raw Data'!I244=ROUND('Raw Data'!I244,4),IFERROR(ROUND('Raw Data'!I244,4)&lt;=99999999999.99,FALSE))=TRUE,"",_xlfn.REGEXEXTRACT(CELL("address",'Raw Data'!I244), "\$([A-Z]+)\$[0-9]+"))),_xlfn.REGEXEXTRACT(CELL("address",'Raw Data'!I244), "\$([A-Z]+)\$[0-9]+"))</f>
        <v/>
      </c>
      <c r="J244" s="6" t="str" cm="1">
        <f t="array" aca="1" ref="J244" ca="1">IFERROR(IF(OR('Raw Data'!J244="",LEN(TRIM('Raw Data'!J244))=0),"",IF(AND(ISNUMBER('Raw Data'!J244),'Raw Data'!J244=ROUND('Raw Data'!J244,4),IFERROR(ROUND('Raw Data'!J244,4)&lt;=99999999999.99,FALSE))=TRUE,"",_xlfn.REGEXEXTRACT(CELL("address",'Raw Data'!J244), "\$([A-Z]+)\$[0-9]+"))),_xlfn.REGEXEXTRACT(CELL("address",'Raw Data'!J244), "\$([A-Z]+)\$[0-9]+"))</f>
        <v/>
      </c>
    </row>
    <row r="245" spans="2:10" x14ac:dyDescent="0.25">
      <c r="B245" s="6" t="str" cm="1">
        <f t="array" aca="1" ref="B245" ca="1">IFERROR(IF(OR('Raw Data'!B245="",LEN(TRIM('Raw Data'!B245))=0),"",IF(AND(LEN('Raw Data'!B245) &lt;= 255,LEN('Raw Data'!B245)&gt; 0),"",_xlfn.REGEXEXTRACT(CELL("address",'Raw Data'!B245),"\$([A-Z]+)\$[0-9]+"))),_xlfn.REGEXEXTRACT(CELL("address",'Raw Data'!B245),"\$([A-Z]+)\$[0-9]+"))</f>
        <v/>
      </c>
      <c r="C245" s="6" t="str" cm="1">
        <f t="array" aca="1" ref="C245" ca="1">IFERROR(IF(OR('Raw Data'!C245="",LEN(TRIM('Raw Data'!C245))=0),"",IF(AND(LEN('Raw Data'!C245) &lt;= 20,LEN('Raw Data'!C245)&gt; 0),"",_xlfn.REGEXEXTRACT(CELL("address",'Raw Data'!C245),"\$([A-Z]+)\$[0-9]+"))),_xlfn.REGEXEXTRACT(CELL("address",'Raw Data'!C245),"\$([A-Z]+)\$[0-9]+"))</f>
        <v/>
      </c>
      <c r="D245" s="6" t="str" cm="1">
        <f t="array" aca="1" ref="D245" ca="1">IFERROR(IF(OR('Raw Data'!D245="",LEN(TRIM('Raw Data'!D245))=0),"",IF(AND(ISNUMBER('Raw Data'!D245),'Raw Data'!D245&gt;=Configuration!$D$2),"",_xlfn.REGEXEXTRACT(CELL("address",'Raw Data'!D245),"\$([A-Z]+)\$[0-9]+"))),_xlfn.REGEXEXTRACT(CELL("address",D245), "\$([A-Z]+)\$[0-9]+"))</f>
        <v/>
      </c>
      <c r="E245" s="6" t="str" cm="1">
        <f t="array" aca="1" ref="E245" ca="1">IFERROR(IF(OR('Raw Data'!E245="",LEN(TRIM('Raw Data'!E245))=0),"",IF(AND(ISNUMBER('Raw Data'!E245),'Raw Data'!E245=ROUND('Raw Data'!E245,4),IFERROR(ROUND('Raw Data'!E245,4)&lt;=99999999999.99,FALSE))=TRUE,"",_xlfn.REGEXEXTRACT(CELL("address",'Raw Data'!E245), "\$([A-Z]+)\$[0-9]+"))),_xlfn.REGEXEXTRACT(CELL("address",'Raw Data'!E245), "\$([A-Z]+)\$[0-9]+"))</f>
        <v/>
      </c>
      <c r="F245" s="6" t="str" cm="1">
        <f t="array" aca="1" ref="F245" ca="1">IFERROR(IF(OR('Raw Data'!F245="",LEN(TRIM('Raw Data'!F245))=0),"",IF(AND(ISNUMBER('Raw Data'!F245),'Raw Data'!F245=ROUND('Raw Data'!F245,4),IFERROR(ROUND('Raw Data'!F245,4)&lt;=99999999999.99,FALSE))=TRUE,"",_xlfn.REGEXEXTRACT(CELL("address",'Raw Data'!F245), "\$([A-Z]+)\$[0-9]+"))),_xlfn.REGEXEXTRACT(CELL("address",'Raw Data'!F245), "\$([A-Z]+)\$[0-9]+"))</f>
        <v/>
      </c>
      <c r="G245" s="6" t="str" cm="1">
        <f t="array" aca="1" ref="G245" ca="1">IFERROR(IF(OR('Raw Data'!G245="",LEN(TRIM('Raw Data'!G245))=0),"",IF(AND(ISNUMBER('Raw Data'!G245),'Raw Data'!G245=ROUND('Raw Data'!G245,4),IFERROR(ROUND('Raw Data'!G245,4)&lt;=99999999999.99,FALSE))=TRUE,"",_xlfn.REGEXEXTRACT(CELL("address",'Raw Data'!G245), "\$([A-Z]+)\$[0-9]+"))),_xlfn.REGEXEXTRACT(CELL("address",'Raw Data'!G245), "\$([A-Z]+)\$[0-9]+"))</f>
        <v/>
      </c>
      <c r="H245" s="6" t="str" cm="1">
        <f t="array" aca="1" ref="H245" ca="1">IFERROR(IF(OR('Raw Data'!H245="",LEN(TRIM('Raw Data'!H245))=0),"",IF(AND(ISNUMBER('Raw Data'!H245),'Raw Data'!H245=ROUND('Raw Data'!H245,4),IFERROR(ROUND('Raw Data'!H245,4)&lt;=99999999999.99,FALSE))=TRUE,"",_xlfn.REGEXEXTRACT(CELL("address",'Raw Data'!H245), "\$([A-Z]+)\$[0-9]+"))),_xlfn.REGEXEXTRACT(CELL("address",'Raw Data'!H245), "\$([A-Z]+)\$[0-9]+"))</f>
        <v/>
      </c>
      <c r="I245" s="6" t="str" cm="1">
        <f t="array" aca="1" ref="I245" ca="1">IFERROR(IF(OR('Raw Data'!I245="",LEN(TRIM('Raw Data'!I245))=0),"",IF(AND(ISNUMBER('Raw Data'!I245),'Raw Data'!I245=ROUND('Raw Data'!I245,4),IFERROR(ROUND('Raw Data'!I245,4)&lt;=99999999999.99,FALSE))=TRUE,"",_xlfn.REGEXEXTRACT(CELL("address",'Raw Data'!I245), "\$([A-Z]+)\$[0-9]+"))),_xlfn.REGEXEXTRACT(CELL("address",'Raw Data'!I245), "\$([A-Z]+)\$[0-9]+"))</f>
        <v/>
      </c>
      <c r="J245" s="6" t="str" cm="1">
        <f t="array" aca="1" ref="J245" ca="1">IFERROR(IF(OR('Raw Data'!J245="",LEN(TRIM('Raw Data'!J245))=0),"",IF(AND(ISNUMBER('Raw Data'!J245),'Raw Data'!J245=ROUND('Raw Data'!J245,4),IFERROR(ROUND('Raw Data'!J245,4)&lt;=99999999999.99,FALSE))=TRUE,"",_xlfn.REGEXEXTRACT(CELL("address",'Raw Data'!J245), "\$([A-Z]+)\$[0-9]+"))),_xlfn.REGEXEXTRACT(CELL("address",'Raw Data'!J245), "\$([A-Z]+)\$[0-9]+"))</f>
        <v/>
      </c>
    </row>
    <row r="246" spans="2:10" x14ac:dyDescent="0.25">
      <c r="B246" s="6" t="str" cm="1">
        <f t="array" aca="1" ref="B246" ca="1">IFERROR(IF(OR('Raw Data'!B246="",LEN(TRIM('Raw Data'!B246))=0),"",IF(AND(LEN('Raw Data'!B246) &lt;= 255,LEN('Raw Data'!B246)&gt; 0),"",_xlfn.REGEXEXTRACT(CELL("address",'Raw Data'!B246),"\$([A-Z]+)\$[0-9]+"))),_xlfn.REGEXEXTRACT(CELL("address",'Raw Data'!B246),"\$([A-Z]+)\$[0-9]+"))</f>
        <v/>
      </c>
      <c r="C246" s="6" t="str" cm="1">
        <f t="array" aca="1" ref="C246" ca="1">IFERROR(IF(OR('Raw Data'!C246="",LEN(TRIM('Raw Data'!C246))=0),"",IF(AND(LEN('Raw Data'!C246) &lt;= 20,LEN('Raw Data'!C246)&gt; 0),"",_xlfn.REGEXEXTRACT(CELL("address",'Raw Data'!C246),"\$([A-Z]+)\$[0-9]+"))),_xlfn.REGEXEXTRACT(CELL("address",'Raw Data'!C246),"\$([A-Z]+)\$[0-9]+"))</f>
        <v/>
      </c>
      <c r="D246" s="6" t="str" cm="1">
        <f t="array" aca="1" ref="D246" ca="1">IFERROR(IF(OR('Raw Data'!D246="",LEN(TRIM('Raw Data'!D246))=0),"",IF(AND(ISNUMBER('Raw Data'!D246),'Raw Data'!D246&gt;=Configuration!$D$2),"",_xlfn.REGEXEXTRACT(CELL("address",'Raw Data'!D246),"\$([A-Z]+)\$[0-9]+"))),_xlfn.REGEXEXTRACT(CELL("address",D246), "\$([A-Z]+)\$[0-9]+"))</f>
        <v/>
      </c>
      <c r="E246" s="6" t="str" cm="1">
        <f t="array" aca="1" ref="E246" ca="1">IFERROR(IF(OR('Raw Data'!E246="",LEN(TRIM('Raw Data'!E246))=0),"",IF(AND(ISNUMBER('Raw Data'!E246),'Raw Data'!E246=ROUND('Raw Data'!E246,4),IFERROR(ROUND('Raw Data'!E246,4)&lt;=99999999999.99,FALSE))=TRUE,"",_xlfn.REGEXEXTRACT(CELL("address",'Raw Data'!E246), "\$([A-Z]+)\$[0-9]+"))),_xlfn.REGEXEXTRACT(CELL("address",'Raw Data'!E246), "\$([A-Z]+)\$[0-9]+"))</f>
        <v/>
      </c>
      <c r="F246" s="6" t="str" cm="1">
        <f t="array" aca="1" ref="F246" ca="1">IFERROR(IF(OR('Raw Data'!F246="",LEN(TRIM('Raw Data'!F246))=0),"",IF(AND(ISNUMBER('Raw Data'!F246),'Raw Data'!F246=ROUND('Raw Data'!F246,4),IFERROR(ROUND('Raw Data'!F246,4)&lt;=99999999999.99,FALSE))=TRUE,"",_xlfn.REGEXEXTRACT(CELL("address",'Raw Data'!F246), "\$([A-Z]+)\$[0-9]+"))),_xlfn.REGEXEXTRACT(CELL("address",'Raw Data'!F246), "\$([A-Z]+)\$[0-9]+"))</f>
        <v/>
      </c>
      <c r="G246" s="6" t="str" cm="1">
        <f t="array" aca="1" ref="G246" ca="1">IFERROR(IF(OR('Raw Data'!G246="",LEN(TRIM('Raw Data'!G246))=0),"",IF(AND(ISNUMBER('Raw Data'!G246),'Raw Data'!G246=ROUND('Raw Data'!G246,4),IFERROR(ROUND('Raw Data'!G246,4)&lt;=99999999999.99,FALSE))=TRUE,"",_xlfn.REGEXEXTRACT(CELL("address",'Raw Data'!G246), "\$([A-Z]+)\$[0-9]+"))),_xlfn.REGEXEXTRACT(CELL("address",'Raw Data'!G246), "\$([A-Z]+)\$[0-9]+"))</f>
        <v/>
      </c>
      <c r="H246" s="6" t="str" cm="1">
        <f t="array" aca="1" ref="H246" ca="1">IFERROR(IF(OR('Raw Data'!H246="",LEN(TRIM('Raw Data'!H246))=0),"",IF(AND(ISNUMBER('Raw Data'!H246),'Raw Data'!H246=ROUND('Raw Data'!H246,4),IFERROR(ROUND('Raw Data'!H246,4)&lt;=99999999999.99,FALSE))=TRUE,"",_xlfn.REGEXEXTRACT(CELL("address",'Raw Data'!H246), "\$([A-Z]+)\$[0-9]+"))),_xlfn.REGEXEXTRACT(CELL("address",'Raw Data'!H246), "\$([A-Z]+)\$[0-9]+"))</f>
        <v/>
      </c>
      <c r="I246" s="6" t="str" cm="1">
        <f t="array" aca="1" ref="I246" ca="1">IFERROR(IF(OR('Raw Data'!I246="",LEN(TRIM('Raw Data'!I246))=0),"",IF(AND(ISNUMBER('Raw Data'!I246),'Raw Data'!I246=ROUND('Raw Data'!I246,4),IFERROR(ROUND('Raw Data'!I246,4)&lt;=99999999999.99,FALSE))=TRUE,"",_xlfn.REGEXEXTRACT(CELL("address",'Raw Data'!I246), "\$([A-Z]+)\$[0-9]+"))),_xlfn.REGEXEXTRACT(CELL("address",'Raw Data'!I246), "\$([A-Z]+)\$[0-9]+"))</f>
        <v/>
      </c>
      <c r="J246" s="6" t="str" cm="1">
        <f t="array" aca="1" ref="J246" ca="1">IFERROR(IF(OR('Raw Data'!J246="",LEN(TRIM('Raw Data'!J246))=0),"",IF(AND(ISNUMBER('Raw Data'!J246),'Raw Data'!J246=ROUND('Raw Data'!J246,4),IFERROR(ROUND('Raw Data'!J246,4)&lt;=99999999999.99,FALSE))=TRUE,"",_xlfn.REGEXEXTRACT(CELL("address",'Raw Data'!J246), "\$([A-Z]+)\$[0-9]+"))),_xlfn.REGEXEXTRACT(CELL("address",'Raw Data'!J246), "\$([A-Z]+)\$[0-9]+"))</f>
        <v/>
      </c>
    </row>
    <row r="247" spans="2:10" x14ac:dyDescent="0.25">
      <c r="B247" s="6" t="str" cm="1">
        <f t="array" aca="1" ref="B247" ca="1">IFERROR(IF(OR('Raw Data'!B247="",LEN(TRIM('Raw Data'!B247))=0),"",IF(AND(LEN('Raw Data'!B247) &lt;= 255,LEN('Raw Data'!B247)&gt; 0),"",_xlfn.REGEXEXTRACT(CELL("address",'Raw Data'!B247),"\$([A-Z]+)\$[0-9]+"))),_xlfn.REGEXEXTRACT(CELL("address",'Raw Data'!B247),"\$([A-Z]+)\$[0-9]+"))</f>
        <v/>
      </c>
      <c r="C247" s="6" t="str" cm="1">
        <f t="array" aca="1" ref="C247" ca="1">IFERROR(IF(OR('Raw Data'!C247="",LEN(TRIM('Raw Data'!C247))=0),"",IF(AND(LEN('Raw Data'!C247) &lt;= 20,LEN('Raw Data'!C247)&gt; 0),"",_xlfn.REGEXEXTRACT(CELL("address",'Raw Data'!C247),"\$([A-Z]+)\$[0-9]+"))),_xlfn.REGEXEXTRACT(CELL("address",'Raw Data'!C247),"\$([A-Z]+)\$[0-9]+"))</f>
        <v/>
      </c>
      <c r="D247" s="6" t="str" cm="1">
        <f t="array" aca="1" ref="D247" ca="1">IFERROR(IF(OR('Raw Data'!D247="",LEN(TRIM('Raw Data'!D247))=0),"",IF(AND(ISNUMBER('Raw Data'!D247),'Raw Data'!D247&gt;=Configuration!$D$2),"",_xlfn.REGEXEXTRACT(CELL("address",'Raw Data'!D247),"\$([A-Z]+)\$[0-9]+"))),_xlfn.REGEXEXTRACT(CELL("address",D247), "\$([A-Z]+)\$[0-9]+"))</f>
        <v/>
      </c>
      <c r="E247" s="6" t="str" cm="1">
        <f t="array" aca="1" ref="E247" ca="1">IFERROR(IF(OR('Raw Data'!E247="",LEN(TRIM('Raw Data'!E247))=0),"",IF(AND(ISNUMBER('Raw Data'!E247),'Raw Data'!E247=ROUND('Raw Data'!E247,4),IFERROR(ROUND('Raw Data'!E247,4)&lt;=99999999999.99,FALSE))=TRUE,"",_xlfn.REGEXEXTRACT(CELL("address",'Raw Data'!E247), "\$([A-Z]+)\$[0-9]+"))),_xlfn.REGEXEXTRACT(CELL("address",'Raw Data'!E247), "\$([A-Z]+)\$[0-9]+"))</f>
        <v/>
      </c>
      <c r="F247" s="6" t="str" cm="1">
        <f t="array" aca="1" ref="F247" ca="1">IFERROR(IF(OR('Raw Data'!F247="",LEN(TRIM('Raw Data'!F247))=0),"",IF(AND(ISNUMBER('Raw Data'!F247),'Raw Data'!F247=ROUND('Raw Data'!F247,4),IFERROR(ROUND('Raw Data'!F247,4)&lt;=99999999999.99,FALSE))=TRUE,"",_xlfn.REGEXEXTRACT(CELL("address",'Raw Data'!F247), "\$([A-Z]+)\$[0-9]+"))),_xlfn.REGEXEXTRACT(CELL("address",'Raw Data'!F247), "\$([A-Z]+)\$[0-9]+"))</f>
        <v/>
      </c>
      <c r="G247" s="6" t="str" cm="1">
        <f t="array" aca="1" ref="G247" ca="1">IFERROR(IF(OR('Raw Data'!G247="",LEN(TRIM('Raw Data'!G247))=0),"",IF(AND(ISNUMBER('Raw Data'!G247),'Raw Data'!G247=ROUND('Raw Data'!G247,4),IFERROR(ROUND('Raw Data'!G247,4)&lt;=99999999999.99,FALSE))=TRUE,"",_xlfn.REGEXEXTRACT(CELL("address",'Raw Data'!G247), "\$([A-Z]+)\$[0-9]+"))),_xlfn.REGEXEXTRACT(CELL("address",'Raw Data'!G247), "\$([A-Z]+)\$[0-9]+"))</f>
        <v/>
      </c>
      <c r="H247" s="6" t="str" cm="1">
        <f t="array" aca="1" ref="H247" ca="1">IFERROR(IF(OR('Raw Data'!H247="",LEN(TRIM('Raw Data'!H247))=0),"",IF(AND(ISNUMBER('Raw Data'!H247),'Raw Data'!H247=ROUND('Raw Data'!H247,4),IFERROR(ROUND('Raw Data'!H247,4)&lt;=99999999999.99,FALSE))=TRUE,"",_xlfn.REGEXEXTRACT(CELL("address",'Raw Data'!H247), "\$([A-Z]+)\$[0-9]+"))),_xlfn.REGEXEXTRACT(CELL("address",'Raw Data'!H247), "\$([A-Z]+)\$[0-9]+"))</f>
        <v/>
      </c>
      <c r="I247" s="6" t="str" cm="1">
        <f t="array" aca="1" ref="I247" ca="1">IFERROR(IF(OR('Raw Data'!I247="",LEN(TRIM('Raw Data'!I247))=0),"",IF(AND(ISNUMBER('Raw Data'!I247),'Raw Data'!I247=ROUND('Raw Data'!I247,4),IFERROR(ROUND('Raw Data'!I247,4)&lt;=99999999999.99,FALSE))=TRUE,"",_xlfn.REGEXEXTRACT(CELL("address",'Raw Data'!I247), "\$([A-Z]+)\$[0-9]+"))),_xlfn.REGEXEXTRACT(CELL("address",'Raw Data'!I247), "\$([A-Z]+)\$[0-9]+"))</f>
        <v/>
      </c>
      <c r="J247" s="6" t="str" cm="1">
        <f t="array" aca="1" ref="J247" ca="1">IFERROR(IF(OR('Raw Data'!J247="",LEN(TRIM('Raw Data'!J247))=0),"",IF(AND(ISNUMBER('Raw Data'!J247),'Raw Data'!J247=ROUND('Raw Data'!J247,4),IFERROR(ROUND('Raw Data'!J247,4)&lt;=99999999999.99,FALSE))=TRUE,"",_xlfn.REGEXEXTRACT(CELL("address",'Raw Data'!J247), "\$([A-Z]+)\$[0-9]+"))),_xlfn.REGEXEXTRACT(CELL("address",'Raw Data'!J247), "\$([A-Z]+)\$[0-9]+"))</f>
        <v/>
      </c>
    </row>
    <row r="248" spans="2:10" x14ac:dyDescent="0.25">
      <c r="B248" s="6" t="str" cm="1">
        <f t="array" aca="1" ref="B248" ca="1">IFERROR(IF(OR('Raw Data'!B248="",LEN(TRIM('Raw Data'!B248))=0),"",IF(AND(LEN('Raw Data'!B248) &lt;= 255,LEN('Raw Data'!B248)&gt; 0),"",_xlfn.REGEXEXTRACT(CELL("address",'Raw Data'!B248),"\$([A-Z]+)\$[0-9]+"))),_xlfn.REGEXEXTRACT(CELL("address",'Raw Data'!B248),"\$([A-Z]+)\$[0-9]+"))</f>
        <v/>
      </c>
      <c r="C248" s="6" t="str" cm="1">
        <f t="array" aca="1" ref="C248" ca="1">IFERROR(IF(OR('Raw Data'!C248="",LEN(TRIM('Raw Data'!C248))=0),"",IF(AND(LEN('Raw Data'!C248) &lt;= 20,LEN('Raw Data'!C248)&gt; 0),"",_xlfn.REGEXEXTRACT(CELL("address",'Raw Data'!C248),"\$([A-Z]+)\$[0-9]+"))),_xlfn.REGEXEXTRACT(CELL("address",'Raw Data'!C248),"\$([A-Z]+)\$[0-9]+"))</f>
        <v/>
      </c>
      <c r="D248" s="6" t="str" cm="1">
        <f t="array" aca="1" ref="D248" ca="1">IFERROR(IF(OR('Raw Data'!D248="",LEN(TRIM('Raw Data'!D248))=0),"",IF(AND(ISNUMBER('Raw Data'!D248),'Raw Data'!D248&gt;=Configuration!$D$2),"",_xlfn.REGEXEXTRACT(CELL("address",'Raw Data'!D248),"\$([A-Z]+)\$[0-9]+"))),_xlfn.REGEXEXTRACT(CELL("address",D248), "\$([A-Z]+)\$[0-9]+"))</f>
        <v/>
      </c>
      <c r="E248" s="6" t="str" cm="1">
        <f t="array" aca="1" ref="E248" ca="1">IFERROR(IF(OR('Raw Data'!E248="",LEN(TRIM('Raw Data'!E248))=0),"",IF(AND(ISNUMBER('Raw Data'!E248),'Raw Data'!E248=ROUND('Raw Data'!E248,4),IFERROR(ROUND('Raw Data'!E248,4)&lt;=99999999999.99,FALSE))=TRUE,"",_xlfn.REGEXEXTRACT(CELL("address",'Raw Data'!E248), "\$([A-Z]+)\$[0-9]+"))),_xlfn.REGEXEXTRACT(CELL("address",'Raw Data'!E248), "\$([A-Z]+)\$[0-9]+"))</f>
        <v/>
      </c>
      <c r="F248" s="6" t="str" cm="1">
        <f t="array" aca="1" ref="F248" ca="1">IFERROR(IF(OR('Raw Data'!F248="",LEN(TRIM('Raw Data'!F248))=0),"",IF(AND(ISNUMBER('Raw Data'!F248),'Raw Data'!F248=ROUND('Raw Data'!F248,4),IFERROR(ROUND('Raw Data'!F248,4)&lt;=99999999999.99,FALSE))=TRUE,"",_xlfn.REGEXEXTRACT(CELL("address",'Raw Data'!F248), "\$([A-Z]+)\$[0-9]+"))),_xlfn.REGEXEXTRACT(CELL("address",'Raw Data'!F248), "\$([A-Z]+)\$[0-9]+"))</f>
        <v/>
      </c>
      <c r="G248" s="6" t="str" cm="1">
        <f t="array" aca="1" ref="G248" ca="1">IFERROR(IF(OR('Raw Data'!G248="",LEN(TRIM('Raw Data'!G248))=0),"",IF(AND(ISNUMBER('Raw Data'!G248),'Raw Data'!G248=ROUND('Raw Data'!G248,4),IFERROR(ROUND('Raw Data'!G248,4)&lt;=99999999999.99,FALSE))=TRUE,"",_xlfn.REGEXEXTRACT(CELL("address",'Raw Data'!G248), "\$([A-Z]+)\$[0-9]+"))),_xlfn.REGEXEXTRACT(CELL("address",'Raw Data'!G248), "\$([A-Z]+)\$[0-9]+"))</f>
        <v/>
      </c>
      <c r="H248" s="6" t="str" cm="1">
        <f t="array" aca="1" ref="H248" ca="1">IFERROR(IF(OR('Raw Data'!H248="",LEN(TRIM('Raw Data'!H248))=0),"",IF(AND(ISNUMBER('Raw Data'!H248),'Raw Data'!H248=ROUND('Raw Data'!H248,4),IFERROR(ROUND('Raw Data'!H248,4)&lt;=99999999999.99,FALSE))=TRUE,"",_xlfn.REGEXEXTRACT(CELL("address",'Raw Data'!H248), "\$([A-Z]+)\$[0-9]+"))),_xlfn.REGEXEXTRACT(CELL("address",'Raw Data'!H248), "\$([A-Z]+)\$[0-9]+"))</f>
        <v/>
      </c>
      <c r="I248" s="6" t="str" cm="1">
        <f t="array" aca="1" ref="I248" ca="1">IFERROR(IF(OR('Raw Data'!I248="",LEN(TRIM('Raw Data'!I248))=0),"",IF(AND(ISNUMBER('Raw Data'!I248),'Raw Data'!I248=ROUND('Raw Data'!I248,4),IFERROR(ROUND('Raw Data'!I248,4)&lt;=99999999999.99,FALSE))=TRUE,"",_xlfn.REGEXEXTRACT(CELL("address",'Raw Data'!I248), "\$([A-Z]+)\$[0-9]+"))),_xlfn.REGEXEXTRACT(CELL("address",'Raw Data'!I248), "\$([A-Z]+)\$[0-9]+"))</f>
        <v/>
      </c>
      <c r="J248" s="6" t="str" cm="1">
        <f t="array" aca="1" ref="J248" ca="1">IFERROR(IF(OR('Raw Data'!J248="",LEN(TRIM('Raw Data'!J248))=0),"",IF(AND(ISNUMBER('Raw Data'!J248),'Raw Data'!J248=ROUND('Raw Data'!J248,4),IFERROR(ROUND('Raw Data'!J248,4)&lt;=99999999999.99,FALSE))=TRUE,"",_xlfn.REGEXEXTRACT(CELL("address",'Raw Data'!J248), "\$([A-Z]+)\$[0-9]+"))),_xlfn.REGEXEXTRACT(CELL("address",'Raw Data'!J248), "\$([A-Z]+)\$[0-9]+"))</f>
        <v/>
      </c>
    </row>
    <row r="249" spans="2:10" x14ac:dyDescent="0.25">
      <c r="B249" s="6" t="str" cm="1">
        <f t="array" aca="1" ref="B249" ca="1">IFERROR(IF(OR('Raw Data'!B249="",LEN(TRIM('Raw Data'!B249))=0),"",IF(AND(LEN('Raw Data'!B249) &lt;= 255,LEN('Raw Data'!B249)&gt; 0),"",_xlfn.REGEXEXTRACT(CELL("address",'Raw Data'!B249),"\$([A-Z]+)\$[0-9]+"))),_xlfn.REGEXEXTRACT(CELL("address",'Raw Data'!B249),"\$([A-Z]+)\$[0-9]+"))</f>
        <v/>
      </c>
      <c r="C249" s="6" t="str" cm="1">
        <f t="array" aca="1" ref="C249" ca="1">IFERROR(IF(OR('Raw Data'!C249="",LEN(TRIM('Raw Data'!C249))=0),"",IF(AND(LEN('Raw Data'!C249) &lt;= 20,LEN('Raw Data'!C249)&gt; 0),"",_xlfn.REGEXEXTRACT(CELL("address",'Raw Data'!C249),"\$([A-Z]+)\$[0-9]+"))),_xlfn.REGEXEXTRACT(CELL("address",'Raw Data'!C249),"\$([A-Z]+)\$[0-9]+"))</f>
        <v/>
      </c>
      <c r="D249" s="6" t="str" cm="1">
        <f t="array" aca="1" ref="D249" ca="1">IFERROR(IF(OR('Raw Data'!D249="",LEN(TRIM('Raw Data'!D249))=0),"",IF(AND(ISNUMBER('Raw Data'!D249),'Raw Data'!D249&gt;=Configuration!$D$2),"",_xlfn.REGEXEXTRACT(CELL("address",'Raw Data'!D249),"\$([A-Z]+)\$[0-9]+"))),_xlfn.REGEXEXTRACT(CELL("address",D249), "\$([A-Z]+)\$[0-9]+"))</f>
        <v/>
      </c>
      <c r="E249" s="6" t="str" cm="1">
        <f t="array" aca="1" ref="E249" ca="1">IFERROR(IF(OR('Raw Data'!E249="",LEN(TRIM('Raw Data'!E249))=0),"",IF(AND(ISNUMBER('Raw Data'!E249),'Raw Data'!E249=ROUND('Raw Data'!E249,4),IFERROR(ROUND('Raw Data'!E249,4)&lt;=99999999999.99,FALSE))=TRUE,"",_xlfn.REGEXEXTRACT(CELL("address",'Raw Data'!E249), "\$([A-Z]+)\$[0-9]+"))),_xlfn.REGEXEXTRACT(CELL("address",'Raw Data'!E249), "\$([A-Z]+)\$[0-9]+"))</f>
        <v/>
      </c>
      <c r="F249" s="6" t="str" cm="1">
        <f t="array" aca="1" ref="F249" ca="1">IFERROR(IF(OR('Raw Data'!F249="",LEN(TRIM('Raw Data'!F249))=0),"",IF(AND(ISNUMBER('Raw Data'!F249),'Raw Data'!F249=ROUND('Raw Data'!F249,4),IFERROR(ROUND('Raw Data'!F249,4)&lt;=99999999999.99,FALSE))=TRUE,"",_xlfn.REGEXEXTRACT(CELL("address",'Raw Data'!F249), "\$([A-Z]+)\$[0-9]+"))),_xlfn.REGEXEXTRACT(CELL("address",'Raw Data'!F249), "\$([A-Z]+)\$[0-9]+"))</f>
        <v/>
      </c>
      <c r="G249" s="6" t="str" cm="1">
        <f t="array" aca="1" ref="G249" ca="1">IFERROR(IF(OR('Raw Data'!G249="",LEN(TRIM('Raw Data'!G249))=0),"",IF(AND(ISNUMBER('Raw Data'!G249),'Raw Data'!G249=ROUND('Raw Data'!G249,4),IFERROR(ROUND('Raw Data'!G249,4)&lt;=99999999999.99,FALSE))=TRUE,"",_xlfn.REGEXEXTRACT(CELL("address",'Raw Data'!G249), "\$([A-Z]+)\$[0-9]+"))),_xlfn.REGEXEXTRACT(CELL("address",'Raw Data'!G249), "\$([A-Z]+)\$[0-9]+"))</f>
        <v/>
      </c>
      <c r="H249" s="6" t="str" cm="1">
        <f t="array" aca="1" ref="H249" ca="1">IFERROR(IF(OR('Raw Data'!H249="",LEN(TRIM('Raw Data'!H249))=0),"",IF(AND(ISNUMBER('Raw Data'!H249),'Raw Data'!H249=ROUND('Raw Data'!H249,4),IFERROR(ROUND('Raw Data'!H249,4)&lt;=99999999999.99,FALSE))=TRUE,"",_xlfn.REGEXEXTRACT(CELL("address",'Raw Data'!H249), "\$([A-Z]+)\$[0-9]+"))),_xlfn.REGEXEXTRACT(CELL("address",'Raw Data'!H249), "\$([A-Z]+)\$[0-9]+"))</f>
        <v/>
      </c>
      <c r="I249" s="6" t="str" cm="1">
        <f t="array" aca="1" ref="I249" ca="1">IFERROR(IF(OR('Raw Data'!I249="",LEN(TRIM('Raw Data'!I249))=0),"",IF(AND(ISNUMBER('Raw Data'!I249),'Raw Data'!I249=ROUND('Raw Data'!I249,4),IFERROR(ROUND('Raw Data'!I249,4)&lt;=99999999999.99,FALSE))=TRUE,"",_xlfn.REGEXEXTRACT(CELL("address",'Raw Data'!I249), "\$([A-Z]+)\$[0-9]+"))),_xlfn.REGEXEXTRACT(CELL("address",'Raw Data'!I249), "\$([A-Z]+)\$[0-9]+"))</f>
        <v/>
      </c>
      <c r="J249" s="6" t="str" cm="1">
        <f t="array" aca="1" ref="J249" ca="1">IFERROR(IF(OR('Raw Data'!J249="",LEN(TRIM('Raw Data'!J249))=0),"",IF(AND(ISNUMBER('Raw Data'!J249),'Raw Data'!J249=ROUND('Raw Data'!J249,4),IFERROR(ROUND('Raw Data'!J249,4)&lt;=99999999999.99,FALSE))=TRUE,"",_xlfn.REGEXEXTRACT(CELL("address",'Raw Data'!J249), "\$([A-Z]+)\$[0-9]+"))),_xlfn.REGEXEXTRACT(CELL("address",'Raw Data'!J249),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C942-2A79-4B54-9F74-016BF2070885}">
  <dimension ref="B8:P249"/>
  <sheetViews>
    <sheetView topLeftCell="A25" zoomScale="70" zoomScaleNormal="70" workbookViewId="0">
      <selection activeCell="P224" sqref="P224"/>
    </sheetView>
  </sheetViews>
  <sheetFormatPr defaultRowHeight="15" x14ac:dyDescent="0.25"/>
  <cols>
    <col min="2" max="2" width="14.42578125" style="7" bestFit="1" customWidth="1"/>
    <col min="3" max="6" width="14" style="7" customWidth="1"/>
    <col min="7" max="7" width="15.140625" customWidth="1"/>
    <col min="8" max="8" width="13.42578125" customWidth="1"/>
    <col min="9" max="9" width="16" customWidth="1"/>
    <col min="10" max="10" width="16.28515625" customWidth="1"/>
  </cols>
  <sheetData>
    <row r="8" spans="2:16" s="15" customFormat="1" x14ac:dyDescent="0.25">
      <c r="B8" s="14" t="s">
        <v>42</v>
      </c>
      <c r="C8" s="14" t="s">
        <v>42</v>
      </c>
      <c r="D8" s="14" t="s">
        <v>43</v>
      </c>
      <c r="E8" s="14" t="s">
        <v>42</v>
      </c>
      <c r="F8" s="14" t="s">
        <v>42</v>
      </c>
      <c r="G8" s="14" t="s">
        <v>42</v>
      </c>
      <c r="H8" s="14" t="s">
        <v>42</v>
      </c>
      <c r="I8" s="14" t="s">
        <v>42</v>
      </c>
      <c r="J8" s="14" t="s">
        <v>42</v>
      </c>
    </row>
    <row r="9" spans="2:16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</row>
    <row r="10" spans="2:16" x14ac:dyDescent="0.25">
      <c r="B10" s="6" t="str" cm="1">
        <f t="array" aca="1" ref="B10" ca="1">IF('Raw Data'!$B$10 = "Overall Project","",_xlfn.REGEXEXTRACT(CELL("address",'Raw Data'!B10),"\$([A-Z]+)\$[0-9]+"))</f>
        <v/>
      </c>
      <c r="C10" s="6" t="str" cm="1">
        <f t="array" aca="1" ref="C10" ca="1">IF('Raw Data'!$C$10 = "Month # 1","",_xlfn.REGEXEXTRACT(CELL("address",'Raw Data'!C10),"\$([A-Z]+)\$[0-9]+"))</f>
        <v/>
      </c>
      <c r="D10" s="6"/>
      <c r="E10" s="6" t="str" cm="1">
        <f t="array" aca="1" ref="E10" ca="1">IF(AND('Raw Data'!E10&gt;=0,'Raw Data'!E10&lt;=1),"",_xlfn.REGEXEXTRACT(CELL("address",'Raw Data'!E10),"\$([A-Z]+)\$[0-9]+"))</f>
        <v/>
      </c>
      <c r="F10" s="6" t="str" cm="1">
        <f t="array" aca="1" ref="F10" ca="1">IF(AND('Raw Data'!F10&gt;=0,'Raw Data'!F10&lt;=1),"",_xlfn.REGEXEXTRACT(CELL("address",'Raw Data'!F10),"\$([A-Z]+)\$[0-9]+"))</f>
        <v/>
      </c>
      <c r="G10" s="6" t="str" cm="1">
        <f t="array" aca="1" ref="G10" ca="1">IF(AND('Raw Data'!G10&gt;=0,'Raw Data'!G10&lt;=1),"",_xlfn.REGEXEXTRACT(CELL("address",'Raw Data'!G10),"\$([A-Z]+)\$[0-9]+"))</f>
        <v/>
      </c>
      <c r="H10" s="6" t="str" cm="1">
        <f t="array" aca="1" ref="H10" ca="1">IF(AND('Raw Data'!H10&gt;=0,'Raw Data'!H10&lt;=1),"",_xlfn.REGEXEXTRACT(CELL("address",'Raw Data'!H10),"\$([A-Z]+)\$[0-9]+"))</f>
        <v/>
      </c>
      <c r="I10" s="6" t="str" cm="1">
        <f t="array" aca="1" ref="I10" ca="1">IF(AND('Raw Data'!I10&gt;=0,'Raw Data'!I10&lt;=1),"",_xlfn.REGEXEXTRACT(CELL("address",'Raw Data'!I10),"\$([A-Z]+)\$[0-9]+"))</f>
        <v/>
      </c>
      <c r="J10" s="6" t="str" cm="1">
        <f t="array" aca="1" ref="J10" ca="1">IF(AND('Raw Data'!J10&gt;=0,'Raw Data'!J10&lt;=1),"",_xlfn.REGEXEXTRACT(CELL("address",'Raw Data'!J10),"\$([A-Z]+)\$[0-9]+"))</f>
        <v/>
      </c>
      <c r="P10" s="15"/>
    </row>
    <row r="11" spans="2:16" x14ac:dyDescent="0.25">
      <c r="B11" s="6" t="str" cm="1">
        <f t="array" aca="1" ref="B11" ca="1">IF('Raw Data'!$B$10 = "Overall Project","",_xlfn.REGEXEXTRACT(CELL("address",'Raw Data'!B11),"\$([A-Z]+)\$[0-9]+"))</f>
        <v/>
      </c>
      <c r="C11" s="6" t="str" cm="1">
        <f t="array" aca="1" ref="C11" ca="1">IF('Raw Data'!$C$10 = "Month # 1","",_xlfn.REGEXEXTRACT(CELL("address",'Raw Data'!C11),"\$([A-Z]+)\$[0-9]+"))</f>
        <v/>
      </c>
      <c r="D11" s="6" t="str" cm="1">
        <f t="array" aca="1" ref="D11" ca="1">IFERROR(IF(OR('Raw Data'!D11="",LEN(TRIM('Raw Data'!D11))=0),"",IF(AND(ISNUMBER('Raw Data'!D11),'Raw Data'!D11&gt;=Configuration!$D$2),"",_xlfn.REGEXEXTRACT(CELL("address",'Raw Data'!D11),"\$([A-Z]+)\$[0-9]+"))),_xlfn.REGEXEXTRACT(CELL("address",D11), "\$([A-Z]+)\$[0-9]+"))</f>
        <v/>
      </c>
      <c r="E11" s="6" t="str" cm="1">
        <f t="array" aca="1" ref="E11" ca="1">IF(AND('Raw Data'!E11&gt;=0,'Raw Data'!E11&lt;=1),"",_xlfn.REGEXEXTRACT(CELL("address",'Raw Data'!E11),"\$([A-Z]+)\$[0-9]+"))</f>
        <v/>
      </c>
      <c r="F11" s="6" t="str" cm="1">
        <f t="array" aca="1" ref="F11" ca="1">IF(AND('Raw Data'!F11&gt;=0,'Raw Data'!F11&lt;=1),"",_xlfn.REGEXEXTRACT(CELL("address",'Raw Data'!F11),"\$([A-Z]+)\$[0-9]+"))</f>
        <v/>
      </c>
      <c r="G11" s="6" t="str" cm="1">
        <f t="array" aca="1" ref="G11" ca="1">IF(AND('Raw Data'!G11&gt;=0,'Raw Data'!G11&lt;=1),"",_xlfn.REGEXEXTRACT(CELL("address",'Raw Data'!G11),"\$([A-Z]+)\$[0-9]+"))</f>
        <v/>
      </c>
      <c r="H11" s="6" t="str" cm="1">
        <f t="array" aca="1" ref="H11" ca="1">IF(AND('Raw Data'!H11&gt;=0,'Raw Data'!H11&lt;=1),"",_xlfn.REGEXEXTRACT(CELL("address",'Raw Data'!H11),"\$([A-Z]+)\$[0-9]+"))</f>
        <v/>
      </c>
      <c r="I11" s="6" t="str" cm="1">
        <f t="array" aca="1" ref="I11" ca="1">IF(AND('Raw Data'!I11&gt;=0,'Raw Data'!I11&lt;=1),"",_xlfn.REGEXEXTRACT(CELL("address",'Raw Data'!I11),"\$([A-Z]+)\$[0-9]+"))</f>
        <v/>
      </c>
      <c r="J11" s="6" t="str" cm="1">
        <f t="array" aca="1" ref="J11" ca="1">IF(AND('Raw Data'!J11&gt;=0,'Raw Data'!J11&lt;=1),"",_xlfn.REGEXEXTRACT(CELL("address",'Raw Data'!J11),"\$([A-Z]+)\$[0-9]+"))</f>
        <v/>
      </c>
    </row>
    <row r="12" spans="2:16" x14ac:dyDescent="0.25">
      <c r="B12" s="6" t="str" cm="1">
        <f t="array" aca="1" ref="B12" ca="1">IF('Raw Data'!$B$10 = "Overall Project","",_xlfn.REGEXEXTRACT(CELL("address",'Raw Data'!B12),"\$([A-Z]+)\$[0-9]+"))</f>
        <v/>
      </c>
      <c r="C12" s="6" t="str" cm="1">
        <f t="array" aca="1" ref="C12" ca="1">IF('Raw Data'!$C$10 = "Month # 1","",_xlfn.REGEXEXTRACT(CELL("address",'Raw Data'!C12),"\$([A-Z]+)\$[0-9]+"))</f>
        <v/>
      </c>
      <c r="D12" s="6"/>
      <c r="E12" s="6" t="str" cm="1">
        <f t="array" aca="1" ref="E12" ca="1">IF(AND('Raw Data'!E12&gt;=0,'Raw Data'!E12&lt;=1),"",_xlfn.REGEXEXTRACT(CELL("address",'Raw Data'!E12),"\$([A-Z]+)\$[0-9]+"))</f>
        <v/>
      </c>
      <c r="F12" s="6" t="str" cm="1">
        <f t="array" aca="1" ref="F12" ca="1">IF(AND('Raw Data'!F12&gt;=0,'Raw Data'!F12&lt;=1),"",_xlfn.REGEXEXTRACT(CELL("address",'Raw Data'!F12),"\$([A-Z]+)\$[0-9]+"))</f>
        <v/>
      </c>
      <c r="G12" s="6" t="str" cm="1">
        <f t="array" aca="1" ref="G12" ca="1">IF(AND('Raw Data'!G12&gt;=0,'Raw Data'!G12&lt;=1),"",_xlfn.REGEXEXTRACT(CELL("address",'Raw Data'!G12),"\$([A-Z]+)\$[0-9]+"))</f>
        <v/>
      </c>
      <c r="H12" s="6" t="str" cm="1">
        <f t="array" aca="1" ref="H12" ca="1">IF(AND('Raw Data'!H12&gt;=0,'Raw Data'!H12&lt;=1),"",_xlfn.REGEXEXTRACT(CELL("address",'Raw Data'!H12),"\$([A-Z]+)\$[0-9]+"))</f>
        <v/>
      </c>
      <c r="I12" s="6" t="str" cm="1">
        <f t="array" aca="1" ref="I12" ca="1">IF(AND('Raw Data'!I12&gt;=0,'Raw Data'!I12&lt;=1),"",_xlfn.REGEXEXTRACT(CELL("address",'Raw Data'!I12),"\$([A-Z]+)\$[0-9]+"))</f>
        <v/>
      </c>
      <c r="J12" s="6" t="str" cm="1">
        <f t="array" aca="1" ref="J12" ca="1">IF(AND('Raw Data'!J12&gt;=0,'Raw Data'!J12&lt;=1),"",_xlfn.REGEXEXTRACT(CELL("address",'Raw Data'!J12),"\$([A-Z]+)\$[0-9]+"))</f>
        <v/>
      </c>
    </row>
    <row r="13" spans="2:16" x14ac:dyDescent="0.25">
      <c r="B13" s="6" t="str" cm="1">
        <f t="array" aca="1" ref="B13" ca="1">IF('Raw Data'!$B$10 = "Overall Project","",_xlfn.REGEXEXTRACT(CELL("address",'Raw Data'!B13),"\$([A-Z]+)\$[0-9]+"))</f>
        <v/>
      </c>
      <c r="C13" s="6" t="str" cm="1">
        <f t="array" aca="1" ref="C13" ca="1">IF('Raw Data'!$C$10 = "Month # 1","",_xlfn.REGEXEXTRACT(CELL("address",'Raw Data'!C13),"\$([A-Z]+)\$[0-9]+"))</f>
        <v/>
      </c>
      <c r="D13" s="6"/>
      <c r="E13" s="6" t="str" cm="1">
        <f t="array" aca="1" ref="E13" ca="1">IF(AND('Raw Data'!E13&gt;=0,'Raw Data'!E13&lt;=1),"",_xlfn.REGEXEXTRACT(CELL("address",'Raw Data'!E13),"\$([A-Z]+)\$[0-9]+"))</f>
        <v/>
      </c>
      <c r="F13" s="6" t="str" cm="1">
        <f t="array" aca="1" ref="F13" ca="1">IF(AND('Raw Data'!F13&gt;=0,'Raw Data'!F13&lt;=1),"",_xlfn.REGEXEXTRACT(CELL("address",'Raw Data'!F13),"\$([A-Z]+)\$[0-9]+"))</f>
        <v/>
      </c>
      <c r="G13" s="6" t="str" cm="1">
        <f t="array" aca="1" ref="G13" ca="1">IF(AND('Raw Data'!G13&gt;=0,'Raw Data'!G13&lt;=1),"",_xlfn.REGEXEXTRACT(CELL("address",'Raw Data'!G13),"\$([A-Z]+)\$[0-9]+"))</f>
        <v/>
      </c>
      <c r="H13" s="6" t="str" cm="1">
        <f t="array" aca="1" ref="H13" ca="1">IF(AND('Raw Data'!H13&gt;=0,'Raw Data'!H13&lt;=1),"",_xlfn.REGEXEXTRACT(CELL("address",'Raw Data'!H13),"\$([A-Z]+)\$[0-9]+"))</f>
        <v/>
      </c>
      <c r="I13" s="6" t="str" cm="1">
        <f t="array" aca="1" ref="I13" ca="1">IF(AND('Raw Data'!I13&gt;=0,'Raw Data'!I13&lt;=1),"",_xlfn.REGEXEXTRACT(CELL("address",'Raw Data'!I13),"\$([A-Z]+)\$[0-9]+"))</f>
        <v/>
      </c>
      <c r="J13" s="6" t="str" cm="1">
        <f t="array" aca="1" ref="J13" ca="1">IF(AND('Raw Data'!J13&gt;=0,'Raw Data'!J13&lt;=1),"",_xlfn.REGEXEXTRACT(CELL("address",'Raw Data'!J13),"\$([A-Z]+)\$[0-9]+"))</f>
        <v/>
      </c>
    </row>
    <row r="14" spans="2:16" x14ac:dyDescent="0.25">
      <c r="B14" s="6" t="str" cm="1">
        <f t="array" aca="1" ref="B14" ca="1">IF('Raw Data'!$B$10 = "Overall Project","",_xlfn.REGEXEXTRACT(CELL("address",'Raw Data'!B14),"\$([A-Z]+)\$[0-9]+"))</f>
        <v/>
      </c>
      <c r="C14" s="6" t="str" cm="1">
        <f t="array" aca="1" ref="C14" ca="1">IF('Raw Data'!$C$10 = "Month # 1","",_xlfn.REGEXEXTRACT(CELL("address",'Raw Data'!C14),"\$([A-Z]+)\$[0-9]+"))</f>
        <v/>
      </c>
      <c r="D14" s="6"/>
      <c r="E14" s="6" t="str" cm="1">
        <f t="array" aca="1" ref="E14" ca="1">IF(AND('Raw Data'!E14&gt;=0,'Raw Data'!E14&lt;=1),"",_xlfn.REGEXEXTRACT(CELL("address",'Raw Data'!E14),"\$([A-Z]+)\$[0-9]+"))</f>
        <v/>
      </c>
      <c r="F14" s="6" t="str" cm="1">
        <f t="array" aca="1" ref="F14" ca="1">IF(AND('Raw Data'!F14&gt;=0,'Raw Data'!F14&lt;=1),"",_xlfn.REGEXEXTRACT(CELL("address",'Raw Data'!F14),"\$([A-Z]+)\$[0-9]+"))</f>
        <v/>
      </c>
      <c r="G14" s="6" t="str" cm="1">
        <f t="array" aca="1" ref="G14" ca="1">IF(AND('Raw Data'!G14&gt;=0,'Raw Data'!G14&lt;=1),"",_xlfn.REGEXEXTRACT(CELL("address",'Raw Data'!G14),"\$([A-Z]+)\$[0-9]+"))</f>
        <v/>
      </c>
      <c r="H14" s="6" t="str" cm="1">
        <f t="array" aca="1" ref="H14" ca="1">IF(AND('Raw Data'!H14&gt;=0,'Raw Data'!H14&lt;=1),"",_xlfn.REGEXEXTRACT(CELL("address",'Raw Data'!H14),"\$([A-Z]+)\$[0-9]+"))</f>
        <v/>
      </c>
      <c r="I14" s="6" t="str" cm="1">
        <f t="array" aca="1" ref="I14" ca="1">IF(AND('Raw Data'!I14&gt;=0,'Raw Data'!I14&lt;=1),"",_xlfn.REGEXEXTRACT(CELL("address",'Raw Data'!I14),"\$([A-Z]+)\$[0-9]+"))</f>
        <v/>
      </c>
      <c r="J14" s="6" t="str" cm="1">
        <f t="array" aca="1" ref="J14" ca="1">IF(AND('Raw Data'!J14&gt;=0,'Raw Data'!J14&lt;=1),"",_xlfn.REGEXEXTRACT(CELL("address",'Raw Data'!J14),"\$([A-Z]+)\$[0-9]+"))</f>
        <v/>
      </c>
    </row>
    <row r="15" spans="2:16" x14ac:dyDescent="0.25">
      <c r="B15" s="6" t="str" cm="1">
        <f t="array" aca="1" ref="B15" ca="1">IF('Raw Data'!$B$10 = "Overall Project","",_xlfn.REGEXEXTRACT(CELL("address",'Raw Data'!B15),"\$([A-Z]+)\$[0-9]+"))</f>
        <v/>
      </c>
      <c r="C15" s="6" t="str" cm="1">
        <f t="array" aca="1" ref="C15" ca="1">IF('Raw Data'!$C$10 = "Month # 1","",_xlfn.REGEXEXTRACT(CELL("address",'Raw Data'!C15),"\$([A-Z]+)\$[0-9]+"))</f>
        <v/>
      </c>
      <c r="D15" s="6"/>
      <c r="E15" s="6" t="str" cm="1">
        <f t="array" aca="1" ref="E15" ca="1">IF(AND('Raw Data'!E15&gt;=0,'Raw Data'!E15&lt;=1),"",_xlfn.REGEXEXTRACT(CELL("address",'Raw Data'!E15),"\$([A-Z]+)\$[0-9]+"))</f>
        <v/>
      </c>
      <c r="F15" s="6" t="str" cm="1">
        <f t="array" aca="1" ref="F15" ca="1">IF(AND('Raw Data'!F15&gt;=0,'Raw Data'!F15&lt;=1),"",_xlfn.REGEXEXTRACT(CELL("address",'Raw Data'!F15),"\$([A-Z]+)\$[0-9]+"))</f>
        <v/>
      </c>
      <c r="G15" s="6" t="str" cm="1">
        <f t="array" aca="1" ref="G15" ca="1">IF(AND('Raw Data'!G15&gt;=0,'Raw Data'!G15&lt;=1),"",_xlfn.REGEXEXTRACT(CELL("address",'Raw Data'!G15),"\$([A-Z]+)\$[0-9]+"))</f>
        <v/>
      </c>
      <c r="H15" s="6" t="str" cm="1">
        <f t="array" aca="1" ref="H15" ca="1">IF(AND('Raw Data'!H15&gt;=0,'Raw Data'!H15&lt;=1),"",_xlfn.REGEXEXTRACT(CELL("address",'Raw Data'!H15),"\$([A-Z]+)\$[0-9]+"))</f>
        <v/>
      </c>
      <c r="I15" s="6" t="str" cm="1">
        <f t="array" aca="1" ref="I15" ca="1">IF(AND('Raw Data'!I15&gt;=0,'Raw Data'!I15&lt;=1),"",_xlfn.REGEXEXTRACT(CELL("address",'Raw Data'!I15),"\$([A-Z]+)\$[0-9]+"))</f>
        <v/>
      </c>
      <c r="J15" s="6" t="str" cm="1">
        <f t="array" aca="1" ref="J15" ca="1">IF(AND('Raw Data'!J15&gt;=0,'Raw Data'!J15&lt;=1),"",_xlfn.REGEXEXTRACT(CELL("address",'Raw Data'!J15),"\$([A-Z]+)\$[0-9]+"))</f>
        <v/>
      </c>
    </row>
    <row r="16" spans="2:16" x14ac:dyDescent="0.25">
      <c r="B16" s="6" t="str" cm="1">
        <f t="array" aca="1" ref="B16" ca="1">IF('Raw Data'!$B$10 = "Overall Project","",_xlfn.REGEXEXTRACT(CELL("address",'Raw Data'!B16),"\$([A-Z]+)\$[0-9]+"))</f>
        <v/>
      </c>
      <c r="C16" s="6" t="str" cm="1">
        <f t="array" aca="1" ref="C16" ca="1">IF('Raw Data'!$C$10 = "Month # 1","",_xlfn.REGEXEXTRACT(CELL("address",'Raw Data'!C16),"\$([A-Z]+)\$[0-9]+"))</f>
        <v/>
      </c>
      <c r="D16" s="6"/>
      <c r="E16" s="6" t="str" cm="1">
        <f t="array" aca="1" ref="E16" ca="1">IF(AND('Raw Data'!E16&gt;=0,'Raw Data'!E16&lt;=1),"",_xlfn.REGEXEXTRACT(CELL("address",'Raw Data'!E16),"\$([A-Z]+)\$[0-9]+"))</f>
        <v/>
      </c>
      <c r="F16" s="6" t="str" cm="1">
        <f t="array" aca="1" ref="F16" ca="1">IF(AND('Raw Data'!F16&gt;=0,'Raw Data'!F16&lt;=1),"",_xlfn.REGEXEXTRACT(CELL("address",'Raw Data'!F16),"\$([A-Z]+)\$[0-9]+"))</f>
        <v/>
      </c>
      <c r="G16" s="6" t="str" cm="1">
        <f t="array" aca="1" ref="G16" ca="1">IF(AND('Raw Data'!G16&gt;=0,'Raw Data'!G16&lt;=1),"",_xlfn.REGEXEXTRACT(CELL("address",'Raw Data'!G16),"\$([A-Z]+)\$[0-9]+"))</f>
        <v/>
      </c>
      <c r="H16" s="6" t="str" cm="1">
        <f t="array" aca="1" ref="H16" ca="1">IF(AND('Raw Data'!H16&gt;=0,'Raw Data'!H16&lt;=1),"",_xlfn.REGEXEXTRACT(CELL("address",'Raw Data'!H16),"\$([A-Z]+)\$[0-9]+"))</f>
        <v/>
      </c>
      <c r="I16" s="6" t="str" cm="1">
        <f t="array" aca="1" ref="I16" ca="1">IF(AND('Raw Data'!I16&gt;=0,'Raw Data'!I16&lt;=1),"",_xlfn.REGEXEXTRACT(CELL("address",'Raw Data'!I16),"\$([A-Z]+)\$[0-9]+"))</f>
        <v/>
      </c>
      <c r="J16" s="6" t="str" cm="1">
        <f t="array" aca="1" ref="J16" ca="1">IF(AND('Raw Data'!J16&gt;=0,'Raw Data'!J16&lt;=1),"",_xlfn.REGEXEXTRACT(CELL("address",'Raw Data'!J16),"\$([A-Z]+)\$[0-9]+"))</f>
        <v/>
      </c>
    </row>
    <row r="17" spans="2:10" x14ac:dyDescent="0.25">
      <c r="B17" s="6" t="str" cm="1">
        <f t="array" aca="1" ref="B17" ca="1">IF('Raw Data'!$B$10 = "Overall Project","",_xlfn.REGEXEXTRACT(CELL("address",'Raw Data'!B17),"\$([A-Z]+)\$[0-9]+"))</f>
        <v/>
      </c>
      <c r="C17" s="6" t="str" cm="1">
        <f t="array" aca="1" ref="C17" ca="1">IF('Raw Data'!$C$10 = "Month # 1","",_xlfn.REGEXEXTRACT(CELL("address",'Raw Data'!C17),"\$([A-Z]+)\$[0-9]+"))</f>
        <v/>
      </c>
      <c r="D17" s="6"/>
      <c r="E17" s="6" t="str" cm="1">
        <f t="array" aca="1" ref="E17" ca="1">IF(AND('Raw Data'!E17&gt;=0,'Raw Data'!E17&lt;=1),"",_xlfn.REGEXEXTRACT(CELL("address",'Raw Data'!E17),"\$([A-Z]+)\$[0-9]+"))</f>
        <v/>
      </c>
      <c r="F17" s="6" t="str" cm="1">
        <f t="array" aca="1" ref="F17" ca="1">IF(AND('Raw Data'!F17&gt;=0,'Raw Data'!F17&lt;=1),"",_xlfn.REGEXEXTRACT(CELL("address",'Raw Data'!F17),"\$([A-Z]+)\$[0-9]+"))</f>
        <v/>
      </c>
      <c r="G17" s="6" t="str" cm="1">
        <f t="array" aca="1" ref="G17" ca="1">IF(AND('Raw Data'!G17&gt;=0,'Raw Data'!G17&lt;=1),"",_xlfn.REGEXEXTRACT(CELL("address",'Raw Data'!G17),"\$([A-Z]+)\$[0-9]+"))</f>
        <v/>
      </c>
      <c r="H17" s="6" t="str" cm="1">
        <f t="array" aca="1" ref="H17" ca="1">IF(AND('Raw Data'!H17&gt;=0,'Raw Data'!H17&lt;=1),"",_xlfn.REGEXEXTRACT(CELL("address",'Raw Data'!H17),"\$([A-Z]+)\$[0-9]+"))</f>
        <v/>
      </c>
      <c r="I17" s="6" t="str" cm="1">
        <f t="array" aca="1" ref="I17" ca="1">IF(AND('Raw Data'!I17&gt;=0,'Raw Data'!I17&lt;=1),"",_xlfn.REGEXEXTRACT(CELL("address",'Raw Data'!I17),"\$([A-Z]+)\$[0-9]+"))</f>
        <v/>
      </c>
      <c r="J17" s="6" t="str" cm="1">
        <f t="array" aca="1" ref="J17" ca="1">IF(AND('Raw Data'!J17&gt;=0,'Raw Data'!J17&lt;=1),"",_xlfn.REGEXEXTRACT(CELL("address",'Raw Data'!J17),"\$([A-Z]+)\$[0-9]+"))</f>
        <v/>
      </c>
    </row>
    <row r="18" spans="2:10" x14ac:dyDescent="0.25">
      <c r="B18" s="6" t="str" cm="1">
        <f t="array" aca="1" ref="B18" ca="1">IF('Raw Data'!$B$10 = "Overall Project","",_xlfn.REGEXEXTRACT(CELL("address",'Raw Data'!B18),"\$([A-Z]+)\$[0-9]+"))</f>
        <v/>
      </c>
      <c r="C18" s="6" t="str" cm="1">
        <f t="array" aca="1" ref="C18" ca="1">IF('Raw Data'!$C$10 = "Month # 1","",_xlfn.REGEXEXTRACT(CELL("address",'Raw Data'!C18),"\$([A-Z]+)\$[0-9]+"))</f>
        <v/>
      </c>
      <c r="D18" s="6"/>
      <c r="E18" s="6" t="str" cm="1">
        <f t="array" aca="1" ref="E18" ca="1">IF(AND('Raw Data'!E18&gt;=0,'Raw Data'!E18&lt;=1),"",_xlfn.REGEXEXTRACT(CELL("address",'Raw Data'!E18),"\$([A-Z]+)\$[0-9]+"))</f>
        <v/>
      </c>
      <c r="F18" s="6" t="str" cm="1">
        <f t="array" aca="1" ref="F18" ca="1">IF(AND('Raw Data'!F18&gt;=0,'Raw Data'!F18&lt;=1),"",_xlfn.REGEXEXTRACT(CELL("address",'Raw Data'!F18),"\$([A-Z]+)\$[0-9]+"))</f>
        <v/>
      </c>
      <c r="G18" s="6" t="str" cm="1">
        <f t="array" aca="1" ref="G18" ca="1">IF(AND('Raw Data'!G18&gt;=0,'Raw Data'!G18&lt;=1),"",_xlfn.REGEXEXTRACT(CELL("address",'Raw Data'!G18),"\$([A-Z]+)\$[0-9]+"))</f>
        <v/>
      </c>
      <c r="H18" s="6" t="str" cm="1">
        <f t="array" aca="1" ref="H18" ca="1">IF(AND('Raw Data'!H18&gt;=0,'Raw Data'!H18&lt;=1),"",_xlfn.REGEXEXTRACT(CELL("address",'Raw Data'!H18),"\$([A-Z]+)\$[0-9]+"))</f>
        <v/>
      </c>
      <c r="I18" s="6" t="str" cm="1">
        <f t="array" aca="1" ref="I18" ca="1">IF(AND('Raw Data'!I18&gt;=0,'Raw Data'!I18&lt;=1),"",_xlfn.REGEXEXTRACT(CELL("address",'Raw Data'!I18),"\$([A-Z]+)\$[0-9]+"))</f>
        <v/>
      </c>
      <c r="J18" s="6" t="str" cm="1">
        <f t="array" aca="1" ref="J18" ca="1">IF(AND('Raw Data'!J18&gt;=0,'Raw Data'!J18&lt;=1),"",_xlfn.REGEXEXTRACT(CELL("address",'Raw Data'!J18),"\$([A-Z]+)\$[0-9]+"))</f>
        <v/>
      </c>
    </row>
    <row r="19" spans="2:10" x14ac:dyDescent="0.25">
      <c r="B19" s="6" t="str" cm="1">
        <f t="array" aca="1" ref="B19" ca="1">IF('Raw Data'!$B$10 = "Overall Project","",_xlfn.REGEXEXTRACT(CELL("address",'Raw Data'!B19),"\$([A-Z]+)\$[0-9]+"))</f>
        <v/>
      </c>
      <c r="C19" s="6" t="str" cm="1">
        <f t="array" aca="1" ref="C19" ca="1">IF('Raw Data'!$C$10 = "Month # 1","",_xlfn.REGEXEXTRACT(CELL("address",'Raw Data'!C19),"\$([A-Z]+)\$[0-9]+"))</f>
        <v/>
      </c>
      <c r="D19" s="6"/>
      <c r="E19" s="6" t="str" cm="1">
        <f t="array" aca="1" ref="E19" ca="1">IF(AND('Raw Data'!E19&gt;=0,'Raw Data'!E19&lt;=1),"",_xlfn.REGEXEXTRACT(CELL("address",'Raw Data'!E19),"\$([A-Z]+)\$[0-9]+"))</f>
        <v/>
      </c>
      <c r="F19" s="6" t="str" cm="1">
        <f t="array" aca="1" ref="F19" ca="1">IF(AND('Raw Data'!F19&gt;=0,'Raw Data'!F19&lt;=1),"",_xlfn.REGEXEXTRACT(CELL("address",'Raw Data'!F19),"\$([A-Z]+)\$[0-9]+"))</f>
        <v/>
      </c>
      <c r="G19" s="6" t="str" cm="1">
        <f t="array" aca="1" ref="G19" ca="1">IF(AND('Raw Data'!G19&gt;=0,'Raw Data'!G19&lt;=1),"",_xlfn.REGEXEXTRACT(CELL("address",'Raw Data'!G19),"\$([A-Z]+)\$[0-9]+"))</f>
        <v/>
      </c>
      <c r="H19" s="6" t="str" cm="1">
        <f t="array" aca="1" ref="H19" ca="1">IF(AND('Raw Data'!H19&gt;=0,'Raw Data'!H19&lt;=1),"",_xlfn.REGEXEXTRACT(CELL("address",'Raw Data'!H19),"\$([A-Z]+)\$[0-9]+"))</f>
        <v/>
      </c>
      <c r="I19" s="6" t="str" cm="1">
        <f t="array" aca="1" ref="I19" ca="1">IF(AND('Raw Data'!I19&gt;=0,'Raw Data'!I19&lt;=1),"",_xlfn.REGEXEXTRACT(CELL("address",'Raw Data'!I19),"\$([A-Z]+)\$[0-9]+"))</f>
        <v/>
      </c>
      <c r="J19" s="6" t="str" cm="1">
        <f t="array" aca="1" ref="J19" ca="1">IF(AND('Raw Data'!J19&gt;=0,'Raw Data'!J19&lt;=1),"",_xlfn.REGEXEXTRACT(CELL("address",'Raw Data'!J19),"\$([A-Z]+)\$[0-9]+"))</f>
        <v/>
      </c>
    </row>
    <row r="20" spans="2:10" x14ac:dyDescent="0.25">
      <c r="B20" s="6" t="str" cm="1">
        <f t="array" aca="1" ref="B20" ca="1">IF('Raw Data'!$B$10 = "Overall Project","",_xlfn.REGEXEXTRACT(CELL("address",'Raw Data'!B20),"\$([A-Z]+)\$[0-9]+"))</f>
        <v/>
      </c>
      <c r="C20" s="6" t="str" cm="1">
        <f t="array" aca="1" ref="C20" ca="1">IF('Raw Data'!$C$10 = "Month # 1","",_xlfn.REGEXEXTRACT(CELL("address",'Raw Data'!C20),"\$([A-Z]+)\$[0-9]+"))</f>
        <v/>
      </c>
      <c r="D20" s="6"/>
      <c r="E20" s="6" t="str" cm="1">
        <f t="array" aca="1" ref="E20" ca="1">IF(AND('Raw Data'!E20&gt;=0,'Raw Data'!E20&lt;=1),"",_xlfn.REGEXEXTRACT(CELL("address",'Raw Data'!E20),"\$([A-Z]+)\$[0-9]+"))</f>
        <v/>
      </c>
      <c r="F20" s="6" t="str" cm="1">
        <f t="array" aca="1" ref="F20" ca="1">IF(AND('Raw Data'!F20&gt;=0,'Raw Data'!F20&lt;=1),"",_xlfn.REGEXEXTRACT(CELL("address",'Raw Data'!F20),"\$([A-Z]+)\$[0-9]+"))</f>
        <v/>
      </c>
      <c r="G20" s="6" t="str" cm="1">
        <f t="array" aca="1" ref="G20" ca="1">IF(AND('Raw Data'!G20&gt;=0,'Raw Data'!G20&lt;=1),"",_xlfn.REGEXEXTRACT(CELL("address",'Raw Data'!G20),"\$([A-Z]+)\$[0-9]+"))</f>
        <v/>
      </c>
      <c r="H20" s="6" t="str" cm="1">
        <f t="array" aca="1" ref="H20" ca="1">IF(AND('Raw Data'!H20&gt;=0,'Raw Data'!H20&lt;=1),"",_xlfn.REGEXEXTRACT(CELL("address",'Raw Data'!H20),"\$([A-Z]+)\$[0-9]+"))</f>
        <v/>
      </c>
      <c r="I20" s="6" t="str" cm="1">
        <f t="array" aca="1" ref="I20" ca="1">IF(AND('Raw Data'!I20&gt;=0,'Raw Data'!I20&lt;=1),"",_xlfn.REGEXEXTRACT(CELL("address",'Raw Data'!I20),"\$([A-Z]+)\$[0-9]+"))</f>
        <v/>
      </c>
      <c r="J20" s="6" t="str" cm="1">
        <f t="array" aca="1" ref="J20" ca="1">IF(AND('Raw Data'!J20&gt;=0,'Raw Data'!J20&lt;=1),"",_xlfn.REGEXEXTRACT(CELL("address",'Raw Data'!J20),"\$([A-Z]+)\$[0-9]+"))</f>
        <v/>
      </c>
    </row>
    <row r="21" spans="2:10" x14ac:dyDescent="0.25">
      <c r="B21" s="6" t="str" cm="1">
        <f t="array" aca="1" ref="B21" ca="1">IF('Raw Data'!$B$10 = "Overall Project","",_xlfn.REGEXEXTRACT(CELL("address",'Raw Data'!B21),"\$([A-Z]+)\$[0-9]+"))</f>
        <v/>
      </c>
      <c r="C21" s="6" t="str" cm="1">
        <f t="array" aca="1" ref="C21" ca="1">IF('Raw Data'!$C$10 = "Month # 1","",_xlfn.REGEXEXTRACT(CELL("address",'Raw Data'!C21),"\$([A-Z]+)\$[0-9]+"))</f>
        <v/>
      </c>
      <c r="D21" s="6"/>
      <c r="E21" s="6" t="str" cm="1">
        <f t="array" aca="1" ref="E21" ca="1">IF(AND('Raw Data'!E21&gt;=0,'Raw Data'!E21&lt;=1),"",_xlfn.REGEXEXTRACT(CELL("address",'Raw Data'!E21),"\$([A-Z]+)\$[0-9]+"))</f>
        <v/>
      </c>
      <c r="F21" s="6" t="str" cm="1">
        <f t="array" aca="1" ref="F21" ca="1">IF(AND('Raw Data'!F21&gt;=0,'Raw Data'!F21&lt;=1),"",_xlfn.REGEXEXTRACT(CELL("address",'Raw Data'!F21),"\$([A-Z]+)\$[0-9]+"))</f>
        <v/>
      </c>
      <c r="G21" s="6" t="str" cm="1">
        <f t="array" aca="1" ref="G21" ca="1">IF(AND('Raw Data'!G21&gt;=0,'Raw Data'!G21&lt;=1),"",_xlfn.REGEXEXTRACT(CELL("address",'Raw Data'!G21),"\$([A-Z]+)\$[0-9]+"))</f>
        <v/>
      </c>
      <c r="H21" s="6" t="str" cm="1">
        <f t="array" aca="1" ref="H21" ca="1">IF(AND('Raw Data'!H21&gt;=0,'Raw Data'!H21&lt;=1),"",_xlfn.REGEXEXTRACT(CELL("address",'Raw Data'!H21),"\$([A-Z]+)\$[0-9]+"))</f>
        <v/>
      </c>
      <c r="I21" s="6" t="str" cm="1">
        <f t="array" aca="1" ref="I21" ca="1">IF(AND('Raw Data'!I21&gt;=0,'Raw Data'!I21&lt;=1),"",_xlfn.REGEXEXTRACT(CELL("address",'Raw Data'!I21),"\$([A-Z]+)\$[0-9]+"))</f>
        <v/>
      </c>
      <c r="J21" s="6" t="str" cm="1">
        <f t="array" aca="1" ref="J21" ca="1">IF(AND('Raw Data'!J21&gt;=0,'Raw Data'!J21&lt;=1),"",_xlfn.REGEXEXTRACT(CELL("address",'Raw Data'!J21),"\$([A-Z]+)\$[0-9]+"))</f>
        <v/>
      </c>
    </row>
    <row r="22" spans="2:10" x14ac:dyDescent="0.25">
      <c r="B22" s="6" t="str" cm="1">
        <f t="array" aca="1" ref="B22" ca="1">IF('Raw Data'!$B$10 = "Overall Project","",_xlfn.REGEXEXTRACT(CELL("address",'Raw Data'!B22),"\$([A-Z]+)\$[0-9]+"))</f>
        <v/>
      </c>
      <c r="C22" s="6" t="str" cm="1">
        <f t="array" aca="1" ref="C22" ca="1">IF('Raw Data'!$C$10 = "Month # 1","",_xlfn.REGEXEXTRACT(CELL("address",'Raw Data'!C22),"\$([A-Z]+)\$[0-9]+"))</f>
        <v/>
      </c>
      <c r="D22" s="6"/>
      <c r="E22" s="6" t="str" cm="1">
        <f t="array" aca="1" ref="E22" ca="1">IF(AND('Raw Data'!E22&gt;=0,'Raw Data'!E22&lt;=1),"",_xlfn.REGEXEXTRACT(CELL("address",'Raw Data'!E22),"\$([A-Z]+)\$[0-9]+"))</f>
        <v/>
      </c>
      <c r="F22" s="6" t="str" cm="1">
        <f t="array" aca="1" ref="F22" ca="1">IF(AND('Raw Data'!F22&gt;=0,'Raw Data'!F22&lt;=1),"",_xlfn.REGEXEXTRACT(CELL("address",'Raw Data'!F22),"\$([A-Z]+)\$[0-9]+"))</f>
        <v/>
      </c>
      <c r="G22" s="6" t="str" cm="1">
        <f t="array" aca="1" ref="G22" ca="1">IF(AND('Raw Data'!G22&gt;=0,'Raw Data'!G22&lt;=1),"",_xlfn.REGEXEXTRACT(CELL("address",'Raw Data'!G22),"\$([A-Z]+)\$[0-9]+"))</f>
        <v/>
      </c>
      <c r="H22" s="6" t="str" cm="1">
        <f t="array" aca="1" ref="H22" ca="1">IF(AND('Raw Data'!H22&gt;=0,'Raw Data'!H22&lt;=1),"",_xlfn.REGEXEXTRACT(CELL("address",'Raw Data'!H22),"\$([A-Z]+)\$[0-9]+"))</f>
        <v/>
      </c>
      <c r="I22" s="6" t="str" cm="1">
        <f t="array" aca="1" ref="I22" ca="1">IF(AND('Raw Data'!I22&gt;=0,'Raw Data'!I22&lt;=1),"",_xlfn.REGEXEXTRACT(CELL("address",'Raw Data'!I22),"\$([A-Z]+)\$[0-9]+"))</f>
        <v/>
      </c>
      <c r="J22" s="6" t="str" cm="1">
        <f t="array" aca="1" ref="J22" ca="1">IF(AND('Raw Data'!J22&gt;=0,'Raw Data'!J22&lt;=1),"",_xlfn.REGEXEXTRACT(CELL("address",'Raw Data'!J22),"\$([A-Z]+)\$[0-9]+"))</f>
        <v/>
      </c>
    </row>
    <row r="23" spans="2:10" x14ac:dyDescent="0.25">
      <c r="B23" s="6" t="str" cm="1">
        <f t="array" aca="1" ref="B23" ca="1">IF('Raw Data'!$B$10 = "Overall Project","",_xlfn.REGEXEXTRACT(CELL("address",'Raw Data'!B23),"\$([A-Z]+)\$[0-9]+"))</f>
        <v/>
      </c>
      <c r="C23" s="6" t="str" cm="1">
        <f t="array" aca="1" ref="C23" ca="1">IF('Raw Data'!$C$10 = "Month # 1","",_xlfn.REGEXEXTRACT(CELL("address",'Raw Data'!C23),"\$([A-Z]+)\$[0-9]+"))</f>
        <v/>
      </c>
      <c r="D23" s="6"/>
      <c r="E23" s="6" t="str" cm="1">
        <f t="array" aca="1" ref="E23" ca="1">IF(AND('Raw Data'!E23&gt;=0,'Raw Data'!E23&lt;=1),"",_xlfn.REGEXEXTRACT(CELL("address",'Raw Data'!E23),"\$([A-Z]+)\$[0-9]+"))</f>
        <v/>
      </c>
      <c r="F23" s="6" t="str" cm="1">
        <f t="array" aca="1" ref="F23" ca="1">IF(AND('Raw Data'!F23&gt;=0,'Raw Data'!F23&lt;=1),"",_xlfn.REGEXEXTRACT(CELL("address",'Raw Data'!F23),"\$([A-Z]+)\$[0-9]+"))</f>
        <v/>
      </c>
      <c r="G23" s="6" t="str" cm="1">
        <f t="array" aca="1" ref="G23" ca="1">IF(AND('Raw Data'!G23&gt;=0,'Raw Data'!G23&lt;=1),"",_xlfn.REGEXEXTRACT(CELL("address",'Raw Data'!G23),"\$([A-Z]+)\$[0-9]+"))</f>
        <v/>
      </c>
      <c r="H23" s="6" t="str" cm="1">
        <f t="array" aca="1" ref="H23" ca="1">IF(AND('Raw Data'!H23&gt;=0,'Raw Data'!H23&lt;=1),"",_xlfn.REGEXEXTRACT(CELL("address",'Raw Data'!H23),"\$([A-Z]+)\$[0-9]+"))</f>
        <v/>
      </c>
      <c r="I23" s="6" t="str" cm="1">
        <f t="array" aca="1" ref="I23" ca="1">IF(AND('Raw Data'!I23&gt;=0,'Raw Data'!I23&lt;=1),"",_xlfn.REGEXEXTRACT(CELL("address",'Raw Data'!I23),"\$([A-Z]+)\$[0-9]+"))</f>
        <v/>
      </c>
      <c r="J23" s="6" t="str" cm="1">
        <f t="array" aca="1" ref="J23" ca="1">IF(AND('Raw Data'!J23&gt;=0,'Raw Data'!J23&lt;=1),"",_xlfn.REGEXEXTRACT(CELL("address",'Raw Data'!J23),"\$([A-Z]+)\$[0-9]+"))</f>
        <v/>
      </c>
    </row>
    <row r="24" spans="2:10" x14ac:dyDescent="0.25">
      <c r="B24" s="6" t="str" cm="1">
        <f t="array" aca="1" ref="B24" ca="1">IF('Raw Data'!$B$10 = "Overall Project","",_xlfn.REGEXEXTRACT(CELL("address",'Raw Data'!B24),"\$([A-Z]+)\$[0-9]+"))</f>
        <v/>
      </c>
      <c r="C24" s="6" t="str" cm="1">
        <f t="array" aca="1" ref="C24" ca="1">IF('Raw Data'!$C$10 = "Month # 1","",_xlfn.REGEXEXTRACT(CELL("address",'Raw Data'!C24),"\$([A-Z]+)\$[0-9]+"))</f>
        <v/>
      </c>
      <c r="D24" s="6"/>
      <c r="E24" s="6" t="str" cm="1">
        <f t="array" aca="1" ref="E24" ca="1">IF(AND('Raw Data'!E24&gt;=0,'Raw Data'!E24&lt;=1),"",_xlfn.REGEXEXTRACT(CELL("address",'Raw Data'!E24),"\$([A-Z]+)\$[0-9]+"))</f>
        <v/>
      </c>
      <c r="F24" s="6" t="str" cm="1">
        <f t="array" aca="1" ref="F24" ca="1">IF(AND('Raw Data'!F24&gt;=0,'Raw Data'!F24&lt;=1),"",_xlfn.REGEXEXTRACT(CELL("address",'Raw Data'!F24),"\$([A-Z]+)\$[0-9]+"))</f>
        <v/>
      </c>
      <c r="G24" s="6" t="str" cm="1">
        <f t="array" aca="1" ref="G24" ca="1">IF(AND('Raw Data'!G24&gt;=0,'Raw Data'!G24&lt;=1),"",_xlfn.REGEXEXTRACT(CELL("address",'Raw Data'!G24),"\$([A-Z]+)\$[0-9]+"))</f>
        <v/>
      </c>
      <c r="H24" s="6" t="str" cm="1">
        <f t="array" aca="1" ref="H24" ca="1">IF(AND('Raw Data'!H24&gt;=0,'Raw Data'!H24&lt;=1),"",_xlfn.REGEXEXTRACT(CELL("address",'Raw Data'!H24),"\$([A-Z]+)\$[0-9]+"))</f>
        <v/>
      </c>
      <c r="I24" s="6" t="str" cm="1">
        <f t="array" aca="1" ref="I24" ca="1">IF(AND('Raw Data'!I24&gt;=0,'Raw Data'!I24&lt;=1),"",_xlfn.REGEXEXTRACT(CELL("address",'Raw Data'!I24),"\$([A-Z]+)\$[0-9]+"))</f>
        <v/>
      </c>
      <c r="J24" s="6" t="str" cm="1">
        <f t="array" aca="1" ref="J24" ca="1">IF(AND('Raw Data'!J24&gt;=0,'Raw Data'!J24&lt;=1),"",_xlfn.REGEXEXTRACT(CELL("address",'Raw Data'!J24),"\$([A-Z]+)\$[0-9]+"))</f>
        <v/>
      </c>
    </row>
    <row r="25" spans="2:10" x14ac:dyDescent="0.25">
      <c r="B25" s="6" t="str" cm="1">
        <f t="array" aca="1" ref="B25" ca="1">IF('Raw Data'!$B$10 = "Overall Project","",_xlfn.REGEXEXTRACT(CELL("address",'Raw Data'!B25),"\$([A-Z]+)\$[0-9]+"))</f>
        <v/>
      </c>
      <c r="C25" s="6" t="str" cm="1">
        <f t="array" aca="1" ref="C25" ca="1">IF('Raw Data'!$C$10 = "Month # 1","",_xlfn.REGEXEXTRACT(CELL("address",'Raw Data'!C25),"\$([A-Z]+)\$[0-9]+"))</f>
        <v/>
      </c>
      <c r="D25" s="6"/>
      <c r="E25" s="6" t="str" cm="1">
        <f t="array" aca="1" ref="E25" ca="1">IF(AND('Raw Data'!E25&gt;=0,'Raw Data'!E25&lt;=1),"",_xlfn.REGEXEXTRACT(CELL("address",'Raw Data'!E25),"\$([A-Z]+)\$[0-9]+"))</f>
        <v/>
      </c>
      <c r="F25" s="6" t="str" cm="1">
        <f t="array" aca="1" ref="F25" ca="1">IF(AND('Raw Data'!F25&gt;=0,'Raw Data'!F25&lt;=1),"",_xlfn.REGEXEXTRACT(CELL("address",'Raw Data'!F25),"\$([A-Z]+)\$[0-9]+"))</f>
        <v/>
      </c>
      <c r="G25" s="6" t="str" cm="1">
        <f t="array" aca="1" ref="G25" ca="1">IF(AND('Raw Data'!G25&gt;=0,'Raw Data'!G25&lt;=1),"",_xlfn.REGEXEXTRACT(CELL("address",'Raw Data'!G25),"\$([A-Z]+)\$[0-9]+"))</f>
        <v/>
      </c>
      <c r="H25" s="6" t="str" cm="1">
        <f t="array" aca="1" ref="H25" ca="1">IF(AND('Raw Data'!H25&gt;=0,'Raw Data'!H25&lt;=1),"",_xlfn.REGEXEXTRACT(CELL("address",'Raw Data'!H25),"\$([A-Z]+)\$[0-9]+"))</f>
        <v/>
      </c>
      <c r="I25" s="6" t="str" cm="1">
        <f t="array" aca="1" ref="I25" ca="1">IF(AND('Raw Data'!I25&gt;=0,'Raw Data'!I25&lt;=1),"",_xlfn.REGEXEXTRACT(CELL("address",'Raw Data'!I25),"\$([A-Z]+)\$[0-9]+"))</f>
        <v/>
      </c>
      <c r="J25" s="6" t="str" cm="1">
        <f t="array" aca="1" ref="J25" ca="1">IF(AND('Raw Data'!J25&gt;=0,'Raw Data'!J25&lt;=1),"",_xlfn.REGEXEXTRACT(CELL("address",'Raw Data'!J25),"\$([A-Z]+)\$[0-9]+"))</f>
        <v/>
      </c>
    </row>
    <row r="26" spans="2:10" x14ac:dyDescent="0.25">
      <c r="B26" s="6" t="str" cm="1">
        <f t="array" aca="1" ref="B26" ca="1">IF('Raw Data'!$B$10 = "Overall Project","",_xlfn.REGEXEXTRACT(CELL("address",'Raw Data'!B26),"\$([A-Z]+)\$[0-9]+"))</f>
        <v/>
      </c>
      <c r="C26" s="6" t="str" cm="1">
        <f t="array" aca="1" ref="C26" ca="1">IF('Raw Data'!$C$10 = "Month # 1","",_xlfn.REGEXEXTRACT(CELL("address",'Raw Data'!C26),"\$([A-Z]+)\$[0-9]+"))</f>
        <v/>
      </c>
      <c r="D26" s="6"/>
      <c r="E26" s="6" t="str" cm="1">
        <f t="array" aca="1" ref="E26" ca="1">IF(AND('Raw Data'!E26&gt;=0,'Raw Data'!E26&lt;=1),"",_xlfn.REGEXEXTRACT(CELL("address",'Raw Data'!E26),"\$([A-Z]+)\$[0-9]+"))</f>
        <v/>
      </c>
      <c r="F26" s="6" t="str" cm="1">
        <f t="array" aca="1" ref="F26" ca="1">IF(AND('Raw Data'!F26&gt;=0,'Raw Data'!F26&lt;=1),"",_xlfn.REGEXEXTRACT(CELL("address",'Raw Data'!F26),"\$([A-Z]+)\$[0-9]+"))</f>
        <v/>
      </c>
      <c r="G26" s="6" t="str" cm="1">
        <f t="array" aca="1" ref="G26" ca="1">IF(AND('Raw Data'!G26&gt;=0,'Raw Data'!G26&lt;=1),"",_xlfn.REGEXEXTRACT(CELL("address",'Raw Data'!G26),"\$([A-Z]+)\$[0-9]+"))</f>
        <v/>
      </c>
      <c r="H26" s="6" t="str" cm="1">
        <f t="array" aca="1" ref="H26" ca="1">IF(AND('Raw Data'!H26&gt;=0,'Raw Data'!H26&lt;=1),"",_xlfn.REGEXEXTRACT(CELL("address",'Raw Data'!H26),"\$([A-Z]+)\$[0-9]+"))</f>
        <v/>
      </c>
      <c r="I26" s="6" t="str" cm="1">
        <f t="array" aca="1" ref="I26" ca="1">IF(AND('Raw Data'!I26&gt;=0,'Raw Data'!I26&lt;=1),"",_xlfn.REGEXEXTRACT(CELL("address",'Raw Data'!I26),"\$([A-Z]+)\$[0-9]+"))</f>
        <v/>
      </c>
      <c r="J26" s="6" t="str" cm="1">
        <f t="array" aca="1" ref="J26" ca="1">IF(AND('Raw Data'!J26&gt;=0,'Raw Data'!J26&lt;=1),"",_xlfn.REGEXEXTRACT(CELL("address",'Raw Data'!J26),"\$([A-Z]+)\$[0-9]+"))</f>
        <v/>
      </c>
    </row>
    <row r="27" spans="2:10" x14ac:dyDescent="0.25">
      <c r="B27" s="6" t="str" cm="1">
        <f t="array" aca="1" ref="B27" ca="1">IF('Raw Data'!$B$10 = "Overall Project","",_xlfn.REGEXEXTRACT(CELL("address",'Raw Data'!B27),"\$([A-Z]+)\$[0-9]+"))</f>
        <v/>
      </c>
      <c r="C27" s="6" t="str" cm="1">
        <f t="array" aca="1" ref="C27" ca="1">IF('Raw Data'!$C$10 = "Month # 1","",_xlfn.REGEXEXTRACT(CELL("address",'Raw Data'!C27),"\$([A-Z]+)\$[0-9]+"))</f>
        <v/>
      </c>
      <c r="D27" s="6"/>
      <c r="E27" s="6" t="str" cm="1">
        <f t="array" aca="1" ref="E27" ca="1">IF(AND('Raw Data'!E27&gt;=0,'Raw Data'!E27&lt;=1),"",_xlfn.REGEXEXTRACT(CELL("address",'Raw Data'!E27),"\$([A-Z]+)\$[0-9]+"))</f>
        <v/>
      </c>
      <c r="F27" s="6" t="str" cm="1">
        <f t="array" aca="1" ref="F27" ca="1">IF(AND('Raw Data'!F27&gt;=0,'Raw Data'!F27&lt;=1),"",_xlfn.REGEXEXTRACT(CELL("address",'Raw Data'!F27),"\$([A-Z]+)\$[0-9]+"))</f>
        <v/>
      </c>
      <c r="G27" s="6" t="str" cm="1">
        <f t="array" aca="1" ref="G27" ca="1">IF(AND('Raw Data'!G27&gt;=0,'Raw Data'!G27&lt;=1),"",_xlfn.REGEXEXTRACT(CELL("address",'Raw Data'!G27),"\$([A-Z]+)\$[0-9]+"))</f>
        <v/>
      </c>
      <c r="H27" s="6" t="str" cm="1">
        <f t="array" aca="1" ref="H27" ca="1">IF(AND('Raw Data'!H27&gt;=0,'Raw Data'!H27&lt;=1),"",_xlfn.REGEXEXTRACT(CELL("address",'Raw Data'!H27),"\$([A-Z]+)\$[0-9]+"))</f>
        <v/>
      </c>
      <c r="I27" s="6" t="str" cm="1">
        <f t="array" aca="1" ref="I27" ca="1">IF(AND('Raw Data'!I27&gt;=0,'Raw Data'!I27&lt;=1),"",_xlfn.REGEXEXTRACT(CELL("address",'Raw Data'!I27),"\$([A-Z]+)\$[0-9]+"))</f>
        <v/>
      </c>
      <c r="J27" s="6" t="str" cm="1">
        <f t="array" aca="1" ref="J27" ca="1">IF(AND('Raw Data'!J27&gt;=0,'Raw Data'!J27&lt;=1),"",_xlfn.REGEXEXTRACT(CELL("address",'Raw Data'!J27),"\$([A-Z]+)\$[0-9]+"))</f>
        <v/>
      </c>
    </row>
    <row r="28" spans="2:10" x14ac:dyDescent="0.25">
      <c r="B28" s="6" t="str" cm="1">
        <f t="array" aca="1" ref="B28" ca="1">IF('Raw Data'!$B$10 = "Overall Project","",_xlfn.REGEXEXTRACT(CELL("address",'Raw Data'!B28),"\$([A-Z]+)\$[0-9]+"))</f>
        <v/>
      </c>
      <c r="C28" s="6" t="str" cm="1">
        <f t="array" aca="1" ref="C28" ca="1">IF('Raw Data'!$C$10 = "Month # 1","",_xlfn.REGEXEXTRACT(CELL("address",'Raw Data'!C28),"\$([A-Z]+)\$[0-9]+"))</f>
        <v/>
      </c>
      <c r="D28" s="6"/>
      <c r="E28" s="6" t="str" cm="1">
        <f t="array" aca="1" ref="E28" ca="1">IF(AND('Raw Data'!E28&gt;=0,'Raw Data'!E28&lt;=1),"",_xlfn.REGEXEXTRACT(CELL("address",'Raw Data'!E28),"\$([A-Z]+)\$[0-9]+"))</f>
        <v/>
      </c>
      <c r="F28" s="6" t="str" cm="1">
        <f t="array" aca="1" ref="F28" ca="1">IF(AND('Raw Data'!F28&gt;=0,'Raw Data'!F28&lt;=1),"",_xlfn.REGEXEXTRACT(CELL("address",'Raw Data'!F28),"\$([A-Z]+)\$[0-9]+"))</f>
        <v/>
      </c>
      <c r="G28" s="6" t="str" cm="1">
        <f t="array" aca="1" ref="G28" ca="1">IF(AND('Raw Data'!G28&gt;=0,'Raw Data'!G28&lt;=1),"",_xlfn.REGEXEXTRACT(CELL("address",'Raw Data'!G28),"\$([A-Z]+)\$[0-9]+"))</f>
        <v/>
      </c>
      <c r="H28" s="6" t="str" cm="1">
        <f t="array" aca="1" ref="H28" ca="1">IF(AND('Raw Data'!H28&gt;=0,'Raw Data'!H28&lt;=1),"",_xlfn.REGEXEXTRACT(CELL("address",'Raw Data'!H28),"\$([A-Z]+)\$[0-9]+"))</f>
        <v/>
      </c>
      <c r="I28" s="6" t="str" cm="1">
        <f t="array" aca="1" ref="I28" ca="1">IF(AND('Raw Data'!I28&gt;=0,'Raw Data'!I28&lt;=1),"",_xlfn.REGEXEXTRACT(CELL("address",'Raw Data'!I28),"\$([A-Z]+)\$[0-9]+"))</f>
        <v/>
      </c>
      <c r="J28" s="6" t="str" cm="1">
        <f t="array" aca="1" ref="J28" ca="1">IF(AND('Raw Data'!J28&gt;=0,'Raw Data'!J28&lt;=1),"",_xlfn.REGEXEXTRACT(CELL("address",'Raw Data'!J28),"\$([A-Z]+)\$[0-9]+"))</f>
        <v/>
      </c>
    </row>
    <row r="29" spans="2:10" x14ac:dyDescent="0.25">
      <c r="B29" s="6" t="str" cm="1">
        <f t="array" aca="1" ref="B29" ca="1">IF('Raw Data'!$B$10 = "Overall Project","",_xlfn.REGEXEXTRACT(CELL("address",'Raw Data'!B29),"\$([A-Z]+)\$[0-9]+"))</f>
        <v/>
      </c>
      <c r="C29" s="6" t="str" cm="1">
        <f t="array" aca="1" ref="C29" ca="1">IF('Raw Data'!$C$10 = "Month # 1","",_xlfn.REGEXEXTRACT(CELL("address",'Raw Data'!C29),"\$([A-Z]+)\$[0-9]+"))</f>
        <v/>
      </c>
      <c r="D29" s="6"/>
      <c r="E29" s="6" t="str" cm="1">
        <f t="array" aca="1" ref="E29" ca="1">IF(AND('Raw Data'!E29&gt;=0,'Raw Data'!E29&lt;=1),"",_xlfn.REGEXEXTRACT(CELL("address",'Raw Data'!E29),"\$([A-Z]+)\$[0-9]+"))</f>
        <v/>
      </c>
      <c r="F29" s="6" t="str" cm="1">
        <f t="array" aca="1" ref="F29" ca="1">IF(AND('Raw Data'!F29&gt;=0,'Raw Data'!F29&lt;=1),"",_xlfn.REGEXEXTRACT(CELL("address",'Raw Data'!F29),"\$([A-Z]+)\$[0-9]+"))</f>
        <v/>
      </c>
      <c r="G29" s="6" t="str" cm="1">
        <f t="array" aca="1" ref="G29" ca="1">IF(AND('Raw Data'!G29&gt;=0,'Raw Data'!G29&lt;=1),"",_xlfn.REGEXEXTRACT(CELL("address",'Raw Data'!G29),"\$([A-Z]+)\$[0-9]+"))</f>
        <v/>
      </c>
      <c r="H29" s="6" t="str" cm="1">
        <f t="array" aca="1" ref="H29" ca="1">IF(AND('Raw Data'!H29&gt;=0,'Raw Data'!H29&lt;=1),"",_xlfn.REGEXEXTRACT(CELL("address",'Raw Data'!H29),"\$([A-Z]+)\$[0-9]+"))</f>
        <v/>
      </c>
      <c r="I29" s="6" t="str" cm="1">
        <f t="array" aca="1" ref="I29" ca="1">IF(AND('Raw Data'!I29&gt;=0,'Raw Data'!I29&lt;=1),"",_xlfn.REGEXEXTRACT(CELL("address",'Raw Data'!I29),"\$([A-Z]+)\$[0-9]+"))</f>
        <v/>
      </c>
      <c r="J29" s="6" t="str" cm="1">
        <f t="array" aca="1" ref="J29" ca="1">IF(AND('Raw Data'!J29&gt;=0,'Raw Data'!J29&lt;=1),"",_xlfn.REGEXEXTRACT(CELL("address",'Raw Data'!J29),"\$([A-Z]+)\$[0-9]+"))</f>
        <v/>
      </c>
    </row>
    <row r="30" spans="2:10" x14ac:dyDescent="0.25">
      <c r="B30" s="6" t="str" cm="1">
        <f t="array" aca="1" ref="B30" ca="1">IF('Raw Data'!$B$10 = "Overall Project","",_xlfn.REGEXEXTRACT(CELL("address",'Raw Data'!B30),"\$([A-Z]+)\$[0-9]+"))</f>
        <v/>
      </c>
      <c r="C30" s="6" t="str" cm="1">
        <f t="array" aca="1" ref="C30" ca="1">IF('Raw Data'!$C$10 = "Month # 1","",_xlfn.REGEXEXTRACT(CELL("address",'Raw Data'!C30),"\$([A-Z]+)\$[0-9]+"))</f>
        <v/>
      </c>
      <c r="D30" s="6"/>
      <c r="E30" s="6" t="str" cm="1">
        <f t="array" aca="1" ref="E30" ca="1">IF(AND('Raw Data'!E30&gt;=0,'Raw Data'!E30&lt;=1),"",_xlfn.REGEXEXTRACT(CELL("address",'Raw Data'!E30),"\$([A-Z]+)\$[0-9]+"))</f>
        <v/>
      </c>
      <c r="F30" s="6" t="str" cm="1">
        <f t="array" aca="1" ref="F30" ca="1">IF(AND('Raw Data'!F30&gt;=0,'Raw Data'!F30&lt;=1),"",_xlfn.REGEXEXTRACT(CELL("address",'Raw Data'!F30),"\$([A-Z]+)\$[0-9]+"))</f>
        <v/>
      </c>
      <c r="G30" s="6" t="str" cm="1">
        <f t="array" aca="1" ref="G30" ca="1">IF(AND('Raw Data'!G30&gt;=0,'Raw Data'!G30&lt;=1),"",_xlfn.REGEXEXTRACT(CELL("address",'Raw Data'!G30),"\$([A-Z]+)\$[0-9]+"))</f>
        <v/>
      </c>
      <c r="H30" s="6" t="str" cm="1">
        <f t="array" aca="1" ref="H30" ca="1">IF(AND('Raw Data'!H30&gt;=0,'Raw Data'!H30&lt;=1),"",_xlfn.REGEXEXTRACT(CELL("address",'Raw Data'!H30),"\$([A-Z]+)\$[0-9]+"))</f>
        <v/>
      </c>
      <c r="I30" s="6" t="str" cm="1">
        <f t="array" aca="1" ref="I30" ca="1">IF(AND('Raw Data'!I30&gt;=0,'Raw Data'!I30&lt;=1),"",_xlfn.REGEXEXTRACT(CELL("address",'Raw Data'!I30),"\$([A-Z]+)\$[0-9]+"))</f>
        <v/>
      </c>
      <c r="J30" s="6" t="str" cm="1">
        <f t="array" aca="1" ref="J30" ca="1">IF(AND('Raw Data'!J30&gt;=0,'Raw Data'!J30&lt;=1),"",_xlfn.REGEXEXTRACT(CELL("address",'Raw Data'!J30),"\$([A-Z]+)\$[0-9]+"))</f>
        <v/>
      </c>
    </row>
    <row r="31" spans="2:10" x14ac:dyDescent="0.25">
      <c r="B31" s="6" t="str" cm="1">
        <f t="array" aca="1" ref="B31" ca="1">IF('Raw Data'!$B$10 = "Overall Project","",_xlfn.REGEXEXTRACT(CELL("address",'Raw Data'!B31),"\$([A-Z]+)\$[0-9]+"))</f>
        <v/>
      </c>
      <c r="C31" s="6" t="str" cm="1">
        <f t="array" aca="1" ref="C31" ca="1">IF('Raw Data'!$C$10 = "Month # 1","",_xlfn.REGEXEXTRACT(CELL("address",'Raw Data'!C31),"\$([A-Z]+)\$[0-9]+"))</f>
        <v/>
      </c>
      <c r="D31" s="6"/>
      <c r="E31" s="6" t="str" cm="1">
        <f t="array" aca="1" ref="E31" ca="1">IF(AND('Raw Data'!E31&gt;=0,'Raw Data'!E31&lt;=1),"",_xlfn.REGEXEXTRACT(CELL("address",'Raw Data'!E31),"\$([A-Z]+)\$[0-9]+"))</f>
        <v/>
      </c>
      <c r="F31" s="6" t="str" cm="1">
        <f t="array" aca="1" ref="F31" ca="1">IF(AND('Raw Data'!F31&gt;=0,'Raw Data'!F31&lt;=1),"",_xlfn.REGEXEXTRACT(CELL("address",'Raw Data'!F31),"\$([A-Z]+)\$[0-9]+"))</f>
        <v/>
      </c>
      <c r="G31" s="6" t="str" cm="1">
        <f t="array" aca="1" ref="G31" ca="1">IF(AND('Raw Data'!G31&gt;=0,'Raw Data'!G31&lt;=1),"",_xlfn.REGEXEXTRACT(CELL("address",'Raw Data'!G31),"\$([A-Z]+)\$[0-9]+"))</f>
        <v/>
      </c>
      <c r="H31" s="6" t="str" cm="1">
        <f t="array" aca="1" ref="H31" ca="1">IF(AND('Raw Data'!H31&gt;=0,'Raw Data'!H31&lt;=1),"",_xlfn.REGEXEXTRACT(CELL("address",'Raw Data'!H31),"\$([A-Z]+)\$[0-9]+"))</f>
        <v/>
      </c>
      <c r="I31" s="6" t="str" cm="1">
        <f t="array" aca="1" ref="I31" ca="1">IF(AND('Raw Data'!I31&gt;=0,'Raw Data'!I31&lt;=1),"",_xlfn.REGEXEXTRACT(CELL("address",'Raw Data'!I31),"\$([A-Z]+)\$[0-9]+"))</f>
        <v/>
      </c>
      <c r="J31" s="6" t="str" cm="1">
        <f t="array" aca="1" ref="J31" ca="1">IF(AND('Raw Data'!J31&gt;=0,'Raw Data'!J31&lt;=1),"",_xlfn.REGEXEXTRACT(CELL("address",'Raw Data'!J31),"\$([A-Z]+)\$[0-9]+"))</f>
        <v/>
      </c>
    </row>
    <row r="32" spans="2:10" x14ac:dyDescent="0.25">
      <c r="B32" s="6" t="str" cm="1">
        <f t="array" aca="1" ref="B32" ca="1">IF('Raw Data'!$B$10 = "Overall Project","",_xlfn.REGEXEXTRACT(CELL("address",'Raw Data'!B32),"\$([A-Z]+)\$[0-9]+"))</f>
        <v/>
      </c>
      <c r="C32" s="6" t="str" cm="1">
        <f t="array" aca="1" ref="C32" ca="1">IF('Raw Data'!$C$10 = "Month # 1","",_xlfn.REGEXEXTRACT(CELL("address",'Raw Data'!C32),"\$([A-Z]+)\$[0-9]+"))</f>
        <v/>
      </c>
      <c r="D32" s="6"/>
      <c r="E32" s="6" t="str" cm="1">
        <f t="array" aca="1" ref="E32" ca="1">IF(AND('Raw Data'!E32&gt;=0,'Raw Data'!E32&lt;=1),"",_xlfn.REGEXEXTRACT(CELL("address",'Raw Data'!E32),"\$([A-Z]+)\$[0-9]+"))</f>
        <v/>
      </c>
      <c r="F32" s="6" t="str" cm="1">
        <f t="array" aca="1" ref="F32" ca="1">IF(AND('Raw Data'!F32&gt;=0,'Raw Data'!F32&lt;=1),"",_xlfn.REGEXEXTRACT(CELL("address",'Raw Data'!F32),"\$([A-Z]+)\$[0-9]+"))</f>
        <v/>
      </c>
      <c r="G32" s="6" t="str" cm="1">
        <f t="array" aca="1" ref="G32" ca="1">IF(AND('Raw Data'!G32&gt;=0,'Raw Data'!G32&lt;=1),"",_xlfn.REGEXEXTRACT(CELL("address",'Raw Data'!G32),"\$([A-Z]+)\$[0-9]+"))</f>
        <v/>
      </c>
      <c r="H32" s="6" t="str" cm="1">
        <f t="array" aca="1" ref="H32" ca="1">IF(AND('Raw Data'!H32&gt;=0,'Raw Data'!H32&lt;=1),"",_xlfn.REGEXEXTRACT(CELL("address",'Raw Data'!H32),"\$([A-Z]+)\$[0-9]+"))</f>
        <v/>
      </c>
      <c r="I32" s="6" t="str" cm="1">
        <f t="array" aca="1" ref="I32" ca="1">IF(AND('Raw Data'!I32&gt;=0,'Raw Data'!I32&lt;=1),"",_xlfn.REGEXEXTRACT(CELL("address",'Raw Data'!I32),"\$([A-Z]+)\$[0-9]+"))</f>
        <v/>
      </c>
      <c r="J32" s="6" t="str" cm="1">
        <f t="array" aca="1" ref="J32" ca="1">IF(AND('Raw Data'!J32&gt;=0,'Raw Data'!J32&lt;=1),"",_xlfn.REGEXEXTRACT(CELL("address",'Raw Data'!J32),"\$([A-Z]+)\$[0-9]+"))</f>
        <v/>
      </c>
    </row>
    <row r="33" spans="2:10" x14ac:dyDescent="0.25">
      <c r="B33" s="6" t="str" cm="1">
        <f t="array" aca="1" ref="B33" ca="1">IF('Raw Data'!$B$10 = "Overall Project","",_xlfn.REGEXEXTRACT(CELL("address",'Raw Data'!B33),"\$([A-Z]+)\$[0-9]+"))</f>
        <v/>
      </c>
      <c r="C33" s="6" t="str" cm="1">
        <f t="array" aca="1" ref="C33" ca="1">IF('Raw Data'!$C$10 = "Month # 1","",_xlfn.REGEXEXTRACT(CELL("address",'Raw Data'!C33),"\$([A-Z]+)\$[0-9]+"))</f>
        <v/>
      </c>
      <c r="D33" s="6"/>
      <c r="E33" s="6" t="str" cm="1">
        <f t="array" aca="1" ref="E33" ca="1">IF(AND('Raw Data'!E33&gt;=0,'Raw Data'!E33&lt;=1),"",_xlfn.REGEXEXTRACT(CELL("address",'Raw Data'!E33),"\$([A-Z]+)\$[0-9]+"))</f>
        <v/>
      </c>
      <c r="F33" s="6" t="str" cm="1">
        <f t="array" aca="1" ref="F33" ca="1">IF(AND('Raw Data'!F33&gt;=0,'Raw Data'!F33&lt;=1),"",_xlfn.REGEXEXTRACT(CELL("address",'Raw Data'!F33),"\$([A-Z]+)\$[0-9]+"))</f>
        <v/>
      </c>
      <c r="G33" s="6" t="str" cm="1">
        <f t="array" aca="1" ref="G33" ca="1">IF(AND('Raw Data'!G33&gt;=0,'Raw Data'!G33&lt;=1),"",_xlfn.REGEXEXTRACT(CELL("address",'Raw Data'!G33),"\$([A-Z]+)\$[0-9]+"))</f>
        <v/>
      </c>
      <c r="H33" s="6" t="str" cm="1">
        <f t="array" aca="1" ref="H33" ca="1">IF(AND('Raw Data'!H33&gt;=0,'Raw Data'!H33&lt;=1),"",_xlfn.REGEXEXTRACT(CELL("address",'Raw Data'!H33),"\$([A-Z]+)\$[0-9]+"))</f>
        <v/>
      </c>
      <c r="I33" s="6" t="str" cm="1">
        <f t="array" aca="1" ref="I33" ca="1">IF(AND('Raw Data'!I33&gt;=0,'Raw Data'!I33&lt;=1),"",_xlfn.REGEXEXTRACT(CELL("address",'Raw Data'!I33),"\$([A-Z]+)\$[0-9]+"))</f>
        <v/>
      </c>
      <c r="J33" s="6" t="str" cm="1">
        <f t="array" aca="1" ref="J33" ca="1">IF(AND('Raw Data'!J33&gt;=0,'Raw Data'!J33&lt;=1),"",_xlfn.REGEXEXTRACT(CELL("address",'Raw Data'!J33),"\$([A-Z]+)\$[0-9]+"))</f>
        <v/>
      </c>
    </row>
    <row r="34" spans="2:10" x14ac:dyDescent="0.25">
      <c r="B34" s="6" t="str" cm="1">
        <f t="array" aca="1" ref="B34" ca="1">IF('Raw Data'!$B$10 = "Overall Project","",_xlfn.REGEXEXTRACT(CELL("address",'Raw Data'!B34),"\$([A-Z]+)\$[0-9]+"))</f>
        <v/>
      </c>
      <c r="C34" s="6" t="str" cm="1">
        <f t="array" aca="1" ref="C34" ca="1">IF('Raw Data'!$C$10 = "Month # 1","",_xlfn.REGEXEXTRACT(CELL("address",'Raw Data'!C34),"\$([A-Z]+)\$[0-9]+"))</f>
        <v/>
      </c>
      <c r="D34" s="6"/>
      <c r="E34" s="6" t="str" cm="1">
        <f t="array" aca="1" ref="E34" ca="1">IF(AND('Raw Data'!E34&gt;=0,'Raw Data'!E34&lt;=1),"",_xlfn.REGEXEXTRACT(CELL("address",'Raw Data'!E34),"\$([A-Z]+)\$[0-9]+"))</f>
        <v/>
      </c>
      <c r="F34" s="6" t="str" cm="1">
        <f t="array" aca="1" ref="F34" ca="1">IF(AND('Raw Data'!F34&gt;=0,'Raw Data'!F34&lt;=1),"",_xlfn.REGEXEXTRACT(CELL("address",'Raw Data'!F34),"\$([A-Z]+)\$[0-9]+"))</f>
        <v/>
      </c>
      <c r="G34" s="6" t="str" cm="1">
        <f t="array" aca="1" ref="G34" ca="1">IF(AND('Raw Data'!G34&gt;=0,'Raw Data'!G34&lt;=1),"",_xlfn.REGEXEXTRACT(CELL("address",'Raw Data'!G34),"\$([A-Z]+)\$[0-9]+"))</f>
        <v/>
      </c>
      <c r="H34" s="6" t="str" cm="1">
        <f t="array" aca="1" ref="H34" ca="1">IF(AND('Raw Data'!H34&gt;=0,'Raw Data'!H34&lt;=1),"",_xlfn.REGEXEXTRACT(CELL("address",'Raw Data'!H34),"\$([A-Z]+)\$[0-9]+"))</f>
        <v/>
      </c>
      <c r="I34" s="6" t="str" cm="1">
        <f t="array" aca="1" ref="I34" ca="1">IF(AND('Raw Data'!I34&gt;=0,'Raw Data'!I34&lt;=1),"",_xlfn.REGEXEXTRACT(CELL("address",'Raw Data'!I34),"\$([A-Z]+)\$[0-9]+"))</f>
        <v/>
      </c>
      <c r="J34" s="6" t="str" cm="1">
        <f t="array" aca="1" ref="J34" ca="1">IF(AND('Raw Data'!J34&gt;=0,'Raw Data'!J34&lt;=1),"",_xlfn.REGEXEXTRACT(CELL("address",'Raw Data'!J34),"\$([A-Z]+)\$[0-9]+"))</f>
        <v/>
      </c>
    </row>
    <row r="35" spans="2:10" x14ac:dyDescent="0.25">
      <c r="B35" s="6" t="str" cm="1">
        <f t="array" aca="1" ref="B35" ca="1">IF('Raw Data'!$B$10 = "Overall Project","",_xlfn.REGEXEXTRACT(CELL("address",'Raw Data'!B35),"\$([A-Z]+)\$[0-9]+"))</f>
        <v/>
      </c>
      <c r="C35" s="6" t="str" cm="1">
        <f t="array" aca="1" ref="C35" ca="1">IF('Raw Data'!$C$10 = "Month # 1","",_xlfn.REGEXEXTRACT(CELL("address",'Raw Data'!C35),"\$([A-Z]+)\$[0-9]+"))</f>
        <v/>
      </c>
      <c r="D35" s="6"/>
      <c r="E35" s="6" t="str" cm="1">
        <f t="array" aca="1" ref="E35" ca="1">IF(AND('Raw Data'!E35&gt;=0,'Raw Data'!E35&lt;=1),"",_xlfn.REGEXEXTRACT(CELL("address",'Raw Data'!E35),"\$([A-Z]+)\$[0-9]+"))</f>
        <v/>
      </c>
      <c r="F35" s="6" t="str" cm="1">
        <f t="array" aca="1" ref="F35" ca="1">IF(AND('Raw Data'!F35&gt;=0,'Raw Data'!F35&lt;=1),"",_xlfn.REGEXEXTRACT(CELL("address",'Raw Data'!F35),"\$([A-Z]+)\$[0-9]+"))</f>
        <v/>
      </c>
      <c r="G35" s="6" t="str" cm="1">
        <f t="array" aca="1" ref="G35" ca="1">IF(AND('Raw Data'!G35&gt;=0,'Raw Data'!G35&lt;=1),"",_xlfn.REGEXEXTRACT(CELL("address",'Raw Data'!G35),"\$([A-Z]+)\$[0-9]+"))</f>
        <v/>
      </c>
      <c r="H35" s="6" t="str" cm="1">
        <f t="array" aca="1" ref="H35" ca="1">IF(AND('Raw Data'!H35&gt;=0,'Raw Data'!H35&lt;=1),"",_xlfn.REGEXEXTRACT(CELL("address",'Raw Data'!H35),"\$([A-Z]+)\$[0-9]+"))</f>
        <v/>
      </c>
      <c r="I35" s="6" t="str" cm="1">
        <f t="array" aca="1" ref="I35" ca="1">IF(AND('Raw Data'!I35&gt;=0,'Raw Data'!I35&lt;=1),"",_xlfn.REGEXEXTRACT(CELL("address",'Raw Data'!I35),"\$([A-Z]+)\$[0-9]+"))</f>
        <v/>
      </c>
      <c r="J35" s="6" t="str" cm="1">
        <f t="array" aca="1" ref="J35" ca="1">IF(AND('Raw Data'!J35&gt;=0,'Raw Data'!J35&lt;=1),"",_xlfn.REGEXEXTRACT(CELL("address",'Raw Data'!J35),"\$([A-Z]+)\$[0-9]+"))</f>
        <v/>
      </c>
    </row>
    <row r="36" spans="2:10" x14ac:dyDescent="0.25">
      <c r="B36" s="6" t="str" cm="1">
        <f t="array" aca="1" ref="B36" ca="1">IF('Raw Data'!$B$10 = "Overall Project","",_xlfn.REGEXEXTRACT(CELL("address",'Raw Data'!B36),"\$([A-Z]+)\$[0-9]+"))</f>
        <v/>
      </c>
      <c r="C36" s="6" t="str" cm="1">
        <f t="array" aca="1" ref="C36" ca="1">IF('Raw Data'!$C$10 = "Month # 1","",_xlfn.REGEXEXTRACT(CELL("address",'Raw Data'!C36),"\$([A-Z]+)\$[0-9]+"))</f>
        <v/>
      </c>
      <c r="D36" s="6"/>
      <c r="E36" s="6" t="str" cm="1">
        <f t="array" aca="1" ref="E36" ca="1">IF(AND('Raw Data'!E36&gt;=0,'Raw Data'!E36&lt;=1),"",_xlfn.REGEXEXTRACT(CELL("address",'Raw Data'!E36),"\$([A-Z]+)\$[0-9]+"))</f>
        <v/>
      </c>
      <c r="F36" s="6" t="str" cm="1">
        <f t="array" aca="1" ref="F36" ca="1">IF(AND('Raw Data'!F36&gt;=0,'Raw Data'!F36&lt;=1),"",_xlfn.REGEXEXTRACT(CELL("address",'Raw Data'!F36),"\$([A-Z]+)\$[0-9]+"))</f>
        <v/>
      </c>
      <c r="G36" s="6" t="str" cm="1">
        <f t="array" aca="1" ref="G36" ca="1">IF(AND('Raw Data'!G36&gt;=0,'Raw Data'!G36&lt;=1),"",_xlfn.REGEXEXTRACT(CELL("address",'Raw Data'!G36),"\$([A-Z]+)\$[0-9]+"))</f>
        <v/>
      </c>
      <c r="H36" s="6" t="str" cm="1">
        <f t="array" aca="1" ref="H36" ca="1">IF(AND('Raw Data'!H36&gt;=0,'Raw Data'!H36&lt;=1),"",_xlfn.REGEXEXTRACT(CELL("address",'Raw Data'!H36),"\$([A-Z]+)\$[0-9]+"))</f>
        <v/>
      </c>
      <c r="I36" s="6" t="str" cm="1">
        <f t="array" aca="1" ref="I36" ca="1">IF(AND('Raw Data'!I36&gt;=0,'Raw Data'!I36&lt;=1),"",_xlfn.REGEXEXTRACT(CELL("address",'Raw Data'!I36),"\$([A-Z]+)\$[0-9]+"))</f>
        <v/>
      </c>
      <c r="J36" s="6" t="str" cm="1">
        <f t="array" aca="1" ref="J36" ca="1">IF(AND('Raw Data'!J36&gt;=0,'Raw Data'!J36&lt;=1),"",_xlfn.REGEXEXTRACT(CELL("address",'Raw Data'!J36),"\$([A-Z]+)\$[0-9]+"))</f>
        <v/>
      </c>
    </row>
    <row r="37" spans="2:10" x14ac:dyDescent="0.25">
      <c r="B37" s="6" t="str" cm="1">
        <f t="array" aca="1" ref="B37" ca="1">IF('Raw Data'!$B$10 = "Overall Project","",_xlfn.REGEXEXTRACT(CELL("address",'Raw Data'!B37),"\$([A-Z]+)\$[0-9]+"))</f>
        <v/>
      </c>
      <c r="C37" s="6" t="str" cm="1">
        <f t="array" aca="1" ref="C37" ca="1">IF('Raw Data'!$C$10 = "Month # 1","",_xlfn.REGEXEXTRACT(CELL("address",'Raw Data'!C37),"\$([A-Z]+)\$[0-9]+"))</f>
        <v/>
      </c>
      <c r="D37" s="6"/>
      <c r="E37" s="6" t="str" cm="1">
        <f t="array" aca="1" ref="E37" ca="1">IF(AND('Raw Data'!E37&gt;=0,'Raw Data'!E37&lt;=1),"",_xlfn.REGEXEXTRACT(CELL("address",'Raw Data'!E37),"\$([A-Z]+)\$[0-9]+"))</f>
        <v/>
      </c>
      <c r="F37" s="6" t="str" cm="1">
        <f t="array" aca="1" ref="F37" ca="1">IF(AND('Raw Data'!F37&gt;=0,'Raw Data'!F37&lt;=1),"",_xlfn.REGEXEXTRACT(CELL("address",'Raw Data'!F37),"\$([A-Z]+)\$[0-9]+"))</f>
        <v/>
      </c>
      <c r="G37" s="6" t="str" cm="1">
        <f t="array" aca="1" ref="G37" ca="1">IF(AND('Raw Data'!G37&gt;=0,'Raw Data'!G37&lt;=1),"",_xlfn.REGEXEXTRACT(CELL("address",'Raw Data'!G37),"\$([A-Z]+)\$[0-9]+"))</f>
        <v/>
      </c>
      <c r="H37" s="6" t="str" cm="1">
        <f t="array" aca="1" ref="H37" ca="1">IF(AND('Raw Data'!H37&gt;=0,'Raw Data'!H37&lt;=1),"",_xlfn.REGEXEXTRACT(CELL("address",'Raw Data'!H37),"\$([A-Z]+)\$[0-9]+"))</f>
        <v/>
      </c>
      <c r="I37" s="6" t="str" cm="1">
        <f t="array" aca="1" ref="I37" ca="1">IF(AND('Raw Data'!I37&gt;=0,'Raw Data'!I37&lt;=1),"",_xlfn.REGEXEXTRACT(CELL("address",'Raw Data'!I37),"\$([A-Z]+)\$[0-9]+"))</f>
        <v/>
      </c>
      <c r="J37" s="6" t="str" cm="1">
        <f t="array" aca="1" ref="J37" ca="1">IF(AND('Raw Data'!J37&gt;=0,'Raw Data'!J37&lt;=1),"",_xlfn.REGEXEXTRACT(CELL("address",'Raw Data'!J37),"\$([A-Z]+)\$[0-9]+"))</f>
        <v/>
      </c>
    </row>
    <row r="38" spans="2:10" x14ac:dyDescent="0.25">
      <c r="B38" s="6" t="str" cm="1">
        <f t="array" aca="1" ref="B38" ca="1">IF('Raw Data'!$B$10 = "Overall Project","",_xlfn.REGEXEXTRACT(CELL("address",'Raw Data'!B38),"\$([A-Z]+)\$[0-9]+"))</f>
        <v/>
      </c>
      <c r="C38" s="6" t="str" cm="1">
        <f t="array" aca="1" ref="C38" ca="1">IF('Raw Data'!$C$10 = "Month # 1","",_xlfn.REGEXEXTRACT(CELL("address",'Raw Data'!C38),"\$([A-Z]+)\$[0-9]+"))</f>
        <v/>
      </c>
      <c r="D38" s="6"/>
      <c r="E38" s="6" t="str" cm="1">
        <f t="array" aca="1" ref="E38" ca="1">IF(AND('Raw Data'!E38&gt;=0,'Raw Data'!E38&lt;=1),"",_xlfn.REGEXEXTRACT(CELL("address",'Raw Data'!E38),"\$([A-Z]+)\$[0-9]+"))</f>
        <v/>
      </c>
      <c r="F38" s="6" t="str" cm="1">
        <f t="array" aca="1" ref="F38" ca="1">IF(AND('Raw Data'!F38&gt;=0,'Raw Data'!F38&lt;=1),"",_xlfn.REGEXEXTRACT(CELL("address",'Raw Data'!F38),"\$([A-Z]+)\$[0-9]+"))</f>
        <v/>
      </c>
      <c r="G38" s="6" t="str" cm="1">
        <f t="array" aca="1" ref="G38" ca="1">IF(AND('Raw Data'!G38&gt;=0,'Raw Data'!G38&lt;=1),"",_xlfn.REGEXEXTRACT(CELL("address",'Raw Data'!G38),"\$([A-Z]+)\$[0-9]+"))</f>
        <v/>
      </c>
      <c r="H38" s="6" t="str" cm="1">
        <f t="array" aca="1" ref="H38" ca="1">IF(AND('Raw Data'!H38&gt;=0,'Raw Data'!H38&lt;=1),"",_xlfn.REGEXEXTRACT(CELL("address",'Raw Data'!H38),"\$([A-Z]+)\$[0-9]+"))</f>
        <v/>
      </c>
      <c r="I38" s="6" t="str" cm="1">
        <f t="array" aca="1" ref="I38" ca="1">IF(AND('Raw Data'!I38&gt;=0,'Raw Data'!I38&lt;=1),"",_xlfn.REGEXEXTRACT(CELL("address",'Raw Data'!I38),"\$([A-Z]+)\$[0-9]+"))</f>
        <v/>
      </c>
      <c r="J38" s="6" t="str" cm="1">
        <f t="array" aca="1" ref="J38" ca="1">IF(AND('Raw Data'!J38&gt;=0,'Raw Data'!J38&lt;=1),"",_xlfn.REGEXEXTRACT(CELL("address",'Raw Data'!J38),"\$([A-Z]+)\$[0-9]+"))</f>
        <v/>
      </c>
    </row>
    <row r="39" spans="2:10" x14ac:dyDescent="0.25">
      <c r="B39" s="6" t="str" cm="1">
        <f t="array" aca="1" ref="B39" ca="1">IF('Raw Data'!$B$10 = "Overall Project","",_xlfn.REGEXEXTRACT(CELL("address",'Raw Data'!B39),"\$([A-Z]+)\$[0-9]+"))</f>
        <v/>
      </c>
      <c r="C39" s="6" t="str" cm="1">
        <f t="array" aca="1" ref="C39" ca="1">IF('Raw Data'!$C$10 = "Month # 1","",_xlfn.REGEXEXTRACT(CELL("address",'Raw Data'!C39),"\$([A-Z]+)\$[0-9]+"))</f>
        <v/>
      </c>
      <c r="D39" s="6"/>
      <c r="E39" s="6" t="str" cm="1">
        <f t="array" aca="1" ref="E39" ca="1">IF(AND('Raw Data'!E39&gt;=0,'Raw Data'!E39&lt;=1),"",_xlfn.REGEXEXTRACT(CELL("address",'Raw Data'!E39),"\$([A-Z]+)\$[0-9]+"))</f>
        <v/>
      </c>
      <c r="F39" s="6" t="str" cm="1">
        <f t="array" aca="1" ref="F39" ca="1">IF(AND('Raw Data'!F39&gt;=0,'Raw Data'!F39&lt;=1),"",_xlfn.REGEXEXTRACT(CELL("address",'Raw Data'!F39),"\$([A-Z]+)\$[0-9]+"))</f>
        <v/>
      </c>
      <c r="G39" s="6" t="str" cm="1">
        <f t="array" aca="1" ref="G39" ca="1">IF(AND('Raw Data'!G39&gt;=0,'Raw Data'!G39&lt;=1),"",_xlfn.REGEXEXTRACT(CELL("address",'Raw Data'!G39),"\$([A-Z]+)\$[0-9]+"))</f>
        <v/>
      </c>
      <c r="H39" s="6" t="str" cm="1">
        <f t="array" aca="1" ref="H39" ca="1">IF(AND('Raw Data'!H39&gt;=0,'Raw Data'!H39&lt;=1),"",_xlfn.REGEXEXTRACT(CELL("address",'Raw Data'!H39),"\$([A-Z]+)\$[0-9]+"))</f>
        <v/>
      </c>
      <c r="I39" s="6" t="str" cm="1">
        <f t="array" aca="1" ref="I39" ca="1">IF(AND('Raw Data'!I39&gt;=0,'Raw Data'!I39&lt;=1),"",_xlfn.REGEXEXTRACT(CELL("address",'Raw Data'!I39),"\$([A-Z]+)\$[0-9]+"))</f>
        <v/>
      </c>
      <c r="J39" s="6" t="str" cm="1">
        <f t="array" aca="1" ref="J39" ca="1">IF(AND('Raw Data'!J39&gt;=0,'Raw Data'!J39&lt;=1),"",_xlfn.REGEXEXTRACT(CELL("address",'Raw Data'!J39),"\$([A-Z]+)\$[0-9]+"))</f>
        <v/>
      </c>
    </row>
    <row r="40" spans="2:10" x14ac:dyDescent="0.25">
      <c r="B40" s="6" t="str" cm="1">
        <f t="array" aca="1" ref="B40" ca="1">IF('Raw Data'!$B$10 = "Overall Project","",_xlfn.REGEXEXTRACT(CELL("address",'Raw Data'!B40),"\$([A-Z]+)\$[0-9]+"))</f>
        <v/>
      </c>
      <c r="C40" s="6" t="str" cm="1">
        <f t="array" aca="1" ref="C40" ca="1">IF('Raw Data'!$C$10 = "Month # 1","",_xlfn.REGEXEXTRACT(CELL("address",'Raw Data'!C40),"\$([A-Z]+)\$[0-9]+"))</f>
        <v/>
      </c>
      <c r="D40" s="6"/>
      <c r="E40" s="6" t="str" cm="1">
        <f t="array" aca="1" ref="E40" ca="1">IF(AND('Raw Data'!E40&gt;=0,'Raw Data'!E40&lt;=1),"",_xlfn.REGEXEXTRACT(CELL("address",'Raw Data'!E40),"\$([A-Z]+)\$[0-9]+"))</f>
        <v/>
      </c>
      <c r="F40" s="6" t="str" cm="1">
        <f t="array" aca="1" ref="F40" ca="1">IF(AND('Raw Data'!F40&gt;=0,'Raw Data'!F40&lt;=1),"",_xlfn.REGEXEXTRACT(CELL("address",'Raw Data'!F40),"\$([A-Z]+)\$[0-9]+"))</f>
        <v/>
      </c>
      <c r="G40" s="6" t="str" cm="1">
        <f t="array" aca="1" ref="G40" ca="1">IF(AND('Raw Data'!G40&gt;=0,'Raw Data'!G40&lt;=1),"",_xlfn.REGEXEXTRACT(CELL("address",'Raw Data'!G40),"\$([A-Z]+)\$[0-9]+"))</f>
        <v/>
      </c>
      <c r="H40" s="6" t="str" cm="1">
        <f t="array" aca="1" ref="H40" ca="1">IF(AND('Raw Data'!H40&gt;=0,'Raw Data'!H40&lt;=1),"",_xlfn.REGEXEXTRACT(CELL("address",'Raw Data'!H40),"\$([A-Z]+)\$[0-9]+"))</f>
        <v/>
      </c>
      <c r="I40" s="6" t="str" cm="1">
        <f t="array" aca="1" ref="I40" ca="1">IF(AND('Raw Data'!I40&gt;=0,'Raw Data'!I40&lt;=1),"",_xlfn.REGEXEXTRACT(CELL("address",'Raw Data'!I40),"\$([A-Z]+)\$[0-9]+"))</f>
        <v/>
      </c>
      <c r="J40" s="6" t="str" cm="1">
        <f t="array" aca="1" ref="J40" ca="1">IF(AND('Raw Data'!J40&gt;=0,'Raw Data'!J40&lt;=1),"",_xlfn.REGEXEXTRACT(CELL("address",'Raw Data'!J40),"\$([A-Z]+)\$[0-9]+"))</f>
        <v/>
      </c>
    </row>
    <row r="41" spans="2:10" x14ac:dyDescent="0.25">
      <c r="B41" s="6" t="str" cm="1">
        <f t="array" aca="1" ref="B41" ca="1">IF('Raw Data'!$B$10 = "Overall Project","",_xlfn.REGEXEXTRACT(CELL("address",'Raw Data'!B41),"\$([A-Z]+)\$[0-9]+"))</f>
        <v/>
      </c>
      <c r="C41" s="6" t="str" cm="1">
        <f t="array" aca="1" ref="C41" ca="1">IF('Raw Data'!$C$10 = "Month # 1","",_xlfn.REGEXEXTRACT(CELL("address",'Raw Data'!C41),"\$([A-Z]+)\$[0-9]+"))</f>
        <v/>
      </c>
      <c r="D41" s="6"/>
      <c r="E41" s="6" t="str" cm="1">
        <f t="array" aca="1" ref="E41" ca="1">IF(AND('Raw Data'!E41&gt;=0,'Raw Data'!E41&lt;=1),"",_xlfn.REGEXEXTRACT(CELL("address",'Raw Data'!E41),"\$([A-Z]+)\$[0-9]+"))</f>
        <v/>
      </c>
      <c r="F41" s="6" t="str" cm="1">
        <f t="array" aca="1" ref="F41" ca="1">IF(AND('Raw Data'!F41&gt;=0,'Raw Data'!F41&lt;=1),"",_xlfn.REGEXEXTRACT(CELL("address",'Raw Data'!F41),"\$([A-Z]+)\$[0-9]+"))</f>
        <v/>
      </c>
      <c r="G41" s="6" t="str" cm="1">
        <f t="array" aca="1" ref="G41" ca="1">IF(AND('Raw Data'!G41&gt;=0,'Raw Data'!G41&lt;=1),"",_xlfn.REGEXEXTRACT(CELL("address",'Raw Data'!G41),"\$([A-Z]+)\$[0-9]+"))</f>
        <v/>
      </c>
      <c r="H41" s="6" t="str" cm="1">
        <f t="array" aca="1" ref="H41" ca="1">IF(AND('Raw Data'!H41&gt;=0,'Raw Data'!H41&lt;=1),"",_xlfn.REGEXEXTRACT(CELL("address",'Raw Data'!H41),"\$([A-Z]+)\$[0-9]+"))</f>
        <v/>
      </c>
      <c r="I41" s="6" t="str" cm="1">
        <f t="array" aca="1" ref="I41" ca="1">IF(AND('Raw Data'!I41&gt;=0,'Raw Data'!I41&lt;=1),"",_xlfn.REGEXEXTRACT(CELL("address",'Raw Data'!I41),"\$([A-Z]+)\$[0-9]+"))</f>
        <v/>
      </c>
      <c r="J41" s="6" t="str" cm="1">
        <f t="array" aca="1" ref="J41" ca="1">IF(AND('Raw Data'!J41&gt;=0,'Raw Data'!J41&lt;=1),"",_xlfn.REGEXEXTRACT(CELL("address",'Raw Data'!J41),"\$([A-Z]+)\$[0-9]+"))</f>
        <v/>
      </c>
    </row>
    <row r="42" spans="2:10" x14ac:dyDescent="0.25">
      <c r="B42" s="6" t="str" cm="1">
        <f t="array" aca="1" ref="B42" ca="1">IF('Raw Data'!$B$10 = "Overall Project","",_xlfn.REGEXEXTRACT(CELL("address",'Raw Data'!B42),"\$([A-Z]+)\$[0-9]+"))</f>
        <v/>
      </c>
      <c r="C42" s="6" t="str" cm="1">
        <f t="array" aca="1" ref="C42" ca="1">IF('Raw Data'!$C$10 = "Month # 1","",_xlfn.REGEXEXTRACT(CELL("address",'Raw Data'!C42),"\$([A-Z]+)\$[0-9]+"))</f>
        <v/>
      </c>
      <c r="D42" s="6"/>
      <c r="E42" s="6" t="str" cm="1">
        <f t="array" aca="1" ref="E42" ca="1">IF(AND('Raw Data'!E42&gt;=0,'Raw Data'!E42&lt;=1),"",_xlfn.REGEXEXTRACT(CELL("address",'Raw Data'!E42),"\$([A-Z]+)\$[0-9]+"))</f>
        <v/>
      </c>
      <c r="F42" s="6" t="str" cm="1">
        <f t="array" aca="1" ref="F42" ca="1">IF(AND('Raw Data'!F42&gt;=0,'Raw Data'!F42&lt;=1),"",_xlfn.REGEXEXTRACT(CELL("address",'Raw Data'!F42),"\$([A-Z]+)\$[0-9]+"))</f>
        <v/>
      </c>
      <c r="G42" s="6" t="str" cm="1">
        <f t="array" aca="1" ref="G42" ca="1">IF(AND('Raw Data'!G42&gt;=0,'Raw Data'!G42&lt;=1),"",_xlfn.REGEXEXTRACT(CELL("address",'Raw Data'!G42),"\$([A-Z]+)\$[0-9]+"))</f>
        <v/>
      </c>
      <c r="H42" s="6" t="str" cm="1">
        <f t="array" aca="1" ref="H42" ca="1">IF(AND('Raw Data'!H42&gt;=0,'Raw Data'!H42&lt;=1),"",_xlfn.REGEXEXTRACT(CELL("address",'Raw Data'!H42),"\$([A-Z]+)\$[0-9]+"))</f>
        <v/>
      </c>
      <c r="I42" s="6" t="str" cm="1">
        <f t="array" aca="1" ref="I42" ca="1">IF(AND('Raw Data'!I42&gt;=0,'Raw Data'!I42&lt;=1),"",_xlfn.REGEXEXTRACT(CELL("address",'Raw Data'!I42),"\$([A-Z]+)\$[0-9]+"))</f>
        <v/>
      </c>
      <c r="J42" s="6" t="str" cm="1">
        <f t="array" aca="1" ref="J42" ca="1">IF(AND('Raw Data'!J42&gt;=0,'Raw Data'!J42&lt;=1),"",_xlfn.REGEXEXTRACT(CELL("address",'Raw Data'!J42),"\$([A-Z]+)\$[0-9]+"))</f>
        <v/>
      </c>
    </row>
    <row r="43" spans="2:10" x14ac:dyDescent="0.25">
      <c r="B43" s="6" t="str" cm="1">
        <f t="array" aca="1" ref="B43" ca="1">IF('Raw Data'!$B$10 = "Overall Project","",_xlfn.REGEXEXTRACT(CELL("address",'Raw Data'!B43),"\$([A-Z]+)\$[0-9]+"))</f>
        <v/>
      </c>
      <c r="C43" s="6" t="str" cm="1">
        <f t="array" aca="1" ref="C43" ca="1">IF('Raw Data'!$C$10 = "Month # 1","",_xlfn.REGEXEXTRACT(CELL("address",'Raw Data'!C43),"\$([A-Z]+)\$[0-9]+"))</f>
        <v/>
      </c>
      <c r="D43" s="6"/>
      <c r="E43" s="6" t="str" cm="1">
        <f t="array" aca="1" ref="E43" ca="1">IF(AND('Raw Data'!E43&gt;=0,'Raw Data'!E43&lt;=1),"",_xlfn.REGEXEXTRACT(CELL("address",'Raw Data'!E43),"\$([A-Z]+)\$[0-9]+"))</f>
        <v/>
      </c>
      <c r="F43" s="6" t="str" cm="1">
        <f t="array" aca="1" ref="F43" ca="1">IF(AND('Raw Data'!F43&gt;=0,'Raw Data'!F43&lt;=1),"",_xlfn.REGEXEXTRACT(CELL("address",'Raw Data'!F43),"\$([A-Z]+)\$[0-9]+"))</f>
        <v/>
      </c>
      <c r="G43" s="6" t="str" cm="1">
        <f t="array" aca="1" ref="G43" ca="1">IF(AND('Raw Data'!G43&gt;=0,'Raw Data'!G43&lt;=1),"",_xlfn.REGEXEXTRACT(CELL("address",'Raw Data'!G43),"\$([A-Z]+)\$[0-9]+"))</f>
        <v/>
      </c>
      <c r="H43" s="6" t="str" cm="1">
        <f t="array" aca="1" ref="H43" ca="1">IF(AND('Raw Data'!H43&gt;=0,'Raw Data'!H43&lt;=1),"",_xlfn.REGEXEXTRACT(CELL("address",'Raw Data'!H43),"\$([A-Z]+)\$[0-9]+"))</f>
        <v/>
      </c>
      <c r="I43" s="6" t="str" cm="1">
        <f t="array" aca="1" ref="I43" ca="1">IF(AND('Raw Data'!I43&gt;=0,'Raw Data'!I43&lt;=1),"",_xlfn.REGEXEXTRACT(CELL("address",'Raw Data'!I43),"\$([A-Z]+)\$[0-9]+"))</f>
        <v/>
      </c>
      <c r="J43" s="6" t="str" cm="1">
        <f t="array" aca="1" ref="J43" ca="1">IF(AND('Raw Data'!J43&gt;=0,'Raw Data'!J43&lt;=1),"",_xlfn.REGEXEXTRACT(CELL("address",'Raw Data'!J43),"\$([A-Z]+)\$[0-9]+"))</f>
        <v/>
      </c>
    </row>
    <row r="44" spans="2:10" x14ac:dyDescent="0.25">
      <c r="B44" s="6" t="str" cm="1">
        <f t="array" aca="1" ref="B44" ca="1">IF('Raw Data'!$B$10 = "Overall Project","",_xlfn.REGEXEXTRACT(CELL("address",'Raw Data'!B44),"\$([A-Z]+)\$[0-9]+"))</f>
        <v/>
      </c>
      <c r="C44" s="6" t="str" cm="1">
        <f t="array" aca="1" ref="C44" ca="1">IF('Raw Data'!$C$10 = "Month # 1","",_xlfn.REGEXEXTRACT(CELL("address",'Raw Data'!C44),"\$([A-Z]+)\$[0-9]+"))</f>
        <v/>
      </c>
      <c r="D44" s="6"/>
      <c r="E44" s="6" t="str" cm="1">
        <f t="array" aca="1" ref="E44" ca="1">IF(AND('Raw Data'!E44&gt;=0,'Raw Data'!E44&lt;=1),"",_xlfn.REGEXEXTRACT(CELL("address",'Raw Data'!E44),"\$([A-Z]+)\$[0-9]+"))</f>
        <v/>
      </c>
      <c r="F44" s="6" t="str" cm="1">
        <f t="array" aca="1" ref="F44" ca="1">IF(AND('Raw Data'!F44&gt;=0,'Raw Data'!F44&lt;=1),"",_xlfn.REGEXEXTRACT(CELL("address",'Raw Data'!F44),"\$([A-Z]+)\$[0-9]+"))</f>
        <v/>
      </c>
      <c r="G44" s="6" t="str" cm="1">
        <f t="array" aca="1" ref="G44" ca="1">IF(AND('Raw Data'!G44&gt;=0,'Raw Data'!G44&lt;=1),"",_xlfn.REGEXEXTRACT(CELL("address",'Raw Data'!G44),"\$([A-Z]+)\$[0-9]+"))</f>
        <v/>
      </c>
      <c r="H44" s="6" t="str" cm="1">
        <f t="array" aca="1" ref="H44" ca="1">IF(AND('Raw Data'!H44&gt;=0,'Raw Data'!H44&lt;=1),"",_xlfn.REGEXEXTRACT(CELL("address",'Raw Data'!H44),"\$([A-Z]+)\$[0-9]+"))</f>
        <v/>
      </c>
      <c r="I44" s="6" t="str" cm="1">
        <f t="array" aca="1" ref="I44" ca="1">IF(AND('Raw Data'!I44&gt;=0,'Raw Data'!I44&lt;=1),"",_xlfn.REGEXEXTRACT(CELL("address",'Raw Data'!I44),"\$([A-Z]+)\$[0-9]+"))</f>
        <v/>
      </c>
      <c r="J44" s="6" t="str" cm="1">
        <f t="array" aca="1" ref="J44" ca="1">IF(AND('Raw Data'!J44&gt;=0,'Raw Data'!J44&lt;=1),"",_xlfn.REGEXEXTRACT(CELL("address",'Raw Data'!J44),"\$([A-Z]+)\$[0-9]+"))</f>
        <v/>
      </c>
    </row>
    <row r="45" spans="2:10" x14ac:dyDescent="0.25">
      <c r="B45" s="6" t="str" cm="1">
        <f t="array" aca="1" ref="B45" ca="1">IF('Raw Data'!$B$10 = "Overall Project","",_xlfn.REGEXEXTRACT(CELL("address",'Raw Data'!B45),"\$([A-Z]+)\$[0-9]+"))</f>
        <v/>
      </c>
      <c r="C45" s="6" t="str" cm="1">
        <f t="array" aca="1" ref="C45" ca="1">IF('Raw Data'!$C$10 = "Month # 1","",_xlfn.REGEXEXTRACT(CELL("address",'Raw Data'!C45),"\$([A-Z]+)\$[0-9]+"))</f>
        <v/>
      </c>
      <c r="D45" s="6"/>
      <c r="E45" s="6" t="str" cm="1">
        <f t="array" aca="1" ref="E45" ca="1">IF(AND('Raw Data'!E45&gt;=0,'Raw Data'!E45&lt;=1),"",_xlfn.REGEXEXTRACT(CELL("address",'Raw Data'!E45),"\$([A-Z]+)\$[0-9]+"))</f>
        <v/>
      </c>
      <c r="F45" s="6" t="str" cm="1">
        <f t="array" aca="1" ref="F45" ca="1">IF(AND('Raw Data'!F45&gt;=0,'Raw Data'!F45&lt;=1),"",_xlfn.REGEXEXTRACT(CELL("address",'Raw Data'!F45),"\$([A-Z]+)\$[0-9]+"))</f>
        <v/>
      </c>
      <c r="G45" s="6" t="str" cm="1">
        <f t="array" aca="1" ref="G45" ca="1">IF(AND('Raw Data'!G45&gt;=0,'Raw Data'!G45&lt;=1),"",_xlfn.REGEXEXTRACT(CELL("address",'Raw Data'!G45),"\$([A-Z]+)\$[0-9]+"))</f>
        <v/>
      </c>
      <c r="H45" s="6" t="str" cm="1">
        <f t="array" aca="1" ref="H45" ca="1">IF(AND('Raw Data'!H45&gt;=0,'Raw Data'!H45&lt;=1),"",_xlfn.REGEXEXTRACT(CELL("address",'Raw Data'!H45),"\$([A-Z]+)\$[0-9]+"))</f>
        <v/>
      </c>
      <c r="I45" s="6" t="str" cm="1">
        <f t="array" aca="1" ref="I45" ca="1">IF(AND('Raw Data'!I45&gt;=0,'Raw Data'!I45&lt;=1),"",_xlfn.REGEXEXTRACT(CELL("address",'Raw Data'!I45),"\$([A-Z]+)\$[0-9]+"))</f>
        <v/>
      </c>
      <c r="J45" s="6" t="str" cm="1">
        <f t="array" aca="1" ref="J45" ca="1">IF(AND('Raw Data'!J45&gt;=0,'Raw Data'!J45&lt;=1),"",_xlfn.REGEXEXTRACT(CELL("address",'Raw Data'!J45),"\$([A-Z]+)\$[0-9]+"))</f>
        <v/>
      </c>
    </row>
    <row r="46" spans="2:10" x14ac:dyDescent="0.25">
      <c r="B46" s="6" t="str" cm="1">
        <f t="array" aca="1" ref="B46" ca="1">IF('Raw Data'!$B$10 = "Overall Project","",_xlfn.REGEXEXTRACT(CELL("address",'Raw Data'!B46),"\$([A-Z]+)\$[0-9]+"))</f>
        <v/>
      </c>
      <c r="C46" s="6" t="str" cm="1">
        <f t="array" aca="1" ref="C46" ca="1">IF('Raw Data'!$C$10 = "Month # 1","",_xlfn.REGEXEXTRACT(CELL("address",'Raw Data'!C46),"\$([A-Z]+)\$[0-9]+"))</f>
        <v/>
      </c>
      <c r="D46" s="6"/>
      <c r="E46" s="6" t="str" cm="1">
        <f t="array" aca="1" ref="E46" ca="1">IF(AND('Raw Data'!E46&gt;=0,'Raw Data'!E46&lt;=1),"",_xlfn.REGEXEXTRACT(CELL("address",'Raw Data'!E46),"\$([A-Z]+)\$[0-9]+"))</f>
        <v/>
      </c>
      <c r="F46" s="6" t="str" cm="1">
        <f t="array" aca="1" ref="F46" ca="1">IF(AND('Raw Data'!F46&gt;=0,'Raw Data'!F46&lt;=1),"",_xlfn.REGEXEXTRACT(CELL("address",'Raw Data'!F46),"\$([A-Z]+)\$[0-9]+"))</f>
        <v/>
      </c>
      <c r="G46" s="6" t="str" cm="1">
        <f t="array" aca="1" ref="G46" ca="1">IF(AND('Raw Data'!G46&gt;=0,'Raw Data'!G46&lt;=1),"",_xlfn.REGEXEXTRACT(CELL("address",'Raw Data'!G46),"\$([A-Z]+)\$[0-9]+"))</f>
        <v/>
      </c>
      <c r="H46" s="6" t="str" cm="1">
        <f t="array" aca="1" ref="H46" ca="1">IF(AND('Raw Data'!H46&gt;=0,'Raw Data'!H46&lt;=1),"",_xlfn.REGEXEXTRACT(CELL("address",'Raw Data'!H46),"\$([A-Z]+)\$[0-9]+"))</f>
        <v/>
      </c>
      <c r="I46" s="6" t="str" cm="1">
        <f t="array" aca="1" ref="I46" ca="1">IF(AND('Raw Data'!I46&gt;=0,'Raw Data'!I46&lt;=1),"",_xlfn.REGEXEXTRACT(CELL("address",'Raw Data'!I46),"\$([A-Z]+)\$[0-9]+"))</f>
        <v/>
      </c>
      <c r="J46" s="6" t="str" cm="1">
        <f t="array" aca="1" ref="J46" ca="1">IF(AND('Raw Data'!J46&gt;=0,'Raw Data'!J46&lt;=1),"",_xlfn.REGEXEXTRACT(CELL("address",'Raw Data'!J46),"\$([A-Z]+)\$[0-9]+"))</f>
        <v/>
      </c>
    </row>
    <row r="47" spans="2:10" x14ac:dyDescent="0.25">
      <c r="B47" s="6" t="str" cm="1">
        <f t="array" aca="1" ref="B47" ca="1">IF('Raw Data'!$B$10 = "Overall Project","",_xlfn.REGEXEXTRACT(CELL("address",'Raw Data'!B47),"\$([A-Z]+)\$[0-9]+"))</f>
        <v/>
      </c>
      <c r="C47" s="6" t="str" cm="1">
        <f t="array" aca="1" ref="C47" ca="1">IF('Raw Data'!$C$10 = "Month # 1","",_xlfn.REGEXEXTRACT(CELL("address",'Raw Data'!C47),"\$([A-Z]+)\$[0-9]+"))</f>
        <v/>
      </c>
      <c r="D47" s="6"/>
      <c r="E47" s="6" t="str" cm="1">
        <f t="array" aca="1" ref="E47" ca="1">IF(AND('Raw Data'!E47&gt;=0,'Raw Data'!E47&lt;=1),"",_xlfn.REGEXEXTRACT(CELL("address",'Raw Data'!E47),"\$([A-Z]+)\$[0-9]+"))</f>
        <v/>
      </c>
      <c r="F47" s="6" t="str" cm="1">
        <f t="array" aca="1" ref="F47" ca="1">IF(AND('Raw Data'!F47&gt;=0,'Raw Data'!F47&lt;=1),"",_xlfn.REGEXEXTRACT(CELL("address",'Raw Data'!F47),"\$([A-Z]+)\$[0-9]+"))</f>
        <v/>
      </c>
      <c r="G47" s="6" t="str" cm="1">
        <f t="array" aca="1" ref="G47" ca="1">IF(AND('Raw Data'!G47&gt;=0,'Raw Data'!G47&lt;=1),"",_xlfn.REGEXEXTRACT(CELL("address",'Raw Data'!G47),"\$([A-Z]+)\$[0-9]+"))</f>
        <v/>
      </c>
      <c r="H47" s="6" t="str" cm="1">
        <f t="array" aca="1" ref="H47" ca="1">IF(AND('Raw Data'!H47&gt;=0,'Raw Data'!H47&lt;=1),"",_xlfn.REGEXEXTRACT(CELL("address",'Raw Data'!H47),"\$([A-Z]+)\$[0-9]+"))</f>
        <v/>
      </c>
      <c r="I47" s="6" t="str" cm="1">
        <f t="array" aca="1" ref="I47" ca="1">IF(AND('Raw Data'!I47&gt;=0,'Raw Data'!I47&lt;=1),"",_xlfn.REGEXEXTRACT(CELL("address",'Raw Data'!I47),"\$([A-Z]+)\$[0-9]+"))</f>
        <v/>
      </c>
      <c r="J47" s="6" t="str" cm="1">
        <f t="array" aca="1" ref="J47" ca="1">IF(AND('Raw Data'!J47&gt;=0,'Raw Data'!J47&lt;=1),"",_xlfn.REGEXEXTRACT(CELL("address",'Raw Data'!J47),"\$([A-Z]+)\$[0-9]+"))</f>
        <v/>
      </c>
    </row>
    <row r="48" spans="2:10" x14ac:dyDescent="0.25">
      <c r="B48" s="6" t="str" cm="1">
        <f t="array" aca="1" ref="B48" ca="1">IF('Raw Data'!$B$10 = "Overall Project","",_xlfn.REGEXEXTRACT(CELL("address",'Raw Data'!B48),"\$([A-Z]+)\$[0-9]+"))</f>
        <v/>
      </c>
      <c r="C48" s="6" t="str" cm="1">
        <f t="array" aca="1" ref="C48" ca="1">IF('Raw Data'!$C$10 = "Month # 1","",_xlfn.REGEXEXTRACT(CELL("address",'Raw Data'!C48),"\$([A-Z]+)\$[0-9]+"))</f>
        <v/>
      </c>
      <c r="D48" s="6"/>
      <c r="E48" s="6" t="str" cm="1">
        <f t="array" aca="1" ref="E48" ca="1">IF(AND('Raw Data'!E48&gt;=0,'Raw Data'!E48&lt;=1),"",_xlfn.REGEXEXTRACT(CELL("address",'Raw Data'!E48),"\$([A-Z]+)\$[0-9]+"))</f>
        <v/>
      </c>
      <c r="F48" s="6" t="str" cm="1">
        <f t="array" aca="1" ref="F48" ca="1">IF(AND('Raw Data'!F48&gt;=0,'Raw Data'!F48&lt;=1),"",_xlfn.REGEXEXTRACT(CELL("address",'Raw Data'!F48),"\$([A-Z]+)\$[0-9]+"))</f>
        <v/>
      </c>
      <c r="G48" s="6" t="str" cm="1">
        <f t="array" aca="1" ref="G48" ca="1">IF(AND('Raw Data'!G48&gt;=0,'Raw Data'!G48&lt;=1),"",_xlfn.REGEXEXTRACT(CELL("address",'Raw Data'!G48),"\$([A-Z]+)\$[0-9]+"))</f>
        <v/>
      </c>
      <c r="H48" s="6" t="str" cm="1">
        <f t="array" aca="1" ref="H48" ca="1">IF(AND('Raw Data'!H48&gt;=0,'Raw Data'!H48&lt;=1),"",_xlfn.REGEXEXTRACT(CELL("address",'Raw Data'!H48),"\$([A-Z]+)\$[0-9]+"))</f>
        <v/>
      </c>
      <c r="I48" s="6" t="str" cm="1">
        <f t="array" aca="1" ref="I48" ca="1">IF(AND('Raw Data'!I48&gt;=0,'Raw Data'!I48&lt;=1),"",_xlfn.REGEXEXTRACT(CELL("address",'Raw Data'!I48),"\$([A-Z]+)\$[0-9]+"))</f>
        <v/>
      </c>
      <c r="J48" s="6" t="str" cm="1">
        <f t="array" aca="1" ref="J48" ca="1">IF(AND('Raw Data'!J48&gt;=0,'Raw Data'!J48&lt;=1),"",_xlfn.REGEXEXTRACT(CELL("address",'Raw Data'!J48),"\$([A-Z]+)\$[0-9]+"))</f>
        <v/>
      </c>
    </row>
    <row r="49" spans="2:10" x14ac:dyDescent="0.25">
      <c r="B49" s="6" t="str" cm="1">
        <f t="array" aca="1" ref="B49" ca="1">IF('Raw Data'!$B$10 = "Overall Project","",_xlfn.REGEXEXTRACT(CELL("address",'Raw Data'!B49),"\$([A-Z]+)\$[0-9]+"))</f>
        <v/>
      </c>
      <c r="C49" s="6" t="str" cm="1">
        <f t="array" aca="1" ref="C49" ca="1">IF('Raw Data'!$C$10 = "Month # 1","",_xlfn.REGEXEXTRACT(CELL("address",'Raw Data'!C49),"\$([A-Z]+)\$[0-9]+"))</f>
        <v/>
      </c>
      <c r="D49" s="6"/>
      <c r="E49" s="6" t="str" cm="1">
        <f t="array" aca="1" ref="E49" ca="1">IF(AND('Raw Data'!E49&gt;=0,'Raw Data'!E49&lt;=1),"",_xlfn.REGEXEXTRACT(CELL("address",'Raw Data'!E49),"\$([A-Z]+)\$[0-9]+"))</f>
        <v/>
      </c>
      <c r="F49" s="6" t="str" cm="1">
        <f t="array" aca="1" ref="F49" ca="1">IF(AND('Raw Data'!F49&gt;=0,'Raw Data'!F49&lt;=1),"",_xlfn.REGEXEXTRACT(CELL("address",'Raw Data'!F49),"\$([A-Z]+)\$[0-9]+"))</f>
        <v/>
      </c>
      <c r="G49" s="6" t="str" cm="1">
        <f t="array" aca="1" ref="G49" ca="1">IF(AND('Raw Data'!G49&gt;=0,'Raw Data'!G49&lt;=1),"",_xlfn.REGEXEXTRACT(CELL("address",'Raw Data'!G49),"\$([A-Z]+)\$[0-9]+"))</f>
        <v/>
      </c>
      <c r="H49" s="6" t="str" cm="1">
        <f t="array" aca="1" ref="H49" ca="1">IF(AND('Raw Data'!H49&gt;=0,'Raw Data'!H49&lt;=1),"",_xlfn.REGEXEXTRACT(CELL("address",'Raw Data'!H49),"\$([A-Z]+)\$[0-9]+"))</f>
        <v/>
      </c>
      <c r="I49" s="6" t="str" cm="1">
        <f t="array" aca="1" ref="I49" ca="1">IF(AND('Raw Data'!I49&gt;=0,'Raw Data'!I49&lt;=1),"",_xlfn.REGEXEXTRACT(CELL("address",'Raw Data'!I49),"\$([A-Z]+)\$[0-9]+"))</f>
        <v/>
      </c>
      <c r="J49" s="6" t="str" cm="1">
        <f t="array" aca="1" ref="J49" ca="1">IF(AND('Raw Data'!J49&gt;=0,'Raw Data'!J49&lt;=1),"",_xlfn.REGEXEXTRACT(CELL("address",'Raw Data'!J49),"\$([A-Z]+)\$[0-9]+"))</f>
        <v/>
      </c>
    </row>
    <row r="50" spans="2:10" x14ac:dyDescent="0.25">
      <c r="B50" s="6" t="str" cm="1">
        <f t="array" aca="1" ref="B50" ca="1">IF('Raw Data'!$B$10 = "Overall Project","",_xlfn.REGEXEXTRACT(CELL("address",'Raw Data'!B50),"\$([A-Z]+)\$[0-9]+"))</f>
        <v/>
      </c>
      <c r="C50" s="6" t="str" cm="1">
        <f t="array" aca="1" ref="C50" ca="1">IF('Raw Data'!$C$10 = "Month # 1","",_xlfn.REGEXEXTRACT(CELL("address",'Raw Data'!C50),"\$([A-Z]+)\$[0-9]+"))</f>
        <v/>
      </c>
      <c r="D50" s="6"/>
      <c r="E50" s="6" t="str" cm="1">
        <f t="array" aca="1" ref="E50" ca="1">IF(AND('Raw Data'!E50&gt;=0,'Raw Data'!E50&lt;=1),"",_xlfn.REGEXEXTRACT(CELL("address",'Raw Data'!E50),"\$([A-Z]+)\$[0-9]+"))</f>
        <v/>
      </c>
      <c r="F50" s="6" t="str" cm="1">
        <f t="array" aca="1" ref="F50" ca="1">IF(AND('Raw Data'!F50&gt;=0,'Raw Data'!F50&lt;=1),"",_xlfn.REGEXEXTRACT(CELL("address",'Raw Data'!F50),"\$([A-Z]+)\$[0-9]+"))</f>
        <v/>
      </c>
      <c r="G50" s="6" t="str" cm="1">
        <f t="array" aca="1" ref="G50" ca="1">IF(AND('Raw Data'!G50&gt;=0,'Raw Data'!G50&lt;=1),"",_xlfn.REGEXEXTRACT(CELL("address",'Raw Data'!G50),"\$([A-Z]+)\$[0-9]+"))</f>
        <v/>
      </c>
      <c r="H50" s="6" t="str" cm="1">
        <f t="array" aca="1" ref="H50" ca="1">IF(AND('Raw Data'!H50&gt;=0,'Raw Data'!H50&lt;=1),"",_xlfn.REGEXEXTRACT(CELL("address",'Raw Data'!H50),"\$([A-Z]+)\$[0-9]+"))</f>
        <v/>
      </c>
      <c r="I50" s="6" t="str" cm="1">
        <f t="array" aca="1" ref="I50" ca="1">IF(AND('Raw Data'!I50&gt;=0,'Raw Data'!I50&lt;=1),"",_xlfn.REGEXEXTRACT(CELL("address",'Raw Data'!I50),"\$([A-Z]+)\$[0-9]+"))</f>
        <v/>
      </c>
      <c r="J50" s="6" t="str" cm="1">
        <f t="array" aca="1" ref="J50" ca="1">IF(AND('Raw Data'!J50&gt;=0,'Raw Data'!J50&lt;=1),"",_xlfn.REGEXEXTRACT(CELL("address",'Raw Data'!J50),"\$([A-Z]+)\$[0-9]+"))</f>
        <v/>
      </c>
    </row>
    <row r="51" spans="2:10" x14ac:dyDescent="0.25">
      <c r="B51" s="6" t="str" cm="1">
        <f t="array" aca="1" ref="B51" ca="1">IF('Raw Data'!$B$10 = "Overall Project","",_xlfn.REGEXEXTRACT(CELL("address",'Raw Data'!B51),"\$([A-Z]+)\$[0-9]+"))</f>
        <v/>
      </c>
      <c r="C51" s="6" t="str" cm="1">
        <f t="array" aca="1" ref="C51" ca="1">IF('Raw Data'!$C$10 = "Month # 1","",_xlfn.REGEXEXTRACT(CELL("address",'Raw Data'!C51),"\$([A-Z]+)\$[0-9]+"))</f>
        <v/>
      </c>
      <c r="D51" s="6"/>
      <c r="E51" s="6" t="str" cm="1">
        <f t="array" aca="1" ref="E51" ca="1">IF(AND('Raw Data'!E51&gt;=0,'Raw Data'!E51&lt;=1),"",_xlfn.REGEXEXTRACT(CELL("address",'Raw Data'!E51),"\$([A-Z]+)\$[0-9]+"))</f>
        <v/>
      </c>
      <c r="F51" s="6" t="str" cm="1">
        <f t="array" aca="1" ref="F51" ca="1">IF(AND('Raw Data'!F51&gt;=0,'Raw Data'!F51&lt;=1),"",_xlfn.REGEXEXTRACT(CELL("address",'Raw Data'!F51),"\$([A-Z]+)\$[0-9]+"))</f>
        <v/>
      </c>
      <c r="G51" s="6" t="str" cm="1">
        <f t="array" aca="1" ref="G51" ca="1">IF(AND('Raw Data'!G51&gt;=0,'Raw Data'!G51&lt;=1),"",_xlfn.REGEXEXTRACT(CELL("address",'Raw Data'!G51),"\$([A-Z]+)\$[0-9]+"))</f>
        <v/>
      </c>
      <c r="H51" s="6" t="str" cm="1">
        <f t="array" aca="1" ref="H51" ca="1">IF(AND('Raw Data'!H51&gt;=0,'Raw Data'!H51&lt;=1),"",_xlfn.REGEXEXTRACT(CELL("address",'Raw Data'!H51),"\$([A-Z]+)\$[0-9]+"))</f>
        <v/>
      </c>
      <c r="I51" s="6" t="str" cm="1">
        <f t="array" aca="1" ref="I51" ca="1">IF(AND('Raw Data'!I51&gt;=0,'Raw Data'!I51&lt;=1),"",_xlfn.REGEXEXTRACT(CELL("address",'Raw Data'!I51),"\$([A-Z]+)\$[0-9]+"))</f>
        <v/>
      </c>
      <c r="J51" s="6" t="str" cm="1">
        <f t="array" aca="1" ref="J51" ca="1">IF(AND('Raw Data'!J51&gt;=0,'Raw Data'!J51&lt;=1),"",_xlfn.REGEXEXTRACT(CELL("address",'Raw Data'!J51),"\$([A-Z]+)\$[0-9]+"))</f>
        <v/>
      </c>
    </row>
    <row r="52" spans="2:10" x14ac:dyDescent="0.25">
      <c r="B52" s="6" t="str" cm="1">
        <f t="array" aca="1" ref="B52" ca="1">IF('Raw Data'!$B$10 = "Overall Project","",_xlfn.REGEXEXTRACT(CELL("address",'Raw Data'!B52),"\$([A-Z]+)\$[0-9]+"))</f>
        <v/>
      </c>
      <c r="C52" s="6" t="str" cm="1">
        <f t="array" aca="1" ref="C52" ca="1">IF('Raw Data'!$C$10 = "Month # 1","",_xlfn.REGEXEXTRACT(CELL("address",'Raw Data'!C52),"\$([A-Z]+)\$[0-9]+"))</f>
        <v/>
      </c>
      <c r="D52" s="6"/>
      <c r="E52" s="6" t="str" cm="1">
        <f t="array" aca="1" ref="E52" ca="1">IF(AND('Raw Data'!E52&gt;=0,'Raw Data'!E52&lt;=1),"",_xlfn.REGEXEXTRACT(CELL("address",'Raw Data'!E52),"\$([A-Z]+)\$[0-9]+"))</f>
        <v/>
      </c>
      <c r="F52" s="6" t="str" cm="1">
        <f t="array" aca="1" ref="F52" ca="1">IF(AND('Raw Data'!F52&gt;=0,'Raw Data'!F52&lt;=1),"",_xlfn.REGEXEXTRACT(CELL("address",'Raw Data'!F52),"\$([A-Z]+)\$[0-9]+"))</f>
        <v/>
      </c>
      <c r="G52" s="6" t="str" cm="1">
        <f t="array" aca="1" ref="G52" ca="1">IF(AND('Raw Data'!G52&gt;=0,'Raw Data'!G52&lt;=1),"",_xlfn.REGEXEXTRACT(CELL("address",'Raw Data'!G52),"\$([A-Z]+)\$[0-9]+"))</f>
        <v/>
      </c>
      <c r="H52" s="6" t="str" cm="1">
        <f t="array" aca="1" ref="H52" ca="1">IF(AND('Raw Data'!H52&gt;=0,'Raw Data'!H52&lt;=1),"",_xlfn.REGEXEXTRACT(CELL("address",'Raw Data'!H52),"\$([A-Z]+)\$[0-9]+"))</f>
        <v/>
      </c>
      <c r="I52" s="6" t="str" cm="1">
        <f t="array" aca="1" ref="I52" ca="1">IF(AND('Raw Data'!I52&gt;=0,'Raw Data'!I52&lt;=1),"",_xlfn.REGEXEXTRACT(CELL("address",'Raw Data'!I52),"\$([A-Z]+)\$[0-9]+"))</f>
        <v/>
      </c>
      <c r="J52" s="6" t="str" cm="1">
        <f t="array" aca="1" ref="J52" ca="1">IF(AND('Raw Data'!J52&gt;=0,'Raw Data'!J52&lt;=1),"",_xlfn.REGEXEXTRACT(CELL("address",'Raw Data'!J52),"\$([A-Z]+)\$[0-9]+"))</f>
        <v/>
      </c>
    </row>
    <row r="53" spans="2:10" x14ac:dyDescent="0.25">
      <c r="B53" s="6" t="str" cm="1">
        <f t="array" aca="1" ref="B53" ca="1">IF('Raw Data'!$B$10 = "Overall Project","",_xlfn.REGEXEXTRACT(CELL("address",'Raw Data'!B53),"\$([A-Z]+)\$[0-9]+"))</f>
        <v/>
      </c>
      <c r="C53" s="6" t="str" cm="1">
        <f t="array" aca="1" ref="C53" ca="1">IF('Raw Data'!$C$10 = "Month # 1","",_xlfn.REGEXEXTRACT(CELL("address",'Raw Data'!C53),"\$([A-Z]+)\$[0-9]+"))</f>
        <v/>
      </c>
      <c r="D53" s="6"/>
      <c r="E53" s="6" t="str" cm="1">
        <f t="array" aca="1" ref="E53" ca="1">IF(AND('Raw Data'!E53&gt;=0,'Raw Data'!E53&lt;=1),"",_xlfn.REGEXEXTRACT(CELL("address",'Raw Data'!E53),"\$([A-Z]+)\$[0-9]+"))</f>
        <v/>
      </c>
      <c r="F53" s="6" t="str" cm="1">
        <f t="array" aca="1" ref="F53" ca="1">IF(AND('Raw Data'!F53&gt;=0,'Raw Data'!F53&lt;=1),"",_xlfn.REGEXEXTRACT(CELL("address",'Raw Data'!F53),"\$([A-Z]+)\$[0-9]+"))</f>
        <v/>
      </c>
      <c r="G53" s="6" t="str" cm="1">
        <f t="array" aca="1" ref="G53" ca="1">IF(AND('Raw Data'!G53&gt;=0,'Raw Data'!G53&lt;=1),"",_xlfn.REGEXEXTRACT(CELL("address",'Raw Data'!G53),"\$([A-Z]+)\$[0-9]+"))</f>
        <v/>
      </c>
      <c r="H53" s="6" t="str" cm="1">
        <f t="array" aca="1" ref="H53" ca="1">IF(AND('Raw Data'!H53&gt;=0,'Raw Data'!H53&lt;=1),"",_xlfn.REGEXEXTRACT(CELL("address",'Raw Data'!H53),"\$([A-Z]+)\$[0-9]+"))</f>
        <v/>
      </c>
      <c r="I53" s="6" t="str" cm="1">
        <f t="array" aca="1" ref="I53" ca="1">IF(AND('Raw Data'!I53&gt;=0,'Raw Data'!I53&lt;=1),"",_xlfn.REGEXEXTRACT(CELL("address",'Raw Data'!I53),"\$([A-Z]+)\$[0-9]+"))</f>
        <v/>
      </c>
      <c r="J53" s="6" t="str" cm="1">
        <f t="array" aca="1" ref="J53" ca="1">IF(AND('Raw Data'!J53&gt;=0,'Raw Data'!J53&lt;=1),"",_xlfn.REGEXEXTRACT(CELL("address",'Raw Data'!J53),"\$([A-Z]+)\$[0-9]+"))</f>
        <v/>
      </c>
    </row>
    <row r="54" spans="2:10" x14ac:dyDescent="0.25">
      <c r="B54" s="6" t="str" cm="1">
        <f t="array" aca="1" ref="B54" ca="1">IF('Raw Data'!$B$10 = "Overall Project","",_xlfn.REGEXEXTRACT(CELL("address",'Raw Data'!B54),"\$([A-Z]+)\$[0-9]+"))</f>
        <v/>
      </c>
      <c r="C54" s="6" t="str" cm="1">
        <f t="array" aca="1" ref="C54" ca="1">IF('Raw Data'!$C$10 = "Month # 1","",_xlfn.REGEXEXTRACT(CELL("address",'Raw Data'!C54),"\$([A-Z]+)\$[0-9]+"))</f>
        <v/>
      </c>
      <c r="D54" s="6"/>
      <c r="E54" s="6" t="str" cm="1">
        <f t="array" aca="1" ref="E54" ca="1">IF(AND('Raw Data'!E54&gt;=0,'Raw Data'!E54&lt;=1),"",_xlfn.REGEXEXTRACT(CELL("address",'Raw Data'!E54),"\$([A-Z]+)\$[0-9]+"))</f>
        <v/>
      </c>
      <c r="F54" s="6" t="str" cm="1">
        <f t="array" aca="1" ref="F54" ca="1">IF(AND('Raw Data'!F54&gt;=0,'Raw Data'!F54&lt;=1),"",_xlfn.REGEXEXTRACT(CELL("address",'Raw Data'!F54),"\$([A-Z]+)\$[0-9]+"))</f>
        <v/>
      </c>
      <c r="G54" s="6" t="str" cm="1">
        <f t="array" aca="1" ref="G54" ca="1">IF(AND('Raw Data'!G54&gt;=0,'Raw Data'!G54&lt;=1),"",_xlfn.REGEXEXTRACT(CELL("address",'Raw Data'!G54),"\$([A-Z]+)\$[0-9]+"))</f>
        <v/>
      </c>
      <c r="H54" s="6" t="str" cm="1">
        <f t="array" aca="1" ref="H54" ca="1">IF(AND('Raw Data'!H54&gt;=0,'Raw Data'!H54&lt;=1),"",_xlfn.REGEXEXTRACT(CELL("address",'Raw Data'!H54),"\$([A-Z]+)\$[0-9]+"))</f>
        <v/>
      </c>
      <c r="I54" s="6" t="str" cm="1">
        <f t="array" aca="1" ref="I54" ca="1">IF(AND('Raw Data'!I54&gt;=0,'Raw Data'!I54&lt;=1),"",_xlfn.REGEXEXTRACT(CELL("address",'Raw Data'!I54),"\$([A-Z]+)\$[0-9]+"))</f>
        <v/>
      </c>
      <c r="J54" s="6" t="str" cm="1">
        <f t="array" aca="1" ref="J54" ca="1">IF(AND('Raw Data'!J54&gt;=0,'Raw Data'!J54&lt;=1),"",_xlfn.REGEXEXTRACT(CELL("address",'Raw Data'!J54),"\$([A-Z]+)\$[0-9]+"))</f>
        <v/>
      </c>
    </row>
    <row r="55" spans="2:10" x14ac:dyDescent="0.25">
      <c r="B55" s="6" t="str" cm="1">
        <f t="array" aca="1" ref="B55" ca="1">IF('Raw Data'!$B$10 = "Overall Project","",_xlfn.REGEXEXTRACT(CELL("address",'Raw Data'!B55),"\$([A-Z]+)\$[0-9]+"))</f>
        <v/>
      </c>
      <c r="C55" s="6" t="str" cm="1">
        <f t="array" aca="1" ref="C55" ca="1">IF('Raw Data'!$C$10 = "Month # 1","",_xlfn.REGEXEXTRACT(CELL("address",'Raw Data'!C55),"\$([A-Z]+)\$[0-9]+"))</f>
        <v/>
      </c>
      <c r="D55" s="6"/>
      <c r="E55" s="6" t="str" cm="1">
        <f t="array" aca="1" ref="E55" ca="1">IF(AND('Raw Data'!E55&gt;=0,'Raw Data'!E55&lt;=1),"",_xlfn.REGEXEXTRACT(CELL("address",'Raw Data'!E55),"\$([A-Z]+)\$[0-9]+"))</f>
        <v/>
      </c>
      <c r="F55" s="6" t="str" cm="1">
        <f t="array" aca="1" ref="F55" ca="1">IF(AND('Raw Data'!F55&gt;=0,'Raw Data'!F55&lt;=1),"",_xlfn.REGEXEXTRACT(CELL("address",'Raw Data'!F55),"\$([A-Z]+)\$[0-9]+"))</f>
        <v/>
      </c>
      <c r="G55" s="6" t="str" cm="1">
        <f t="array" aca="1" ref="G55" ca="1">IF(AND('Raw Data'!G55&gt;=0,'Raw Data'!G55&lt;=1),"",_xlfn.REGEXEXTRACT(CELL("address",'Raw Data'!G55),"\$([A-Z]+)\$[0-9]+"))</f>
        <v/>
      </c>
      <c r="H55" s="6" t="str" cm="1">
        <f t="array" aca="1" ref="H55" ca="1">IF(AND('Raw Data'!H55&gt;=0,'Raw Data'!H55&lt;=1),"",_xlfn.REGEXEXTRACT(CELL("address",'Raw Data'!H55),"\$([A-Z]+)\$[0-9]+"))</f>
        <v/>
      </c>
      <c r="I55" s="6" t="str" cm="1">
        <f t="array" aca="1" ref="I55" ca="1">IF(AND('Raw Data'!I55&gt;=0,'Raw Data'!I55&lt;=1),"",_xlfn.REGEXEXTRACT(CELL("address",'Raw Data'!I55),"\$([A-Z]+)\$[0-9]+"))</f>
        <v/>
      </c>
      <c r="J55" s="6" t="str" cm="1">
        <f t="array" aca="1" ref="J55" ca="1">IF(AND('Raw Data'!J55&gt;=0,'Raw Data'!J55&lt;=1),"",_xlfn.REGEXEXTRACT(CELL("address",'Raw Data'!J55),"\$([A-Z]+)\$[0-9]+"))</f>
        <v/>
      </c>
    </row>
    <row r="56" spans="2:10" x14ac:dyDescent="0.25">
      <c r="B56" s="6" t="str" cm="1">
        <f t="array" aca="1" ref="B56" ca="1">IF('Raw Data'!$B$10 = "Overall Project","",_xlfn.REGEXEXTRACT(CELL("address",'Raw Data'!B56),"\$([A-Z]+)\$[0-9]+"))</f>
        <v/>
      </c>
      <c r="C56" s="6" t="str" cm="1">
        <f t="array" aca="1" ref="C56" ca="1">IF('Raw Data'!$C$10 = "Month # 1","",_xlfn.REGEXEXTRACT(CELL("address",'Raw Data'!C56),"\$([A-Z]+)\$[0-9]+"))</f>
        <v/>
      </c>
      <c r="D56" s="6"/>
      <c r="E56" s="6" t="str" cm="1">
        <f t="array" aca="1" ref="E56" ca="1">IF(AND('Raw Data'!E56&gt;=0,'Raw Data'!E56&lt;=1),"",_xlfn.REGEXEXTRACT(CELL("address",'Raw Data'!E56),"\$([A-Z]+)\$[0-9]+"))</f>
        <v/>
      </c>
      <c r="F56" s="6" t="str" cm="1">
        <f t="array" aca="1" ref="F56" ca="1">IF(AND('Raw Data'!F56&gt;=0,'Raw Data'!F56&lt;=1),"",_xlfn.REGEXEXTRACT(CELL("address",'Raw Data'!F56),"\$([A-Z]+)\$[0-9]+"))</f>
        <v/>
      </c>
      <c r="G56" s="6" t="str" cm="1">
        <f t="array" aca="1" ref="G56" ca="1">IF(AND('Raw Data'!G56&gt;=0,'Raw Data'!G56&lt;=1),"",_xlfn.REGEXEXTRACT(CELL("address",'Raw Data'!G56),"\$([A-Z]+)\$[0-9]+"))</f>
        <v/>
      </c>
      <c r="H56" s="6" t="str" cm="1">
        <f t="array" aca="1" ref="H56" ca="1">IF(AND('Raw Data'!H56&gt;=0,'Raw Data'!H56&lt;=1),"",_xlfn.REGEXEXTRACT(CELL("address",'Raw Data'!H56),"\$([A-Z]+)\$[0-9]+"))</f>
        <v/>
      </c>
      <c r="I56" s="6" t="str" cm="1">
        <f t="array" aca="1" ref="I56" ca="1">IF(AND('Raw Data'!I56&gt;=0,'Raw Data'!I56&lt;=1),"",_xlfn.REGEXEXTRACT(CELL("address",'Raw Data'!I56),"\$([A-Z]+)\$[0-9]+"))</f>
        <v/>
      </c>
      <c r="J56" s="6" t="str" cm="1">
        <f t="array" aca="1" ref="J56" ca="1">IF(AND('Raw Data'!J56&gt;=0,'Raw Data'!J56&lt;=1),"",_xlfn.REGEXEXTRACT(CELL("address",'Raw Data'!J56),"\$([A-Z]+)\$[0-9]+"))</f>
        <v/>
      </c>
    </row>
    <row r="57" spans="2:10" x14ac:dyDescent="0.25">
      <c r="B57" s="6" t="str" cm="1">
        <f t="array" aca="1" ref="B57" ca="1">IF('Raw Data'!$B$10 = "Overall Project","",_xlfn.REGEXEXTRACT(CELL("address",'Raw Data'!B57),"\$([A-Z]+)\$[0-9]+"))</f>
        <v/>
      </c>
      <c r="C57" s="6" t="str" cm="1">
        <f t="array" aca="1" ref="C57" ca="1">IF('Raw Data'!$C$10 = "Month # 1","",_xlfn.REGEXEXTRACT(CELL("address",'Raw Data'!C57),"\$([A-Z]+)\$[0-9]+"))</f>
        <v/>
      </c>
      <c r="D57" s="6"/>
      <c r="E57" s="6" t="str" cm="1">
        <f t="array" aca="1" ref="E57" ca="1">IF(AND('Raw Data'!E57&gt;=0,'Raw Data'!E57&lt;=1),"",_xlfn.REGEXEXTRACT(CELL("address",'Raw Data'!E57),"\$([A-Z]+)\$[0-9]+"))</f>
        <v/>
      </c>
      <c r="F57" s="6" t="str" cm="1">
        <f t="array" aca="1" ref="F57" ca="1">IF(AND('Raw Data'!F57&gt;=0,'Raw Data'!F57&lt;=1),"",_xlfn.REGEXEXTRACT(CELL("address",'Raw Data'!F57),"\$([A-Z]+)\$[0-9]+"))</f>
        <v/>
      </c>
      <c r="G57" s="6" t="str" cm="1">
        <f t="array" aca="1" ref="G57" ca="1">IF(AND('Raw Data'!G57&gt;=0,'Raw Data'!G57&lt;=1),"",_xlfn.REGEXEXTRACT(CELL("address",'Raw Data'!G57),"\$([A-Z]+)\$[0-9]+"))</f>
        <v/>
      </c>
      <c r="H57" s="6" t="str" cm="1">
        <f t="array" aca="1" ref="H57" ca="1">IF(AND('Raw Data'!H57&gt;=0,'Raw Data'!H57&lt;=1),"",_xlfn.REGEXEXTRACT(CELL("address",'Raw Data'!H57),"\$([A-Z]+)\$[0-9]+"))</f>
        <v/>
      </c>
      <c r="I57" s="6" t="str" cm="1">
        <f t="array" aca="1" ref="I57" ca="1">IF(AND('Raw Data'!I57&gt;=0,'Raw Data'!I57&lt;=1),"",_xlfn.REGEXEXTRACT(CELL("address",'Raw Data'!I57),"\$([A-Z]+)\$[0-9]+"))</f>
        <v/>
      </c>
      <c r="J57" s="6" t="str" cm="1">
        <f t="array" aca="1" ref="J57" ca="1">IF(AND('Raw Data'!J57&gt;=0,'Raw Data'!J57&lt;=1),"",_xlfn.REGEXEXTRACT(CELL("address",'Raw Data'!J57),"\$([A-Z]+)\$[0-9]+"))</f>
        <v/>
      </c>
    </row>
    <row r="58" spans="2:10" x14ac:dyDescent="0.25">
      <c r="B58" s="6" t="str" cm="1">
        <f t="array" aca="1" ref="B58" ca="1">IF('Raw Data'!$B$10 = "Overall Project","",_xlfn.REGEXEXTRACT(CELL("address",'Raw Data'!B58),"\$([A-Z]+)\$[0-9]+"))</f>
        <v/>
      </c>
      <c r="C58" s="6" t="str" cm="1">
        <f t="array" aca="1" ref="C58" ca="1">IF('Raw Data'!$C$10 = "Month # 1","",_xlfn.REGEXEXTRACT(CELL("address",'Raw Data'!C58),"\$([A-Z]+)\$[0-9]+"))</f>
        <v/>
      </c>
      <c r="D58" s="6"/>
      <c r="E58" s="6" t="str" cm="1">
        <f t="array" aca="1" ref="E58" ca="1">IF(AND('Raw Data'!E58&gt;=0,'Raw Data'!E58&lt;=1),"",_xlfn.REGEXEXTRACT(CELL("address",'Raw Data'!E58),"\$([A-Z]+)\$[0-9]+"))</f>
        <v/>
      </c>
      <c r="F58" s="6" t="str" cm="1">
        <f t="array" aca="1" ref="F58" ca="1">IF(AND('Raw Data'!F58&gt;=0,'Raw Data'!F58&lt;=1),"",_xlfn.REGEXEXTRACT(CELL("address",'Raw Data'!F58),"\$([A-Z]+)\$[0-9]+"))</f>
        <v/>
      </c>
      <c r="G58" s="6" t="str" cm="1">
        <f t="array" aca="1" ref="G58" ca="1">IF(AND('Raw Data'!G58&gt;=0,'Raw Data'!G58&lt;=1),"",_xlfn.REGEXEXTRACT(CELL("address",'Raw Data'!G58),"\$([A-Z]+)\$[0-9]+"))</f>
        <v/>
      </c>
      <c r="H58" s="6" t="str" cm="1">
        <f t="array" aca="1" ref="H58" ca="1">IF(AND('Raw Data'!H58&gt;=0,'Raw Data'!H58&lt;=1),"",_xlfn.REGEXEXTRACT(CELL("address",'Raw Data'!H58),"\$([A-Z]+)\$[0-9]+"))</f>
        <v/>
      </c>
      <c r="I58" s="6" t="str" cm="1">
        <f t="array" aca="1" ref="I58" ca="1">IF(AND('Raw Data'!I58&gt;=0,'Raw Data'!I58&lt;=1),"",_xlfn.REGEXEXTRACT(CELL("address",'Raw Data'!I58),"\$([A-Z]+)\$[0-9]+"))</f>
        <v/>
      </c>
      <c r="J58" s="6" t="str" cm="1">
        <f t="array" aca="1" ref="J58" ca="1">IF(AND('Raw Data'!J58&gt;=0,'Raw Data'!J58&lt;=1),"",_xlfn.REGEXEXTRACT(CELL("address",'Raw Data'!J58),"\$([A-Z]+)\$[0-9]+"))</f>
        <v/>
      </c>
    </row>
    <row r="59" spans="2:10" x14ac:dyDescent="0.25">
      <c r="B59" s="6" t="str" cm="1">
        <f t="array" aca="1" ref="B59" ca="1">IF('Raw Data'!$B$10 = "Overall Project","",_xlfn.REGEXEXTRACT(CELL("address",'Raw Data'!B59),"\$([A-Z]+)\$[0-9]+"))</f>
        <v/>
      </c>
      <c r="C59" s="6" t="str" cm="1">
        <f t="array" aca="1" ref="C59" ca="1">IF('Raw Data'!$C$10 = "Month # 1","",_xlfn.REGEXEXTRACT(CELL("address",'Raw Data'!C59),"\$([A-Z]+)\$[0-9]+"))</f>
        <v/>
      </c>
      <c r="D59" s="6"/>
      <c r="E59" s="6" t="str" cm="1">
        <f t="array" aca="1" ref="E59" ca="1">IF(AND('Raw Data'!E59&gt;=0,'Raw Data'!E59&lt;=1),"",_xlfn.REGEXEXTRACT(CELL("address",'Raw Data'!E59),"\$([A-Z]+)\$[0-9]+"))</f>
        <v/>
      </c>
      <c r="F59" s="6" t="str" cm="1">
        <f t="array" aca="1" ref="F59" ca="1">IF(AND('Raw Data'!F59&gt;=0,'Raw Data'!F59&lt;=1),"",_xlfn.REGEXEXTRACT(CELL("address",'Raw Data'!F59),"\$([A-Z]+)\$[0-9]+"))</f>
        <v/>
      </c>
      <c r="G59" s="6" t="str" cm="1">
        <f t="array" aca="1" ref="G59" ca="1">IF(AND('Raw Data'!G59&gt;=0,'Raw Data'!G59&lt;=1),"",_xlfn.REGEXEXTRACT(CELL("address",'Raw Data'!G59),"\$([A-Z]+)\$[0-9]+"))</f>
        <v/>
      </c>
      <c r="H59" s="6" t="str" cm="1">
        <f t="array" aca="1" ref="H59" ca="1">IF(AND('Raw Data'!H59&gt;=0,'Raw Data'!H59&lt;=1),"",_xlfn.REGEXEXTRACT(CELL("address",'Raw Data'!H59),"\$([A-Z]+)\$[0-9]+"))</f>
        <v/>
      </c>
      <c r="I59" s="6" t="str" cm="1">
        <f t="array" aca="1" ref="I59" ca="1">IF(AND('Raw Data'!I59&gt;=0,'Raw Data'!I59&lt;=1),"",_xlfn.REGEXEXTRACT(CELL("address",'Raw Data'!I59),"\$([A-Z]+)\$[0-9]+"))</f>
        <v/>
      </c>
      <c r="J59" s="6" t="str" cm="1">
        <f t="array" aca="1" ref="J59" ca="1">IF(AND('Raw Data'!J59&gt;=0,'Raw Data'!J59&lt;=1),"",_xlfn.REGEXEXTRACT(CELL("address",'Raw Data'!J59),"\$([A-Z]+)\$[0-9]+"))</f>
        <v/>
      </c>
    </row>
    <row r="60" spans="2:10" x14ac:dyDescent="0.25">
      <c r="B60" s="6" t="str" cm="1">
        <f t="array" aca="1" ref="B60" ca="1">IF('Raw Data'!$B$10 = "Overall Project","",_xlfn.REGEXEXTRACT(CELL("address",'Raw Data'!B60),"\$([A-Z]+)\$[0-9]+"))</f>
        <v/>
      </c>
      <c r="C60" s="6" t="str" cm="1">
        <f t="array" aca="1" ref="C60" ca="1">IF('Raw Data'!$C$10 = "Month # 1","",_xlfn.REGEXEXTRACT(CELL("address",'Raw Data'!C60),"\$([A-Z]+)\$[0-9]+"))</f>
        <v/>
      </c>
      <c r="D60" s="6"/>
      <c r="E60" s="6" t="str" cm="1">
        <f t="array" aca="1" ref="E60" ca="1">IF(AND('Raw Data'!E60&gt;=0,'Raw Data'!E60&lt;=1),"",_xlfn.REGEXEXTRACT(CELL("address",'Raw Data'!E60),"\$([A-Z]+)\$[0-9]+"))</f>
        <v/>
      </c>
      <c r="F60" s="6" t="str" cm="1">
        <f t="array" aca="1" ref="F60" ca="1">IF(AND('Raw Data'!F60&gt;=0,'Raw Data'!F60&lt;=1),"",_xlfn.REGEXEXTRACT(CELL("address",'Raw Data'!F60),"\$([A-Z]+)\$[0-9]+"))</f>
        <v/>
      </c>
      <c r="G60" s="6" t="str" cm="1">
        <f t="array" aca="1" ref="G60" ca="1">IF(AND('Raw Data'!G60&gt;=0,'Raw Data'!G60&lt;=1),"",_xlfn.REGEXEXTRACT(CELL("address",'Raw Data'!G60),"\$([A-Z]+)\$[0-9]+"))</f>
        <v/>
      </c>
      <c r="H60" s="6" t="str" cm="1">
        <f t="array" aca="1" ref="H60" ca="1">IF(AND('Raw Data'!H60&gt;=0,'Raw Data'!H60&lt;=1),"",_xlfn.REGEXEXTRACT(CELL("address",'Raw Data'!H60),"\$([A-Z]+)\$[0-9]+"))</f>
        <v/>
      </c>
      <c r="I60" s="6" t="str" cm="1">
        <f t="array" aca="1" ref="I60" ca="1">IF(AND('Raw Data'!I60&gt;=0,'Raw Data'!I60&lt;=1),"",_xlfn.REGEXEXTRACT(CELL("address",'Raw Data'!I60),"\$([A-Z]+)\$[0-9]+"))</f>
        <v/>
      </c>
      <c r="J60" s="6" t="str" cm="1">
        <f t="array" aca="1" ref="J60" ca="1">IF(AND('Raw Data'!J60&gt;=0,'Raw Data'!J60&lt;=1),"",_xlfn.REGEXEXTRACT(CELL("address",'Raw Data'!J60),"\$([A-Z]+)\$[0-9]+"))</f>
        <v/>
      </c>
    </row>
    <row r="61" spans="2:10" x14ac:dyDescent="0.25">
      <c r="B61" s="6" t="str" cm="1">
        <f t="array" aca="1" ref="B61" ca="1">IF('Raw Data'!$B$10 = "Overall Project","",_xlfn.REGEXEXTRACT(CELL("address",'Raw Data'!B61),"\$([A-Z]+)\$[0-9]+"))</f>
        <v/>
      </c>
      <c r="C61" s="6" t="str" cm="1">
        <f t="array" aca="1" ref="C61" ca="1">IF('Raw Data'!$C$10 = "Month # 1","",_xlfn.REGEXEXTRACT(CELL("address",'Raw Data'!C61),"\$([A-Z]+)\$[0-9]+"))</f>
        <v/>
      </c>
      <c r="D61" s="6"/>
      <c r="E61" s="6" t="str" cm="1">
        <f t="array" aca="1" ref="E61" ca="1">IF(AND('Raw Data'!E61&gt;=0,'Raw Data'!E61&lt;=1),"",_xlfn.REGEXEXTRACT(CELL("address",'Raw Data'!E61),"\$([A-Z]+)\$[0-9]+"))</f>
        <v/>
      </c>
      <c r="F61" s="6" t="str" cm="1">
        <f t="array" aca="1" ref="F61" ca="1">IF(AND('Raw Data'!F61&gt;=0,'Raw Data'!F61&lt;=1),"",_xlfn.REGEXEXTRACT(CELL("address",'Raw Data'!F61),"\$([A-Z]+)\$[0-9]+"))</f>
        <v/>
      </c>
      <c r="G61" s="6" t="str" cm="1">
        <f t="array" aca="1" ref="G61" ca="1">IF(AND('Raw Data'!G61&gt;=0,'Raw Data'!G61&lt;=1),"",_xlfn.REGEXEXTRACT(CELL("address",'Raw Data'!G61),"\$([A-Z]+)\$[0-9]+"))</f>
        <v/>
      </c>
      <c r="H61" s="6" t="str" cm="1">
        <f t="array" aca="1" ref="H61" ca="1">IF(AND('Raw Data'!H61&gt;=0,'Raw Data'!H61&lt;=1),"",_xlfn.REGEXEXTRACT(CELL("address",'Raw Data'!H61),"\$([A-Z]+)\$[0-9]+"))</f>
        <v/>
      </c>
      <c r="I61" s="6" t="str" cm="1">
        <f t="array" aca="1" ref="I61" ca="1">IF(AND('Raw Data'!I61&gt;=0,'Raw Data'!I61&lt;=1),"",_xlfn.REGEXEXTRACT(CELL("address",'Raw Data'!I61),"\$([A-Z]+)\$[0-9]+"))</f>
        <v/>
      </c>
      <c r="J61" s="6" t="str" cm="1">
        <f t="array" aca="1" ref="J61" ca="1">IF(AND('Raw Data'!J61&gt;=0,'Raw Data'!J61&lt;=1),"",_xlfn.REGEXEXTRACT(CELL("address",'Raw Data'!J61),"\$([A-Z]+)\$[0-9]+"))</f>
        <v/>
      </c>
    </row>
    <row r="62" spans="2:10" x14ac:dyDescent="0.25">
      <c r="B62" s="6" t="str" cm="1">
        <f t="array" aca="1" ref="B62" ca="1">IF('Raw Data'!$B$10 = "Overall Project","",_xlfn.REGEXEXTRACT(CELL("address",'Raw Data'!B62),"\$([A-Z]+)\$[0-9]+"))</f>
        <v/>
      </c>
      <c r="C62" s="6" t="str" cm="1">
        <f t="array" aca="1" ref="C62" ca="1">IF('Raw Data'!$C$10 = "Month # 1","",_xlfn.REGEXEXTRACT(CELL("address",'Raw Data'!C62),"\$([A-Z]+)\$[0-9]+"))</f>
        <v/>
      </c>
      <c r="D62" s="6"/>
      <c r="E62" s="6" t="str" cm="1">
        <f t="array" aca="1" ref="E62" ca="1">IF(AND('Raw Data'!E62&gt;=0,'Raw Data'!E62&lt;=1),"",_xlfn.REGEXEXTRACT(CELL("address",'Raw Data'!E62),"\$([A-Z]+)\$[0-9]+"))</f>
        <v/>
      </c>
      <c r="F62" s="6" t="str" cm="1">
        <f t="array" aca="1" ref="F62" ca="1">IF(AND('Raw Data'!F62&gt;=0,'Raw Data'!F62&lt;=1),"",_xlfn.REGEXEXTRACT(CELL("address",'Raw Data'!F62),"\$([A-Z]+)\$[0-9]+"))</f>
        <v/>
      </c>
      <c r="G62" s="6" t="str" cm="1">
        <f t="array" aca="1" ref="G62" ca="1">IF(AND('Raw Data'!G62&gt;=0,'Raw Data'!G62&lt;=1),"",_xlfn.REGEXEXTRACT(CELL("address",'Raw Data'!G62),"\$([A-Z]+)\$[0-9]+"))</f>
        <v/>
      </c>
      <c r="H62" s="6" t="str" cm="1">
        <f t="array" aca="1" ref="H62" ca="1">IF(AND('Raw Data'!H62&gt;=0,'Raw Data'!H62&lt;=1),"",_xlfn.REGEXEXTRACT(CELL("address",'Raw Data'!H62),"\$([A-Z]+)\$[0-9]+"))</f>
        <v/>
      </c>
      <c r="I62" s="6" t="str" cm="1">
        <f t="array" aca="1" ref="I62" ca="1">IF(AND('Raw Data'!I62&gt;=0,'Raw Data'!I62&lt;=1),"",_xlfn.REGEXEXTRACT(CELL("address",'Raw Data'!I62),"\$([A-Z]+)\$[0-9]+"))</f>
        <v/>
      </c>
      <c r="J62" s="6" t="str" cm="1">
        <f t="array" aca="1" ref="J62" ca="1">IF(AND('Raw Data'!J62&gt;=0,'Raw Data'!J62&lt;=1),"",_xlfn.REGEXEXTRACT(CELL("address",'Raw Data'!J62),"\$([A-Z]+)\$[0-9]+"))</f>
        <v/>
      </c>
    </row>
    <row r="63" spans="2:10" x14ac:dyDescent="0.25">
      <c r="B63" s="6" t="str" cm="1">
        <f t="array" aca="1" ref="B63" ca="1">IF('Raw Data'!$B$10 = "Overall Project","",_xlfn.REGEXEXTRACT(CELL("address",'Raw Data'!B63),"\$([A-Z]+)\$[0-9]+"))</f>
        <v/>
      </c>
      <c r="C63" s="6" t="str" cm="1">
        <f t="array" aca="1" ref="C63" ca="1">IF('Raw Data'!$C$10 = "Month # 1","",_xlfn.REGEXEXTRACT(CELL("address",'Raw Data'!C63),"\$([A-Z]+)\$[0-9]+"))</f>
        <v/>
      </c>
      <c r="D63" s="6"/>
      <c r="E63" s="6" t="str" cm="1">
        <f t="array" aca="1" ref="E63" ca="1">IF(AND('Raw Data'!E63&gt;=0,'Raw Data'!E63&lt;=1),"",_xlfn.REGEXEXTRACT(CELL("address",'Raw Data'!E63),"\$([A-Z]+)\$[0-9]+"))</f>
        <v/>
      </c>
      <c r="F63" s="6" t="str" cm="1">
        <f t="array" aca="1" ref="F63" ca="1">IF(AND('Raw Data'!F63&gt;=0,'Raw Data'!F63&lt;=1),"",_xlfn.REGEXEXTRACT(CELL("address",'Raw Data'!F63),"\$([A-Z]+)\$[0-9]+"))</f>
        <v/>
      </c>
      <c r="G63" s="6" t="str" cm="1">
        <f t="array" aca="1" ref="G63" ca="1">IF(AND('Raw Data'!G63&gt;=0,'Raw Data'!G63&lt;=1),"",_xlfn.REGEXEXTRACT(CELL("address",'Raw Data'!G63),"\$([A-Z]+)\$[0-9]+"))</f>
        <v/>
      </c>
      <c r="H63" s="6" t="str" cm="1">
        <f t="array" aca="1" ref="H63" ca="1">IF(AND('Raw Data'!H63&gt;=0,'Raw Data'!H63&lt;=1),"",_xlfn.REGEXEXTRACT(CELL("address",'Raw Data'!H63),"\$([A-Z]+)\$[0-9]+"))</f>
        <v/>
      </c>
      <c r="I63" s="6" t="str" cm="1">
        <f t="array" aca="1" ref="I63" ca="1">IF(AND('Raw Data'!I63&gt;=0,'Raw Data'!I63&lt;=1),"",_xlfn.REGEXEXTRACT(CELL("address",'Raw Data'!I63),"\$([A-Z]+)\$[0-9]+"))</f>
        <v/>
      </c>
      <c r="J63" s="6" t="str" cm="1">
        <f t="array" aca="1" ref="J63" ca="1">IF(AND('Raw Data'!J63&gt;=0,'Raw Data'!J63&lt;=1),"",_xlfn.REGEXEXTRACT(CELL("address",'Raw Data'!J63),"\$([A-Z]+)\$[0-9]+"))</f>
        <v/>
      </c>
    </row>
    <row r="64" spans="2:10" x14ac:dyDescent="0.25">
      <c r="B64" s="6" t="str" cm="1">
        <f t="array" aca="1" ref="B64" ca="1">IF('Raw Data'!$B$10 = "Overall Project","",_xlfn.REGEXEXTRACT(CELL("address",'Raw Data'!B64),"\$([A-Z]+)\$[0-9]+"))</f>
        <v/>
      </c>
      <c r="C64" s="6" t="str" cm="1">
        <f t="array" aca="1" ref="C64" ca="1">IF('Raw Data'!$C$10 = "Month # 1","",_xlfn.REGEXEXTRACT(CELL("address",'Raw Data'!C64),"\$([A-Z]+)\$[0-9]+"))</f>
        <v/>
      </c>
      <c r="D64" s="6"/>
      <c r="E64" s="6" t="str" cm="1">
        <f t="array" aca="1" ref="E64" ca="1">IF(AND('Raw Data'!E64&gt;=0,'Raw Data'!E64&lt;=1),"",_xlfn.REGEXEXTRACT(CELL("address",'Raw Data'!E64),"\$([A-Z]+)\$[0-9]+"))</f>
        <v/>
      </c>
      <c r="F64" s="6" t="str" cm="1">
        <f t="array" aca="1" ref="F64" ca="1">IF(AND('Raw Data'!F64&gt;=0,'Raw Data'!F64&lt;=1),"",_xlfn.REGEXEXTRACT(CELL("address",'Raw Data'!F64),"\$([A-Z]+)\$[0-9]+"))</f>
        <v/>
      </c>
      <c r="G64" s="6" t="str" cm="1">
        <f t="array" aca="1" ref="G64" ca="1">IF(AND('Raw Data'!G64&gt;=0,'Raw Data'!G64&lt;=1),"",_xlfn.REGEXEXTRACT(CELL("address",'Raw Data'!G64),"\$([A-Z]+)\$[0-9]+"))</f>
        <v/>
      </c>
      <c r="H64" s="6" t="str" cm="1">
        <f t="array" aca="1" ref="H64" ca="1">IF(AND('Raw Data'!H64&gt;=0,'Raw Data'!H64&lt;=1),"",_xlfn.REGEXEXTRACT(CELL("address",'Raw Data'!H64),"\$([A-Z]+)\$[0-9]+"))</f>
        <v/>
      </c>
      <c r="I64" s="6" t="str" cm="1">
        <f t="array" aca="1" ref="I64" ca="1">IF(AND('Raw Data'!I64&gt;=0,'Raw Data'!I64&lt;=1),"",_xlfn.REGEXEXTRACT(CELL("address",'Raw Data'!I64),"\$([A-Z]+)\$[0-9]+"))</f>
        <v/>
      </c>
      <c r="J64" s="6" t="str" cm="1">
        <f t="array" aca="1" ref="J64" ca="1">IF(AND('Raw Data'!J64&gt;=0,'Raw Data'!J64&lt;=1),"",_xlfn.REGEXEXTRACT(CELL("address",'Raw Data'!J64),"\$([A-Z]+)\$[0-9]+"))</f>
        <v/>
      </c>
    </row>
    <row r="65" spans="2:10" x14ac:dyDescent="0.25">
      <c r="B65" s="6" t="str" cm="1">
        <f t="array" aca="1" ref="B65" ca="1">IF('Raw Data'!$B$10 = "Overall Project","",_xlfn.REGEXEXTRACT(CELL("address",'Raw Data'!B65),"\$([A-Z]+)\$[0-9]+"))</f>
        <v/>
      </c>
      <c r="C65" s="6" t="str" cm="1">
        <f t="array" aca="1" ref="C65" ca="1">IF('Raw Data'!$C$10 = "Month # 1","",_xlfn.REGEXEXTRACT(CELL("address",'Raw Data'!C65),"\$([A-Z]+)\$[0-9]+"))</f>
        <v/>
      </c>
      <c r="D65" s="6"/>
      <c r="E65" s="6" t="str" cm="1">
        <f t="array" aca="1" ref="E65" ca="1">IF(AND('Raw Data'!E65&gt;=0,'Raw Data'!E65&lt;=1),"",_xlfn.REGEXEXTRACT(CELL("address",'Raw Data'!E65),"\$([A-Z]+)\$[0-9]+"))</f>
        <v/>
      </c>
      <c r="F65" s="6" t="str" cm="1">
        <f t="array" aca="1" ref="F65" ca="1">IF(AND('Raw Data'!F65&gt;=0,'Raw Data'!F65&lt;=1),"",_xlfn.REGEXEXTRACT(CELL("address",'Raw Data'!F65),"\$([A-Z]+)\$[0-9]+"))</f>
        <v/>
      </c>
      <c r="G65" s="6" t="str" cm="1">
        <f t="array" aca="1" ref="G65" ca="1">IF(AND('Raw Data'!G65&gt;=0,'Raw Data'!G65&lt;=1),"",_xlfn.REGEXEXTRACT(CELL("address",'Raw Data'!G65),"\$([A-Z]+)\$[0-9]+"))</f>
        <v/>
      </c>
      <c r="H65" s="6" t="str" cm="1">
        <f t="array" aca="1" ref="H65" ca="1">IF(AND('Raw Data'!H65&gt;=0,'Raw Data'!H65&lt;=1),"",_xlfn.REGEXEXTRACT(CELL("address",'Raw Data'!H65),"\$([A-Z]+)\$[0-9]+"))</f>
        <v/>
      </c>
      <c r="I65" s="6" t="str" cm="1">
        <f t="array" aca="1" ref="I65" ca="1">IF(AND('Raw Data'!I65&gt;=0,'Raw Data'!I65&lt;=1),"",_xlfn.REGEXEXTRACT(CELL("address",'Raw Data'!I65),"\$([A-Z]+)\$[0-9]+"))</f>
        <v/>
      </c>
      <c r="J65" s="6" t="str" cm="1">
        <f t="array" aca="1" ref="J65" ca="1">IF(AND('Raw Data'!J65&gt;=0,'Raw Data'!J65&lt;=1),"",_xlfn.REGEXEXTRACT(CELL("address",'Raw Data'!J65),"\$([A-Z]+)\$[0-9]+"))</f>
        <v/>
      </c>
    </row>
    <row r="66" spans="2:10" x14ac:dyDescent="0.25">
      <c r="B66" s="6" t="str" cm="1">
        <f t="array" aca="1" ref="B66" ca="1">IF('Raw Data'!$B$10 = "Overall Project","",_xlfn.REGEXEXTRACT(CELL("address",'Raw Data'!B66),"\$([A-Z]+)\$[0-9]+"))</f>
        <v/>
      </c>
      <c r="C66" s="6" t="str" cm="1">
        <f t="array" aca="1" ref="C66" ca="1">IF('Raw Data'!$C$10 = "Month # 1","",_xlfn.REGEXEXTRACT(CELL("address",'Raw Data'!C66),"\$([A-Z]+)\$[0-9]+"))</f>
        <v/>
      </c>
      <c r="D66" s="6"/>
      <c r="E66" s="6" t="str" cm="1">
        <f t="array" aca="1" ref="E66" ca="1">IF(AND('Raw Data'!E66&gt;=0,'Raw Data'!E66&lt;=1),"",_xlfn.REGEXEXTRACT(CELL("address",'Raw Data'!E66),"\$([A-Z]+)\$[0-9]+"))</f>
        <v/>
      </c>
      <c r="F66" s="6" t="str" cm="1">
        <f t="array" aca="1" ref="F66" ca="1">IF(AND('Raw Data'!F66&gt;=0,'Raw Data'!F66&lt;=1),"",_xlfn.REGEXEXTRACT(CELL("address",'Raw Data'!F66),"\$([A-Z]+)\$[0-9]+"))</f>
        <v/>
      </c>
      <c r="G66" s="6" t="str" cm="1">
        <f t="array" aca="1" ref="G66" ca="1">IF(AND('Raw Data'!G66&gt;=0,'Raw Data'!G66&lt;=1),"",_xlfn.REGEXEXTRACT(CELL("address",'Raw Data'!G66),"\$([A-Z]+)\$[0-9]+"))</f>
        <v/>
      </c>
      <c r="H66" s="6" t="str" cm="1">
        <f t="array" aca="1" ref="H66" ca="1">IF(AND('Raw Data'!H66&gt;=0,'Raw Data'!H66&lt;=1),"",_xlfn.REGEXEXTRACT(CELL("address",'Raw Data'!H66),"\$([A-Z]+)\$[0-9]+"))</f>
        <v/>
      </c>
      <c r="I66" s="6" t="str" cm="1">
        <f t="array" aca="1" ref="I66" ca="1">IF(AND('Raw Data'!I66&gt;=0,'Raw Data'!I66&lt;=1),"",_xlfn.REGEXEXTRACT(CELL("address",'Raw Data'!I66),"\$([A-Z]+)\$[0-9]+"))</f>
        <v/>
      </c>
      <c r="J66" s="6" t="str" cm="1">
        <f t="array" aca="1" ref="J66" ca="1">IF(AND('Raw Data'!J66&gt;=0,'Raw Data'!J66&lt;=1),"",_xlfn.REGEXEXTRACT(CELL("address",'Raw Data'!J66),"\$([A-Z]+)\$[0-9]+"))</f>
        <v/>
      </c>
    </row>
    <row r="67" spans="2:10" x14ac:dyDescent="0.25">
      <c r="B67" s="6" t="str" cm="1">
        <f t="array" aca="1" ref="B67" ca="1">IF('Raw Data'!$B$10 = "Overall Project","",_xlfn.REGEXEXTRACT(CELL("address",'Raw Data'!B67),"\$([A-Z]+)\$[0-9]+"))</f>
        <v/>
      </c>
      <c r="C67" s="6" t="str" cm="1">
        <f t="array" aca="1" ref="C67" ca="1">IF('Raw Data'!$C$10 = "Month # 1","",_xlfn.REGEXEXTRACT(CELL("address",'Raw Data'!C67),"\$([A-Z]+)\$[0-9]+"))</f>
        <v/>
      </c>
      <c r="D67" s="6"/>
      <c r="E67" s="6" t="str" cm="1">
        <f t="array" aca="1" ref="E67" ca="1">IF(AND('Raw Data'!E67&gt;=0,'Raw Data'!E67&lt;=1),"",_xlfn.REGEXEXTRACT(CELL("address",'Raw Data'!E67),"\$([A-Z]+)\$[0-9]+"))</f>
        <v/>
      </c>
      <c r="F67" s="6" t="str" cm="1">
        <f t="array" aca="1" ref="F67" ca="1">IF(AND('Raw Data'!F67&gt;=0,'Raw Data'!F67&lt;=1),"",_xlfn.REGEXEXTRACT(CELL("address",'Raw Data'!F67),"\$([A-Z]+)\$[0-9]+"))</f>
        <v/>
      </c>
      <c r="G67" s="6" t="str" cm="1">
        <f t="array" aca="1" ref="G67" ca="1">IF(AND('Raw Data'!G67&gt;=0,'Raw Data'!G67&lt;=1),"",_xlfn.REGEXEXTRACT(CELL("address",'Raw Data'!G67),"\$([A-Z]+)\$[0-9]+"))</f>
        <v/>
      </c>
      <c r="H67" s="6" t="str" cm="1">
        <f t="array" aca="1" ref="H67" ca="1">IF(AND('Raw Data'!H67&gt;=0,'Raw Data'!H67&lt;=1),"",_xlfn.REGEXEXTRACT(CELL("address",'Raw Data'!H67),"\$([A-Z]+)\$[0-9]+"))</f>
        <v/>
      </c>
      <c r="I67" s="6" t="str" cm="1">
        <f t="array" aca="1" ref="I67" ca="1">IF(AND('Raw Data'!I67&gt;=0,'Raw Data'!I67&lt;=1),"",_xlfn.REGEXEXTRACT(CELL("address",'Raw Data'!I67),"\$([A-Z]+)\$[0-9]+"))</f>
        <v/>
      </c>
      <c r="J67" s="6" t="str" cm="1">
        <f t="array" aca="1" ref="J67" ca="1">IF(AND('Raw Data'!J67&gt;=0,'Raw Data'!J67&lt;=1),"",_xlfn.REGEXEXTRACT(CELL("address",'Raw Data'!J67),"\$([A-Z]+)\$[0-9]+"))</f>
        <v/>
      </c>
    </row>
    <row r="68" spans="2:10" x14ac:dyDescent="0.25">
      <c r="B68" s="6" t="str" cm="1">
        <f t="array" aca="1" ref="B68" ca="1">IF('Raw Data'!$B$10 = "Overall Project","",_xlfn.REGEXEXTRACT(CELL("address",'Raw Data'!B68),"\$([A-Z]+)\$[0-9]+"))</f>
        <v/>
      </c>
      <c r="C68" s="6" t="str" cm="1">
        <f t="array" aca="1" ref="C68" ca="1">IF('Raw Data'!$C$10 = "Month # 1","",_xlfn.REGEXEXTRACT(CELL("address",'Raw Data'!C68),"\$([A-Z]+)\$[0-9]+"))</f>
        <v/>
      </c>
      <c r="D68" s="6"/>
      <c r="E68" s="6" t="str" cm="1">
        <f t="array" aca="1" ref="E68" ca="1">IF(AND('Raw Data'!E68&gt;=0,'Raw Data'!E68&lt;=1),"",_xlfn.REGEXEXTRACT(CELL("address",'Raw Data'!E68),"\$([A-Z]+)\$[0-9]+"))</f>
        <v/>
      </c>
      <c r="F68" s="6" t="str" cm="1">
        <f t="array" aca="1" ref="F68" ca="1">IF(AND('Raw Data'!F68&gt;=0,'Raw Data'!F68&lt;=1),"",_xlfn.REGEXEXTRACT(CELL("address",'Raw Data'!F68),"\$([A-Z]+)\$[0-9]+"))</f>
        <v/>
      </c>
      <c r="G68" s="6" t="str" cm="1">
        <f t="array" aca="1" ref="G68" ca="1">IF(AND('Raw Data'!G68&gt;=0,'Raw Data'!G68&lt;=1),"",_xlfn.REGEXEXTRACT(CELL("address",'Raw Data'!G68),"\$([A-Z]+)\$[0-9]+"))</f>
        <v/>
      </c>
      <c r="H68" s="6" t="str" cm="1">
        <f t="array" aca="1" ref="H68" ca="1">IF(AND('Raw Data'!H68&gt;=0,'Raw Data'!H68&lt;=1),"",_xlfn.REGEXEXTRACT(CELL("address",'Raw Data'!H68),"\$([A-Z]+)\$[0-9]+"))</f>
        <v/>
      </c>
      <c r="I68" s="6" t="str" cm="1">
        <f t="array" aca="1" ref="I68" ca="1">IF(AND('Raw Data'!I68&gt;=0,'Raw Data'!I68&lt;=1),"",_xlfn.REGEXEXTRACT(CELL("address",'Raw Data'!I68),"\$([A-Z]+)\$[0-9]+"))</f>
        <v/>
      </c>
      <c r="J68" s="6" t="str" cm="1">
        <f t="array" aca="1" ref="J68" ca="1">IF(AND('Raw Data'!J68&gt;=0,'Raw Data'!J68&lt;=1),"",_xlfn.REGEXEXTRACT(CELL("address",'Raw Data'!J68),"\$([A-Z]+)\$[0-9]+"))</f>
        <v/>
      </c>
    </row>
    <row r="69" spans="2:10" x14ac:dyDescent="0.25">
      <c r="B69" s="6" t="str" cm="1">
        <f t="array" aca="1" ref="B69" ca="1">IF('Raw Data'!$B$10 = "Overall Project","",_xlfn.REGEXEXTRACT(CELL("address",'Raw Data'!B69),"\$([A-Z]+)\$[0-9]+"))</f>
        <v/>
      </c>
      <c r="C69" s="6" t="str" cm="1">
        <f t="array" aca="1" ref="C69" ca="1">IF('Raw Data'!$C$10 = "Month # 1","",_xlfn.REGEXEXTRACT(CELL("address",'Raw Data'!C69),"\$([A-Z]+)\$[0-9]+"))</f>
        <v/>
      </c>
      <c r="D69" s="6"/>
      <c r="E69" s="6" t="str" cm="1">
        <f t="array" aca="1" ref="E69" ca="1">IF(AND('Raw Data'!E69&gt;=0,'Raw Data'!E69&lt;=1),"",_xlfn.REGEXEXTRACT(CELL("address",'Raw Data'!E69),"\$([A-Z]+)\$[0-9]+"))</f>
        <v/>
      </c>
      <c r="F69" s="6" t="str" cm="1">
        <f t="array" aca="1" ref="F69" ca="1">IF(AND('Raw Data'!F69&gt;=0,'Raw Data'!F69&lt;=1),"",_xlfn.REGEXEXTRACT(CELL("address",'Raw Data'!F69),"\$([A-Z]+)\$[0-9]+"))</f>
        <v/>
      </c>
      <c r="G69" s="6" t="str" cm="1">
        <f t="array" aca="1" ref="G69" ca="1">IF(AND('Raw Data'!G69&gt;=0,'Raw Data'!G69&lt;=1),"",_xlfn.REGEXEXTRACT(CELL("address",'Raw Data'!G69),"\$([A-Z]+)\$[0-9]+"))</f>
        <v/>
      </c>
      <c r="H69" s="6" t="str" cm="1">
        <f t="array" aca="1" ref="H69" ca="1">IF(AND('Raw Data'!H69&gt;=0,'Raw Data'!H69&lt;=1),"",_xlfn.REGEXEXTRACT(CELL("address",'Raw Data'!H69),"\$([A-Z]+)\$[0-9]+"))</f>
        <v/>
      </c>
      <c r="I69" s="6" t="str" cm="1">
        <f t="array" aca="1" ref="I69" ca="1">IF(AND('Raw Data'!I69&gt;=0,'Raw Data'!I69&lt;=1),"",_xlfn.REGEXEXTRACT(CELL("address",'Raw Data'!I69),"\$([A-Z]+)\$[0-9]+"))</f>
        <v/>
      </c>
      <c r="J69" s="6" t="str" cm="1">
        <f t="array" aca="1" ref="J69" ca="1">IF(AND('Raw Data'!J69&gt;=0,'Raw Data'!J69&lt;=1),"",_xlfn.REGEXEXTRACT(CELL("address",'Raw Data'!J69),"\$([A-Z]+)\$[0-9]+"))</f>
        <v/>
      </c>
    </row>
    <row r="70" spans="2:10" x14ac:dyDescent="0.25">
      <c r="B70" s="6" t="str" cm="1">
        <f t="array" aca="1" ref="B70" ca="1">IF('Raw Data'!$B$10 = "Overall Project","",_xlfn.REGEXEXTRACT(CELL("address",'Raw Data'!B70),"\$([A-Z]+)\$[0-9]+"))</f>
        <v/>
      </c>
      <c r="C70" s="6" t="str" cm="1">
        <f t="array" aca="1" ref="C70" ca="1">IF('Raw Data'!$C$10 = "Month # 1","",_xlfn.REGEXEXTRACT(CELL("address",'Raw Data'!C70),"\$([A-Z]+)\$[0-9]+"))</f>
        <v/>
      </c>
      <c r="D70" s="6"/>
      <c r="E70" s="6" t="str" cm="1">
        <f t="array" aca="1" ref="E70" ca="1">IF(AND('Raw Data'!E70&gt;=0,'Raw Data'!E70&lt;=1),"",_xlfn.REGEXEXTRACT(CELL("address",'Raw Data'!E70),"\$([A-Z]+)\$[0-9]+"))</f>
        <v/>
      </c>
      <c r="F70" s="6" t="str" cm="1">
        <f t="array" aca="1" ref="F70" ca="1">IF(AND('Raw Data'!F70&gt;=0,'Raw Data'!F70&lt;=1),"",_xlfn.REGEXEXTRACT(CELL("address",'Raw Data'!F70),"\$([A-Z]+)\$[0-9]+"))</f>
        <v/>
      </c>
      <c r="G70" s="6" t="str" cm="1">
        <f t="array" aca="1" ref="G70" ca="1">IF(AND('Raw Data'!G70&gt;=0,'Raw Data'!G70&lt;=1),"",_xlfn.REGEXEXTRACT(CELL("address",'Raw Data'!G70),"\$([A-Z]+)\$[0-9]+"))</f>
        <v/>
      </c>
      <c r="H70" s="6" t="str" cm="1">
        <f t="array" aca="1" ref="H70" ca="1">IF(AND('Raw Data'!H70&gt;=0,'Raw Data'!H70&lt;=1),"",_xlfn.REGEXEXTRACT(CELL("address",'Raw Data'!H70),"\$([A-Z]+)\$[0-9]+"))</f>
        <v/>
      </c>
      <c r="I70" s="6" t="str" cm="1">
        <f t="array" aca="1" ref="I70" ca="1">IF(AND('Raw Data'!I70&gt;=0,'Raw Data'!I70&lt;=1),"",_xlfn.REGEXEXTRACT(CELL("address",'Raw Data'!I70),"\$([A-Z]+)\$[0-9]+"))</f>
        <v/>
      </c>
      <c r="J70" s="6" t="str" cm="1">
        <f t="array" aca="1" ref="J70" ca="1">IF(AND('Raw Data'!J70&gt;=0,'Raw Data'!J70&lt;=1),"",_xlfn.REGEXEXTRACT(CELL("address",'Raw Data'!J70),"\$([A-Z]+)\$[0-9]+"))</f>
        <v/>
      </c>
    </row>
    <row r="71" spans="2:10" x14ac:dyDescent="0.25">
      <c r="B71" s="6" t="str" cm="1">
        <f t="array" aca="1" ref="B71" ca="1">IF('Raw Data'!$B$10 = "Overall Project","",_xlfn.REGEXEXTRACT(CELL("address",'Raw Data'!B71),"\$([A-Z]+)\$[0-9]+"))</f>
        <v/>
      </c>
      <c r="C71" s="6" t="str" cm="1">
        <f t="array" aca="1" ref="C71" ca="1">IF('Raw Data'!$C$10 = "Month # 1","",_xlfn.REGEXEXTRACT(CELL("address",'Raw Data'!C71),"\$([A-Z]+)\$[0-9]+"))</f>
        <v/>
      </c>
      <c r="D71" s="6"/>
      <c r="E71" s="6" t="str" cm="1">
        <f t="array" aca="1" ref="E71" ca="1">IF(AND('Raw Data'!E71&gt;=0,'Raw Data'!E71&lt;=1),"",_xlfn.REGEXEXTRACT(CELL("address",'Raw Data'!E71),"\$([A-Z]+)\$[0-9]+"))</f>
        <v/>
      </c>
      <c r="F71" s="6" t="str" cm="1">
        <f t="array" aca="1" ref="F71" ca="1">IF(AND('Raw Data'!F71&gt;=0,'Raw Data'!F71&lt;=1),"",_xlfn.REGEXEXTRACT(CELL("address",'Raw Data'!F71),"\$([A-Z]+)\$[0-9]+"))</f>
        <v/>
      </c>
      <c r="G71" s="6" t="str" cm="1">
        <f t="array" aca="1" ref="G71" ca="1">IF(AND('Raw Data'!G71&gt;=0,'Raw Data'!G71&lt;=1),"",_xlfn.REGEXEXTRACT(CELL("address",'Raw Data'!G71),"\$([A-Z]+)\$[0-9]+"))</f>
        <v/>
      </c>
      <c r="H71" s="6" t="str" cm="1">
        <f t="array" aca="1" ref="H71" ca="1">IF(AND('Raw Data'!H71&gt;=0,'Raw Data'!H71&lt;=1),"",_xlfn.REGEXEXTRACT(CELL("address",'Raw Data'!H71),"\$([A-Z]+)\$[0-9]+"))</f>
        <v/>
      </c>
      <c r="I71" s="6" t="str" cm="1">
        <f t="array" aca="1" ref="I71" ca="1">IF(AND('Raw Data'!I71&gt;=0,'Raw Data'!I71&lt;=1),"",_xlfn.REGEXEXTRACT(CELL("address",'Raw Data'!I71),"\$([A-Z]+)\$[0-9]+"))</f>
        <v/>
      </c>
      <c r="J71" s="6" t="str" cm="1">
        <f t="array" aca="1" ref="J71" ca="1">IF(AND('Raw Data'!J71&gt;=0,'Raw Data'!J71&lt;=1),"",_xlfn.REGEXEXTRACT(CELL("address",'Raw Data'!J71),"\$([A-Z]+)\$[0-9]+"))</f>
        <v/>
      </c>
    </row>
    <row r="72" spans="2:10" x14ac:dyDescent="0.25">
      <c r="B72" s="6" t="str" cm="1">
        <f t="array" aca="1" ref="B72" ca="1">IF('Raw Data'!$B$10 = "Overall Project","",_xlfn.REGEXEXTRACT(CELL("address",'Raw Data'!B72),"\$([A-Z]+)\$[0-9]+"))</f>
        <v/>
      </c>
      <c r="C72" s="6" t="str" cm="1">
        <f t="array" aca="1" ref="C72" ca="1">IF('Raw Data'!$C$10 = "Month # 1","",_xlfn.REGEXEXTRACT(CELL("address",'Raw Data'!C72),"\$([A-Z]+)\$[0-9]+"))</f>
        <v/>
      </c>
      <c r="D72" s="6"/>
      <c r="E72" s="6" t="str" cm="1">
        <f t="array" aca="1" ref="E72" ca="1">IF(AND('Raw Data'!E72&gt;=0,'Raw Data'!E72&lt;=1),"",_xlfn.REGEXEXTRACT(CELL("address",'Raw Data'!E72),"\$([A-Z]+)\$[0-9]+"))</f>
        <v/>
      </c>
      <c r="F72" s="6" t="str" cm="1">
        <f t="array" aca="1" ref="F72" ca="1">IF(AND('Raw Data'!F72&gt;=0,'Raw Data'!F72&lt;=1),"",_xlfn.REGEXEXTRACT(CELL("address",'Raw Data'!F72),"\$([A-Z]+)\$[0-9]+"))</f>
        <v/>
      </c>
      <c r="G72" s="6" t="str" cm="1">
        <f t="array" aca="1" ref="G72" ca="1">IF(AND('Raw Data'!G72&gt;=0,'Raw Data'!G72&lt;=1),"",_xlfn.REGEXEXTRACT(CELL("address",'Raw Data'!G72),"\$([A-Z]+)\$[0-9]+"))</f>
        <v/>
      </c>
      <c r="H72" s="6" t="str" cm="1">
        <f t="array" aca="1" ref="H72" ca="1">IF(AND('Raw Data'!H72&gt;=0,'Raw Data'!H72&lt;=1),"",_xlfn.REGEXEXTRACT(CELL("address",'Raw Data'!H72),"\$([A-Z]+)\$[0-9]+"))</f>
        <v/>
      </c>
      <c r="I72" s="6" t="str" cm="1">
        <f t="array" aca="1" ref="I72" ca="1">IF(AND('Raw Data'!I72&gt;=0,'Raw Data'!I72&lt;=1),"",_xlfn.REGEXEXTRACT(CELL("address",'Raw Data'!I72),"\$([A-Z]+)\$[0-9]+"))</f>
        <v/>
      </c>
      <c r="J72" s="6" t="str" cm="1">
        <f t="array" aca="1" ref="J72" ca="1">IF(AND('Raw Data'!J72&gt;=0,'Raw Data'!J72&lt;=1),"",_xlfn.REGEXEXTRACT(CELL("address",'Raw Data'!J72),"\$([A-Z]+)\$[0-9]+"))</f>
        <v/>
      </c>
    </row>
    <row r="73" spans="2:10" x14ac:dyDescent="0.25">
      <c r="B73" s="6" t="str" cm="1">
        <f t="array" aca="1" ref="B73" ca="1">IF('Raw Data'!$B$10 = "Overall Project","",_xlfn.REGEXEXTRACT(CELL("address",'Raw Data'!B73),"\$([A-Z]+)\$[0-9]+"))</f>
        <v/>
      </c>
      <c r="C73" s="6" t="str" cm="1">
        <f t="array" aca="1" ref="C73" ca="1">IF('Raw Data'!$C$10 = "Month # 1","",_xlfn.REGEXEXTRACT(CELL("address",'Raw Data'!C73),"\$([A-Z]+)\$[0-9]+"))</f>
        <v/>
      </c>
      <c r="D73" s="6"/>
      <c r="E73" s="6" t="str" cm="1">
        <f t="array" aca="1" ref="E73" ca="1">IF(AND('Raw Data'!E73&gt;=0,'Raw Data'!E73&lt;=1),"",_xlfn.REGEXEXTRACT(CELL("address",'Raw Data'!E73),"\$([A-Z]+)\$[0-9]+"))</f>
        <v/>
      </c>
      <c r="F73" s="6" t="str" cm="1">
        <f t="array" aca="1" ref="F73" ca="1">IF(AND('Raw Data'!F73&gt;=0,'Raw Data'!F73&lt;=1),"",_xlfn.REGEXEXTRACT(CELL("address",'Raw Data'!F73),"\$([A-Z]+)\$[0-9]+"))</f>
        <v/>
      </c>
      <c r="G73" s="6" t="str" cm="1">
        <f t="array" aca="1" ref="G73" ca="1">IF(AND('Raw Data'!G73&gt;=0,'Raw Data'!G73&lt;=1),"",_xlfn.REGEXEXTRACT(CELL("address",'Raw Data'!G73),"\$([A-Z]+)\$[0-9]+"))</f>
        <v/>
      </c>
      <c r="H73" s="6" t="str" cm="1">
        <f t="array" aca="1" ref="H73" ca="1">IF(AND('Raw Data'!H73&gt;=0,'Raw Data'!H73&lt;=1),"",_xlfn.REGEXEXTRACT(CELL("address",'Raw Data'!H73),"\$([A-Z]+)\$[0-9]+"))</f>
        <v/>
      </c>
      <c r="I73" s="6" t="str" cm="1">
        <f t="array" aca="1" ref="I73" ca="1">IF(AND('Raw Data'!I73&gt;=0,'Raw Data'!I73&lt;=1),"",_xlfn.REGEXEXTRACT(CELL("address",'Raw Data'!I73),"\$([A-Z]+)\$[0-9]+"))</f>
        <v/>
      </c>
      <c r="J73" s="6" t="str" cm="1">
        <f t="array" aca="1" ref="J73" ca="1">IF(AND('Raw Data'!J73&gt;=0,'Raw Data'!J73&lt;=1),"",_xlfn.REGEXEXTRACT(CELL("address",'Raw Data'!J73),"\$([A-Z]+)\$[0-9]+"))</f>
        <v/>
      </c>
    </row>
    <row r="74" spans="2:10" x14ac:dyDescent="0.25">
      <c r="B74" s="6" t="str" cm="1">
        <f t="array" aca="1" ref="B74" ca="1">IF('Raw Data'!$B$10 = "Overall Project","",_xlfn.REGEXEXTRACT(CELL("address",'Raw Data'!B74),"\$([A-Z]+)\$[0-9]+"))</f>
        <v/>
      </c>
      <c r="C74" s="6" t="str" cm="1">
        <f t="array" aca="1" ref="C74" ca="1">IF('Raw Data'!$C$10 = "Month # 1","",_xlfn.REGEXEXTRACT(CELL("address",'Raw Data'!C74),"\$([A-Z]+)\$[0-9]+"))</f>
        <v/>
      </c>
      <c r="D74" s="6"/>
      <c r="E74" s="6" t="str" cm="1">
        <f t="array" aca="1" ref="E74" ca="1">IF(AND('Raw Data'!E74&gt;=0,'Raw Data'!E74&lt;=1),"",_xlfn.REGEXEXTRACT(CELL("address",'Raw Data'!E74),"\$([A-Z]+)\$[0-9]+"))</f>
        <v/>
      </c>
      <c r="F74" s="6" t="str" cm="1">
        <f t="array" aca="1" ref="F74" ca="1">IF(AND('Raw Data'!F74&gt;=0,'Raw Data'!F74&lt;=1),"",_xlfn.REGEXEXTRACT(CELL("address",'Raw Data'!F74),"\$([A-Z]+)\$[0-9]+"))</f>
        <v/>
      </c>
      <c r="G74" s="6" t="str" cm="1">
        <f t="array" aca="1" ref="G74" ca="1">IF(AND('Raw Data'!G74&gt;=0,'Raw Data'!G74&lt;=1),"",_xlfn.REGEXEXTRACT(CELL("address",'Raw Data'!G74),"\$([A-Z]+)\$[0-9]+"))</f>
        <v/>
      </c>
      <c r="H74" s="6" t="str" cm="1">
        <f t="array" aca="1" ref="H74" ca="1">IF(AND('Raw Data'!H74&gt;=0,'Raw Data'!H74&lt;=1),"",_xlfn.REGEXEXTRACT(CELL("address",'Raw Data'!H74),"\$([A-Z]+)\$[0-9]+"))</f>
        <v/>
      </c>
      <c r="I74" s="6" t="str" cm="1">
        <f t="array" aca="1" ref="I74" ca="1">IF(AND('Raw Data'!I74&gt;=0,'Raw Data'!I74&lt;=1),"",_xlfn.REGEXEXTRACT(CELL("address",'Raw Data'!I74),"\$([A-Z]+)\$[0-9]+"))</f>
        <v/>
      </c>
      <c r="J74" s="6" t="str" cm="1">
        <f t="array" aca="1" ref="J74" ca="1">IF(AND('Raw Data'!J74&gt;=0,'Raw Data'!J74&lt;=1),"",_xlfn.REGEXEXTRACT(CELL("address",'Raw Data'!J74),"\$([A-Z]+)\$[0-9]+"))</f>
        <v/>
      </c>
    </row>
    <row r="75" spans="2:10" x14ac:dyDescent="0.25">
      <c r="B75" s="6" t="str" cm="1">
        <f t="array" aca="1" ref="B75" ca="1">IF('Raw Data'!$B$10 = "Overall Project","",_xlfn.REGEXEXTRACT(CELL("address",'Raw Data'!B75),"\$([A-Z]+)\$[0-9]+"))</f>
        <v/>
      </c>
      <c r="C75" s="6" t="str" cm="1">
        <f t="array" aca="1" ref="C75" ca="1">IF('Raw Data'!$C$10 = "Month # 1","",_xlfn.REGEXEXTRACT(CELL("address",'Raw Data'!C75),"\$([A-Z]+)\$[0-9]+"))</f>
        <v/>
      </c>
      <c r="D75" s="6"/>
      <c r="E75" s="6" t="str" cm="1">
        <f t="array" aca="1" ref="E75" ca="1">IF(AND('Raw Data'!E75&gt;=0,'Raw Data'!E75&lt;=1),"",_xlfn.REGEXEXTRACT(CELL("address",'Raw Data'!E75),"\$([A-Z]+)\$[0-9]+"))</f>
        <v/>
      </c>
      <c r="F75" s="6" t="str" cm="1">
        <f t="array" aca="1" ref="F75" ca="1">IF(AND('Raw Data'!F75&gt;=0,'Raw Data'!F75&lt;=1),"",_xlfn.REGEXEXTRACT(CELL("address",'Raw Data'!F75),"\$([A-Z]+)\$[0-9]+"))</f>
        <v/>
      </c>
      <c r="G75" s="6" t="str" cm="1">
        <f t="array" aca="1" ref="G75" ca="1">IF(AND('Raw Data'!G75&gt;=0,'Raw Data'!G75&lt;=1),"",_xlfn.REGEXEXTRACT(CELL("address",'Raw Data'!G75),"\$([A-Z]+)\$[0-9]+"))</f>
        <v/>
      </c>
      <c r="H75" s="6" t="str" cm="1">
        <f t="array" aca="1" ref="H75" ca="1">IF(AND('Raw Data'!H75&gt;=0,'Raw Data'!H75&lt;=1),"",_xlfn.REGEXEXTRACT(CELL("address",'Raw Data'!H75),"\$([A-Z]+)\$[0-9]+"))</f>
        <v/>
      </c>
      <c r="I75" s="6" t="str" cm="1">
        <f t="array" aca="1" ref="I75" ca="1">IF(AND('Raw Data'!I75&gt;=0,'Raw Data'!I75&lt;=1),"",_xlfn.REGEXEXTRACT(CELL("address",'Raw Data'!I75),"\$([A-Z]+)\$[0-9]+"))</f>
        <v/>
      </c>
      <c r="J75" s="6" t="str" cm="1">
        <f t="array" aca="1" ref="J75" ca="1">IF(AND('Raw Data'!J75&gt;=0,'Raw Data'!J75&lt;=1),"",_xlfn.REGEXEXTRACT(CELL("address",'Raw Data'!J75),"\$([A-Z]+)\$[0-9]+"))</f>
        <v/>
      </c>
    </row>
    <row r="76" spans="2:10" x14ac:dyDescent="0.25">
      <c r="B76" s="6" t="str" cm="1">
        <f t="array" aca="1" ref="B76" ca="1">IF('Raw Data'!$B$10 = "Overall Project","",_xlfn.REGEXEXTRACT(CELL("address",'Raw Data'!B76),"\$([A-Z]+)\$[0-9]+"))</f>
        <v/>
      </c>
      <c r="C76" s="6" t="str" cm="1">
        <f t="array" aca="1" ref="C76" ca="1">IF('Raw Data'!$C$10 = "Month # 1","",_xlfn.REGEXEXTRACT(CELL("address",'Raw Data'!C76),"\$([A-Z]+)\$[0-9]+"))</f>
        <v/>
      </c>
      <c r="D76" s="6"/>
      <c r="E76" s="6" t="str" cm="1">
        <f t="array" aca="1" ref="E76" ca="1">IF(AND('Raw Data'!E76&gt;=0,'Raw Data'!E76&lt;=1),"",_xlfn.REGEXEXTRACT(CELL("address",'Raw Data'!E76),"\$([A-Z]+)\$[0-9]+"))</f>
        <v/>
      </c>
      <c r="F76" s="6" t="str" cm="1">
        <f t="array" aca="1" ref="F76" ca="1">IF(AND('Raw Data'!F76&gt;=0,'Raw Data'!F76&lt;=1),"",_xlfn.REGEXEXTRACT(CELL("address",'Raw Data'!F76),"\$([A-Z]+)\$[0-9]+"))</f>
        <v/>
      </c>
      <c r="G76" s="6" t="str" cm="1">
        <f t="array" aca="1" ref="G76" ca="1">IF(AND('Raw Data'!G76&gt;=0,'Raw Data'!G76&lt;=1),"",_xlfn.REGEXEXTRACT(CELL("address",'Raw Data'!G76),"\$([A-Z]+)\$[0-9]+"))</f>
        <v/>
      </c>
      <c r="H76" s="6" t="str" cm="1">
        <f t="array" aca="1" ref="H76" ca="1">IF(AND('Raw Data'!H76&gt;=0,'Raw Data'!H76&lt;=1),"",_xlfn.REGEXEXTRACT(CELL("address",'Raw Data'!H76),"\$([A-Z]+)\$[0-9]+"))</f>
        <v/>
      </c>
      <c r="I76" s="6" t="str" cm="1">
        <f t="array" aca="1" ref="I76" ca="1">IF(AND('Raw Data'!I76&gt;=0,'Raw Data'!I76&lt;=1),"",_xlfn.REGEXEXTRACT(CELL("address",'Raw Data'!I76),"\$([A-Z]+)\$[0-9]+"))</f>
        <v/>
      </c>
      <c r="J76" s="6" t="str" cm="1">
        <f t="array" aca="1" ref="J76" ca="1">IF(AND('Raw Data'!J76&gt;=0,'Raw Data'!J76&lt;=1),"",_xlfn.REGEXEXTRACT(CELL("address",'Raw Data'!J76),"\$([A-Z]+)\$[0-9]+"))</f>
        <v/>
      </c>
    </row>
    <row r="77" spans="2:10" x14ac:dyDescent="0.25">
      <c r="B77" s="6" t="str" cm="1">
        <f t="array" aca="1" ref="B77" ca="1">IF('Raw Data'!$B$10 = "Overall Project","",_xlfn.REGEXEXTRACT(CELL("address",'Raw Data'!B77),"\$([A-Z]+)\$[0-9]+"))</f>
        <v/>
      </c>
      <c r="C77" s="6" t="str" cm="1">
        <f t="array" aca="1" ref="C77" ca="1">IF('Raw Data'!$C$10 = "Month # 1","",_xlfn.REGEXEXTRACT(CELL("address",'Raw Data'!C77),"\$([A-Z]+)\$[0-9]+"))</f>
        <v/>
      </c>
      <c r="D77" s="6"/>
      <c r="E77" s="6" t="str" cm="1">
        <f t="array" aca="1" ref="E77" ca="1">IF(AND('Raw Data'!E77&gt;=0,'Raw Data'!E77&lt;=1),"",_xlfn.REGEXEXTRACT(CELL("address",'Raw Data'!E77),"\$([A-Z]+)\$[0-9]+"))</f>
        <v/>
      </c>
      <c r="F77" s="6" t="str" cm="1">
        <f t="array" aca="1" ref="F77" ca="1">IF(AND('Raw Data'!F77&gt;=0,'Raw Data'!F77&lt;=1),"",_xlfn.REGEXEXTRACT(CELL("address",'Raw Data'!F77),"\$([A-Z]+)\$[0-9]+"))</f>
        <v/>
      </c>
      <c r="G77" s="6" t="str" cm="1">
        <f t="array" aca="1" ref="G77" ca="1">IF(AND('Raw Data'!G77&gt;=0,'Raw Data'!G77&lt;=1),"",_xlfn.REGEXEXTRACT(CELL("address",'Raw Data'!G77),"\$([A-Z]+)\$[0-9]+"))</f>
        <v/>
      </c>
      <c r="H77" s="6" t="str" cm="1">
        <f t="array" aca="1" ref="H77" ca="1">IF(AND('Raw Data'!H77&gt;=0,'Raw Data'!H77&lt;=1),"",_xlfn.REGEXEXTRACT(CELL("address",'Raw Data'!H77),"\$([A-Z]+)\$[0-9]+"))</f>
        <v/>
      </c>
      <c r="I77" s="6" t="str" cm="1">
        <f t="array" aca="1" ref="I77" ca="1">IF(AND('Raw Data'!I77&gt;=0,'Raw Data'!I77&lt;=1),"",_xlfn.REGEXEXTRACT(CELL("address",'Raw Data'!I77),"\$([A-Z]+)\$[0-9]+"))</f>
        <v/>
      </c>
      <c r="J77" s="6" t="str" cm="1">
        <f t="array" aca="1" ref="J77" ca="1">IF(AND('Raw Data'!J77&gt;=0,'Raw Data'!J77&lt;=1),"",_xlfn.REGEXEXTRACT(CELL("address",'Raw Data'!J77),"\$([A-Z]+)\$[0-9]+"))</f>
        <v/>
      </c>
    </row>
    <row r="78" spans="2:10" x14ac:dyDescent="0.25">
      <c r="B78" s="6" t="str" cm="1">
        <f t="array" aca="1" ref="B78" ca="1">IF('Raw Data'!$B$10 = "Overall Project","",_xlfn.REGEXEXTRACT(CELL("address",'Raw Data'!B78),"\$([A-Z]+)\$[0-9]+"))</f>
        <v/>
      </c>
      <c r="C78" s="6" t="str" cm="1">
        <f t="array" aca="1" ref="C78" ca="1">IF('Raw Data'!$C$10 = "Month # 1","",_xlfn.REGEXEXTRACT(CELL("address",'Raw Data'!C78),"\$([A-Z]+)\$[0-9]+"))</f>
        <v/>
      </c>
      <c r="D78" s="6"/>
      <c r="E78" s="6" t="str" cm="1">
        <f t="array" aca="1" ref="E78" ca="1">IF(AND('Raw Data'!E78&gt;=0,'Raw Data'!E78&lt;=1),"",_xlfn.REGEXEXTRACT(CELL("address",'Raw Data'!E78),"\$([A-Z]+)\$[0-9]+"))</f>
        <v/>
      </c>
      <c r="F78" s="6" t="str" cm="1">
        <f t="array" aca="1" ref="F78" ca="1">IF(AND('Raw Data'!F78&gt;=0,'Raw Data'!F78&lt;=1),"",_xlfn.REGEXEXTRACT(CELL("address",'Raw Data'!F78),"\$([A-Z]+)\$[0-9]+"))</f>
        <v/>
      </c>
      <c r="G78" s="6" t="str" cm="1">
        <f t="array" aca="1" ref="G78" ca="1">IF(AND('Raw Data'!G78&gt;=0,'Raw Data'!G78&lt;=1),"",_xlfn.REGEXEXTRACT(CELL("address",'Raw Data'!G78),"\$([A-Z]+)\$[0-9]+"))</f>
        <v/>
      </c>
      <c r="H78" s="6" t="str" cm="1">
        <f t="array" aca="1" ref="H78" ca="1">IF(AND('Raw Data'!H78&gt;=0,'Raw Data'!H78&lt;=1),"",_xlfn.REGEXEXTRACT(CELL("address",'Raw Data'!H78),"\$([A-Z]+)\$[0-9]+"))</f>
        <v/>
      </c>
      <c r="I78" s="6" t="str" cm="1">
        <f t="array" aca="1" ref="I78" ca="1">IF(AND('Raw Data'!I78&gt;=0,'Raw Data'!I78&lt;=1),"",_xlfn.REGEXEXTRACT(CELL("address",'Raw Data'!I78),"\$([A-Z]+)\$[0-9]+"))</f>
        <v/>
      </c>
      <c r="J78" s="6" t="str" cm="1">
        <f t="array" aca="1" ref="J78" ca="1">IF(AND('Raw Data'!J78&gt;=0,'Raw Data'!J78&lt;=1),"",_xlfn.REGEXEXTRACT(CELL("address",'Raw Data'!J78),"\$([A-Z]+)\$[0-9]+"))</f>
        <v/>
      </c>
    </row>
    <row r="79" spans="2:10" x14ac:dyDescent="0.25">
      <c r="B79" s="6" t="str" cm="1">
        <f t="array" aca="1" ref="B79" ca="1">IF('Raw Data'!$B$10 = "Overall Project","",_xlfn.REGEXEXTRACT(CELL("address",'Raw Data'!B79),"\$([A-Z]+)\$[0-9]+"))</f>
        <v/>
      </c>
      <c r="C79" s="6" t="str" cm="1">
        <f t="array" aca="1" ref="C79" ca="1">IF('Raw Data'!$C$10 = "Month # 1","",_xlfn.REGEXEXTRACT(CELL("address",'Raw Data'!C79),"\$([A-Z]+)\$[0-9]+"))</f>
        <v/>
      </c>
      <c r="D79" s="6"/>
      <c r="E79" s="6" t="str" cm="1">
        <f t="array" aca="1" ref="E79" ca="1">IF(AND('Raw Data'!E79&gt;=0,'Raw Data'!E79&lt;=1),"",_xlfn.REGEXEXTRACT(CELL("address",'Raw Data'!E79),"\$([A-Z]+)\$[0-9]+"))</f>
        <v/>
      </c>
      <c r="F79" s="6" t="str" cm="1">
        <f t="array" aca="1" ref="F79" ca="1">IF(AND('Raw Data'!F79&gt;=0,'Raw Data'!F79&lt;=1),"",_xlfn.REGEXEXTRACT(CELL("address",'Raw Data'!F79),"\$([A-Z]+)\$[0-9]+"))</f>
        <v/>
      </c>
      <c r="G79" s="6" t="str" cm="1">
        <f t="array" aca="1" ref="G79" ca="1">IF(AND('Raw Data'!G79&gt;=0,'Raw Data'!G79&lt;=1),"",_xlfn.REGEXEXTRACT(CELL("address",'Raw Data'!G79),"\$([A-Z]+)\$[0-9]+"))</f>
        <v/>
      </c>
      <c r="H79" s="6" t="str" cm="1">
        <f t="array" aca="1" ref="H79" ca="1">IF(AND('Raw Data'!H79&gt;=0,'Raw Data'!H79&lt;=1),"",_xlfn.REGEXEXTRACT(CELL("address",'Raw Data'!H79),"\$([A-Z]+)\$[0-9]+"))</f>
        <v/>
      </c>
      <c r="I79" s="6" t="str" cm="1">
        <f t="array" aca="1" ref="I79" ca="1">IF(AND('Raw Data'!I79&gt;=0,'Raw Data'!I79&lt;=1),"",_xlfn.REGEXEXTRACT(CELL("address",'Raw Data'!I79),"\$([A-Z]+)\$[0-9]+"))</f>
        <v/>
      </c>
      <c r="J79" s="6" t="str" cm="1">
        <f t="array" aca="1" ref="J79" ca="1">IF(AND('Raw Data'!J79&gt;=0,'Raw Data'!J79&lt;=1),"",_xlfn.REGEXEXTRACT(CELL("address",'Raw Data'!J79),"\$([A-Z]+)\$[0-9]+"))</f>
        <v/>
      </c>
    </row>
    <row r="80" spans="2:10" x14ac:dyDescent="0.25">
      <c r="B80" s="6" t="str" cm="1">
        <f t="array" aca="1" ref="B80" ca="1">IF('Raw Data'!$B$10 = "Overall Project","",_xlfn.REGEXEXTRACT(CELL("address",'Raw Data'!B80),"\$([A-Z]+)\$[0-9]+"))</f>
        <v/>
      </c>
      <c r="C80" s="6" t="str" cm="1">
        <f t="array" aca="1" ref="C80" ca="1">IF('Raw Data'!$C$10 = "Month # 1","",_xlfn.REGEXEXTRACT(CELL("address",'Raw Data'!C80),"\$([A-Z]+)\$[0-9]+"))</f>
        <v/>
      </c>
      <c r="D80" s="6"/>
      <c r="E80" s="6" t="str" cm="1">
        <f t="array" aca="1" ref="E80" ca="1">IF(AND('Raw Data'!E80&gt;=0,'Raw Data'!E80&lt;=1),"",_xlfn.REGEXEXTRACT(CELL("address",'Raw Data'!E80),"\$([A-Z]+)\$[0-9]+"))</f>
        <v/>
      </c>
      <c r="F80" s="6" t="str" cm="1">
        <f t="array" aca="1" ref="F80" ca="1">IF(AND('Raw Data'!F80&gt;=0,'Raw Data'!F80&lt;=1),"",_xlfn.REGEXEXTRACT(CELL("address",'Raw Data'!F80),"\$([A-Z]+)\$[0-9]+"))</f>
        <v/>
      </c>
      <c r="G80" s="6" t="str" cm="1">
        <f t="array" aca="1" ref="G80" ca="1">IF(AND('Raw Data'!G80&gt;=0,'Raw Data'!G80&lt;=1),"",_xlfn.REGEXEXTRACT(CELL("address",'Raw Data'!G80),"\$([A-Z]+)\$[0-9]+"))</f>
        <v/>
      </c>
      <c r="H80" s="6" t="str" cm="1">
        <f t="array" aca="1" ref="H80" ca="1">IF(AND('Raw Data'!H80&gt;=0,'Raw Data'!H80&lt;=1),"",_xlfn.REGEXEXTRACT(CELL("address",'Raw Data'!H80),"\$([A-Z]+)\$[0-9]+"))</f>
        <v/>
      </c>
      <c r="I80" s="6" t="str" cm="1">
        <f t="array" aca="1" ref="I80" ca="1">IF(AND('Raw Data'!I80&gt;=0,'Raw Data'!I80&lt;=1),"",_xlfn.REGEXEXTRACT(CELL("address",'Raw Data'!I80),"\$([A-Z]+)\$[0-9]+"))</f>
        <v/>
      </c>
      <c r="J80" s="6" t="str" cm="1">
        <f t="array" aca="1" ref="J80" ca="1">IF(AND('Raw Data'!J80&gt;=0,'Raw Data'!J80&lt;=1),"",_xlfn.REGEXEXTRACT(CELL("address",'Raw Data'!J80),"\$([A-Z]+)\$[0-9]+"))</f>
        <v/>
      </c>
    </row>
    <row r="81" spans="2:10" x14ac:dyDescent="0.25">
      <c r="B81" s="6" t="str" cm="1">
        <f t="array" aca="1" ref="B81" ca="1">IF('Raw Data'!$B$10 = "Overall Project","",_xlfn.REGEXEXTRACT(CELL("address",'Raw Data'!B81),"\$([A-Z]+)\$[0-9]+"))</f>
        <v/>
      </c>
      <c r="C81" s="6" t="str" cm="1">
        <f t="array" aca="1" ref="C81" ca="1">IF('Raw Data'!$C$10 = "Month # 1","",_xlfn.REGEXEXTRACT(CELL("address",'Raw Data'!C81),"\$([A-Z]+)\$[0-9]+"))</f>
        <v/>
      </c>
      <c r="D81" s="6"/>
      <c r="E81" s="6" t="str" cm="1">
        <f t="array" aca="1" ref="E81" ca="1">IF(AND('Raw Data'!E81&gt;=0,'Raw Data'!E81&lt;=1),"",_xlfn.REGEXEXTRACT(CELL("address",'Raw Data'!E81),"\$([A-Z]+)\$[0-9]+"))</f>
        <v/>
      </c>
      <c r="F81" s="6" t="str" cm="1">
        <f t="array" aca="1" ref="F81" ca="1">IF(AND('Raw Data'!F81&gt;=0,'Raw Data'!F81&lt;=1),"",_xlfn.REGEXEXTRACT(CELL("address",'Raw Data'!F81),"\$([A-Z]+)\$[0-9]+"))</f>
        <v/>
      </c>
      <c r="G81" s="6" t="str" cm="1">
        <f t="array" aca="1" ref="G81" ca="1">IF(AND('Raw Data'!G81&gt;=0,'Raw Data'!G81&lt;=1),"",_xlfn.REGEXEXTRACT(CELL("address",'Raw Data'!G81),"\$([A-Z]+)\$[0-9]+"))</f>
        <v/>
      </c>
      <c r="H81" s="6" t="str" cm="1">
        <f t="array" aca="1" ref="H81" ca="1">IF(AND('Raw Data'!H81&gt;=0,'Raw Data'!H81&lt;=1),"",_xlfn.REGEXEXTRACT(CELL("address",'Raw Data'!H81),"\$([A-Z]+)\$[0-9]+"))</f>
        <v/>
      </c>
      <c r="I81" s="6" t="str" cm="1">
        <f t="array" aca="1" ref="I81" ca="1">IF(AND('Raw Data'!I81&gt;=0,'Raw Data'!I81&lt;=1),"",_xlfn.REGEXEXTRACT(CELL("address",'Raw Data'!I81),"\$([A-Z]+)\$[0-9]+"))</f>
        <v/>
      </c>
      <c r="J81" s="6" t="str" cm="1">
        <f t="array" aca="1" ref="J81" ca="1">IF(AND('Raw Data'!J81&gt;=0,'Raw Data'!J81&lt;=1),"",_xlfn.REGEXEXTRACT(CELL("address",'Raw Data'!J81),"\$([A-Z]+)\$[0-9]+"))</f>
        <v/>
      </c>
    </row>
    <row r="82" spans="2:10" x14ac:dyDescent="0.25">
      <c r="B82" s="6" t="str" cm="1">
        <f t="array" aca="1" ref="B82" ca="1">IF('Raw Data'!$B$10 = "Overall Project","",_xlfn.REGEXEXTRACT(CELL("address",'Raw Data'!B82),"\$([A-Z]+)\$[0-9]+"))</f>
        <v/>
      </c>
      <c r="C82" s="6" t="str" cm="1">
        <f t="array" aca="1" ref="C82" ca="1">IF('Raw Data'!$C$10 = "Month # 1","",_xlfn.REGEXEXTRACT(CELL("address",'Raw Data'!C82),"\$([A-Z]+)\$[0-9]+"))</f>
        <v/>
      </c>
      <c r="D82" s="6"/>
      <c r="E82" s="6" t="str" cm="1">
        <f t="array" aca="1" ref="E82" ca="1">IF(AND('Raw Data'!E82&gt;=0,'Raw Data'!E82&lt;=1),"",_xlfn.REGEXEXTRACT(CELL("address",'Raw Data'!E82),"\$([A-Z]+)\$[0-9]+"))</f>
        <v/>
      </c>
      <c r="F82" s="6" t="str" cm="1">
        <f t="array" aca="1" ref="F82" ca="1">IF(AND('Raw Data'!F82&gt;=0,'Raw Data'!F82&lt;=1),"",_xlfn.REGEXEXTRACT(CELL("address",'Raw Data'!F82),"\$([A-Z]+)\$[0-9]+"))</f>
        <v/>
      </c>
      <c r="G82" s="6" t="str" cm="1">
        <f t="array" aca="1" ref="G82" ca="1">IF(AND('Raw Data'!G82&gt;=0,'Raw Data'!G82&lt;=1),"",_xlfn.REGEXEXTRACT(CELL("address",'Raw Data'!G82),"\$([A-Z]+)\$[0-9]+"))</f>
        <v/>
      </c>
      <c r="H82" s="6" t="str" cm="1">
        <f t="array" aca="1" ref="H82" ca="1">IF(AND('Raw Data'!H82&gt;=0,'Raw Data'!H82&lt;=1),"",_xlfn.REGEXEXTRACT(CELL("address",'Raw Data'!H82),"\$([A-Z]+)\$[0-9]+"))</f>
        <v/>
      </c>
      <c r="I82" s="6" t="str" cm="1">
        <f t="array" aca="1" ref="I82" ca="1">IF(AND('Raw Data'!I82&gt;=0,'Raw Data'!I82&lt;=1),"",_xlfn.REGEXEXTRACT(CELL("address",'Raw Data'!I82),"\$([A-Z]+)\$[0-9]+"))</f>
        <v/>
      </c>
      <c r="J82" s="6" t="str" cm="1">
        <f t="array" aca="1" ref="J82" ca="1">IF(AND('Raw Data'!J82&gt;=0,'Raw Data'!J82&lt;=1),"",_xlfn.REGEXEXTRACT(CELL("address",'Raw Data'!J82),"\$([A-Z]+)\$[0-9]+"))</f>
        <v/>
      </c>
    </row>
    <row r="83" spans="2:10" x14ac:dyDescent="0.25">
      <c r="B83" s="6" t="str" cm="1">
        <f t="array" aca="1" ref="B83" ca="1">IF('Raw Data'!$B$10 = "Overall Project","",_xlfn.REGEXEXTRACT(CELL("address",'Raw Data'!B83),"\$([A-Z]+)\$[0-9]+"))</f>
        <v/>
      </c>
      <c r="C83" s="6" t="str" cm="1">
        <f t="array" aca="1" ref="C83" ca="1">IF('Raw Data'!$C$10 = "Month # 1","",_xlfn.REGEXEXTRACT(CELL("address",'Raw Data'!C83),"\$([A-Z]+)\$[0-9]+"))</f>
        <v/>
      </c>
      <c r="D83" s="6"/>
      <c r="E83" s="6" t="str" cm="1">
        <f t="array" aca="1" ref="E83" ca="1">IF(AND('Raw Data'!E83&gt;=0,'Raw Data'!E83&lt;=1),"",_xlfn.REGEXEXTRACT(CELL("address",'Raw Data'!E83),"\$([A-Z]+)\$[0-9]+"))</f>
        <v/>
      </c>
      <c r="F83" s="6" t="str" cm="1">
        <f t="array" aca="1" ref="F83" ca="1">IF(AND('Raw Data'!F83&gt;=0,'Raw Data'!F83&lt;=1),"",_xlfn.REGEXEXTRACT(CELL("address",'Raw Data'!F83),"\$([A-Z]+)\$[0-9]+"))</f>
        <v/>
      </c>
      <c r="G83" s="6" t="str" cm="1">
        <f t="array" aca="1" ref="G83" ca="1">IF(AND('Raw Data'!G83&gt;=0,'Raw Data'!G83&lt;=1),"",_xlfn.REGEXEXTRACT(CELL("address",'Raw Data'!G83),"\$([A-Z]+)\$[0-9]+"))</f>
        <v/>
      </c>
      <c r="H83" s="6" t="str" cm="1">
        <f t="array" aca="1" ref="H83" ca="1">IF(AND('Raw Data'!H83&gt;=0,'Raw Data'!H83&lt;=1),"",_xlfn.REGEXEXTRACT(CELL("address",'Raw Data'!H83),"\$([A-Z]+)\$[0-9]+"))</f>
        <v/>
      </c>
      <c r="I83" s="6" t="str" cm="1">
        <f t="array" aca="1" ref="I83" ca="1">IF(AND('Raw Data'!I83&gt;=0,'Raw Data'!I83&lt;=1),"",_xlfn.REGEXEXTRACT(CELL("address",'Raw Data'!I83),"\$([A-Z]+)\$[0-9]+"))</f>
        <v/>
      </c>
      <c r="J83" s="6" t="str" cm="1">
        <f t="array" aca="1" ref="J83" ca="1">IF(AND('Raw Data'!J83&gt;=0,'Raw Data'!J83&lt;=1),"",_xlfn.REGEXEXTRACT(CELL("address",'Raw Data'!J83),"\$([A-Z]+)\$[0-9]+"))</f>
        <v/>
      </c>
    </row>
    <row r="84" spans="2:10" x14ac:dyDescent="0.25">
      <c r="B84" s="6" t="str" cm="1">
        <f t="array" aca="1" ref="B84" ca="1">IF('Raw Data'!$B$10 = "Overall Project","",_xlfn.REGEXEXTRACT(CELL("address",'Raw Data'!B84),"\$([A-Z]+)\$[0-9]+"))</f>
        <v/>
      </c>
      <c r="C84" s="6" t="str" cm="1">
        <f t="array" aca="1" ref="C84" ca="1">IF('Raw Data'!$C$10 = "Month # 1","",_xlfn.REGEXEXTRACT(CELL("address",'Raw Data'!C84),"\$([A-Z]+)\$[0-9]+"))</f>
        <v/>
      </c>
      <c r="D84" s="6"/>
      <c r="E84" s="6" t="str" cm="1">
        <f t="array" aca="1" ref="E84" ca="1">IF(AND('Raw Data'!E84&gt;=0,'Raw Data'!E84&lt;=1),"",_xlfn.REGEXEXTRACT(CELL("address",'Raw Data'!E84),"\$([A-Z]+)\$[0-9]+"))</f>
        <v/>
      </c>
      <c r="F84" s="6" t="str" cm="1">
        <f t="array" aca="1" ref="F84" ca="1">IF(AND('Raw Data'!F84&gt;=0,'Raw Data'!F84&lt;=1),"",_xlfn.REGEXEXTRACT(CELL("address",'Raw Data'!F84),"\$([A-Z]+)\$[0-9]+"))</f>
        <v/>
      </c>
      <c r="G84" s="6" t="str" cm="1">
        <f t="array" aca="1" ref="G84" ca="1">IF(AND('Raw Data'!G84&gt;=0,'Raw Data'!G84&lt;=1),"",_xlfn.REGEXEXTRACT(CELL("address",'Raw Data'!G84),"\$([A-Z]+)\$[0-9]+"))</f>
        <v/>
      </c>
      <c r="H84" s="6" t="str" cm="1">
        <f t="array" aca="1" ref="H84" ca="1">IF(AND('Raw Data'!H84&gt;=0,'Raw Data'!H84&lt;=1),"",_xlfn.REGEXEXTRACT(CELL("address",'Raw Data'!H84),"\$([A-Z]+)\$[0-9]+"))</f>
        <v/>
      </c>
      <c r="I84" s="6" t="str" cm="1">
        <f t="array" aca="1" ref="I84" ca="1">IF(AND('Raw Data'!I84&gt;=0,'Raw Data'!I84&lt;=1),"",_xlfn.REGEXEXTRACT(CELL("address",'Raw Data'!I84),"\$([A-Z]+)\$[0-9]+"))</f>
        <v/>
      </c>
      <c r="J84" s="6" t="str" cm="1">
        <f t="array" aca="1" ref="J84" ca="1">IF(AND('Raw Data'!J84&gt;=0,'Raw Data'!J84&lt;=1),"",_xlfn.REGEXEXTRACT(CELL("address",'Raw Data'!J84),"\$([A-Z]+)\$[0-9]+"))</f>
        <v/>
      </c>
    </row>
    <row r="85" spans="2:10" x14ac:dyDescent="0.25">
      <c r="B85" s="6" t="str" cm="1">
        <f t="array" aca="1" ref="B85" ca="1">IF('Raw Data'!$B$10 = "Overall Project","",_xlfn.REGEXEXTRACT(CELL("address",'Raw Data'!B85),"\$([A-Z]+)\$[0-9]+"))</f>
        <v/>
      </c>
      <c r="C85" s="6" t="str" cm="1">
        <f t="array" aca="1" ref="C85" ca="1">IF('Raw Data'!$C$10 = "Month # 1","",_xlfn.REGEXEXTRACT(CELL("address",'Raw Data'!C85),"\$([A-Z]+)\$[0-9]+"))</f>
        <v/>
      </c>
      <c r="D85" s="6"/>
      <c r="E85" s="6" t="str" cm="1">
        <f t="array" aca="1" ref="E85" ca="1">IF(AND('Raw Data'!E85&gt;=0,'Raw Data'!E85&lt;=1),"",_xlfn.REGEXEXTRACT(CELL("address",'Raw Data'!E85),"\$([A-Z]+)\$[0-9]+"))</f>
        <v/>
      </c>
      <c r="F85" s="6" t="str" cm="1">
        <f t="array" aca="1" ref="F85" ca="1">IF(AND('Raw Data'!F85&gt;=0,'Raw Data'!F85&lt;=1),"",_xlfn.REGEXEXTRACT(CELL("address",'Raw Data'!F85),"\$([A-Z]+)\$[0-9]+"))</f>
        <v/>
      </c>
      <c r="G85" s="6" t="str" cm="1">
        <f t="array" aca="1" ref="G85" ca="1">IF(AND('Raw Data'!G85&gt;=0,'Raw Data'!G85&lt;=1),"",_xlfn.REGEXEXTRACT(CELL("address",'Raw Data'!G85),"\$([A-Z]+)\$[0-9]+"))</f>
        <v/>
      </c>
      <c r="H85" s="6" t="str" cm="1">
        <f t="array" aca="1" ref="H85" ca="1">IF(AND('Raw Data'!H85&gt;=0,'Raw Data'!H85&lt;=1),"",_xlfn.REGEXEXTRACT(CELL("address",'Raw Data'!H85),"\$([A-Z]+)\$[0-9]+"))</f>
        <v/>
      </c>
      <c r="I85" s="6" t="str" cm="1">
        <f t="array" aca="1" ref="I85" ca="1">IF(AND('Raw Data'!I85&gt;=0,'Raw Data'!I85&lt;=1),"",_xlfn.REGEXEXTRACT(CELL("address",'Raw Data'!I85),"\$([A-Z]+)\$[0-9]+"))</f>
        <v/>
      </c>
      <c r="J85" s="6" t="str" cm="1">
        <f t="array" aca="1" ref="J85" ca="1">IF(AND('Raw Data'!J85&gt;=0,'Raw Data'!J85&lt;=1),"",_xlfn.REGEXEXTRACT(CELL("address",'Raw Data'!J85),"\$([A-Z]+)\$[0-9]+"))</f>
        <v/>
      </c>
    </row>
    <row r="86" spans="2:10" x14ac:dyDescent="0.25">
      <c r="B86" s="6" t="str" cm="1">
        <f t="array" aca="1" ref="B86" ca="1">IF('Raw Data'!$B$10 = "Overall Project","",_xlfn.REGEXEXTRACT(CELL("address",'Raw Data'!B86),"\$([A-Z]+)\$[0-9]+"))</f>
        <v/>
      </c>
      <c r="C86" s="6" t="str" cm="1">
        <f t="array" aca="1" ref="C86" ca="1">IF('Raw Data'!$C$10 = "Month # 1","",_xlfn.REGEXEXTRACT(CELL("address",'Raw Data'!C86),"\$([A-Z]+)\$[0-9]+"))</f>
        <v/>
      </c>
      <c r="D86" s="6"/>
      <c r="E86" s="6" t="str" cm="1">
        <f t="array" aca="1" ref="E86" ca="1">IF(AND('Raw Data'!E86&gt;=0,'Raw Data'!E86&lt;=1),"",_xlfn.REGEXEXTRACT(CELL("address",'Raw Data'!E86),"\$([A-Z]+)\$[0-9]+"))</f>
        <v/>
      </c>
      <c r="F86" s="6" t="str" cm="1">
        <f t="array" aca="1" ref="F86" ca="1">IF(AND('Raw Data'!F86&gt;=0,'Raw Data'!F86&lt;=1),"",_xlfn.REGEXEXTRACT(CELL("address",'Raw Data'!F86),"\$([A-Z]+)\$[0-9]+"))</f>
        <v/>
      </c>
      <c r="G86" s="6" t="str" cm="1">
        <f t="array" aca="1" ref="G86" ca="1">IF(AND('Raw Data'!G86&gt;=0,'Raw Data'!G86&lt;=1),"",_xlfn.REGEXEXTRACT(CELL("address",'Raw Data'!G86),"\$([A-Z]+)\$[0-9]+"))</f>
        <v/>
      </c>
      <c r="H86" s="6" t="str" cm="1">
        <f t="array" aca="1" ref="H86" ca="1">IF(AND('Raw Data'!H86&gt;=0,'Raw Data'!H86&lt;=1),"",_xlfn.REGEXEXTRACT(CELL("address",'Raw Data'!H86),"\$([A-Z]+)\$[0-9]+"))</f>
        <v/>
      </c>
      <c r="I86" s="6" t="str" cm="1">
        <f t="array" aca="1" ref="I86" ca="1">IF(AND('Raw Data'!I86&gt;=0,'Raw Data'!I86&lt;=1),"",_xlfn.REGEXEXTRACT(CELL("address",'Raw Data'!I86),"\$([A-Z]+)\$[0-9]+"))</f>
        <v/>
      </c>
      <c r="J86" s="6" t="str" cm="1">
        <f t="array" aca="1" ref="J86" ca="1">IF(AND('Raw Data'!J86&gt;=0,'Raw Data'!J86&lt;=1),"",_xlfn.REGEXEXTRACT(CELL("address",'Raw Data'!J86),"\$([A-Z]+)\$[0-9]+"))</f>
        <v/>
      </c>
    </row>
    <row r="87" spans="2:10" x14ac:dyDescent="0.25">
      <c r="B87" s="6" t="str" cm="1">
        <f t="array" aca="1" ref="B87" ca="1">IF('Raw Data'!$B$10 = "Overall Project","",_xlfn.REGEXEXTRACT(CELL("address",'Raw Data'!B87),"\$([A-Z]+)\$[0-9]+"))</f>
        <v/>
      </c>
      <c r="C87" s="6" t="str" cm="1">
        <f t="array" aca="1" ref="C87" ca="1">IF('Raw Data'!$C$10 = "Month # 1","",_xlfn.REGEXEXTRACT(CELL("address",'Raw Data'!C87),"\$([A-Z]+)\$[0-9]+"))</f>
        <v/>
      </c>
      <c r="D87" s="6"/>
      <c r="E87" s="6" t="str" cm="1">
        <f t="array" aca="1" ref="E87" ca="1">IF(AND('Raw Data'!E87&gt;=0,'Raw Data'!E87&lt;=1),"",_xlfn.REGEXEXTRACT(CELL("address",'Raw Data'!E87),"\$([A-Z]+)\$[0-9]+"))</f>
        <v/>
      </c>
      <c r="F87" s="6" t="str" cm="1">
        <f t="array" aca="1" ref="F87" ca="1">IF(AND('Raw Data'!F87&gt;=0,'Raw Data'!F87&lt;=1),"",_xlfn.REGEXEXTRACT(CELL("address",'Raw Data'!F87),"\$([A-Z]+)\$[0-9]+"))</f>
        <v/>
      </c>
      <c r="G87" s="6" t="str" cm="1">
        <f t="array" aca="1" ref="G87" ca="1">IF(AND('Raw Data'!G87&gt;=0,'Raw Data'!G87&lt;=1),"",_xlfn.REGEXEXTRACT(CELL("address",'Raw Data'!G87),"\$([A-Z]+)\$[0-9]+"))</f>
        <v/>
      </c>
      <c r="H87" s="6" t="str" cm="1">
        <f t="array" aca="1" ref="H87" ca="1">IF(AND('Raw Data'!H87&gt;=0,'Raw Data'!H87&lt;=1),"",_xlfn.REGEXEXTRACT(CELL("address",'Raw Data'!H87),"\$([A-Z]+)\$[0-9]+"))</f>
        <v/>
      </c>
      <c r="I87" s="6" t="str" cm="1">
        <f t="array" aca="1" ref="I87" ca="1">IF(AND('Raw Data'!I87&gt;=0,'Raw Data'!I87&lt;=1),"",_xlfn.REGEXEXTRACT(CELL("address",'Raw Data'!I87),"\$([A-Z]+)\$[0-9]+"))</f>
        <v/>
      </c>
      <c r="J87" s="6" t="str" cm="1">
        <f t="array" aca="1" ref="J87" ca="1">IF(AND('Raw Data'!J87&gt;=0,'Raw Data'!J87&lt;=1),"",_xlfn.REGEXEXTRACT(CELL("address",'Raw Data'!J87),"\$([A-Z]+)\$[0-9]+"))</f>
        <v/>
      </c>
    </row>
    <row r="88" spans="2:10" x14ac:dyDescent="0.25">
      <c r="B88" s="6" t="str" cm="1">
        <f t="array" aca="1" ref="B88" ca="1">IF('Raw Data'!$B$10 = "Overall Project","",_xlfn.REGEXEXTRACT(CELL("address",'Raw Data'!B88),"\$([A-Z]+)\$[0-9]+"))</f>
        <v/>
      </c>
      <c r="C88" s="6" t="str" cm="1">
        <f t="array" aca="1" ref="C88" ca="1">IF('Raw Data'!$C$10 = "Month # 1","",_xlfn.REGEXEXTRACT(CELL("address",'Raw Data'!C88),"\$([A-Z]+)\$[0-9]+"))</f>
        <v/>
      </c>
      <c r="D88" s="6"/>
      <c r="E88" s="6" t="str" cm="1">
        <f t="array" aca="1" ref="E88" ca="1">IF(AND('Raw Data'!E88&gt;=0,'Raw Data'!E88&lt;=1),"",_xlfn.REGEXEXTRACT(CELL("address",'Raw Data'!E88),"\$([A-Z]+)\$[0-9]+"))</f>
        <v/>
      </c>
      <c r="F88" s="6" t="str" cm="1">
        <f t="array" aca="1" ref="F88" ca="1">IF(AND('Raw Data'!F88&gt;=0,'Raw Data'!F88&lt;=1),"",_xlfn.REGEXEXTRACT(CELL("address",'Raw Data'!F88),"\$([A-Z]+)\$[0-9]+"))</f>
        <v/>
      </c>
      <c r="G88" s="6" t="str" cm="1">
        <f t="array" aca="1" ref="G88" ca="1">IF(AND('Raw Data'!G88&gt;=0,'Raw Data'!G88&lt;=1),"",_xlfn.REGEXEXTRACT(CELL("address",'Raw Data'!G88),"\$([A-Z]+)\$[0-9]+"))</f>
        <v/>
      </c>
      <c r="H88" s="6" t="str" cm="1">
        <f t="array" aca="1" ref="H88" ca="1">IF(AND('Raw Data'!H88&gt;=0,'Raw Data'!H88&lt;=1),"",_xlfn.REGEXEXTRACT(CELL("address",'Raw Data'!H88),"\$([A-Z]+)\$[0-9]+"))</f>
        <v/>
      </c>
      <c r="I88" s="6" t="str" cm="1">
        <f t="array" aca="1" ref="I88" ca="1">IF(AND('Raw Data'!I88&gt;=0,'Raw Data'!I88&lt;=1),"",_xlfn.REGEXEXTRACT(CELL("address",'Raw Data'!I88),"\$([A-Z]+)\$[0-9]+"))</f>
        <v/>
      </c>
      <c r="J88" s="6" t="str" cm="1">
        <f t="array" aca="1" ref="J88" ca="1">IF(AND('Raw Data'!J88&gt;=0,'Raw Data'!J88&lt;=1),"",_xlfn.REGEXEXTRACT(CELL("address",'Raw Data'!J88),"\$([A-Z]+)\$[0-9]+"))</f>
        <v/>
      </c>
    </row>
    <row r="89" spans="2:10" x14ac:dyDescent="0.25">
      <c r="B89" s="6" t="str" cm="1">
        <f t="array" aca="1" ref="B89" ca="1">IF('Raw Data'!$B$10 = "Overall Project","",_xlfn.REGEXEXTRACT(CELL("address",'Raw Data'!B89),"\$([A-Z]+)\$[0-9]+"))</f>
        <v/>
      </c>
      <c r="C89" s="6" t="str" cm="1">
        <f t="array" aca="1" ref="C89" ca="1">IF('Raw Data'!$C$10 = "Month # 1","",_xlfn.REGEXEXTRACT(CELL("address",'Raw Data'!C89),"\$([A-Z]+)\$[0-9]+"))</f>
        <v/>
      </c>
      <c r="D89" s="6"/>
      <c r="E89" s="6" t="str" cm="1">
        <f t="array" aca="1" ref="E89" ca="1">IF(AND('Raw Data'!E89&gt;=0,'Raw Data'!E89&lt;=1),"",_xlfn.REGEXEXTRACT(CELL("address",'Raw Data'!E89),"\$([A-Z]+)\$[0-9]+"))</f>
        <v/>
      </c>
      <c r="F89" s="6" t="str" cm="1">
        <f t="array" aca="1" ref="F89" ca="1">IF(AND('Raw Data'!F89&gt;=0,'Raw Data'!F89&lt;=1),"",_xlfn.REGEXEXTRACT(CELL("address",'Raw Data'!F89),"\$([A-Z]+)\$[0-9]+"))</f>
        <v/>
      </c>
      <c r="G89" s="6" t="str" cm="1">
        <f t="array" aca="1" ref="G89" ca="1">IF(AND('Raw Data'!G89&gt;=0,'Raw Data'!G89&lt;=1),"",_xlfn.REGEXEXTRACT(CELL("address",'Raw Data'!G89),"\$([A-Z]+)\$[0-9]+"))</f>
        <v/>
      </c>
      <c r="H89" s="6" t="str" cm="1">
        <f t="array" aca="1" ref="H89" ca="1">IF(AND('Raw Data'!H89&gt;=0,'Raw Data'!H89&lt;=1),"",_xlfn.REGEXEXTRACT(CELL("address",'Raw Data'!H89),"\$([A-Z]+)\$[0-9]+"))</f>
        <v/>
      </c>
      <c r="I89" s="6" t="str" cm="1">
        <f t="array" aca="1" ref="I89" ca="1">IF(AND('Raw Data'!I89&gt;=0,'Raw Data'!I89&lt;=1),"",_xlfn.REGEXEXTRACT(CELL("address",'Raw Data'!I89),"\$([A-Z]+)\$[0-9]+"))</f>
        <v/>
      </c>
      <c r="J89" s="6" t="str" cm="1">
        <f t="array" aca="1" ref="J89" ca="1">IF(AND('Raw Data'!J89&gt;=0,'Raw Data'!J89&lt;=1),"",_xlfn.REGEXEXTRACT(CELL("address",'Raw Data'!J89),"\$([A-Z]+)\$[0-9]+"))</f>
        <v/>
      </c>
    </row>
    <row r="90" spans="2:10" x14ac:dyDescent="0.25">
      <c r="B90" s="6" t="str" cm="1">
        <f t="array" aca="1" ref="B90" ca="1">IF('Raw Data'!$B$10 = "Overall Project","",_xlfn.REGEXEXTRACT(CELL("address",'Raw Data'!B90),"\$([A-Z]+)\$[0-9]+"))</f>
        <v/>
      </c>
      <c r="C90" s="6" t="str" cm="1">
        <f t="array" aca="1" ref="C90" ca="1">IF('Raw Data'!$C$10 = "Month # 1","",_xlfn.REGEXEXTRACT(CELL("address",'Raw Data'!C90),"\$([A-Z]+)\$[0-9]+"))</f>
        <v/>
      </c>
      <c r="D90" s="6"/>
      <c r="E90" s="6" t="str" cm="1">
        <f t="array" aca="1" ref="E90" ca="1">IF(AND('Raw Data'!E90&gt;=0,'Raw Data'!E90&lt;=1),"",_xlfn.REGEXEXTRACT(CELL("address",'Raw Data'!E90),"\$([A-Z]+)\$[0-9]+"))</f>
        <v/>
      </c>
      <c r="F90" s="6" t="str" cm="1">
        <f t="array" aca="1" ref="F90" ca="1">IF(AND('Raw Data'!F90&gt;=0,'Raw Data'!F90&lt;=1),"",_xlfn.REGEXEXTRACT(CELL("address",'Raw Data'!F90),"\$([A-Z]+)\$[0-9]+"))</f>
        <v/>
      </c>
      <c r="G90" s="6" t="str" cm="1">
        <f t="array" aca="1" ref="G90" ca="1">IF(AND('Raw Data'!G90&gt;=0,'Raw Data'!G90&lt;=1),"",_xlfn.REGEXEXTRACT(CELL("address",'Raw Data'!G90),"\$([A-Z]+)\$[0-9]+"))</f>
        <v/>
      </c>
      <c r="H90" s="6" t="str" cm="1">
        <f t="array" aca="1" ref="H90" ca="1">IF(AND('Raw Data'!H90&gt;=0,'Raw Data'!H90&lt;=1),"",_xlfn.REGEXEXTRACT(CELL("address",'Raw Data'!H90),"\$([A-Z]+)\$[0-9]+"))</f>
        <v/>
      </c>
      <c r="I90" s="6" t="str" cm="1">
        <f t="array" aca="1" ref="I90" ca="1">IF(AND('Raw Data'!I90&gt;=0,'Raw Data'!I90&lt;=1),"",_xlfn.REGEXEXTRACT(CELL("address",'Raw Data'!I90),"\$([A-Z]+)\$[0-9]+"))</f>
        <v/>
      </c>
      <c r="J90" s="6" t="str" cm="1">
        <f t="array" aca="1" ref="J90" ca="1">IF(AND('Raw Data'!J90&gt;=0,'Raw Data'!J90&lt;=1),"",_xlfn.REGEXEXTRACT(CELL("address",'Raw Data'!J90),"\$([A-Z]+)\$[0-9]+"))</f>
        <v/>
      </c>
    </row>
    <row r="91" spans="2:10" x14ac:dyDescent="0.25">
      <c r="B91" s="6" t="str" cm="1">
        <f t="array" aca="1" ref="B91" ca="1">IF('Raw Data'!$B$10 = "Overall Project","",_xlfn.REGEXEXTRACT(CELL("address",'Raw Data'!B91),"\$([A-Z]+)\$[0-9]+"))</f>
        <v/>
      </c>
      <c r="C91" s="6" t="str" cm="1">
        <f t="array" aca="1" ref="C91" ca="1">IF('Raw Data'!$C$10 = "Month # 1","",_xlfn.REGEXEXTRACT(CELL("address",'Raw Data'!C91),"\$([A-Z]+)\$[0-9]+"))</f>
        <v/>
      </c>
      <c r="D91" s="6"/>
      <c r="E91" s="6" t="str" cm="1">
        <f t="array" aca="1" ref="E91" ca="1">IF(AND('Raw Data'!E91&gt;=0,'Raw Data'!E91&lt;=1),"",_xlfn.REGEXEXTRACT(CELL("address",'Raw Data'!E91),"\$([A-Z]+)\$[0-9]+"))</f>
        <v/>
      </c>
      <c r="F91" s="6" t="str" cm="1">
        <f t="array" aca="1" ref="F91" ca="1">IF(AND('Raw Data'!F91&gt;=0,'Raw Data'!F91&lt;=1),"",_xlfn.REGEXEXTRACT(CELL("address",'Raw Data'!F91),"\$([A-Z]+)\$[0-9]+"))</f>
        <v/>
      </c>
      <c r="G91" s="6" t="str" cm="1">
        <f t="array" aca="1" ref="G91" ca="1">IF(AND('Raw Data'!G91&gt;=0,'Raw Data'!G91&lt;=1),"",_xlfn.REGEXEXTRACT(CELL("address",'Raw Data'!G91),"\$([A-Z]+)\$[0-9]+"))</f>
        <v/>
      </c>
      <c r="H91" s="6" t="str" cm="1">
        <f t="array" aca="1" ref="H91" ca="1">IF(AND('Raw Data'!H91&gt;=0,'Raw Data'!H91&lt;=1),"",_xlfn.REGEXEXTRACT(CELL("address",'Raw Data'!H91),"\$([A-Z]+)\$[0-9]+"))</f>
        <v/>
      </c>
      <c r="I91" s="6" t="str" cm="1">
        <f t="array" aca="1" ref="I91" ca="1">IF(AND('Raw Data'!I91&gt;=0,'Raw Data'!I91&lt;=1),"",_xlfn.REGEXEXTRACT(CELL("address",'Raw Data'!I91),"\$([A-Z]+)\$[0-9]+"))</f>
        <v/>
      </c>
      <c r="J91" s="6" t="str" cm="1">
        <f t="array" aca="1" ref="J91" ca="1">IF(AND('Raw Data'!J91&gt;=0,'Raw Data'!J91&lt;=1),"",_xlfn.REGEXEXTRACT(CELL("address",'Raw Data'!J91),"\$([A-Z]+)\$[0-9]+"))</f>
        <v/>
      </c>
    </row>
    <row r="92" spans="2:10" x14ac:dyDescent="0.25">
      <c r="B92" s="6" t="str" cm="1">
        <f t="array" aca="1" ref="B92" ca="1">IF('Raw Data'!$B$10 = "Overall Project","",_xlfn.REGEXEXTRACT(CELL("address",'Raw Data'!B92),"\$([A-Z]+)\$[0-9]+"))</f>
        <v/>
      </c>
      <c r="C92" s="6" t="str" cm="1">
        <f t="array" aca="1" ref="C92" ca="1">IF('Raw Data'!$C$10 = "Month # 1","",_xlfn.REGEXEXTRACT(CELL("address",'Raw Data'!C92),"\$([A-Z]+)\$[0-9]+"))</f>
        <v/>
      </c>
      <c r="D92" s="6"/>
      <c r="E92" s="6" t="str" cm="1">
        <f t="array" aca="1" ref="E92" ca="1">IF(AND('Raw Data'!E92&gt;=0,'Raw Data'!E92&lt;=1),"",_xlfn.REGEXEXTRACT(CELL("address",'Raw Data'!E92),"\$([A-Z]+)\$[0-9]+"))</f>
        <v/>
      </c>
      <c r="F92" s="6" t="str" cm="1">
        <f t="array" aca="1" ref="F92" ca="1">IF(AND('Raw Data'!F92&gt;=0,'Raw Data'!F92&lt;=1),"",_xlfn.REGEXEXTRACT(CELL("address",'Raw Data'!F92),"\$([A-Z]+)\$[0-9]+"))</f>
        <v/>
      </c>
      <c r="G92" s="6" t="str" cm="1">
        <f t="array" aca="1" ref="G92" ca="1">IF(AND('Raw Data'!G92&gt;=0,'Raw Data'!G92&lt;=1),"",_xlfn.REGEXEXTRACT(CELL("address",'Raw Data'!G92),"\$([A-Z]+)\$[0-9]+"))</f>
        <v/>
      </c>
      <c r="H92" s="6" t="str" cm="1">
        <f t="array" aca="1" ref="H92" ca="1">IF(AND('Raw Data'!H92&gt;=0,'Raw Data'!H92&lt;=1),"",_xlfn.REGEXEXTRACT(CELL("address",'Raw Data'!H92),"\$([A-Z]+)\$[0-9]+"))</f>
        <v/>
      </c>
      <c r="I92" s="6" t="str" cm="1">
        <f t="array" aca="1" ref="I92" ca="1">IF(AND('Raw Data'!I92&gt;=0,'Raw Data'!I92&lt;=1),"",_xlfn.REGEXEXTRACT(CELL("address",'Raw Data'!I92),"\$([A-Z]+)\$[0-9]+"))</f>
        <v/>
      </c>
      <c r="J92" s="6" t="str" cm="1">
        <f t="array" aca="1" ref="J92" ca="1">IF(AND('Raw Data'!J92&gt;=0,'Raw Data'!J92&lt;=1),"",_xlfn.REGEXEXTRACT(CELL("address",'Raw Data'!J92),"\$([A-Z]+)\$[0-9]+"))</f>
        <v/>
      </c>
    </row>
    <row r="93" spans="2:10" x14ac:dyDescent="0.25">
      <c r="B93" s="6" t="str" cm="1">
        <f t="array" aca="1" ref="B93" ca="1">IF('Raw Data'!$B$10 = "Overall Project","",_xlfn.REGEXEXTRACT(CELL("address",'Raw Data'!B93),"\$([A-Z]+)\$[0-9]+"))</f>
        <v/>
      </c>
      <c r="C93" s="6" t="str" cm="1">
        <f t="array" aca="1" ref="C93" ca="1">IF('Raw Data'!$C$10 = "Month # 1","",_xlfn.REGEXEXTRACT(CELL("address",'Raw Data'!C93),"\$([A-Z]+)\$[0-9]+"))</f>
        <v/>
      </c>
      <c r="D93" s="6"/>
      <c r="E93" s="6" t="str" cm="1">
        <f t="array" aca="1" ref="E93" ca="1">IF(AND('Raw Data'!E93&gt;=0,'Raw Data'!E93&lt;=1),"",_xlfn.REGEXEXTRACT(CELL("address",'Raw Data'!E93),"\$([A-Z]+)\$[0-9]+"))</f>
        <v/>
      </c>
      <c r="F93" s="6" t="str" cm="1">
        <f t="array" aca="1" ref="F93" ca="1">IF(AND('Raw Data'!F93&gt;=0,'Raw Data'!F93&lt;=1),"",_xlfn.REGEXEXTRACT(CELL("address",'Raw Data'!F93),"\$([A-Z]+)\$[0-9]+"))</f>
        <v/>
      </c>
      <c r="G93" s="6" t="str" cm="1">
        <f t="array" aca="1" ref="G93" ca="1">IF(AND('Raw Data'!G93&gt;=0,'Raw Data'!G93&lt;=1),"",_xlfn.REGEXEXTRACT(CELL("address",'Raw Data'!G93),"\$([A-Z]+)\$[0-9]+"))</f>
        <v/>
      </c>
      <c r="H93" s="6" t="str" cm="1">
        <f t="array" aca="1" ref="H93" ca="1">IF(AND('Raw Data'!H93&gt;=0,'Raw Data'!H93&lt;=1),"",_xlfn.REGEXEXTRACT(CELL("address",'Raw Data'!H93),"\$([A-Z]+)\$[0-9]+"))</f>
        <v/>
      </c>
      <c r="I93" s="6" t="str" cm="1">
        <f t="array" aca="1" ref="I93" ca="1">IF(AND('Raw Data'!I93&gt;=0,'Raw Data'!I93&lt;=1),"",_xlfn.REGEXEXTRACT(CELL("address",'Raw Data'!I93),"\$([A-Z]+)\$[0-9]+"))</f>
        <v/>
      </c>
      <c r="J93" s="6" t="str" cm="1">
        <f t="array" aca="1" ref="J93" ca="1">IF(AND('Raw Data'!J93&gt;=0,'Raw Data'!J93&lt;=1),"",_xlfn.REGEXEXTRACT(CELL("address",'Raw Data'!J93),"\$([A-Z]+)\$[0-9]+"))</f>
        <v/>
      </c>
    </row>
    <row r="94" spans="2:10" x14ac:dyDescent="0.25">
      <c r="B94" s="6" t="str" cm="1">
        <f t="array" aca="1" ref="B94" ca="1">IF('Raw Data'!$B$10 = "Overall Project","",_xlfn.REGEXEXTRACT(CELL("address",'Raw Data'!B94),"\$([A-Z]+)\$[0-9]+"))</f>
        <v/>
      </c>
      <c r="C94" s="6" t="str" cm="1">
        <f t="array" aca="1" ref="C94" ca="1">IF('Raw Data'!$C$10 = "Month # 1","",_xlfn.REGEXEXTRACT(CELL("address",'Raw Data'!C94),"\$([A-Z]+)\$[0-9]+"))</f>
        <v/>
      </c>
      <c r="D94" s="6"/>
      <c r="E94" s="6" t="str" cm="1">
        <f t="array" aca="1" ref="E94" ca="1">IF(AND('Raw Data'!E94&gt;=0,'Raw Data'!E94&lt;=1),"",_xlfn.REGEXEXTRACT(CELL("address",'Raw Data'!E94),"\$([A-Z]+)\$[0-9]+"))</f>
        <v/>
      </c>
      <c r="F94" s="6" t="str" cm="1">
        <f t="array" aca="1" ref="F94" ca="1">IF(AND('Raw Data'!F94&gt;=0,'Raw Data'!F94&lt;=1),"",_xlfn.REGEXEXTRACT(CELL("address",'Raw Data'!F94),"\$([A-Z]+)\$[0-9]+"))</f>
        <v/>
      </c>
      <c r="G94" s="6" t="str" cm="1">
        <f t="array" aca="1" ref="G94" ca="1">IF(AND('Raw Data'!G94&gt;=0,'Raw Data'!G94&lt;=1),"",_xlfn.REGEXEXTRACT(CELL("address",'Raw Data'!G94),"\$([A-Z]+)\$[0-9]+"))</f>
        <v/>
      </c>
      <c r="H94" s="6" t="str" cm="1">
        <f t="array" aca="1" ref="H94" ca="1">IF(AND('Raw Data'!H94&gt;=0,'Raw Data'!H94&lt;=1),"",_xlfn.REGEXEXTRACT(CELL("address",'Raw Data'!H94),"\$([A-Z]+)\$[0-9]+"))</f>
        <v/>
      </c>
      <c r="I94" s="6" t="str" cm="1">
        <f t="array" aca="1" ref="I94" ca="1">IF(AND('Raw Data'!I94&gt;=0,'Raw Data'!I94&lt;=1),"",_xlfn.REGEXEXTRACT(CELL("address",'Raw Data'!I94),"\$([A-Z]+)\$[0-9]+"))</f>
        <v/>
      </c>
      <c r="J94" s="6" t="str" cm="1">
        <f t="array" aca="1" ref="J94" ca="1">IF(AND('Raw Data'!J94&gt;=0,'Raw Data'!J94&lt;=1),"",_xlfn.REGEXEXTRACT(CELL("address",'Raw Data'!J94),"\$([A-Z]+)\$[0-9]+"))</f>
        <v/>
      </c>
    </row>
    <row r="95" spans="2:10" x14ac:dyDescent="0.25">
      <c r="B95" s="6" t="str" cm="1">
        <f t="array" aca="1" ref="B95" ca="1">IF('Raw Data'!$B$10 = "Overall Project","",_xlfn.REGEXEXTRACT(CELL("address",'Raw Data'!B95),"\$([A-Z]+)\$[0-9]+"))</f>
        <v/>
      </c>
      <c r="C95" s="6" t="str" cm="1">
        <f t="array" aca="1" ref="C95" ca="1">IF('Raw Data'!$C$10 = "Month # 1","",_xlfn.REGEXEXTRACT(CELL("address",'Raw Data'!C95),"\$([A-Z]+)\$[0-9]+"))</f>
        <v/>
      </c>
      <c r="D95" s="6"/>
      <c r="E95" s="6" t="str" cm="1">
        <f t="array" aca="1" ref="E95" ca="1">IF(AND('Raw Data'!E95&gt;=0,'Raw Data'!E95&lt;=1),"",_xlfn.REGEXEXTRACT(CELL("address",'Raw Data'!E95),"\$([A-Z]+)\$[0-9]+"))</f>
        <v/>
      </c>
      <c r="F95" s="6" t="str" cm="1">
        <f t="array" aca="1" ref="F95" ca="1">IF(AND('Raw Data'!F95&gt;=0,'Raw Data'!F95&lt;=1),"",_xlfn.REGEXEXTRACT(CELL("address",'Raw Data'!F95),"\$([A-Z]+)\$[0-9]+"))</f>
        <v/>
      </c>
      <c r="G95" s="6" t="str" cm="1">
        <f t="array" aca="1" ref="G95" ca="1">IF(AND('Raw Data'!G95&gt;=0,'Raw Data'!G95&lt;=1),"",_xlfn.REGEXEXTRACT(CELL("address",'Raw Data'!G95),"\$([A-Z]+)\$[0-9]+"))</f>
        <v/>
      </c>
      <c r="H95" s="6" t="str" cm="1">
        <f t="array" aca="1" ref="H95" ca="1">IF(AND('Raw Data'!H95&gt;=0,'Raw Data'!H95&lt;=1),"",_xlfn.REGEXEXTRACT(CELL("address",'Raw Data'!H95),"\$([A-Z]+)\$[0-9]+"))</f>
        <v/>
      </c>
      <c r="I95" s="6" t="str" cm="1">
        <f t="array" aca="1" ref="I95" ca="1">IF(AND('Raw Data'!I95&gt;=0,'Raw Data'!I95&lt;=1),"",_xlfn.REGEXEXTRACT(CELL("address",'Raw Data'!I95),"\$([A-Z]+)\$[0-9]+"))</f>
        <v/>
      </c>
      <c r="J95" s="6" t="str" cm="1">
        <f t="array" aca="1" ref="J95" ca="1">IF(AND('Raw Data'!J95&gt;=0,'Raw Data'!J95&lt;=1),"",_xlfn.REGEXEXTRACT(CELL("address",'Raw Data'!J95),"\$([A-Z]+)\$[0-9]+"))</f>
        <v/>
      </c>
    </row>
    <row r="96" spans="2:10" x14ac:dyDescent="0.25">
      <c r="B96" s="6" t="str" cm="1">
        <f t="array" aca="1" ref="B96" ca="1">IF('Raw Data'!$B$10 = "Overall Project","",_xlfn.REGEXEXTRACT(CELL("address",'Raw Data'!B96),"\$([A-Z]+)\$[0-9]+"))</f>
        <v/>
      </c>
      <c r="C96" s="6" t="str" cm="1">
        <f t="array" aca="1" ref="C96" ca="1">IF('Raw Data'!$C$10 = "Month # 1","",_xlfn.REGEXEXTRACT(CELL("address",'Raw Data'!C96),"\$([A-Z]+)\$[0-9]+"))</f>
        <v/>
      </c>
      <c r="D96" s="6"/>
      <c r="E96" s="6" t="str" cm="1">
        <f t="array" aca="1" ref="E96" ca="1">IF(AND('Raw Data'!E96&gt;=0,'Raw Data'!E96&lt;=1),"",_xlfn.REGEXEXTRACT(CELL("address",'Raw Data'!E96),"\$([A-Z]+)\$[0-9]+"))</f>
        <v/>
      </c>
      <c r="F96" s="6" t="str" cm="1">
        <f t="array" aca="1" ref="F96" ca="1">IF(AND('Raw Data'!F96&gt;=0,'Raw Data'!F96&lt;=1),"",_xlfn.REGEXEXTRACT(CELL("address",'Raw Data'!F96),"\$([A-Z]+)\$[0-9]+"))</f>
        <v/>
      </c>
      <c r="G96" s="6" t="str" cm="1">
        <f t="array" aca="1" ref="G96" ca="1">IF(AND('Raw Data'!G96&gt;=0,'Raw Data'!G96&lt;=1),"",_xlfn.REGEXEXTRACT(CELL("address",'Raw Data'!G96),"\$([A-Z]+)\$[0-9]+"))</f>
        <v/>
      </c>
      <c r="H96" s="6" t="str" cm="1">
        <f t="array" aca="1" ref="H96" ca="1">IF(AND('Raw Data'!H96&gt;=0,'Raw Data'!H96&lt;=1),"",_xlfn.REGEXEXTRACT(CELL("address",'Raw Data'!H96),"\$([A-Z]+)\$[0-9]+"))</f>
        <v/>
      </c>
      <c r="I96" s="6" t="str" cm="1">
        <f t="array" aca="1" ref="I96" ca="1">IF(AND('Raw Data'!I96&gt;=0,'Raw Data'!I96&lt;=1),"",_xlfn.REGEXEXTRACT(CELL("address",'Raw Data'!I96),"\$([A-Z]+)\$[0-9]+"))</f>
        <v/>
      </c>
      <c r="J96" s="6" t="str" cm="1">
        <f t="array" aca="1" ref="J96" ca="1">IF(AND('Raw Data'!J96&gt;=0,'Raw Data'!J96&lt;=1),"",_xlfn.REGEXEXTRACT(CELL("address",'Raw Data'!J96),"\$([A-Z]+)\$[0-9]+"))</f>
        <v/>
      </c>
    </row>
    <row r="97" spans="2:10" x14ac:dyDescent="0.25">
      <c r="B97" s="6" t="str" cm="1">
        <f t="array" aca="1" ref="B97" ca="1">IF('Raw Data'!$B$10 = "Overall Project","",_xlfn.REGEXEXTRACT(CELL("address",'Raw Data'!B97),"\$([A-Z]+)\$[0-9]+"))</f>
        <v/>
      </c>
      <c r="C97" s="6" t="str" cm="1">
        <f t="array" aca="1" ref="C97" ca="1">IF('Raw Data'!$C$10 = "Month # 1","",_xlfn.REGEXEXTRACT(CELL("address",'Raw Data'!C97),"\$([A-Z]+)\$[0-9]+"))</f>
        <v/>
      </c>
      <c r="D97" s="6"/>
      <c r="E97" s="6" t="str" cm="1">
        <f t="array" aca="1" ref="E97" ca="1">IF(AND('Raw Data'!E97&gt;=0,'Raw Data'!E97&lt;=1),"",_xlfn.REGEXEXTRACT(CELL("address",'Raw Data'!E97),"\$([A-Z]+)\$[0-9]+"))</f>
        <v/>
      </c>
      <c r="F97" s="6" t="str" cm="1">
        <f t="array" aca="1" ref="F97" ca="1">IF(AND('Raw Data'!F97&gt;=0,'Raw Data'!F97&lt;=1),"",_xlfn.REGEXEXTRACT(CELL("address",'Raw Data'!F97),"\$([A-Z]+)\$[0-9]+"))</f>
        <v/>
      </c>
      <c r="G97" s="6" t="str" cm="1">
        <f t="array" aca="1" ref="G97" ca="1">IF(AND('Raw Data'!G97&gt;=0,'Raw Data'!G97&lt;=1),"",_xlfn.REGEXEXTRACT(CELL("address",'Raw Data'!G97),"\$([A-Z]+)\$[0-9]+"))</f>
        <v/>
      </c>
      <c r="H97" s="6" t="str" cm="1">
        <f t="array" aca="1" ref="H97" ca="1">IF(AND('Raw Data'!H97&gt;=0,'Raw Data'!H97&lt;=1),"",_xlfn.REGEXEXTRACT(CELL("address",'Raw Data'!H97),"\$([A-Z]+)\$[0-9]+"))</f>
        <v/>
      </c>
      <c r="I97" s="6" t="str" cm="1">
        <f t="array" aca="1" ref="I97" ca="1">IF(AND('Raw Data'!I97&gt;=0,'Raw Data'!I97&lt;=1),"",_xlfn.REGEXEXTRACT(CELL("address",'Raw Data'!I97),"\$([A-Z]+)\$[0-9]+"))</f>
        <v/>
      </c>
      <c r="J97" s="6" t="str" cm="1">
        <f t="array" aca="1" ref="J97" ca="1">IF(AND('Raw Data'!J97&gt;=0,'Raw Data'!J97&lt;=1),"",_xlfn.REGEXEXTRACT(CELL("address",'Raw Data'!J97),"\$([A-Z]+)\$[0-9]+"))</f>
        <v/>
      </c>
    </row>
    <row r="98" spans="2:10" x14ac:dyDescent="0.25">
      <c r="B98" s="6" t="str" cm="1">
        <f t="array" aca="1" ref="B98" ca="1">IF('Raw Data'!$B$10 = "Overall Project","",_xlfn.REGEXEXTRACT(CELL("address",'Raw Data'!B98),"\$([A-Z]+)\$[0-9]+"))</f>
        <v/>
      </c>
      <c r="C98" s="6" t="str" cm="1">
        <f t="array" aca="1" ref="C98" ca="1">IF('Raw Data'!$C$10 = "Month # 1","",_xlfn.REGEXEXTRACT(CELL("address",'Raw Data'!C98),"\$([A-Z]+)\$[0-9]+"))</f>
        <v/>
      </c>
      <c r="D98" s="6"/>
      <c r="E98" s="6" t="str" cm="1">
        <f t="array" aca="1" ref="E98" ca="1">IF(AND('Raw Data'!E98&gt;=0,'Raw Data'!E98&lt;=1),"",_xlfn.REGEXEXTRACT(CELL("address",'Raw Data'!E98),"\$([A-Z]+)\$[0-9]+"))</f>
        <v/>
      </c>
      <c r="F98" s="6" t="str" cm="1">
        <f t="array" aca="1" ref="F98" ca="1">IF(AND('Raw Data'!F98&gt;=0,'Raw Data'!F98&lt;=1),"",_xlfn.REGEXEXTRACT(CELL("address",'Raw Data'!F98),"\$([A-Z]+)\$[0-9]+"))</f>
        <v/>
      </c>
      <c r="G98" s="6" t="str" cm="1">
        <f t="array" aca="1" ref="G98" ca="1">IF(AND('Raw Data'!G98&gt;=0,'Raw Data'!G98&lt;=1),"",_xlfn.REGEXEXTRACT(CELL("address",'Raw Data'!G98),"\$([A-Z]+)\$[0-9]+"))</f>
        <v/>
      </c>
      <c r="H98" s="6" t="str" cm="1">
        <f t="array" aca="1" ref="H98" ca="1">IF(AND('Raw Data'!H98&gt;=0,'Raw Data'!H98&lt;=1),"",_xlfn.REGEXEXTRACT(CELL("address",'Raw Data'!H98),"\$([A-Z]+)\$[0-9]+"))</f>
        <v/>
      </c>
      <c r="I98" s="6" t="str" cm="1">
        <f t="array" aca="1" ref="I98" ca="1">IF(AND('Raw Data'!I98&gt;=0,'Raw Data'!I98&lt;=1),"",_xlfn.REGEXEXTRACT(CELL("address",'Raw Data'!I98),"\$([A-Z]+)\$[0-9]+"))</f>
        <v/>
      </c>
      <c r="J98" s="6" t="str" cm="1">
        <f t="array" aca="1" ref="J98" ca="1">IF(AND('Raw Data'!J98&gt;=0,'Raw Data'!J98&lt;=1),"",_xlfn.REGEXEXTRACT(CELL("address",'Raw Data'!J98),"\$([A-Z]+)\$[0-9]+"))</f>
        <v/>
      </c>
    </row>
    <row r="99" spans="2:10" x14ac:dyDescent="0.25">
      <c r="B99" s="6" t="str" cm="1">
        <f t="array" aca="1" ref="B99" ca="1">IF('Raw Data'!$B$10 = "Overall Project","",_xlfn.REGEXEXTRACT(CELL("address",'Raw Data'!B99),"\$([A-Z]+)\$[0-9]+"))</f>
        <v/>
      </c>
      <c r="C99" s="6" t="str" cm="1">
        <f t="array" aca="1" ref="C99" ca="1">IF('Raw Data'!$C$10 = "Month # 1","",_xlfn.REGEXEXTRACT(CELL("address",'Raw Data'!C99),"\$([A-Z]+)\$[0-9]+"))</f>
        <v/>
      </c>
      <c r="D99" s="6"/>
      <c r="E99" s="6" t="str" cm="1">
        <f t="array" aca="1" ref="E99" ca="1">IF(AND('Raw Data'!E99&gt;=0,'Raw Data'!E99&lt;=1),"",_xlfn.REGEXEXTRACT(CELL("address",'Raw Data'!E99),"\$([A-Z]+)\$[0-9]+"))</f>
        <v/>
      </c>
      <c r="F99" s="6" t="str" cm="1">
        <f t="array" aca="1" ref="F99" ca="1">IF(AND('Raw Data'!F99&gt;=0,'Raw Data'!F99&lt;=1),"",_xlfn.REGEXEXTRACT(CELL("address",'Raw Data'!F99),"\$([A-Z]+)\$[0-9]+"))</f>
        <v/>
      </c>
      <c r="G99" s="6" t="str" cm="1">
        <f t="array" aca="1" ref="G99" ca="1">IF(AND('Raw Data'!G99&gt;=0,'Raw Data'!G99&lt;=1),"",_xlfn.REGEXEXTRACT(CELL("address",'Raw Data'!G99),"\$([A-Z]+)\$[0-9]+"))</f>
        <v/>
      </c>
      <c r="H99" s="6" t="str" cm="1">
        <f t="array" aca="1" ref="H99" ca="1">IF(AND('Raw Data'!H99&gt;=0,'Raw Data'!H99&lt;=1),"",_xlfn.REGEXEXTRACT(CELL("address",'Raw Data'!H99),"\$([A-Z]+)\$[0-9]+"))</f>
        <v/>
      </c>
      <c r="I99" s="6" t="str" cm="1">
        <f t="array" aca="1" ref="I99" ca="1">IF(AND('Raw Data'!I99&gt;=0,'Raw Data'!I99&lt;=1),"",_xlfn.REGEXEXTRACT(CELL("address",'Raw Data'!I99),"\$([A-Z]+)\$[0-9]+"))</f>
        <v/>
      </c>
      <c r="J99" s="6" t="str" cm="1">
        <f t="array" aca="1" ref="J99" ca="1">IF(AND('Raw Data'!J99&gt;=0,'Raw Data'!J99&lt;=1),"",_xlfn.REGEXEXTRACT(CELL("address",'Raw Data'!J99),"\$([A-Z]+)\$[0-9]+"))</f>
        <v/>
      </c>
    </row>
    <row r="100" spans="2:10" x14ac:dyDescent="0.25">
      <c r="B100" s="6" t="str" cm="1">
        <f t="array" aca="1" ref="B100" ca="1">IF('Raw Data'!$B$10 = "Overall Project","",_xlfn.REGEXEXTRACT(CELL("address",'Raw Data'!B100),"\$([A-Z]+)\$[0-9]+"))</f>
        <v/>
      </c>
      <c r="C100" s="6" t="str" cm="1">
        <f t="array" aca="1" ref="C100" ca="1">IF('Raw Data'!$C$10 = "Month # 1","",_xlfn.REGEXEXTRACT(CELL("address",'Raw Data'!C100),"\$([A-Z]+)\$[0-9]+"))</f>
        <v/>
      </c>
      <c r="D100" s="6"/>
      <c r="E100" s="6" t="str" cm="1">
        <f t="array" aca="1" ref="E100" ca="1">IF(AND('Raw Data'!E100&gt;=0,'Raw Data'!E100&lt;=1),"",_xlfn.REGEXEXTRACT(CELL("address",'Raw Data'!E100),"\$([A-Z]+)\$[0-9]+"))</f>
        <v/>
      </c>
      <c r="F100" s="6" t="str" cm="1">
        <f t="array" aca="1" ref="F100" ca="1">IF(AND('Raw Data'!F100&gt;=0,'Raw Data'!F100&lt;=1),"",_xlfn.REGEXEXTRACT(CELL("address",'Raw Data'!F100),"\$([A-Z]+)\$[0-9]+"))</f>
        <v/>
      </c>
      <c r="G100" s="6" t="str" cm="1">
        <f t="array" aca="1" ref="G100" ca="1">IF(AND('Raw Data'!G100&gt;=0,'Raw Data'!G100&lt;=1),"",_xlfn.REGEXEXTRACT(CELL("address",'Raw Data'!G100),"\$([A-Z]+)\$[0-9]+"))</f>
        <v/>
      </c>
      <c r="H100" s="6" t="str" cm="1">
        <f t="array" aca="1" ref="H100" ca="1">IF(AND('Raw Data'!H100&gt;=0,'Raw Data'!H100&lt;=1),"",_xlfn.REGEXEXTRACT(CELL("address",'Raw Data'!H100),"\$([A-Z]+)\$[0-9]+"))</f>
        <v/>
      </c>
      <c r="I100" s="6" t="str" cm="1">
        <f t="array" aca="1" ref="I100" ca="1">IF(AND('Raw Data'!I100&gt;=0,'Raw Data'!I100&lt;=1),"",_xlfn.REGEXEXTRACT(CELL("address",'Raw Data'!I100),"\$([A-Z]+)\$[0-9]+"))</f>
        <v/>
      </c>
      <c r="J100" s="6" t="str" cm="1">
        <f t="array" aca="1" ref="J100" ca="1">IF(AND('Raw Data'!J100&gt;=0,'Raw Data'!J100&lt;=1),"",_xlfn.REGEXEXTRACT(CELL("address",'Raw Data'!J100),"\$([A-Z]+)\$[0-9]+"))</f>
        <v/>
      </c>
    </row>
    <row r="101" spans="2:10" x14ac:dyDescent="0.25">
      <c r="B101" s="6" t="str" cm="1">
        <f t="array" aca="1" ref="B101" ca="1">IF('Raw Data'!$B$10 = "Overall Project","",_xlfn.REGEXEXTRACT(CELL("address",'Raw Data'!B101),"\$([A-Z]+)\$[0-9]+"))</f>
        <v/>
      </c>
      <c r="C101" s="6" t="str" cm="1">
        <f t="array" aca="1" ref="C101" ca="1">IF('Raw Data'!$C$10 = "Month # 1","",_xlfn.REGEXEXTRACT(CELL("address",'Raw Data'!C101),"\$([A-Z]+)\$[0-9]+"))</f>
        <v/>
      </c>
      <c r="D101" s="6"/>
      <c r="E101" s="6" t="str" cm="1">
        <f t="array" aca="1" ref="E101" ca="1">IF(AND('Raw Data'!E101&gt;=0,'Raw Data'!E101&lt;=1),"",_xlfn.REGEXEXTRACT(CELL("address",'Raw Data'!E101),"\$([A-Z]+)\$[0-9]+"))</f>
        <v/>
      </c>
      <c r="F101" s="6" t="str" cm="1">
        <f t="array" aca="1" ref="F101" ca="1">IF(AND('Raw Data'!F101&gt;=0,'Raw Data'!F101&lt;=1),"",_xlfn.REGEXEXTRACT(CELL("address",'Raw Data'!F101),"\$([A-Z]+)\$[0-9]+"))</f>
        <v/>
      </c>
      <c r="G101" s="6" t="str" cm="1">
        <f t="array" aca="1" ref="G101" ca="1">IF(AND('Raw Data'!G101&gt;=0,'Raw Data'!G101&lt;=1),"",_xlfn.REGEXEXTRACT(CELL("address",'Raw Data'!G101),"\$([A-Z]+)\$[0-9]+"))</f>
        <v/>
      </c>
      <c r="H101" s="6" t="str" cm="1">
        <f t="array" aca="1" ref="H101" ca="1">IF(AND('Raw Data'!H101&gt;=0,'Raw Data'!H101&lt;=1),"",_xlfn.REGEXEXTRACT(CELL("address",'Raw Data'!H101),"\$([A-Z]+)\$[0-9]+"))</f>
        <v/>
      </c>
      <c r="I101" s="6" t="str" cm="1">
        <f t="array" aca="1" ref="I101" ca="1">IF(AND('Raw Data'!I101&gt;=0,'Raw Data'!I101&lt;=1),"",_xlfn.REGEXEXTRACT(CELL("address",'Raw Data'!I101),"\$([A-Z]+)\$[0-9]+"))</f>
        <v/>
      </c>
      <c r="J101" s="6" t="str" cm="1">
        <f t="array" aca="1" ref="J101" ca="1">IF(AND('Raw Data'!J101&gt;=0,'Raw Data'!J101&lt;=1),"",_xlfn.REGEXEXTRACT(CELL("address",'Raw Data'!J101),"\$([A-Z]+)\$[0-9]+"))</f>
        <v/>
      </c>
    </row>
    <row r="102" spans="2:10" x14ac:dyDescent="0.25">
      <c r="B102" s="6" t="str" cm="1">
        <f t="array" aca="1" ref="B102" ca="1">IF('Raw Data'!$B$10 = "Overall Project","",_xlfn.REGEXEXTRACT(CELL("address",'Raw Data'!B102),"\$([A-Z]+)\$[0-9]+"))</f>
        <v/>
      </c>
      <c r="C102" s="6" t="str" cm="1">
        <f t="array" aca="1" ref="C102" ca="1">IF('Raw Data'!$C$10 = "Month # 1","",_xlfn.REGEXEXTRACT(CELL("address",'Raw Data'!C102),"\$([A-Z]+)\$[0-9]+"))</f>
        <v/>
      </c>
      <c r="D102" s="6"/>
      <c r="E102" s="6" t="str" cm="1">
        <f t="array" aca="1" ref="E102" ca="1">IF(AND('Raw Data'!E102&gt;=0,'Raw Data'!E102&lt;=1),"",_xlfn.REGEXEXTRACT(CELL("address",'Raw Data'!E102),"\$([A-Z]+)\$[0-9]+"))</f>
        <v/>
      </c>
      <c r="F102" s="6" t="str" cm="1">
        <f t="array" aca="1" ref="F102" ca="1">IF(AND('Raw Data'!F102&gt;=0,'Raw Data'!F102&lt;=1),"",_xlfn.REGEXEXTRACT(CELL("address",'Raw Data'!F102),"\$([A-Z]+)\$[0-9]+"))</f>
        <v/>
      </c>
      <c r="G102" s="6" t="str" cm="1">
        <f t="array" aca="1" ref="G102" ca="1">IF(AND('Raw Data'!G102&gt;=0,'Raw Data'!G102&lt;=1),"",_xlfn.REGEXEXTRACT(CELL("address",'Raw Data'!G102),"\$([A-Z]+)\$[0-9]+"))</f>
        <v/>
      </c>
      <c r="H102" s="6" t="str" cm="1">
        <f t="array" aca="1" ref="H102" ca="1">IF(AND('Raw Data'!H102&gt;=0,'Raw Data'!H102&lt;=1),"",_xlfn.REGEXEXTRACT(CELL("address",'Raw Data'!H102),"\$([A-Z]+)\$[0-9]+"))</f>
        <v/>
      </c>
      <c r="I102" s="6" t="str" cm="1">
        <f t="array" aca="1" ref="I102" ca="1">IF(AND('Raw Data'!I102&gt;=0,'Raw Data'!I102&lt;=1),"",_xlfn.REGEXEXTRACT(CELL("address",'Raw Data'!I102),"\$([A-Z]+)\$[0-9]+"))</f>
        <v/>
      </c>
      <c r="J102" s="6" t="str" cm="1">
        <f t="array" aca="1" ref="J102" ca="1">IF(AND('Raw Data'!J102&gt;=0,'Raw Data'!J102&lt;=1),"",_xlfn.REGEXEXTRACT(CELL("address",'Raw Data'!J102),"\$([A-Z]+)\$[0-9]+"))</f>
        <v/>
      </c>
    </row>
    <row r="103" spans="2:10" x14ac:dyDescent="0.25">
      <c r="B103" s="6" t="str" cm="1">
        <f t="array" aca="1" ref="B103" ca="1">IF('Raw Data'!$B$10 = "Overall Project","",_xlfn.REGEXEXTRACT(CELL("address",'Raw Data'!B103),"\$([A-Z]+)\$[0-9]+"))</f>
        <v/>
      </c>
      <c r="C103" s="6" t="str" cm="1">
        <f t="array" aca="1" ref="C103" ca="1">IF('Raw Data'!$C$10 = "Month # 1","",_xlfn.REGEXEXTRACT(CELL("address",'Raw Data'!C103),"\$([A-Z]+)\$[0-9]+"))</f>
        <v/>
      </c>
      <c r="D103" s="6"/>
      <c r="E103" s="6" t="str" cm="1">
        <f t="array" aca="1" ref="E103" ca="1">IF(AND('Raw Data'!E103&gt;=0,'Raw Data'!E103&lt;=1),"",_xlfn.REGEXEXTRACT(CELL("address",'Raw Data'!E103),"\$([A-Z]+)\$[0-9]+"))</f>
        <v/>
      </c>
      <c r="F103" s="6" t="str" cm="1">
        <f t="array" aca="1" ref="F103" ca="1">IF(AND('Raw Data'!F103&gt;=0,'Raw Data'!F103&lt;=1),"",_xlfn.REGEXEXTRACT(CELL("address",'Raw Data'!F103),"\$([A-Z]+)\$[0-9]+"))</f>
        <v/>
      </c>
      <c r="G103" s="6" t="str" cm="1">
        <f t="array" aca="1" ref="G103" ca="1">IF(AND('Raw Data'!G103&gt;=0,'Raw Data'!G103&lt;=1),"",_xlfn.REGEXEXTRACT(CELL("address",'Raw Data'!G103),"\$([A-Z]+)\$[0-9]+"))</f>
        <v/>
      </c>
      <c r="H103" s="6" t="str" cm="1">
        <f t="array" aca="1" ref="H103" ca="1">IF(AND('Raw Data'!H103&gt;=0,'Raw Data'!H103&lt;=1),"",_xlfn.REGEXEXTRACT(CELL("address",'Raw Data'!H103),"\$([A-Z]+)\$[0-9]+"))</f>
        <v/>
      </c>
      <c r="I103" s="6" t="str" cm="1">
        <f t="array" aca="1" ref="I103" ca="1">IF(AND('Raw Data'!I103&gt;=0,'Raw Data'!I103&lt;=1),"",_xlfn.REGEXEXTRACT(CELL("address",'Raw Data'!I103),"\$([A-Z]+)\$[0-9]+"))</f>
        <v/>
      </c>
      <c r="J103" s="6" t="str" cm="1">
        <f t="array" aca="1" ref="J103" ca="1">IF(AND('Raw Data'!J103&gt;=0,'Raw Data'!J103&lt;=1),"",_xlfn.REGEXEXTRACT(CELL("address",'Raw Data'!J103),"\$([A-Z]+)\$[0-9]+"))</f>
        <v/>
      </c>
    </row>
    <row r="104" spans="2:10" x14ac:dyDescent="0.25">
      <c r="B104" s="6" t="str" cm="1">
        <f t="array" aca="1" ref="B104" ca="1">IF('Raw Data'!$B$10 = "Overall Project","",_xlfn.REGEXEXTRACT(CELL("address",'Raw Data'!B104),"\$([A-Z]+)\$[0-9]+"))</f>
        <v/>
      </c>
      <c r="C104" s="6" t="str" cm="1">
        <f t="array" aca="1" ref="C104" ca="1">IF('Raw Data'!$C$10 = "Month # 1","",_xlfn.REGEXEXTRACT(CELL("address",'Raw Data'!C104),"\$([A-Z]+)\$[0-9]+"))</f>
        <v/>
      </c>
      <c r="D104" s="6"/>
      <c r="E104" s="6" t="str" cm="1">
        <f t="array" aca="1" ref="E104" ca="1">IF(AND('Raw Data'!E104&gt;=0,'Raw Data'!E104&lt;=1),"",_xlfn.REGEXEXTRACT(CELL("address",'Raw Data'!E104),"\$([A-Z]+)\$[0-9]+"))</f>
        <v/>
      </c>
      <c r="F104" s="6" t="str" cm="1">
        <f t="array" aca="1" ref="F104" ca="1">IF(AND('Raw Data'!F104&gt;=0,'Raw Data'!F104&lt;=1),"",_xlfn.REGEXEXTRACT(CELL("address",'Raw Data'!F104),"\$([A-Z]+)\$[0-9]+"))</f>
        <v/>
      </c>
      <c r="G104" s="6" t="str" cm="1">
        <f t="array" aca="1" ref="G104" ca="1">IF(AND('Raw Data'!G104&gt;=0,'Raw Data'!G104&lt;=1),"",_xlfn.REGEXEXTRACT(CELL("address",'Raw Data'!G104),"\$([A-Z]+)\$[0-9]+"))</f>
        <v/>
      </c>
      <c r="H104" s="6" t="str" cm="1">
        <f t="array" aca="1" ref="H104" ca="1">IF(AND('Raw Data'!H104&gt;=0,'Raw Data'!H104&lt;=1),"",_xlfn.REGEXEXTRACT(CELL("address",'Raw Data'!H104),"\$([A-Z]+)\$[0-9]+"))</f>
        <v/>
      </c>
      <c r="I104" s="6" t="str" cm="1">
        <f t="array" aca="1" ref="I104" ca="1">IF(AND('Raw Data'!I104&gt;=0,'Raw Data'!I104&lt;=1),"",_xlfn.REGEXEXTRACT(CELL("address",'Raw Data'!I104),"\$([A-Z]+)\$[0-9]+"))</f>
        <v/>
      </c>
      <c r="J104" s="6" t="str" cm="1">
        <f t="array" aca="1" ref="J104" ca="1">IF(AND('Raw Data'!J104&gt;=0,'Raw Data'!J104&lt;=1),"",_xlfn.REGEXEXTRACT(CELL("address",'Raw Data'!J104),"\$([A-Z]+)\$[0-9]+"))</f>
        <v/>
      </c>
    </row>
    <row r="105" spans="2:10" x14ac:dyDescent="0.25">
      <c r="B105" s="6" t="str" cm="1">
        <f t="array" aca="1" ref="B105" ca="1">IF('Raw Data'!$B$10 = "Overall Project","",_xlfn.REGEXEXTRACT(CELL("address",'Raw Data'!B105),"\$([A-Z]+)\$[0-9]+"))</f>
        <v/>
      </c>
      <c r="C105" s="6" t="str" cm="1">
        <f t="array" aca="1" ref="C105" ca="1">IF('Raw Data'!$C$10 = "Month # 1","",_xlfn.REGEXEXTRACT(CELL("address",'Raw Data'!C105),"\$([A-Z]+)\$[0-9]+"))</f>
        <v/>
      </c>
      <c r="D105" s="6"/>
      <c r="E105" s="6" t="str" cm="1">
        <f t="array" aca="1" ref="E105" ca="1">IF(AND('Raw Data'!E105&gt;=0,'Raw Data'!E105&lt;=1),"",_xlfn.REGEXEXTRACT(CELL("address",'Raw Data'!E105),"\$([A-Z]+)\$[0-9]+"))</f>
        <v/>
      </c>
      <c r="F105" s="6" t="str" cm="1">
        <f t="array" aca="1" ref="F105" ca="1">IF(AND('Raw Data'!F105&gt;=0,'Raw Data'!F105&lt;=1),"",_xlfn.REGEXEXTRACT(CELL("address",'Raw Data'!F105),"\$([A-Z]+)\$[0-9]+"))</f>
        <v/>
      </c>
      <c r="G105" s="6" t="str" cm="1">
        <f t="array" aca="1" ref="G105" ca="1">IF(AND('Raw Data'!G105&gt;=0,'Raw Data'!G105&lt;=1),"",_xlfn.REGEXEXTRACT(CELL("address",'Raw Data'!G105),"\$([A-Z]+)\$[0-9]+"))</f>
        <v/>
      </c>
      <c r="H105" s="6" t="str" cm="1">
        <f t="array" aca="1" ref="H105" ca="1">IF(AND('Raw Data'!H105&gt;=0,'Raw Data'!H105&lt;=1),"",_xlfn.REGEXEXTRACT(CELL("address",'Raw Data'!H105),"\$([A-Z]+)\$[0-9]+"))</f>
        <v/>
      </c>
      <c r="I105" s="6" t="str" cm="1">
        <f t="array" aca="1" ref="I105" ca="1">IF(AND('Raw Data'!I105&gt;=0,'Raw Data'!I105&lt;=1),"",_xlfn.REGEXEXTRACT(CELL("address",'Raw Data'!I105),"\$([A-Z]+)\$[0-9]+"))</f>
        <v/>
      </c>
      <c r="J105" s="6" t="str" cm="1">
        <f t="array" aca="1" ref="J105" ca="1">IF(AND('Raw Data'!J105&gt;=0,'Raw Data'!J105&lt;=1),"",_xlfn.REGEXEXTRACT(CELL("address",'Raw Data'!J105),"\$([A-Z]+)\$[0-9]+"))</f>
        <v/>
      </c>
    </row>
    <row r="106" spans="2:10" x14ac:dyDescent="0.25">
      <c r="B106" s="6" t="str" cm="1">
        <f t="array" aca="1" ref="B106" ca="1">IF('Raw Data'!$B$10 = "Overall Project","",_xlfn.REGEXEXTRACT(CELL("address",'Raw Data'!B106),"\$([A-Z]+)\$[0-9]+"))</f>
        <v/>
      </c>
      <c r="C106" s="6" t="str" cm="1">
        <f t="array" aca="1" ref="C106" ca="1">IF('Raw Data'!$C$10 = "Month # 1","",_xlfn.REGEXEXTRACT(CELL("address",'Raw Data'!C106),"\$([A-Z]+)\$[0-9]+"))</f>
        <v/>
      </c>
      <c r="D106" s="6"/>
      <c r="E106" s="6" t="str" cm="1">
        <f t="array" aca="1" ref="E106" ca="1">IF(AND('Raw Data'!E106&gt;=0,'Raw Data'!E106&lt;=1),"",_xlfn.REGEXEXTRACT(CELL("address",'Raw Data'!E106),"\$([A-Z]+)\$[0-9]+"))</f>
        <v/>
      </c>
      <c r="F106" s="6" t="str" cm="1">
        <f t="array" aca="1" ref="F106" ca="1">IF(AND('Raw Data'!F106&gt;=0,'Raw Data'!F106&lt;=1),"",_xlfn.REGEXEXTRACT(CELL("address",'Raw Data'!F106),"\$([A-Z]+)\$[0-9]+"))</f>
        <v/>
      </c>
      <c r="G106" s="6" t="str" cm="1">
        <f t="array" aca="1" ref="G106" ca="1">IF(AND('Raw Data'!G106&gt;=0,'Raw Data'!G106&lt;=1),"",_xlfn.REGEXEXTRACT(CELL("address",'Raw Data'!G106),"\$([A-Z]+)\$[0-9]+"))</f>
        <v/>
      </c>
      <c r="H106" s="6" t="str" cm="1">
        <f t="array" aca="1" ref="H106" ca="1">IF(AND('Raw Data'!H106&gt;=0,'Raw Data'!H106&lt;=1),"",_xlfn.REGEXEXTRACT(CELL("address",'Raw Data'!H106),"\$([A-Z]+)\$[0-9]+"))</f>
        <v/>
      </c>
      <c r="I106" s="6" t="str" cm="1">
        <f t="array" aca="1" ref="I106" ca="1">IF(AND('Raw Data'!I106&gt;=0,'Raw Data'!I106&lt;=1),"",_xlfn.REGEXEXTRACT(CELL("address",'Raw Data'!I106),"\$([A-Z]+)\$[0-9]+"))</f>
        <v/>
      </c>
      <c r="J106" s="6" t="str" cm="1">
        <f t="array" aca="1" ref="J106" ca="1">IF(AND('Raw Data'!J106&gt;=0,'Raw Data'!J106&lt;=1),"",_xlfn.REGEXEXTRACT(CELL("address",'Raw Data'!J106),"\$([A-Z]+)\$[0-9]+"))</f>
        <v/>
      </c>
    </row>
    <row r="107" spans="2:10" x14ac:dyDescent="0.25">
      <c r="B107" s="6" t="str" cm="1">
        <f t="array" aca="1" ref="B107" ca="1">IF('Raw Data'!$B$10 = "Overall Project","",_xlfn.REGEXEXTRACT(CELL("address",'Raw Data'!B107),"\$([A-Z]+)\$[0-9]+"))</f>
        <v/>
      </c>
      <c r="C107" s="6" t="str" cm="1">
        <f t="array" aca="1" ref="C107" ca="1">IF('Raw Data'!$C$10 = "Month # 1","",_xlfn.REGEXEXTRACT(CELL("address",'Raw Data'!C107),"\$([A-Z]+)\$[0-9]+"))</f>
        <v/>
      </c>
      <c r="D107" s="6"/>
      <c r="E107" s="6" t="str" cm="1">
        <f t="array" aca="1" ref="E107" ca="1">IF(AND('Raw Data'!E107&gt;=0,'Raw Data'!E107&lt;=1),"",_xlfn.REGEXEXTRACT(CELL("address",'Raw Data'!E107),"\$([A-Z]+)\$[0-9]+"))</f>
        <v/>
      </c>
      <c r="F107" s="6" t="str" cm="1">
        <f t="array" aca="1" ref="F107" ca="1">IF(AND('Raw Data'!F107&gt;=0,'Raw Data'!F107&lt;=1),"",_xlfn.REGEXEXTRACT(CELL("address",'Raw Data'!F107),"\$([A-Z]+)\$[0-9]+"))</f>
        <v/>
      </c>
      <c r="G107" s="6" t="str" cm="1">
        <f t="array" aca="1" ref="G107" ca="1">IF(AND('Raw Data'!G107&gt;=0,'Raw Data'!G107&lt;=1),"",_xlfn.REGEXEXTRACT(CELL("address",'Raw Data'!G107),"\$([A-Z]+)\$[0-9]+"))</f>
        <v/>
      </c>
      <c r="H107" s="6" t="str" cm="1">
        <f t="array" aca="1" ref="H107" ca="1">IF(AND('Raw Data'!H107&gt;=0,'Raw Data'!H107&lt;=1),"",_xlfn.REGEXEXTRACT(CELL("address",'Raw Data'!H107),"\$([A-Z]+)\$[0-9]+"))</f>
        <v/>
      </c>
      <c r="I107" s="6" t="str" cm="1">
        <f t="array" aca="1" ref="I107" ca="1">IF(AND('Raw Data'!I107&gt;=0,'Raw Data'!I107&lt;=1),"",_xlfn.REGEXEXTRACT(CELL("address",'Raw Data'!I107),"\$([A-Z]+)\$[0-9]+"))</f>
        <v/>
      </c>
      <c r="J107" s="6" t="str" cm="1">
        <f t="array" aca="1" ref="J107" ca="1">IF(AND('Raw Data'!J107&gt;=0,'Raw Data'!J107&lt;=1),"",_xlfn.REGEXEXTRACT(CELL("address",'Raw Data'!J107),"\$([A-Z]+)\$[0-9]+"))</f>
        <v/>
      </c>
    </row>
    <row r="108" spans="2:10" x14ac:dyDescent="0.25">
      <c r="B108" s="6" t="str" cm="1">
        <f t="array" aca="1" ref="B108" ca="1">IF('Raw Data'!$B$10 = "Overall Project","",_xlfn.REGEXEXTRACT(CELL("address",'Raw Data'!B108),"\$([A-Z]+)\$[0-9]+"))</f>
        <v/>
      </c>
      <c r="C108" s="6" t="str" cm="1">
        <f t="array" aca="1" ref="C108" ca="1">IF('Raw Data'!$C$10 = "Month # 1","",_xlfn.REGEXEXTRACT(CELL("address",'Raw Data'!C108),"\$([A-Z]+)\$[0-9]+"))</f>
        <v/>
      </c>
      <c r="D108" s="6"/>
      <c r="E108" s="6" t="str" cm="1">
        <f t="array" aca="1" ref="E108" ca="1">IF(AND('Raw Data'!E108&gt;=0,'Raw Data'!E108&lt;=1),"",_xlfn.REGEXEXTRACT(CELL("address",'Raw Data'!E108),"\$([A-Z]+)\$[0-9]+"))</f>
        <v/>
      </c>
      <c r="F108" s="6" t="str" cm="1">
        <f t="array" aca="1" ref="F108" ca="1">IF(AND('Raw Data'!F108&gt;=0,'Raw Data'!F108&lt;=1),"",_xlfn.REGEXEXTRACT(CELL("address",'Raw Data'!F108),"\$([A-Z]+)\$[0-9]+"))</f>
        <v/>
      </c>
      <c r="G108" s="6" t="str" cm="1">
        <f t="array" aca="1" ref="G108" ca="1">IF(AND('Raw Data'!G108&gt;=0,'Raw Data'!G108&lt;=1),"",_xlfn.REGEXEXTRACT(CELL("address",'Raw Data'!G108),"\$([A-Z]+)\$[0-9]+"))</f>
        <v/>
      </c>
      <c r="H108" s="6" t="str" cm="1">
        <f t="array" aca="1" ref="H108" ca="1">IF(AND('Raw Data'!H108&gt;=0,'Raw Data'!H108&lt;=1),"",_xlfn.REGEXEXTRACT(CELL("address",'Raw Data'!H108),"\$([A-Z]+)\$[0-9]+"))</f>
        <v/>
      </c>
      <c r="I108" s="6" t="str" cm="1">
        <f t="array" aca="1" ref="I108" ca="1">IF(AND('Raw Data'!I108&gt;=0,'Raw Data'!I108&lt;=1),"",_xlfn.REGEXEXTRACT(CELL("address",'Raw Data'!I108),"\$([A-Z]+)\$[0-9]+"))</f>
        <v/>
      </c>
      <c r="J108" s="6" t="str" cm="1">
        <f t="array" aca="1" ref="J108" ca="1">IF(AND('Raw Data'!J108&gt;=0,'Raw Data'!J108&lt;=1),"",_xlfn.REGEXEXTRACT(CELL("address",'Raw Data'!J108),"\$([A-Z]+)\$[0-9]+"))</f>
        <v/>
      </c>
    </row>
    <row r="109" spans="2:10" x14ac:dyDescent="0.25">
      <c r="B109" s="6" t="str" cm="1">
        <f t="array" aca="1" ref="B109" ca="1">IF('Raw Data'!$B$10 = "Overall Project","",_xlfn.REGEXEXTRACT(CELL("address",'Raw Data'!B109),"\$([A-Z]+)\$[0-9]+"))</f>
        <v/>
      </c>
      <c r="C109" s="6" t="str" cm="1">
        <f t="array" aca="1" ref="C109" ca="1">IF('Raw Data'!$C$10 = "Month # 1","",_xlfn.REGEXEXTRACT(CELL("address",'Raw Data'!C109),"\$([A-Z]+)\$[0-9]+"))</f>
        <v/>
      </c>
      <c r="D109" s="6"/>
      <c r="E109" s="6" t="str" cm="1">
        <f t="array" aca="1" ref="E109" ca="1">IF(AND('Raw Data'!E109&gt;=0,'Raw Data'!E109&lt;=1),"",_xlfn.REGEXEXTRACT(CELL("address",'Raw Data'!E109),"\$([A-Z]+)\$[0-9]+"))</f>
        <v/>
      </c>
      <c r="F109" s="6" t="str" cm="1">
        <f t="array" aca="1" ref="F109" ca="1">IF(AND('Raw Data'!F109&gt;=0,'Raw Data'!F109&lt;=1),"",_xlfn.REGEXEXTRACT(CELL("address",'Raw Data'!F109),"\$([A-Z]+)\$[0-9]+"))</f>
        <v/>
      </c>
      <c r="G109" s="6" t="str" cm="1">
        <f t="array" aca="1" ref="G109" ca="1">IF(AND('Raw Data'!G109&gt;=0,'Raw Data'!G109&lt;=1),"",_xlfn.REGEXEXTRACT(CELL("address",'Raw Data'!G109),"\$([A-Z]+)\$[0-9]+"))</f>
        <v/>
      </c>
      <c r="H109" s="6" t="str" cm="1">
        <f t="array" aca="1" ref="H109" ca="1">IF(AND('Raw Data'!H109&gt;=0,'Raw Data'!H109&lt;=1),"",_xlfn.REGEXEXTRACT(CELL("address",'Raw Data'!H109),"\$([A-Z]+)\$[0-9]+"))</f>
        <v/>
      </c>
      <c r="I109" s="6" t="str" cm="1">
        <f t="array" aca="1" ref="I109" ca="1">IF(AND('Raw Data'!I109&gt;=0,'Raw Data'!I109&lt;=1),"",_xlfn.REGEXEXTRACT(CELL("address",'Raw Data'!I109),"\$([A-Z]+)\$[0-9]+"))</f>
        <v/>
      </c>
      <c r="J109" s="6" t="str" cm="1">
        <f t="array" aca="1" ref="J109" ca="1">IF(AND('Raw Data'!J109&gt;=0,'Raw Data'!J109&lt;=1),"",_xlfn.REGEXEXTRACT(CELL("address",'Raw Data'!J109),"\$([A-Z]+)\$[0-9]+"))</f>
        <v/>
      </c>
    </row>
    <row r="110" spans="2:10" x14ac:dyDescent="0.25">
      <c r="B110" s="6" t="str" cm="1">
        <f t="array" aca="1" ref="B110" ca="1">IF('Raw Data'!$B$10 = "Overall Project","",_xlfn.REGEXEXTRACT(CELL("address",'Raw Data'!B110),"\$([A-Z]+)\$[0-9]+"))</f>
        <v/>
      </c>
      <c r="C110" s="6" t="str" cm="1">
        <f t="array" aca="1" ref="C110" ca="1">IF('Raw Data'!$C$10 = "Month # 1","",_xlfn.REGEXEXTRACT(CELL("address",'Raw Data'!C110),"\$([A-Z]+)\$[0-9]+"))</f>
        <v/>
      </c>
      <c r="D110" s="6"/>
      <c r="E110" s="6" t="str" cm="1">
        <f t="array" aca="1" ref="E110" ca="1">IF(AND('Raw Data'!E110&gt;=0,'Raw Data'!E110&lt;=1),"",_xlfn.REGEXEXTRACT(CELL("address",'Raw Data'!E110),"\$([A-Z]+)\$[0-9]+"))</f>
        <v/>
      </c>
      <c r="F110" s="6" t="str" cm="1">
        <f t="array" aca="1" ref="F110" ca="1">IF(AND('Raw Data'!F110&gt;=0,'Raw Data'!F110&lt;=1),"",_xlfn.REGEXEXTRACT(CELL("address",'Raw Data'!F110),"\$([A-Z]+)\$[0-9]+"))</f>
        <v/>
      </c>
      <c r="G110" s="6" t="str" cm="1">
        <f t="array" aca="1" ref="G110" ca="1">IF(AND('Raw Data'!G110&gt;=0,'Raw Data'!G110&lt;=1),"",_xlfn.REGEXEXTRACT(CELL("address",'Raw Data'!G110),"\$([A-Z]+)\$[0-9]+"))</f>
        <v/>
      </c>
      <c r="H110" s="6" t="str" cm="1">
        <f t="array" aca="1" ref="H110" ca="1">IF(AND('Raw Data'!H110&gt;=0,'Raw Data'!H110&lt;=1),"",_xlfn.REGEXEXTRACT(CELL("address",'Raw Data'!H110),"\$([A-Z]+)\$[0-9]+"))</f>
        <v/>
      </c>
      <c r="I110" s="6" t="str" cm="1">
        <f t="array" aca="1" ref="I110" ca="1">IF(AND('Raw Data'!I110&gt;=0,'Raw Data'!I110&lt;=1),"",_xlfn.REGEXEXTRACT(CELL("address",'Raw Data'!I110),"\$([A-Z]+)\$[0-9]+"))</f>
        <v/>
      </c>
      <c r="J110" s="6" t="str" cm="1">
        <f t="array" aca="1" ref="J110" ca="1">IF(AND('Raw Data'!J110&gt;=0,'Raw Data'!J110&lt;=1),"",_xlfn.REGEXEXTRACT(CELL("address",'Raw Data'!J110),"\$([A-Z]+)\$[0-9]+"))</f>
        <v/>
      </c>
    </row>
    <row r="111" spans="2:10" x14ac:dyDescent="0.25">
      <c r="B111" s="6" t="str" cm="1">
        <f t="array" aca="1" ref="B111" ca="1">IF('Raw Data'!$B$10 = "Overall Project","",_xlfn.REGEXEXTRACT(CELL("address",'Raw Data'!B111),"\$([A-Z]+)\$[0-9]+"))</f>
        <v/>
      </c>
      <c r="C111" s="6" t="str" cm="1">
        <f t="array" aca="1" ref="C111" ca="1">IF('Raw Data'!$C$10 = "Month # 1","",_xlfn.REGEXEXTRACT(CELL("address",'Raw Data'!C111),"\$([A-Z]+)\$[0-9]+"))</f>
        <v/>
      </c>
      <c r="D111" s="6"/>
      <c r="E111" s="6" t="str" cm="1">
        <f t="array" aca="1" ref="E111" ca="1">IF(AND('Raw Data'!E111&gt;=0,'Raw Data'!E111&lt;=1),"",_xlfn.REGEXEXTRACT(CELL("address",'Raw Data'!E111),"\$([A-Z]+)\$[0-9]+"))</f>
        <v/>
      </c>
      <c r="F111" s="6" t="str" cm="1">
        <f t="array" aca="1" ref="F111" ca="1">IF(AND('Raw Data'!F111&gt;=0,'Raw Data'!F111&lt;=1),"",_xlfn.REGEXEXTRACT(CELL("address",'Raw Data'!F111),"\$([A-Z]+)\$[0-9]+"))</f>
        <v/>
      </c>
      <c r="G111" s="6" t="str" cm="1">
        <f t="array" aca="1" ref="G111" ca="1">IF(AND('Raw Data'!G111&gt;=0,'Raw Data'!G111&lt;=1),"",_xlfn.REGEXEXTRACT(CELL("address",'Raw Data'!G111),"\$([A-Z]+)\$[0-9]+"))</f>
        <v/>
      </c>
      <c r="H111" s="6" t="str" cm="1">
        <f t="array" aca="1" ref="H111" ca="1">IF(AND('Raw Data'!H111&gt;=0,'Raw Data'!H111&lt;=1),"",_xlfn.REGEXEXTRACT(CELL("address",'Raw Data'!H111),"\$([A-Z]+)\$[0-9]+"))</f>
        <v/>
      </c>
      <c r="I111" s="6" t="str" cm="1">
        <f t="array" aca="1" ref="I111" ca="1">IF(AND('Raw Data'!I111&gt;=0,'Raw Data'!I111&lt;=1),"",_xlfn.REGEXEXTRACT(CELL("address",'Raw Data'!I111),"\$([A-Z]+)\$[0-9]+"))</f>
        <v/>
      </c>
      <c r="J111" s="6" t="str" cm="1">
        <f t="array" aca="1" ref="J111" ca="1">IF(AND('Raw Data'!J111&gt;=0,'Raw Data'!J111&lt;=1),"",_xlfn.REGEXEXTRACT(CELL("address",'Raw Data'!J111),"\$([A-Z]+)\$[0-9]+"))</f>
        <v/>
      </c>
    </row>
    <row r="112" spans="2:10" x14ac:dyDescent="0.25">
      <c r="B112" s="6" t="str" cm="1">
        <f t="array" aca="1" ref="B112" ca="1">IF('Raw Data'!$B$10 = "Overall Project","",_xlfn.REGEXEXTRACT(CELL("address",'Raw Data'!B112),"\$([A-Z]+)\$[0-9]+"))</f>
        <v/>
      </c>
      <c r="C112" s="6" t="str" cm="1">
        <f t="array" aca="1" ref="C112" ca="1">IF('Raw Data'!$C$10 = "Month # 1","",_xlfn.REGEXEXTRACT(CELL("address",'Raw Data'!C112),"\$([A-Z]+)\$[0-9]+"))</f>
        <v/>
      </c>
      <c r="D112" s="6"/>
      <c r="E112" s="6" t="str" cm="1">
        <f t="array" aca="1" ref="E112" ca="1">IF(AND('Raw Data'!E112&gt;=0,'Raw Data'!E112&lt;=1),"",_xlfn.REGEXEXTRACT(CELL("address",'Raw Data'!E112),"\$([A-Z]+)\$[0-9]+"))</f>
        <v/>
      </c>
      <c r="F112" s="6" t="str" cm="1">
        <f t="array" aca="1" ref="F112" ca="1">IF(AND('Raw Data'!F112&gt;=0,'Raw Data'!F112&lt;=1),"",_xlfn.REGEXEXTRACT(CELL("address",'Raw Data'!F112),"\$([A-Z]+)\$[0-9]+"))</f>
        <v/>
      </c>
      <c r="G112" s="6" t="str" cm="1">
        <f t="array" aca="1" ref="G112" ca="1">IF(AND('Raw Data'!G112&gt;=0,'Raw Data'!G112&lt;=1),"",_xlfn.REGEXEXTRACT(CELL("address",'Raw Data'!G112),"\$([A-Z]+)\$[0-9]+"))</f>
        <v/>
      </c>
      <c r="H112" s="6" t="str" cm="1">
        <f t="array" aca="1" ref="H112" ca="1">IF(AND('Raw Data'!H112&gt;=0,'Raw Data'!H112&lt;=1),"",_xlfn.REGEXEXTRACT(CELL("address",'Raw Data'!H112),"\$([A-Z]+)\$[0-9]+"))</f>
        <v/>
      </c>
      <c r="I112" s="6" t="str" cm="1">
        <f t="array" aca="1" ref="I112" ca="1">IF(AND('Raw Data'!I112&gt;=0,'Raw Data'!I112&lt;=1),"",_xlfn.REGEXEXTRACT(CELL("address",'Raw Data'!I112),"\$([A-Z]+)\$[0-9]+"))</f>
        <v/>
      </c>
      <c r="J112" s="6" t="str" cm="1">
        <f t="array" aca="1" ref="J112" ca="1">IF(AND('Raw Data'!J112&gt;=0,'Raw Data'!J112&lt;=1),"",_xlfn.REGEXEXTRACT(CELL("address",'Raw Data'!J112),"\$([A-Z]+)\$[0-9]+"))</f>
        <v/>
      </c>
    </row>
    <row r="113" spans="2:10" x14ac:dyDescent="0.25">
      <c r="B113" s="6" t="str" cm="1">
        <f t="array" aca="1" ref="B113" ca="1">IF('Raw Data'!$B$10 = "Overall Project","",_xlfn.REGEXEXTRACT(CELL("address",'Raw Data'!B113),"\$([A-Z]+)\$[0-9]+"))</f>
        <v/>
      </c>
      <c r="C113" s="6" t="str" cm="1">
        <f t="array" aca="1" ref="C113" ca="1">IF('Raw Data'!$C$10 = "Month # 1","",_xlfn.REGEXEXTRACT(CELL("address",'Raw Data'!C113),"\$([A-Z]+)\$[0-9]+"))</f>
        <v/>
      </c>
      <c r="D113" s="6"/>
      <c r="E113" s="6" t="str" cm="1">
        <f t="array" aca="1" ref="E113" ca="1">IF(AND('Raw Data'!E113&gt;=0,'Raw Data'!E113&lt;=1),"",_xlfn.REGEXEXTRACT(CELL("address",'Raw Data'!E113),"\$([A-Z]+)\$[0-9]+"))</f>
        <v/>
      </c>
      <c r="F113" s="6" t="str" cm="1">
        <f t="array" aca="1" ref="F113" ca="1">IF(AND('Raw Data'!F113&gt;=0,'Raw Data'!F113&lt;=1),"",_xlfn.REGEXEXTRACT(CELL("address",'Raw Data'!F113),"\$([A-Z]+)\$[0-9]+"))</f>
        <v/>
      </c>
      <c r="G113" s="6" t="str" cm="1">
        <f t="array" aca="1" ref="G113" ca="1">IF(AND('Raw Data'!G113&gt;=0,'Raw Data'!G113&lt;=1),"",_xlfn.REGEXEXTRACT(CELL("address",'Raw Data'!G113),"\$([A-Z]+)\$[0-9]+"))</f>
        <v/>
      </c>
      <c r="H113" s="6" t="str" cm="1">
        <f t="array" aca="1" ref="H113" ca="1">IF(AND('Raw Data'!H113&gt;=0,'Raw Data'!H113&lt;=1),"",_xlfn.REGEXEXTRACT(CELL("address",'Raw Data'!H113),"\$([A-Z]+)\$[0-9]+"))</f>
        <v/>
      </c>
      <c r="I113" s="6" t="str" cm="1">
        <f t="array" aca="1" ref="I113" ca="1">IF(AND('Raw Data'!I113&gt;=0,'Raw Data'!I113&lt;=1),"",_xlfn.REGEXEXTRACT(CELL("address",'Raw Data'!I113),"\$([A-Z]+)\$[0-9]+"))</f>
        <v/>
      </c>
      <c r="J113" s="6" t="str" cm="1">
        <f t="array" aca="1" ref="J113" ca="1">IF(AND('Raw Data'!J113&gt;=0,'Raw Data'!J113&lt;=1),"",_xlfn.REGEXEXTRACT(CELL("address",'Raw Data'!J113),"\$([A-Z]+)\$[0-9]+"))</f>
        <v/>
      </c>
    </row>
    <row r="114" spans="2:10" x14ac:dyDescent="0.25">
      <c r="B114" s="6" t="str" cm="1">
        <f t="array" aca="1" ref="B114" ca="1">IF('Raw Data'!$B$10 = "Overall Project","",_xlfn.REGEXEXTRACT(CELL("address",'Raw Data'!B114),"\$([A-Z]+)\$[0-9]+"))</f>
        <v/>
      </c>
      <c r="C114" s="6" t="str" cm="1">
        <f t="array" aca="1" ref="C114" ca="1">IF('Raw Data'!$C$10 = "Month # 1","",_xlfn.REGEXEXTRACT(CELL("address",'Raw Data'!C114),"\$([A-Z]+)\$[0-9]+"))</f>
        <v/>
      </c>
      <c r="D114" s="6"/>
      <c r="E114" s="6" t="str" cm="1">
        <f t="array" aca="1" ref="E114" ca="1">IF(AND('Raw Data'!E114&gt;=0,'Raw Data'!E114&lt;=1),"",_xlfn.REGEXEXTRACT(CELL("address",'Raw Data'!E114),"\$([A-Z]+)\$[0-9]+"))</f>
        <v/>
      </c>
      <c r="F114" s="6" t="str" cm="1">
        <f t="array" aca="1" ref="F114" ca="1">IF(AND('Raw Data'!F114&gt;=0,'Raw Data'!F114&lt;=1),"",_xlfn.REGEXEXTRACT(CELL("address",'Raw Data'!F114),"\$([A-Z]+)\$[0-9]+"))</f>
        <v/>
      </c>
      <c r="G114" s="6" t="str" cm="1">
        <f t="array" aca="1" ref="G114" ca="1">IF(AND('Raw Data'!G114&gt;=0,'Raw Data'!G114&lt;=1),"",_xlfn.REGEXEXTRACT(CELL("address",'Raw Data'!G114),"\$([A-Z]+)\$[0-9]+"))</f>
        <v/>
      </c>
      <c r="H114" s="6" t="str" cm="1">
        <f t="array" aca="1" ref="H114" ca="1">IF(AND('Raw Data'!H114&gt;=0,'Raw Data'!H114&lt;=1),"",_xlfn.REGEXEXTRACT(CELL("address",'Raw Data'!H114),"\$([A-Z]+)\$[0-9]+"))</f>
        <v/>
      </c>
      <c r="I114" s="6" t="str" cm="1">
        <f t="array" aca="1" ref="I114" ca="1">IF(AND('Raw Data'!I114&gt;=0,'Raw Data'!I114&lt;=1),"",_xlfn.REGEXEXTRACT(CELL("address",'Raw Data'!I114),"\$([A-Z]+)\$[0-9]+"))</f>
        <v/>
      </c>
      <c r="J114" s="6" t="str" cm="1">
        <f t="array" aca="1" ref="J114" ca="1">IF(AND('Raw Data'!J114&gt;=0,'Raw Data'!J114&lt;=1),"",_xlfn.REGEXEXTRACT(CELL("address",'Raw Data'!J114),"\$([A-Z]+)\$[0-9]+"))</f>
        <v/>
      </c>
    </row>
    <row r="115" spans="2:10" x14ac:dyDescent="0.25">
      <c r="B115" s="6" t="str" cm="1">
        <f t="array" aca="1" ref="B115" ca="1">IF('Raw Data'!$B$10 = "Overall Project","",_xlfn.REGEXEXTRACT(CELL("address",'Raw Data'!B115),"\$([A-Z]+)\$[0-9]+"))</f>
        <v/>
      </c>
      <c r="C115" s="6" t="str" cm="1">
        <f t="array" aca="1" ref="C115" ca="1">IF('Raw Data'!$C$10 = "Month # 1","",_xlfn.REGEXEXTRACT(CELL("address",'Raw Data'!C115),"\$([A-Z]+)\$[0-9]+"))</f>
        <v/>
      </c>
      <c r="D115" s="6"/>
      <c r="E115" s="6" t="str" cm="1">
        <f t="array" aca="1" ref="E115" ca="1">IF(AND('Raw Data'!E115&gt;=0,'Raw Data'!E115&lt;=1),"",_xlfn.REGEXEXTRACT(CELL("address",'Raw Data'!E115),"\$([A-Z]+)\$[0-9]+"))</f>
        <v/>
      </c>
      <c r="F115" s="6" t="str" cm="1">
        <f t="array" aca="1" ref="F115" ca="1">IF(AND('Raw Data'!F115&gt;=0,'Raw Data'!F115&lt;=1),"",_xlfn.REGEXEXTRACT(CELL("address",'Raw Data'!F115),"\$([A-Z]+)\$[0-9]+"))</f>
        <v/>
      </c>
      <c r="G115" s="6" t="str" cm="1">
        <f t="array" aca="1" ref="G115" ca="1">IF(AND('Raw Data'!G115&gt;=0,'Raw Data'!G115&lt;=1),"",_xlfn.REGEXEXTRACT(CELL("address",'Raw Data'!G115),"\$([A-Z]+)\$[0-9]+"))</f>
        <v/>
      </c>
      <c r="H115" s="6" t="str" cm="1">
        <f t="array" aca="1" ref="H115" ca="1">IF(AND('Raw Data'!H115&gt;=0,'Raw Data'!H115&lt;=1),"",_xlfn.REGEXEXTRACT(CELL("address",'Raw Data'!H115),"\$([A-Z]+)\$[0-9]+"))</f>
        <v/>
      </c>
      <c r="I115" s="6" t="str" cm="1">
        <f t="array" aca="1" ref="I115" ca="1">IF(AND('Raw Data'!I115&gt;=0,'Raw Data'!I115&lt;=1),"",_xlfn.REGEXEXTRACT(CELL("address",'Raw Data'!I115),"\$([A-Z]+)\$[0-9]+"))</f>
        <v/>
      </c>
      <c r="J115" s="6" t="str" cm="1">
        <f t="array" aca="1" ref="J115" ca="1">IF(AND('Raw Data'!J115&gt;=0,'Raw Data'!J115&lt;=1),"",_xlfn.REGEXEXTRACT(CELL("address",'Raw Data'!J115),"\$([A-Z]+)\$[0-9]+"))</f>
        <v/>
      </c>
    </row>
    <row r="116" spans="2:10" x14ac:dyDescent="0.25">
      <c r="B116" s="6" t="str" cm="1">
        <f t="array" aca="1" ref="B116" ca="1">IF('Raw Data'!$B$10 = "Overall Project","",_xlfn.REGEXEXTRACT(CELL("address",'Raw Data'!B116),"\$([A-Z]+)\$[0-9]+"))</f>
        <v/>
      </c>
      <c r="C116" s="6" t="str" cm="1">
        <f t="array" aca="1" ref="C116" ca="1">IF('Raw Data'!$C$10 = "Month # 1","",_xlfn.REGEXEXTRACT(CELL("address",'Raw Data'!C116),"\$([A-Z]+)\$[0-9]+"))</f>
        <v/>
      </c>
      <c r="D116" s="6"/>
      <c r="E116" s="6" t="str" cm="1">
        <f t="array" aca="1" ref="E116" ca="1">IF(AND('Raw Data'!E116&gt;=0,'Raw Data'!E116&lt;=1),"",_xlfn.REGEXEXTRACT(CELL("address",'Raw Data'!E116),"\$([A-Z]+)\$[0-9]+"))</f>
        <v/>
      </c>
      <c r="F116" s="6" t="str" cm="1">
        <f t="array" aca="1" ref="F116" ca="1">IF(AND('Raw Data'!F116&gt;=0,'Raw Data'!F116&lt;=1),"",_xlfn.REGEXEXTRACT(CELL("address",'Raw Data'!F116),"\$([A-Z]+)\$[0-9]+"))</f>
        <v/>
      </c>
      <c r="G116" s="6" t="str" cm="1">
        <f t="array" aca="1" ref="G116" ca="1">IF(AND('Raw Data'!G116&gt;=0,'Raw Data'!G116&lt;=1),"",_xlfn.REGEXEXTRACT(CELL("address",'Raw Data'!G116),"\$([A-Z]+)\$[0-9]+"))</f>
        <v/>
      </c>
      <c r="H116" s="6" t="str" cm="1">
        <f t="array" aca="1" ref="H116" ca="1">IF(AND('Raw Data'!H116&gt;=0,'Raw Data'!H116&lt;=1),"",_xlfn.REGEXEXTRACT(CELL("address",'Raw Data'!H116),"\$([A-Z]+)\$[0-9]+"))</f>
        <v/>
      </c>
      <c r="I116" s="6" t="str" cm="1">
        <f t="array" aca="1" ref="I116" ca="1">IF(AND('Raw Data'!I116&gt;=0,'Raw Data'!I116&lt;=1),"",_xlfn.REGEXEXTRACT(CELL("address",'Raw Data'!I116),"\$([A-Z]+)\$[0-9]+"))</f>
        <v/>
      </c>
      <c r="J116" s="6" t="str" cm="1">
        <f t="array" aca="1" ref="J116" ca="1">IF(AND('Raw Data'!J116&gt;=0,'Raw Data'!J116&lt;=1),"",_xlfn.REGEXEXTRACT(CELL("address",'Raw Data'!J116),"\$([A-Z]+)\$[0-9]+"))</f>
        <v/>
      </c>
    </row>
    <row r="117" spans="2:10" x14ac:dyDescent="0.25">
      <c r="B117" s="6" t="str" cm="1">
        <f t="array" aca="1" ref="B117" ca="1">IF('Raw Data'!$B$10 = "Overall Project","",_xlfn.REGEXEXTRACT(CELL("address",'Raw Data'!B117),"\$([A-Z]+)\$[0-9]+"))</f>
        <v/>
      </c>
      <c r="C117" s="6" t="str" cm="1">
        <f t="array" aca="1" ref="C117" ca="1">IF('Raw Data'!$C$10 = "Month # 1","",_xlfn.REGEXEXTRACT(CELL("address",'Raw Data'!C117),"\$([A-Z]+)\$[0-9]+"))</f>
        <v/>
      </c>
      <c r="D117" s="6"/>
      <c r="E117" s="6" t="str" cm="1">
        <f t="array" aca="1" ref="E117" ca="1">IF(AND('Raw Data'!E117&gt;=0,'Raw Data'!E117&lt;=1),"",_xlfn.REGEXEXTRACT(CELL("address",'Raw Data'!E117),"\$([A-Z]+)\$[0-9]+"))</f>
        <v/>
      </c>
      <c r="F117" s="6" t="str" cm="1">
        <f t="array" aca="1" ref="F117" ca="1">IF(AND('Raw Data'!F117&gt;=0,'Raw Data'!F117&lt;=1),"",_xlfn.REGEXEXTRACT(CELL("address",'Raw Data'!F117),"\$([A-Z]+)\$[0-9]+"))</f>
        <v/>
      </c>
      <c r="G117" s="6" t="str" cm="1">
        <f t="array" aca="1" ref="G117" ca="1">IF(AND('Raw Data'!G117&gt;=0,'Raw Data'!G117&lt;=1),"",_xlfn.REGEXEXTRACT(CELL("address",'Raw Data'!G117),"\$([A-Z]+)\$[0-9]+"))</f>
        <v/>
      </c>
      <c r="H117" s="6" t="str" cm="1">
        <f t="array" aca="1" ref="H117" ca="1">IF(AND('Raw Data'!H117&gt;=0,'Raw Data'!H117&lt;=1),"",_xlfn.REGEXEXTRACT(CELL("address",'Raw Data'!H117),"\$([A-Z]+)\$[0-9]+"))</f>
        <v/>
      </c>
      <c r="I117" s="6" t="str" cm="1">
        <f t="array" aca="1" ref="I117" ca="1">IF(AND('Raw Data'!I117&gt;=0,'Raw Data'!I117&lt;=1),"",_xlfn.REGEXEXTRACT(CELL("address",'Raw Data'!I117),"\$([A-Z]+)\$[0-9]+"))</f>
        <v/>
      </c>
      <c r="J117" s="6" t="str" cm="1">
        <f t="array" aca="1" ref="J117" ca="1">IF(AND('Raw Data'!J117&gt;=0,'Raw Data'!J117&lt;=1),"",_xlfn.REGEXEXTRACT(CELL("address",'Raw Data'!J117),"\$([A-Z]+)\$[0-9]+"))</f>
        <v/>
      </c>
    </row>
    <row r="118" spans="2:10" x14ac:dyDescent="0.25">
      <c r="B118" s="6" t="str" cm="1">
        <f t="array" aca="1" ref="B118" ca="1">IF('Raw Data'!$B$10 = "Overall Project","",_xlfn.REGEXEXTRACT(CELL("address",'Raw Data'!B118),"\$([A-Z]+)\$[0-9]+"))</f>
        <v/>
      </c>
      <c r="C118" s="6" t="str" cm="1">
        <f t="array" aca="1" ref="C118" ca="1">IF('Raw Data'!$C$10 = "Month # 1","",_xlfn.REGEXEXTRACT(CELL("address",'Raw Data'!C118),"\$([A-Z]+)\$[0-9]+"))</f>
        <v/>
      </c>
      <c r="D118" s="6"/>
      <c r="E118" s="6" t="str" cm="1">
        <f t="array" aca="1" ref="E118" ca="1">IF(AND('Raw Data'!E118&gt;=0,'Raw Data'!E118&lt;=1),"",_xlfn.REGEXEXTRACT(CELL("address",'Raw Data'!E118),"\$([A-Z]+)\$[0-9]+"))</f>
        <v/>
      </c>
      <c r="F118" s="6" t="str" cm="1">
        <f t="array" aca="1" ref="F118" ca="1">IF(AND('Raw Data'!F118&gt;=0,'Raw Data'!F118&lt;=1),"",_xlfn.REGEXEXTRACT(CELL("address",'Raw Data'!F118),"\$([A-Z]+)\$[0-9]+"))</f>
        <v/>
      </c>
      <c r="G118" s="6" t="str" cm="1">
        <f t="array" aca="1" ref="G118" ca="1">IF(AND('Raw Data'!G118&gt;=0,'Raw Data'!G118&lt;=1),"",_xlfn.REGEXEXTRACT(CELL("address",'Raw Data'!G118),"\$([A-Z]+)\$[0-9]+"))</f>
        <v/>
      </c>
      <c r="H118" s="6" t="str" cm="1">
        <f t="array" aca="1" ref="H118" ca="1">IF(AND('Raw Data'!H118&gt;=0,'Raw Data'!H118&lt;=1),"",_xlfn.REGEXEXTRACT(CELL("address",'Raw Data'!H118),"\$([A-Z]+)\$[0-9]+"))</f>
        <v/>
      </c>
      <c r="I118" s="6" t="str" cm="1">
        <f t="array" aca="1" ref="I118" ca="1">IF(AND('Raw Data'!I118&gt;=0,'Raw Data'!I118&lt;=1),"",_xlfn.REGEXEXTRACT(CELL("address",'Raw Data'!I118),"\$([A-Z]+)\$[0-9]+"))</f>
        <v/>
      </c>
      <c r="J118" s="6" t="str" cm="1">
        <f t="array" aca="1" ref="J118" ca="1">IF(AND('Raw Data'!J118&gt;=0,'Raw Data'!J118&lt;=1),"",_xlfn.REGEXEXTRACT(CELL("address",'Raw Data'!J118),"\$([A-Z]+)\$[0-9]+"))</f>
        <v/>
      </c>
    </row>
    <row r="119" spans="2:10" x14ac:dyDescent="0.25">
      <c r="B119" s="6" t="str" cm="1">
        <f t="array" aca="1" ref="B119" ca="1">IF('Raw Data'!$B$10 = "Overall Project","",_xlfn.REGEXEXTRACT(CELL("address",'Raw Data'!B119),"\$([A-Z]+)\$[0-9]+"))</f>
        <v/>
      </c>
      <c r="C119" s="6" t="str" cm="1">
        <f t="array" aca="1" ref="C119" ca="1">IF('Raw Data'!$C$10 = "Month # 1","",_xlfn.REGEXEXTRACT(CELL("address",'Raw Data'!C119),"\$([A-Z]+)\$[0-9]+"))</f>
        <v/>
      </c>
      <c r="D119" s="6"/>
      <c r="E119" s="6" t="str" cm="1">
        <f t="array" aca="1" ref="E119" ca="1">IF(AND('Raw Data'!E119&gt;=0,'Raw Data'!E119&lt;=1),"",_xlfn.REGEXEXTRACT(CELL("address",'Raw Data'!E119),"\$([A-Z]+)\$[0-9]+"))</f>
        <v/>
      </c>
      <c r="F119" s="6" t="str" cm="1">
        <f t="array" aca="1" ref="F119" ca="1">IF(AND('Raw Data'!F119&gt;=0,'Raw Data'!F119&lt;=1),"",_xlfn.REGEXEXTRACT(CELL("address",'Raw Data'!F119),"\$([A-Z]+)\$[0-9]+"))</f>
        <v/>
      </c>
      <c r="G119" s="6" t="str" cm="1">
        <f t="array" aca="1" ref="G119" ca="1">IF(AND('Raw Data'!G119&gt;=0,'Raw Data'!G119&lt;=1),"",_xlfn.REGEXEXTRACT(CELL("address",'Raw Data'!G119),"\$([A-Z]+)\$[0-9]+"))</f>
        <v/>
      </c>
      <c r="H119" s="6" t="str" cm="1">
        <f t="array" aca="1" ref="H119" ca="1">IF(AND('Raw Data'!H119&gt;=0,'Raw Data'!H119&lt;=1),"",_xlfn.REGEXEXTRACT(CELL("address",'Raw Data'!H119),"\$([A-Z]+)\$[0-9]+"))</f>
        <v/>
      </c>
      <c r="I119" s="6" t="str" cm="1">
        <f t="array" aca="1" ref="I119" ca="1">IF(AND('Raw Data'!I119&gt;=0,'Raw Data'!I119&lt;=1),"",_xlfn.REGEXEXTRACT(CELL("address",'Raw Data'!I119),"\$([A-Z]+)\$[0-9]+"))</f>
        <v/>
      </c>
      <c r="J119" s="6" t="str" cm="1">
        <f t="array" aca="1" ref="J119" ca="1">IF(AND('Raw Data'!J119&gt;=0,'Raw Data'!J119&lt;=1),"",_xlfn.REGEXEXTRACT(CELL("address",'Raw Data'!J119),"\$([A-Z]+)\$[0-9]+"))</f>
        <v/>
      </c>
    </row>
    <row r="120" spans="2:10" x14ac:dyDescent="0.25">
      <c r="B120" s="6" t="str" cm="1">
        <f t="array" aca="1" ref="B120" ca="1">IF('Raw Data'!$B$10 = "Overall Project","",_xlfn.REGEXEXTRACT(CELL("address",'Raw Data'!B120),"\$([A-Z]+)\$[0-9]+"))</f>
        <v/>
      </c>
      <c r="C120" s="6" t="str" cm="1">
        <f t="array" aca="1" ref="C120" ca="1">IF('Raw Data'!$C$10 = "Month # 1","",_xlfn.REGEXEXTRACT(CELL("address",'Raw Data'!C120),"\$([A-Z]+)\$[0-9]+"))</f>
        <v/>
      </c>
      <c r="D120" s="6"/>
      <c r="E120" s="6" t="str" cm="1">
        <f t="array" aca="1" ref="E120" ca="1">IF(AND('Raw Data'!E120&gt;=0,'Raw Data'!E120&lt;=1),"",_xlfn.REGEXEXTRACT(CELL("address",'Raw Data'!E120),"\$([A-Z]+)\$[0-9]+"))</f>
        <v/>
      </c>
      <c r="F120" s="6" t="str" cm="1">
        <f t="array" aca="1" ref="F120" ca="1">IF(AND('Raw Data'!F120&gt;=0,'Raw Data'!F120&lt;=1),"",_xlfn.REGEXEXTRACT(CELL("address",'Raw Data'!F120),"\$([A-Z]+)\$[0-9]+"))</f>
        <v/>
      </c>
      <c r="G120" s="6" t="str" cm="1">
        <f t="array" aca="1" ref="G120" ca="1">IF(AND('Raw Data'!G120&gt;=0,'Raw Data'!G120&lt;=1),"",_xlfn.REGEXEXTRACT(CELL("address",'Raw Data'!G120),"\$([A-Z]+)\$[0-9]+"))</f>
        <v/>
      </c>
      <c r="H120" s="6" t="str" cm="1">
        <f t="array" aca="1" ref="H120" ca="1">IF(AND('Raw Data'!H120&gt;=0,'Raw Data'!H120&lt;=1),"",_xlfn.REGEXEXTRACT(CELL("address",'Raw Data'!H120),"\$([A-Z]+)\$[0-9]+"))</f>
        <v/>
      </c>
      <c r="I120" s="6" t="str" cm="1">
        <f t="array" aca="1" ref="I120" ca="1">IF(AND('Raw Data'!I120&gt;=0,'Raw Data'!I120&lt;=1),"",_xlfn.REGEXEXTRACT(CELL("address",'Raw Data'!I120),"\$([A-Z]+)\$[0-9]+"))</f>
        <v/>
      </c>
      <c r="J120" s="6" t="str" cm="1">
        <f t="array" aca="1" ref="J120" ca="1">IF(AND('Raw Data'!J120&gt;=0,'Raw Data'!J120&lt;=1),"",_xlfn.REGEXEXTRACT(CELL("address",'Raw Data'!J120),"\$([A-Z]+)\$[0-9]+"))</f>
        <v/>
      </c>
    </row>
    <row r="121" spans="2:10" x14ac:dyDescent="0.25">
      <c r="B121" s="6" t="str" cm="1">
        <f t="array" aca="1" ref="B121" ca="1">IF('Raw Data'!$B$10 = "Overall Project","",_xlfn.REGEXEXTRACT(CELL("address",'Raw Data'!B121),"\$([A-Z]+)\$[0-9]+"))</f>
        <v/>
      </c>
      <c r="C121" s="6" t="str" cm="1">
        <f t="array" aca="1" ref="C121" ca="1">IF('Raw Data'!$C$10 = "Month # 1","",_xlfn.REGEXEXTRACT(CELL("address",'Raw Data'!C121),"\$([A-Z]+)\$[0-9]+"))</f>
        <v/>
      </c>
      <c r="D121" s="6"/>
      <c r="E121" s="6" t="str" cm="1">
        <f t="array" aca="1" ref="E121" ca="1">IF(AND('Raw Data'!E121&gt;=0,'Raw Data'!E121&lt;=1),"",_xlfn.REGEXEXTRACT(CELL("address",'Raw Data'!E121),"\$([A-Z]+)\$[0-9]+"))</f>
        <v/>
      </c>
      <c r="F121" s="6" t="str" cm="1">
        <f t="array" aca="1" ref="F121" ca="1">IF(AND('Raw Data'!F121&gt;=0,'Raw Data'!F121&lt;=1),"",_xlfn.REGEXEXTRACT(CELL("address",'Raw Data'!F121),"\$([A-Z]+)\$[0-9]+"))</f>
        <v/>
      </c>
      <c r="G121" s="6" t="str" cm="1">
        <f t="array" aca="1" ref="G121" ca="1">IF(AND('Raw Data'!G121&gt;=0,'Raw Data'!G121&lt;=1),"",_xlfn.REGEXEXTRACT(CELL("address",'Raw Data'!G121),"\$([A-Z]+)\$[0-9]+"))</f>
        <v/>
      </c>
      <c r="H121" s="6" t="str" cm="1">
        <f t="array" aca="1" ref="H121" ca="1">IF(AND('Raw Data'!H121&gt;=0,'Raw Data'!H121&lt;=1),"",_xlfn.REGEXEXTRACT(CELL("address",'Raw Data'!H121),"\$([A-Z]+)\$[0-9]+"))</f>
        <v/>
      </c>
      <c r="I121" s="6" t="str" cm="1">
        <f t="array" aca="1" ref="I121" ca="1">IF(AND('Raw Data'!I121&gt;=0,'Raw Data'!I121&lt;=1),"",_xlfn.REGEXEXTRACT(CELL("address",'Raw Data'!I121),"\$([A-Z]+)\$[0-9]+"))</f>
        <v/>
      </c>
      <c r="J121" s="6" t="str" cm="1">
        <f t="array" aca="1" ref="J121" ca="1">IF(AND('Raw Data'!J121&gt;=0,'Raw Data'!J121&lt;=1),"",_xlfn.REGEXEXTRACT(CELL("address",'Raw Data'!J121),"\$([A-Z]+)\$[0-9]+"))</f>
        <v/>
      </c>
    </row>
    <row r="122" spans="2:10" x14ac:dyDescent="0.25">
      <c r="B122" s="6" t="str" cm="1">
        <f t="array" aca="1" ref="B122" ca="1">IF('Raw Data'!$B$10 = "Overall Project","",_xlfn.REGEXEXTRACT(CELL("address",'Raw Data'!B122),"\$([A-Z]+)\$[0-9]+"))</f>
        <v/>
      </c>
      <c r="C122" s="6" t="str" cm="1">
        <f t="array" aca="1" ref="C122" ca="1">IF('Raw Data'!$C$10 = "Month # 1","",_xlfn.REGEXEXTRACT(CELL("address",'Raw Data'!C122),"\$([A-Z]+)\$[0-9]+"))</f>
        <v/>
      </c>
      <c r="D122" s="6"/>
      <c r="E122" s="6" t="str" cm="1">
        <f t="array" aca="1" ref="E122" ca="1">IF(AND('Raw Data'!E122&gt;=0,'Raw Data'!E122&lt;=1),"",_xlfn.REGEXEXTRACT(CELL("address",'Raw Data'!E122),"\$([A-Z]+)\$[0-9]+"))</f>
        <v/>
      </c>
      <c r="F122" s="6" t="str" cm="1">
        <f t="array" aca="1" ref="F122" ca="1">IF(AND('Raw Data'!F122&gt;=0,'Raw Data'!F122&lt;=1),"",_xlfn.REGEXEXTRACT(CELL("address",'Raw Data'!F122),"\$([A-Z]+)\$[0-9]+"))</f>
        <v/>
      </c>
      <c r="G122" s="6" t="str" cm="1">
        <f t="array" aca="1" ref="G122" ca="1">IF(AND('Raw Data'!G122&gt;=0,'Raw Data'!G122&lt;=1),"",_xlfn.REGEXEXTRACT(CELL("address",'Raw Data'!G122),"\$([A-Z]+)\$[0-9]+"))</f>
        <v/>
      </c>
      <c r="H122" s="6" t="str" cm="1">
        <f t="array" aca="1" ref="H122" ca="1">IF(AND('Raw Data'!H122&gt;=0,'Raw Data'!H122&lt;=1),"",_xlfn.REGEXEXTRACT(CELL("address",'Raw Data'!H122),"\$([A-Z]+)\$[0-9]+"))</f>
        <v/>
      </c>
      <c r="I122" s="6" t="str" cm="1">
        <f t="array" aca="1" ref="I122" ca="1">IF(AND('Raw Data'!I122&gt;=0,'Raw Data'!I122&lt;=1),"",_xlfn.REGEXEXTRACT(CELL("address",'Raw Data'!I122),"\$([A-Z]+)\$[0-9]+"))</f>
        <v/>
      </c>
      <c r="J122" s="6" t="str" cm="1">
        <f t="array" aca="1" ref="J122" ca="1">IF(AND('Raw Data'!J122&gt;=0,'Raw Data'!J122&lt;=1),"",_xlfn.REGEXEXTRACT(CELL("address",'Raw Data'!J122),"\$([A-Z]+)\$[0-9]+"))</f>
        <v/>
      </c>
    </row>
    <row r="123" spans="2:10" x14ac:dyDescent="0.25">
      <c r="B123" s="6" t="str" cm="1">
        <f t="array" aca="1" ref="B123" ca="1">IF('Raw Data'!$B$10 = "Overall Project","",_xlfn.REGEXEXTRACT(CELL("address",'Raw Data'!B123),"\$([A-Z]+)\$[0-9]+"))</f>
        <v/>
      </c>
      <c r="C123" s="6" t="str" cm="1">
        <f t="array" aca="1" ref="C123" ca="1">IF('Raw Data'!$C$10 = "Month # 1","",_xlfn.REGEXEXTRACT(CELL("address",'Raw Data'!C123),"\$([A-Z]+)\$[0-9]+"))</f>
        <v/>
      </c>
      <c r="D123" s="6"/>
      <c r="E123" s="6" t="str" cm="1">
        <f t="array" aca="1" ref="E123" ca="1">IF(AND('Raw Data'!E123&gt;=0,'Raw Data'!E123&lt;=1),"",_xlfn.REGEXEXTRACT(CELL("address",'Raw Data'!E123),"\$([A-Z]+)\$[0-9]+"))</f>
        <v/>
      </c>
      <c r="F123" s="6" t="str" cm="1">
        <f t="array" aca="1" ref="F123" ca="1">IF(AND('Raw Data'!F123&gt;=0,'Raw Data'!F123&lt;=1),"",_xlfn.REGEXEXTRACT(CELL("address",'Raw Data'!F123),"\$([A-Z]+)\$[0-9]+"))</f>
        <v/>
      </c>
      <c r="G123" s="6" t="str" cm="1">
        <f t="array" aca="1" ref="G123" ca="1">IF(AND('Raw Data'!G123&gt;=0,'Raw Data'!G123&lt;=1),"",_xlfn.REGEXEXTRACT(CELL("address",'Raw Data'!G123),"\$([A-Z]+)\$[0-9]+"))</f>
        <v/>
      </c>
      <c r="H123" s="6" t="str" cm="1">
        <f t="array" aca="1" ref="H123" ca="1">IF(AND('Raw Data'!H123&gt;=0,'Raw Data'!H123&lt;=1),"",_xlfn.REGEXEXTRACT(CELL("address",'Raw Data'!H123),"\$([A-Z]+)\$[0-9]+"))</f>
        <v/>
      </c>
      <c r="I123" s="6" t="str" cm="1">
        <f t="array" aca="1" ref="I123" ca="1">IF(AND('Raw Data'!I123&gt;=0,'Raw Data'!I123&lt;=1),"",_xlfn.REGEXEXTRACT(CELL("address",'Raw Data'!I123),"\$([A-Z]+)\$[0-9]+"))</f>
        <v/>
      </c>
      <c r="J123" s="6" t="str" cm="1">
        <f t="array" aca="1" ref="J123" ca="1">IF(AND('Raw Data'!J123&gt;=0,'Raw Data'!J123&lt;=1),"",_xlfn.REGEXEXTRACT(CELL("address",'Raw Data'!J123),"\$([A-Z]+)\$[0-9]+"))</f>
        <v/>
      </c>
    </row>
    <row r="124" spans="2:10" x14ac:dyDescent="0.25">
      <c r="B124" s="6" t="str" cm="1">
        <f t="array" aca="1" ref="B124" ca="1">IF('Raw Data'!$B$10 = "Overall Project","",_xlfn.REGEXEXTRACT(CELL("address",'Raw Data'!B124),"\$([A-Z]+)\$[0-9]+"))</f>
        <v/>
      </c>
      <c r="C124" s="6" t="str" cm="1">
        <f t="array" aca="1" ref="C124" ca="1">IF('Raw Data'!$C$10 = "Month # 1","",_xlfn.REGEXEXTRACT(CELL("address",'Raw Data'!C124),"\$([A-Z]+)\$[0-9]+"))</f>
        <v/>
      </c>
      <c r="D124" s="6"/>
      <c r="E124" s="6" t="str" cm="1">
        <f t="array" aca="1" ref="E124" ca="1">IF(AND('Raw Data'!E124&gt;=0,'Raw Data'!E124&lt;=1),"",_xlfn.REGEXEXTRACT(CELL("address",'Raw Data'!E124),"\$([A-Z]+)\$[0-9]+"))</f>
        <v/>
      </c>
      <c r="F124" s="6" t="str" cm="1">
        <f t="array" aca="1" ref="F124" ca="1">IF(AND('Raw Data'!F124&gt;=0,'Raw Data'!F124&lt;=1),"",_xlfn.REGEXEXTRACT(CELL("address",'Raw Data'!F124),"\$([A-Z]+)\$[0-9]+"))</f>
        <v/>
      </c>
      <c r="G124" s="6" t="str" cm="1">
        <f t="array" aca="1" ref="G124" ca="1">IF(AND('Raw Data'!G124&gt;=0,'Raw Data'!G124&lt;=1),"",_xlfn.REGEXEXTRACT(CELL("address",'Raw Data'!G124),"\$([A-Z]+)\$[0-9]+"))</f>
        <v/>
      </c>
      <c r="H124" s="6" t="str" cm="1">
        <f t="array" aca="1" ref="H124" ca="1">IF(AND('Raw Data'!H124&gt;=0,'Raw Data'!H124&lt;=1),"",_xlfn.REGEXEXTRACT(CELL("address",'Raw Data'!H124),"\$([A-Z]+)\$[0-9]+"))</f>
        <v/>
      </c>
      <c r="I124" s="6" t="str" cm="1">
        <f t="array" aca="1" ref="I124" ca="1">IF(AND('Raw Data'!I124&gt;=0,'Raw Data'!I124&lt;=1),"",_xlfn.REGEXEXTRACT(CELL("address",'Raw Data'!I124),"\$([A-Z]+)\$[0-9]+"))</f>
        <v/>
      </c>
      <c r="J124" s="6" t="str" cm="1">
        <f t="array" aca="1" ref="J124" ca="1">IF(AND('Raw Data'!J124&gt;=0,'Raw Data'!J124&lt;=1),"",_xlfn.REGEXEXTRACT(CELL("address",'Raw Data'!J124),"\$([A-Z]+)\$[0-9]+"))</f>
        <v/>
      </c>
    </row>
    <row r="125" spans="2:10" x14ac:dyDescent="0.25">
      <c r="B125" s="6" t="str" cm="1">
        <f t="array" aca="1" ref="B125" ca="1">IF('Raw Data'!$B$10 = "Overall Project","",_xlfn.REGEXEXTRACT(CELL("address",'Raw Data'!B125),"\$([A-Z]+)\$[0-9]+"))</f>
        <v/>
      </c>
      <c r="C125" s="6" t="str" cm="1">
        <f t="array" aca="1" ref="C125" ca="1">IF('Raw Data'!$C$10 = "Month # 1","",_xlfn.REGEXEXTRACT(CELL("address",'Raw Data'!C125),"\$([A-Z]+)\$[0-9]+"))</f>
        <v/>
      </c>
      <c r="D125" s="6"/>
      <c r="E125" s="6" t="str" cm="1">
        <f t="array" aca="1" ref="E125" ca="1">IF(AND('Raw Data'!E125&gt;=0,'Raw Data'!E125&lt;=1),"",_xlfn.REGEXEXTRACT(CELL("address",'Raw Data'!E125),"\$([A-Z]+)\$[0-9]+"))</f>
        <v/>
      </c>
      <c r="F125" s="6" t="str" cm="1">
        <f t="array" aca="1" ref="F125" ca="1">IF(AND('Raw Data'!F125&gt;=0,'Raw Data'!F125&lt;=1),"",_xlfn.REGEXEXTRACT(CELL("address",'Raw Data'!F125),"\$([A-Z]+)\$[0-9]+"))</f>
        <v/>
      </c>
      <c r="G125" s="6" t="str" cm="1">
        <f t="array" aca="1" ref="G125" ca="1">IF(AND('Raw Data'!G125&gt;=0,'Raw Data'!G125&lt;=1),"",_xlfn.REGEXEXTRACT(CELL("address",'Raw Data'!G125),"\$([A-Z]+)\$[0-9]+"))</f>
        <v/>
      </c>
      <c r="H125" s="6" t="str" cm="1">
        <f t="array" aca="1" ref="H125" ca="1">IF(AND('Raw Data'!H125&gt;=0,'Raw Data'!H125&lt;=1),"",_xlfn.REGEXEXTRACT(CELL("address",'Raw Data'!H125),"\$([A-Z]+)\$[0-9]+"))</f>
        <v/>
      </c>
      <c r="I125" s="6" t="str" cm="1">
        <f t="array" aca="1" ref="I125" ca="1">IF(AND('Raw Data'!I125&gt;=0,'Raw Data'!I125&lt;=1),"",_xlfn.REGEXEXTRACT(CELL("address",'Raw Data'!I125),"\$([A-Z]+)\$[0-9]+"))</f>
        <v/>
      </c>
      <c r="J125" s="6" t="str" cm="1">
        <f t="array" aca="1" ref="J125" ca="1">IF(AND('Raw Data'!J125&gt;=0,'Raw Data'!J125&lt;=1),"",_xlfn.REGEXEXTRACT(CELL("address",'Raw Data'!J125),"\$([A-Z]+)\$[0-9]+"))</f>
        <v/>
      </c>
    </row>
    <row r="126" spans="2:10" x14ac:dyDescent="0.25">
      <c r="B126" s="6" t="str" cm="1">
        <f t="array" aca="1" ref="B126" ca="1">IF('Raw Data'!$B$10 = "Overall Project","",_xlfn.REGEXEXTRACT(CELL("address",'Raw Data'!B126),"\$([A-Z]+)\$[0-9]+"))</f>
        <v/>
      </c>
      <c r="C126" s="6" t="str" cm="1">
        <f t="array" aca="1" ref="C126" ca="1">IF('Raw Data'!$C$10 = "Month # 1","",_xlfn.REGEXEXTRACT(CELL("address",'Raw Data'!C126),"\$([A-Z]+)\$[0-9]+"))</f>
        <v/>
      </c>
      <c r="D126" s="6"/>
      <c r="E126" s="6" t="str" cm="1">
        <f t="array" aca="1" ref="E126" ca="1">IF(AND('Raw Data'!E126&gt;=0,'Raw Data'!E126&lt;=1),"",_xlfn.REGEXEXTRACT(CELL("address",'Raw Data'!E126),"\$([A-Z]+)\$[0-9]+"))</f>
        <v/>
      </c>
      <c r="F126" s="6" t="str" cm="1">
        <f t="array" aca="1" ref="F126" ca="1">IF(AND('Raw Data'!F126&gt;=0,'Raw Data'!F126&lt;=1),"",_xlfn.REGEXEXTRACT(CELL("address",'Raw Data'!F126),"\$([A-Z]+)\$[0-9]+"))</f>
        <v/>
      </c>
      <c r="G126" s="6" t="str" cm="1">
        <f t="array" aca="1" ref="G126" ca="1">IF(AND('Raw Data'!G126&gt;=0,'Raw Data'!G126&lt;=1),"",_xlfn.REGEXEXTRACT(CELL("address",'Raw Data'!G126),"\$([A-Z]+)\$[0-9]+"))</f>
        <v/>
      </c>
      <c r="H126" s="6" t="str" cm="1">
        <f t="array" aca="1" ref="H126" ca="1">IF(AND('Raw Data'!H126&gt;=0,'Raw Data'!H126&lt;=1),"",_xlfn.REGEXEXTRACT(CELL("address",'Raw Data'!H126),"\$([A-Z]+)\$[0-9]+"))</f>
        <v/>
      </c>
      <c r="I126" s="6" t="str" cm="1">
        <f t="array" aca="1" ref="I126" ca="1">IF(AND('Raw Data'!I126&gt;=0,'Raw Data'!I126&lt;=1),"",_xlfn.REGEXEXTRACT(CELL("address",'Raw Data'!I126),"\$([A-Z]+)\$[0-9]+"))</f>
        <v/>
      </c>
      <c r="J126" s="6" t="str" cm="1">
        <f t="array" aca="1" ref="J126" ca="1">IF(AND('Raw Data'!J126&gt;=0,'Raw Data'!J126&lt;=1),"",_xlfn.REGEXEXTRACT(CELL("address",'Raw Data'!J126),"\$([A-Z]+)\$[0-9]+"))</f>
        <v/>
      </c>
    </row>
    <row r="127" spans="2:10" x14ac:dyDescent="0.25">
      <c r="B127" s="6" t="str" cm="1">
        <f t="array" aca="1" ref="B127" ca="1">IF('Raw Data'!$B$10 = "Overall Project","",_xlfn.REGEXEXTRACT(CELL("address",'Raw Data'!B127),"\$([A-Z]+)\$[0-9]+"))</f>
        <v/>
      </c>
      <c r="C127" s="6" t="str" cm="1">
        <f t="array" aca="1" ref="C127" ca="1">IF('Raw Data'!$C$10 = "Month # 1","",_xlfn.REGEXEXTRACT(CELL("address",'Raw Data'!C127),"\$([A-Z]+)\$[0-9]+"))</f>
        <v/>
      </c>
      <c r="D127" s="6"/>
      <c r="E127" s="6" t="str" cm="1">
        <f t="array" aca="1" ref="E127" ca="1">IF(AND('Raw Data'!E127&gt;=0,'Raw Data'!E127&lt;=1),"",_xlfn.REGEXEXTRACT(CELL("address",'Raw Data'!E127),"\$([A-Z]+)\$[0-9]+"))</f>
        <v/>
      </c>
      <c r="F127" s="6" t="str" cm="1">
        <f t="array" aca="1" ref="F127" ca="1">IF(AND('Raw Data'!F127&gt;=0,'Raw Data'!F127&lt;=1),"",_xlfn.REGEXEXTRACT(CELL("address",'Raw Data'!F127),"\$([A-Z]+)\$[0-9]+"))</f>
        <v/>
      </c>
      <c r="G127" s="6" t="str" cm="1">
        <f t="array" aca="1" ref="G127" ca="1">IF(AND('Raw Data'!G127&gt;=0,'Raw Data'!G127&lt;=1),"",_xlfn.REGEXEXTRACT(CELL("address",'Raw Data'!G127),"\$([A-Z]+)\$[0-9]+"))</f>
        <v/>
      </c>
      <c r="H127" s="6" t="str" cm="1">
        <f t="array" aca="1" ref="H127" ca="1">IF(AND('Raw Data'!H127&gt;=0,'Raw Data'!H127&lt;=1),"",_xlfn.REGEXEXTRACT(CELL("address",'Raw Data'!H127),"\$([A-Z]+)\$[0-9]+"))</f>
        <v/>
      </c>
      <c r="I127" s="6" t="str" cm="1">
        <f t="array" aca="1" ref="I127" ca="1">IF(AND('Raw Data'!I127&gt;=0,'Raw Data'!I127&lt;=1),"",_xlfn.REGEXEXTRACT(CELL("address",'Raw Data'!I127),"\$([A-Z]+)\$[0-9]+"))</f>
        <v/>
      </c>
      <c r="J127" s="6" t="str" cm="1">
        <f t="array" aca="1" ref="J127" ca="1">IF(AND('Raw Data'!J127&gt;=0,'Raw Data'!J127&lt;=1),"",_xlfn.REGEXEXTRACT(CELL("address",'Raw Data'!J127),"\$([A-Z]+)\$[0-9]+"))</f>
        <v/>
      </c>
    </row>
    <row r="128" spans="2:10" x14ac:dyDescent="0.25">
      <c r="B128" s="6" t="str" cm="1">
        <f t="array" aca="1" ref="B128" ca="1">IF('Raw Data'!$B$10 = "Overall Project","",_xlfn.REGEXEXTRACT(CELL("address",'Raw Data'!B128),"\$([A-Z]+)\$[0-9]+"))</f>
        <v/>
      </c>
      <c r="C128" s="6" t="str" cm="1">
        <f t="array" aca="1" ref="C128" ca="1">IF('Raw Data'!$C$10 = "Month # 1","",_xlfn.REGEXEXTRACT(CELL("address",'Raw Data'!C128),"\$([A-Z]+)\$[0-9]+"))</f>
        <v/>
      </c>
      <c r="D128" s="6"/>
      <c r="E128" s="6" t="str" cm="1">
        <f t="array" aca="1" ref="E128" ca="1">IF(AND('Raw Data'!E128&gt;=0,'Raw Data'!E128&lt;=1),"",_xlfn.REGEXEXTRACT(CELL("address",'Raw Data'!E128),"\$([A-Z]+)\$[0-9]+"))</f>
        <v/>
      </c>
      <c r="F128" s="6" t="str" cm="1">
        <f t="array" aca="1" ref="F128" ca="1">IF(AND('Raw Data'!F128&gt;=0,'Raw Data'!F128&lt;=1),"",_xlfn.REGEXEXTRACT(CELL("address",'Raw Data'!F128),"\$([A-Z]+)\$[0-9]+"))</f>
        <v/>
      </c>
      <c r="G128" s="6" t="str" cm="1">
        <f t="array" aca="1" ref="G128" ca="1">IF(AND('Raw Data'!G128&gt;=0,'Raw Data'!G128&lt;=1),"",_xlfn.REGEXEXTRACT(CELL("address",'Raw Data'!G128),"\$([A-Z]+)\$[0-9]+"))</f>
        <v/>
      </c>
      <c r="H128" s="6" t="str" cm="1">
        <f t="array" aca="1" ref="H128" ca="1">IF(AND('Raw Data'!H128&gt;=0,'Raw Data'!H128&lt;=1),"",_xlfn.REGEXEXTRACT(CELL("address",'Raw Data'!H128),"\$([A-Z]+)\$[0-9]+"))</f>
        <v/>
      </c>
      <c r="I128" s="6" t="str" cm="1">
        <f t="array" aca="1" ref="I128" ca="1">IF(AND('Raw Data'!I128&gt;=0,'Raw Data'!I128&lt;=1),"",_xlfn.REGEXEXTRACT(CELL("address",'Raw Data'!I128),"\$([A-Z]+)\$[0-9]+"))</f>
        <v/>
      </c>
      <c r="J128" s="6" t="str" cm="1">
        <f t="array" aca="1" ref="J128" ca="1">IF(AND('Raw Data'!J128&gt;=0,'Raw Data'!J128&lt;=1),"",_xlfn.REGEXEXTRACT(CELL("address",'Raw Data'!J128),"\$([A-Z]+)\$[0-9]+"))</f>
        <v/>
      </c>
    </row>
    <row r="129" spans="2:10" x14ac:dyDescent="0.25">
      <c r="B129" s="6" t="str" cm="1">
        <f t="array" aca="1" ref="B129" ca="1">IF('Raw Data'!$B$10 = "Overall Project","",_xlfn.REGEXEXTRACT(CELL("address",'Raw Data'!B129),"\$([A-Z]+)\$[0-9]+"))</f>
        <v/>
      </c>
      <c r="C129" s="6" t="str" cm="1">
        <f t="array" aca="1" ref="C129" ca="1">IF('Raw Data'!$C$10 = "Month # 1","",_xlfn.REGEXEXTRACT(CELL("address",'Raw Data'!C129),"\$([A-Z]+)\$[0-9]+"))</f>
        <v/>
      </c>
      <c r="D129" s="6"/>
      <c r="E129" s="6" t="str" cm="1">
        <f t="array" aca="1" ref="E129" ca="1">IF(AND('Raw Data'!E129&gt;=0,'Raw Data'!E129&lt;=1),"",_xlfn.REGEXEXTRACT(CELL("address",'Raw Data'!E129),"\$([A-Z]+)\$[0-9]+"))</f>
        <v/>
      </c>
      <c r="F129" s="6" t="str" cm="1">
        <f t="array" aca="1" ref="F129" ca="1">IF(AND('Raw Data'!F129&gt;=0,'Raw Data'!F129&lt;=1),"",_xlfn.REGEXEXTRACT(CELL("address",'Raw Data'!F129),"\$([A-Z]+)\$[0-9]+"))</f>
        <v/>
      </c>
      <c r="G129" s="6" t="str" cm="1">
        <f t="array" aca="1" ref="G129" ca="1">IF(AND('Raw Data'!G129&gt;=0,'Raw Data'!G129&lt;=1),"",_xlfn.REGEXEXTRACT(CELL("address",'Raw Data'!G129),"\$([A-Z]+)\$[0-9]+"))</f>
        <v/>
      </c>
      <c r="H129" s="6" t="str" cm="1">
        <f t="array" aca="1" ref="H129" ca="1">IF(AND('Raw Data'!H129&gt;=0,'Raw Data'!H129&lt;=1),"",_xlfn.REGEXEXTRACT(CELL("address",'Raw Data'!H129),"\$([A-Z]+)\$[0-9]+"))</f>
        <v/>
      </c>
      <c r="I129" s="6" t="str" cm="1">
        <f t="array" aca="1" ref="I129" ca="1">IF(AND('Raw Data'!I129&gt;=0,'Raw Data'!I129&lt;=1),"",_xlfn.REGEXEXTRACT(CELL("address",'Raw Data'!I129),"\$([A-Z]+)\$[0-9]+"))</f>
        <v/>
      </c>
      <c r="J129" s="6" t="str" cm="1">
        <f t="array" aca="1" ref="J129" ca="1">IF(AND('Raw Data'!J129&gt;=0,'Raw Data'!J129&lt;=1),"",_xlfn.REGEXEXTRACT(CELL("address",'Raw Data'!J129),"\$([A-Z]+)\$[0-9]+"))</f>
        <v/>
      </c>
    </row>
    <row r="130" spans="2:10" x14ac:dyDescent="0.25">
      <c r="B130" s="6" t="str" cm="1">
        <f t="array" aca="1" ref="B130" ca="1">IF('Raw Data'!$B$10 = "Overall Project","",_xlfn.REGEXEXTRACT(CELL("address",'Raw Data'!B130),"\$([A-Z]+)\$[0-9]+"))</f>
        <v/>
      </c>
      <c r="C130" s="6" t="str" cm="1">
        <f t="array" aca="1" ref="C130" ca="1">IF('Raw Data'!$C$10 = "Month # 1","",_xlfn.REGEXEXTRACT(CELL("address",'Raw Data'!C130),"\$([A-Z]+)\$[0-9]+"))</f>
        <v/>
      </c>
      <c r="D130" s="6"/>
      <c r="E130" s="6" t="str" cm="1">
        <f t="array" aca="1" ref="E130" ca="1">IF(AND('Raw Data'!E130&gt;=0,'Raw Data'!E130&lt;=1),"",_xlfn.REGEXEXTRACT(CELL("address",'Raw Data'!E130),"\$([A-Z]+)\$[0-9]+"))</f>
        <v/>
      </c>
      <c r="F130" s="6" t="str" cm="1">
        <f t="array" aca="1" ref="F130" ca="1">IF(AND('Raw Data'!F130&gt;=0,'Raw Data'!F130&lt;=1),"",_xlfn.REGEXEXTRACT(CELL("address",'Raw Data'!F130),"\$([A-Z]+)\$[0-9]+"))</f>
        <v/>
      </c>
      <c r="G130" s="6" t="str" cm="1">
        <f t="array" aca="1" ref="G130" ca="1">IF(AND('Raw Data'!G130&gt;=0,'Raw Data'!G130&lt;=1),"",_xlfn.REGEXEXTRACT(CELL("address",'Raw Data'!G130),"\$([A-Z]+)\$[0-9]+"))</f>
        <v/>
      </c>
      <c r="H130" s="6" t="str" cm="1">
        <f t="array" aca="1" ref="H130" ca="1">IF(AND('Raw Data'!H130&gt;=0,'Raw Data'!H130&lt;=1),"",_xlfn.REGEXEXTRACT(CELL("address",'Raw Data'!H130),"\$([A-Z]+)\$[0-9]+"))</f>
        <v/>
      </c>
      <c r="I130" s="6" t="str" cm="1">
        <f t="array" aca="1" ref="I130" ca="1">IF(AND('Raw Data'!I130&gt;=0,'Raw Data'!I130&lt;=1),"",_xlfn.REGEXEXTRACT(CELL("address",'Raw Data'!I130),"\$([A-Z]+)\$[0-9]+"))</f>
        <v/>
      </c>
      <c r="J130" s="6" t="str" cm="1">
        <f t="array" aca="1" ref="J130" ca="1">IF(AND('Raw Data'!J130&gt;=0,'Raw Data'!J130&lt;=1),"",_xlfn.REGEXEXTRACT(CELL("address",'Raw Data'!J130),"\$([A-Z]+)\$[0-9]+"))</f>
        <v/>
      </c>
    </row>
    <row r="131" spans="2:10" x14ac:dyDescent="0.25">
      <c r="B131" s="6" t="str" cm="1">
        <f t="array" aca="1" ref="B131" ca="1">IF('Raw Data'!$B$10 = "Overall Project","",_xlfn.REGEXEXTRACT(CELL("address",'Raw Data'!B131),"\$([A-Z]+)\$[0-9]+"))</f>
        <v/>
      </c>
      <c r="C131" s="6" t="str" cm="1">
        <f t="array" aca="1" ref="C131" ca="1">IF('Raw Data'!$C$10 = "Month # 1","",_xlfn.REGEXEXTRACT(CELL("address",'Raw Data'!C131),"\$([A-Z]+)\$[0-9]+"))</f>
        <v/>
      </c>
      <c r="D131" s="6"/>
      <c r="E131" s="6" t="str" cm="1">
        <f t="array" aca="1" ref="E131" ca="1">IF(AND('Raw Data'!E131&gt;=0,'Raw Data'!E131&lt;=1),"",_xlfn.REGEXEXTRACT(CELL("address",'Raw Data'!E131),"\$([A-Z]+)\$[0-9]+"))</f>
        <v/>
      </c>
      <c r="F131" s="6" t="str" cm="1">
        <f t="array" aca="1" ref="F131" ca="1">IF(AND('Raw Data'!F131&gt;=0,'Raw Data'!F131&lt;=1),"",_xlfn.REGEXEXTRACT(CELL("address",'Raw Data'!F131),"\$([A-Z]+)\$[0-9]+"))</f>
        <v/>
      </c>
      <c r="G131" s="6" t="str" cm="1">
        <f t="array" aca="1" ref="G131" ca="1">IF(AND('Raw Data'!G131&gt;=0,'Raw Data'!G131&lt;=1),"",_xlfn.REGEXEXTRACT(CELL("address",'Raw Data'!G131),"\$([A-Z]+)\$[0-9]+"))</f>
        <v/>
      </c>
      <c r="H131" s="6" t="str" cm="1">
        <f t="array" aca="1" ref="H131" ca="1">IF(AND('Raw Data'!H131&gt;=0,'Raw Data'!H131&lt;=1),"",_xlfn.REGEXEXTRACT(CELL("address",'Raw Data'!H131),"\$([A-Z]+)\$[0-9]+"))</f>
        <v/>
      </c>
      <c r="I131" s="6" t="str" cm="1">
        <f t="array" aca="1" ref="I131" ca="1">IF(AND('Raw Data'!I131&gt;=0,'Raw Data'!I131&lt;=1),"",_xlfn.REGEXEXTRACT(CELL("address",'Raw Data'!I131),"\$([A-Z]+)\$[0-9]+"))</f>
        <v/>
      </c>
      <c r="J131" s="6" t="str" cm="1">
        <f t="array" aca="1" ref="J131" ca="1">IF(AND('Raw Data'!J131&gt;=0,'Raw Data'!J131&lt;=1),"",_xlfn.REGEXEXTRACT(CELL("address",'Raw Data'!J131),"\$([A-Z]+)\$[0-9]+"))</f>
        <v/>
      </c>
    </row>
    <row r="132" spans="2:10" x14ac:dyDescent="0.25">
      <c r="B132" s="6" t="str" cm="1">
        <f t="array" aca="1" ref="B132" ca="1">IF('Raw Data'!$B$10 = "Overall Project","",_xlfn.REGEXEXTRACT(CELL("address",'Raw Data'!B132),"\$([A-Z]+)\$[0-9]+"))</f>
        <v/>
      </c>
      <c r="C132" s="6" t="str" cm="1">
        <f t="array" aca="1" ref="C132" ca="1">IF('Raw Data'!$C$10 = "Month # 1","",_xlfn.REGEXEXTRACT(CELL("address",'Raw Data'!C132),"\$([A-Z]+)\$[0-9]+"))</f>
        <v/>
      </c>
      <c r="D132" s="6"/>
      <c r="E132" s="6" t="str" cm="1">
        <f t="array" aca="1" ref="E132" ca="1">IF(AND('Raw Data'!E132&gt;=0,'Raw Data'!E132&lt;=1),"",_xlfn.REGEXEXTRACT(CELL("address",'Raw Data'!E132),"\$([A-Z]+)\$[0-9]+"))</f>
        <v/>
      </c>
      <c r="F132" s="6" t="str" cm="1">
        <f t="array" aca="1" ref="F132" ca="1">IF(AND('Raw Data'!F132&gt;=0,'Raw Data'!F132&lt;=1),"",_xlfn.REGEXEXTRACT(CELL("address",'Raw Data'!F132),"\$([A-Z]+)\$[0-9]+"))</f>
        <v/>
      </c>
      <c r="G132" s="6" t="str" cm="1">
        <f t="array" aca="1" ref="G132" ca="1">IF(AND('Raw Data'!G132&gt;=0,'Raw Data'!G132&lt;=1),"",_xlfn.REGEXEXTRACT(CELL("address",'Raw Data'!G132),"\$([A-Z]+)\$[0-9]+"))</f>
        <v/>
      </c>
      <c r="H132" s="6" t="str" cm="1">
        <f t="array" aca="1" ref="H132" ca="1">IF(AND('Raw Data'!H132&gt;=0,'Raw Data'!H132&lt;=1),"",_xlfn.REGEXEXTRACT(CELL("address",'Raw Data'!H132),"\$([A-Z]+)\$[0-9]+"))</f>
        <v/>
      </c>
      <c r="I132" s="6" t="str" cm="1">
        <f t="array" aca="1" ref="I132" ca="1">IF(AND('Raw Data'!I132&gt;=0,'Raw Data'!I132&lt;=1),"",_xlfn.REGEXEXTRACT(CELL("address",'Raw Data'!I132),"\$([A-Z]+)\$[0-9]+"))</f>
        <v/>
      </c>
      <c r="J132" s="6" t="str" cm="1">
        <f t="array" aca="1" ref="J132" ca="1">IF(AND('Raw Data'!J132&gt;=0,'Raw Data'!J132&lt;=1),"",_xlfn.REGEXEXTRACT(CELL("address",'Raw Data'!J132),"\$([A-Z]+)\$[0-9]+"))</f>
        <v/>
      </c>
    </row>
    <row r="133" spans="2:10" x14ac:dyDescent="0.25">
      <c r="B133" s="6" t="str" cm="1">
        <f t="array" aca="1" ref="B133" ca="1">IF('Raw Data'!$B$10 = "Overall Project","",_xlfn.REGEXEXTRACT(CELL("address",'Raw Data'!B133),"\$([A-Z]+)\$[0-9]+"))</f>
        <v/>
      </c>
      <c r="C133" s="6" t="str" cm="1">
        <f t="array" aca="1" ref="C133" ca="1">IF('Raw Data'!$C$10 = "Month # 1","",_xlfn.REGEXEXTRACT(CELL("address",'Raw Data'!C133),"\$([A-Z]+)\$[0-9]+"))</f>
        <v/>
      </c>
      <c r="D133" s="6"/>
      <c r="E133" s="6" t="str" cm="1">
        <f t="array" aca="1" ref="E133" ca="1">IF(AND('Raw Data'!E133&gt;=0,'Raw Data'!E133&lt;=1),"",_xlfn.REGEXEXTRACT(CELL("address",'Raw Data'!E133),"\$([A-Z]+)\$[0-9]+"))</f>
        <v/>
      </c>
      <c r="F133" s="6" t="str" cm="1">
        <f t="array" aca="1" ref="F133" ca="1">IF(AND('Raw Data'!F133&gt;=0,'Raw Data'!F133&lt;=1),"",_xlfn.REGEXEXTRACT(CELL("address",'Raw Data'!F133),"\$([A-Z]+)\$[0-9]+"))</f>
        <v/>
      </c>
      <c r="G133" s="6" t="str" cm="1">
        <f t="array" aca="1" ref="G133" ca="1">IF(AND('Raw Data'!G133&gt;=0,'Raw Data'!G133&lt;=1),"",_xlfn.REGEXEXTRACT(CELL("address",'Raw Data'!G133),"\$([A-Z]+)\$[0-9]+"))</f>
        <v/>
      </c>
      <c r="H133" s="6" t="str" cm="1">
        <f t="array" aca="1" ref="H133" ca="1">IF(AND('Raw Data'!H133&gt;=0,'Raw Data'!H133&lt;=1),"",_xlfn.REGEXEXTRACT(CELL("address",'Raw Data'!H133),"\$([A-Z]+)\$[0-9]+"))</f>
        <v/>
      </c>
      <c r="I133" s="6" t="str" cm="1">
        <f t="array" aca="1" ref="I133" ca="1">IF(AND('Raw Data'!I133&gt;=0,'Raw Data'!I133&lt;=1),"",_xlfn.REGEXEXTRACT(CELL("address",'Raw Data'!I133),"\$([A-Z]+)\$[0-9]+"))</f>
        <v/>
      </c>
      <c r="J133" s="6" t="str" cm="1">
        <f t="array" aca="1" ref="J133" ca="1">IF(AND('Raw Data'!J133&gt;=0,'Raw Data'!J133&lt;=1),"",_xlfn.REGEXEXTRACT(CELL("address",'Raw Data'!J133),"\$([A-Z]+)\$[0-9]+"))</f>
        <v/>
      </c>
    </row>
    <row r="134" spans="2:10" x14ac:dyDescent="0.25">
      <c r="B134" s="6" t="str" cm="1">
        <f t="array" aca="1" ref="B134" ca="1">IF('Raw Data'!$B$10 = "Overall Project","",_xlfn.REGEXEXTRACT(CELL("address",'Raw Data'!B134),"\$([A-Z]+)\$[0-9]+"))</f>
        <v/>
      </c>
      <c r="C134" s="6" t="str" cm="1">
        <f t="array" aca="1" ref="C134" ca="1">IF('Raw Data'!$C$10 = "Month # 1","",_xlfn.REGEXEXTRACT(CELL("address",'Raw Data'!C134),"\$([A-Z]+)\$[0-9]+"))</f>
        <v/>
      </c>
      <c r="D134" s="6"/>
      <c r="E134" s="6" t="str" cm="1">
        <f t="array" aca="1" ref="E134" ca="1">IF(AND('Raw Data'!E134&gt;=0,'Raw Data'!E134&lt;=1),"",_xlfn.REGEXEXTRACT(CELL("address",'Raw Data'!E134),"\$([A-Z]+)\$[0-9]+"))</f>
        <v/>
      </c>
      <c r="F134" s="6" t="str" cm="1">
        <f t="array" aca="1" ref="F134" ca="1">IF(AND('Raw Data'!F134&gt;=0,'Raw Data'!F134&lt;=1),"",_xlfn.REGEXEXTRACT(CELL("address",'Raw Data'!F134),"\$([A-Z]+)\$[0-9]+"))</f>
        <v/>
      </c>
      <c r="G134" s="6" t="str" cm="1">
        <f t="array" aca="1" ref="G134" ca="1">IF(AND('Raw Data'!G134&gt;=0,'Raw Data'!G134&lt;=1),"",_xlfn.REGEXEXTRACT(CELL("address",'Raw Data'!G134),"\$([A-Z]+)\$[0-9]+"))</f>
        <v/>
      </c>
      <c r="H134" s="6" t="str" cm="1">
        <f t="array" aca="1" ref="H134" ca="1">IF(AND('Raw Data'!H134&gt;=0,'Raw Data'!H134&lt;=1),"",_xlfn.REGEXEXTRACT(CELL("address",'Raw Data'!H134),"\$([A-Z]+)\$[0-9]+"))</f>
        <v/>
      </c>
      <c r="I134" s="6" t="str" cm="1">
        <f t="array" aca="1" ref="I134" ca="1">IF(AND('Raw Data'!I134&gt;=0,'Raw Data'!I134&lt;=1),"",_xlfn.REGEXEXTRACT(CELL("address",'Raw Data'!I134),"\$([A-Z]+)\$[0-9]+"))</f>
        <v/>
      </c>
      <c r="J134" s="6" t="str" cm="1">
        <f t="array" aca="1" ref="J134" ca="1">IF(AND('Raw Data'!J134&gt;=0,'Raw Data'!J134&lt;=1),"",_xlfn.REGEXEXTRACT(CELL("address",'Raw Data'!J134),"\$([A-Z]+)\$[0-9]+"))</f>
        <v/>
      </c>
    </row>
    <row r="135" spans="2:10" x14ac:dyDescent="0.25">
      <c r="B135" s="6" t="str" cm="1">
        <f t="array" aca="1" ref="B135" ca="1">IF('Raw Data'!$B$10 = "Overall Project","",_xlfn.REGEXEXTRACT(CELL("address",'Raw Data'!B135),"\$([A-Z]+)\$[0-9]+"))</f>
        <v/>
      </c>
      <c r="C135" s="6" t="str" cm="1">
        <f t="array" aca="1" ref="C135" ca="1">IF('Raw Data'!$C$10 = "Month # 1","",_xlfn.REGEXEXTRACT(CELL("address",'Raw Data'!C135),"\$([A-Z]+)\$[0-9]+"))</f>
        <v/>
      </c>
      <c r="D135" s="6"/>
      <c r="E135" s="6" t="str" cm="1">
        <f t="array" aca="1" ref="E135" ca="1">IF(AND('Raw Data'!E135&gt;=0,'Raw Data'!E135&lt;=1),"",_xlfn.REGEXEXTRACT(CELL("address",'Raw Data'!E135),"\$([A-Z]+)\$[0-9]+"))</f>
        <v/>
      </c>
      <c r="F135" s="6" t="str" cm="1">
        <f t="array" aca="1" ref="F135" ca="1">IF(AND('Raw Data'!F135&gt;=0,'Raw Data'!F135&lt;=1),"",_xlfn.REGEXEXTRACT(CELL("address",'Raw Data'!F135),"\$([A-Z]+)\$[0-9]+"))</f>
        <v/>
      </c>
      <c r="G135" s="6" t="str" cm="1">
        <f t="array" aca="1" ref="G135" ca="1">IF(AND('Raw Data'!G135&gt;=0,'Raw Data'!G135&lt;=1),"",_xlfn.REGEXEXTRACT(CELL("address",'Raw Data'!G135),"\$([A-Z]+)\$[0-9]+"))</f>
        <v/>
      </c>
      <c r="H135" s="6" t="str" cm="1">
        <f t="array" aca="1" ref="H135" ca="1">IF(AND('Raw Data'!H135&gt;=0,'Raw Data'!H135&lt;=1),"",_xlfn.REGEXEXTRACT(CELL("address",'Raw Data'!H135),"\$([A-Z]+)\$[0-9]+"))</f>
        <v/>
      </c>
      <c r="I135" s="6" t="str" cm="1">
        <f t="array" aca="1" ref="I135" ca="1">IF(AND('Raw Data'!I135&gt;=0,'Raw Data'!I135&lt;=1),"",_xlfn.REGEXEXTRACT(CELL("address",'Raw Data'!I135),"\$([A-Z]+)\$[0-9]+"))</f>
        <v/>
      </c>
      <c r="J135" s="6" t="str" cm="1">
        <f t="array" aca="1" ref="J135" ca="1">IF(AND('Raw Data'!J135&gt;=0,'Raw Data'!J135&lt;=1),"",_xlfn.REGEXEXTRACT(CELL("address",'Raw Data'!J135),"\$([A-Z]+)\$[0-9]+"))</f>
        <v/>
      </c>
    </row>
    <row r="136" spans="2:10" x14ac:dyDescent="0.25">
      <c r="B136" s="6" t="str" cm="1">
        <f t="array" aca="1" ref="B136" ca="1">IF('Raw Data'!$B$10 = "Overall Project","",_xlfn.REGEXEXTRACT(CELL("address",'Raw Data'!B136),"\$([A-Z]+)\$[0-9]+"))</f>
        <v/>
      </c>
      <c r="C136" s="6" t="str" cm="1">
        <f t="array" aca="1" ref="C136" ca="1">IF('Raw Data'!$C$10 = "Month # 1","",_xlfn.REGEXEXTRACT(CELL("address",'Raw Data'!C136),"\$([A-Z]+)\$[0-9]+"))</f>
        <v/>
      </c>
      <c r="D136" s="6"/>
      <c r="E136" s="6" t="str" cm="1">
        <f t="array" aca="1" ref="E136" ca="1">IF(AND('Raw Data'!E136&gt;=0,'Raw Data'!E136&lt;=1),"",_xlfn.REGEXEXTRACT(CELL("address",'Raw Data'!E136),"\$([A-Z]+)\$[0-9]+"))</f>
        <v/>
      </c>
      <c r="F136" s="6" t="str" cm="1">
        <f t="array" aca="1" ref="F136" ca="1">IF(AND('Raw Data'!F136&gt;=0,'Raw Data'!F136&lt;=1),"",_xlfn.REGEXEXTRACT(CELL("address",'Raw Data'!F136),"\$([A-Z]+)\$[0-9]+"))</f>
        <v/>
      </c>
      <c r="G136" s="6" t="str" cm="1">
        <f t="array" aca="1" ref="G136" ca="1">IF(AND('Raw Data'!G136&gt;=0,'Raw Data'!G136&lt;=1),"",_xlfn.REGEXEXTRACT(CELL("address",'Raw Data'!G136),"\$([A-Z]+)\$[0-9]+"))</f>
        <v/>
      </c>
      <c r="H136" s="6" t="str" cm="1">
        <f t="array" aca="1" ref="H136" ca="1">IF(AND('Raw Data'!H136&gt;=0,'Raw Data'!H136&lt;=1),"",_xlfn.REGEXEXTRACT(CELL("address",'Raw Data'!H136),"\$([A-Z]+)\$[0-9]+"))</f>
        <v/>
      </c>
      <c r="I136" s="6" t="str" cm="1">
        <f t="array" aca="1" ref="I136" ca="1">IF(AND('Raw Data'!I136&gt;=0,'Raw Data'!I136&lt;=1),"",_xlfn.REGEXEXTRACT(CELL("address",'Raw Data'!I136),"\$([A-Z]+)\$[0-9]+"))</f>
        <v/>
      </c>
      <c r="J136" s="6" t="str" cm="1">
        <f t="array" aca="1" ref="J136" ca="1">IF(AND('Raw Data'!J136&gt;=0,'Raw Data'!J136&lt;=1),"",_xlfn.REGEXEXTRACT(CELL("address",'Raw Data'!J136),"\$([A-Z]+)\$[0-9]+"))</f>
        <v/>
      </c>
    </row>
    <row r="137" spans="2:10" x14ac:dyDescent="0.25">
      <c r="B137" s="6" t="str" cm="1">
        <f t="array" aca="1" ref="B137" ca="1">IF('Raw Data'!$B$10 = "Overall Project","",_xlfn.REGEXEXTRACT(CELL("address",'Raw Data'!B137),"\$([A-Z]+)\$[0-9]+"))</f>
        <v/>
      </c>
      <c r="C137" s="6" t="str" cm="1">
        <f t="array" aca="1" ref="C137" ca="1">IF('Raw Data'!$C$10 = "Month # 1","",_xlfn.REGEXEXTRACT(CELL("address",'Raw Data'!C137),"\$([A-Z]+)\$[0-9]+"))</f>
        <v/>
      </c>
      <c r="D137" s="6"/>
      <c r="E137" s="6" t="str" cm="1">
        <f t="array" aca="1" ref="E137" ca="1">IF(AND('Raw Data'!E137&gt;=0,'Raw Data'!E137&lt;=1),"",_xlfn.REGEXEXTRACT(CELL("address",'Raw Data'!E137),"\$([A-Z]+)\$[0-9]+"))</f>
        <v/>
      </c>
      <c r="F137" s="6" t="str" cm="1">
        <f t="array" aca="1" ref="F137" ca="1">IF(AND('Raw Data'!F137&gt;=0,'Raw Data'!F137&lt;=1),"",_xlfn.REGEXEXTRACT(CELL("address",'Raw Data'!F137),"\$([A-Z]+)\$[0-9]+"))</f>
        <v/>
      </c>
      <c r="G137" s="6" t="str" cm="1">
        <f t="array" aca="1" ref="G137" ca="1">IF(AND('Raw Data'!G137&gt;=0,'Raw Data'!G137&lt;=1),"",_xlfn.REGEXEXTRACT(CELL("address",'Raw Data'!G137),"\$([A-Z]+)\$[0-9]+"))</f>
        <v/>
      </c>
      <c r="H137" s="6" t="str" cm="1">
        <f t="array" aca="1" ref="H137" ca="1">IF(AND('Raw Data'!H137&gt;=0,'Raw Data'!H137&lt;=1),"",_xlfn.REGEXEXTRACT(CELL("address",'Raw Data'!H137),"\$([A-Z]+)\$[0-9]+"))</f>
        <v/>
      </c>
      <c r="I137" s="6" t="str" cm="1">
        <f t="array" aca="1" ref="I137" ca="1">IF(AND('Raw Data'!I137&gt;=0,'Raw Data'!I137&lt;=1),"",_xlfn.REGEXEXTRACT(CELL("address",'Raw Data'!I137),"\$([A-Z]+)\$[0-9]+"))</f>
        <v/>
      </c>
      <c r="J137" s="6" t="str" cm="1">
        <f t="array" aca="1" ref="J137" ca="1">IF(AND('Raw Data'!J137&gt;=0,'Raw Data'!J137&lt;=1),"",_xlfn.REGEXEXTRACT(CELL("address",'Raw Data'!J137),"\$([A-Z]+)\$[0-9]+"))</f>
        <v/>
      </c>
    </row>
    <row r="138" spans="2:10" x14ac:dyDescent="0.25">
      <c r="B138" s="6" t="str" cm="1">
        <f t="array" aca="1" ref="B138" ca="1">IF('Raw Data'!$B$10 = "Overall Project","",_xlfn.REGEXEXTRACT(CELL("address",'Raw Data'!B138),"\$([A-Z]+)\$[0-9]+"))</f>
        <v/>
      </c>
      <c r="C138" s="6" t="str" cm="1">
        <f t="array" aca="1" ref="C138" ca="1">IF('Raw Data'!$C$10 = "Month # 1","",_xlfn.REGEXEXTRACT(CELL("address",'Raw Data'!C138),"\$([A-Z]+)\$[0-9]+"))</f>
        <v/>
      </c>
      <c r="D138" s="6"/>
      <c r="E138" s="6" t="str" cm="1">
        <f t="array" aca="1" ref="E138" ca="1">IF(AND('Raw Data'!E138&gt;=0,'Raw Data'!E138&lt;=1),"",_xlfn.REGEXEXTRACT(CELL("address",'Raw Data'!E138),"\$([A-Z]+)\$[0-9]+"))</f>
        <v/>
      </c>
      <c r="F138" s="6" t="str" cm="1">
        <f t="array" aca="1" ref="F138" ca="1">IF(AND('Raw Data'!F138&gt;=0,'Raw Data'!F138&lt;=1),"",_xlfn.REGEXEXTRACT(CELL("address",'Raw Data'!F138),"\$([A-Z]+)\$[0-9]+"))</f>
        <v/>
      </c>
      <c r="G138" s="6" t="str" cm="1">
        <f t="array" aca="1" ref="G138" ca="1">IF(AND('Raw Data'!G138&gt;=0,'Raw Data'!G138&lt;=1),"",_xlfn.REGEXEXTRACT(CELL("address",'Raw Data'!G138),"\$([A-Z]+)\$[0-9]+"))</f>
        <v/>
      </c>
      <c r="H138" s="6" t="str" cm="1">
        <f t="array" aca="1" ref="H138" ca="1">IF(AND('Raw Data'!H138&gt;=0,'Raw Data'!H138&lt;=1),"",_xlfn.REGEXEXTRACT(CELL("address",'Raw Data'!H138),"\$([A-Z]+)\$[0-9]+"))</f>
        <v/>
      </c>
      <c r="I138" s="6" t="str" cm="1">
        <f t="array" aca="1" ref="I138" ca="1">IF(AND('Raw Data'!I138&gt;=0,'Raw Data'!I138&lt;=1),"",_xlfn.REGEXEXTRACT(CELL("address",'Raw Data'!I138),"\$([A-Z]+)\$[0-9]+"))</f>
        <v/>
      </c>
      <c r="J138" s="6" t="str" cm="1">
        <f t="array" aca="1" ref="J138" ca="1">IF(AND('Raw Data'!J138&gt;=0,'Raw Data'!J138&lt;=1),"",_xlfn.REGEXEXTRACT(CELL("address",'Raw Data'!J138),"\$([A-Z]+)\$[0-9]+"))</f>
        <v/>
      </c>
    </row>
    <row r="139" spans="2:10" x14ac:dyDescent="0.25">
      <c r="B139" s="6" t="str" cm="1">
        <f t="array" aca="1" ref="B139" ca="1">IF('Raw Data'!$B$10 = "Overall Project","",_xlfn.REGEXEXTRACT(CELL("address",'Raw Data'!B139),"\$([A-Z]+)\$[0-9]+"))</f>
        <v/>
      </c>
      <c r="C139" s="6" t="str" cm="1">
        <f t="array" aca="1" ref="C139" ca="1">IF('Raw Data'!$C$10 = "Month # 1","",_xlfn.REGEXEXTRACT(CELL("address",'Raw Data'!C139),"\$([A-Z]+)\$[0-9]+"))</f>
        <v/>
      </c>
      <c r="D139" s="6"/>
      <c r="E139" s="6" t="str" cm="1">
        <f t="array" aca="1" ref="E139" ca="1">IF(AND('Raw Data'!E139&gt;=0,'Raw Data'!E139&lt;=1),"",_xlfn.REGEXEXTRACT(CELL("address",'Raw Data'!E139),"\$([A-Z]+)\$[0-9]+"))</f>
        <v/>
      </c>
      <c r="F139" s="6" t="str" cm="1">
        <f t="array" aca="1" ref="F139" ca="1">IF(AND('Raw Data'!F139&gt;=0,'Raw Data'!F139&lt;=1),"",_xlfn.REGEXEXTRACT(CELL("address",'Raw Data'!F139),"\$([A-Z]+)\$[0-9]+"))</f>
        <v/>
      </c>
      <c r="G139" s="6" t="str" cm="1">
        <f t="array" aca="1" ref="G139" ca="1">IF(AND('Raw Data'!G139&gt;=0,'Raw Data'!G139&lt;=1),"",_xlfn.REGEXEXTRACT(CELL("address",'Raw Data'!G139),"\$([A-Z]+)\$[0-9]+"))</f>
        <v/>
      </c>
      <c r="H139" s="6" t="str" cm="1">
        <f t="array" aca="1" ref="H139" ca="1">IF(AND('Raw Data'!H139&gt;=0,'Raw Data'!H139&lt;=1),"",_xlfn.REGEXEXTRACT(CELL("address",'Raw Data'!H139),"\$([A-Z]+)\$[0-9]+"))</f>
        <v/>
      </c>
      <c r="I139" s="6" t="str" cm="1">
        <f t="array" aca="1" ref="I139" ca="1">IF(AND('Raw Data'!I139&gt;=0,'Raw Data'!I139&lt;=1),"",_xlfn.REGEXEXTRACT(CELL("address",'Raw Data'!I139),"\$([A-Z]+)\$[0-9]+"))</f>
        <v/>
      </c>
      <c r="J139" s="6" t="str" cm="1">
        <f t="array" aca="1" ref="J139" ca="1">IF(AND('Raw Data'!J139&gt;=0,'Raw Data'!J139&lt;=1),"",_xlfn.REGEXEXTRACT(CELL("address",'Raw Data'!J139),"\$([A-Z]+)\$[0-9]+"))</f>
        <v/>
      </c>
    </row>
    <row r="140" spans="2:10" x14ac:dyDescent="0.25">
      <c r="B140" s="6" t="str" cm="1">
        <f t="array" aca="1" ref="B140" ca="1">IF('Raw Data'!$B$10 = "Overall Project","",_xlfn.REGEXEXTRACT(CELL("address",'Raw Data'!B140),"\$([A-Z]+)\$[0-9]+"))</f>
        <v/>
      </c>
      <c r="C140" s="6" t="str" cm="1">
        <f t="array" aca="1" ref="C140" ca="1">IF('Raw Data'!$C$10 = "Month # 1","",_xlfn.REGEXEXTRACT(CELL("address",'Raw Data'!C140),"\$([A-Z]+)\$[0-9]+"))</f>
        <v/>
      </c>
      <c r="D140" s="6"/>
      <c r="E140" s="6" t="str" cm="1">
        <f t="array" aca="1" ref="E140" ca="1">IF(AND('Raw Data'!E140&gt;=0,'Raw Data'!E140&lt;=1),"",_xlfn.REGEXEXTRACT(CELL("address",'Raw Data'!E140),"\$([A-Z]+)\$[0-9]+"))</f>
        <v/>
      </c>
      <c r="F140" s="6" t="str" cm="1">
        <f t="array" aca="1" ref="F140" ca="1">IF(AND('Raw Data'!F140&gt;=0,'Raw Data'!F140&lt;=1),"",_xlfn.REGEXEXTRACT(CELL("address",'Raw Data'!F140),"\$([A-Z]+)\$[0-9]+"))</f>
        <v/>
      </c>
      <c r="G140" s="6" t="str" cm="1">
        <f t="array" aca="1" ref="G140" ca="1">IF(AND('Raw Data'!G140&gt;=0,'Raw Data'!G140&lt;=1),"",_xlfn.REGEXEXTRACT(CELL("address",'Raw Data'!G140),"\$([A-Z]+)\$[0-9]+"))</f>
        <v/>
      </c>
      <c r="H140" s="6" t="str" cm="1">
        <f t="array" aca="1" ref="H140" ca="1">IF(AND('Raw Data'!H140&gt;=0,'Raw Data'!H140&lt;=1),"",_xlfn.REGEXEXTRACT(CELL("address",'Raw Data'!H140),"\$([A-Z]+)\$[0-9]+"))</f>
        <v/>
      </c>
      <c r="I140" s="6" t="str" cm="1">
        <f t="array" aca="1" ref="I140" ca="1">IF(AND('Raw Data'!I140&gt;=0,'Raw Data'!I140&lt;=1),"",_xlfn.REGEXEXTRACT(CELL("address",'Raw Data'!I140),"\$([A-Z]+)\$[0-9]+"))</f>
        <v/>
      </c>
      <c r="J140" s="6" t="str" cm="1">
        <f t="array" aca="1" ref="J140" ca="1">IF(AND('Raw Data'!J140&gt;=0,'Raw Data'!J140&lt;=1),"",_xlfn.REGEXEXTRACT(CELL("address",'Raw Data'!J140),"\$([A-Z]+)\$[0-9]+"))</f>
        <v/>
      </c>
    </row>
    <row r="141" spans="2:10" x14ac:dyDescent="0.25">
      <c r="B141" s="6" t="str" cm="1">
        <f t="array" aca="1" ref="B141" ca="1">IF('Raw Data'!$B$10 = "Overall Project","",_xlfn.REGEXEXTRACT(CELL("address",'Raw Data'!B141),"\$([A-Z]+)\$[0-9]+"))</f>
        <v/>
      </c>
      <c r="C141" s="6" t="str" cm="1">
        <f t="array" aca="1" ref="C141" ca="1">IF('Raw Data'!$C$10 = "Month # 1","",_xlfn.REGEXEXTRACT(CELL("address",'Raw Data'!C141),"\$([A-Z]+)\$[0-9]+"))</f>
        <v/>
      </c>
      <c r="D141" s="6"/>
      <c r="E141" s="6" t="str" cm="1">
        <f t="array" aca="1" ref="E141" ca="1">IF(AND('Raw Data'!E141&gt;=0,'Raw Data'!E141&lt;=1),"",_xlfn.REGEXEXTRACT(CELL("address",'Raw Data'!E141),"\$([A-Z]+)\$[0-9]+"))</f>
        <v/>
      </c>
      <c r="F141" s="6" t="str" cm="1">
        <f t="array" aca="1" ref="F141" ca="1">IF(AND('Raw Data'!F141&gt;=0,'Raw Data'!F141&lt;=1),"",_xlfn.REGEXEXTRACT(CELL("address",'Raw Data'!F141),"\$([A-Z]+)\$[0-9]+"))</f>
        <v/>
      </c>
      <c r="G141" s="6" t="str" cm="1">
        <f t="array" aca="1" ref="G141" ca="1">IF(AND('Raw Data'!G141&gt;=0,'Raw Data'!G141&lt;=1),"",_xlfn.REGEXEXTRACT(CELL("address",'Raw Data'!G141),"\$([A-Z]+)\$[0-9]+"))</f>
        <v/>
      </c>
      <c r="H141" s="6" t="str" cm="1">
        <f t="array" aca="1" ref="H141" ca="1">IF(AND('Raw Data'!H141&gt;=0,'Raw Data'!H141&lt;=1),"",_xlfn.REGEXEXTRACT(CELL("address",'Raw Data'!H141),"\$([A-Z]+)\$[0-9]+"))</f>
        <v/>
      </c>
      <c r="I141" s="6" t="str" cm="1">
        <f t="array" aca="1" ref="I141" ca="1">IF(AND('Raw Data'!I141&gt;=0,'Raw Data'!I141&lt;=1),"",_xlfn.REGEXEXTRACT(CELL("address",'Raw Data'!I141),"\$([A-Z]+)\$[0-9]+"))</f>
        <v/>
      </c>
      <c r="J141" s="6" t="str" cm="1">
        <f t="array" aca="1" ref="J141" ca="1">IF(AND('Raw Data'!J141&gt;=0,'Raw Data'!J141&lt;=1),"",_xlfn.REGEXEXTRACT(CELL("address",'Raw Data'!J141),"\$([A-Z]+)\$[0-9]+"))</f>
        <v/>
      </c>
    </row>
    <row r="142" spans="2:10" x14ac:dyDescent="0.25">
      <c r="B142" s="6" t="str" cm="1">
        <f t="array" aca="1" ref="B142" ca="1">IF('Raw Data'!$B$10 = "Overall Project","",_xlfn.REGEXEXTRACT(CELL("address",'Raw Data'!B142),"\$([A-Z]+)\$[0-9]+"))</f>
        <v/>
      </c>
      <c r="C142" s="6" t="str" cm="1">
        <f t="array" aca="1" ref="C142" ca="1">IF('Raw Data'!$C$10 = "Month # 1","",_xlfn.REGEXEXTRACT(CELL("address",'Raw Data'!C142),"\$([A-Z]+)\$[0-9]+"))</f>
        <v/>
      </c>
      <c r="D142" s="6"/>
      <c r="E142" s="6" t="str" cm="1">
        <f t="array" aca="1" ref="E142" ca="1">IF(AND('Raw Data'!E142&gt;=0,'Raw Data'!E142&lt;=1),"",_xlfn.REGEXEXTRACT(CELL("address",'Raw Data'!E142),"\$([A-Z]+)\$[0-9]+"))</f>
        <v/>
      </c>
      <c r="F142" s="6" t="str" cm="1">
        <f t="array" aca="1" ref="F142" ca="1">IF(AND('Raw Data'!F142&gt;=0,'Raw Data'!F142&lt;=1),"",_xlfn.REGEXEXTRACT(CELL("address",'Raw Data'!F142),"\$([A-Z]+)\$[0-9]+"))</f>
        <v/>
      </c>
      <c r="G142" s="6" t="str" cm="1">
        <f t="array" aca="1" ref="G142" ca="1">IF(AND('Raw Data'!G142&gt;=0,'Raw Data'!G142&lt;=1),"",_xlfn.REGEXEXTRACT(CELL("address",'Raw Data'!G142),"\$([A-Z]+)\$[0-9]+"))</f>
        <v/>
      </c>
      <c r="H142" s="6" t="str" cm="1">
        <f t="array" aca="1" ref="H142" ca="1">IF(AND('Raw Data'!H142&gt;=0,'Raw Data'!H142&lt;=1),"",_xlfn.REGEXEXTRACT(CELL("address",'Raw Data'!H142),"\$([A-Z]+)\$[0-9]+"))</f>
        <v/>
      </c>
      <c r="I142" s="6" t="str" cm="1">
        <f t="array" aca="1" ref="I142" ca="1">IF(AND('Raw Data'!I142&gt;=0,'Raw Data'!I142&lt;=1),"",_xlfn.REGEXEXTRACT(CELL("address",'Raw Data'!I142),"\$([A-Z]+)\$[0-9]+"))</f>
        <v/>
      </c>
      <c r="J142" s="6" t="str" cm="1">
        <f t="array" aca="1" ref="J142" ca="1">IF(AND('Raw Data'!J142&gt;=0,'Raw Data'!J142&lt;=1),"",_xlfn.REGEXEXTRACT(CELL("address",'Raw Data'!J142),"\$([A-Z]+)\$[0-9]+"))</f>
        <v/>
      </c>
    </row>
    <row r="143" spans="2:10" x14ac:dyDescent="0.25">
      <c r="B143" s="6" t="str" cm="1">
        <f t="array" aca="1" ref="B143" ca="1">IF('Raw Data'!$B$10 = "Overall Project","",_xlfn.REGEXEXTRACT(CELL("address",'Raw Data'!B143),"\$([A-Z]+)\$[0-9]+"))</f>
        <v/>
      </c>
      <c r="C143" s="6" t="str" cm="1">
        <f t="array" aca="1" ref="C143" ca="1">IF('Raw Data'!$C$10 = "Month # 1","",_xlfn.REGEXEXTRACT(CELL("address",'Raw Data'!C143),"\$([A-Z]+)\$[0-9]+"))</f>
        <v/>
      </c>
      <c r="D143" s="6"/>
      <c r="E143" s="6" t="str" cm="1">
        <f t="array" aca="1" ref="E143" ca="1">IF(AND('Raw Data'!E143&gt;=0,'Raw Data'!E143&lt;=1),"",_xlfn.REGEXEXTRACT(CELL("address",'Raw Data'!E143),"\$([A-Z]+)\$[0-9]+"))</f>
        <v/>
      </c>
      <c r="F143" s="6" t="str" cm="1">
        <f t="array" aca="1" ref="F143" ca="1">IF(AND('Raw Data'!F143&gt;=0,'Raw Data'!F143&lt;=1),"",_xlfn.REGEXEXTRACT(CELL("address",'Raw Data'!F143),"\$([A-Z]+)\$[0-9]+"))</f>
        <v/>
      </c>
      <c r="G143" s="6" t="str" cm="1">
        <f t="array" aca="1" ref="G143" ca="1">IF(AND('Raw Data'!G143&gt;=0,'Raw Data'!G143&lt;=1),"",_xlfn.REGEXEXTRACT(CELL("address",'Raw Data'!G143),"\$([A-Z]+)\$[0-9]+"))</f>
        <v/>
      </c>
      <c r="H143" s="6" t="str" cm="1">
        <f t="array" aca="1" ref="H143" ca="1">IF(AND('Raw Data'!H143&gt;=0,'Raw Data'!H143&lt;=1),"",_xlfn.REGEXEXTRACT(CELL("address",'Raw Data'!H143),"\$([A-Z]+)\$[0-9]+"))</f>
        <v/>
      </c>
      <c r="I143" s="6" t="str" cm="1">
        <f t="array" aca="1" ref="I143" ca="1">IF(AND('Raw Data'!I143&gt;=0,'Raw Data'!I143&lt;=1),"",_xlfn.REGEXEXTRACT(CELL("address",'Raw Data'!I143),"\$([A-Z]+)\$[0-9]+"))</f>
        <v/>
      </c>
      <c r="J143" s="6" t="str" cm="1">
        <f t="array" aca="1" ref="J143" ca="1">IF(AND('Raw Data'!J143&gt;=0,'Raw Data'!J143&lt;=1),"",_xlfn.REGEXEXTRACT(CELL("address",'Raw Data'!J143),"\$([A-Z]+)\$[0-9]+"))</f>
        <v/>
      </c>
    </row>
    <row r="144" spans="2:10" x14ac:dyDescent="0.25">
      <c r="B144" s="6" t="str" cm="1">
        <f t="array" aca="1" ref="B144" ca="1">IF('Raw Data'!$B$10 = "Overall Project","",_xlfn.REGEXEXTRACT(CELL("address",'Raw Data'!B144),"\$([A-Z]+)\$[0-9]+"))</f>
        <v/>
      </c>
      <c r="C144" s="6" t="str" cm="1">
        <f t="array" aca="1" ref="C144" ca="1">IF('Raw Data'!$C$10 = "Month # 1","",_xlfn.REGEXEXTRACT(CELL("address",'Raw Data'!C144),"\$([A-Z]+)\$[0-9]+"))</f>
        <v/>
      </c>
      <c r="D144" s="6"/>
      <c r="E144" s="6" t="str" cm="1">
        <f t="array" aca="1" ref="E144" ca="1">IF(AND('Raw Data'!E144&gt;=0,'Raw Data'!E144&lt;=1),"",_xlfn.REGEXEXTRACT(CELL("address",'Raw Data'!E144),"\$([A-Z]+)\$[0-9]+"))</f>
        <v/>
      </c>
      <c r="F144" s="6" t="str" cm="1">
        <f t="array" aca="1" ref="F144" ca="1">IF(AND('Raw Data'!F144&gt;=0,'Raw Data'!F144&lt;=1),"",_xlfn.REGEXEXTRACT(CELL("address",'Raw Data'!F144),"\$([A-Z]+)\$[0-9]+"))</f>
        <v/>
      </c>
      <c r="G144" s="6" t="str" cm="1">
        <f t="array" aca="1" ref="G144" ca="1">IF(AND('Raw Data'!G144&gt;=0,'Raw Data'!G144&lt;=1),"",_xlfn.REGEXEXTRACT(CELL("address",'Raw Data'!G144),"\$([A-Z]+)\$[0-9]+"))</f>
        <v/>
      </c>
      <c r="H144" s="6" t="str" cm="1">
        <f t="array" aca="1" ref="H144" ca="1">IF(AND('Raw Data'!H144&gt;=0,'Raw Data'!H144&lt;=1),"",_xlfn.REGEXEXTRACT(CELL("address",'Raw Data'!H144),"\$([A-Z]+)\$[0-9]+"))</f>
        <v/>
      </c>
      <c r="I144" s="6" t="str" cm="1">
        <f t="array" aca="1" ref="I144" ca="1">IF(AND('Raw Data'!I144&gt;=0,'Raw Data'!I144&lt;=1),"",_xlfn.REGEXEXTRACT(CELL("address",'Raw Data'!I144),"\$([A-Z]+)\$[0-9]+"))</f>
        <v/>
      </c>
      <c r="J144" s="6" t="str" cm="1">
        <f t="array" aca="1" ref="J144" ca="1">IF(AND('Raw Data'!J144&gt;=0,'Raw Data'!J144&lt;=1),"",_xlfn.REGEXEXTRACT(CELL("address",'Raw Data'!J144),"\$([A-Z]+)\$[0-9]+"))</f>
        <v/>
      </c>
    </row>
    <row r="145" spans="2:10" x14ac:dyDescent="0.25">
      <c r="B145" s="6" t="str" cm="1">
        <f t="array" aca="1" ref="B145" ca="1">IF('Raw Data'!$B$10 = "Overall Project","",_xlfn.REGEXEXTRACT(CELL("address",'Raw Data'!B145),"\$([A-Z]+)\$[0-9]+"))</f>
        <v/>
      </c>
      <c r="C145" s="6" t="str" cm="1">
        <f t="array" aca="1" ref="C145" ca="1">IF('Raw Data'!$C$10 = "Month # 1","",_xlfn.REGEXEXTRACT(CELL("address",'Raw Data'!C145),"\$([A-Z]+)\$[0-9]+"))</f>
        <v/>
      </c>
      <c r="D145" s="6"/>
      <c r="E145" s="6" t="str" cm="1">
        <f t="array" aca="1" ref="E145" ca="1">IF(AND('Raw Data'!E145&gt;=0,'Raw Data'!E145&lt;=1),"",_xlfn.REGEXEXTRACT(CELL("address",'Raw Data'!E145),"\$([A-Z]+)\$[0-9]+"))</f>
        <v/>
      </c>
      <c r="F145" s="6" t="str" cm="1">
        <f t="array" aca="1" ref="F145" ca="1">IF(AND('Raw Data'!F145&gt;=0,'Raw Data'!F145&lt;=1),"",_xlfn.REGEXEXTRACT(CELL("address",'Raw Data'!F145),"\$([A-Z]+)\$[0-9]+"))</f>
        <v/>
      </c>
      <c r="G145" s="6" t="str" cm="1">
        <f t="array" aca="1" ref="G145" ca="1">IF(AND('Raw Data'!G145&gt;=0,'Raw Data'!G145&lt;=1),"",_xlfn.REGEXEXTRACT(CELL("address",'Raw Data'!G145),"\$([A-Z]+)\$[0-9]+"))</f>
        <v/>
      </c>
      <c r="H145" s="6" t="str" cm="1">
        <f t="array" aca="1" ref="H145" ca="1">IF(AND('Raw Data'!H145&gt;=0,'Raw Data'!H145&lt;=1),"",_xlfn.REGEXEXTRACT(CELL("address",'Raw Data'!H145),"\$([A-Z]+)\$[0-9]+"))</f>
        <v/>
      </c>
      <c r="I145" s="6" t="str" cm="1">
        <f t="array" aca="1" ref="I145" ca="1">IF(AND('Raw Data'!I145&gt;=0,'Raw Data'!I145&lt;=1),"",_xlfn.REGEXEXTRACT(CELL("address",'Raw Data'!I145),"\$([A-Z]+)\$[0-9]+"))</f>
        <v/>
      </c>
      <c r="J145" s="6" t="str" cm="1">
        <f t="array" aca="1" ref="J145" ca="1">IF(AND('Raw Data'!J145&gt;=0,'Raw Data'!J145&lt;=1),"",_xlfn.REGEXEXTRACT(CELL("address",'Raw Data'!J145),"\$([A-Z]+)\$[0-9]+"))</f>
        <v/>
      </c>
    </row>
    <row r="146" spans="2:10" x14ac:dyDescent="0.25">
      <c r="B146" s="6" t="str" cm="1">
        <f t="array" aca="1" ref="B146" ca="1">IF('Raw Data'!$B$10 = "Overall Project","",_xlfn.REGEXEXTRACT(CELL("address",'Raw Data'!B146),"\$([A-Z]+)\$[0-9]+"))</f>
        <v/>
      </c>
      <c r="C146" s="6" t="str" cm="1">
        <f t="array" aca="1" ref="C146" ca="1">IF('Raw Data'!$C$10 = "Month # 1","",_xlfn.REGEXEXTRACT(CELL("address",'Raw Data'!C146),"\$([A-Z]+)\$[0-9]+"))</f>
        <v/>
      </c>
      <c r="D146" s="6"/>
      <c r="E146" s="6" t="str" cm="1">
        <f t="array" aca="1" ref="E146" ca="1">IF(AND('Raw Data'!E146&gt;=0,'Raw Data'!E146&lt;=1),"",_xlfn.REGEXEXTRACT(CELL("address",'Raw Data'!E146),"\$([A-Z]+)\$[0-9]+"))</f>
        <v/>
      </c>
      <c r="F146" s="6" t="str" cm="1">
        <f t="array" aca="1" ref="F146" ca="1">IF(AND('Raw Data'!F146&gt;=0,'Raw Data'!F146&lt;=1),"",_xlfn.REGEXEXTRACT(CELL("address",'Raw Data'!F146),"\$([A-Z]+)\$[0-9]+"))</f>
        <v/>
      </c>
      <c r="G146" s="6" t="str" cm="1">
        <f t="array" aca="1" ref="G146" ca="1">IF(AND('Raw Data'!G146&gt;=0,'Raw Data'!G146&lt;=1),"",_xlfn.REGEXEXTRACT(CELL("address",'Raw Data'!G146),"\$([A-Z]+)\$[0-9]+"))</f>
        <v/>
      </c>
      <c r="H146" s="6" t="str" cm="1">
        <f t="array" aca="1" ref="H146" ca="1">IF(AND('Raw Data'!H146&gt;=0,'Raw Data'!H146&lt;=1),"",_xlfn.REGEXEXTRACT(CELL("address",'Raw Data'!H146),"\$([A-Z]+)\$[0-9]+"))</f>
        <v/>
      </c>
      <c r="I146" s="6" t="str" cm="1">
        <f t="array" aca="1" ref="I146" ca="1">IF(AND('Raw Data'!I146&gt;=0,'Raw Data'!I146&lt;=1),"",_xlfn.REGEXEXTRACT(CELL("address",'Raw Data'!I146),"\$([A-Z]+)\$[0-9]+"))</f>
        <v/>
      </c>
      <c r="J146" s="6" t="str" cm="1">
        <f t="array" aca="1" ref="J146" ca="1">IF(AND('Raw Data'!J146&gt;=0,'Raw Data'!J146&lt;=1),"",_xlfn.REGEXEXTRACT(CELL("address",'Raw Data'!J146),"\$([A-Z]+)\$[0-9]+"))</f>
        <v/>
      </c>
    </row>
    <row r="147" spans="2:10" x14ac:dyDescent="0.25">
      <c r="B147" s="6" t="str" cm="1">
        <f t="array" aca="1" ref="B147" ca="1">IF('Raw Data'!$B$10 = "Overall Project","",_xlfn.REGEXEXTRACT(CELL("address",'Raw Data'!B147),"\$([A-Z]+)\$[0-9]+"))</f>
        <v/>
      </c>
      <c r="C147" s="6" t="str" cm="1">
        <f t="array" aca="1" ref="C147" ca="1">IF('Raw Data'!$C$10 = "Month # 1","",_xlfn.REGEXEXTRACT(CELL("address",'Raw Data'!C147),"\$([A-Z]+)\$[0-9]+"))</f>
        <v/>
      </c>
      <c r="D147" s="6"/>
      <c r="E147" s="6" t="str" cm="1">
        <f t="array" aca="1" ref="E147" ca="1">IF(AND('Raw Data'!E147&gt;=0,'Raw Data'!E147&lt;=1),"",_xlfn.REGEXEXTRACT(CELL("address",'Raw Data'!E147),"\$([A-Z]+)\$[0-9]+"))</f>
        <v/>
      </c>
      <c r="F147" s="6" t="str" cm="1">
        <f t="array" aca="1" ref="F147" ca="1">IF(AND('Raw Data'!F147&gt;=0,'Raw Data'!F147&lt;=1),"",_xlfn.REGEXEXTRACT(CELL("address",'Raw Data'!F147),"\$([A-Z]+)\$[0-9]+"))</f>
        <v/>
      </c>
      <c r="G147" s="6" t="str" cm="1">
        <f t="array" aca="1" ref="G147" ca="1">IF(AND('Raw Data'!G147&gt;=0,'Raw Data'!G147&lt;=1),"",_xlfn.REGEXEXTRACT(CELL("address",'Raw Data'!G147),"\$([A-Z]+)\$[0-9]+"))</f>
        <v/>
      </c>
      <c r="H147" s="6" t="str" cm="1">
        <f t="array" aca="1" ref="H147" ca="1">IF(AND('Raw Data'!H147&gt;=0,'Raw Data'!H147&lt;=1),"",_xlfn.REGEXEXTRACT(CELL("address",'Raw Data'!H147),"\$([A-Z]+)\$[0-9]+"))</f>
        <v/>
      </c>
      <c r="I147" s="6" t="str" cm="1">
        <f t="array" aca="1" ref="I147" ca="1">IF(AND('Raw Data'!I147&gt;=0,'Raw Data'!I147&lt;=1),"",_xlfn.REGEXEXTRACT(CELL("address",'Raw Data'!I147),"\$([A-Z]+)\$[0-9]+"))</f>
        <v/>
      </c>
      <c r="J147" s="6" t="str" cm="1">
        <f t="array" aca="1" ref="J147" ca="1">IF(AND('Raw Data'!J147&gt;=0,'Raw Data'!J147&lt;=1),"",_xlfn.REGEXEXTRACT(CELL("address",'Raw Data'!J147),"\$([A-Z]+)\$[0-9]+"))</f>
        <v/>
      </c>
    </row>
    <row r="148" spans="2:10" x14ac:dyDescent="0.25">
      <c r="B148" s="6" t="str" cm="1">
        <f t="array" aca="1" ref="B148" ca="1">IF('Raw Data'!$B$10 = "Overall Project","",_xlfn.REGEXEXTRACT(CELL("address",'Raw Data'!B148),"\$([A-Z]+)\$[0-9]+"))</f>
        <v/>
      </c>
      <c r="C148" s="6" t="str" cm="1">
        <f t="array" aca="1" ref="C148" ca="1">IF('Raw Data'!$C$10 = "Month # 1","",_xlfn.REGEXEXTRACT(CELL("address",'Raw Data'!C148),"\$([A-Z]+)\$[0-9]+"))</f>
        <v/>
      </c>
      <c r="D148" s="6"/>
      <c r="E148" s="6" t="str" cm="1">
        <f t="array" aca="1" ref="E148" ca="1">IF(AND('Raw Data'!E148&gt;=0,'Raw Data'!E148&lt;=1),"",_xlfn.REGEXEXTRACT(CELL("address",'Raw Data'!E148),"\$([A-Z]+)\$[0-9]+"))</f>
        <v/>
      </c>
      <c r="F148" s="6" t="str" cm="1">
        <f t="array" aca="1" ref="F148" ca="1">IF(AND('Raw Data'!F148&gt;=0,'Raw Data'!F148&lt;=1),"",_xlfn.REGEXEXTRACT(CELL("address",'Raw Data'!F148),"\$([A-Z]+)\$[0-9]+"))</f>
        <v/>
      </c>
      <c r="G148" s="6" t="str" cm="1">
        <f t="array" aca="1" ref="G148" ca="1">IF(AND('Raw Data'!G148&gt;=0,'Raw Data'!G148&lt;=1),"",_xlfn.REGEXEXTRACT(CELL("address",'Raw Data'!G148),"\$([A-Z]+)\$[0-9]+"))</f>
        <v/>
      </c>
      <c r="H148" s="6" t="str" cm="1">
        <f t="array" aca="1" ref="H148" ca="1">IF(AND('Raw Data'!H148&gt;=0,'Raw Data'!H148&lt;=1),"",_xlfn.REGEXEXTRACT(CELL("address",'Raw Data'!H148),"\$([A-Z]+)\$[0-9]+"))</f>
        <v/>
      </c>
      <c r="I148" s="6" t="str" cm="1">
        <f t="array" aca="1" ref="I148" ca="1">IF(AND('Raw Data'!I148&gt;=0,'Raw Data'!I148&lt;=1),"",_xlfn.REGEXEXTRACT(CELL("address",'Raw Data'!I148),"\$([A-Z]+)\$[0-9]+"))</f>
        <v/>
      </c>
      <c r="J148" s="6" t="str" cm="1">
        <f t="array" aca="1" ref="J148" ca="1">IF(AND('Raw Data'!J148&gt;=0,'Raw Data'!J148&lt;=1),"",_xlfn.REGEXEXTRACT(CELL("address",'Raw Data'!J148),"\$([A-Z]+)\$[0-9]+"))</f>
        <v/>
      </c>
    </row>
    <row r="149" spans="2:10" x14ac:dyDescent="0.25">
      <c r="B149" s="6" t="str" cm="1">
        <f t="array" aca="1" ref="B149" ca="1">IF('Raw Data'!$B$10 = "Overall Project","",_xlfn.REGEXEXTRACT(CELL("address",'Raw Data'!B149),"\$([A-Z]+)\$[0-9]+"))</f>
        <v/>
      </c>
      <c r="C149" s="6" t="str" cm="1">
        <f t="array" aca="1" ref="C149" ca="1">IF('Raw Data'!$C$10 = "Month # 1","",_xlfn.REGEXEXTRACT(CELL("address",'Raw Data'!C149),"\$([A-Z]+)\$[0-9]+"))</f>
        <v/>
      </c>
      <c r="D149" s="6"/>
      <c r="E149" s="6" t="str" cm="1">
        <f t="array" aca="1" ref="E149" ca="1">IF(AND('Raw Data'!E149&gt;=0,'Raw Data'!E149&lt;=1),"",_xlfn.REGEXEXTRACT(CELL("address",'Raw Data'!E149),"\$([A-Z]+)\$[0-9]+"))</f>
        <v/>
      </c>
      <c r="F149" s="6" t="str" cm="1">
        <f t="array" aca="1" ref="F149" ca="1">IF(AND('Raw Data'!F149&gt;=0,'Raw Data'!F149&lt;=1),"",_xlfn.REGEXEXTRACT(CELL("address",'Raw Data'!F149),"\$([A-Z]+)\$[0-9]+"))</f>
        <v/>
      </c>
      <c r="G149" s="6" t="str" cm="1">
        <f t="array" aca="1" ref="G149" ca="1">IF(AND('Raw Data'!G149&gt;=0,'Raw Data'!G149&lt;=1),"",_xlfn.REGEXEXTRACT(CELL("address",'Raw Data'!G149),"\$([A-Z]+)\$[0-9]+"))</f>
        <v/>
      </c>
      <c r="H149" s="6" t="str" cm="1">
        <f t="array" aca="1" ref="H149" ca="1">IF(AND('Raw Data'!H149&gt;=0,'Raw Data'!H149&lt;=1),"",_xlfn.REGEXEXTRACT(CELL("address",'Raw Data'!H149),"\$([A-Z]+)\$[0-9]+"))</f>
        <v/>
      </c>
      <c r="I149" s="6" t="str" cm="1">
        <f t="array" aca="1" ref="I149" ca="1">IF(AND('Raw Data'!I149&gt;=0,'Raw Data'!I149&lt;=1),"",_xlfn.REGEXEXTRACT(CELL("address",'Raw Data'!I149),"\$([A-Z]+)\$[0-9]+"))</f>
        <v/>
      </c>
      <c r="J149" s="6" t="str" cm="1">
        <f t="array" aca="1" ref="J149" ca="1">IF(AND('Raw Data'!J149&gt;=0,'Raw Data'!J149&lt;=1),"",_xlfn.REGEXEXTRACT(CELL("address",'Raw Data'!J149),"\$([A-Z]+)\$[0-9]+"))</f>
        <v/>
      </c>
    </row>
    <row r="150" spans="2:10" x14ac:dyDescent="0.25">
      <c r="B150" s="6" t="str" cm="1">
        <f t="array" aca="1" ref="B150" ca="1">IF('Raw Data'!$B$10 = "Overall Project","",_xlfn.REGEXEXTRACT(CELL("address",'Raw Data'!B150),"\$([A-Z]+)\$[0-9]+"))</f>
        <v/>
      </c>
      <c r="C150" s="6" t="str" cm="1">
        <f t="array" aca="1" ref="C150" ca="1">IF('Raw Data'!$C$10 = "Month # 1","",_xlfn.REGEXEXTRACT(CELL("address",'Raw Data'!C150),"\$([A-Z]+)\$[0-9]+"))</f>
        <v/>
      </c>
      <c r="D150" s="6"/>
      <c r="E150" s="6" t="str" cm="1">
        <f t="array" aca="1" ref="E150" ca="1">IF(AND('Raw Data'!E150&gt;=0,'Raw Data'!E150&lt;=1),"",_xlfn.REGEXEXTRACT(CELL("address",'Raw Data'!E150),"\$([A-Z]+)\$[0-9]+"))</f>
        <v/>
      </c>
      <c r="F150" s="6" t="str" cm="1">
        <f t="array" aca="1" ref="F150" ca="1">IF(AND('Raw Data'!F150&gt;=0,'Raw Data'!F150&lt;=1),"",_xlfn.REGEXEXTRACT(CELL("address",'Raw Data'!F150),"\$([A-Z]+)\$[0-9]+"))</f>
        <v/>
      </c>
      <c r="G150" s="6" t="str" cm="1">
        <f t="array" aca="1" ref="G150" ca="1">IF(AND('Raw Data'!G150&gt;=0,'Raw Data'!G150&lt;=1),"",_xlfn.REGEXEXTRACT(CELL("address",'Raw Data'!G150),"\$([A-Z]+)\$[0-9]+"))</f>
        <v/>
      </c>
      <c r="H150" s="6" t="str" cm="1">
        <f t="array" aca="1" ref="H150" ca="1">IF(AND('Raw Data'!H150&gt;=0,'Raw Data'!H150&lt;=1),"",_xlfn.REGEXEXTRACT(CELL("address",'Raw Data'!H150),"\$([A-Z]+)\$[0-9]+"))</f>
        <v/>
      </c>
      <c r="I150" s="6" t="str" cm="1">
        <f t="array" aca="1" ref="I150" ca="1">IF(AND('Raw Data'!I150&gt;=0,'Raw Data'!I150&lt;=1),"",_xlfn.REGEXEXTRACT(CELL("address",'Raw Data'!I150),"\$([A-Z]+)\$[0-9]+"))</f>
        <v/>
      </c>
      <c r="J150" s="6" t="str" cm="1">
        <f t="array" aca="1" ref="J150" ca="1">IF(AND('Raw Data'!J150&gt;=0,'Raw Data'!J150&lt;=1),"",_xlfn.REGEXEXTRACT(CELL("address",'Raw Data'!J150),"\$([A-Z]+)\$[0-9]+"))</f>
        <v/>
      </c>
    </row>
    <row r="151" spans="2:10" x14ac:dyDescent="0.25">
      <c r="B151" s="6" t="str" cm="1">
        <f t="array" aca="1" ref="B151" ca="1">IF('Raw Data'!$B$10 = "Overall Project","",_xlfn.REGEXEXTRACT(CELL("address",'Raw Data'!B151),"\$([A-Z]+)\$[0-9]+"))</f>
        <v/>
      </c>
      <c r="C151" s="6" t="str" cm="1">
        <f t="array" aca="1" ref="C151" ca="1">IF('Raw Data'!$C$10 = "Month # 1","",_xlfn.REGEXEXTRACT(CELL("address",'Raw Data'!C151),"\$([A-Z]+)\$[0-9]+"))</f>
        <v/>
      </c>
      <c r="D151" s="6"/>
      <c r="E151" s="6" t="str" cm="1">
        <f t="array" aca="1" ref="E151" ca="1">IF(AND('Raw Data'!E151&gt;=0,'Raw Data'!E151&lt;=1),"",_xlfn.REGEXEXTRACT(CELL("address",'Raw Data'!E151),"\$([A-Z]+)\$[0-9]+"))</f>
        <v/>
      </c>
      <c r="F151" s="6" t="str" cm="1">
        <f t="array" aca="1" ref="F151" ca="1">IF(AND('Raw Data'!F151&gt;=0,'Raw Data'!F151&lt;=1),"",_xlfn.REGEXEXTRACT(CELL("address",'Raw Data'!F151),"\$([A-Z]+)\$[0-9]+"))</f>
        <v/>
      </c>
      <c r="G151" s="6" t="str" cm="1">
        <f t="array" aca="1" ref="G151" ca="1">IF(AND('Raw Data'!G151&gt;=0,'Raw Data'!G151&lt;=1),"",_xlfn.REGEXEXTRACT(CELL("address",'Raw Data'!G151),"\$([A-Z]+)\$[0-9]+"))</f>
        <v/>
      </c>
      <c r="H151" s="6" t="str" cm="1">
        <f t="array" aca="1" ref="H151" ca="1">IF(AND('Raw Data'!H151&gt;=0,'Raw Data'!H151&lt;=1),"",_xlfn.REGEXEXTRACT(CELL("address",'Raw Data'!H151),"\$([A-Z]+)\$[0-9]+"))</f>
        <v/>
      </c>
      <c r="I151" s="6" t="str" cm="1">
        <f t="array" aca="1" ref="I151" ca="1">IF(AND('Raw Data'!I151&gt;=0,'Raw Data'!I151&lt;=1),"",_xlfn.REGEXEXTRACT(CELL("address",'Raw Data'!I151),"\$([A-Z]+)\$[0-9]+"))</f>
        <v/>
      </c>
      <c r="J151" s="6" t="str" cm="1">
        <f t="array" aca="1" ref="J151" ca="1">IF(AND('Raw Data'!J151&gt;=0,'Raw Data'!J151&lt;=1),"",_xlfn.REGEXEXTRACT(CELL("address",'Raw Data'!J151),"\$([A-Z]+)\$[0-9]+"))</f>
        <v/>
      </c>
    </row>
    <row r="152" spans="2:10" x14ac:dyDescent="0.25">
      <c r="B152" s="6" t="str" cm="1">
        <f t="array" aca="1" ref="B152" ca="1">IF('Raw Data'!$B$10 = "Overall Project","",_xlfn.REGEXEXTRACT(CELL("address",'Raw Data'!B152),"\$([A-Z]+)\$[0-9]+"))</f>
        <v/>
      </c>
      <c r="C152" s="6" t="str" cm="1">
        <f t="array" aca="1" ref="C152" ca="1">IF('Raw Data'!$C$10 = "Month # 1","",_xlfn.REGEXEXTRACT(CELL("address",'Raw Data'!C152),"\$([A-Z]+)\$[0-9]+"))</f>
        <v/>
      </c>
      <c r="D152" s="6"/>
      <c r="E152" s="6" t="str" cm="1">
        <f t="array" aca="1" ref="E152" ca="1">IF(AND('Raw Data'!E152&gt;=0,'Raw Data'!E152&lt;=1),"",_xlfn.REGEXEXTRACT(CELL("address",'Raw Data'!E152),"\$([A-Z]+)\$[0-9]+"))</f>
        <v/>
      </c>
      <c r="F152" s="6" t="str" cm="1">
        <f t="array" aca="1" ref="F152" ca="1">IF(AND('Raw Data'!F152&gt;=0,'Raw Data'!F152&lt;=1),"",_xlfn.REGEXEXTRACT(CELL("address",'Raw Data'!F152),"\$([A-Z]+)\$[0-9]+"))</f>
        <v/>
      </c>
      <c r="G152" s="6" t="str" cm="1">
        <f t="array" aca="1" ref="G152" ca="1">IF(AND('Raw Data'!G152&gt;=0,'Raw Data'!G152&lt;=1),"",_xlfn.REGEXEXTRACT(CELL("address",'Raw Data'!G152),"\$([A-Z]+)\$[0-9]+"))</f>
        <v/>
      </c>
      <c r="H152" s="6" t="str" cm="1">
        <f t="array" aca="1" ref="H152" ca="1">IF(AND('Raw Data'!H152&gt;=0,'Raw Data'!H152&lt;=1),"",_xlfn.REGEXEXTRACT(CELL("address",'Raw Data'!H152),"\$([A-Z]+)\$[0-9]+"))</f>
        <v/>
      </c>
      <c r="I152" s="6" t="str" cm="1">
        <f t="array" aca="1" ref="I152" ca="1">IF(AND('Raw Data'!I152&gt;=0,'Raw Data'!I152&lt;=1),"",_xlfn.REGEXEXTRACT(CELL("address",'Raw Data'!I152),"\$([A-Z]+)\$[0-9]+"))</f>
        <v/>
      </c>
      <c r="J152" s="6" t="str" cm="1">
        <f t="array" aca="1" ref="J152" ca="1">IF(AND('Raw Data'!J152&gt;=0,'Raw Data'!J152&lt;=1),"",_xlfn.REGEXEXTRACT(CELL("address",'Raw Data'!J152),"\$([A-Z]+)\$[0-9]+"))</f>
        <v/>
      </c>
    </row>
    <row r="153" spans="2:10" x14ac:dyDescent="0.25">
      <c r="B153" s="6" t="str" cm="1">
        <f t="array" aca="1" ref="B153" ca="1">IF('Raw Data'!$B$10 = "Overall Project","",_xlfn.REGEXEXTRACT(CELL("address",'Raw Data'!B153),"\$([A-Z]+)\$[0-9]+"))</f>
        <v/>
      </c>
      <c r="C153" s="6" t="str" cm="1">
        <f t="array" aca="1" ref="C153" ca="1">IF('Raw Data'!$C$10 = "Month # 1","",_xlfn.REGEXEXTRACT(CELL("address",'Raw Data'!C153),"\$([A-Z]+)\$[0-9]+"))</f>
        <v/>
      </c>
      <c r="D153" s="6"/>
      <c r="E153" s="6" t="str" cm="1">
        <f t="array" aca="1" ref="E153" ca="1">IF(AND('Raw Data'!E153&gt;=0,'Raw Data'!E153&lt;=1),"",_xlfn.REGEXEXTRACT(CELL("address",'Raw Data'!E153),"\$([A-Z]+)\$[0-9]+"))</f>
        <v/>
      </c>
      <c r="F153" s="6" t="str" cm="1">
        <f t="array" aca="1" ref="F153" ca="1">IF(AND('Raw Data'!F153&gt;=0,'Raw Data'!F153&lt;=1),"",_xlfn.REGEXEXTRACT(CELL("address",'Raw Data'!F153),"\$([A-Z]+)\$[0-9]+"))</f>
        <v/>
      </c>
      <c r="G153" s="6" t="str" cm="1">
        <f t="array" aca="1" ref="G153" ca="1">IF(AND('Raw Data'!G153&gt;=0,'Raw Data'!G153&lt;=1),"",_xlfn.REGEXEXTRACT(CELL("address",'Raw Data'!G153),"\$([A-Z]+)\$[0-9]+"))</f>
        <v/>
      </c>
      <c r="H153" s="6" t="str" cm="1">
        <f t="array" aca="1" ref="H153" ca="1">IF(AND('Raw Data'!H153&gt;=0,'Raw Data'!H153&lt;=1),"",_xlfn.REGEXEXTRACT(CELL("address",'Raw Data'!H153),"\$([A-Z]+)\$[0-9]+"))</f>
        <v/>
      </c>
      <c r="I153" s="6" t="str" cm="1">
        <f t="array" aca="1" ref="I153" ca="1">IF(AND('Raw Data'!I153&gt;=0,'Raw Data'!I153&lt;=1),"",_xlfn.REGEXEXTRACT(CELL("address",'Raw Data'!I153),"\$([A-Z]+)\$[0-9]+"))</f>
        <v/>
      </c>
      <c r="J153" s="6" t="str" cm="1">
        <f t="array" aca="1" ref="J153" ca="1">IF(AND('Raw Data'!J153&gt;=0,'Raw Data'!J153&lt;=1),"",_xlfn.REGEXEXTRACT(CELL("address",'Raw Data'!J153),"\$([A-Z]+)\$[0-9]+"))</f>
        <v/>
      </c>
    </row>
    <row r="154" spans="2:10" x14ac:dyDescent="0.25">
      <c r="B154" s="6" t="str" cm="1">
        <f t="array" aca="1" ref="B154" ca="1">IF('Raw Data'!$B$10 = "Overall Project","",_xlfn.REGEXEXTRACT(CELL("address",'Raw Data'!B154),"\$([A-Z]+)\$[0-9]+"))</f>
        <v/>
      </c>
      <c r="C154" s="6" t="str" cm="1">
        <f t="array" aca="1" ref="C154" ca="1">IF('Raw Data'!$C$10 = "Month # 1","",_xlfn.REGEXEXTRACT(CELL("address",'Raw Data'!C154),"\$([A-Z]+)\$[0-9]+"))</f>
        <v/>
      </c>
      <c r="D154" s="6"/>
      <c r="E154" s="6" t="str" cm="1">
        <f t="array" aca="1" ref="E154" ca="1">IF(AND('Raw Data'!E154&gt;=0,'Raw Data'!E154&lt;=1),"",_xlfn.REGEXEXTRACT(CELL("address",'Raw Data'!E154),"\$([A-Z]+)\$[0-9]+"))</f>
        <v/>
      </c>
      <c r="F154" s="6" t="str" cm="1">
        <f t="array" aca="1" ref="F154" ca="1">IF(AND('Raw Data'!F154&gt;=0,'Raw Data'!F154&lt;=1),"",_xlfn.REGEXEXTRACT(CELL("address",'Raw Data'!F154),"\$([A-Z]+)\$[0-9]+"))</f>
        <v/>
      </c>
      <c r="G154" s="6" t="str" cm="1">
        <f t="array" aca="1" ref="G154" ca="1">IF(AND('Raw Data'!G154&gt;=0,'Raw Data'!G154&lt;=1),"",_xlfn.REGEXEXTRACT(CELL("address",'Raw Data'!G154),"\$([A-Z]+)\$[0-9]+"))</f>
        <v/>
      </c>
      <c r="H154" s="6" t="str" cm="1">
        <f t="array" aca="1" ref="H154" ca="1">IF(AND('Raw Data'!H154&gt;=0,'Raw Data'!H154&lt;=1),"",_xlfn.REGEXEXTRACT(CELL("address",'Raw Data'!H154),"\$([A-Z]+)\$[0-9]+"))</f>
        <v/>
      </c>
      <c r="I154" s="6" t="str" cm="1">
        <f t="array" aca="1" ref="I154" ca="1">IF(AND('Raw Data'!I154&gt;=0,'Raw Data'!I154&lt;=1),"",_xlfn.REGEXEXTRACT(CELL("address",'Raw Data'!I154),"\$([A-Z]+)\$[0-9]+"))</f>
        <v/>
      </c>
      <c r="J154" s="6" t="str" cm="1">
        <f t="array" aca="1" ref="J154" ca="1">IF(AND('Raw Data'!J154&gt;=0,'Raw Data'!J154&lt;=1),"",_xlfn.REGEXEXTRACT(CELL("address",'Raw Data'!J154),"\$([A-Z]+)\$[0-9]+"))</f>
        <v/>
      </c>
    </row>
    <row r="155" spans="2:10" x14ac:dyDescent="0.25">
      <c r="B155" s="6" t="str" cm="1">
        <f t="array" aca="1" ref="B155" ca="1">IF('Raw Data'!$B$10 = "Overall Project","",_xlfn.REGEXEXTRACT(CELL("address",'Raw Data'!B155),"\$([A-Z]+)\$[0-9]+"))</f>
        <v/>
      </c>
      <c r="C155" s="6" t="str" cm="1">
        <f t="array" aca="1" ref="C155" ca="1">IF('Raw Data'!$C$10 = "Month # 1","",_xlfn.REGEXEXTRACT(CELL("address",'Raw Data'!C155),"\$([A-Z]+)\$[0-9]+"))</f>
        <v/>
      </c>
      <c r="D155" s="6"/>
      <c r="E155" s="6" t="str" cm="1">
        <f t="array" aca="1" ref="E155" ca="1">IF(AND('Raw Data'!E155&gt;=0,'Raw Data'!E155&lt;=1),"",_xlfn.REGEXEXTRACT(CELL("address",'Raw Data'!E155),"\$([A-Z]+)\$[0-9]+"))</f>
        <v/>
      </c>
      <c r="F155" s="6" t="str" cm="1">
        <f t="array" aca="1" ref="F155" ca="1">IF(AND('Raw Data'!F155&gt;=0,'Raw Data'!F155&lt;=1),"",_xlfn.REGEXEXTRACT(CELL("address",'Raw Data'!F155),"\$([A-Z]+)\$[0-9]+"))</f>
        <v/>
      </c>
      <c r="G155" s="6" t="str" cm="1">
        <f t="array" aca="1" ref="G155" ca="1">IF(AND('Raw Data'!G155&gt;=0,'Raw Data'!G155&lt;=1),"",_xlfn.REGEXEXTRACT(CELL("address",'Raw Data'!G155),"\$([A-Z]+)\$[0-9]+"))</f>
        <v/>
      </c>
      <c r="H155" s="6" t="str" cm="1">
        <f t="array" aca="1" ref="H155" ca="1">IF(AND('Raw Data'!H155&gt;=0,'Raw Data'!H155&lt;=1),"",_xlfn.REGEXEXTRACT(CELL("address",'Raw Data'!H155),"\$([A-Z]+)\$[0-9]+"))</f>
        <v/>
      </c>
      <c r="I155" s="6" t="str" cm="1">
        <f t="array" aca="1" ref="I155" ca="1">IF(AND('Raw Data'!I155&gt;=0,'Raw Data'!I155&lt;=1),"",_xlfn.REGEXEXTRACT(CELL("address",'Raw Data'!I155),"\$([A-Z]+)\$[0-9]+"))</f>
        <v/>
      </c>
      <c r="J155" s="6" t="str" cm="1">
        <f t="array" aca="1" ref="J155" ca="1">IF(AND('Raw Data'!J155&gt;=0,'Raw Data'!J155&lt;=1),"",_xlfn.REGEXEXTRACT(CELL("address",'Raw Data'!J155),"\$([A-Z]+)\$[0-9]+"))</f>
        <v/>
      </c>
    </row>
    <row r="156" spans="2:10" x14ac:dyDescent="0.25">
      <c r="B156" s="6" t="str" cm="1">
        <f t="array" aca="1" ref="B156" ca="1">IF('Raw Data'!$B$10 = "Overall Project","",_xlfn.REGEXEXTRACT(CELL("address",'Raw Data'!B156),"\$([A-Z]+)\$[0-9]+"))</f>
        <v/>
      </c>
      <c r="C156" s="6" t="str" cm="1">
        <f t="array" aca="1" ref="C156" ca="1">IF('Raw Data'!$C$10 = "Month # 1","",_xlfn.REGEXEXTRACT(CELL("address",'Raw Data'!C156),"\$([A-Z]+)\$[0-9]+"))</f>
        <v/>
      </c>
      <c r="D156" s="6"/>
      <c r="E156" s="6" t="str" cm="1">
        <f t="array" aca="1" ref="E156" ca="1">IF(AND('Raw Data'!E156&gt;=0,'Raw Data'!E156&lt;=1),"",_xlfn.REGEXEXTRACT(CELL("address",'Raw Data'!E156),"\$([A-Z]+)\$[0-9]+"))</f>
        <v/>
      </c>
      <c r="F156" s="6" t="str" cm="1">
        <f t="array" aca="1" ref="F156" ca="1">IF(AND('Raw Data'!F156&gt;=0,'Raw Data'!F156&lt;=1),"",_xlfn.REGEXEXTRACT(CELL("address",'Raw Data'!F156),"\$([A-Z]+)\$[0-9]+"))</f>
        <v/>
      </c>
      <c r="G156" s="6" t="str" cm="1">
        <f t="array" aca="1" ref="G156" ca="1">IF(AND('Raw Data'!G156&gt;=0,'Raw Data'!G156&lt;=1),"",_xlfn.REGEXEXTRACT(CELL("address",'Raw Data'!G156),"\$([A-Z]+)\$[0-9]+"))</f>
        <v/>
      </c>
      <c r="H156" s="6" t="str" cm="1">
        <f t="array" aca="1" ref="H156" ca="1">IF(AND('Raw Data'!H156&gt;=0,'Raw Data'!H156&lt;=1),"",_xlfn.REGEXEXTRACT(CELL("address",'Raw Data'!H156),"\$([A-Z]+)\$[0-9]+"))</f>
        <v/>
      </c>
      <c r="I156" s="6" t="str" cm="1">
        <f t="array" aca="1" ref="I156" ca="1">IF(AND('Raw Data'!I156&gt;=0,'Raw Data'!I156&lt;=1),"",_xlfn.REGEXEXTRACT(CELL("address",'Raw Data'!I156),"\$([A-Z]+)\$[0-9]+"))</f>
        <v/>
      </c>
      <c r="J156" s="6" t="str" cm="1">
        <f t="array" aca="1" ref="J156" ca="1">IF(AND('Raw Data'!J156&gt;=0,'Raw Data'!J156&lt;=1),"",_xlfn.REGEXEXTRACT(CELL("address",'Raw Data'!J156),"\$([A-Z]+)\$[0-9]+"))</f>
        <v/>
      </c>
    </row>
    <row r="157" spans="2:10" x14ac:dyDescent="0.25">
      <c r="B157" s="6" t="str" cm="1">
        <f t="array" aca="1" ref="B157" ca="1">IF('Raw Data'!$B$10 = "Overall Project","",_xlfn.REGEXEXTRACT(CELL("address",'Raw Data'!B157),"\$([A-Z]+)\$[0-9]+"))</f>
        <v/>
      </c>
      <c r="C157" s="6" t="str" cm="1">
        <f t="array" aca="1" ref="C157" ca="1">IF('Raw Data'!$C$10 = "Month # 1","",_xlfn.REGEXEXTRACT(CELL("address",'Raw Data'!C157),"\$([A-Z]+)\$[0-9]+"))</f>
        <v/>
      </c>
      <c r="D157" s="6"/>
      <c r="E157" s="6" t="str" cm="1">
        <f t="array" aca="1" ref="E157" ca="1">IF(AND('Raw Data'!E157&gt;=0,'Raw Data'!E157&lt;=1),"",_xlfn.REGEXEXTRACT(CELL("address",'Raw Data'!E157),"\$([A-Z]+)\$[0-9]+"))</f>
        <v/>
      </c>
      <c r="F157" s="6" t="str" cm="1">
        <f t="array" aca="1" ref="F157" ca="1">IF(AND('Raw Data'!F157&gt;=0,'Raw Data'!F157&lt;=1),"",_xlfn.REGEXEXTRACT(CELL("address",'Raw Data'!F157),"\$([A-Z]+)\$[0-9]+"))</f>
        <v/>
      </c>
      <c r="G157" s="6" t="str" cm="1">
        <f t="array" aca="1" ref="G157" ca="1">IF(AND('Raw Data'!G157&gt;=0,'Raw Data'!G157&lt;=1),"",_xlfn.REGEXEXTRACT(CELL("address",'Raw Data'!G157),"\$([A-Z]+)\$[0-9]+"))</f>
        <v/>
      </c>
      <c r="H157" s="6" t="str" cm="1">
        <f t="array" aca="1" ref="H157" ca="1">IF(AND('Raw Data'!H157&gt;=0,'Raw Data'!H157&lt;=1),"",_xlfn.REGEXEXTRACT(CELL("address",'Raw Data'!H157),"\$([A-Z]+)\$[0-9]+"))</f>
        <v/>
      </c>
      <c r="I157" s="6" t="str" cm="1">
        <f t="array" aca="1" ref="I157" ca="1">IF(AND('Raw Data'!I157&gt;=0,'Raw Data'!I157&lt;=1),"",_xlfn.REGEXEXTRACT(CELL("address",'Raw Data'!I157),"\$([A-Z]+)\$[0-9]+"))</f>
        <v/>
      </c>
      <c r="J157" s="6" t="str" cm="1">
        <f t="array" aca="1" ref="J157" ca="1">IF(AND('Raw Data'!J157&gt;=0,'Raw Data'!J157&lt;=1),"",_xlfn.REGEXEXTRACT(CELL("address",'Raw Data'!J157),"\$([A-Z]+)\$[0-9]+"))</f>
        <v/>
      </c>
    </row>
    <row r="158" spans="2:10" x14ac:dyDescent="0.25">
      <c r="B158" s="6" t="str" cm="1">
        <f t="array" aca="1" ref="B158" ca="1">IF('Raw Data'!$B$10 = "Overall Project","",_xlfn.REGEXEXTRACT(CELL("address",'Raw Data'!B158),"\$([A-Z]+)\$[0-9]+"))</f>
        <v/>
      </c>
      <c r="C158" s="6" t="str" cm="1">
        <f t="array" aca="1" ref="C158" ca="1">IF('Raw Data'!$C$10 = "Month # 1","",_xlfn.REGEXEXTRACT(CELL("address",'Raw Data'!C158),"\$([A-Z]+)\$[0-9]+"))</f>
        <v/>
      </c>
      <c r="D158" s="6"/>
      <c r="E158" s="6" t="str" cm="1">
        <f t="array" aca="1" ref="E158" ca="1">IF(AND('Raw Data'!E158&gt;=0,'Raw Data'!E158&lt;=1),"",_xlfn.REGEXEXTRACT(CELL("address",'Raw Data'!E158),"\$([A-Z]+)\$[0-9]+"))</f>
        <v/>
      </c>
      <c r="F158" s="6" t="str" cm="1">
        <f t="array" aca="1" ref="F158" ca="1">IF(AND('Raw Data'!F158&gt;=0,'Raw Data'!F158&lt;=1),"",_xlfn.REGEXEXTRACT(CELL("address",'Raw Data'!F158),"\$([A-Z]+)\$[0-9]+"))</f>
        <v/>
      </c>
      <c r="G158" s="6" t="str" cm="1">
        <f t="array" aca="1" ref="G158" ca="1">IF(AND('Raw Data'!G158&gt;=0,'Raw Data'!G158&lt;=1),"",_xlfn.REGEXEXTRACT(CELL("address",'Raw Data'!G158),"\$([A-Z]+)\$[0-9]+"))</f>
        <v/>
      </c>
      <c r="H158" s="6" t="str" cm="1">
        <f t="array" aca="1" ref="H158" ca="1">IF(AND('Raw Data'!H158&gt;=0,'Raw Data'!H158&lt;=1),"",_xlfn.REGEXEXTRACT(CELL("address",'Raw Data'!H158),"\$([A-Z]+)\$[0-9]+"))</f>
        <v/>
      </c>
      <c r="I158" s="6" t="str" cm="1">
        <f t="array" aca="1" ref="I158" ca="1">IF(AND('Raw Data'!I158&gt;=0,'Raw Data'!I158&lt;=1),"",_xlfn.REGEXEXTRACT(CELL("address",'Raw Data'!I158),"\$([A-Z]+)\$[0-9]+"))</f>
        <v/>
      </c>
      <c r="J158" s="6" t="str" cm="1">
        <f t="array" aca="1" ref="J158" ca="1">IF(AND('Raw Data'!J158&gt;=0,'Raw Data'!J158&lt;=1),"",_xlfn.REGEXEXTRACT(CELL("address",'Raw Data'!J158),"\$([A-Z]+)\$[0-9]+"))</f>
        <v/>
      </c>
    </row>
    <row r="159" spans="2:10" x14ac:dyDescent="0.25">
      <c r="B159" s="6" t="str" cm="1">
        <f t="array" aca="1" ref="B159" ca="1">IF('Raw Data'!$B$10 = "Overall Project","",_xlfn.REGEXEXTRACT(CELL("address",'Raw Data'!B159),"\$([A-Z]+)\$[0-9]+"))</f>
        <v/>
      </c>
      <c r="C159" s="6" t="str" cm="1">
        <f t="array" aca="1" ref="C159" ca="1">IF('Raw Data'!$C$10 = "Month # 1","",_xlfn.REGEXEXTRACT(CELL("address",'Raw Data'!C159),"\$([A-Z]+)\$[0-9]+"))</f>
        <v/>
      </c>
      <c r="D159" s="6"/>
      <c r="E159" s="6" t="str" cm="1">
        <f t="array" aca="1" ref="E159" ca="1">IF(AND('Raw Data'!E159&gt;=0,'Raw Data'!E159&lt;=1),"",_xlfn.REGEXEXTRACT(CELL("address",'Raw Data'!E159),"\$([A-Z]+)\$[0-9]+"))</f>
        <v/>
      </c>
      <c r="F159" s="6" t="str" cm="1">
        <f t="array" aca="1" ref="F159" ca="1">IF(AND('Raw Data'!F159&gt;=0,'Raw Data'!F159&lt;=1),"",_xlfn.REGEXEXTRACT(CELL("address",'Raw Data'!F159),"\$([A-Z]+)\$[0-9]+"))</f>
        <v/>
      </c>
      <c r="G159" s="6" t="str" cm="1">
        <f t="array" aca="1" ref="G159" ca="1">IF(AND('Raw Data'!G159&gt;=0,'Raw Data'!G159&lt;=1),"",_xlfn.REGEXEXTRACT(CELL("address",'Raw Data'!G159),"\$([A-Z]+)\$[0-9]+"))</f>
        <v/>
      </c>
      <c r="H159" s="6" t="str" cm="1">
        <f t="array" aca="1" ref="H159" ca="1">IF(AND('Raw Data'!H159&gt;=0,'Raw Data'!H159&lt;=1),"",_xlfn.REGEXEXTRACT(CELL("address",'Raw Data'!H159),"\$([A-Z]+)\$[0-9]+"))</f>
        <v/>
      </c>
      <c r="I159" s="6" t="str" cm="1">
        <f t="array" aca="1" ref="I159" ca="1">IF(AND('Raw Data'!I159&gt;=0,'Raw Data'!I159&lt;=1),"",_xlfn.REGEXEXTRACT(CELL("address",'Raw Data'!I159),"\$([A-Z]+)\$[0-9]+"))</f>
        <v/>
      </c>
      <c r="J159" s="6" t="str" cm="1">
        <f t="array" aca="1" ref="J159" ca="1">IF(AND('Raw Data'!J159&gt;=0,'Raw Data'!J159&lt;=1),"",_xlfn.REGEXEXTRACT(CELL("address",'Raw Data'!J159),"\$([A-Z]+)\$[0-9]+"))</f>
        <v/>
      </c>
    </row>
    <row r="160" spans="2:10" x14ac:dyDescent="0.25">
      <c r="B160" s="6" t="str" cm="1">
        <f t="array" aca="1" ref="B160" ca="1">IF('Raw Data'!$B$10 = "Overall Project","",_xlfn.REGEXEXTRACT(CELL("address",'Raw Data'!B160),"\$([A-Z]+)\$[0-9]+"))</f>
        <v/>
      </c>
      <c r="C160" s="6" t="str" cm="1">
        <f t="array" aca="1" ref="C160" ca="1">IF('Raw Data'!$C$10 = "Month # 1","",_xlfn.REGEXEXTRACT(CELL("address",'Raw Data'!C160),"\$([A-Z]+)\$[0-9]+"))</f>
        <v/>
      </c>
      <c r="D160" s="6"/>
      <c r="E160" s="6" t="str" cm="1">
        <f t="array" aca="1" ref="E160" ca="1">IF(AND('Raw Data'!E160&gt;=0,'Raw Data'!E160&lt;=1),"",_xlfn.REGEXEXTRACT(CELL("address",'Raw Data'!E160),"\$([A-Z]+)\$[0-9]+"))</f>
        <v/>
      </c>
      <c r="F160" s="6" t="str" cm="1">
        <f t="array" aca="1" ref="F160" ca="1">IF(AND('Raw Data'!F160&gt;=0,'Raw Data'!F160&lt;=1),"",_xlfn.REGEXEXTRACT(CELL("address",'Raw Data'!F160),"\$([A-Z]+)\$[0-9]+"))</f>
        <v/>
      </c>
      <c r="G160" s="6" t="str" cm="1">
        <f t="array" aca="1" ref="G160" ca="1">IF(AND('Raw Data'!G160&gt;=0,'Raw Data'!G160&lt;=1),"",_xlfn.REGEXEXTRACT(CELL("address",'Raw Data'!G160),"\$([A-Z]+)\$[0-9]+"))</f>
        <v/>
      </c>
      <c r="H160" s="6" t="str" cm="1">
        <f t="array" aca="1" ref="H160" ca="1">IF(AND('Raw Data'!H160&gt;=0,'Raw Data'!H160&lt;=1),"",_xlfn.REGEXEXTRACT(CELL("address",'Raw Data'!H160),"\$([A-Z]+)\$[0-9]+"))</f>
        <v/>
      </c>
      <c r="I160" s="6" t="str" cm="1">
        <f t="array" aca="1" ref="I160" ca="1">IF(AND('Raw Data'!I160&gt;=0,'Raw Data'!I160&lt;=1),"",_xlfn.REGEXEXTRACT(CELL("address",'Raw Data'!I160),"\$([A-Z]+)\$[0-9]+"))</f>
        <v/>
      </c>
      <c r="J160" s="6" t="str" cm="1">
        <f t="array" aca="1" ref="J160" ca="1">IF(AND('Raw Data'!J160&gt;=0,'Raw Data'!J160&lt;=1),"",_xlfn.REGEXEXTRACT(CELL("address",'Raw Data'!J160),"\$([A-Z]+)\$[0-9]+"))</f>
        <v/>
      </c>
    </row>
    <row r="161" spans="2:10" x14ac:dyDescent="0.25">
      <c r="B161" s="6" t="str" cm="1">
        <f t="array" aca="1" ref="B161" ca="1">IF('Raw Data'!$B$10 = "Overall Project","",_xlfn.REGEXEXTRACT(CELL("address",'Raw Data'!B161),"\$([A-Z]+)\$[0-9]+"))</f>
        <v/>
      </c>
      <c r="C161" s="6" t="str" cm="1">
        <f t="array" aca="1" ref="C161" ca="1">IF('Raw Data'!$C$10 = "Month # 1","",_xlfn.REGEXEXTRACT(CELL("address",'Raw Data'!C161),"\$([A-Z]+)\$[0-9]+"))</f>
        <v/>
      </c>
      <c r="D161" s="6"/>
      <c r="E161" s="6" t="str" cm="1">
        <f t="array" aca="1" ref="E161" ca="1">IF(AND('Raw Data'!E161&gt;=0,'Raw Data'!E161&lt;=1),"",_xlfn.REGEXEXTRACT(CELL("address",'Raw Data'!E161),"\$([A-Z]+)\$[0-9]+"))</f>
        <v/>
      </c>
      <c r="F161" s="6" t="str" cm="1">
        <f t="array" aca="1" ref="F161" ca="1">IF(AND('Raw Data'!F161&gt;=0,'Raw Data'!F161&lt;=1),"",_xlfn.REGEXEXTRACT(CELL("address",'Raw Data'!F161),"\$([A-Z]+)\$[0-9]+"))</f>
        <v/>
      </c>
      <c r="G161" s="6" t="str" cm="1">
        <f t="array" aca="1" ref="G161" ca="1">IF(AND('Raw Data'!G161&gt;=0,'Raw Data'!G161&lt;=1),"",_xlfn.REGEXEXTRACT(CELL("address",'Raw Data'!G161),"\$([A-Z]+)\$[0-9]+"))</f>
        <v/>
      </c>
      <c r="H161" s="6" t="str" cm="1">
        <f t="array" aca="1" ref="H161" ca="1">IF(AND('Raw Data'!H161&gt;=0,'Raw Data'!H161&lt;=1),"",_xlfn.REGEXEXTRACT(CELL("address",'Raw Data'!H161),"\$([A-Z]+)\$[0-9]+"))</f>
        <v/>
      </c>
      <c r="I161" s="6" t="str" cm="1">
        <f t="array" aca="1" ref="I161" ca="1">IF(AND('Raw Data'!I161&gt;=0,'Raw Data'!I161&lt;=1),"",_xlfn.REGEXEXTRACT(CELL("address",'Raw Data'!I161),"\$([A-Z]+)\$[0-9]+"))</f>
        <v/>
      </c>
      <c r="J161" s="6" t="str" cm="1">
        <f t="array" aca="1" ref="J161" ca="1">IF(AND('Raw Data'!J161&gt;=0,'Raw Data'!J161&lt;=1),"",_xlfn.REGEXEXTRACT(CELL("address",'Raw Data'!J161),"\$([A-Z]+)\$[0-9]+"))</f>
        <v/>
      </c>
    </row>
    <row r="162" spans="2:10" x14ac:dyDescent="0.25">
      <c r="B162" s="6" t="str" cm="1">
        <f t="array" aca="1" ref="B162" ca="1">IF('Raw Data'!$B$10 = "Overall Project","",_xlfn.REGEXEXTRACT(CELL("address",'Raw Data'!B162),"\$([A-Z]+)\$[0-9]+"))</f>
        <v/>
      </c>
      <c r="C162" s="6" t="str" cm="1">
        <f t="array" aca="1" ref="C162" ca="1">IF('Raw Data'!$C$10 = "Month # 1","",_xlfn.REGEXEXTRACT(CELL("address",'Raw Data'!C162),"\$([A-Z]+)\$[0-9]+"))</f>
        <v/>
      </c>
      <c r="D162" s="6"/>
      <c r="E162" s="6" t="str" cm="1">
        <f t="array" aca="1" ref="E162" ca="1">IF(AND('Raw Data'!E162&gt;=0,'Raw Data'!E162&lt;=1),"",_xlfn.REGEXEXTRACT(CELL("address",'Raw Data'!E162),"\$([A-Z]+)\$[0-9]+"))</f>
        <v/>
      </c>
      <c r="F162" s="6" t="str" cm="1">
        <f t="array" aca="1" ref="F162" ca="1">IF(AND('Raw Data'!F162&gt;=0,'Raw Data'!F162&lt;=1),"",_xlfn.REGEXEXTRACT(CELL("address",'Raw Data'!F162),"\$([A-Z]+)\$[0-9]+"))</f>
        <v/>
      </c>
      <c r="G162" s="6" t="str" cm="1">
        <f t="array" aca="1" ref="G162" ca="1">IF(AND('Raw Data'!G162&gt;=0,'Raw Data'!G162&lt;=1),"",_xlfn.REGEXEXTRACT(CELL("address",'Raw Data'!G162),"\$([A-Z]+)\$[0-9]+"))</f>
        <v/>
      </c>
      <c r="H162" s="6" t="str" cm="1">
        <f t="array" aca="1" ref="H162" ca="1">IF(AND('Raw Data'!H162&gt;=0,'Raw Data'!H162&lt;=1),"",_xlfn.REGEXEXTRACT(CELL("address",'Raw Data'!H162),"\$([A-Z]+)\$[0-9]+"))</f>
        <v/>
      </c>
      <c r="I162" s="6" t="str" cm="1">
        <f t="array" aca="1" ref="I162" ca="1">IF(AND('Raw Data'!I162&gt;=0,'Raw Data'!I162&lt;=1),"",_xlfn.REGEXEXTRACT(CELL("address",'Raw Data'!I162),"\$([A-Z]+)\$[0-9]+"))</f>
        <v/>
      </c>
      <c r="J162" s="6" t="str" cm="1">
        <f t="array" aca="1" ref="J162" ca="1">IF(AND('Raw Data'!J162&gt;=0,'Raw Data'!J162&lt;=1),"",_xlfn.REGEXEXTRACT(CELL("address",'Raw Data'!J162),"\$([A-Z]+)\$[0-9]+"))</f>
        <v/>
      </c>
    </row>
    <row r="163" spans="2:10" x14ac:dyDescent="0.25">
      <c r="B163" s="6" t="str" cm="1">
        <f t="array" aca="1" ref="B163" ca="1">IF('Raw Data'!$B$10 = "Overall Project","",_xlfn.REGEXEXTRACT(CELL("address",'Raw Data'!B163),"\$([A-Z]+)\$[0-9]+"))</f>
        <v/>
      </c>
      <c r="C163" s="6" t="str" cm="1">
        <f t="array" aca="1" ref="C163" ca="1">IF('Raw Data'!$C$10 = "Month # 1","",_xlfn.REGEXEXTRACT(CELL("address",'Raw Data'!C163),"\$([A-Z]+)\$[0-9]+"))</f>
        <v/>
      </c>
      <c r="D163" s="6"/>
      <c r="E163" s="6" t="str" cm="1">
        <f t="array" aca="1" ref="E163" ca="1">IF(AND('Raw Data'!E163&gt;=0,'Raw Data'!E163&lt;=1),"",_xlfn.REGEXEXTRACT(CELL("address",'Raw Data'!E163),"\$([A-Z]+)\$[0-9]+"))</f>
        <v/>
      </c>
      <c r="F163" s="6" t="str" cm="1">
        <f t="array" aca="1" ref="F163" ca="1">IF(AND('Raw Data'!F163&gt;=0,'Raw Data'!F163&lt;=1),"",_xlfn.REGEXEXTRACT(CELL("address",'Raw Data'!F163),"\$([A-Z]+)\$[0-9]+"))</f>
        <v/>
      </c>
      <c r="G163" s="6" t="str" cm="1">
        <f t="array" aca="1" ref="G163" ca="1">IF(AND('Raw Data'!G163&gt;=0,'Raw Data'!G163&lt;=1),"",_xlfn.REGEXEXTRACT(CELL("address",'Raw Data'!G163),"\$([A-Z]+)\$[0-9]+"))</f>
        <v/>
      </c>
      <c r="H163" s="6" t="str" cm="1">
        <f t="array" aca="1" ref="H163" ca="1">IF(AND('Raw Data'!H163&gt;=0,'Raw Data'!H163&lt;=1),"",_xlfn.REGEXEXTRACT(CELL("address",'Raw Data'!H163),"\$([A-Z]+)\$[0-9]+"))</f>
        <v/>
      </c>
      <c r="I163" s="6" t="str" cm="1">
        <f t="array" aca="1" ref="I163" ca="1">IF(AND('Raw Data'!I163&gt;=0,'Raw Data'!I163&lt;=1),"",_xlfn.REGEXEXTRACT(CELL("address",'Raw Data'!I163),"\$([A-Z]+)\$[0-9]+"))</f>
        <v/>
      </c>
      <c r="J163" s="6" t="str" cm="1">
        <f t="array" aca="1" ref="J163" ca="1">IF(AND('Raw Data'!J163&gt;=0,'Raw Data'!J163&lt;=1),"",_xlfn.REGEXEXTRACT(CELL("address",'Raw Data'!J163),"\$([A-Z]+)\$[0-9]+"))</f>
        <v/>
      </c>
    </row>
    <row r="164" spans="2:10" x14ac:dyDescent="0.25">
      <c r="B164" s="6" t="str" cm="1">
        <f t="array" aca="1" ref="B164" ca="1">IF('Raw Data'!$B$10 = "Overall Project","",_xlfn.REGEXEXTRACT(CELL("address",'Raw Data'!B164),"\$([A-Z]+)\$[0-9]+"))</f>
        <v/>
      </c>
      <c r="C164" s="6" t="str" cm="1">
        <f t="array" aca="1" ref="C164" ca="1">IF('Raw Data'!$C$10 = "Month # 1","",_xlfn.REGEXEXTRACT(CELL("address",'Raw Data'!C164),"\$([A-Z]+)\$[0-9]+"))</f>
        <v/>
      </c>
      <c r="D164" s="6"/>
      <c r="E164" s="6" t="str" cm="1">
        <f t="array" aca="1" ref="E164" ca="1">IF(AND('Raw Data'!E164&gt;=0,'Raw Data'!E164&lt;=1),"",_xlfn.REGEXEXTRACT(CELL("address",'Raw Data'!E164),"\$([A-Z]+)\$[0-9]+"))</f>
        <v/>
      </c>
      <c r="F164" s="6" t="str" cm="1">
        <f t="array" aca="1" ref="F164" ca="1">IF(AND('Raw Data'!F164&gt;=0,'Raw Data'!F164&lt;=1),"",_xlfn.REGEXEXTRACT(CELL("address",'Raw Data'!F164),"\$([A-Z]+)\$[0-9]+"))</f>
        <v/>
      </c>
      <c r="G164" s="6" t="str" cm="1">
        <f t="array" aca="1" ref="G164" ca="1">IF(AND('Raw Data'!G164&gt;=0,'Raw Data'!G164&lt;=1),"",_xlfn.REGEXEXTRACT(CELL("address",'Raw Data'!G164),"\$([A-Z]+)\$[0-9]+"))</f>
        <v/>
      </c>
      <c r="H164" s="6" t="str" cm="1">
        <f t="array" aca="1" ref="H164" ca="1">IF(AND('Raw Data'!H164&gt;=0,'Raw Data'!H164&lt;=1),"",_xlfn.REGEXEXTRACT(CELL("address",'Raw Data'!H164),"\$([A-Z]+)\$[0-9]+"))</f>
        <v/>
      </c>
      <c r="I164" s="6" t="str" cm="1">
        <f t="array" aca="1" ref="I164" ca="1">IF(AND('Raw Data'!I164&gt;=0,'Raw Data'!I164&lt;=1),"",_xlfn.REGEXEXTRACT(CELL("address",'Raw Data'!I164),"\$([A-Z]+)\$[0-9]+"))</f>
        <v/>
      </c>
      <c r="J164" s="6" t="str" cm="1">
        <f t="array" aca="1" ref="J164" ca="1">IF(AND('Raw Data'!J164&gt;=0,'Raw Data'!J164&lt;=1),"",_xlfn.REGEXEXTRACT(CELL("address",'Raw Data'!J164),"\$([A-Z]+)\$[0-9]+"))</f>
        <v/>
      </c>
    </row>
    <row r="165" spans="2:10" x14ac:dyDescent="0.25">
      <c r="B165" s="6" t="str" cm="1">
        <f t="array" aca="1" ref="B165" ca="1">IF('Raw Data'!$B$10 = "Overall Project","",_xlfn.REGEXEXTRACT(CELL("address",'Raw Data'!B165),"\$([A-Z]+)\$[0-9]+"))</f>
        <v/>
      </c>
      <c r="C165" s="6" t="str" cm="1">
        <f t="array" aca="1" ref="C165" ca="1">IF('Raw Data'!$C$10 = "Month # 1","",_xlfn.REGEXEXTRACT(CELL("address",'Raw Data'!C165),"\$([A-Z]+)\$[0-9]+"))</f>
        <v/>
      </c>
      <c r="D165" s="6"/>
      <c r="E165" s="6" t="str" cm="1">
        <f t="array" aca="1" ref="E165" ca="1">IF(AND('Raw Data'!E165&gt;=0,'Raw Data'!E165&lt;=1),"",_xlfn.REGEXEXTRACT(CELL("address",'Raw Data'!E165),"\$([A-Z]+)\$[0-9]+"))</f>
        <v/>
      </c>
      <c r="F165" s="6" t="str" cm="1">
        <f t="array" aca="1" ref="F165" ca="1">IF(AND('Raw Data'!F165&gt;=0,'Raw Data'!F165&lt;=1),"",_xlfn.REGEXEXTRACT(CELL("address",'Raw Data'!F165),"\$([A-Z]+)\$[0-9]+"))</f>
        <v/>
      </c>
      <c r="G165" s="6" t="str" cm="1">
        <f t="array" aca="1" ref="G165" ca="1">IF(AND('Raw Data'!G165&gt;=0,'Raw Data'!G165&lt;=1),"",_xlfn.REGEXEXTRACT(CELL("address",'Raw Data'!G165),"\$([A-Z]+)\$[0-9]+"))</f>
        <v/>
      </c>
      <c r="H165" s="6" t="str" cm="1">
        <f t="array" aca="1" ref="H165" ca="1">IF(AND('Raw Data'!H165&gt;=0,'Raw Data'!H165&lt;=1),"",_xlfn.REGEXEXTRACT(CELL("address",'Raw Data'!H165),"\$([A-Z]+)\$[0-9]+"))</f>
        <v/>
      </c>
      <c r="I165" s="6" t="str" cm="1">
        <f t="array" aca="1" ref="I165" ca="1">IF(AND('Raw Data'!I165&gt;=0,'Raw Data'!I165&lt;=1),"",_xlfn.REGEXEXTRACT(CELL("address",'Raw Data'!I165),"\$([A-Z]+)\$[0-9]+"))</f>
        <v/>
      </c>
      <c r="J165" s="6" t="str" cm="1">
        <f t="array" aca="1" ref="J165" ca="1">IF(AND('Raw Data'!J165&gt;=0,'Raw Data'!J165&lt;=1),"",_xlfn.REGEXEXTRACT(CELL("address",'Raw Data'!J165),"\$([A-Z]+)\$[0-9]+"))</f>
        <v/>
      </c>
    </row>
    <row r="166" spans="2:10" x14ac:dyDescent="0.25">
      <c r="B166" s="6" t="str" cm="1">
        <f t="array" aca="1" ref="B166" ca="1">IF('Raw Data'!$B$10 = "Overall Project","",_xlfn.REGEXEXTRACT(CELL("address",'Raw Data'!B166),"\$([A-Z]+)\$[0-9]+"))</f>
        <v/>
      </c>
      <c r="C166" s="6" t="str" cm="1">
        <f t="array" aca="1" ref="C166" ca="1">IF('Raw Data'!$C$10 = "Month # 1","",_xlfn.REGEXEXTRACT(CELL("address",'Raw Data'!C166),"\$([A-Z]+)\$[0-9]+"))</f>
        <v/>
      </c>
      <c r="D166" s="6"/>
      <c r="E166" s="6" t="str" cm="1">
        <f t="array" aca="1" ref="E166" ca="1">IF(AND('Raw Data'!E166&gt;=0,'Raw Data'!E166&lt;=1),"",_xlfn.REGEXEXTRACT(CELL("address",'Raw Data'!E166),"\$([A-Z]+)\$[0-9]+"))</f>
        <v/>
      </c>
      <c r="F166" s="6" t="str" cm="1">
        <f t="array" aca="1" ref="F166" ca="1">IF(AND('Raw Data'!F166&gt;=0,'Raw Data'!F166&lt;=1),"",_xlfn.REGEXEXTRACT(CELL("address",'Raw Data'!F166),"\$([A-Z]+)\$[0-9]+"))</f>
        <v/>
      </c>
      <c r="G166" s="6" t="str" cm="1">
        <f t="array" aca="1" ref="G166" ca="1">IF(AND('Raw Data'!G166&gt;=0,'Raw Data'!G166&lt;=1),"",_xlfn.REGEXEXTRACT(CELL("address",'Raw Data'!G166),"\$([A-Z]+)\$[0-9]+"))</f>
        <v/>
      </c>
      <c r="H166" s="6" t="str" cm="1">
        <f t="array" aca="1" ref="H166" ca="1">IF(AND('Raw Data'!H166&gt;=0,'Raw Data'!H166&lt;=1),"",_xlfn.REGEXEXTRACT(CELL("address",'Raw Data'!H166),"\$([A-Z]+)\$[0-9]+"))</f>
        <v/>
      </c>
      <c r="I166" s="6" t="str" cm="1">
        <f t="array" aca="1" ref="I166" ca="1">IF(AND('Raw Data'!I166&gt;=0,'Raw Data'!I166&lt;=1),"",_xlfn.REGEXEXTRACT(CELL("address",'Raw Data'!I166),"\$([A-Z]+)\$[0-9]+"))</f>
        <v/>
      </c>
      <c r="J166" s="6" t="str" cm="1">
        <f t="array" aca="1" ref="J166" ca="1">IF(AND('Raw Data'!J166&gt;=0,'Raw Data'!J166&lt;=1),"",_xlfn.REGEXEXTRACT(CELL("address",'Raw Data'!J166),"\$([A-Z]+)\$[0-9]+"))</f>
        <v/>
      </c>
    </row>
    <row r="167" spans="2:10" x14ac:dyDescent="0.25">
      <c r="B167" s="6" t="str" cm="1">
        <f t="array" aca="1" ref="B167" ca="1">IF('Raw Data'!$B$10 = "Overall Project","",_xlfn.REGEXEXTRACT(CELL("address",'Raw Data'!B167),"\$([A-Z]+)\$[0-9]+"))</f>
        <v/>
      </c>
      <c r="C167" s="6" t="str" cm="1">
        <f t="array" aca="1" ref="C167" ca="1">IF('Raw Data'!$C$10 = "Month # 1","",_xlfn.REGEXEXTRACT(CELL("address",'Raw Data'!C167),"\$([A-Z]+)\$[0-9]+"))</f>
        <v/>
      </c>
      <c r="D167" s="6"/>
      <c r="E167" s="6" t="str" cm="1">
        <f t="array" aca="1" ref="E167" ca="1">IF(AND('Raw Data'!E167&gt;=0,'Raw Data'!E167&lt;=1),"",_xlfn.REGEXEXTRACT(CELL("address",'Raw Data'!E167),"\$([A-Z]+)\$[0-9]+"))</f>
        <v/>
      </c>
      <c r="F167" s="6" t="str" cm="1">
        <f t="array" aca="1" ref="F167" ca="1">IF(AND('Raw Data'!F167&gt;=0,'Raw Data'!F167&lt;=1),"",_xlfn.REGEXEXTRACT(CELL("address",'Raw Data'!F167),"\$([A-Z]+)\$[0-9]+"))</f>
        <v/>
      </c>
      <c r="G167" s="6" t="str" cm="1">
        <f t="array" aca="1" ref="G167" ca="1">IF(AND('Raw Data'!G167&gt;=0,'Raw Data'!G167&lt;=1),"",_xlfn.REGEXEXTRACT(CELL("address",'Raw Data'!G167),"\$([A-Z]+)\$[0-9]+"))</f>
        <v/>
      </c>
      <c r="H167" s="6" t="str" cm="1">
        <f t="array" aca="1" ref="H167" ca="1">IF(AND('Raw Data'!H167&gt;=0,'Raw Data'!H167&lt;=1),"",_xlfn.REGEXEXTRACT(CELL("address",'Raw Data'!H167),"\$([A-Z]+)\$[0-9]+"))</f>
        <v/>
      </c>
      <c r="I167" s="6" t="str" cm="1">
        <f t="array" aca="1" ref="I167" ca="1">IF(AND('Raw Data'!I167&gt;=0,'Raw Data'!I167&lt;=1),"",_xlfn.REGEXEXTRACT(CELL("address",'Raw Data'!I167),"\$([A-Z]+)\$[0-9]+"))</f>
        <v/>
      </c>
      <c r="J167" s="6" t="str" cm="1">
        <f t="array" aca="1" ref="J167" ca="1">IF(AND('Raw Data'!J167&gt;=0,'Raw Data'!J167&lt;=1),"",_xlfn.REGEXEXTRACT(CELL("address",'Raw Data'!J167),"\$([A-Z]+)\$[0-9]+"))</f>
        <v/>
      </c>
    </row>
    <row r="168" spans="2:10" x14ac:dyDescent="0.25">
      <c r="B168" s="6" t="str" cm="1">
        <f t="array" aca="1" ref="B168" ca="1">IF('Raw Data'!$B$10 = "Overall Project","",_xlfn.REGEXEXTRACT(CELL("address",'Raw Data'!B168),"\$([A-Z]+)\$[0-9]+"))</f>
        <v/>
      </c>
      <c r="C168" s="6" t="str" cm="1">
        <f t="array" aca="1" ref="C168" ca="1">IF('Raw Data'!$C$10 = "Month # 1","",_xlfn.REGEXEXTRACT(CELL("address",'Raw Data'!C168),"\$([A-Z]+)\$[0-9]+"))</f>
        <v/>
      </c>
      <c r="D168" s="6"/>
      <c r="E168" s="6" t="str" cm="1">
        <f t="array" aca="1" ref="E168" ca="1">IF(AND('Raw Data'!E168&gt;=0,'Raw Data'!E168&lt;=1),"",_xlfn.REGEXEXTRACT(CELL("address",'Raw Data'!E168),"\$([A-Z]+)\$[0-9]+"))</f>
        <v/>
      </c>
      <c r="F168" s="6" t="str" cm="1">
        <f t="array" aca="1" ref="F168" ca="1">IF(AND('Raw Data'!F168&gt;=0,'Raw Data'!F168&lt;=1),"",_xlfn.REGEXEXTRACT(CELL("address",'Raw Data'!F168),"\$([A-Z]+)\$[0-9]+"))</f>
        <v/>
      </c>
      <c r="G168" s="6" t="str" cm="1">
        <f t="array" aca="1" ref="G168" ca="1">IF(AND('Raw Data'!G168&gt;=0,'Raw Data'!G168&lt;=1),"",_xlfn.REGEXEXTRACT(CELL("address",'Raw Data'!G168),"\$([A-Z]+)\$[0-9]+"))</f>
        <v/>
      </c>
      <c r="H168" s="6" t="str" cm="1">
        <f t="array" aca="1" ref="H168" ca="1">IF(AND('Raw Data'!H168&gt;=0,'Raw Data'!H168&lt;=1),"",_xlfn.REGEXEXTRACT(CELL("address",'Raw Data'!H168),"\$([A-Z]+)\$[0-9]+"))</f>
        <v/>
      </c>
      <c r="I168" s="6" t="str" cm="1">
        <f t="array" aca="1" ref="I168" ca="1">IF(AND('Raw Data'!I168&gt;=0,'Raw Data'!I168&lt;=1),"",_xlfn.REGEXEXTRACT(CELL("address",'Raw Data'!I168),"\$([A-Z]+)\$[0-9]+"))</f>
        <v/>
      </c>
      <c r="J168" s="6" t="str" cm="1">
        <f t="array" aca="1" ref="J168" ca="1">IF(AND('Raw Data'!J168&gt;=0,'Raw Data'!J168&lt;=1),"",_xlfn.REGEXEXTRACT(CELL("address",'Raw Data'!J168),"\$([A-Z]+)\$[0-9]+"))</f>
        <v/>
      </c>
    </row>
    <row r="169" spans="2:10" x14ac:dyDescent="0.25">
      <c r="B169" s="6" t="str" cm="1">
        <f t="array" aca="1" ref="B169" ca="1">IF('Raw Data'!$B$10 = "Overall Project","",_xlfn.REGEXEXTRACT(CELL("address",'Raw Data'!B169),"\$([A-Z]+)\$[0-9]+"))</f>
        <v/>
      </c>
      <c r="C169" s="6" t="str" cm="1">
        <f t="array" aca="1" ref="C169" ca="1">IF('Raw Data'!$C$10 = "Month # 1","",_xlfn.REGEXEXTRACT(CELL("address",'Raw Data'!C169),"\$([A-Z]+)\$[0-9]+"))</f>
        <v/>
      </c>
      <c r="D169" s="6"/>
      <c r="E169" s="6" t="str" cm="1">
        <f t="array" aca="1" ref="E169" ca="1">IF(AND('Raw Data'!E169&gt;=0,'Raw Data'!E169&lt;=1),"",_xlfn.REGEXEXTRACT(CELL("address",'Raw Data'!E169),"\$([A-Z]+)\$[0-9]+"))</f>
        <v/>
      </c>
      <c r="F169" s="6" t="str" cm="1">
        <f t="array" aca="1" ref="F169" ca="1">IF(AND('Raw Data'!F169&gt;=0,'Raw Data'!F169&lt;=1),"",_xlfn.REGEXEXTRACT(CELL("address",'Raw Data'!F169),"\$([A-Z]+)\$[0-9]+"))</f>
        <v/>
      </c>
      <c r="G169" s="6" t="str" cm="1">
        <f t="array" aca="1" ref="G169" ca="1">IF(AND('Raw Data'!G169&gt;=0,'Raw Data'!G169&lt;=1),"",_xlfn.REGEXEXTRACT(CELL("address",'Raw Data'!G169),"\$([A-Z]+)\$[0-9]+"))</f>
        <v/>
      </c>
      <c r="H169" s="6" t="str" cm="1">
        <f t="array" aca="1" ref="H169" ca="1">IF(AND('Raw Data'!H169&gt;=0,'Raw Data'!H169&lt;=1),"",_xlfn.REGEXEXTRACT(CELL("address",'Raw Data'!H169),"\$([A-Z]+)\$[0-9]+"))</f>
        <v/>
      </c>
      <c r="I169" s="6" t="str" cm="1">
        <f t="array" aca="1" ref="I169" ca="1">IF(AND('Raw Data'!I169&gt;=0,'Raw Data'!I169&lt;=1),"",_xlfn.REGEXEXTRACT(CELL("address",'Raw Data'!I169),"\$([A-Z]+)\$[0-9]+"))</f>
        <v/>
      </c>
      <c r="J169" s="6" t="str" cm="1">
        <f t="array" aca="1" ref="J169" ca="1">IF(AND('Raw Data'!J169&gt;=0,'Raw Data'!J169&lt;=1),"",_xlfn.REGEXEXTRACT(CELL("address",'Raw Data'!J169),"\$([A-Z]+)\$[0-9]+"))</f>
        <v/>
      </c>
    </row>
    <row r="170" spans="2:10" x14ac:dyDescent="0.25">
      <c r="B170" s="6" t="str" cm="1">
        <f t="array" aca="1" ref="B170" ca="1">IF('Raw Data'!$B$10 = "Overall Project","",_xlfn.REGEXEXTRACT(CELL("address",'Raw Data'!B170),"\$([A-Z]+)\$[0-9]+"))</f>
        <v/>
      </c>
      <c r="C170" s="6" t="str" cm="1">
        <f t="array" aca="1" ref="C170" ca="1">IF('Raw Data'!$C$10 = "Month # 1","",_xlfn.REGEXEXTRACT(CELL("address",'Raw Data'!C170),"\$([A-Z]+)\$[0-9]+"))</f>
        <v/>
      </c>
      <c r="D170" s="6"/>
      <c r="E170" s="6" t="str" cm="1">
        <f t="array" aca="1" ref="E170" ca="1">IF(AND('Raw Data'!E170&gt;=0,'Raw Data'!E170&lt;=1),"",_xlfn.REGEXEXTRACT(CELL("address",'Raw Data'!E170),"\$([A-Z]+)\$[0-9]+"))</f>
        <v/>
      </c>
      <c r="F170" s="6" t="str" cm="1">
        <f t="array" aca="1" ref="F170" ca="1">IF(AND('Raw Data'!F170&gt;=0,'Raw Data'!F170&lt;=1),"",_xlfn.REGEXEXTRACT(CELL("address",'Raw Data'!F170),"\$([A-Z]+)\$[0-9]+"))</f>
        <v/>
      </c>
      <c r="G170" s="6" t="str" cm="1">
        <f t="array" aca="1" ref="G170" ca="1">IF(AND('Raw Data'!G170&gt;=0,'Raw Data'!G170&lt;=1),"",_xlfn.REGEXEXTRACT(CELL("address",'Raw Data'!G170),"\$([A-Z]+)\$[0-9]+"))</f>
        <v/>
      </c>
      <c r="H170" s="6" t="str" cm="1">
        <f t="array" aca="1" ref="H170" ca="1">IF(AND('Raw Data'!H170&gt;=0,'Raw Data'!H170&lt;=1),"",_xlfn.REGEXEXTRACT(CELL("address",'Raw Data'!H170),"\$([A-Z]+)\$[0-9]+"))</f>
        <v/>
      </c>
      <c r="I170" s="6" t="str" cm="1">
        <f t="array" aca="1" ref="I170" ca="1">IF(AND('Raw Data'!I170&gt;=0,'Raw Data'!I170&lt;=1),"",_xlfn.REGEXEXTRACT(CELL("address",'Raw Data'!I170),"\$([A-Z]+)\$[0-9]+"))</f>
        <v/>
      </c>
      <c r="J170" s="6" t="str" cm="1">
        <f t="array" aca="1" ref="J170" ca="1">IF(AND('Raw Data'!J170&gt;=0,'Raw Data'!J170&lt;=1),"",_xlfn.REGEXEXTRACT(CELL("address",'Raw Data'!J170),"\$([A-Z]+)\$[0-9]+"))</f>
        <v/>
      </c>
    </row>
    <row r="171" spans="2:10" x14ac:dyDescent="0.25">
      <c r="B171" s="6" t="str" cm="1">
        <f t="array" aca="1" ref="B171" ca="1">IF('Raw Data'!$B$10 = "Overall Project","",_xlfn.REGEXEXTRACT(CELL("address",'Raw Data'!B171),"\$([A-Z]+)\$[0-9]+"))</f>
        <v/>
      </c>
      <c r="C171" s="6" t="str" cm="1">
        <f t="array" aca="1" ref="C171" ca="1">IF('Raw Data'!$C$10 = "Month # 1","",_xlfn.REGEXEXTRACT(CELL("address",'Raw Data'!C171),"\$([A-Z]+)\$[0-9]+"))</f>
        <v/>
      </c>
      <c r="D171" s="6"/>
      <c r="E171" s="6" t="str" cm="1">
        <f t="array" aca="1" ref="E171" ca="1">IF(AND('Raw Data'!E171&gt;=0,'Raw Data'!E171&lt;=1),"",_xlfn.REGEXEXTRACT(CELL("address",'Raw Data'!E171),"\$([A-Z]+)\$[0-9]+"))</f>
        <v/>
      </c>
      <c r="F171" s="6" t="str" cm="1">
        <f t="array" aca="1" ref="F171" ca="1">IF(AND('Raw Data'!F171&gt;=0,'Raw Data'!F171&lt;=1),"",_xlfn.REGEXEXTRACT(CELL("address",'Raw Data'!F171),"\$([A-Z]+)\$[0-9]+"))</f>
        <v/>
      </c>
      <c r="G171" s="6" t="str" cm="1">
        <f t="array" aca="1" ref="G171" ca="1">IF(AND('Raw Data'!G171&gt;=0,'Raw Data'!G171&lt;=1),"",_xlfn.REGEXEXTRACT(CELL("address",'Raw Data'!G171),"\$([A-Z]+)\$[0-9]+"))</f>
        <v/>
      </c>
      <c r="H171" s="6" t="str" cm="1">
        <f t="array" aca="1" ref="H171" ca="1">IF(AND('Raw Data'!H171&gt;=0,'Raw Data'!H171&lt;=1),"",_xlfn.REGEXEXTRACT(CELL("address",'Raw Data'!H171),"\$([A-Z]+)\$[0-9]+"))</f>
        <v/>
      </c>
      <c r="I171" s="6" t="str" cm="1">
        <f t="array" aca="1" ref="I171" ca="1">IF(AND('Raw Data'!I171&gt;=0,'Raw Data'!I171&lt;=1),"",_xlfn.REGEXEXTRACT(CELL("address",'Raw Data'!I171),"\$([A-Z]+)\$[0-9]+"))</f>
        <v/>
      </c>
      <c r="J171" s="6" t="str" cm="1">
        <f t="array" aca="1" ref="J171" ca="1">IF(AND('Raw Data'!J171&gt;=0,'Raw Data'!J171&lt;=1),"",_xlfn.REGEXEXTRACT(CELL("address",'Raw Data'!J171),"\$([A-Z]+)\$[0-9]+"))</f>
        <v/>
      </c>
    </row>
    <row r="172" spans="2:10" x14ac:dyDescent="0.25">
      <c r="B172" s="6" t="str" cm="1">
        <f t="array" aca="1" ref="B172" ca="1">IF('Raw Data'!$B$10 = "Overall Project","",_xlfn.REGEXEXTRACT(CELL("address",'Raw Data'!B172),"\$([A-Z]+)\$[0-9]+"))</f>
        <v/>
      </c>
      <c r="C172" s="6" t="str" cm="1">
        <f t="array" aca="1" ref="C172" ca="1">IF('Raw Data'!$C$10 = "Month # 1","",_xlfn.REGEXEXTRACT(CELL("address",'Raw Data'!C172),"\$([A-Z]+)\$[0-9]+"))</f>
        <v/>
      </c>
      <c r="D172" s="6"/>
      <c r="E172" s="6" t="str" cm="1">
        <f t="array" aca="1" ref="E172" ca="1">IF(AND('Raw Data'!E172&gt;=0,'Raw Data'!E172&lt;=1),"",_xlfn.REGEXEXTRACT(CELL("address",'Raw Data'!E172),"\$([A-Z]+)\$[0-9]+"))</f>
        <v/>
      </c>
      <c r="F172" s="6" t="str" cm="1">
        <f t="array" aca="1" ref="F172" ca="1">IF(AND('Raw Data'!F172&gt;=0,'Raw Data'!F172&lt;=1),"",_xlfn.REGEXEXTRACT(CELL("address",'Raw Data'!F172),"\$([A-Z]+)\$[0-9]+"))</f>
        <v/>
      </c>
      <c r="G172" s="6" t="str" cm="1">
        <f t="array" aca="1" ref="G172" ca="1">IF(AND('Raw Data'!G172&gt;=0,'Raw Data'!G172&lt;=1),"",_xlfn.REGEXEXTRACT(CELL("address",'Raw Data'!G172),"\$([A-Z]+)\$[0-9]+"))</f>
        <v/>
      </c>
      <c r="H172" s="6" t="str" cm="1">
        <f t="array" aca="1" ref="H172" ca="1">IF(AND('Raw Data'!H172&gt;=0,'Raw Data'!H172&lt;=1),"",_xlfn.REGEXEXTRACT(CELL("address",'Raw Data'!H172),"\$([A-Z]+)\$[0-9]+"))</f>
        <v/>
      </c>
      <c r="I172" s="6" t="str" cm="1">
        <f t="array" aca="1" ref="I172" ca="1">IF(AND('Raw Data'!I172&gt;=0,'Raw Data'!I172&lt;=1),"",_xlfn.REGEXEXTRACT(CELL("address",'Raw Data'!I172),"\$([A-Z]+)\$[0-9]+"))</f>
        <v/>
      </c>
      <c r="J172" s="6" t="str" cm="1">
        <f t="array" aca="1" ref="J172" ca="1">IF(AND('Raw Data'!J172&gt;=0,'Raw Data'!J172&lt;=1),"",_xlfn.REGEXEXTRACT(CELL("address",'Raw Data'!J172),"\$([A-Z]+)\$[0-9]+"))</f>
        <v/>
      </c>
    </row>
    <row r="173" spans="2:10" x14ac:dyDescent="0.25">
      <c r="B173" s="6" t="str" cm="1">
        <f t="array" aca="1" ref="B173" ca="1">IF('Raw Data'!$B$10 = "Overall Project","",_xlfn.REGEXEXTRACT(CELL("address",'Raw Data'!B173),"\$([A-Z]+)\$[0-9]+"))</f>
        <v/>
      </c>
      <c r="C173" s="6" t="str" cm="1">
        <f t="array" aca="1" ref="C173" ca="1">IF('Raw Data'!$C$10 = "Month # 1","",_xlfn.REGEXEXTRACT(CELL("address",'Raw Data'!C173),"\$([A-Z]+)\$[0-9]+"))</f>
        <v/>
      </c>
      <c r="D173" s="6"/>
      <c r="E173" s="6" t="str" cm="1">
        <f t="array" aca="1" ref="E173" ca="1">IF(AND('Raw Data'!E173&gt;=0,'Raw Data'!E173&lt;=1),"",_xlfn.REGEXEXTRACT(CELL("address",'Raw Data'!E173),"\$([A-Z]+)\$[0-9]+"))</f>
        <v/>
      </c>
      <c r="F173" s="6" t="str" cm="1">
        <f t="array" aca="1" ref="F173" ca="1">IF(AND('Raw Data'!F173&gt;=0,'Raw Data'!F173&lt;=1),"",_xlfn.REGEXEXTRACT(CELL("address",'Raw Data'!F173),"\$([A-Z]+)\$[0-9]+"))</f>
        <v/>
      </c>
      <c r="G173" s="6" t="str" cm="1">
        <f t="array" aca="1" ref="G173" ca="1">IF(AND('Raw Data'!G173&gt;=0,'Raw Data'!G173&lt;=1),"",_xlfn.REGEXEXTRACT(CELL("address",'Raw Data'!G173),"\$([A-Z]+)\$[0-9]+"))</f>
        <v/>
      </c>
      <c r="H173" s="6" t="str" cm="1">
        <f t="array" aca="1" ref="H173" ca="1">IF(AND('Raw Data'!H173&gt;=0,'Raw Data'!H173&lt;=1),"",_xlfn.REGEXEXTRACT(CELL("address",'Raw Data'!H173),"\$([A-Z]+)\$[0-9]+"))</f>
        <v/>
      </c>
      <c r="I173" s="6" t="str" cm="1">
        <f t="array" aca="1" ref="I173" ca="1">IF(AND('Raw Data'!I173&gt;=0,'Raw Data'!I173&lt;=1),"",_xlfn.REGEXEXTRACT(CELL("address",'Raw Data'!I173),"\$([A-Z]+)\$[0-9]+"))</f>
        <v/>
      </c>
      <c r="J173" s="6" t="str" cm="1">
        <f t="array" aca="1" ref="J173" ca="1">IF(AND('Raw Data'!J173&gt;=0,'Raw Data'!J173&lt;=1),"",_xlfn.REGEXEXTRACT(CELL("address",'Raw Data'!J173),"\$([A-Z]+)\$[0-9]+"))</f>
        <v/>
      </c>
    </row>
    <row r="174" spans="2:10" x14ac:dyDescent="0.25">
      <c r="B174" s="6" t="str" cm="1">
        <f t="array" aca="1" ref="B174" ca="1">IF('Raw Data'!$B$10 = "Overall Project","",_xlfn.REGEXEXTRACT(CELL("address",'Raw Data'!B174),"\$([A-Z]+)\$[0-9]+"))</f>
        <v/>
      </c>
      <c r="C174" s="6" t="str" cm="1">
        <f t="array" aca="1" ref="C174" ca="1">IF('Raw Data'!$C$10 = "Month # 1","",_xlfn.REGEXEXTRACT(CELL("address",'Raw Data'!C174),"\$([A-Z]+)\$[0-9]+"))</f>
        <v/>
      </c>
      <c r="D174" s="6"/>
      <c r="E174" s="6" t="str" cm="1">
        <f t="array" aca="1" ref="E174" ca="1">IF(AND('Raw Data'!E174&gt;=0,'Raw Data'!E174&lt;=1),"",_xlfn.REGEXEXTRACT(CELL("address",'Raw Data'!E174),"\$([A-Z]+)\$[0-9]+"))</f>
        <v/>
      </c>
      <c r="F174" s="6" t="str" cm="1">
        <f t="array" aca="1" ref="F174" ca="1">IF(AND('Raw Data'!F174&gt;=0,'Raw Data'!F174&lt;=1),"",_xlfn.REGEXEXTRACT(CELL("address",'Raw Data'!F174),"\$([A-Z]+)\$[0-9]+"))</f>
        <v/>
      </c>
      <c r="G174" s="6" t="str" cm="1">
        <f t="array" aca="1" ref="G174" ca="1">IF(AND('Raw Data'!G174&gt;=0,'Raw Data'!G174&lt;=1),"",_xlfn.REGEXEXTRACT(CELL("address",'Raw Data'!G174),"\$([A-Z]+)\$[0-9]+"))</f>
        <v/>
      </c>
      <c r="H174" s="6" t="str" cm="1">
        <f t="array" aca="1" ref="H174" ca="1">IF(AND('Raw Data'!H174&gt;=0,'Raw Data'!H174&lt;=1),"",_xlfn.REGEXEXTRACT(CELL("address",'Raw Data'!H174),"\$([A-Z]+)\$[0-9]+"))</f>
        <v/>
      </c>
      <c r="I174" s="6" t="str" cm="1">
        <f t="array" aca="1" ref="I174" ca="1">IF(AND('Raw Data'!I174&gt;=0,'Raw Data'!I174&lt;=1),"",_xlfn.REGEXEXTRACT(CELL("address",'Raw Data'!I174),"\$([A-Z]+)\$[0-9]+"))</f>
        <v/>
      </c>
      <c r="J174" s="6" t="str" cm="1">
        <f t="array" aca="1" ref="J174" ca="1">IF(AND('Raw Data'!J174&gt;=0,'Raw Data'!J174&lt;=1),"",_xlfn.REGEXEXTRACT(CELL("address",'Raw Data'!J174),"\$([A-Z]+)\$[0-9]+"))</f>
        <v/>
      </c>
    </row>
    <row r="175" spans="2:10" x14ac:dyDescent="0.25">
      <c r="B175" s="6" t="str" cm="1">
        <f t="array" aca="1" ref="B175" ca="1">IF('Raw Data'!$B$10 = "Overall Project","",_xlfn.REGEXEXTRACT(CELL("address",'Raw Data'!B175),"\$([A-Z]+)\$[0-9]+"))</f>
        <v/>
      </c>
      <c r="C175" s="6" t="str" cm="1">
        <f t="array" aca="1" ref="C175" ca="1">IF('Raw Data'!$C$10 = "Month # 1","",_xlfn.REGEXEXTRACT(CELL("address",'Raw Data'!C175),"\$([A-Z]+)\$[0-9]+"))</f>
        <v/>
      </c>
      <c r="D175" s="6"/>
      <c r="E175" s="6" t="str" cm="1">
        <f t="array" aca="1" ref="E175" ca="1">IF(AND('Raw Data'!E175&gt;=0,'Raw Data'!E175&lt;=1),"",_xlfn.REGEXEXTRACT(CELL("address",'Raw Data'!E175),"\$([A-Z]+)\$[0-9]+"))</f>
        <v/>
      </c>
      <c r="F175" s="6" t="str" cm="1">
        <f t="array" aca="1" ref="F175" ca="1">IF(AND('Raw Data'!F175&gt;=0,'Raw Data'!F175&lt;=1),"",_xlfn.REGEXEXTRACT(CELL("address",'Raw Data'!F175),"\$([A-Z]+)\$[0-9]+"))</f>
        <v/>
      </c>
      <c r="G175" s="6" t="str" cm="1">
        <f t="array" aca="1" ref="G175" ca="1">IF(AND('Raw Data'!G175&gt;=0,'Raw Data'!G175&lt;=1),"",_xlfn.REGEXEXTRACT(CELL("address",'Raw Data'!G175),"\$([A-Z]+)\$[0-9]+"))</f>
        <v/>
      </c>
      <c r="H175" s="6" t="str" cm="1">
        <f t="array" aca="1" ref="H175" ca="1">IF(AND('Raw Data'!H175&gt;=0,'Raw Data'!H175&lt;=1),"",_xlfn.REGEXEXTRACT(CELL("address",'Raw Data'!H175),"\$([A-Z]+)\$[0-9]+"))</f>
        <v/>
      </c>
      <c r="I175" s="6" t="str" cm="1">
        <f t="array" aca="1" ref="I175" ca="1">IF(AND('Raw Data'!I175&gt;=0,'Raw Data'!I175&lt;=1),"",_xlfn.REGEXEXTRACT(CELL("address",'Raw Data'!I175),"\$([A-Z]+)\$[0-9]+"))</f>
        <v/>
      </c>
      <c r="J175" s="6" t="str" cm="1">
        <f t="array" aca="1" ref="J175" ca="1">IF(AND('Raw Data'!J175&gt;=0,'Raw Data'!J175&lt;=1),"",_xlfn.REGEXEXTRACT(CELL("address",'Raw Data'!J175),"\$([A-Z]+)\$[0-9]+"))</f>
        <v/>
      </c>
    </row>
    <row r="176" spans="2:10" x14ac:dyDescent="0.25">
      <c r="B176" s="6" t="str" cm="1">
        <f t="array" aca="1" ref="B176" ca="1">IF('Raw Data'!$B$10 = "Overall Project","",_xlfn.REGEXEXTRACT(CELL("address",'Raw Data'!B176),"\$([A-Z]+)\$[0-9]+"))</f>
        <v/>
      </c>
      <c r="C176" s="6" t="str" cm="1">
        <f t="array" aca="1" ref="C176" ca="1">IF('Raw Data'!$C$10 = "Month # 1","",_xlfn.REGEXEXTRACT(CELL("address",'Raw Data'!C176),"\$([A-Z]+)\$[0-9]+"))</f>
        <v/>
      </c>
      <c r="D176" s="6"/>
      <c r="E176" s="6" t="str" cm="1">
        <f t="array" aca="1" ref="E176" ca="1">IF(AND('Raw Data'!E176&gt;=0,'Raw Data'!E176&lt;=1),"",_xlfn.REGEXEXTRACT(CELL("address",'Raw Data'!E176),"\$([A-Z]+)\$[0-9]+"))</f>
        <v/>
      </c>
      <c r="F176" s="6" t="str" cm="1">
        <f t="array" aca="1" ref="F176" ca="1">IF(AND('Raw Data'!F176&gt;=0,'Raw Data'!F176&lt;=1),"",_xlfn.REGEXEXTRACT(CELL("address",'Raw Data'!F176),"\$([A-Z]+)\$[0-9]+"))</f>
        <v/>
      </c>
      <c r="G176" s="6" t="str" cm="1">
        <f t="array" aca="1" ref="G176" ca="1">IF(AND('Raw Data'!G176&gt;=0,'Raw Data'!G176&lt;=1),"",_xlfn.REGEXEXTRACT(CELL("address",'Raw Data'!G176),"\$([A-Z]+)\$[0-9]+"))</f>
        <v/>
      </c>
      <c r="H176" s="6" t="str" cm="1">
        <f t="array" aca="1" ref="H176" ca="1">IF(AND('Raw Data'!H176&gt;=0,'Raw Data'!H176&lt;=1),"",_xlfn.REGEXEXTRACT(CELL("address",'Raw Data'!H176),"\$([A-Z]+)\$[0-9]+"))</f>
        <v/>
      </c>
      <c r="I176" s="6" t="str" cm="1">
        <f t="array" aca="1" ref="I176" ca="1">IF(AND('Raw Data'!I176&gt;=0,'Raw Data'!I176&lt;=1),"",_xlfn.REGEXEXTRACT(CELL("address",'Raw Data'!I176),"\$([A-Z]+)\$[0-9]+"))</f>
        <v/>
      </c>
      <c r="J176" s="6" t="str" cm="1">
        <f t="array" aca="1" ref="J176" ca="1">IF(AND('Raw Data'!J176&gt;=0,'Raw Data'!J176&lt;=1),"",_xlfn.REGEXEXTRACT(CELL("address",'Raw Data'!J176),"\$([A-Z]+)\$[0-9]+"))</f>
        <v/>
      </c>
    </row>
    <row r="177" spans="2:10" x14ac:dyDescent="0.25">
      <c r="B177" s="6" t="str" cm="1">
        <f t="array" aca="1" ref="B177" ca="1">IF('Raw Data'!$B$10 = "Overall Project","",_xlfn.REGEXEXTRACT(CELL("address",'Raw Data'!B177),"\$([A-Z]+)\$[0-9]+"))</f>
        <v/>
      </c>
      <c r="C177" s="6" t="str" cm="1">
        <f t="array" aca="1" ref="C177" ca="1">IF('Raw Data'!$C$10 = "Month # 1","",_xlfn.REGEXEXTRACT(CELL("address",'Raw Data'!C177),"\$([A-Z]+)\$[0-9]+"))</f>
        <v/>
      </c>
      <c r="D177" s="6"/>
      <c r="E177" s="6" t="str" cm="1">
        <f t="array" aca="1" ref="E177" ca="1">IF(AND('Raw Data'!E177&gt;=0,'Raw Data'!E177&lt;=1),"",_xlfn.REGEXEXTRACT(CELL("address",'Raw Data'!E177),"\$([A-Z]+)\$[0-9]+"))</f>
        <v/>
      </c>
      <c r="F177" s="6" t="str" cm="1">
        <f t="array" aca="1" ref="F177" ca="1">IF(AND('Raw Data'!F177&gt;=0,'Raw Data'!F177&lt;=1),"",_xlfn.REGEXEXTRACT(CELL("address",'Raw Data'!F177),"\$([A-Z]+)\$[0-9]+"))</f>
        <v/>
      </c>
      <c r="G177" s="6" t="str" cm="1">
        <f t="array" aca="1" ref="G177" ca="1">IF(AND('Raw Data'!G177&gt;=0,'Raw Data'!G177&lt;=1),"",_xlfn.REGEXEXTRACT(CELL("address",'Raw Data'!G177),"\$([A-Z]+)\$[0-9]+"))</f>
        <v/>
      </c>
      <c r="H177" s="6" t="str" cm="1">
        <f t="array" aca="1" ref="H177" ca="1">IF(AND('Raw Data'!H177&gt;=0,'Raw Data'!H177&lt;=1),"",_xlfn.REGEXEXTRACT(CELL("address",'Raw Data'!H177),"\$([A-Z]+)\$[0-9]+"))</f>
        <v/>
      </c>
      <c r="I177" s="6" t="str" cm="1">
        <f t="array" aca="1" ref="I177" ca="1">IF(AND('Raw Data'!I177&gt;=0,'Raw Data'!I177&lt;=1),"",_xlfn.REGEXEXTRACT(CELL("address",'Raw Data'!I177),"\$([A-Z]+)\$[0-9]+"))</f>
        <v/>
      </c>
      <c r="J177" s="6" t="str" cm="1">
        <f t="array" aca="1" ref="J177" ca="1">IF(AND('Raw Data'!J177&gt;=0,'Raw Data'!J177&lt;=1),"",_xlfn.REGEXEXTRACT(CELL("address",'Raw Data'!J177),"\$([A-Z]+)\$[0-9]+"))</f>
        <v/>
      </c>
    </row>
    <row r="178" spans="2:10" x14ac:dyDescent="0.25">
      <c r="B178" s="6" t="str" cm="1">
        <f t="array" aca="1" ref="B178" ca="1">IF('Raw Data'!$B$10 = "Overall Project","",_xlfn.REGEXEXTRACT(CELL("address",'Raw Data'!B178),"\$([A-Z]+)\$[0-9]+"))</f>
        <v/>
      </c>
      <c r="C178" s="6" t="str" cm="1">
        <f t="array" aca="1" ref="C178" ca="1">IF('Raw Data'!$C$10 = "Month # 1","",_xlfn.REGEXEXTRACT(CELL("address",'Raw Data'!C178),"\$([A-Z]+)\$[0-9]+"))</f>
        <v/>
      </c>
      <c r="D178" s="6"/>
      <c r="E178" s="6" t="str" cm="1">
        <f t="array" aca="1" ref="E178" ca="1">IF(AND('Raw Data'!E178&gt;=0,'Raw Data'!E178&lt;=1),"",_xlfn.REGEXEXTRACT(CELL("address",'Raw Data'!E178),"\$([A-Z]+)\$[0-9]+"))</f>
        <v/>
      </c>
      <c r="F178" s="6" t="str" cm="1">
        <f t="array" aca="1" ref="F178" ca="1">IF(AND('Raw Data'!F178&gt;=0,'Raw Data'!F178&lt;=1),"",_xlfn.REGEXEXTRACT(CELL("address",'Raw Data'!F178),"\$([A-Z]+)\$[0-9]+"))</f>
        <v/>
      </c>
      <c r="G178" s="6" t="str" cm="1">
        <f t="array" aca="1" ref="G178" ca="1">IF(AND('Raw Data'!G178&gt;=0,'Raw Data'!G178&lt;=1),"",_xlfn.REGEXEXTRACT(CELL("address",'Raw Data'!G178),"\$([A-Z]+)\$[0-9]+"))</f>
        <v/>
      </c>
      <c r="H178" s="6" t="str" cm="1">
        <f t="array" aca="1" ref="H178" ca="1">IF(AND('Raw Data'!H178&gt;=0,'Raw Data'!H178&lt;=1),"",_xlfn.REGEXEXTRACT(CELL("address",'Raw Data'!H178),"\$([A-Z]+)\$[0-9]+"))</f>
        <v/>
      </c>
      <c r="I178" s="6" t="str" cm="1">
        <f t="array" aca="1" ref="I178" ca="1">IF(AND('Raw Data'!I178&gt;=0,'Raw Data'!I178&lt;=1),"",_xlfn.REGEXEXTRACT(CELL("address",'Raw Data'!I178),"\$([A-Z]+)\$[0-9]+"))</f>
        <v/>
      </c>
      <c r="J178" s="6" t="str" cm="1">
        <f t="array" aca="1" ref="J178" ca="1">IF(AND('Raw Data'!J178&gt;=0,'Raw Data'!J178&lt;=1),"",_xlfn.REGEXEXTRACT(CELL("address",'Raw Data'!J178),"\$([A-Z]+)\$[0-9]+"))</f>
        <v/>
      </c>
    </row>
    <row r="179" spans="2:10" x14ac:dyDescent="0.25">
      <c r="B179" s="6" t="str" cm="1">
        <f t="array" aca="1" ref="B179" ca="1">IF('Raw Data'!$B$10 = "Overall Project","",_xlfn.REGEXEXTRACT(CELL("address",'Raw Data'!B179),"\$([A-Z]+)\$[0-9]+"))</f>
        <v/>
      </c>
      <c r="C179" s="6" t="str" cm="1">
        <f t="array" aca="1" ref="C179" ca="1">IF('Raw Data'!$C$10 = "Month # 1","",_xlfn.REGEXEXTRACT(CELL("address",'Raw Data'!C179),"\$([A-Z]+)\$[0-9]+"))</f>
        <v/>
      </c>
      <c r="D179" s="6"/>
      <c r="E179" s="6" t="str" cm="1">
        <f t="array" aca="1" ref="E179" ca="1">IF(AND('Raw Data'!E179&gt;=0,'Raw Data'!E179&lt;=1),"",_xlfn.REGEXEXTRACT(CELL("address",'Raw Data'!E179),"\$([A-Z]+)\$[0-9]+"))</f>
        <v/>
      </c>
      <c r="F179" s="6" t="str" cm="1">
        <f t="array" aca="1" ref="F179" ca="1">IF(AND('Raw Data'!F179&gt;=0,'Raw Data'!F179&lt;=1),"",_xlfn.REGEXEXTRACT(CELL("address",'Raw Data'!F179),"\$([A-Z]+)\$[0-9]+"))</f>
        <v/>
      </c>
      <c r="G179" s="6" t="str" cm="1">
        <f t="array" aca="1" ref="G179" ca="1">IF(AND('Raw Data'!G179&gt;=0,'Raw Data'!G179&lt;=1),"",_xlfn.REGEXEXTRACT(CELL("address",'Raw Data'!G179),"\$([A-Z]+)\$[0-9]+"))</f>
        <v/>
      </c>
      <c r="H179" s="6" t="str" cm="1">
        <f t="array" aca="1" ref="H179" ca="1">IF(AND('Raw Data'!H179&gt;=0,'Raw Data'!H179&lt;=1),"",_xlfn.REGEXEXTRACT(CELL("address",'Raw Data'!H179),"\$([A-Z]+)\$[0-9]+"))</f>
        <v/>
      </c>
      <c r="I179" s="6" t="str" cm="1">
        <f t="array" aca="1" ref="I179" ca="1">IF(AND('Raw Data'!I179&gt;=0,'Raw Data'!I179&lt;=1),"",_xlfn.REGEXEXTRACT(CELL("address",'Raw Data'!I179),"\$([A-Z]+)\$[0-9]+"))</f>
        <v/>
      </c>
      <c r="J179" s="6" t="str" cm="1">
        <f t="array" aca="1" ref="J179" ca="1">IF(AND('Raw Data'!J179&gt;=0,'Raw Data'!J179&lt;=1),"",_xlfn.REGEXEXTRACT(CELL("address",'Raw Data'!J179),"\$([A-Z]+)\$[0-9]+"))</f>
        <v/>
      </c>
    </row>
    <row r="180" spans="2:10" x14ac:dyDescent="0.25">
      <c r="B180" s="6" t="str" cm="1">
        <f t="array" aca="1" ref="B180" ca="1">IF('Raw Data'!$B$10 = "Overall Project","",_xlfn.REGEXEXTRACT(CELL("address",'Raw Data'!B180),"\$([A-Z]+)\$[0-9]+"))</f>
        <v/>
      </c>
      <c r="C180" s="6" t="str" cm="1">
        <f t="array" aca="1" ref="C180" ca="1">IF('Raw Data'!$C$10 = "Month # 1","",_xlfn.REGEXEXTRACT(CELL("address",'Raw Data'!C180),"\$([A-Z]+)\$[0-9]+"))</f>
        <v/>
      </c>
      <c r="D180" s="6"/>
      <c r="E180" s="6" t="str" cm="1">
        <f t="array" aca="1" ref="E180" ca="1">IF(AND('Raw Data'!E180&gt;=0,'Raw Data'!E180&lt;=1),"",_xlfn.REGEXEXTRACT(CELL("address",'Raw Data'!E180),"\$([A-Z]+)\$[0-9]+"))</f>
        <v/>
      </c>
      <c r="F180" s="6" t="str" cm="1">
        <f t="array" aca="1" ref="F180" ca="1">IF(AND('Raw Data'!F180&gt;=0,'Raw Data'!F180&lt;=1),"",_xlfn.REGEXEXTRACT(CELL("address",'Raw Data'!F180),"\$([A-Z]+)\$[0-9]+"))</f>
        <v/>
      </c>
      <c r="G180" s="6" t="str" cm="1">
        <f t="array" aca="1" ref="G180" ca="1">IF(AND('Raw Data'!G180&gt;=0,'Raw Data'!G180&lt;=1),"",_xlfn.REGEXEXTRACT(CELL("address",'Raw Data'!G180),"\$([A-Z]+)\$[0-9]+"))</f>
        <v/>
      </c>
      <c r="H180" s="6" t="str" cm="1">
        <f t="array" aca="1" ref="H180" ca="1">IF(AND('Raw Data'!H180&gt;=0,'Raw Data'!H180&lt;=1),"",_xlfn.REGEXEXTRACT(CELL("address",'Raw Data'!H180),"\$([A-Z]+)\$[0-9]+"))</f>
        <v/>
      </c>
      <c r="I180" s="6" t="str" cm="1">
        <f t="array" aca="1" ref="I180" ca="1">IF(AND('Raw Data'!I180&gt;=0,'Raw Data'!I180&lt;=1),"",_xlfn.REGEXEXTRACT(CELL("address",'Raw Data'!I180),"\$([A-Z]+)\$[0-9]+"))</f>
        <v/>
      </c>
      <c r="J180" s="6" t="str" cm="1">
        <f t="array" aca="1" ref="J180" ca="1">IF(AND('Raw Data'!J180&gt;=0,'Raw Data'!J180&lt;=1),"",_xlfn.REGEXEXTRACT(CELL("address",'Raw Data'!J180),"\$([A-Z]+)\$[0-9]+"))</f>
        <v/>
      </c>
    </row>
    <row r="181" spans="2:10" x14ac:dyDescent="0.25">
      <c r="B181" s="6" t="str" cm="1">
        <f t="array" aca="1" ref="B181" ca="1">IF('Raw Data'!$B$10 = "Overall Project","",_xlfn.REGEXEXTRACT(CELL("address",'Raw Data'!B181),"\$([A-Z]+)\$[0-9]+"))</f>
        <v/>
      </c>
      <c r="C181" s="6" t="str" cm="1">
        <f t="array" aca="1" ref="C181" ca="1">IF('Raw Data'!$C$10 = "Month # 1","",_xlfn.REGEXEXTRACT(CELL("address",'Raw Data'!C181),"\$([A-Z]+)\$[0-9]+"))</f>
        <v/>
      </c>
      <c r="D181" s="6"/>
      <c r="E181" s="6" t="str" cm="1">
        <f t="array" aca="1" ref="E181" ca="1">IF(AND('Raw Data'!E181&gt;=0,'Raw Data'!E181&lt;=1),"",_xlfn.REGEXEXTRACT(CELL("address",'Raw Data'!E181),"\$([A-Z]+)\$[0-9]+"))</f>
        <v/>
      </c>
      <c r="F181" s="6" t="str" cm="1">
        <f t="array" aca="1" ref="F181" ca="1">IF(AND('Raw Data'!F181&gt;=0,'Raw Data'!F181&lt;=1),"",_xlfn.REGEXEXTRACT(CELL("address",'Raw Data'!F181),"\$([A-Z]+)\$[0-9]+"))</f>
        <v/>
      </c>
      <c r="G181" s="6" t="str" cm="1">
        <f t="array" aca="1" ref="G181" ca="1">IF(AND('Raw Data'!G181&gt;=0,'Raw Data'!G181&lt;=1),"",_xlfn.REGEXEXTRACT(CELL("address",'Raw Data'!G181),"\$([A-Z]+)\$[0-9]+"))</f>
        <v/>
      </c>
      <c r="H181" s="6" t="str" cm="1">
        <f t="array" aca="1" ref="H181" ca="1">IF(AND('Raw Data'!H181&gt;=0,'Raw Data'!H181&lt;=1),"",_xlfn.REGEXEXTRACT(CELL("address",'Raw Data'!H181),"\$([A-Z]+)\$[0-9]+"))</f>
        <v/>
      </c>
      <c r="I181" s="6" t="str" cm="1">
        <f t="array" aca="1" ref="I181" ca="1">IF(AND('Raw Data'!I181&gt;=0,'Raw Data'!I181&lt;=1),"",_xlfn.REGEXEXTRACT(CELL("address",'Raw Data'!I181),"\$([A-Z]+)\$[0-9]+"))</f>
        <v/>
      </c>
      <c r="J181" s="6" t="str" cm="1">
        <f t="array" aca="1" ref="J181" ca="1">IF(AND('Raw Data'!J181&gt;=0,'Raw Data'!J181&lt;=1),"",_xlfn.REGEXEXTRACT(CELL("address",'Raw Data'!J181),"\$([A-Z]+)\$[0-9]+"))</f>
        <v/>
      </c>
    </row>
    <row r="182" spans="2:10" x14ac:dyDescent="0.25">
      <c r="B182" s="6" t="str" cm="1">
        <f t="array" aca="1" ref="B182" ca="1">IF('Raw Data'!$B$10 = "Overall Project","",_xlfn.REGEXEXTRACT(CELL("address",'Raw Data'!B182),"\$([A-Z]+)\$[0-9]+"))</f>
        <v/>
      </c>
      <c r="C182" s="6" t="str" cm="1">
        <f t="array" aca="1" ref="C182" ca="1">IF('Raw Data'!$C$10 = "Month # 1","",_xlfn.REGEXEXTRACT(CELL("address",'Raw Data'!C182),"\$([A-Z]+)\$[0-9]+"))</f>
        <v/>
      </c>
      <c r="D182" s="6"/>
      <c r="E182" s="6" t="str" cm="1">
        <f t="array" aca="1" ref="E182" ca="1">IF(AND('Raw Data'!E182&gt;=0,'Raw Data'!E182&lt;=1),"",_xlfn.REGEXEXTRACT(CELL("address",'Raw Data'!E182),"\$([A-Z]+)\$[0-9]+"))</f>
        <v/>
      </c>
      <c r="F182" s="6" t="str" cm="1">
        <f t="array" aca="1" ref="F182" ca="1">IF(AND('Raw Data'!F182&gt;=0,'Raw Data'!F182&lt;=1),"",_xlfn.REGEXEXTRACT(CELL("address",'Raw Data'!F182),"\$([A-Z]+)\$[0-9]+"))</f>
        <v/>
      </c>
      <c r="G182" s="6" t="str" cm="1">
        <f t="array" aca="1" ref="G182" ca="1">IF(AND('Raw Data'!G182&gt;=0,'Raw Data'!G182&lt;=1),"",_xlfn.REGEXEXTRACT(CELL("address",'Raw Data'!G182),"\$([A-Z]+)\$[0-9]+"))</f>
        <v/>
      </c>
      <c r="H182" s="6" t="str" cm="1">
        <f t="array" aca="1" ref="H182" ca="1">IF(AND('Raw Data'!H182&gt;=0,'Raw Data'!H182&lt;=1),"",_xlfn.REGEXEXTRACT(CELL("address",'Raw Data'!H182),"\$([A-Z]+)\$[0-9]+"))</f>
        <v/>
      </c>
      <c r="I182" s="6" t="str" cm="1">
        <f t="array" aca="1" ref="I182" ca="1">IF(AND('Raw Data'!I182&gt;=0,'Raw Data'!I182&lt;=1),"",_xlfn.REGEXEXTRACT(CELL("address",'Raw Data'!I182),"\$([A-Z]+)\$[0-9]+"))</f>
        <v/>
      </c>
      <c r="J182" s="6" t="str" cm="1">
        <f t="array" aca="1" ref="J182" ca="1">IF(AND('Raw Data'!J182&gt;=0,'Raw Data'!J182&lt;=1),"",_xlfn.REGEXEXTRACT(CELL("address",'Raw Data'!J182),"\$([A-Z]+)\$[0-9]+"))</f>
        <v/>
      </c>
    </row>
    <row r="183" spans="2:10" x14ac:dyDescent="0.25">
      <c r="B183" s="6" t="str" cm="1">
        <f t="array" aca="1" ref="B183" ca="1">IF('Raw Data'!$B$10 = "Overall Project","",_xlfn.REGEXEXTRACT(CELL("address",'Raw Data'!B183),"\$([A-Z]+)\$[0-9]+"))</f>
        <v/>
      </c>
      <c r="C183" s="6" t="str" cm="1">
        <f t="array" aca="1" ref="C183" ca="1">IF('Raw Data'!$C$10 = "Month # 1","",_xlfn.REGEXEXTRACT(CELL("address",'Raw Data'!C183),"\$([A-Z]+)\$[0-9]+"))</f>
        <v/>
      </c>
      <c r="D183" s="6"/>
      <c r="E183" s="6" t="str" cm="1">
        <f t="array" aca="1" ref="E183" ca="1">IF(AND('Raw Data'!E183&gt;=0,'Raw Data'!E183&lt;=1),"",_xlfn.REGEXEXTRACT(CELL("address",'Raw Data'!E183),"\$([A-Z]+)\$[0-9]+"))</f>
        <v/>
      </c>
      <c r="F183" s="6" t="str" cm="1">
        <f t="array" aca="1" ref="F183" ca="1">IF(AND('Raw Data'!F183&gt;=0,'Raw Data'!F183&lt;=1),"",_xlfn.REGEXEXTRACT(CELL("address",'Raw Data'!F183),"\$([A-Z]+)\$[0-9]+"))</f>
        <v/>
      </c>
      <c r="G183" s="6" t="str" cm="1">
        <f t="array" aca="1" ref="G183" ca="1">IF(AND('Raw Data'!G183&gt;=0,'Raw Data'!G183&lt;=1),"",_xlfn.REGEXEXTRACT(CELL("address",'Raw Data'!G183),"\$([A-Z]+)\$[0-9]+"))</f>
        <v/>
      </c>
      <c r="H183" s="6" t="str" cm="1">
        <f t="array" aca="1" ref="H183" ca="1">IF(AND('Raw Data'!H183&gt;=0,'Raw Data'!H183&lt;=1),"",_xlfn.REGEXEXTRACT(CELL("address",'Raw Data'!H183),"\$([A-Z]+)\$[0-9]+"))</f>
        <v/>
      </c>
      <c r="I183" s="6" t="str" cm="1">
        <f t="array" aca="1" ref="I183" ca="1">IF(AND('Raw Data'!I183&gt;=0,'Raw Data'!I183&lt;=1),"",_xlfn.REGEXEXTRACT(CELL("address",'Raw Data'!I183),"\$([A-Z]+)\$[0-9]+"))</f>
        <v/>
      </c>
      <c r="J183" s="6" t="str" cm="1">
        <f t="array" aca="1" ref="J183" ca="1">IF(AND('Raw Data'!J183&gt;=0,'Raw Data'!J183&lt;=1),"",_xlfn.REGEXEXTRACT(CELL("address",'Raw Data'!J183),"\$([A-Z]+)\$[0-9]+"))</f>
        <v/>
      </c>
    </row>
    <row r="184" spans="2:10" x14ac:dyDescent="0.25">
      <c r="B184" s="6" t="str" cm="1">
        <f t="array" aca="1" ref="B184" ca="1">IF('Raw Data'!$B$10 = "Overall Project","",_xlfn.REGEXEXTRACT(CELL("address",'Raw Data'!B184),"\$([A-Z]+)\$[0-9]+"))</f>
        <v/>
      </c>
      <c r="C184" s="6" t="str" cm="1">
        <f t="array" aca="1" ref="C184" ca="1">IF('Raw Data'!$C$10 = "Month # 1","",_xlfn.REGEXEXTRACT(CELL("address",'Raw Data'!C184),"\$([A-Z]+)\$[0-9]+"))</f>
        <v/>
      </c>
      <c r="D184" s="6"/>
      <c r="E184" s="6" t="str" cm="1">
        <f t="array" aca="1" ref="E184" ca="1">IF(AND('Raw Data'!E184&gt;=0,'Raw Data'!E184&lt;=1),"",_xlfn.REGEXEXTRACT(CELL("address",'Raw Data'!E184),"\$([A-Z]+)\$[0-9]+"))</f>
        <v/>
      </c>
      <c r="F184" s="6" t="str" cm="1">
        <f t="array" aca="1" ref="F184" ca="1">IF(AND('Raw Data'!F184&gt;=0,'Raw Data'!F184&lt;=1),"",_xlfn.REGEXEXTRACT(CELL("address",'Raw Data'!F184),"\$([A-Z]+)\$[0-9]+"))</f>
        <v/>
      </c>
      <c r="G184" s="6" t="str" cm="1">
        <f t="array" aca="1" ref="G184" ca="1">IF(AND('Raw Data'!G184&gt;=0,'Raw Data'!G184&lt;=1),"",_xlfn.REGEXEXTRACT(CELL("address",'Raw Data'!G184),"\$([A-Z]+)\$[0-9]+"))</f>
        <v/>
      </c>
      <c r="H184" s="6" t="str" cm="1">
        <f t="array" aca="1" ref="H184" ca="1">IF(AND('Raw Data'!H184&gt;=0,'Raw Data'!H184&lt;=1),"",_xlfn.REGEXEXTRACT(CELL("address",'Raw Data'!H184),"\$([A-Z]+)\$[0-9]+"))</f>
        <v/>
      </c>
      <c r="I184" s="6" t="str" cm="1">
        <f t="array" aca="1" ref="I184" ca="1">IF(AND('Raw Data'!I184&gt;=0,'Raw Data'!I184&lt;=1),"",_xlfn.REGEXEXTRACT(CELL("address",'Raw Data'!I184),"\$([A-Z]+)\$[0-9]+"))</f>
        <v/>
      </c>
      <c r="J184" s="6" t="str" cm="1">
        <f t="array" aca="1" ref="J184" ca="1">IF(AND('Raw Data'!J184&gt;=0,'Raw Data'!J184&lt;=1),"",_xlfn.REGEXEXTRACT(CELL("address",'Raw Data'!J184),"\$([A-Z]+)\$[0-9]+"))</f>
        <v/>
      </c>
    </row>
    <row r="185" spans="2:10" x14ac:dyDescent="0.25">
      <c r="B185" s="6" t="str" cm="1">
        <f t="array" aca="1" ref="B185" ca="1">IF('Raw Data'!$B$10 = "Overall Project","",_xlfn.REGEXEXTRACT(CELL("address",'Raw Data'!B185),"\$([A-Z]+)\$[0-9]+"))</f>
        <v/>
      </c>
      <c r="C185" s="6" t="str" cm="1">
        <f t="array" aca="1" ref="C185" ca="1">IF('Raw Data'!$C$10 = "Month # 1","",_xlfn.REGEXEXTRACT(CELL("address",'Raw Data'!C185),"\$([A-Z]+)\$[0-9]+"))</f>
        <v/>
      </c>
      <c r="D185" s="6"/>
      <c r="E185" s="6" t="str" cm="1">
        <f t="array" aca="1" ref="E185" ca="1">IF(AND('Raw Data'!E185&gt;=0,'Raw Data'!E185&lt;=1),"",_xlfn.REGEXEXTRACT(CELL("address",'Raw Data'!E185),"\$([A-Z]+)\$[0-9]+"))</f>
        <v/>
      </c>
      <c r="F185" s="6" t="str" cm="1">
        <f t="array" aca="1" ref="F185" ca="1">IF(AND('Raw Data'!F185&gt;=0,'Raw Data'!F185&lt;=1),"",_xlfn.REGEXEXTRACT(CELL("address",'Raw Data'!F185),"\$([A-Z]+)\$[0-9]+"))</f>
        <v/>
      </c>
      <c r="G185" s="6" t="str" cm="1">
        <f t="array" aca="1" ref="G185" ca="1">IF(AND('Raw Data'!G185&gt;=0,'Raw Data'!G185&lt;=1),"",_xlfn.REGEXEXTRACT(CELL("address",'Raw Data'!G185),"\$([A-Z]+)\$[0-9]+"))</f>
        <v/>
      </c>
      <c r="H185" s="6" t="str" cm="1">
        <f t="array" aca="1" ref="H185" ca="1">IF(AND('Raw Data'!H185&gt;=0,'Raw Data'!H185&lt;=1),"",_xlfn.REGEXEXTRACT(CELL("address",'Raw Data'!H185),"\$([A-Z]+)\$[0-9]+"))</f>
        <v/>
      </c>
      <c r="I185" s="6" t="str" cm="1">
        <f t="array" aca="1" ref="I185" ca="1">IF(AND('Raw Data'!I185&gt;=0,'Raw Data'!I185&lt;=1),"",_xlfn.REGEXEXTRACT(CELL("address",'Raw Data'!I185),"\$([A-Z]+)\$[0-9]+"))</f>
        <v/>
      </c>
      <c r="J185" s="6" t="str" cm="1">
        <f t="array" aca="1" ref="J185" ca="1">IF(AND('Raw Data'!J185&gt;=0,'Raw Data'!J185&lt;=1),"",_xlfn.REGEXEXTRACT(CELL("address",'Raw Data'!J185),"\$([A-Z]+)\$[0-9]+"))</f>
        <v/>
      </c>
    </row>
    <row r="186" spans="2:10" x14ac:dyDescent="0.25">
      <c r="B186" s="6" t="str" cm="1">
        <f t="array" aca="1" ref="B186" ca="1">IF('Raw Data'!$B$10 = "Overall Project","",_xlfn.REGEXEXTRACT(CELL("address",'Raw Data'!B186),"\$([A-Z]+)\$[0-9]+"))</f>
        <v/>
      </c>
      <c r="C186" s="6" t="str" cm="1">
        <f t="array" aca="1" ref="C186" ca="1">IF('Raw Data'!$C$10 = "Month # 1","",_xlfn.REGEXEXTRACT(CELL("address",'Raw Data'!C186),"\$([A-Z]+)\$[0-9]+"))</f>
        <v/>
      </c>
      <c r="D186" s="6"/>
      <c r="E186" s="6" t="str" cm="1">
        <f t="array" aca="1" ref="E186" ca="1">IF(AND('Raw Data'!E186&gt;=0,'Raw Data'!E186&lt;=1),"",_xlfn.REGEXEXTRACT(CELL("address",'Raw Data'!E186),"\$([A-Z]+)\$[0-9]+"))</f>
        <v/>
      </c>
      <c r="F186" s="6" t="str" cm="1">
        <f t="array" aca="1" ref="F186" ca="1">IF(AND('Raw Data'!F186&gt;=0,'Raw Data'!F186&lt;=1),"",_xlfn.REGEXEXTRACT(CELL("address",'Raw Data'!F186),"\$([A-Z]+)\$[0-9]+"))</f>
        <v/>
      </c>
      <c r="G186" s="6" t="str" cm="1">
        <f t="array" aca="1" ref="G186" ca="1">IF(AND('Raw Data'!G186&gt;=0,'Raw Data'!G186&lt;=1),"",_xlfn.REGEXEXTRACT(CELL("address",'Raw Data'!G186),"\$([A-Z]+)\$[0-9]+"))</f>
        <v/>
      </c>
      <c r="H186" s="6" t="str" cm="1">
        <f t="array" aca="1" ref="H186" ca="1">IF(AND('Raw Data'!H186&gt;=0,'Raw Data'!H186&lt;=1),"",_xlfn.REGEXEXTRACT(CELL("address",'Raw Data'!H186),"\$([A-Z]+)\$[0-9]+"))</f>
        <v/>
      </c>
      <c r="I186" s="6" t="str" cm="1">
        <f t="array" aca="1" ref="I186" ca="1">IF(AND('Raw Data'!I186&gt;=0,'Raw Data'!I186&lt;=1),"",_xlfn.REGEXEXTRACT(CELL("address",'Raw Data'!I186),"\$([A-Z]+)\$[0-9]+"))</f>
        <v/>
      </c>
      <c r="J186" s="6" t="str" cm="1">
        <f t="array" aca="1" ref="J186" ca="1">IF(AND('Raw Data'!J186&gt;=0,'Raw Data'!J186&lt;=1),"",_xlfn.REGEXEXTRACT(CELL("address",'Raw Data'!J186),"\$([A-Z]+)\$[0-9]+"))</f>
        <v/>
      </c>
    </row>
    <row r="187" spans="2:10" x14ac:dyDescent="0.25">
      <c r="B187" s="6" t="str" cm="1">
        <f t="array" aca="1" ref="B187" ca="1">IF('Raw Data'!$B$10 = "Overall Project","",_xlfn.REGEXEXTRACT(CELL("address",'Raw Data'!B187),"\$([A-Z]+)\$[0-9]+"))</f>
        <v/>
      </c>
      <c r="C187" s="6" t="str" cm="1">
        <f t="array" aca="1" ref="C187" ca="1">IF('Raw Data'!$C$10 = "Month # 1","",_xlfn.REGEXEXTRACT(CELL("address",'Raw Data'!C187),"\$([A-Z]+)\$[0-9]+"))</f>
        <v/>
      </c>
      <c r="D187" s="6"/>
      <c r="E187" s="6" t="str" cm="1">
        <f t="array" aca="1" ref="E187" ca="1">IF(AND('Raw Data'!E187&gt;=0,'Raw Data'!E187&lt;=1),"",_xlfn.REGEXEXTRACT(CELL("address",'Raw Data'!E187),"\$([A-Z]+)\$[0-9]+"))</f>
        <v/>
      </c>
      <c r="F187" s="6" t="str" cm="1">
        <f t="array" aca="1" ref="F187" ca="1">IF(AND('Raw Data'!F187&gt;=0,'Raw Data'!F187&lt;=1),"",_xlfn.REGEXEXTRACT(CELL("address",'Raw Data'!F187),"\$([A-Z]+)\$[0-9]+"))</f>
        <v/>
      </c>
      <c r="G187" s="6" t="str" cm="1">
        <f t="array" aca="1" ref="G187" ca="1">IF(AND('Raw Data'!G187&gt;=0,'Raw Data'!G187&lt;=1),"",_xlfn.REGEXEXTRACT(CELL("address",'Raw Data'!G187),"\$([A-Z]+)\$[0-9]+"))</f>
        <v/>
      </c>
      <c r="H187" s="6" t="str" cm="1">
        <f t="array" aca="1" ref="H187" ca="1">IF(AND('Raw Data'!H187&gt;=0,'Raw Data'!H187&lt;=1),"",_xlfn.REGEXEXTRACT(CELL("address",'Raw Data'!H187),"\$([A-Z]+)\$[0-9]+"))</f>
        <v/>
      </c>
      <c r="I187" s="6" t="str" cm="1">
        <f t="array" aca="1" ref="I187" ca="1">IF(AND('Raw Data'!I187&gt;=0,'Raw Data'!I187&lt;=1),"",_xlfn.REGEXEXTRACT(CELL("address",'Raw Data'!I187),"\$([A-Z]+)\$[0-9]+"))</f>
        <v/>
      </c>
      <c r="J187" s="6" t="str" cm="1">
        <f t="array" aca="1" ref="J187" ca="1">IF(AND('Raw Data'!J187&gt;=0,'Raw Data'!J187&lt;=1),"",_xlfn.REGEXEXTRACT(CELL("address",'Raw Data'!J187),"\$([A-Z]+)\$[0-9]+"))</f>
        <v/>
      </c>
    </row>
    <row r="188" spans="2:10" x14ac:dyDescent="0.25">
      <c r="B188" s="6" t="str" cm="1">
        <f t="array" aca="1" ref="B188" ca="1">IF('Raw Data'!$B$10 = "Overall Project","",_xlfn.REGEXEXTRACT(CELL("address",'Raw Data'!B188),"\$([A-Z]+)\$[0-9]+"))</f>
        <v/>
      </c>
      <c r="C188" s="6" t="str" cm="1">
        <f t="array" aca="1" ref="C188" ca="1">IF('Raw Data'!$C$10 = "Month # 1","",_xlfn.REGEXEXTRACT(CELL("address",'Raw Data'!C188),"\$([A-Z]+)\$[0-9]+"))</f>
        <v/>
      </c>
      <c r="D188" s="6"/>
      <c r="E188" s="6" t="str" cm="1">
        <f t="array" aca="1" ref="E188" ca="1">IF(AND('Raw Data'!E188&gt;=0,'Raw Data'!E188&lt;=1),"",_xlfn.REGEXEXTRACT(CELL("address",'Raw Data'!E188),"\$([A-Z]+)\$[0-9]+"))</f>
        <v/>
      </c>
      <c r="F188" s="6" t="str" cm="1">
        <f t="array" aca="1" ref="F188" ca="1">IF(AND('Raw Data'!F188&gt;=0,'Raw Data'!F188&lt;=1),"",_xlfn.REGEXEXTRACT(CELL("address",'Raw Data'!F188),"\$([A-Z]+)\$[0-9]+"))</f>
        <v/>
      </c>
      <c r="G188" s="6" t="str" cm="1">
        <f t="array" aca="1" ref="G188" ca="1">IF(AND('Raw Data'!G188&gt;=0,'Raw Data'!G188&lt;=1),"",_xlfn.REGEXEXTRACT(CELL("address",'Raw Data'!G188),"\$([A-Z]+)\$[0-9]+"))</f>
        <v/>
      </c>
      <c r="H188" s="6" t="str" cm="1">
        <f t="array" aca="1" ref="H188" ca="1">IF(AND('Raw Data'!H188&gt;=0,'Raw Data'!H188&lt;=1),"",_xlfn.REGEXEXTRACT(CELL("address",'Raw Data'!H188),"\$([A-Z]+)\$[0-9]+"))</f>
        <v/>
      </c>
      <c r="I188" s="6" t="str" cm="1">
        <f t="array" aca="1" ref="I188" ca="1">IF(AND('Raw Data'!I188&gt;=0,'Raw Data'!I188&lt;=1),"",_xlfn.REGEXEXTRACT(CELL("address",'Raw Data'!I188),"\$([A-Z]+)\$[0-9]+"))</f>
        <v/>
      </c>
      <c r="J188" s="6" t="str" cm="1">
        <f t="array" aca="1" ref="J188" ca="1">IF(AND('Raw Data'!J188&gt;=0,'Raw Data'!J188&lt;=1),"",_xlfn.REGEXEXTRACT(CELL("address",'Raw Data'!J188),"\$([A-Z]+)\$[0-9]+"))</f>
        <v/>
      </c>
    </row>
    <row r="189" spans="2:10" x14ac:dyDescent="0.25">
      <c r="B189" s="6" t="str" cm="1">
        <f t="array" aca="1" ref="B189" ca="1">IF('Raw Data'!$B$10 = "Overall Project","",_xlfn.REGEXEXTRACT(CELL("address",'Raw Data'!B189),"\$([A-Z]+)\$[0-9]+"))</f>
        <v/>
      </c>
      <c r="C189" s="6" t="str" cm="1">
        <f t="array" aca="1" ref="C189" ca="1">IF('Raw Data'!$C$10 = "Month # 1","",_xlfn.REGEXEXTRACT(CELL("address",'Raw Data'!C189),"\$([A-Z]+)\$[0-9]+"))</f>
        <v/>
      </c>
      <c r="D189" s="6"/>
      <c r="E189" s="6" t="str" cm="1">
        <f t="array" aca="1" ref="E189" ca="1">IF(AND('Raw Data'!E189&gt;=0,'Raw Data'!E189&lt;=1),"",_xlfn.REGEXEXTRACT(CELL("address",'Raw Data'!E189),"\$([A-Z]+)\$[0-9]+"))</f>
        <v/>
      </c>
      <c r="F189" s="6" t="str" cm="1">
        <f t="array" aca="1" ref="F189" ca="1">IF(AND('Raw Data'!F189&gt;=0,'Raw Data'!F189&lt;=1),"",_xlfn.REGEXEXTRACT(CELL("address",'Raw Data'!F189),"\$([A-Z]+)\$[0-9]+"))</f>
        <v/>
      </c>
      <c r="G189" s="6" t="str" cm="1">
        <f t="array" aca="1" ref="G189" ca="1">IF(AND('Raw Data'!G189&gt;=0,'Raw Data'!G189&lt;=1),"",_xlfn.REGEXEXTRACT(CELL("address",'Raw Data'!G189),"\$([A-Z]+)\$[0-9]+"))</f>
        <v/>
      </c>
      <c r="H189" s="6" t="str" cm="1">
        <f t="array" aca="1" ref="H189" ca="1">IF(AND('Raw Data'!H189&gt;=0,'Raw Data'!H189&lt;=1),"",_xlfn.REGEXEXTRACT(CELL("address",'Raw Data'!H189),"\$([A-Z]+)\$[0-9]+"))</f>
        <v/>
      </c>
      <c r="I189" s="6" t="str" cm="1">
        <f t="array" aca="1" ref="I189" ca="1">IF(AND('Raw Data'!I189&gt;=0,'Raw Data'!I189&lt;=1),"",_xlfn.REGEXEXTRACT(CELL("address",'Raw Data'!I189),"\$([A-Z]+)\$[0-9]+"))</f>
        <v/>
      </c>
      <c r="J189" s="6" t="str" cm="1">
        <f t="array" aca="1" ref="J189" ca="1">IF(AND('Raw Data'!J189&gt;=0,'Raw Data'!J189&lt;=1),"",_xlfn.REGEXEXTRACT(CELL("address",'Raw Data'!J189),"\$([A-Z]+)\$[0-9]+"))</f>
        <v/>
      </c>
    </row>
    <row r="190" spans="2:10" x14ac:dyDescent="0.25">
      <c r="B190" s="6" t="str" cm="1">
        <f t="array" aca="1" ref="B190" ca="1">IF('Raw Data'!$B$10 = "Overall Project","",_xlfn.REGEXEXTRACT(CELL("address",'Raw Data'!B190),"\$([A-Z]+)\$[0-9]+"))</f>
        <v/>
      </c>
      <c r="C190" s="6" t="str" cm="1">
        <f t="array" aca="1" ref="C190" ca="1">IF('Raw Data'!$C$10 = "Month # 1","",_xlfn.REGEXEXTRACT(CELL("address",'Raw Data'!C190),"\$([A-Z]+)\$[0-9]+"))</f>
        <v/>
      </c>
      <c r="D190" s="6"/>
      <c r="E190" s="6" t="str" cm="1">
        <f t="array" aca="1" ref="E190" ca="1">IF(AND('Raw Data'!E190&gt;=0,'Raw Data'!E190&lt;=1),"",_xlfn.REGEXEXTRACT(CELL("address",'Raw Data'!E190),"\$([A-Z]+)\$[0-9]+"))</f>
        <v/>
      </c>
      <c r="F190" s="6" t="str" cm="1">
        <f t="array" aca="1" ref="F190" ca="1">IF(AND('Raw Data'!F190&gt;=0,'Raw Data'!F190&lt;=1),"",_xlfn.REGEXEXTRACT(CELL("address",'Raw Data'!F190),"\$([A-Z]+)\$[0-9]+"))</f>
        <v/>
      </c>
      <c r="G190" s="6" t="str" cm="1">
        <f t="array" aca="1" ref="G190" ca="1">IF(AND('Raw Data'!G190&gt;=0,'Raw Data'!G190&lt;=1),"",_xlfn.REGEXEXTRACT(CELL("address",'Raw Data'!G190),"\$([A-Z]+)\$[0-9]+"))</f>
        <v/>
      </c>
      <c r="H190" s="6" t="str" cm="1">
        <f t="array" aca="1" ref="H190" ca="1">IF(AND('Raw Data'!H190&gt;=0,'Raw Data'!H190&lt;=1),"",_xlfn.REGEXEXTRACT(CELL("address",'Raw Data'!H190),"\$([A-Z]+)\$[0-9]+"))</f>
        <v/>
      </c>
      <c r="I190" s="6" t="str" cm="1">
        <f t="array" aca="1" ref="I190" ca="1">IF(AND('Raw Data'!I190&gt;=0,'Raw Data'!I190&lt;=1),"",_xlfn.REGEXEXTRACT(CELL("address",'Raw Data'!I190),"\$([A-Z]+)\$[0-9]+"))</f>
        <v/>
      </c>
      <c r="J190" s="6" t="str" cm="1">
        <f t="array" aca="1" ref="J190" ca="1">IF(AND('Raw Data'!J190&gt;=0,'Raw Data'!J190&lt;=1),"",_xlfn.REGEXEXTRACT(CELL("address",'Raw Data'!J190),"\$([A-Z]+)\$[0-9]+"))</f>
        <v/>
      </c>
    </row>
    <row r="191" spans="2:10" x14ac:dyDescent="0.25">
      <c r="B191" s="6" t="str" cm="1">
        <f t="array" aca="1" ref="B191" ca="1">IF('Raw Data'!$B$10 = "Overall Project","",_xlfn.REGEXEXTRACT(CELL("address",'Raw Data'!B191),"\$([A-Z]+)\$[0-9]+"))</f>
        <v/>
      </c>
      <c r="C191" s="6" t="str" cm="1">
        <f t="array" aca="1" ref="C191" ca="1">IF('Raw Data'!$C$10 = "Month # 1","",_xlfn.REGEXEXTRACT(CELL("address",'Raw Data'!C191),"\$([A-Z]+)\$[0-9]+"))</f>
        <v/>
      </c>
      <c r="D191" s="6"/>
      <c r="E191" s="6" t="str" cm="1">
        <f t="array" aca="1" ref="E191" ca="1">IF(AND('Raw Data'!E191&gt;=0,'Raw Data'!E191&lt;=1),"",_xlfn.REGEXEXTRACT(CELL("address",'Raw Data'!E191),"\$([A-Z]+)\$[0-9]+"))</f>
        <v/>
      </c>
      <c r="F191" s="6" t="str" cm="1">
        <f t="array" aca="1" ref="F191" ca="1">IF(AND('Raw Data'!F191&gt;=0,'Raw Data'!F191&lt;=1),"",_xlfn.REGEXEXTRACT(CELL("address",'Raw Data'!F191),"\$([A-Z]+)\$[0-9]+"))</f>
        <v/>
      </c>
      <c r="G191" s="6" t="str" cm="1">
        <f t="array" aca="1" ref="G191" ca="1">IF(AND('Raw Data'!G191&gt;=0,'Raw Data'!G191&lt;=1),"",_xlfn.REGEXEXTRACT(CELL("address",'Raw Data'!G191),"\$([A-Z]+)\$[0-9]+"))</f>
        <v/>
      </c>
      <c r="H191" s="6" t="str" cm="1">
        <f t="array" aca="1" ref="H191" ca="1">IF(AND('Raw Data'!H191&gt;=0,'Raw Data'!H191&lt;=1),"",_xlfn.REGEXEXTRACT(CELL("address",'Raw Data'!H191),"\$([A-Z]+)\$[0-9]+"))</f>
        <v/>
      </c>
      <c r="I191" s="6" t="str" cm="1">
        <f t="array" aca="1" ref="I191" ca="1">IF(AND('Raw Data'!I191&gt;=0,'Raw Data'!I191&lt;=1),"",_xlfn.REGEXEXTRACT(CELL("address",'Raw Data'!I191),"\$([A-Z]+)\$[0-9]+"))</f>
        <v/>
      </c>
      <c r="J191" s="6" t="str" cm="1">
        <f t="array" aca="1" ref="J191" ca="1">IF(AND('Raw Data'!J191&gt;=0,'Raw Data'!J191&lt;=1),"",_xlfn.REGEXEXTRACT(CELL("address",'Raw Data'!J191),"\$([A-Z]+)\$[0-9]+"))</f>
        <v/>
      </c>
    </row>
    <row r="192" spans="2:10" x14ac:dyDescent="0.25">
      <c r="B192" s="6" t="str" cm="1">
        <f t="array" aca="1" ref="B192" ca="1">IF('Raw Data'!$B$10 = "Overall Project","",_xlfn.REGEXEXTRACT(CELL("address",'Raw Data'!B192),"\$([A-Z]+)\$[0-9]+"))</f>
        <v/>
      </c>
      <c r="C192" s="6" t="str" cm="1">
        <f t="array" aca="1" ref="C192" ca="1">IF('Raw Data'!$C$10 = "Month # 1","",_xlfn.REGEXEXTRACT(CELL("address",'Raw Data'!C192),"\$([A-Z]+)\$[0-9]+"))</f>
        <v/>
      </c>
      <c r="D192" s="6"/>
      <c r="E192" s="6" t="str" cm="1">
        <f t="array" aca="1" ref="E192" ca="1">IF(AND('Raw Data'!E192&gt;=0,'Raw Data'!E192&lt;=1),"",_xlfn.REGEXEXTRACT(CELL("address",'Raw Data'!E192),"\$([A-Z]+)\$[0-9]+"))</f>
        <v/>
      </c>
      <c r="F192" s="6" t="str" cm="1">
        <f t="array" aca="1" ref="F192" ca="1">IF(AND('Raw Data'!F192&gt;=0,'Raw Data'!F192&lt;=1),"",_xlfn.REGEXEXTRACT(CELL("address",'Raw Data'!F192),"\$([A-Z]+)\$[0-9]+"))</f>
        <v/>
      </c>
      <c r="G192" s="6" t="str" cm="1">
        <f t="array" aca="1" ref="G192" ca="1">IF(AND('Raw Data'!G192&gt;=0,'Raw Data'!G192&lt;=1),"",_xlfn.REGEXEXTRACT(CELL("address",'Raw Data'!G192),"\$([A-Z]+)\$[0-9]+"))</f>
        <v/>
      </c>
      <c r="H192" s="6" t="str" cm="1">
        <f t="array" aca="1" ref="H192" ca="1">IF(AND('Raw Data'!H192&gt;=0,'Raw Data'!H192&lt;=1),"",_xlfn.REGEXEXTRACT(CELL("address",'Raw Data'!H192),"\$([A-Z]+)\$[0-9]+"))</f>
        <v/>
      </c>
      <c r="I192" s="6" t="str" cm="1">
        <f t="array" aca="1" ref="I192" ca="1">IF(AND('Raw Data'!I192&gt;=0,'Raw Data'!I192&lt;=1),"",_xlfn.REGEXEXTRACT(CELL("address",'Raw Data'!I192),"\$([A-Z]+)\$[0-9]+"))</f>
        <v/>
      </c>
      <c r="J192" s="6" t="str" cm="1">
        <f t="array" aca="1" ref="J192" ca="1">IF(AND('Raw Data'!J192&gt;=0,'Raw Data'!J192&lt;=1),"",_xlfn.REGEXEXTRACT(CELL("address",'Raw Data'!J192),"\$([A-Z]+)\$[0-9]+"))</f>
        <v/>
      </c>
    </row>
    <row r="193" spans="2:10" x14ac:dyDescent="0.25">
      <c r="B193" s="6" t="str" cm="1">
        <f t="array" aca="1" ref="B193" ca="1">IF('Raw Data'!$B$10 = "Overall Project","",_xlfn.REGEXEXTRACT(CELL("address",'Raw Data'!B193),"\$([A-Z]+)\$[0-9]+"))</f>
        <v/>
      </c>
      <c r="C193" s="6" t="str" cm="1">
        <f t="array" aca="1" ref="C193" ca="1">IF('Raw Data'!$C$10 = "Month # 1","",_xlfn.REGEXEXTRACT(CELL("address",'Raw Data'!C193),"\$([A-Z]+)\$[0-9]+"))</f>
        <v/>
      </c>
      <c r="D193" s="6"/>
      <c r="E193" s="6" t="str" cm="1">
        <f t="array" aca="1" ref="E193" ca="1">IF(AND('Raw Data'!E193&gt;=0,'Raw Data'!E193&lt;=1),"",_xlfn.REGEXEXTRACT(CELL("address",'Raw Data'!E193),"\$([A-Z]+)\$[0-9]+"))</f>
        <v/>
      </c>
      <c r="F193" s="6" t="str" cm="1">
        <f t="array" aca="1" ref="F193" ca="1">IF(AND('Raw Data'!F193&gt;=0,'Raw Data'!F193&lt;=1),"",_xlfn.REGEXEXTRACT(CELL("address",'Raw Data'!F193),"\$([A-Z]+)\$[0-9]+"))</f>
        <v/>
      </c>
      <c r="G193" s="6" t="str" cm="1">
        <f t="array" aca="1" ref="G193" ca="1">IF(AND('Raw Data'!G193&gt;=0,'Raw Data'!G193&lt;=1),"",_xlfn.REGEXEXTRACT(CELL("address",'Raw Data'!G193),"\$([A-Z]+)\$[0-9]+"))</f>
        <v/>
      </c>
      <c r="H193" s="6" t="str" cm="1">
        <f t="array" aca="1" ref="H193" ca="1">IF(AND('Raw Data'!H193&gt;=0,'Raw Data'!H193&lt;=1),"",_xlfn.REGEXEXTRACT(CELL("address",'Raw Data'!H193),"\$([A-Z]+)\$[0-9]+"))</f>
        <v/>
      </c>
      <c r="I193" s="6" t="str" cm="1">
        <f t="array" aca="1" ref="I193" ca="1">IF(AND('Raw Data'!I193&gt;=0,'Raw Data'!I193&lt;=1),"",_xlfn.REGEXEXTRACT(CELL("address",'Raw Data'!I193),"\$([A-Z]+)\$[0-9]+"))</f>
        <v/>
      </c>
      <c r="J193" s="6" t="str" cm="1">
        <f t="array" aca="1" ref="J193" ca="1">IF(AND('Raw Data'!J193&gt;=0,'Raw Data'!J193&lt;=1),"",_xlfn.REGEXEXTRACT(CELL("address",'Raw Data'!J193),"\$([A-Z]+)\$[0-9]+"))</f>
        <v/>
      </c>
    </row>
    <row r="194" spans="2:10" x14ac:dyDescent="0.25">
      <c r="B194" s="6" t="str" cm="1">
        <f t="array" aca="1" ref="B194" ca="1">IF('Raw Data'!$B$10 = "Overall Project","",_xlfn.REGEXEXTRACT(CELL("address",'Raw Data'!B194),"\$([A-Z]+)\$[0-9]+"))</f>
        <v/>
      </c>
      <c r="C194" s="6" t="str" cm="1">
        <f t="array" aca="1" ref="C194" ca="1">IF('Raw Data'!$C$10 = "Month # 1","",_xlfn.REGEXEXTRACT(CELL("address",'Raw Data'!C194),"\$([A-Z]+)\$[0-9]+"))</f>
        <v/>
      </c>
      <c r="D194" s="6"/>
      <c r="E194" s="6" t="str" cm="1">
        <f t="array" aca="1" ref="E194" ca="1">IF(AND('Raw Data'!E194&gt;=0,'Raw Data'!E194&lt;=1),"",_xlfn.REGEXEXTRACT(CELL("address",'Raw Data'!E194),"\$([A-Z]+)\$[0-9]+"))</f>
        <v/>
      </c>
      <c r="F194" s="6" t="str" cm="1">
        <f t="array" aca="1" ref="F194" ca="1">IF(AND('Raw Data'!F194&gt;=0,'Raw Data'!F194&lt;=1),"",_xlfn.REGEXEXTRACT(CELL("address",'Raw Data'!F194),"\$([A-Z]+)\$[0-9]+"))</f>
        <v/>
      </c>
      <c r="G194" s="6" t="str" cm="1">
        <f t="array" aca="1" ref="G194" ca="1">IF(AND('Raw Data'!G194&gt;=0,'Raw Data'!G194&lt;=1),"",_xlfn.REGEXEXTRACT(CELL("address",'Raw Data'!G194),"\$([A-Z]+)\$[0-9]+"))</f>
        <v/>
      </c>
      <c r="H194" s="6" t="str" cm="1">
        <f t="array" aca="1" ref="H194" ca="1">IF(AND('Raw Data'!H194&gt;=0,'Raw Data'!H194&lt;=1),"",_xlfn.REGEXEXTRACT(CELL("address",'Raw Data'!H194),"\$([A-Z]+)\$[0-9]+"))</f>
        <v/>
      </c>
      <c r="I194" s="6" t="str" cm="1">
        <f t="array" aca="1" ref="I194" ca="1">IF(AND('Raw Data'!I194&gt;=0,'Raw Data'!I194&lt;=1),"",_xlfn.REGEXEXTRACT(CELL("address",'Raw Data'!I194),"\$([A-Z]+)\$[0-9]+"))</f>
        <v/>
      </c>
      <c r="J194" s="6" t="str" cm="1">
        <f t="array" aca="1" ref="J194" ca="1">IF(AND('Raw Data'!J194&gt;=0,'Raw Data'!J194&lt;=1),"",_xlfn.REGEXEXTRACT(CELL("address",'Raw Data'!J194),"\$([A-Z]+)\$[0-9]+"))</f>
        <v/>
      </c>
    </row>
    <row r="195" spans="2:10" x14ac:dyDescent="0.25">
      <c r="B195" s="6" t="str" cm="1">
        <f t="array" aca="1" ref="B195" ca="1">IF('Raw Data'!$B$10 = "Overall Project","",_xlfn.REGEXEXTRACT(CELL("address",'Raw Data'!B195),"\$([A-Z]+)\$[0-9]+"))</f>
        <v/>
      </c>
      <c r="C195" s="6" t="str" cm="1">
        <f t="array" aca="1" ref="C195" ca="1">IF('Raw Data'!$C$10 = "Month # 1","",_xlfn.REGEXEXTRACT(CELL("address",'Raw Data'!C195),"\$([A-Z]+)\$[0-9]+"))</f>
        <v/>
      </c>
      <c r="D195" s="6"/>
      <c r="E195" s="6" t="str" cm="1">
        <f t="array" aca="1" ref="E195" ca="1">IF(AND('Raw Data'!E195&gt;=0,'Raw Data'!E195&lt;=1),"",_xlfn.REGEXEXTRACT(CELL("address",'Raw Data'!E195),"\$([A-Z]+)\$[0-9]+"))</f>
        <v/>
      </c>
      <c r="F195" s="6" t="str" cm="1">
        <f t="array" aca="1" ref="F195" ca="1">IF(AND('Raw Data'!F195&gt;=0,'Raw Data'!F195&lt;=1),"",_xlfn.REGEXEXTRACT(CELL("address",'Raw Data'!F195),"\$([A-Z]+)\$[0-9]+"))</f>
        <v/>
      </c>
      <c r="G195" s="6" t="str" cm="1">
        <f t="array" aca="1" ref="G195" ca="1">IF(AND('Raw Data'!G195&gt;=0,'Raw Data'!G195&lt;=1),"",_xlfn.REGEXEXTRACT(CELL("address",'Raw Data'!G195),"\$([A-Z]+)\$[0-9]+"))</f>
        <v/>
      </c>
      <c r="H195" s="6" t="str" cm="1">
        <f t="array" aca="1" ref="H195" ca="1">IF(AND('Raw Data'!H195&gt;=0,'Raw Data'!H195&lt;=1),"",_xlfn.REGEXEXTRACT(CELL("address",'Raw Data'!H195),"\$([A-Z]+)\$[0-9]+"))</f>
        <v/>
      </c>
      <c r="I195" s="6" t="str" cm="1">
        <f t="array" aca="1" ref="I195" ca="1">IF(AND('Raw Data'!I195&gt;=0,'Raw Data'!I195&lt;=1),"",_xlfn.REGEXEXTRACT(CELL("address",'Raw Data'!I195),"\$([A-Z]+)\$[0-9]+"))</f>
        <v/>
      </c>
      <c r="J195" s="6" t="str" cm="1">
        <f t="array" aca="1" ref="J195" ca="1">IF(AND('Raw Data'!J195&gt;=0,'Raw Data'!J195&lt;=1),"",_xlfn.REGEXEXTRACT(CELL("address",'Raw Data'!J195),"\$([A-Z]+)\$[0-9]+"))</f>
        <v/>
      </c>
    </row>
    <row r="196" spans="2:10" x14ac:dyDescent="0.25">
      <c r="B196" s="6" t="str" cm="1">
        <f t="array" aca="1" ref="B196" ca="1">IF('Raw Data'!$B$10 = "Overall Project","",_xlfn.REGEXEXTRACT(CELL("address",'Raw Data'!B196),"\$([A-Z]+)\$[0-9]+"))</f>
        <v/>
      </c>
      <c r="C196" s="6" t="str" cm="1">
        <f t="array" aca="1" ref="C196" ca="1">IF('Raw Data'!$C$10 = "Month # 1","",_xlfn.REGEXEXTRACT(CELL("address",'Raw Data'!C196),"\$([A-Z]+)\$[0-9]+"))</f>
        <v/>
      </c>
      <c r="D196" s="6"/>
      <c r="E196" s="6" t="str" cm="1">
        <f t="array" aca="1" ref="E196" ca="1">IF(AND('Raw Data'!E196&gt;=0,'Raw Data'!E196&lt;=1),"",_xlfn.REGEXEXTRACT(CELL("address",'Raw Data'!E196),"\$([A-Z]+)\$[0-9]+"))</f>
        <v/>
      </c>
      <c r="F196" s="6" t="str" cm="1">
        <f t="array" aca="1" ref="F196" ca="1">IF(AND('Raw Data'!F196&gt;=0,'Raw Data'!F196&lt;=1),"",_xlfn.REGEXEXTRACT(CELL("address",'Raw Data'!F196),"\$([A-Z]+)\$[0-9]+"))</f>
        <v/>
      </c>
      <c r="G196" s="6" t="str" cm="1">
        <f t="array" aca="1" ref="G196" ca="1">IF(AND('Raw Data'!G196&gt;=0,'Raw Data'!G196&lt;=1),"",_xlfn.REGEXEXTRACT(CELL("address",'Raw Data'!G196),"\$([A-Z]+)\$[0-9]+"))</f>
        <v/>
      </c>
      <c r="H196" s="6" t="str" cm="1">
        <f t="array" aca="1" ref="H196" ca="1">IF(AND('Raw Data'!H196&gt;=0,'Raw Data'!H196&lt;=1),"",_xlfn.REGEXEXTRACT(CELL("address",'Raw Data'!H196),"\$([A-Z]+)\$[0-9]+"))</f>
        <v/>
      </c>
      <c r="I196" s="6" t="str" cm="1">
        <f t="array" aca="1" ref="I196" ca="1">IF(AND('Raw Data'!I196&gt;=0,'Raw Data'!I196&lt;=1),"",_xlfn.REGEXEXTRACT(CELL("address",'Raw Data'!I196),"\$([A-Z]+)\$[0-9]+"))</f>
        <v/>
      </c>
      <c r="J196" s="6" t="str" cm="1">
        <f t="array" aca="1" ref="J196" ca="1">IF(AND('Raw Data'!J196&gt;=0,'Raw Data'!J196&lt;=1),"",_xlfn.REGEXEXTRACT(CELL("address",'Raw Data'!J196),"\$([A-Z]+)\$[0-9]+"))</f>
        <v/>
      </c>
    </row>
    <row r="197" spans="2:10" x14ac:dyDescent="0.25">
      <c r="B197" s="6" t="str" cm="1">
        <f t="array" aca="1" ref="B197" ca="1">IF('Raw Data'!$B$10 = "Overall Project","",_xlfn.REGEXEXTRACT(CELL("address",'Raw Data'!B197),"\$([A-Z]+)\$[0-9]+"))</f>
        <v/>
      </c>
      <c r="C197" s="6" t="str" cm="1">
        <f t="array" aca="1" ref="C197" ca="1">IF('Raw Data'!$C$10 = "Month # 1","",_xlfn.REGEXEXTRACT(CELL("address",'Raw Data'!C197),"\$([A-Z]+)\$[0-9]+"))</f>
        <v/>
      </c>
      <c r="D197" s="6"/>
      <c r="E197" s="6" t="str" cm="1">
        <f t="array" aca="1" ref="E197" ca="1">IF(AND('Raw Data'!E197&gt;=0,'Raw Data'!E197&lt;=1),"",_xlfn.REGEXEXTRACT(CELL("address",'Raw Data'!E197),"\$([A-Z]+)\$[0-9]+"))</f>
        <v/>
      </c>
      <c r="F197" s="6" t="str" cm="1">
        <f t="array" aca="1" ref="F197" ca="1">IF(AND('Raw Data'!F197&gt;=0,'Raw Data'!F197&lt;=1),"",_xlfn.REGEXEXTRACT(CELL("address",'Raw Data'!F197),"\$([A-Z]+)\$[0-9]+"))</f>
        <v/>
      </c>
      <c r="G197" s="6" t="str" cm="1">
        <f t="array" aca="1" ref="G197" ca="1">IF(AND('Raw Data'!G197&gt;=0,'Raw Data'!G197&lt;=1),"",_xlfn.REGEXEXTRACT(CELL("address",'Raw Data'!G197),"\$([A-Z]+)\$[0-9]+"))</f>
        <v/>
      </c>
      <c r="H197" s="6" t="str" cm="1">
        <f t="array" aca="1" ref="H197" ca="1">IF(AND('Raw Data'!H197&gt;=0,'Raw Data'!H197&lt;=1),"",_xlfn.REGEXEXTRACT(CELL("address",'Raw Data'!H197),"\$([A-Z]+)\$[0-9]+"))</f>
        <v/>
      </c>
      <c r="I197" s="6" t="str" cm="1">
        <f t="array" aca="1" ref="I197" ca="1">IF(AND('Raw Data'!I197&gt;=0,'Raw Data'!I197&lt;=1),"",_xlfn.REGEXEXTRACT(CELL("address",'Raw Data'!I197),"\$([A-Z]+)\$[0-9]+"))</f>
        <v/>
      </c>
      <c r="J197" s="6" t="str" cm="1">
        <f t="array" aca="1" ref="J197" ca="1">IF(AND('Raw Data'!J197&gt;=0,'Raw Data'!J197&lt;=1),"",_xlfn.REGEXEXTRACT(CELL("address",'Raw Data'!J197),"\$([A-Z]+)\$[0-9]+"))</f>
        <v/>
      </c>
    </row>
    <row r="198" spans="2:10" x14ac:dyDescent="0.25">
      <c r="B198" s="6" t="str" cm="1">
        <f t="array" aca="1" ref="B198" ca="1">IF('Raw Data'!$B$10 = "Overall Project","",_xlfn.REGEXEXTRACT(CELL("address",'Raw Data'!B198),"\$([A-Z]+)\$[0-9]+"))</f>
        <v/>
      </c>
      <c r="C198" s="6" t="str" cm="1">
        <f t="array" aca="1" ref="C198" ca="1">IF('Raw Data'!$C$10 = "Month # 1","",_xlfn.REGEXEXTRACT(CELL("address",'Raw Data'!C198),"\$([A-Z]+)\$[0-9]+"))</f>
        <v/>
      </c>
      <c r="D198" s="6"/>
      <c r="E198" s="6" t="str" cm="1">
        <f t="array" aca="1" ref="E198" ca="1">IF(AND('Raw Data'!E198&gt;=0,'Raw Data'!E198&lt;=1),"",_xlfn.REGEXEXTRACT(CELL("address",'Raw Data'!E198),"\$([A-Z]+)\$[0-9]+"))</f>
        <v/>
      </c>
      <c r="F198" s="6" t="str" cm="1">
        <f t="array" aca="1" ref="F198" ca="1">IF(AND('Raw Data'!F198&gt;=0,'Raw Data'!F198&lt;=1),"",_xlfn.REGEXEXTRACT(CELL("address",'Raw Data'!F198),"\$([A-Z]+)\$[0-9]+"))</f>
        <v/>
      </c>
      <c r="G198" s="6" t="str" cm="1">
        <f t="array" aca="1" ref="G198" ca="1">IF(AND('Raw Data'!G198&gt;=0,'Raw Data'!G198&lt;=1),"",_xlfn.REGEXEXTRACT(CELL("address",'Raw Data'!G198),"\$([A-Z]+)\$[0-9]+"))</f>
        <v/>
      </c>
      <c r="H198" s="6" t="str" cm="1">
        <f t="array" aca="1" ref="H198" ca="1">IF(AND('Raw Data'!H198&gt;=0,'Raw Data'!H198&lt;=1),"",_xlfn.REGEXEXTRACT(CELL("address",'Raw Data'!H198),"\$([A-Z]+)\$[0-9]+"))</f>
        <v/>
      </c>
      <c r="I198" s="6" t="str" cm="1">
        <f t="array" aca="1" ref="I198" ca="1">IF(AND('Raw Data'!I198&gt;=0,'Raw Data'!I198&lt;=1),"",_xlfn.REGEXEXTRACT(CELL("address",'Raw Data'!I198),"\$([A-Z]+)\$[0-9]+"))</f>
        <v/>
      </c>
      <c r="J198" s="6" t="str" cm="1">
        <f t="array" aca="1" ref="J198" ca="1">IF(AND('Raw Data'!J198&gt;=0,'Raw Data'!J198&lt;=1),"",_xlfn.REGEXEXTRACT(CELL("address",'Raw Data'!J198),"\$([A-Z]+)\$[0-9]+"))</f>
        <v/>
      </c>
    </row>
    <row r="199" spans="2:10" x14ac:dyDescent="0.25">
      <c r="B199" s="6" t="str" cm="1">
        <f t="array" aca="1" ref="B199" ca="1">IF('Raw Data'!$B$10 = "Overall Project","",_xlfn.REGEXEXTRACT(CELL("address",'Raw Data'!B199),"\$([A-Z]+)\$[0-9]+"))</f>
        <v/>
      </c>
      <c r="C199" s="6" t="str" cm="1">
        <f t="array" aca="1" ref="C199" ca="1">IF('Raw Data'!$C$10 = "Month # 1","",_xlfn.REGEXEXTRACT(CELL("address",'Raw Data'!C199),"\$([A-Z]+)\$[0-9]+"))</f>
        <v/>
      </c>
      <c r="D199" s="6"/>
      <c r="E199" s="6" t="str" cm="1">
        <f t="array" aca="1" ref="E199" ca="1">IF(AND('Raw Data'!E199&gt;=0,'Raw Data'!E199&lt;=1),"",_xlfn.REGEXEXTRACT(CELL("address",'Raw Data'!E199),"\$([A-Z]+)\$[0-9]+"))</f>
        <v/>
      </c>
      <c r="F199" s="6" t="str" cm="1">
        <f t="array" aca="1" ref="F199" ca="1">IF(AND('Raw Data'!F199&gt;=0,'Raw Data'!F199&lt;=1),"",_xlfn.REGEXEXTRACT(CELL("address",'Raw Data'!F199),"\$([A-Z]+)\$[0-9]+"))</f>
        <v/>
      </c>
      <c r="G199" s="6" t="str" cm="1">
        <f t="array" aca="1" ref="G199" ca="1">IF(AND('Raw Data'!G199&gt;=0,'Raw Data'!G199&lt;=1),"",_xlfn.REGEXEXTRACT(CELL("address",'Raw Data'!G199),"\$([A-Z]+)\$[0-9]+"))</f>
        <v/>
      </c>
      <c r="H199" s="6" t="str" cm="1">
        <f t="array" aca="1" ref="H199" ca="1">IF(AND('Raw Data'!H199&gt;=0,'Raw Data'!H199&lt;=1),"",_xlfn.REGEXEXTRACT(CELL("address",'Raw Data'!H199),"\$([A-Z]+)\$[0-9]+"))</f>
        <v/>
      </c>
      <c r="I199" s="6" t="str" cm="1">
        <f t="array" aca="1" ref="I199" ca="1">IF(AND('Raw Data'!I199&gt;=0,'Raw Data'!I199&lt;=1),"",_xlfn.REGEXEXTRACT(CELL("address",'Raw Data'!I199),"\$([A-Z]+)\$[0-9]+"))</f>
        <v/>
      </c>
      <c r="J199" s="6" t="str" cm="1">
        <f t="array" aca="1" ref="J199" ca="1">IF(AND('Raw Data'!J199&gt;=0,'Raw Data'!J199&lt;=1),"",_xlfn.REGEXEXTRACT(CELL("address",'Raw Data'!J199),"\$([A-Z]+)\$[0-9]+"))</f>
        <v/>
      </c>
    </row>
    <row r="200" spans="2:10" x14ac:dyDescent="0.25">
      <c r="B200" s="6" t="str" cm="1">
        <f t="array" aca="1" ref="B200" ca="1">IF('Raw Data'!$B$10 = "Overall Project","",_xlfn.REGEXEXTRACT(CELL("address",'Raw Data'!B200),"\$([A-Z]+)\$[0-9]+"))</f>
        <v/>
      </c>
      <c r="C200" s="6" t="str" cm="1">
        <f t="array" aca="1" ref="C200" ca="1">IF('Raw Data'!$C$10 = "Month # 1","",_xlfn.REGEXEXTRACT(CELL("address",'Raw Data'!C200),"\$([A-Z]+)\$[0-9]+"))</f>
        <v/>
      </c>
      <c r="D200" s="6"/>
      <c r="E200" s="6" t="str" cm="1">
        <f t="array" aca="1" ref="E200" ca="1">IF(AND('Raw Data'!E200&gt;=0,'Raw Data'!E200&lt;=1),"",_xlfn.REGEXEXTRACT(CELL("address",'Raw Data'!E200),"\$([A-Z]+)\$[0-9]+"))</f>
        <v/>
      </c>
      <c r="F200" s="6" t="str" cm="1">
        <f t="array" aca="1" ref="F200" ca="1">IF(AND('Raw Data'!F200&gt;=0,'Raw Data'!F200&lt;=1),"",_xlfn.REGEXEXTRACT(CELL("address",'Raw Data'!F200),"\$([A-Z]+)\$[0-9]+"))</f>
        <v/>
      </c>
      <c r="G200" s="6" t="str" cm="1">
        <f t="array" aca="1" ref="G200" ca="1">IF(AND('Raw Data'!G200&gt;=0,'Raw Data'!G200&lt;=1),"",_xlfn.REGEXEXTRACT(CELL("address",'Raw Data'!G200),"\$([A-Z]+)\$[0-9]+"))</f>
        <v/>
      </c>
      <c r="H200" s="6" t="str" cm="1">
        <f t="array" aca="1" ref="H200" ca="1">IF(AND('Raw Data'!H200&gt;=0,'Raw Data'!H200&lt;=1),"",_xlfn.REGEXEXTRACT(CELL("address",'Raw Data'!H200),"\$([A-Z]+)\$[0-9]+"))</f>
        <v/>
      </c>
      <c r="I200" s="6" t="str" cm="1">
        <f t="array" aca="1" ref="I200" ca="1">IF(AND('Raw Data'!I200&gt;=0,'Raw Data'!I200&lt;=1),"",_xlfn.REGEXEXTRACT(CELL("address",'Raw Data'!I200),"\$([A-Z]+)\$[0-9]+"))</f>
        <v/>
      </c>
      <c r="J200" s="6" t="str" cm="1">
        <f t="array" aca="1" ref="J200" ca="1">IF(AND('Raw Data'!J200&gt;=0,'Raw Data'!J200&lt;=1),"",_xlfn.REGEXEXTRACT(CELL("address",'Raw Data'!J200),"\$([A-Z]+)\$[0-9]+"))</f>
        <v/>
      </c>
    </row>
    <row r="201" spans="2:10" x14ac:dyDescent="0.25">
      <c r="B201" s="6" t="str" cm="1">
        <f t="array" aca="1" ref="B201" ca="1">IF('Raw Data'!$B$10 = "Overall Project","",_xlfn.REGEXEXTRACT(CELL("address",'Raw Data'!B201),"\$([A-Z]+)\$[0-9]+"))</f>
        <v/>
      </c>
      <c r="C201" s="6" t="str" cm="1">
        <f t="array" aca="1" ref="C201" ca="1">IF('Raw Data'!$C$10 = "Month # 1","",_xlfn.REGEXEXTRACT(CELL("address",'Raw Data'!C201),"\$([A-Z]+)\$[0-9]+"))</f>
        <v/>
      </c>
      <c r="D201" s="6"/>
      <c r="E201" s="6" t="str" cm="1">
        <f t="array" aca="1" ref="E201" ca="1">IF(AND('Raw Data'!E201&gt;=0,'Raw Data'!E201&lt;=1),"",_xlfn.REGEXEXTRACT(CELL("address",'Raw Data'!E201),"\$([A-Z]+)\$[0-9]+"))</f>
        <v/>
      </c>
      <c r="F201" s="6" t="str" cm="1">
        <f t="array" aca="1" ref="F201" ca="1">IF(AND('Raw Data'!F201&gt;=0,'Raw Data'!F201&lt;=1),"",_xlfn.REGEXEXTRACT(CELL("address",'Raw Data'!F201),"\$([A-Z]+)\$[0-9]+"))</f>
        <v/>
      </c>
      <c r="G201" s="6" t="str" cm="1">
        <f t="array" aca="1" ref="G201" ca="1">IF(AND('Raw Data'!G201&gt;=0,'Raw Data'!G201&lt;=1),"",_xlfn.REGEXEXTRACT(CELL("address",'Raw Data'!G201),"\$([A-Z]+)\$[0-9]+"))</f>
        <v/>
      </c>
      <c r="H201" s="6" t="str" cm="1">
        <f t="array" aca="1" ref="H201" ca="1">IF(AND('Raw Data'!H201&gt;=0,'Raw Data'!H201&lt;=1),"",_xlfn.REGEXEXTRACT(CELL("address",'Raw Data'!H201),"\$([A-Z]+)\$[0-9]+"))</f>
        <v/>
      </c>
      <c r="I201" s="6" t="str" cm="1">
        <f t="array" aca="1" ref="I201" ca="1">IF(AND('Raw Data'!I201&gt;=0,'Raw Data'!I201&lt;=1),"",_xlfn.REGEXEXTRACT(CELL("address",'Raw Data'!I201),"\$([A-Z]+)\$[0-9]+"))</f>
        <v/>
      </c>
      <c r="J201" s="6" t="str" cm="1">
        <f t="array" aca="1" ref="J201" ca="1">IF(AND('Raw Data'!J201&gt;=0,'Raw Data'!J201&lt;=1),"",_xlfn.REGEXEXTRACT(CELL("address",'Raw Data'!J201),"\$([A-Z]+)\$[0-9]+"))</f>
        <v/>
      </c>
    </row>
    <row r="202" spans="2:10" x14ac:dyDescent="0.25">
      <c r="B202" s="6" t="str" cm="1">
        <f t="array" aca="1" ref="B202" ca="1">IF('Raw Data'!$B$10 = "Overall Project","",_xlfn.REGEXEXTRACT(CELL("address",'Raw Data'!B202),"\$([A-Z]+)\$[0-9]+"))</f>
        <v/>
      </c>
      <c r="C202" s="6" t="str" cm="1">
        <f t="array" aca="1" ref="C202" ca="1">IF('Raw Data'!$C$10 = "Month # 1","",_xlfn.REGEXEXTRACT(CELL("address",'Raw Data'!C202),"\$([A-Z]+)\$[0-9]+"))</f>
        <v/>
      </c>
      <c r="D202" s="6"/>
      <c r="E202" s="6" t="str" cm="1">
        <f t="array" aca="1" ref="E202" ca="1">IF(AND('Raw Data'!E202&gt;=0,'Raw Data'!E202&lt;=1),"",_xlfn.REGEXEXTRACT(CELL("address",'Raw Data'!E202),"\$([A-Z]+)\$[0-9]+"))</f>
        <v/>
      </c>
      <c r="F202" s="6" t="str" cm="1">
        <f t="array" aca="1" ref="F202" ca="1">IF(AND('Raw Data'!F202&gt;=0,'Raw Data'!F202&lt;=1),"",_xlfn.REGEXEXTRACT(CELL("address",'Raw Data'!F202),"\$([A-Z]+)\$[0-9]+"))</f>
        <v/>
      </c>
      <c r="G202" s="6" t="str" cm="1">
        <f t="array" aca="1" ref="G202" ca="1">IF(AND('Raw Data'!G202&gt;=0,'Raw Data'!G202&lt;=1),"",_xlfn.REGEXEXTRACT(CELL("address",'Raw Data'!G202),"\$([A-Z]+)\$[0-9]+"))</f>
        <v/>
      </c>
      <c r="H202" s="6" t="str" cm="1">
        <f t="array" aca="1" ref="H202" ca="1">IF(AND('Raw Data'!H202&gt;=0,'Raw Data'!H202&lt;=1),"",_xlfn.REGEXEXTRACT(CELL("address",'Raw Data'!H202),"\$([A-Z]+)\$[0-9]+"))</f>
        <v/>
      </c>
      <c r="I202" s="6" t="str" cm="1">
        <f t="array" aca="1" ref="I202" ca="1">IF(AND('Raw Data'!I202&gt;=0,'Raw Data'!I202&lt;=1),"",_xlfn.REGEXEXTRACT(CELL("address",'Raw Data'!I202),"\$([A-Z]+)\$[0-9]+"))</f>
        <v/>
      </c>
      <c r="J202" s="6" t="str" cm="1">
        <f t="array" aca="1" ref="J202" ca="1">IF(AND('Raw Data'!J202&gt;=0,'Raw Data'!J202&lt;=1),"",_xlfn.REGEXEXTRACT(CELL("address",'Raw Data'!J202),"\$([A-Z]+)\$[0-9]+"))</f>
        <v/>
      </c>
    </row>
    <row r="203" spans="2:10" x14ac:dyDescent="0.25">
      <c r="B203" s="6" t="str" cm="1">
        <f t="array" aca="1" ref="B203" ca="1">IF('Raw Data'!$B$10 = "Overall Project","",_xlfn.REGEXEXTRACT(CELL("address",'Raw Data'!B203),"\$([A-Z]+)\$[0-9]+"))</f>
        <v/>
      </c>
      <c r="C203" s="6" t="str" cm="1">
        <f t="array" aca="1" ref="C203" ca="1">IF('Raw Data'!$C$10 = "Month # 1","",_xlfn.REGEXEXTRACT(CELL("address",'Raw Data'!C203),"\$([A-Z]+)\$[0-9]+"))</f>
        <v/>
      </c>
      <c r="D203" s="6"/>
      <c r="E203" s="6" t="str" cm="1">
        <f t="array" aca="1" ref="E203" ca="1">IF(AND('Raw Data'!E203&gt;=0,'Raw Data'!E203&lt;=1),"",_xlfn.REGEXEXTRACT(CELL("address",'Raw Data'!E203),"\$([A-Z]+)\$[0-9]+"))</f>
        <v/>
      </c>
      <c r="F203" s="6" t="str" cm="1">
        <f t="array" aca="1" ref="F203" ca="1">IF(AND('Raw Data'!F203&gt;=0,'Raw Data'!F203&lt;=1),"",_xlfn.REGEXEXTRACT(CELL("address",'Raw Data'!F203),"\$([A-Z]+)\$[0-9]+"))</f>
        <v/>
      </c>
      <c r="G203" s="6" t="str" cm="1">
        <f t="array" aca="1" ref="G203" ca="1">IF(AND('Raw Data'!G203&gt;=0,'Raw Data'!G203&lt;=1),"",_xlfn.REGEXEXTRACT(CELL("address",'Raw Data'!G203),"\$([A-Z]+)\$[0-9]+"))</f>
        <v/>
      </c>
      <c r="H203" s="6" t="str" cm="1">
        <f t="array" aca="1" ref="H203" ca="1">IF(AND('Raw Data'!H203&gt;=0,'Raw Data'!H203&lt;=1),"",_xlfn.REGEXEXTRACT(CELL("address",'Raw Data'!H203),"\$([A-Z]+)\$[0-9]+"))</f>
        <v/>
      </c>
      <c r="I203" s="6" t="str" cm="1">
        <f t="array" aca="1" ref="I203" ca="1">IF(AND('Raw Data'!I203&gt;=0,'Raw Data'!I203&lt;=1),"",_xlfn.REGEXEXTRACT(CELL("address",'Raw Data'!I203),"\$([A-Z]+)\$[0-9]+"))</f>
        <v/>
      </c>
      <c r="J203" s="6" t="str" cm="1">
        <f t="array" aca="1" ref="J203" ca="1">IF(AND('Raw Data'!J203&gt;=0,'Raw Data'!J203&lt;=1),"",_xlfn.REGEXEXTRACT(CELL("address",'Raw Data'!J203),"\$([A-Z]+)\$[0-9]+"))</f>
        <v/>
      </c>
    </row>
    <row r="204" spans="2:10" x14ac:dyDescent="0.25">
      <c r="B204" s="6" t="str" cm="1">
        <f t="array" aca="1" ref="B204" ca="1">IF('Raw Data'!$B$10 = "Overall Project","",_xlfn.REGEXEXTRACT(CELL("address",'Raw Data'!B204),"\$([A-Z]+)\$[0-9]+"))</f>
        <v/>
      </c>
      <c r="C204" s="6" t="str" cm="1">
        <f t="array" aca="1" ref="C204" ca="1">IF('Raw Data'!$C$10 = "Month # 1","",_xlfn.REGEXEXTRACT(CELL("address",'Raw Data'!C204),"\$([A-Z]+)\$[0-9]+"))</f>
        <v/>
      </c>
      <c r="D204" s="6"/>
      <c r="E204" s="6" t="str" cm="1">
        <f t="array" aca="1" ref="E204" ca="1">IF(AND('Raw Data'!E204&gt;=0,'Raw Data'!E204&lt;=1),"",_xlfn.REGEXEXTRACT(CELL("address",'Raw Data'!E204),"\$([A-Z]+)\$[0-9]+"))</f>
        <v/>
      </c>
      <c r="F204" s="6" t="str" cm="1">
        <f t="array" aca="1" ref="F204" ca="1">IF(AND('Raw Data'!F204&gt;=0,'Raw Data'!F204&lt;=1),"",_xlfn.REGEXEXTRACT(CELL("address",'Raw Data'!F204),"\$([A-Z]+)\$[0-9]+"))</f>
        <v/>
      </c>
      <c r="G204" s="6" t="str" cm="1">
        <f t="array" aca="1" ref="G204" ca="1">IF(AND('Raw Data'!G204&gt;=0,'Raw Data'!G204&lt;=1),"",_xlfn.REGEXEXTRACT(CELL("address",'Raw Data'!G204),"\$([A-Z]+)\$[0-9]+"))</f>
        <v/>
      </c>
      <c r="H204" s="6" t="str" cm="1">
        <f t="array" aca="1" ref="H204" ca="1">IF(AND('Raw Data'!H204&gt;=0,'Raw Data'!H204&lt;=1),"",_xlfn.REGEXEXTRACT(CELL("address",'Raw Data'!H204),"\$([A-Z]+)\$[0-9]+"))</f>
        <v/>
      </c>
      <c r="I204" s="6" t="str" cm="1">
        <f t="array" aca="1" ref="I204" ca="1">IF(AND('Raw Data'!I204&gt;=0,'Raw Data'!I204&lt;=1),"",_xlfn.REGEXEXTRACT(CELL("address",'Raw Data'!I204),"\$([A-Z]+)\$[0-9]+"))</f>
        <v/>
      </c>
      <c r="J204" s="6" t="str" cm="1">
        <f t="array" aca="1" ref="J204" ca="1">IF(AND('Raw Data'!J204&gt;=0,'Raw Data'!J204&lt;=1),"",_xlfn.REGEXEXTRACT(CELL("address",'Raw Data'!J204),"\$([A-Z]+)\$[0-9]+"))</f>
        <v/>
      </c>
    </row>
    <row r="205" spans="2:10" x14ac:dyDescent="0.25">
      <c r="B205" s="6" t="str" cm="1">
        <f t="array" aca="1" ref="B205" ca="1">IF('Raw Data'!$B$10 = "Overall Project","",_xlfn.REGEXEXTRACT(CELL("address",'Raw Data'!B205),"\$([A-Z]+)\$[0-9]+"))</f>
        <v/>
      </c>
      <c r="C205" s="6" t="str" cm="1">
        <f t="array" aca="1" ref="C205" ca="1">IF('Raw Data'!$C$10 = "Month # 1","",_xlfn.REGEXEXTRACT(CELL("address",'Raw Data'!C205),"\$([A-Z]+)\$[0-9]+"))</f>
        <v/>
      </c>
      <c r="D205" s="6"/>
      <c r="E205" s="6" t="str" cm="1">
        <f t="array" aca="1" ref="E205" ca="1">IF(AND('Raw Data'!E205&gt;=0,'Raw Data'!E205&lt;=1),"",_xlfn.REGEXEXTRACT(CELL("address",'Raw Data'!E205),"\$([A-Z]+)\$[0-9]+"))</f>
        <v/>
      </c>
      <c r="F205" s="6" t="str" cm="1">
        <f t="array" aca="1" ref="F205" ca="1">IF(AND('Raw Data'!F205&gt;=0,'Raw Data'!F205&lt;=1),"",_xlfn.REGEXEXTRACT(CELL("address",'Raw Data'!F205),"\$([A-Z]+)\$[0-9]+"))</f>
        <v/>
      </c>
      <c r="G205" s="6" t="str" cm="1">
        <f t="array" aca="1" ref="G205" ca="1">IF(AND('Raw Data'!G205&gt;=0,'Raw Data'!G205&lt;=1),"",_xlfn.REGEXEXTRACT(CELL("address",'Raw Data'!G205),"\$([A-Z]+)\$[0-9]+"))</f>
        <v/>
      </c>
      <c r="H205" s="6" t="str" cm="1">
        <f t="array" aca="1" ref="H205" ca="1">IF(AND('Raw Data'!H205&gt;=0,'Raw Data'!H205&lt;=1),"",_xlfn.REGEXEXTRACT(CELL("address",'Raw Data'!H205),"\$([A-Z]+)\$[0-9]+"))</f>
        <v/>
      </c>
      <c r="I205" s="6" t="str" cm="1">
        <f t="array" aca="1" ref="I205" ca="1">IF(AND('Raw Data'!I205&gt;=0,'Raw Data'!I205&lt;=1),"",_xlfn.REGEXEXTRACT(CELL("address",'Raw Data'!I205),"\$([A-Z]+)\$[0-9]+"))</f>
        <v/>
      </c>
      <c r="J205" s="6" t="str" cm="1">
        <f t="array" aca="1" ref="J205" ca="1">IF(AND('Raw Data'!J205&gt;=0,'Raw Data'!J205&lt;=1),"",_xlfn.REGEXEXTRACT(CELL("address",'Raw Data'!J205),"\$([A-Z]+)\$[0-9]+"))</f>
        <v/>
      </c>
    </row>
    <row r="206" spans="2:10" x14ac:dyDescent="0.25">
      <c r="B206" s="6" t="str" cm="1">
        <f t="array" aca="1" ref="B206" ca="1">IF('Raw Data'!$B$10 = "Overall Project","",_xlfn.REGEXEXTRACT(CELL("address",'Raw Data'!B206),"\$([A-Z]+)\$[0-9]+"))</f>
        <v/>
      </c>
      <c r="C206" s="6" t="str" cm="1">
        <f t="array" aca="1" ref="C206" ca="1">IF('Raw Data'!$C$10 = "Month # 1","",_xlfn.REGEXEXTRACT(CELL("address",'Raw Data'!C206),"\$([A-Z]+)\$[0-9]+"))</f>
        <v/>
      </c>
      <c r="D206" s="6"/>
      <c r="E206" s="6" t="str" cm="1">
        <f t="array" aca="1" ref="E206" ca="1">IF(AND('Raw Data'!E206&gt;=0,'Raw Data'!E206&lt;=1),"",_xlfn.REGEXEXTRACT(CELL("address",'Raw Data'!E206),"\$([A-Z]+)\$[0-9]+"))</f>
        <v/>
      </c>
      <c r="F206" s="6" t="str" cm="1">
        <f t="array" aca="1" ref="F206" ca="1">IF(AND('Raw Data'!F206&gt;=0,'Raw Data'!F206&lt;=1),"",_xlfn.REGEXEXTRACT(CELL("address",'Raw Data'!F206),"\$([A-Z]+)\$[0-9]+"))</f>
        <v/>
      </c>
      <c r="G206" s="6" t="str" cm="1">
        <f t="array" aca="1" ref="G206" ca="1">IF(AND('Raw Data'!G206&gt;=0,'Raw Data'!G206&lt;=1),"",_xlfn.REGEXEXTRACT(CELL("address",'Raw Data'!G206),"\$([A-Z]+)\$[0-9]+"))</f>
        <v/>
      </c>
      <c r="H206" s="6" t="str" cm="1">
        <f t="array" aca="1" ref="H206" ca="1">IF(AND('Raw Data'!H206&gt;=0,'Raw Data'!H206&lt;=1),"",_xlfn.REGEXEXTRACT(CELL("address",'Raw Data'!H206),"\$([A-Z]+)\$[0-9]+"))</f>
        <v/>
      </c>
      <c r="I206" s="6" t="str" cm="1">
        <f t="array" aca="1" ref="I206" ca="1">IF(AND('Raw Data'!I206&gt;=0,'Raw Data'!I206&lt;=1),"",_xlfn.REGEXEXTRACT(CELL("address",'Raw Data'!I206),"\$([A-Z]+)\$[0-9]+"))</f>
        <v/>
      </c>
      <c r="J206" s="6" t="str" cm="1">
        <f t="array" aca="1" ref="J206" ca="1">IF(AND('Raw Data'!J206&gt;=0,'Raw Data'!J206&lt;=1),"",_xlfn.REGEXEXTRACT(CELL("address",'Raw Data'!J206),"\$([A-Z]+)\$[0-9]+"))</f>
        <v/>
      </c>
    </row>
    <row r="207" spans="2:10" x14ac:dyDescent="0.25">
      <c r="B207" s="6" t="str" cm="1">
        <f t="array" aca="1" ref="B207" ca="1">IF('Raw Data'!$B$10 = "Overall Project","",_xlfn.REGEXEXTRACT(CELL("address",'Raw Data'!B207),"\$([A-Z]+)\$[0-9]+"))</f>
        <v/>
      </c>
      <c r="C207" s="6" t="str" cm="1">
        <f t="array" aca="1" ref="C207" ca="1">IF('Raw Data'!$C$10 = "Month # 1","",_xlfn.REGEXEXTRACT(CELL("address",'Raw Data'!C207),"\$([A-Z]+)\$[0-9]+"))</f>
        <v/>
      </c>
      <c r="D207" s="6"/>
      <c r="E207" s="6" t="str" cm="1">
        <f t="array" aca="1" ref="E207" ca="1">IF(AND('Raw Data'!E207&gt;=0,'Raw Data'!E207&lt;=1),"",_xlfn.REGEXEXTRACT(CELL("address",'Raw Data'!E207),"\$([A-Z]+)\$[0-9]+"))</f>
        <v/>
      </c>
      <c r="F207" s="6" t="str" cm="1">
        <f t="array" aca="1" ref="F207" ca="1">IF(AND('Raw Data'!F207&gt;=0,'Raw Data'!F207&lt;=1),"",_xlfn.REGEXEXTRACT(CELL("address",'Raw Data'!F207),"\$([A-Z]+)\$[0-9]+"))</f>
        <v/>
      </c>
      <c r="G207" s="6" t="str" cm="1">
        <f t="array" aca="1" ref="G207" ca="1">IF(AND('Raw Data'!G207&gt;=0,'Raw Data'!G207&lt;=1),"",_xlfn.REGEXEXTRACT(CELL("address",'Raw Data'!G207),"\$([A-Z]+)\$[0-9]+"))</f>
        <v/>
      </c>
      <c r="H207" s="6" t="str" cm="1">
        <f t="array" aca="1" ref="H207" ca="1">IF(AND('Raw Data'!H207&gt;=0,'Raw Data'!H207&lt;=1),"",_xlfn.REGEXEXTRACT(CELL("address",'Raw Data'!H207),"\$([A-Z]+)\$[0-9]+"))</f>
        <v/>
      </c>
      <c r="I207" s="6" t="str" cm="1">
        <f t="array" aca="1" ref="I207" ca="1">IF(AND('Raw Data'!I207&gt;=0,'Raw Data'!I207&lt;=1),"",_xlfn.REGEXEXTRACT(CELL("address",'Raw Data'!I207),"\$([A-Z]+)\$[0-9]+"))</f>
        <v/>
      </c>
      <c r="J207" s="6" t="str" cm="1">
        <f t="array" aca="1" ref="J207" ca="1">IF(AND('Raw Data'!J207&gt;=0,'Raw Data'!J207&lt;=1),"",_xlfn.REGEXEXTRACT(CELL("address",'Raw Data'!J207),"\$([A-Z]+)\$[0-9]+"))</f>
        <v/>
      </c>
    </row>
    <row r="208" spans="2:10" x14ac:dyDescent="0.25">
      <c r="B208" s="6" t="str" cm="1">
        <f t="array" aca="1" ref="B208" ca="1">IF('Raw Data'!$B$10 = "Overall Project","",_xlfn.REGEXEXTRACT(CELL("address",'Raw Data'!B208),"\$([A-Z]+)\$[0-9]+"))</f>
        <v/>
      </c>
      <c r="C208" s="6" t="str" cm="1">
        <f t="array" aca="1" ref="C208" ca="1">IF('Raw Data'!$C$10 = "Month # 1","",_xlfn.REGEXEXTRACT(CELL("address",'Raw Data'!C208),"\$([A-Z]+)\$[0-9]+"))</f>
        <v/>
      </c>
      <c r="D208" s="6"/>
      <c r="E208" s="6" t="str" cm="1">
        <f t="array" aca="1" ref="E208" ca="1">IF(AND('Raw Data'!E208&gt;=0,'Raw Data'!E208&lt;=1),"",_xlfn.REGEXEXTRACT(CELL("address",'Raw Data'!E208),"\$([A-Z]+)\$[0-9]+"))</f>
        <v/>
      </c>
      <c r="F208" s="6" t="str" cm="1">
        <f t="array" aca="1" ref="F208" ca="1">IF(AND('Raw Data'!F208&gt;=0,'Raw Data'!F208&lt;=1),"",_xlfn.REGEXEXTRACT(CELL("address",'Raw Data'!F208),"\$([A-Z]+)\$[0-9]+"))</f>
        <v/>
      </c>
      <c r="G208" s="6" t="str" cm="1">
        <f t="array" aca="1" ref="G208" ca="1">IF(AND('Raw Data'!G208&gt;=0,'Raw Data'!G208&lt;=1),"",_xlfn.REGEXEXTRACT(CELL("address",'Raw Data'!G208),"\$([A-Z]+)\$[0-9]+"))</f>
        <v/>
      </c>
      <c r="H208" s="6" t="str" cm="1">
        <f t="array" aca="1" ref="H208" ca="1">IF(AND('Raw Data'!H208&gt;=0,'Raw Data'!H208&lt;=1),"",_xlfn.REGEXEXTRACT(CELL("address",'Raw Data'!H208),"\$([A-Z]+)\$[0-9]+"))</f>
        <v/>
      </c>
      <c r="I208" s="6" t="str" cm="1">
        <f t="array" aca="1" ref="I208" ca="1">IF(AND('Raw Data'!I208&gt;=0,'Raw Data'!I208&lt;=1),"",_xlfn.REGEXEXTRACT(CELL("address",'Raw Data'!I208),"\$([A-Z]+)\$[0-9]+"))</f>
        <v/>
      </c>
      <c r="J208" s="6" t="str" cm="1">
        <f t="array" aca="1" ref="J208" ca="1">IF(AND('Raw Data'!J208&gt;=0,'Raw Data'!J208&lt;=1),"",_xlfn.REGEXEXTRACT(CELL("address",'Raw Data'!J208),"\$([A-Z]+)\$[0-9]+"))</f>
        <v/>
      </c>
    </row>
    <row r="209" spans="2:10" x14ac:dyDescent="0.25">
      <c r="B209" s="6" t="str" cm="1">
        <f t="array" aca="1" ref="B209" ca="1">IF('Raw Data'!$B$10 = "Overall Project","",_xlfn.REGEXEXTRACT(CELL("address",'Raw Data'!B209),"\$([A-Z]+)\$[0-9]+"))</f>
        <v/>
      </c>
      <c r="C209" s="6" t="str" cm="1">
        <f t="array" aca="1" ref="C209" ca="1">IF('Raw Data'!$C$10 = "Month # 1","",_xlfn.REGEXEXTRACT(CELL("address",'Raw Data'!C209),"\$([A-Z]+)\$[0-9]+"))</f>
        <v/>
      </c>
      <c r="D209" s="6"/>
      <c r="E209" s="6" t="str" cm="1">
        <f t="array" aca="1" ref="E209" ca="1">IF(AND('Raw Data'!E209&gt;=0,'Raw Data'!E209&lt;=1),"",_xlfn.REGEXEXTRACT(CELL("address",'Raw Data'!E209),"\$([A-Z]+)\$[0-9]+"))</f>
        <v/>
      </c>
      <c r="F209" s="6" t="str" cm="1">
        <f t="array" aca="1" ref="F209" ca="1">IF(AND('Raw Data'!F209&gt;=0,'Raw Data'!F209&lt;=1),"",_xlfn.REGEXEXTRACT(CELL("address",'Raw Data'!F209),"\$([A-Z]+)\$[0-9]+"))</f>
        <v/>
      </c>
      <c r="G209" s="6" t="str" cm="1">
        <f t="array" aca="1" ref="G209" ca="1">IF(AND('Raw Data'!G209&gt;=0,'Raw Data'!G209&lt;=1),"",_xlfn.REGEXEXTRACT(CELL("address",'Raw Data'!G209),"\$([A-Z]+)\$[0-9]+"))</f>
        <v/>
      </c>
      <c r="H209" s="6" t="str" cm="1">
        <f t="array" aca="1" ref="H209" ca="1">IF(AND('Raw Data'!H209&gt;=0,'Raw Data'!H209&lt;=1),"",_xlfn.REGEXEXTRACT(CELL("address",'Raw Data'!H209),"\$([A-Z]+)\$[0-9]+"))</f>
        <v/>
      </c>
      <c r="I209" s="6" t="str" cm="1">
        <f t="array" aca="1" ref="I209" ca="1">IF(AND('Raw Data'!I209&gt;=0,'Raw Data'!I209&lt;=1),"",_xlfn.REGEXEXTRACT(CELL("address",'Raw Data'!I209),"\$([A-Z]+)\$[0-9]+"))</f>
        <v/>
      </c>
      <c r="J209" s="6" t="str" cm="1">
        <f t="array" aca="1" ref="J209" ca="1">IF(AND('Raw Data'!J209&gt;=0,'Raw Data'!J209&lt;=1),"",_xlfn.REGEXEXTRACT(CELL("address",'Raw Data'!J209),"\$([A-Z]+)\$[0-9]+"))</f>
        <v/>
      </c>
    </row>
    <row r="210" spans="2:10" x14ac:dyDescent="0.25">
      <c r="B210" s="6" t="str" cm="1">
        <f t="array" aca="1" ref="B210" ca="1">IF('Raw Data'!$B$10 = "Overall Project","",_xlfn.REGEXEXTRACT(CELL("address",'Raw Data'!B210),"\$([A-Z]+)\$[0-9]+"))</f>
        <v/>
      </c>
      <c r="C210" s="6" t="str" cm="1">
        <f t="array" aca="1" ref="C210" ca="1">IF('Raw Data'!$C$10 = "Month # 1","",_xlfn.REGEXEXTRACT(CELL("address",'Raw Data'!C210),"\$([A-Z]+)\$[0-9]+"))</f>
        <v/>
      </c>
      <c r="D210" s="6"/>
      <c r="E210" s="6" t="str" cm="1">
        <f t="array" aca="1" ref="E210" ca="1">IF(AND('Raw Data'!E210&gt;=0,'Raw Data'!E210&lt;=1),"",_xlfn.REGEXEXTRACT(CELL("address",'Raw Data'!E210),"\$([A-Z]+)\$[0-9]+"))</f>
        <v/>
      </c>
      <c r="F210" s="6" t="str" cm="1">
        <f t="array" aca="1" ref="F210" ca="1">IF(AND('Raw Data'!F210&gt;=0,'Raw Data'!F210&lt;=1),"",_xlfn.REGEXEXTRACT(CELL("address",'Raw Data'!F210),"\$([A-Z]+)\$[0-9]+"))</f>
        <v/>
      </c>
      <c r="G210" s="6" t="str" cm="1">
        <f t="array" aca="1" ref="G210" ca="1">IF(AND('Raw Data'!G210&gt;=0,'Raw Data'!G210&lt;=1),"",_xlfn.REGEXEXTRACT(CELL("address",'Raw Data'!G210),"\$([A-Z]+)\$[0-9]+"))</f>
        <v/>
      </c>
      <c r="H210" s="6" t="str" cm="1">
        <f t="array" aca="1" ref="H210" ca="1">IF(AND('Raw Data'!H210&gt;=0,'Raw Data'!H210&lt;=1),"",_xlfn.REGEXEXTRACT(CELL("address",'Raw Data'!H210),"\$([A-Z]+)\$[0-9]+"))</f>
        <v/>
      </c>
      <c r="I210" s="6" t="str" cm="1">
        <f t="array" aca="1" ref="I210" ca="1">IF(AND('Raw Data'!I210&gt;=0,'Raw Data'!I210&lt;=1),"",_xlfn.REGEXEXTRACT(CELL("address",'Raw Data'!I210),"\$([A-Z]+)\$[0-9]+"))</f>
        <v/>
      </c>
      <c r="J210" s="6" t="str" cm="1">
        <f t="array" aca="1" ref="J210" ca="1">IF(AND('Raw Data'!J210&gt;=0,'Raw Data'!J210&lt;=1),"",_xlfn.REGEXEXTRACT(CELL("address",'Raw Data'!J210),"\$([A-Z]+)\$[0-9]+"))</f>
        <v/>
      </c>
    </row>
    <row r="211" spans="2:10" x14ac:dyDescent="0.25">
      <c r="B211" s="6" t="str" cm="1">
        <f t="array" aca="1" ref="B211" ca="1">IF('Raw Data'!$B$10 = "Overall Project","",_xlfn.REGEXEXTRACT(CELL("address",'Raw Data'!B211),"\$([A-Z]+)\$[0-9]+"))</f>
        <v/>
      </c>
      <c r="C211" s="6" t="str" cm="1">
        <f t="array" aca="1" ref="C211" ca="1">IF('Raw Data'!$C$10 = "Month # 1","",_xlfn.REGEXEXTRACT(CELL("address",'Raw Data'!C211),"\$([A-Z]+)\$[0-9]+"))</f>
        <v/>
      </c>
      <c r="D211" s="6"/>
      <c r="E211" s="6" t="str" cm="1">
        <f t="array" aca="1" ref="E211" ca="1">IF(AND('Raw Data'!E211&gt;=0,'Raw Data'!E211&lt;=1),"",_xlfn.REGEXEXTRACT(CELL("address",'Raw Data'!E211),"\$([A-Z]+)\$[0-9]+"))</f>
        <v/>
      </c>
      <c r="F211" s="6" t="str" cm="1">
        <f t="array" aca="1" ref="F211" ca="1">IF(AND('Raw Data'!F211&gt;=0,'Raw Data'!F211&lt;=1),"",_xlfn.REGEXEXTRACT(CELL("address",'Raw Data'!F211),"\$([A-Z]+)\$[0-9]+"))</f>
        <v/>
      </c>
      <c r="G211" s="6" t="str" cm="1">
        <f t="array" aca="1" ref="G211" ca="1">IF(AND('Raw Data'!G211&gt;=0,'Raw Data'!G211&lt;=1),"",_xlfn.REGEXEXTRACT(CELL("address",'Raw Data'!G211),"\$([A-Z]+)\$[0-9]+"))</f>
        <v/>
      </c>
      <c r="H211" s="6" t="str" cm="1">
        <f t="array" aca="1" ref="H211" ca="1">IF(AND('Raw Data'!H211&gt;=0,'Raw Data'!H211&lt;=1),"",_xlfn.REGEXEXTRACT(CELL("address",'Raw Data'!H211),"\$([A-Z]+)\$[0-9]+"))</f>
        <v/>
      </c>
      <c r="I211" s="6" t="str" cm="1">
        <f t="array" aca="1" ref="I211" ca="1">IF(AND('Raw Data'!I211&gt;=0,'Raw Data'!I211&lt;=1),"",_xlfn.REGEXEXTRACT(CELL("address",'Raw Data'!I211),"\$([A-Z]+)\$[0-9]+"))</f>
        <v/>
      </c>
      <c r="J211" s="6" t="str" cm="1">
        <f t="array" aca="1" ref="J211" ca="1">IF(AND('Raw Data'!J211&gt;=0,'Raw Data'!J211&lt;=1),"",_xlfn.REGEXEXTRACT(CELL("address",'Raw Data'!J211),"\$([A-Z]+)\$[0-9]+"))</f>
        <v/>
      </c>
    </row>
    <row r="212" spans="2:10" x14ac:dyDescent="0.25">
      <c r="B212" s="6" t="str" cm="1">
        <f t="array" aca="1" ref="B212" ca="1">IF('Raw Data'!$B$10 = "Overall Project","",_xlfn.REGEXEXTRACT(CELL("address",'Raw Data'!B212),"\$([A-Z]+)\$[0-9]+"))</f>
        <v/>
      </c>
      <c r="C212" s="6" t="str" cm="1">
        <f t="array" aca="1" ref="C212" ca="1">IF('Raw Data'!$C$10 = "Month # 1","",_xlfn.REGEXEXTRACT(CELL("address",'Raw Data'!C212),"\$([A-Z]+)\$[0-9]+"))</f>
        <v/>
      </c>
      <c r="D212" s="6"/>
      <c r="E212" s="6" t="str" cm="1">
        <f t="array" aca="1" ref="E212" ca="1">IF(AND('Raw Data'!E212&gt;=0,'Raw Data'!E212&lt;=1),"",_xlfn.REGEXEXTRACT(CELL("address",'Raw Data'!E212),"\$([A-Z]+)\$[0-9]+"))</f>
        <v/>
      </c>
      <c r="F212" s="6" t="str" cm="1">
        <f t="array" aca="1" ref="F212" ca="1">IF(AND('Raw Data'!F212&gt;=0,'Raw Data'!F212&lt;=1),"",_xlfn.REGEXEXTRACT(CELL("address",'Raw Data'!F212),"\$([A-Z]+)\$[0-9]+"))</f>
        <v/>
      </c>
      <c r="G212" s="6" t="str" cm="1">
        <f t="array" aca="1" ref="G212" ca="1">IF(AND('Raw Data'!G212&gt;=0,'Raw Data'!G212&lt;=1),"",_xlfn.REGEXEXTRACT(CELL("address",'Raw Data'!G212),"\$([A-Z]+)\$[0-9]+"))</f>
        <v/>
      </c>
      <c r="H212" s="6" t="str" cm="1">
        <f t="array" aca="1" ref="H212" ca="1">IF(AND('Raw Data'!H212&gt;=0,'Raw Data'!H212&lt;=1),"",_xlfn.REGEXEXTRACT(CELL("address",'Raw Data'!H212),"\$([A-Z]+)\$[0-9]+"))</f>
        <v/>
      </c>
      <c r="I212" s="6" t="str" cm="1">
        <f t="array" aca="1" ref="I212" ca="1">IF(AND('Raw Data'!I212&gt;=0,'Raw Data'!I212&lt;=1),"",_xlfn.REGEXEXTRACT(CELL("address",'Raw Data'!I212),"\$([A-Z]+)\$[0-9]+"))</f>
        <v/>
      </c>
      <c r="J212" s="6" t="str" cm="1">
        <f t="array" aca="1" ref="J212" ca="1">IF(AND('Raw Data'!J212&gt;=0,'Raw Data'!J212&lt;=1),"",_xlfn.REGEXEXTRACT(CELL("address",'Raw Data'!J212),"\$([A-Z]+)\$[0-9]+"))</f>
        <v/>
      </c>
    </row>
    <row r="213" spans="2:10" x14ac:dyDescent="0.25">
      <c r="B213" s="6" t="str" cm="1">
        <f t="array" aca="1" ref="B213" ca="1">IF('Raw Data'!$B$10 = "Overall Project","",_xlfn.REGEXEXTRACT(CELL("address",'Raw Data'!B213),"\$([A-Z]+)\$[0-9]+"))</f>
        <v/>
      </c>
      <c r="C213" s="6" t="str" cm="1">
        <f t="array" aca="1" ref="C213" ca="1">IF('Raw Data'!$C$10 = "Month # 1","",_xlfn.REGEXEXTRACT(CELL("address",'Raw Data'!C213),"\$([A-Z]+)\$[0-9]+"))</f>
        <v/>
      </c>
      <c r="D213" s="6"/>
      <c r="E213" s="6" t="str" cm="1">
        <f t="array" aca="1" ref="E213" ca="1">IF(AND('Raw Data'!E213&gt;=0,'Raw Data'!E213&lt;=1),"",_xlfn.REGEXEXTRACT(CELL("address",'Raw Data'!E213),"\$([A-Z]+)\$[0-9]+"))</f>
        <v/>
      </c>
      <c r="F213" s="6" t="str" cm="1">
        <f t="array" aca="1" ref="F213" ca="1">IF(AND('Raw Data'!F213&gt;=0,'Raw Data'!F213&lt;=1),"",_xlfn.REGEXEXTRACT(CELL("address",'Raw Data'!F213),"\$([A-Z]+)\$[0-9]+"))</f>
        <v/>
      </c>
      <c r="G213" s="6" t="str" cm="1">
        <f t="array" aca="1" ref="G213" ca="1">IF(AND('Raw Data'!G213&gt;=0,'Raw Data'!G213&lt;=1),"",_xlfn.REGEXEXTRACT(CELL("address",'Raw Data'!G213),"\$([A-Z]+)\$[0-9]+"))</f>
        <v/>
      </c>
      <c r="H213" s="6" t="str" cm="1">
        <f t="array" aca="1" ref="H213" ca="1">IF(AND('Raw Data'!H213&gt;=0,'Raw Data'!H213&lt;=1),"",_xlfn.REGEXEXTRACT(CELL("address",'Raw Data'!H213),"\$([A-Z]+)\$[0-9]+"))</f>
        <v/>
      </c>
      <c r="I213" s="6" t="str" cm="1">
        <f t="array" aca="1" ref="I213" ca="1">IF(AND('Raw Data'!I213&gt;=0,'Raw Data'!I213&lt;=1),"",_xlfn.REGEXEXTRACT(CELL("address",'Raw Data'!I213),"\$([A-Z]+)\$[0-9]+"))</f>
        <v/>
      </c>
      <c r="J213" s="6" t="str" cm="1">
        <f t="array" aca="1" ref="J213" ca="1">IF(AND('Raw Data'!J213&gt;=0,'Raw Data'!J213&lt;=1),"",_xlfn.REGEXEXTRACT(CELL("address",'Raw Data'!J213),"\$([A-Z]+)\$[0-9]+"))</f>
        <v/>
      </c>
    </row>
    <row r="214" spans="2:10" x14ac:dyDescent="0.25">
      <c r="B214" s="6" t="str" cm="1">
        <f t="array" aca="1" ref="B214" ca="1">IF('Raw Data'!$B$10 = "Overall Project","",_xlfn.REGEXEXTRACT(CELL("address",'Raw Data'!B214),"\$([A-Z]+)\$[0-9]+"))</f>
        <v/>
      </c>
      <c r="C214" s="6" t="str" cm="1">
        <f t="array" aca="1" ref="C214" ca="1">IF('Raw Data'!$C$10 = "Month # 1","",_xlfn.REGEXEXTRACT(CELL("address",'Raw Data'!C214),"\$([A-Z]+)\$[0-9]+"))</f>
        <v/>
      </c>
      <c r="D214" s="6"/>
      <c r="E214" s="6" t="str" cm="1">
        <f t="array" aca="1" ref="E214" ca="1">IF(AND('Raw Data'!E214&gt;=0,'Raw Data'!E214&lt;=1),"",_xlfn.REGEXEXTRACT(CELL("address",'Raw Data'!E214),"\$([A-Z]+)\$[0-9]+"))</f>
        <v/>
      </c>
      <c r="F214" s="6" t="str" cm="1">
        <f t="array" aca="1" ref="F214" ca="1">IF(AND('Raw Data'!F214&gt;=0,'Raw Data'!F214&lt;=1),"",_xlfn.REGEXEXTRACT(CELL("address",'Raw Data'!F214),"\$([A-Z]+)\$[0-9]+"))</f>
        <v/>
      </c>
      <c r="G214" s="6" t="str" cm="1">
        <f t="array" aca="1" ref="G214" ca="1">IF(AND('Raw Data'!G214&gt;=0,'Raw Data'!G214&lt;=1),"",_xlfn.REGEXEXTRACT(CELL("address",'Raw Data'!G214),"\$([A-Z]+)\$[0-9]+"))</f>
        <v/>
      </c>
      <c r="H214" s="6" t="str" cm="1">
        <f t="array" aca="1" ref="H214" ca="1">IF(AND('Raw Data'!H214&gt;=0,'Raw Data'!H214&lt;=1),"",_xlfn.REGEXEXTRACT(CELL("address",'Raw Data'!H214),"\$([A-Z]+)\$[0-9]+"))</f>
        <v/>
      </c>
      <c r="I214" s="6" t="str" cm="1">
        <f t="array" aca="1" ref="I214" ca="1">IF(AND('Raw Data'!I214&gt;=0,'Raw Data'!I214&lt;=1),"",_xlfn.REGEXEXTRACT(CELL("address",'Raw Data'!I214),"\$([A-Z]+)\$[0-9]+"))</f>
        <v/>
      </c>
      <c r="J214" s="6" t="str" cm="1">
        <f t="array" aca="1" ref="J214" ca="1">IF(AND('Raw Data'!J214&gt;=0,'Raw Data'!J214&lt;=1),"",_xlfn.REGEXEXTRACT(CELL("address",'Raw Data'!J214),"\$([A-Z]+)\$[0-9]+"))</f>
        <v/>
      </c>
    </row>
    <row r="215" spans="2:10" x14ac:dyDescent="0.25">
      <c r="B215" s="6" t="str" cm="1">
        <f t="array" aca="1" ref="B215" ca="1">IF('Raw Data'!$B$10 = "Overall Project","",_xlfn.REGEXEXTRACT(CELL("address",'Raw Data'!B215),"\$([A-Z]+)\$[0-9]+"))</f>
        <v/>
      </c>
      <c r="C215" s="6" t="str" cm="1">
        <f t="array" aca="1" ref="C215" ca="1">IF('Raw Data'!$C$10 = "Month # 1","",_xlfn.REGEXEXTRACT(CELL("address",'Raw Data'!C215),"\$([A-Z]+)\$[0-9]+"))</f>
        <v/>
      </c>
      <c r="D215" s="6"/>
      <c r="E215" s="6" t="str" cm="1">
        <f t="array" aca="1" ref="E215" ca="1">IF(AND('Raw Data'!E215&gt;=0,'Raw Data'!E215&lt;=1),"",_xlfn.REGEXEXTRACT(CELL("address",'Raw Data'!E215),"\$([A-Z]+)\$[0-9]+"))</f>
        <v/>
      </c>
      <c r="F215" s="6" t="str" cm="1">
        <f t="array" aca="1" ref="F215" ca="1">IF(AND('Raw Data'!F215&gt;=0,'Raw Data'!F215&lt;=1),"",_xlfn.REGEXEXTRACT(CELL("address",'Raw Data'!F215),"\$([A-Z]+)\$[0-9]+"))</f>
        <v/>
      </c>
      <c r="G215" s="6" t="str" cm="1">
        <f t="array" aca="1" ref="G215" ca="1">IF(AND('Raw Data'!G215&gt;=0,'Raw Data'!G215&lt;=1),"",_xlfn.REGEXEXTRACT(CELL("address",'Raw Data'!G215),"\$([A-Z]+)\$[0-9]+"))</f>
        <v/>
      </c>
      <c r="H215" s="6" t="str" cm="1">
        <f t="array" aca="1" ref="H215" ca="1">IF(AND('Raw Data'!H215&gt;=0,'Raw Data'!H215&lt;=1),"",_xlfn.REGEXEXTRACT(CELL("address",'Raw Data'!H215),"\$([A-Z]+)\$[0-9]+"))</f>
        <v/>
      </c>
      <c r="I215" s="6" t="str" cm="1">
        <f t="array" aca="1" ref="I215" ca="1">IF(AND('Raw Data'!I215&gt;=0,'Raw Data'!I215&lt;=1),"",_xlfn.REGEXEXTRACT(CELL("address",'Raw Data'!I215),"\$([A-Z]+)\$[0-9]+"))</f>
        <v/>
      </c>
      <c r="J215" s="6" t="str" cm="1">
        <f t="array" aca="1" ref="J215" ca="1">IF(AND('Raw Data'!J215&gt;=0,'Raw Data'!J215&lt;=1),"",_xlfn.REGEXEXTRACT(CELL("address",'Raw Data'!J215),"\$([A-Z]+)\$[0-9]+"))</f>
        <v/>
      </c>
    </row>
    <row r="216" spans="2:10" x14ac:dyDescent="0.25">
      <c r="B216" s="6" t="str" cm="1">
        <f t="array" aca="1" ref="B216" ca="1">IF('Raw Data'!$B$10 = "Overall Project","",_xlfn.REGEXEXTRACT(CELL("address",'Raw Data'!B216),"\$([A-Z]+)\$[0-9]+"))</f>
        <v/>
      </c>
      <c r="C216" s="6" t="str" cm="1">
        <f t="array" aca="1" ref="C216" ca="1">IF('Raw Data'!$C$10 = "Month # 1","",_xlfn.REGEXEXTRACT(CELL("address",'Raw Data'!C216),"\$([A-Z]+)\$[0-9]+"))</f>
        <v/>
      </c>
      <c r="D216" s="6"/>
      <c r="E216" s="6" t="str" cm="1">
        <f t="array" aca="1" ref="E216" ca="1">IF(AND('Raw Data'!E216&gt;=0,'Raw Data'!E216&lt;=1),"",_xlfn.REGEXEXTRACT(CELL("address",'Raw Data'!E216),"\$([A-Z]+)\$[0-9]+"))</f>
        <v/>
      </c>
      <c r="F216" s="6" t="str" cm="1">
        <f t="array" aca="1" ref="F216" ca="1">IF(AND('Raw Data'!F216&gt;=0,'Raw Data'!F216&lt;=1),"",_xlfn.REGEXEXTRACT(CELL("address",'Raw Data'!F216),"\$([A-Z]+)\$[0-9]+"))</f>
        <v/>
      </c>
      <c r="G216" s="6" t="str" cm="1">
        <f t="array" aca="1" ref="G216" ca="1">IF(AND('Raw Data'!G216&gt;=0,'Raw Data'!G216&lt;=1),"",_xlfn.REGEXEXTRACT(CELL("address",'Raw Data'!G216),"\$([A-Z]+)\$[0-9]+"))</f>
        <v/>
      </c>
      <c r="H216" s="6" t="str" cm="1">
        <f t="array" aca="1" ref="H216" ca="1">IF(AND('Raw Data'!H216&gt;=0,'Raw Data'!H216&lt;=1),"",_xlfn.REGEXEXTRACT(CELL("address",'Raw Data'!H216),"\$([A-Z]+)\$[0-9]+"))</f>
        <v/>
      </c>
      <c r="I216" s="6" t="str" cm="1">
        <f t="array" aca="1" ref="I216" ca="1">IF(AND('Raw Data'!I216&gt;=0,'Raw Data'!I216&lt;=1),"",_xlfn.REGEXEXTRACT(CELL("address",'Raw Data'!I216),"\$([A-Z]+)\$[0-9]+"))</f>
        <v/>
      </c>
      <c r="J216" s="6" t="str" cm="1">
        <f t="array" aca="1" ref="J216" ca="1">IF(AND('Raw Data'!J216&gt;=0,'Raw Data'!J216&lt;=1),"",_xlfn.REGEXEXTRACT(CELL("address",'Raw Data'!J216),"\$([A-Z]+)\$[0-9]+"))</f>
        <v/>
      </c>
    </row>
    <row r="217" spans="2:10" x14ac:dyDescent="0.25">
      <c r="B217" s="6" t="str" cm="1">
        <f t="array" aca="1" ref="B217" ca="1">IF('Raw Data'!$B$10 = "Overall Project","",_xlfn.REGEXEXTRACT(CELL("address",'Raw Data'!B217),"\$([A-Z]+)\$[0-9]+"))</f>
        <v/>
      </c>
      <c r="C217" s="6" t="str" cm="1">
        <f t="array" aca="1" ref="C217" ca="1">IF('Raw Data'!$C$10 = "Month # 1","",_xlfn.REGEXEXTRACT(CELL("address",'Raw Data'!C217),"\$([A-Z]+)\$[0-9]+"))</f>
        <v/>
      </c>
      <c r="D217" s="6"/>
      <c r="E217" s="6" t="str" cm="1">
        <f t="array" aca="1" ref="E217" ca="1">IF(AND('Raw Data'!E217&gt;=0,'Raw Data'!E217&lt;=1),"",_xlfn.REGEXEXTRACT(CELL("address",'Raw Data'!E217),"\$([A-Z]+)\$[0-9]+"))</f>
        <v/>
      </c>
      <c r="F217" s="6" t="str" cm="1">
        <f t="array" aca="1" ref="F217" ca="1">IF(AND('Raw Data'!F217&gt;=0,'Raw Data'!F217&lt;=1),"",_xlfn.REGEXEXTRACT(CELL("address",'Raw Data'!F217),"\$([A-Z]+)\$[0-9]+"))</f>
        <v/>
      </c>
      <c r="G217" s="6" t="str" cm="1">
        <f t="array" aca="1" ref="G217" ca="1">IF(AND('Raw Data'!G217&gt;=0,'Raw Data'!G217&lt;=1),"",_xlfn.REGEXEXTRACT(CELL("address",'Raw Data'!G217),"\$([A-Z]+)\$[0-9]+"))</f>
        <v/>
      </c>
      <c r="H217" s="6" t="str" cm="1">
        <f t="array" aca="1" ref="H217" ca="1">IF(AND('Raw Data'!H217&gt;=0,'Raw Data'!H217&lt;=1),"",_xlfn.REGEXEXTRACT(CELL("address",'Raw Data'!H217),"\$([A-Z]+)\$[0-9]+"))</f>
        <v/>
      </c>
      <c r="I217" s="6" t="str" cm="1">
        <f t="array" aca="1" ref="I217" ca="1">IF(AND('Raw Data'!I217&gt;=0,'Raw Data'!I217&lt;=1),"",_xlfn.REGEXEXTRACT(CELL("address",'Raw Data'!I217),"\$([A-Z]+)\$[0-9]+"))</f>
        <v/>
      </c>
      <c r="J217" s="6" t="str" cm="1">
        <f t="array" aca="1" ref="J217" ca="1">IF(AND('Raw Data'!J217&gt;=0,'Raw Data'!J217&lt;=1),"",_xlfn.REGEXEXTRACT(CELL("address",'Raw Data'!J217),"\$([A-Z]+)\$[0-9]+"))</f>
        <v/>
      </c>
    </row>
    <row r="218" spans="2:10" x14ac:dyDescent="0.25">
      <c r="B218" s="6" t="str" cm="1">
        <f t="array" aca="1" ref="B218" ca="1">IF('Raw Data'!$B$10 = "Overall Project","",_xlfn.REGEXEXTRACT(CELL("address",'Raw Data'!B218),"\$([A-Z]+)\$[0-9]+"))</f>
        <v/>
      </c>
      <c r="C218" s="6" t="str" cm="1">
        <f t="array" aca="1" ref="C218" ca="1">IF('Raw Data'!$C$10 = "Month # 1","",_xlfn.REGEXEXTRACT(CELL("address",'Raw Data'!C218),"\$([A-Z]+)\$[0-9]+"))</f>
        <v/>
      </c>
      <c r="D218" s="6"/>
      <c r="E218" s="6" t="str" cm="1">
        <f t="array" aca="1" ref="E218" ca="1">IF(AND('Raw Data'!E218&gt;=0,'Raw Data'!E218&lt;=1),"",_xlfn.REGEXEXTRACT(CELL("address",'Raw Data'!E218),"\$([A-Z]+)\$[0-9]+"))</f>
        <v/>
      </c>
      <c r="F218" s="6" t="str" cm="1">
        <f t="array" aca="1" ref="F218" ca="1">IF(AND('Raw Data'!F218&gt;=0,'Raw Data'!F218&lt;=1),"",_xlfn.REGEXEXTRACT(CELL("address",'Raw Data'!F218),"\$([A-Z]+)\$[0-9]+"))</f>
        <v/>
      </c>
      <c r="G218" s="6" t="str" cm="1">
        <f t="array" aca="1" ref="G218" ca="1">IF(AND('Raw Data'!G218&gt;=0,'Raw Data'!G218&lt;=1),"",_xlfn.REGEXEXTRACT(CELL("address",'Raw Data'!G218),"\$([A-Z]+)\$[0-9]+"))</f>
        <v/>
      </c>
      <c r="H218" s="6" t="str" cm="1">
        <f t="array" aca="1" ref="H218" ca="1">IF(AND('Raw Data'!H218&gt;=0,'Raw Data'!H218&lt;=1),"",_xlfn.REGEXEXTRACT(CELL("address",'Raw Data'!H218),"\$([A-Z]+)\$[0-9]+"))</f>
        <v/>
      </c>
      <c r="I218" s="6" t="str" cm="1">
        <f t="array" aca="1" ref="I218" ca="1">IF(AND('Raw Data'!I218&gt;=0,'Raw Data'!I218&lt;=1),"",_xlfn.REGEXEXTRACT(CELL("address",'Raw Data'!I218),"\$([A-Z]+)\$[0-9]+"))</f>
        <v/>
      </c>
      <c r="J218" s="6" t="str" cm="1">
        <f t="array" aca="1" ref="J218" ca="1">IF(AND('Raw Data'!J218&gt;=0,'Raw Data'!J218&lt;=1),"",_xlfn.REGEXEXTRACT(CELL("address",'Raw Data'!J218),"\$([A-Z]+)\$[0-9]+"))</f>
        <v/>
      </c>
    </row>
    <row r="219" spans="2:10" x14ac:dyDescent="0.25">
      <c r="B219" s="6" t="str" cm="1">
        <f t="array" aca="1" ref="B219" ca="1">IF('Raw Data'!$B$10 = "Overall Project","",_xlfn.REGEXEXTRACT(CELL("address",'Raw Data'!B219),"\$([A-Z]+)\$[0-9]+"))</f>
        <v/>
      </c>
      <c r="C219" s="6" t="str" cm="1">
        <f t="array" aca="1" ref="C219" ca="1">IF('Raw Data'!$C$10 = "Month # 1","",_xlfn.REGEXEXTRACT(CELL("address",'Raw Data'!C219),"\$([A-Z]+)\$[0-9]+"))</f>
        <v/>
      </c>
      <c r="D219" s="6"/>
      <c r="E219" s="6" t="str" cm="1">
        <f t="array" aca="1" ref="E219" ca="1">IF(AND('Raw Data'!E219&gt;=0,'Raw Data'!E219&lt;=1),"",_xlfn.REGEXEXTRACT(CELL("address",'Raw Data'!E219),"\$([A-Z]+)\$[0-9]+"))</f>
        <v/>
      </c>
      <c r="F219" s="6" t="str" cm="1">
        <f t="array" aca="1" ref="F219" ca="1">IF(AND('Raw Data'!F219&gt;=0,'Raw Data'!F219&lt;=1),"",_xlfn.REGEXEXTRACT(CELL("address",'Raw Data'!F219),"\$([A-Z]+)\$[0-9]+"))</f>
        <v/>
      </c>
      <c r="G219" s="6" t="str" cm="1">
        <f t="array" aca="1" ref="G219" ca="1">IF(AND('Raw Data'!G219&gt;=0,'Raw Data'!G219&lt;=1),"",_xlfn.REGEXEXTRACT(CELL("address",'Raw Data'!G219),"\$([A-Z]+)\$[0-9]+"))</f>
        <v/>
      </c>
      <c r="H219" s="6" t="str" cm="1">
        <f t="array" aca="1" ref="H219" ca="1">IF(AND('Raw Data'!H219&gt;=0,'Raw Data'!H219&lt;=1),"",_xlfn.REGEXEXTRACT(CELL("address",'Raw Data'!H219),"\$([A-Z]+)\$[0-9]+"))</f>
        <v/>
      </c>
      <c r="I219" s="6" t="str" cm="1">
        <f t="array" aca="1" ref="I219" ca="1">IF(AND('Raw Data'!I219&gt;=0,'Raw Data'!I219&lt;=1),"",_xlfn.REGEXEXTRACT(CELL("address",'Raw Data'!I219),"\$([A-Z]+)\$[0-9]+"))</f>
        <v/>
      </c>
      <c r="J219" s="6" t="str" cm="1">
        <f t="array" aca="1" ref="J219" ca="1">IF(AND('Raw Data'!J219&gt;=0,'Raw Data'!J219&lt;=1),"",_xlfn.REGEXEXTRACT(CELL("address",'Raw Data'!J219),"\$([A-Z]+)\$[0-9]+"))</f>
        <v/>
      </c>
    </row>
    <row r="220" spans="2:10" x14ac:dyDescent="0.25">
      <c r="B220" s="6" t="str" cm="1">
        <f t="array" aca="1" ref="B220" ca="1">IF('Raw Data'!$B$10 = "Overall Project","",_xlfn.REGEXEXTRACT(CELL("address",'Raw Data'!B220),"\$([A-Z]+)\$[0-9]+"))</f>
        <v/>
      </c>
      <c r="C220" s="6" t="str" cm="1">
        <f t="array" aca="1" ref="C220" ca="1">IF('Raw Data'!$C$10 = "Month # 1","",_xlfn.REGEXEXTRACT(CELL("address",'Raw Data'!C220),"\$([A-Z]+)\$[0-9]+"))</f>
        <v/>
      </c>
      <c r="D220" s="6"/>
      <c r="E220" s="6" t="str" cm="1">
        <f t="array" aca="1" ref="E220" ca="1">IF(AND('Raw Data'!E220&gt;=0,'Raw Data'!E220&lt;=1),"",_xlfn.REGEXEXTRACT(CELL("address",'Raw Data'!E220),"\$([A-Z]+)\$[0-9]+"))</f>
        <v/>
      </c>
      <c r="F220" s="6" t="str" cm="1">
        <f t="array" aca="1" ref="F220" ca="1">IF(AND('Raw Data'!F220&gt;=0,'Raw Data'!F220&lt;=1),"",_xlfn.REGEXEXTRACT(CELL("address",'Raw Data'!F220),"\$([A-Z]+)\$[0-9]+"))</f>
        <v/>
      </c>
      <c r="G220" s="6" t="str" cm="1">
        <f t="array" aca="1" ref="G220" ca="1">IF(AND('Raw Data'!G220&gt;=0,'Raw Data'!G220&lt;=1),"",_xlfn.REGEXEXTRACT(CELL("address",'Raw Data'!G220),"\$([A-Z]+)\$[0-9]+"))</f>
        <v/>
      </c>
      <c r="H220" s="6" t="str" cm="1">
        <f t="array" aca="1" ref="H220" ca="1">IF(AND('Raw Data'!H220&gt;=0,'Raw Data'!H220&lt;=1),"",_xlfn.REGEXEXTRACT(CELL("address",'Raw Data'!H220),"\$([A-Z]+)\$[0-9]+"))</f>
        <v/>
      </c>
      <c r="I220" s="6" t="str" cm="1">
        <f t="array" aca="1" ref="I220" ca="1">IF(AND('Raw Data'!I220&gt;=0,'Raw Data'!I220&lt;=1),"",_xlfn.REGEXEXTRACT(CELL("address",'Raw Data'!I220),"\$([A-Z]+)\$[0-9]+"))</f>
        <v/>
      </c>
      <c r="J220" s="6" t="str" cm="1">
        <f t="array" aca="1" ref="J220" ca="1">IF(AND('Raw Data'!J220&gt;=0,'Raw Data'!J220&lt;=1),"",_xlfn.REGEXEXTRACT(CELL("address",'Raw Data'!J220),"\$([A-Z]+)\$[0-9]+"))</f>
        <v/>
      </c>
    </row>
    <row r="221" spans="2:10" x14ac:dyDescent="0.25">
      <c r="B221" s="6" t="str" cm="1">
        <f t="array" aca="1" ref="B221" ca="1">IF('Raw Data'!$B$10 = "Overall Project","",_xlfn.REGEXEXTRACT(CELL("address",'Raw Data'!B221),"\$([A-Z]+)\$[0-9]+"))</f>
        <v/>
      </c>
      <c r="C221" s="6" t="str" cm="1">
        <f t="array" aca="1" ref="C221" ca="1">IF('Raw Data'!$C$10 = "Month # 1","",_xlfn.REGEXEXTRACT(CELL("address",'Raw Data'!C221),"\$([A-Z]+)\$[0-9]+"))</f>
        <v/>
      </c>
      <c r="D221" s="6"/>
      <c r="E221" s="6" t="str" cm="1">
        <f t="array" aca="1" ref="E221" ca="1">IF(AND('Raw Data'!E221&gt;=0,'Raw Data'!E221&lt;=1),"",_xlfn.REGEXEXTRACT(CELL("address",'Raw Data'!E221),"\$([A-Z]+)\$[0-9]+"))</f>
        <v/>
      </c>
      <c r="F221" s="6" t="str" cm="1">
        <f t="array" aca="1" ref="F221" ca="1">IF(AND('Raw Data'!F221&gt;=0,'Raw Data'!F221&lt;=1),"",_xlfn.REGEXEXTRACT(CELL("address",'Raw Data'!F221),"\$([A-Z]+)\$[0-9]+"))</f>
        <v/>
      </c>
      <c r="G221" s="6" t="str" cm="1">
        <f t="array" aca="1" ref="G221" ca="1">IF(AND('Raw Data'!G221&gt;=0,'Raw Data'!G221&lt;=1),"",_xlfn.REGEXEXTRACT(CELL("address",'Raw Data'!G221),"\$([A-Z]+)\$[0-9]+"))</f>
        <v/>
      </c>
      <c r="H221" s="6" t="str" cm="1">
        <f t="array" aca="1" ref="H221" ca="1">IF(AND('Raw Data'!H221&gt;=0,'Raw Data'!H221&lt;=1),"",_xlfn.REGEXEXTRACT(CELL("address",'Raw Data'!H221),"\$([A-Z]+)\$[0-9]+"))</f>
        <v/>
      </c>
      <c r="I221" s="6" t="str" cm="1">
        <f t="array" aca="1" ref="I221" ca="1">IF(AND('Raw Data'!I221&gt;=0,'Raw Data'!I221&lt;=1),"",_xlfn.REGEXEXTRACT(CELL("address",'Raw Data'!I221),"\$([A-Z]+)\$[0-9]+"))</f>
        <v/>
      </c>
      <c r="J221" s="6" t="str" cm="1">
        <f t="array" aca="1" ref="J221" ca="1">IF(AND('Raw Data'!J221&gt;=0,'Raw Data'!J221&lt;=1),"",_xlfn.REGEXEXTRACT(CELL("address",'Raw Data'!J221),"\$([A-Z]+)\$[0-9]+"))</f>
        <v/>
      </c>
    </row>
    <row r="222" spans="2:10" x14ac:dyDescent="0.25">
      <c r="B222" s="6" t="str" cm="1">
        <f t="array" aca="1" ref="B222" ca="1">IF('Raw Data'!$B$10 = "Overall Project","",_xlfn.REGEXEXTRACT(CELL("address",'Raw Data'!B222),"\$([A-Z]+)\$[0-9]+"))</f>
        <v/>
      </c>
      <c r="C222" s="6" t="str" cm="1">
        <f t="array" aca="1" ref="C222" ca="1">IF('Raw Data'!$C$10 = "Month # 1","",_xlfn.REGEXEXTRACT(CELL("address",'Raw Data'!C222),"\$([A-Z]+)\$[0-9]+"))</f>
        <v/>
      </c>
      <c r="D222" s="6"/>
      <c r="E222" s="6" t="str" cm="1">
        <f t="array" aca="1" ref="E222" ca="1">IF(AND('Raw Data'!E222&gt;=0,'Raw Data'!E222&lt;=1),"",_xlfn.REGEXEXTRACT(CELL("address",'Raw Data'!E222),"\$([A-Z]+)\$[0-9]+"))</f>
        <v/>
      </c>
      <c r="F222" s="6" t="str" cm="1">
        <f t="array" aca="1" ref="F222" ca="1">IF(AND('Raw Data'!F222&gt;=0,'Raw Data'!F222&lt;=1),"",_xlfn.REGEXEXTRACT(CELL("address",'Raw Data'!F222),"\$([A-Z]+)\$[0-9]+"))</f>
        <v/>
      </c>
      <c r="G222" s="6" t="str" cm="1">
        <f t="array" aca="1" ref="G222" ca="1">IF(AND('Raw Data'!G222&gt;=0,'Raw Data'!G222&lt;=1),"",_xlfn.REGEXEXTRACT(CELL("address",'Raw Data'!G222),"\$([A-Z]+)\$[0-9]+"))</f>
        <v/>
      </c>
      <c r="H222" s="6" t="str" cm="1">
        <f t="array" aca="1" ref="H222" ca="1">IF(AND('Raw Data'!H222&gt;=0,'Raw Data'!H222&lt;=1),"",_xlfn.REGEXEXTRACT(CELL("address",'Raw Data'!H222),"\$([A-Z]+)\$[0-9]+"))</f>
        <v/>
      </c>
      <c r="I222" s="6" t="str" cm="1">
        <f t="array" aca="1" ref="I222" ca="1">IF(AND('Raw Data'!I222&gt;=0,'Raw Data'!I222&lt;=1),"",_xlfn.REGEXEXTRACT(CELL("address",'Raw Data'!I222),"\$([A-Z]+)\$[0-9]+"))</f>
        <v/>
      </c>
      <c r="J222" s="6" t="str" cm="1">
        <f t="array" aca="1" ref="J222" ca="1">IF(AND('Raw Data'!J222&gt;=0,'Raw Data'!J222&lt;=1),"",_xlfn.REGEXEXTRACT(CELL("address",'Raw Data'!J222),"\$([A-Z]+)\$[0-9]+"))</f>
        <v/>
      </c>
    </row>
    <row r="223" spans="2:10" x14ac:dyDescent="0.25">
      <c r="B223" s="6" t="str" cm="1">
        <f t="array" aca="1" ref="B223" ca="1">IF('Raw Data'!$B$10 = "Overall Project","",_xlfn.REGEXEXTRACT(CELL("address",'Raw Data'!B223),"\$([A-Z]+)\$[0-9]+"))</f>
        <v/>
      </c>
      <c r="C223" s="6" t="str" cm="1">
        <f t="array" aca="1" ref="C223" ca="1">IF('Raw Data'!$C$10 = "Month # 1","",_xlfn.REGEXEXTRACT(CELL("address",'Raw Data'!C223),"\$([A-Z]+)\$[0-9]+"))</f>
        <v/>
      </c>
      <c r="D223" s="6"/>
      <c r="E223" s="6" t="str" cm="1">
        <f t="array" aca="1" ref="E223" ca="1">IF(AND('Raw Data'!E223&gt;=0,'Raw Data'!E223&lt;=1),"",_xlfn.REGEXEXTRACT(CELL("address",'Raw Data'!E223),"\$([A-Z]+)\$[0-9]+"))</f>
        <v/>
      </c>
      <c r="F223" s="6" t="str" cm="1">
        <f t="array" aca="1" ref="F223" ca="1">IF(AND('Raw Data'!F223&gt;=0,'Raw Data'!F223&lt;=1),"",_xlfn.REGEXEXTRACT(CELL("address",'Raw Data'!F223),"\$([A-Z]+)\$[0-9]+"))</f>
        <v/>
      </c>
      <c r="G223" s="6" t="str" cm="1">
        <f t="array" aca="1" ref="G223" ca="1">IF(AND('Raw Data'!G223&gt;=0,'Raw Data'!G223&lt;=1),"",_xlfn.REGEXEXTRACT(CELL("address",'Raw Data'!G223),"\$([A-Z]+)\$[0-9]+"))</f>
        <v/>
      </c>
      <c r="H223" s="6" t="str" cm="1">
        <f t="array" aca="1" ref="H223" ca="1">IF(AND('Raw Data'!H223&gt;=0,'Raw Data'!H223&lt;=1),"",_xlfn.REGEXEXTRACT(CELL("address",'Raw Data'!H223),"\$([A-Z]+)\$[0-9]+"))</f>
        <v/>
      </c>
      <c r="I223" s="6" t="str" cm="1">
        <f t="array" aca="1" ref="I223" ca="1">IF(AND('Raw Data'!I223&gt;=0,'Raw Data'!I223&lt;=1),"",_xlfn.REGEXEXTRACT(CELL("address",'Raw Data'!I223),"\$([A-Z]+)\$[0-9]+"))</f>
        <v/>
      </c>
      <c r="J223" s="6" t="str" cm="1">
        <f t="array" aca="1" ref="J223" ca="1">IF(AND('Raw Data'!J223&gt;=0,'Raw Data'!J223&lt;=1),"",_xlfn.REGEXEXTRACT(CELL("address",'Raw Data'!J223),"\$([A-Z]+)\$[0-9]+"))</f>
        <v/>
      </c>
    </row>
    <row r="224" spans="2:10" x14ac:dyDescent="0.25">
      <c r="B224" s="6" t="str" cm="1">
        <f t="array" aca="1" ref="B224" ca="1">IF('Raw Data'!$B$10 = "Overall Project","",_xlfn.REGEXEXTRACT(CELL("address",'Raw Data'!B224),"\$([A-Z]+)\$[0-9]+"))</f>
        <v/>
      </c>
      <c r="C224" s="6" t="str" cm="1">
        <f t="array" aca="1" ref="C224" ca="1">IF('Raw Data'!$C$10 = "Month # 1","",_xlfn.REGEXEXTRACT(CELL("address",'Raw Data'!C224),"\$([A-Z]+)\$[0-9]+"))</f>
        <v/>
      </c>
      <c r="D224" s="6"/>
      <c r="E224" s="6" t="str" cm="1">
        <f t="array" aca="1" ref="E224" ca="1">IF(AND('Raw Data'!E224&gt;=0,'Raw Data'!E224&lt;=1),"",_xlfn.REGEXEXTRACT(CELL("address",'Raw Data'!E224),"\$([A-Z]+)\$[0-9]+"))</f>
        <v/>
      </c>
      <c r="F224" s="6" t="str" cm="1">
        <f t="array" aca="1" ref="F224" ca="1">IF(AND('Raw Data'!F224&gt;=0,'Raw Data'!F224&lt;=1),"",_xlfn.REGEXEXTRACT(CELL("address",'Raw Data'!F224),"\$([A-Z]+)\$[0-9]+"))</f>
        <v/>
      </c>
      <c r="G224" s="6" t="str" cm="1">
        <f t="array" aca="1" ref="G224" ca="1">IF(AND('Raw Data'!G224&gt;=0,'Raw Data'!G224&lt;=1),"",_xlfn.REGEXEXTRACT(CELL("address",'Raw Data'!G224),"\$([A-Z]+)\$[0-9]+"))</f>
        <v/>
      </c>
      <c r="H224" s="6" t="str" cm="1">
        <f t="array" aca="1" ref="H224" ca="1">IF(AND('Raw Data'!H224&gt;=0,'Raw Data'!H224&lt;=1),"",_xlfn.REGEXEXTRACT(CELL("address",'Raw Data'!H224),"\$([A-Z]+)\$[0-9]+"))</f>
        <v/>
      </c>
      <c r="I224" s="6" t="str" cm="1">
        <f t="array" aca="1" ref="I224" ca="1">IF(AND('Raw Data'!I224&gt;=0,'Raw Data'!I224&lt;=1),"",_xlfn.REGEXEXTRACT(CELL("address",'Raw Data'!I224),"\$([A-Z]+)\$[0-9]+"))</f>
        <v/>
      </c>
      <c r="J224" s="6" t="str" cm="1">
        <f t="array" aca="1" ref="J224" ca="1">IF(AND('Raw Data'!J224&gt;=0,'Raw Data'!J224&lt;=1),"",_xlfn.REGEXEXTRACT(CELL("address",'Raw Data'!J224),"\$([A-Z]+)\$[0-9]+"))</f>
        <v/>
      </c>
    </row>
    <row r="225" spans="2:10" x14ac:dyDescent="0.25">
      <c r="B225" s="6" t="str" cm="1">
        <f t="array" aca="1" ref="B225" ca="1">IF('Raw Data'!$B$10 = "Overall Project","",_xlfn.REGEXEXTRACT(CELL("address",'Raw Data'!B225),"\$([A-Z]+)\$[0-9]+"))</f>
        <v/>
      </c>
      <c r="C225" s="6" t="str" cm="1">
        <f t="array" aca="1" ref="C225" ca="1">IF('Raw Data'!$C$10 = "Month # 1","",_xlfn.REGEXEXTRACT(CELL("address",'Raw Data'!C225),"\$([A-Z]+)\$[0-9]+"))</f>
        <v/>
      </c>
      <c r="D225" s="6"/>
      <c r="E225" s="6" t="str" cm="1">
        <f t="array" aca="1" ref="E225" ca="1">IF(AND('Raw Data'!E225&gt;=0,'Raw Data'!E225&lt;=1),"",_xlfn.REGEXEXTRACT(CELL("address",'Raw Data'!E225),"\$([A-Z]+)\$[0-9]+"))</f>
        <v/>
      </c>
      <c r="F225" s="6" t="str" cm="1">
        <f t="array" aca="1" ref="F225" ca="1">IF(AND('Raw Data'!F225&gt;=0,'Raw Data'!F225&lt;=1),"",_xlfn.REGEXEXTRACT(CELL("address",'Raw Data'!F225),"\$([A-Z]+)\$[0-9]+"))</f>
        <v/>
      </c>
      <c r="G225" s="6" t="str" cm="1">
        <f t="array" aca="1" ref="G225" ca="1">IF(AND('Raw Data'!G225&gt;=0,'Raw Data'!G225&lt;=1),"",_xlfn.REGEXEXTRACT(CELL("address",'Raw Data'!G225),"\$([A-Z]+)\$[0-9]+"))</f>
        <v/>
      </c>
      <c r="H225" s="6" t="str" cm="1">
        <f t="array" aca="1" ref="H225" ca="1">IF(AND('Raw Data'!H225&gt;=0,'Raw Data'!H225&lt;=1),"",_xlfn.REGEXEXTRACT(CELL("address",'Raw Data'!H225),"\$([A-Z]+)\$[0-9]+"))</f>
        <v/>
      </c>
      <c r="I225" s="6" t="str" cm="1">
        <f t="array" aca="1" ref="I225" ca="1">IF(AND('Raw Data'!I225&gt;=0,'Raw Data'!I225&lt;=1),"",_xlfn.REGEXEXTRACT(CELL("address",'Raw Data'!I225),"\$([A-Z]+)\$[0-9]+"))</f>
        <v/>
      </c>
      <c r="J225" s="6" t="str" cm="1">
        <f t="array" aca="1" ref="J225" ca="1">IF(AND('Raw Data'!J225&gt;=0,'Raw Data'!J225&lt;=1),"",_xlfn.REGEXEXTRACT(CELL("address",'Raw Data'!J225),"\$([A-Z]+)\$[0-9]+"))</f>
        <v/>
      </c>
    </row>
    <row r="226" spans="2:10" x14ac:dyDescent="0.25">
      <c r="B226" s="6" t="str" cm="1">
        <f t="array" aca="1" ref="B226" ca="1">IF('Raw Data'!$B$10 = "Overall Project","",_xlfn.REGEXEXTRACT(CELL("address",'Raw Data'!B226),"\$([A-Z]+)\$[0-9]+"))</f>
        <v/>
      </c>
      <c r="C226" s="6" t="str" cm="1">
        <f t="array" aca="1" ref="C226" ca="1">IF('Raw Data'!$C$10 = "Month # 1","",_xlfn.REGEXEXTRACT(CELL("address",'Raw Data'!C226),"\$([A-Z]+)\$[0-9]+"))</f>
        <v/>
      </c>
      <c r="D226" s="6"/>
      <c r="E226" s="6" t="str" cm="1">
        <f t="array" aca="1" ref="E226" ca="1">IF(AND('Raw Data'!E226&gt;=0,'Raw Data'!E226&lt;=1),"",_xlfn.REGEXEXTRACT(CELL("address",'Raw Data'!E226),"\$([A-Z]+)\$[0-9]+"))</f>
        <v/>
      </c>
      <c r="F226" s="6" t="str" cm="1">
        <f t="array" aca="1" ref="F226" ca="1">IF(AND('Raw Data'!F226&gt;=0,'Raw Data'!F226&lt;=1),"",_xlfn.REGEXEXTRACT(CELL("address",'Raw Data'!F226),"\$([A-Z]+)\$[0-9]+"))</f>
        <v/>
      </c>
      <c r="G226" s="6" t="str" cm="1">
        <f t="array" aca="1" ref="G226" ca="1">IF(AND('Raw Data'!G226&gt;=0,'Raw Data'!G226&lt;=1),"",_xlfn.REGEXEXTRACT(CELL("address",'Raw Data'!G226),"\$([A-Z]+)\$[0-9]+"))</f>
        <v/>
      </c>
      <c r="H226" s="6" t="str" cm="1">
        <f t="array" aca="1" ref="H226" ca="1">IF(AND('Raw Data'!H226&gt;=0,'Raw Data'!H226&lt;=1),"",_xlfn.REGEXEXTRACT(CELL("address",'Raw Data'!H226),"\$([A-Z]+)\$[0-9]+"))</f>
        <v/>
      </c>
      <c r="I226" s="6" t="str" cm="1">
        <f t="array" aca="1" ref="I226" ca="1">IF(AND('Raw Data'!I226&gt;=0,'Raw Data'!I226&lt;=1),"",_xlfn.REGEXEXTRACT(CELL("address",'Raw Data'!I226),"\$([A-Z]+)\$[0-9]+"))</f>
        <v/>
      </c>
      <c r="J226" s="6" t="str" cm="1">
        <f t="array" aca="1" ref="J226" ca="1">IF(AND('Raw Data'!J226&gt;=0,'Raw Data'!J226&lt;=1),"",_xlfn.REGEXEXTRACT(CELL("address",'Raw Data'!J226),"\$([A-Z]+)\$[0-9]+"))</f>
        <v/>
      </c>
    </row>
    <row r="227" spans="2:10" x14ac:dyDescent="0.25">
      <c r="B227" s="6" t="str" cm="1">
        <f t="array" aca="1" ref="B227" ca="1">IF('Raw Data'!$B$10 = "Overall Project","",_xlfn.REGEXEXTRACT(CELL("address",'Raw Data'!B227),"\$([A-Z]+)\$[0-9]+"))</f>
        <v/>
      </c>
      <c r="C227" s="6" t="str" cm="1">
        <f t="array" aca="1" ref="C227" ca="1">IF('Raw Data'!$C$10 = "Month # 1","",_xlfn.REGEXEXTRACT(CELL("address",'Raw Data'!C227),"\$([A-Z]+)\$[0-9]+"))</f>
        <v/>
      </c>
      <c r="D227" s="6"/>
      <c r="E227" s="6" t="str" cm="1">
        <f t="array" aca="1" ref="E227" ca="1">IF(AND('Raw Data'!E227&gt;=0,'Raw Data'!E227&lt;=1),"",_xlfn.REGEXEXTRACT(CELL("address",'Raw Data'!E227),"\$([A-Z]+)\$[0-9]+"))</f>
        <v/>
      </c>
      <c r="F227" s="6" t="str" cm="1">
        <f t="array" aca="1" ref="F227" ca="1">IF(AND('Raw Data'!F227&gt;=0,'Raw Data'!F227&lt;=1),"",_xlfn.REGEXEXTRACT(CELL("address",'Raw Data'!F227),"\$([A-Z]+)\$[0-9]+"))</f>
        <v/>
      </c>
      <c r="G227" s="6" t="str" cm="1">
        <f t="array" aca="1" ref="G227" ca="1">IF(AND('Raw Data'!G227&gt;=0,'Raw Data'!G227&lt;=1),"",_xlfn.REGEXEXTRACT(CELL("address",'Raw Data'!G227),"\$([A-Z]+)\$[0-9]+"))</f>
        <v/>
      </c>
      <c r="H227" s="6" t="str" cm="1">
        <f t="array" aca="1" ref="H227" ca="1">IF(AND('Raw Data'!H227&gt;=0,'Raw Data'!H227&lt;=1),"",_xlfn.REGEXEXTRACT(CELL("address",'Raw Data'!H227),"\$([A-Z]+)\$[0-9]+"))</f>
        <v/>
      </c>
      <c r="I227" s="6" t="str" cm="1">
        <f t="array" aca="1" ref="I227" ca="1">IF(AND('Raw Data'!I227&gt;=0,'Raw Data'!I227&lt;=1),"",_xlfn.REGEXEXTRACT(CELL("address",'Raw Data'!I227),"\$([A-Z]+)\$[0-9]+"))</f>
        <v/>
      </c>
      <c r="J227" s="6" t="str" cm="1">
        <f t="array" aca="1" ref="J227" ca="1">IF(AND('Raw Data'!J227&gt;=0,'Raw Data'!J227&lt;=1),"",_xlfn.REGEXEXTRACT(CELL("address",'Raw Data'!J227),"\$([A-Z]+)\$[0-9]+"))</f>
        <v/>
      </c>
    </row>
    <row r="228" spans="2:10" x14ac:dyDescent="0.25">
      <c r="B228" s="6" t="str" cm="1">
        <f t="array" aca="1" ref="B228" ca="1">IF('Raw Data'!$B$10 = "Overall Project","",_xlfn.REGEXEXTRACT(CELL("address",'Raw Data'!B228),"\$([A-Z]+)\$[0-9]+"))</f>
        <v/>
      </c>
      <c r="C228" s="6" t="str" cm="1">
        <f t="array" aca="1" ref="C228" ca="1">IF('Raw Data'!$C$10 = "Month # 1","",_xlfn.REGEXEXTRACT(CELL("address",'Raw Data'!C228),"\$([A-Z]+)\$[0-9]+"))</f>
        <v/>
      </c>
      <c r="D228" s="6"/>
      <c r="E228" s="6" t="str" cm="1">
        <f t="array" aca="1" ref="E228" ca="1">IF(AND('Raw Data'!E228&gt;=0,'Raw Data'!E228&lt;=1),"",_xlfn.REGEXEXTRACT(CELL("address",'Raw Data'!E228),"\$([A-Z]+)\$[0-9]+"))</f>
        <v/>
      </c>
      <c r="F228" s="6" t="str" cm="1">
        <f t="array" aca="1" ref="F228" ca="1">IF(AND('Raw Data'!F228&gt;=0,'Raw Data'!F228&lt;=1),"",_xlfn.REGEXEXTRACT(CELL("address",'Raw Data'!F228),"\$([A-Z]+)\$[0-9]+"))</f>
        <v/>
      </c>
      <c r="G228" s="6" t="str" cm="1">
        <f t="array" aca="1" ref="G228" ca="1">IF(AND('Raw Data'!G228&gt;=0,'Raw Data'!G228&lt;=1),"",_xlfn.REGEXEXTRACT(CELL("address",'Raw Data'!G228),"\$([A-Z]+)\$[0-9]+"))</f>
        <v/>
      </c>
      <c r="H228" s="6" t="str" cm="1">
        <f t="array" aca="1" ref="H228" ca="1">IF(AND('Raw Data'!H228&gt;=0,'Raw Data'!H228&lt;=1),"",_xlfn.REGEXEXTRACT(CELL("address",'Raw Data'!H228),"\$([A-Z]+)\$[0-9]+"))</f>
        <v/>
      </c>
      <c r="I228" s="6" t="str" cm="1">
        <f t="array" aca="1" ref="I228" ca="1">IF(AND('Raw Data'!I228&gt;=0,'Raw Data'!I228&lt;=1),"",_xlfn.REGEXEXTRACT(CELL("address",'Raw Data'!I228),"\$([A-Z]+)\$[0-9]+"))</f>
        <v/>
      </c>
      <c r="J228" s="6" t="str" cm="1">
        <f t="array" aca="1" ref="J228" ca="1">IF(AND('Raw Data'!J228&gt;=0,'Raw Data'!J228&lt;=1),"",_xlfn.REGEXEXTRACT(CELL("address",'Raw Data'!J228),"\$([A-Z]+)\$[0-9]+"))</f>
        <v/>
      </c>
    </row>
    <row r="229" spans="2:10" x14ac:dyDescent="0.25">
      <c r="B229" s="6" t="str" cm="1">
        <f t="array" aca="1" ref="B229" ca="1">IF('Raw Data'!$B$10 = "Overall Project","",_xlfn.REGEXEXTRACT(CELL("address",'Raw Data'!B229),"\$([A-Z]+)\$[0-9]+"))</f>
        <v/>
      </c>
      <c r="C229" s="6" t="str" cm="1">
        <f t="array" aca="1" ref="C229" ca="1">IF('Raw Data'!$C$10 = "Month # 1","",_xlfn.REGEXEXTRACT(CELL("address",'Raw Data'!C229),"\$([A-Z]+)\$[0-9]+"))</f>
        <v/>
      </c>
      <c r="D229" s="6"/>
      <c r="E229" s="6" t="str" cm="1">
        <f t="array" aca="1" ref="E229" ca="1">IF(AND('Raw Data'!E229&gt;=0,'Raw Data'!E229&lt;=1),"",_xlfn.REGEXEXTRACT(CELL("address",'Raw Data'!E229),"\$([A-Z]+)\$[0-9]+"))</f>
        <v/>
      </c>
      <c r="F229" s="6" t="str" cm="1">
        <f t="array" aca="1" ref="F229" ca="1">IF(AND('Raw Data'!F229&gt;=0,'Raw Data'!F229&lt;=1),"",_xlfn.REGEXEXTRACT(CELL("address",'Raw Data'!F229),"\$([A-Z]+)\$[0-9]+"))</f>
        <v/>
      </c>
      <c r="G229" s="6" t="str" cm="1">
        <f t="array" aca="1" ref="G229" ca="1">IF(AND('Raw Data'!G229&gt;=0,'Raw Data'!G229&lt;=1),"",_xlfn.REGEXEXTRACT(CELL("address",'Raw Data'!G229),"\$([A-Z]+)\$[0-9]+"))</f>
        <v/>
      </c>
      <c r="H229" s="6" t="str" cm="1">
        <f t="array" aca="1" ref="H229" ca="1">IF(AND('Raw Data'!H229&gt;=0,'Raw Data'!H229&lt;=1),"",_xlfn.REGEXEXTRACT(CELL("address",'Raw Data'!H229),"\$([A-Z]+)\$[0-9]+"))</f>
        <v/>
      </c>
      <c r="I229" s="6" t="str" cm="1">
        <f t="array" aca="1" ref="I229" ca="1">IF(AND('Raw Data'!I229&gt;=0,'Raw Data'!I229&lt;=1),"",_xlfn.REGEXEXTRACT(CELL("address",'Raw Data'!I229),"\$([A-Z]+)\$[0-9]+"))</f>
        <v/>
      </c>
      <c r="J229" s="6" t="str" cm="1">
        <f t="array" aca="1" ref="J229" ca="1">IF(AND('Raw Data'!J229&gt;=0,'Raw Data'!J229&lt;=1),"",_xlfn.REGEXEXTRACT(CELL("address",'Raw Data'!J229),"\$([A-Z]+)\$[0-9]+"))</f>
        <v/>
      </c>
    </row>
    <row r="230" spans="2:10" x14ac:dyDescent="0.25">
      <c r="B230" s="6" t="str" cm="1">
        <f t="array" aca="1" ref="B230" ca="1">IF('Raw Data'!$B$10 = "Overall Project","",_xlfn.REGEXEXTRACT(CELL("address",'Raw Data'!B230),"\$([A-Z]+)\$[0-9]+"))</f>
        <v/>
      </c>
      <c r="C230" s="6" t="str" cm="1">
        <f t="array" aca="1" ref="C230" ca="1">IF('Raw Data'!$C$10 = "Month # 1","",_xlfn.REGEXEXTRACT(CELL("address",'Raw Data'!C230),"\$([A-Z]+)\$[0-9]+"))</f>
        <v/>
      </c>
      <c r="D230" s="6"/>
      <c r="E230" s="6" t="str" cm="1">
        <f t="array" aca="1" ref="E230" ca="1">IF(AND('Raw Data'!E230&gt;=0,'Raw Data'!E230&lt;=1),"",_xlfn.REGEXEXTRACT(CELL("address",'Raw Data'!E230),"\$([A-Z]+)\$[0-9]+"))</f>
        <v/>
      </c>
      <c r="F230" s="6" t="str" cm="1">
        <f t="array" aca="1" ref="F230" ca="1">IF(AND('Raw Data'!F230&gt;=0,'Raw Data'!F230&lt;=1),"",_xlfn.REGEXEXTRACT(CELL("address",'Raw Data'!F230),"\$([A-Z]+)\$[0-9]+"))</f>
        <v/>
      </c>
      <c r="G230" s="6" t="str" cm="1">
        <f t="array" aca="1" ref="G230" ca="1">IF(AND('Raw Data'!G230&gt;=0,'Raw Data'!G230&lt;=1),"",_xlfn.REGEXEXTRACT(CELL("address",'Raw Data'!G230),"\$([A-Z]+)\$[0-9]+"))</f>
        <v/>
      </c>
      <c r="H230" s="6" t="str" cm="1">
        <f t="array" aca="1" ref="H230" ca="1">IF(AND('Raw Data'!H230&gt;=0,'Raw Data'!H230&lt;=1),"",_xlfn.REGEXEXTRACT(CELL("address",'Raw Data'!H230),"\$([A-Z]+)\$[0-9]+"))</f>
        <v/>
      </c>
      <c r="I230" s="6" t="str" cm="1">
        <f t="array" aca="1" ref="I230" ca="1">IF(AND('Raw Data'!I230&gt;=0,'Raw Data'!I230&lt;=1),"",_xlfn.REGEXEXTRACT(CELL("address",'Raw Data'!I230),"\$([A-Z]+)\$[0-9]+"))</f>
        <v/>
      </c>
      <c r="J230" s="6" t="str" cm="1">
        <f t="array" aca="1" ref="J230" ca="1">IF(AND('Raw Data'!J230&gt;=0,'Raw Data'!J230&lt;=1),"",_xlfn.REGEXEXTRACT(CELL("address",'Raw Data'!J230),"\$([A-Z]+)\$[0-9]+"))</f>
        <v/>
      </c>
    </row>
    <row r="231" spans="2:10" x14ac:dyDescent="0.25">
      <c r="B231" s="6" t="str" cm="1">
        <f t="array" aca="1" ref="B231" ca="1">IF('Raw Data'!$B$10 = "Overall Project","",_xlfn.REGEXEXTRACT(CELL("address",'Raw Data'!B231),"\$([A-Z]+)\$[0-9]+"))</f>
        <v/>
      </c>
      <c r="C231" s="6" t="str" cm="1">
        <f t="array" aca="1" ref="C231" ca="1">IF('Raw Data'!$C$10 = "Month # 1","",_xlfn.REGEXEXTRACT(CELL("address",'Raw Data'!C231),"\$([A-Z]+)\$[0-9]+"))</f>
        <v/>
      </c>
      <c r="D231" s="6"/>
      <c r="E231" s="6" t="str" cm="1">
        <f t="array" aca="1" ref="E231" ca="1">IF(AND('Raw Data'!E231&gt;=0,'Raw Data'!E231&lt;=1),"",_xlfn.REGEXEXTRACT(CELL("address",'Raw Data'!E231),"\$([A-Z]+)\$[0-9]+"))</f>
        <v/>
      </c>
      <c r="F231" s="6" t="str" cm="1">
        <f t="array" aca="1" ref="F231" ca="1">IF(AND('Raw Data'!F231&gt;=0,'Raw Data'!F231&lt;=1),"",_xlfn.REGEXEXTRACT(CELL("address",'Raw Data'!F231),"\$([A-Z]+)\$[0-9]+"))</f>
        <v/>
      </c>
      <c r="G231" s="6" t="str" cm="1">
        <f t="array" aca="1" ref="G231" ca="1">IF(AND('Raw Data'!G231&gt;=0,'Raw Data'!G231&lt;=1),"",_xlfn.REGEXEXTRACT(CELL("address",'Raw Data'!G231),"\$([A-Z]+)\$[0-9]+"))</f>
        <v/>
      </c>
      <c r="H231" s="6" t="str" cm="1">
        <f t="array" aca="1" ref="H231" ca="1">IF(AND('Raw Data'!H231&gt;=0,'Raw Data'!H231&lt;=1),"",_xlfn.REGEXEXTRACT(CELL("address",'Raw Data'!H231),"\$([A-Z]+)\$[0-9]+"))</f>
        <v/>
      </c>
      <c r="I231" s="6" t="str" cm="1">
        <f t="array" aca="1" ref="I231" ca="1">IF(AND('Raw Data'!I231&gt;=0,'Raw Data'!I231&lt;=1),"",_xlfn.REGEXEXTRACT(CELL("address",'Raw Data'!I231),"\$([A-Z]+)\$[0-9]+"))</f>
        <v/>
      </c>
      <c r="J231" s="6" t="str" cm="1">
        <f t="array" aca="1" ref="J231" ca="1">IF(AND('Raw Data'!J231&gt;=0,'Raw Data'!J231&lt;=1),"",_xlfn.REGEXEXTRACT(CELL("address",'Raw Data'!J231),"\$([A-Z]+)\$[0-9]+"))</f>
        <v/>
      </c>
    </row>
    <row r="232" spans="2:10" x14ac:dyDescent="0.25">
      <c r="B232" s="6" t="str" cm="1">
        <f t="array" aca="1" ref="B232" ca="1">IF('Raw Data'!$B$10 = "Overall Project","",_xlfn.REGEXEXTRACT(CELL("address",'Raw Data'!B232),"\$([A-Z]+)\$[0-9]+"))</f>
        <v/>
      </c>
      <c r="C232" s="6" t="str" cm="1">
        <f t="array" aca="1" ref="C232" ca="1">IF('Raw Data'!$C$10 = "Month # 1","",_xlfn.REGEXEXTRACT(CELL("address",'Raw Data'!C232),"\$([A-Z]+)\$[0-9]+"))</f>
        <v/>
      </c>
      <c r="D232" s="6"/>
      <c r="E232" s="6" t="str" cm="1">
        <f t="array" aca="1" ref="E232" ca="1">IF(AND('Raw Data'!E232&gt;=0,'Raw Data'!E232&lt;=1),"",_xlfn.REGEXEXTRACT(CELL("address",'Raw Data'!E232),"\$([A-Z]+)\$[0-9]+"))</f>
        <v/>
      </c>
      <c r="F232" s="6" t="str" cm="1">
        <f t="array" aca="1" ref="F232" ca="1">IF(AND('Raw Data'!F232&gt;=0,'Raw Data'!F232&lt;=1),"",_xlfn.REGEXEXTRACT(CELL("address",'Raw Data'!F232),"\$([A-Z]+)\$[0-9]+"))</f>
        <v/>
      </c>
      <c r="G232" s="6" t="str" cm="1">
        <f t="array" aca="1" ref="G232" ca="1">IF(AND('Raw Data'!G232&gt;=0,'Raw Data'!G232&lt;=1),"",_xlfn.REGEXEXTRACT(CELL("address",'Raw Data'!G232),"\$([A-Z]+)\$[0-9]+"))</f>
        <v/>
      </c>
      <c r="H232" s="6" t="str" cm="1">
        <f t="array" aca="1" ref="H232" ca="1">IF(AND('Raw Data'!H232&gt;=0,'Raw Data'!H232&lt;=1),"",_xlfn.REGEXEXTRACT(CELL("address",'Raw Data'!H232),"\$([A-Z]+)\$[0-9]+"))</f>
        <v/>
      </c>
      <c r="I232" s="6" t="str" cm="1">
        <f t="array" aca="1" ref="I232" ca="1">IF(AND('Raw Data'!I232&gt;=0,'Raw Data'!I232&lt;=1),"",_xlfn.REGEXEXTRACT(CELL("address",'Raw Data'!I232),"\$([A-Z]+)\$[0-9]+"))</f>
        <v/>
      </c>
      <c r="J232" s="6" t="str" cm="1">
        <f t="array" aca="1" ref="J232" ca="1">IF(AND('Raw Data'!J232&gt;=0,'Raw Data'!J232&lt;=1),"",_xlfn.REGEXEXTRACT(CELL("address",'Raw Data'!J232),"\$([A-Z]+)\$[0-9]+"))</f>
        <v/>
      </c>
    </row>
    <row r="233" spans="2:10" x14ac:dyDescent="0.25">
      <c r="B233" s="6" t="str" cm="1">
        <f t="array" aca="1" ref="B233" ca="1">IF('Raw Data'!$B$10 = "Overall Project","",_xlfn.REGEXEXTRACT(CELL("address",'Raw Data'!B233),"\$([A-Z]+)\$[0-9]+"))</f>
        <v/>
      </c>
      <c r="C233" s="6" t="str" cm="1">
        <f t="array" aca="1" ref="C233" ca="1">IF('Raw Data'!$C$10 = "Month # 1","",_xlfn.REGEXEXTRACT(CELL("address",'Raw Data'!C233),"\$([A-Z]+)\$[0-9]+"))</f>
        <v/>
      </c>
      <c r="D233" s="6"/>
      <c r="E233" s="6" t="str" cm="1">
        <f t="array" aca="1" ref="E233" ca="1">IF(AND('Raw Data'!E233&gt;=0,'Raw Data'!E233&lt;=1),"",_xlfn.REGEXEXTRACT(CELL("address",'Raw Data'!E233),"\$([A-Z]+)\$[0-9]+"))</f>
        <v/>
      </c>
      <c r="F233" s="6" t="str" cm="1">
        <f t="array" aca="1" ref="F233" ca="1">IF(AND('Raw Data'!F233&gt;=0,'Raw Data'!F233&lt;=1),"",_xlfn.REGEXEXTRACT(CELL("address",'Raw Data'!F233),"\$([A-Z]+)\$[0-9]+"))</f>
        <v/>
      </c>
      <c r="G233" s="6" t="str" cm="1">
        <f t="array" aca="1" ref="G233" ca="1">IF(AND('Raw Data'!G233&gt;=0,'Raw Data'!G233&lt;=1),"",_xlfn.REGEXEXTRACT(CELL("address",'Raw Data'!G233),"\$([A-Z]+)\$[0-9]+"))</f>
        <v/>
      </c>
      <c r="H233" s="6" t="str" cm="1">
        <f t="array" aca="1" ref="H233" ca="1">IF(AND('Raw Data'!H233&gt;=0,'Raw Data'!H233&lt;=1),"",_xlfn.REGEXEXTRACT(CELL("address",'Raw Data'!H233),"\$([A-Z]+)\$[0-9]+"))</f>
        <v/>
      </c>
      <c r="I233" s="6" t="str" cm="1">
        <f t="array" aca="1" ref="I233" ca="1">IF(AND('Raw Data'!I233&gt;=0,'Raw Data'!I233&lt;=1),"",_xlfn.REGEXEXTRACT(CELL("address",'Raw Data'!I233),"\$([A-Z]+)\$[0-9]+"))</f>
        <v/>
      </c>
      <c r="J233" s="6" t="str" cm="1">
        <f t="array" aca="1" ref="J233" ca="1">IF(AND('Raw Data'!J233&gt;=0,'Raw Data'!J233&lt;=1),"",_xlfn.REGEXEXTRACT(CELL("address",'Raw Data'!J233),"\$([A-Z]+)\$[0-9]+"))</f>
        <v/>
      </c>
    </row>
    <row r="234" spans="2:10" x14ac:dyDescent="0.25">
      <c r="B234" s="6" t="str" cm="1">
        <f t="array" aca="1" ref="B234" ca="1">IF('Raw Data'!$B$10 = "Overall Project","",_xlfn.REGEXEXTRACT(CELL("address",'Raw Data'!B234),"\$([A-Z]+)\$[0-9]+"))</f>
        <v/>
      </c>
      <c r="C234" s="6" t="str" cm="1">
        <f t="array" aca="1" ref="C234" ca="1">IF('Raw Data'!$C$10 = "Month # 1","",_xlfn.REGEXEXTRACT(CELL("address",'Raw Data'!C234),"\$([A-Z]+)\$[0-9]+"))</f>
        <v/>
      </c>
      <c r="D234" s="6"/>
      <c r="E234" s="6" t="str" cm="1">
        <f t="array" aca="1" ref="E234" ca="1">IF(AND('Raw Data'!E234&gt;=0,'Raw Data'!E234&lt;=1),"",_xlfn.REGEXEXTRACT(CELL("address",'Raw Data'!E234),"\$([A-Z]+)\$[0-9]+"))</f>
        <v/>
      </c>
      <c r="F234" s="6" t="str" cm="1">
        <f t="array" aca="1" ref="F234" ca="1">IF(AND('Raw Data'!F234&gt;=0,'Raw Data'!F234&lt;=1),"",_xlfn.REGEXEXTRACT(CELL("address",'Raw Data'!F234),"\$([A-Z]+)\$[0-9]+"))</f>
        <v/>
      </c>
      <c r="G234" s="6" t="str" cm="1">
        <f t="array" aca="1" ref="G234" ca="1">IF(AND('Raw Data'!G234&gt;=0,'Raw Data'!G234&lt;=1),"",_xlfn.REGEXEXTRACT(CELL("address",'Raw Data'!G234),"\$([A-Z]+)\$[0-9]+"))</f>
        <v/>
      </c>
      <c r="H234" s="6" t="str" cm="1">
        <f t="array" aca="1" ref="H234" ca="1">IF(AND('Raw Data'!H234&gt;=0,'Raw Data'!H234&lt;=1),"",_xlfn.REGEXEXTRACT(CELL("address",'Raw Data'!H234),"\$([A-Z]+)\$[0-9]+"))</f>
        <v/>
      </c>
      <c r="I234" s="6" t="str" cm="1">
        <f t="array" aca="1" ref="I234" ca="1">IF(AND('Raw Data'!I234&gt;=0,'Raw Data'!I234&lt;=1),"",_xlfn.REGEXEXTRACT(CELL("address",'Raw Data'!I234),"\$([A-Z]+)\$[0-9]+"))</f>
        <v/>
      </c>
      <c r="J234" s="6" t="str" cm="1">
        <f t="array" aca="1" ref="J234" ca="1">IF(AND('Raw Data'!J234&gt;=0,'Raw Data'!J234&lt;=1),"",_xlfn.REGEXEXTRACT(CELL("address",'Raw Data'!J234),"\$([A-Z]+)\$[0-9]+"))</f>
        <v/>
      </c>
    </row>
    <row r="235" spans="2:10" x14ac:dyDescent="0.25">
      <c r="B235" s="6" t="str" cm="1">
        <f t="array" aca="1" ref="B235" ca="1">IF('Raw Data'!$B$10 = "Overall Project","",_xlfn.REGEXEXTRACT(CELL("address",'Raw Data'!B235),"\$([A-Z]+)\$[0-9]+"))</f>
        <v/>
      </c>
      <c r="C235" s="6" t="str" cm="1">
        <f t="array" aca="1" ref="C235" ca="1">IF('Raw Data'!$C$10 = "Month # 1","",_xlfn.REGEXEXTRACT(CELL("address",'Raw Data'!C235),"\$([A-Z]+)\$[0-9]+"))</f>
        <v/>
      </c>
      <c r="D235" s="6"/>
      <c r="E235" s="6" t="str" cm="1">
        <f t="array" aca="1" ref="E235" ca="1">IF(AND('Raw Data'!E235&gt;=0,'Raw Data'!E235&lt;=1),"",_xlfn.REGEXEXTRACT(CELL("address",'Raw Data'!E235),"\$([A-Z]+)\$[0-9]+"))</f>
        <v/>
      </c>
      <c r="F235" s="6" t="str" cm="1">
        <f t="array" aca="1" ref="F235" ca="1">IF(AND('Raw Data'!F235&gt;=0,'Raw Data'!F235&lt;=1),"",_xlfn.REGEXEXTRACT(CELL("address",'Raw Data'!F235),"\$([A-Z]+)\$[0-9]+"))</f>
        <v/>
      </c>
      <c r="G235" s="6" t="str" cm="1">
        <f t="array" aca="1" ref="G235" ca="1">IF(AND('Raw Data'!G235&gt;=0,'Raw Data'!G235&lt;=1),"",_xlfn.REGEXEXTRACT(CELL("address",'Raw Data'!G235),"\$([A-Z]+)\$[0-9]+"))</f>
        <v/>
      </c>
      <c r="H235" s="6" t="str" cm="1">
        <f t="array" aca="1" ref="H235" ca="1">IF(AND('Raw Data'!H235&gt;=0,'Raw Data'!H235&lt;=1),"",_xlfn.REGEXEXTRACT(CELL("address",'Raw Data'!H235),"\$([A-Z]+)\$[0-9]+"))</f>
        <v/>
      </c>
      <c r="I235" s="6" t="str" cm="1">
        <f t="array" aca="1" ref="I235" ca="1">IF(AND('Raw Data'!I235&gt;=0,'Raw Data'!I235&lt;=1),"",_xlfn.REGEXEXTRACT(CELL("address",'Raw Data'!I235),"\$([A-Z]+)\$[0-9]+"))</f>
        <v/>
      </c>
      <c r="J235" s="6" t="str" cm="1">
        <f t="array" aca="1" ref="J235" ca="1">IF(AND('Raw Data'!J235&gt;=0,'Raw Data'!J235&lt;=1),"",_xlfn.REGEXEXTRACT(CELL("address",'Raw Data'!J235),"\$([A-Z]+)\$[0-9]+"))</f>
        <v/>
      </c>
    </row>
    <row r="236" spans="2:10" x14ac:dyDescent="0.25">
      <c r="B236" s="6" t="str" cm="1">
        <f t="array" aca="1" ref="B236" ca="1">IF('Raw Data'!$B$10 = "Overall Project","",_xlfn.REGEXEXTRACT(CELL("address",'Raw Data'!B236),"\$([A-Z]+)\$[0-9]+"))</f>
        <v/>
      </c>
      <c r="C236" s="6" t="str" cm="1">
        <f t="array" aca="1" ref="C236" ca="1">IF('Raw Data'!$C$10 = "Month # 1","",_xlfn.REGEXEXTRACT(CELL("address",'Raw Data'!C236),"\$([A-Z]+)\$[0-9]+"))</f>
        <v/>
      </c>
      <c r="D236" s="6"/>
      <c r="E236" s="6" t="str" cm="1">
        <f t="array" aca="1" ref="E236" ca="1">IF(AND('Raw Data'!E236&gt;=0,'Raw Data'!E236&lt;=1),"",_xlfn.REGEXEXTRACT(CELL("address",'Raw Data'!E236),"\$([A-Z]+)\$[0-9]+"))</f>
        <v/>
      </c>
      <c r="F236" s="6" t="str" cm="1">
        <f t="array" aca="1" ref="F236" ca="1">IF(AND('Raw Data'!F236&gt;=0,'Raw Data'!F236&lt;=1),"",_xlfn.REGEXEXTRACT(CELL("address",'Raw Data'!F236),"\$([A-Z]+)\$[0-9]+"))</f>
        <v/>
      </c>
      <c r="G236" s="6" t="str" cm="1">
        <f t="array" aca="1" ref="G236" ca="1">IF(AND('Raw Data'!G236&gt;=0,'Raw Data'!G236&lt;=1),"",_xlfn.REGEXEXTRACT(CELL("address",'Raw Data'!G236),"\$([A-Z]+)\$[0-9]+"))</f>
        <v/>
      </c>
      <c r="H236" s="6" t="str" cm="1">
        <f t="array" aca="1" ref="H236" ca="1">IF(AND('Raw Data'!H236&gt;=0,'Raw Data'!H236&lt;=1),"",_xlfn.REGEXEXTRACT(CELL("address",'Raw Data'!H236),"\$([A-Z]+)\$[0-9]+"))</f>
        <v/>
      </c>
      <c r="I236" s="6" t="str" cm="1">
        <f t="array" aca="1" ref="I236" ca="1">IF(AND('Raw Data'!I236&gt;=0,'Raw Data'!I236&lt;=1),"",_xlfn.REGEXEXTRACT(CELL("address",'Raw Data'!I236),"\$([A-Z]+)\$[0-9]+"))</f>
        <v/>
      </c>
      <c r="J236" s="6" t="str" cm="1">
        <f t="array" aca="1" ref="J236" ca="1">IF(AND('Raw Data'!J236&gt;=0,'Raw Data'!J236&lt;=1),"",_xlfn.REGEXEXTRACT(CELL("address",'Raw Data'!J236),"\$([A-Z]+)\$[0-9]+"))</f>
        <v/>
      </c>
    </row>
    <row r="237" spans="2:10" x14ac:dyDescent="0.25">
      <c r="B237" s="6" t="str" cm="1">
        <f t="array" aca="1" ref="B237" ca="1">IF('Raw Data'!$B$10 = "Overall Project","",_xlfn.REGEXEXTRACT(CELL("address",'Raw Data'!B237),"\$([A-Z]+)\$[0-9]+"))</f>
        <v/>
      </c>
      <c r="C237" s="6" t="str" cm="1">
        <f t="array" aca="1" ref="C237" ca="1">IF('Raw Data'!$C$10 = "Month # 1","",_xlfn.REGEXEXTRACT(CELL("address",'Raw Data'!C237),"\$([A-Z]+)\$[0-9]+"))</f>
        <v/>
      </c>
      <c r="D237" s="6"/>
      <c r="E237" s="6" t="str" cm="1">
        <f t="array" aca="1" ref="E237" ca="1">IF(AND('Raw Data'!E237&gt;=0,'Raw Data'!E237&lt;=1),"",_xlfn.REGEXEXTRACT(CELL("address",'Raw Data'!E237),"\$([A-Z]+)\$[0-9]+"))</f>
        <v/>
      </c>
      <c r="F237" s="6" t="str" cm="1">
        <f t="array" aca="1" ref="F237" ca="1">IF(AND('Raw Data'!F237&gt;=0,'Raw Data'!F237&lt;=1),"",_xlfn.REGEXEXTRACT(CELL("address",'Raw Data'!F237),"\$([A-Z]+)\$[0-9]+"))</f>
        <v/>
      </c>
      <c r="G237" s="6" t="str" cm="1">
        <f t="array" aca="1" ref="G237" ca="1">IF(AND('Raw Data'!G237&gt;=0,'Raw Data'!G237&lt;=1),"",_xlfn.REGEXEXTRACT(CELL("address",'Raw Data'!G237),"\$([A-Z]+)\$[0-9]+"))</f>
        <v/>
      </c>
      <c r="H237" s="6" t="str" cm="1">
        <f t="array" aca="1" ref="H237" ca="1">IF(AND('Raw Data'!H237&gt;=0,'Raw Data'!H237&lt;=1),"",_xlfn.REGEXEXTRACT(CELL("address",'Raw Data'!H237),"\$([A-Z]+)\$[0-9]+"))</f>
        <v/>
      </c>
      <c r="I237" s="6" t="str" cm="1">
        <f t="array" aca="1" ref="I237" ca="1">IF(AND('Raw Data'!I237&gt;=0,'Raw Data'!I237&lt;=1),"",_xlfn.REGEXEXTRACT(CELL("address",'Raw Data'!I237),"\$([A-Z]+)\$[0-9]+"))</f>
        <v/>
      </c>
      <c r="J237" s="6" t="str" cm="1">
        <f t="array" aca="1" ref="J237" ca="1">IF(AND('Raw Data'!J237&gt;=0,'Raw Data'!J237&lt;=1),"",_xlfn.REGEXEXTRACT(CELL("address",'Raw Data'!J237),"\$([A-Z]+)\$[0-9]+"))</f>
        <v/>
      </c>
    </row>
    <row r="238" spans="2:10" x14ac:dyDescent="0.25">
      <c r="B238" s="6" t="str" cm="1">
        <f t="array" aca="1" ref="B238" ca="1">IF('Raw Data'!$B$10 = "Overall Project","",_xlfn.REGEXEXTRACT(CELL("address",'Raw Data'!B238),"\$([A-Z]+)\$[0-9]+"))</f>
        <v/>
      </c>
      <c r="C238" s="6" t="str" cm="1">
        <f t="array" aca="1" ref="C238" ca="1">IF('Raw Data'!$C$10 = "Month # 1","",_xlfn.REGEXEXTRACT(CELL("address",'Raw Data'!C238),"\$([A-Z]+)\$[0-9]+"))</f>
        <v/>
      </c>
      <c r="D238" s="6"/>
      <c r="E238" s="6" t="str" cm="1">
        <f t="array" aca="1" ref="E238" ca="1">IF(AND('Raw Data'!E238&gt;=0,'Raw Data'!E238&lt;=1),"",_xlfn.REGEXEXTRACT(CELL("address",'Raw Data'!E238),"\$([A-Z]+)\$[0-9]+"))</f>
        <v/>
      </c>
      <c r="F238" s="6" t="str" cm="1">
        <f t="array" aca="1" ref="F238" ca="1">IF(AND('Raw Data'!F238&gt;=0,'Raw Data'!F238&lt;=1),"",_xlfn.REGEXEXTRACT(CELL("address",'Raw Data'!F238),"\$([A-Z]+)\$[0-9]+"))</f>
        <v/>
      </c>
      <c r="G238" s="6" t="str" cm="1">
        <f t="array" aca="1" ref="G238" ca="1">IF(AND('Raw Data'!G238&gt;=0,'Raw Data'!G238&lt;=1),"",_xlfn.REGEXEXTRACT(CELL("address",'Raw Data'!G238),"\$([A-Z]+)\$[0-9]+"))</f>
        <v/>
      </c>
      <c r="H238" s="6" t="str" cm="1">
        <f t="array" aca="1" ref="H238" ca="1">IF(AND('Raw Data'!H238&gt;=0,'Raw Data'!H238&lt;=1),"",_xlfn.REGEXEXTRACT(CELL("address",'Raw Data'!H238),"\$([A-Z]+)\$[0-9]+"))</f>
        <v/>
      </c>
      <c r="I238" s="6" t="str" cm="1">
        <f t="array" aca="1" ref="I238" ca="1">IF(AND('Raw Data'!I238&gt;=0,'Raw Data'!I238&lt;=1),"",_xlfn.REGEXEXTRACT(CELL("address",'Raw Data'!I238),"\$([A-Z]+)\$[0-9]+"))</f>
        <v/>
      </c>
      <c r="J238" s="6" t="str" cm="1">
        <f t="array" aca="1" ref="J238" ca="1">IF(AND('Raw Data'!J238&gt;=0,'Raw Data'!J238&lt;=1),"",_xlfn.REGEXEXTRACT(CELL("address",'Raw Data'!J238),"\$([A-Z]+)\$[0-9]+"))</f>
        <v/>
      </c>
    </row>
    <row r="239" spans="2:10" x14ac:dyDescent="0.25">
      <c r="B239" s="6" t="str" cm="1">
        <f t="array" aca="1" ref="B239" ca="1">IF('Raw Data'!$B$10 = "Overall Project","",_xlfn.REGEXEXTRACT(CELL("address",'Raw Data'!B239),"\$([A-Z]+)\$[0-9]+"))</f>
        <v/>
      </c>
      <c r="C239" s="6" t="str" cm="1">
        <f t="array" aca="1" ref="C239" ca="1">IF('Raw Data'!$C$10 = "Month # 1","",_xlfn.REGEXEXTRACT(CELL("address",'Raw Data'!C239),"\$([A-Z]+)\$[0-9]+"))</f>
        <v/>
      </c>
      <c r="D239" s="6"/>
      <c r="E239" s="6" t="str" cm="1">
        <f t="array" aca="1" ref="E239" ca="1">IF(AND('Raw Data'!E239&gt;=0,'Raw Data'!E239&lt;=1),"",_xlfn.REGEXEXTRACT(CELL("address",'Raw Data'!E239),"\$([A-Z]+)\$[0-9]+"))</f>
        <v/>
      </c>
      <c r="F239" s="6" t="str" cm="1">
        <f t="array" aca="1" ref="F239" ca="1">IF(AND('Raw Data'!F239&gt;=0,'Raw Data'!F239&lt;=1),"",_xlfn.REGEXEXTRACT(CELL("address",'Raw Data'!F239),"\$([A-Z]+)\$[0-9]+"))</f>
        <v/>
      </c>
      <c r="G239" s="6" t="str" cm="1">
        <f t="array" aca="1" ref="G239" ca="1">IF(AND('Raw Data'!G239&gt;=0,'Raw Data'!G239&lt;=1),"",_xlfn.REGEXEXTRACT(CELL("address",'Raw Data'!G239),"\$([A-Z]+)\$[0-9]+"))</f>
        <v/>
      </c>
      <c r="H239" s="6" t="str" cm="1">
        <f t="array" aca="1" ref="H239" ca="1">IF(AND('Raw Data'!H239&gt;=0,'Raw Data'!H239&lt;=1),"",_xlfn.REGEXEXTRACT(CELL("address",'Raw Data'!H239),"\$([A-Z]+)\$[0-9]+"))</f>
        <v/>
      </c>
      <c r="I239" s="6" t="str" cm="1">
        <f t="array" aca="1" ref="I239" ca="1">IF(AND('Raw Data'!I239&gt;=0,'Raw Data'!I239&lt;=1),"",_xlfn.REGEXEXTRACT(CELL("address",'Raw Data'!I239),"\$([A-Z]+)\$[0-9]+"))</f>
        <v/>
      </c>
      <c r="J239" s="6" t="str" cm="1">
        <f t="array" aca="1" ref="J239" ca="1">IF(AND('Raw Data'!J239&gt;=0,'Raw Data'!J239&lt;=1),"",_xlfn.REGEXEXTRACT(CELL("address",'Raw Data'!J239),"\$([A-Z]+)\$[0-9]+"))</f>
        <v/>
      </c>
    </row>
    <row r="240" spans="2:10" x14ac:dyDescent="0.25">
      <c r="B240" s="6" t="str" cm="1">
        <f t="array" aca="1" ref="B240" ca="1">IF('Raw Data'!$B$10 = "Overall Project","",_xlfn.REGEXEXTRACT(CELL("address",'Raw Data'!B240),"\$([A-Z]+)\$[0-9]+"))</f>
        <v/>
      </c>
      <c r="C240" s="6" t="str" cm="1">
        <f t="array" aca="1" ref="C240" ca="1">IF('Raw Data'!$C$10 = "Month # 1","",_xlfn.REGEXEXTRACT(CELL("address",'Raw Data'!C240),"\$([A-Z]+)\$[0-9]+"))</f>
        <v/>
      </c>
      <c r="D240" s="6"/>
      <c r="E240" s="6" t="str" cm="1">
        <f t="array" aca="1" ref="E240" ca="1">IF(AND('Raw Data'!E240&gt;=0,'Raw Data'!E240&lt;=1),"",_xlfn.REGEXEXTRACT(CELL("address",'Raw Data'!E240),"\$([A-Z]+)\$[0-9]+"))</f>
        <v/>
      </c>
      <c r="F240" s="6" t="str" cm="1">
        <f t="array" aca="1" ref="F240" ca="1">IF(AND('Raw Data'!F240&gt;=0,'Raw Data'!F240&lt;=1),"",_xlfn.REGEXEXTRACT(CELL("address",'Raw Data'!F240),"\$([A-Z]+)\$[0-9]+"))</f>
        <v/>
      </c>
      <c r="G240" s="6" t="str" cm="1">
        <f t="array" aca="1" ref="G240" ca="1">IF(AND('Raw Data'!G240&gt;=0,'Raw Data'!G240&lt;=1),"",_xlfn.REGEXEXTRACT(CELL("address",'Raw Data'!G240),"\$([A-Z]+)\$[0-9]+"))</f>
        <v/>
      </c>
      <c r="H240" s="6" t="str" cm="1">
        <f t="array" aca="1" ref="H240" ca="1">IF(AND('Raw Data'!H240&gt;=0,'Raw Data'!H240&lt;=1),"",_xlfn.REGEXEXTRACT(CELL("address",'Raw Data'!H240),"\$([A-Z]+)\$[0-9]+"))</f>
        <v/>
      </c>
      <c r="I240" s="6" t="str" cm="1">
        <f t="array" aca="1" ref="I240" ca="1">IF(AND('Raw Data'!I240&gt;=0,'Raw Data'!I240&lt;=1),"",_xlfn.REGEXEXTRACT(CELL("address",'Raw Data'!I240),"\$([A-Z]+)\$[0-9]+"))</f>
        <v/>
      </c>
      <c r="J240" s="6" t="str" cm="1">
        <f t="array" aca="1" ref="J240" ca="1">IF(AND('Raw Data'!J240&gt;=0,'Raw Data'!J240&lt;=1),"",_xlfn.REGEXEXTRACT(CELL("address",'Raw Data'!J240),"\$([A-Z]+)\$[0-9]+"))</f>
        <v/>
      </c>
    </row>
    <row r="241" spans="2:10" x14ac:dyDescent="0.25">
      <c r="B241" s="6" t="str" cm="1">
        <f t="array" aca="1" ref="B241" ca="1">IF('Raw Data'!$B$10 = "Overall Project","",_xlfn.REGEXEXTRACT(CELL("address",'Raw Data'!B241),"\$([A-Z]+)\$[0-9]+"))</f>
        <v/>
      </c>
      <c r="C241" s="6" t="str" cm="1">
        <f t="array" aca="1" ref="C241" ca="1">IF('Raw Data'!$C$10 = "Month # 1","",_xlfn.REGEXEXTRACT(CELL("address",'Raw Data'!C241),"\$([A-Z]+)\$[0-9]+"))</f>
        <v/>
      </c>
      <c r="D241" s="6"/>
      <c r="E241" s="6" t="str" cm="1">
        <f t="array" aca="1" ref="E241" ca="1">IF(AND('Raw Data'!E241&gt;=0,'Raw Data'!E241&lt;=1),"",_xlfn.REGEXEXTRACT(CELL("address",'Raw Data'!E241),"\$([A-Z]+)\$[0-9]+"))</f>
        <v/>
      </c>
      <c r="F241" s="6" t="str" cm="1">
        <f t="array" aca="1" ref="F241" ca="1">IF(AND('Raw Data'!F241&gt;=0,'Raw Data'!F241&lt;=1),"",_xlfn.REGEXEXTRACT(CELL("address",'Raw Data'!F241),"\$([A-Z]+)\$[0-9]+"))</f>
        <v/>
      </c>
      <c r="G241" s="6" t="str" cm="1">
        <f t="array" aca="1" ref="G241" ca="1">IF(AND('Raw Data'!G241&gt;=0,'Raw Data'!G241&lt;=1),"",_xlfn.REGEXEXTRACT(CELL("address",'Raw Data'!G241),"\$([A-Z]+)\$[0-9]+"))</f>
        <v/>
      </c>
      <c r="H241" s="6" t="str" cm="1">
        <f t="array" aca="1" ref="H241" ca="1">IF(AND('Raw Data'!H241&gt;=0,'Raw Data'!H241&lt;=1),"",_xlfn.REGEXEXTRACT(CELL("address",'Raw Data'!H241),"\$([A-Z]+)\$[0-9]+"))</f>
        <v/>
      </c>
      <c r="I241" s="6" t="str" cm="1">
        <f t="array" aca="1" ref="I241" ca="1">IF(AND('Raw Data'!I241&gt;=0,'Raw Data'!I241&lt;=1),"",_xlfn.REGEXEXTRACT(CELL("address",'Raw Data'!I241),"\$([A-Z]+)\$[0-9]+"))</f>
        <v/>
      </c>
      <c r="J241" s="6" t="str" cm="1">
        <f t="array" aca="1" ref="J241" ca="1">IF(AND('Raw Data'!J241&gt;=0,'Raw Data'!J241&lt;=1),"",_xlfn.REGEXEXTRACT(CELL("address",'Raw Data'!J241),"\$([A-Z]+)\$[0-9]+"))</f>
        <v/>
      </c>
    </row>
    <row r="242" spans="2:10" x14ac:dyDescent="0.25">
      <c r="B242" s="6" t="str" cm="1">
        <f t="array" aca="1" ref="B242" ca="1">IF('Raw Data'!$B$10 = "Overall Project","",_xlfn.REGEXEXTRACT(CELL("address",'Raw Data'!B242),"\$([A-Z]+)\$[0-9]+"))</f>
        <v/>
      </c>
      <c r="C242" s="6" t="str" cm="1">
        <f t="array" aca="1" ref="C242" ca="1">IF('Raw Data'!$C$10 = "Month # 1","",_xlfn.REGEXEXTRACT(CELL("address",'Raw Data'!C242),"\$([A-Z]+)\$[0-9]+"))</f>
        <v/>
      </c>
      <c r="D242" s="6"/>
      <c r="E242" s="6" t="str" cm="1">
        <f t="array" aca="1" ref="E242" ca="1">IF(AND('Raw Data'!E242&gt;=0,'Raw Data'!E242&lt;=1),"",_xlfn.REGEXEXTRACT(CELL("address",'Raw Data'!E242),"\$([A-Z]+)\$[0-9]+"))</f>
        <v/>
      </c>
      <c r="F242" s="6" t="str" cm="1">
        <f t="array" aca="1" ref="F242" ca="1">IF(AND('Raw Data'!F242&gt;=0,'Raw Data'!F242&lt;=1),"",_xlfn.REGEXEXTRACT(CELL("address",'Raw Data'!F242),"\$([A-Z]+)\$[0-9]+"))</f>
        <v/>
      </c>
      <c r="G242" s="6" t="str" cm="1">
        <f t="array" aca="1" ref="G242" ca="1">IF(AND('Raw Data'!G242&gt;=0,'Raw Data'!G242&lt;=1),"",_xlfn.REGEXEXTRACT(CELL("address",'Raw Data'!G242),"\$([A-Z]+)\$[0-9]+"))</f>
        <v/>
      </c>
      <c r="H242" s="6" t="str" cm="1">
        <f t="array" aca="1" ref="H242" ca="1">IF(AND('Raw Data'!H242&gt;=0,'Raw Data'!H242&lt;=1),"",_xlfn.REGEXEXTRACT(CELL("address",'Raw Data'!H242),"\$([A-Z]+)\$[0-9]+"))</f>
        <v/>
      </c>
      <c r="I242" s="6" t="str" cm="1">
        <f t="array" aca="1" ref="I242" ca="1">IF(AND('Raw Data'!I242&gt;=0,'Raw Data'!I242&lt;=1),"",_xlfn.REGEXEXTRACT(CELL("address",'Raw Data'!I242),"\$([A-Z]+)\$[0-9]+"))</f>
        <v/>
      </c>
      <c r="J242" s="6" t="str" cm="1">
        <f t="array" aca="1" ref="J242" ca="1">IF(AND('Raw Data'!J242&gt;=0,'Raw Data'!J242&lt;=1),"",_xlfn.REGEXEXTRACT(CELL("address",'Raw Data'!J242),"\$([A-Z]+)\$[0-9]+"))</f>
        <v/>
      </c>
    </row>
    <row r="243" spans="2:10" x14ac:dyDescent="0.25">
      <c r="B243" s="6" t="str" cm="1">
        <f t="array" aca="1" ref="B243" ca="1">IF('Raw Data'!$B$10 = "Overall Project","",_xlfn.REGEXEXTRACT(CELL("address",'Raw Data'!B243),"\$([A-Z]+)\$[0-9]+"))</f>
        <v/>
      </c>
      <c r="C243" s="6" t="str" cm="1">
        <f t="array" aca="1" ref="C243" ca="1">IF('Raw Data'!$C$10 = "Month # 1","",_xlfn.REGEXEXTRACT(CELL("address",'Raw Data'!C243),"\$([A-Z]+)\$[0-9]+"))</f>
        <v/>
      </c>
      <c r="D243" s="6"/>
      <c r="E243" s="6" t="str" cm="1">
        <f t="array" aca="1" ref="E243" ca="1">IF(AND('Raw Data'!E243&gt;=0,'Raw Data'!E243&lt;=1),"",_xlfn.REGEXEXTRACT(CELL("address",'Raw Data'!E243),"\$([A-Z]+)\$[0-9]+"))</f>
        <v/>
      </c>
      <c r="F243" s="6" t="str" cm="1">
        <f t="array" aca="1" ref="F243" ca="1">IF(AND('Raw Data'!F243&gt;=0,'Raw Data'!F243&lt;=1),"",_xlfn.REGEXEXTRACT(CELL("address",'Raw Data'!F243),"\$([A-Z]+)\$[0-9]+"))</f>
        <v/>
      </c>
      <c r="G243" s="6" t="str" cm="1">
        <f t="array" aca="1" ref="G243" ca="1">IF(AND('Raw Data'!G243&gt;=0,'Raw Data'!G243&lt;=1),"",_xlfn.REGEXEXTRACT(CELL("address",'Raw Data'!G243),"\$([A-Z]+)\$[0-9]+"))</f>
        <v/>
      </c>
      <c r="H243" s="6" t="str" cm="1">
        <f t="array" aca="1" ref="H243" ca="1">IF(AND('Raw Data'!H243&gt;=0,'Raw Data'!H243&lt;=1),"",_xlfn.REGEXEXTRACT(CELL("address",'Raw Data'!H243),"\$([A-Z]+)\$[0-9]+"))</f>
        <v/>
      </c>
      <c r="I243" s="6" t="str" cm="1">
        <f t="array" aca="1" ref="I243" ca="1">IF(AND('Raw Data'!I243&gt;=0,'Raw Data'!I243&lt;=1),"",_xlfn.REGEXEXTRACT(CELL("address",'Raw Data'!I243),"\$([A-Z]+)\$[0-9]+"))</f>
        <v/>
      </c>
      <c r="J243" s="6" t="str" cm="1">
        <f t="array" aca="1" ref="J243" ca="1">IF(AND('Raw Data'!J243&gt;=0,'Raw Data'!J243&lt;=1),"",_xlfn.REGEXEXTRACT(CELL("address",'Raw Data'!J243),"\$([A-Z]+)\$[0-9]+"))</f>
        <v/>
      </c>
    </row>
    <row r="244" spans="2:10" x14ac:dyDescent="0.25">
      <c r="B244" s="6" t="str" cm="1">
        <f t="array" aca="1" ref="B244" ca="1">IF('Raw Data'!$B$10 = "Overall Project","",_xlfn.REGEXEXTRACT(CELL("address",'Raw Data'!B244),"\$([A-Z]+)\$[0-9]+"))</f>
        <v/>
      </c>
      <c r="C244" s="6" t="str" cm="1">
        <f t="array" aca="1" ref="C244" ca="1">IF('Raw Data'!$C$10 = "Month # 1","",_xlfn.REGEXEXTRACT(CELL("address",'Raw Data'!C244),"\$([A-Z]+)\$[0-9]+"))</f>
        <v/>
      </c>
      <c r="D244" s="6"/>
      <c r="E244" s="6" t="str" cm="1">
        <f t="array" aca="1" ref="E244" ca="1">IF(AND('Raw Data'!E244&gt;=0,'Raw Data'!E244&lt;=1),"",_xlfn.REGEXEXTRACT(CELL("address",'Raw Data'!E244),"\$([A-Z]+)\$[0-9]+"))</f>
        <v/>
      </c>
      <c r="F244" s="6" t="str" cm="1">
        <f t="array" aca="1" ref="F244" ca="1">IF(AND('Raw Data'!F244&gt;=0,'Raw Data'!F244&lt;=1),"",_xlfn.REGEXEXTRACT(CELL("address",'Raw Data'!F244),"\$([A-Z]+)\$[0-9]+"))</f>
        <v/>
      </c>
      <c r="G244" s="6" t="str" cm="1">
        <f t="array" aca="1" ref="G244" ca="1">IF(AND('Raw Data'!G244&gt;=0,'Raw Data'!G244&lt;=1),"",_xlfn.REGEXEXTRACT(CELL("address",'Raw Data'!G244),"\$([A-Z]+)\$[0-9]+"))</f>
        <v/>
      </c>
      <c r="H244" s="6" t="str" cm="1">
        <f t="array" aca="1" ref="H244" ca="1">IF(AND('Raw Data'!H244&gt;=0,'Raw Data'!H244&lt;=1),"",_xlfn.REGEXEXTRACT(CELL("address",'Raw Data'!H244),"\$([A-Z]+)\$[0-9]+"))</f>
        <v/>
      </c>
      <c r="I244" s="6" t="str" cm="1">
        <f t="array" aca="1" ref="I244" ca="1">IF(AND('Raw Data'!I244&gt;=0,'Raw Data'!I244&lt;=1),"",_xlfn.REGEXEXTRACT(CELL("address",'Raw Data'!I244),"\$([A-Z]+)\$[0-9]+"))</f>
        <v/>
      </c>
      <c r="J244" s="6" t="str" cm="1">
        <f t="array" aca="1" ref="J244" ca="1">IF(AND('Raw Data'!J244&gt;=0,'Raw Data'!J244&lt;=1),"",_xlfn.REGEXEXTRACT(CELL("address",'Raw Data'!J244),"\$([A-Z]+)\$[0-9]+"))</f>
        <v/>
      </c>
    </row>
    <row r="245" spans="2:10" x14ac:dyDescent="0.25">
      <c r="B245" s="6" t="str" cm="1">
        <f t="array" aca="1" ref="B245" ca="1">IF('Raw Data'!$B$10 = "Overall Project","",_xlfn.REGEXEXTRACT(CELL("address",'Raw Data'!B245),"\$([A-Z]+)\$[0-9]+"))</f>
        <v/>
      </c>
      <c r="C245" s="6" t="str" cm="1">
        <f t="array" aca="1" ref="C245" ca="1">IF('Raw Data'!$C$10 = "Month # 1","",_xlfn.REGEXEXTRACT(CELL("address",'Raw Data'!C245),"\$([A-Z]+)\$[0-9]+"))</f>
        <v/>
      </c>
      <c r="D245" s="6"/>
      <c r="E245" s="6" t="str" cm="1">
        <f t="array" aca="1" ref="E245" ca="1">IF(AND('Raw Data'!E245&gt;=0,'Raw Data'!E245&lt;=1),"",_xlfn.REGEXEXTRACT(CELL("address",'Raw Data'!E245),"\$([A-Z]+)\$[0-9]+"))</f>
        <v/>
      </c>
      <c r="F245" s="6" t="str" cm="1">
        <f t="array" aca="1" ref="F245" ca="1">IF(AND('Raw Data'!F245&gt;=0,'Raw Data'!F245&lt;=1),"",_xlfn.REGEXEXTRACT(CELL("address",'Raw Data'!F245),"\$([A-Z]+)\$[0-9]+"))</f>
        <v/>
      </c>
      <c r="G245" s="6" t="str" cm="1">
        <f t="array" aca="1" ref="G245" ca="1">IF(AND('Raw Data'!G245&gt;=0,'Raw Data'!G245&lt;=1),"",_xlfn.REGEXEXTRACT(CELL("address",'Raw Data'!G245),"\$([A-Z]+)\$[0-9]+"))</f>
        <v/>
      </c>
      <c r="H245" s="6" t="str" cm="1">
        <f t="array" aca="1" ref="H245" ca="1">IF(AND('Raw Data'!H245&gt;=0,'Raw Data'!H245&lt;=1),"",_xlfn.REGEXEXTRACT(CELL("address",'Raw Data'!H245),"\$([A-Z]+)\$[0-9]+"))</f>
        <v/>
      </c>
      <c r="I245" s="6" t="str" cm="1">
        <f t="array" aca="1" ref="I245" ca="1">IF(AND('Raw Data'!I245&gt;=0,'Raw Data'!I245&lt;=1),"",_xlfn.REGEXEXTRACT(CELL("address",'Raw Data'!I245),"\$([A-Z]+)\$[0-9]+"))</f>
        <v/>
      </c>
      <c r="J245" s="6" t="str" cm="1">
        <f t="array" aca="1" ref="J245" ca="1">IF(AND('Raw Data'!J245&gt;=0,'Raw Data'!J245&lt;=1),"",_xlfn.REGEXEXTRACT(CELL("address",'Raw Data'!J245),"\$([A-Z]+)\$[0-9]+"))</f>
        <v/>
      </c>
    </row>
    <row r="246" spans="2:10" x14ac:dyDescent="0.25">
      <c r="B246" s="6" t="str" cm="1">
        <f t="array" aca="1" ref="B246" ca="1">IF('Raw Data'!$B$10 = "Overall Project","",_xlfn.REGEXEXTRACT(CELL("address",'Raw Data'!B246),"\$([A-Z]+)\$[0-9]+"))</f>
        <v/>
      </c>
      <c r="C246" s="6" t="str" cm="1">
        <f t="array" aca="1" ref="C246" ca="1">IF('Raw Data'!$C$10 = "Month # 1","",_xlfn.REGEXEXTRACT(CELL("address",'Raw Data'!C246),"\$([A-Z]+)\$[0-9]+"))</f>
        <v/>
      </c>
      <c r="D246" s="6"/>
      <c r="E246" s="6" t="str" cm="1">
        <f t="array" aca="1" ref="E246" ca="1">IF(AND('Raw Data'!E246&gt;=0,'Raw Data'!E246&lt;=1),"",_xlfn.REGEXEXTRACT(CELL("address",'Raw Data'!E246),"\$([A-Z]+)\$[0-9]+"))</f>
        <v/>
      </c>
      <c r="F246" s="6" t="str" cm="1">
        <f t="array" aca="1" ref="F246" ca="1">IF(AND('Raw Data'!F246&gt;=0,'Raw Data'!F246&lt;=1),"",_xlfn.REGEXEXTRACT(CELL("address",'Raw Data'!F246),"\$([A-Z]+)\$[0-9]+"))</f>
        <v/>
      </c>
      <c r="G246" s="6" t="str" cm="1">
        <f t="array" aca="1" ref="G246" ca="1">IF(AND('Raw Data'!G246&gt;=0,'Raw Data'!G246&lt;=1),"",_xlfn.REGEXEXTRACT(CELL("address",'Raw Data'!G246),"\$([A-Z]+)\$[0-9]+"))</f>
        <v/>
      </c>
      <c r="H246" s="6" t="str" cm="1">
        <f t="array" aca="1" ref="H246" ca="1">IF(AND('Raw Data'!H246&gt;=0,'Raw Data'!H246&lt;=1),"",_xlfn.REGEXEXTRACT(CELL("address",'Raw Data'!H246),"\$([A-Z]+)\$[0-9]+"))</f>
        <v/>
      </c>
      <c r="I246" s="6" t="str" cm="1">
        <f t="array" aca="1" ref="I246" ca="1">IF(AND('Raw Data'!I246&gt;=0,'Raw Data'!I246&lt;=1),"",_xlfn.REGEXEXTRACT(CELL("address",'Raw Data'!I246),"\$([A-Z]+)\$[0-9]+"))</f>
        <v/>
      </c>
      <c r="J246" s="6" t="str" cm="1">
        <f t="array" aca="1" ref="J246" ca="1">IF(AND('Raw Data'!J246&gt;=0,'Raw Data'!J246&lt;=1),"",_xlfn.REGEXEXTRACT(CELL("address",'Raw Data'!J246),"\$([A-Z]+)\$[0-9]+"))</f>
        <v/>
      </c>
    </row>
    <row r="247" spans="2:10" x14ac:dyDescent="0.25">
      <c r="B247" s="6" t="str" cm="1">
        <f t="array" aca="1" ref="B247" ca="1">IF('Raw Data'!$B$10 = "Overall Project","",_xlfn.REGEXEXTRACT(CELL("address",'Raw Data'!B247),"\$([A-Z]+)\$[0-9]+"))</f>
        <v/>
      </c>
      <c r="C247" s="6" t="str" cm="1">
        <f t="array" aca="1" ref="C247" ca="1">IF('Raw Data'!$C$10 = "Month # 1","",_xlfn.REGEXEXTRACT(CELL("address",'Raw Data'!C247),"\$([A-Z]+)\$[0-9]+"))</f>
        <v/>
      </c>
      <c r="D247" s="6"/>
      <c r="E247" s="6" t="str" cm="1">
        <f t="array" aca="1" ref="E247" ca="1">IF(AND('Raw Data'!E247&gt;=0,'Raw Data'!E247&lt;=1),"",_xlfn.REGEXEXTRACT(CELL("address",'Raw Data'!E247),"\$([A-Z]+)\$[0-9]+"))</f>
        <v/>
      </c>
      <c r="F247" s="6" t="str" cm="1">
        <f t="array" aca="1" ref="F247" ca="1">IF(AND('Raw Data'!F247&gt;=0,'Raw Data'!F247&lt;=1),"",_xlfn.REGEXEXTRACT(CELL("address",'Raw Data'!F247),"\$([A-Z]+)\$[0-9]+"))</f>
        <v/>
      </c>
      <c r="G247" s="6" t="str" cm="1">
        <f t="array" aca="1" ref="G247" ca="1">IF(AND('Raw Data'!G247&gt;=0,'Raw Data'!G247&lt;=1),"",_xlfn.REGEXEXTRACT(CELL("address",'Raw Data'!G247),"\$([A-Z]+)\$[0-9]+"))</f>
        <v/>
      </c>
      <c r="H247" s="6" t="str" cm="1">
        <f t="array" aca="1" ref="H247" ca="1">IF(AND('Raw Data'!H247&gt;=0,'Raw Data'!H247&lt;=1),"",_xlfn.REGEXEXTRACT(CELL("address",'Raw Data'!H247),"\$([A-Z]+)\$[0-9]+"))</f>
        <v/>
      </c>
      <c r="I247" s="6" t="str" cm="1">
        <f t="array" aca="1" ref="I247" ca="1">IF(AND('Raw Data'!I247&gt;=0,'Raw Data'!I247&lt;=1),"",_xlfn.REGEXEXTRACT(CELL("address",'Raw Data'!I247),"\$([A-Z]+)\$[0-9]+"))</f>
        <v/>
      </c>
      <c r="J247" s="6" t="str" cm="1">
        <f t="array" aca="1" ref="J247" ca="1">IF(AND('Raw Data'!J247&gt;=0,'Raw Data'!J247&lt;=1),"",_xlfn.REGEXEXTRACT(CELL("address",'Raw Data'!J247),"\$([A-Z]+)\$[0-9]+"))</f>
        <v/>
      </c>
    </row>
    <row r="248" spans="2:10" x14ac:dyDescent="0.25">
      <c r="B248" s="6" t="str" cm="1">
        <f t="array" aca="1" ref="B248" ca="1">IF('Raw Data'!$B$10 = "Overall Project","",_xlfn.REGEXEXTRACT(CELL("address",'Raw Data'!B248),"\$([A-Z]+)\$[0-9]+"))</f>
        <v/>
      </c>
      <c r="C248" s="6" t="str" cm="1">
        <f t="array" aca="1" ref="C248" ca="1">IF('Raw Data'!$C$10 = "Month # 1","",_xlfn.REGEXEXTRACT(CELL("address",'Raw Data'!C248),"\$([A-Z]+)\$[0-9]+"))</f>
        <v/>
      </c>
      <c r="D248" s="6"/>
      <c r="E248" s="6" t="str" cm="1">
        <f t="array" aca="1" ref="E248" ca="1">IF(AND('Raw Data'!E248&gt;=0,'Raw Data'!E248&lt;=1),"",_xlfn.REGEXEXTRACT(CELL("address",'Raw Data'!E248),"\$([A-Z]+)\$[0-9]+"))</f>
        <v/>
      </c>
      <c r="F248" s="6" t="str" cm="1">
        <f t="array" aca="1" ref="F248" ca="1">IF(AND('Raw Data'!F248&gt;=0,'Raw Data'!F248&lt;=1),"",_xlfn.REGEXEXTRACT(CELL("address",'Raw Data'!F248),"\$([A-Z]+)\$[0-9]+"))</f>
        <v/>
      </c>
      <c r="G248" s="6" t="str" cm="1">
        <f t="array" aca="1" ref="G248" ca="1">IF(AND('Raw Data'!G248&gt;=0,'Raw Data'!G248&lt;=1),"",_xlfn.REGEXEXTRACT(CELL("address",'Raw Data'!G248),"\$([A-Z]+)\$[0-9]+"))</f>
        <v/>
      </c>
      <c r="H248" s="6" t="str" cm="1">
        <f t="array" aca="1" ref="H248" ca="1">IF(AND('Raw Data'!H248&gt;=0,'Raw Data'!H248&lt;=1),"",_xlfn.REGEXEXTRACT(CELL("address",'Raw Data'!H248),"\$([A-Z]+)\$[0-9]+"))</f>
        <v/>
      </c>
      <c r="I248" s="6" t="str" cm="1">
        <f t="array" aca="1" ref="I248" ca="1">IF(AND('Raw Data'!I248&gt;=0,'Raw Data'!I248&lt;=1),"",_xlfn.REGEXEXTRACT(CELL("address",'Raw Data'!I248),"\$([A-Z]+)\$[0-9]+"))</f>
        <v/>
      </c>
      <c r="J248" s="6" t="str" cm="1">
        <f t="array" aca="1" ref="J248" ca="1">IF(AND('Raw Data'!J248&gt;=0,'Raw Data'!J248&lt;=1),"",_xlfn.REGEXEXTRACT(CELL("address",'Raw Data'!J248),"\$([A-Z]+)\$[0-9]+"))</f>
        <v/>
      </c>
    </row>
    <row r="249" spans="2:10" x14ac:dyDescent="0.25">
      <c r="B249" s="6" t="str" cm="1">
        <f t="array" aca="1" ref="B249" ca="1">IF('Raw Data'!$B$10 = "Overall Project","",_xlfn.REGEXEXTRACT(CELL("address",'Raw Data'!B249),"\$([A-Z]+)\$[0-9]+"))</f>
        <v/>
      </c>
      <c r="C249" s="6" t="str" cm="1">
        <f t="array" aca="1" ref="C249" ca="1">IF('Raw Data'!$C$10 = "Month # 1","",_xlfn.REGEXEXTRACT(CELL("address",'Raw Data'!C249),"\$([A-Z]+)\$[0-9]+"))</f>
        <v/>
      </c>
      <c r="D249" s="6"/>
      <c r="E249" s="6" t="str" cm="1">
        <f t="array" aca="1" ref="E249" ca="1">IF(AND('Raw Data'!E249&gt;=0,'Raw Data'!E249&lt;=1),"",_xlfn.REGEXEXTRACT(CELL("address",'Raw Data'!E249),"\$([A-Z]+)\$[0-9]+"))</f>
        <v/>
      </c>
      <c r="F249" s="6" t="str" cm="1">
        <f t="array" aca="1" ref="F249" ca="1">IF(AND('Raw Data'!F249&gt;=0,'Raw Data'!F249&lt;=1),"",_xlfn.REGEXEXTRACT(CELL("address",'Raw Data'!F249),"\$([A-Z]+)\$[0-9]+"))</f>
        <v/>
      </c>
      <c r="G249" s="6" t="str" cm="1">
        <f t="array" aca="1" ref="G249" ca="1">IF(AND('Raw Data'!G249&gt;=0,'Raw Data'!G249&lt;=1),"",_xlfn.REGEXEXTRACT(CELL("address",'Raw Data'!G249),"\$([A-Z]+)\$[0-9]+"))</f>
        <v/>
      </c>
      <c r="H249" s="6" t="str" cm="1">
        <f t="array" aca="1" ref="H249" ca="1">IF(AND('Raw Data'!H249&gt;=0,'Raw Data'!H249&lt;=1),"",_xlfn.REGEXEXTRACT(CELL("address",'Raw Data'!H249),"\$([A-Z]+)\$[0-9]+"))</f>
        <v/>
      </c>
      <c r="I249" s="6" t="str" cm="1">
        <f t="array" aca="1" ref="I249" ca="1">IF(AND('Raw Data'!I249&gt;=0,'Raw Data'!I249&lt;=1),"",_xlfn.REGEXEXTRACT(CELL("address",'Raw Data'!I249),"\$([A-Z]+)\$[0-9]+"))</f>
        <v/>
      </c>
      <c r="J249" s="6" t="str" cm="1">
        <f t="array" aca="1" ref="J249" ca="1">IF(AND('Raw Data'!J249&gt;=0,'Raw Data'!J249&lt;=1),"",_xlfn.REGEXEXTRACT(CELL("address",'Raw Data'!J249),"\$([A-Z]+)\$[0-9]+"))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A62CF-FA7D-47DE-831F-10D3E54981CF}">
  <dimension ref="B8:J9"/>
  <sheetViews>
    <sheetView workbookViewId="0">
      <selection activeCell="N4" sqref="N4"/>
    </sheetView>
  </sheetViews>
  <sheetFormatPr defaultRowHeight="15" x14ac:dyDescent="0.25"/>
  <sheetData>
    <row r="8" spans="2:10" x14ac:dyDescent="0.25">
      <c r="B8" s="14" t="s">
        <v>42</v>
      </c>
      <c r="C8" s="14" t="s">
        <v>42</v>
      </c>
      <c r="D8" s="14" t="s">
        <v>43</v>
      </c>
      <c r="E8" s="14" t="s">
        <v>42</v>
      </c>
      <c r="F8" s="14" t="s">
        <v>42</v>
      </c>
      <c r="G8" s="14" t="s">
        <v>42</v>
      </c>
      <c r="H8" s="14" t="s">
        <v>42</v>
      </c>
      <c r="I8" s="14" t="s">
        <v>42</v>
      </c>
      <c r="J8" s="14" t="s">
        <v>42</v>
      </c>
    </row>
    <row r="9" spans="2:10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sqref="A1:A2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</cols>
  <sheetData>
    <row r="1" spans="1:6" x14ac:dyDescent="0.25">
      <c r="A1" t="s">
        <v>51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 x14ac:dyDescent="0.25">
      <c r="A2">
        <v>2</v>
      </c>
      <c r="B2" t="s">
        <v>49</v>
      </c>
      <c r="C2" t="s">
        <v>50</v>
      </c>
      <c r="D2" s="3">
        <v>45292</v>
      </c>
      <c r="E2" s="3">
        <v>46388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str" cm="1">
        <f t="array" aca="1" ref="B7" ca="1">IF('Raw Data'!B7="",_xlfn.REGEXEXTRACT(CELL("address",'Raw Data'!B7),"\$([A-Z]+)\$[0-9]+"),"")</f>
        <v>$B$7</v>
      </c>
      <c r="C7" t="str" cm="1">
        <f t="array" aca="1" ref="C7" ca="1">IF('Raw Data'!C7="",_xlfn.REGEXEXTRACT(CELL("address",'Raw Data'!C7),"\$([A-Z]+)\$[0-9]+"),"")</f>
        <v>$C$7</v>
      </c>
      <c r="D7" t="str" cm="1">
        <f t="array" aca="1" ref="D7" ca="1">IF('Raw Data'!D7="",_xlfn.REGEXEXTRACT(CELL("address",'Raw Data'!D7),"\$([A-Z]+)\$[0-9]+"),"")</f>
        <v>$D$7</v>
      </c>
      <c r="E7" t="str" cm="1">
        <f t="array" aca="1" ref="E7" ca="1">IF('Raw Data'!E7="",_xlfn.REGEXEXTRACT(CELL("address",'Raw Data'!E7),"\$([A-Z]+)\$[0-9]+"),"")</f>
        <v>$E$7</v>
      </c>
      <c r="F7" t="str" cm="1">
        <f t="array" aca="1" ref="F7" ca="1">IF('Raw Data'!F7="",_xlfn.REGEXEXTRACT(CELL("address",'Raw Data'!F7),"\$([A-Z]+)\$[0-9]+"),"")</f>
        <v>$F$7</v>
      </c>
      <c r="G7" t="e" cm="1">
        <f t="array" aca="1" ref="G7" ca="1">IF('Raw Data'!#REF!="",_xlfn.REGEXEXTRACT(CELL("address",'Raw Data'!#REF!),"\$([A-Z]+)\$[0-9]+"),"")</f>
        <v>#REF!</v>
      </c>
      <c r="H7" t="str" cm="1">
        <f t="array" aca="1" ref="H7" ca="1">IF('Raw Data'!G7="",_xlfn.REGEXEXTRACT(CELL("address",'Raw Data'!G7),"\$([A-Z]+)\$[0-9]+"),"")</f>
        <v>$G$7</v>
      </c>
      <c r="I7" t="str" cm="1">
        <f t="array" aca="1" ref="I7" ca="1">IF('Raw Data'!H7="",_xlfn.REGEXEXTRACT(CELL("address",'Raw Data'!H7),"\$([A-Z]+)\$[0-9]+"),"")</f>
        <v>$H$7</v>
      </c>
    </row>
    <row r="8" spans="2:9" x14ac:dyDescent="0.25">
      <c r="B8" t="str" cm="1">
        <f t="array" aca="1" ref="B8" ca="1">IF('Raw Data'!B8="",_xlfn.REGEXEXTRACT(CELL("address",'Raw Data'!B8),"\$([A-Z]+)\$[0-9]+"),"")</f>
        <v>$B$8</v>
      </c>
      <c r="C8" t="str" cm="1">
        <f t="array" aca="1" ref="C8" ca="1">IF('Raw Data'!C8="",_xlfn.REGEXEXTRACT(CELL("address",'Raw Data'!C8),"\$([A-Z]+)\$[0-9]+"),"")</f>
        <v>$C$8</v>
      </c>
      <c r="D8" t="str" cm="1">
        <f t="array" aca="1" ref="D8" ca="1">IF('Raw Data'!D8="",_xlfn.REGEXEXTRACT(CELL("address",'Raw Data'!D8),"\$([A-Z]+)\$[0-9]+"),"")</f>
        <v>$D$8</v>
      </c>
      <c r="E8" t="str" cm="1">
        <f t="array" aca="1" ref="E8" ca="1">IF('Raw Data'!E8="",_xlfn.REGEXEXTRACT(CELL("address",'Raw Data'!E8),"\$([A-Z]+)\$[0-9]+"),"")</f>
        <v>$E$8</v>
      </c>
      <c r="F8" t="str" cm="1">
        <f t="array" aca="1" ref="F8" ca="1">IF('Raw Data'!F8="",_xlfn.REGEXEXTRACT(CELL("address",'Raw Data'!F8),"\$([A-Z]+)\$[0-9]+"),"")</f>
        <v>$F$8</v>
      </c>
      <c r="G8" t="e" cm="1">
        <f t="array" aca="1" ref="G8" ca="1">IF('Raw Data'!#REF!="",_xlfn.REGEXEXTRACT(CELL("address",'Raw Data'!#REF!),"\$([A-Z]+)\$[0-9]+"),"")</f>
        <v>#REF!</v>
      </c>
      <c r="H8" t="str" cm="1">
        <f t="array" aca="1" ref="H8" ca="1">IF('Raw Data'!G8="",_xlfn.REGEXEXTRACT(CELL("address",'Raw Data'!G8),"\$([A-Z]+)\$[0-9]+"),"")</f>
        <v>$G$8</v>
      </c>
      <c r="I8" t="str" cm="1">
        <f t="array" aca="1" ref="I8" ca="1">IF('Raw Data'!H8="",_xlfn.REGEXEXTRACT(CELL("address",'Raw Data'!H8),"\$([A-Z]+)\$[0-9]+"),"")</f>
        <v>$H$8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Data'!G9="",_xlfn.REGEXEXTRACT(CELL("address",'Raw Data'!G9),"\$([A-Z]+)\$[0-9]+"),"")</f>
        <v/>
      </c>
      <c r="I9" t="str" cm="1">
        <f t="array" aca="1" ref="I9" ca="1">IF('Raw Data'!H9="",_xlfn.REGEXEXTRACT(CELL("address",'Raw Data'!H9),"\$([A-Z]+)\$[0-9]+"),"")</f>
        <v/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/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Data'!G10="",_xlfn.REGEXEXTRACT(CELL("address",'Raw Data'!G10),"\$([A-Z]+)\$[0-9]+"),"")</f>
        <v/>
      </c>
      <c r="I10" t="str" cm="1">
        <f t="array" aca="1" ref="I10" ca="1">IF('Raw Data'!H10="",_xlfn.REGEXEXTRACT(CELL("address",'Raw Data'!H10),"\$([A-Z]+)\$[0-9]+"),"")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Data'!G11="",_xlfn.REGEXEXTRACT(CELL("address",'Raw Data'!G11),"\$([A-Z]+)\$[0-9]+"),"")</f>
        <v/>
      </c>
      <c r="I11" t="str" cm="1">
        <f t="array" aca="1" ref="I11" ca="1">IF('Raw Data'!H11="",_xlfn.REGEXEXTRACT(CELL("address",'Raw Data'!H11),"\$([A-Z]+)\$[0-9]+"),"")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Data'!G12="",_xlfn.REGEXEXTRACT(CELL("address",'Raw Data'!G12),"\$([A-Z]+)\$[0-9]+"),"")</f>
        <v>$G$12</v>
      </c>
      <c r="I12" t="str" cm="1">
        <f t="array" aca="1" ref="I12" ca="1">IF('Raw Data'!H12="",_xlfn.REGEXEXTRACT(CELL("address",'Raw Data'!H12),"\$([A-Z]+)\$[0-9]+"),"")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Data'!G13="",_xlfn.REGEXEXTRACT(CELL("address",'Raw Data'!G13),"\$([A-Z]+)\$[0-9]+"),"")</f>
        <v>$G$13</v>
      </c>
      <c r="I13" t="str" cm="1">
        <f t="array" aca="1" ref="I13" ca="1">IF('Raw Data'!H13="",_xlfn.REGEXEXTRACT(CELL("address",'Raw Data'!H13),"\$([A-Z]+)\$[0-9]+"),"")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Data'!G14="",_xlfn.REGEXEXTRACT(CELL("address",'Raw Data'!G14),"\$([A-Z]+)\$[0-9]+"),"")</f>
        <v>$G$14</v>
      </c>
      <c r="I14" t="str" cm="1">
        <f t="array" aca="1" ref="I14" ca="1">IF('Raw Data'!H14="",_xlfn.REGEXEXTRACT(CELL("address",'Raw Data'!H14),"\$([A-Z]+)\$[0-9]+"),"")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Data'!G15="",_xlfn.REGEXEXTRACT(CELL("address",'Raw Data'!G15),"\$([A-Z]+)\$[0-9]+"),"")</f>
        <v>$G$15</v>
      </c>
      <c r="I15" t="str" cm="1">
        <f t="array" aca="1" ref="I15" ca="1">IF('Raw Data'!H15="",_xlfn.REGEXEXTRACT(CELL("address",'Raw Data'!H15),"\$([A-Z]+)\$[0-9]+"),"")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Data'!G16="",_xlfn.REGEXEXTRACT(CELL("address",'Raw Data'!G16),"\$([A-Z]+)\$[0-9]+"),"")</f>
        <v>$G$16</v>
      </c>
      <c r="I16" t="str" cm="1">
        <f t="array" aca="1" ref="I16" ca="1">IF('Raw Data'!H16="",_xlfn.REGEXEXTRACT(CELL("address",'Raw Data'!H16),"\$([A-Z]+)\$[0-9]+"),"")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Data'!G17="",_xlfn.REGEXEXTRACT(CELL("address",'Raw Data'!G17),"\$([A-Z]+)\$[0-9]+"),"")</f>
        <v>$G$17</v>
      </c>
      <c r="I17" t="str" cm="1">
        <f t="array" aca="1" ref="I17" ca="1">IF('Raw Data'!H17="",_xlfn.REGEXEXTRACT(CELL("address",'Raw Data'!H17),"\$([A-Z]+)\$[0-9]+"),"")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Data'!G18="",_xlfn.REGEXEXTRACT(CELL("address",'Raw Data'!G18),"\$([A-Z]+)\$[0-9]+"),"")</f>
        <v>$G$18</v>
      </c>
      <c r="I18" t="str" cm="1">
        <f t="array" aca="1" ref="I18" ca="1">IF('Raw Data'!H18="",_xlfn.REGEXEXTRACT(CELL("address",'Raw Data'!H18),"\$([A-Z]+)\$[0-9]+"),"")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Data'!G19="",_xlfn.REGEXEXTRACT(CELL("address",'Raw Data'!G19),"\$([A-Z]+)\$[0-9]+"),"")</f>
        <v>$G$19</v>
      </c>
      <c r="I19" t="str" cm="1">
        <f t="array" aca="1" ref="I19" ca="1">IF('Raw Data'!H19="",_xlfn.REGEXEXTRACT(CELL("address",'Raw Data'!H19),"\$([A-Z]+)\$[0-9]+"),"")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Data'!G20="",_xlfn.REGEXEXTRACT(CELL("address",'Raw Data'!G20),"\$([A-Z]+)\$[0-9]+"),"")</f>
        <v>$G$20</v>
      </c>
      <c r="I20" t="str" cm="1">
        <f t="array" aca="1" ref="I20" ca="1">IF('Raw Data'!H20="",_xlfn.REGEXEXTRACT(CELL("address",'Raw Data'!H20),"\$([A-Z]+)\$[0-9]+"),"")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/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Data'!G21="",_xlfn.REGEXEXTRACT(CELL("address",'Raw Data'!G21),"\$([A-Z]+)\$[0-9]+"),"")</f>
        <v>$G$21</v>
      </c>
      <c r="I21" t="str" cm="1">
        <f t="array" aca="1" ref="I21" ca="1">IF('Raw Data'!H21="",_xlfn.REGEXEXTRACT(CELL("address",'Raw Data'!H21),"\$([A-Z]+)\$[0-9]+"),"")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/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Data'!G22="",_xlfn.REGEXEXTRACT(CELL("address",'Raw Data'!G22),"\$([A-Z]+)\$[0-9]+"),"")</f>
        <v>$G$22</v>
      </c>
      <c r="I22" t="str" cm="1">
        <f t="array" aca="1" ref="I22" ca="1">IF('Raw Data'!H22="",_xlfn.REGEXEXTRACT(CELL("address",'Raw Data'!H22),"\$([A-Z]+)\$[0-9]+"),"")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/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Data'!G23="",_xlfn.REGEXEXTRACT(CELL("address",'Raw Data'!G23),"\$([A-Z]+)\$[0-9]+"),"")</f>
        <v>$G$23</v>
      </c>
      <c r="I23" t="str" cm="1">
        <f t="array" aca="1" ref="I23" ca="1">IF('Raw Data'!H23="",_xlfn.REGEXEXTRACT(CELL("address",'Raw Data'!H23),"\$([A-Z]+)\$[0-9]+"),"")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/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Data'!G24="",_xlfn.REGEXEXTRACT(CELL("address",'Raw Data'!G24),"\$([A-Z]+)\$[0-9]+"),"")</f>
        <v>$G$24</v>
      </c>
      <c r="I24" t="str" cm="1">
        <f t="array" aca="1" ref="I24" ca="1">IF('Raw Data'!H24="",_xlfn.REGEXEXTRACT(CELL("address",'Raw Data'!H24),"\$([A-Z]+)\$[0-9]+"),"")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/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Data'!G25="",_xlfn.REGEXEXTRACT(CELL("address",'Raw Data'!G25),"\$([A-Z]+)\$[0-9]+"),"")</f>
        <v>$G$25</v>
      </c>
      <c r="I25" t="str" cm="1">
        <f t="array" aca="1" ref="I25" ca="1">IF('Raw Data'!H25="",_xlfn.REGEXEXTRACT(CELL("address",'Raw Data'!H25),"\$([A-Z]+)\$[0-9]+"),"")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/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Data'!G26="",_xlfn.REGEXEXTRACT(CELL("address",'Raw Data'!G26),"\$([A-Z]+)\$[0-9]+"),"")</f>
        <v>$G$26</v>
      </c>
      <c r="I26" t="str" cm="1">
        <f t="array" aca="1" ref="I26" ca="1">IF('Raw Data'!H26="",_xlfn.REGEXEXTRACT(CELL("address",'Raw Data'!H26),"\$([A-Z]+)\$[0-9]+"),"")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/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Data'!G27="",_xlfn.REGEXEXTRACT(CELL("address",'Raw Data'!G27),"\$([A-Z]+)\$[0-9]+"),"")</f>
        <v>$G$27</v>
      </c>
      <c r="I27" t="str" cm="1">
        <f t="array" aca="1" ref="I27" ca="1">IF('Raw Data'!H27="",_xlfn.REGEXEXTRACT(CELL("address",'Raw Data'!H27),"\$([A-Z]+)\$[0-9]+"),"")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/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Data'!G28="",_xlfn.REGEXEXTRACT(CELL("address",'Raw Data'!G28),"\$([A-Z]+)\$[0-9]+"),"")</f>
        <v>$G$28</v>
      </c>
      <c r="I28" t="str" cm="1">
        <f t="array" aca="1" ref="I28" ca="1">IF('Raw Data'!H28="",_xlfn.REGEXEXTRACT(CELL("address",'Raw Data'!H28),"\$([A-Z]+)\$[0-9]+"),"")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/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Data'!G29="",_xlfn.REGEXEXTRACT(CELL("address",'Raw Data'!G29),"\$([A-Z]+)\$[0-9]+"),"")</f>
        <v>$G$29</v>
      </c>
      <c r="I29" t="str" cm="1">
        <f t="array" aca="1" ref="I29" ca="1">IF('Raw Data'!H29="",_xlfn.REGEXEXTRACT(CELL("address",'Raw Data'!H29),"\$([A-Z]+)\$[0-9]+"),"")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/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Data'!G30="",_xlfn.REGEXEXTRACT(CELL("address",'Raw Data'!G30),"\$([A-Z]+)\$[0-9]+"),"")</f>
        <v>$G$30</v>
      </c>
      <c r="I30" t="str" cm="1">
        <f t="array" aca="1" ref="I30" ca="1">IF('Raw Data'!H30="",_xlfn.REGEXEXTRACT(CELL("address",'Raw Data'!H30),"\$([A-Z]+)\$[0-9]+"),"")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/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Data'!G31="",_xlfn.REGEXEXTRACT(CELL("address",'Raw Data'!G31),"\$([A-Z]+)\$[0-9]+"),"")</f>
        <v>$G$31</v>
      </c>
      <c r="I31" t="str" cm="1">
        <f t="array" aca="1" ref="I31" ca="1">IF('Raw Data'!H31="",_xlfn.REGEXEXTRACT(CELL("address",'Raw Data'!H31),"\$([A-Z]+)\$[0-9]+"),"")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/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Data'!G32="",_xlfn.REGEXEXTRACT(CELL("address",'Raw Data'!G32),"\$([A-Z]+)\$[0-9]+"),"")</f>
        <v>$G$32</v>
      </c>
      <c r="I32" t="str" cm="1">
        <f t="array" aca="1" ref="I32" ca="1">IF('Raw Data'!H32="",_xlfn.REGEXEXTRACT(CELL("address",'Raw Data'!H32),"\$([A-Z]+)\$[0-9]+"),"")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/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Data'!G33="",_xlfn.REGEXEXTRACT(CELL("address",'Raw Data'!G33),"\$([A-Z]+)\$[0-9]+"),"")</f>
        <v>$G$33</v>
      </c>
      <c r="I33" t="str" cm="1">
        <f t="array" aca="1" ref="I33" ca="1">IF('Raw Data'!H33="",_xlfn.REGEXEXTRACT(CELL("address",'Raw Data'!H33),"\$([A-Z]+)\$[0-9]+"),"")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/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/>
      </c>
      <c r="E34" t="str" cm="1">
        <f t="array" aca="1" ref="E34" ca="1">IF('Raw Data'!E34="",_xlfn.REGEXEXTRACT(CELL("address",'Raw Data'!E34),"\$([A-Z]+)\$[0-9]+"),"")</f>
        <v/>
      </c>
      <c r="F34" t="str" cm="1">
        <f t="array" aca="1" ref="F34" ca="1">IF('Raw Data'!F34="",_xlfn.REGEXEXTRACT(CELL("address",'Raw Data'!F34),"\$([A-Z]+)\$[0-9]+"),"")</f>
        <v/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Data'!G34="",_xlfn.REGEXEXTRACT(CELL("address",'Raw Data'!G34),"\$([A-Z]+)\$[0-9]+"),"")</f>
        <v/>
      </c>
      <c r="I34" t="str" cm="1">
        <f t="array" aca="1" ref="I34" ca="1">IF('Raw Data'!H34="",_xlfn.REGEXEXTRACT(CELL("address",'Raw Data'!H34),"\$([A-Z]+)\$[0-9]+"),"")</f>
        <v/>
      </c>
    </row>
    <row r="35" spans="2:9" x14ac:dyDescent="0.25">
      <c r="B35" t="str" cm="1">
        <f t="array" aca="1" ref="B35" ca="1">IF('Raw Data'!B35="",_xlfn.REGEXEXTRACT(CELL("address",'Raw Data'!B35),"\$([A-Z]+)\$[0-9]+"),"")</f>
        <v/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/>
      </c>
      <c r="E35" t="str" cm="1">
        <f t="array" aca="1" ref="E35" ca="1">IF('Raw Data'!E35="",_xlfn.REGEXEXTRACT(CELL("address",'Raw Data'!E35),"\$([A-Z]+)\$[0-9]+"),"")</f>
        <v/>
      </c>
      <c r="F35" t="str" cm="1">
        <f t="array" aca="1" ref="F35" ca="1">IF('Raw Data'!F35="",_xlfn.REGEXEXTRACT(CELL("address",'Raw Data'!F35),"\$([A-Z]+)\$[0-9]+"),"")</f>
        <v/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Data'!G35="",_xlfn.REGEXEXTRACT(CELL("address",'Raw Data'!G35),"\$([A-Z]+)\$[0-9]+"),"")</f>
        <v/>
      </c>
      <c r="I35" t="str" cm="1">
        <f t="array" aca="1" ref="I35" ca="1">IF('Raw Data'!H35="",_xlfn.REGEXEXTRACT(CELL("address",'Raw Data'!H35),"\$([A-Z]+)\$[0-9]+"),"")</f>
        <v/>
      </c>
    </row>
    <row r="36" spans="2:9" x14ac:dyDescent="0.25">
      <c r="B36" t="str" cm="1">
        <f t="array" aca="1" ref="B36" ca="1">IF('Raw Data'!B36="",_xlfn.REGEXEXTRACT(CELL("address",'Raw Data'!B36),"\$([A-Z]+)\$[0-9]+"),"")</f>
        <v/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/>
      </c>
      <c r="E36" t="str" cm="1">
        <f t="array" aca="1" ref="E36" ca="1">IF('Raw Data'!E36="",_xlfn.REGEXEXTRACT(CELL("address",'Raw Data'!E36),"\$([A-Z]+)\$[0-9]+"),"")</f>
        <v/>
      </c>
      <c r="F36" t="str" cm="1">
        <f t="array" aca="1" ref="F36" ca="1">IF('Raw Data'!F36="",_xlfn.REGEXEXTRACT(CELL("address",'Raw Data'!F36),"\$([A-Z]+)\$[0-9]+"),"")</f>
        <v/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Data'!G36="",_xlfn.REGEXEXTRACT(CELL("address",'Raw Data'!G36),"\$([A-Z]+)\$[0-9]+"),"")</f>
        <v>$G$36</v>
      </c>
      <c r="I36" t="str" cm="1">
        <f t="array" aca="1" ref="I36" ca="1">IF('Raw Data'!H36="",_xlfn.REGEXEXTRACT(CELL("address",'Raw Data'!H36),"\$([A-Z]+)\$[0-9]+"),"")</f>
        <v/>
      </c>
    </row>
    <row r="37" spans="2:9" x14ac:dyDescent="0.25">
      <c r="B37" t="str" cm="1">
        <f t="array" aca="1" ref="B37" ca="1">IF('Raw Data'!B37="",_xlfn.REGEXEXTRACT(CELL("address",'Raw Data'!B37),"\$([A-Z]+)\$[0-9]+"),"")</f>
        <v/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/>
      </c>
      <c r="E37" t="str" cm="1">
        <f t="array" aca="1" ref="E37" ca="1">IF('Raw Data'!E37="",_xlfn.REGEXEXTRACT(CELL("address",'Raw Data'!E37),"\$([A-Z]+)\$[0-9]+"),"")</f>
        <v/>
      </c>
      <c r="F37" t="str" cm="1">
        <f t="array" aca="1" ref="F37" ca="1">IF('Raw Data'!F37="",_xlfn.REGEXEXTRACT(CELL("address",'Raw Data'!F37),"\$([A-Z]+)\$[0-9]+"),"")</f>
        <v/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Data'!G37="",_xlfn.REGEXEXTRACT(CELL("address",'Raw Data'!G37),"\$([A-Z]+)\$[0-9]+"),"")</f>
        <v>$G$37</v>
      </c>
      <c r="I37" t="str" cm="1">
        <f t="array" aca="1" ref="I37" ca="1">IF('Raw Data'!H37="",_xlfn.REGEXEXTRACT(CELL("address",'Raw Data'!H37),"\$([A-Z]+)\$[0-9]+"),"")</f>
        <v/>
      </c>
    </row>
    <row r="38" spans="2:9" x14ac:dyDescent="0.25">
      <c r="B38" t="str" cm="1">
        <f t="array" aca="1" ref="B38" ca="1">IF('Raw Data'!B38="",_xlfn.REGEXEXTRACT(CELL("address",'Raw Data'!B38),"\$([A-Z]+)\$[0-9]+"),"")</f>
        <v/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/>
      </c>
      <c r="E38" t="str" cm="1">
        <f t="array" aca="1" ref="E38" ca="1">IF('Raw Data'!E38="",_xlfn.REGEXEXTRACT(CELL("address",'Raw Data'!E38),"\$([A-Z]+)\$[0-9]+"),"")</f>
        <v/>
      </c>
      <c r="F38" t="str" cm="1">
        <f t="array" aca="1" ref="F38" ca="1">IF('Raw Data'!F38="",_xlfn.REGEXEXTRACT(CELL("address",'Raw Data'!F38),"\$([A-Z]+)\$[0-9]+"),"")</f>
        <v/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Data'!G38="",_xlfn.REGEXEXTRACT(CELL("address",'Raw Data'!G38),"\$([A-Z]+)\$[0-9]+"),"")</f>
        <v>$G$38</v>
      </c>
      <c r="I38" t="str" cm="1">
        <f t="array" aca="1" ref="I38" ca="1">IF('Raw Data'!H38="",_xlfn.REGEXEXTRACT(CELL("address",'Raw Data'!H38),"\$([A-Z]+)\$[0-9]+"),"")</f>
        <v/>
      </c>
    </row>
    <row r="39" spans="2:9" x14ac:dyDescent="0.25">
      <c r="B39" t="str" cm="1">
        <f t="array" aca="1" ref="B39" ca="1">IF('Raw Data'!B39="",_xlfn.REGEXEXTRACT(CELL("address",'Raw Data'!B39),"\$([A-Z]+)\$[0-9]+"),"")</f>
        <v/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/>
      </c>
      <c r="E39" t="str" cm="1">
        <f t="array" aca="1" ref="E39" ca="1">IF('Raw Data'!E39="",_xlfn.REGEXEXTRACT(CELL("address",'Raw Data'!E39),"\$([A-Z]+)\$[0-9]+"),"")</f>
        <v/>
      </c>
      <c r="F39" t="str" cm="1">
        <f t="array" aca="1" ref="F39" ca="1">IF('Raw Data'!F39="",_xlfn.REGEXEXTRACT(CELL("address",'Raw Data'!F39),"\$([A-Z]+)\$[0-9]+"),"")</f>
        <v/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Data'!G39="",_xlfn.REGEXEXTRACT(CELL("address",'Raw Data'!G39),"\$([A-Z]+)\$[0-9]+"),"")</f>
        <v>$G$39</v>
      </c>
      <c r="I39" t="str" cm="1">
        <f t="array" aca="1" ref="I39" ca="1">IF('Raw Data'!H39="",_xlfn.REGEXEXTRACT(CELL("address",'Raw Data'!H39),"\$([A-Z]+)\$[0-9]+"),"")</f>
        <v/>
      </c>
    </row>
    <row r="40" spans="2:9" x14ac:dyDescent="0.25">
      <c r="B40" t="str" cm="1">
        <f t="array" aca="1" ref="B40" ca="1">IF('Raw Data'!B40="",_xlfn.REGEXEXTRACT(CELL("address",'Raw Data'!B40),"\$([A-Z]+)\$[0-9]+"),"")</f>
        <v/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/>
      </c>
      <c r="E40" t="str" cm="1">
        <f t="array" aca="1" ref="E40" ca="1">IF('Raw Data'!E40="",_xlfn.REGEXEXTRACT(CELL("address",'Raw Data'!E40),"\$([A-Z]+)\$[0-9]+"),"")</f>
        <v/>
      </c>
      <c r="F40" t="str" cm="1">
        <f t="array" aca="1" ref="F40" ca="1">IF('Raw Data'!F40="",_xlfn.REGEXEXTRACT(CELL("address",'Raw Data'!F40),"\$([A-Z]+)\$[0-9]+"),"")</f>
        <v/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Data'!G40="",_xlfn.REGEXEXTRACT(CELL("address",'Raw Data'!G40),"\$([A-Z]+)\$[0-9]+"),"")</f>
        <v>$G$40</v>
      </c>
      <c r="I40" t="str" cm="1">
        <f t="array" aca="1" ref="I40" ca="1">IF('Raw Data'!H40="",_xlfn.REGEXEXTRACT(CELL("address",'Raw Data'!H40),"\$([A-Z]+)\$[0-9]+"),"")</f>
        <v/>
      </c>
    </row>
    <row r="41" spans="2:9" x14ac:dyDescent="0.25">
      <c r="B41" t="str" cm="1">
        <f t="array" aca="1" ref="B41" ca="1">IF('Raw Data'!B41="",_xlfn.REGEXEXTRACT(CELL("address",'Raw Data'!B41),"\$([A-Z]+)\$[0-9]+"),"")</f>
        <v/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/>
      </c>
      <c r="E41" t="str" cm="1">
        <f t="array" aca="1" ref="E41" ca="1">IF('Raw Data'!E41="",_xlfn.REGEXEXTRACT(CELL("address",'Raw Data'!E41),"\$([A-Z]+)\$[0-9]+"),"")</f>
        <v/>
      </c>
      <c r="F41" t="str" cm="1">
        <f t="array" aca="1" ref="F41" ca="1">IF('Raw Data'!F41="",_xlfn.REGEXEXTRACT(CELL("address",'Raw Data'!F41),"\$([A-Z]+)\$[0-9]+"),"")</f>
        <v/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Data'!G41="",_xlfn.REGEXEXTRACT(CELL("address",'Raw Data'!G41),"\$([A-Z]+)\$[0-9]+"),"")</f>
        <v>$G$41</v>
      </c>
      <c r="I41" t="str" cm="1">
        <f t="array" aca="1" ref="I41" ca="1">IF('Raw Data'!H41="",_xlfn.REGEXEXTRACT(CELL("address",'Raw Data'!H41),"\$([A-Z]+)\$[0-9]+"),"")</f>
        <v/>
      </c>
    </row>
    <row r="42" spans="2:9" x14ac:dyDescent="0.25">
      <c r="B42" t="str" cm="1">
        <f t="array" aca="1" ref="B42" ca="1">IF('Raw Data'!B42="",_xlfn.REGEXEXTRACT(CELL("address",'Raw Data'!B42),"\$([A-Z]+)\$[0-9]+"),"")</f>
        <v/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/>
      </c>
      <c r="E42" t="str" cm="1">
        <f t="array" aca="1" ref="E42" ca="1">IF('Raw Data'!E42="",_xlfn.REGEXEXTRACT(CELL("address",'Raw Data'!E42),"\$([A-Z]+)\$[0-9]+"),"")</f>
        <v/>
      </c>
      <c r="F42" t="str" cm="1">
        <f t="array" aca="1" ref="F42" ca="1">IF('Raw Data'!F42="",_xlfn.REGEXEXTRACT(CELL("address",'Raw Data'!F42),"\$([A-Z]+)\$[0-9]+"),"")</f>
        <v/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Data'!G42="",_xlfn.REGEXEXTRACT(CELL("address",'Raw Data'!G42),"\$([A-Z]+)\$[0-9]+"),"")</f>
        <v>$G$42</v>
      </c>
      <c r="I42" t="str" cm="1">
        <f t="array" aca="1" ref="I42" ca="1">IF('Raw Data'!H42="",_xlfn.REGEXEXTRACT(CELL("address",'Raw Data'!H42),"\$([A-Z]+)\$[0-9]+"),"")</f>
        <v/>
      </c>
    </row>
    <row r="43" spans="2:9" x14ac:dyDescent="0.25">
      <c r="B43" t="str" cm="1">
        <f t="array" aca="1" ref="B43" ca="1">IF('Raw Data'!B43="",_xlfn.REGEXEXTRACT(CELL("address",'Raw Data'!B43),"\$([A-Z]+)\$[0-9]+"),"")</f>
        <v/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/>
      </c>
      <c r="E43" t="str" cm="1">
        <f t="array" aca="1" ref="E43" ca="1">IF('Raw Data'!E43="",_xlfn.REGEXEXTRACT(CELL("address",'Raw Data'!E43),"\$([A-Z]+)\$[0-9]+"),"")</f>
        <v/>
      </c>
      <c r="F43" t="str" cm="1">
        <f t="array" aca="1" ref="F43" ca="1">IF('Raw Data'!F43="",_xlfn.REGEXEXTRACT(CELL("address",'Raw Data'!F43),"\$([A-Z]+)\$[0-9]+"),"")</f>
        <v/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Data'!G43="",_xlfn.REGEXEXTRACT(CELL("address",'Raw Data'!G43),"\$([A-Z]+)\$[0-9]+"),"")</f>
        <v>$G$43</v>
      </c>
      <c r="I43" t="str" cm="1">
        <f t="array" aca="1" ref="I43" ca="1">IF('Raw Data'!H43="",_xlfn.REGEXEXTRACT(CELL("address",'Raw Data'!H43),"\$([A-Z]+)\$[0-9]+"),"")</f>
        <v/>
      </c>
    </row>
    <row r="44" spans="2:9" x14ac:dyDescent="0.25">
      <c r="B44" t="str" cm="1">
        <f t="array" aca="1" ref="B44" ca="1">IF('Raw Data'!B44="",_xlfn.REGEXEXTRACT(CELL("address",'Raw Data'!B44),"\$([A-Z]+)\$[0-9]+"),"")</f>
        <v/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/>
      </c>
      <c r="E44" t="str" cm="1">
        <f t="array" aca="1" ref="E44" ca="1">IF('Raw Data'!E44="",_xlfn.REGEXEXTRACT(CELL("address",'Raw Data'!E44),"\$([A-Z]+)\$[0-9]+"),"")</f>
        <v/>
      </c>
      <c r="F44" t="str" cm="1">
        <f t="array" aca="1" ref="F44" ca="1">IF('Raw Data'!F44="",_xlfn.REGEXEXTRACT(CELL("address",'Raw Data'!F44),"\$([A-Z]+)\$[0-9]+"),"")</f>
        <v/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Data'!G44="",_xlfn.REGEXEXTRACT(CELL("address",'Raw Data'!G44),"\$([A-Z]+)\$[0-9]+"),"")</f>
        <v>$G$44</v>
      </c>
      <c r="I44" t="str" cm="1">
        <f t="array" aca="1" ref="I44" ca="1">IF('Raw Data'!H44="",_xlfn.REGEXEXTRACT(CELL("address",'Raw Data'!H44),"\$([A-Z]+)\$[0-9]+"),"")</f>
        <v/>
      </c>
    </row>
    <row r="45" spans="2:9" x14ac:dyDescent="0.25">
      <c r="B45" t="str" cm="1">
        <f t="array" aca="1" ref="B45" ca="1">IF('Raw Data'!B45="",_xlfn.REGEXEXTRACT(CELL("address",'Raw Data'!B45),"\$([A-Z]+)\$[0-9]+"),"")</f>
        <v/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/>
      </c>
      <c r="E45" t="str" cm="1">
        <f t="array" aca="1" ref="E45" ca="1">IF('Raw Data'!E45="",_xlfn.REGEXEXTRACT(CELL("address",'Raw Data'!E45),"\$([A-Z]+)\$[0-9]+"),"")</f>
        <v/>
      </c>
      <c r="F45" t="str" cm="1">
        <f t="array" aca="1" ref="F45" ca="1">IF('Raw Data'!F45="",_xlfn.REGEXEXTRACT(CELL("address",'Raw Data'!F45),"\$([A-Z]+)\$[0-9]+"),"")</f>
        <v/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Data'!G45="",_xlfn.REGEXEXTRACT(CELL("address",'Raw Data'!G45),"\$([A-Z]+)\$[0-9]+"),"")</f>
        <v>$G$45</v>
      </c>
      <c r="I45" t="str" cm="1">
        <f t="array" aca="1" ref="I45" ca="1">IF('Raw Data'!H45="",_xlfn.REGEXEXTRACT(CELL("address",'Raw Data'!H45),"\$([A-Z]+)\$[0-9]+"),"")</f>
        <v/>
      </c>
    </row>
    <row r="46" spans="2:9" x14ac:dyDescent="0.25">
      <c r="B46" t="str" cm="1">
        <f t="array" aca="1" ref="B46" ca="1">IF('Raw Data'!B46="",_xlfn.REGEXEXTRACT(CELL("address",'Raw Data'!B46),"\$([A-Z]+)\$[0-9]+"),"")</f>
        <v/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/>
      </c>
      <c r="E46" t="str" cm="1">
        <f t="array" aca="1" ref="E46" ca="1">IF('Raw Data'!E46="",_xlfn.REGEXEXTRACT(CELL("address",'Raw Data'!E46),"\$([A-Z]+)\$[0-9]+"),"")</f>
        <v/>
      </c>
      <c r="F46" t="str" cm="1">
        <f t="array" aca="1" ref="F46" ca="1">IF('Raw Data'!F46="",_xlfn.REGEXEXTRACT(CELL("address",'Raw Data'!F46),"\$([A-Z]+)\$[0-9]+"),"")</f>
        <v/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Data'!G46="",_xlfn.REGEXEXTRACT(CELL("address",'Raw Data'!G46),"\$([A-Z]+)\$[0-9]+"),"")</f>
        <v>$G$46</v>
      </c>
      <c r="I46" t="str" cm="1">
        <f t="array" aca="1" ref="I46" ca="1">IF('Raw Data'!H46="",_xlfn.REGEXEXTRACT(CELL("address",'Raw Data'!H46),"\$([A-Z]+)\$[0-9]+"),"")</f>
        <v/>
      </c>
    </row>
    <row r="47" spans="2:9" x14ac:dyDescent="0.25">
      <c r="B47" t="str" cm="1">
        <f t="array" aca="1" ref="B47" ca="1">IF('Raw Data'!B47="",_xlfn.REGEXEXTRACT(CELL("address",'Raw Data'!B47),"\$([A-Z]+)\$[0-9]+"),"")</f>
        <v/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/>
      </c>
      <c r="E47" t="str" cm="1">
        <f t="array" aca="1" ref="E47" ca="1">IF('Raw Data'!E47="",_xlfn.REGEXEXTRACT(CELL("address",'Raw Data'!E47),"\$([A-Z]+)\$[0-9]+"),"")</f>
        <v/>
      </c>
      <c r="F47" t="str" cm="1">
        <f t="array" aca="1" ref="F47" ca="1">IF('Raw Data'!F47="",_xlfn.REGEXEXTRACT(CELL("address",'Raw Data'!F47),"\$([A-Z]+)\$[0-9]+"),"")</f>
        <v/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Data'!G47="",_xlfn.REGEXEXTRACT(CELL("address",'Raw Data'!G47),"\$([A-Z]+)\$[0-9]+"),"")</f>
        <v>$G$47</v>
      </c>
      <c r="I47" t="str" cm="1">
        <f t="array" aca="1" ref="I47" ca="1">IF('Raw Data'!H47="",_xlfn.REGEXEXTRACT(CELL("address",'Raw Data'!H47),"\$([A-Z]+)\$[0-9]+"),"")</f>
        <v/>
      </c>
    </row>
    <row r="48" spans="2:9" x14ac:dyDescent="0.25">
      <c r="B48" t="str" cm="1">
        <f t="array" aca="1" ref="B48" ca="1">IF('Raw Data'!B48="",_xlfn.REGEXEXTRACT(CELL("address",'Raw Data'!B48),"\$([A-Z]+)\$[0-9]+"),"")</f>
        <v/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/>
      </c>
      <c r="E48" t="str" cm="1">
        <f t="array" aca="1" ref="E48" ca="1">IF('Raw Data'!E48="",_xlfn.REGEXEXTRACT(CELL("address",'Raw Data'!E48),"\$([A-Z]+)\$[0-9]+"),"")</f>
        <v/>
      </c>
      <c r="F48" t="str" cm="1">
        <f t="array" aca="1" ref="F48" ca="1">IF('Raw Data'!F48="",_xlfn.REGEXEXTRACT(CELL("address",'Raw Data'!F48),"\$([A-Z]+)\$[0-9]+"),"")</f>
        <v/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Data'!G48="",_xlfn.REGEXEXTRACT(CELL("address",'Raw Data'!G48),"\$([A-Z]+)\$[0-9]+"),"")</f>
        <v>$G$48</v>
      </c>
      <c r="I48" t="str" cm="1">
        <f t="array" aca="1" ref="I48" ca="1">IF('Raw Data'!H48="",_xlfn.REGEXEXTRACT(CELL("address",'Raw Data'!H48),"\$([A-Z]+)\$[0-9]+"),"")</f>
        <v/>
      </c>
    </row>
    <row r="49" spans="2:9" x14ac:dyDescent="0.25">
      <c r="B49" t="str" cm="1">
        <f t="array" aca="1" ref="B49" ca="1">IF('Raw Data'!B49="",_xlfn.REGEXEXTRACT(CELL("address",'Raw Data'!B49),"\$([A-Z]+)\$[0-9]+"),"")</f>
        <v/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/>
      </c>
      <c r="E49" t="str" cm="1">
        <f t="array" aca="1" ref="E49" ca="1">IF('Raw Data'!E49="",_xlfn.REGEXEXTRACT(CELL("address",'Raw Data'!E49),"\$([A-Z]+)\$[0-9]+"),"")</f>
        <v/>
      </c>
      <c r="F49" t="str" cm="1">
        <f t="array" aca="1" ref="F49" ca="1">IF('Raw Data'!F49="",_xlfn.REGEXEXTRACT(CELL("address",'Raw Data'!F49),"\$([A-Z]+)\$[0-9]+"),"")</f>
        <v/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Data'!G49="",_xlfn.REGEXEXTRACT(CELL("address",'Raw Data'!G49),"\$([A-Z]+)\$[0-9]+"),"")</f>
        <v>$G$49</v>
      </c>
      <c r="I49" t="str" cm="1">
        <f t="array" aca="1" ref="I49" ca="1">IF('Raw Data'!H49="",_xlfn.REGEXEXTRACT(CELL("address",'Raw Data'!H49),"\$([A-Z]+)\$[0-9]+"),"")</f>
        <v/>
      </c>
    </row>
    <row r="50" spans="2:9" x14ac:dyDescent="0.25">
      <c r="B50" t="str" cm="1">
        <f t="array" aca="1" ref="B50" ca="1">IF('Raw Data'!B50="",_xlfn.REGEXEXTRACT(CELL("address",'Raw Data'!B50),"\$([A-Z]+)\$[0-9]+"),"")</f>
        <v/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/>
      </c>
      <c r="E50" t="str" cm="1">
        <f t="array" aca="1" ref="E50" ca="1">IF('Raw Data'!E50="",_xlfn.REGEXEXTRACT(CELL("address",'Raw Data'!E50),"\$([A-Z]+)\$[0-9]+"),"")</f>
        <v/>
      </c>
      <c r="F50" t="str" cm="1">
        <f t="array" aca="1" ref="F50" ca="1">IF('Raw Data'!F50="",_xlfn.REGEXEXTRACT(CELL("address",'Raw Data'!F50),"\$([A-Z]+)\$[0-9]+"),"")</f>
        <v/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Data'!G50="",_xlfn.REGEXEXTRACT(CELL("address",'Raw Data'!G50),"\$([A-Z]+)\$[0-9]+"),"")</f>
        <v>$G$50</v>
      </c>
      <c r="I50" t="str" cm="1">
        <f t="array" aca="1" ref="I50" ca="1">IF('Raw Data'!H50="",_xlfn.REGEXEXTRACT(CELL("address",'Raw Data'!H50),"\$([A-Z]+)\$[0-9]+"),"")</f>
        <v/>
      </c>
    </row>
    <row r="51" spans="2:9" x14ac:dyDescent="0.25">
      <c r="B51" t="str" cm="1">
        <f t="array" aca="1" ref="B51" ca="1">IF('Raw Data'!B51="",_xlfn.REGEXEXTRACT(CELL("address",'Raw Data'!B51),"\$([A-Z]+)\$[0-9]+"),"")</f>
        <v/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/>
      </c>
      <c r="E51" t="str" cm="1">
        <f t="array" aca="1" ref="E51" ca="1">IF('Raw Data'!E51="",_xlfn.REGEXEXTRACT(CELL("address",'Raw Data'!E51),"\$([A-Z]+)\$[0-9]+"),"")</f>
        <v/>
      </c>
      <c r="F51" t="str" cm="1">
        <f t="array" aca="1" ref="F51" ca="1">IF('Raw Data'!F51="",_xlfn.REGEXEXTRACT(CELL("address",'Raw Data'!F51),"\$([A-Z]+)\$[0-9]+"),"")</f>
        <v/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Data'!G51="",_xlfn.REGEXEXTRACT(CELL("address",'Raw Data'!G51),"\$([A-Z]+)\$[0-9]+"),"")</f>
        <v>$G$51</v>
      </c>
      <c r="I51" t="str" cm="1">
        <f t="array" aca="1" ref="I51" ca="1">IF('Raw Data'!H51="",_xlfn.REGEXEXTRACT(CELL("address",'Raw Data'!H51),"\$([A-Z]+)\$[0-9]+"),"")</f>
        <v/>
      </c>
    </row>
    <row r="52" spans="2:9" x14ac:dyDescent="0.25">
      <c r="B52" t="str" cm="1">
        <f t="array" aca="1" ref="B52" ca="1">IF('Raw Data'!B52="",_xlfn.REGEXEXTRACT(CELL("address",'Raw Data'!B52),"\$([A-Z]+)\$[0-9]+"),"")</f>
        <v/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/>
      </c>
      <c r="E52" t="str" cm="1">
        <f t="array" aca="1" ref="E52" ca="1">IF('Raw Data'!E52="",_xlfn.REGEXEXTRACT(CELL("address",'Raw Data'!E52),"\$([A-Z]+)\$[0-9]+"),"")</f>
        <v/>
      </c>
      <c r="F52" t="str" cm="1">
        <f t="array" aca="1" ref="F52" ca="1">IF('Raw Data'!F52="",_xlfn.REGEXEXTRACT(CELL("address",'Raw Data'!F52),"\$([A-Z]+)\$[0-9]+"),"")</f>
        <v/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Data'!G52="",_xlfn.REGEXEXTRACT(CELL("address",'Raw Data'!G52),"\$([A-Z]+)\$[0-9]+"),"")</f>
        <v>$G$52</v>
      </c>
      <c r="I52" t="str" cm="1">
        <f t="array" aca="1" ref="I52" ca="1">IF('Raw Data'!H52="",_xlfn.REGEXEXTRACT(CELL("address",'Raw Data'!H52),"\$([A-Z]+)\$[0-9]+"),"")</f>
        <v/>
      </c>
    </row>
    <row r="53" spans="2:9" x14ac:dyDescent="0.25">
      <c r="B53" t="str" cm="1">
        <f t="array" aca="1" ref="B53" ca="1">IF('Raw Data'!B53="",_xlfn.REGEXEXTRACT(CELL("address",'Raw Data'!B53),"\$([A-Z]+)\$[0-9]+"),"")</f>
        <v/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f="E53" ca="1">IF('Raw Data'!E53="",_xlfn.REGEXEXTRACT(CELL("address",'Raw Data'!E53),"\$([A-Z]+)\$[0-9]+"),"")</f>
        <v/>
      </c>
      <c r="F53" t="str" cm="1">
        <f t="array" aca="1" ref="F53" ca="1">IF('Raw Data'!F53="",_xlfn.REGEXEXTRACT(CELL("address",'Raw Data'!F53),"\$([A-Z]+)\$[0-9]+"),"")</f>
        <v/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Data'!G53="",_xlfn.REGEXEXTRACT(CELL("address",'Raw Data'!G53),"\$([A-Z]+)\$[0-9]+"),"")</f>
        <v>$G$53</v>
      </c>
      <c r="I53" t="str" cm="1">
        <f t="array" aca="1" ref="I53" ca="1">IF('Raw Data'!H53="",_xlfn.REGEXEXTRACT(CELL("address",'Raw Data'!H53),"\$([A-Z]+)\$[0-9]+"),"")</f>
        <v/>
      </c>
    </row>
    <row r="54" spans="2:9" x14ac:dyDescent="0.25">
      <c r="B54" t="str" cm="1">
        <f t="array" aca="1" ref="B54" ca="1">IF('Raw Data'!B54="",_xlfn.REGEXEXTRACT(CELL("address",'Raw Data'!B54),"\$([A-Z]+)\$[0-9]+"),"")</f>
        <v/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/>
      </c>
      <c r="E54" t="str" cm="1">
        <f t="array" aca="1" ref="E54" ca="1">IF('Raw Data'!E54="",_xlfn.REGEXEXTRACT(CELL("address",'Raw Data'!E54),"\$([A-Z]+)\$[0-9]+"),"")</f>
        <v/>
      </c>
      <c r="F54" t="str" cm="1">
        <f t="array" aca="1" ref="F54" ca="1">IF('Raw Data'!F54="",_xlfn.REGEXEXTRACT(CELL("address",'Raw Data'!F54),"\$([A-Z]+)\$[0-9]+"),"")</f>
        <v/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Data'!G54="",_xlfn.REGEXEXTRACT(CELL("address",'Raw Data'!G54),"\$([A-Z]+)\$[0-9]+"),"")</f>
        <v>$G$54</v>
      </c>
      <c r="I54" t="str" cm="1">
        <f t="array" aca="1" ref="I54" ca="1">IF('Raw Data'!H54="",_xlfn.REGEXEXTRACT(CELL("address",'Raw Data'!H54),"\$([A-Z]+)\$[0-9]+"),"")</f>
        <v/>
      </c>
    </row>
    <row r="55" spans="2:9" x14ac:dyDescent="0.25">
      <c r="B55" t="str" cm="1">
        <f t="array" aca="1" ref="B55" ca="1">IF('Raw Data'!B55="",_xlfn.REGEXEXTRACT(CELL("address",'Raw Data'!B55),"\$([A-Z]+)\$[0-9]+"),"")</f>
        <v/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/>
      </c>
      <c r="E55" t="str" cm="1">
        <f t="array" aca="1" ref="E55" ca="1">IF('Raw Data'!E55="",_xlfn.REGEXEXTRACT(CELL("address",'Raw Data'!E55),"\$([A-Z]+)\$[0-9]+"),"")</f>
        <v/>
      </c>
      <c r="F55" t="str" cm="1">
        <f t="array" aca="1" ref="F55" ca="1">IF('Raw Data'!F55="",_xlfn.REGEXEXTRACT(CELL("address",'Raw Data'!F55),"\$([A-Z]+)\$[0-9]+"),"")</f>
        <v/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Data'!G55="",_xlfn.REGEXEXTRACT(CELL("address",'Raw Data'!G55),"\$([A-Z]+)\$[0-9]+"),"")</f>
        <v>$G$55</v>
      </c>
      <c r="I55" t="str" cm="1">
        <f t="array" aca="1" ref="I55" ca="1">IF('Raw Data'!H55="",_xlfn.REGEXEXTRACT(CELL("address",'Raw Data'!H55),"\$([A-Z]+)\$[0-9]+"),"")</f>
        <v/>
      </c>
    </row>
    <row r="56" spans="2:9" x14ac:dyDescent="0.25">
      <c r="B56" t="str" cm="1">
        <f t="array" aca="1" ref="B56" ca="1">IF('Raw Data'!B56="",_xlfn.REGEXEXTRACT(CELL("address",'Raw Data'!B56),"\$([A-Z]+)\$[0-9]+"),"")</f>
        <v/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/>
      </c>
      <c r="E56" t="str" cm="1">
        <f t="array" aca="1" ref="E56" ca="1">IF('Raw Data'!E56="",_xlfn.REGEXEXTRACT(CELL("address",'Raw Data'!E56),"\$([A-Z]+)\$[0-9]+"),"")</f>
        <v/>
      </c>
      <c r="F56" t="str" cm="1">
        <f t="array" aca="1" ref="F56" ca="1">IF('Raw Data'!F56="",_xlfn.REGEXEXTRACT(CELL("address",'Raw Data'!F56),"\$([A-Z]+)\$[0-9]+"),"")</f>
        <v/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Data'!G56="",_xlfn.REGEXEXTRACT(CELL("address",'Raw Data'!G56),"\$([A-Z]+)\$[0-9]+"),"")</f>
        <v>$G$56</v>
      </c>
      <c r="I56" t="str" cm="1">
        <f t="array" aca="1" ref="I56" ca="1">IF('Raw Data'!H56="",_xlfn.REGEXEXTRACT(CELL("address",'Raw Data'!H56),"\$([A-Z]+)\$[0-9]+"),"")</f>
        <v/>
      </c>
    </row>
    <row r="57" spans="2:9" x14ac:dyDescent="0.25">
      <c r="B57" t="str" cm="1">
        <f t="array" aca="1" ref="B57" ca="1">IF('Raw Data'!B57="",_xlfn.REGEXEXTRACT(CELL("address",'Raw Data'!B57),"\$([A-Z]+)\$[0-9]+"),"")</f>
        <v/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/>
      </c>
      <c r="E57" t="str" cm="1">
        <f t="array" aca="1" ref="E57" ca="1">IF('Raw Data'!E57="",_xlfn.REGEXEXTRACT(CELL("address",'Raw Data'!E57),"\$([A-Z]+)\$[0-9]+"),"")</f>
        <v/>
      </c>
      <c r="F57" t="str" cm="1">
        <f t="array" aca="1" ref="F57" ca="1">IF('Raw Data'!F57="",_xlfn.REGEXEXTRACT(CELL("address",'Raw Data'!F57),"\$([A-Z]+)\$[0-9]+"),"")</f>
        <v/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Data'!G57="",_xlfn.REGEXEXTRACT(CELL("address",'Raw Data'!G57),"\$([A-Z]+)\$[0-9]+"),"")</f>
        <v>$G$57</v>
      </c>
      <c r="I57" t="str" cm="1">
        <f t="array" aca="1" ref="I57" ca="1">IF('Raw Data'!H57="",_xlfn.REGEXEXTRACT(CELL("address",'Raw Data'!H57),"\$([A-Z]+)\$[0-9]+"),"")</f>
        <v/>
      </c>
    </row>
    <row r="58" spans="2:9" x14ac:dyDescent="0.25">
      <c r="B58" t="str" cm="1">
        <f t="array" aca="1" ref="B58" ca="1">IF('Raw Data'!B58="",_xlfn.REGEXEXTRACT(CELL("address",'Raw Data'!B58),"\$([A-Z]+)\$[0-9]+"),"")</f>
        <v/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/>
      </c>
      <c r="E58" t="str" cm="1">
        <f t="array" aca="1" ref="E58" ca="1">IF('Raw Data'!E58="",_xlfn.REGEXEXTRACT(CELL("address",'Raw Data'!E58),"\$([A-Z]+)\$[0-9]+"),"")</f>
        <v/>
      </c>
      <c r="F58" t="str" cm="1">
        <f t="array" aca="1" ref="F58" ca="1">IF('Raw Data'!F58="",_xlfn.REGEXEXTRACT(CELL("address",'Raw Data'!F58),"\$([A-Z]+)\$[0-9]+"),"")</f>
        <v/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Data'!G58="",_xlfn.REGEXEXTRACT(CELL("address",'Raw Data'!G58),"\$([A-Z]+)\$[0-9]+"),"")</f>
        <v/>
      </c>
      <c r="I58" t="str" cm="1">
        <f t="array" aca="1" ref="I58" ca="1">IF('Raw Data'!H58="",_xlfn.REGEXEXTRACT(CELL("address",'Raw Data'!H58),"\$([A-Z]+)\$[0-9]+"),"")</f>
        <v/>
      </c>
    </row>
    <row r="59" spans="2:9" x14ac:dyDescent="0.25">
      <c r="B59" t="str" cm="1">
        <f t="array" aca="1" ref="B59" ca="1">IF('Raw Data'!B59="",_xlfn.REGEXEXTRACT(CELL("address",'Raw Data'!B59),"\$([A-Z]+)\$[0-9]+"),"")</f>
        <v/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/>
      </c>
      <c r="E59" t="str" cm="1">
        <f t="array" aca="1" ref="E59" ca="1">IF('Raw Data'!E59="",_xlfn.REGEXEXTRACT(CELL("address",'Raw Data'!E59),"\$([A-Z]+)\$[0-9]+"),"")</f>
        <v/>
      </c>
      <c r="F59" t="str" cm="1">
        <f t="array" aca="1" ref="F59" ca="1">IF('Raw Data'!F59="",_xlfn.REGEXEXTRACT(CELL("address",'Raw Data'!F59),"\$([A-Z]+)\$[0-9]+"),"")</f>
        <v/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Data'!G59="",_xlfn.REGEXEXTRACT(CELL("address",'Raw Data'!G59),"\$([A-Z]+)\$[0-9]+"),"")</f>
        <v/>
      </c>
      <c r="I59" t="str" cm="1">
        <f t="array" aca="1" ref="I59" ca="1">IF('Raw Data'!H59="",_xlfn.REGEXEXTRACT(CELL("address",'Raw Data'!H59),"\$([A-Z]+)\$[0-9]+"),"")</f>
        <v/>
      </c>
    </row>
    <row r="60" spans="2:9" x14ac:dyDescent="0.25">
      <c r="B60" t="str" cm="1">
        <f t="array" aca="1" ref="B60" ca="1">IF('Raw Data'!B60="",_xlfn.REGEXEXTRACT(CELL("address",'Raw Data'!B60),"\$([A-Z]+)\$[0-9]+"),"")</f>
        <v/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/>
      </c>
      <c r="E60" t="str" cm="1">
        <f t="array" aca="1" ref="E60" ca="1">IF('Raw Data'!E60="",_xlfn.REGEXEXTRACT(CELL("address",'Raw Data'!E60),"\$([A-Z]+)\$[0-9]+"),"")</f>
        <v/>
      </c>
      <c r="F60" t="str" cm="1">
        <f t="array" aca="1" ref="F60" ca="1">IF('Raw Data'!F60="",_xlfn.REGEXEXTRACT(CELL("address",'Raw Data'!F60),"\$([A-Z]+)\$[0-9]+"),"")</f>
        <v/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Data'!G60="",_xlfn.REGEXEXTRACT(CELL("address",'Raw Data'!G60),"\$([A-Z]+)\$[0-9]+"),"")</f>
        <v>$G$60</v>
      </c>
      <c r="I60" t="str" cm="1">
        <f t="array" aca="1" ref="I60" ca="1">IF('Raw Data'!H60="",_xlfn.REGEXEXTRACT(CELL("address",'Raw Data'!H60),"\$([A-Z]+)\$[0-9]+"),"")</f>
        <v/>
      </c>
    </row>
    <row r="61" spans="2:9" x14ac:dyDescent="0.25">
      <c r="B61" t="str" cm="1">
        <f t="array" aca="1" ref="B61" ca="1">IF('Raw Data'!B61="",_xlfn.REGEXEXTRACT(CELL("address",'Raw Data'!B61),"\$([A-Z]+)\$[0-9]+"),"")</f>
        <v/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/>
      </c>
      <c r="E61" t="str" cm="1">
        <f t="array" aca="1" ref="E61" ca="1">IF('Raw Data'!E61="",_xlfn.REGEXEXTRACT(CELL("address",'Raw Data'!E61),"\$([A-Z]+)\$[0-9]+"),"")</f>
        <v/>
      </c>
      <c r="F61" t="str" cm="1">
        <f t="array" aca="1" ref="F61" ca="1">IF('Raw Data'!F61="",_xlfn.REGEXEXTRACT(CELL("address",'Raw Data'!F61),"\$([A-Z]+)\$[0-9]+"),"")</f>
        <v/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Data'!G61="",_xlfn.REGEXEXTRACT(CELL("address",'Raw Data'!G61),"\$([A-Z]+)\$[0-9]+"),"")</f>
        <v>$G$61</v>
      </c>
      <c r="I61" t="str" cm="1">
        <f t="array" aca="1" ref="I61" ca="1">IF('Raw Data'!H61="",_xlfn.REGEXEXTRACT(CELL("address",'Raw Data'!H61),"\$([A-Z]+)\$[0-9]+"),"")</f>
        <v/>
      </c>
    </row>
    <row r="62" spans="2:9" x14ac:dyDescent="0.25">
      <c r="B62" t="str" cm="1">
        <f t="array" aca="1" ref="B62" ca="1">IF('Raw Data'!B62="",_xlfn.REGEXEXTRACT(CELL("address",'Raw Data'!B62),"\$([A-Z]+)\$[0-9]+"),"")</f>
        <v/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/>
      </c>
      <c r="E62" t="str" cm="1">
        <f t="array" aca="1" ref="E62" ca="1">IF('Raw Data'!E62="",_xlfn.REGEXEXTRACT(CELL("address",'Raw Data'!E62),"\$([A-Z]+)\$[0-9]+"),"")</f>
        <v/>
      </c>
      <c r="F62" t="str" cm="1">
        <f t="array" aca="1" ref="F62" ca="1">IF('Raw Data'!F62="",_xlfn.REGEXEXTRACT(CELL("address",'Raw Data'!F62),"\$([A-Z]+)\$[0-9]+"),"")</f>
        <v/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Data'!G62="",_xlfn.REGEXEXTRACT(CELL("address",'Raw Data'!G62),"\$([A-Z]+)\$[0-9]+"),"")</f>
        <v>$G$62</v>
      </c>
      <c r="I62" t="str" cm="1">
        <f t="array" aca="1" ref="I62" ca="1">IF('Raw Data'!H62="",_xlfn.REGEXEXTRACT(CELL("address",'Raw Data'!H62),"\$([A-Z]+)\$[0-9]+"),"")</f>
        <v/>
      </c>
    </row>
    <row r="63" spans="2:9" x14ac:dyDescent="0.25">
      <c r="B63" t="str" cm="1">
        <f t="array" aca="1" ref="B63" ca="1">IF('Raw Data'!B63="",_xlfn.REGEXEXTRACT(CELL("address",'Raw Data'!B63),"\$([A-Z]+)\$[0-9]+"),"")</f>
        <v/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/>
      </c>
      <c r="E63" t="str" cm="1">
        <f t="array" aca="1" ref="E63" ca="1">IF('Raw Data'!E63="",_xlfn.REGEXEXTRACT(CELL("address",'Raw Data'!E63),"\$([A-Z]+)\$[0-9]+"),"")</f>
        <v/>
      </c>
      <c r="F63" t="str" cm="1">
        <f t="array" aca="1" ref="F63" ca="1">IF('Raw Data'!F63="",_xlfn.REGEXEXTRACT(CELL("address",'Raw Data'!F63),"\$([A-Z]+)\$[0-9]+"),"")</f>
        <v/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Data'!G63="",_xlfn.REGEXEXTRACT(CELL("address",'Raw Data'!G63),"\$([A-Z]+)\$[0-9]+"),"")</f>
        <v>$G$63</v>
      </c>
      <c r="I63" t="str" cm="1">
        <f t="array" aca="1" ref="I63" ca="1">IF('Raw Data'!H63="",_xlfn.REGEXEXTRACT(CELL("address",'Raw Data'!H63),"\$([A-Z]+)\$[0-9]+"),"")</f>
        <v/>
      </c>
    </row>
    <row r="64" spans="2:9" x14ac:dyDescent="0.25">
      <c r="B64" t="str" cm="1">
        <f t="array" aca="1" ref="B64" ca="1">IF('Raw Data'!B64="",_xlfn.REGEXEXTRACT(CELL("address",'Raw Data'!B64),"\$([A-Z]+)\$[0-9]+"),"")</f>
        <v/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/>
      </c>
      <c r="E64" t="str" cm="1">
        <f t="array" aca="1" ref="E64" ca="1">IF('Raw Data'!E64="",_xlfn.REGEXEXTRACT(CELL("address",'Raw Data'!E64),"\$([A-Z]+)\$[0-9]+"),"")</f>
        <v/>
      </c>
      <c r="F64" t="str" cm="1">
        <f t="array" aca="1" ref="F64" ca="1">IF('Raw Data'!F64="",_xlfn.REGEXEXTRACT(CELL("address",'Raw Data'!F64),"\$([A-Z]+)\$[0-9]+"),"")</f>
        <v/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Data'!G64="",_xlfn.REGEXEXTRACT(CELL("address",'Raw Data'!G64),"\$([A-Z]+)\$[0-9]+"),"")</f>
        <v>$G$64</v>
      </c>
      <c r="I64" t="str" cm="1">
        <f t="array" aca="1" ref="I64" ca="1">IF('Raw Data'!H64="",_xlfn.REGEXEXTRACT(CELL("address",'Raw Data'!H64),"\$([A-Z]+)\$[0-9]+"),"")</f>
        <v/>
      </c>
    </row>
    <row r="65" spans="2:9" x14ac:dyDescent="0.25">
      <c r="B65" t="str" cm="1">
        <f t="array" aca="1" ref="B65" ca="1">IF('Raw Data'!B65="",_xlfn.REGEXEXTRACT(CELL("address",'Raw Data'!B65),"\$([A-Z]+)\$[0-9]+"),"")</f>
        <v/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/>
      </c>
      <c r="E65" t="str" cm="1">
        <f t="array" aca="1" ref="E65" ca="1">IF('Raw Data'!E65="",_xlfn.REGEXEXTRACT(CELL("address",'Raw Data'!E65),"\$([A-Z]+)\$[0-9]+"),"")</f>
        <v/>
      </c>
      <c r="F65" t="str" cm="1">
        <f t="array" aca="1" ref="F65" ca="1">IF('Raw Data'!F65="",_xlfn.REGEXEXTRACT(CELL("address",'Raw Data'!F65),"\$([A-Z]+)\$[0-9]+"),"")</f>
        <v/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Data'!G65="",_xlfn.REGEXEXTRACT(CELL("address",'Raw Data'!G65),"\$([A-Z]+)\$[0-9]+"),"")</f>
        <v>$G$65</v>
      </c>
      <c r="I65" t="str" cm="1">
        <f t="array" aca="1" ref="I65" ca="1">IF('Raw Data'!H65="",_xlfn.REGEXEXTRACT(CELL("address",'Raw Data'!H65),"\$([A-Z]+)\$[0-9]+"),"")</f>
        <v/>
      </c>
    </row>
    <row r="66" spans="2:9" x14ac:dyDescent="0.25">
      <c r="B66" t="str" cm="1">
        <f t="array" aca="1" ref="B66" ca="1">IF('Raw Data'!B66="",_xlfn.REGEXEXTRACT(CELL("address",'Raw Data'!B66),"\$([A-Z]+)\$[0-9]+"),"")</f>
        <v/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/>
      </c>
      <c r="E66" t="str" cm="1">
        <f t="array" aca="1" ref="E66" ca="1">IF('Raw Data'!E66="",_xlfn.REGEXEXTRACT(CELL("address",'Raw Data'!E66),"\$([A-Z]+)\$[0-9]+"),"")</f>
        <v/>
      </c>
      <c r="F66" t="str" cm="1">
        <f t="array" aca="1" ref="F66" ca="1">IF('Raw Data'!F66="",_xlfn.REGEXEXTRACT(CELL("address",'Raw Data'!F66),"\$([A-Z]+)\$[0-9]+"),"")</f>
        <v/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Data'!G66="",_xlfn.REGEXEXTRACT(CELL("address",'Raw Data'!G66),"\$([A-Z]+)\$[0-9]+"),"")</f>
        <v>$G$66</v>
      </c>
      <c r="I66" t="str" cm="1">
        <f t="array" aca="1" ref="I66" ca="1">IF('Raw Data'!H66="",_xlfn.REGEXEXTRACT(CELL("address",'Raw Data'!H66),"\$([A-Z]+)\$[0-9]+"),"")</f>
        <v/>
      </c>
    </row>
    <row r="67" spans="2:9" x14ac:dyDescent="0.25">
      <c r="B67" t="str" cm="1">
        <f t="array" aca="1" ref="B67" ca="1">IF('Raw Data'!B67="",_xlfn.REGEXEXTRACT(CELL("address",'Raw Data'!B67),"\$([A-Z]+)\$[0-9]+"),"")</f>
        <v/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/>
      </c>
      <c r="E67" t="str" cm="1">
        <f t="array" aca="1" ref="E67" ca="1">IF('Raw Data'!E67="",_xlfn.REGEXEXTRACT(CELL("address",'Raw Data'!E67),"\$([A-Z]+)\$[0-9]+"),"")</f>
        <v/>
      </c>
      <c r="F67" t="str" cm="1">
        <f t="array" aca="1" ref="F67" ca="1">IF('Raw Data'!F67="",_xlfn.REGEXEXTRACT(CELL("address",'Raw Data'!F67),"\$([A-Z]+)\$[0-9]+"),"")</f>
        <v/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Data'!G67="",_xlfn.REGEXEXTRACT(CELL("address",'Raw Data'!G67),"\$([A-Z]+)\$[0-9]+"),"")</f>
        <v>$G$67</v>
      </c>
      <c r="I67" t="str" cm="1">
        <f t="array" aca="1" ref="I67" ca="1">IF('Raw Data'!H67="",_xlfn.REGEXEXTRACT(CELL("address",'Raw Data'!H67),"\$([A-Z]+)\$[0-9]+"),"")</f>
        <v/>
      </c>
    </row>
    <row r="68" spans="2:9" x14ac:dyDescent="0.25">
      <c r="B68" t="str" cm="1">
        <f t="array" aca="1" ref="B68" ca="1">IF('Raw Data'!B68="",_xlfn.REGEXEXTRACT(CELL("address",'Raw Data'!B68),"\$([A-Z]+)\$[0-9]+"),"")</f>
        <v/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/>
      </c>
      <c r="E68" t="str" cm="1">
        <f t="array" aca="1" ref="E68" ca="1">IF('Raw Data'!E68="",_xlfn.REGEXEXTRACT(CELL("address",'Raw Data'!E68),"\$([A-Z]+)\$[0-9]+"),"")</f>
        <v/>
      </c>
      <c r="F68" t="str" cm="1">
        <f t="array" aca="1" ref="F68" ca="1">IF('Raw Data'!F68="",_xlfn.REGEXEXTRACT(CELL("address",'Raw Data'!F68),"\$([A-Z]+)\$[0-9]+"),"")</f>
        <v/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Data'!G68="",_xlfn.REGEXEXTRACT(CELL("address",'Raw Data'!G68),"\$([A-Z]+)\$[0-9]+"),"")</f>
        <v>$G$68</v>
      </c>
      <c r="I68" t="str" cm="1">
        <f t="array" aca="1" ref="I68" ca="1">IF('Raw Data'!H68="",_xlfn.REGEXEXTRACT(CELL("address",'Raw Data'!H68),"\$([A-Z]+)\$[0-9]+"),"")</f>
        <v/>
      </c>
    </row>
    <row r="69" spans="2:9" x14ac:dyDescent="0.25">
      <c r="B69" t="str" cm="1">
        <f t="array" aca="1" ref="B69" ca="1">IF('Raw Data'!B69="",_xlfn.REGEXEXTRACT(CELL("address",'Raw Data'!B69),"\$([A-Z]+)\$[0-9]+"),"")</f>
        <v/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/>
      </c>
      <c r="E69" t="str" cm="1">
        <f t="array" aca="1" ref="E69" ca="1">IF('Raw Data'!E69="",_xlfn.REGEXEXTRACT(CELL("address",'Raw Data'!E69),"\$([A-Z]+)\$[0-9]+"),"")</f>
        <v/>
      </c>
      <c r="F69" t="str" cm="1">
        <f t="array" aca="1" ref="F69" ca="1">IF('Raw Data'!F69="",_xlfn.REGEXEXTRACT(CELL("address",'Raw Data'!F69),"\$([A-Z]+)\$[0-9]+"),"")</f>
        <v/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Data'!G69="",_xlfn.REGEXEXTRACT(CELL("address",'Raw Data'!G69),"\$([A-Z]+)\$[0-9]+"),"")</f>
        <v>$G$69</v>
      </c>
      <c r="I69" t="str" cm="1">
        <f t="array" aca="1" ref="I69" ca="1">IF('Raw Data'!H69="",_xlfn.REGEXEXTRACT(CELL("address",'Raw Data'!H69),"\$([A-Z]+)\$[0-9]+"),"")</f>
        <v/>
      </c>
    </row>
    <row r="70" spans="2:9" x14ac:dyDescent="0.25">
      <c r="B70" t="str" cm="1">
        <f t="array" aca="1" ref="B70" ca="1">IF('Raw Data'!B70="",_xlfn.REGEXEXTRACT(CELL("address",'Raw Data'!B70),"\$([A-Z]+)\$[0-9]+"),"")</f>
        <v/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/>
      </c>
      <c r="E70" t="str" cm="1">
        <f t="array" aca="1" ref="E70" ca="1">IF('Raw Data'!E70="",_xlfn.REGEXEXTRACT(CELL("address",'Raw Data'!E70),"\$([A-Z]+)\$[0-9]+"),"")</f>
        <v/>
      </c>
      <c r="F70" t="str" cm="1">
        <f t="array" aca="1" ref="F70" ca="1">IF('Raw Data'!F70="",_xlfn.REGEXEXTRACT(CELL("address",'Raw Data'!F70),"\$([A-Z]+)\$[0-9]+"),"")</f>
        <v/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Data'!G70="",_xlfn.REGEXEXTRACT(CELL("address",'Raw Data'!G70),"\$([A-Z]+)\$[0-9]+"),"")</f>
        <v>$G$70</v>
      </c>
      <c r="I70" t="str" cm="1">
        <f t="array" aca="1" ref="I70" ca="1">IF('Raw Data'!H70="",_xlfn.REGEXEXTRACT(CELL("address",'Raw Data'!H70),"\$([A-Z]+)\$[0-9]+"),"")</f>
        <v/>
      </c>
    </row>
    <row r="71" spans="2:9" x14ac:dyDescent="0.25">
      <c r="B71" t="str" cm="1">
        <f t="array" aca="1" ref="B71" ca="1">IF('Raw Data'!B71="",_xlfn.REGEXEXTRACT(CELL("address",'Raw Data'!B71),"\$([A-Z]+)\$[0-9]+"),"")</f>
        <v/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/>
      </c>
      <c r="E71" t="str" cm="1">
        <f t="array" aca="1" ref="E71" ca="1">IF('Raw Data'!E71="",_xlfn.REGEXEXTRACT(CELL("address",'Raw Data'!E71),"\$([A-Z]+)\$[0-9]+"),"")</f>
        <v/>
      </c>
      <c r="F71" t="str" cm="1">
        <f t="array" aca="1" ref="F71" ca="1">IF('Raw Data'!F71="",_xlfn.REGEXEXTRACT(CELL("address",'Raw Data'!F71),"\$([A-Z]+)\$[0-9]+"),"")</f>
        <v/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Data'!G71="",_xlfn.REGEXEXTRACT(CELL("address",'Raw Data'!G71),"\$([A-Z]+)\$[0-9]+"),"")</f>
        <v>$G$71</v>
      </c>
      <c r="I71" t="str" cm="1">
        <f t="array" aca="1" ref="I71" ca="1">IF('Raw Data'!H71="",_xlfn.REGEXEXTRACT(CELL("address",'Raw Data'!H71),"\$([A-Z]+)\$[0-9]+"),"")</f>
        <v/>
      </c>
    </row>
    <row r="72" spans="2:9" x14ac:dyDescent="0.25">
      <c r="B72" t="str" cm="1">
        <f t="array" aca="1" ref="B72" ca="1">IF('Raw Data'!B72="",_xlfn.REGEXEXTRACT(CELL("address",'Raw Data'!B72),"\$([A-Z]+)\$[0-9]+"),"")</f>
        <v/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/>
      </c>
      <c r="E72" t="str" cm="1">
        <f t="array" aca="1" ref="E72" ca="1">IF('Raw Data'!E72="",_xlfn.REGEXEXTRACT(CELL("address",'Raw Data'!E72),"\$([A-Z]+)\$[0-9]+"),"")</f>
        <v/>
      </c>
      <c r="F72" t="str" cm="1">
        <f t="array" aca="1" ref="F72" ca="1">IF('Raw Data'!F72="",_xlfn.REGEXEXTRACT(CELL("address",'Raw Data'!F72),"\$([A-Z]+)\$[0-9]+"),"")</f>
        <v/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Data'!G72="",_xlfn.REGEXEXTRACT(CELL("address",'Raw Data'!G72),"\$([A-Z]+)\$[0-9]+"),"")</f>
        <v>$G$72</v>
      </c>
      <c r="I72" t="str" cm="1">
        <f t="array" aca="1" ref="I72" ca="1">IF('Raw Data'!H72="",_xlfn.REGEXEXTRACT(CELL("address",'Raw Data'!H72),"\$([A-Z]+)\$[0-9]+"),"")</f>
        <v/>
      </c>
    </row>
    <row r="73" spans="2:9" x14ac:dyDescent="0.25">
      <c r="B73" t="str" cm="1">
        <f t="array" aca="1" ref="B73" ca="1">IF('Raw Data'!B73="",_xlfn.REGEXEXTRACT(CELL("address",'Raw Data'!B73),"\$([A-Z]+)\$[0-9]+"),"")</f>
        <v/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/>
      </c>
      <c r="E73" t="str" cm="1">
        <f t="array" aca="1" ref="E73" ca="1">IF('Raw Data'!E73="",_xlfn.REGEXEXTRACT(CELL("address",'Raw Data'!E73),"\$([A-Z]+)\$[0-9]+"),"")</f>
        <v/>
      </c>
      <c r="F73" t="str" cm="1">
        <f t="array" aca="1" ref="F73" ca="1">IF('Raw Data'!F73="",_xlfn.REGEXEXTRACT(CELL("address",'Raw Data'!F73),"\$([A-Z]+)\$[0-9]+"),"")</f>
        <v/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Data'!G73="",_xlfn.REGEXEXTRACT(CELL("address",'Raw Data'!G73),"\$([A-Z]+)\$[0-9]+"),"")</f>
        <v>$G$73</v>
      </c>
      <c r="I73" t="str" cm="1">
        <f t="array" aca="1" ref="I73" ca="1">IF('Raw Data'!H73="",_xlfn.REGEXEXTRACT(CELL("address",'Raw Data'!H73),"\$([A-Z]+)\$[0-9]+"),"")</f>
        <v/>
      </c>
    </row>
    <row r="74" spans="2:9" x14ac:dyDescent="0.25">
      <c r="B74" t="str" cm="1">
        <f t="array" aca="1" ref="B74" ca="1">IF('Raw Data'!B74="",_xlfn.REGEXEXTRACT(CELL("address",'Raw Data'!B74),"\$([A-Z]+)\$[0-9]+"),"")</f>
        <v/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/>
      </c>
      <c r="E74" t="str" cm="1">
        <f t="array" aca="1" ref="E74" ca="1">IF('Raw Data'!E74="",_xlfn.REGEXEXTRACT(CELL("address",'Raw Data'!E74),"\$([A-Z]+)\$[0-9]+"),"")</f>
        <v/>
      </c>
      <c r="F74" t="str" cm="1">
        <f t="array" aca="1" ref="F74" ca="1">IF('Raw Data'!F74="",_xlfn.REGEXEXTRACT(CELL("address",'Raw Data'!F74),"\$([A-Z]+)\$[0-9]+"),"")</f>
        <v/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Data'!G74="",_xlfn.REGEXEXTRACT(CELL("address",'Raw Data'!G74),"\$([A-Z]+)\$[0-9]+"),"")</f>
        <v>$G$74</v>
      </c>
      <c r="I74" t="str" cm="1">
        <f t="array" aca="1" ref="I74" ca="1">IF('Raw Data'!H74="",_xlfn.REGEXEXTRACT(CELL("address",'Raw Data'!H74),"\$([A-Z]+)\$[0-9]+"),"")</f>
        <v/>
      </c>
    </row>
    <row r="75" spans="2:9" x14ac:dyDescent="0.25">
      <c r="B75" t="str" cm="1">
        <f t="array" aca="1" ref="B75" ca="1">IF('Raw Data'!B75="",_xlfn.REGEXEXTRACT(CELL("address",'Raw Data'!B75),"\$([A-Z]+)\$[0-9]+"),"")</f>
        <v/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/>
      </c>
      <c r="E75" t="str" cm="1">
        <f t="array" aca="1" ref="E75" ca="1">IF('Raw Data'!E75="",_xlfn.REGEXEXTRACT(CELL("address",'Raw Data'!E75),"\$([A-Z]+)\$[0-9]+"),"")</f>
        <v/>
      </c>
      <c r="F75" t="str" cm="1">
        <f t="array" aca="1" ref="F75" ca="1">IF('Raw Data'!F75="",_xlfn.REGEXEXTRACT(CELL("address",'Raw Data'!F75),"\$([A-Z]+)\$[0-9]+"),"")</f>
        <v/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Data'!G75="",_xlfn.REGEXEXTRACT(CELL("address",'Raw Data'!G75),"\$([A-Z]+)\$[0-9]+"),"")</f>
        <v>$G$75</v>
      </c>
      <c r="I75" t="str" cm="1">
        <f t="array" aca="1" ref="I75" ca="1">IF('Raw Data'!H75="",_xlfn.REGEXEXTRACT(CELL("address",'Raw Data'!H75),"\$([A-Z]+)\$[0-9]+"),"")</f>
        <v/>
      </c>
    </row>
    <row r="76" spans="2:9" x14ac:dyDescent="0.25">
      <c r="B76" t="str" cm="1">
        <f t="array" aca="1" ref="B76" ca="1">IF('Raw Data'!B76="",_xlfn.REGEXEXTRACT(CELL("address",'Raw Data'!B76),"\$([A-Z]+)\$[0-9]+"),"")</f>
        <v/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/>
      </c>
      <c r="E76" t="str" cm="1">
        <f t="array" aca="1" ref="E76" ca="1">IF('Raw Data'!E76="",_xlfn.REGEXEXTRACT(CELL("address",'Raw Data'!E76),"\$([A-Z]+)\$[0-9]+"),"")</f>
        <v/>
      </c>
      <c r="F76" t="str" cm="1">
        <f t="array" aca="1" ref="F76" ca="1">IF('Raw Data'!F76="",_xlfn.REGEXEXTRACT(CELL("address",'Raw Data'!F76),"\$([A-Z]+)\$[0-9]+"),"")</f>
        <v/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Data'!G76="",_xlfn.REGEXEXTRACT(CELL("address",'Raw Data'!G76),"\$([A-Z]+)\$[0-9]+"),"")</f>
        <v>$G$76</v>
      </c>
      <c r="I76" t="str" cm="1">
        <f t="array" aca="1" ref="I76" ca="1">IF('Raw Data'!H76="",_xlfn.REGEXEXTRACT(CELL("address",'Raw Data'!H76),"\$([A-Z]+)\$[0-9]+"),"")</f>
        <v/>
      </c>
    </row>
    <row r="77" spans="2:9" x14ac:dyDescent="0.25">
      <c r="B77" t="str" cm="1">
        <f t="array" aca="1" ref="B77" ca="1">IF('Raw Data'!B77="",_xlfn.REGEXEXTRACT(CELL("address",'Raw Data'!B77),"\$([A-Z]+)\$[0-9]+"),"")</f>
        <v/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/>
      </c>
      <c r="E77" t="str" cm="1">
        <f t="array" aca="1" ref="E77" ca="1">IF('Raw Data'!E77="",_xlfn.REGEXEXTRACT(CELL("address",'Raw Data'!E77),"\$([A-Z]+)\$[0-9]+"),"")</f>
        <v/>
      </c>
      <c r="F77" t="str" cm="1">
        <f t="array" aca="1" ref="F77" ca="1">IF('Raw Data'!F77="",_xlfn.REGEXEXTRACT(CELL("address",'Raw Data'!F77),"\$([A-Z]+)\$[0-9]+"),"")</f>
        <v/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Data'!G77="",_xlfn.REGEXEXTRACT(CELL("address",'Raw Data'!G77),"\$([A-Z]+)\$[0-9]+"),"")</f>
        <v>$G$77</v>
      </c>
      <c r="I77" t="str" cm="1">
        <f t="array" aca="1" ref="I77" ca="1">IF('Raw Data'!H77="",_xlfn.REGEXEXTRACT(CELL("address",'Raw Data'!H77),"\$([A-Z]+)\$[0-9]+"),"")</f>
        <v/>
      </c>
    </row>
    <row r="78" spans="2:9" x14ac:dyDescent="0.25">
      <c r="B78" t="str" cm="1">
        <f t="array" aca="1" ref="B78" ca="1">IF('Raw Data'!B78="",_xlfn.REGEXEXTRACT(CELL("address",'Raw Data'!B78),"\$([A-Z]+)\$[0-9]+"),"")</f>
        <v/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/>
      </c>
      <c r="E78" t="str" cm="1">
        <f t="array" aca="1" ref="E78" ca="1">IF('Raw Data'!E78="",_xlfn.REGEXEXTRACT(CELL("address",'Raw Data'!E78),"\$([A-Z]+)\$[0-9]+"),"")</f>
        <v/>
      </c>
      <c r="F78" t="str" cm="1">
        <f t="array" aca="1" ref="F78" ca="1">IF('Raw Data'!F78="",_xlfn.REGEXEXTRACT(CELL("address",'Raw Data'!F78),"\$([A-Z]+)\$[0-9]+"),"")</f>
        <v/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Data'!G78="",_xlfn.REGEXEXTRACT(CELL("address",'Raw Data'!G78),"\$([A-Z]+)\$[0-9]+"),"")</f>
        <v>$G$78</v>
      </c>
      <c r="I78" t="str" cm="1">
        <f t="array" aca="1" ref="I78" ca="1">IF('Raw Data'!H78="",_xlfn.REGEXEXTRACT(CELL("address",'Raw Data'!H78),"\$([A-Z]+)\$[0-9]+"),"")</f>
        <v/>
      </c>
    </row>
    <row r="79" spans="2:9" x14ac:dyDescent="0.25">
      <c r="B79" t="str" cm="1">
        <f t="array" aca="1" ref="B79" ca="1">IF('Raw Data'!B79="",_xlfn.REGEXEXTRACT(CELL("address",'Raw Data'!B79),"\$([A-Z]+)\$[0-9]+"),"")</f>
        <v/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/>
      </c>
      <c r="E79" t="str" cm="1">
        <f t="array" aca="1" ref="E79" ca="1">IF('Raw Data'!E79="",_xlfn.REGEXEXTRACT(CELL("address",'Raw Data'!E79),"\$([A-Z]+)\$[0-9]+"),"")</f>
        <v/>
      </c>
      <c r="F79" t="str" cm="1">
        <f t="array" aca="1" ref="F79" ca="1">IF('Raw Data'!F79="",_xlfn.REGEXEXTRACT(CELL("address",'Raw Data'!F79),"\$([A-Z]+)\$[0-9]+"),"")</f>
        <v/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Data'!G79="",_xlfn.REGEXEXTRACT(CELL("address",'Raw Data'!G79),"\$([A-Z]+)\$[0-9]+"),"")</f>
        <v>$G$79</v>
      </c>
      <c r="I79" t="str" cm="1">
        <f t="array" aca="1" ref="I79" ca="1">IF('Raw Data'!H79="",_xlfn.REGEXEXTRACT(CELL("address",'Raw Data'!H79),"\$([A-Z]+)\$[0-9]+"),"")</f>
        <v/>
      </c>
    </row>
    <row r="80" spans="2:9" x14ac:dyDescent="0.25">
      <c r="B80" t="str" cm="1">
        <f t="array" aca="1" ref="B80" ca="1">IF('Raw Data'!B80="",_xlfn.REGEXEXTRACT(CELL("address",'Raw Data'!B80),"\$([A-Z]+)\$[0-9]+"),"")</f>
        <v/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/>
      </c>
      <c r="E80" t="str" cm="1">
        <f t="array" aca="1" ref="E80" ca="1">IF('Raw Data'!E80="",_xlfn.REGEXEXTRACT(CELL("address",'Raw Data'!E80),"\$([A-Z]+)\$[0-9]+"),"")</f>
        <v/>
      </c>
      <c r="F80" t="str" cm="1">
        <f t="array" aca="1" ref="F80" ca="1">IF('Raw Data'!F80="",_xlfn.REGEXEXTRACT(CELL("address",'Raw Data'!F80),"\$([A-Z]+)\$[0-9]+"),"")</f>
        <v/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Data'!G80="",_xlfn.REGEXEXTRACT(CELL("address",'Raw Data'!G80),"\$([A-Z]+)\$[0-9]+"),"")</f>
        <v>$G$80</v>
      </c>
      <c r="I80" t="str" cm="1">
        <f t="array" aca="1" ref="I80" ca="1">IF('Raw Data'!H80="",_xlfn.REGEXEXTRACT(CELL("address",'Raw Data'!H80),"\$([A-Z]+)\$[0-9]+"),"")</f>
        <v/>
      </c>
    </row>
    <row r="81" spans="2:9" x14ac:dyDescent="0.25">
      <c r="B81" t="str" cm="1">
        <f t="array" aca="1" ref="B81" ca="1">IF('Raw Data'!B81="",_xlfn.REGEXEXTRACT(CELL("address",'Raw Data'!B81),"\$([A-Z]+)\$[0-9]+"),"")</f>
        <v/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/>
      </c>
      <c r="E81" t="str" cm="1">
        <f t="array" aca="1" ref="E81" ca="1">IF('Raw Data'!E81="",_xlfn.REGEXEXTRACT(CELL("address",'Raw Data'!E81),"\$([A-Z]+)\$[0-9]+"),"")</f>
        <v/>
      </c>
      <c r="F81" t="str" cm="1">
        <f t="array" aca="1" ref="F81" ca="1">IF('Raw Data'!F81="",_xlfn.REGEXEXTRACT(CELL("address",'Raw Data'!F81),"\$([A-Z]+)\$[0-9]+"),"")</f>
        <v/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Data'!G81="",_xlfn.REGEXEXTRACT(CELL("address",'Raw Data'!G81),"\$([A-Z]+)\$[0-9]+"),"")</f>
        <v>$G$81</v>
      </c>
      <c r="I81" t="str" cm="1">
        <f t="array" aca="1" ref="I81" ca="1">IF('Raw Data'!H81="",_xlfn.REGEXEXTRACT(CELL("address",'Raw Data'!H81),"\$([A-Z]+)\$[0-9]+"),"")</f>
        <v/>
      </c>
    </row>
    <row r="82" spans="2:9" x14ac:dyDescent="0.25">
      <c r="B82" t="str" cm="1">
        <f t="array" aca="1" ref="B82" ca="1">IF('Raw Data'!B82="",_xlfn.REGEXEXTRACT(CELL("address",'Raw Data'!B82),"\$([A-Z]+)\$[0-9]+"),"")</f>
        <v/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/>
      </c>
      <c r="E82" t="str" cm="1">
        <f t="array" aca="1" ref="E82" ca="1">IF('Raw Data'!E82="",_xlfn.REGEXEXTRACT(CELL("address",'Raw Data'!E82),"\$([A-Z]+)\$[0-9]+"),"")</f>
        <v/>
      </c>
      <c r="F82" t="str" cm="1">
        <f t="array" aca="1" ref="F82" ca="1">IF('Raw Data'!F82="",_xlfn.REGEXEXTRACT(CELL("address",'Raw Data'!F82),"\$([A-Z]+)\$[0-9]+"),"")</f>
        <v/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Data'!G82="",_xlfn.REGEXEXTRACT(CELL("address",'Raw Data'!G82),"\$([A-Z]+)\$[0-9]+"),"")</f>
        <v/>
      </c>
      <c r="I82" t="str" cm="1">
        <f t="array" aca="1" ref="I82" ca="1">IF('Raw Data'!H82="",_xlfn.REGEXEXTRACT(CELL("address",'Raw Data'!H82),"\$([A-Z]+)\$[0-9]+"),"")</f>
        <v/>
      </c>
    </row>
    <row r="83" spans="2:9" x14ac:dyDescent="0.25">
      <c r="B83" t="str" cm="1">
        <f t="array" aca="1" ref="B83" ca="1">IF('Raw Data'!B83="",_xlfn.REGEXEXTRACT(CELL("address",'Raw Data'!B83),"\$([A-Z]+)\$[0-9]+"),"")</f>
        <v/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/>
      </c>
      <c r="E83" t="str" cm="1">
        <f t="array" aca="1" ref="E83" ca="1">IF('Raw Data'!E83="",_xlfn.REGEXEXTRACT(CELL("address",'Raw Data'!E83),"\$([A-Z]+)\$[0-9]+"),"")</f>
        <v/>
      </c>
      <c r="F83" t="str" cm="1">
        <f t="array" aca="1" ref="F83" ca="1">IF('Raw Data'!F83="",_xlfn.REGEXEXTRACT(CELL("address",'Raw Data'!F83),"\$([A-Z]+)\$[0-9]+"),"")</f>
        <v/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Data'!G83="",_xlfn.REGEXEXTRACT(CELL("address",'Raw Data'!G83),"\$([A-Z]+)\$[0-9]+"),"")</f>
        <v/>
      </c>
      <c r="I83" t="str" cm="1">
        <f t="array" aca="1" ref="I83" ca="1">IF('Raw Data'!H83="",_xlfn.REGEXEXTRACT(CELL("address",'Raw Data'!H83),"\$([A-Z]+)\$[0-9]+"),"")</f>
        <v/>
      </c>
    </row>
    <row r="84" spans="2:9" x14ac:dyDescent="0.25">
      <c r="B84" t="str" cm="1">
        <f t="array" aca="1" ref="B84" ca="1">IF('Raw Data'!B84="",_xlfn.REGEXEXTRACT(CELL("address",'Raw Data'!B84),"\$([A-Z]+)\$[0-9]+"),"")</f>
        <v/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/>
      </c>
      <c r="E84" t="str" cm="1">
        <f t="array" aca="1" ref="E84" ca="1">IF('Raw Data'!E84="",_xlfn.REGEXEXTRACT(CELL("address",'Raw Data'!E84),"\$([A-Z]+)\$[0-9]+"),"")</f>
        <v/>
      </c>
      <c r="F84" t="str" cm="1">
        <f t="array" aca="1" ref="F84" ca="1">IF('Raw Data'!F84="",_xlfn.REGEXEXTRACT(CELL("address",'Raw Data'!F84),"\$([A-Z]+)\$[0-9]+"),"")</f>
        <v/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Data'!G84="",_xlfn.REGEXEXTRACT(CELL("address",'Raw Data'!G84),"\$([A-Z]+)\$[0-9]+"),"")</f>
        <v>$G$84</v>
      </c>
      <c r="I84" t="str" cm="1">
        <f t="array" aca="1" ref="I84" ca="1">IF('Raw Data'!H84="",_xlfn.REGEXEXTRACT(CELL("address",'Raw Data'!H84),"\$([A-Z]+)\$[0-9]+"),"")</f>
        <v/>
      </c>
    </row>
    <row r="85" spans="2:9" x14ac:dyDescent="0.25">
      <c r="B85" t="str" cm="1">
        <f t="array" aca="1" ref="B85" ca="1">IF('Raw Data'!B85="",_xlfn.REGEXEXTRACT(CELL("address",'Raw Data'!B85),"\$([A-Z]+)\$[0-9]+"),"")</f>
        <v/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/>
      </c>
      <c r="E85" t="str" cm="1">
        <f t="array" aca="1" ref="E85" ca="1">IF('Raw Data'!E85="",_xlfn.REGEXEXTRACT(CELL("address",'Raw Data'!E85),"\$([A-Z]+)\$[0-9]+"),"")</f>
        <v/>
      </c>
      <c r="F85" t="str" cm="1">
        <f t="array" aca="1" ref="F85" ca="1">IF('Raw Data'!F85="",_xlfn.REGEXEXTRACT(CELL("address",'Raw Data'!F85),"\$([A-Z]+)\$[0-9]+"),"")</f>
        <v/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Data'!G85="",_xlfn.REGEXEXTRACT(CELL("address",'Raw Data'!G85),"\$([A-Z]+)\$[0-9]+"),"")</f>
        <v>$G$85</v>
      </c>
      <c r="I85" t="str" cm="1">
        <f t="array" aca="1" ref="I85" ca="1">IF('Raw Data'!H85="",_xlfn.REGEXEXTRACT(CELL("address",'Raw Data'!H85),"\$([A-Z]+)\$[0-9]+"),"")</f>
        <v/>
      </c>
    </row>
    <row r="86" spans="2:9" x14ac:dyDescent="0.25">
      <c r="B86" t="str" cm="1">
        <f t="array" aca="1" ref="B86" ca="1">IF('Raw Data'!B86="",_xlfn.REGEXEXTRACT(CELL("address",'Raw Data'!B86),"\$([A-Z]+)\$[0-9]+"),"")</f>
        <v/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/>
      </c>
      <c r="E86" t="str" cm="1">
        <f t="array" aca="1" ref="E86" ca="1">IF('Raw Data'!E86="",_xlfn.REGEXEXTRACT(CELL("address",'Raw Data'!E86),"\$([A-Z]+)\$[0-9]+"),"")</f>
        <v/>
      </c>
      <c r="F86" t="str" cm="1">
        <f t="array" aca="1" ref="F86" ca="1">IF('Raw Data'!F86="",_xlfn.REGEXEXTRACT(CELL("address",'Raw Data'!F86),"\$([A-Z]+)\$[0-9]+"),"")</f>
        <v/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Data'!G86="",_xlfn.REGEXEXTRACT(CELL("address",'Raw Data'!G86),"\$([A-Z]+)\$[0-9]+"),"")</f>
        <v>$G$86</v>
      </c>
      <c r="I86" t="str" cm="1">
        <f t="array" aca="1" ref="I86" ca="1">IF('Raw Data'!H86="",_xlfn.REGEXEXTRACT(CELL("address",'Raw Data'!H86),"\$([A-Z]+)\$[0-9]+"),"")</f>
        <v/>
      </c>
    </row>
    <row r="87" spans="2:9" x14ac:dyDescent="0.25">
      <c r="B87" t="str" cm="1">
        <f t="array" aca="1" ref="B87" ca="1">IF('Raw Data'!B87="",_xlfn.REGEXEXTRACT(CELL("address",'Raw Data'!B87),"\$([A-Z]+)\$[0-9]+"),"")</f>
        <v/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/>
      </c>
      <c r="E87" t="str" cm="1">
        <f t="array" aca="1" ref="E87" ca="1">IF('Raw Data'!E87="",_xlfn.REGEXEXTRACT(CELL("address",'Raw Data'!E87),"\$([A-Z]+)\$[0-9]+"),"")</f>
        <v/>
      </c>
      <c r="F87" t="str" cm="1">
        <f t="array" aca="1" ref="F87" ca="1">IF('Raw Data'!F87="",_xlfn.REGEXEXTRACT(CELL("address",'Raw Data'!F87),"\$([A-Z]+)\$[0-9]+"),"")</f>
        <v/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Data'!G87="",_xlfn.REGEXEXTRACT(CELL("address",'Raw Data'!G87),"\$([A-Z]+)\$[0-9]+"),"")</f>
        <v>$G$87</v>
      </c>
      <c r="I87" t="str" cm="1">
        <f t="array" aca="1" ref="I87" ca="1">IF('Raw Data'!H87="",_xlfn.REGEXEXTRACT(CELL("address",'Raw Data'!H87),"\$([A-Z]+)\$[0-9]+"),"")</f>
        <v/>
      </c>
    </row>
    <row r="88" spans="2:9" x14ac:dyDescent="0.25">
      <c r="B88" t="str" cm="1">
        <f t="array" aca="1" ref="B88" ca="1">IF('Raw Data'!B88="",_xlfn.REGEXEXTRACT(CELL("address",'Raw Data'!B88),"\$([A-Z]+)\$[0-9]+"),"")</f>
        <v/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/>
      </c>
      <c r="E88" t="str" cm="1">
        <f t="array" aca="1" ref="E88" ca="1">IF('Raw Data'!E88="",_xlfn.REGEXEXTRACT(CELL("address",'Raw Data'!E88),"\$([A-Z]+)\$[0-9]+"),"")</f>
        <v/>
      </c>
      <c r="F88" t="str" cm="1">
        <f t="array" aca="1" ref="F88" ca="1">IF('Raw Data'!F88="",_xlfn.REGEXEXTRACT(CELL("address",'Raw Data'!F88),"\$([A-Z]+)\$[0-9]+"),"")</f>
        <v/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Data'!G88="",_xlfn.REGEXEXTRACT(CELL("address",'Raw Data'!G88),"\$([A-Z]+)\$[0-9]+"),"")</f>
        <v>$G$88</v>
      </c>
      <c r="I88" t="str" cm="1">
        <f t="array" aca="1" ref="I88" ca="1">IF('Raw Data'!H88="",_xlfn.REGEXEXTRACT(CELL("address",'Raw Data'!H88),"\$([A-Z]+)\$[0-9]+"),"")</f>
        <v/>
      </c>
    </row>
    <row r="89" spans="2:9" x14ac:dyDescent="0.25">
      <c r="B89" t="str" cm="1">
        <f t="array" aca="1" ref="B89" ca="1">IF('Raw Data'!B89="",_xlfn.REGEXEXTRACT(CELL("address",'Raw Data'!B89),"\$([A-Z]+)\$[0-9]+"),"")</f>
        <v/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/>
      </c>
      <c r="E89" t="str" cm="1">
        <f t="array" aca="1" ref="E89" ca="1">IF('Raw Data'!E89="",_xlfn.REGEXEXTRACT(CELL("address",'Raw Data'!E89),"\$([A-Z]+)\$[0-9]+"),"")</f>
        <v/>
      </c>
      <c r="F89" t="str" cm="1">
        <f t="array" aca="1" ref="F89" ca="1">IF('Raw Data'!F89="",_xlfn.REGEXEXTRACT(CELL("address",'Raw Data'!F89),"\$([A-Z]+)\$[0-9]+"),"")</f>
        <v/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Data'!G89="",_xlfn.REGEXEXTRACT(CELL("address",'Raw Data'!G89),"\$([A-Z]+)\$[0-9]+"),"")</f>
        <v>$G$89</v>
      </c>
      <c r="I89" t="str" cm="1">
        <f t="array" aca="1" ref="I89" ca="1">IF('Raw Data'!H89="",_xlfn.REGEXEXTRACT(CELL("address",'Raw Data'!H89),"\$([A-Z]+)\$[0-9]+"),"")</f>
        <v/>
      </c>
    </row>
    <row r="90" spans="2:9" x14ac:dyDescent="0.25">
      <c r="B90" t="str" cm="1">
        <f t="array" aca="1" ref="B90" ca="1">IF('Raw Data'!B90="",_xlfn.REGEXEXTRACT(CELL("address",'Raw Data'!B90),"\$([A-Z]+)\$[0-9]+"),"")</f>
        <v/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/>
      </c>
      <c r="E90" t="str" cm="1">
        <f t="array" aca="1" ref="E90" ca="1">IF('Raw Data'!E90="",_xlfn.REGEXEXTRACT(CELL("address",'Raw Data'!E90),"\$([A-Z]+)\$[0-9]+"),"")</f>
        <v/>
      </c>
      <c r="F90" t="str" cm="1">
        <f t="array" aca="1" ref="F90" ca="1">IF('Raw Data'!F90="",_xlfn.REGEXEXTRACT(CELL("address",'Raw Data'!F90),"\$([A-Z]+)\$[0-9]+"),"")</f>
        <v/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Data'!G90="",_xlfn.REGEXEXTRACT(CELL("address",'Raw Data'!G90),"\$([A-Z]+)\$[0-9]+"),"")</f>
        <v>$G$90</v>
      </c>
      <c r="I90" t="str" cm="1">
        <f t="array" aca="1" ref="I90" ca="1">IF('Raw Data'!H90="",_xlfn.REGEXEXTRACT(CELL("address",'Raw Data'!H90),"\$([A-Z]+)\$[0-9]+"),"")</f>
        <v/>
      </c>
    </row>
    <row r="91" spans="2:9" x14ac:dyDescent="0.25">
      <c r="B91" t="str" cm="1">
        <f t="array" aca="1" ref="B91" ca="1">IF('Raw Data'!B91="",_xlfn.REGEXEXTRACT(CELL("address",'Raw Data'!B91),"\$([A-Z]+)\$[0-9]+"),"")</f>
        <v/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/>
      </c>
      <c r="E91" t="str" cm="1">
        <f t="array" aca="1" ref="E91" ca="1">IF('Raw Data'!E91="",_xlfn.REGEXEXTRACT(CELL("address",'Raw Data'!E91),"\$([A-Z]+)\$[0-9]+"),"")</f>
        <v/>
      </c>
      <c r="F91" t="str" cm="1">
        <f t="array" aca="1" ref="F91" ca="1">IF('Raw Data'!F91="",_xlfn.REGEXEXTRACT(CELL("address",'Raw Data'!F91),"\$([A-Z]+)\$[0-9]+"),"")</f>
        <v/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Data'!G91="",_xlfn.REGEXEXTRACT(CELL("address",'Raw Data'!G91),"\$([A-Z]+)\$[0-9]+"),"")</f>
        <v>$G$91</v>
      </c>
      <c r="I91" t="str" cm="1">
        <f t="array" aca="1" ref="I91" ca="1">IF('Raw Data'!H91="",_xlfn.REGEXEXTRACT(CELL("address",'Raw Data'!H91),"\$([A-Z]+)\$[0-9]+"),"")</f>
        <v/>
      </c>
    </row>
    <row r="92" spans="2:9" x14ac:dyDescent="0.25">
      <c r="B92" t="str" cm="1">
        <f t="array" aca="1" ref="B92" ca="1">IF('Raw Data'!B92="",_xlfn.REGEXEXTRACT(CELL("address",'Raw Data'!B92),"\$([A-Z]+)\$[0-9]+"),"")</f>
        <v/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/>
      </c>
      <c r="E92" t="str" cm="1">
        <f t="array" aca="1" ref="E92" ca="1">IF('Raw Data'!E92="",_xlfn.REGEXEXTRACT(CELL("address",'Raw Data'!E92),"\$([A-Z]+)\$[0-9]+"),"")</f>
        <v/>
      </c>
      <c r="F92" t="str" cm="1">
        <f t="array" aca="1" ref="F92" ca="1">IF('Raw Data'!F92="",_xlfn.REGEXEXTRACT(CELL("address",'Raw Data'!F92),"\$([A-Z]+)\$[0-9]+"),"")</f>
        <v/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Data'!G92="",_xlfn.REGEXEXTRACT(CELL("address",'Raw Data'!G92),"\$([A-Z]+)\$[0-9]+"),"")</f>
        <v>$G$92</v>
      </c>
      <c r="I92" t="str" cm="1">
        <f t="array" aca="1" ref="I92" ca="1">IF('Raw Data'!H92="",_xlfn.REGEXEXTRACT(CELL("address",'Raw Data'!H92),"\$([A-Z]+)\$[0-9]+"),"")</f>
        <v/>
      </c>
    </row>
    <row r="93" spans="2:9" x14ac:dyDescent="0.25">
      <c r="B93" t="str" cm="1">
        <f t="array" aca="1" ref="B93" ca="1">IF('Raw Data'!B93="",_xlfn.REGEXEXTRACT(CELL("address",'Raw Data'!B93),"\$([A-Z]+)\$[0-9]+"),"")</f>
        <v/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/>
      </c>
      <c r="E93" t="str" cm="1">
        <f t="array" aca="1" ref="E93" ca="1">IF('Raw Data'!E93="",_xlfn.REGEXEXTRACT(CELL("address",'Raw Data'!E93),"\$([A-Z]+)\$[0-9]+"),"")</f>
        <v/>
      </c>
      <c r="F93" t="str" cm="1">
        <f t="array" aca="1" ref="F93" ca="1">IF('Raw Data'!F93="",_xlfn.REGEXEXTRACT(CELL("address",'Raw Data'!F93),"\$([A-Z]+)\$[0-9]+"),"")</f>
        <v/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Data'!G93="",_xlfn.REGEXEXTRACT(CELL("address",'Raw Data'!G93),"\$([A-Z]+)\$[0-9]+"),"")</f>
        <v>$G$93</v>
      </c>
      <c r="I93" t="str" cm="1">
        <f t="array" aca="1" ref="I93" ca="1">IF('Raw Data'!H93="",_xlfn.REGEXEXTRACT(CELL("address",'Raw Data'!H93),"\$([A-Z]+)\$[0-9]+"),"")</f>
        <v/>
      </c>
    </row>
    <row r="94" spans="2:9" x14ac:dyDescent="0.25">
      <c r="B94" t="str" cm="1">
        <f t="array" aca="1" ref="B94" ca="1">IF('Raw Data'!B94="",_xlfn.REGEXEXTRACT(CELL("address",'Raw Data'!B94),"\$([A-Z]+)\$[0-9]+"),"")</f>
        <v/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/>
      </c>
      <c r="E94" t="str" cm="1">
        <f t="array" aca="1" ref="E94" ca="1">IF('Raw Data'!E94="",_xlfn.REGEXEXTRACT(CELL("address",'Raw Data'!E94),"\$([A-Z]+)\$[0-9]+"),"")</f>
        <v/>
      </c>
      <c r="F94" t="str" cm="1">
        <f t="array" aca="1" ref="F94" ca="1">IF('Raw Data'!F94="",_xlfn.REGEXEXTRACT(CELL("address",'Raw Data'!F94),"\$([A-Z]+)\$[0-9]+"),"")</f>
        <v/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Data'!G94="",_xlfn.REGEXEXTRACT(CELL("address",'Raw Data'!G94),"\$([A-Z]+)\$[0-9]+"),"")</f>
        <v>$G$94</v>
      </c>
      <c r="I94" t="str" cm="1">
        <f t="array" aca="1" ref="I94" ca="1">IF('Raw Data'!H94="",_xlfn.REGEXEXTRACT(CELL("address",'Raw Data'!H94),"\$([A-Z]+)\$[0-9]+"),"")</f>
        <v/>
      </c>
    </row>
    <row r="95" spans="2:9" x14ac:dyDescent="0.25">
      <c r="B95" t="str" cm="1">
        <f t="array" aca="1" ref="B95" ca="1">IF('Raw Data'!B95="",_xlfn.REGEXEXTRACT(CELL("address",'Raw Data'!B95),"\$([A-Z]+)\$[0-9]+"),"")</f>
        <v/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/>
      </c>
      <c r="E95" t="str" cm="1">
        <f t="array" aca="1" ref="E95" ca="1">IF('Raw Data'!E95="",_xlfn.REGEXEXTRACT(CELL("address",'Raw Data'!E95),"\$([A-Z]+)\$[0-9]+"),"")</f>
        <v/>
      </c>
      <c r="F95" t="str" cm="1">
        <f t="array" aca="1" ref="F95" ca="1">IF('Raw Data'!F95="",_xlfn.REGEXEXTRACT(CELL("address",'Raw Data'!F95),"\$([A-Z]+)\$[0-9]+"),"")</f>
        <v/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Data'!G95="",_xlfn.REGEXEXTRACT(CELL("address",'Raw Data'!G95),"\$([A-Z]+)\$[0-9]+"),"")</f>
        <v>$G$95</v>
      </c>
      <c r="I95" t="str" cm="1">
        <f t="array" aca="1" ref="I95" ca="1">IF('Raw Data'!H95="",_xlfn.REGEXEXTRACT(CELL("address",'Raw Data'!H95),"\$([A-Z]+)\$[0-9]+"),"")</f>
        <v/>
      </c>
    </row>
    <row r="96" spans="2:9" x14ac:dyDescent="0.25">
      <c r="B96" t="str" cm="1">
        <f t="array" aca="1" ref="B96" ca="1">IF('Raw Data'!B96="",_xlfn.REGEXEXTRACT(CELL("address",'Raw Data'!B96),"\$([A-Z]+)\$[0-9]+"),"")</f>
        <v/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/>
      </c>
      <c r="E96" t="str" cm="1">
        <f t="array" aca="1" ref="E96" ca="1">IF('Raw Data'!E96="",_xlfn.REGEXEXTRACT(CELL("address",'Raw Data'!E96),"\$([A-Z]+)\$[0-9]+"),"")</f>
        <v/>
      </c>
      <c r="F96" t="str" cm="1">
        <f t="array" aca="1" ref="F96" ca="1">IF('Raw Data'!F96="",_xlfn.REGEXEXTRACT(CELL("address",'Raw Data'!F96),"\$([A-Z]+)\$[0-9]+"),"")</f>
        <v/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Data'!G96="",_xlfn.REGEXEXTRACT(CELL("address",'Raw Data'!G96),"\$([A-Z]+)\$[0-9]+"),"")</f>
        <v>$G$96</v>
      </c>
      <c r="I96" t="str" cm="1">
        <f t="array" aca="1" ref="I96" ca="1">IF('Raw Data'!H96="",_xlfn.REGEXEXTRACT(CELL("address",'Raw Data'!H96),"\$([A-Z]+)\$[0-9]+"),"")</f>
        <v/>
      </c>
    </row>
    <row r="97" spans="2:9" x14ac:dyDescent="0.25">
      <c r="B97" t="str" cm="1">
        <f t="array" aca="1" ref="B97" ca="1">IF('Raw Data'!B97="",_xlfn.REGEXEXTRACT(CELL("address",'Raw Data'!B97),"\$([A-Z]+)\$[0-9]+"),"")</f>
        <v/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/>
      </c>
      <c r="E97" t="str" cm="1">
        <f t="array" aca="1" ref="E97" ca="1">IF('Raw Data'!E97="",_xlfn.REGEXEXTRACT(CELL("address",'Raw Data'!E97),"\$([A-Z]+)\$[0-9]+"),"")</f>
        <v/>
      </c>
      <c r="F97" t="str" cm="1">
        <f t="array" aca="1" ref="F97" ca="1">IF('Raw Data'!F97="",_xlfn.REGEXEXTRACT(CELL("address",'Raw Data'!F97),"\$([A-Z]+)\$[0-9]+"),"")</f>
        <v/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Data'!G97="",_xlfn.REGEXEXTRACT(CELL("address",'Raw Data'!G97),"\$([A-Z]+)\$[0-9]+"),"")</f>
        <v>$G$97</v>
      </c>
      <c r="I97" t="str" cm="1">
        <f t="array" aca="1" ref="I97" ca="1">IF('Raw Data'!H97="",_xlfn.REGEXEXTRACT(CELL("address",'Raw Data'!H97),"\$([A-Z]+)\$[0-9]+"),"")</f>
        <v/>
      </c>
    </row>
    <row r="98" spans="2:9" x14ac:dyDescent="0.25">
      <c r="B98" t="str" cm="1">
        <f t="array" aca="1" ref="B98" ca="1">IF('Raw Data'!B98="",_xlfn.REGEXEXTRACT(CELL("address",'Raw Data'!B98),"\$([A-Z]+)\$[0-9]+"),"")</f>
        <v/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/>
      </c>
      <c r="E98" t="str" cm="1">
        <f t="array" aca="1" ref="E98" ca="1">IF('Raw Data'!E98="",_xlfn.REGEXEXTRACT(CELL("address",'Raw Data'!E98),"\$([A-Z]+)\$[0-9]+"),"")</f>
        <v/>
      </c>
      <c r="F98" t="str" cm="1">
        <f t="array" aca="1" ref="F98" ca="1">IF('Raw Data'!F98="",_xlfn.REGEXEXTRACT(CELL("address",'Raw Data'!F98),"\$([A-Z]+)\$[0-9]+"),"")</f>
        <v/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Data'!G98="",_xlfn.REGEXEXTRACT(CELL("address",'Raw Data'!G98),"\$([A-Z]+)\$[0-9]+"),"")</f>
        <v>$G$98</v>
      </c>
      <c r="I98" t="str" cm="1">
        <f t="array" aca="1" ref="I98" ca="1">IF('Raw Data'!H98="",_xlfn.REGEXEXTRACT(CELL("address",'Raw Data'!H98),"\$([A-Z]+)\$[0-9]+"),"")</f>
        <v/>
      </c>
    </row>
    <row r="99" spans="2:9" x14ac:dyDescent="0.25">
      <c r="B99" t="str" cm="1">
        <f t="array" aca="1" ref="B99" ca="1">IF('Raw Data'!B99="",_xlfn.REGEXEXTRACT(CELL("address",'Raw Data'!B99),"\$([A-Z]+)\$[0-9]+"),"")</f>
        <v/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/>
      </c>
      <c r="E99" t="str" cm="1">
        <f t="array" aca="1" ref="E99" ca="1">IF('Raw Data'!E99="",_xlfn.REGEXEXTRACT(CELL("address",'Raw Data'!E99),"\$([A-Z]+)\$[0-9]+"),"")</f>
        <v/>
      </c>
      <c r="F99" t="str" cm="1">
        <f t="array" aca="1" ref="F99" ca="1">IF('Raw Data'!F99="",_xlfn.REGEXEXTRACT(CELL("address",'Raw Data'!F99),"\$([A-Z]+)\$[0-9]+"),"")</f>
        <v/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Data'!G99="",_xlfn.REGEXEXTRACT(CELL("address",'Raw Data'!G99),"\$([A-Z]+)\$[0-9]+"),"")</f>
        <v>$G$99</v>
      </c>
      <c r="I99" t="str" cm="1">
        <f t="array" aca="1" ref="I99" ca="1">IF('Raw Data'!H99="",_xlfn.REGEXEXTRACT(CELL("address",'Raw Data'!H99),"\$([A-Z]+)\$[0-9]+"),"")</f>
        <v/>
      </c>
    </row>
    <row r="100" spans="2:9" x14ac:dyDescent="0.25">
      <c r="B100" t="str" cm="1">
        <f t="array" aca="1" ref="B100" ca="1">IF('Raw Data'!B100="",_xlfn.REGEXEXTRACT(CELL("address",'Raw Data'!B100),"\$([A-Z]+)\$[0-9]+"),"")</f>
        <v/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/>
      </c>
      <c r="E100" t="str" cm="1">
        <f t="array" aca="1" ref="E100" ca="1">IF('Raw Data'!E100="",_xlfn.REGEXEXTRACT(CELL("address",'Raw Data'!E100),"\$([A-Z]+)\$[0-9]+"),"")</f>
        <v/>
      </c>
      <c r="F100" t="str" cm="1">
        <f t="array" aca="1" ref="F100" ca="1">IF('Raw Data'!F100="",_xlfn.REGEXEXTRACT(CELL("address",'Raw Data'!F100),"\$([A-Z]+)\$[0-9]+"),"")</f>
        <v/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Data'!G100="",_xlfn.REGEXEXTRACT(CELL("address",'Raw Data'!G100),"\$([A-Z]+)\$[0-9]+"),"")</f>
        <v>$G$100</v>
      </c>
      <c r="I100" t="str" cm="1">
        <f t="array" aca="1" ref="I100" ca="1">IF('Raw Data'!H100="",_xlfn.REGEXEXTRACT(CELL("address",'Raw Data'!H100),"\$([A-Z]+)\$[0-9]+"),"")</f>
        <v/>
      </c>
    </row>
    <row r="101" spans="2:9" x14ac:dyDescent="0.25">
      <c r="B101" t="str" cm="1">
        <f t="array" aca="1" ref="B101" ca="1">IF('Raw Data'!B101="",_xlfn.REGEXEXTRACT(CELL("address",'Raw Data'!B101),"\$([A-Z]+)\$[0-9]+"),"")</f>
        <v/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/>
      </c>
      <c r="E101" t="str" cm="1">
        <f t="array" aca="1" ref="E101" ca="1">IF('Raw Data'!E101="",_xlfn.REGEXEXTRACT(CELL("address",'Raw Data'!E101),"\$([A-Z]+)\$[0-9]+"),"")</f>
        <v/>
      </c>
      <c r="F101" t="str" cm="1">
        <f t="array" aca="1" ref="F101" ca="1">IF('Raw Data'!F101="",_xlfn.REGEXEXTRACT(CELL("address",'Raw Data'!F101),"\$([A-Z]+)\$[0-9]+"),"")</f>
        <v/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Data'!G101="",_xlfn.REGEXEXTRACT(CELL("address",'Raw Data'!G101),"\$([A-Z]+)\$[0-9]+"),"")</f>
        <v>$G$101</v>
      </c>
      <c r="I101" t="str" cm="1">
        <f t="array" aca="1" ref="I101" ca="1">IF('Raw Data'!H101="",_xlfn.REGEXEXTRACT(CELL("address",'Raw Data'!H101),"\$([A-Z]+)\$[0-9]+"),"")</f>
        <v/>
      </c>
    </row>
    <row r="102" spans="2:9" x14ac:dyDescent="0.25">
      <c r="B102" t="str" cm="1">
        <f t="array" aca="1" ref="B102" ca="1">IF('Raw Data'!B102="",_xlfn.REGEXEXTRACT(CELL("address",'Raw Data'!B102),"\$([A-Z]+)\$[0-9]+"),"")</f>
        <v/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/>
      </c>
      <c r="E102" t="str" cm="1">
        <f t="array" aca="1" ref="E102" ca="1">IF('Raw Data'!E102="",_xlfn.REGEXEXTRACT(CELL("address",'Raw Data'!E102),"\$([A-Z]+)\$[0-9]+"),"")</f>
        <v/>
      </c>
      <c r="F102" t="str" cm="1">
        <f t="array" aca="1" ref="F102" ca="1">IF('Raw Data'!F102="",_xlfn.REGEXEXTRACT(CELL("address",'Raw Data'!F102),"\$([A-Z]+)\$[0-9]+"),"")</f>
        <v/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Data'!G102="",_xlfn.REGEXEXTRACT(CELL("address",'Raw Data'!G102),"\$([A-Z]+)\$[0-9]+"),"")</f>
        <v>$G$102</v>
      </c>
      <c r="I102" t="str" cm="1">
        <f t="array" aca="1" ref="I102" ca="1">IF('Raw Data'!H102="",_xlfn.REGEXEXTRACT(CELL("address",'Raw Data'!H102),"\$([A-Z]+)\$[0-9]+"),"")</f>
        <v/>
      </c>
    </row>
    <row r="103" spans="2:9" x14ac:dyDescent="0.25">
      <c r="B103" t="str" cm="1">
        <f t="array" aca="1" ref="B103" ca="1">IF('Raw Data'!B103="",_xlfn.REGEXEXTRACT(CELL("address",'Raw Data'!B103),"\$([A-Z]+)\$[0-9]+"),"")</f>
        <v/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/>
      </c>
      <c r="E103" t="str" cm="1">
        <f t="array" aca="1" ref="E103" ca="1">IF('Raw Data'!E103="",_xlfn.REGEXEXTRACT(CELL("address",'Raw Data'!E103),"\$([A-Z]+)\$[0-9]+"),"")</f>
        <v/>
      </c>
      <c r="F103" t="str" cm="1">
        <f t="array" aca="1" ref="F103" ca="1">IF('Raw Data'!F103="",_xlfn.REGEXEXTRACT(CELL("address",'Raw Data'!F103),"\$([A-Z]+)\$[0-9]+"),"")</f>
        <v/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Data'!G103="",_xlfn.REGEXEXTRACT(CELL("address",'Raw Data'!G103),"\$([A-Z]+)\$[0-9]+"),"")</f>
        <v>$G$103</v>
      </c>
      <c r="I103" t="str" cm="1">
        <f t="array" aca="1" ref="I103" ca="1">IF('Raw Data'!H103="",_xlfn.REGEXEXTRACT(CELL("address",'Raw Data'!H103),"\$([A-Z]+)\$[0-9]+"),"")</f>
        <v/>
      </c>
    </row>
    <row r="104" spans="2:9" x14ac:dyDescent="0.25">
      <c r="B104" t="str" cm="1">
        <f t="array" aca="1" ref="B104" ca="1">IF('Raw Data'!B104="",_xlfn.REGEXEXTRACT(CELL("address",'Raw Data'!B104),"\$([A-Z]+)\$[0-9]+"),"")</f>
        <v/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/>
      </c>
      <c r="E104" t="str" cm="1">
        <f t="array" aca="1" ref="E104" ca="1">IF('Raw Data'!E104="",_xlfn.REGEXEXTRACT(CELL("address",'Raw Data'!E104),"\$([A-Z]+)\$[0-9]+"),"")</f>
        <v/>
      </c>
      <c r="F104" t="str" cm="1">
        <f t="array" aca="1" ref="F104" ca="1">IF('Raw Data'!F104="",_xlfn.REGEXEXTRACT(CELL("address",'Raw Data'!F104),"\$([A-Z]+)\$[0-9]+"),"")</f>
        <v/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Data'!G104="",_xlfn.REGEXEXTRACT(CELL("address",'Raw Data'!G104),"\$([A-Z]+)\$[0-9]+"),"")</f>
        <v>$G$104</v>
      </c>
      <c r="I104" t="str" cm="1">
        <f t="array" aca="1" ref="I104" ca="1">IF('Raw Data'!H104="",_xlfn.REGEXEXTRACT(CELL("address",'Raw Data'!H104),"\$([A-Z]+)\$[0-9]+"),"")</f>
        <v/>
      </c>
    </row>
    <row r="105" spans="2:9" x14ac:dyDescent="0.25">
      <c r="B105" t="str" cm="1">
        <f t="array" aca="1" ref="B105" ca="1">IF('Raw Data'!B105="",_xlfn.REGEXEXTRACT(CELL("address",'Raw Data'!B105),"\$([A-Z]+)\$[0-9]+"),"")</f>
        <v/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/>
      </c>
      <c r="E105" t="str" cm="1">
        <f t="array" aca="1" ref="E105" ca="1">IF('Raw Data'!E105="",_xlfn.REGEXEXTRACT(CELL("address",'Raw Data'!E105),"\$([A-Z]+)\$[0-9]+"),"")</f>
        <v/>
      </c>
      <c r="F105" t="str" cm="1">
        <f t="array" aca="1" ref="F105" ca="1">IF('Raw Data'!F105="",_xlfn.REGEXEXTRACT(CELL("address",'Raw Data'!F105),"\$([A-Z]+)\$[0-9]+"),"")</f>
        <v/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Data'!G105="",_xlfn.REGEXEXTRACT(CELL("address",'Raw Data'!G105),"\$([A-Z]+)\$[0-9]+"),"")</f>
        <v>$G$105</v>
      </c>
      <c r="I105" t="str" cm="1">
        <f t="array" aca="1" ref="I105" ca="1">IF('Raw Data'!H105="",_xlfn.REGEXEXTRACT(CELL("address",'Raw Data'!H105),"\$([A-Z]+)\$[0-9]+"),"")</f>
        <v/>
      </c>
    </row>
    <row r="106" spans="2:9" x14ac:dyDescent="0.25">
      <c r="B106" t="str" cm="1">
        <f t="array" aca="1" ref="B106" ca="1">IF('Raw Data'!B106="",_xlfn.REGEXEXTRACT(CELL("address",'Raw Data'!B106),"\$([A-Z]+)\$[0-9]+"),"")</f>
        <v/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/>
      </c>
      <c r="E106" t="str" cm="1">
        <f t="array" aca="1" ref="E106" ca="1">IF('Raw Data'!E106="",_xlfn.REGEXEXTRACT(CELL("address",'Raw Data'!E106),"\$([A-Z]+)\$[0-9]+"),"")</f>
        <v/>
      </c>
      <c r="F106" t="str" cm="1">
        <f t="array" aca="1" ref="F106" ca="1">IF('Raw Data'!F106="",_xlfn.REGEXEXTRACT(CELL("address",'Raw Data'!F106),"\$([A-Z]+)\$[0-9]+"),"")</f>
        <v/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Data'!G106="",_xlfn.REGEXEXTRACT(CELL("address",'Raw Data'!G106),"\$([A-Z]+)\$[0-9]+"),"")</f>
        <v/>
      </c>
      <c r="I106" t="str" cm="1">
        <f t="array" aca="1" ref="I106" ca="1">IF('Raw Data'!H106="",_xlfn.REGEXEXTRACT(CELL("address",'Raw Data'!H106),"\$([A-Z]+)\$[0-9]+"),"")</f>
        <v/>
      </c>
    </row>
    <row r="107" spans="2:9" x14ac:dyDescent="0.25">
      <c r="B107" t="str" cm="1">
        <f t="array" aca="1" ref="B107" ca="1">IF('Raw Data'!B107="",_xlfn.REGEXEXTRACT(CELL("address",'Raw Data'!B107),"\$([A-Z]+)\$[0-9]+"),"")</f>
        <v/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/>
      </c>
      <c r="E107" t="str" cm="1">
        <f t="array" aca="1" ref="E107" ca="1">IF('Raw Data'!E107="",_xlfn.REGEXEXTRACT(CELL("address",'Raw Data'!E107),"\$([A-Z]+)\$[0-9]+"),"")</f>
        <v/>
      </c>
      <c r="F107" t="str" cm="1">
        <f t="array" aca="1" ref="F107" ca="1">IF('Raw Data'!F107="",_xlfn.REGEXEXTRACT(CELL("address",'Raw Data'!F107),"\$([A-Z]+)\$[0-9]+"),"")</f>
        <v/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Data'!G107="",_xlfn.REGEXEXTRACT(CELL("address",'Raw Data'!G107),"\$([A-Z]+)\$[0-9]+"),"")</f>
        <v/>
      </c>
      <c r="I107" t="str" cm="1">
        <f t="array" aca="1" ref="I107" ca="1">IF('Raw Data'!H107="",_xlfn.REGEXEXTRACT(CELL("address",'Raw Data'!H107),"\$([A-Z]+)\$[0-9]+"),"")</f>
        <v/>
      </c>
    </row>
    <row r="108" spans="2:9" x14ac:dyDescent="0.25">
      <c r="B108" t="str" cm="1">
        <f t="array" aca="1" ref="B108" ca="1">IF('Raw Data'!B108="",_xlfn.REGEXEXTRACT(CELL("address",'Raw Data'!B108),"\$([A-Z]+)\$[0-9]+"),"")</f>
        <v/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/>
      </c>
      <c r="E108" t="str" cm="1">
        <f t="array" aca="1" ref="E108" ca="1">IF('Raw Data'!E108="",_xlfn.REGEXEXTRACT(CELL("address",'Raw Data'!E108),"\$([A-Z]+)\$[0-9]+"),"")</f>
        <v/>
      </c>
      <c r="F108" t="str" cm="1">
        <f t="array" aca="1" ref="F108" ca="1">IF('Raw Data'!F108="",_xlfn.REGEXEXTRACT(CELL("address",'Raw Data'!F108),"\$([A-Z]+)\$[0-9]+"),"")</f>
        <v/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Data'!G108="",_xlfn.REGEXEXTRACT(CELL("address",'Raw Data'!G108),"\$([A-Z]+)\$[0-9]+"),"")</f>
        <v>$G$108</v>
      </c>
      <c r="I108" t="str" cm="1">
        <f t="array" aca="1" ref="I108" ca="1">IF('Raw Data'!H108="",_xlfn.REGEXEXTRACT(CELL("address",'Raw Data'!H108),"\$([A-Z]+)\$[0-9]+"),"")</f>
        <v/>
      </c>
    </row>
    <row r="109" spans="2:9" x14ac:dyDescent="0.25">
      <c r="B109" t="str" cm="1">
        <f t="array" aca="1" ref="B109" ca="1">IF('Raw Data'!B109="",_xlfn.REGEXEXTRACT(CELL("address",'Raw Data'!B109),"\$([A-Z]+)\$[0-9]+"),"")</f>
        <v/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/>
      </c>
      <c r="E109" t="str" cm="1">
        <f t="array" aca="1" ref="E109" ca="1">IF('Raw Data'!E109="",_xlfn.REGEXEXTRACT(CELL("address",'Raw Data'!E109),"\$([A-Z]+)\$[0-9]+"),"")</f>
        <v/>
      </c>
      <c r="F109" t="str" cm="1">
        <f t="array" aca="1" ref="F109" ca="1">IF('Raw Data'!F109="",_xlfn.REGEXEXTRACT(CELL("address",'Raw Data'!F109),"\$([A-Z]+)\$[0-9]+"),"")</f>
        <v/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Data'!G109="",_xlfn.REGEXEXTRACT(CELL("address",'Raw Data'!G109),"\$([A-Z]+)\$[0-9]+"),"")</f>
        <v>$G$109</v>
      </c>
      <c r="I109" t="str" cm="1">
        <f t="array" aca="1" ref="I109" ca="1">IF('Raw Data'!H109="",_xlfn.REGEXEXTRACT(CELL("address",'Raw Data'!H109),"\$([A-Z]+)\$[0-9]+"),"")</f>
        <v/>
      </c>
    </row>
    <row r="110" spans="2:9" x14ac:dyDescent="0.25">
      <c r="B110" t="str" cm="1">
        <f t="array" aca="1" ref="B110" ca="1">IF('Raw Data'!B110="",_xlfn.REGEXEXTRACT(CELL("address",'Raw Data'!B110),"\$([A-Z]+)\$[0-9]+"),"")</f>
        <v/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/>
      </c>
      <c r="F110" t="str" cm="1">
        <f t="array" aca="1" ref="F110" ca="1">IF('Raw Data'!F110="",_xlfn.REGEXEXTRACT(CELL("address",'Raw Data'!F110),"\$([A-Z]+)\$[0-9]+"),"")</f>
        <v/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Data'!G110="",_xlfn.REGEXEXTRACT(CELL("address",'Raw Data'!G110),"\$([A-Z]+)\$[0-9]+"),"")</f>
        <v>$G$110</v>
      </c>
      <c r="I110" t="str" cm="1">
        <f t="array" aca="1" ref="I110" ca="1">IF('Raw Data'!H110="",_xlfn.REGEXEXTRACT(CELL("address",'Raw Data'!H110),"\$([A-Z]+)\$[0-9]+"),"")</f>
        <v/>
      </c>
    </row>
    <row r="111" spans="2:9" x14ac:dyDescent="0.25">
      <c r="B111" t="str" cm="1">
        <f t="array" aca="1" ref="B111" ca="1">IF('Raw Data'!B111="",_xlfn.REGEXEXTRACT(CELL("address",'Raw Data'!B111),"\$([A-Z]+)\$[0-9]+"),"")</f>
        <v/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/>
      </c>
      <c r="E111" t="str" cm="1">
        <f t="array" aca="1" ref="E111" ca="1">IF('Raw Data'!E111="",_xlfn.REGEXEXTRACT(CELL("address",'Raw Data'!E111),"\$([A-Z]+)\$[0-9]+"),"")</f>
        <v/>
      </c>
      <c r="F111" t="str" cm="1">
        <f t="array" aca="1" ref="F111" ca="1">IF('Raw Data'!F111="",_xlfn.REGEXEXTRACT(CELL("address",'Raw Data'!F111),"\$([A-Z]+)\$[0-9]+"),"")</f>
        <v/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Data'!G111="",_xlfn.REGEXEXTRACT(CELL("address",'Raw Data'!G111),"\$([A-Z]+)\$[0-9]+"),"")</f>
        <v>$G$111</v>
      </c>
      <c r="I111" t="str" cm="1">
        <f t="array" aca="1" ref="I111" ca="1">IF('Raw Data'!H111="",_xlfn.REGEXEXTRACT(CELL("address",'Raw Data'!H111),"\$([A-Z]+)\$[0-9]+"),"")</f>
        <v/>
      </c>
    </row>
    <row r="112" spans="2:9" x14ac:dyDescent="0.25">
      <c r="B112" t="str" cm="1">
        <f t="array" aca="1" ref="B112" ca="1">IF('Raw Data'!B112="",_xlfn.REGEXEXTRACT(CELL("address",'Raw Data'!B112),"\$([A-Z]+)\$[0-9]+"),"")</f>
        <v/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/>
      </c>
      <c r="E112" t="str" cm="1">
        <f t="array" aca="1" ref="E112" ca="1">IF('Raw Data'!E112="",_xlfn.REGEXEXTRACT(CELL("address",'Raw Data'!E112),"\$([A-Z]+)\$[0-9]+"),"")</f>
        <v/>
      </c>
      <c r="F112" t="str" cm="1">
        <f t="array" aca="1" ref="F112" ca="1">IF('Raw Data'!F112="",_xlfn.REGEXEXTRACT(CELL("address",'Raw Data'!F112),"\$([A-Z]+)\$[0-9]+"),"")</f>
        <v/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Data'!G112="",_xlfn.REGEXEXTRACT(CELL("address",'Raw Data'!G112),"\$([A-Z]+)\$[0-9]+"),"")</f>
        <v>$G$112</v>
      </c>
      <c r="I112" t="str" cm="1">
        <f t="array" aca="1" ref="I112" ca="1">IF('Raw Data'!H112="",_xlfn.REGEXEXTRACT(CELL("address",'Raw Data'!H112),"\$([A-Z]+)\$[0-9]+"),"")</f>
        <v/>
      </c>
    </row>
    <row r="113" spans="2:9" x14ac:dyDescent="0.25">
      <c r="B113" t="str" cm="1">
        <f t="array" aca="1" ref="B113" ca="1">IF('Raw Data'!B113="",_xlfn.REGEXEXTRACT(CELL("address",'Raw Data'!B113),"\$([A-Z]+)\$[0-9]+"),"")</f>
        <v/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/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Data'!G113="",_xlfn.REGEXEXTRACT(CELL("address",'Raw Data'!G113),"\$([A-Z]+)\$[0-9]+"),"")</f>
        <v>$G$113</v>
      </c>
      <c r="I113" t="str" cm="1">
        <f t="array" aca="1" ref="I113" ca="1">IF('Raw Data'!H113="",_xlfn.REGEXEXTRACT(CELL("address",'Raw Data'!H113),"\$([A-Z]+)\$[0-9]+"),"")</f>
        <v/>
      </c>
    </row>
    <row r="114" spans="2:9" x14ac:dyDescent="0.25">
      <c r="B114" t="str" cm="1">
        <f t="array" aca="1" ref="B114" ca="1">IF('Raw Data'!B114="",_xlfn.REGEXEXTRACT(CELL("address",'Raw Data'!B114),"\$([A-Z]+)\$[0-9]+"),"")</f>
        <v/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/>
      </c>
      <c r="E114" t="str" cm="1">
        <f t="array" aca="1" ref="E114" ca="1">IF('Raw Data'!E114="",_xlfn.REGEXEXTRACT(CELL("address",'Raw Data'!E114),"\$([A-Z]+)\$[0-9]+"),"")</f>
        <v/>
      </c>
      <c r="F114" t="str" cm="1">
        <f t="array" aca="1" ref="F114" ca="1">IF('Raw Data'!F114="",_xlfn.REGEXEXTRACT(CELL("address",'Raw Data'!F114),"\$([A-Z]+)\$[0-9]+"),"")</f>
        <v/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Data'!G114="",_xlfn.REGEXEXTRACT(CELL("address",'Raw Data'!G114),"\$([A-Z]+)\$[0-9]+"),"")</f>
        <v>$G$114</v>
      </c>
      <c r="I114" t="str" cm="1">
        <f t="array" aca="1" ref="I114" ca="1">IF('Raw Data'!H114="",_xlfn.REGEXEXTRACT(CELL("address",'Raw Data'!H114),"\$([A-Z]+)\$[0-9]+"),"")</f>
        <v/>
      </c>
    </row>
    <row r="115" spans="2:9" x14ac:dyDescent="0.25">
      <c r="B115" t="str" cm="1">
        <f t="array" aca="1" ref="B115" ca="1">IF('Raw Data'!B115="",_xlfn.REGEXEXTRACT(CELL("address",'Raw Data'!B115),"\$([A-Z]+)\$[0-9]+"),"")</f>
        <v/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/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Data'!G115="",_xlfn.REGEXEXTRACT(CELL("address",'Raw Data'!G115),"\$([A-Z]+)\$[0-9]+"),"")</f>
        <v>$G$115</v>
      </c>
      <c r="I115" t="str" cm="1">
        <f t="array" aca="1" ref="I115" ca="1">IF('Raw Data'!H115="",_xlfn.REGEXEXTRACT(CELL("address",'Raw Data'!H115),"\$([A-Z]+)\$[0-9]+"),"")</f>
        <v/>
      </c>
    </row>
    <row r="116" spans="2:9" x14ac:dyDescent="0.25">
      <c r="B116" t="str" cm="1">
        <f t="array" aca="1" ref="B116" ca="1">IF('Raw Data'!B116="",_xlfn.REGEXEXTRACT(CELL("address",'Raw Data'!B116),"\$([A-Z]+)\$[0-9]+"),"")</f>
        <v/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/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Data'!G116="",_xlfn.REGEXEXTRACT(CELL("address",'Raw Data'!G116),"\$([A-Z]+)\$[0-9]+"),"")</f>
        <v>$G$116</v>
      </c>
      <c r="I116" t="str" cm="1">
        <f t="array" aca="1" ref="I116" ca="1">IF('Raw Data'!H116="",_xlfn.REGEXEXTRACT(CELL("address",'Raw Data'!H116),"\$([A-Z]+)\$[0-9]+"),"")</f>
        <v/>
      </c>
    </row>
    <row r="117" spans="2:9" x14ac:dyDescent="0.25">
      <c r="B117" t="str" cm="1">
        <f t="array" aca="1" ref="B117" ca="1">IF('Raw Data'!B117="",_xlfn.REGEXEXTRACT(CELL("address",'Raw Data'!B117),"\$([A-Z]+)\$[0-9]+"),"")</f>
        <v/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/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Data'!G117="",_xlfn.REGEXEXTRACT(CELL("address",'Raw Data'!G117),"\$([A-Z]+)\$[0-9]+"),"")</f>
        <v>$G$117</v>
      </c>
      <c r="I117" t="str" cm="1">
        <f t="array" aca="1" ref="I117" ca="1">IF('Raw Data'!H117="",_xlfn.REGEXEXTRACT(CELL("address",'Raw Data'!H117),"\$([A-Z]+)\$[0-9]+"),"")</f>
        <v/>
      </c>
    </row>
    <row r="118" spans="2:9" x14ac:dyDescent="0.25">
      <c r="B118" t="str" cm="1">
        <f t="array" aca="1" ref="B118" ca="1">IF('Raw Data'!B118="",_xlfn.REGEXEXTRACT(CELL("address",'Raw Data'!B118),"\$([A-Z]+)\$[0-9]+"),"")</f>
        <v/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/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Data'!G118="",_xlfn.REGEXEXTRACT(CELL("address",'Raw Data'!G118),"\$([A-Z]+)\$[0-9]+"),"")</f>
        <v>$G$118</v>
      </c>
      <c r="I118" t="str" cm="1">
        <f t="array" aca="1" ref="I118" ca="1">IF('Raw Data'!H118="",_xlfn.REGEXEXTRACT(CELL("address",'Raw Data'!H118),"\$([A-Z]+)\$[0-9]+"),"")</f>
        <v/>
      </c>
    </row>
    <row r="119" spans="2:9" x14ac:dyDescent="0.25">
      <c r="B119" t="str" cm="1">
        <f t="array" aca="1" ref="B119" ca="1">IF('Raw Data'!B119="",_xlfn.REGEXEXTRACT(CELL("address",'Raw Data'!B119),"\$([A-Z]+)\$[0-9]+"),"")</f>
        <v/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/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Data'!G119="",_xlfn.REGEXEXTRACT(CELL("address",'Raw Data'!G119),"\$([A-Z]+)\$[0-9]+"),"")</f>
        <v>$G$119</v>
      </c>
      <c r="I119" t="str" cm="1">
        <f t="array" aca="1" ref="I119" ca="1">IF('Raw Data'!H119="",_xlfn.REGEXEXTRACT(CELL("address",'Raw Data'!H119),"\$([A-Z]+)\$[0-9]+"),"")</f>
        <v/>
      </c>
    </row>
    <row r="120" spans="2:9" x14ac:dyDescent="0.25">
      <c r="B120" t="str" cm="1">
        <f t="array" aca="1" ref="B120" ca="1">IF('Raw Data'!B120="",_xlfn.REGEXEXTRACT(CELL("address",'Raw Data'!B120),"\$([A-Z]+)\$[0-9]+"),"")</f>
        <v/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/>
      </c>
      <c r="E120" t="str" cm="1">
        <f t="array" aca="1" ref="E120" ca="1">IF('Raw Data'!E120="",_xlfn.REGEXEXTRACT(CELL("address",'Raw Data'!E120),"\$([A-Z]+)\$[0-9]+"),"")</f>
        <v/>
      </c>
      <c r="F120" t="str" cm="1">
        <f t="array" aca="1" ref="F120" ca="1">IF('Raw Data'!F120="",_xlfn.REGEXEXTRACT(CELL("address",'Raw Data'!F120),"\$([A-Z]+)\$[0-9]+"),"")</f>
        <v/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Data'!G120="",_xlfn.REGEXEXTRACT(CELL("address",'Raw Data'!G120),"\$([A-Z]+)\$[0-9]+"),"")</f>
        <v>$G$120</v>
      </c>
      <c r="I120" t="str" cm="1">
        <f t="array" aca="1" ref="I120" ca="1">IF('Raw Data'!H120="",_xlfn.REGEXEXTRACT(CELL("address",'Raw Data'!H120),"\$([A-Z]+)\$[0-9]+"),"")</f>
        <v/>
      </c>
    </row>
    <row r="121" spans="2:9" x14ac:dyDescent="0.25">
      <c r="B121" t="str" cm="1">
        <f t="array" aca="1" ref="B121" ca="1">IF('Raw Data'!B121="",_xlfn.REGEXEXTRACT(CELL("address",'Raw Data'!B121),"\$([A-Z]+)\$[0-9]+"),"")</f>
        <v/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/>
      </c>
      <c r="E121" t="str" cm="1">
        <f t="array" aca="1" ref="E121" ca="1">IF('Raw Data'!E121="",_xlfn.REGEXEXTRACT(CELL("address",'Raw Data'!E121),"\$([A-Z]+)\$[0-9]+"),"")</f>
        <v/>
      </c>
      <c r="F121" t="str" cm="1">
        <f t="array" aca="1" ref="F121" ca="1">IF('Raw Data'!F121="",_xlfn.REGEXEXTRACT(CELL("address",'Raw Data'!F121),"\$([A-Z]+)\$[0-9]+"),"")</f>
        <v/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Data'!G121="",_xlfn.REGEXEXTRACT(CELL("address",'Raw Data'!G121),"\$([A-Z]+)\$[0-9]+"),"")</f>
        <v>$G$121</v>
      </c>
      <c r="I121" t="str" cm="1">
        <f t="array" aca="1" ref="I121" ca="1">IF('Raw Data'!H121="",_xlfn.REGEXEXTRACT(CELL("address",'Raw Data'!H121),"\$([A-Z]+)\$[0-9]+"),"")</f>
        <v/>
      </c>
    </row>
    <row r="122" spans="2:9" x14ac:dyDescent="0.25">
      <c r="B122" t="str" cm="1">
        <f t="array" aca="1" ref="B122" ca="1">IF('Raw Data'!B122="",_xlfn.REGEXEXTRACT(CELL("address",'Raw Data'!B122),"\$([A-Z]+)\$[0-9]+"),"")</f>
        <v/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/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Data'!G122="",_xlfn.REGEXEXTRACT(CELL("address",'Raw Data'!G122),"\$([A-Z]+)\$[0-9]+"),"")</f>
        <v>$G$122</v>
      </c>
      <c r="I122" t="str" cm="1">
        <f t="array" aca="1" ref="I122" ca="1">IF('Raw Data'!H122="",_xlfn.REGEXEXTRACT(CELL("address",'Raw Data'!H122),"\$([A-Z]+)\$[0-9]+"),"")</f>
        <v/>
      </c>
    </row>
    <row r="123" spans="2:9" x14ac:dyDescent="0.25">
      <c r="B123" t="str" cm="1">
        <f t="array" aca="1" ref="B123" ca="1">IF('Raw Data'!B123="",_xlfn.REGEXEXTRACT(CELL("address",'Raw Data'!B123),"\$([A-Z]+)\$[0-9]+"),"")</f>
        <v/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/>
      </c>
      <c r="E123" t="str" cm="1">
        <f t="array" aca="1" ref="E123" ca="1">IF('Raw Data'!E123="",_xlfn.REGEXEXTRACT(CELL("address",'Raw Data'!E123),"\$([A-Z]+)\$[0-9]+"),"")</f>
        <v/>
      </c>
      <c r="F123" t="str" cm="1">
        <f t="array" aca="1" ref="F123" ca="1">IF('Raw Data'!F123="",_xlfn.REGEXEXTRACT(CELL("address",'Raw Data'!F123),"\$([A-Z]+)\$[0-9]+"),"")</f>
        <v/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Data'!G123="",_xlfn.REGEXEXTRACT(CELL("address",'Raw Data'!G123),"\$([A-Z]+)\$[0-9]+"),"")</f>
        <v>$G$123</v>
      </c>
      <c r="I123" t="str" cm="1">
        <f t="array" aca="1" ref="I123" ca="1">IF('Raw Data'!H123="",_xlfn.REGEXEXTRACT(CELL("address",'Raw Data'!H123),"\$([A-Z]+)\$[0-9]+"),"")</f>
        <v/>
      </c>
    </row>
    <row r="124" spans="2:9" x14ac:dyDescent="0.25">
      <c r="B124" t="str" cm="1">
        <f t="array" aca="1" ref="B124" ca="1">IF('Raw Data'!B124="",_xlfn.REGEXEXTRACT(CELL("address",'Raw Data'!B124),"\$([A-Z]+)\$[0-9]+"),"")</f>
        <v/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/>
      </c>
      <c r="E124" t="str" cm="1">
        <f t="array" aca="1" ref="E124" ca="1">IF('Raw Data'!E124="",_xlfn.REGEXEXTRACT(CELL("address",'Raw Data'!E124),"\$([A-Z]+)\$[0-9]+"),"")</f>
        <v/>
      </c>
      <c r="F124" t="str" cm="1">
        <f t="array" aca="1" ref="F124" ca="1">IF('Raw Data'!F124="",_xlfn.REGEXEXTRACT(CELL("address",'Raw Data'!F124),"\$([A-Z]+)\$[0-9]+"),"")</f>
        <v/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Data'!G124="",_xlfn.REGEXEXTRACT(CELL("address",'Raw Data'!G124),"\$([A-Z]+)\$[0-9]+"),"")</f>
        <v>$G$124</v>
      </c>
      <c r="I124" t="str" cm="1">
        <f t="array" aca="1" ref="I124" ca="1">IF('Raw Data'!H124="",_xlfn.REGEXEXTRACT(CELL("address",'Raw Data'!H124),"\$([A-Z]+)\$[0-9]+"),"")</f>
        <v/>
      </c>
    </row>
    <row r="125" spans="2:9" x14ac:dyDescent="0.25">
      <c r="B125" t="str" cm="1">
        <f t="array" aca="1" ref="B125" ca="1">IF('Raw Data'!B125="",_xlfn.REGEXEXTRACT(CELL("address",'Raw Data'!B125),"\$([A-Z]+)\$[0-9]+"),"")</f>
        <v/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/>
      </c>
      <c r="E125" t="str" cm="1">
        <f t="array" aca="1" ref="E125" ca="1">IF('Raw Data'!E125="",_xlfn.REGEXEXTRACT(CELL("address",'Raw Data'!E125),"\$([A-Z]+)\$[0-9]+"),"")</f>
        <v/>
      </c>
      <c r="F125" t="str" cm="1">
        <f t="array" aca="1" ref="F125" ca="1">IF('Raw Data'!F125="",_xlfn.REGEXEXTRACT(CELL("address",'Raw Data'!F125),"\$([A-Z]+)\$[0-9]+"),"")</f>
        <v/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Data'!G125="",_xlfn.REGEXEXTRACT(CELL("address",'Raw Data'!G125),"\$([A-Z]+)\$[0-9]+"),"")</f>
        <v>$G$125</v>
      </c>
      <c r="I125" t="str" cm="1">
        <f t="array" aca="1" ref="I125" ca="1">IF('Raw Data'!H125="",_xlfn.REGEXEXTRACT(CELL("address",'Raw Data'!H125),"\$([A-Z]+)\$[0-9]+"),"")</f>
        <v/>
      </c>
    </row>
    <row r="126" spans="2:9" x14ac:dyDescent="0.25">
      <c r="B126" t="str" cm="1">
        <f t="array" aca="1" ref="B126" ca="1">IF('Raw Data'!B126="",_xlfn.REGEXEXTRACT(CELL("address",'Raw Data'!B126),"\$([A-Z]+)\$[0-9]+"),"")</f>
        <v/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/>
      </c>
      <c r="E126" t="str" cm="1">
        <f t="array" aca="1" ref="E126" ca="1">IF('Raw Data'!E126="",_xlfn.REGEXEXTRACT(CELL("address",'Raw Data'!E126),"\$([A-Z]+)\$[0-9]+"),"")</f>
        <v/>
      </c>
      <c r="F126" t="str" cm="1">
        <f t="array" aca="1" ref="F126" ca="1">IF('Raw Data'!F126="",_xlfn.REGEXEXTRACT(CELL("address",'Raw Data'!F126),"\$([A-Z]+)\$[0-9]+"),"")</f>
        <v/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Data'!G126="",_xlfn.REGEXEXTRACT(CELL("address",'Raw Data'!G126),"\$([A-Z]+)\$[0-9]+"),"")</f>
        <v>$G$126</v>
      </c>
      <c r="I126" t="str" cm="1">
        <f t="array" aca="1" ref="I126" ca="1">IF('Raw Data'!H126="",_xlfn.REGEXEXTRACT(CELL("address",'Raw Data'!H126),"\$([A-Z]+)\$[0-9]+"),"")</f>
        <v/>
      </c>
    </row>
    <row r="127" spans="2:9" x14ac:dyDescent="0.25">
      <c r="B127" t="str" cm="1">
        <f t="array" aca="1" ref="B127" ca="1">IF('Raw Data'!B127="",_xlfn.REGEXEXTRACT(CELL("address",'Raw Data'!B127),"\$([A-Z]+)\$[0-9]+"),"")</f>
        <v/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/>
      </c>
      <c r="E127" t="str" cm="1">
        <f t="array" aca="1" ref="E127" ca="1">IF('Raw Data'!E127="",_xlfn.REGEXEXTRACT(CELL("address",'Raw Data'!E127),"\$([A-Z]+)\$[0-9]+"),"")</f>
        <v/>
      </c>
      <c r="F127" t="str" cm="1">
        <f t="array" aca="1" ref="F127" ca="1">IF('Raw Data'!F127="",_xlfn.REGEXEXTRACT(CELL("address",'Raw Data'!F127),"\$([A-Z]+)\$[0-9]+"),"")</f>
        <v/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Data'!G127="",_xlfn.REGEXEXTRACT(CELL("address",'Raw Data'!G127),"\$([A-Z]+)\$[0-9]+"),"")</f>
        <v>$G$127</v>
      </c>
      <c r="I127" t="str" cm="1">
        <f t="array" aca="1" ref="I127" ca="1">IF('Raw Data'!H127="",_xlfn.REGEXEXTRACT(CELL("address",'Raw Data'!H127),"\$([A-Z]+)\$[0-9]+"),"")</f>
        <v/>
      </c>
    </row>
    <row r="128" spans="2:9" x14ac:dyDescent="0.25">
      <c r="B128" t="str" cm="1">
        <f t="array" aca="1" ref="B128" ca="1">IF('Raw Data'!B128="",_xlfn.REGEXEXTRACT(CELL("address",'Raw Data'!B128),"\$([A-Z]+)\$[0-9]+"),"")</f>
        <v/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/>
      </c>
      <c r="E128" t="str" cm="1">
        <f t="array" aca="1" ref="E128" ca="1">IF('Raw Data'!E128="",_xlfn.REGEXEXTRACT(CELL("address",'Raw Data'!E128),"\$([A-Z]+)\$[0-9]+"),"")</f>
        <v/>
      </c>
      <c r="F128" t="str" cm="1">
        <f t="array" aca="1" ref="F128" ca="1">IF('Raw Data'!F128="",_xlfn.REGEXEXTRACT(CELL("address",'Raw Data'!F128),"\$([A-Z]+)\$[0-9]+"),"")</f>
        <v/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Data'!G128="",_xlfn.REGEXEXTRACT(CELL("address",'Raw Data'!G128),"\$([A-Z]+)\$[0-9]+"),"")</f>
        <v>$G$128</v>
      </c>
      <c r="I128" t="str" cm="1">
        <f t="array" aca="1" ref="I128" ca="1">IF('Raw Data'!H128="",_xlfn.REGEXEXTRACT(CELL("address",'Raw Data'!H128),"\$([A-Z]+)\$[0-9]+"),"")</f>
        <v/>
      </c>
    </row>
    <row r="129" spans="2:9" x14ac:dyDescent="0.25">
      <c r="B129" t="str" cm="1">
        <f t="array" aca="1" ref="B129" ca="1">IF('Raw Data'!B129="",_xlfn.REGEXEXTRACT(CELL("address",'Raw Data'!B129),"\$([A-Z]+)\$[0-9]+"),"")</f>
        <v/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/>
      </c>
      <c r="E129" t="str" cm="1">
        <f t="array" aca="1" ref="E129" ca="1">IF('Raw Data'!E129="",_xlfn.REGEXEXTRACT(CELL("address",'Raw Data'!E129),"\$([A-Z]+)\$[0-9]+"),"")</f>
        <v/>
      </c>
      <c r="F129" t="str" cm="1">
        <f t="array" aca="1" ref="F129" ca="1">IF('Raw Data'!F129="",_xlfn.REGEXEXTRACT(CELL("address",'Raw Data'!F129),"\$([A-Z]+)\$[0-9]+"),"")</f>
        <v/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Data'!G129="",_xlfn.REGEXEXTRACT(CELL("address",'Raw Data'!G129),"\$([A-Z]+)\$[0-9]+"),"")</f>
        <v>$G$129</v>
      </c>
      <c r="I129" t="str" cm="1">
        <f t="array" aca="1" ref="I129" ca="1">IF('Raw Data'!H129="",_xlfn.REGEXEXTRACT(CELL("address",'Raw Data'!H129),"\$([A-Z]+)\$[0-9]+"),"")</f>
        <v/>
      </c>
    </row>
    <row r="130" spans="2:9" x14ac:dyDescent="0.25">
      <c r="B130" t="str" cm="1">
        <f t="array" aca="1" ref="B130" ca="1">IF('Raw Data'!B130="",_xlfn.REGEXEXTRACT(CELL("address",'Raw Data'!B130),"\$([A-Z]+)\$[0-9]+"),"")</f>
        <v/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>$D$130</v>
      </c>
      <c r="E130" t="str" cm="1">
        <f t="array" aca="1" ref="E130" ca="1">IF('Raw Data'!E130="",_xlfn.REGEXEXTRACT(CELL("address",'Raw Data'!E130),"\$([A-Z]+)\$[0-9]+"),"")</f>
        <v/>
      </c>
      <c r="F130" t="str" cm="1">
        <f t="array" aca="1" ref="F130" ca="1">IF('Raw Data'!F130="",_xlfn.REGEXEXTRACT(CELL("address",'Raw Data'!F130),"\$([A-Z]+)\$[0-9]+"),"")</f>
        <v>$F$130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Data'!G130="",_xlfn.REGEXEXTRACT(CELL("address",'Raw Data'!G130),"\$([A-Z]+)\$[0-9]+"),"")</f>
        <v>$G$130</v>
      </c>
      <c r="I130" t="str" cm="1">
        <f t="array" aca="1" ref="I130" ca="1">IF('Raw Data'!H130="",_xlfn.REGEXEXTRACT(CELL("address",'Raw Data'!H130),"\$([A-Z]+)\$[0-9]+"),"")</f>
        <v/>
      </c>
    </row>
    <row r="131" spans="2:9" x14ac:dyDescent="0.25">
      <c r="B131" t="str" cm="1">
        <f t="array" aca="1" ref="B131" ca="1">IF('Raw Data'!B131="",_xlfn.REGEXEXTRACT(CELL("address",'Raw Data'!B131),"\$([A-Z]+)\$[0-9]+"),"")</f>
        <v/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>$D$131</v>
      </c>
      <c r="E131" t="str" cm="1">
        <f t="array" aca="1" ref="E131" ca="1">IF('Raw Data'!E131="",_xlfn.REGEXEXTRACT(CELL("address",'Raw Data'!E131),"\$([A-Z]+)\$[0-9]+"),"")</f>
        <v/>
      </c>
      <c r="F131" t="str" cm="1">
        <f t="array" aca="1" ref="F131" ca="1">IF('Raw Data'!F131="",_xlfn.REGEXEXTRACT(CELL("address",'Raw Data'!F131),"\$([A-Z]+)\$[0-9]+"),"")</f>
        <v>$F$131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Data'!G131="",_xlfn.REGEXEXTRACT(CELL("address",'Raw Data'!G131),"\$([A-Z]+)\$[0-9]+"),"")</f>
        <v>$G$131</v>
      </c>
      <c r="I131" t="str" cm="1">
        <f t="array" aca="1" ref="I131" ca="1">IF('Raw Data'!H131="",_xlfn.REGEXEXTRACT(CELL("address",'Raw Data'!H131),"\$([A-Z]+)\$[0-9]+"),"")</f>
        <v/>
      </c>
    </row>
    <row r="132" spans="2:9" x14ac:dyDescent="0.25">
      <c r="B132" t="str" cm="1">
        <f t="array" aca="1" ref="B132" ca="1">IF('Raw Data'!B132="",_xlfn.REGEXEXTRACT(CELL("address",'Raw Data'!B132),"\$([A-Z]+)\$[0-9]+"),"")</f>
        <v/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>$D$132</v>
      </c>
      <c r="E132" t="str" cm="1">
        <f t="array" aca="1" ref="E132" ca="1">IF('Raw Data'!E132="",_xlfn.REGEXEXTRACT(CELL("address",'Raw Data'!E132),"\$([A-Z]+)\$[0-9]+"),"")</f>
        <v/>
      </c>
      <c r="F132" t="str" cm="1">
        <f t="array" aca="1" ref="F132" ca="1">IF('Raw Data'!F132="",_xlfn.REGEXEXTRACT(CELL("address",'Raw Data'!F132),"\$([A-Z]+)\$[0-9]+"),"")</f>
        <v>$F$132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Data'!G132="",_xlfn.REGEXEXTRACT(CELL("address",'Raw Data'!G132),"\$([A-Z]+)\$[0-9]+"),"")</f>
        <v>$G$132</v>
      </c>
      <c r="I132" t="str" cm="1">
        <f t="array" aca="1" ref="I132" ca="1">IF('Raw Data'!H132="",_xlfn.REGEXEXTRACT(CELL("address",'Raw Data'!H132),"\$([A-Z]+)\$[0-9]+"),"")</f>
        <v/>
      </c>
    </row>
    <row r="133" spans="2:9" x14ac:dyDescent="0.25">
      <c r="B133" t="str" cm="1">
        <f t="array" aca="1" ref="B133" ca="1">IF('Raw Data'!B133="",_xlfn.REGEXEXTRACT(CELL("address",'Raw Data'!B133),"\$([A-Z]+)\$[0-9]+"),"")</f>
        <v/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>$D$133</v>
      </c>
      <c r="E133" t="str" cm="1">
        <f t="array" aca="1" ref="E133" ca="1">IF('Raw Data'!E133="",_xlfn.REGEXEXTRACT(CELL("address",'Raw Data'!E133),"\$([A-Z]+)\$[0-9]+"),"")</f>
        <v/>
      </c>
      <c r="F133" t="str" cm="1">
        <f t="array" aca="1" ref="F133" ca="1">IF('Raw Data'!F133="",_xlfn.REGEXEXTRACT(CELL("address",'Raw Data'!F133),"\$([A-Z]+)\$[0-9]+"),"")</f>
        <v>$F$133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Data'!G133="",_xlfn.REGEXEXTRACT(CELL("address",'Raw Data'!G133),"\$([A-Z]+)\$[0-9]+"),"")</f>
        <v>$G$133</v>
      </c>
      <c r="I133" t="str" cm="1">
        <f t="array" aca="1" ref="I133" ca="1">IF('Raw Data'!H133="",_xlfn.REGEXEXTRACT(CELL("address",'Raw Data'!H133),"\$([A-Z]+)\$[0-9]+"),"")</f>
        <v/>
      </c>
    </row>
    <row r="134" spans="2:9" x14ac:dyDescent="0.25">
      <c r="B134" t="str" cm="1">
        <f t="array" aca="1" ref="B134" ca="1">IF('Raw Data'!B134="",_xlfn.REGEXEXTRACT(CELL("address",'Raw Data'!B134),"\$([A-Z]+)\$[0-9]+"),"")</f>
        <v/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>$D$134</v>
      </c>
      <c r="E134" t="str" cm="1">
        <f t="array" aca="1" ref="E134" ca="1">IF('Raw Data'!E134="",_xlfn.REGEXEXTRACT(CELL("address",'Raw Data'!E134),"\$([A-Z]+)\$[0-9]+"),"")</f>
        <v/>
      </c>
      <c r="F134" t="str" cm="1">
        <f t="array" aca="1" ref="F134" ca="1">IF('Raw Data'!F134="",_xlfn.REGEXEXTRACT(CELL("address",'Raw Data'!F134),"\$([A-Z]+)\$[0-9]+"),"")</f>
        <v>$F$134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Data'!G134="",_xlfn.REGEXEXTRACT(CELL("address",'Raw Data'!G134),"\$([A-Z]+)\$[0-9]+"),"")</f>
        <v>$G$134</v>
      </c>
      <c r="I134" t="str" cm="1">
        <f t="array" aca="1" ref="I134" ca="1">IF('Raw Data'!H134="",_xlfn.REGEXEXTRACT(CELL("address",'Raw Data'!H134),"\$([A-Z]+)\$[0-9]+"),"")</f>
        <v/>
      </c>
    </row>
    <row r="135" spans="2:9" x14ac:dyDescent="0.25">
      <c r="B135" t="str" cm="1">
        <f t="array" aca="1" ref="B135" ca="1">IF('Raw Data'!B135="",_xlfn.REGEXEXTRACT(CELL("address",'Raw Data'!B135),"\$([A-Z]+)\$[0-9]+"),"")</f>
        <v/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>$D$135</v>
      </c>
      <c r="E135" t="str" cm="1">
        <f t="array" aca="1" ref="E135" ca="1">IF('Raw Data'!E135="",_xlfn.REGEXEXTRACT(CELL("address",'Raw Data'!E135),"\$([A-Z]+)\$[0-9]+"),"")</f>
        <v/>
      </c>
      <c r="F135" t="str" cm="1">
        <f t="array" aca="1" ref="F135" ca="1">IF('Raw Data'!F135="",_xlfn.REGEXEXTRACT(CELL("address",'Raw Data'!F135),"\$([A-Z]+)\$[0-9]+"),"")</f>
        <v>$F$135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Data'!G135="",_xlfn.REGEXEXTRACT(CELL("address",'Raw Data'!G135),"\$([A-Z]+)\$[0-9]+"),"")</f>
        <v>$G$135</v>
      </c>
      <c r="I135" t="str" cm="1">
        <f t="array" aca="1" ref="I135" ca="1">IF('Raw Data'!H135="",_xlfn.REGEXEXTRACT(CELL("address",'Raw Data'!H135),"\$([A-Z]+)\$[0-9]+"),"")</f>
        <v/>
      </c>
    </row>
    <row r="136" spans="2:9" x14ac:dyDescent="0.25">
      <c r="B136" t="str" cm="1">
        <f t="array" aca="1" ref="B136" ca="1">IF('Raw Data'!B136="",_xlfn.REGEXEXTRACT(CELL("address",'Raw Data'!B136),"\$([A-Z]+)\$[0-9]+"),"")</f>
        <v/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>$D$136</v>
      </c>
      <c r="E136" t="str" cm="1">
        <f t="array" aca="1" ref="E136" ca="1">IF('Raw Data'!E136="",_xlfn.REGEXEXTRACT(CELL("address",'Raw Data'!E136),"\$([A-Z]+)\$[0-9]+"),"")</f>
        <v/>
      </c>
      <c r="F136" t="str" cm="1">
        <f t="array" aca="1" ref="F136" ca="1">IF('Raw Data'!F136="",_xlfn.REGEXEXTRACT(CELL("address",'Raw Data'!F136),"\$([A-Z]+)\$[0-9]+"),"")</f>
        <v>$F$136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Data'!G136="",_xlfn.REGEXEXTRACT(CELL("address",'Raw Data'!G136),"\$([A-Z]+)\$[0-9]+"),"")</f>
        <v>$G$136</v>
      </c>
      <c r="I136" t="str" cm="1">
        <f t="array" aca="1" ref="I136" ca="1">IF('Raw Data'!H136="",_xlfn.REGEXEXTRACT(CELL("address",'Raw Data'!H136),"\$([A-Z]+)\$[0-9]+"),"")</f>
        <v/>
      </c>
    </row>
    <row r="137" spans="2:9" x14ac:dyDescent="0.25">
      <c r="B137" t="str" cm="1">
        <f t="array" aca="1" ref="B137" ca="1">IF('Raw Data'!B137="",_xlfn.REGEXEXTRACT(CELL("address",'Raw Data'!B137),"\$([A-Z]+)\$[0-9]+"),"")</f>
        <v/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>$D$137</v>
      </c>
      <c r="E137" t="str" cm="1">
        <f t="array" aca="1" ref="E137" ca="1">IF('Raw Data'!E137="",_xlfn.REGEXEXTRACT(CELL("address",'Raw Data'!E137),"\$([A-Z]+)\$[0-9]+"),"")</f>
        <v/>
      </c>
      <c r="F137" t="str" cm="1">
        <f t="array" aca="1" ref="F137" ca="1">IF('Raw Data'!F137="",_xlfn.REGEXEXTRACT(CELL("address",'Raw Data'!F137),"\$([A-Z]+)\$[0-9]+"),"")</f>
        <v>$F$137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Data'!G137="",_xlfn.REGEXEXTRACT(CELL("address",'Raw Data'!G137),"\$([A-Z]+)\$[0-9]+"),"")</f>
        <v>$G$137</v>
      </c>
      <c r="I137" t="str" cm="1">
        <f t="array" aca="1" ref="I137" ca="1">IF('Raw Data'!H137="",_xlfn.REGEXEXTRACT(CELL("address",'Raw Data'!H137),"\$([A-Z]+)\$[0-9]+"),"")</f>
        <v/>
      </c>
    </row>
    <row r="138" spans="2:9" x14ac:dyDescent="0.25">
      <c r="B138" t="str" cm="1">
        <f t="array" aca="1" ref="B138" ca="1">IF('Raw Data'!B138="",_xlfn.REGEXEXTRACT(CELL("address",'Raw Data'!B138),"\$([A-Z]+)\$[0-9]+"),"")</f>
        <v/>
      </c>
      <c r="C138" t="str" cm="1">
        <f t="array" aca="1" ref="C138" ca="1">IF('Raw Data'!C138="",_xlfn.REGEXEXTRACT(CELL("address",'Raw Data'!C138),"\$([A-Z]+)\$[0-9]+"),"")</f>
        <v/>
      </c>
      <c r="D138" t="str" cm="1">
        <f t="array" aca="1" ref="D138" ca="1">IF('Raw Data'!D138="",_xlfn.REGEXEXTRACT(CELL("address",'Raw Data'!D138),"\$([A-Z]+)\$[0-9]+"),"")</f>
        <v>$D$138</v>
      </c>
      <c r="E138" t="str" cm="1">
        <f t="array" aca="1" ref="E138" ca="1">IF('Raw Data'!E138="",_xlfn.REGEXEXTRACT(CELL("address",'Raw Data'!E138),"\$([A-Z]+)\$[0-9]+"),"")</f>
        <v/>
      </c>
      <c r="F138" t="str" cm="1">
        <f t="array" aca="1" ref="F138" ca="1">IF('Raw Data'!F138="",_xlfn.REGEXEXTRACT(CELL("address",'Raw Data'!F138),"\$([A-Z]+)\$[0-9]+"),"")</f>
        <v>$F$138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Data'!G138="",_xlfn.REGEXEXTRACT(CELL("address",'Raw Data'!G138),"\$([A-Z]+)\$[0-9]+"),"")</f>
        <v>$G$138</v>
      </c>
      <c r="I138" t="str" cm="1">
        <f t="array" aca="1" ref="I138" ca="1">IF('Raw Data'!H138="",_xlfn.REGEXEXTRACT(CELL("address",'Raw Data'!H138),"\$([A-Z]+)\$[0-9]+"),"")</f>
        <v/>
      </c>
    </row>
    <row r="139" spans="2:9" x14ac:dyDescent="0.25">
      <c r="B139" t="str" cm="1">
        <f t="array" aca="1" ref="B139" ca="1">IF('Raw Data'!B139="",_xlfn.REGEXEXTRACT(CELL("address",'Raw Data'!B139),"\$([A-Z]+)\$[0-9]+"),"")</f>
        <v/>
      </c>
      <c r="C139" t="str" cm="1">
        <f t="array" aca="1" ref="C139" ca="1">IF('Raw Data'!C139="",_xlfn.REGEXEXTRACT(CELL("address",'Raw Data'!C139),"\$([A-Z]+)\$[0-9]+"),"")</f>
        <v/>
      </c>
      <c r="D139" t="str" cm="1">
        <f t="array" aca="1" ref="D139" ca="1">IF('Raw Data'!D139="",_xlfn.REGEXEXTRACT(CELL("address",'Raw Data'!D139),"\$([A-Z]+)\$[0-9]+"),"")</f>
        <v>$D$139</v>
      </c>
      <c r="E139" t="str" cm="1">
        <f t="array" aca="1" ref="E139" ca="1">IF('Raw Data'!E139="",_xlfn.REGEXEXTRACT(CELL("address",'Raw Data'!E139),"\$([A-Z]+)\$[0-9]+"),"")</f>
        <v/>
      </c>
      <c r="F139" t="str" cm="1">
        <f t="array" aca="1" ref="F139" ca="1">IF('Raw Data'!F139="",_xlfn.REGEXEXTRACT(CELL("address",'Raw Data'!F139),"\$([A-Z]+)\$[0-9]+"),"")</f>
        <v>$F$139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Data'!G139="",_xlfn.REGEXEXTRACT(CELL("address",'Raw Data'!G139),"\$([A-Z]+)\$[0-9]+"),"")</f>
        <v>$G$139</v>
      </c>
      <c r="I139" t="str" cm="1">
        <f t="array" aca="1" ref="I139" ca="1">IF('Raw Data'!H139="",_xlfn.REGEXEXTRACT(CELL("address",'Raw Data'!H139),"\$([A-Z]+)\$[0-9]+"),"")</f>
        <v/>
      </c>
    </row>
    <row r="140" spans="2:9" x14ac:dyDescent="0.25">
      <c r="B140" t="str" cm="1">
        <f t="array" aca="1" ref="B140" ca="1">IF('Raw Data'!B140="",_xlfn.REGEXEXTRACT(CELL("address",'Raw Data'!B140),"\$([A-Z]+)\$[0-9]+"),"")</f>
        <v/>
      </c>
      <c r="C140" t="str" cm="1">
        <f t="array" aca="1" ref="C140" ca="1">IF('Raw Data'!C140="",_xlfn.REGEXEXTRACT(CELL("address",'Raw Data'!C140),"\$([A-Z]+)\$[0-9]+"),"")</f>
        <v/>
      </c>
      <c r="D140" t="str" cm="1">
        <f t="array" aca="1" ref="D140" ca="1">IF('Raw Data'!D140="",_xlfn.REGEXEXTRACT(CELL("address",'Raw Data'!D140),"\$([A-Z]+)\$[0-9]+"),"")</f>
        <v>$D$140</v>
      </c>
      <c r="E140" t="str" cm="1">
        <f t="array" aca="1" ref="E140" ca="1">IF('Raw Data'!E140="",_xlfn.REGEXEXTRACT(CELL("address",'Raw Data'!E140),"\$([A-Z]+)\$[0-9]+"),"")</f>
        <v/>
      </c>
      <c r="F140" t="str" cm="1">
        <f t="array" aca="1" ref="F140" ca="1">IF('Raw Data'!F140="",_xlfn.REGEXEXTRACT(CELL("address",'Raw Data'!F140),"\$([A-Z]+)\$[0-9]+"),"")</f>
        <v>$F$140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Data'!G140="",_xlfn.REGEXEXTRACT(CELL("address",'Raw Data'!G140),"\$([A-Z]+)\$[0-9]+"),"")</f>
        <v>$G$140</v>
      </c>
      <c r="I140" t="str" cm="1">
        <f t="array" aca="1" ref="I140" ca="1">IF('Raw Data'!H140="",_xlfn.REGEXEXTRACT(CELL("address",'Raw Data'!H140),"\$([A-Z]+)\$[0-9]+"),"")</f>
        <v/>
      </c>
    </row>
    <row r="141" spans="2:9" x14ac:dyDescent="0.25">
      <c r="B141" t="str" cm="1">
        <f t="array" aca="1" ref="B141" ca="1">IF('Raw Data'!B141="",_xlfn.REGEXEXTRACT(CELL("address",'Raw Data'!B141),"\$([A-Z]+)\$[0-9]+"),"")</f>
        <v/>
      </c>
      <c r="C141" t="str" cm="1">
        <f t="array" aca="1" ref="C141" ca="1">IF('Raw Data'!C141="",_xlfn.REGEXEXTRACT(CELL("address",'Raw Data'!C141),"\$([A-Z]+)\$[0-9]+"),"")</f>
        <v/>
      </c>
      <c r="D141" t="str" cm="1">
        <f t="array" aca="1" ref="D141" ca="1">IF('Raw Data'!D141="",_xlfn.REGEXEXTRACT(CELL("address",'Raw Data'!D141),"\$([A-Z]+)\$[0-9]+"),"")</f>
        <v>$D$141</v>
      </c>
      <c r="E141" t="str" cm="1">
        <f t="array" aca="1" ref="E141" ca="1">IF('Raw Data'!E141="",_xlfn.REGEXEXTRACT(CELL("address",'Raw Data'!E141),"\$([A-Z]+)\$[0-9]+"),"")</f>
        <v/>
      </c>
      <c r="F141" t="str" cm="1">
        <f t="array" aca="1" ref="F141" ca="1">IF('Raw Data'!F141="",_xlfn.REGEXEXTRACT(CELL("address",'Raw Data'!F141),"\$([A-Z]+)\$[0-9]+"),"")</f>
        <v>$F$141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Data'!G141="",_xlfn.REGEXEXTRACT(CELL("address",'Raw Data'!G141),"\$([A-Z]+)\$[0-9]+"),"")</f>
        <v>$G$141</v>
      </c>
      <c r="I141" t="str" cm="1">
        <f t="array" aca="1" ref="I141" ca="1">IF('Raw Data'!H141="",_xlfn.REGEXEXTRACT(CELL("address",'Raw Data'!H141),"\$([A-Z]+)\$[0-9]+"),"")</f>
        <v/>
      </c>
    </row>
    <row r="142" spans="2:9" x14ac:dyDescent="0.25">
      <c r="B142" t="str" cm="1">
        <f t="array" aca="1" ref="B142" ca="1">IF('Raw Data'!B142="",_xlfn.REGEXEXTRACT(CELL("address",'Raw Data'!B142),"\$([A-Z]+)\$[0-9]+"),"")</f>
        <v/>
      </c>
      <c r="C142" t="str" cm="1">
        <f t="array" aca="1" ref="C142" ca="1">IF('Raw Data'!C142="",_xlfn.REGEXEXTRACT(CELL("address",'Raw Data'!C142),"\$([A-Z]+)\$[0-9]+"),"")</f>
        <v/>
      </c>
      <c r="D142" t="str" cm="1">
        <f t="array" aca="1" ref="D142" ca="1">IF('Raw Data'!D142="",_xlfn.REGEXEXTRACT(CELL("address",'Raw Data'!D142),"\$([A-Z]+)\$[0-9]+"),"")</f>
        <v>$D$142</v>
      </c>
      <c r="E142" t="str" cm="1">
        <f t="array" aca="1" ref="E142" ca="1">IF('Raw Data'!E142="",_xlfn.REGEXEXTRACT(CELL("address",'Raw Data'!E142),"\$([A-Z]+)\$[0-9]+"),"")</f>
        <v/>
      </c>
      <c r="F142" t="str" cm="1">
        <f t="array" aca="1" ref="F142" ca="1">IF('Raw Data'!F142="",_xlfn.REGEXEXTRACT(CELL("address",'Raw Data'!F142),"\$([A-Z]+)\$[0-9]+"),"")</f>
        <v>$F$142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Data'!G142="",_xlfn.REGEXEXTRACT(CELL("address",'Raw Data'!G142),"\$([A-Z]+)\$[0-9]+"),"")</f>
        <v>$G$142</v>
      </c>
      <c r="I142" t="str" cm="1">
        <f t="array" aca="1" ref="I142" ca="1">IF('Raw Data'!H142="",_xlfn.REGEXEXTRACT(CELL("address",'Raw Data'!H142),"\$([A-Z]+)\$[0-9]+"),"")</f>
        <v/>
      </c>
    </row>
    <row r="143" spans="2:9" x14ac:dyDescent="0.25">
      <c r="B143" t="str" cm="1">
        <f t="array" aca="1" ref="B143" ca="1">IF('Raw Data'!B143="",_xlfn.REGEXEXTRACT(CELL("address",'Raw Data'!B143),"\$([A-Z]+)\$[0-9]+"),"")</f>
        <v/>
      </c>
      <c r="C143" t="str" cm="1">
        <f t="array" aca="1" ref="C143" ca="1">IF('Raw Data'!C143="",_xlfn.REGEXEXTRACT(CELL("address",'Raw Data'!C143),"\$([A-Z]+)\$[0-9]+"),"")</f>
        <v/>
      </c>
      <c r="D143" t="str" cm="1">
        <f t="array" aca="1" ref="D143" ca="1">IF('Raw Data'!D143="",_xlfn.REGEXEXTRACT(CELL("address",'Raw Data'!D143),"\$([A-Z]+)\$[0-9]+"),"")</f>
        <v>$D$143</v>
      </c>
      <c r="E143" t="str" cm="1">
        <f t="array" aca="1" ref="E143" ca="1">IF('Raw Data'!E143="",_xlfn.REGEXEXTRACT(CELL("address",'Raw Data'!E143),"\$([A-Z]+)\$[0-9]+"),"")</f>
        <v/>
      </c>
      <c r="F143" t="str" cm="1">
        <f t="array" aca="1" ref="F143" ca="1">IF('Raw Data'!F143="",_xlfn.REGEXEXTRACT(CELL("address",'Raw Data'!F143),"\$([A-Z]+)\$[0-9]+"),"")</f>
        <v>$F$143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Data'!G143="",_xlfn.REGEXEXTRACT(CELL("address",'Raw Data'!G143),"\$([A-Z]+)\$[0-9]+"),"")</f>
        <v>$G$143</v>
      </c>
      <c r="I143" t="str" cm="1">
        <f t="array" aca="1" ref="I143" ca="1">IF('Raw Data'!H143="",_xlfn.REGEXEXTRACT(CELL("address",'Raw Data'!H143),"\$([A-Z]+)\$[0-9]+"),"")</f>
        <v/>
      </c>
    </row>
    <row r="144" spans="2:9" x14ac:dyDescent="0.25">
      <c r="B144" t="str" cm="1">
        <f t="array" aca="1" ref="B144" ca="1">IF('Raw Data'!B144="",_xlfn.REGEXEXTRACT(CELL("address",'Raw Data'!B144),"\$([A-Z]+)\$[0-9]+"),"")</f>
        <v/>
      </c>
      <c r="C144" t="str" cm="1">
        <f t="array" aca="1" ref="C144" ca="1">IF('Raw Data'!C144="",_xlfn.REGEXEXTRACT(CELL("address",'Raw Data'!C144),"\$([A-Z]+)\$[0-9]+"),"")</f>
        <v/>
      </c>
      <c r="D144" t="str" cm="1">
        <f t="array" aca="1" ref="D144" ca="1">IF('Raw Data'!D144="",_xlfn.REGEXEXTRACT(CELL("address",'Raw Data'!D144),"\$([A-Z]+)\$[0-9]+"),"")</f>
        <v>$D$144</v>
      </c>
      <c r="E144" t="str" cm="1">
        <f t="array" aca="1" ref="E144" ca="1">IF('Raw Data'!E144="",_xlfn.REGEXEXTRACT(CELL("address",'Raw Data'!E144),"\$([A-Z]+)\$[0-9]+"),"")</f>
        <v/>
      </c>
      <c r="F144" t="str" cm="1">
        <f t="array" aca="1" ref="F144" ca="1">IF('Raw Data'!F144="",_xlfn.REGEXEXTRACT(CELL("address",'Raw Data'!F144),"\$([A-Z]+)\$[0-9]+"),"")</f>
        <v>$F$144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Data'!G144="",_xlfn.REGEXEXTRACT(CELL("address",'Raw Data'!G144),"\$([A-Z]+)\$[0-9]+"),"")</f>
        <v>$G$144</v>
      </c>
      <c r="I144" t="str" cm="1">
        <f t="array" aca="1" ref="I144" ca="1">IF('Raw Data'!H144="",_xlfn.REGEXEXTRACT(CELL("address",'Raw Data'!H144),"\$([A-Z]+)\$[0-9]+"),"")</f>
        <v/>
      </c>
    </row>
    <row r="145" spans="2:9" x14ac:dyDescent="0.25">
      <c r="B145" t="str" cm="1">
        <f t="array" aca="1" ref="B145" ca="1">IF('Raw Data'!B145="",_xlfn.REGEXEXTRACT(CELL("address",'Raw Data'!B145),"\$([A-Z]+)\$[0-9]+"),"")</f>
        <v/>
      </c>
      <c r="C145" t="str" cm="1">
        <f t="array" aca="1" ref="C145" ca="1">IF('Raw Data'!C145="",_xlfn.REGEXEXTRACT(CELL("address",'Raw Data'!C145),"\$([A-Z]+)\$[0-9]+"),"")</f>
        <v/>
      </c>
      <c r="D145" t="str" cm="1">
        <f t="array" aca="1" ref="D145" ca="1">IF('Raw Data'!D145="",_xlfn.REGEXEXTRACT(CELL("address",'Raw Data'!D145),"\$([A-Z]+)\$[0-9]+"),"")</f>
        <v>$D$145</v>
      </c>
      <c r="E145" t="str" cm="1">
        <f t="array" aca="1" ref="E145" ca="1">IF('Raw Data'!E145="",_xlfn.REGEXEXTRACT(CELL("address",'Raw Data'!E145),"\$([A-Z]+)\$[0-9]+"),"")</f>
        <v/>
      </c>
      <c r="F145" t="str" cm="1">
        <f t="array" aca="1" ref="F145" ca="1">IF('Raw Data'!F145="",_xlfn.REGEXEXTRACT(CELL("address",'Raw Data'!F145),"\$([A-Z]+)\$[0-9]+"),"")</f>
        <v>$F$145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Data'!G145="",_xlfn.REGEXEXTRACT(CELL("address",'Raw Data'!G145),"\$([A-Z]+)\$[0-9]+"),"")</f>
        <v>$G$145</v>
      </c>
      <c r="I145" t="str" cm="1">
        <f t="array" aca="1" ref="I145" ca="1">IF('Raw Data'!H145="",_xlfn.REGEXEXTRACT(CELL("address",'Raw Data'!H145),"\$([A-Z]+)\$[0-9]+"),"")</f>
        <v/>
      </c>
    </row>
    <row r="146" spans="2:9" x14ac:dyDescent="0.25">
      <c r="B146" t="str" cm="1">
        <f t="array" aca="1" ref="B146" ca="1">IF('Raw Data'!B146="",_xlfn.REGEXEXTRACT(CELL("address",'Raw Data'!B146),"\$([A-Z]+)\$[0-9]+"),"")</f>
        <v/>
      </c>
      <c r="C146" t="str" cm="1">
        <f t="array" aca="1" ref="C146" ca="1">IF('Raw Data'!C146="",_xlfn.REGEXEXTRACT(CELL("address",'Raw Data'!C146),"\$([A-Z]+)\$[0-9]+"),"")</f>
        <v/>
      </c>
      <c r="D146" t="str" cm="1">
        <f t="array" aca="1" ref="D146" ca="1">IF('Raw Data'!D146="",_xlfn.REGEXEXTRACT(CELL("address",'Raw Data'!D146),"\$([A-Z]+)\$[0-9]+"),"")</f>
        <v>$D$146</v>
      </c>
      <c r="E146" t="str" cm="1">
        <f t="array" aca="1" ref="E146" ca="1">IF('Raw Data'!E146="",_xlfn.REGEXEXTRACT(CELL("address",'Raw Data'!E146),"\$([A-Z]+)\$[0-9]+"),"")</f>
        <v/>
      </c>
      <c r="F146" t="str" cm="1">
        <f t="array" aca="1" ref="F146" ca="1">IF('Raw Data'!F146="",_xlfn.REGEXEXTRACT(CELL("address",'Raw Data'!F146),"\$([A-Z]+)\$[0-9]+"),"")</f>
        <v>$F$146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Data'!G146="",_xlfn.REGEXEXTRACT(CELL("address",'Raw Data'!G146),"\$([A-Z]+)\$[0-9]+"),"")</f>
        <v>$G$146</v>
      </c>
      <c r="I146" t="str" cm="1">
        <f t="array" aca="1" ref="I146" ca="1">IF('Raw Data'!H146="",_xlfn.REGEXEXTRACT(CELL("address",'Raw Data'!H146),"\$([A-Z]+)\$[0-9]+"),"")</f>
        <v/>
      </c>
    </row>
    <row r="147" spans="2:9" x14ac:dyDescent="0.25">
      <c r="B147" t="str" cm="1">
        <f t="array" aca="1" ref="B147" ca="1">IF('Raw Data'!B147="",_xlfn.REGEXEXTRACT(CELL("address",'Raw Data'!B147),"\$([A-Z]+)\$[0-9]+"),"")</f>
        <v/>
      </c>
      <c r="C147" t="str" cm="1">
        <f t="array" aca="1" ref="C147" ca="1">IF('Raw Data'!C147="",_xlfn.REGEXEXTRACT(CELL("address",'Raw Data'!C147),"\$([A-Z]+)\$[0-9]+"),"")</f>
        <v/>
      </c>
      <c r="D147" t="str" cm="1">
        <f t="array" aca="1" ref="D147" ca="1">IF('Raw Data'!D147="",_xlfn.REGEXEXTRACT(CELL("address",'Raw Data'!D147),"\$([A-Z]+)\$[0-9]+"),"")</f>
        <v>$D$147</v>
      </c>
      <c r="E147" t="str" cm="1">
        <f t="array" aca="1" ref="E147" ca="1">IF('Raw Data'!E147="",_xlfn.REGEXEXTRACT(CELL("address",'Raw Data'!E147),"\$([A-Z]+)\$[0-9]+"),"")</f>
        <v/>
      </c>
      <c r="F147" t="str" cm="1">
        <f t="array" aca="1" ref="F147" ca="1">IF('Raw Data'!F147="",_xlfn.REGEXEXTRACT(CELL("address",'Raw Data'!F147),"\$([A-Z]+)\$[0-9]+"),"")</f>
        <v>$F$147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Data'!G147="",_xlfn.REGEXEXTRACT(CELL("address",'Raw Data'!G147),"\$([A-Z]+)\$[0-9]+"),"")</f>
        <v>$G$147</v>
      </c>
      <c r="I147" t="str" cm="1">
        <f t="array" aca="1" ref="I147" ca="1">IF('Raw Data'!H147="",_xlfn.REGEXEXTRACT(CELL("address",'Raw Data'!H147),"\$([A-Z]+)\$[0-9]+"),"")</f>
        <v/>
      </c>
    </row>
    <row r="148" spans="2:9" x14ac:dyDescent="0.25">
      <c r="B148" t="str" cm="1">
        <f t="array" aca="1" ref="B148" ca="1">IF('Raw Data'!B148="",_xlfn.REGEXEXTRACT(CELL("address",'Raw Data'!B148),"\$([A-Z]+)\$[0-9]+"),"")</f>
        <v/>
      </c>
      <c r="C148" t="str" cm="1">
        <f t="array" aca="1" ref="C148" ca="1">IF('Raw Data'!C148="",_xlfn.REGEXEXTRACT(CELL("address",'Raw Data'!C148),"\$([A-Z]+)\$[0-9]+"),"")</f>
        <v/>
      </c>
      <c r="D148" t="str" cm="1">
        <f t="array" aca="1" ref="D148" ca="1">IF('Raw Data'!D148="",_xlfn.REGEXEXTRACT(CELL("address",'Raw Data'!D148),"\$([A-Z]+)\$[0-9]+"),"")</f>
        <v>$D$148</v>
      </c>
      <c r="E148" t="str" cm="1">
        <f t="array" aca="1" ref="E148" ca="1">IF('Raw Data'!E148="",_xlfn.REGEXEXTRACT(CELL("address",'Raw Data'!E148),"\$([A-Z]+)\$[0-9]+"),"")</f>
        <v/>
      </c>
      <c r="F148" t="str" cm="1">
        <f t="array" aca="1" ref="F148" ca="1">IF('Raw Data'!F148="",_xlfn.REGEXEXTRACT(CELL("address",'Raw Data'!F148),"\$([A-Z]+)\$[0-9]+"),"")</f>
        <v>$F$148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Data'!G148="",_xlfn.REGEXEXTRACT(CELL("address",'Raw Data'!G148),"\$([A-Z]+)\$[0-9]+"),"")</f>
        <v>$G$148</v>
      </c>
      <c r="I148" t="str" cm="1">
        <f t="array" aca="1" ref="I148" ca="1">IF('Raw Data'!H148="",_xlfn.REGEXEXTRACT(CELL("address",'Raw Data'!H148),"\$([A-Z]+)\$[0-9]+"),"")</f>
        <v/>
      </c>
    </row>
    <row r="149" spans="2:9" x14ac:dyDescent="0.25">
      <c r="B149" t="str" cm="1">
        <f t="array" aca="1" ref="B149" ca="1">IF('Raw Data'!B149="",_xlfn.REGEXEXTRACT(CELL("address",'Raw Data'!B149),"\$([A-Z]+)\$[0-9]+"),"")</f>
        <v/>
      </c>
      <c r="C149" t="str" cm="1">
        <f t="array" aca="1" ref="C149" ca="1">IF('Raw Data'!C149="",_xlfn.REGEXEXTRACT(CELL("address",'Raw Data'!C149),"\$([A-Z]+)\$[0-9]+"),"")</f>
        <v/>
      </c>
      <c r="D149" t="str" cm="1">
        <f t="array" aca="1" ref="D149" ca="1">IF('Raw Data'!D149="",_xlfn.REGEXEXTRACT(CELL("address",'Raw Data'!D149),"\$([A-Z]+)\$[0-9]+"),"")</f>
        <v>$D$149</v>
      </c>
      <c r="E149" t="str" cm="1">
        <f t="array" aca="1" ref="E149" ca="1">IF('Raw Data'!E149="",_xlfn.REGEXEXTRACT(CELL("address",'Raw Data'!E149),"\$([A-Z]+)\$[0-9]+"),"")</f>
        <v/>
      </c>
      <c r="F149" t="str" cm="1">
        <f t="array" aca="1" ref="F149" ca="1">IF('Raw Data'!F149="",_xlfn.REGEXEXTRACT(CELL("address",'Raw Data'!F149),"\$([A-Z]+)\$[0-9]+"),"")</f>
        <v>$F$149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Data'!G149="",_xlfn.REGEXEXTRACT(CELL("address",'Raw Data'!G149),"\$([A-Z]+)\$[0-9]+"),"")</f>
        <v>$G$149</v>
      </c>
      <c r="I149" t="str" cm="1">
        <f t="array" aca="1" ref="I149" ca="1">IF('Raw Data'!H149="",_xlfn.REGEXEXTRACT(CELL("address",'Raw Data'!H149),"\$([A-Z]+)\$[0-9]+"),"")</f>
        <v/>
      </c>
    </row>
    <row r="150" spans="2:9" x14ac:dyDescent="0.25">
      <c r="B150" t="str" cm="1">
        <f t="array" aca="1" ref="B150" ca="1">IF('Raw Data'!B150="",_xlfn.REGEXEXTRACT(CELL("address",'Raw Data'!B150),"\$([A-Z]+)\$[0-9]+"),"")</f>
        <v/>
      </c>
      <c r="C150" t="str" cm="1">
        <f t="array" aca="1" ref="C150" ca="1">IF('Raw Data'!C150="",_xlfn.REGEXEXTRACT(CELL("address",'Raw Data'!C150),"\$([A-Z]+)\$[0-9]+"),"")</f>
        <v/>
      </c>
      <c r="D150" t="str" cm="1">
        <f t="array" aca="1" ref="D150" ca="1">IF('Raw Data'!D150="",_xlfn.REGEXEXTRACT(CELL("address",'Raw Data'!D150),"\$([A-Z]+)\$[0-9]+"),"")</f>
        <v>$D$150</v>
      </c>
      <c r="E150" t="str" cm="1">
        <f t="array" aca="1" ref="E150" ca="1">IF('Raw Data'!E150="",_xlfn.REGEXEXTRACT(CELL("address",'Raw Data'!E150),"\$([A-Z]+)\$[0-9]+"),"")</f>
        <v/>
      </c>
      <c r="F150" t="str" cm="1">
        <f t="array" aca="1" ref="F150" ca="1">IF('Raw Data'!F150="",_xlfn.REGEXEXTRACT(CELL("address",'Raw Data'!F150),"\$([A-Z]+)\$[0-9]+"),"")</f>
        <v>$F$150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Data'!G150="",_xlfn.REGEXEXTRACT(CELL("address",'Raw Data'!G150),"\$([A-Z]+)\$[0-9]+"),"")</f>
        <v>$G$150</v>
      </c>
      <c r="I150" t="str" cm="1">
        <f t="array" aca="1" ref="I150" ca="1">IF('Raw Data'!H150="",_xlfn.REGEXEXTRACT(CELL("address",'Raw Data'!H150),"\$([A-Z]+)\$[0-9]+"),"")</f>
        <v/>
      </c>
    </row>
    <row r="151" spans="2:9" x14ac:dyDescent="0.25">
      <c r="B151" t="str" cm="1">
        <f t="array" aca="1" ref="B151" ca="1">IF('Raw Data'!B151="",_xlfn.REGEXEXTRACT(CELL("address",'Raw Data'!B151),"\$([A-Z]+)\$[0-9]+"),"")</f>
        <v/>
      </c>
      <c r="C151" t="str" cm="1">
        <f t="array" aca="1" ref="C151" ca="1">IF('Raw Data'!C151="",_xlfn.REGEXEXTRACT(CELL("address",'Raw Data'!C151),"\$([A-Z]+)\$[0-9]+"),"")</f>
        <v/>
      </c>
      <c r="D151" t="str" cm="1">
        <f t="array" aca="1" ref="D151" ca="1">IF('Raw Data'!D151="",_xlfn.REGEXEXTRACT(CELL("address",'Raw Data'!D151),"\$([A-Z]+)\$[0-9]+"),"")</f>
        <v>$D$151</v>
      </c>
      <c r="E151" t="str" cm="1">
        <f t="array" aca="1" ref="E151" ca="1">IF('Raw Data'!E151="",_xlfn.REGEXEXTRACT(CELL("address",'Raw Data'!E151),"\$([A-Z]+)\$[0-9]+"),"")</f>
        <v/>
      </c>
      <c r="F151" t="str" cm="1">
        <f t="array" aca="1" ref="F151" ca="1">IF('Raw Data'!F151="",_xlfn.REGEXEXTRACT(CELL("address",'Raw Data'!F151),"\$([A-Z]+)\$[0-9]+"),"")</f>
        <v>$F$151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Data'!G151="",_xlfn.REGEXEXTRACT(CELL("address",'Raw Data'!G151),"\$([A-Z]+)\$[0-9]+"),"")</f>
        <v>$G$151</v>
      </c>
      <c r="I151" t="str" cm="1">
        <f t="array" aca="1" ref="I151" ca="1">IF('Raw Data'!H151="",_xlfn.REGEXEXTRACT(CELL("address",'Raw Data'!H151),"\$([A-Z]+)\$[0-9]+"),"")</f>
        <v/>
      </c>
    </row>
    <row r="152" spans="2:9" x14ac:dyDescent="0.25">
      <c r="B152" t="str" cm="1">
        <f t="array" aca="1" ref="B152" ca="1">IF('Raw Data'!B152="",_xlfn.REGEXEXTRACT(CELL("address",'Raw Data'!B152),"\$([A-Z]+)\$[0-9]+"),"")</f>
        <v/>
      </c>
      <c r="C152" t="str" cm="1">
        <f t="array" aca="1" ref="C152" ca="1">IF('Raw Data'!C152="",_xlfn.REGEXEXTRACT(CELL("address",'Raw Data'!C152),"\$([A-Z]+)\$[0-9]+"),"")</f>
        <v/>
      </c>
      <c r="D152" t="str" cm="1">
        <f t="array" aca="1" ref="D152" ca="1">IF('Raw Data'!D152="",_xlfn.REGEXEXTRACT(CELL("address",'Raw Data'!D152),"\$([A-Z]+)\$[0-9]+"),"")</f>
        <v>$D$152</v>
      </c>
      <c r="E152" t="str" cm="1">
        <f t="array" aca="1" ref="E152" ca="1">IF('Raw Data'!E152="",_xlfn.REGEXEXTRACT(CELL("address",'Raw Data'!E152),"\$([A-Z]+)\$[0-9]+"),"")</f>
        <v/>
      </c>
      <c r="F152" t="str" cm="1">
        <f t="array" aca="1" ref="F152" ca="1">IF('Raw Data'!F152="",_xlfn.REGEXEXTRACT(CELL("address",'Raw Data'!F152),"\$([A-Z]+)\$[0-9]+"),"")</f>
        <v>$F$152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Data'!G152="",_xlfn.REGEXEXTRACT(CELL("address",'Raw Data'!G152),"\$([A-Z]+)\$[0-9]+"),"")</f>
        <v>$G$152</v>
      </c>
      <c r="I152" t="str" cm="1">
        <f t="array" aca="1" ref="I152" ca="1">IF('Raw Data'!H152="",_xlfn.REGEXEXTRACT(CELL("address",'Raw Data'!H152),"\$([A-Z]+)\$[0-9]+"),"")</f>
        <v/>
      </c>
    </row>
    <row r="153" spans="2:9" x14ac:dyDescent="0.25">
      <c r="B153" t="str" cm="1">
        <f t="array" aca="1" ref="B153" ca="1">IF('Raw Data'!B153="",_xlfn.REGEXEXTRACT(CELL("address",'Raw Data'!B153),"\$([A-Z]+)\$[0-9]+"),"")</f>
        <v/>
      </c>
      <c r="C153" t="str" cm="1">
        <f t="array" aca="1" ref="C153" ca="1">IF('Raw Data'!C153="",_xlfn.REGEXEXTRACT(CELL("address",'Raw Data'!C153),"\$([A-Z]+)\$[0-9]+"),"")</f>
        <v/>
      </c>
      <c r="D153" t="str" cm="1">
        <f t="array" aca="1" ref="D153" ca="1">IF('Raw Data'!D153="",_xlfn.REGEXEXTRACT(CELL("address",'Raw Data'!D153),"\$([A-Z]+)\$[0-9]+"),"")</f>
        <v>$D$153</v>
      </c>
      <c r="E153" t="str" cm="1">
        <f t="array" aca="1" ref="E153" ca="1">IF('Raw Data'!E153="",_xlfn.REGEXEXTRACT(CELL("address",'Raw Data'!E153),"\$([A-Z]+)\$[0-9]+"),"")</f>
        <v/>
      </c>
      <c r="F153" t="str" cm="1">
        <f t="array" aca="1" ref="F153" ca="1">IF('Raw Data'!F153="",_xlfn.REGEXEXTRACT(CELL("address",'Raw Data'!F153),"\$([A-Z]+)\$[0-9]+"),"")</f>
        <v>$F$153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Data'!G153="",_xlfn.REGEXEXTRACT(CELL("address",'Raw Data'!G153),"\$([A-Z]+)\$[0-9]+"),"")</f>
        <v>$G$153</v>
      </c>
      <c r="I153" t="str" cm="1">
        <f t="array" aca="1" ref="I153" ca="1">IF('Raw Data'!H153="",_xlfn.REGEXEXTRACT(CELL("address",'Raw Data'!H153),"\$([A-Z]+)\$[0-9]+"),"")</f>
        <v/>
      </c>
    </row>
    <row r="154" spans="2:9" x14ac:dyDescent="0.25">
      <c r="B154" t="str" cm="1">
        <f t="array" aca="1" ref="B154" ca="1">IF('Raw Data'!B154="",_xlfn.REGEXEXTRACT(CELL("address",'Raw Data'!B154),"\$([A-Z]+)\$[0-9]+"),"")</f>
        <v/>
      </c>
      <c r="C154" t="str" cm="1">
        <f t="array" aca="1" ref="C154" ca="1">IF('Raw Data'!C154="",_xlfn.REGEXEXTRACT(CELL("address",'Raw Data'!C154),"\$([A-Z]+)\$[0-9]+"),"")</f>
        <v/>
      </c>
      <c r="D154" t="str" cm="1">
        <f t="array" aca="1" ref="D154" ca="1">IF('Raw Data'!D154="",_xlfn.REGEXEXTRACT(CELL("address",'Raw Data'!D154),"\$([A-Z]+)\$[0-9]+"),"")</f>
        <v>$D$154</v>
      </c>
      <c r="E154" t="str" cm="1">
        <f t="array" aca="1" ref="E154" ca="1">IF('Raw Data'!E154="",_xlfn.REGEXEXTRACT(CELL("address",'Raw Data'!E154),"\$([A-Z]+)\$[0-9]+"),"")</f>
        <v/>
      </c>
      <c r="F154" t="str" cm="1">
        <f t="array" aca="1" ref="F154" ca="1">IF('Raw Data'!F154="",_xlfn.REGEXEXTRACT(CELL("address",'Raw Data'!F154),"\$([A-Z]+)\$[0-9]+"),"")</f>
        <v>$F$154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Data'!G154="",_xlfn.REGEXEXTRACT(CELL("address",'Raw Data'!G154),"\$([A-Z]+)\$[0-9]+"),"")</f>
        <v>$G$154</v>
      </c>
      <c r="I154" t="str" cm="1">
        <f t="array" aca="1" ref="I154" ca="1">IF('Raw Data'!H154="",_xlfn.REGEXEXTRACT(CELL("address",'Raw Data'!H154),"\$([A-Z]+)\$[0-9]+"),"")</f>
        <v/>
      </c>
    </row>
    <row r="155" spans="2:9" x14ac:dyDescent="0.25">
      <c r="B155" t="str" cm="1">
        <f t="array" aca="1" ref="B155" ca="1">IF('Raw Data'!B155="",_xlfn.REGEXEXTRACT(CELL("address",'Raw Data'!B155),"\$([A-Z]+)\$[0-9]+"),"")</f>
        <v/>
      </c>
      <c r="C155" t="str" cm="1">
        <f t="array" aca="1" ref="C155" ca="1">IF('Raw Data'!C155="",_xlfn.REGEXEXTRACT(CELL("address",'Raw Data'!C155),"\$([A-Z]+)\$[0-9]+"),"")</f>
        <v/>
      </c>
      <c r="D155" t="str" cm="1">
        <f t="array" aca="1" ref="D155" ca="1">IF('Raw Data'!D155="",_xlfn.REGEXEXTRACT(CELL("address",'Raw Data'!D155),"\$([A-Z]+)\$[0-9]+"),"")</f>
        <v>$D$155</v>
      </c>
      <c r="E155" t="str" cm="1">
        <f t="array" aca="1" ref="E155" ca="1">IF('Raw Data'!E155="",_xlfn.REGEXEXTRACT(CELL("address",'Raw Data'!E155),"\$([A-Z]+)\$[0-9]+"),"")</f>
        <v/>
      </c>
      <c r="F155" t="str" cm="1">
        <f t="array" aca="1" ref="F155" ca="1">IF('Raw Data'!F155="",_xlfn.REGEXEXTRACT(CELL("address",'Raw Data'!F155),"\$([A-Z]+)\$[0-9]+"),"")</f>
        <v>$F$155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Data'!G155="",_xlfn.REGEXEXTRACT(CELL("address",'Raw Data'!G155),"\$([A-Z]+)\$[0-9]+"),"")</f>
        <v>$G$155</v>
      </c>
      <c r="I155" t="str" cm="1">
        <f t="array" aca="1" ref="I155" ca="1">IF('Raw Data'!H155="",_xlfn.REGEXEXTRACT(CELL("address",'Raw Data'!H155),"\$([A-Z]+)\$[0-9]+"),"")</f>
        <v/>
      </c>
    </row>
    <row r="156" spans="2:9" x14ac:dyDescent="0.25">
      <c r="B156" t="str" cm="1">
        <f t="array" aca="1" ref="B156" ca="1">IF('Raw Data'!B156="",_xlfn.REGEXEXTRACT(CELL("address",'Raw Data'!B156),"\$([A-Z]+)\$[0-9]+"),"")</f>
        <v/>
      </c>
      <c r="C156" t="str" cm="1">
        <f t="array" aca="1" ref="C156" ca="1">IF('Raw Data'!C156="",_xlfn.REGEXEXTRACT(CELL("address",'Raw Data'!C156),"\$([A-Z]+)\$[0-9]+"),"")</f>
        <v/>
      </c>
      <c r="D156" t="str" cm="1">
        <f t="array" aca="1" ref="D156" ca="1">IF('Raw Data'!D156="",_xlfn.REGEXEXTRACT(CELL("address",'Raw Data'!D156),"\$([A-Z]+)\$[0-9]+"),"")</f>
        <v>$D$156</v>
      </c>
      <c r="E156" t="str" cm="1">
        <f t="array" aca="1" ref="E156" ca="1">IF('Raw Data'!E156="",_xlfn.REGEXEXTRACT(CELL("address",'Raw Data'!E156),"\$([A-Z]+)\$[0-9]+"),"")</f>
        <v/>
      </c>
      <c r="F156" t="str" cm="1">
        <f t="array" aca="1" ref="F156" ca="1">IF('Raw Data'!F156="",_xlfn.REGEXEXTRACT(CELL("address",'Raw Data'!F156),"\$([A-Z]+)\$[0-9]+"),"")</f>
        <v>$F$156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Data'!G156="",_xlfn.REGEXEXTRACT(CELL("address",'Raw Data'!G156),"\$([A-Z]+)\$[0-9]+"),"")</f>
        <v>$G$156</v>
      </c>
      <c r="I156" t="str" cm="1">
        <f t="array" aca="1" ref="I156" ca="1">IF('Raw Data'!H156="",_xlfn.REGEXEXTRACT(CELL("address",'Raw Data'!H156),"\$([A-Z]+)\$[0-9]+"),"")</f>
        <v/>
      </c>
    </row>
    <row r="157" spans="2:9" x14ac:dyDescent="0.25">
      <c r="B157" t="str" cm="1">
        <f t="array" aca="1" ref="B157" ca="1">IF('Raw Data'!B157="",_xlfn.REGEXEXTRACT(CELL("address",'Raw Data'!B157),"\$([A-Z]+)\$[0-9]+"),"")</f>
        <v/>
      </c>
      <c r="C157" t="str" cm="1">
        <f t="array" aca="1" ref="C157" ca="1">IF('Raw Data'!C157="",_xlfn.REGEXEXTRACT(CELL("address",'Raw Data'!C157),"\$([A-Z]+)\$[0-9]+"),"")</f>
        <v/>
      </c>
      <c r="D157" t="str" cm="1">
        <f t="array" aca="1" ref="D157" ca="1">IF('Raw Data'!D157="",_xlfn.REGEXEXTRACT(CELL("address",'Raw Data'!D157),"\$([A-Z]+)\$[0-9]+"),"")</f>
        <v>$D$157</v>
      </c>
      <c r="E157" t="str" cm="1">
        <f t="array" aca="1" ref="E157" ca="1">IF('Raw Data'!E157="",_xlfn.REGEXEXTRACT(CELL("address",'Raw Data'!E157),"\$([A-Z]+)\$[0-9]+"),"")</f>
        <v/>
      </c>
      <c r="F157" t="str" cm="1">
        <f t="array" aca="1" ref="F157" ca="1">IF('Raw Data'!F157="",_xlfn.REGEXEXTRACT(CELL("address",'Raw Data'!F157),"\$([A-Z]+)\$[0-9]+"),"")</f>
        <v>$F$157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Data'!G157="",_xlfn.REGEXEXTRACT(CELL("address",'Raw Data'!G157),"\$([A-Z]+)\$[0-9]+"),"")</f>
        <v>$G$157</v>
      </c>
      <c r="I157" t="str" cm="1">
        <f t="array" aca="1" ref="I157" ca="1">IF('Raw Data'!H157="",_xlfn.REGEXEXTRACT(CELL("address",'Raw Data'!H157),"\$([A-Z]+)\$[0-9]+"),"")</f>
        <v/>
      </c>
    </row>
    <row r="158" spans="2:9" x14ac:dyDescent="0.25">
      <c r="B158" t="str" cm="1">
        <f t="array" aca="1" ref="B158" ca="1">IF('Raw Data'!B158="",_xlfn.REGEXEXTRACT(CELL("address",'Raw Data'!B158),"\$([A-Z]+)\$[0-9]+"),"")</f>
        <v/>
      </c>
      <c r="C158" t="str" cm="1">
        <f t="array" aca="1" ref="C158" ca="1">IF('Raw Data'!C158="",_xlfn.REGEXEXTRACT(CELL("address",'Raw Data'!C158),"\$([A-Z]+)\$[0-9]+"),"")</f>
        <v/>
      </c>
      <c r="D158" t="str" cm="1">
        <f t="array" aca="1" ref="D158" ca="1">IF('Raw Data'!D158="",_xlfn.REGEXEXTRACT(CELL("address",'Raw Data'!D158),"\$([A-Z]+)\$[0-9]+"),"")</f>
        <v>$D$158</v>
      </c>
      <c r="E158" t="str" cm="1">
        <f t="array" aca="1" ref="E158" ca="1">IF('Raw Data'!E158="",_xlfn.REGEXEXTRACT(CELL("address",'Raw Data'!E158),"\$([A-Z]+)\$[0-9]+"),"")</f>
        <v/>
      </c>
      <c r="F158" t="str" cm="1">
        <f t="array" aca="1" ref="F158" ca="1">IF('Raw Data'!F158="",_xlfn.REGEXEXTRACT(CELL("address",'Raw Data'!F158),"\$([A-Z]+)\$[0-9]+"),"")</f>
        <v>$F$158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Data'!G158="",_xlfn.REGEXEXTRACT(CELL("address",'Raw Data'!G158),"\$([A-Z]+)\$[0-9]+"),"")</f>
        <v>$G$158</v>
      </c>
      <c r="I158" t="str" cm="1">
        <f t="array" aca="1" ref="I158" ca="1">IF('Raw Data'!H158="",_xlfn.REGEXEXTRACT(CELL("address",'Raw Data'!H158),"\$([A-Z]+)\$[0-9]+"),"")</f>
        <v/>
      </c>
    </row>
    <row r="159" spans="2:9" x14ac:dyDescent="0.25">
      <c r="B159" t="str" cm="1">
        <f t="array" aca="1" ref="B159" ca="1">IF('Raw Data'!B159="",_xlfn.REGEXEXTRACT(CELL("address",'Raw Data'!B159),"\$([A-Z]+)\$[0-9]+"),"")</f>
        <v/>
      </c>
      <c r="C159" t="str" cm="1">
        <f t="array" aca="1" ref="C159" ca="1">IF('Raw Data'!C159="",_xlfn.REGEXEXTRACT(CELL("address",'Raw Data'!C159),"\$([A-Z]+)\$[0-9]+"),"")</f>
        <v/>
      </c>
      <c r="D159" t="str" cm="1">
        <f t="array" aca="1" ref="D159" ca="1">IF('Raw Data'!D159="",_xlfn.REGEXEXTRACT(CELL("address",'Raw Data'!D159),"\$([A-Z]+)\$[0-9]+"),"")</f>
        <v>$D$159</v>
      </c>
      <c r="E159" t="str" cm="1">
        <f t="array" aca="1" ref="E159" ca="1">IF('Raw Data'!E159="",_xlfn.REGEXEXTRACT(CELL("address",'Raw Data'!E159),"\$([A-Z]+)\$[0-9]+"),"")</f>
        <v/>
      </c>
      <c r="F159" t="str" cm="1">
        <f t="array" aca="1" ref="F159" ca="1">IF('Raw Data'!F159="",_xlfn.REGEXEXTRACT(CELL("address",'Raw Data'!F159),"\$([A-Z]+)\$[0-9]+"),"")</f>
        <v>$F$159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Data'!G159="",_xlfn.REGEXEXTRACT(CELL("address",'Raw Data'!G159),"\$([A-Z]+)\$[0-9]+"),"")</f>
        <v>$G$159</v>
      </c>
      <c r="I159" t="str" cm="1">
        <f t="array" aca="1" ref="I159" ca="1">IF('Raw Data'!H159="",_xlfn.REGEXEXTRACT(CELL("address",'Raw Data'!H159),"\$([A-Z]+)\$[0-9]+"),"")</f>
        <v/>
      </c>
    </row>
    <row r="160" spans="2:9" x14ac:dyDescent="0.25">
      <c r="B160" t="str" cm="1">
        <f t="array" aca="1" ref="B160" ca="1">IF('Raw Data'!B160="",_xlfn.REGEXEXTRACT(CELL("address",'Raw Data'!B160),"\$([A-Z]+)\$[0-9]+"),"")</f>
        <v/>
      </c>
      <c r="C160" t="str" cm="1">
        <f t="array" aca="1" ref="C160" ca="1">IF('Raw Data'!C160="",_xlfn.REGEXEXTRACT(CELL("address",'Raw Data'!C160),"\$([A-Z]+)\$[0-9]+"),"")</f>
        <v/>
      </c>
      <c r="D160" t="str" cm="1">
        <f t="array" aca="1" ref="D160" ca="1">IF('Raw Data'!D160="",_xlfn.REGEXEXTRACT(CELL("address",'Raw Data'!D160),"\$([A-Z]+)\$[0-9]+"),"")</f>
        <v>$D$160</v>
      </c>
      <c r="E160" t="str" cm="1">
        <f t="array" aca="1" ref="E160" ca="1">IF('Raw Data'!E160="",_xlfn.REGEXEXTRACT(CELL("address",'Raw Data'!E160),"\$([A-Z]+)\$[0-9]+"),"")</f>
        <v/>
      </c>
      <c r="F160" t="str" cm="1">
        <f t="array" aca="1" ref="F160" ca="1">IF('Raw Data'!F160="",_xlfn.REGEXEXTRACT(CELL("address",'Raw Data'!F160),"\$([A-Z]+)\$[0-9]+"),"")</f>
        <v>$F$160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Data'!G160="",_xlfn.REGEXEXTRACT(CELL("address",'Raw Data'!G160),"\$([A-Z]+)\$[0-9]+"),"")</f>
        <v>$G$160</v>
      </c>
      <c r="I160" t="str" cm="1">
        <f t="array" aca="1" ref="I160" ca="1">IF('Raw Data'!H160="",_xlfn.REGEXEXTRACT(CELL("address",'Raw Data'!H160),"\$([A-Z]+)\$[0-9]+"),"")</f>
        <v/>
      </c>
    </row>
    <row r="161" spans="2:9" x14ac:dyDescent="0.25">
      <c r="B161" t="str" cm="1">
        <f t="array" aca="1" ref="B161" ca="1">IF('Raw Data'!B161="",_xlfn.REGEXEXTRACT(CELL("address",'Raw Data'!B161),"\$([A-Z]+)\$[0-9]+"),"")</f>
        <v/>
      </c>
      <c r="C161" t="str" cm="1">
        <f t="array" aca="1" ref="C161" ca="1">IF('Raw Data'!C161="",_xlfn.REGEXEXTRACT(CELL("address",'Raw Data'!C161),"\$([A-Z]+)\$[0-9]+"),"")</f>
        <v/>
      </c>
      <c r="D161" t="str" cm="1">
        <f t="array" aca="1" ref="D161" ca="1">IF('Raw Data'!D161="",_xlfn.REGEXEXTRACT(CELL("address",'Raw Data'!D161),"\$([A-Z]+)\$[0-9]+"),"")</f>
        <v>$D$161</v>
      </c>
      <c r="E161" t="str" cm="1">
        <f t="array" aca="1" ref="E161" ca="1">IF('Raw Data'!E161="",_xlfn.REGEXEXTRACT(CELL("address",'Raw Data'!E161),"\$([A-Z]+)\$[0-9]+"),"")</f>
        <v/>
      </c>
      <c r="F161" t="str" cm="1">
        <f t="array" aca="1" ref="F161" ca="1">IF('Raw Data'!F161="",_xlfn.REGEXEXTRACT(CELL("address",'Raw Data'!F161),"\$([A-Z]+)\$[0-9]+"),"")</f>
        <v>$F$161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Data'!G161="",_xlfn.REGEXEXTRACT(CELL("address",'Raw Data'!G161),"\$([A-Z]+)\$[0-9]+"),"")</f>
        <v>$G$161</v>
      </c>
      <c r="I161" t="str" cm="1">
        <f t="array" aca="1" ref="I161" ca="1">IF('Raw Data'!H161="",_xlfn.REGEXEXTRACT(CELL("address",'Raw Data'!H161),"\$([A-Z]+)\$[0-9]+"),"")</f>
        <v/>
      </c>
    </row>
    <row r="162" spans="2:9" x14ac:dyDescent="0.25">
      <c r="B162" t="str" cm="1">
        <f t="array" aca="1" ref="B162" ca="1">IF('Raw Data'!B162="",_xlfn.REGEXEXTRACT(CELL("address",'Raw Data'!B162),"\$([A-Z]+)\$[0-9]+"),"")</f>
        <v/>
      </c>
      <c r="C162" t="str" cm="1">
        <f t="array" aca="1" ref="C162" ca="1">IF('Raw Data'!C162="",_xlfn.REGEXEXTRACT(CELL("address",'Raw Data'!C162),"\$([A-Z]+)\$[0-9]+"),"")</f>
        <v/>
      </c>
      <c r="D162" t="str" cm="1">
        <f t="array" aca="1" ref="D162" ca="1">IF('Raw Data'!D162="",_xlfn.REGEXEXTRACT(CELL("address",'Raw Data'!D162),"\$([A-Z]+)\$[0-9]+"),"")</f>
        <v>$D$162</v>
      </c>
      <c r="E162" t="str" cm="1">
        <f t="array" aca="1" ref="E162" ca="1">IF('Raw Data'!E162="",_xlfn.REGEXEXTRACT(CELL("address",'Raw Data'!E162),"\$([A-Z]+)\$[0-9]+"),"")</f>
        <v/>
      </c>
      <c r="F162" t="str" cm="1">
        <f t="array" aca="1" ref="F162" ca="1">IF('Raw Data'!F162="",_xlfn.REGEXEXTRACT(CELL("address",'Raw Data'!F162),"\$([A-Z]+)\$[0-9]+"),"")</f>
        <v>$F$162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Data'!G162="",_xlfn.REGEXEXTRACT(CELL("address",'Raw Data'!G162),"\$([A-Z]+)\$[0-9]+"),"")</f>
        <v>$G$162</v>
      </c>
      <c r="I162" t="str" cm="1">
        <f t="array" aca="1" ref="I162" ca="1">IF('Raw Data'!H162="",_xlfn.REGEXEXTRACT(CELL("address",'Raw Data'!H162),"\$([A-Z]+)\$[0-9]+"),"")</f>
        <v/>
      </c>
    </row>
    <row r="163" spans="2:9" x14ac:dyDescent="0.25">
      <c r="B163" t="str" cm="1">
        <f t="array" aca="1" ref="B163" ca="1">IF('Raw Data'!B163="",_xlfn.REGEXEXTRACT(CELL("address",'Raw Data'!B163),"\$([A-Z]+)\$[0-9]+"),"")</f>
        <v/>
      </c>
      <c r="C163" t="str" cm="1">
        <f t="array" aca="1" ref="C163" ca="1">IF('Raw Data'!C163="",_xlfn.REGEXEXTRACT(CELL("address",'Raw Data'!C163),"\$([A-Z]+)\$[0-9]+"),"")</f>
        <v/>
      </c>
      <c r="D163" t="str" cm="1">
        <f t="array" aca="1" ref="D163" ca="1">IF('Raw Data'!D163="",_xlfn.REGEXEXTRACT(CELL("address",'Raw Data'!D163),"\$([A-Z]+)\$[0-9]+"),"")</f>
        <v>$D$163</v>
      </c>
      <c r="E163" t="str" cm="1">
        <f t="array" aca="1" ref="E163" ca="1">IF('Raw Data'!E163="",_xlfn.REGEXEXTRACT(CELL("address",'Raw Data'!E163),"\$([A-Z]+)\$[0-9]+"),"")</f>
        <v/>
      </c>
      <c r="F163" t="str" cm="1">
        <f t="array" aca="1" ref="F163" ca="1">IF('Raw Data'!F163="",_xlfn.REGEXEXTRACT(CELL("address",'Raw Data'!F163),"\$([A-Z]+)\$[0-9]+"),"")</f>
        <v>$F$163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Data'!G163="",_xlfn.REGEXEXTRACT(CELL("address",'Raw Data'!G163),"\$([A-Z]+)\$[0-9]+"),"")</f>
        <v>$G$163</v>
      </c>
      <c r="I163" t="str" cm="1">
        <f t="array" aca="1" ref="I163" ca="1">IF('Raw Data'!H163="",_xlfn.REGEXEXTRACT(CELL("address",'Raw Data'!H163),"\$([A-Z]+)\$[0-9]+"),"")</f>
        <v/>
      </c>
    </row>
    <row r="164" spans="2:9" x14ac:dyDescent="0.25">
      <c r="B164" t="str" cm="1">
        <f t="array" aca="1" ref="B164" ca="1">IF('Raw Data'!B164="",_xlfn.REGEXEXTRACT(CELL("address",'Raw Data'!B164),"\$([A-Z]+)\$[0-9]+"),"")</f>
        <v/>
      </c>
      <c r="C164" t="str" cm="1">
        <f t="array" aca="1" ref="C164" ca="1">IF('Raw Data'!C164="",_xlfn.REGEXEXTRACT(CELL("address",'Raw Data'!C164),"\$([A-Z]+)\$[0-9]+"),"")</f>
        <v/>
      </c>
      <c r="D164" t="str" cm="1">
        <f t="array" aca="1" ref="D164" ca="1">IF('Raw Data'!D164="",_xlfn.REGEXEXTRACT(CELL("address",'Raw Data'!D164),"\$([A-Z]+)\$[0-9]+"),"")</f>
        <v>$D$164</v>
      </c>
      <c r="E164" t="str" cm="1">
        <f t="array" aca="1" ref="E164" ca="1">IF('Raw Data'!E164="",_xlfn.REGEXEXTRACT(CELL("address",'Raw Data'!E164),"\$([A-Z]+)\$[0-9]+"),"")</f>
        <v/>
      </c>
      <c r="F164" t="str" cm="1">
        <f t="array" aca="1" ref="F164" ca="1">IF('Raw Data'!F164="",_xlfn.REGEXEXTRACT(CELL("address",'Raw Data'!F164),"\$([A-Z]+)\$[0-9]+"),"")</f>
        <v>$F$164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Data'!G164="",_xlfn.REGEXEXTRACT(CELL("address",'Raw Data'!G164),"\$([A-Z]+)\$[0-9]+"),"")</f>
        <v>$G$164</v>
      </c>
      <c r="I164" t="str" cm="1">
        <f t="array" aca="1" ref="I164" ca="1">IF('Raw Data'!H164="",_xlfn.REGEXEXTRACT(CELL("address",'Raw Data'!H164),"\$([A-Z]+)\$[0-9]+"),"")</f>
        <v/>
      </c>
    </row>
    <row r="165" spans="2:9" x14ac:dyDescent="0.25">
      <c r="B165" t="str" cm="1">
        <f t="array" aca="1" ref="B165" ca="1">IF('Raw Data'!B165="",_xlfn.REGEXEXTRACT(CELL("address",'Raw Data'!B165),"\$([A-Z]+)\$[0-9]+"),"")</f>
        <v/>
      </c>
      <c r="C165" t="str" cm="1">
        <f t="array" aca="1" ref="C165" ca="1">IF('Raw Data'!C165="",_xlfn.REGEXEXTRACT(CELL("address",'Raw Data'!C165),"\$([A-Z]+)\$[0-9]+"),"")</f>
        <v/>
      </c>
      <c r="D165" t="str" cm="1">
        <f t="array" aca="1" ref="D165" ca="1">IF('Raw Data'!D165="",_xlfn.REGEXEXTRACT(CELL("address",'Raw Data'!D165),"\$([A-Z]+)\$[0-9]+"),"")</f>
        <v>$D$165</v>
      </c>
      <c r="E165" t="str" cm="1">
        <f t="array" aca="1" ref="E165" ca="1">IF('Raw Data'!E165="",_xlfn.REGEXEXTRACT(CELL("address",'Raw Data'!E165),"\$([A-Z]+)\$[0-9]+"),"")</f>
        <v/>
      </c>
      <c r="F165" t="str" cm="1">
        <f t="array" aca="1" ref="F165" ca="1">IF('Raw Data'!F165="",_xlfn.REGEXEXTRACT(CELL("address",'Raw Data'!F165),"\$([A-Z]+)\$[0-9]+"),"")</f>
        <v>$F$165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Data'!G165="",_xlfn.REGEXEXTRACT(CELL("address",'Raw Data'!G165),"\$([A-Z]+)\$[0-9]+"),"")</f>
        <v>$G$165</v>
      </c>
      <c r="I165" t="str" cm="1">
        <f t="array" aca="1" ref="I165" ca="1">IF('Raw Data'!H165="",_xlfn.REGEXEXTRACT(CELL("address",'Raw Data'!H165),"\$([A-Z]+)\$[0-9]+"),"")</f>
        <v/>
      </c>
    </row>
    <row r="166" spans="2:9" x14ac:dyDescent="0.25">
      <c r="B166" t="str" cm="1">
        <f t="array" aca="1" ref="B166" ca="1">IF('Raw Data'!B166="",_xlfn.REGEXEXTRACT(CELL("address",'Raw Data'!B166),"\$([A-Z]+)\$[0-9]+"),"")</f>
        <v/>
      </c>
      <c r="C166" t="str" cm="1">
        <f t="array" aca="1" ref="C166" ca="1">IF('Raw Data'!C166="",_xlfn.REGEXEXTRACT(CELL("address",'Raw Data'!C166),"\$([A-Z]+)\$[0-9]+"),"")</f>
        <v/>
      </c>
      <c r="D166" t="str" cm="1">
        <f t="array" aca="1" ref="D166" ca="1">IF('Raw Data'!D166="",_xlfn.REGEXEXTRACT(CELL("address",'Raw Data'!D166),"\$([A-Z]+)\$[0-9]+"),"")</f>
        <v>$D$166</v>
      </c>
      <c r="E166" t="str" cm="1">
        <f t="array" aca="1" ref="E166" ca="1">IF('Raw Data'!E166="",_xlfn.REGEXEXTRACT(CELL("address",'Raw Data'!E166),"\$([A-Z]+)\$[0-9]+"),"")</f>
        <v/>
      </c>
      <c r="F166" t="str" cm="1">
        <f t="array" aca="1" ref="F166" ca="1">IF('Raw Data'!F166="",_xlfn.REGEXEXTRACT(CELL("address",'Raw Data'!F166),"\$([A-Z]+)\$[0-9]+"),"")</f>
        <v>$F$166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Data'!G166="",_xlfn.REGEXEXTRACT(CELL("address",'Raw Data'!G166),"\$([A-Z]+)\$[0-9]+"),"")</f>
        <v>$G$166</v>
      </c>
      <c r="I166" t="str" cm="1">
        <f t="array" aca="1" ref="I166" ca="1">IF('Raw Data'!H166="",_xlfn.REGEXEXTRACT(CELL("address",'Raw Data'!H166),"\$([A-Z]+)\$[0-9]+"),"")</f>
        <v/>
      </c>
    </row>
    <row r="167" spans="2:9" x14ac:dyDescent="0.25">
      <c r="B167" t="str" cm="1">
        <f t="array" aca="1" ref="B167" ca="1">IF('Raw Data'!B167="",_xlfn.REGEXEXTRACT(CELL("address",'Raw Data'!B167),"\$([A-Z]+)\$[0-9]+"),"")</f>
        <v/>
      </c>
      <c r="C167" t="str" cm="1">
        <f t="array" aca="1" ref="C167" ca="1">IF('Raw Data'!C167="",_xlfn.REGEXEXTRACT(CELL("address",'Raw Data'!C167),"\$([A-Z]+)\$[0-9]+"),"")</f>
        <v/>
      </c>
      <c r="D167" t="str" cm="1">
        <f t="array" aca="1" ref="D167" ca="1">IF('Raw Data'!D167="",_xlfn.REGEXEXTRACT(CELL("address",'Raw Data'!D167),"\$([A-Z]+)\$[0-9]+"),"")</f>
        <v>$D$167</v>
      </c>
      <c r="E167" t="str" cm="1">
        <f t="array" aca="1" ref="E167" ca="1">IF('Raw Data'!E167="",_xlfn.REGEXEXTRACT(CELL("address",'Raw Data'!E167),"\$([A-Z]+)\$[0-9]+"),"")</f>
        <v/>
      </c>
      <c r="F167" t="str" cm="1">
        <f t="array" aca="1" ref="F167" ca="1">IF('Raw Data'!F167="",_xlfn.REGEXEXTRACT(CELL("address",'Raw Data'!F167),"\$([A-Z]+)\$[0-9]+"),"")</f>
        <v>$F$167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Data'!G167="",_xlfn.REGEXEXTRACT(CELL("address",'Raw Data'!G167),"\$([A-Z]+)\$[0-9]+"),"")</f>
        <v>$G$167</v>
      </c>
      <c r="I167" t="str" cm="1">
        <f t="array" aca="1" ref="I167" ca="1">IF('Raw Data'!H167="",_xlfn.REGEXEXTRACT(CELL("address",'Raw Data'!H167),"\$([A-Z]+)\$[0-9]+"),"")</f>
        <v/>
      </c>
    </row>
    <row r="168" spans="2:9" x14ac:dyDescent="0.25">
      <c r="B168" t="str" cm="1">
        <f t="array" aca="1" ref="B168" ca="1">IF('Raw Data'!B168="",_xlfn.REGEXEXTRACT(CELL("address",'Raw Data'!B168),"\$([A-Z]+)\$[0-9]+"),"")</f>
        <v/>
      </c>
      <c r="C168" t="str" cm="1">
        <f t="array" aca="1" ref="C168" ca="1">IF('Raw Data'!C168="",_xlfn.REGEXEXTRACT(CELL("address",'Raw Data'!C168),"\$([A-Z]+)\$[0-9]+"),"")</f>
        <v/>
      </c>
      <c r="D168" t="str" cm="1">
        <f t="array" aca="1" ref="D168" ca="1">IF('Raw Data'!D168="",_xlfn.REGEXEXTRACT(CELL("address",'Raw Data'!D168),"\$([A-Z]+)\$[0-9]+"),"")</f>
        <v>$D$168</v>
      </c>
      <c r="E168" t="str" cm="1">
        <f t="array" aca="1" ref="E168" ca="1">IF('Raw Data'!E168="",_xlfn.REGEXEXTRACT(CELL("address",'Raw Data'!E168),"\$([A-Z]+)\$[0-9]+"),"")</f>
        <v/>
      </c>
      <c r="F168" t="str" cm="1">
        <f t="array" aca="1" ref="F168" ca="1">IF('Raw Data'!F168="",_xlfn.REGEXEXTRACT(CELL("address",'Raw Data'!F168),"\$([A-Z]+)\$[0-9]+"),"")</f>
        <v>$F$168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Data'!G168="",_xlfn.REGEXEXTRACT(CELL("address",'Raw Data'!G168),"\$([A-Z]+)\$[0-9]+"),"")</f>
        <v>$G$168</v>
      </c>
      <c r="I168" t="str" cm="1">
        <f t="array" aca="1" ref="I168" ca="1">IF('Raw Data'!H168="",_xlfn.REGEXEXTRACT(CELL("address",'Raw Data'!H168),"\$([A-Z]+)\$[0-9]+"),"")</f>
        <v/>
      </c>
    </row>
    <row r="169" spans="2:9" x14ac:dyDescent="0.25">
      <c r="B169" t="str" cm="1">
        <f t="array" aca="1" ref="B169" ca="1">IF('Raw Data'!B169="",_xlfn.REGEXEXTRACT(CELL("address",'Raw Data'!B169),"\$([A-Z]+)\$[0-9]+"),"")</f>
        <v/>
      </c>
      <c r="C169" t="str" cm="1">
        <f t="array" aca="1" ref="C169" ca="1">IF('Raw Data'!C169="",_xlfn.REGEXEXTRACT(CELL("address",'Raw Data'!C169),"\$([A-Z]+)\$[0-9]+"),"")</f>
        <v/>
      </c>
      <c r="D169" t="str" cm="1">
        <f t="array" aca="1" ref="D169" ca="1">IF('Raw Data'!D169="",_xlfn.REGEXEXTRACT(CELL("address",'Raw Data'!D169),"\$([A-Z]+)\$[0-9]+"),"")</f>
        <v>$D$169</v>
      </c>
      <c r="E169" t="str" cm="1">
        <f t="array" aca="1" ref="E169" ca="1">IF('Raw Data'!E169="",_xlfn.REGEXEXTRACT(CELL("address",'Raw Data'!E169),"\$([A-Z]+)\$[0-9]+"),"")</f>
        <v/>
      </c>
      <c r="F169" t="str" cm="1">
        <f t="array" aca="1" ref="F169" ca="1">IF('Raw Data'!F169="",_xlfn.REGEXEXTRACT(CELL("address",'Raw Data'!F169),"\$([A-Z]+)\$[0-9]+"),"")</f>
        <v>$F$169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Data'!G169="",_xlfn.REGEXEXTRACT(CELL("address",'Raw Data'!G169),"\$([A-Z]+)\$[0-9]+"),"")</f>
        <v>$G$169</v>
      </c>
      <c r="I169" t="str" cm="1">
        <f t="array" aca="1" ref="I169" ca="1">IF('Raw Data'!H169="",_xlfn.REGEXEXTRACT(CELL("address",'Raw Data'!H169),"\$([A-Z]+)\$[0-9]+"),"")</f>
        <v/>
      </c>
    </row>
    <row r="170" spans="2:9" x14ac:dyDescent="0.25">
      <c r="B170" t="str" cm="1">
        <f t="array" aca="1" ref="B170" ca="1">IF('Raw Data'!B170="",_xlfn.REGEXEXTRACT(CELL("address",'Raw Data'!B170),"\$([A-Z]+)\$[0-9]+"),"")</f>
        <v/>
      </c>
      <c r="C170" t="str" cm="1">
        <f t="array" aca="1" ref="C170" ca="1">IF('Raw Data'!C170="",_xlfn.REGEXEXTRACT(CELL("address",'Raw Data'!C170),"\$([A-Z]+)\$[0-9]+"),"")</f>
        <v/>
      </c>
      <c r="D170" t="str" cm="1">
        <f t="array" aca="1" ref="D170" ca="1">IF('Raw Data'!D170="",_xlfn.REGEXEXTRACT(CELL("address",'Raw Data'!D170),"\$([A-Z]+)\$[0-9]+"),"")</f>
        <v>$D$170</v>
      </c>
      <c r="E170" t="str" cm="1">
        <f t="array" aca="1" ref="E170" ca="1">IF('Raw Data'!E170="",_xlfn.REGEXEXTRACT(CELL("address",'Raw Data'!E170),"\$([A-Z]+)\$[0-9]+"),"")</f>
        <v/>
      </c>
      <c r="F170" t="str" cm="1">
        <f t="array" aca="1" ref="F170" ca="1">IF('Raw Data'!F170="",_xlfn.REGEXEXTRACT(CELL("address",'Raw Data'!F170),"\$([A-Z]+)\$[0-9]+"),"")</f>
        <v>$F$170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Data'!G170="",_xlfn.REGEXEXTRACT(CELL("address",'Raw Data'!G170),"\$([A-Z]+)\$[0-9]+"),"")</f>
        <v>$G$170</v>
      </c>
      <c r="I170" t="str" cm="1">
        <f t="array" aca="1" ref="I170" ca="1">IF('Raw Data'!H170="",_xlfn.REGEXEXTRACT(CELL("address",'Raw Data'!H170),"\$([A-Z]+)\$[0-9]+"),"")</f>
        <v/>
      </c>
    </row>
    <row r="171" spans="2:9" x14ac:dyDescent="0.25">
      <c r="B171" t="str" cm="1">
        <f t="array" aca="1" ref="B171" ca="1">IF('Raw Data'!B171="",_xlfn.REGEXEXTRACT(CELL("address",'Raw Data'!B171),"\$([A-Z]+)\$[0-9]+"),"")</f>
        <v/>
      </c>
      <c r="C171" t="str" cm="1">
        <f t="array" aca="1" ref="C171" ca="1">IF('Raw Data'!C171="",_xlfn.REGEXEXTRACT(CELL("address",'Raw Data'!C171),"\$([A-Z]+)\$[0-9]+"),"")</f>
        <v/>
      </c>
      <c r="D171" t="str" cm="1">
        <f t="array" aca="1" ref="D171" ca="1">IF('Raw Data'!D171="",_xlfn.REGEXEXTRACT(CELL("address",'Raw Data'!D171),"\$([A-Z]+)\$[0-9]+"),"")</f>
        <v>$D$171</v>
      </c>
      <c r="E171" t="str" cm="1">
        <f t="array" aca="1" ref="E171" ca="1">IF('Raw Data'!E171="",_xlfn.REGEXEXTRACT(CELL("address",'Raw Data'!E171),"\$([A-Z]+)\$[0-9]+"),"")</f>
        <v/>
      </c>
      <c r="F171" t="str" cm="1">
        <f t="array" aca="1" ref="F171" ca="1">IF('Raw Data'!F171="",_xlfn.REGEXEXTRACT(CELL("address",'Raw Data'!F171),"\$([A-Z]+)\$[0-9]+"),"")</f>
        <v>$F$171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Data'!G171="",_xlfn.REGEXEXTRACT(CELL("address",'Raw Data'!G171),"\$([A-Z]+)\$[0-9]+"),"")</f>
        <v>$G$171</v>
      </c>
      <c r="I171" t="str" cm="1">
        <f t="array" aca="1" ref="I171" ca="1">IF('Raw Data'!H171="",_xlfn.REGEXEXTRACT(CELL("address",'Raw Data'!H171),"\$([A-Z]+)\$[0-9]+"),"")</f>
        <v/>
      </c>
    </row>
    <row r="172" spans="2:9" x14ac:dyDescent="0.25">
      <c r="B172" t="str" cm="1">
        <f t="array" aca="1" ref="B172" ca="1">IF('Raw Data'!B172="",_xlfn.REGEXEXTRACT(CELL("address",'Raw Data'!B172),"\$([A-Z]+)\$[0-9]+"),"")</f>
        <v/>
      </c>
      <c r="C172" t="str" cm="1">
        <f t="array" aca="1" ref="C172" ca="1">IF('Raw Data'!C172="",_xlfn.REGEXEXTRACT(CELL("address",'Raw Data'!C172),"\$([A-Z]+)\$[0-9]+"),"")</f>
        <v/>
      </c>
      <c r="D172" t="str" cm="1">
        <f t="array" aca="1" ref="D172" ca="1">IF('Raw Data'!D172="",_xlfn.REGEXEXTRACT(CELL("address",'Raw Data'!D172),"\$([A-Z]+)\$[0-9]+"),"")</f>
        <v>$D$172</v>
      </c>
      <c r="E172" t="str" cm="1">
        <f t="array" aca="1" ref="E172" ca="1">IF('Raw Data'!E172="",_xlfn.REGEXEXTRACT(CELL("address",'Raw Data'!E172),"\$([A-Z]+)\$[0-9]+"),"")</f>
        <v/>
      </c>
      <c r="F172" t="str" cm="1">
        <f t="array" aca="1" ref="F172" ca="1">IF('Raw Data'!F172="",_xlfn.REGEXEXTRACT(CELL("address",'Raw Data'!F172),"\$([A-Z]+)\$[0-9]+"),"")</f>
        <v>$F$172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Data'!G172="",_xlfn.REGEXEXTRACT(CELL("address",'Raw Data'!G172),"\$([A-Z]+)\$[0-9]+"),"")</f>
        <v>$G$172</v>
      </c>
      <c r="I172" t="str" cm="1">
        <f t="array" aca="1" ref="I172" ca="1">IF('Raw Data'!H172="",_xlfn.REGEXEXTRACT(CELL("address",'Raw Data'!H172),"\$([A-Z]+)\$[0-9]+"),"")</f>
        <v/>
      </c>
    </row>
    <row r="173" spans="2:9" x14ac:dyDescent="0.25">
      <c r="B173" t="str" cm="1">
        <f t="array" aca="1" ref="B173" ca="1">IF('Raw Data'!B173="",_xlfn.REGEXEXTRACT(CELL("address",'Raw Data'!B173),"\$([A-Z]+)\$[0-9]+"),"")</f>
        <v/>
      </c>
      <c r="C173" t="str" cm="1">
        <f t="array" aca="1" ref="C173" ca="1">IF('Raw Data'!C173="",_xlfn.REGEXEXTRACT(CELL("address",'Raw Data'!C173),"\$([A-Z]+)\$[0-9]+"),"")</f>
        <v/>
      </c>
      <c r="D173" t="str" cm="1">
        <f t="array" aca="1" ref="D173" ca="1">IF('Raw Data'!D173="",_xlfn.REGEXEXTRACT(CELL("address",'Raw Data'!D173),"\$([A-Z]+)\$[0-9]+"),"")</f>
        <v>$D$173</v>
      </c>
      <c r="E173" t="str" cm="1">
        <f t="array" aca="1" ref="E173" ca="1">IF('Raw Data'!E173="",_xlfn.REGEXEXTRACT(CELL("address",'Raw Data'!E173),"\$([A-Z]+)\$[0-9]+"),"")</f>
        <v/>
      </c>
      <c r="F173" t="str" cm="1">
        <f t="array" aca="1" ref="F173" ca="1">IF('Raw Data'!F173="",_xlfn.REGEXEXTRACT(CELL("address",'Raw Data'!F173),"\$([A-Z]+)\$[0-9]+"),"")</f>
        <v>$F$173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Data'!G173="",_xlfn.REGEXEXTRACT(CELL("address",'Raw Data'!G173),"\$([A-Z]+)\$[0-9]+"),"")</f>
        <v>$G$173</v>
      </c>
      <c r="I173" t="str" cm="1">
        <f t="array" aca="1" ref="I173" ca="1">IF('Raw Data'!H173="",_xlfn.REGEXEXTRACT(CELL("address",'Raw Data'!H173),"\$([A-Z]+)\$[0-9]+"),"")</f>
        <v/>
      </c>
    </row>
    <row r="174" spans="2:9" x14ac:dyDescent="0.25">
      <c r="B174" t="str" cm="1">
        <f t="array" aca="1" ref="B174" ca="1">IF('Raw Data'!B174="",_xlfn.REGEXEXTRACT(CELL("address",'Raw Data'!B174),"\$([A-Z]+)\$[0-9]+"),"")</f>
        <v/>
      </c>
      <c r="C174" t="str" cm="1">
        <f t="array" aca="1" ref="C174" ca="1">IF('Raw Data'!C174="",_xlfn.REGEXEXTRACT(CELL("address",'Raw Data'!C174),"\$([A-Z]+)\$[0-9]+"),"")</f>
        <v/>
      </c>
      <c r="D174" t="str" cm="1">
        <f t="array" aca="1" ref="D174" ca="1">IF('Raw Data'!D174="",_xlfn.REGEXEXTRACT(CELL("address",'Raw Data'!D174),"\$([A-Z]+)\$[0-9]+"),"")</f>
        <v>$D$174</v>
      </c>
      <c r="E174" t="str" cm="1">
        <f t="array" aca="1" ref="E174" ca="1">IF('Raw Data'!E174="",_xlfn.REGEXEXTRACT(CELL("address",'Raw Data'!E174),"\$([A-Z]+)\$[0-9]+"),"")</f>
        <v/>
      </c>
      <c r="F174" t="str" cm="1">
        <f t="array" aca="1" ref="F174" ca="1">IF('Raw Data'!F174="",_xlfn.REGEXEXTRACT(CELL("address",'Raw Data'!F174),"\$([A-Z]+)\$[0-9]+"),"")</f>
        <v>$F$174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Data'!G174="",_xlfn.REGEXEXTRACT(CELL("address",'Raw Data'!G174),"\$([A-Z]+)\$[0-9]+"),"")</f>
        <v>$G$174</v>
      </c>
      <c r="I174" t="str" cm="1">
        <f t="array" aca="1" ref="I174" ca="1">IF('Raw Data'!H174="",_xlfn.REGEXEXTRACT(CELL("address",'Raw Data'!H174),"\$([A-Z]+)\$[0-9]+"),"")</f>
        <v/>
      </c>
    </row>
    <row r="175" spans="2:9" x14ac:dyDescent="0.25">
      <c r="B175" t="str" cm="1">
        <f t="array" aca="1" ref="B175" ca="1">IF('Raw Data'!B175="",_xlfn.REGEXEXTRACT(CELL("address",'Raw Data'!B175),"\$([A-Z]+)\$[0-9]+"),"")</f>
        <v/>
      </c>
      <c r="C175" t="str" cm="1">
        <f t="array" aca="1" ref="C175" ca="1">IF('Raw Data'!C175="",_xlfn.REGEXEXTRACT(CELL("address",'Raw Data'!C175),"\$([A-Z]+)\$[0-9]+"),"")</f>
        <v/>
      </c>
      <c r="D175" t="str" cm="1">
        <f t="array" aca="1" ref="D175" ca="1">IF('Raw Data'!D175="",_xlfn.REGEXEXTRACT(CELL("address",'Raw Data'!D175),"\$([A-Z]+)\$[0-9]+"),"")</f>
        <v>$D$175</v>
      </c>
      <c r="E175" t="str" cm="1">
        <f t="array" aca="1" ref="E175" ca="1">IF('Raw Data'!E175="",_xlfn.REGEXEXTRACT(CELL("address",'Raw Data'!E175),"\$([A-Z]+)\$[0-9]+"),"")</f>
        <v/>
      </c>
      <c r="F175" t="str" cm="1">
        <f t="array" aca="1" ref="F175" ca="1">IF('Raw Data'!F175="",_xlfn.REGEXEXTRACT(CELL("address",'Raw Data'!F175),"\$([A-Z]+)\$[0-9]+"),"")</f>
        <v>$F$175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Data'!G175="",_xlfn.REGEXEXTRACT(CELL("address",'Raw Data'!G175),"\$([A-Z]+)\$[0-9]+"),"")</f>
        <v>$G$175</v>
      </c>
      <c r="I175" t="str" cm="1">
        <f t="array" aca="1" ref="I175" ca="1">IF('Raw Data'!H175="",_xlfn.REGEXEXTRACT(CELL("address",'Raw Data'!H175),"\$([A-Z]+)\$[0-9]+"),"")</f>
        <v/>
      </c>
    </row>
    <row r="176" spans="2:9" x14ac:dyDescent="0.25">
      <c r="B176" t="str" cm="1">
        <f t="array" aca="1" ref="B176" ca="1">IF('Raw Data'!B176="",_xlfn.REGEXEXTRACT(CELL("address",'Raw Data'!B176),"\$([A-Z]+)\$[0-9]+"),"")</f>
        <v/>
      </c>
      <c r="C176" t="str" cm="1">
        <f t="array" aca="1" ref="C176" ca="1">IF('Raw Data'!C176="",_xlfn.REGEXEXTRACT(CELL("address",'Raw Data'!C176),"\$([A-Z]+)\$[0-9]+"),"")</f>
        <v/>
      </c>
      <c r="D176" t="str" cm="1">
        <f t="array" aca="1" ref="D176" ca="1">IF('Raw Data'!D176="",_xlfn.REGEXEXTRACT(CELL("address",'Raw Data'!D176),"\$([A-Z]+)\$[0-9]+"),"")</f>
        <v>$D$176</v>
      </c>
      <c r="E176" t="str" cm="1">
        <f t="array" aca="1" ref="E176" ca="1">IF('Raw Data'!E176="",_xlfn.REGEXEXTRACT(CELL("address",'Raw Data'!E176),"\$([A-Z]+)\$[0-9]+"),"")</f>
        <v/>
      </c>
      <c r="F176" t="str" cm="1">
        <f t="array" aca="1" ref="F176" ca="1">IF('Raw Data'!F176="",_xlfn.REGEXEXTRACT(CELL("address",'Raw Data'!F176),"\$([A-Z]+)\$[0-9]+"),"")</f>
        <v>$F$176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Data'!G176="",_xlfn.REGEXEXTRACT(CELL("address",'Raw Data'!G176),"\$([A-Z]+)\$[0-9]+"),"")</f>
        <v>$G$176</v>
      </c>
      <c r="I176" t="str" cm="1">
        <f t="array" aca="1" ref="I176" ca="1">IF('Raw Data'!H176="",_xlfn.REGEXEXTRACT(CELL("address",'Raw Data'!H176),"\$([A-Z]+)\$[0-9]+"),"")</f>
        <v/>
      </c>
    </row>
    <row r="177" spans="2:9" x14ac:dyDescent="0.25">
      <c r="B177" t="str" cm="1">
        <f t="array" aca="1" ref="B177" ca="1">IF('Raw Data'!B177="",_xlfn.REGEXEXTRACT(CELL("address",'Raw Data'!B177),"\$([A-Z]+)\$[0-9]+"),"")</f>
        <v/>
      </c>
      <c r="C177" t="str" cm="1">
        <f t="array" aca="1" ref="C177" ca="1">IF('Raw Data'!C177="",_xlfn.REGEXEXTRACT(CELL("address",'Raw Data'!C177),"\$([A-Z]+)\$[0-9]+"),"")</f>
        <v/>
      </c>
      <c r="D177" t="str" cm="1">
        <f t="array" aca="1" ref="D177" ca="1">IF('Raw Data'!D177="",_xlfn.REGEXEXTRACT(CELL("address",'Raw Data'!D177),"\$([A-Z]+)\$[0-9]+"),"")</f>
        <v>$D$177</v>
      </c>
      <c r="E177" t="str" cm="1">
        <f t="array" aca="1" ref="E177" ca="1">IF('Raw Data'!E177="",_xlfn.REGEXEXTRACT(CELL("address",'Raw Data'!E177),"\$([A-Z]+)\$[0-9]+"),"")</f>
        <v/>
      </c>
      <c r="F177" t="str" cm="1">
        <f t="array" aca="1" ref="F177" ca="1">IF('Raw Data'!F177="",_xlfn.REGEXEXTRACT(CELL("address",'Raw Data'!F177),"\$([A-Z]+)\$[0-9]+"),"")</f>
        <v>$F$177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Data'!G177="",_xlfn.REGEXEXTRACT(CELL("address",'Raw Data'!G177),"\$([A-Z]+)\$[0-9]+"),"")</f>
        <v>$G$177</v>
      </c>
      <c r="I177" t="str" cm="1">
        <f t="array" aca="1" ref="I177" ca="1">IF('Raw Data'!H177="",_xlfn.REGEXEXTRACT(CELL("address",'Raw Data'!H177),"\$([A-Z]+)\$[0-9]+"),"")</f>
        <v/>
      </c>
    </row>
    <row r="178" spans="2:9" x14ac:dyDescent="0.25">
      <c r="B178" t="str" cm="1">
        <f t="array" aca="1" ref="B178" ca="1">IF('Raw Data'!B178="",_xlfn.REGEXEXTRACT(CELL("address",'Raw Data'!B178),"\$([A-Z]+)\$[0-9]+"),"")</f>
        <v/>
      </c>
      <c r="C178" t="str" cm="1">
        <f t="array" aca="1" ref="C178" ca="1">IF('Raw Data'!C178="",_xlfn.REGEXEXTRACT(CELL("address",'Raw Data'!C178),"\$([A-Z]+)\$[0-9]+"),"")</f>
        <v/>
      </c>
      <c r="D178" t="str" cm="1">
        <f t="array" aca="1" ref="D178" ca="1">IF('Raw Data'!D178="",_xlfn.REGEXEXTRACT(CELL("address",'Raw Data'!D178),"\$([A-Z]+)\$[0-9]+"),"")</f>
        <v>$D$178</v>
      </c>
      <c r="E178" t="str" cm="1">
        <f t="array" aca="1" ref="E178" ca="1">IF('Raw Data'!E178="",_xlfn.REGEXEXTRACT(CELL("address",'Raw Data'!E178),"\$([A-Z]+)\$[0-9]+"),"")</f>
        <v/>
      </c>
      <c r="F178" t="str" cm="1">
        <f t="array" aca="1" ref="F178" ca="1">IF('Raw Data'!F178="",_xlfn.REGEXEXTRACT(CELL("address",'Raw Data'!F178),"\$([A-Z]+)\$[0-9]+"),"")</f>
        <v>$F$178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Data'!G178="",_xlfn.REGEXEXTRACT(CELL("address",'Raw Data'!G178),"\$([A-Z]+)\$[0-9]+"),"")</f>
        <v>$G$178</v>
      </c>
      <c r="I178" t="str" cm="1">
        <f t="array" aca="1" ref="I178" ca="1">IF('Raw Data'!H178="",_xlfn.REGEXEXTRACT(CELL("address",'Raw Data'!H178),"\$([A-Z]+)\$[0-9]+"),"")</f>
        <v/>
      </c>
    </row>
    <row r="179" spans="2:9" x14ac:dyDescent="0.25">
      <c r="B179" t="str" cm="1">
        <f t="array" aca="1" ref="B179" ca="1">IF('Raw Data'!B179="",_xlfn.REGEXEXTRACT(CELL("address",'Raw Data'!B179),"\$([A-Z]+)\$[0-9]+"),"")</f>
        <v/>
      </c>
      <c r="C179" t="str" cm="1">
        <f t="array" aca="1" ref="C179" ca="1">IF('Raw Data'!C179="",_xlfn.REGEXEXTRACT(CELL("address",'Raw Data'!C179),"\$([A-Z]+)\$[0-9]+"),"")</f>
        <v/>
      </c>
      <c r="D179" t="str" cm="1">
        <f t="array" aca="1" ref="D179" ca="1">IF('Raw Data'!D179="",_xlfn.REGEXEXTRACT(CELL("address",'Raw Data'!D179),"\$([A-Z]+)\$[0-9]+"),"")</f>
        <v>$D$179</v>
      </c>
      <c r="E179" t="str" cm="1">
        <f t="array" aca="1" ref="E179" ca="1">IF('Raw Data'!E179="",_xlfn.REGEXEXTRACT(CELL("address",'Raw Data'!E179),"\$([A-Z]+)\$[0-9]+"),"")</f>
        <v/>
      </c>
      <c r="F179" t="str" cm="1">
        <f t="array" aca="1" ref="F179" ca="1">IF('Raw Data'!F179="",_xlfn.REGEXEXTRACT(CELL("address",'Raw Data'!F179),"\$([A-Z]+)\$[0-9]+"),"")</f>
        <v>$F$179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Data'!G179="",_xlfn.REGEXEXTRACT(CELL("address",'Raw Data'!G179),"\$([A-Z]+)\$[0-9]+"),"")</f>
        <v>$G$179</v>
      </c>
      <c r="I179" t="str" cm="1">
        <f t="array" aca="1" ref="I179" ca="1">IF('Raw Data'!H179="",_xlfn.REGEXEXTRACT(CELL("address",'Raw Data'!H179),"\$([A-Z]+)\$[0-9]+"),"")</f>
        <v/>
      </c>
    </row>
    <row r="180" spans="2:9" x14ac:dyDescent="0.25">
      <c r="B180" t="str" cm="1">
        <f t="array" aca="1" ref="B180" ca="1">IF('Raw Data'!B180="",_xlfn.REGEXEXTRACT(CELL("address",'Raw Data'!B180),"\$([A-Z]+)\$[0-9]+"),"")</f>
        <v/>
      </c>
      <c r="C180" t="str" cm="1">
        <f t="array" aca="1" ref="C180" ca="1">IF('Raw Data'!C180="",_xlfn.REGEXEXTRACT(CELL("address",'Raw Data'!C180),"\$([A-Z]+)\$[0-9]+"),"")</f>
        <v/>
      </c>
      <c r="D180" t="str" cm="1">
        <f t="array" aca="1" ref="D180" ca="1">IF('Raw Data'!D180="",_xlfn.REGEXEXTRACT(CELL("address",'Raw Data'!D180),"\$([A-Z]+)\$[0-9]+"),"")</f>
        <v>$D$180</v>
      </c>
      <c r="E180" t="str" cm="1">
        <f t="array" aca="1" ref="E180" ca="1">IF('Raw Data'!E180="",_xlfn.REGEXEXTRACT(CELL("address",'Raw Data'!E180),"\$([A-Z]+)\$[0-9]+"),"")</f>
        <v/>
      </c>
      <c r="F180" t="str" cm="1">
        <f t="array" aca="1" ref="F180" ca="1">IF('Raw Data'!F180="",_xlfn.REGEXEXTRACT(CELL("address",'Raw Data'!F180),"\$([A-Z]+)\$[0-9]+"),"")</f>
        <v>$F$180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Data'!G180="",_xlfn.REGEXEXTRACT(CELL("address",'Raw Data'!G180),"\$([A-Z]+)\$[0-9]+"),"")</f>
        <v>$G$180</v>
      </c>
      <c r="I180" t="str" cm="1">
        <f t="array" aca="1" ref="I180" ca="1">IF('Raw Data'!H180="",_xlfn.REGEXEXTRACT(CELL("address",'Raw Data'!H180),"\$([A-Z]+)\$[0-9]+"),"")</f>
        <v/>
      </c>
    </row>
    <row r="181" spans="2:9" x14ac:dyDescent="0.25">
      <c r="B181" t="str" cm="1">
        <f t="array" aca="1" ref="B181" ca="1">IF('Raw Data'!B181="",_xlfn.REGEXEXTRACT(CELL("address",'Raw Data'!B181),"\$([A-Z]+)\$[0-9]+"),"")</f>
        <v/>
      </c>
      <c r="C181" t="str" cm="1">
        <f t="array" aca="1" ref="C181" ca="1">IF('Raw Data'!C181="",_xlfn.REGEXEXTRACT(CELL("address",'Raw Data'!C181),"\$([A-Z]+)\$[0-9]+"),"")</f>
        <v/>
      </c>
      <c r="D181" t="str" cm="1">
        <f t="array" aca="1" ref="D181" ca="1">IF('Raw Data'!D181="",_xlfn.REGEXEXTRACT(CELL("address",'Raw Data'!D181),"\$([A-Z]+)\$[0-9]+"),"")</f>
        <v>$D$181</v>
      </c>
      <c r="E181" t="str" cm="1">
        <f t="array" aca="1" ref="E181" ca="1">IF('Raw Data'!E181="",_xlfn.REGEXEXTRACT(CELL("address",'Raw Data'!E181),"\$([A-Z]+)\$[0-9]+"),"")</f>
        <v/>
      </c>
      <c r="F181" t="str" cm="1">
        <f t="array" aca="1" ref="F181" ca="1">IF('Raw Data'!F181="",_xlfn.REGEXEXTRACT(CELL("address",'Raw Data'!F181),"\$([A-Z]+)\$[0-9]+"),"")</f>
        <v>$F$181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Data'!G181="",_xlfn.REGEXEXTRACT(CELL("address",'Raw Data'!G181),"\$([A-Z]+)\$[0-9]+"),"")</f>
        <v>$G$181</v>
      </c>
      <c r="I181" t="str" cm="1">
        <f t="array" aca="1" ref="I181" ca="1">IF('Raw Data'!H181="",_xlfn.REGEXEXTRACT(CELL("address",'Raw Data'!H181),"\$([A-Z]+)\$[0-9]+"),"")</f>
        <v/>
      </c>
    </row>
    <row r="182" spans="2:9" x14ac:dyDescent="0.25">
      <c r="B182" t="str" cm="1">
        <f t="array" aca="1" ref="B182" ca="1">IF('Raw Data'!B182="",_xlfn.REGEXEXTRACT(CELL("address",'Raw Data'!B182),"\$([A-Z]+)\$[0-9]+"),"")</f>
        <v/>
      </c>
      <c r="C182" t="str" cm="1">
        <f t="array" aca="1" ref="C182" ca="1">IF('Raw Data'!C182="",_xlfn.REGEXEXTRACT(CELL("address",'Raw Data'!C182),"\$([A-Z]+)\$[0-9]+"),"")</f>
        <v/>
      </c>
      <c r="D182" t="str" cm="1">
        <f t="array" aca="1" ref="D182" ca="1">IF('Raw Data'!D182="",_xlfn.REGEXEXTRACT(CELL("address",'Raw Data'!D182),"\$([A-Z]+)\$[0-9]+"),"")</f>
        <v>$D$182</v>
      </c>
      <c r="E182" t="str" cm="1">
        <f t="array" aca="1" ref="E182" ca="1">IF('Raw Data'!E182="",_xlfn.REGEXEXTRACT(CELL("address",'Raw Data'!E182),"\$([A-Z]+)\$[0-9]+"),"")</f>
        <v/>
      </c>
      <c r="F182" t="str" cm="1">
        <f t="array" aca="1" ref="F182" ca="1">IF('Raw Data'!F182="",_xlfn.REGEXEXTRACT(CELL("address",'Raw Data'!F182),"\$([A-Z]+)\$[0-9]+"),"")</f>
        <v>$F$182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Data'!G182="",_xlfn.REGEXEXTRACT(CELL("address",'Raw Data'!G182),"\$([A-Z]+)\$[0-9]+"),"")</f>
        <v>$G$182</v>
      </c>
      <c r="I182" t="str" cm="1">
        <f t="array" aca="1" ref="I182" ca="1">IF('Raw Data'!H182="",_xlfn.REGEXEXTRACT(CELL("address",'Raw Data'!H182),"\$([A-Z]+)\$[0-9]+"),"")</f>
        <v/>
      </c>
    </row>
    <row r="183" spans="2:9" x14ac:dyDescent="0.25">
      <c r="B183" t="str" cm="1">
        <f t="array" aca="1" ref="B183" ca="1">IF('Raw Data'!B183="",_xlfn.REGEXEXTRACT(CELL("address",'Raw Data'!B183),"\$([A-Z]+)\$[0-9]+"),"")</f>
        <v/>
      </c>
      <c r="C183" t="str" cm="1">
        <f t="array" aca="1" ref="C183" ca="1">IF('Raw Data'!C183="",_xlfn.REGEXEXTRACT(CELL("address",'Raw Data'!C183),"\$([A-Z]+)\$[0-9]+"),"")</f>
        <v/>
      </c>
      <c r="D183" t="str" cm="1">
        <f t="array" aca="1" ref="D183" ca="1">IF('Raw Data'!D183="",_xlfn.REGEXEXTRACT(CELL("address",'Raw Data'!D183),"\$([A-Z]+)\$[0-9]+"),"")</f>
        <v>$D$183</v>
      </c>
      <c r="E183" t="str" cm="1">
        <f t="array" aca="1" ref="E183" ca="1">IF('Raw Data'!E183="",_xlfn.REGEXEXTRACT(CELL("address",'Raw Data'!E183),"\$([A-Z]+)\$[0-9]+"),"")</f>
        <v/>
      </c>
      <c r="F183" t="str" cm="1">
        <f t="array" aca="1" ref="F183" ca="1">IF('Raw Data'!F183="",_xlfn.REGEXEXTRACT(CELL("address",'Raw Data'!F183),"\$([A-Z]+)\$[0-9]+"),"")</f>
        <v>$F$183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Data'!G183="",_xlfn.REGEXEXTRACT(CELL("address",'Raw Data'!G183),"\$([A-Z]+)\$[0-9]+"),"")</f>
        <v>$G$183</v>
      </c>
      <c r="I183" t="str" cm="1">
        <f t="array" aca="1" ref="I183" ca="1">IF('Raw Data'!H183="",_xlfn.REGEXEXTRACT(CELL("address",'Raw Data'!H183),"\$([A-Z]+)\$[0-9]+"),"")</f>
        <v/>
      </c>
    </row>
    <row r="184" spans="2:9" x14ac:dyDescent="0.25">
      <c r="B184" t="str" cm="1">
        <f t="array" aca="1" ref="B184" ca="1">IF('Raw Data'!B184="",_xlfn.REGEXEXTRACT(CELL("address",'Raw Data'!B184),"\$([A-Z]+)\$[0-9]+"),"")</f>
        <v/>
      </c>
      <c r="C184" t="str" cm="1">
        <f t="array" aca="1" ref="C184" ca="1">IF('Raw Data'!C184="",_xlfn.REGEXEXTRACT(CELL("address",'Raw Data'!C184),"\$([A-Z]+)\$[0-9]+"),"")</f>
        <v/>
      </c>
      <c r="D184" t="str" cm="1">
        <f t="array" aca="1" ref="D184" ca="1">IF('Raw Data'!D184="",_xlfn.REGEXEXTRACT(CELL("address",'Raw Data'!D184),"\$([A-Z]+)\$[0-9]+"),"")</f>
        <v>$D$184</v>
      </c>
      <c r="E184" t="str" cm="1">
        <f t="array" aca="1" ref="E184" ca="1">IF('Raw Data'!E184="",_xlfn.REGEXEXTRACT(CELL("address",'Raw Data'!E184),"\$([A-Z]+)\$[0-9]+"),"")</f>
        <v/>
      </c>
      <c r="F184" t="str" cm="1">
        <f t="array" aca="1" ref="F184" ca="1">IF('Raw Data'!F184="",_xlfn.REGEXEXTRACT(CELL("address",'Raw Data'!F184),"\$([A-Z]+)\$[0-9]+"),"")</f>
        <v>$F$184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Data'!G184="",_xlfn.REGEXEXTRACT(CELL("address",'Raw Data'!G184),"\$([A-Z]+)\$[0-9]+"),"")</f>
        <v>$G$184</v>
      </c>
      <c r="I184" t="str" cm="1">
        <f t="array" aca="1" ref="I184" ca="1">IF('Raw Data'!H184="",_xlfn.REGEXEXTRACT(CELL("address",'Raw Data'!H184),"\$([A-Z]+)\$[0-9]+"),"")</f>
        <v/>
      </c>
    </row>
    <row r="185" spans="2:9" x14ac:dyDescent="0.25">
      <c r="B185" t="str" cm="1">
        <f t="array" aca="1" ref="B185" ca="1">IF('Raw Data'!B185="",_xlfn.REGEXEXTRACT(CELL("address",'Raw Data'!B185),"\$([A-Z]+)\$[0-9]+"),"")</f>
        <v/>
      </c>
      <c r="C185" t="str" cm="1">
        <f t="array" aca="1" ref="C185" ca="1">IF('Raw Data'!C185="",_xlfn.REGEXEXTRACT(CELL("address",'Raw Data'!C185),"\$([A-Z]+)\$[0-9]+"),"")</f>
        <v/>
      </c>
      <c r="D185" t="str" cm="1">
        <f t="array" aca="1" ref="D185" ca="1">IF('Raw Data'!D185="",_xlfn.REGEXEXTRACT(CELL("address",'Raw Data'!D185),"\$([A-Z]+)\$[0-9]+"),"")</f>
        <v>$D$185</v>
      </c>
      <c r="E185" t="str" cm="1">
        <f t="array" aca="1" ref="E185" ca="1">IF('Raw Data'!E185="",_xlfn.REGEXEXTRACT(CELL("address",'Raw Data'!E185),"\$([A-Z]+)\$[0-9]+"),"")</f>
        <v/>
      </c>
      <c r="F185" t="str" cm="1">
        <f t="array" aca="1" ref="F185" ca="1">IF('Raw Data'!F185="",_xlfn.REGEXEXTRACT(CELL("address",'Raw Data'!F185),"\$([A-Z]+)\$[0-9]+"),"")</f>
        <v>$F$185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Data'!G185="",_xlfn.REGEXEXTRACT(CELL("address",'Raw Data'!G185),"\$([A-Z]+)\$[0-9]+"),"")</f>
        <v>$G$185</v>
      </c>
      <c r="I185" t="str" cm="1">
        <f t="array" aca="1" ref="I185" ca="1">IF('Raw Data'!H185="",_xlfn.REGEXEXTRACT(CELL("address",'Raw Data'!H185),"\$([A-Z]+)\$[0-9]+"),"")</f>
        <v/>
      </c>
    </row>
    <row r="186" spans="2:9" x14ac:dyDescent="0.25">
      <c r="B186" t="str" cm="1">
        <f t="array" aca="1" ref="B186" ca="1">IF('Raw Data'!B186="",_xlfn.REGEXEXTRACT(CELL("address",'Raw Data'!B186),"\$([A-Z]+)\$[0-9]+"),"")</f>
        <v/>
      </c>
      <c r="C186" t="str" cm="1">
        <f t="array" aca="1" ref="C186" ca="1">IF('Raw Data'!C186="",_xlfn.REGEXEXTRACT(CELL("address",'Raw Data'!C186),"\$([A-Z]+)\$[0-9]+"),"")</f>
        <v/>
      </c>
      <c r="D186" t="str" cm="1">
        <f t="array" aca="1" ref="D186" ca="1">IF('Raw Data'!D186="",_xlfn.REGEXEXTRACT(CELL("address",'Raw Data'!D186),"\$([A-Z]+)\$[0-9]+"),"")</f>
        <v>$D$186</v>
      </c>
      <c r="E186" t="str" cm="1">
        <f t="array" aca="1" ref="E186" ca="1">IF('Raw Data'!E186="",_xlfn.REGEXEXTRACT(CELL("address",'Raw Data'!E186),"\$([A-Z]+)\$[0-9]+"),"")</f>
        <v/>
      </c>
      <c r="F186" t="str" cm="1">
        <f t="array" aca="1" ref="F186" ca="1">IF('Raw Data'!F186="",_xlfn.REGEXEXTRACT(CELL("address",'Raw Data'!F186),"\$([A-Z]+)\$[0-9]+"),"")</f>
        <v>$F$186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Data'!G186="",_xlfn.REGEXEXTRACT(CELL("address",'Raw Data'!G186),"\$([A-Z]+)\$[0-9]+"),"")</f>
        <v>$G$186</v>
      </c>
      <c r="I186" t="str" cm="1">
        <f t="array" aca="1" ref="I186" ca="1">IF('Raw Data'!H186="",_xlfn.REGEXEXTRACT(CELL("address",'Raw Data'!H186),"\$([A-Z]+)\$[0-9]+"),"")</f>
        <v/>
      </c>
    </row>
    <row r="187" spans="2:9" x14ac:dyDescent="0.25">
      <c r="B187" t="str" cm="1">
        <f t="array" aca="1" ref="B187" ca="1">IF('Raw Data'!B187="",_xlfn.REGEXEXTRACT(CELL("address",'Raw Data'!B187),"\$([A-Z]+)\$[0-9]+"),"")</f>
        <v/>
      </c>
      <c r="C187" t="str" cm="1">
        <f t="array" aca="1" ref="C187" ca="1">IF('Raw Data'!C187="",_xlfn.REGEXEXTRACT(CELL("address",'Raw Data'!C187),"\$([A-Z]+)\$[0-9]+"),"")</f>
        <v/>
      </c>
      <c r="D187" t="str" cm="1">
        <f t="array" aca="1" ref="D187" ca="1">IF('Raw Data'!D187="",_xlfn.REGEXEXTRACT(CELL("address",'Raw Data'!D187),"\$([A-Z]+)\$[0-9]+"),"")</f>
        <v>$D$187</v>
      </c>
      <c r="E187" t="str" cm="1">
        <f t="array" aca="1" ref="E187" ca="1">IF('Raw Data'!E187="",_xlfn.REGEXEXTRACT(CELL("address",'Raw Data'!E187),"\$([A-Z]+)\$[0-9]+"),"")</f>
        <v/>
      </c>
      <c r="F187" t="str" cm="1">
        <f t="array" aca="1" ref="F187" ca="1">IF('Raw Data'!F187="",_xlfn.REGEXEXTRACT(CELL("address",'Raw Data'!F187),"\$([A-Z]+)\$[0-9]+"),"")</f>
        <v>$F$187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Data'!G187="",_xlfn.REGEXEXTRACT(CELL("address",'Raw Data'!G187),"\$([A-Z]+)\$[0-9]+"),"")</f>
        <v>$G$187</v>
      </c>
      <c r="I187" t="str" cm="1">
        <f t="array" aca="1" ref="I187" ca="1">IF('Raw Data'!H187="",_xlfn.REGEXEXTRACT(CELL("address",'Raw Data'!H187),"\$([A-Z]+)\$[0-9]+"),"")</f>
        <v/>
      </c>
    </row>
    <row r="188" spans="2:9" x14ac:dyDescent="0.25">
      <c r="B188" t="str" cm="1">
        <f t="array" aca="1" ref="B188" ca="1">IF('Raw Data'!B188="",_xlfn.REGEXEXTRACT(CELL("address",'Raw Data'!B188),"\$([A-Z]+)\$[0-9]+"),"")</f>
        <v/>
      </c>
      <c r="C188" t="str" cm="1">
        <f t="array" aca="1" ref="C188" ca="1">IF('Raw Data'!C188="",_xlfn.REGEXEXTRACT(CELL("address",'Raw Data'!C188),"\$([A-Z]+)\$[0-9]+"),"")</f>
        <v/>
      </c>
      <c r="D188" t="str" cm="1">
        <f t="array" aca="1" ref="D188" ca="1">IF('Raw Data'!D188="",_xlfn.REGEXEXTRACT(CELL("address",'Raw Data'!D188),"\$([A-Z]+)\$[0-9]+"),"")</f>
        <v>$D$188</v>
      </c>
      <c r="E188" t="str" cm="1">
        <f t="array" aca="1" ref="E188" ca="1">IF('Raw Data'!E188="",_xlfn.REGEXEXTRACT(CELL("address",'Raw Data'!E188),"\$([A-Z]+)\$[0-9]+"),"")</f>
        <v/>
      </c>
      <c r="F188" t="str" cm="1">
        <f t="array" aca="1" ref="F188" ca="1">IF('Raw Data'!F188="",_xlfn.REGEXEXTRACT(CELL("address",'Raw Data'!F188),"\$([A-Z]+)\$[0-9]+"),"")</f>
        <v>$F$188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Data'!G188="",_xlfn.REGEXEXTRACT(CELL("address",'Raw Data'!G188),"\$([A-Z]+)\$[0-9]+"),"")</f>
        <v>$G$188</v>
      </c>
      <c r="I188" t="str" cm="1">
        <f t="array" aca="1" ref="I188" ca="1">IF('Raw Data'!H188="",_xlfn.REGEXEXTRACT(CELL("address",'Raw Data'!H188),"\$([A-Z]+)\$[0-9]+"),"")</f>
        <v/>
      </c>
    </row>
    <row r="189" spans="2:9" x14ac:dyDescent="0.25">
      <c r="B189" t="str" cm="1">
        <f t="array" aca="1" ref="B189" ca="1">IF('Raw Data'!B189="",_xlfn.REGEXEXTRACT(CELL("address",'Raw Data'!B189),"\$([A-Z]+)\$[0-9]+"),"")</f>
        <v/>
      </c>
      <c r="C189" t="str" cm="1">
        <f t="array" aca="1" ref="C189" ca="1">IF('Raw Data'!C189="",_xlfn.REGEXEXTRACT(CELL("address",'Raw Data'!C189),"\$([A-Z]+)\$[0-9]+"),"")</f>
        <v/>
      </c>
      <c r="D189" t="str" cm="1">
        <f t="array" aca="1" ref="D189" ca="1">IF('Raw Data'!D189="",_xlfn.REGEXEXTRACT(CELL("address",'Raw Data'!D189),"\$([A-Z]+)\$[0-9]+"),"")</f>
        <v>$D$189</v>
      </c>
      <c r="E189" t="str" cm="1">
        <f t="array" aca="1" ref="E189" ca="1">IF('Raw Data'!E189="",_xlfn.REGEXEXTRACT(CELL("address",'Raw Data'!E189),"\$([A-Z]+)\$[0-9]+"),"")</f>
        <v/>
      </c>
      <c r="F189" t="str" cm="1">
        <f t="array" aca="1" ref="F189" ca="1">IF('Raw Data'!F189="",_xlfn.REGEXEXTRACT(CELL("address",'Raw Data'!F189),"\$([A-Z]+)\$[0-9]+"),"")</f>
        <v>$F$189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Data'!G189="",_xlfn.REGEXEXTRACT(CELL("address",'Raw Data'!G189),"\$([A-Z]+)\$[0-9]+"),"")</f>
        <v>$G$189</v>
      </c>
      <c r="I189" t="str" cm="1">
        <f t="array" aca="1" ref="I189" ca="1">IF('Raw Data'!H189="",_xlfn.REGEXEXTRACT(CELL("address",'Raw Data'!H189),"\$([A-Z]+)\$[0-9]+"),"")</f>
        <v/>
      </c>
    </row>
    <row r="190" spans="2:9" x14ac:dyDescent="0.25">
      <c r="B190" t="str" cm="1">
        <f t="array" aca="1" ref="B190" ca="1">IF('Raw Data'!B190="",_xlfn.REGEXEXTRACT(CELL("address",'Raw Data'!B190),"\$([A-Z]+)\$[0-9]+"),"")</f>
        <v/>
      </c>
      <c r="C190" t="str" cm="1">
        <f t="array" aca="1" ref="C190" ca="1">IF('Raw Data'!C190="",_xlfn.REGEXEXTRACT(CELL("address",'Raw Data'!C190),"\$([A-Z]+)\$[0-9]+"),"")</f>
        <v/>
      </c>
      <c r="D190" t="str" cm="1">
        <f t="array" aca="1" ref="D190" ca="1">IF('Raw Data'!D190="",_xlfn.REGEXEXTRACT(CELL("address",'Raw Data'!D190),"\$([A-Z]+)\$[0-9]+"),"")</f>
        <v>$D$190</v>
      </c>
      <c r="E190" t="str" cm="1">
        <f t="array" aca="1" ref="E190" ca="1">IF('Raw Data'!E190="",_xlfn.REGEXEXTRACT(CELL("address",'Raw Data'!E190),"\$([A-Z]+)\$[0-9]+"),"")</f>
        <v/>
      </c>
      <c r="F190" t="str" cm="1">
        <f t="array" aca="1" ref="F190" ca="1">IF('Raw Data'!F190="",_xlfn.REGEXEXTRACT(CELL("address",'Raw Data'!F190),"\$([A-Z]+)\$[0-9]+"),"")</f>
        <v>$F$190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Data'!G190="",_xlfn.REGEXEXTRACT(CELL("address",'Raw Data'!G190),"\$([A-Z]+)\$[0-9]+"),"")</f>
        <v>$G$190</v>
      </c>
      <c r="I190" t="str" cm="1">
        <f t="array" aca="1" ref="I190" ca="1">IF('Raw Data'!H190="",_xlfn.REGEXEXTRACT(CELL("address",'Raw Data'!H190),"\$([A-Z]+)\$[0-9]+"),"")</f>
        <v/>
      </c>
    </row>
    <row r="191" spans="2:9" x14ac:dyDescent="0.25">
      <c r="B191" t="str" cm="1">
        <f t="array" aca="1" ref="B191" ca="1">IF('Raw Data'!B191="",_xlfn.REGEXEXTRACT(CELL("address",'Raw Data'!B191),"\$([A-Z]+)\$[0-9]+"),"")</f>
        <v/>
      </c>
      <c r="C191" t="str" cm="1">
        <f t="array" aca="1" ref="C191" ca="1">IF('Raw Data'!C191="",_xlfn.REGEXEXTRACT(CELL("address",'Raw Data'!C191),"\$([A-Z]+)\$[0-9]+"),"")</f>
        <v/>
      </c>
      <c r="D191" t="str" cm="1">
        <f t="array" aca="1" ref="D191" ca="1">IF('Raw Data'!D191="",_xlfn.REGEXEXTRACT(CELL("address",'Raw Data'!D191),"\$([A-Z]+)\$[0-9]+"),"")</f>
        <v>$D$191</v>
      </c>
      <c r="E191" t="str" cm="1">
        <f t="array" aca="1" ref="E191" ca="1">IF('Raw Data'!E191="",_xlfn.REGEXEXTRACT(CELL("address",'Raw Data'!E191),"\$([A-Z]+)\$[0-9]+"),"")</f>
        <v/>
      </c>
      <c r="F191" t="str" cm="1">
        <f t="array" aca="1" ref="F191" ca="1">IF('Raw Data'!F191="",_xlfn.REGEXEXTRACT(CELL("address",'Raw Data'!F191),"\$([A-Z]+)\$[0-9]+"),"")</f>
        <v>$F$191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Data'!G191="",_xlfn.REGEXEXTRACT(CELL("address",'Raw Data'!G191),"\$([A-Z]+)\$[0-9]+"),"")</f>
        <v>$G$191</v>
      </c>
      <c r="I191" t="str" cm="1">
        <f t="array" aca="1" ref="I191" ca="1">IF('Raw Data'!H191="",_xlfn.REGEXEXTRACT(CELL("address",'Raw Data'!H191),"\$([A-Z]+)\$[0-9]+"),"")</f>
        <v/>
      </c>
    </row>
    <row r="192" spans="2:9" x14ac:dyDescent="0.25">
      <c r="B192" t="str" cm="1">
        <f t="array" aca="1" ref="B192" ca="1">IF('Raw Data'!B192="",_xlfn.REGEXEXTRACT(CELL("address",'Raw Data'!B192),"\$([A-Z]+)\$[0-9]+"),"")</f>
        <v/>
      </c>
      <c r="C192" t="str" cm="1">
        <f t="array" aca="1" ref="C192" ca="1">IF('Raw Data'!C192="",_xlfn.REGEXEXTRACT(CELL("address",'Raw Data'!C192),"\$([A-Z]+)\$[0-9]+"),"")</f>
        <v/>
      </c>
      <c r="D192" t="str" cm="1">
        <f t="array" aca="1" ref="D192" ca="1">IF('Raw Data'!D192="",_xlfn.REGEXEXTRACT(CELL("address",'Raw Data'!D192),"\$([A-Z]+)\$[0-9]+"),"")</f>
        <v>$D$192</v>
      </c>
      <c r="E192" t="str" cm="1">
        <f t="array" aca="1" ref="E192" ca="1">IF('Raw Data'!E192="",_xlfn.REGEXEXTRACT(CELL("address",'Raw Data'!E192),"\$([A-Z]+)\$[0-9]+"),"")</f>
        <v/>
      </c>
      <c r="F192" t="str" cm="1">
        <f t="array" aca="1" ref="F192" ca="1">IF('Raw Data'!F192="",_xlfn.REGEXEXTRACT(CELL("address",'Raw Data'!F192),"\$([A-Z]+)\$[0-9]+"),"")</f>
        <v>$F$192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Data'!G192="",_xlfn.REGEXEXTRACT(CELL("address",'Raw Data'!G192),"\$([A-Z]+)\$[0-9]+"),"")</f>
        <v>$G$192</v>
      </c>
      <c r="I192" t="str" cm="1">
        <f t="array" aca="1" ref="I192" ca="1">IF('Raw Data'!H192="",_xlfn.REGEXEXTRACT(CELL("address",'Raw Data'!H192),"\$([A-Z]+)\$[0-9]+"),"")</f>
        <v/>
      </c>
    </row>
    <row r="193" spans="2:9" x14ac:dyDescent="0.25">
      <c r="B193" t="str" cm="1">
        <f t="array" aca="1" ref="B193" ca="1">IF('Raw Data'!B193="",_xlfn.REGEXEXTRACT(CELL("address",'Raw Data'!B193),"\$([A-Z]+)\$[0-9]+"),"")</f>
        <v/>
      </c>
      <c r="C193" t="str" cm="1">
        <f t="array" aca="1" ref="C193" ca="1">IF('Raw Data'!C193="",_xlfn.REGEXEXTRACT(CELL("address",'Raw Data'!C193),"\$([A-Z]+)\$[0-9]+"),"")</f>
        <v/>
      </c>
      <c r="D193" t="str" cm="1">
        <f t="array" aca="1" ref="D193" ca="1">IF('Raw Data'!D193="",_xlfn.REGEXEXTRACT(CELL("address",'Raw Data'!D193),"\$([A-Z]+)\$[0-9]+"),"")</f>
        <v>$D$193</v>
      </c>
      <c r="E193" t="str" cm="1">
        <f t="array" aca="1" ref="E193" ca="1">IF('Raw Data'!E193="",_xlfn.REGEXEXTRACT(CELL("address",'Raw Data'!E193),"\$([A-Z]+)\$[0-9]+"),"")</f>
        <v/>
      </c>
      <c r="F193" t="str" cm="1">
        <f t="array" aca="1" ref="F193" ca="1">IF('Raw Data'!F193="",_xlfn.REGEXEXTRACT(CELL("address",'Raw Data'!F193),"\$([A-Z]+)\$[0-9]+"),"")</f>
        <v>$F$193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Data'!G193="",_xlfn.REGEXEXTRACT(CELL("address",'Raw Data'!G193),"\$([A-Z]+)\$[0-9]+"),"")</f>
        <v>$G$193</v>
      </c>
      <c r="I193" t="str" cm="1">
        <f t="array" aca="1" ref="I193" ca="1">IF('Raw Data'!H193="",_xlfn.REGEXEXTRACT(CELL("address",'Raw Data'!H193),"\$([A-Z]+)\$[0-9]+"),"")</f>
        <v/>
      </c>
    </row>
    <row r="194" spans="2:9" x14ac:dyDescent="0.25">
      <c r="B194" t="str" cm="1">
        <f t="array" aca="1" ref="B194" ca="1">IF('Raw Data'!B194="",_xlfn.REGEXEXTRACT(CELL("address",'Raw Data'!B194),"\$([A-Z]+)\$[0-9]+"),"")</f>
        <v/>
      </c>
      <c r="C194" t="str" cm="1">
        <f t="array" aca="1" ref="C194" ca="1">IF('Raw Data'!C194="",_xlfn.REGEXEXTRACT(CELL("address",'Raw Data'!C194),"\$([A-Z]+)\$[0-9]+"),"")</f>
        <v/>
      </c>
      <c r="D194" t="str" cm="1">
        <f t="array" aca="1" ref="D194" ca="1">IF('Raw Data'!D194="",_xlfn.REGEXEXTRACT(CELL("address",'Raw Data'!D194),"\$([A-Z]+)\$[0-9]+"),"")</f>
        <v>$D$194</v>
      </c>
      <c r="E194" t="str" cm="1">
        <f t="array" aca="1" ref="E194" ca="1">IF('Raw Data'!E194="",_xlfn.REGEXEXTRACT(CELL("address",'Raw Data'!E194),"\$([A-Z]+)\$[0-9]+"),"")</f>
        <v/>
      </c>
      <c r="F194" t="str" cm="1">
        <f t="array" aca="1" ref="F194" ca="1">IF('Raw Data'!F194="",_xlfn.REGEXEXTRACT(CELL("address",'Raw Data'!F194),"\$([A-Z]+)\$[0-9]+"),"")</f>
        <v>$F$194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Data'!G194="",_xlfn.REGEXEXTRACT(CELL("address",'Raw Data'!G194),"\$([A-Z]+)\$[0-9]+"),"")</f>
        <v>$G$194</v>
      </c>
      <c r="I194" t="str" cm="1">
        <f t="array" aca="1" ref="I194" ca="1">IF('Raw Data'!H194="",_xlfn.REGEXEXTRACT(CELL("address",'Raw Data'!H194),"\$([A-Z]+)\$[0-9]+"),"")</f>
        <v/>
      </c>
    </row>
    <row r="195" spans="2:9" x14ac:dyDescent="0.25">
      <c r="B195" t="str" cm="1">
        <f t="array" aca="1" ref="B195" ca="1">IF('Raw Data'!B195="",_xlfn.REGEXEXTRACT(CELL("address",'Raw Data'!B195),"\$([A-Z]+)\$[0-9]+"),"")</f>
        <v/>
      </c>
      <c r="C195" t="str" cm="1">
        <f t="array" aca="1" ref="C195" ca="1">IF('Raw Data'!C195="",_xlfn.REGEXEXTRACT(CELL("address",'Raw Data'!C195),"\$([A-Z]+)\$[0-9]+"),"")</f>
        <v/>
      </c>
      <c r="D195" t="str" cm="1">
        <f t="array" aca="1" ref="D195" ca="1">IF('Raw Data'!D195="",_xlfn.REGEXEXTRACT(CELL("address",'Raw Data'!D195),"\$([A-Z]+)\$[0-9]+"),"")</f>
        <v>$D$195</v>
      </c>
      <c r="E195" t="str" cm="1">
        <f t="array" aca="1" ref="E195" ca="1">IF('Raw Data'!E195="",_xlfn.REGEXEXTRACT(CELL("address",'Raw Data'!E195),"\$([A-Z]+)\$[0-9]+"),"")</f>
        <v/>
      </c>
      <c r="F195" t="str" cm="1">
        <f t="array" aca="1" ref="F195" ca="1">IF('Raw Data'!F195="",_xlfn.REGEXEXTRACT(CELL("address",'Raw Data'!F195),"\$([A-Z]+)\$[0-9]+"),"")</f>
        <v>$F$195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Data'!G195="",_xlfn.REGEXEXTRACT(CELL("address",'Raw Data'!G195),"\$([A-Z]+)\$[0-9]+"),"")</f>
        <v>$G$195</v>
      </c>
      <c r="I195" t="str" cm="1">
        <f t="array" aca="1" ref="I195" ca="1">IF('Raw Data'!H195="",_xlfn.REGEXEXTRACT(CELL("address",'Raw Data'!H195),"\$([A-Z]+)\$[0-9]+"),"")</f>
        <v/>
      </c>
    </row>
    <row r="196" spans="2:9" x14ac:dyDescent="0.25">
      <c r="B196" t="str" cm="1">
        <f t="array" aca="1" ref="B196" ca="1">IF('Raw Data'!B196="",_xlfn.REGEXEXTRACT(CELL("address",'Raw Data'!B196),"\$([A-Z]+)\$[0-9]+"),"")</f>
        <v/>
      </c>
      <c r="C196" t="str" cm="1">
        <f t="array" aca="1" ref="C196" ca="1">IF('Raw Data'!C196="",_xlfn.REGEXEXTRACT(CELL("address",'Raw Data'!C196),"\$([A-Z]+)\$[0-9]+"),"")</f>
        <v/>
      </c>
      <c r="D196" t="str" cm="1">
        <f t="array" aca="1" ref="D196" ca="1">IF('Raw Data'!D196="",_xlfn.REGEXEXTRACT(CELL("address",'Raw Data'!D196),"\$([A-Z]+)\$[0-9]+"),"")</f>
        <v>$D$196</v>
      </c>
      <c r="E196" t="str" cm="1">
        <f t="array" aca="1" ref="E196" ca="1">IF('Raw Data'!E196="",_xlfn.REGEXEXTRACT(CELL("address",'Raw Data'!E196),"\$([A-Z]+)\$[0-9]+"),"")</f>
        <v/>
      </c>
      <c r="F196" t="str" cm="1">
        <f t="array" aca="1" ref="F196" ca="1">IF('Raw Data'!F196="",_xlfn.REGEXEXTRACT(CELL("address",'Raw Data'!F196),"\$([A-Z]+)\$[0-9]+"),"")</f>
        <v>$F$196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Data'!G196="",_xlfn.REGEXEXTRACT(CELL("address",'Raw Data'!G196),"\$([A-Z]+)\$[0-9]+"),"")</f>
        <v>$G$196</v>
      </c>
      <c r="I196" t="str" cm="1">
        <f t="array" aca="1" ref="I196" ca="1">IF('Raw Data'!H196="",_xlfn.REGEXEXTRACT(CELL("address",'Raw Data'!H196),"\$([A-Z]+)\$[0-9]+"),"")</f>
        <v/>
      </c>
    </row>
    <row r="197" spans="2:9" x14ac:dyDescent="0.25">
      <c r="B197" t="str" cm="1">
        <f t="array" aca="1" ref="B197" ca="1">IF('Raw Data'!B197="",_xlfn.REGEXEXTRACT(CELL("address",'Raw Data'!B197),"\$([A-Z]+)\$[0-9]+"),"")</f>
        <v/>
      </c>
      <c r="C197" t="str" cm="1">
        <f t="array" aca="1" ref="C197" ca="1">IF('Raw Data'!C197="",_xlfn.REGEXEXTRACT(CELL("address",'Raw Data'!C197),"\$([A-Z]+)\$[0-9]+"),"")</f>
        <v/>
      </c>
      <c r="D197" t="str" cm="1">
        <f t="array" aca="1" ref="D197" ca="1">IF('Raw Data'!D197="",_xlfn.REGEXEXTRACT(CELL("address",'Raw Data'!D197),"\$([A-Z]+)\$[0-9]+"),"")</f>
        <v>$D$197</v>
      </c>
      <c r="E197" t="str" cm="1">
        <f t="array" aca="1" ref="E197" ca="1">IF('Raw Data'!E197="",_xlfn.REGEXEXTRACT(CELL("address",'Raw Data'!E197),"\$([A-Z]+)\$[0-9]+"),"")</f>
        <v/>
      </c>
      <c r="F197" t="str" cm="1">
        <f t="array" aca="1" ref="F197" ca="1">IF('Raw Data'!F197="",_xlfn.REGEXEXTRACT(CELL("address",'Raw Data'!F197),"\$([A-Z]+)\$[0-9]+"),"")</f>
        <v>$F$197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Data'!G197="",_xlfn.REGEXEXTRACT(CELL("address",'Raw Data'!G197),"\$([A-Z]+)\$[0-9]+"),"")</f>
        <v>$G$197</v>
      </c>
      <c r="I197" t="str" cm="1">
        <f t="array" aca="1" ref="I197" ca="1">IF('Raw Data'!H197="",_xlfn.REGEXEXTRACT(CELL("address",'Raw Data'!H197),"\$([A-Z]+)\$[0-9]+"),"")</f>
        <v/>
      </c>
    </row>
    <row r="198" spans="2:9" x14ac:dyDescent="0.25">
      <c r="B198" t="str" cm="1">
        <f t="array" aca="1" ref="B198" ca="1">IF('Raw Data'!B198="",_xlfn.REGEXEXTRACT(CELL("address",'Raw Data'!B198),"\$([A-Z]+)\$[0-9]+"),"")</f>
        <v/>
      </c>
      <c r="C198" t="str" cm="1">
        <f t="array" aca="1" ref="C198" ca="1">IF('Raw Data'!C198="",_xlfn.REGEXEXTRACT(CELL("address",'Raw Data'!C198),"\$([A-Z]+)\$[0-9]+"),"")</f>
        <v/>
      </c>
      <c r="D198" t="str" cm="1">
        <f t="array" aca="1" ref="D198" ca="1">IF('Raw Data'!D198="",_xlfn.REGEXEXTRACT(CELL("address",'Raw Data'!D198),"\$([A-Z]+)\$[0-9]+"),"")</f>
        <v>$D$198</v>
      </c>
      <c r="E198" t="str" cm="1">
        <f t="array" aca="1" ref="E198" ca="1">IF('Raw Data'!E198="",_xlfn.REGEXEXTRACT(CELL("address",'Raw Data'!E198),"\$([A-Z]+)\$[0-9]+"),"")</f>
        <v/>
      </c>
      <c r="F198" t="str" cm="1">
        <f t="array" aca="1" ref="F198" ca="1">IF('Raw Data'!F198="",_xlfn.REGEXEXTRACT(CELL("address",'Raw Data'!F198),"\$([A-Z]+)\$[0-9]+"),"")</f>
        <v>$F$198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Data'!G198="",_xlfn.REGEXEXTRACT(CELL("address",'Raw Data'!G198),"\$([A-Z]+)\$[0-9]+"),"")</f>
        <v>$G$198</v>
      </c>
      <c r="I198" t="str" cm="1">
        <f t="array" aca="1" ref="I198" ca="1">IF('Raw Data'!H198="",_xlfn.REGEXEXTRACT(CELL("address",'Raw Data'!H198),"\$([A-Z]+)\$[0-9]+"),"")</f>
        <v/>
      </c>
    </row>
    <row r="199" spans="2:9" x14ac:dyDescent="0.25">
      <c r="B199" t="str" cm="1">
        <f t="array" aca="1" ref="B199" ca="1">IF('Raw Data'!B199="",_xlfn.REGEXEXTRACT(CELL("address",'Raw Data'!B199),"\$([A-Z]+)\$[0-9]+"),"")</f>
        <v/>
      </c>
      <c r="C199" t="str" cm="1">
        <f t="array" aca="1" ref="C199" ca="1">IF('Raw Data'!C199="",_xlfn.REGEXEXTRACT(CELL("address",'Raw Data'!C199),"\$([A-Z]+)\$[0-9]+"),"")</f>
        <v/>
      </c>
      <c r="D199" t="str" cm="1">
        <f t="array" aca="1" ref="D199" ca="1">IF('Raw Data'!D199="",_xlfn.REGEXEXTRACT(CELL("address",'Raw Data'!D199),"\$([A-Z]+)\$[0-9]+"),"")</f>
        <v>$D$199</v>
      </c>
      <c r="E199" t="str" cm="1">
        <f t="array" aca="1" ref="E199" ca="1">IF('Raw Data'!E199="",_xlfn.REGEXEXTRACT(CELL("address",'Raw Data'!E199),"\$([A-Z]+)\$[0-9]+"),"")</f>
        <v/>
      </c>
      <c r="F199" t="str" cm="1">
        <f t="array" aca="1" ref="F199" ca="1">IF('Raw Data'!F199="",_xlfn.REGEXEXTRACT(CELL("address",'Raw Data'!F199),"\$([A-Z]+)\$[0-9]+"),"")</f>
        <v>$F$199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Data'!G199="",_xlfn.REGEXEXTRACT(CELL("address",'Raw Data'!G199),"\$([A-Z]+)\$[0-9]+"),"")</f>
        <v>$G$199</v>
      </c>
      <c r="I199" t="str" cm="1">
        <f t="array" aca="1" ref="I199" ca="1">IF('Raw Data'!H199="",_xlfn.REGEXEXTRACT(CELL("address",'Raw Data'!H199),"\$([A-Z]+)\$[0-9]+"),"")</f>
        <v/>
      </c>
    </row>
    <row r="200" spans="2:9" x14ac:dyDescent="0.25">
      <c r="B200" t="str" cm="1">
        <f t="array" aca="1" ref="B200" ca="1">IF('Raw Data'!B200="",_xlfn.REGEXEXTRACT(CELL("address",'Raw Data'!B200),"\$([A-Z]+)\$[0-9]+"),"")</f>
        <v/>
      </c>
      <c r="C200" t="str" cm="1">
        <f t="array" aca="1" ref="C200" ca="1">IF('Raw Data'!C200="",_xlfn.REGEXEXTRACT(CELL("address",'Raw Data'!C200),"\$([A-Z]+)\$[0-9]+"),"")</f>
        <v/>
      </c>
      <c r="D200" t="str" cm="1">
        <f t="array" aca="1" ref="D200" ca="1">IF('Raw Data'!D200="",_xlfn.REGEXEXTRACT(CELL("address",'Raw Data'!D200),"\$([A-Z]+)\$[0-9]+"),"")</f>
        <v>$D$200</v>
      </c>
      <c r="E200" t="str" cm="1">
        <f t="array" aca="1" ref="E200" ca="1">IF('Raw Data'!E200="",_xlfn.REGEXEXTRACT(CELL("address",'Raw Data'!E200),"\$([A-Z]+)\$[0-9]+"),"")</f>
        <v/>
      </c>
      <c r="F200" t="str" cm="1">
        <f t="array" aca="1" ref="F200" ca="1">IF('Raw Data'!F200="",_xlfn.REGEXEXTRACT(CELL("address",'Raw Data'!F200),"\$([A-Z]+)\$[0-9]+"),"")</f>
        <v>$F$200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Data'!G200="",_xlfn.REGEXEXTRACT(CELL("address",'Raw Data'!G200),"\$([A-Z]+)\$[0-9]+"),"")</f>
        <v>$G$200</v>
      </c>
      <c r="I200" t="str" cm="1">
        <f t="array" aca="1" ref="I200" ca="1">IF('Raw Data'!H200="",_xlfn.REGEXEXTRACT(CELL("address",'Raw Data'!H200),"\$([A-Z]+)\$[0-9]+"),"")</f>
        <v/>
      </c>
    </row>
    <row r="201" spans="2:9" x14ac:dyDescent="0.25">
      <c r="B201" t="str" cm="1">
        <f t="array" aca="1" ref="B201" ca="1">IF('Raw Data'!B201="",_xlfn.REGEXEXTRACT(CELL("address",'Raw Data'!B201),"\$([A-Z]+)\$[0-9]+"),"")</f>
        <v/>
      </c>
      <c r="C201" t="str" cm="1">
        <f t="array" aca="1" ref="C201" ca="1">IF('Raw Data'!C201="",_xlfn.REGEXEXTRACT(CELL("address",'Raw Data'!C201),"\$([A-Z]+)\$[0-9]+"),"")</f>
        <v/>
      </c>
      <c r="D201" t="str" cm="1">
        <f t="array" aca="1" ref="D201" ca="1">IF('Raw Data'!D201="",_xlfn.REGEXEXTRACT(CELL("address",'Raw Data'!D201),"\$([A-Z]+)\$[0-9]+"),"")</f>
        <v>$D$201</v>
      </c>
      <c r="E201" t="str" cm="1">
        <f t="array" aca="1" ref="E201" ca="1">IF('Raw Data'!E201="",_xlfn.REGEXEXTRACT(CELL("address",'Raw Data'!E201),"\$([A-Z]+)\$[0-9]+"),"")</f>
        <v/>
      </c>
      <c r="F201" t="str" cm="1">
        <f t="array" aca="1" ref="F201" ca="1">IF('Raw Data'!F201="",_xlfn.REGEXEXTRACT(CELL("address",'Raw Data'!F201),"\$([A-Z]+)\$[0-9]+"),"")</f>
        <v>$F$201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Data'!G201="",_xlfn.REGEXEXTRACT(CELL("address",'Raw Data'!G201),"\$([A-Z]+)\$[0-9]+"),"")</f>
        <v>$G$201</v>
      </c>
      <c r="I201" t="str" cm="1">
        <f t="array" aca="1" ref="I201" ca="1">IF('Raw Data'!H201="",_xlfn.REGEXEXTRACT(CELL("address",'Raw Data'!H201),"\$([A-Z]+)\$[0-9]+"),"")</f>
        <v/>
      </c>
    </row>
    <row r="202" spans="2:9" x14ac:dyDescent="0.25">
      <c r="B202" t="str" cm="1">
        <f t="array" aca="1" ref="B202" ca="1">IF('Raw Data'!B202="",_xlfn.REGEXEXTRACT(CELL("address",'Raw Data'!B202),"\$([A-Z]+)\$[0-9]+"),"")</f>
        <v/>
      </c>
      <c r="C202" t="str" cm="1">
        <f t="array" aca="1" ref="C202" ca="1">IF('Raw Data'!C202="",_xlfn.REGEXEXTRACT(CELL("address",'Raw Data'!C202),"\$([A-Z]+)\$[0-9]+"),"")</f>
        <v/>
      </c>
      <c r="D202" t="str" cm="1">
        <f t="array" aca="1" ref="D202" ca="1">IF('Raw Data'!D202="",_xlfn.REGEXEXTRACT(CELL("address",'Raw Data'!D202),"\$([A-Z]+)\$[0-9]+"),"")</f>
        <v>$D$202</v>
      </c>
      <c r="E202" t="str" cm="1">
        <f t="array" aca="1" ref="E202" ca="1">IF('Raw Data'!E202="",_xlfn.REGEXEXTRACT(CELL("address",'Raw Data'!E202),"\$([A-Z]+)\$[0-9]+"),"")</f>
        <v/>
      </c>
      <c r="F202" t="str" cm="1">
        <f t="array" aca="1" ref="F202" ca="1">IF('Raw Data'!F202="",_xlfn.REGEXEXTRACT(CELL("address",'Raw Data'!F202),"\$([A-Z]+)\$[0-9]+"),"")</f>
        <v>$F$202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Data'!G202="",_xlfn.REGEXEXTRACT(CELL("address",'Raw Data'!G202),"\$([A-Z]+)\$[0-9]+"),"")</f>
        <v>$G$202</v>
      </c>
      <c r="I202" t="str" cm="1">
        <f t="array" aca="1" ref="I202" ca="1">IF('Raw Data'!H202="",_xlfn.REGEXEXTRACT(CELL("address",'Raw Data'!H202),"\$([A-Z]+)\$[0-9]+"),"")</f>
        <v/>
      </c>
    </row>
    <row r="203" spans="2:9" x14ac:dyDescent="0.25">
      <c r="B203" t="str" cm="1">
        <f t="array" aca="1" ref="B203" ca="1">IF('Raw Data'!B203="",_xlfn.REGEXEXTRACT(CELL("address",'Raw Data'!B203),"\$([A-Z]+)\$[0-9]+"),"")</f>
        <v/>
      </c>
      <c r="C203" t="str" cm="1">
        <f t="array" aca="1" ref="C203" ca="1">IF('Raw Data'!C203="",_xlfn.REGEXEXTRACT(CELL("address",'Raw Data'!C203),"\$([A-Z]+)\$[0-9]+"),"")</f>
        <v/>
      </c>
      <c r="D203" t="str" cm="1">
        <f t="array" aca="1" ref="D203" ca="1">IF('Raw Data'!D203="",_xlfn.REGEXEXTRACT(CELL("address",'Raw Data'!D203),"\$([A-Z]+)\$[0-9]+"),"")</f>
        <v>$D$203</v>
      </c>
      <c r="E203" t="str" cm="1">
        <f t="array" aca="1" ref="E203" ca="1">IF('Raw Data'!E203="",_xlfn.REGEXEXTRACT(CELL("address",'Raw Data'!E203),"\$([A-Z]+)\$[0-9]+"),"")</f>
        <v/>
      </c>
      <c r="F203" t="str" cm="1">
        <f t="array" aca="1" ref="F203" ca="1">IF('Raw Data'!F203="",_xlfn.REGEXEXTRACT(CELL("address",'Raw Data'!F203),"\$([A-Z]+)\$[0-9]+"),"")</f>
        <v>$F$203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Data'!G203="",_xlfn.REGEXEXTRACT(CELL("address",'Raw Data'!G203),"\$([A-Z]+)\$[0-9]+"),"")</f>
        <v>$G$203</v>
      </c>
      <c r="I203" t="str" cm="1">
        <f t="array" aca="1" ref="I203" ca="1">IF('Raw Data'!H203="",_xlfn.REGEXEXTRACT(CELL("address",'Raw Data'!H203),"\$([A-Z]+)\$[0-9]+"),"")</f>
        <v/>
      </c>
    </row>
    <row r="204" spans="2:9" x14ac:dyDescent="0.25">
      <c r="B204" t="str" cm="1">
        <f t="array" aca="1" ref="B204" ca="1">IF('Raw Data'!B204="",_xlfn.REGEXEXTRACT(CELL("address",'Raw Data'!B204),"\$([A-Z]+)\$[0-9]+"),"")</f>
        <v/>
      </c>
      <c r="C204" t="str" cm="1">
        <f t="array" aca="1" ref="C204" ca="1">IF('Raw Data'!C204="",_xlfn.REGEXEXTRACT(CELL("address",'Raw Data'!C204),"\$([A-Z]+)\$[0-9]+"),"")</f>
        <v/>
      </c>
      <c r="D204" t="str" cm="1">
        <f t="array" aca="1" ref="D204" ca="1">IF('Raw Data'!D204="",_xlfn.REGEXEXTRACT(CELL("address",'Raw Data'!D204),"\$([A-Z]+)\$[0-9]+"),"")</f>
        <v>$D$204</v>
      </c>
      <c r="E204" t="str" cm="1">
        <f t="array" aca="1" ref="E204" ca="1">IF('Raw Data'!E204="",_xlfn.REGEXEXTRACT(CELL("address",'Raw Data'!E204),"\$([A-Z]+)\$[0-9]+"),"")</f>
        <v/>
      </c>
      <c r="F204" t="str" cm="1">
        <f t="array" aca="1" ref="F204" ca="1">IF('Raw Data'!F204="",_xlfn.REGEXEXTRACT(CELL("address",'Raw Data'!F204),"\$([A-Z]+)\$[0-9]+"),"")</f>
        <v>$F$204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Data'!G204="",_xlfn.REGEXEXTRACT(CELL("address",'Raw Data'!G204),"\$([A-Z]+)\$[0-9]+"),"")</f>
        <v>$G$204</v>
      </c>
      <c r="I204" t="str" cm="1">
        <f t="array" aca="1" ref="I204" ca="1">IF('Raw Data'!H204="",_xlfn.REGEXEXTRACT(CELL("address",'Raw Data'!H204),"\$([A-Z]+)\$[0-9]+"),"")</f>
        <v/>
      </c>
    </row>
    <row r="205" spans="2:9" x14ac:dyDescent="0.25">
      <c r="B205" t="str" cm="1">
        <f t="array" aca="1" ref="B205" ca="1">IF('Raw Data'!B205="",_xlfn.REGEXEXTRACT(CELL("address",'Raw Data'!B205),"\$([A-Z]+)\$[0-9]+"),"")</f>
        <v/>
      </c>
      <c r="C205" t="str" cm="1">
        <f t="array" aca="1" ref="C205" ca="1">IF('Raw Data'!C205="",_xlfn.REGEXEXTRACT(CELL("address",'Raw Data'!C205),"\$([A-Z]+)\$[0-9]+"),"")</f>
        <v/>
      </c>
      <c r="D205" t="str" cm="1">
        <f t="array" aca="1" ref="D205" ca="1">IF('Raw Data'!D205="",_xlfn.REGEXEXTRACT(CELL("address",'Raw Data'!D205),"\$([A-Z]+)\$[0-9]+"),"")</f>
        <v>$D$205</v>
      </c>
      <c r="E205" t="str" cm="1">
        <f t="array" aca="1" ref="E205" ca="1">IF('Raw Data'!E205="",_xlfn.REGEXEXTRACT(CELL("address",'Raw Data'!E205),"\$([A-Z]+)\$[0-9]+"),"")</f>
        <v/>
      </c>
      <c r="F205" t="str" cm="1">
        <f t="array" aca="1" ref="F205" ca="1">IF('Raw Data'!F205="",_xlfn.REGEXEXTRACT(CELL("address",'Raw Data'!F205),"\$([A-Z]+)\$[0-9]+"),"")</f>
        <v>$F$205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Data'!G205="",_xlfn.REGEXEXTRACT(CELL("address",'Raw Data'!G205),"\$([A-Z]+)\$[0-9]+"),"")</f>
        <v>$G$205</v>
      </c>
      <c r="I205" t="str" cm="1">
        <f t="array" aca="1" ref="I205" ca="1">IF('Raw Data'!H205="",_xlfn.REGEXEXTRACT(CELL("address",'Raw Data'!H205),"\$([A-Z]+)\$[0-9]+"),"")</f>
        <v/>
      </c>
    </row>
    <row r="206" spans="2:9" x14ac:dyDescent="0.25">
      <c r="B206" t="str" cm="1">
        <f t="array" aca="1" ref="B206" ca="1">IF('Raw Data'!B206="",_xlfn.REGEXEXTRACT(CELL("address",'Raw Data'!B206),"\$([A-Z]+)\$[0-9]+"),"")</f>
        <v/>
      </c>
      <c r="C206" t="str" cm="1">
        <f t="array" aca="1" ref="C206" ca="1">IF('Raw Data'!C206="",_xlfn.REGEXEXTRACT(CELL("address",'Raw Data'!C206),"\$([A-Z]+)\$[0-9]+"),"")</f>
        <v/>
      </c>
      <c r="D206" t="str" cm="1">
        <f t="array" aca="1" ref="D206" ca="1">IF('Raw Data'!D206="",_xlfn.REGEXEXTRACT(CELL("address",'Raw Data'!D206),"\$([A-Z]+)\$[0-9]+"),"")</f>
        <v>$D$206</v>
      </c>
      <c r="E206" t="str" cm="1">
        <f t="array" aca="1" ref="E206" ca="1">IF('Raw Data'!E206="",_xlfn.REGEXEXTRACT(CELL("address",'Raw Data'!E206),"\$([A-Z]+)\$[0-9]+"),"")</f>
        <v/>
      </c>
      <c r="F206" t="str" cm="1">
        <f t="array" aca="1" ref="F206" ca="1">IF('Raw Data'!F206="",_xlfn.REGEXEXTRACT(CELL("address",'Raw Data'!F206),"\$([A-Z]+)\$[0-9]+"),"")</f>
        <v>$F$206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Data'!G206="",_xlfn.REGEXEXTRACT(CELL("address",'Raw Data'!G206),"\$([A-Z]+)\$[0-9]+"),"")</f>
        <v>$G$206</v>
      </c>
      <c r="I206" t="str" cm="1">
        <f t="array" aca="1" ref="I206" ca="1">IF('Raw Data'!H206="",_xlfn.REGEXEXTRACT(CELL("address",'Raw Data'!H206),"\$([A-Z]+)\$[0-9]+"),"")</f>
        <v/>
      </c>
    </row>
    <row r="207" spans="2:9" x14ac:dyDescent="0.25">
      <c r="B207" t="str" cm="1">
        <f t="array" aca="1" ref="B207" ca="1">IF('Raw Data'!B207="",_xlfn.REGEXEXTRACT(CELL("address",'Raw Data'!B207),"\$([A-Z]+)\$[0-9]+"),"")</f>
        <v/>
      </c>
      <c r="C207" t="str" cm="1">
        <f t="array" aca="1" ref="C207" ca="1">IF('Raw Data'!C207="",_xlfn.REGEXEXTRACT(CELL("address",'Raw Data'!C207),"\$([A-Z]+)\$[0-9]+"),"")</f>
        <v/>
      </c>
      <c r="D207" t="str" cm="1">
        <f t="array" aca="1" ref="D207" ca="1">IF('Raw Data'!D207="",_xlfn.REGEXEXTRACT(CELL("address",'Raw Data'!D207),"\$([A-Z]+)\$[0-9]+"),"")</f>
        <v>$D$207</v>
      </c>
      <c r="E207" t="str" cm="1">
        <f t="array" aca="1" ref="E207" ca="1">IF('Raw Data'!E207="",_xlfn.REGEXEXTRACT(CELL("address",'Raw Data'!E207),"\$([A-Z]+)\$[0-9]+"),"")</f>
        <v/>
      </c>
      <c r="F207" t="str" cm="1">
        <f t="array" aca="1" ref="F207" ca="1">IF('Raw Data'!F207="",_xlfn.REGEXEXTRACT(CELL("address",'Raw Data'!F207),"\$([A-Z]+)\$[0-9]+"),"")</f>
        <v>$F$207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Data'!G207="",_xlfn.REGEXEXTRACT(CELL("address",'Raw Data'!G207),"\$([A-Z]+)\$[0-9]+"),"")</f>
        <v>$G$207</v>
      </c>
      <c r="I207" t="str" cm="1">
        <f t="array" aca="1" ref="I207" ca="1">IF('Raw Data'!H207="",_xlfn.REGEXEXTRACT(CELL("address",'Raw Data'!H207),"\$([A-Z]+)\$[0-9]+"),"")</f>
        <v/>
      </c>
    </row>
    <row r="208" spans="2:9" x14ac:dyDescent="0.25">
      <c r="B208" t="str" cm="1">
        <f t="array" aca="1" ref="B208" ca="1">IF('Raw Data'!B208="",_xlfn.REGEXEXTRACT(CELL("address",'Raw Data'!B208),"\$([A-Z]+)\$[0-9]+"),"")</f>
        <v/>
      </c>
      <c r="C208" t="str" cm="1">
        <f t="array" aca="1" ref="C208" ca="1">IF('Raw Data'!C208="",_xlfn.REGEXEXTRACT(CELL("address",'Raw Data'!C208),"\$([A-Z]+)\$[0-9]+"),"")</f>
        <v/>
      </c>
      <c r="D208" t="str" cm="1">
        <f t="array" aca="1" ref="D208" ca="1">IF('Raw Data'!D208="",_xlfn.REGEXEXTRACT(CELL("address",'Raw Data'!D208),"\$([A-Z]+)\$[0-9]+"),"")</f>
        <v>$D$208</v>
      </c>
      <c r="E208" t="str" cm="1">
        <f t="array" aca="1" ref="E208" ca="1">IF('Raw Data'!E208="",_xlfn.REGEXEXTRACT(CELL("address",'Raw Data'!E208),"\$([A-Z]+)\$[0-9]+"),"")</f>
        <v/>
      </c>
      <c r="F208" t="str" cm="1">
        <f t="array" aca="1" ref="F208" ca="1">IF('Raw Data'!F208="",_xlfn.REGEXEXTRACT(CELL("address",'Raw Data'!F208),"\$([A-Z]+)\$[0-9]+"),"")</f>
        <v>$F$208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Data'!G208="",_xlfn.REGEXEXTRACT(CELL("address",'Raw Data'!G208),"\$([A-Z]+)\$[0-9]+"),"")</f>
        <v>$G$208</v>
      </c>
      <c r="I208" t="str" cm="1">
        <f t="array" aca="1" ref="I208" ca="1">IF('Raw Data'!H208="",_xlfn.REGEXEXTRACT(CELL("address",'Raw Data'!H208),"\$([A-Z]+)\$[0-9]+"),"")</f>
        <v/>
      </c>
    </row>
    <row r="209" spans="2:9" x14ac:dyDescent="0.25">
      <c r="B209" t="str" cm="1">
        <f t="array" aca="1" ref="B209" ca="1">IF('Raw Data'!B209="",_xlfn.REGEXEXTRACT(CELL("address",'Raw Data'!B209),"\$([A-Z]+)\$[0-9]+"),"")</f>
        <v/>
      </c>
      <c r="C209" t="str" cm="1">
        <f t="array" aca="1" ref="C209" ca="1">IF('Raw Data'!C209="",_xlfn.REGEXEXTRACT(CELL("address",'Raw Data'!C209),"\$([A-Z]+)\$[0-9]+"),"")</f>
        <v/>
      </c>
      <c r="D209" t="str" cm="1">
        <f t="array" aca="1" ref="D209" ca="1">IF('Raw Data'!D209="",_xlfn.REGEXEXTRACT(CELL("address",'Raw Data'!D209),"\$([A-Z]+)\$[0-9]+"),"")</f>
        <v>$D$209</v>
      </c>
      <c r="E209" t="str" cm="1">
        <f t="array" aca="1" ref="E209" ca="1">IF('Raw Data'!E209="",_xlfn.REGEXEXTRACT(CELL("address",'Raw Data'!E209),"\$([A-Z]+)\$[0-9]+"),"")</f>
        <v/>
      </c>
      <c r="F209" t="str" cm="1">
        <f t="array" aca="1" ref="F209" ca="1">IF('Raw Data'!F209="",_xlfn.REGEXEXTRACT(CELL("address",'Raw Data'!F209),"\$([A-Z]+)\$[0-9]+"),"")</f>
        <v>$F$209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Data'!G209="",_xlfn.REGEXEXTRACT(CELL("address",'Raw Data'!G209),"\$([A-Z]+)\$[0-9]+"),"")</f>
        <v>$G$209</v>
      </c>
      <c r="I209" t="str" cm="1">
        <f t="array" aca="1" ref="I209" ca="1">IF('Raw Data'!H209="",_xlfn.REGEXEXTRACT(CELL("address",'Raw Data'!H209),"\$([A-Z]+)\$[0-9]+"),"")</f>
        <v/>
      </c>
    </row>
    <row r="210" spans="2:9" x14ac:dyDescent="0.25">
      <c r="B210" t="str" cm="1">
        <f t="array" aca="1" ref="B210" ca="1">IF('Raw Data'!B210="",_xlfn.REGEXEXTRACT(CELL("address",'Raw Data'!B210),"\$([A-Z]+)\$[0-9]+"),"")</f>
        <v/>
      </c>
      <c r="C210" t="str" cm="1">
        <f t="array" aca="1" ref="C210" ca="1">IF('Raw Data'!C210="",_xlfn.REGEXEXTRACT(CELL("address",'Raw Data'!C210),"\$([A-Z]+)\$[0-9]+"),"")</f>
        <v/>
      </c>
      <c r="D210" t="str" cm="1">
        <f t="array" aca="1" ref="D210" ca="1">IF('Raw Data'!D210="",_xlfn.REGEXEXTRACT(CELL("address",'Raw Data'!D210),"\$([A-Z]+)\$[0-9]+"),"")</f>
        <v>$D$210</v>
      </c>
      <c r="E210" t="str" cm="1">
        <f t="array" aca="1" ref="E210" ca="1">IF('Raw Data'!E210="",_xlfn.REGEXEXTRACT(CELL("address",'Raw Data'!E210),"\$([A-Z]+)\$[0-9]+"),"")</f>
        <v/>
      </c>
      <c r="F210" t="str" cm="1">
        <f t="array" aca="1" ref="F210" ca="1">IF('Raw Data'!F210="",_xlfn.REGEXEXTRACT(CELL("address",'Raw Data'!F210),"\$([A-Z]+)\$[0-9]+"),"")</f>
        <v>$F$210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Data'!G210="",_xlfn.REGEXEXTRACT(CELL("address",'Raw Data'!G210),"\$([A-Z]+)\$[0-9]+"),"")</f>
        <v>$G$210</v>
      </c>
      <c r="I210" t="str" cm="1">
        <f t="array" aca="1" ref="I210" ca="1">IF('Raw Data'!H210="",_xlfn.REGEXEXTRACT(CELL("address",'Raw Data'!H210),"\$([A-Z]+)\$[0-9]+"),"")</f>
        <v/>
      </c>
    </row>
    <row r="211" spans="2:9" x14ac:dyDescent="0.25">
      <c r="B211" t="str" cm="1">
        <f t="array" aca="1" ref="B211" ca="1">IF('Raw Data'!B211="",_xlfn.REGEXEXTRACT(CELL("address",'Raw Data'!B211),"\$([A-Z]+)\$[0-9]+"),"")</f>
        <v/>
      </c>
      <c r="C211" t="str" cm="1">
        <f t="array" aca="1" ref="C211" ca="1">IF('Raw Data'!C211="",_xlfn.REGEXEXTRACT(CELL("address",'Raw Data'!C211),"\$([A-Z]+)\$[0-9]+"),"")</f>
        <v/>
      </c>
      <c r="D211" t="str" cm="1">
        <f t="array" aca="1" ref="D211" ca="1">IF('Raw Data'!D211="",_xlfn.REGEXEXTRACT(CELL("address",'Raw Data'!D211),"\$([A-Z]+)\$[0-9]+"),"")</f>
        <v>$D$211</v>
      </c>
      <c r="E211" t="str" cm="1">
        <f t="array" aca="1" ref="E211" ca="1">IF('Raw Data'!E211="",_xlfn.REGEXEXTRACT(CELL("address",'Raw Data'!E211),"\$([A-Z]+)\$[0-9]+"),"")</f>
        <v/>
      </c>
      <c r="F211" t="str" cm="1">
        <f t="array" aca="1" ref="F211" ca="1">IF('Raw Data'!F211="",_xlfn.REGEXEXTRACT(CELL("address",'Raw Data'!F211),"\$([A-Z]+)\$[0-9]+"),"")</f>
        <v>$F$211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Data'!G211="",_xlfn.REGEXEXTRACT(CELL("address",'Raw Data'!G211),"\$([A-Z]+)\$[0-9]+"),"")</f>
        <v>$G$211</v>
      </c>
      <c r="I211" t="str" cm="1">
        <f t="array" aca="1" ref="I211" ca="1">IF('Raw Data'!H211="",_xlfn.REGEXEXTRACT(CELL("address",'Raw Data'!H211),"\$([A-Z]+)\$[0-9]+"),"")</f>
        <v/>
      </c>
    </row>
    <row r="212" spans="2:9" x14ac:dyDescent="0.25">
      <c r="B212" t="str" cm="1">
        <f t="array" aca="1" ref="B212" ca="1">IF('Raw Data'!B212="",_xlfn.REGEXEXTRACT(CELL("address",'Raw Data'!B212),"\$([A-Z]+)\$[0-9]+"),"")</f>
        <v/>
      </c>
      <c r="C212" t="str" cm="1">
        <f t="array" aca="1" ref="C212" ca="1">IF('Raw Data'!C212="",_xlfn.REGEXEXTRACT(CELL("address",'Raw Data'!C212),"\$([A-Z]+)\$[0-9]+"),"")</f>
        <v/>
      </c>
      <c r="D212" t="str" cm="1">
        <f t="array" aca="1" ref="D212" ca="1">IF('Raw Data'!D212="",_xlfn.REGEXEXTRACT(CELL("address",'Raw Data'!D212),"\$([A-Z]+)\$[0-9]+"),"")</f>
        <v>$D$212</v>
      </c>
      <c r="E212" t="str" cm="1">
        <f t="array" aca="1" ref="E212" ca="1">IF('Raw Data'!E212="",_xlfn.REGEXEXTRACT(CELL("address",'Raw Data'!E212),"\$([A-Z]+)\$[0-9]+"),"")</f>
        <v/>
      </c>
      <c r="F212" t="str" cm="1">
        <f t="array" aca="1" ref="F212" ca="1">IF('Raw Data'!F212="",_xlfn.REGEXEXTRACT(CELL("address",'Raw Data'!F212),"\$([A-Z]+)\$[0-9]+"),"")</f>
        <v>$F$212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Data'!G212="",_xlfn.REGEXEXTRACT(CELL("address",'Raw Data'!G212),"\$([A-Z]+)\$[0-9]+"),"")</f>
        <v>$G$212</v>
      </c>
      <c r="I212" t="str" cm="1">
        <f t="array" aca="1" ref="I212" ca="1">IF('Raw Data'!H212="",_xlfn.REGEXEXTRACT(CELL("address",'Raw Data'!H212),"\$([A-Z]+)\$[0-9]+"),"")</f>
        <v/>
      </c>
    </row>
    <row r="213" spans="2:9" x14ac:dyDescent="0.25">
      <c r="B213" t="str" cm="1">
        <f t="array" aca="1" ref="B213" ca="1">IF('Raw Data'!B213="",_xlfn.REGEXEXTRACT(CELL("address",'Raw Data'!B213),"\$([A-Z]+)\$[0-9]+"),"")</f>
        <v/>
      </c>
      <c r="C213" t="str" cm="1">
        <f t="array" aca="1" ref="C213" ca="1">IF('Raw Data'!C213="",_xlfn.REGEXEXTRACT(CELL("address",'Raw Data'!C213),"\$([A-Z]+)\$[0-9]+"),"")</f>
        <v/>
      </c>
      <c r="D213" t="str" cm="1">
        <f t="array" aca="1" ref="D213" ca="1">IF('Raw Data'!D213="",_xlfn.REGEXEXTRACT(CELL("address",'Raw Data'!D213),"\$([A-Z]+)\$[0-9]+"),"")</f>
        <v>$D$213</v>
      </c>
      <c r="E213" t="str" cm="1">
        <f t="array" aca="1" ref="E213" ca="1">IF('Raw Data'!E213="",_xlfn.REGEXEXTRACT(CELL("address",'Raw Data'!E213),"\$([A-Z]+)\$[0-9]+"),"")</f>
        <v/>
      </c>
      <c r="F213" t="str" cm="1">
        <f t="array" aca="1" ref="F213" ca="1">IF('Raw Data'!F213="",_xlfn.REGEXEXTRACT(CELL("address",'Raw Data'!F213),"\$([A-Z]+)\$[0-9]+"),"")</f>
        <v>$F$213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Data'!G213="",_xlfn.REGEXEXTRACT(CELL("address",'Raw Data'!G213),"\$([A-Z]+)\$[0-9]+"),"")</f>
        <v>$G$213</v>
      </c>
      <c r="I213" t="str" cm="1">
        <f t="array" aca="1" ref="I213" ca="1">IF('Raw Data'!H213="",_xlfn.REGEXEXTRACT(CELL("address",'Raw Data'!H213),"\$([A-Z]+)\$[0-9]+"),"")</f>
        <v/>
      </c>
    </row>
    <row r="214" spans="2:9" x14ac:dyDescent="0.25">
      <c r="B214" t="str" cm="1">
        <f t="array" aca="1" ref="B214" ca="1">IF('Raw Data'!B214="",_xlfn.REGEXEXTRACT(CELL("address",'Raw Data'!B214),"\$([A-Z]+)\$[0-9]+"),"")</f>
        <v/>
      </c>
      <c r="C214" t="str" cm="1">
        <f t="array" aca="1" ref="C214" ca="1">IF('Raw Data'!C214="",_xlfn.REGEXEXTRACT(CELL("address",'Raw Data'!C214),"\$([A-Z]+)\$[0-9]+"),"")</f>
        <v/>
      </c>
      <c r="D214" t="str" cm="1">
        <f t="array" aca="1" ref="D214" ca="1">IF('Raw Data'!D214="",_xlfn.REGEXEXTRACT(CELL("address",'Raw Data'!D214),"\$([A-Z]+)\$[0-9]+"),"")</f>
        <v>$D$214</v>
      </c>
      <c r="E214" t="str" cm="1">
        <f t="array" aca="1" ref="E214" ca="1">IF('Raw Data'!E214="",_xlfn.REGEXEXTRACT(CELL("address",'Raw Data'!E214),"\$([A-Z]+)\$[0-9]+"),"")</f>
        <v/>
      </c>
      <c r="F214" t="str" cm="1">
        <f t="array" aca="1" ref="F214" ca="1">IF('Raw Data'!F214="",_xlfn.REGEXEXTRACT(CELL("address",'Raw Data'!F214),"\$([A-Z]+)\$[0-9]+"),"")</f>
        <v>$F$214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Data'!G214="",_xlfn.REGEXEXTRACT(CELL("address",'Raw Data'!G214),"\$([A-Z]+)\$[0-9]+"),"")</f>
        <v>$G$214</v>
      </c>
      <c r="I214" t="str" cm="1">
        <f t="array" aca="1" ref="I214" ca="1">IF('Raw Data'!H214="",_xlfn.REGEXEXTRACT(CELL("address",'Raw Data'!H214),"\$([A-Z]+)\$[0-9]+"),"")</f>
        <v/>
      </c>
    </row>
    <row r="215" spans="2:9" x14ac:dyDescent="0.25">
      <c r="B215" t="str" cm="1">
        <f t="array" aca="1" ref="B215" ca="1">IF('Raw Data'!B215="",_xlfn.REGEXEXTRACT(CELL("address",'Raw Data'!B215),"\$([A-Z]+)\$[0-9]+"),"")</f>
        <v/>
      </c>
      <c r="C215" t="str" cm="1">
        <f t="array" aca="1" ref="C215" ca="1">IF('Raw Data'!C215="",_xlfn.REGEXEXTRACT(CELL("address",'Raw Data'!C215),"\$([A-Z]+)\$[0-9]+"),"")</f>
        <v/>
      </c>
      <c r="D215" t="str" cm="1">
        <f t="array" aca="1" ref="D215" ca="1">IF('Raw Data'!D215="",_xlfn.REGEXEXTRACT(CELL("address",'Raw Data'!D215),"\$([A-Z]+)\$[0-9]+"),"")</f>
        <v>$D$215</v>
      </c>
      <c r="E215" t="str" cm="1">
        <f t="array" aca="1" ref="E215" ca="1">IF('Raw Data'!E215="",_xlfn.REGEXEXTRACT(CELL("address",'Raw Data'!E215),"\$([A-Z]+)\$[0-9]+"),"")</f>
        <v/>
      </c>
      <c r="F215" t="str" cm="1">
        <f t="array" aca="1" ref="F215" ca="1">IF('Raw Data'!F215="",_xlfn.REGEXEXTRACT(CELL("address",'Raw Data'!F215),"\$([A-Z]+)\$[0-9]+"),"")</f>
        <v>$F$215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Data'!G215="",_xlfn.REGEXEXTRACT(CELL("address",'Raw Data'!G215),"\$([A-Z]+)\$[0-9]+"),"")</f>
        <v>$G$215</v>
      </c>
      <c r="I215" t="str" cm="1">
        <f t="array" aca="1" ref="I215" ca="1">IF('Raw Data'!H215="",_xlfn.REGEXEXTRACT(CELL("address",'Raw Data'!H215),"\$([A-Z]+)\$[0-9]+"),"")</f>
        <v/>
      </c>
    </row>
    <row r="216" spans="2:9" x14ac:dyDescent="0.25">
      <c r="B216" t="str" cm="1">
        <f t="array" aca="1" ref="B216" ca="1">IF('Raw Data'!B216="",_xlfn.REGEXEXTRACT(CELL("address",'Raw Data'!B216),"\$([A-Z]+)\$[0-9]+"),"")</f>
        <v/>
      </c>
      <c r="C216" t="str" cm="1">
        <f t="array" aca="1" ref="C216" ca="1">IF('Raw Data'!C216="",_xlfn.REGEXEXTRACT(CELL("address",'Raw Data'!C216),"\$([A-Z]+)\$[0-9]+"),"")</f>
        <v/>
      </c>
      <c r="D216" t="str" cm="1">
        <f t="array" aca="1" ref="D216" ca="1">IF('Raw Data'!D216="",_xlfn.REGEXEXTRACT(CELL("address",'Raw Data'!D216),"\$([A-Z]+)\$[0-9]+"),"")</f>
        <v>$D$216</v>
      </c>
      <c r="E216" t="str" cm="1">
        <f t="array" aca="1" ref="E216" ca="1">IF('Raw Data'!E216="",_xlfn.REGEXEXTRACT(CELL("address",'Raw Data'!E216),"\$([A-Z]+)\$[0-9]+"),"")</f>
        <v/>
      </c>
      <c r="F216" t="str" cm="1">
        <f t="array" aca="1" ref="F216" ca="1">IF('Raw Data'!F216="",_xlfn.REGEXEXTRACT(CELL("address",'Raw Data'!F216),"\$([A-Z]+)\$[0-9]+"),"")</f>
        <v>$F$216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Data'!G216="",_xlfn.REGEXEXTRACT(CELL("address",'Raw Data'!G216),"\$([A-Z]+)\$[0-9]+"),"")</f>
        <v>$G$216</v>
      </c>
      <c r="I216" t="str" cm="1">
        <f t="array" aca="1" ref="I216" ca="1">IF('Raw Data'!H216="",_xlfn.REGEXEXTRACT(CELL("address",'Raw Data'!H216),"\$([A-Z]+)\$[0-9]+"),"")</f>
        <v/>
      </c>
    </row>
    <row r="217" spans="2:9" x14ac:dyDescent="0.25">
      <c r="B217" t="str" cm="1">
        <f t="array" aca="1" ref="B217" ca="1">IF('Raw Data'!B217="",_xlfn.REGEXEXTRACT(CELL("address",'Raw Data'!B217),"\$([A-Z]+)\$[0-9]+"),"")</f>
        <v/>
      </c>
      <c r="C217" t="str" cm="1">
        <f t="array" aca="1" ref="C217" ca="1">IF('Raw Data'!C217="",_xlfn.REGEXEXTRACT(CELL("address",'Raw Data'!C217),"\$([A-Z]+)\$[0-9]+"),"")</f>
        <v/>
      </c>
      <c r="D217" t="str" cm="1">
        <f t="array" aca="1" ref="D217" ca="1">IF('Raw Data'!D217="",_xlfn.REGEXEXTRACT(CELL("address",'Raw Data'!D217),"\$([A-Z]+)\$[0-9]+"),"")</f>
        <v>$D$217</v>
      </c>
      <c r="E217" t="str" cm="1">
        <f t="array" aca="1" ref="E217" ca="1">IF('Raw Data'!E217="",_xlfn.REGEXEXTRACT(CELL("address",'Raw Data'!E217),"\$([A-Z]+)\$[0-9]+"),"")</f>
        <v/>
      </c>
      <c r="F217" t="str" cm="1">
        <f t="array" aca="1" ref="F217" ca="1">IF('Raw Data'!F217="",_xlfn.REGEXEXTRACT(CELL("address",'Raw Data'!F217),"\$([A-Z]+)\$[0-9]+"),"")</f>
        <v>$F$217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Data'!G217="",_xlfn.REGEXEXTRACT(CELL("address",'Raw Data'!G217),"\$([A-Z]+)\$[0-9]+"),"")</f>
        <v>$G$217</v>
      </c>
      <c r="I217" t="str" cm="1">
        <f t="array" aca="1" ref="I217" ca="1">IF('Raw Data'!H217="",_xlfn.REGEXEXTRACT(CELL("address",'Raw Data'!H217),"\$([A-Z]+)\$[0-9]+"),"")</f>
        <v/>
      </c>
    </row>
    <row r="218" spans="2:9" x14ac:dyDescent="0.25">
      <c r="B218" t="str" cm="1">
        <f t="array" aca="1" ref="B218" ca="1">IF('Raw Data'!B218="",_xlfn.REGEXEXTRACT(CELL("address",'Raw Data'!B218),"\$([A-Z]+)\$[0-9]+"),"")</f>
        <v/>
      </c>
      <c r="C218" t="str" cm="1">
        <f t="array" aca="1" ref="C218" ca="1">IF('Raw Data'!C218="",_xlfn.REGEXEXTRACT(CELL("address",'Raw Data'!C218),"\$([A-Z]+)\$[0-9]+"),"")</f>
        <v/>
      </c>
      <c r="D218" t="str" cm="1">
        <f t="array" aca="1" ref="D218" ca="1">IF('Raw Data'!D218="",_xlfn.REGEXEXTRACT(CELL("address",'Raw Data'!D218),"\$([A-Z]+)\$[0-9]+"),"")</f>
        <v>$D$218</v>
      </c>
      <c r="E218" t="str" cm="1">
        <f t="array" aca="1" ref="E218" ca="1">IF('Raw Data'!E218="",_xlfn.REGEXEXTRACT(CELL("address",'Raw Data'!E218),"\$([A-Z]+)\$[0-9]+"),"")</f>
        <v/>
      </c>
      <c r="F218" t="str" cm="1">
        <f t="array" aca="1" ref="F218" ca="1">IF('Raw Data'!F218="",_xlfn.REGEXEXTRACT(CELL("address",'Raw Data'!F218),"\$([A-Z]+)\$[0-9]+"),"")</f>
        <v>$F$218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Data'!G218="",_xlfn.REGEXEXTRACT(CELL("address",'Raw Data'!G218),"\$([A-Z]+)\$[0-9]+"),"")</f>
        <v>$G$218</v>
      </c>
      <c r="I218" t="str" cm="1">
        <f t="array" aca="1" ref="I218" ca="1">IF('Raw Data'!H218="",_xlfn.REGEXEXTRACT(CELL("address",'Raw Data'!H218),"\$([A-Z]+)\$[0-9]+"),"")</f>
        <v/>
      </c>
    </row>
    <row r="219" spans="2:9" x14ac:dyDescent="0.25">
      <c r="B219" t="str" cm="1">
        <f t="array" aca="1" ref="B219" ca="1">IF('Raw Data'!B219="",_xlfn.REGEXEXTRACT(CELL("address",'Raw Data'!B219),"\$([A-Z]+)\$[0-9]+"),"")</f>
        <v/>
      </c>
      <c r="C219" t="str" cm="1">
        <f t="array" aca="1" ref="C219" ca="1">IF('Raw Data'!C219="",_xlfn.REGEXEXTRACT(CELL("address",'Raw Data'!C219),"\$([A-Z]+)\$[0-9]+"),"")</f>
        <v/>
      </c>
      <c r="D219" t="str" cm="1">
        <f t="array" aca="1" ref="D219" ca="1">IF('Raw Data'!D219="",_xlfn.REGEXEXTRACT(CELL("address",'Raw Data'!D219),"\$([A-Z]+)\$[0-9]+"),"")</f>
        <v>$D$219</v>
      </c>
      <c r="E219" t="str" cm="1">
        <f t="array" aca="1" ref="E219" ca="1">IF('Raw Data'!E219="",_xlfn.REGEXEXTRACT(CELL("address",'Raw Data'!E219),"\$([A-Z]+)\$[0-9]+"),"")</f>
        <v/>
      </c>
      <c r="F219" t="str" cm="1">
        <f t="array" aca="1" ref="F219" ca="1">IF('Raw Data'!F219="",_xlfn.REGEXEXTRACT(CELL("address",'Raw Data'!F219),"\$([A-Z]+)\$[0-9]+"),"")</f>
        <v>$F$219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Data'!G219="",_xlfn.REGEXEXTRACT(CELL("address",'Raw Data'!G219),"\$([A-Z]+)\$[0-9]+"),"")</f>
        <v>$G$219</v>
      </c>
      <c r="I219" t="str" cm="1">
        <f t="array" aca="1" ref="I219" ca="1">IF('Raw Data'!H219="",_xlfn.REGEXEXTRACT(CELL("address",'Raw Data'!H219),"\$([A-Z]+)\$[0-9]+"),"")</f>
        <v/>
      </c>
    </row>
    <row r="220" spans="2:9" x14ac:dyDescent="0.25">
      <c r="B220" t="str" cm="1">
        <f t="array" aca="1" ref="B220" ca="1">IF('Raw Data'!B220="",_xlfn.REGEXEXTRACT(CELL("address",'Raw Data'!B220),"\$([A-Z]+)\$[0-9]+"),"")</f>
        <v/>
      </c>
      <c r="C220" t="str" cm="1">
        <f t="array" aca="1" ref="C220" ca="1">IF('Raw Data'!C220="",_xlfn.REGEXEXTRACT(CELL("address",'Raw Data'!C220),"\$([A-Z]+)\$[0-9]+"),"")</f>
        <v/>
      </c>
      <c r="D220" t="str" cm="1">
        <f t="array" aca="1" ref="D220" ca="1">IF('Raw Data'!D220="",_xlfn.REGEXEXTRACT(CELL("address",'Raw Data'!D220),"\$([A-Z]+)\$[0-9]+"),"")</f>
        <v>$D$220</v>
      </c>
      <c r="E220" t="str" cm="1">
        <f t="array" aca="1" ref="E220" ca="1">IF('Raw Data'!E220="",_xlfn.REGEXEXTRACT(CELL("address",'Raw Data'!E220),"\$([A-Z]+)\$[0-9]+"),"")</f>
        <v/>
      </c>
      <c r="F220" t="str" cm="1">
        <f t="array" aca="1" ref="F220" ca="1">IF('Raw Data'!F220="",_xlfn.REGEXEXTRACT(CELL("address",'Raw Data'!F220),"\$([A-Z]+)\$[0-9]+"),"")</f>
        <v>$F$220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Data'!G220="",_xlfn.REGEXEXTRACT(CELL("address",'Raw Data'!G220),"\$([A-Z]+)\$[0-9]+"),"")</f>
        <v>$G$220</v>
      </c>
      <c r="I220" t="str" cm="1">
        <f t="array" aca="1" ref="I220" ca="1">IF('Raw Data'!H220="",_xlfn.REGEXEXTRACT(CELL("address",'Raw Data'!H220),"\$([A-Z]+)\$[0-9]+"),"")</f>
        <v/>
      </c>
    </row>
    <row r="221" spans="2:9" x14ac:dyDescent="0.25">
      <c r="B221" t="str" cm="1">
        <f t="array" aca="1" ref="B221" ca="1">IF('Raw Data'!B221="",_xlfn.REGEXEXTRACT(CELL("address",'Raw Data'!B221),"\$([A-Z]+)\$[0-9]+"),"")</f>
        <v/>
      </c>
      <c r="C221" t="str" cm="1">
        <f t="array" aca="1" ref="C221" ca="1">IF('Raw Data'!C221="",_xlfn.REGEXEXTRACT(CELL("address",'Raw Data'!C221),"\$([A-Z]+)\$[0-9]+"),"")</f>
        <v/>
      </c>
      <c r="D221" t="str" cm="1">
        <f t="array" aca="1" ref="D221" ca="1">IF('Raw Data'!D221="",_xlfn.REGEXEXTRACT(CELL("address",'Raw Data'!D221),"\$([A-Z]+)\$[0-9]+"),"")</f>
        <v>$D$221</v>
      </c>
      <c r="E221" t="str" cm="1">
        <f t="array" aca="1" ref="E221" ca="1">IF('Raw Data'!E221="",_xlfn.REGEXEXTRACT(CELL("address",'Raw Data'!E221),"\$([A-Z]+)\$[0-9]+"),"")</f>
        <v/>
      </c>
      <c r="F221" t="str" cm="1">
        <f t="array" aca="1" ref="F221" ca="1">IF('Raw Data'!F221="",_xlfn.REGEXEXTRACT(CELL("address",'Raw Data'!F221),"\$([A-Z]+)\$[0-9]+"),"")</f>
        <v>$F$221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Data'!G221="",_xlfn.REGEXEXTRACT(CELL("address",'Raw Data'!G221),"\$([A-Z]+)\$[0-9]+"),"")</f>
        <v>$G$221</v>
      </c>
      <c r="I221" t="str" cm="1">
        <f t="array" aca="1" ref="I221" ca="1">IF('Raw Data'!H221="",_xlfn.REGEXEXTRACT(CELL("address",'Raw Data'!H221),"\$([A-Z]+)\$[0-9]+"),"")</f>
        <v/>
      </c>
    </row>
    <row r="222" spans="2:9" x14ac:dyDescent="0.25">
      <c r="B222" t="str" cm="1">
        <f t="array" aca="1" ref="B222" ca="1">IF('Raw Data'!B222="",_xlfn.REGEXEXTRACT(CELL("address",'Raw Data'!B222),"\$([A-Z]+)\$[0-9]+"),"")</f>
        <v/>
      </c>
      <c r="C222" t="str" cm="1">
        <f t="array" aca="1" ref="C222" ca="1">IF('Raw Data'!C222="",_xlfn.REGEXEXTRACT(CELL("address",'Raw Data'!C222),"\$([A-Z]+)\$[0-9]+"),"")</f>
        <v/>
      </c>
      <c r="D222" t="str" cm="1">
        <f t="array" aca="1" ref="D222" ca="1">IF('Raw Data'!D222="",_xlfn.REGEXEXTRACT(CELL("address",'Raw Data'!D222),"\$([A-Z]+)\$[0-9]+"),"")</f>
        <v>$D$222</v>
      </c>
      <c r="E222" t="str" cm="1">
        <f t="array" aca="1" ref="E222" ca="1">IF('Raw Data'!E222="",_xlfn.REGEXEXTRACT(CELL("address",'Raw Data'!E222),"\$([A-Z]+)\$[0-9]+"),"")</f>
        <v/>
      </c>
      <c r="F222" t="str" cm="1">
        <f t="array" aca="1" ref="F222" ca="1">IF('Raw Data'!F222="",_xlfn.REGEXEXTRACT(CELL("address",'Raw Data'!F222),"\$([A-Z]+)\$[0-9]+"),"")</f>
        <v>$F$222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Data'!G222="",_xlfn.REGEXEXTRACT(CELL("address",'Raw Data'!G222),"\$([A-Z]+)\$[0-9]+"),"")</f>
        <v>$G$222</v>
      </c>
      <c r="I222" t="str" cm="1">
        <f t="array" aca="1" ref="I222" ca="1">IF('Raw Data'!H222="",_xlfn.REGEXEXTRACT(CELL("address",'Raw Data'!H222),"\$([A-Z]+)\$[0-9]+"),"")</f>
        <v/>
      </c>
    </row>
    <row r="223" spans="2:9" x14ac:dyDescent="0.25">
      <c r="B223" t="str" cm="1">
        <f t="array" aca="1" ref="B223" ca="1">IF('Raw Data'!B223="",_xlfn.REGEXEXTRACT(CELL("address",'Raw Data'!B223),"\$([A-Z]+)\$[0-9]+"),"")</f>
        <v/>
      </c>
      <c r="C223" t="str" cm="1">
        <f t="array" aca="1" ref="C223" ca="1">IF('Raw Data'!C223="",_xlfn.REGEXEXTRACT(CELL("address",'Raw Data'!C223),"\$([A-Z]+)\$[0-9]+"),"")</f>
        <v/>
      </c>
      <c r="D223" t="str" cm="1">
        <f t="array" aca="1" ref="D223" ca="1">IF('Raw Data'!D223="",_xlfn.REGEXEXTRACT(CELL("address",'Raw Data'!D223),"\$([A-Z]+)\$[0-9]+"),"")</f>
        <v>$D$223</v>
      </c>
      <c r="E223" t="str" cm="1">
        <f t="array" aca="1" ref="E223" ca="1">IF('Raw Data'!E223="",_xlfn.REGEXEXTRACT(CELL("address",'Raw Data'!E223),"\$([A-Z]+)\$[0-9]+"),"")</f>
        <v/>
      </c>
      <c r="F223" t="str" cm="1">
        <f t="array" aca="1" ref="F223" ca="1">IF('Raw Data'!F223="",_xlfn.REGEXEXTRACT(CELL("address",'Raw Data'!F223),"\$([A-Z]+)\$[0-9]+"),"")</f>
        <v>$F$223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Data'!G223="",_xlfn.REGEXEXTRACT(CELL("address",'Raw Data'!G223),"\$([A-Z]+)\$[0-9]+"),"")</f>
        <v>$G$223</v>
      </c>
      <c r="I223" t="str" cm="1">
        <f t="array" aca="1" ref="I223" ca="1">IF('Raw Data'!H223="",_xlfn.REGEXEXTRACT(CELL("address",'Raw Data'!H223),"\$([A-Z]+)\$[0-9]+"),"")</f>
        <v/>
      </c>
    </row>
    <row r="224" spans="2:9" x14ac:dyDescent="0.25">
      <c r="B224" t="str" cm="1">
        <f t="array" aca="1" ref="B224" ca="1">IF('Raw Data'!B224="",_xlfn.REGEXEXTRACT(CELL("address",'Raw Data'!B224),"\$([A-Z]+)\$[0-9]+"),"")</f>
        <v/>
      </c>
      <c r="C224" t="str" cm="1">
        <f t="array" aca="1" ref="C224" ca="1">IF('Raw Data'!C224="",_xlfn.REGEXEXTRACT(CELL("address",'Raw Data'!C224),"\$([A-Z]+)\$[0-9]+"),"")</f>
        <v/>
      </c>
      <c r="D224" t="str" cm="1">
        <f t="array" aca="1" ref="D224" ca="1">IF('Raw Data'!D224="",_xlfn.REGEXEXTRACT(CELL("address",'Raw Data'!D224),"\$([A-Z]+)\$[0-9]+"),"")</f>
        <v>$D$224</v>
      </c>
      <c r="E224" t="str" cm="1">
        <f t="array" aca="1" ref="E224" ca="1">IF('Raw Data'!E224="",_xlfn.REGEXEXTRACT(CELL("address",'Raw Data'!E224),"\$([A-Z]+)\$[0-9]+"),"")</f>
        <v/>
      </c>
      <c r="F224" t="str" cm="1">
        <f t="array" aca="1" ref="F224" ca="1">IF('Raw Data'!F224="",_xlfn.REGEXEXTRACT(CELL("address",'Raw Data'!F224),"\$([A-Z]+)\$[0-9]+"),"")</f>
        <v>$F$224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Data'!G224="",_xlfn.REGEXEXTRACT(CELL("address",'Raw Data'!G224),"\$([A-Z]+)\$[0-9]+"),"")</f>
        <v>$G$224</v>
      </c>
      <c r="I224" t="str" cm="1">
        <f t="array" aca="1" ref="I224" ca="1">IF('Raw Data'!H224="",_xlfn.REGEXEXTRACT(CELL("address",'Raw Data'!H224),"\$([A-Z]+)\$[0-9]+"),"")</f>
        <v/>
      </c>
    </row>
    <row r="225" spans="2:9" x14ac:dyDescent="0.25">
      <c r="B225" t="str" cm="1">
        <f t="array" aca="1" ref="B225" ca="1">IF('Raw Data'!B225="",_xlfn.REGEXEXTRACT(CELL("address",'Raw Data'!B225),"\$([A-Z]+)\$[0-9]+"),"")</f>
        <v/>
      </c>
      <c r="C225" t="str" cm="1">
        <f t="array" aca="1" ref="C225" ca="1">IF('Raw Data'!C225="",_xlfn.REGEXEXTRACT(CELL("address",'Raw Data'!C225),"\$([A-Z]+)\$[0-9]+"),"")</f>
        <v/>
      </c>
      <c r="D225" t="str" cm="1">
        <f t="array" aca="1" ref="D225" ca="1">IF('Raw Data'!D225="",_xlfn.REGEXEXTRACT(CELL("address",'Raw Data'!D225),"\$([A-Z]+)\$[0-9]+"),"")</f>
        <v>$D$225</v>
      </c>
      <c r="E225" t="str" cm="1">
        <f t="array" aca="1" ref="E225" ca="1">IF('Raw Data'!E225="",_xlfn.REGEXEXTRACT(CELL("address",'Raw Data'!E225),"\$([A-Z]+)\$[0-9]+"),"")</f>
        <v/>
      </c>
      <c r="F225" t="str" cm="1">
        <f t="array" aca="1" ref="F225" ca="1">IF('Raw Data'!F225="",_xlfn.REGEXEXTRACT(CELL("address",'Raw Data'!F225),"\$([A-Z]+)\$[0-9]+"),"")</f>
        <v>$F$225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Data'!G225="",_xlfn.REGEXEXTRACT(CELL("address",'Raw Data'!G225),"\$([A-Z]+)\$[0-9]+"),"")</f>
        <v>$G$225</v>
      </c>
      <c r="I225" t="str" cm="1">
        <f t="array" aca="1" ref="I225" ca="1">IF('Raw Data'!H225="",_xlfn.REGEXEXTRACT(CELL("address",'Raw Data'!H225),"\$([A-Z]+)\$[0-9]+"),"")</f>
        <v/>
      </c>
    </row>
    <row r="226" spans="2:9" x14ac:dyDescent="0.25">
      <c r="B226" t="str" cm="1">
        <f t="array" aca="1" ref="B226" ca="1">IF('Raw Data'!B226="",_xlfn.REGEXEXTRACT(CELL("address",'Raw Data'!B226),"\$([A-Z]+)\$[0-9]+"),"")</f>
        <v/>
      </c>
      <c r="C226" t="str" cm="1">
        <f t="array" aca="1" ref="C226" ca="1">IF('Raw Data'!C226="",_xlfn.REGEXEXTRACT(CELL("address",'Raw Data'!C226),"\$([A-Z]+)\$[0-9]+"),"")</f>
        <v/>
      </c>
      <c r="D226" t="str" cm="1">
        <f t="array" aca="1" ref="D226" ca="1">IF('Raw Data'!D226="",_xlfn.REGEXEXTRACT(CELL("address",'Raw Data'!D226),"\$([A-Z]+)\$[0-9]+"),"")</f>
        <v>$D$226</v>
      </c>
      <c r="E226" t="str" cm="1">
        <f t="array" aca="1" ref="E226" ca="1">IF('Raw Data'!E226="",_xlfn.REGEXEXTRACT(CELL("address",'Raw Data'!E226),"\$([A-Z]+)\$[0-9]+"),"")</f>
        <v/>
      </c>
      <c r="F226" t="str" cm="1">
        <f t="array" aca="1" ref="F226" ca="1">IF('Raw Data'!F226="",_xlfn.REGEXEXTRACT(CELL("address",'Raw Data'!F226),"\$([A-Z]+)\$[0-9]+"),"")</f>
        <v>$F$226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Data'!G226="",_xlfn.REGEXEXTRACT(CELL("address",'Raw Data'!G226),"\$([A-Z]+)\$[0-9]+"),"")</f>
        <v>$G$226</v>
      </c>
      <c r="I226" t="str" cm="1">
        <f t="array" aca="1" ref="I226" ca="1">IF('Raw Data'!H226="",_xlfn.REGEXEXTRACT(CELL("address",'Raw Data'!H226),"\$([A-Z]+)\$[0-9]+"),"")</f>
        <v/>
      </c>
    </row>
    <row r="227" spans="2:9" x14ac:dyDescent="0.25">
      <c r="B227" t="str" cm="1">
        <f t="array" aca="1" ref="B227" ca="1">IF('Raw Data'!B227="",_xlfn.REGEXEXTRACT(CELL("address",'Raw Data'!B227),"\$([A-Z]+)\$[0-9]+"),"")</f>
        <v/>
      </c>
      <c r="C227" t="str" cm="1">
        <f t="array" aca="1" ref="C227" ca="1">IF('Raw Data'!C227="",_xlfn.REGEXEXTRACT(CELL("address",'Raw Data'!C227),"\$([A-Z]+)\$[0-9]+"),"")</f>
        <v/>
      </c>
      <c r="D227" t="str" cm="1">
        <f t="array" aca="1" ref="D227" ca="1">IF('Raw Data'!D227="",_xlfn.REGEXEXTRACT(CELL("address",'Raw Data'!D227),"\$([A-Z]+)\$[0-9]+"),"")</f>
        <v>$D$227</v>
      </c>
      <c r="E227" t="str" cm="1">
        <f t="array" aca="1" ref="E227" ca="1">IF('Raw Data'!E227="",_xlfn.REGEXEXTRACT(CELL("address",'Raw Data'!E227),"\$([A-Z]+)\$[0-9]+"),"")</f>
        <v/>
      </c>
      <c r="F227" t="str" cm="1">
        <f t="array" aca="1" ref="F227" ca="1">IF('Raw Data'!F227="",_xlfn.REGEXEXTRACT(CELL("address",'Raw Data'!F227),"\$([A-Z]+)\$[0-9]+"),"")</f>
        <v>$F$227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Data'!G227="",_xlfn.REGEXEXTRACT(CELL("address",'Raw Data'!G227),"\$([A-Z]+)\$[0-9]+"),"")</f>
        <v>$G$227</v>
      </c>
      <c r="I227" t="str" cm="1">
        <f t="array" aca="1" ref="I227" ca="1">IF('Raw Data'!H227="",_xlfn.REGEXEXTRACT(CELL("address",'Raw Data'!H227),"\$([A-Z]+)\$[0-9]+"),"")</f>
        <v/>
      </c>
    </row>
    <row r="228" spans="2:9" x14ac:dyDescent="0.25">
      <c r="B228" t="str" cm="1">
        <f t="array" aca="1" ref="B228" ca="1">IF('Raw Data'!B228="",_xlfn.REGEXEXTRACT(CELL("address",'Raw Data'!B228),"\$([A-Z]+)\$[0-9]+"),"")</f>
        <v/>
      </c>
      <c r="C228" t="str" cm="1">
        <f t="array" aca="1" ref="C228" ca="1">IF('Raw Data'!C228="",_xlfn.REGEXEXTRACT(CELL("address",'Raw Data'!C228),"\$([A-Z]+)\$[0-9]+"),"")</f>
        <v/>
      </c>
      <c r="D228" t="str" cm="1">
        <f t="array" aca="1" ref="D228" ca="1">IF('Raw Data'!D228="",_xlfn.REGEXEXTRACT(CELL("address",'Raw Data'!D228),"\$([A-Z]+)\$[0-9]+"),"")</f>
        <v>$D$228</v>
      </c>
      <c r="E228" t="str" cm="1">
        <f t="array" aca="1" ref="E228" ca="1">IF('Raw Data'!E228="",_xlfn.REGEXEXTRACT(CELL("address",'Raw Data'!E228),"\$([A-Z]+)\$[0-9]+"),"")</f>
        <v/>
      </c>
      <c r="F228" t="str" cm="1">
        <f t="array" aca="1" ref="F228" ca="1">IF('Raw Data'!F228="",_xlfn.REGEXEXTRACT(CELL("address",'Raw Data'!F228),"\$([A-Z]+)\$[0-9]+"),"")</f>
        <v>$F$228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Data'!G228="",_xlfn.REGEXEXTRACT(CELL("address",'Raw Data'!G228),"\$([A-Z]+)\$[0-9]+"),"")</f>
        <v>$G$228</v>
      </c>
      <c r="I228" t="str" cm="1">
        <f t="array" aca="1" ref="I228" ca="1">IF('Raw Data'!H228="",_xlfn.REGEXEXTRACT(CELL("address",'Raw Data'!H228),"\$([A-Z]+)\$[0-9]+"),"")</f>
        <v/>
      </c>
    </row>
    <row r="229" spans="2:9" x14ac:dyDescent="0.25">
      <c r="B229" t="str" cm="1">
        <f t="array" aca="1" ref="B229" ca="1">IF('Raw Data'!B229="",_xlfn.REGEXEXTRACT(CELL("address",'Raw Data'!B229),"\$([A-Z]+)\$[0-9]+"),"")</f>
        <v/>
      </c>
      <c r="C229" t="str" cm="1">
        <f t="array" aca="1" ref="C229" ca="1">IF('Raw Data'!C229="",_xlfn.REGEXEXTRACT(CELL("address",'Raw Data'!C229),"\$([A-Z]+)\$[0-9]+"),"")</f>
        <v/>
      </c>
      <c r="D229" t="str" cm="1">
        <f t="array" aca="1" ref="D229" ca="1">IF('Raw Data'!D229="",_xlfn.REGEXEXTRACT(CELL("address",'Raw Data'!D229),"\$([A-Z]+)\$[0-9]+"),"")</f>
        <v>$D$229</v>
      </c>
      <c r="E229" t="str" cm="1">
        <f t="array" aca="1" ref="E229" ca="1">IF('Raw Data'!E229="",_xlfn.REGEXEXTRACT(CELL("address",'Raw Data'!E229),"\$([A-Z]+)\$[0-9]+"),"")</f>
        <v/>
      </c>
      <c r="F229" t="str" cm="1">
        <f t="array" aca="1" ref="F229" ca="1">IF('Raw Data'!F229="",_xlfn.REGEXEXTRACT(CELL("address",'Raw Data'!F229),"\$([A-Z]+)\$[0-9]+"),"")</f>
        <v>$F$229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Data'!G229="",_xlfn.REGEXEXTRACT(CELL("address",'Raw Data'!G229),"\$([A-Z]+)\$[0-9]+"),"")</f>
        <v>$G$229</v>
      </c>
      <c r="I229" t="str" cm="1">
        <f t="array" aca="1" ref="I229" ca="1">IF('Raw Data'!H229="",_xlfn.REGEXEXTRACT(CELL("address",'Raw Data'!H229),"\$([A-Z]+)\$[0-9]+"),"")</f>
        <v/>
      </c>
    </row>
    <row r="230" spans="2:9" x14ac:dyDescent="0.25">
      <c r="B230" t="str" cm="1">
        <f t="array" aca="1" ref="B230" ca="1">IF('Raw Data'!B230="",_xlfn.REGEXEXTRACT(CELL("address",'Raw Data'!B230),"\$([A-Z]+)\$[0-9]+"),"")</f>
        <v/>
      </c>
      <c r="C230" t="str" cm="1">
        <f t="array" aca="1" ref="C230" ca="1">IF('Raw Data'!C230="",_xlfn.REGEXEXTRACT(CELL("address",'Raw Data'!C230),"\$([A-Z]+)\$[0-9]+"),"")</f>
        <v/>
      </c>
      <c r="D230" t="str" cm="1">
        <f t="array" aca="1" ref="D230" ca="1">IF('Raw Data'!D230="",_xlfn.REGEXEXTRACT(CELL("address",'Raw Data'!D230),"\$([A-Z]+)\$[0-9]+"),"")</f>
        <v>$D$230</v>
      </c>
      <c r="E230" t="str" cm="1">
        <f t="array" aca="1" ref="E230" ca="1">IF('Raw Data'!E230="",_xlfn.REGEXEXTRACT(CELL("address",'Raw Data'!E230),"\$([A-Z]+)\$[0-9]+"),"")</f>
        <v/>
      </c>
      <c r="F230" t="str" cm="1">
        <f t="array" aca="1" ref="F230" ca="1">IF('Raw Data'!F230="",_xlfn.REGEXEXTRACT(CELL("address",'Raw Data'!F230),"\$([A-Z]+)\$[0-9]+"),"")</f>
        <v>$F$230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Data'!G230="",_xlfn.REGEXEXTRACT(CELL("address",'Raw Data'!G230),"\$([A-Z]+)\$[0-9]+"),"")</f>
        <v>$G$230</v>
      </c>
      <c r="I230" t="str" cm="1">
        <f t="array" aca="1" ref="I230" ca="1">IF('Raw Data'!H230="",_xlfn.REGEXEXTRACT(CELL("address",'Raw Data'!H230),"\$([A-Z]+)\$[0-9]+"),"")</f>
        <v/>
      </c>
    </row>
    <row r="231" spans="2:9" x14ac:dyDescent="0.25">
      <c r="B231" t="str" cm="1">
        <f t="array" aca="1" ref="B231" ca="1">IF('Raw Data'!B231="",_xlfn.REGEXEXTRACT(CELL("address",'Raw Data'!B231),"\$([A-Z]+)\$[0-9]+"),"")</f>
        <v/>
      </c>
      <c r="C231" t="str" cm="1">
        <f t="array" aca="1" ref="C231" ca="1">IF('Raw Data'!C231="",_xlfn.REGEXEXTRACT(CELL("address",'Raw Data'!C231),"\$([A-Z]+)\$[0-9]+"),"")</f>
        <v/>
      </c>
      <c r="D231" t="str" cm="1">
        <f t="array" aca="1" ref="D231" ca="1">IF('Raw Data'!D231="",_xlfn.REGEXEXTRACT(CELL("address",'Raw Data'!D231),"\$([A-Z]+)\$[0-9]+"),"")</f>
        <v>$D$231</v>
      </c>
      <c r="E231" t="str" cm="1">
        <f t="array" aca="1" ref="E231" ca="1">IF('Raw Data'!E231="",_xlfn.REGEXEXTRACT(CELL("address",'Raw Data'!E231),"\$([A-Z]+)\$[0-9]+"),"")</f>
        <v/>
      </c>
      <c r="F231" t="str" cm="1">
        <f t="array" aca="1" ref="F231" ca="1">IF('Raw Data'!F231="",_xlfn.REGEXEXTRACT(CELL("address",'Raw Data'!F231),"\$([A-Z]+)\$[0-9]+"),"")</f>
        <v>$F$231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Data'!G231="",_xlfn.REGEXEXTRACT(CELL("address",'Raw Data'!G231),"\$([A-Z]+)\$[0-9]+"),"")</f>
        <v>$G$231</v>
      </c>
      <c r="I231" t="str" cm="1">
        <f t="array" aca="1" ref="I231" ca="1">IF('Raw Data'!H231="",_xlfn.REGEXEXTRACT(CELL("address",'Raw Data'!H231),"\$([A-Z]+)\$[0-9]+"),"")</f>
        <v/>
      </c>
    </row>
    <row r="232" spans="2:9" x14ac:dyDescent="0.25">
      <c r="B232" t="str" cm="1">
        <f t="array" aca="1" ref="B232" ca="1">IF('Raw Data'!B232="",_xlfn.REGEXEXTRACT(CELL("address",'Raw Data'!B232),"\$([A-Z]+)\$[0-9]+"),"")</f>
        <v/>
      </c>
      <c r="C232" t="str" cm="1">
        <f t="array" aca="1" ref="C232" ca="1">IF('Raw Data'!C232="",_xlfn.REGEXEXTRACT(CELL("address",'Raw Data'!C232),"\$([A-Z]+)\$[0-9]+"),"")</f>
        <v/>
      </c>
      <c r="D232" t="str" cm="1">
        <f t="array" aca="1" ref="D232" ca="1">IF('Raw Data'!D232="",_xlfn.REGEXEXTRACT(CELL("address",'Raw Data'!D232),"\$([A-Z]+)\$[0-9]+"),"")</f>
        <v>$D$232</v>
      </c>
      <c r="E232" t="str" cm="1">
        <f t="array" aca="1" ref="E232" ca="1">IF('Raw Data'!E232="",_xlfn.REGEXEXTRACT(CELL("address",'Raw Data'!E232),"\$([A-Z]+)\$[0-9]+"),"")</f>
        <v/>
      </c>
      <c r="F232" t="str" cm="1">
        <f t="array" aca="1" ref="F232" ca="1">IF('Raw Data'!F232="",_xlfn.REGEXEXTRACT(CELL("address",'Raw Data'!F232),"\$([A-Z]+)\$[0-9]+"),"")</f>
        <v>$F$232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Data'!G232="",_xlfn.REGEXEXTRACT(CELL("address",'Raw Data'!G232),"\$([A-Z]+)\$[0-9]+"),"")</f>
        <v>$G$232</v>
      </c>
      <c r="I232" t="str" cm="1">
        <f t="array" aca="1" ref="I232" ca="1">IF('Raw Data'!H232="",_xlfn.REGEXEXTRACT(CELL("address",'Raw Data'!H232),"\$([A-Z]+)\$[0-9]+"),"")</f>
        <v/>
      </c>
    </row>
    <row r="233" spans="2:9" x14ac:dyDescent="0.25">
      <c r="B233" t="str" cm="1">
        <f t="array" aca="1" ref="B233" ca="1">IF('Raw Data'!B233="",_xlfn.REGEXEXTRACT(CELL("address",'Raw Data'!B233),"\$([A-Z]+)\$[0-9]+"),"")</f>
        <v/>
      </c>
      <c r="C233" t="str" cm="1">
        <f t="array" aca="1" ref="C233" ca="1">IF('Raw Data'!C233="",_xlfn.REGEXEXTRACT(CELL("address",'Raw Data'!C233),"\$([A-Z]+)\$[0-9]+"),"")</f>
        <v/>
      </c>
      <c r="D233" t="str" cm="1">
        <f t="array" aca="1" ref="D233" ca="1">IF('Raw Data'!D233="",_xlfn.REGEXEXTRACT(CELL("address",'Raw Data'!D233),"\$([A-Z]+)\$[0-9]+"),"")</f>
        <v>$D$233</v>
      </c>
      <c r="E233" t="str" cm="1">
        <f t="array" aca="1" ref="E233" ca="1">IF('Raw Data'!E233="",_xlfn.REGEXEXTRACT(CELL("address",'Raw Data'!E233),"\$([A-Z]+)\$[0-9]+"),"")</f>
        <v/>
      </c>
      <c r="F233" t="str" cm="1">
        <f t="array" aca="1" ref="F233" ca="1">IF('Raw Data'!F233="",_xlfn.REGEXEXTRACT(CELL("address",'Raw Data'!F233),"\$([A-Z]+)\$[0-9]+"),"")</f>
        <v>$F$233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Data'!G233="",_xlfn.REGEXEXTRACT(CELL("address",'Raw Data'!G233),"\$([A-Z]+)\$[0-9]+"),"")</f>
        <v>$G$233</v>
      </c>
      <c r="I233" t="str" cm="1">
        <f t="array" aca="1" ref="I233" ca="1">IF('Raw Data'!H233="",_xlfn.REGEXEXTRACT(CELL("address",'Raw Data'!H233),"\$([A-Z]+)\$[0-9]+"),"")</f>
        <v/>
      </c>
    </row>
    <row r="234" spans="2:9" x14ac:dyDescent="0.25">
      <c r="B234" t="str" cm="1">
        <f t="array" aca="1" ref="B234" ca="1">IF('Raw Data'!B234="",_xlfn.REGEXEXTRACT(CELL("address",'Raw Data'!B234),"\$([A-Z]+)\$[0-9]+"),"")</f>
        <v/>
      </c>
      <c r="C234" t="str" cm="1">
        <f t="array" aca="1" ref="C234" ca="1">IF('Raw Data'!C234="",_xlfn.REGEXEXTRACT(CELL("address",'Raw Data'!C234),"\$([A-Z]+)\$[0-9]+"),"")</f>
        <v/>
      </c>
      <c r="D234" t="str" cm="1">
        <f t="array" aca="1" ref="D234" ca="1">IF('Raw Data'!D234="",_xlfn.REGEXEXTRACT(CELL("address",'Raw Data'!D234),"\$([A-Z]+)\$[0-9]+"),"")</f>
        <v>$D$234</v>
      </c>
      <c r="E234" t="str" cm="1">
        <f t="array" aca="1" ref="E234" ca="1">IF('Raw Data'!E234="",_xlfn.REGEXEXTRACT(CELL("address",'Raw Data'!E234),"\$([A-Z]+)\$[0-9]+"),"")</f>
        <v/>
      </c>
      <c r="F234" t="str" cm="1">
        <f t="array" aca="1" ref="F234" ca="1">IF('Raw Data'!F234="",_xlfn.REGEXEXTRACT(CELL("address",'Raw Data'!F234),"\$([A-Z]+)\$[0-9]+"),"")</f>
        <v>$F$234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Data'!G234="",_xlfn.REGEXEXTRACT(CELL("address",'Raw Data'!G234),"\$([A-Z]+)\$[0-9]+"),"")</f>
        <v>$G$234</v>
      </c>
      <c r="I234" t="str" cm="1">
        <f t="array" aca="1" ref="I234" ca="1">IF('Raw Data'!H234="",_xlfn.REGEXEXTRACT(CELL("address",'Raw Data'!H234),"\$([A-Z]+)\$[0-9]+"),"")</f>
        <v/>
      </c>
    </row>
    <row r="235" spans="2:9" x14ac:dyDescent="0.25">
      <c r="B235" t="str" cm="1">
        <f t="array" aca="1" ref="B235" ca="1">IF('Raw Data'!B235="",_xlfn.REGEXEXTRACT(CELL("address",'Raw Data'!B235),"\$([A-Z]+)\$[0-9]+"),"")</f>
        <v/>
      </c>
      <c r="C235" t="str" cm="1">
        <f t="array" aca="1" ref="C235" ca="1">IF('Raw Data'!C235="",_xlfn.REGEXEXTRACT(CELL("address",'Raw Data'!C235),"\$([A-Z]+)\$[0-9]+"),"")</f>
        <v/>
      </c>
      <c r="D235" t="str" cm="1">
        <f t="array" aca="1" ref="D235" ca="1">IF('Raw Data'!D235="",_xlfn.REGEXEXTRACT(CELL("address",'Raw Data'!D235),"\$([A-Z]+)\$[0-9]+"),"")</f>
        <v>$D$235</v>
      </c>
      <c r="E235" t="str" cm="1">
        <f t="array" aca="1" ref="E235" ca="1">IF('Raw Data'!E235="",_xlfn.REGEXEXTRACT(CELL("address",'Raw Data'!E235),"\$([A-Z]+)\$[0-9]+"),"")</f>
        <v/>
      </c>
      <c r="F235" t="str" cm="1">
        <f t="array" aca="1" ref="F235" ca="1">IF('Raw Data'!F235="",_xlfn.REGEXEXTRACT(CELL("address",'Raw Data'!F235),"\$([A-Z]+)\$[0-9]+"),"")</f>
        <v>$F$235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Data'!G235="",_xlfn.REGEXEXTRACT(CELL("address",'Raw Data'!G235),"\$([A-Z]+)\$[0-9]+"),"")</f>
        <v>$G$235</v>
      </c>
      <c r="I235" t="str" cm="1">
        <f t="array" aca="1" ref="I235" ca="1">IF('Raw Data'!H235="",_xlfn.REGEXEXTRACT(CELL("address",'Raw Data'!H235),"\$([A-Z]+)\$[0-9]+"),"")</f>
        <v/>
      </c>
    </row>
    <row r="236" spans="2:9" x14ac:dyDescent="0.25">
      <c r="B236" t="str" cm="1">
        <f t="array" aca="1" ref="B236" ca="1">IF('Raw Data'!B236="",_xlfn.REGEXEXTRACT(CELL("address",'Raw Data'!B236),"\$([A-Z]+)\$[0-9]+"),"")</f>
        <v/>
      </c>
      <c r="C236" t="str" cm="1">
        <f t="array" aca="1" ref="C236" ca="1">IF('Raw Data'!C236="",_xlfn.REGEXEXTRACT(CELL("address",'Raw Data'!C236),"\$([A-Z]+)\$[0-9]+"),"")</f>
        <v/>
      </c>
      <c r="D236" t="str" cm="1">
        <f t="array" aca="1" ref="D236" ca="1">IF('Raw Data'!D236="",_xlfn.REGEXEXTRACT(CELL("address",'Raw Data'!D236),"\$([A-Z]+)\$[0-9]+"),"")</f>
        <v>$D$236</v>
      </c>
      <c r="E236" t="str" cm="1">
        <f t="array" aca="1" ref="E236" ca="1">IF('Raw Data'!E236="",_xlfn.REGEXEXTRACT(CELL("address",'Raw Data'!E236),"\$([A-Z]+)\$[0-9]+"),"")</f>
        <v/>
      </c>
      <c r="F236" t="str" cm="1">
        <f t="array" aca="1" ref="F236" ca="1">IF('Raw Data'!F236="",_xlfn.REGEXEXTRACT(CELL("address",'Raw Data'!F236),"\$([A-Z]+)\$[0-9]+"),"")</f>
        <v>$F$236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Data'!G236="",_xlfn.REGEXEXTRACT(CELL("address",'Raw Data'!G236),"\$([A-Z]+)\$[0-9]+"),"")</f>
        <v>$G$236</v>
      </c>
      <c r="I236" t="str" cm="1">
        <f t="array" aca="1" ref="I236" ca="1">IF('Raw Data'!H236="",_xlfn.REGEXEXTRACT(CELL("address",'Raw Data'!H236),"\$([A-Z]+)\$[0-9]+"),"")</f>
        <v/>
      </c>
    </row>
    <row r="237" spans="2:9" x14ac:dyDescent="0.25">
      <c r="B237" t="str" cm="1">
        <f t="array" aca="1" ref="B237" ca="1">IF('Raw Data'!B237="",_xlfn.REGEXEXTRACT(CELL("address",'Raw Data'!B237),"\$([A-Z]+)\$[0-9]+"),"")</f>
        <v/>
      </c>
      <c r="C237" t="str" cm="1">
        <f t="array" aca="1" ref="C237" ca="1">IF('Raw Data'!C237="",_xlfn.REGEXEXTRACT(CELL("address",'Raw Data'!C237),"\$([A-Z]+)\$[0-9]+"),"")</f>
        <v/>
      </c>
      <c r="D237" t="str" cm="1">
        <f t="array" aca="1" ref="D237" ca="1">IF('Raw Data'!D237="",_xlfn.REGEXEXTRACT(CELL("address",'Raw Data'!D237),"\$([A-Z]+)\$[0-9]+"),"")</f>
        <v>$D$237</v>
      </c>
      <c r="E237" t="str" cm="1">
        <f t="array" aca="1" ref="E237" ca="1">IF('Raw Data'!E237="",_xlfn.REGEXEXTRACT(CELL("address",'Raw Data'!E237),"\$([A-Z]+)\$[0-9]+"),"")</f>
        <v/>
      </c>
      <c r="F237" t="str" cm="1">
        <f t="array" aca="1" ref="F237" ca="1">IF('Raw Data'!F237="",_xlfn.REGEXEXTRACT(CELL("address",'Raw Data'!F237),"\$([A-Z]+)\$[0-9]+"),"")</f>
        <v>$F$237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Data'!G237="",_xlfn.REGEXEXTRACT(CELL("address",'Raw Data'!G237),"\$([A-Z]+)\$[0-9]+"),"")</f>
        <v>$G$237</v>
      </c>
      <c r="I237" t="str" cm="1">
        <f t="array" aca="1" ref="I237" ca="1">IF('Raw Data'!H237="",_xlfn.REGEXEXTRACT(CELL("address",'Raw Data'!H237),"\$([A-Z]+)\$[0-9]+"),"")</f>
        <v/>
      </c>
    </row>
    <row r="238" spans="2:9" x14ac:dyDescent="0.25">
      <c r="B238" t="str" cm="1">
        <f t="array" aca="1" ref="B238" ca="1">IF('Raw Data'!B238="",_xlfn.REGEXEXTRACT(CELL("address",'Raw Data'!B238),"\$([A-Z]+)\$[0-9]+"),"")</f>
        <v/>
      </c>
      <c r="C238" t="str" cm="1">
        <f t="array" aca="1" ref="C238" ca="1">IF('Raw Data'!C238="",_xlfn.REGEXEXTRACT(CELL("address",'Raw Data'!C238),"\$([A-Z]+)\$[0-9]+"),"")</f>
        <v/>
      </c>
      <c r="D238" t="str" cm="1">
        <f t="array" aca="1" ref="D238" ca="1">IF('Raw Data'!D238="",_xlfn.REGEXEXTRACT(CELL("address",'Raw Data'!D238),"\$([A-Z]+)\$[0-9]+"),"")</f>
        <v>$D$238</v>
      </c>
      <c r="E238" t="str" cm="1">
        <f t="array" aca="1" ref="E238" ca="1">IF('Raw Data'!E238="",_xlfn.REGEXEXTRACT(CELL("address",'Raw Data'!E238),"\$([A-Z]+)\$[0-9]+"),"")</f>
        <v/>
      </c>
      <c r="F238" t="str" cm="1">
        <f t="array" aca="1" ref="F238" ca="1">IF('Raw Data'!F238="",_xlfn.REGEXEXTRACT(CELL("address",'Raw Data'!F238),"\$([A-Z]+)\$[0-9]+"),"")</f>
        <v>$F$238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Data'!G238="",_xlfn.REGEXEXTRACT(CELL("address",'Raw Data'!G238),"\$([A-Z]+)\$[0-9]+"),"")</f>
        <v>$G$238</v>
      </c>
      <c r="I238" t="str" cm="1">
        <f t="array" aca="1" ref="I238" ca="1">IF('Raw Data'!H238="",_xlfn.REGEXEXTRACT(CELL("address",'Raw Data'!H238),"\$([A-Z]+)\$[0-9]+"),"")</f>
        <v/>
      </c>
    </row>
    <row r="239" spans="2:9" x14ac:dyDescent="0.25">
      <c r="B239" t="str" cm="1">
        <f t="array" aca="1" ref="B239" ca="1">IF('Raw Data'!B239="",_xlfn.REGEXEXTRACT(CELL("address",'Raw Data'!B239),"\$([A-Z]+)\$[0-9]+"),"")</f>
        <v/>
      </c>
      <c r="C239" t="str" cm="1">
        <f t="array" aca="1" ref="C239" ca="1">IF('Raw Data'!C239="",_xlfn.REGEXEXTRACT(CELL("address",'Raw Data'!C239),"\$([A-Z]+)\$[0-9]+"),"")</f>
        <v/>
      </c>
      <c r="D239" t="str" cm="1">
        <f t="array" aca="1" ref="D239" ca="1">IF('Raw Data'!D239="",_xlfn.REGEXEXTRACT(CELL("address",'Raw Data'!D239),"\$([A-Z]+)\$[0-9]+"),"")</f>
        <v>$D$239</v>
      </c>
      <c r="E239" t="str" cm="1">
        <f t="array" aca="1" ref="E239" ca="1">IF('Raw Data'!E239="",_xlfn.REGEXEXTRACT(CELL("address",'Raw Data'!E239),"\$([A-Z]+)\$[0-9]+"),"")</f>
        <v/>
      </c>
      <c r="F239" t="str" cm="1">
        <f t="array" aca="1" ref="F239" ca="1">IF('Raw Data'!F239="",_xlfn.REGEXEXTRACT(CELL("address",'Raw Data'!F239),"\$([A-Z]+)\$[0-9]+"),"")</f>
        <v>$F$239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Data'!G239="",_xlfn.REGEXEXTRACT(CELL("address",'Raw Data'!G239),"\$([A-Z]+)\$[0-9]+"),"")</f>
        <v>$G$239</v>
      </c>
      <c r="I239" t="str" cm="1">
        <f t="array" aca="1" ref="I239" ca="1">IF('Raw Data'!H239="",_xlfn.REGEXEXTRACT(CELL("address",'Raw Data'!H239),"\$([A-Z]+)\$[0-9]+"),"")</f>
        <v/>
      </c>
    </row>
    <row r="240" spans="2:9" x14ac:dyDescent="0.25">
      <c r="B240" t="str" cm="1">
        <f t="array" aca="1" ref="B240" ca="1">IF('Raw Data'!B240="",_xlfn.REGEXEXTRACT(CELL("address",'Raw Data'!B240),"\$([A-Z]+)\$[0-9]+"),"")</f>
        <v/>
      </c>
      <c r="C240" t="str" cm="1">
        <f t="array" aca="1" ref="C240" ca="1">IF('Raw Data'!C240="",_xlfn.REGEXEXTRACT(CELL("address",'Raw Data'!C240),"\$([A-Z]+)\$[0-9]+"),"")</f>
        <v/>
      </c>
      <c r="D240" t="str" cm="1">
        <f t="array" aca="1" ref="D240" ca="1">IF('Raw Data'!D240="",_xlfn.REGEXEXTRACT(CELL("address",'Raw Data'!D240),"\$([A-Z]+)\$[0-9]+"),"")</f>
        <v>$D$240</v>
      </c>
      <c r="E240" t="str" cm="1">
        <f t="array" aca="1" ref="E240" ca="1">IF('Raw Data'!E240="",_xlfn.REGEXEXTRACT(CELL("address",'Raw Data'!E240),"\$([A-Z]+)\$[0-9]+"),"")</f>
        <v/>
      </c>
      <c r="F240" t="str" cm="1">
        <f t="array" aca="1" ref="F240" ca="1">IF('Raw Data'!F240="",_xlfn.REGEXEXTRACT(CELL("address",'Raw Data'!F240),"\$([A-Z]+)\$[0-9]+"),"")</f>
        <v>$F$240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Data'!G240="",_xlfn.REGEXEXTRACT(CELL("address",'Raw Data'!G240),"\$([A-Z]+)\$[0-9]+"),"")</f>
        <v>$G$240</v>
      </c>
      <c r="I240" t="str" cm="1">
        <f t="array" aca="1" ref="I240" ca="1">IF('Raw Data'!H240="",_xlfn.REGEXEXTRACT(CELL("address",'Raw Data'!H240),"\$([A-Z]+)\$[0-9]+"),"")</f>
        <v/>
      </c>
    </row>
    <row r="241" spans="2:9" x14ac:dyDescent="0.25">
      <c r="B241" t="str" cm="1">
        <f t="array" aca="1" ref="B241" ca="1">IF('Raw Data'!B241="",_xlfn.REGEXEXTRACT(CELL("address",'Raw Data'!B241),"\$([A-Z]+)\$[0-9]+"),"")</f>
        <v/>
      </c>
      <c r="C241" t="str" cm="1">
        <f t="array" aca="1" ref="C241" ca="1">IF('Raw Data'!C241="",_xlfn.REGEXEXTRACT(CELL("address",'Raw Data'!C241),"\$([A-Z]+)\$[0-9]+"),"")</f>
        <v/>
      </c>
      <c r="D241" t="str" cm="1">
        <f t="array" aca="1" ref="D241" ca="1">IF('Raw Data'!D241="",_xlfn.REGEXEXTRACT(CELL("address",'Raw Data'!D241),"\$([A-Z]+)\$[0-9]+"),"")</f>
        <v>$D$241</v>
      </c>
      <c r="E241" t="str" cm="1">
        <f t="array" aca="1" ref="E241" ca="1">IF('Raw Data'!E241="",_xlfn.REGEXEXTRACT(CELL("address",'Raw Data'!E241),"\$([A-Z]+)\$[0-9]+"),"")</f>
        <v/>
      </c>
      <c r="F241" t="str" cm="1">
        <f t="array" aca="1" ref="F241" ca="1">IF('Raw Data'!F241="",_xlfn.REGEXEXTRACT(CELL("address",'Raw Data'!F241),"\$([A-Z]+)\$[0-9]+"),"")</f>
        <v>$F$241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Data'!G241="",_xlfn.REGEXEXTRACT(CELL("address",'Raw Data'!G241),"\$([A-Z]+)\$[0-9]+"),"")</f>
        <v>$G$241</v>
      </c>
      <c r="I241" t="str" cm="1">
        <f t="array" aca="1" ref="I241" ca="1">IF('Raw Data'!H241="",_xlfn.REGEXEXTRACT(CELL("address",'Raw Data'!H241),"\$([A-Z]+)\$[0-9]+"),"")</f>
        <v/>
      </c>
    </row>
    <row r="242" spans="2:9" x14ac:dyDescent="0.25">
      <c r="B242" t="str" cm="1">
        <f t="array" aca="1" ref="B242" ca="1">IF('Raw Data'!B242="",_xlfn.REGEXEXTRACT(CELL("address",'Raw Data'!B242),"\$([A-Z]+)\$[0-9]+"),"")</f>
        <v/>
      </c>
      <c r="C242" t="str" cm="1">
        <f t="array" aca="1" ref="C242" ca="1">IF('Raw Data'!C242="",_xlfn.REGEXEXTRACT(CELL("address",'Raw Data'!C242),"\$([A-Z]+)\$[0-9]+"),"")</f>
        <v/>
      </c>
      <c r="D242" t="str" cm="1">
        <f t="array" aca="1" ref="D242" ca="1">IF('Raw Data'!D242="",_xlfn.REGEXEXTRACT(CELL("address",'Raw Data'!D242),"\$([A-Z]+)\$[0-9]+"),"")</f>
        <v>$D$242</v>
      </c>
      <c r="E242" t="str" cm="1">
        <f t="array" aca="1" ref="E242" ca="1">IF('Raw Data'!E242="",_xlfn.REGEXEXTRACT(CELL("address",'Raw Data'!E242),"\$([A-Z]+)\$[0-9]+"),"")</f>
        <v/>
      </c>
      <c r="F242" t="str" cm="1">
        <f t="array" aca="1" ref="F242" ca="1">IF('Raw Data'!F242="",_xlfn.REGEXEXTRACT(CELL("address",'Raw Data'!F242),"\$([A-Z]+)\$[0-9]+"),"")</f>
        <v>$F$242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Data'!G242="",_xlfn.REGEXEXTRACT(CELL("address",'Raw Data'!G242),"\$([A-Z]+)\$[0-9]+"),"")</f>
        <v>$G$242</v>
      </c>
      <c r="I242" t="str" cm="1">
        <f t="array" aca="1" ref="I242" ca="1">IF('Raw Data'!H242="",_xlfn.REGEXEXTRACT(CELL("address",'Raw Data'!H242),"\$([A-Z]+)\$[0-9]+"),"")</f>
        <v/>
      </c>
    </row>
    <row r="243" spans="2:9" x14ac:dyDescent="0.25">
      <c r="B243" t="str" cm="1">
        <f t="array" aca="1" ref="B243" ca="1">IF('Raw Data'!B243="",_xlfn.REGEXEXTRACT(CELL("address",'Raw Data'!B243),"\$([A-Z]+)\$[0-9]+"),"")</f>
        <v/>
      </c>
      <c r="C243" t="str" cm="1">
        <f t="array" aca="1" ref="C243" ca="1">IF('Raw Data'!C243="",_xlfn.REGEXEXTRACT(CELL("address",'Raw Data'!C243),"\$([A-Z]+)\$[0-9]+"),"")</f>
        <v/>
      </c>
      <c r="D243" t="str" cm="1">
        <f t="array" aca="1" ref="D243" ca="1">IF('Raw Data'!D243="",_xlfn.REGEXEXTRACT(CELL("address",'Raw Data'!D243),"\$([A-Z]+)\$[0-9]+"),"")</f>
        <v>$D$243</v>
      </c>
      <c r="E243" t="str" cm="1">
        <f t="array" aca="1" ref="E243" ca="1">IF('Raw Data'!E243="",_xlfn.REGEXEXTRACT(CELL("address",'Raw Data'!E243),"\$([A-Z]+)\$[0-9]+"),"")</f>
        <v/>
      </c>
      <c r="F243" t="str" cm="1">
        <f t="array" aca="1" ref="F243" ca="1">IF('Raw Data'!F243="",_xlfn.REGEXEXTRACT(CELL("address",'Raw Data'!F243),"\$([A-Z]+)\$[0-9]+"),"")</f>
        <v>$F$243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Data'!G243="",_xlfn.REGEXEXTRACT(CELL("address",'Raw Data'!G243),"\$([A-Z]+)\$[0-9]+"),"")</f>
        <v>$G$243</v>
      </c>
      <c r="I243" t="str" cm="1">
        <f t="array" aca="1" ref="I243" ca="1">IF('Raw Data'!H243="",_xlfn.REGEXEXTRACT(CELL("address",'Raw Data'!H243),"\$([A-Z]+)\$[0-9]+"),"")</f>
        <v/>
      </c>
    </row>
    <row r="244" spans="2:9" x14ac:dyDescent="0.25">
      <c r="B244" t="str" cm="1">
        <f t="array" aca="1" ref="B244" ca="1">IF('Raw Data'!B244="",_xlfn.REGEXEXTRACT(CELL("address",'Raw Data'!B244),"\$([A-Z]+)\$[0-9]+"),"")</f>
        <v/>
      </c>
      <c r="C244" t="str" cm="1">
        <f t="array" aca="1" ref="C244" ca="1">IF('Raw Data'!C244="",_xlfn.REGEXEXTRACT(CELL("address",'Raw Data'!C244),"\$([A-Z]+)\$[0-9]+"),"")</f>
        <v/>
      </c>
      <c r="D244" t="str" cm="1">
        <f t="array" aca="1" ref="D244" ca="1">IF('Raw Data'!D244="",_xlfn.REGEXEXTRACT(CELL("address",'Raw Data'!D244),"\$([A-Z]+)\$[0-9]+"),"")</f>
        <v>$D$244</v>
      </c>
      <c r="E244" t="str" cm="1">
        <f t="array" aca="1" ref="E244" ca="1">IF('Raw Data'!E244="",_xlfn.REGEXEXTRACT(CELL("address",'Raw Data'!E244),"\$([A-Z]+)\$[0-9]+"),"")</f>
        <v/>
      </c>
      <c r="F244" t="str" cm="1">
        <f t="array" aca="1" ref="F244" ca="1">IF('Raw Data'!F244="",_xlfn.REGEXEXTRACT(CELL("address",'Raw Data'!F244),"\$([A-Z]+)\$[0-9]+"),"")</f>
        <v>$F$244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Data'!G244="",_xlfn.REGEXEXTRACT(CELL("address",'Raw Data'!G244),"\$([A-Z]+)\$[0-9]+"),"")</f>
        <v>$G$244</v>
      </c>
      <c r="I244" t="str" cm="1">
        <f t="array" aca="1" ref="I244" ca="1">IF('Raw Data'!H244="",_xlfn.REGEXEXTRACT(CELL("address",'Raw Data'!H244),"\$([A-Z]+)\$[0-9]+"),"")</f>
        <v/>
      </c>
    </row>
    <row r="245" spans="2:9" x14ac:dyDescent="0.25">
      <c r="B245" t="str" cm="1">
        <f t="array" aca="1" ref="B245" ca="1">IF('Raw Data'!B245="",_xlfn.REGEXEXTRACT(CELL("address",'Raw Data'!B245),"\$([A-Z]+)\$[0-9]+"),"")</f>
        <v/>
      </c>
      <c r="C245" t="str" cm="1">
        <f t="array" aca="1" ref="C245" ca="1">IF('Raw Data'!C245="",_xlfn.REGEXEXTRACT(CELL("address",'Raw Data'!C245),"\$([A-Z]+)\$[0-9]+"),"")</f>
        <v/>
      </c>
      <c r="D245" t="str" cm="1">
        <f t="array" aca="1" ref="D245" ca="1">IF('Raw Data'!D245="",_xlfn.REGEXEXTRACT(CELL("address",'Raw Data'!D245),"\$([A-Z]+)\$[0-9]+"),"")</f>
        <v>$D$245</v>
      </c>
      <c r="E245" t="str" cm="1">
        <f t="array" aca="1" ref="E245" ca="1">IF('Raw Data'!E245="",_xlfn.REGEXEXTRACT(CELL("address",'Raw Data'!E245),"\$([A-Z]+)\$[0-9]+"),"")</f>
        <v/>
      </c>
      <c r="F245" t="str" cm="1">
        <f t="array" aca="1" ref="F245" ca="1">IF('Raw Data'!F245="",_xlfn.REGEXEXTRACT(CELL("address",'Raw Data'!F245),"\$([A-Z]+)\$[0-9]+"),"")</f>
        <v>$F$245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Data'!G245="",_xlfn.REGEXEXTRACT(CELL("address",'Raw Data'!G245),"\$([A-Z]+)\$[0-9]+"),"")</f>
        <v>$G$245</v>
      </c>
      <c r="I245" t="str" cm="1">
        <f t="array" aca="1" ref="I245" ca="1">IF('Raw Data'!H245="",_xlfn.REGEXEXTRACT(CELL("address",'Raw Data'!H245),"\$([A-Z]+)\$[0-9]+"),"")</f>
        <v/>
      </c>
    </row>
    <row r="246" spans="2:9" x14ac:dyDescent="0.25">
      <c r="B246" t="str" cm="1">
        <f t="array" aca="1" ref="B246" ca="1">IF('Raw Data'!B246="",_xlfn.REGEXEXTRACT(CELL("address",'Raw Data'!B246),"\$([A-Z]+)\$[0-9]+"),"")</f>
        <v/>
      </c>
      <c r="C246" t="str" cm="1">
        <f t="array" aca="1" ref="C246" ca="1">IF('Raw Data'!C246="",_xlfn.REGEXEXTRACT(CELL("address",'Raw Data'!C246),"\$([A-Z]+)\$[0-9]+"),"")</f>
        <v/>
      </c>
      <c r="D246" t="str" cm="1">
        <f t="array" aca="1" ref="D246" ca="1">IF('Raw Data'!D246="",_xlfn.REGEXEXTRACT(CELL("address",'Raw Data'!D246),"\$([A-Z]+)\$[0-9]+"),"")</f>
        <v>$D$246</v>
      </c>
      <c r="E246" t="str" cm="1">
        <f t="array" aca="1" ref="E246" ca="1">IF('Raw Data'!E246="",_xlfn.REGEXEXTRACT(CELL("address",'Raw Data'!E246),"\$([A-Z]+)\$[0-9]+"),"")</f>
        <v/>
      </c>
      <c r="F246" t="str" cm="1">
        <f t="array" aca="1" ref="F246" ca="1">IF('Raw Data'!F246="",_xlfn.REGEXEXTRACT(CELL("address",'Raw Data'!F246),"\$([A-Z]+)\$[0-9]+"),"")</f>
        <v>$F$246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Data'!G246="",_xlfn.REGEXEXTRACT(CELL("address",'Raw Data'!G246),"\$([A-Z]+)\$[0-9]+"),"")</f>
        <v>$G$246</v>
      </c>
      <c r="I246" t="str" cm="1">
        <f t="array" aca="1" ref="I246" ca="1">IF('Raw Data'!H246="",_xlfn.REGEXEXTRACT(CELL("address",'Raw Data'!H246),"\$([A-Z]+)\$[0-9]+"),"")</f>
        <v/>
      </c>
    </row>
    <row r="247" spans="2:9" x14ac:dyDescent="0.25">
      <c r="B247" t="str" cm="1">
        <f t="array" aca="1" ref="B247" ca="1">IF('Raw Data'!B247="",_xlfn.REGEXEXTRACT(CELL("address",'Raw Data'!B247),"\$([A-Z]+)\$[0-9]+"),"")</f>
        <v/>
      </c>
      <c r="C247" t="str" cm="1">
        <f t="array" aca="1" ref="C247" ca="1">IF('Raw Data'!C247="",_xlfn.REGEXEXTRACT(CELL("address",'Raw Data'!C247),"\$([A-Z]+)\$[0-9]+"),"")</f>
        <v/>
      </c>
      <c r="D247" t="str" cm="1">
        <f t="array" aca="1" ref="D247" ca="1">IF('Raw Data'!D247="",_xlfn.REGEXEXTRACT(CELL("address",'Raw Data'!D247),"\$([A-Z]+)\$[0-9]+"),"")</f>
        <v>$D$247</v>
      </c>
      <c r="E247" t="str" cm="1">
        <f t="array" aca="1" ref="E247" ca="1">IF('Raw Data'!E247="",_xlfn.REGEXEXTRACT(CELL("address",'Raw Data'!E247),"\$([A-Z]+)\$[0-9]+"),"")</f>
        <v/>
      </c>
      <c r="F247" t="str" cm="1">
        <f t="array" aca="1" ref="F247" ca="1">IF('Raw Data'!F247="",_xlfn.REGEXEXTRACT(CELL("address",'Raw Data'!F247),"\$([A-Z]+)\$[0-9]+"),"")</f>
        <v>$F$247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Data'!G247="",_xlfn.REGEXEXTRACT(CELL("address",'Raw Data'!G247),"\$([A-Z]+)\$[0-9]+"),"")</f>
        <v>$G$247</v>
      </c>
      <c r="I247" t="str" cm="1">
        <f t="array" aca="1" ref="I247" ca="1">IF('Raw Data'!H247="",_xlfn.REGEXEXTRACT(CELL("address",'Raw Data'!H247),"\$([A-Z]+)\$[0-9]+"),"")</f>
        <v/>
      </c>
    </row>
    <row r="248" spans="2:9" x14ac:dyDescent="0.25">
      <c r="B248" t="str" cm="1">
        <f t="array" aca="1" ref="B248" ca="1">IF('Raw Data'!B248="",_xlfn.REGEXEXTRACT(CELL("address",'Raw Data'!B248),"\$([A-Z]+)\$[0-9]+"),"")</f>
        <v/>
      </c>
      <c r="C248" t="str" cm="1">
        <f t="array" aca="1" ref="C248" ca="1">IF('Raw Data'!C248="",_xlfn.REGEXEXTRACT(CELL("address",'Raw Data'!C248),"\$([A-Z]+)\$[0-9]+"),"")</f>
        <v/>
      </c>
      <c r="D248" t="str" cm="1">
        <f t="array" aca="1" ref="D248" ca="1">IF('Raw Data'!D248="",_xlfn.REGEXEXTRACT(CELL("address",'Raw Data'!D248),"\$([A-Z]+)\$[0-9]+"),"")</f>
        <v>$D$248</v>
      </c>
      <c r="E248" t="str" cm="1">
        <f t="array" aca="1" ref="E248" ca="1">IF('Raw Data'!E248="",_xlfn.REGEXEXTRACT(CELL("address",'Raw Data'!E248),"\$([A-Z]+)\$[0-9]+"),"")</f>
        <v/>
      </c>
      <c r="F248" t="str" cm="1">
        <f t="array" aca="1" ref="F248" ca="1">IF('Raw Data'!F248="",_xlfn.REGEXEXTRACT(CELL("address",'Raw Data'!F248),"\$([A-Z]+)\$[0-9]+"),"")</f>
        <v>$F$248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Data'!G248="",_xlfn.REGEXEXTRACT(CELL("address",'Raw Data'!G248),"\$([A-Z]+)\$[0-9]+"),"")</f>
        <v>$G$248</v>
      </c>
      <c r="I248" t="str" cm="1">
        <f t="array" aca="1" ref="I248" ca="1">IF('Raw Data'!H248="",_xlfn.REGEXEXTRACT(CELL("address",'Raw Data'!H248),"\$([A-Z]+)\$[0-9]+"),"")</f>
        <v/>
      </c>
    </row>
    <row r="249" spans="2:9" x14ac:dyDescent="0.25">
      <c r="B249" t="str" cm="1">
        <f t="array" aca="1" ref="B249" ca="1">IF('Raw Data'!B249="",_xlfn.REGEXEXTRACT(CELL("address",'Raw Data'!B249),"\$([A-Z]+)\$[0-9]+"),"")</f>
        <v/>
      </c>
      <c r="C249" t="str" cm="1">
        <f t="array" aca="1" ref="C249" ca="1">IF('Raw Data'!C249="",_xlfn.REGEXEXTRACT(CELL("address",'Raw Data'!C249),"\$([A-Z]+)\$[0-9]+"),"")</f>
        <v/>
      </c>
      <c r="D249" t="str" cm="1">
        <f t="array" aca="1" ref="D249" ca="1">IF('Raw Data'!D249="",_xlfn.REGEXEXTRACT(CELL("address",'Raw Data'!D249),"\$([A-Z]+)\$[0-9]+"),"")</f>
        <v>$D$249</v>
      </c>
      <c r="E249" t="str" cm="1">
        <f t="array" aca="1" ref="E249" ca="1">IF('Raw Data'!E249="",_xlfn.REGEXEXTRACT(CELL("address",'Raw Data'!E249),"\$([A-Z]+)\$[0-9]+"),"")</f>
        <v/>
      </c>
      <c r="F249" t="str" cm="1">
        <f t="array" aca="1" ref="F249" ca="1">IF('Raw Data'!F249="",_xlfn.REGEXEXTRACT(CELL("address",'Raw Data'!F249),"\$([A-Z]+)\$[0-9]+"),"")</f>
        <v>$F$249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Data'!G249="",_xlfn.REGEXEXTRACT(CELL("address",'Raw Data'!G249),"\$([A-Z]+)\$[0-9]+"),"")</f>
        <v>$G$249</v>
      </c>
      <c r="I249" t="str" cm="1">
        <f t="array" aca="1" ref="I249" ca="1">IF('Raw Data'!H249="",_xlfn.REGEXEXTRACT(CELL("address",'Raw Data'!H249),"\$([A-Z]+)\$[0-9]+"),"")</f>
        <v/>
      </c>
    </row>
    <row r="250" spans="2:9" x14ac:dyDescent="0.25">
      <c r="B250" t="str" cm="1">
        <f t="array" aca="1" ref="B250" ca="1">IF('Raw Data'!B250="",_xlfn.REGEXEXTRACT(CELL("address",'Raw Data'!B250),"\$([A-Z]+)\$[0-9]+"),"")</f>
        <v>$B$250</v>
      </c>
      <c r="C250" t="str" cm="1">
        <f t="array" aca="1" ref="C250" ca="1">IF('Raw Data'!C250="",_xlfn.REGEXEXTRACT(CELL("address",'Raw Data'!C250),"\$([A-Z]+)\$[0-9]+"),"")</f>
        <v>$C$250</v>
      </c>
      <c r="D250" t="str" cm="1">
        <f t="array" aca="1" ref="D250" ca="1">IF('Raw Data'!D250="",_xlfn.REGEXEXTRACT(CELL("address",'Raw Data'!D250),"\$([A-Z]+)\$[0-9]+"),"")</f>
        <v>$D$250</v>
      </c>
      <c r="E250" t="str" cm="1">
        <f t="array" aca="1" ref="E250" ca="1">IF('Raw Data'!E250="",_xlfn.REGEXEXTRACT(CELL("address",'Raw Data'!E250),"\$([A-Z]+)\$[0-9]+"),"")</f>
        <v>$E$250</v>
      </c>
      <c r="F250" t="str" cm="1">
        <f t="array" aca="1" ref="F250" ca="1">IF('Raw Data'!F250="",_xlfn.REGEXEXTRACT(CELL("address",'Raw Data'!F250),"\$([A-Z]+)\$[0-9]+"),"")</f>
        <v>$F$250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Data'!G250="",_xlfn.REGEXEXTRACT(CELL("address",'Raw Data'!G250),"\$([A-Z]+)\$[0-9]+"),"")</f>
        <v>$G$250</v>
      </c>
      <c r="I250" t="str" cm="1">
        <f t="array" aca="1" ref="I250" ca="1">IF('Raw Data'!H250="",_xlfn.REGEXEXTRACT(CELL("address",'Raw Data'!H250),"\$([A-Z]+)\$[0-9]+"),"")</f>
        <v>$H$250</v>
      </c>
    </row>
    <row r="251" spans="2:9" x14ac:dyDescent="0.25">
      <c r="B251" t="str" cm="1">
        <f t="array" aca="1" ref="B251" ca="1">IF('Raw Data'!B251="",_xlfn.REGEXEXTRACT(CELL("address",'Raw Data'!B251),"\$([A-Z]+)\$[0-9]+"),"")</f>
        <v>$B$251</v>
      </c>
      <c r="C251" t="str" cm="1">
        <f t="array" aca="1" ref="C251" ca="1">IF('Raw Data'!C251="",_xlfn.REGEXEXTRACT(CELL("address",'Raw Data'!C251),"\$([A-Z]+)\$[0-9]+"),"")</f>
        <v>$C$251</v>
      </c>
      <c r="D251" t="str" cm="1">
        <f t="array" aca="1" ref="D251" ca="1">IF('Raw Data'!D251="",_xlfn.REGEXEXTRACT(CELL("address",'Raw Data'!D251),"\$([A-Z]+)\$[0-9]+"),"")</f>
        <v>$D$251</v>
      </c>
      <c r="E251" t="str" cm="1">
        <f t="array" aca="1" ref="E251" ca="1">IF('Raw Data'!E251="",_xlfn.REGEXEXTRACT(CELL("address",'Raw Data'!E251),"\$([A-Z]+)\$[0-9]+"),"")</f>
        <v>$E$251</v>
      </c>
      <c r="F251" t="str" cm="1">
        <f t="array" aca="1" ref="F251" ca="1">IF('Raw Data'!F251="",_xlfn.REGEXEXTRACT(CELL("address",'Raw Data'!F251),"\$([A-Z]+)\$[0-9]+"),"")</f>
        <v>$F$251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Data'!G251="",_xlfn.REGEXEXTRACT(CELL("address",'Raw Data'!G251),"\$([A-Z]+)\$[0-9]+"),"")</f>
        <v>$G$251</v>
      </c>
      <c r="I251" t="str" cm="1">
        <f t="array" aca="1" ref="I251" ca="1">IF('Raw Data'!H251="",_xlfn.REGEXEXTRACT(CELL("address",'Raw Data'!H251),"\$([A-Z]+)\$[0-9]+"),"")</f>
        <v>$H$251</v>
      </c>
    </row>
    <row r="252" spans="2:9" x14ac:dyDescent="0.25">
      <c r="B252" t="str" cm="1">
        <f t="array" aca="1" ref="B252" ca="1">IF('Raw Data'!B252="",_xlfn.REGEXEXTRACT(CELL("address",'Raw Data'!B252),"\$([A-Z]+)\$[0-9]+"),"")</f>
        <v>$B$252</v>
      </c>
      <c r="C252" t="str" cm="1">
        <f t="array" aca="1" ref="C252" ca="1">IF('Raw Data'!C252="",_xlfn.REGEXEXTRACT(CELL("address",'Raw Data'!C252),"\$([A-Z]+)\$[0-9]+"),"")</f>
        <v>$C$252</v>
      </c>
      <c r="D252" t="str" cm="1">
        <f t="array" aca="1" ref="D252" ca="1">IF('Raw Data'!D252="",_xlfn.REGEXEXTRACT(CELL("address",'Raw Data'!D252),"\$([A-Z]+)\$[0-9]+"),"")</f>
        <v>$D$252</v>
      </c>
      <c r="E252" t="str" cm="1">
        <f t="array" aca="1" ref="E252" ca="1">IF('Raw Data'!E252="",_xlfn.REGEXEXTRACT(CELL("address",'Raw Data'!E252),"\$([A-Z]+)\$[0-9]+"),"")</f>
        <v>$E$252</v>
      </c>
      <c r="F252" t="str" cm="1">
        <f t="array" aca="1" ref="F252" ca="1">IF('Raw Data'!F252="",_xlfn.REGEXEXTRACT(CELL("address",'Raw Data'!F252),"\$([A-Z]+)\$[0-9]+"),"")</f>
        <v>$F$252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Data'!G252="",_xlfn.REGEXEXTRACT(CELL("address",'Raw Data'!G252),"\$([A-Z]+)\$[0-9]+"),"")</f>
        <v>$G$252</v>
      </c>
      <c r="I252" t="str" cm="1">
        <f t="array" aca="1" ref="I252" ca="1">IF('Raw Data'!H252="",_xlfn.REGEXEXTRACT(CELL("address",'Raw Data'!H252),"\$([A-Z]+)\$[0-9]+"),"")</f>
        <v>$H$252</v>
      </c>
    </row>
    <row r="253" spans="2:9" x14ac:dyDescent="0.25">
      <c r="B253" t="str" cm="1">
        <f t="array" aca="1" ref="B253" ca="1">IF('Raw Data'!B253="",_xlfn.REGEXEXTRACT(CELL("address",'Raw Data'!B253),"\$([A-Z]+)\$[0-9]+"),"")</f>
        <v>$B$253</v>
      </c>
      <c r="C253" t="str" cm="1">
        <f t="array" aca="1" ref="C253" ca="1">IF('Raw Data'!C253="",_xlfn.REGEXEXTRACT(CELL("address",'Raw Data'!C253),"\$([A-Z]+)\$[0-9]+"),"")</f>
        <v>$C$253</v>
      </c>
      <c r="D253" t="str" cm="1">
        <f t="array" aca="1" ref="D253" ca="1">IF('Raw Data'!D253="",_xlfn.REGEXEXTRACT(CELL("address",'Raw Data'!D253),"\$([A-Z]+)\$[0-9]+"),"")</f>
        <v>$D$253</v>
      </c>
      <c r="E253" t="str" cm="1">
        <f t="array" aca="1" ref="E253" ca="1">IF('Raw Data'!E253="",_xlfn.REGEXEXTRACT(CELL("address",'Raw Data'!E253),"\$([A-Z]+)\$[0-9]+"),"")</f>
        <v>$E$253</v>
      </c>
      <c r="F253" t="str" cm="1">
        <f t="array" aca="1" ref="F253" ca="1">IF('Raw Data'!F253="",_xlfn.REGEXEXTRACT(CELL("address",'Raw Data'!F253),"\$([A-Z]+)\$[0-9]+"),"")</f>
        <v>$F$253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Data'!G253="",_xlfn.REGEXEXTRACT(CELL("address",'Raw Data'!G253),"\$([A-Z]+)\$[0-9]+"),"")</f>
        <v>$G$253</v>
      </c>
      <c r="I253" t="str" cm="1">
        <f t="array" aca="1" ref="I253" ca="1">IF('Raw Data'!H253="",_xlfn.REGEXEXTRACT(CELL("address",'Raw Data'!H253),"\$([A-Z]+)\$[0-9]+"),"")</f>
        <v>$H$253</v>
      </c>
    </row>
    <row r="254" spans="2:9" x14ac:dyDescent="0.25">
      <c r="B254" t="str" cm="1">
        <f t="array" aca="1" ref="B254" ca="1">IF('Raw Data'!B254="",_xlfn.REGEXEXTRACT(CELL("address",'Raw Data'!B254),"\$([A-Z]+)\$[0-9]+"),"")</f>
        <v>$B$254</v>
      </c>
      <c r="C254" t="str" cm="1">
        <f t="array" aca="1" ref="C254" ca="1">IF('Raw Data'!C254="",_xlfn.REGEXEXTRACT(CELL("address",'Raw Data'!C254),"\$([A-Z]+)\$[0-9]+"),"")</f>
        <v>$C$254</v>
      </c>
      <c r="D254" t="str" cm="1">
        <f t="array" aca="1" ref="D254" ca="1">IF('Raw Data'!D254="",_xlfn.REGEXEXTRACT(CELL("address",'Raw Data'!D254),"\$([A-Z]+)\$[0-9]+"),"")</f>
        <v>$D$254</v>
      </c>
      <c r="E254" t="str" cm="1">
        <f t="array" aca="1" ref="E254" ca="1">IF('Raw Data'!E254="",_xlfn.REGEXEXTRACT(CELL("address",'Raw Data'!E254),"\$([A-Z]+)\$[0-9]+"),"")</f>
        <v>$E$254</v>
      </c>
      <c r="F254" t="str" cm="1">
        <f t="array" aca="1" ref="F254" ca="1">IF('Raw Data'!F254="",_xlfn.REGEXEXTRACT(CELL("address",'Raw Data'!F254),"\$([A-Z]+)\$[0-9]+"),"")</f>
        <v>$F$254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Data'!G254="",_xlfn.REGEXEXTRACT(CELL("address",'Raw Data'!G254),"\$([A-Z]+)\$[0-9]+"),"")</f>
        <v>$G$254</v>
      </c>
      <c r="I254" t="str" cm="1">
        <f t="array" aca="1" ref="I254" ca="1">IF('Raw Data'!H254="",_xlfn.REGEXEXTRACT(CELL("address",'Raw Data'!H254),"\$([A-Z]+)\$[0-9]+"),"")</f>
        <v>$H$254</v>
      </c>
    </row>
    <row r="255" spans="2:9" x14ac:dyDescent="0.25">
      <c r="B255" t="str" cm="1">
        <f t="array" aca="1" ref="B255" ca="1">IF('Raw Data'!B255="",_xlfn.REGEXEXTRACT(CELL("address",'Raw Data'!B255),"\$([A-Z]+)\$[0-9]+"),"")</f>
        <v>$B$255</v>
      </c>
      <c r="C255" t="str" cm="1">
        <f t="array" aca="1" ref="C255" ca="1">IF('Raw Data'!C255="",_xlfn.REGEXEXTRACT(CELL("address",'Raw Data'!C255),"\$([A-Z]+)\$[0-9]+"),"")</f>
        <v>$C$255</v>
      </c>
      <c r="D255" t="str" cm="1">
        <f t="array" aca="1" ref="D255" ca="1">IF('Raw Data'!D255="",_xlfn.REGEXEXTRACT(CELL("address",'Raw Data'!D255),"\$([A-Z]+)\$[0-9]+"),"")</f>
        <v>$D$255</v>
      </c>
      <c r="E255" t="str" cm="1">
        <f t="array" aca="1" ref="E255" ca="1">IF('Raw Data'!E255="",_xlfn.REGEXEXTRACT(CELL("address",'Raw Data'!E255),"\$([A-Z]+)\$[0-9]+"),"")</f>
        <v>$E$255</v>
      </c>
      <c r="F255" t="str" cm="1">
        <f t="array" aca="1" ref="F255" ca="1">IF('Raw Data'!F255="",_xlfn.REGEXEXTRACT(CELL("address",'Raw Data'!F255),"\$([A-Z]+)\$[0-9]+"),"")</f>
        <v>$F$255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Data'!G255="",_xlfn.REGEXEXTRACT(CELL("address",'Raw Data'!G255),"\$([A-Z]+)\$[0-9]+"),"")</f>
        <v>$G$255</v>
      </c>
      <c r="I255" t="str" cm="1">
        <f t="array" aca="1" ref="I255" ca="1">IF('Raw Data'!H255="",_xlfn.REGEXEXTRACT(CELL("address",'Raw Data'!H255),"\$([A-Z]+)\$[0-9]+"),"")</f>
        <v>$H$255</v>
      </c>
    </row>
    <row r="256" spans="2:9" x14ac:dyDescent="0.25">
      <c r="B256" t="str" cm="1">
        <f t="array" aca="1" ref="B256" ca="1">IF('Raw Data'!B256="",_xlfn.REGEXEXTRACT(CELL("address",'Raw Data'!B256),"\$([A-Z]+)\$[0-9]+"),"")</f>
        <v>$B$256</v>
      </c>
      <c r="C256" t="str" cm="1">
        <f t="array" aca="1" ref="C256" ca="1">IF('Raw Data'!C256="",_xlfn.REGEXEXTRACT(CELL("address",'Raw Data'!C256),"\$([A-Z]+)\$[0-9]+"),"")</f>
        <v>$C$256</v>
      </c>
      <c r="D256" t="str" cm="1">
        <f t="array" aca="1" ref="D256" ca="1">IF('Raw Data'!D256="",_xlfn.REGEXEXTRACT(CELL("address",'Raw Data'!D256),"\$([A-Z]+)\$[0-9]+"),"")</f>
        <v>$D$256</v>
      </c>
      <c r="E256" t="str" cm="1">
        <f t="array" aca="1" ref="E256" ca="1">IF('Raw Data'!E256="",_xlfn.REGEXEXTRACT(CELL("address",'Raw Data'!E256),"\$([A-Z]+)\$[0-9]+"),"")</f>
        <v>$E$256</v>
      </c>
      <c r="F256" t="str" cm="1">
        <f t="array" aca="1" ref="F256" ca="1">IF('Raw Data'!F256="",_xlfn.REGEXEXTRACT(CELL("address",'Raw Data'!F256),"\$([A-Z]+)\$[0-9]+"),"")</f>
        <v>$F$256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Data'!G256="",_xlfn.REGEXEXTRACT(CELL("address",'Raw Data'!G256),"\$([A-Z]+)\$[0-9]+"),"")</f>
        <v>$G$256</v>
      </c>
      <c r="I256" t="str" cm="1">
        <f t="array" aca="1" ref="I256" ca="1">IF('Raw Data'!H256="",_xlfn.REGEXEXTRACT(CELL("address",'Raw Data'!H256),"\$([A-Z]+)\$[0-9]+"),"")</f>
        <v>$H$256</v>
      </c>
    </row>
    <row r="257" spans="2:9" x14ac:dyDescent="0.25">
      <c r="B257" t="str" cm="1">
        <f t="array" aca="1" ref="B257" ca="1">IF('Raw Data'!B257="",_xlfn.REGEXEXTRACT(CELL("address",'Raw Data'!B257),"\$([A-Z]+)\$[0-9]+"),"")</f>
        <v>$B$257</v>
      </c>
      <c r="C257" t="str" cm="1">
        <f t="array" aca="1" ref="C257" ca="1">IF('Raw Data'!C257="",_xlfn.REGEXEXTRACT(CELL("address",'Raw Data'!C257),"\$([A-Z]+)\$[0-9]+"),"")</f>
        <v>$C$257</v>
      </c>
      <c r="D257" t="str" cm="1">
        <f t="array" aca="1" ref="D257" ca="1">IF('Raw Data'!D257="",_xlfn.REGEXEXTRACT(CELL("address",'Raw Data'!D257),"\$([A-Z]+)\$[0-9]+"),"")</f>
        <v>$D$257</v>
      </c>
      <c r="E257" t="str" cm="1">
        <f t="array" aca="1" ref="E257" ca="1">IF('Raw Data'!E257="",_xlfn.REGEXEXTRACT(CELL("address",'Raw Data'!E257),"\$([A-Z]+)\$[0-9]+"),"")</f>
        <v>$E$257</v>
      </c>
      <c r="F257" t="str" cm="1">
        <f t="array" aca="1" ref="F257" ca="1">IF('Raw Data'!F257="",_xlfn.REGEXEXTRACT(CELL("address",'Raw Data'!F257),"\$([A-Z]+)\$[0-9]+"),"")</f>
        <v>$F$257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Data'!G257="",_xlfn.REGEXEXTRACT(CELL("address",'Raw Data'!G257),"\$([A-Z]+)\$[0-9]+"),"")</f>
        <v>$G$257</v>
      </c>
      <c r="I257" t="str" cm="1">
        <f t="array" aca="1" ref="I257" ca="1">IF('Raw Data'!H257="",_xlfn.REGEXEXTRACT(CELL("address",'Raw Data'!H257),"\$([A-Z]+)\$[0-9]+"),"")</f>
        <v>$H$257</v>
      </c>
    </row>
    <row r="258" spans="2:9" x14ac:dyDescent="0.25">
      <c r="B258" t="str" cm="1">
        <f t="array" aca="1" ref="B258" ca="1">IF('Raw Data'!B258="",_xlfn.REGEXEXTRACT(CELL("address",'Raw Data'!B258),"\$([A-Z]+)\$[0-9]+"),"")</f>
        <v>$B$258</v>
      </c>
      <c r="C258" t="str" cm="1">
        <f t="array" aca="1" ref="C258" ca="1">IF('Raw Data'!C258="",_xlfn.REGEXEXTRACT(CELL("address",'Raw Data'!C258),"\$([A-Z]+)\$[0-9]+"),"")</f>
        <v>$C$258</v>
      </c>
      <c r="D258" t="str" cm="1">
        <f t="array" aca="1" ref="D258" ca="1">IF('Raw Data'!D258="",_xlfn.REGEXEXTRACT(CELL("address",'Raw Data'!D258),"\$([A-Z]+)\$[0-9]+"),"")</f>
        <v>$D$258</v>
      </c>
      <c r="E258" t="str" cm="1">
        <f t="array" aca="1" ref="E258" ca="1">IF('Raw Data'!E258="",_xlfn.REGEXEXTRACT(CELL("address",'Raw Data'!E258),"\$([A-Z]+)\$[0-9]+"),"")</f>
        <v>$E$258</v>
      </c>
      <c r="F258" t="str" cm="1">
        <f t="array" aca="1" ref="F258" ca="1">IF('Raw Data'!F258="",_xlfn.REGEXEXTRACT(CELL("address",'Raw Data'!F258),"\$([A-Z]+)\$[0-9]+"),"")</f>
        <v>$F$258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Data'!G258="",_xlfn.REGEXEXTRACT(CELL("address",'Raw Data'!G258),"\$([A-Z]+)\$[0-9]+"),"")</f>
        <v>$G$258</v>
      </c>
      <c r="I258" t="str" cm="1">
        <f t="array" aca="1" ref="I258" ca="1">IF('Raw Data'!H258="",_xlfn.REGEXEXTRACT(CELL("address",'Raw Data'!H258),"\$([A-Z]+)\$[0-9]+"),"")</f>
        <v>$H$258</v>
      </c>
    </row>
    <row r="259" spans="2:9" x14ac:dyDescent="0.25">
      <c r="B259" t="str" cm="1">
        <f t="array" aca="1" ref="B259" ca="1">IF('Raw Data'!B259="",_xlfn.REGEXEXTRACT(CELL("address",'Raw Data'!B259),"\$([A-Z]+)\$[0-9]+"),"")</f>
        <v>$B$259</v>
      </c>
      <c r="C259" t="str" cm="1">
        <f t="array" aca="1" ref="C259" ca="1">IF('Raw Data'!C259="",_xlfn.REGEXEXTRACT(CELL("address",'Raw Data'!C259),"\$([A-Z]+)\$[0-9]+"),"")</f>
        <v>$C$259</v>
      </c>
      <c r="D259" t="str" cm="1">
        <f t="array" aca="1" ref="D259" ca="1">IF('Raw Data'!D259="",_xlfn.REGEXEXTRACT(CELL("address",'Raw Data'!D259),"\$([A-Z]+)\$[0-9]+"),"")</f>
        <v>$D$259</v>
      </c>
      <c r="E259" t="str" cm="1">
        <f t="array" aca="1" ref="E259" ca="1">IF('Raw Data'!E259="",_xlfn.REGEXEXTRACT(CELL("address",'Raw Data'!E259),"\$([A-Z]+)\$[0-9]+"),"")</f>
        <v>$E$259</v>
      </c>
      <c r="F259" t="str" cm="1">
        <f t="array" aca="1" ref="F259" ca="1">IF('Raw Data'!F259="",_xlfn.REGEXEXTRACT(CELL("address",'Raw Data'!F259),"\$([A-Z]+)\$[0-9]+"),"")</f>
        <v>$F$259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Data'!G259="",_xlfn.REGEXEXTRACT(CELL("address",'Raw Data'!G259),"\$([A-Z]+)\$[0-9]+"),"")</f>
        <v>$G$259</v>
      </c>
      <c r="I259" t="str" cm="1">
        <f t="array" aca="1" ref="I259" ca="1">IF('Raw Data'!H259="",_xlfn.REGEXEXTRACT(CELL("address",'Raw Data'!H259),"\$([A-Z]+)\$[0-9]+"),"")</f>
        <v>$H$259</v>
      </c>
    </row>
    <row r="260" spans="2:9" x14ac:dyDescent="0.25">
      <c r="B260" t="str" cm="1">
        <f t="array" aca="1" ref="B260" ca="1">IF('Raw Data'!B260="",_xlfn.REGEXEXTRACT(CELL("address",'Raw Data'!B260),"\$([A-Z]+)\$[0-9]+"),"")</f>
        <v>$B$260</v>
      </c>
      <c r="C260" t="str" cm="1">
        <f t="array" aca="1" ref="C260" ca="1">IF('Raw Data'!C260="",_xlfn.REGEXEXTRACT(CELL("address",'Raw Data'!C260),"\$([A-Z]+)\$[0-9]+"),"")</f>
        <v>$C$260</v>
      </c>
      <c r="D260" t="str" cm="1">
        <f t="array" aca="1" ref="D260" ca="1">IF('Raw Data'!D260="",_xlfn.REGEXEXTRACT(CELL("address",'Raw Data'!D260),"\$([A-Z]+)\$[0-9]+"),"")</f>
        <v>$D$260</v>
      </c>
      <c r="E260" t="str" cm="1">
        <f t="array" aca="1" ref="E260" ca="1">IF('Raw Data'!E260="",_xlfn.REGEXEXTRACT(CELL("address",'Raw Data'!E260),"\$([A-Z]+)\$[0-9]+"),"")</f>
        <v>$E$260</v>
      </c>
      <c r="F260" t="str" cm="1">
        <f t="array" aca="1" ref="F260" ca="1">IF('Raw Data'!F260="",_xlfn.REGEXEXTRACT(CELL("address",'Raw Data'!F260),"\$([A-Z]+)\$[0-9]+"),"")</f>
        <v>$F$260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Data'!G260="",_xlfn.REGEXEXTRACT(CELL("address",'Raw Data'!G260),"\$([A-Z]+)\$[0-9]+"),"")</f>
        <v>$G$260</v>
      </c>
      <c r="I260" t="str" cm="1">
        <f t="array" aca="1" ref="I260" ca="1">IF('Raw Data'!H260="",_xlfn.REGEXEXTRACT(CELL("address",'Raw Data'!H260),"\$([A-Z]+)\$[0-9]+"),"")</f>
        <v>$H$260</v>
      </c>
    </row>
    <row r="261" spans="2:9" x14ac:dyDescent="0.25">
      <c r="B261" t="str" cm="1">
        <f t="array" aca="1" ref="B261" ca="1">IF('Raw Data'!B261="",_xlfn.REGEXEXTRACT(CELL("address",'Raw Data'!B261),"\$([A-Z]+)\$[0-9]+"),"")</f>
        <v>$B$261</v>
      </c>
      <c r="C261" t="str" cm="1">
        <f t="array" aca="1" ref="C261" ca="1">IF('Raw Data'!C261="",_xlfn.REGEXEXTRACT(CELL("address",'Raw Data'!C261),"\$([A-Z]+)\$[0-9]+"),"")</f>
        <v>$C$261</v>
      </c>
      <c r="D261" t="str" cm="1">
        <f t="array" aca="1" ref="D261" ca="1">IF('Raw Data'!D261="",_xlfn.REGEXEXTRACT(CELL("address",'Raw Data'!D261),"\$([A-Z]+)\$[0-9]+"),"")</f>
        <v>$D$261</v>
      </c>
      <c r="E261" t="str" cm="1">
        <f t="array" aca="1" ref="E261" ca="1">IF('Raw Data'!E261="",_xlfn.REGEXEXTRACT(CELL("address",'Raw Data'!E261),"\$([A-Z]+)\$[0-9]+"),"")</f>
        <v>$E$261</v>
      </c>
      <c r="F261" t="str" cm="1">
        <f t="array" aca="1" ref="F261" ca="1">IF('Raw Data'!F261="",_xlfn.REGEXEXTRACT(CELL("address",'Raw Data'!F261),"\$([A-Z]+)\$[0-9]+"),"")</f>
        <v>$F$261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Data'!G261="",_xlfn.REGEXEXTRACT(CELL("address",'Raw Data'!G261),"\$([A-Z]+)\$[0-9]+"),"")</f>
        <v>$G$261</v>
      </c>
      <c r="I261" t="str" cm="1">
        <f t="array" aca="1" ref="I261" ca="1">IF('Raw Data'!H261="",_xlfn.REGEXEXTRACT(CELL("address",'Raw Data'!H261),"\$([A-Z]+)\$[0-9]+"),"")</f>
        <v>$H$261</v>
      </c>
    </row>
    <row r="262" spans="2:9" x14ac:dyDescent="0.25">
      <c r="B262" t="str" cm="1">
        <f t="array" aca="1" ref="B262" ca="1">IF('Raw Data'!B262="",_xlfn.REGEXEXTRACT(CELL("address",'Raw Data'!B262),"\$([A-Z]+)\$[0-9]+"),"")</f>
        <v>$B$262</v>
      </c>
      <c r="C262" t="str" cm="1">
        <f t="array" aca="1" ref="C262" ca="1">IF('Raw Data'!C262="",_xlfn.REGEXEXTRACT(CELL("address",'Raw Data'!C262),"\$([A-Z]+)\$[0-9]+"),"")</f>
        <v>$C$262</v>
      </c>
      <c r="D262" t="str" cm="1">
        <f t="array" aca="1" ref="D262" ca="1">IF('Raw Data'!D262="",_xlfn.REGEXEXTRACT(CELL("address",'Raw Data'!D262),"\$([A-Z]+)\$[0-9]+"),"")</f>
        <v>$D$262</v>
      </c>
      <c r="E262" t="str" cm="1">
        <f t="array" aca="1" ref="E262" ca="1">IF('Raw Data'!E262="",_xlfn.REGEXEXTRACT(CELL("address",'Raw Data'!E262),"\$([A-Z]+)\$[0-9]+"),"")</f>
        <v>$E$262</v>
      </c>
      <c r="F262" t="str" cm="1">
        <f t="array" aca="1" ref="F262" ca="1">IF('Raw Data'!F262="",_xlfn.REGEXEXTRACT(CELL("address",'Raw Data'!F262),"\$([A-Z]+)\$[0-9]+"),"")</f>
        <v>$F$262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Data'!G262="",_xlfn.REGEXEXTRACT(CELL("address",'Raw Data'!G262),"\$([A-Z]+)\$[0-9]+"),"")</f>
        <v>$G$262</v>
      </c>
      <c r="I262" t="str" cm="1">
        <f t="array" aca="1" ref="I262" ca="1">IF('Raw Data'!H262="",_xlfn.REGEXEXTRACT(CELL("address",'Raw Data'!H262),"\$([A-Z]+)\$[0-9]+"),"")</f>
        <v>$H$262</v>
      </c>
    </row>
    <row r="263" spans="2:9" x14ac:dyDescent="0.25">
      <c r="B263" t="str" cm="1">
        <f t="array" aca="1" ref="B263" ca="1">IF('Raw Data'!B263="",_xlfn.REGEXEXTRACT(CELL("address",'Raw Data'!B263),"\$([A-Z]+)\$[0-9]+"),"")</f>
        <v>$B$263</v>
      </c>
      <c r="C263" t="str" cm="1">
        <f t="array" aca="1" ref="C263" ca="1">IF('Raw Data'!C263="",_xlfn.REGEXEXTRACT(CELL("address",'Raw Data'!C263),"\$([A-Z]+)\$[0-9]+"),"")</f>
        <v>$C$263</v>
      </c>
      <c r="D263" t="str" cm="1">
        <f t="array" aca="1" ref="D263" ca="1">IF('Raw Data'!D263="",_xlfn.REGEXEXTRACT(CELL("address",'Raw Data'!D263),"\$([A-Z]+)\$[0-9]+"),"")</f>
        <v>$D$263</v>
      </c>
      <c r="E263" t="str" cm="1">
        <f t="array" aca="1" ref="E263" ca="1">IF('Raw Data'!E263="",_xlfn.REGEXEXTRACT(CELL("address",'Raw Data'!E263),"\$([A-Z]+)\$[0-9]+"),"")</f>
        <v>$E$263</v>
      </c>
      <c r="F263" t="str" cm="1">
        <f t="array" aca="1" ref="F263" ca="1">IF('Raw Data'!F263="",_xlfn.REGEXEXTRACT(CELL("address",'Raw Data'!F263),"\$([A-Z]+)\$[0-9]+"),"")</f>
        <v>$F$263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Data'!G263="",_xlfn.REGEXEXTRACT(CELL("address",'Raw Data'!G263),"\$([A-Z]+)\$[0-9]+"),"")</f>
        <v>$G$263</v>
      </c>
      <c r="I263" t="str" cm="1">
        <f t="array" aca="1" ref="I263" ca="1">IF('Raw Data'!H263="",_xlfn.REGEXEXTRACT(CELL("address",'Raw Data'!H263),"\$([A-Z]+)\$[0-9]+"),"")</f>
        <v>$H$263</v>
      </c>
    </row>
    <row r="264" spans="2:9" x14ac:dyDescent="0.25">
      <c r="B264" t="str" cm="1">
        <f t="array" aca="1" ref="B264" ca="1">IF('Raw Data'!B264="",_xlfn.REGEXEXTRACT(CELL("address",'Raw Data'!B264),"\$([A-Z]+)\$[0-9]+"),"")</f>
        <v>$B$264</v>
      </c>
      <c r="C264" t="str" cm="1">
        <f t="array" aca="1" ref="C264" ca="1">IF('Raw Data'!C264="",_xlfn.REGEXEXTRACT(CELL("address",'Raw Data'!C264),"\$([A-Z]+)\$[0-9]+"),"")</f>
        <v>$C$264</v>
      </c>
      <c r="D264" t="str" cm="1">
        <f t="array" aca="1" ref="D264" ca="1">IF('Raw Data'!D264="",_xlfn.REGEXEXTRACT(CELL("address",'Raw Data'!D264),"\$([A-Z]+)\$[0-9]+"),"")</f>
        <v>$D$264</v>
      </c>
      <c r="E264" t="str" cm="1">
        <f t="array" aca="1" ref="E264" ca="1">IF('Raw Data'!E264="",_xlfn.REGEXEXTRACT(CELL("address",'Raw Data'!E264),"\$([A-Z]+)\$[0-9]+"),"")</f>
        <v>$E$264</v>
      </c>
      <c r="F264" t="str" cm="1">
        <f t="array" aca="1" ref="F264" ca="1">IF('Raw Data'!F264="",_xlfn.REGEXEXTRACT(CELL("address",'Raw Data'!F264),"\$([A-Z]+)\$[0-9]+"),"")</f>
        <v>$F$264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Data'!G264="",_xlfn.REGEXEXTRACT(CELL("address",'Raw Data'!G264),"\$([A-Z]+)\$[0-9]+"),"")</f>
        <v>$G$264</v>
      </c>
      <c r="I264" t="str" cm="1">
        <f t="array" aca="1" ref="I264" ca="1">IF('Raw Data'!H264="",_xlfn.REGEXEXTRACT(CELL("address",'Raw Data'!H264),"\$([A-Z]+)\$[0-9]+"),"")</f>
        <v>$H$264</v>
      </c>
    </row>
    <row r="265" spans="2:9" x14ac:dyDescent="0.25">
      <c r="B265" t="str" cm="1">
        <f t="array" aca="1" ref="B265" ca="1">IF('Raw Data'!B265="",_xlfn.REGEXEXTRACT(CELL("address",'Raw Data'!B265),"\$([A-Z]+)\$[0-9]+"),"")</f>
        <v>$B$265</v>
      </c>
      <c r="C265" t="str" cm="1">
        <f t="array" aca="1" ref="C265" ca="1">IF('Raw Data'!C265="",_xlfn.REGEXEXTRACT(CELL("address",'Raw Data'!C265),"\$([A-Z]+)\$[0-9]+"),"")</f>
        <v>$C$265</v>
      </c>
      <c r="D265" t="str" cm="1">
        <f t="array" aca="1" ref="D265" ca="1">IF('Raw Data'!D265="",_xlfn.REGEXEXTRACT(CELL("address",'Raw Data'!D265),"\$([A-Z]+)\$[0-9]+"),"")</f>
        <v>$D$265</v>
      </c>
      <c r="E265" t="str" cm="1">
        <f t="array" aca="1" ref="E265" ca="1">IF('Raw Data'!E265="",_xlfn.REGEXEXTRACT(CELL("address",'Raw Data'!E265),"\$([A-Z]+)\$[0-9]+"),"")</f>
        <v>$E$265</v>
      </c>
      <c r="F265" t="str" cm="1">
        <f t="array" aca="1" ref="F265" ca="1">IF('Raw Data'!F265="",_xlfn.REGEXEXTRACT(CELL("address",'Raw Data'!F265),"\$([A-Z]+)\$[0-9]+"),"")</f>
        <v>$F$265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Data'!G265="",_xlfn.REGEXEXTRACT(CELL("address",'Raw Data'!G265),"\$([A-Z]+)\$[0-9]+"),"")</f>
        <v>$G$265</v>
      </c>
      <c r="I265" t="str" cm="1">
        <f t="array" aca="1" ref="I265" ca="1">IF('Raw Data'!H265="",_xlfn.REGEXEXTRACT(CELL("address",'Raw Data'!H265),"\$([A-Z]+)\$[0-9]+"),"")</f>
        <v>$H$265</v>
      </c>
    </row>
    <row r="266" spans="2:9" x14ac:dyDescent="0.25">
      <c r="B266" t="str" cm="1">
        <f t="array" aca="1" ref="B266" ca="1">IF('Raw Data'!B266="",_xlfn.REGEXEXTRACT(CELL("address",'Raw Data'!B266),"\$([A-Z]+)\$[0-9]+"),"")</f>
        <v>$B$266</v>
      </c>
      <c r="C266" t="str" cm="1">
        <f t="array" aca="1" ref="C266" ca="1">IF('Raw Data'!C266="",_xlfn.REGEXEXTRACT(CELL("address",'Raw Data'!C266),"\$([A-Z]+)\$[0-9]+"),"")</f>
        <v>$C$266</v>
      </c>
      <c r="D266" t="str" cm="1">
        <f t="array" aca="1" ref="D266" ca="1">IF('Raw Data'!D266="",_xlfn.REGEXEXTRACT(CELL("address",'Raw Data'!D266),"\$([A-Z]+)\$[0-9]+"),"")</f>
        <v>$D$266</v>
      </c>
      <c r="E266" t="str" cm="1">
        <f t="array" aca="1" ref="E266" ca="1">IF('Raw Data'!E266="",_xlfn.REGEXEXTRACT(CELL("address",'Raw Data'!E266),"\$([A-Z]+)\$[0-9]+"),"")</f>
        <v>$E$266</v>
      </c>
      <c r="F266" t="str" cm="1">
        <f t="array" aca="1" ref="F266" ca="1">IF('Raw Data'!F266="",_xlfn.REGEXEXTRACT(CELL("address",'Raw Data'!F266),"\$([A-Z]+)\$[0-9]+"),"")</f>
        <v>$F$266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Data'!G266="",_xlfn.REGEXEXTRACT(CELL("address",'Raw Data'!G266),"\$([A-Z]+)\$[0-9]+"),"")</f>
        <v>$G$266</v>
      </c>
      <c r="I266" t="str" cm="1">
        <f t="array" aca="1" ref="I266" ca="1">IF('Raw Data'!H266="",_xlfn.REGEXEXTRACT(CELL("address",'Raw Data'!H266),"\$([A-Z]+)\$[0-9]+"),"")</f>
        <v>$H$266</v>
      </c>
    </row>
    <row r="267" spans="2:9" x14ac:dyDescent="0.25">
      <c r="B267" t="str" cm="1">
        <f t="array" aca="1" ref="B267" ca="1">IF('Raw Data'!B267="",_xlfn.REGEXEXTRACT(CELL("address",'Raw Data'!B267),"\$([A-Z]+)\$[0-9]+"),"")</f>
        <v>$B$267</v>
      </c>
      <c r="C267" t="str" cm="1">
        <f t="array" aca="1" ref="C267" ca="1">IF('Raw Data'!C267="",_xlfn.REGEXEXTRACT(CELL("address",'Raw Data'!C267),"\$([A-Z]+)\$[0-9]+"),"")</f>
        <v>$C$267</v>
      </c>
      <c r="D267" t="str" cm="1">
        <f t="array" aca="1" ref="D267" ca="1">IF('Raw Data'!D267="",_xlfn.REGEXEXTRACT(CELL("address",'Raw Data'!D267),"\$([A-Z]+)\$[0-9]+"),"")</f>
        <v>$D$267</v>
      </c>
      <c r="E267" t="str" cm="1">
        <f t="array" aca="1" ref="E267" ca="1">IF('Raw Data'!E267="",_xlfn.REGEXEXTRACT(CELL("address",'Raw Data'!E267),"\$([A-Z]+)\$[0-9]+"),"")</f>
        <v>$E$267</v>
      </c>
      <c r="F267" t="str" cm="1">
        <f t="array" aca="1" ref="F267" ca="1">IF('Raw Data'!F267="",_xlfn.REGEXEXTRACT(CELL("address",'Raw Data'!F267),"\$([A-Z]+)\$[0-9]+"),"")</f>
        <v>$F$267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Data'!G267="",_xlfn.REGEXEXTRACT(CELL("address",'Raw Data'!G267),"\$([A-Z]+)\$[0-9]+"),"")</f>
        <v>$G$267</v>
      </c>
      <c r="I267" t="str" cm="1">
        <f t="array" aca="1" ref="I267" ca="1">IF('Raw Data'!H267="",_xlfn.REGEXEXTRACT(CELL("address",'Raw Data'!H267),"\$([A-Z]+)\$[0-9]+"),"")</f>
        <v>$H$267</v>
      </c>
    </row>
    <row r="268" spans="2:9" x14ac:dyDescent="0.25">
      <c r="B268" t="str" cm="1">
        <f t="array" aca="1" ref="B268" ca="1">IF('Raw Data'!B268="",_xlfn.REGEXEXTRACT(CELL("address",'Raw Data'!B268),"\$([A-Z]+)\$[0-9]+"),"")</f>
        <v>$B$268</v>
      </c>
      <c r="C268" t="str" cm="1">
        <f t="array" aca="1" ref="C268" ca="1">IF('Raw Data'!C268="",_xlfn.REGEXEXTRACT(CELL("address",'Raw Data'!C268),"\$([A-Z]+)\$[0-9]+"),"")</f>
        <v>$C$268</v>
      </c>
      <c r="D268" t="str" cm="1">
        <f t="array" aca="1" ref="D268" ca="1">IF('Raw Data'!D268="",_xlfn.REGEXEXTRACT(CELL("address",'Raw Data'!D268),"\$([A-Z]+)\$[0-9]+"),"")</f>
        <v>$D$268</v>
      </c>
      <c r="E268" t="str" cm="1">
        <f t="array" aca="1" ref="E268" ca="1">IF('Raw Data'!E268="",_xlfn.REGEXEXTRACT(CELL("address",'Raw Data'!E268),"\$([A-Z]+)\$[0-9]+"),"")</f>
        <v>$E$268</v>
      </c>
      <c r="F268" t="str" cm="1">
        <f t="array" aca="1" ref="F268" ca="1">IF('Raw Data'!F268="",_xlfn.REGEXEXTRACT(CELL("address",'Raw Data'!F268),"\$([A-Z]+)\$[0-9]+"),"")</f>
        <v>$F$268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Data'!G268="",_xlfn.REGEXEXTRACT(CELL("address",'Raw Data'!G268),"\$([A-Z]+)\$[0-9]+"),"")</f>
        <v>$G$268</v>
      </c>
      <c r="I268" t="str" cm="1">
        <f t="array" aca="1" ref="I268" ca="1">IF('Raw Data'!H268="",_xlfn.REGEXEXTRACT(CELL("address",'Raw Data'!H268),"\$([A-Z]+)\$[0-9]+"),"")</f>
        <v>$H$268</v>
      </c>
    </row>
    <row r="269" spans="2:9" x14ac:dyDescent="0.25">
      <c r="B269" t="str" cm="1">
        <f t="array" aca="1" ref="B269" ca="1">IF('Raw Data'!B269="",_xlfn.REGEXEXTRACT(CELL("address",'Raw Data'!B269),"\$([A-Z]+)\$[0-9]+"),"")</f>
        <v>$B$269</v>
      </c>
      <c r="C269" t="str" cm="1">
        <f t="array" aca="1" ref="C269" ca="1">IF('Raw Data'!C269="",_xlfn.REGEXEXTRACT(CELL("address",'Raw Data'!C269),"\$([A-Z]+)\$[0-9]+"),"")</f>
        <v>$C$269</v>
      </c>
      <c r="D269" t="str" cm="1">
        <f t="array" aca="1" ref="D269" ca="1">IF('Raw Data'!D269="",_xlfn.REGEXEXTRACT(CELL("address",'Raw Data'!D269),"\$([A-Z]+)\$[0-9]+"),"")</f>
        <v>$D$269</v>
      </c>
      <c r="E269" t="str" cm="1">
        <f t="array" aca="1" ref="E269" ca="1">IF('Raw Data'!E269="",_xlfn.REGEXEXTRACT(CELL("address",'Raw Data'!E269),"\$([A-Z]+)\$[0-9]+"),"")</f>
        <v>$E$269</v>
      </c>
      <c r="F269" t="str" cm="1">
        <f t="array" aca="1" ref="F269" ca="1">IF('Raw Data'!F269="",_xlfn.REGEXEXTRACT(CELL("address",'Raw Data'!F269),"\$([A-Z]+)\$[0-9]+"),"")</f>
        <v>$F$269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Data'!G269="",_xlfn.REGEXEXTRACT(CELL("address",'Raw Data'!G269),"\$([A-Z]+)\$[0-9]+"),"")</f>
        <v>$G$269</v>
      </c>
      <c r="I269" t="str" cm="1">
        <f t="array" aca="1" ref="I269" ca="1">IF('Raw Data'!H269="",_xlfn.REGEXEXTRACT(CELL("address",'Raw Data'!H269),"\$([A-Z]+)\$[0-9]+"),"")</f>
        <v>$H$269</v>
      </c>
    </row>
    <row r="270" spans="2:9" x14ac:dyDescent="0.25">
      <c r="B270" t="str" cm="1">
        <f t="array" aca="1" ref="B270" ca="1">IF('Raw Data'!B270="",_xlfn.REGEXEXTRACT(CELL("address",'Raw Data'!B270),"\$([A-Z]+)\$[0-9]+"),"")</f>
        <v>$B$270</v>
      </c>
      <c r="C270" t="str" cm="1">
        <f t="array" aca="1" ref="C270" ca="1">IF('Raw Data'!C270="",_xlfn.REGEXEXTRACT(CELL("address",'Raw Data'!C270),"\$([A-Z]+)\$[0-9]+"),"")</f>
        <v>$C$270</v>
      </c>
      <c r="D270" t="str" cm="1">
        <f t="array" aca="1" ref="D270" ca="1">IF('Raw Data'!D270="",_xlfn.REGEXEXTRACT(CELL("address",'Raw Data'!D270),"\$([A-Z]+)\$[0-9]+"),"")</f>
        <v>$D$270</v>
      </c>
      <c r="E270" t="str" cm="1">
        <f t="array" aca="1" ref="E270" ca="1">IF('Raw Data'!E270="",_xlfn.REGEXEXTRACT(CELL("address",'Raw Data'!E270),"\$([A-Z]+)\$[0-9]+"),"")</f>
        <v>$E$270</v>
      </c>
      <c r="F270" t="str" cm="1">
        <f t="array" aca="1" ref="F270" ca="1">IF('Raw Data'!F270="",_xlfn.REGEXEXTRACT(CELL("address",'Raw Data'!F270),"\$([A-Z]+)\$[0-9]+"),"")</f>
        <v>$F$270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Data'!G270="",_xlfn.REGEXEXTRACT(CELL("address",'Raw Data'!G270),"\$([A-Z]+)\$[0-9]+"),"")</f>
        <v>$G$270</v>
      </c>
      <c r="I270" t="str" cm="1">
        <f t="array" aca="1" ref="I270" ca="1">IF('Raw Data'!H270="",_xlfn.REGEXEXTRACT(CELL("address",'Raw Data'!H270),"\$([A-Z]+)\$[0-9]+"),"")</f>
        <v>$H$270</v>
      </c>
    </row>
    <row r="271" spans="2:9" x14ac:dyDescent="0.25">
      <c r="B271" t="str" cm="1">
        <f t="array" aca="1" ref="B271" ca="1">IF('Raw Data'!B271="",_xlfn.REGEXEXTRACT(CELL("address",'Raw Data'!B271),"\$([A-Z]+)\$[0-9]+"),"")</f>
        <v>$B$271</v>
      </c>
      <c r="C271" t="str" cm="1">
        <f t="array" aca="1" ref="C271" ca="1">IF('Raw Data'!C271="",_xlfn.REGEXEXTRACT(CELL("address",'Raw Data'!C271),"\$([A-Z]+)\$[0-9]+"),"")</f>
        <v>$C$271</v>
      </c>
      <c r="D271" t="str" cm="1">
        <f t="array" aca="1" ref="D271" ca="1">IF('Raw Data'!D271="",_xlfn.REGEXEXTRACT(CELL("address",'Raw Data'!D271),"\$([A-Z]+)\$[0-9]+"),"")</f>
        <v>$D$271</v>
      </c>
      <c r="E271" t="str" cm="1">
        <f t="array" aca="1" ref="E271" ca="1">IF('Raw Data'!E271="",_xlfn.REGEXEXTRACT(CELL("address",'Raw Data'!E271),"\$([A-Z]+)\$[0-9]+"),"")</f>
        <v>$E$271</v>
      </c>
      <c r="F271" t="str" cm="1">
        <f t="array" aca="1" ref="F271" ca="1">IF('Raw Data'!F271="",_xlfn.REGEXEXTRACT(CELL("address",'Raw Data'!F271),"\$([A-Z]+)\$[0-9]+"),"")</f>
        <v>$F$271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Data'!G271="",_xlfn.REGEXEXTRACT(CELL("address",'Raw Data'!G271),"\$([A-Z]+)\$[0-9]+"),"")</f>
        <v>$G$271</v>
      </c>
      <c r="I271" t="str" cm="1">
        <f t="array" aca="1" ref="I271" ca="1">IF('Raw Data'!H271="",_xlfn.REGEXEXTRACT(CELL("address",'Raw Data'!H271),"\$([A-Z]+)\$[0-9]+"),"")</f>
        <v>$H$271</v>
      </c>
    </row>
    <row r="272" spans="2:9" x14ac:dyDescent="0.25">
      <c r="B272" t="str" cm="1">
        <f t="array" aca="1" ref="B272" ca="1">IF('Raw Data'!B272="",_xlfn.REGEXEXTRACT(CELL("address",'Raw Data'!B272),"\$([A-Z]+)\$[0-9]+"),"")</f>
        <v>$B$272</v>
      </c>
      <c r="C272" t="str" cm="1">
        <f t="array" aca="1" ref="C272" ca="1">IF('Raw Data'!C272="",_xlfn.REGEXEXTRACT(CELL("address",'Raw Data'!C272),"\$([A-Z]+)\$[0-9]+"),"")</f>
        <v>$C$272</v>
      </c>
      <c r="D272" t="str" cm="1">
        <f t="array" aca="1" ref="D272" ca="1">IF('Raw Data'!D272="",_xlfn.REGEXEXTRACT(CELL("address",'Raw Data'!D272),"\$([A-Z]+)\$[0-9]+"),"")</f>
        <v>$D$272</v>
      </c>
      <c r="E272" t="str" cm="1">
        <f t="array" aca="1" ref="E272" ca="1">IF('Raw Data'!E272="",_xlfn.REGEXEXTRACT(CELL("address",'Raw Data'!E272),"\$([A-Z]+)\$[0-9]+"),"")</f>
        <v>$E$272</v>
      </c>
      <c r="F272" t="str" cm="1">
        <f t="array" aca="1" ref="F272" ca="1">IF('Raw Data'!F272="",_xlfn.REGEXEXTRACT(CELL("address",'Raw Data'!F272),"\$([A-Z]+)\$[0-9]+"),"")</f>
        <v>$F$272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Data'!G272="",_xlfn.REGEXEXTRACT(CELL("address",'Raw Data'!G272),"\$([A-Z]+)\$[0-9]+"),"")</f>
        <v>$G$272</v>
      </c>
      <c r="I272" t="str" cm="1">
        <f t="array" aca="1" ref="I272" ca="1">IF('Raw Data'!H272="",_xlfn.REGEXEXTRACT(CELL("address",'Raw Data'!H272),"\$([A-Z]+)\$[0-9]+"),"")</f>
        <v>$H$272</v>
      </c>
    </row>
    <row r="273" spans="2:9" x14ac:dyDescent="0.25">
      <c r="B273" t="str" cm="1">
        <f t="array" aca="1" ref="B273" ca="1">IF('Raw Data'!B273="",_xlfn.REGEXEXTRACT(CELL("address",'Raw Data'!B273),"\$([A-Z]+)\$[0-9]+"),"")</f>
        <v>$B$273</v>
      </c>
      <c r="C273" t="str" cm="1">
        <f t="array" aca="1" ref="C273" ca="1">IF('Raw Data'!C273="",_xlfn.REGEXEXTRACT(CELL("address",'Raw Data'!C273),"\$([A-Z]+)\$[0-9]+"),"")</f>
        <v>$C$273</v>
      </c>
      <c r="D273" t="str" cm="1">
        <f t="array" aca="1" ref="D273" ca="1">IF('Raw Data'!D273="",_xlfn.REGEXEXTRACT(CELL("address",'Raw Data'!D273),"\$([A-Z]+)\$[0-9]+"),"")</f>
        <v>$D$273</v>
      </c>
      <c r="E273" t="str" cm="1">
        <f t="array" aca="1" ref="E273" ca="1">IF('Raw Data'!E273="",_xlfn.REGEXEXTRACT(CELL("address",'Raw Data'!E273),"\$([A-Z]+)\$[0-9]+"),"")</f>
        <v>$E$273</v>
      </c>
      <c r="F273" t="str" cm="1">
        <f t="array" aca="1" ref="F273" ca="1">IF('Raw Data'!F273="",_xlfn.REGEXEXTRACT(CELL("address",'Raw Data'!F273),"\$([A-Z]+)\$[0-9]+"),"")</f>
        <v>$F$273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Data'!G273="",_xlfn.REGEXEXTRACT(CELL("address",'Raw Data'!G273),"\$([A-Z]+)\$[0-9]+"),"")</f>
        <v>$G$273</v>
      </c>
      <c r="I273" t="str" cm="1">
        <f t="array" aca="1" ref="I273" ca="1">IF('Raw Data'!H273="",_xlfn.REGEXEXTRACT(CELL("address",'Raw Data'!H273),"\$([A-Z]+)\$[0-9]+"),"")</f>
        <v>$H$273</v>
      </c>
    </row>
    <row r="274" spans="2:9" x14ac:dyDescent="0.25">
      <c r="B274" t="str" cm="1">
        <f t="array" aca="1" ref="B274" ca="1">IF('Raw Data'!B274="",_xlfn.REGEXEXTRACT(CELL("address",'Raw Data'!B274),"\$([A-Z]+)\$[0-9]+"),"")</f>
        <v>$B$274</v>
      </c>
      <c r="C274" t="str" cm="1">
        <f t="array" aca="1" ref="C274" ca="1">IF('Raw Data'!C274="",_xlfn.REGEXEXTRACT(CELL("address",'Raw Data'!C274),"\$([A-Z]+)\$[0-9]+"),"")</f>
        <v>$C$274</v>
      </c>
      <c r="D274" t="str" cm="1">
        <f t="array" aca="1" ref="D274" ca="1">IF('Raw Data'!D274="",_xlfn.REGEXEXTRACT(CELL("address",'Raw Data'!D274),"\$([A-Z]+)\$[0-9]+"),"")</f>
        <v>$D$274</v>
      </c>
      <c r="E274" t="str" cm="1">
        <f t="array" aca="1" ref="E274" ca="1">IF('Raw Data'!E274="",_xlfn.REGEXEXTRACT(CELL("address",'Raw Data'!E274),"\$([A-Z]+)\$[0-9]+"),"")</f>
        <v>$E$274</v>
      </c>
      <c r="F274" t="str" cm="1">
        <f t="array" aca="1" ref="F274" ca="1">IF('Raw Data'!F274="",_xlfn.REGEXEXTRACT(CELL("address",'Raw Data'!F274),"\$([A-Z]+)\$[0-9]+"),"")</f>
        <v>$F$274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Data'!G274="",_xlfn.REGEXEXTRACT(CELL("address",'Raw Data'!G274),"\$([A-Z]+)\$[0-9]+"),"")</f>
        <v>$G$274</v>
      </c>
      <c r="I274" t="str" cm="1">
        <f t="array" aca="1" ref="I274" ca="1">IF('Raw Data'!H274="",_xlfn.REGEXEXTRACT(CELL("address",'Raw Data'!H274),"\$([A-Z]+)\$[0-9]+"),"")</f>
        <v>$H$274</v>
      </c>
    </row>
    <row r="275" spans="2:9" x14ac:dyDescent="0.25">
      <c r="B275" t="str" cm="1">
        <f t="array" aca="1" ref="B275" ca="1">IF('Raw Data'!B275="",_xlfn.REGEXEXTRACT(CELL("address",'Raw Data'!B275),"\$([A-Z]+)\$[0-9]+"),"")</f>
        <v>$B$275</v>
      </c>
      <c r="C275" t="str" cm="1">
        <f t="array" aca="1" ref="C275" ca="1">IF('Raw Data'!C275="",_xlfn.REGEXEXTRACT(CELL("address",'Raw Data'!C275),"\$([A-Z]+)\$[0-9]+"),"")</f>
        <v>$C$275</v>
      </c>
      <c r="D275" t="str" cm="1">
        <f t="array" aca="1" ref="D275" ca="1">IF('Raw Data'!D275="",_xlfn.REGEXEXTRACT(CELL("address",'Raw Data'!D275),"\$([A-Z]+)\$[0-9]+"),"")</f>
        <v>$D$275</v>
      </c>
      <c r="E275" t="str" cm="1">
        <f t="array" aca="1" ref="E275" ca="1">IF('Raw Data'!E275="",_xlfn.REGEXEXTRACT(CELL("address",'Raw Data'!E275),"\$([A-Z]+)\$[0-9]+"),"")</f>
        <v>$E$275</v>
      </c>
      <c r="F275" t="str" cm="1">
        <f t="array" aca="1" ref="F275" ca="1">IF('Raw Data'!F275="",_xlfn.REGEXEXTRACT(CELL("address",'Raw Data'!F275),"\$([A-Z]+)\$[0-9]+"),"")</f>
        <v>$F$275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Data'!G275="",_xlfn.REGEXEXTRACT(CELL("address",'Raw Data'!G275),"\$([A-Z]+)\$[0-9]+"),"")</f>
        <v>$G$275</v>
      </c>
      <c r="I275" t="str" cm="1">
        <f t="array" aca="1" ref="I275" ca="1">IF('Raw Data'!H275="",_xlfn.REGEXEXTRACT(CELL("address",'Raw Data'!H275),"\$([A-Z]+)\$[0-9]+"),"")</f>
        <v>$H$275</v>
      </c>
    </row>
    <row r="276" spans="2:9" x14ac:dyDescent="0.25">
      <c r="B276" t="str" cm="1">
        <f t="array" aca="1" ref="B276" ca="1">IF('Raw Data'!B276="",_xlfn.REGEXEXTRACT(CELL("address",'Raw Data'!B276),"\$([A-Z]+)\$[0-9]+"),"")</f>
        <v>$B$276</v>
      </c>
      <c r="C276" t="str" cm="1">
        <f t="array" aca="1" ref="C276" ca="1">IF('Raw Data'!C276="",_xlfn.REGEXEXTRACT(CELL("address",'Raw Data'!C276),"\$([A-Z]+)\$[0-9]+"),"")</f>
        <v>$C$276</v>
      </c>
      <c r="D276" t="str" cm="1">
        <f t="array" aca="1" ref="D276" ca="1">IF('Raw Data'!D276="",_xlfn.REGEXEXTRACT(CELL("address",'Raw Data'!D276),"\$([A-Z]+)\$[0-9]+"),"")</f>
        <v>$D$276</v>
      </c>
      <c r="E276" t="str" cm="1">
        <f t="array" aca="1" ref="E276" ca="1">IF('Raw Data'!E276="",_xlfn.REGEXEXTRACT(CELL("address",'Raw Data'!E276),"\$([A-Z]+)\$[0-9]+"),"")</f>
        <v>$E$276</v>
      </c>
      <c r="F276" t="str" cm="1">
        <f t="array" aca="1" ref="F276" ca="1">IF('Raw Data'!F276="",_xlfn.REGEXEXTRACT(CELL("address",'Raw Data'!F276),"\$([A-Z]+)\$[0-9]+"),"")</f>
        <v>$F$276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Data'!G276="",_xlfn.REGEXEXTRACT(CELL("address",'Raw Data'!G276),"\$([A-Z]+)\$[0-9]+"),"")</f>
        <v>$G$276</v>
      </c>
      <c r="I276" t="str" cm="1">
        <f t="array" aca="1" ref="I276" ca="1">IF('Raw Data'!H276="",_xlfn.REGEXEXTRACT(CELL("address",'Raw Data'!H276),"\$([A-Z]+)\$[0-9]+"),"")</f>
        <v>$H$276</v>
      </c>
    </row>
    <row r="277" spans="2:9" x14ac:dyDescent="0.25">
      <c r="B277" t="str" cm="1">
        <f t="array" aca="1" ref="B277" ca="1">IF('Raw Data'!B277="",_xlfn.REGEXEXTRACT(CELL("address",'Raw Data'!B277),"\$([A-Z]+)\$[0-9]+"),"")</f>
        <v>$B$277</v>
      </c>
      <c r="C277" t="str" cm="1">
        <f t="array" aca="1" ref="C277" ca="1">IF('Raw Data'!C277="",_xlfn.REGEXEXTRACT(CELL("address",'Raw Data'!C277),"\$([A-Z]+)\$[0-9]+"),"")</f>
        <v>$C$277</v>
      </c>
      <c r="D277" t="str" cm="1">
        <f t="array" aca="1" ref="D277" ca="1">IF('Raw Data'!D277="",_xlfn.REGEXEXTRACT(CELL("address",'Raw Data'!D277),"\$([A-Z]+)\$[0-9]+"),"")</f>
        <v>$D$277</v>
      </c>
      <c r="E277" t="str" cm="1">
        <f t="array" aca="1" ref="E277" ca="1">IF('Raw Data'!E277="",_xlfn.REGEXEXTRACT(CELL("address",'Raw Data'!E277),"\$([A-Z]+)\$[0-9]+"),"")</f>
        <v>$E$277</v>
      </c>
      <c r="F277" t="str" cm="1">
        <f t="array" aca="1" ref="F277" ca="1">IF('Raw Data'!F277="",_xlfn.REGEXEXTRACT(CELL("address",'Raw Data'!F277),"\$([A-Z]+)\$[0-9]+"),"")</f>
        <v>$F$277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Data'!G277="",_xlfn.REGEXEXTRACT(CELL("address",'Raw Data'!G277),"\$([A-Z]+)\$[0-9]+"),"")</f>
        <v>$G$277</v>
      </c>
      <c r="I277" t="str" cm="1">
        <f t="array" aca="1" ref="I277" ca="1">IF('Raw Data'!H277="",_xlfn.REGEXEXTRACT(CELL("address",'Raw Data'!H277),"\$([A-Z]+)\$[0-9]+"),"")</f>
        <v>$H$277</v>
      </c>
    </row>
    <row r="278" spans="2:9" x14ac:dyDescent="0.25">
      <c r="B278" t="str" cm="1">
        <f t="array" aca="1" ref="B278" ca="1">IF('Raw Data'!B278="",_xlfn.REGEXEXTRACT(CELL("address",'Raw Data'!B278),"\$([A-Z]+)\$[0-9]+"),"")</f>
        <v>$B$278</v>
      </c>
      <c r="C278" t="str" cm="1">
        <f t="array" aca="1" ref="C278" ca="1">IF('Raw Data'!C278="",_xlfn.REGEXEXTRACT(CELL("address",'Raw Data'!C278),"\$([A-Z]+)\$[0-9]+"),"")</f>
        <v>$C$278</v>
      </c>
      <c r="D278" t="str" cm="1">
        <f t="array" aca="1" ref="D278" ca="1">IF('Raw Data'!D278="",_xlfn.REGEXEXTRACT(CELL("address",'Raw Data'!D278),"\$([A-Z]+)\$[0-9]+"),"")</f>
        <v>$D$278</v>
      </c>
      <c r="E278" t="str" cm="1">
        <f t="array" aca="1" ref="E278" ca="1">IF('Raw Data'!E278="",_xlfn.REGEXEXTRACT(CELL("address",'Raw Data'!E278),"\$([A-Z]+)\$[0-9]+"),"")</f>
        <v>$E$278</v>
      </c>
      <c r="F278" t="str" cm="1">
        <f t="array" aca="1" ref="F278" ca="1">IF('Raw Data'!F278="",_xlfn.REGEXEXTRACT(CELL("address",'Raw Data'!F278),"\$([A-Z]+)\$[0-9]+"),"")</f>
        <v>$F$278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Data'!G278="",_xlfn.REGEXEXTRACT(CELL("address",'Raw Data'!G278),"\$([A-Z]+)\$[0-9]+"),"")</f>
        <v>$G$278</v>
      </c>
      <c r="I278" t="str" cm="1">
        <f t="array" aca="1" ref="I278" ca="1">IF('Raw Data'!H278="",_xlfn.REGEXEXTRACT(CELL("address",'Raw Data'!H278),"\$([A-Z]+)\$[0-9]+"),"")</f>
        <v>$H$278</v>
      </c>
    </row>
    <row r="279" spans="2:9" x14ac:dyDescent="0.25">
      <c r="B279" t="str" cm="1">
        <f t="array" aca="1" ref="B279" ca="1">IF('Raw Data'!B279="",_xlfn.REGEXEXTRACT(CELL("address",'Raw Data'!B279),"\$([A-Z]+)\$[0-9]+"),"")</f>
        <v>$B$279</v>
      </c>
      <c r="C279" t="str" cm="1">
        <f t="array" aca="1" ref="C279" ca="1">IF('Raw Data'!C279="",_xlfn.REGEXEXTRACT(CELL("address",'Raw Data'!C279),"\$([A-Z]+)\$[0-9]+"),"")</f>
        <v>$C$279</v>
      </c>
      <c r="D279" t="str" cm="1">
        <f t="array" aca="1" ref="D279" ca="1">IF('Raw Data'!D279="",_xlfn.REGEXEXTRACT(CELL("address",'Raw Data'!D279),"\$([A-Z]+)\$[0-9]+"),"")</f>
        <v>$D$279</v>
      </c>
      <c r="E279" t="str" cm="1">
        <f t="array" aca="1" ref="E279" ca="1">IF('Raw Data'!E279="",_xlfn.REGEXEXTRACT(CELL("address",'Raw Data'!E279),"\$([A-Z]+)\$[0-9]+"),"")</f>
        <v>$E$279</v>
      </c>
      <c r="F279" t="str" cm="1">
        <f t="array" aca="1" ref="F279" ca="1">IF('Raw Data'!F279="",_xlfn.REGEXEXTRACT(CELL("address",'Raw Data'!F279),"\$([A-Z]+)\$[0-9]+"),"")</f>
        <v>$F$279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Data'!G279="",_xlfn.REGEXEXTRACT(CELL("address",'Raw Data'!G279),"\$([A-Z]+)\$[0-9]+"),"")</f>
        <v>$G$279</v>
      </c>
      <c r="I279" t="str" cm="1">
        <f t="array" aca="1" ref="I279" ca="1">IF('Raw Data'!H279="",_xlfn.REGEXEXTRACT(CELL("address",'Raw Data'!H279),"\$([A-Z]+)\$[0-9]+"),"")</f>
        <v>$H$279</v>
      </c>
    </row>
    <row r="280" spans="2:9" x14ac:dyDescent="0.25">
      <c r="B280" t="str" cm="1">
        <f t="array" aca="1" ref="B280" ca="1">IF('Raw Data'!B280="",_xlfn.REGEXEXTRACT(CELL("address",'Raw Data'!B280),"\$([A-Z]+)\$[0-9]+"),"")</f>
        <v>$B$280</v>
      </c>
      <c r="C280" t="str" cm="1">
        <f t="array" aca="1" ref="C280" ca="1">IF('Raw Data'!C280="",_xlfn.REGEXEXTRACT(CELL("address",'Raw Data'!C280),"\$([A-Z]+)\$[0-9]+"),"")</f>
        <v>$C$280</v>
      </c>
      <c r="D280" t="str" cm="1">
        <f t="array" aca="1" ref="D280" ca="1">IF('Raw Data'!D280="",_xlfn.REGEXEXTRACT(CELL("address",'Raw Data'!D280),"\$([A-Z]+)\$[0-9]+"),"")</f>
        <v>$D$280</v>
      </c>
      <c r="E280" t="str" cm="1">
        <f t="array" aca="1" ref="E280" ca="1">IF('Raw Data'!E280="",_xlfn.REGEXEXTRACT(CELL("address",'Raw Data'!E280),"\$([A-Z]+)\$[0-9]+"),"")</f>
        <v>$E$280</v>
      </c>
      <c r="F280" t="str" cm="1">
        <f t="array" aca="1" ref="F280" ca="1">IF('Raw Data'!F280="",_xlfn.REGEXEXTRACT(CELL("address",'Raw Data'!F280),"\$([A-Z]+)\$[0-9]+"),"")</f>
        <v>$F$280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Data'!G280="",_xlfn.REGEXEXTRACT(CELL("address",'Raw Data'!G280),"\$([A-Z]+)\$[0-9]+"),"")</f>
        <v>$G$280</v>
      </c>
      <c r="I280" t="str" cm="1">
        <f t="array" aca="1" ref="I280" ca="1">IF('Raw Data'!H280="",_xlfn.REGEXEXTRACT(CELL("address",'Raw Data'!H280),"\$([A-Z]+)\$[0-9]+"),"")</f>
        <v>$H$280</v>
      </c>
    </row>
    <row r="281" spans="2:9" x14ac:dyDescent="0.25">
      <c r="B281" t="str" cm="1">
        <f t="array" aca="1" ref="B281" ca="1">IF('Raw Data'!B281="",_xlfn.REGEXEXTRACT(CELL("address",'Raw Data'!B281),"\$([A-Z]+)\$[0-9]+"),"")</f>
        <v>$B$281</v>
      </c>
      <c r="C281" t="str" cm="1">
        <f t="array" aca="1" ref="C281" ca="1">IF('Raw Data'!C281="",_xlfn.REGEXEXTRACT(CELL("address",'Raw Data'!C281),"\$([A-Z]+)\$[0-9]+"),"")</f>
        <v>$C$281</v>
      </c>
      <c r="D281" t="str" cm="1">
        <f t="array" aca="1" ref="D281" ca="1">IF('Raw Data'!D281="",_xlfn.REGEXEXTRACT(CELL("address",'Raw Data'!D281),"\$([A-Z]+)\$[0-9]+"),"")</f>
        <v>$D$281</v>
      </c>
      <c r="E281" t="str" cm="1">
        <f t="array" aca="1" ref="E281" ca="1">IF('Raw Data'!E281="",_xlfn.REGEXEXTRACT(CELL("address",'Raw Data'!E281),"\$([A-Z]+)\$[0-9]+"),"")</f>
        <v>$E$281</v>
      </c>
      <c r="F281" t="str" cm="1">
        <f t="array" aca="1" ref="F281" ca="1">IF('Raw Data'!F281="",_xlfn.REGEXEXTRACT(CELL("address",'Raw Data'!F281),"\$([A-Z]+)\$[0-9]+"),"")</f>
        <v>$F$281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Data'!G281="",_xlfn.REGEXEXTRACT(CELL("address",'Raw Data'!G281),"\$([A-Z]+)\$[0-9]+"),"")</f>
        <v>$G$281</v>
      </c>
      <c r="I281" t="str" cm="1">
        <f t="array" aca="1" ref="I281" ca="1">IF('Raw Data'!H281="",_xlfn.REGEXEXTRACT(CELL("address",'Raw Data'!H281),"\$([A-Z]+)\$[0-9]+"),"")</f>
        <v>$H$281</v>
      </c>
    </row>
    <row r="282" spans="2:9" x14ac:dyDescent="0.25">
      <c r="B282" t="str" cm="1">
        <f t="array" aca="1" ref="B282" ca="1">IF('Raw Data'!B282="",_xlfn.REGEXEXTRACT(CELL("address",'Raw Data'!B282),"\$([A-Z]+)\$[0-9]+"),"")</f>
        <v>$B$282</v>
      </c>
      <c r="C282" t="str" cm="1">
        <f t="array" aca="1" ref="C282" ca="1">IF('Raw Data'!C282="",_xlfn.REGEXEXTRACT(CELL("address",'Raw Data'!C282),"\$([A-Z]+)\$[0-9]+"),"")</f>
        <v>$C$282</v>
      </c>
      <c r="D282" t="str" cm="1">
        <f t="array" aca="1" ref="D282" ca="1">IF('Raw Data'!D282="",_xlfn.REGEXEXTRACT(CELL("address",'Raw Data'!D282),"\$([A-Z]+)\$[0-9]+"),"")</f>
        <v>$D$282</v>
      </c>
      <c r="E282" t="str" cm="1">
        <f t="array" aca="1" ref="E282" ca="1">IF('Raw Data'!E282="",_xlfn.REGEXEXTRACT(CELL("address",'Raw Data'!E282),"\$([A-Z]+)\$[0-9]+"),"")</f>
        <v>$E$282</v>
      </c>
      <c r="F282" t="str" cm="1">
        <f t="array" aca="1" ref="F282" ca="1">IF('Raw Data'!F282="",_xlfn.REGEXEXTRACT(CELL("address",'Raw Data'!F282),"\$([A-Z]+)\$[0-9]+"),"")</f>
        <v>$F$282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Data'!G282="",_xlfn.REGEXEXTRACT(CELL("address",'Raw Data'!G282),"\$([A-Z]+)\$[0-9]+"),"")</f>
        <v>$G$282</v>
      </c>
      <c r="I282" t="str" cm="1">
        <f t="array" aca="1" ref="I282" ca="1">IF('Raw Data'!H282="",_xlfn.REGEXEXTRACT(CELL("address",'Raw Data'!H282),"\$([A-Z]+)\$[0-9]+"),"")</f>
        <v>$H$282</v>
      </c>
    </row>
    <row r="283" spans="2:9" x14ac:dyDescent="0.25">
      <c r="B283" t="str" cm="1">
        <f t="array" aca="1" ref="B283" ca="1">IF('Raw Data'!B283="",_xlfn.REGEXEXTRACT(CELL("address",'Raw Data'!B283),"\$([A-Z]+)\$[0-9]+"),"")</f>
        <v>$B$283</v>
      </c>
      <c r="C283" t="str" cm="1">
        <f t="array" aca="1" ref="C283" ca="1">IF('Raw Data'!C283="",_xlfn.REGEXEXTRACT(CELL("address",'Raw Data'!C283),"\$([A-Z]+)\$[0-9]+"),"")</f>
        <v>$C$283</v>
      </c>
      <c r="D283" t="str" cm="1">
        <f t="array" aca="1" ref="D283" ca="1">IF('Raw Data'!D283="",_xlfn.REGEXEXTRACT(CELL("address",'Raw Data'!D283),"\$([A-Z]+)\$[0-9]+"),"")</f>
        <v>$D$283</v>
      </c>
      <c r="E283" t="str" cm="1">
        <f t="array" aca="1" ref="E283" ca="1">IF('Raw Data'!E283="",_xlfn.REGEXEXTRACT(CELL("address",'Raw Data'!E283),"\$([A-Z]+)\$[0-9]+"),"")</f>
        <v>$E$283</v>
      </c>
      <c r="F283" t="str" cm="1">
        <f t="array" aca="1" ref="F283" ca="1">IF('Raw Data'!F283="",_xlfn.REGEXEXTRACT(CELL("address",'Raw Data'!F283),"\$([A-Z]+)\$[0-9]+"),"")</f>
        <v>$F$283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Data'!G283="",_xlfn.REGEXEXTRACT(CELL("address",'Raw Data'!G283),"\$([A-Z]+)\$[0-9]+"),"")</f>
        <v>$G$283</v>
      </c>
      <c r="I283" t="str" cm="1">
        <f t="array" aca="1" ref="I283" ca="1">IF('Raw Data'!H283="",_xlfn.REGEXEXTRACT(CELL("address",'Raw Data'!H283),"\$([A-Z]+)\$[0-9]+"),"")</f>
        <v>$H$283</v>
      </c>
    </row>
    <row r="284" spans="2:9" x14ac:dyDescent="0.25">
      <c r="B284" t="str" cm="1">
        <f t="array" aca="1" ref="B284" ca="1">IF('Raw Data'!B284="",_xlfn.REGEXEXTRACT(CELL("address",'Raw Data'!B284),"\$([A-Z]+)\$[0-9]+"),"")</f>
        <v>$B$284</v>
      </c>
      <c r="C284" t="str" cm="1">
        <f t="array" aca="1" ref="C284" ca="1">IF('Raw Data'!C284="",_xlfn.REGEXEXTRACT(CELL("address",'Raw Data'!C284),"\$([A-Z]+)\$[0-9]+"),"")</f>
        <v>$C$284</v>
      </c>
      <c r="D284" t="str" cm="1">
        <f t="array" aca="1" ref="D284" ca="1">IF('Raw Data'!D284="",_xlfn.REGEXEXTRACT(CELL("address",'Raw Data'!D284),"\$([A-Z]+)\$[0-9]+"),"")</f>
        <v>$D$284</v>
      </c>
      <c r="E284" t="str" cm="1">
        <f t="array" aca="1" ref="E284" ca="1">IF('Raw Data'!E284="",_xlfn.REGEXEXTRACT(CELL("address",'Raw Data'!E284),"\$([A-Z]+)\$[0-9]+"),"")</f>
        <v>$E$284</v>
      </c>
      <c r="F284" t="str" cm="1">
        <f t="array" aca="1" ref="F284" ca="1">IF('Raw Data'!F284="",_xlfn.REGEXEXTRACT(CELL("address",'Raw Data'!F284),"\$([A-Z]+)\$[0-9]+"),"")</f>
        <v>$F$284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Data'!G284="",_xlfn.REGEXEXTRACT(CELL("address",'Raw Data'!G284),"\$([A-Z]+)\$[0-9]+"),"")</f>
        <v>$G$284</v>
      </c>
      <c r="I284" t="str" cm="1">
        <f t="array" aca="1" ref="I284" ca="1">IF('Raw Data'!H284="",_xlfn.REGEXEXTRACT(CELL("address",'Raw Data'!H284),"\$([A-Z]+)\$[0-9]+"),"")</f>
        <v>$H$284</v>
      </c>
    </row>
    <row r="285" spans="2:9" x14ac:dyDescent="0.25">
      <c r="B285" t="str" cm="1">
        <f t="array" aca="1" ref="B285" ca="1">IF('Raw Data'!B285="",_xlfn.REGEXEXTRACT(CELL("address",'Raw Data'!B285),"\$([A-Z]+)\$[0-9]+"),"")</f>
        <v>$B$285</v>
      </c>
      <c r="C285" t="str" cm="1">
        <f t="array" aca="1" ref="C285" ca="1">IF('Raw Data'!C285="",_xlfn.REGEXEXTRACT(CELL("address",'Raw Data'!C285),"\$([A-Z]+)\$[0-9]+"),"")</f>
        <v>$C$285</v>
      </c>
      <c r="D285" t="str" cm="1">
        <f t="array" aca="1" ref="D285" ca="1">IF('Raw Data'!D285="",_xlfn.REGEXEXTRACT(CELL("address",'Raw Data'!D285),"\$([A-Z]+)\$[0-9]+"),"")</f>
        <v>$D$285</v>
      </c>
      <c r="E285" t="str" cm="1">
        <f t="array" aca="1" ref="E285" ca="1">IF('Raw Data'!E285="",_xlfn.REGEXEXTRACT(CELL("address",'Raw Data'!E285),"\$([A-Z]+)\$[0-9]+"),"")</f>
        <v>$E$285</v>
      </c>
      <c r="F285" t="str" cm="1">
        <f t="array" aca="1" ref="F285" ca="1">IF('Raw Data'!F285="",_xlfn.REGEXEXTRACT(CELL("address",'Raw Data'!F285),"\$([A-Z]+)\$[0-9]+"),"")</f>
        <v>$F$285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Data'!G285="",_xlfn.REGEXEXTRACT(CELL("address",'Raw Data'!G285),"\$([A-Z]+)\$[0-9]+"),"")</f>
        <v>$G$285</v>
      </c>
      <c r="I285" t="str" cm="1">
        <f t="array" aca="1" ref="I285" ca="1">IF('Raw Data'!H285="",_xlfn.REGEXEXTRACT(CELL("address",'Raw Data'!H285),"\$([A-Z]+)\$[0-9]+"),"")</f>
        <v>$H$285</v>
      </c>
    </row>
    <row r="286" spans="2:9" x14ac:dyDescent="0.25">
      <c r="B286" t="str" cm="1">
        <f t="array" aca="1" ref="B286" ca="1">IF('Raw Data'!B286="",_xlfn.REGEXEXTRACT(CELL("address",'Raw Data'!B286),"\$([A-Z]+)\$[0-9]+"),"")</f>
        <v>$B$286</v>
      </c>
      <c r="C286" t="str" cm="1">
        <f t="array" aca="1" ref="C286" ca="1">IF('Raw Data'!C286="",_xlfn.REGEXEXTRACT(CELL("address",'Raw Data'!C286),"\$([A-Z]+)\$[0-9]+"),"")</f>
        <v>$C$286</v>
      </c>
      <c r="D286" t="str" cm="1">
        <f t="array" aca="1" ref="D286" ca="1">IF('Raw Data'!D286="",_xlfn.REGEXEXTRACT(CELL("address",'Raw Data'!D286),"\$([A-Z]+)\$[0-9]+"),"")</f>
        <v>$D$286</v>
      </c>
      <c r="E286" t="str" cm="1">
        <f t="array" aca="1" ref="E286" ca="1">IF('Raw Data'!E286="",_xlfn.REGEXEXTRACT(CELL("address",'Raw Data'!E286),"\$([A-Z]+)\$[0-9]+"),"")</f>
        <v>$E$286</v>
      </c>
      <c r="F286" t="str" cm="1">
        <f t="array" aca="1" ref="F286" ca="1">IF('Raw Data'!F286="",_xlfn.REGEXEXTRACT(CELL("address",'Raw Data'!F286),"\$([A-Z]+)\$[0-9]+"),"")</f>
        <v>$F$286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Data'!G286="",_xlfn.REGEXEXTRACT(CELL("address",'Raw Data'!G286),"\$([A-Z]+)\$[0-9]+"),"")</f>
        <v>$G$286</v>
      </c>
      <c r="I286" t="str" cm="1">
        <f t="array" aca="1" ref="I286" ca="1">IF('Raw Data'!H286="",_xlfn.REGEXEXTRACT(CELL("address",'Raw Data'!H286),"\$([A-Z]+)\$[0-9]+"),"")</f>
        <v>$H$286</v>
      </c>
    </row>
    <row r="287" spans="2:9" x14ac:dyDescent="0.25">
      <c r="B287" t="str" cm="1">
        <f t="array" aca="1" ref="B287" ca="1">IF('Raw Data'!B287="",_xlfn.REGEXEXTRACT(CELL("address",'Raw Data'!B287),"\$([A-Z]+)\$[0-9]+"),"")</f>
        <v>$B$287</v>
      </c>
      <c r="C287" t="str" cm="1">
        <f t="array" aca="1" ref="C287" ca="1">IF('Raw Data'!C287="",_xlfn.REGEXEXTRACT(CELL("address",'Raw Data'!C287),"\$([A-Z]+)\$[0-9]+"),"")</f>
        <v>$C$287</v>
      </c>
      <c r="D287" t="str" cm="1">
        <f t="array" aca="1" ref="D287" ca="1">IF('Raw Data'!D287="",_xlfn.REGEXEXTRACT(CELL("address",'Raw Data'!D287),"\$([A-Z]+)\$[0-9]+"),"")</f>
        <v>$D$287</v>
      </c>
      <c r="E287" t="str" cm="1">
        <f t="array" aca="1" ref="E287" ca="1">IF('Raw Data'!E287="",_xlfn.REGEXEXTRACT(CELL("address",'Raw Data'!E287),"\$([A-Z]+)\$[0-9]+"),"")</f>
        <v>$E$287</v>
      </c>
      <c r="F287" t="str" cm="1">
        <f t="array" aca="1" ref="F287" ca="1">IF('Raw Data'!F287="",_xlfn.REGEXEXTRACT(CELL("address",'Raw Data'!F287),"\$([A-Z]+)\$[0-9]+"),"")</f>
        <v>$F$287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Data'!G287="",_xlfn.REGEXEXTRACT(CELL("address",'Raw Data'!G287),"\$([A-Z]+)\$[0-9]+"),"")</f>
        <v>$G$287</v>
      </c>
      <c r="I287" t="str" cm="1">
        <f t="array" aca="1" ref="I287" ca="1">IF('Raw Data'!H287="",_xlfn.REGEXEXTRACT(CELL("address",'Raw Data'!H287),"\$([A-Z]+)\$[0-9]+"),"")</f>
        <v>$H$287</v>
      </c>
    </row>
    <row r="288" spans="2:9" x14ac:dyDescent="0.25">
      <c r="B288" t="str" cm="1">
        <f t="array" aca="1" ref="B288" ca="1">IF('Raw Data'!B288="",_xlfn.REGEXEXTRACT(CELL("address",'Raw Data'!B288),"\$([A-Z]+)\$[0-9]+"),"")</f>
        <v>$B$288</v>
      </c>
      <c r="C288" t="str" cm="1">
        <f t="array" aca="1" ref="C288" ca="1">IF('Raw Data'!C288="",_xlfn.REGEXEXTRACT(CELL("address",'Raw Data'!C288),"\$([A-Z]+)\$[0-9]+"),"")</f>
        <v>$C$288</v>
      </c>
      <c r="D288" t="str" cm="1">
        <f t="array" aca="1" ref="D288" ca="1">IF('Raw Data'!D288="",_xlfn.REGEXEXTRACT(CELL("address",'Raw Data'!D288),"\$([A-Z]+)\$[0-9]+"),"")</f>
        <v>$D$288</v>
      </c>
      <c r="E288" t="str" cm="1">
        <f t="array" aca="1" ref="E288" ca="1">IF('Raw Data'!E288="",_xlfn.REGEXEXTRACT(CELL("address",'Raw Data'!E288),"\$([A-Z]+)\$[0-9]+"),"")</f>
        <v>$E$288</v>
      </c>
      <c r="F288" t="str" cm="1">
        <f t="array" aca="1" ref="F288" ca="1">IF('Raw Data'!F288="",_xlfn.REGEXEXTRACT(CELL("address",'Raw Data'!F288),"\$([A-Z]+)\$[0-9]+"),"")</f>
        <v>$F$288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Data'!G288="",_xlfn.REGEXEXTRACT(CELL("address",'Raw Data'!G288),"\$([A-Z]+)\$[0-9]+"),"")</f>
        <v>$G$288</v>
      </c>
      <c r="I288" t="str" cm="1">
        <f t="array" aca="1" ref="I288" ca="1">IF('Raw Data'!H288="",_xlfn.REGEXEXTRACT(CELL("address",'Raw Data'!H288),"\$([A-Z]+)\$[0-9]+"),"")</f>
        <v>$H$288</v>
      </c>
    </row>
    <row r="289" spans="2:9" x14ac:dyDescent="0.25">
      <c r="B289" t="str" cm="1">
        <f t="array" aca="1" ref="B289" ca="1">IF('Raw Data'!B289="",_xlfn.REGEXEXTRACT(CELL("address",'Raw Data'!B289),"\$([A-Z]+)\$[0-9]+"),"")</f>
        <v>$B$289</v>
      </c>
      <c r="C289" t="str" cm="1">
        <f t="array" aca="1" ref="C289" ca="1">IF('Raw Data'!C289="",_xlfn.REGEXEXTRACT(CELL("address",'Raw Data'!C289),"\$([A-Z]+)\$[0-9]+"),"")</f>
        <v>$C$289</v>
      </c>
      <c r="D289" t="str" cm="1">
        <f t="array" aca="1" ref="D289" ca="1">IF('Raw Data'!D289="",_xlfn.REGEXEXTRACT(CELL("address",'Raw Data'!D289),"\$([A-Z]+)\$[0-9]+"),"")</f>
        <v>$D$289</v>
      </c>
      <c r="E289" t="str" cm="1">
        <f t="array" aca="1" ref="E289" ca="1">IF('Raw Data'!E289="",_xlfn.REGEXEXTRACT(CELL("address",'Raw Data'!E289),"\$([A-Z]+)\$[0-9]+"),"")</f>
        <v>$E$289</v>
      </c>
      <c r="F289" t="str" cm="1">
        <f t="array" aca="1" ref="F289" ca="1">IF('Raw Data'!F289="",_xlfn.REGEXEXTRACT(CELL("address",'Raw Data'!F289),"\$([A-Z]+)\$[0-9]+"),"")</f>
        <v>$F$289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Data'!G289="",_xlfn.REGEXEXTRACT(CELL("address",'Raw Data'!G289),"\$([A-Z]+)\$[0-9]+"),"")</f>
        <v>$G$289</v>
      </c>
      <c r="I289" t="str" cm="1">
        <f t="array" aca="1" ref="I289" ca="1">IF('Raw Data'!H289="",_xlfn.REGEXEXTRACT(CELL("address",'Raw Data'!H289),"\$([A-Z]+)\$[0-9]+"),"")</f>
        <v>$H$289</v>
      </c>
    </row>
    <row r="290" spans="2:9" x14ac:dyDescent="0.25">
      <c r="B290" t="str" cm="1">
        <f t="array" aca="1" ref="B290" ca="1">IF('Raw Data'!B290="",_xlfn.REGEXEXTRACT(CELL("address",'Raw Data'!B290),"\$([A-Z]+)\$[0-9]+"),"")</f>
        <v>$B$290</v>
      </c>
      <c r="C290" t="str" cm="1">
        <f t="array" aca="1" ref="C290" ca="1">IF('Raw Data'!C290="",_xlfn.REGEXEXTRACT(CELL("address",'Raw Data'!C290),"\$([A-Z]+)\$[0-9]+"),"")</f>
        <v>$C$290</v>
      </c>
      <c r="D290" t="str" cm="1">
        <f t="array" aca="1" ref="D290" ca="1">IF('Raw Data'!D290="",_xlfn.REGEXEXTRACT(CELL("address",'Raw Data'!D290),"\$([A-Z]+)\$[0-9]+"),"")</f>
        <v>$D$290</v>
      </c>
      <c r="E290" t="str" cm="1">
        <f t="array" aca="1" ref="E290" ca="1">IF('Raw Data'!E290="",_xlfn.REGEXEXTRACT(CELL("address",'Raw Data'!E290),"\$([A-Z]+)\$[0-9]+"),"")</f>
        <v>$E$290</v>
      </c>
      <c r="F290" t="str" cm="1">
        <f t="array" aca="1" ref="F290" ca="1">IF('Raw Data'!F290="",_xlfn.REGEXEXTRACT(CELL("address",'Raw Data'!F290),"\$([A-Z]+)\$[0-9]+"),"")</f>
        <v>$F$290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Data'!G290="",_xlfn.REGEXEXTRACT(CELL("address",'Raw Data'!G290),"\$([A-Z]+)\$[0-9]+"),"")</f>
        <v>$G$290</v>
      </c>
      <c r="I290" t="str" cm="1">
        <f t="array" aca="1" ref="I290" ca="1">IF('Raw Data'!H290="",_xlfn.REGEXEXTRACT(CELL("address",'Raw Data'!H290),"\$([A-Z]+)\$[0-9]+"),"")</f>
        <v>$H$290</v>
      </c>
    </row>
    <row r="291" spans="2:9" x14ac:dyDescent="0.25">
      <c r="B291" t="str" cm="1">
        <f t="array" aca="1" ref="B291" ca="1">IF('Raw Data'!B291="",_xlfn.REGEXEXTRACT(CELL("address",'Raw Data'!B291),"\$([A-Z]+)\$[0-9]+"),"")</f>
        <v>$B$291</v>
      </c>
      <c r="C291" t="str" cm="1">
        <f t="array" aca="1" ref="C291" ca="1">IF('Raw Data'!C291="",_xlfn.REGEXEXTRACT(CELL("address",'Raw Data'!C291),"\$([A-Z]+)\$[0-9]+"),"")</f>
        <v>$C$291</v>
      </c>
      <c r="D291" t="str" cm="1">
        <f t="array" aca="1" ref="D291" ca="1">IF('Raw Data'!D291="",_xlfn.REGEXEXTRACT(CELL("address",'Raw Data'!D291),"\$([A-Z]+)\$[0-9]+"),"")</f>
        <v>$D$291</v>
      </c>
      <c r="E291" t="str" cm="1">
        <f t="array" aca="1" ref="E291" ca="1">IF('Raw Data'!E291="",_xlfn.REGEXEXTRACT(CELL("address",'Raw Data'!E291),"\$([A-Z]+)\$[0-9]+"),"")</f>
        <v>$E$291</v>
      </c>
      <c r="F291" t="str" cm="1">
        <f t="array" aca="1" ref="F291" ca="1">IF('Raw Data'!F291="",_xlfn.REGEXEXTRACT(CELL("address",'Raw Data'!F291),"\$([A-Z]+)\$[0-9]+"),"")</f>
        <v>$F$291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Data'!G291="",_xlfn.REGEXEXTRACT(CELL("address",'Raw Data'!G291),"\$([A-Z]+)\$[0-9]+"),"")</f>
        <v>$G$291</v>
      </c>
      <c r="I291" t="str" cm="1">
        <f t="array" aca="1" ref="I291" ca="1">IF('Raw Data'!H291="",_xlfn.REGEXEXTRACT(CELL("address",'Raw Data'!H291),"\$([A-Z]+)\$[0-9]+"),"")</f>
        <v>$H$291</v>
      </c>
    </row>
    <row r="292" spans="2:9" x14ac:dyDescent="0.25">
      <c r="B292" t="str" cm="1">
        <f t="array" aca="1" ref="B292" ca="1">IF('Raw Data'!B292="",_xlfn.REGEXEXTRACT(CELL("address",'Raw Data'!B292),"\$([A-Z]+)\$[0-9]+"),"")</f>
        <v>$B$292</v>
      </c>
      <c r="C292" t="str" cm="1">
        <f t="array" aca="1" ref="C292" ca="1">IF('Raw Data'!C292="",_xlfn.REGEXEXTRACT(CELL("address",'Raw Data'!C292),"\$([A-Z]+)\$[0-9]+"),"")</f>
        <v>$C$292</v>
      </c>
      <c r="D292" t="str" cm="1">
        <f t="array" aca="1" ref="D292" ca="1">IF('Raw Data'!D292="",_xlfn.REGEXEXTRACT(CELL("address",'Raw Data'!D292),"\$([A-Z]+)\$[0-9]+"),"")</f>
        <v>$D$292</v>
      </c>
      <c r="E292" t="str" cm="1">
        <f t="array" aca="1" ref="E292" ca="1">IF('Raw Data'!E292="",_xlfn.REGEXEXTRACT(CELL("address",'Raw Data'!E292),"\$([A-Z]+)\$[0-9]+"),"")</f>
        <v>$E$292</v>
      </c>
      <c r="F292" t="str" cm="1">
        <f t="array" aca="1" ref="F292" ca="1">IF('Raw Data'!F292="",_xlfn.REGEXEXTRACT(CELL("address",'Raw Data'!F292),"\$([A-Z]+)\$[0-9]+"),"")</f>
        <v>$F$292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Data'!G292="",_xlfn.REGEXEXTRACT(CELL("address",'Raw Data'!G292),"\$([A-Z]+)\$[0-9]+"),"")</f>
        <v>$G$292</v>
      </c>
      <c r="I292" t="str" cm="1">
        <f t="array" aca="1" ref="I292" ca="1">IF('Raw Data'!H292="",_xlfn.REGEXEXTRACT(CELL("address",'Raw Data'!H292),"\$([A-Z]+)\$[0-9]+"),"")</f>
        <v>$H$292</v>
      </c>
    </row>
    <row r="293" spans="2:9" x14ac:dyDescent="0.25">
      <c r="B293" t="str" cm="1">
        <f t="array" aca="1" ref="B293" ca="1">IF('Raw Data'!B293="",_xlfn.REGEXEXTRACT(CELL("address",'Raw Data'!B293),"\$([A-Z]+)\$[0-9]+"),"")</f>
        <v>$B$293</v>
      </c>
      <c r="C293" t="str" cm="1">
        <f t="array" aca="1" ref="C293" ca="1">IF('Raw Data'!C293="",_xlfn.REGEXEXTRACT(CELL("address",'Raw Data'!C293),"\$([A-Z]+)\$[0-9]+"),"")</f>
        <v>$C$293</v>
      </c>
      <c r="D293" t="str" cm="1">
        <f t="array" aca="1" ref="D293" ca="1">IF('Raw Data'!D293="",_xlfn.REGEXEXTRACT(CELL("address",'Raw Data'!D293),"\$([A-Z]+)\$[0-9]+"),"")</f>
        <v>$D$293</v>
      </c>
      <c r="E293" t="str" cm="1">
        <f t="array" aca="1" ref="E293" ca="1">IF('Raw Data'!E293="",_xlfn.REGEXEXTRACT(CELL("address",'Raw Data'!E293),"\$([A-Z]+)\$[0-9]+"),"")</f>
        <v>$E$293</v>
      </c>
      <c r="F293" t="str" cm="1">
        <f t="array" aca="1" ref="F293" ca="1">IF('Raw Data'!F293="",_xlfn.REGEXEXTRACT(CELL("address",'Raw Data'!F293),"\$([A-Z]+)\$[0-9]+"),"")</f>
        <v>$F$293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Data'!G293="",_xlfn.REGEXEXTRACT(CELL("address",'Raw Data'!G293),"\$([A-Z]+)\$[0-9]+"),"")</f>
        <v>$G$293</v>
      </c>
      <c r="I293" t="str" cm="1">
        <f t="array" aca="1" ref="I293" ca="1">IF('Raw Data'!H293="",_xlfn.REGEXEXTRACT(CELL("address",'Raw Data'!H293),"\$([A-Z]+)\$[0-9]+"),"")</f>
        <v>$H$293</v>
      </c>
    </row>
    <row r="294" spans="2:9" x14ac:dyDescent="0.25">
      <c r="B294" t="str" cm="1">
        <f t="array" aca="1" ref="B294" ca="1">IF('Raw Data'!B294="",_xlfn.REGEXEXTRACT(CELL("address",'Raw Data'!B294),"\$([A-Z]+)\$[0-9]+"),"")</f>
        <v>$B$294</v>
      </c>
      <c r="C294" t="str" cm="1">
        <f t="array" aca="1" ref="C294" ca="1">IF('Raw Data'!C294="",_xlfn.REGEXEXTRACT(CELL("address",'Raw Data'!C294),"\$([A-Z]+)\$[0-9]+"),"")</f>
        <v>$C$294</v>
      </c>
      <c r="D294" t="str" cm="1">
        <f t="array" aca="1" ref="D294" ca="1">IF('Raw Data'!D294="",_xlfn.REGEXEXTRACT(CELL("address",'Raw Data'!D294),"\$([A-Z]+)\$[0-9]+"),"")</f>
        <v>$D$294</v>
      </c>
      <c r="E294" t="str" cm="1">
        <f t="array" aca="1" ref="E294" ca="1">IF('Raw Data'!E294="",_xlfn.REGEXEXTRACT(CELL("address",'Raw Data'!E294),"\$([A-Z]+)\$[0-9]+"),"")</f>
        <v>$E$294</v>
      </c>
      <c r="F294" t="str" cm="1">
        <f t="array" aca="1" ref="F294" ca="1">IF('Raw Data'!F294="",_xlfn.REGEXEXTRACT(CELL("address",'Raw Data'!F294),"\$([A-Z]+)\$[0-9]+"),"")</f>
        <v>$F$294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Data'!G294="",_xlfn.REGEXEXTRACT(CELL("address",'Raw Data'!G294),"\$([A-Z]+)\$[0-9]+"),"")</f>
        <v>$G$294</v>
      </c>
      <c r="I294" t="str" cm="1">
        <f t="array" aca="1" ref="I294" ca="1">IF('Raw Data'!H294="",_xlfn.REGEXEXTRACT(CELL("address",'Raw Data'!H294),"\$([A-Z]+)\$[0-9]+"),"")</f>
        <v>$H$294</v>
      </c>
    </row>
    <row r="295" spans="2:9" x14ac:dyDescent="0.25">
      <c r="B295" t="str" cm="1">
        <f t="array" aca="1" ref="B295" ca="1">IF('Raw Data'!B295="",_xlfn.REGEXEXTRACT(CELL("address",'Raw Data'!B295),"\$([A-Z]+)\$[0-9]+"),"")</f>
        <v>$B$295</v>
      </c>
      <c r="C295" t="str" cm="1">
        <f t="array" aca="1" ref="C295" ca="1">IF('Raw Data'!C295="",_xlfn.REGEXEXTRACT(CELL("address",'Raw Data'!C295),"\$([A-Z]+)\$[0-9]+"),"")</f>
        <v>$C$295</v>
      </c>
      <c r="D295" t="str" cm="1">
        <f t="array" aca="1" ref="D295" ca="1">IF('Raw Data'!D295="",_xlfn.REGEXEXTRACT(CELL("address",'Raw Data'!D295),"\$([A-Z]+)\$[0-9]+"),"")</f>
        <v>$D$295</v>
      </c>
      <c r="E295" t="str" cm="1">
        <f t="array" aca="1" ref="E295" ca="1">IF('Raw Data'!E295="",_xlfn.REGEXEXTRACT(CELL("address",'Raw Data'!E295),"\$([A-Z]+)\$[0-9]+"),"")</f>
        <v>$E$295</v>
      </c>
      <c r="F295" t="str" cm="1">
        <f t="array" aca="1" ref="F295" ca="1">IF('Raw Data'!F295="",_xlfn.REGEXEXTRACT(CELL("address",'Raw Data'!F295),"\$([A-Z]+)\$[0-9]+"),"")</f>
        <v>$F$295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Data'!G295="",_xlfn.REGEXEXTRACT(CELL("address",'Raw Data'!G295),"\$([A-Z]+)\$[0-9]+"),"")</f>
        <v>$G$295</v>
      </c>
      <c r="I295" t="str" cm="1">
        <f t="array" aca="1" ref="I295" ca="1">IF('Raw Data'!H295="",_xlfn.REGEXEXTRACT(CELL("address",'Raw Data'!H295),"\$([A-Z]+)\$[0-9]+"),"")</f>
        <v>$H$295</v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>$C$296</v>
      </c>
      <c r="D296" t="str" cm="1">
        <f t="array" aca="1" ref="D296" ca="1">IF('Raw Data'!D296="",_xlfn.REGEXEXTRACT(CELL("address",'Raw Data'!D296),"\$([A-Z]+)\$[0-9]+"),"")</f>
        <v>$D$296</v>
      </c>
      <c r="E296" t="str" cm="1">
        <f t="array" aca="1" ref="E296" ca="1">IF('Raw Data'!E296="",_xlfn.REGEXEXTRACT(CELL("address",'Raw Data'!E296),"\$([A-Z]+)\$[0-9]+"),"")</f>
        <v>$E$296</v>
      </c>
      <c r="F296" t="str" cm="1">
        <f t="array" aca="1" ref="F296" ca="1">IF('Raw Data'!F296="",_xlfn.REGEXEXTRACT(CELL("address",'Raw Data'!F296),"\$([A-Z]+)\$[0-9]+"),"")</f>
        <v>$F$296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Data'!G296="",_xlfn.REGEXEXTRACT(CELL("address",'Raw Data'!G296),"\$([A-Z]+)\$[0-9]+"),"")</f>
        <v>$G$296</v>
      </c>
      <c r="I296" t="str" cm="1">
        <f t="array" aca="1" ref="I296" ca="1">IF('Raw Data'!H296="",_xlfn.REGEXEXTRACT(CELL("address",'Raw Data'!H296),"\$([A-Z]+)\$[0-9]+"),"")</f>
        <v>$H$296</v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>$C$297</v>
      </c>
      <c r="D297" t="str" cm="1">
        <f t="array" aca="1" ref="D297" ca="1">IF('Raw Data'!D297="",_xlfn.REGEXEXTRACT(CELL("address",'Raw Data'!D297),"\$([A-Z]+)\$[0-9]+"),"")</f>
        <v>$D$297</v>
      </c>
      <c r="E297" t="str" cm="1">
        <f t="array" aca="1" ref="E297" ca="1">IF('Raw Data'!E297="",_xlfn.REGEXEXTRACT(CELL("address",'Raw Data'!E297),"\$([A-Z]+)\$[0-9]+"),"")</f>
        <v>$E$297</v>
      </c>
      <c r="F297" t="str" cm="1">
        <f t="array" aca="1" ref="F297" ca="1">IF('Raw Data'!F297="",_xlfn.REGEXEXTRACT(CELL("address",'Raw Data'!F297),"\$([A-Z]+)\$[0-9]+"),"")</f>
        <v>$F$297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Data'!G297="",_xlfn.REGEXEXTRACT(CELL("address",'Raw Data'!G297),"\$([A-Z]+)\$[0-9]+"),"")</f>
        <v>$G$297</v>
      </c>
      <c r="I297" t="str" cm="1">
        <f t="array" aca="1" ref="I297" ca="1">IF('Raw Data'!H297="",_xlfn.REGEXEXTRACT(CELL("address",'Raw Data'!H297),"\$([A-Z]+)\$[0-9]+"),"")</f>
        <v>$H$297</v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>$C$298</v>
      </c>
      <c r="D298" t="str" cm="1">
        <f t="array" aca="1" ref="D298" ca="1">IF('Raw Data'!D298="",_xlfn.REGEXEXTRACT(CELL("address",'Raw Data'!D298),"\$([A-Z]+)\$[0-9]+"),"")</f>
        <v>$D$298</v>
      </c>
      <c r="E298" t="str" cm="1">
        <f t="array" aca="1" ref="E298" ca="1">IF('Raw Data'!E298="",_xlfn.REGEXEXTRACT(CELL("address",'Raw Data'!E298),"\$([A-Z]+)\$[0-9]+"),"")</f>
        <v>$E$298</v>
      </c>
      <c r="F298" t="str" cm="1">
        <f t="array" aca="1" ref="F298" ca="1">IF('Raw Data'!F298="",_xlfn.REGEXEXTRACT(CELL("address",'Raw Data'!F298),"\$([A-Z]+)\$[0-9]+"),"")</f>
        <v>$F$298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Data'!G298="",_xlfn.REGEXEXTRACT(CELL("address",'Raw Data'!G298),"\$([A-Z]+)\$[0-9]+"),"")</f>
        <v>$G$298</v>
      </c>
      <c r="I298" t="str" cm="1">
        <f t="array" aca="1" ref="I298" ca="1">IF('Raw Data'!H298="",_xlfn.REGEXEXTRACT(CELL("address",'Raw Data'!H298),"\$([A-Z]+)\$[0-9]+"),"")</f>
        <v>$H$298</v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>$C$299</v>
      </c>
      <c r="D299" t="str" cm="1">
        <f t="array" aca="1" ref="D299" ca="1">IF('Raw Data'!D299="",_xlfn.REGEXEXTRACT(CELL("address",'Raw Data'!D299),"\$([A-Z]+)\$[0-9]+"),"")</f>
        <v>$D$299</v>
      </c>
      <c r="E299" t="str" cm="1">
        <f t="array" aca="1" ref="E299" ca="1">IF('Raw Data'!E299="",_xlfn.REGEXEXTRACT(CELL("address",'Raw Data'!E299),"\$([A-Z]+)\$[0-9]+"),"")</f>
        <v>$E$299</v>
      </c>
      <c r="F299" t="str" cm="1">
        <f t="array" aca="1" ref="F299" ca="1">IF('Raw Data'!F299="",_xlfn.REGEXEXTRACT(CELL("address",'Raw Data'!F299),"\$([A-Z]+)\$[0-9]+"),"")</f>
        <v>$F$299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Data'!G299="",_xlfn.REGEXEXTRACT(CELL("address",'Raw Data'!G299),"\$([A-Z]+)\$[0-9]+"),"")</f>
        <v>$G$299</v>
      </c>
      <c r="I299" t="str" cm="1">
        <f t="array" aca="1" ref="I299" ca="1">IF('Raw Data'!H299="",_xlfn.REGEXEXTRACT(CELL("address",'Raw Data'!H299),"\$([A-Z]+)\$[0-9]+"),"")</f>
        <v>$H$299</v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>$C$300</v>
      </c>
      <c r="D300" t="str" cm="1">
        <f t="array" aca="1" ref="D300" ca="1">IF('Raw Data'!D300="",_xlfn.REGEXEXTRACT(CELL("address",'Raw Data'!D300),"\$([A-Z]+)\$[0-9]+"),"")</f>
        <v>$D$300</v>
      </c>
      <c r="E300" t="str" cm="1">
        <f t="array" aca="1" ref="E300" ca="1">IF('Raw Data'!E300="",_xlfn.REGEXEXTRACT(CELL("address",'Raw Data'!E300),"\$([A-Z]+)\$[0-9]+"),"")</f>
        <v>$E$300</v>
      </c>
      <c r="F300" t="str" cm="1">
        <f t="array" aca="1" ref="F300" ca="1">IF('Raw Data'!F300="",_xlfn.REGEXEXTRACT(CELL("address",'Raw Data'!F300),"\$([A-Z]+)\$[0-9]+"),"")</f>
        <v>$F$300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Data'!G300="",_xlfn.REGEXEXTRACT(CELL("address",'Raw Data'!G300),"\$([A-Z]+)\$[0-9]+"),"")</f>
        <v>$G$300</v>
      </c>
      <c r="I300" t="str" cm="1">
        <f t="array" aca="1" ref="I300" ca="1">IF('Raw Data'!H300="",_xlfn.REGEXEXTRACT(CELL("address",'Raw Data'!H300),"\$([A-Z]+)\$[0-9]+"),"")</f>
        <v>$H$300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9D5805-36A1-40C7-8F13-CD4E0343B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Validate_Empty</vt:lpstr>
      <vt:lpstr>Validate_Value</vt:lpstr>
      <vt:lpstr>Validate_Condition</vt:lpstr>
      <vt:lpstr>Condition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2026-03-10T04:07:00Z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