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0F044CBC-6E7C-4465-B918-2C4B6EB3D824}" xr6:coauthVersionLast="47" xr6:coauthVersionMax="47" xr10:uidLastSave="{00000000-0000-0000-0000-000000000000}"/>
  <bookViews>
    <workbookView xWindow="-120" yWindow="-120" windowWidth="29040" windowHeight="15720" tabRatio="682" activeTab="6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Sheet1" sheetId="12" r:id="rId5"/>
    <sheet name="Condition" sheetId="11" r:id="rId6"/>
    <sheet name="Configuration" sheetId="9" r:id="rId7"/>
    <sheet name="Validate_Type" sheetId="7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 a="1"/>
  <c r="E11" i="10" s="1"/>
  <c r="E12" i="10" a="1"/>
  <c r="E12" i="10" s="1"/>
  <c r="E13" i="10" a="1"/>
  <c r="E13" i="10" s="1"/>
  <c r="E14" i="10" a="1"/>
  <c r="E14" i="10" s="1"/>
  <c r="E15" i="10" a="1"/>
  <c r="E15" i="10" s="1"/>
  <c r="E16" i="10" a="1"/>
  <c r="E16" i="10" s="1"/>
  <c r="E17" i="10" a="1"/>
  <c r="E17" i="10" s="1"/>
  <c r="E18" i="10" a="1"/>
  <c r="E18" i="10" s="1"/>
  <c r="E19" i="10" a="1"/>
  <c r="E19" i="10" s="1"/>
  <c r="E20" i="10" a="1"/>
  <c r="E20" i="10" s="1"/>
  <c r="E10" i="10" a="1"/>
  <c r="E10" i="10" s="1"/>
  <c r="G11" i="8" l="1" a="1"/>
  <c r="G11" i="8" s="1"/>
  <c r="G12" i="8" a="1"/>
  <c r="G12" i="8" s="1"/>
  <c r="G13" i="8" a="1"/>
  <c r="G13" i="8" s="1"/>
  <c r="G14" i="8" a="1"/>
  <c r="G14" i="8" s="1"/>
  <c r="G15" i="8" a="1"/>
  <c r="G15" i="8" s="1"/>
  <c r="G16" i="8" a="1"/>
  <c r="G16" i="8" s="1"/>
  <c r="G17" i="8" a="1"/>
  <c r="G17" i="8" s="1"/>
  <c r="G18" i="8" a="1"/>
  <c r="G18" i="8" s="1"/>
  <c r="G19" i="8" a="1"/>
  <c r="G19" i="8" s="1"/>
  <c r="G20" i="8" a="1"/>
  <c r="G20" i="8" s="1"/>
  <c r="G10" i="8" a="1"/>
  <c r="E22" i="6" a="1"/>
  <c r="B22" i="6" a="1"/>
  <c r="B23" i="6" a="1"/>
  <c r="B21" i="6" a="1"/>
  <c r="E23" i="6" a="1"/>
  <c r="E21" i="6" a="1"/>
  <c r="G10" i="8" l="1"/>
  <c r="B23" i="6"/>
  <c r="B22" i="6"/>
  <c r="E22" i="6"/>
  <c r="E21" i="6"/>
  <c r="E23" i="6"/>
  <c r="B21" i="6"/>
  <c r="D11" i="10" l="1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10" i="10" a="1"/>
  <c r="D10" i="10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E20" i="8" a="1"/>
  <c r="E20" i="8" s="1"/>
  <c r="E19" i="8" a="1"/>
  <c r="E19" i="8" s="1"/>
  <c r="E18" i="8" a="1"/>
  <c r="E18" i="8" s="1"/>
  <c r="E17" i="8" a="1"/>
  <c r="E17" i="8" s="1"/>
  <c r="E16" i="8" a="1"/>
  <c r="E16" i="8" s="1"/>
  <c r="E15" i="8" a="1"/>
  <c r="E15" i="8" s="1"/>
  <c r="E14" i="8" a="1"/>
  <c r="E14" i="8" s="1"/>
  <c r="E13" i="8" a="1"/>
  <c r="E13" i="8" s="1"/>
  <c r="E12" i="8" a="1"/>
  <c r="E12" i="8" s="1"/>
  <c r="E11" i="8" a="1"/>
  <c r="E11" i="8" s="1"/>
  <c r="E10" i="8" a="1"/>
  <c r="E10" i="8" s="1"/>
  <c r="C20" i="8" a="1"/>
  <c r="C20" i="8" s="1"/>
  <c r="C19" i="8" a="1"/>
  <c r="C19" i="8" s="1"/>
  <c r="C18" i="8" a="1"/>
  <c r="C18" i="8" s="1"/>
  <c r="C17" i="8" a="1"/>
  <c r="C17" i="8" s="1"/>
  <c r="C16" i="8" a="1"/>
  <c r="C16" i="8" s="1"/>
  <c r="C15" i="8" a="1"/>
  <c r="C15" i="8" s="1"/>
  <c r="C14" i="8" a="1"/>
  <c r="C14" i="8" s="1"/>
  <c r="C13" i="8" a="1"/>
  <c r="C13" i="8" s="1"/>
  <c r="C12" i="8" a="1"/>
  <c r="C12" i="8" s="1"/>
  <c r="C11" i="8" a="1"/>
  <c r="C11" i="8" s="1"/>
  <c r="C10" i="8" a="1"/>
  <c r="C10" i="8" s="1"/>
  <c r="D11" i="8" a="1"/>
  <c r="F11" i="8" a="1"/>
  <c r="D10" i="8" a="1"/>
  <c r="F10" i="8" a="1"/>
  <c r="F11" i="8" l="1"/>
  <c r="D11" i="8"/>
  <c r="F10" i="8"/>
  <c r="D10" i="8"/>
  <c r="B11" i="8" a="1"/>
  <c r="B11" i="8" s="1"/>
  <c r="B12" i="8" a="1"/>
  <c r="B12" i="8" s="1"/>
  <c r="B13" i="8" a="1"/>
  <c r="B13" i="8" s="1"/>
  <c r="B14" i="8" a="1"/>
  <c r="B14" i="8" s="1"/>
  <c r="B15" i="8" a="1"/>
  <c r="B15" i="8" s="1"/>
  <c r="B16" i="8" a="1"/>
  <c r="B16" i="8" s="1"/>
  <c r="B17" i="8" a="1"/>
  <c r="B17" i="8" s="1"/>
  <c r="B18" i="8" a="1"/>
  <c r="B18" i="8" s="1"/>
  <c r="B19" i="8" a="1"/>
  <c r="B19" i="8" s="1"/>
  <c r="B20" i="8" a="1"/>
  <c r="B20" i="8" s="1"/>
  <c r="B10" i="8" a="1"/>
  <c r="B10" i="8" s="1"/>
  <c r="B10" i="6" a="1"/>
  <c r="E10" i="6" a="1"/>
  <c r="E20" i="6" a="1"/>
  <c r="E14" i="6" a="1"/>
  <c r="E13" i="6" a="1"/>
  <c r="B14" i="6" a="1"/>
  <c r="E17" i="6" a="1"/>
  <c r="E19" i="6" a="1"/>
  <c r="E18" i="6" a="1"/>
  <c r="E15" i="6" a="1"/>
  <c r="B17" i="6" a="1"/>
  <c r="B16" i="6" a="1"/>
  <c r="B20" i="6" a="1"/>
  <c r="B19" i="6" a="1"/>
  <c r="B13" i="6" a="1"/>
  <c r="E12" i="6" a="1"/>
  <c r="B12" i="6" a="1"/>
  <c r="B15" i="6" a="1"/>
  <c r="B18" i="6" a="1"/>
  <c r="B11" i="6" a="1"/>
  <c r="E11" i="6" a="1"/>
  <c r="E16" i="6" a="1"/>
  <c r="B10" i="6" l="1"/>
  <c r="B11" i="6"/>
  <c r="E10" i="6"/>
  <c r="E11" i="6"/>
  <c r="E18" i="6"/>
  <c r="E14" i="6"/>
  <c r="E17" i="6"/>
  <c r="E13" i="6"/>
  <c r="E20" i="6"/>
  <c r="E16" i="6"/>
  <c r="E12" i="6"/>
  <c r="E19" i="6"/>
  <c r="E15" i="6"/>
  <c r="B18" i="6"/>
  <c r="B14" i="6"/>
  <c r="B17" i="6"/>
  <c r="B13" i="6"/>
  <c r="B20" i="6"/>
  <c r="B16" i="6"/>
  <c r="B12" i="6"/>
  <c r="B19" i="6"/>
  <c r="B15" i="6"/>
  <c r="F20" i="10" l="1" a="1"/>
  <c r="F20" i="10" s="1"/>
  <c r="F19" i="10" a="1"/>
  <c r="F19" i="10" s="1"/>
  <c r="F18" i="10" a="1"/>
  <c r="F18" i="10" s="1"/>
  <c r="F17" i="10" a="1"/>
  <c r="F17" i="10" s="1"/>
  <c r="F16" i="10" a="1"/>
  <c r="F16" i="10" s="1"/>
  <c r="F15" i="10" a="1"/>
  <c r="F15" i="10" s="1"/>
  <c r="F14" i="10" a="1"/>
  <c r="F14" i="10" s="1"/>
  <c r="F13" i="10" a="1"/>
  <c r="F13" i="10" s="1"/>
  <c r="F12" i="10" a="1"/>
  <c r="F12" i="10" s="1"/>
  <c r="F11" i="10" a="1"/>
  <c r="F11" i="10" s="1"/>
  <c r="F10" i="10" a="1"/>
  <c r="F10" i="10" s="1"/>
  <c r="C10" i="7" a="1"/>
  <c r="F10" i="7" a="1"/>
  <c r="D10" i="7" a="1"/>
  <c r="B10" i="7" a="1"/>
  <c r="E10" i="7" a="1"/>
  <c r="G13" i="7" a="1"/>
  <c r="F12" i="7" a="1"/>
  <c r="F16" i="7" a="1"/>
  <c r="B12" i="7" a="1"/>
  <c r="H11" i="7" a="1"/>
  <c r="C16" i="7" a="1"/>
  <c r="F11" i="7" a="1"/>
  <c r="G15" i="7" a="1"/>
  <c r="C15" i="7" a="1"/>
  <c r="E12" i="7" a="1"/>
  <c r="H13" i="7" a="1"/>
  <c r="C14" i="7" a="1"/>
  <c r="F14" i="7" a="1"/>
  <c r="F15" i="7" a="1"/>
  <c r="H10" i="7" a="1"/>
  <c r="H12" i="7" a="1"/>
  <c r="D14" i="7" a="1"/>
  <c r="H14" i="7" a="1"/>
  <c r="F13" i="7" a="1"/>
  <c r="D11" i="7" a="1"/>
  <c r="C12" i="7" a="1"/>
  <c r="G11" i="7" a="1"/>
  <c r="H15" i="7" a="1"/>
  <c r="B11" i="7" a="1"/>
  <c r="E14" i="7" a="1"/>
  <c r="E15" i="7" a="1"/>
  <c r="D16" i="7" a="1"/>
  <c r="G16" i="7" a="1"/>
  <c r="C13" i="7" a="1"/>
  <c r="B15" i="7" a="1"/>
  <c r="B13" i="7" a="1"/>
  <c r="G12" i="7" a="1"/>
  <c r="B14" i="7" a="1"/>
  <c r="H16" i="7" a="1"/>
  <c r="D15" i="7" a="1"/>
  <c r="G14" i="7" a="1"/>
  <c r="E11" i="7" a="1"/>
  <c r="B16" i="7" a="1"/>
  <c r="I10" i="7" a="1"/>
  <c r="G10" i="7" a="1"/>
  <c r="E16" i="7" a="1"/>
  <c r="E13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D13" i="7" a="1"/>
  <c r="I9" i="7" a="1"/>
  <c r="C11" i="7" a="1"/>
  <c r="C11" i="7" l="1"/>
  <c r="C9" i="7"/>
  <c r="I9" i="7"/>
  <c r="H9" i="7"/>
  <c r="D13" i="7"/>
  <c r="B9" i="7"/>
  <c r="E9" i="7"/>
  <c r="G9" i="7"/>
  <c r="D9" i="7"/>
  <c r="F9" i="7"/>
  <c r="G30" i="7" l="1" a="1"/>
  <c r="F4" i="7" a="1"/>
  <c r="F19" i="7" a="1"/>
  <c r="B195" i="7" a="1"/>
  <c r="F78" i="7" a="1"/>
  <c r="B166" i="7" a="1"/>
  <c r="I251" i="7" a="1"/>
  <c r="F73" i="7" a="1"/>
  <c r="I164" i="7" a="1"/>
  <c r="F298" i="7" a="1"/>
  <c r="E220" i="7" a="1"/>
  <c r="B156" i="7" a="1"/>
  <c r="F141" i="7" a="1"/>
  <c r="D49" i="7" a="1"/>
  <c r="C87" i="7" a="1"/>
  <c r="C28" i="7" a="1"/>
  <c r="I14" i="7" a="1"/>
  <c r="E140" i="7" a="1"/>
  <c r="I181" i="7" a="1"/>
  <c r="H186" i="7" a="1"/>
  <c r="F275" i="7" a="1"/>
  <c r="C74" i="7" a="1"/>
  <c r="F79" i="7" a="1"/>
  <c r="E288" i="7" a="1"/>
  <c r="E258" i="7" a="1"/>
  <c r="D121" i="7" a="1"/>
  <c r="I283" i="7" a="1"/>
  <c r="G225" i="7" a="1"/>
  <c r="F82" i="7" a="1"/>
  <c r="G179" i="7" a="1"/>
  <c r="I145" i="7" a="1"/>
  <c r="D218" i="7" a="1"/>
  <c r="I88" i="7" a="1"/>
  <c r="B267" i="7" a="1"/>
  <c r="F217" i="7" a="1"/>
  <c r="B126" i="7" a="1"/>
  <c r="B34" i="7" a="1"/>
  <c r="F245" i="7" a="1"/>
  <c r="B90" i="7" a="1"/>
  <c r="F112" i="7" a="1"/>
  <c r="B264" i="7" a="1"/>
  <c r="C280" i="7" a="1"/>
  <c r="G102" i="7" a="1"/>
  <c r="D40" i="7" a="1"/>
  <c r="F131" i="7" a="1"/>
  <c r="E170" i="7" a="1"/>
  <c r="F146" i="7" a="1"/>
  <c r="H57" i="7" a="1"/>
  <c r="D278" i="7" a="1"/>
  <c r="C152" i="7" a="1"/>
  <c r="D246" i="7" a="1"/>
  <c r="E219" i="7" a="1"/>
  <c r="E59" i="7" a="1"/>
  <c r="E282" i="7" a="1"/>
  <c r="G90" i="7" a="1"/>
  <c r="B211" i="7" a="1"/>
  <c r="H194" i="7" a="1"/>
  <c r="H130" i="7" a="1"/>
  <c r="H95" i="7" a="1"/>
  <c r="I237" i="7" a="1"/>
  <c r="I231" i="7" a="1"/>
  <c r="G70" i="7" a="1"/>
  <c r="B118" i="7" a="1"/>
  <c r="F36" i="7" a="1"/>
  <c r="F270" i="7" a="1"/>
  <c r="C174" i="7" a="1"/>
  <c r="F193" i="7" a="1"/>
  <c r="F56" i="7" a="1"/>
  <c r="I284" i="7" a="1"/>
  <c r="C137" i="7" a="1"/>
  <c r="F53" i="7" a="1"/>
  <c r="D21" i="7" a="1"/>
  <c r="G185" i="7" a="1"/>
  <c r="C107" i="7" a="1"/>
  <c r="B168" i="7" a="1"/>
  <c r="D129" i="7" a="1"/>
  <c r="C147" i="7" a="1"/>
  <c r="C30" i="7" a="1"/>
  <c r="E180" i="7" a="1"/>
  <c r="D289" i="7" a="1"/>
  <c r="F76" i="7" a="1"/>
  <c r="D187" i="7" a="1"/>
  <c r="F233" i="7" a="1"/>
  <c r="I232" i="7" a="1"/>
  <c r="D217" i="7" a="1"/>
  <c r="C298" i="7" a="1"/>
  <c r="I178" i="7" a="1"/>
  <c r="G286" i="7" a="1"/>
  <c r="I276" i="7" a="1"/>
  <c r="C153" i="7" a="1"/>
  <c r="C41" i="7" a="1"/>
  <c r="I254" i="7" a="1"/>
  <c r="H144" i="7" a="1"/>
  <c r="E233" i="7" a="1"/>
  <c r="F149" i="7" a="1"/>
  <c r="G31" i="7" a="1"/>
  <c r="G168" i="7" a="1"/>
  <c r="E250" i="7" a="1"/>
  <c r="C113" i="7" a="1"/>
  <c r="F176" i="7" a="1"/>
  <c r="F170" i="7" a="1"/>
  <c r="F122" i="7" a="1"/>
  <c r="H269" i="7" a="1"/>
  <c r="B167" i="7" a="1"/>
  <c r="H90" i="7" a="1"/>
  <c r="B221" i="7" a="1"/>
  <c r="D224" i="7" a="1"/>
  <c r="G249" i="7" a="1"/>
  <c r="D178" i="7" a="1"/>
  <c r="H298" i="7" a="1"/>
  <c r="H7" i="7" a="1"/>
  <c r="B41" i="7" a="1"/>
  <c r="E109" i="7" a="1"/>
  <c r="E106" i="7" a="1"/>
  <c r="I173" i="7" a="1"/>
  <c r="C170" i="7" a="1"/>
  <c r="H141" i="7" a="1"/>
  <c r="C214" i="7" a="1"/>
  <c r="B96" i="7" a="1"/>
  <c r="C193" i="7" a="1"/>
  <c r="G291" i="7" a="1"/>
  <c r="G151" i="7" a="1"/>
  <c r="E143" i="7" a="1"/>
  <c r="B178" i="7" a="1"/>
  <c r="C126" i="7" a="1"/>
  <c r="D58" i="7" a="1"/>
  <c r="D74" i="7" a="1"/>
  <c r="H185" i="7" a="1"/>
  <c r="H274" i="7" a="1"/>
  <c r="B245" i="7" a="1"/>
  <c r="E205" i="7" a="1"/>
  <c r="C243" i="7" a="1"/>
  <c r="H263" i="7" a="1"/>
  <c r="F40" i="7" a="1"/>
  <c r="D48" i="7" a="1"/>
  <c r="D297" i="7" a="1"/>
  <c r="I144" i="7" a="1"/>
  <c r="I204" i="7" a="1"/>
  <c r="F61" i="7" a="1"/>
  <c r="G201" i="7" a="1"/>
  <c r="D68" i="7" a="1"/>
  <c r="E19" i="7" a="1"/>
  <c r="D32" i="7" a="1"/>
  <c r="D206" i="7" a="1"/>
  <c r="H115" i="7" a="1"/>
  <c r="C206" i="7" a="1"/>
  <c r="I290" i="7" a="1"/>
  <c r="I77" i="7" a="1"/>
  <c r="D164" i="7" a="1"/>
  <c r="D221" i="7" a="1"/>
  <c r="B235" i="7" a="1"/>
  <c r="H154" i="7" a="1"/>
  <c r="G250" i="7" a="1"/>
  <c r="B293" i="7" a="1"/>
  <c r="E169" i="7" a="1"/>
  <c r="E26" i="7" a="1"/>
  <c r="D37" i="7" a="1"/>
  <c r="D243" i="7" a="1"/>
  <c r="C208" i="7" a="1"/>
  <c r="H126" i="7" a="1"/>
  <c r="C2" i="7" a="1"/>
  <c r="B187" i="7" a="1"/>
  <c r="D123" i="7" a="1"/>
  <c r="F47" i="7" a="1"/>
  <c r="G282" i="7" a="1"/>
  <c r="F44" i="7" a="1"/>
  <c r="E253" i="7" a="1"/>
  <c r="F75" i="7" a="1"/>
  <c r="E134" i="7" a="1"/>
  <c r="C300" i="7" a="1"/>
  <c r="E152" i="7" a="1"/>
  <c r="H153" i="7" a="1"/>
  <c r="I256" i="7" a="1"/>
  <c r="H235" i="7" a="1"/>
  <c r="B137" i="7" a="1"/>
  <c r="B42" i="7" a="1"/>
  <c r="I197" i="7" a="1"/>
  <c r="I53" i="7" a="1"/>
  <c r="B213" i="7" a="1"/>
  <c r="I4" i="7" a="1"/>
  <c r="E58" i="7" a="1"/>
  <c r="H195" i="7" a="1"/>
  <c r="C236" i="7" a="1"/>
  <c r="B249" i="7" a="1"/>
  <c r="E72" i="7" a="1"/>
  <c r="B5" i="7" a="1"/>
  <c r="E5" i="7" a="1"/>
  <c r="G36" i="7" a="1"/>
  <c r="I187" i="7" a="1"/>
  <c r="E156" i="7" a="1"/>
  <c r="H71" i="7" a="1"/>
  <c r="G263" i="7" a="1"/>
  <c r="H296" i="7" a="1"/>
  <c r="F83" i="7" a="1"/>
  <c r="G60" i="7" a="1"/>
  <c r="D65" i="7" a="1"/>
  <c r="D193" i="7" a="1"/>
  <c r="I151" i="7" a="1"/>
  <c r="E118" i="7" a="1"/>
  <c r="D196" i="7" a="1"/>
  <c r="B180" i="7" a="1"/>
  <c r="C213" i="7" a="1"/>
  <c r="B73" i="7" a="1"/>
  <c r="I286" i="7" a="1"/>
  <c r="B66" i="7" a="1"/>
  <c r="F133" i="7" a="1"/>
  <c r="I240" i="7" a="1"/>
  <c r="C279" i="7" a="1"/>
  <c r="I63" i="7" a="1"/>
  <c r="I182" i="7" a="1"/>
  <c r="E101" i="7" a="1"/>
  <c r="E234" i="7" a="1"/>
  <c r="F299" i="7" a="1"/>
  <c r="D299" i="7" a="1"/>
  <c r="H171" i="7" a="1"/>
  <c r="E44" i="7" a="1"/>
  <c r="B132" i="7" a="1"/>
  <c r="D100" i="7" a="1"/>
  <c r="E198" i="7" a="1"/>
  <c r="G143" i="7" a="1"/>
  <c r="G107" i="7" a="1"/>
  <c r="E30" i="7" a="1"/>
  <c r="E226" i="7" a="1"/>
  <c r="F155" i="7" a="1"/>
  <c r="E181" i="7" a="1"/>
  <c r="G33" i="7" a="1"/>
  <c r="C24" i="7" a="1"/>
  <c r="H138" i="7" a="1"/>
  <c r="I137" i="7" a="1"/>
  <c r="B236" i="7" a="1"/>
  <c r="D253" i="7" a="1"/>
  <c r="I129" i="7" a="1"/>
  <c r="F150" i="7" a="1"/>
  <c r="F98" i="7" a="1"/>
  <c r="I242" i="7" a="1"/>
  <c r="D137" i="7" a="1"/>
  <c r="H132" i="7" a="1"/>
  <c r="I214" i="7" a="1"/>
  <c r="D50" i="7" a="1"/>
  <c r="D20" i="7" a="1"/>
  <c r="D59" i="7" a="1"/>
  <c r="D288" i="7" a="1"/>
  <c r="C231" i="7" a="1"/>
  <c r="D77" i="7" a="1"/>
  <c r="G298" i="7" a="1"/>
  <c r="I274" i="7" a="1"/>
  <c r="H169" i="7" a="1"/>
  <c r="I150" i="7" a="1"/>
  <c r="B19" i="7" a="1"/>
  <c r="B152" i="7" a="1"/>
  <c r="G284" i="7" a="1"/>
  <c r="I136" i="7" a="1"/>
  <c r="D209" i="7" a="1"/>
  <c r="E76" i="7" a="1"/>
  <c r="D265" i="7" a="1"/>
  <c r="F227" i="7" a="1"/>
  <c r="F147" i="7" a="1"/>
  <c r="E187" i="7" a="1"/>
  <c r="F109" i="7" a="1"/>
  <c r="F188" i="7" a="1"/>
  <c r="H266" i="7" a="1"/>
  <c r="F201" i="7" a="1"/>
  <c r="F179" i="7" a="1"/>
  <c r="F120" i="7" a="1"/>
  <c r="D269" i="7" a="1"/>
  <c r="G174" i="7" a="1"/>
  <c r="B157" i="7" a="1"/>
  <c r="E25" i="7" a="1"/>
  <c r="E287" i="7" a="1"/>
  <c r="D60" i="7" a="1"/>
  <c r="I52" i="7" a="1"/>
  <c r="E89" i="7" a="1"/>
  <c r="F292" i="7" a="1"/>
  <c r="F191" i="7" a="1"/>
  <c r="H3" i="7" a="1"/>
  <c r="H225" i="7" a="1"/>
  <c r="B107" i="7" a="1"/>
  <c r="G74" i="7" a="1"/>
  <c r="B77" i="7" a="1"/>
  <c r="C287" i="7" a="1"/>
  <c r="G123" i="7" a="1"/>
  <c r="D35" i="7" a="1"/>
  <c r="D291" i="7" a="1"/>
  <c r="B255" i="7" a="1"/>
  <c r="F286" i="7" a="1"/>
  <c r="G294" i="7" a="1"/>
  <c r="F143" i="7" a="1"/>
  <c r="B208" i="7" a="1"/>
  <c r="D252" i="7" a="1"/>
  <c r="F27" i="7" a="1"/>
  <c r="D272" i="7" a="1"/>
  <c r="E86" i="7" a="1"/>
  <c r="F31" i="7" a="1"/>
  <c r="D168" i="7" a="1"/>
  <c r="E69" i="7" a="1"/>
  <c r="G140" i="7" a="1"/>
  <c r="I218" i="7" a="1"/>
  <c r="I203" i="7" a="1"/>
  <c r="H278" i="7" a="1"/>
  <c r="D298" i="7" a="1"/>
  <c r="G200" i="7" a="1"/>
  <c r="E3" i="7" a="1"/>
  <c r="H184" i="7" a="1"/>
  <c r="C295" i="7" a="1"/>
  <c r="E74" i="7" a="1"/>
  <c r="B274" i="7" a="1"/>
  <c r="H170" i="7" a="1"/>
  <c r="C99" i="7" a="1"/>
  <c r="C94" i="7" a="1"/>
  <c r="E131" i="7" a="1"/>
  <c r="C272" i="7" a="1"/>
  <c r="F41" i="7" a="1"/>
  <c r="F144" i="7" a="1"/>
  <c r="G81" i="7" a="1"/>
  <c r="I152" i="7" a="1"/>
  <c r="B79" i="7" a="1"/>
  <c r="H104" i="7" a="1"/>
  <c r="B130" i="7" a="1"/>
  <c r="E189" i="7" a="1"/>
  <c r="B117" i="7" a="1"/>
  <c r="I168" i="7" a="1"/>
  <c r="D214" i="7" a="1"/>
  <c r="D83" i="7" a="1"/>
  <c r="B259" i="7" a="1"/>
  <c r="F106" i="7" a="1"/>
  <c r="G245" i="7" a="1"/>
  <c r="H159" i="7" a="1"/>
  <c r="B123" i="7" a="1"/>
  <c r="C109" i="7" a="1"/>
  <c r="B282" i="7" a="1"/>
  <c r="E154" i="7" a="1"/>
  <c r="C8" i="7" a="1"/>
  <c r="E112" i="7" a="1"/>
  <c r="B254" i="7" a="1"/>
  <c r="D109" i="7" a="1"/>
  <c r="H75" i="7" a="1"/>
  <c r="I138" i="7" a="1"/>
  <c r="C196" i="7" a="1"/>
  <c r="E163" i="7" a="1"/>
  <c r="H19" i="7" a="1"/>
  <c r="F202" i="7" a="1"/>
  <c r="I170" i="7" a="1"/>
  <c r="D43" i="7" a="1"/>
  <c r="G86" i="7" a="1"/>
  <c r="B40" i="7" a="1"/>
  <c r="C259" i="7" a="1"/>
  <c r="F259" i="7" a="1"/>
  <c r="F238" i="7" a="1"/>
  <c r="H37" i="7" a="1"/>
  <c r="C128" i="7" a="1"/>
  <c r="G116" i="7" a="1"/>
  <c r="D141" i="7" a="1"/>
  <c r="H166" i="7" a="1"/>
  <c r="H114" i="7" a="1"/>
  <c r="C86" i="7" a="1"/>
  <c r="I253" i="7" a="1"/>
  <c r="F171" i="7" a="1"/>
  <c r="G175" i="7" a="1"/>
  <c r="B153" i="7" a="1"/>
  <c r="I81" i="7" a="1"/>
  <c r="H286" i="7" a="1"/>
  <c r="E104" i="7" a="1"/>
  <c r="I80" i="7" a="1"/>
  <c r="H31" i="7" a="1"/>
  <c r="F123" i="7" a="1"/>
  <c r="F206" i="7" a="1"/>
  <c r="B113" i="7" a="1"/>
  <c r="E174" i="7" a="1"/>
  <c r="G287" i="7" a="1"/>
  <c r="I149" i="7" a="1"/>
  <c r="I79" i="7" a="1"/>
  <c r="C80" i="7" a="1"/>
  <c r="H257" i="7" a="1"/>
  <c r="C110" i="7" a="1"/>
  <c r="F111" i="7" a="1"/>
  <c r="E31" i="7" a="1"/>
  <c r="C100" i="7" a="1"/>
  <c r="E299" i="7" a="1"/>
  <c r="I116" i="7" a="1"/>
  <c r="G154" i="7" a="1"/>
  <c r="C98" i="7" a="1"/>
  <c r="E42" i="7" a="1"/>
  <c r="H182" i="7" a="1"/>
  <c r="G148" i="7" a="1"/>
  <c r="E278" i="7" a="1"/>
  <c r="F118" i="7" a="1"/>
  <c r="D66" i="7" a="1"/>
  <c r="D271" i="7" a="1"/>
  <c r="E123" i="7" a="1"/>
  <c r="B91" i="7" a="1"/>
  <c r="H79" i="7" a="1"/>
  <c r="H277" i="7" a="1"/>
  <c r="I265" i="7" a="1"/>
  <c r="E20" i="7" a="1"/>
  <c r="B122" i="7" a="1"/>
  <c r="F253" i="7" a="1"/>
  <c r="G147" i="7" a="1"/>
  <c r="E266" i="7" a="1"/>
  <c r="F92" i="7" a="1"/>
  <c r="C23" i="7" a="1"/>
  <c r="H121" i="7" a="1"/>
  <c r="D142" i="7" a="1"/>
  <c r="F48" i="7" a="1"/>
  <c r="G265" i="7" a="1"/>
  <c r="D17" i="7" a="1"/>
  <c r="G48" i="7" a="1"/>
  <c r="C141" i="7" a="1"/>
  <c r="F130" i="7" a="1"/>
  <c r="F254" i="7" a="1"/>
  <c r="B65" i="7" a="1"/>
  <c r="G56" i="7" a="1"/>
  <c r="F230" i="7" a="1"/>
  <c r="G99" i="7" a="1"/>
  <c r="G176" i="7" a="1"/>
  <c r="I171" i="7" a="1"/>
  <c r="C203" i="7" a="1"/>
  <c r="F65" i="7" a="1"/>
  <c r="B165" i="7" a="1"/>
  <c r="G215" i="7" a="1"/>
  <c r="C290" i="7" a="1"/>
  <c r="G89" i="7" a="1"/>
  <c r="I174" i="7" a="1"/>
  <c r="B31" i="7" a="1"/>
  <c r="B279" i="7" a="1"/>
  <c r="F220" i="7" a="1"/>
  <c r="I72" i="7" a="1"/>
  <c r="G21" i="7" a="1"/>
  <c r="F28" i="7" a="1"/>
  <c r="G187" i="7" a="1"/>
  <c r="I141" i="7" a="1"/>
  <c r="H151" i="7" a="1"/>
  <c r="H116" i="7" a="1"/>
  <c r="F2" i="7" a="1"/>
  <c r="F158" i="7" a="1"/>
  <c r="C285" i="7" a="1"/>
  <c r="C21" i="7" a="1"/>
  <c r="G207" i="7" a="1"/>
  <c r="F125" i="7" a="1"/>
  <c r="H133" i="7" a="1"/>
  <c r="G139" i="7" a="1"/>
  <c r="I108" i="7" a="1"/>
  <c r="G285" i="7" a="1"/>
  <c r="D94" i="7" a="1"/>
  <c r="E254" i="7" a="1"/>
  <c r="G61" i="7" a="1"/>
  <c r="C125" i="7" a="1"/>
  <c r="C185" i="7" a="1"/>
  <c r="F67" i="7" a="1"/>
  <c r="I3" i="7" a="1"/>
  <c r="B214" i="7" a="1"/>
  <c r="H36" i="7" a="1"/>
  <c r="G290" i="7" a="1"/>
  <c r="F104" i="7" a="1"/>
  <c r="I288" i="7" a="1"/>
  <c r="I297" i="7" a="1"/>
  <c r="F276" i="7" a="1"/>
  <c r="C262" i="7" a="1"/>
  <c r="B169" i="7" a="1"/>
  <c r="H28" i="7" a="1"/>
  <c r="B18" i="7" a="1"/>
  <c r="G38" i="7" a="1"/>
  <c r="D163" i="7" a="1"/>
  <c r="D95" i="7" a="1"/>
  <c r="B119" i="7" a="1"/>
  <c r="G144" i="7" a="1"/>
  <c r="B54" i="7" a="1"/>
  <c r="E264" i="7" a="1"/>
  <c r="B59" i="7" a="1"/>
  <c r="H155" i="7" a="1"/>
  <c r="D208" i="7" a="1"/>
  <c r="E190" i="7" a="1"/>
  <c r="C139" i="7" a="1"/>
  <c r="D51" i="7" a="1"/>
  <c r="G216" i="7" a="1"/>
  <c r="G223" i="7" a="1"/>
  <c r="F153" i="7" a="1"/>
  <c r="H232" i="7" a="1"/>
  <c r="G272" i="7" a="1"/>
  <c r="I176" i="7" a="1"/>
  <c r="G135" i="7" a="1"/>
  <c r="B200" i="7" a="1"/>
  <c r="H111" i="7" a="1"/>
  <c r="H158" i="7" a="1"/>
  <c r="C20" i="7" a="1"/>
  <c r="I66" i="7" a="1"/>
  <c r="H140" i="7" a="1"/>
  <c r="F189" i="7" a="1"/>
  <c r="D232" i="7" a="1"/>
  <c r="D229" i="7" a="1"/>
  <c r="I269" i="7" a="1"/>
  <c r="B133" i="7" a="1"/>
  <c r="C211" i="7" a="1"/>
  <c r="C70" i="7" a="1"/>
  <c r="F55" i="7" a="1"/>
  <c r="E2" i="7" a="1"/>
  <c r="D8" i="7" a="1"/>
  <c r="G257" i="7" a="1"/>
  <c r="B248" i="7" a="1"/>
  <c r="G3" i="7" a="1"/>
  <c r="D184" i="7" a="1"/>
  <c r="D2" i="7" a="1"/>
  <c r="G192" i="7" a="1"/>
  <c r="D205" i="7" a="1"/>
  <c r="C164" i="7" a="1"/>
  <c r="C299" i="7" a="1"/>
  <c r="C227" i="7" a="1"/>
  <c r="E202" i="7" a="1"/>
  <c r="G177" i="7" a="1"/>
  <c r="F228" i="7" a="1"/>
  <c r="G7" i="7" a="1"/>
  <c r="I117" i="7" a="1"/>
  <c r="I225" i="7" a="1"/>
  <c r="D254" i="7" a="1"/>
  <c r="G251" i="7" a="1"/>
  <c r="D26" i="7" a="1"/>
  <c r="D180" i="7" a="1"/>
  <c r="H267" i="7" a="1"/>
  <c r="C252" i="7" a="1"/>
  <c r="E127" i="7" a="1"/>
  <c r="C157" i="7" a="1"/>
  <c r="G292" i="7" a="1"/>
  <c r="I216" i="7" a="1"/>
  <c r="B53" i="7" a="1"/>
  <c r="G58" i="7" a="1"/>
  <c r="B140" i="7" a="1"/>
  <c r="F218" i="7" a="1"/>
  <c r="G277" i="7" a="1"/>
  <c r="H214" i="7" a="1"/>
  <c r="H219" i="7" a="1"/>
  <c r="H110" i="7" a="1"/>
  <c r="D173" i="7" a="1"/>
  <c r="I224" i="7" a="1"/>
  <c r="C177" i="7" a="1"/>
  <c r="C234" i="7" a="1"/>
  <c r="B110" i="7" a="1"/>
  <c r="F216" i="7" a="1"/>
  <c r="D56" i="7" a="1"/>
  <c r="I21" i="7" a="1"/>
  <c r="H20" i="7" a="1"/>
  <c r="F33" i="7" a="1"/>
  <c r="G100" i="7" a="1"/>
  <c r="E68" i="7" a="1"/>
  <c r="D89" i="7" a="1"/>
  <c r="I163" i="7" a="1"/>
  <c r="H62" i="7" a="1"/>
  <c r="D249" i="7" a="1"/>
  <c r="C4" i="7" a="1"/>
  <c r="I169" i="7" a="1"/>
  <c r="I23" i="7" a="1"/>
  <c r="C114" i="7" a="1"/>
  <c r="I12" i="7" a="1"/>
  <c r="F52" i="7" a="1"/>
  <c r="D203" i="7" a="1"/>
  <c r="B288" i="7" a="1"/>
  <c r="H105" i="7" a="1"/>
  <c r="D266" i="7" a="1"/>
  <c r="G260" i="7" a="1"/>
  <c r="H80" i="7" a="1"/>
  <c r="H23" i="7" a="1"/>
  <c r="B71" i="7" a="1"/>
  <c r="I264" i="7" a="1"/>
  <c r="C19" i="7" a="1"/>
  <c r="E81" i="7" a="1"/>
  <c r="I183" i="7" a="1"/>
  <c r="B93" i="7" a="1"/>
  <c r="H300" i="7" a="1"/>
  <c r="I89" i="7" a="1"/>
  <c r="F204" i="7" a="1"/>
  <c r="D38" i="7" a="1"/>
  <c r="B285" i="7" a="1"/>
  <c r="I19" i="7" a="1"/>
  <c r="F46" i="7" a="1"/>
  <c r="E73" i="7" a="1"/>
  <c r="I101" i="7" a="1"/>
  <c r="G221" i="7" a="1"/>
  <c r="C143" i="7" a="1"/>
  <c r="D148" i="7" a="1"/>
  <c r="H299" i="7" a="1"/>
  <c r="E290" i="7" a="1"/>
  <c r="C172" i="7" a="1"/>
  <c r="G40" i="7" a="1"/>
  <c r="G112" i="7" a="1"/>
  <c r="C154" i="7" a="1"/>
  <c r="I37" i="7" a="1"/>
  <c r="F84" i="7" a="1"/>
  <c r="I71" i="7" a="1"/>
  <c r="H291" i="7" a="1"/>
  <c r="F263" i="7" a="1"/>
  <c r="I35" i="7" a="1"/>
  <c r="D292" i="7" a="1"/>
  <c r="I123" i="7" a="1"/>
  <c r="F269" i="7" a="1"/>
  <c r="I122" i="7" a="1"/>
  <c r="H249" i="7" a="1"/>
  <c r="D25" i="7" a="1"/>
  <c r="B150" i="7" a="1"/>
  <c r="H252" i="7" a="1"/>
  <c r="C161" i="7" a="1"/>
  <c r="B70" i="7" a="1"/>
  <c r="C255" i="7" a="1"/>
  <c r="I61" i="7" a="1"/>
  <c r="F99" i="7" a="1"/>
  <c r="B142" i="7" a="1"/>
  <c r="E297" i="7" a="1"/>
  <c r="G22" i="7" a="1"/>
  <c r="F287" i="7" a="1"/>
  <c r="F190" i="7" a="1"/>
  <c r="C197" i="7" a="1"/>
  <c r="H6" i="7" a="1"/>
  <c r="I194" i="7" a="1"/>
  <c r="G279" i="7" a="1"/>
  <c r="D194" i="7" a="1"/>
  <c r="C50" i="7" a="1"/>
  <c r="E50" i="7" a="1"/>
  <c r="F5" i="7" a="1"/>
  <c r="H173" i="7" a="1"/>
  <c r="G236" i="7" a="1"/>
  <c r="B220" i="7" a="1"/>
  <c r="E207" i="7" a="1"/>
  <c r="G141" i="7" a="1"/>
  <c r="E125" i="7" a="1"/>
  <c r="E183" i="7" a="1"/>
  <c r="H51" i="7" a="1"/>
  <c r="F126" i="7" a="1"/>
  <c r="B37" i="7" a="1"/>
  <c r="G87" i="7" a="1"/>
  <c r="G103" i="7" a="1"/>
  <c r="C120" i="7" a="1"/>
  <c r="C239" i="7" a="1"/>
  <c r="B100" i="7" a="1"/>
  <c r="E283" i="7" a="1"/>
  <c r="I146" i="7" a="1"/>
  <c r="E107" i="7" a="1"/>
  <c r="F63" i="7" a="1"/>
  <c r="H248" i="7" a="1"/>
  <c r="B260" i="7" a="1"/>
  <c r="I42" i="7" a="1"/>
  <c r="C274" i="7" a="1"/>
  <c r="I147" i="7" a="1"/>
  <c r="C256" i="7" a="1"/>
  <c r="C269" i="7" a="1"/>
  <c r="D3" i="7" a="1"/>
  <c r="G202" i="7" a="1"/>
  <c r="G121" i="7" a="1"/>
  <c r="D139" i="7" a="1"/>
  <c r="C89" i="7" a="1"/>
  <c r="G271" i="7" a="1"/>
  <c r="C88" i="7" a="1"/>
  <c r="E270" i="7" a="1"/>
  <c r="H215" i="7" a="1"/>
  <c r="I292" i="7" a="1"/>
  <c r="H106" i="7" a="1"/>
  <c r="C148" i="7" a="1"/>
  <c r="G2" i="7" a="1"/>
  <c r="I266" i="7" a="1"/>
  <c r="C282" i="7" a="1"/>
  <c r="B184" i="7" a="1"/>
  <c r="I58" i="7" a="1"/>
  <c r="D61" i="7" a="1"/>
  <c r="I258" i="7" a="1"/>
  <c r="G232" i="7" a="1"/>
  <c r="B134" i="7" a="1"/>
  <c r="D251" i="7" a="1"/>
  <c r="H134" i="7" a="1"/>
  <c r="F49" i="7" a="1"/>
  <c r="B127" i="7" a="1"/>
  <c r="F241" i="7" a="1"/>
  <c r="C194" i="7" a="1"/>
  <c r="B45" i="7" a="1"/>
  <c r="H294" i="7" a="1"/>
  <c r="H275" i="7" a="1"/>
  <c r="F17" i="7" a="1"/>
  <c r="H179" i="7" a="1"/>
  <c r="D169" i="7" a="1"/>
  <c r="D177" i="7" a="1"/>
  <c r="E147" i="7" a="1"/>
  <c r="G281" i="7" a="1"/>
  <c r="F250" i="7" a="1"/>
  <c r="G64" i="7" a="1"/>
  <c r="F181" i="7" a="1"/>
  <c r="I285" i="7" a="1"/>
  <c r="F264" i="7" a="1"/>
  <c r="C150" i="7" a="1"/>
  <c r="F274" i="7" a="1"/>
  <c r="B88" i="7" a="1"/>
  <c r="B233" i="7" a="1"/>
  <c r="D286" i="7" a="1"/>
  <c r="I113" i="7" a="1"/>
  <c r="F108" i="7" a="1"/>
  <c r="B193" i="7" a="1"/>
  <c r="E295" i="7" a="1"/>
  <c r="B209" i="7" a="1"/>
  <c r="G92" i="7" a="1"/>
  <c r="E70" i="7" a="1"/>
  <c r="E116" i="7" a="1"/>
  <c r="I24" i="7" a="1"/>
  <c r="D231" i="7" a="1"/>
  <c r="E241" i="7" a="1"/>
  <c r="E124" i="7" a="1"/>
  <c r="B121" i="7" a="1"/>
  <c r="H187" i="7" a="1"/>
  <c r="E38" i="7" a="1"/>
  <c r="F105" i="7" a="1"/>
  <c r="E182" i="7" a="1"/>
  <c r="B222" i="7" a="1"/>
  <c r="D159" i="7" a="1"/>
  <c r="E102" i="7" a="1"/>
  <c r="I27" i="7" a="1"/>
  <c r="F101" i="7" a="1"/>
  <c r="G213" i="7" a="1"/>
  <c r="H177" i="7" a="1"/>
  <c r="D140" i="7" a="1"/>
  <c r="G295" i="7" a="1"/>
  <c r="E6" i="7" a="1"/>
  <c r="F288" i="7" a="1"/>
  <c r="G206" i="7" a="1"/>
  <c r="G120" i="7" a="1"/>
  <c r="C293" i="7" a="1"/>
  <c r="D103" i="7" a="1"/>
  <c r="D19" i="7" a="1"/>
  <c r="G268" i="7" a="1"/>
  <c r="F198" i="7" a="1"/>
  <c r="H142" i="7" a="1"/>
  <c r="G67" i="7" a="1"/>
  <c r="I95" i="7" a="1"/>
  <c r="D28" i="7" a="1"/>
  <c r="D295" i="7" a="1"/>
  <c r="I221" i="7" a="1"/>
  <c r="D41" i="7" a="1"/>
  <c r="H203" i="7" a="1"/>
  <c r="D189" i="7" a="1"/>
  <c r="F213" i="7" a="1"/>
  <c r="H253" i="7" a="1"/>
  <c r="D236" i="7" a="1"/>
  <c r="H65" i="7" a="1"/>
  <c r="D90" i="7" a="1"/>
  <c r="H49" i="7" a="1"/>
  <c r="D258" i="7" a="1"/>
  <c r="E158" i="7" a="1"/>
  <c r="C163" i="7" a="1"/>
  <c r="D228" i="7" a="1"/>
  <c r="E173" i="7" a="1"/>
  <c r="C296" i="7" a="1"/>
  <c r="G199" i="7" a="1"/>
  <c r="E105" i="7" a="1"/>
  <c r="C35" i="7" a="1"/>
  <c r="G237" i="7" a="1"/>
  <c r="F280" i="7" a="1"/>
  <c r="F87" i="7" a="1"/>
  <c r="F58" i="7" a="1"/>
  <c r="G69" i="7" a="1"/>
  <c r="C68" i="7" a="1"/>
  <c r="C230" i="7" a="1"/>
  <c r="F110" i="7" a="1"/>
  <c r="F70" i="7" a="1"/>
  <c r="H102" i="7" a="1"/>
  <c r="G254" i="7" a="1"/>
  <c r="I209" i="7" a="1"/>
  <c r="E213" i="7" a="1"/>
  <c r="E192" i="7" a="1"/>
  <c r="C129" i="7" a="1"/>
  <c r="C204" i="7" a="1"/>
  <c r="G188" i="7" a="1"/>
  <c r="H199" i="7" a="1"/>
  <c r="C116" i="7" a="1"/>
  <c r="D70" i="7" a="1"/>
  <c r="G229" i="7" a="1"/>
  <c r="C92" i="7" a="1"/>
  <c r="D44" i="7" a="1"/>
  <c r="E227" i="7" a="1"/>
  <c r="H243" i="7" a="1"/>
  <c r="F290" i="7" a="1"/>
  <c r="C131" i="7" a="1"/>
  <c r="B108" i="7" a="1"/>
  <c r="G8" i="7" a="1"/>
  <c r="D24" i="7" a="1"/>
  <c r="F266" i="7" a="1"/>
  <c r="B226" i="7" a="1"/>
  <c r="E114" i="7" a="1"/>
  <c r="D294" i="7" a="1"/>
  <c r="E78" i="7" a="1"/>
  <c r="C205" i="7" a="1"/>
  <c r="H281" i="7" a="1"/>
  <c r="B163" i="7" a="1"/>
  <c r="E215" i="7" a="1"/>
  <c r="H149" i="7" a="1"/>
  <c r="E166" i="7" a="1"/>
  <c r="E236" i="7" a="1"/>
  <c r="G72" i="7" a="1"/>
  <c r="I62" i="7" a="1"/>
  <c r="F278" i="7" a="1"/>
  <c r="E231" i="7" a="1"/>
  <c r="H282" i="7" a="1"/>
  <c r="G57" i="7" a="1"/>
  <c r="C51" i="7" a="1"/>
  <c r="I161" i="7" a="1"/>
  <c r="F85" i="7" a="1"/>
  <c r="G178" i="7" a="1"/>
  <c r="H123" i="7" a="1"/>
  <c r="E257" i="7" a="1"/>
  <c r="I119" i="7" a="1"/>
  <c r="G6" i="7" a="1"/>
  <c r="B115" i="7" a="1"/>
  <c r="I128" i="7" a="1"/>
  <c r="G157" i="7" a="1"/>
  <c r="E274" i="7" a="1"/>
  <c r="C56" i="7" a="1"/>
  <c r="F249" i="7" a="1"/>
  <c r="E57" i="7" a="1"/>
  <c r="I222" i="7" a="1"/>
  <c r="C36" i="7" a="1"/>
  <c r="D191" i="7" a="1"/>
  <c r="G66" i="7" a="1"/>
  <c r="B128" i="7" a="1"/>
  <c r="D55" i="7" a="1"/>
  <c r="I78" i="7" a="1"/>
  <c r="H69" i="7" a="1"/>
  <c r="G142" i="7" a="1"/>
  <c r="E255" i="7" a="1"/>
  <c r="F113" i="7" a="1"/>
  <c r="G75" i="7" a="1"/>
  <c r="I13" i="7" a="1"/>
  <c r="C284" i="7" a="1"/>
  <c r="G195" i="7" a="1"/>
  <c r="H125" i="7" a="1"/>
  <c r="H190" i="7" a="1"/>
  <c r="B183" i="7" a="1"/>
  <c r="F243" i="7" a="1"/>
  <c r="C158" i="7" a="1"/>
  <c r="B61" i="7" a="1"/>
  <c r="I127" i="7" a="1"/>
  <c r="D72" i="7" a="1"/>
  <c r="B239" i="7" a="1"/>
  <c r="B24" i="7" a="1"/>
  <c r="B27" i="7" a="1"/>
  <c r="E96" i="7" a="1"/>
  <c r="F279" i="7" a="1"/>
  <c r="B218" i="7" a="1"/>
  <c r="E284" i="7" a="1"/>
  <c r="F182" i="7" a="1"/>
  <c r="E184" i="7" a="1"/>
  <c r="E97" i="7" a="1"/>
  <c r="H231" i="7" a="1"/>
  <c r="D182" i="7" a="1"/>
  <c r="E216" i="7" a="1"/>
  <c r="F251" i="7" a="1"/>
  <c r="D69" i="7" a="1"/>
  <c r="F196" i="7" a="1"/>
  <c r="H176" i="7" a="1"/>
  <c r="H189" i="7" a="1"/>
  <c r="B114" i="7" a="1"/>
  <c r="B210" i="7" a="1"/>
  <c r="D161" i="7" a="1"/>
  <c r="C26" i="7" a="1"/>
  <c r="C64" i="7" a="1"/>
  <c r="G182" i="7" a="1"/>
  <c r="G114" i="7" a="1"/>
  <c r="B271" i="7" a="1"/>
  <c r="D260" i="7" a="1"/>
  <c r="B131" i="7" a="1"/>
  <c r="E272" i="7" a="1"/>
  <c r="B215" i="7" a="1"/>
  <c r="F184" i="7" a="1"/>
  <c r="F24" i="7" a="1"/>
  <c r="H67" i="7" a="1"/>
  <c r="I121" i="7" a="1"/>
  <c r="E111" i="7" a="1"/>
  <c r="D36" i="7" a="1"/>
  <c r="I153" i="7" a="1"/>
  <c r="E298" i="7" a="1"/>
  <c r="C175" i="7" a="1"/>
  <c r="I148" i="7" a="1"/>
  <c r="D113" i="7" a="1"/>
  <c r="C167" i="7" a="1"/>
  <c r="B275" i="7" a="1"/>
  <c r="B212" i="7" a="1"/>
  <c r="H217" i="7" a="1"/>
  <c r="C54" i="7" a="1"/>
  <c r="D45" i="7" a="1"/>
  <c r="G252" i="7" a="1"/>
  <c r="C186" i="7" a="1"/>
  <c r="D255" i="7" a="1"/>
  <c r="D204" i="7" a="1"/>
  <c r="C46" i="7" a="1"/>
  <c r="D62" i="7" a="1"/>
  <c r="D207" i="7" a="1"/>
  <c r="E36" i="7" a="1"/>
  <c r="H147" i="7" a="1"/>
  <c r="I244" i="7" a="1"/>
  <c r="E275" i="7" a="1"/>
  <c r="D52" i="7" a="1"/>
  <c r="H47" i="7" a="1"/>
  <c r="C115" i="7" a="1"/>
  <c r="E29" i="7" a="1"/>
  <c r="B57" i="7" a="1"/>
  <c r="I180" i="7" a="1"/>
  <c r="H191" i="7" a="1"/>
  <c r="F42" i="7" a="1"/>
  <c r="B261" i="7" a="1"/>
  <c r="F137" i="7" a="1"/>
  <c r="I208" i="7" a="1"/>
  <c r="I217" i="7" a="1"/>
  <c r="G88" i="7" a="1"/>
  <c r="E80" i="7" a="1"/>
  <c r="B143" i="7" a="1"/>
  <c r="C258" i="7" a="1"/>
  <c r="G26" i="7" a="1"/>
  <c r="B175" i="7" a="1"/>
  <c r="B283" i="7" a="1"/>
  <c r="I298" i="7" a="1"/>
  <c r="C93" i="7" a="1"/>
  <c r="B287" i="7" a="1"/>
  <c r="F187" i="7" a="1"/>
  <c r="E151" i="7" a="1"/>
  <c r="B35" i="7" a="1"/>
  <c r="C22" i="7" a="1"/>
  <c r="D80" i="7" a="1"/>
  <c r="B75" i="7" a="1"/>
  <c r="B185" i="7" a="1"/>
  <c r="C130" i="7" a="1"/>
  <c r="G132" i="7" a="1"/>
  <c r="C187" i="7" a="1"/>
  <c r="E84" i="7" a="1"/>
  <c r="H40" i="7" a="1"/>
  <c r="C156" i="7" a="1"/>
  <c r="H26" i="7" a="1"/>
  <c r="G226" i="7" a="1"/>
  <c r="H213" i="7" a="1"/>
  <c r="C249" i="7" a="1"/>
  <c r="E138" i="7" a="1"/>
  <c r="F132" i="7" a="1"/>
  <c r="H84" i="7" a="1"/>
  <c r="I234" i="7" a="1"/>
  <c r="H17" i="7" a="1"/>
  <c r="B196" i="7" a="1"/>
  <c r="E136" i="7" a="1"/>
  <c r="F224" i="7" a="1"/>
  <c r="H91" i="7" a="1"/>
  <c r="F103" i="7" a="1"/>
  <c r="F209" i="7" a="1"/>
  <c r="B266" i="7" a="1"/>
  <c r="D130" i="7" a="1"/>
  <c r="D283" i="7" a="1"/>
  <c r="C220" i="7" a="1"/>
  <c r="F293" i="7" a="1"/>
  <c r="H46" i="7" a="1"/>
  <c r="B50" i="7" a="1"/>
  <c r="D220" i="7" a="1"/>
  <c r="I184" i="7" a="1"/>
  <c r="F114" i="7" a="1"/>
  <c r="B270" i="7" a="1"/>
  <c r="B228" i="7" a="1"/>
  <c r="I162" i="7" a="1"/>
  <c r="C222" i="7" a="1"/>
  <c r="I243" i="7" a="1"/>
  <c r="B206" i="7" a="1"/>
  <c r="F252" i="7" a="1"/>
  <c r="D237" i="7" a="1"/>
  <c r="H128" i="7" a="1"/>
  <c r="C216" i="7" a="1"/>
  <c r="F242" i="7" a="1"/>
  <c r="G203" i="7" a="1"/>
  <c r="E60" i="7" a="1"/>
  <c r="I106" i="7" a="1"/>
  <c r="D23" i="7" a="1"/>
  <c r="H204" i="7" a="1"/>
  <c r="E122" i="7" a="1"/>
  <c r="I205" i="7" a="1"/>
  <c r="H44" i="7" a="1"/>
  <c r="C32" i="7" a="1"/>
  <c r="E40" i="7" a="1"/>
  <c r="F231" i="7" a="1"/>
  <c r="D30" i="7" a="1"/>
  <c r="D87" i="7" a="1"/>
  <c r="B252" i="7" a="1"/>
  <c r="H107" i="7" a="1"/>
  <c r="F295" i="7" a="1"/>
  <c r="I281" i="7" a="1"/>
  <c r="H70" i="7" a="1"/>
  <c r="F246" i="7" a="1"/>
  <c r="G155" i="7" a="1"/>
  <c r="I36" i="7" a="1"/>
  <c r="B296" i="7" a="1"/>
  <c r="H157" i="7" a="1"/>
  <c r="B102" i="7" a="1"/>
  <c r="I83" i="7" a="1"/>
  <c r="B148" i="7" a="1"/>
  <c r="G130" i="7" a="1"/>
  <c r="H161" i="7" a="1"/>
  <c r="F22" i="7" a="1"/>
  <c r="B32" i="7" a="1"/>
  <c r="E155" i="7" a="1"/>
  <c r="F80" i="7" a="1"/>
  <c r="F156" i="7" a="1"/>
  <c r="G266" i="7" a="1"/>
  <c r="D119" i="7" a="1"/>
  <c r="C65" i="7" a="1"/>
  <c r="G46" i="7" a="1"/>
  <c r="I50" i="7" a="1"/>
  <c r="D276" i="7" a="1"/>
  <c r="B6" i="7" a="1"/>
  <c r="D157" i="7" a="1"/>
  <c r="D250" i="7" a="1"/>
  <c r="E153" i="7" a="1"/>
  <c r="E177" i="7" a="1"/>
  <c r="G244" i="7" a="1"/>
  <c r="C133" i="7" a="1"/>
  <c r="D124" i="7" a="1"/>
  <c r="C7" i="7" a="1"/>
  <c r="B192" i="7" a="1"/>
  <c r="E71" i="7" a="1"/>
  <c r="F232" i="7" a="1"/>
  <c r="E280" i="7" a="1"/>
  <c r="B135" i="7" a="1"/>
  <c r="B26" i="7" a="1"/>
  <c r="B207" i="7" a="1"/>
  <c r="I227" i="7" a="1"/>
  <c r="H87" i="7" a="1"/>
  <c r="D248" i="7" a="1"/>
  <c r="D154" i="7" a="1"/>
  <c r="C207" i="7" a="1"/>
  <c r="C169" i="7" a="1"/>
  <c r="D88" i="7" a="1"/>
  <c r="D219" i="7" a="1"/>
  <c r="C199" i="7" a="1"/>
  <c r="H276" i="7" a="1"/>
  <c r="E52" i="7" a="1"/>
  <c r="I195" i="7" a="1"/>
  <c r="H39" i="7" a="1"/>
  <c r="I268" i="7" a="1"/>
  <c r="E126" i="7" a="1"/>
  <c r="H246" i="7" a="1"/>
  <c r="I192" i="7" a="1"/>
  <c r="D235" i="7" a="1"/>
  <c r="F219" i="7" a="1"/>
  <c r="D128" i="7" a="1"/>
  <c r="B67" i="7" a="1"/>
  <c r="B72" i="7" a="1"/>
  <c r="E210" i="7" a="1"/>
  <c r="G218" i="7" a="1"/>
  <c r="F6" i="7" a="1"/>
  <c r="I185" i="7" a="1"/>
  <c r="B99" i="7" a="1"/>
  <c r="E33" i="7" a="1"/>
  <c r="D198" i="7" a="1"/>
  <c r="E108" i="7" a="1"/>
  <c r="I299" i="7" a="1"/>
  <c r="E172" i="7" a="1"/>
  <c r="I159" i="7" a="1"/>
  <c r="B109" i="7" a="1"/>
  <c r="H85" i="7" a="1"/>
  <c r="G240" i="7" a="1"/>
  <c r="I201" i="7" a="1"/>
  <c r="D106" i="7" a="1"/>
  <c r="C228" i="7" a="1"/>
  <c r="B92" i="7" a="1"/>
  <c r="G233" i="7" a="1"/>
  <c r="F124" i="7" a="1"/>
  <c r="F199" i="7" a="1"/>
  <c r="C188" i="7" a="1"/>
  <c r="G234" i="7" a="1"/>
  <c r="F54" i="7" a="1"/>
  <c r="C112" i="7" a="1"/>
  <c r="G82" i="7" a="1"/>
  <c r="I226" i="7" a="1"/>
  <c r="C265" i="7" a="1"/>
  <c r="C39" i="7" a="1"/>
  <c r="H259" i="7" a="1"/>
  <c r="C140" i="7" a="1"/>
  <c r="C225" i="7" a="1"/>
  <c r="H32" i="7" a="1"/>
  <c r="F178" i="7" a="1"/>
  <c r="B247" i="7" a="1"/>
  <c r="G210" i="7" a="1"/>
  <c r="D57" i="7" a="1"/>
  <c r="C168" i="7" a="1"/>
  <c r="I131" i="7" a="1"/>
  <c r="E4" i="7" a="1"/>
  <c r="E61" i="7" a="1"/>
  <c r="G153" i="7" a="1"/>
  <c r="I40" i="7" a="1"/>
  <c r="B48" i="7" a="1"/>
  <c r="H35" i="7" a="1"/>
  <c r="E186" i="7" a="1"/>
  <c r="H264" i="7" a="1"/>
  <c r="F234" i="7" a="1"/>
  <c r="D245" i="7" a="1"/>
  <c r="E194" i="7" a="1"/>
  <c r="H216" i="7" a="1"/>
  <c r="E243" i="7" a="1"/>
  <c r="I8" i="7" a="1"/>
  <c r="F148" i="7" a="1"/>
  <c r="C69" i="7" a="1"/>
  <c r="B46" i="7" a="1"/>
  <c r="H221" i="7" a="1"/>
  <c r="C217" i="7" a="1"/>
  <c r="B231" i="7" a="1"/>
  <c r="H200" i="7" a="1"/>
  <c r="B97" i="7" a="1"/>
  <c r="I289" i="7" a="1"/>
  <c r="I215" i="7" a="1"/>
  <c r="G228" i="7" a="1"/>
  <c r="B219" i="7" a="1"/>
  <c r="G186" i="7" a="1"/>
  <c r="G27" i="7" a="1"/>
  <c r="E67" i="7" a="1"/>
  <c r="G118" i="7" a="1"/>
  <c r="B272" i="7" a="1"/>
  <c r="G96" i="7" a="1"/>
  <c r="C281" i="7" a="1"/>
  <c r="B278" i="7" a="1"/>
  <c r="I230" i="7" a="1"/>
  <c r="E208" i="7" a="1"/>
  <c r="D216" i="7" a="1"/>
  <c r="I69" i="7" a="1"/>
  <c r="C104" i="7" a="1"/>
  <c r="B281" i="7" a="1"/>
  <c r="B28" i="7" a="1"/>
  <c r="I55" i="7" a="1"/>
  <c r="H227" i="7" a="1"/>
  <c r="C134" i="7" a="1"/>
  <c r="E239" i="7" a="1"/>
  <c r="B176" i="7" a="1"/>
  <c r="D175" i="7" a="1"/>
  <c r="D6" i="7" a="1"/>
  <c r="C162" i="7" a="1"/>
  <c r="G146" i="7" a="1"/>
  <c r="G71" i="7" a="1"/>
  <c r="I110" i="7" a="1"/>
  <c r="G162" i="7" a="1"/>
  <c r="H160" i="7" a="1"/>
  <c r="E27" i="7" a="1"/>
  <c r="C17" i="7" a="1"/>
  <c r="F43" i="7" a="1"/>
  <c r="C122" i="7" a="1"/>
  <c r="D162" i="7" a="1"/>
  <c r="D176" i="7" a="1"/>
  <c r="H52" i="7" a="1"/>
  <c r="B229" i="7" a="1"/>
  <c r="I133" i="7" a="1"/>
  <c r="I45" i="7" a="1"/>
  <c r="C118" i="7" a="1"/>
  <c r="I275" i="7" a="1"/>
  <c r="E46" i="7" a="1"/>
  <c r="H122" i="7" a="1"/>
  <c r="I102" i="7" a="1"/>
  <c r="F291" i="7" a="1"/>
  <c r="B172" i="7" a="1"/>
  <c r="I280" i="7" a="1"/>
  <c r="D118" i="7" a="1"/>
  <c r="B273" i="7" a="1"/>
  <c r="H68" i="7" a="1"/>
  <c r="C75" i="7" a="1"/>
  <c r="F88" i="7" a="1"/>
  <c r="D64" i="7" a="1"/>
  <c r="C192" i="7" a="1"/>
  <c r="B129" i="7" a="1"/>
  <c r="F225" i="7" a="1"/>
  <c r="I67" i="7" a="1"/>
  <c r="C73" i="7" a="1"/>
  <c r="H8" i="7" a="1"/>
  <c r="F248" i="7" a="1"/>
  <c r="H59" i="7" a="1"/>
  <c r="B294" i="7" a="1"/>
  <c r="D73" i="7" a="1"/>
  <c r="G109" i="7" a="1"/>
  <c r="I191" i="7" a="1"/>
  <c r="H113" i="7" a="1"/>
  <c r="F145" i="7" a="1"/>
  <c r="D138" i="7" a="1"/>
  <c r="C63" i="7" a="1"/>
  <c r="F90" i="7" a="1"/>
  <c r="G164" i="7" a="1"/>
  <c r="D7" i="7" a="1"/>
  <c r="H58" i="7" a="1"/>
  <c r="I120" i="7" a="1"/>
  <c r="B174" i="7" a="1"/>
  <c r="F64" i="7" a="1"/>
  <c r="H210" i="7" a="1"/>
  <c r="D97" i="7" a="1"/>
  <c r="I199" i="7" a="1"/>
  <c r="E119" i="7" a="1"/>
  <c r="F183" i="7" a="1"/>
  <c r="C66" i="7" a="1"/>
  <c r="F277" i="7" a="1"/>
  <c r="G55" i="7" a="1"/>
  <c r="B112" i="7" a="1"/>
  <c r="E148" i="7" a="1"/>
  <c r="C82" i="7" a="1"/>
  <c r="F154" i="7" a="1"/>
  <c r="I193" i="7" a="1"/>
  <c r="H223" i="7" a="1"/>
  <c r="C267" i="7" a="1"/>
  <c r="I245" i="7" a="1"/>
  <c r="B177" i="7" a="1"/>
  <c r="G190" i="7" a="1"/>
  <c r="F20" i="7" a="1"/>
  <c r="I16" i="7" a="1"/>
  <c r="H103" i="7" a="1"/>
  <c r="D12" i="7" a="1"/>
  <c r="H192" i="7" a="1"/>
  <c r="G115" i="7" a="1"/>
  <c r="B154" i="7" a="1"/>
  <c r="D53" i="7" a="1"/>
  <c r="G274" i="7" a="1"/>
  <c r="G209" i="7" a="1"/>
  <c r="E90" i="7" a="1"/>
  <c r="I139" i="7" a="1"/>
  <c r="H137" i="7" a="1"/>
  <c r="C292" i="7" a="1"/>
  <c r="E39" i="7" a="1"/>
  <c r="G93" i="7" a="1"/>
  <c r="H118" i="7" a="1"/>
  <c r="D104" i="7" a="1"/>
  <c r="E247" i="7" a="1"/>
  <c r="E238" i="7" a="1"/>
  <c r="G126" i="7" a="1"/>
  <c r="B103" i="7" a="1"/>
  <c r="D300" i="7" a="1"/>
  <c r="H284" i="7" a="1"/>
  <c r="G219" i="7" a="1"/>
  <c r="C275" i="7" a="1"/>
  <c r="I26" i="7" a="1"/>
  <c r="B256" i="7" a="1"/>
  <c r="I212" i="7" a="1"/>
  <c r="G91" i="7" a="1"/>
  <c r="E195" i="7" a="1"/>
  <c r="G193" i="7" a="1"/>
  <c r="F258" i="7" a="1"/>
  <c r="G165" i="7" a="1"/>
  <c r="B290" i="7" a="1"/>
  <c r="E206" i="7" a="1"/>
  <c r="F97" i="7" a="1"/>
  <c r="H180" i="7" a="1"/>
  <c r="E168" i="7" a="1"/>
  <c r="B253" i="7" a="1"/>
  <c r="F135" i="7" a="1"/>
  <c r="B179" i="7" a="1"/>
  <c r="C184" i="7" a="1"/>
  <c r="D263" i="7" a="1"/>
  <c r="D225" i="7" a="1"/>
  <c r="H198" i="7" a="1"/>
  <c r="E56" i="7" a="1"/>
  <c r="I271" i="7" a="1"/>
  <c r="C218" i="7" a="1"/>
  <c r="G214" i="7" a="1"/>
  <c r="B7" i="7" a="1"/>
  <c r="E265" i="7" a="1"/>
  <c r="F119" i="7" a="1"/>
  <c r="D174" i="7" a="1"/>
  <c r="I250" i="7" a="1"/>
  <c r="D166" i="7" a="1"/>
  <c r="G131" i="7" a="1"/>
  <c r="E203" i="7" a="1"/>
  <c r="B238" i="7" a="1"/>
  <c r="E144" i="7" a="1"/>
  <c r="E83" i="7" a="1"/>
  <c r="F69" i="7" a="1"/>
  <c r="F236" i="7" a="1"/>
  <c r="G127" i="7" a="1"/>
  <c r="C160" i="7" a="1"/>
  <c r="I74" i="7" a="1"/>
  <c r="B145" i="7" a="1"/>
  <c r="C253" i="7" a="1"/>
  <c r="G113" i="7" a="1"/>
  <c r="E41" i="7" a="1"/>
  <c r="H127" i="7" a="1"/>
  <c r="B20" i="7" a="1"/>
  <c r="C238" i="7" a="1"/>
  <c r="C18" i="7" a="1"/>
  <c r="D156" i="7" a="1"/>
  <c r="E200" i="7" a="1"/>
  <c r="C117" i="7" a="1"/>
  <c r="H254" i="7" a="1"/>
  <c r="G248" i="7" a="1"/>
  <c r="G43" i="7" a="1"/>
  <c r="D179" i="7" a="1"/>
  <c r="B69" i="7" a="1"/>
  <c r="I70" i="7" a="1"/>
  <c r="B85" i="7" a="1"/>
  <c r="F262" i="7" a="1"/>
  <c r="G275" i="7" a="1"/>
  <c r="C263" i="7" a="1"/>
  <c r="E48" i="7" a="1"/>
  <c r="F160" i="7" a="1"/>
  <c r="C121" i="7" a="1"/>
  <c r="F161" i="7" a="1"/>
  <c r="E62" i="7" a="1"/>
  <c r="E65" i="7" a="1"/>
  <c r="B160" i="7" a="1"/>
  <c r="B240" i="7" a="1"/>
  <c r="I223" i="7" a="1"/>
  <c r="F23" i="7" a="1"/>
  <c r="C270" i="7" a="1"/>
  <c r="G235" i="7" a="1"/>
  <c r="H218" i="7" a="1"/>
  <c r="B237" i="7" a="1"/>
  <c r="D75" i="7" a="1"/>
  <c r="I259" i="7" a="1"/>
  <c r="D280" i="7" a="1"/>
  <c r="E230" i="7" a="1"/>
  <c r="D134" i="7" a="1"/>
  <c r="I249" i="7" a="1"/>
  <c r="F8" i="7" a="1"/>
  <c r="F261" i="7" a="1"/>
  <c r="F257" i="7" a="1"/>
  <c r="H220" i="7" a="1"/>
  <c r="H233" i="7" a="1"/>
  <c r="E214" i="7" a="1"/>
  <c r="H55" i="7" a="1"/>
  <c r="B64" i="7" a="1"/>
  <c r="I167" i="7" a="1"/>
  <c r="I210" i="7" a="1"/>
  <c r="E75" i="7" a="1"/>
  <c r="D201" i="7" a="1"/>
  <c r="H101" i="7" a="1"/>
  <c r="B159" i="7" a="1"/>
  <c r="C67" i="7" a="1"/>
  <c r="D192" i="7" a="1"/>
  <c r="H45" i="7" a="1"/>
  <c r="C119" i="7" a="1"/>
  <c r="D171" i="7" a="1"/>
  <c r="I124" i="7" a="1"/>
  <c r="B191" i="7" a="1"/>
  <c r="G133" i="7" a="1"/>
  <c r="I31" i="7" a="1"/>
  <c r="B23" i="7" a="1"/>
  <c r="E269" i="7" a="1"/>
  <c r="C159" i="7" a="1"/>
  <c r="G211" i="7" a="1"/>
  <c r="I30" i="7" a="1"/>
  <c r="C195" i="7" a="1"/>
  <c r="B262" i="7" a="1"/>
  <c r="F37" i="7" a="1"/>
  <c r="C6" i="7" a="1"/>
  <c r="E292" i="7" a="1"/>
  <c r="B2" i="7" a="1"/>
  <c r="G79" i="7" a="1"/>
  <c r="E245" i="7" a="1"/>
  <c r="B225" i="7" a="1"/>
  <c r="B173" i="7" a="1"/>
  <c r="D86" i="7" a="1"/>
  <c r="C57" i="7" a="1"/>
  <c r="D210" i="7" a="1"/>
  <c r="H172" i="7" a="1"/>
  <c r="G222" i="7" a="1"/>
  <c r="F25" i="7" a="1"/>
  <c r="F159" i="7" a="1"/>
  <c r="C83" i="7" a="1"/>
  <c r="F134" i="7" a="1"/>
  <c r="C229" i="7" a="1"/>
  <c r="I25" i="7" a="1"/>
  <c r="C151" i="7" a="1"/>
  <c r="G137" i="7" a="1"/>
  <c r="C142" i="7" a="1"/>
  <c r="C226" i="7" a="1"/>
  <c r="B197" i="7" a="1"/>
  <c r="F173" i="7" a="1"/>
  <c r="B234" i="7" a="1"/>
  <c r="I125" i="7" a="1"/>
  <c r="F203" i="7" a="1"/>
  <c r="C79" i="7" a="1"/>
  <c r="H120" i="7" a="1"/>
  <c r="D270" i="7" a="1"/>
  <c r="F175" i="7" a="1"/>
  <c r="G160" i="7" a="1"/>
  <c r="F117" i="7" a="1"/>
  <c r="E128" i="7" a="1"/>
  <c r="D273" i="7" a="1"/>
  <c r="I296" i="7" a="1"/>
  <c r="I293" i="7" a="1"/>
  <c r="F136" i="7" a="1"/>
  <c r="C102" i="7" a="1"/>
  <c r="E142" i="7" a="1"/>
  <c r="I200" i="7" a="1"/>
  <c r="I236" i="7" a="1"/>
  <c r="G220" i="7" a="1"/>
  <c r="B189" i="7" a="1"/>
  <c r="C105" i="7" a="1"/>
  <c r="H167" i="7" a="1"/>
  <c r="C123" i="7" a="1"/>
  <c r="B84" i="7" a="1"/>
  <c r="I130" i="7" a="1"/>
  <c r="E110" i="7" a="1"/>
  <c r="H226" i="7" a="1"/>
  <c r="G24" i="7" a="1"/>
  <c r="C268" i="7" a="1"/>
  <c r="D242" i="7" a="1"/>
  <c r="I261" i="7" a="1"/>
  <c r="G191" i="7" a="1"/>
  <c r="C233" i="7" a="1"/>
  <c r="E66" i="7" a="1"/>
  <c r="G261" i="7" a="1"/>
  <c r="C237" i="7" a="1"/>
  <c r="B203" i="7" a="1"/>
  <c r="F271" i="7" a="1"/>
  <c r="C132" i="7" a="1"/>
  <c r="H54" i="7" a="1"/>
  <c r="B284" i="7" a="1"/>
  <c r="H4" i="7" a="1"/>
  <c r="I98" i="7" a="1"/>
  <c r="E217" i="7" a="1"/>
  <c r="F39" i="7" a="1"/>
  <c r="F81" i="7" a="1"/>
  <c r="I86" i="7" a="1"/>
  <c r="H240" i="7" a="1"/>
  <c r="D277" i="7" a="1"/>
  <c r="D120" i="7" a="1"/>
  <c r="F18" i="7" a="1"/>
  <c r="B224" i="7" a="1"/>
  <c r="E261" i="7" a="1"/>
  <c r="D31" i="7" a="1"/>
  <c r="D279" i="7" a="1"/>
  <c r="D84" i="7" a="1"/>
  <c r="F107" i="7" a="1"/>
  <c r="H270" i="7" a="1"/>
  <c r="E225" i="7" a="1"/>
  <c r="G122" i="7" a="1"/>
  <c r="I238" i="7" a="1"/>
  <c r="F62" i="7" a="1"/>
  <c r="D42" i="7" a="1"/>
  <c r="G166" i="7" a="1"/>
  <c r="E137" i="7" a="1"/>
  <c r="B198" i="7" a="1"/>
  <c r="F240" i="7" a="1"/>
  <c r="G39" i="7" a="1"/>
  <c r="C178" i="7" a="1"/>
  <c r="D233" i="7" a="1"/>
  <c r="D190" i="7" a="1"/>
  <c r="G247" i="7" a="1"/>
  <c r="G273" i="7" a="1"/>
  <c r="H290" i="7" a="1"/>
  <c r="E162" i="7" a="1"/>
  <c r="C283" i="7" a="1"/>
  <c r="D199" i="7" a="1"/>
  <c r="I262" i="7" a="1"/>
  <c r="I154" i="7" a="1"/>
  <c r="H181" i="7" a="1"/>
  <c r="F267" i="7" a="1"/>
  <c r="D27" i="7" a="1"/>
  <c r="D290" i="7" a="1"/>
  <c r="I65" i="7" a="1"/>
  <c r="G230" i="7" a="1"/>
  <c r="I278" i="7" a="1"/>
  <c r="B295" i="7" a="1"/>
  <c r="C145" i="7" a="1"/>
  <c r="C242" i="7" a="1"/>
  <c r="E103" i="7" a="1"/>
  <c r="H94" i="7" a="1"/>
  <c r="G238" i="7" a="1"/>
  <c r="C240" i="7" a="1"/>
  <c r="H89" i="7" a="1"/>
  <c r="E91" i="7" a="1"/>
  <c r="E21" i="7" a="1"/>
  <c r="D238" i="7" a="1"/>
  <c r="H175" i="7" a="1"/>
  <c r="G37" i="7" a="1"/>
  <c r="I248" i="7" a="1"/>
  <c r="C173" i="7" a="1"/>
  <c r="I156" i="7" a="1"/>
  <c r="G212" i="7" a="1"/>
  <c r="C271" i="7" a="1"/>
  <c r="B292" i="7" a="1"/>
  <c r="C136" i="7" a="1"/>
  <c r="D145" i="7" a="1"/>
  <c r="C297" i="7" a="1"/>
  <c r="I34" i="7" a="1"/>
  <c r="C38" i="7" a="1"/>
  <c r="D111" i="7" a="1"/>
  <c r="I260" i="7" a="1"/>
  <c r="D122" i="7" a="1"/>
  <c r="I57" i="7" a="1"/>
  <c r="E149" i="7" a="1"/>
  <c r="I246" i="7" a="1"/>
  <c r="H24" i="7" a="1"/>
  <c r="G169" i="7" a="1"/>
  <c r="D223" i="7" a="1"/>
  <c r="D261" i="7" a="1"/>
  <c r="F100" i="7" a="1"/>
  <c r="E171" i="7" a="1"/>
  <c r="F165" i="7" a="1"/>
  <c r="C210" i="7" a="1"/>
  <c r="G105" i="7" a="1"/>
  <c r="B125" i="7" a="1"/>
  <c r="F30" i="7" a="1"/>
  <c r="F115" i="7" a="1"/>
  <c r="G289" i="7" a="1"/>
  <c r="H2" i="7" a="1"/>
  <c r="I207" i="7" a="1"/>
  <c r="B182" i="7" a="1"/>
  <c r="G77" i="7" a="1"/>
  <c r="H206" i="7" a="1"/>
  <c r="I179" i="7" a="1"/>
  <c r="C60" i="7" a="1"/>
  <c r="H287" i="7" a="1"/>
  <c r="G84" i="7" a="1"/>
  <c r="G270" i="7" a="1"/>
  <c r="D135" i="7" a="1"/>
  <c r="G278" i="7" a="1"/>
  <c r="D287" i="7" a="1"/>
  <c r="I188" i="7" a="1"/>
  <c r="B162" i="7" a="1"/>
  <c r="E22" i="7" a="1"/>
  <c r="F195" i="7" a="1"/>
  <c r="H193" i="7" a="1"/>
  <c r="C183" i="7" a="1"/>
  <c r="C146" i="7" a="1"/>
  <c r="F172" i="7" a="1"/>
  <c r="F3" i="7" a="1"/>
  <c r="C61" i="7" a="1"/>
  <c r="E88" i="7" a="1"/>
  <c r="C278" i="7" a="1"/>
  <c r="H174" i="7" a="1"/>
  <c r="G167" i="7" a="1"/>
  <c r="E47" i="7" a="1"/>
  <c r="I39" i="7" a="1"/>
  <c r="F121" i="7" a="1"/>
  <c r="D227" i="7" a="1"/>
  <c r="C165" i="7" a="1"/>
  <c r="E117" i="7" a="1"/>
  <c r="E246" i="7" a="1"/>
  <c r="B227" i="7" a="1"/>
  <c r="E51" i="7" a="1"/>
  <c r="E248" i="7" a="1"/>
  <c r="I82" i="7" a="1"/>
  <c r="B186" i="7" a="1"/>
  <c r="G51" i="7" a="1"/>
  <c r="G68" i="7" a="1"/>
  <c r="B74" i="7" a="1"/>
  <c r="H78" i="7" a="1"/>
  <c r="B204" i="7" a="1"/>
  <c r="D101" i="7" a="1"/>
  <c r="H197" i="7" a="1"/>
  <c r="E185" i="7" a="1"/>
  <c r="H207" i="7" a="1"/>
  <c r="G172" i="7" a="1"/>
  <c r="F281" i="7" a="1"/>
  <c r="D67" i="7" a="1"/>
  <c r="E191" i="7" a="1"/>
  <c r="E224" i="7" a="1"/>
  <c r="H262" i="7" a="1"/>
  <c r="D18" i="7" a="1"/>
  <c r="G184" i="7" a="1"/>
  <c r="H255" i="7" a="1"/>
  <c r="F32" i="7" a="1"/>
  <c r="C202" i="7" a="1"/>
  <c r="H109" i="7" a="1"/>
  <c r="G110" i="7" a="1"/>
  <c r="H244" i="7" a="1"/>
  <c r="E291" i="7" a="1"/>
  <c r="B205" i="7" a="1"/>
  <c r="B138" i="7" a="1"/>
  <c r="E129" i="7" a="1"/>
  <c r="G119" i="7" a="1"/>
  <c r="E93" i="7" a="1"/>
  <c r="E237" i="7" a="1"/>
  <c r="G23" i="7" a="1"/>
  <c r="H124" i="7" a="1"/>
  <c r="B78" i="7" a="1"/>
  <c r="B188" i="7" a="1"/>
  <c r="C31" i="7" a="1"/>
  <c r="D125" i="7" a="1"/>
  <c r="G59" i="7" a="1"/>
  <c r="G78" i="7" a="1"/>
  <c r="G104" i="7" a="1"/>
  <c r="E209" i="7" a="1"/>
  <c r="I115" i="7" a="1"/>
  <c r="C294" i="7" a="1"/>
  <c r="H42" i="7" a="1"/>
  <c r="E165" i="7" a="1"/>
  <c r="G34" i="7" a="1"/>
  <c r="C43" i="7" a="1"/>
  <c r="E28" i="7" a="1"/>
  <c r="B44" i="7" a="1"/>
  <c r="I126" i="7" a="1"/>
  <c r="F192" i="7" a="1"/>
  <c r="B33" i="7" a="1"/>
  <c r="D241" i="7" a="1"/>
  <c r="E43" i="7" a="1"/>
  <c r="D234" i="7" a="1"/>
  <c r="H271" i="7" a="1"/>
  <c r="I103" i="7" a="1"/>
  <c r="C182" i="7" a="1"/>
  <c r="C179" i="7" a="1"/>
  <c r="E49" i="7" a="1"/>
  <c r="F129" i="7" a="1"/>
  <c r="E294" i="7" a="1"/>
  <c r="B241" i="7" a="1"/>
  <c r="H30" i="7" a="1"/>
  <c r="D144" i="7" a="1"/>
  <c r="I7" i="7" a="1"/>
  <c r="C201" i="7" a="1"/>
  <c r="H258" i="7" a="1"/>
  <c r="E176" i="7" a="1"/>
  <c r="G262" i="7" a="1"/>
  <c r="E263" i="7" a="1"/>
  <c r="E160" i="7" a="1"/>
  <c r="C246" i="7" a="1"/>
  <c r="I6" i="7" a="1"/>
  <c r="B244" i="7" a="1"/>
  <c r="C257" i="7" a="1"/>
  <c r="I160" i="7" a="1"/>
  <c r="I43" i="7" a="1"/>
  <c r="D222" i="7" a="1"/>
  <c r="B257" i="7" a="1"/>
  <c r="G125" i="7" a="1"/>
  <c r="E95" i="7" a="1"/>
  <c r="F215" i="7" a="1"/>
  <c r="C190" i="7" a="1"/>
  <c r="G208" i="7" a="1"/>
  <c r="B243" i="7" a="1"/>
  <c r="D82" i="7" a="1"/>
  <c r="D110" i="7" a="1"/>
  <c r="F50" i="7" a="1"/>
  <c r="D202" i="7" a="1"/>
  <c r="G170" i="7" a="1"/>
  <c r="F60" i="7" a="1"/>
  <c r="E193" i="7" a="1"/>
  <c r="C85" i="7" a="1"/>
  <c r="H146" i="7" a="1"/>
  <c r="C266" i="7" a="1"/>
  <c r="B242" i="7" a="1"/>
  <c r="H280" i="7" a="1"/>
  <c r="G264" i="7" a="1"/>
  <c r="I76" i="7" a="1"/>
  <c r="E179" i="7" a="1"/>
  <c r="B171" i="7" a="1"/>
  <c r="C25" i="7" a="1"/>
  <c r="B268" i="7" a="1"/>
  <c r="G4" i="7" a="1"/>
  <c r="G256" i="7" a="1"/>
  <c r="F51" i="7" a="1"/>
  <c r="I270" i="7" a="1"/>
  <c r="G283" i="7" a="1"/>
  <c r="H86" i="7" a="1"/>
  <c r="B116" i="7" a="1"/>
  <c r="G19" i="7" a="1"/>
  <c r="D226" i="7" a="1"/>
  <c r="B4" i="7" a="1"/>
  <c r="E87" i="7" a="1"/>
  <c r="C76" i="7" a="1"/>
  <c r="I247" i="7" a="1"/>
  <c r="I47" i="7" a="1"/>
  <c r="B300" i="7" a="1"/>
  <c r="E37" i="7" a="1"/>
  <c r="I257" i="7" a="1"/>
  <c r="F222" i="7" a="1"/>
  <c r="F152" i="7" a="1"/>
  <c r="B104" i="7" a="1"/>
  <c r="F157" i="7" a="1"/>
  <c r="H38" i="7" a="1"/>
  <c r="D181" i="7" a="1"/>
  <c r="I211" i="7" a="1"/>
  <c r="B194" i="7" a="1"/>
  <c r="E146" i="7" a="1"/>
  <c r="F265" i="7" a="1"/>
  <c r="B95" i="7" a="1"/>
  <c r="C77" i="7" a="1"/>
  <c r="D81" i="7" a="1"/>
  <c r="F174" i="7" a="1"/>
  <c r="D259" i="7" a="1"/>
  <c r="E35" i="7" a="1"/>
  <c r="D136" i="7" a="1"/>
  <c r="F57" i="7" a="1"/>
  <c r="B82" i="7" a="1"/>
  <c r="E196" i="7" a="1"/>
  <c r="D127" i="7" a="1"/>
  <c r="D256" i="7" a="1"/>
  <c r="D152" i="7" a="1"/>
  <c r="E159" i="7" a="1"/>
  <c r="B139" i="7" a="1"/>
  <c r="F237" i="7" a="1"/>
  <c r="H261" i="7" a="1"/>
  <c r="G134" i="7" a="1"/>
  <c r="C90" i="7" a="1"/>
  <c r="H247" i="7" a="1"/>
  <c r="C209" i="7" a="1"/>
  <c r="C78" i="7" a="1"/>
  <c r="H66" i="7" a="1"/>
  <c r="G293" i="7" a="1"/>
  <c r="I190" i="7" a="1"/>
  <c r="B55" i="7" a="1"/>
  <c r="D274" i="7" a="1"/>
  <c r="E17" i="7" a="1"/>
  <c r="B3" i="7" a="1"/>
  <c r="F59" i="7" a="1"/>
  <c r="B216" i="7" a="1"/>
  <c r="E99" i="7" a="1"/>
  <c r="E221" i="7" a="1"/>
  <c r="H202" i="7" a="1"/>
  <c r="F162" i="7" a="1"/>
  <c r="E256" i="7" a="1"/>
  <c r="I109" i="7" a="1"/>
  <c r="H53" i="7" a="1"/>
  <c r="G47" i="7" a="1"/>
  <c r="D78" i="7" a="1"/>
  <c r="G299" i="7" a="1"/>
  <c r="F212" i="7" a="1"/>
  <c r="C48" i="7" a="1"/>
  <c r="H289" i="7" a="1"/>
  <c r="G194" i="7" a="1"/>
  <c r="B161" i="7" a="1"/>
  <c r="I263" i="7" a="1"/>
  <c r="E235" i="7" a="1"/>
  <c r="D195" i="7" a="1"/>
  <c r="G65" i="7" a="1"/>
  <c r="B164" i="7" a="1"/>
  <c r="I140" i="7" a="1"/>
  <c r="F223" i="7" a="1"/>
  <c r="F255" i="7" a="1"/>
  <c r="B101" i="7" a="1"/>
  <c r="G198" i="7" a="1"/>
  <c r="I93" i="7" a="1"/>
  <c r="C248" i="7" a="1"/>
  <c r="E23" i="7" a="1"/>
  <c r="H279" i="7" a="1"/>
  <c r="B141" i="7" a="1"/>
  <c r="D146" i="7" a="1"/>
  <c r="F200" i="7" a="1"/>
  <c r="D293" i="7" a="1"/>
  <c r="B151" i="7" a="1"/>
  <c r="D112" i="7" a="1"/>
  <c r="G62" i="7" a="1"/>
  <c r="E141" i="7" a="1"/>
  <c r="D96" i="7" a="1"/>
  <c r="D188" i="7" a="1"/>
  <c r="H152" i="7" a="1"/>
  <c r="E150" i="7" a="1"/>
  <c r="F244" i="7" a="1"/>
  <c r="E113" i="7" a="1"/>
  <c r="I20" i="7" a="1"/>
  <c r="I17" i="7" a="1"/>
  <c r="G108" i="7" a="1"/>
  <c r="H283" i="7" a="1"/>
  <c r="H163" i="7" a="1"/>
  <c r="I202" i="7" a="1"/>
  <c r="H162" i="7" a="1"/>
  <c r="H273" i="7" a="1"/>
  <c r="F163" i="7" a="1"/>
  <c r="F300" i="7" a="1"/>
  <c r="B269" i="7" a="1"/>
  <c r="I51" i="7" a="1"/>
  <c r="F164" i="7" a="1"/>
  <c r="B170" i="7" a="1"/>
  <c r="I107" i="7" a="1"/>
  <c r="I132" i="7" a="1"/>
  <c r="H72" i="7" a="1"/>
  <c r="D284" i="7" a="1"/>
  <c r="E79" i="7" a="1"/>
  <c r="E218" i="7" a="1"/>
  <c r="F297" i="7" a="1"/>
  <c r="H61" i="7" a="1"/>
  <c r="D76" i="7" a="1"/>
  <c r="E92" i="7" a="1"/>
  <c r="D91" i="7" a="1"/>
  <c r="G17" i="7" a="1"/>
  <c r="H74" i="7" a="1"/>
  <c r="D63" i="7" a="1"/>
  <c r="B265" i="7" a="1"/>
  <c r="C47" i="7" a="1"/>
  <c r="I5" i="7" a="1"/>
  <c r="H100" i="7" a="1"/>
  <c r="B286" i="7" a="1"/>
  <c r="H148" i="7" a="1"/>
  <c r="D46" i="7" a="1"/>
  <c r="H239" i="7" a="1"/>
  <c r="E223" i="7" a="1"/>
  <c r="H256" i="7" a="1"/>
  <c r="E228" i="7" a="1"/>
  <c r="H50" i="7" a="1"/>
  <c r="I46" i="7" a="1"/>
  <c r="F45" i="7" a="1"/>
  <c r="D167" i="7" a="1"/>
  <c r="F210" i="7" a="1"/>
  <c r="E232" i="7" a="1"/>
  <c r="F273" i="7" a="1"/>
  <c r="B83" i="7" a="1"/>
  <c r="B38" i="7" a="1"/>
  <c r="I158" i="7" a="1"/>
  <c r="I28" i="7" a="1"/>
  <c r="G45" i="7" a="1"/>
  <c r="C33" i="7" a="1"/>
  <c r="G156" i="7" a="1"/>
  <c r="C200" i="7" a="1"/>
  <c r="C49" i="7" a="1"/>
  <c r="I134" i="7" a="1"/>
  <c r="F226" i="7" a="1"/>
  <c r="H230" i="7" a="1"/>
  <c r="H183" i="7" a="1"/>
  <c r="D165" i="7" a="1"/>
  <c r="I2" i="7" a="1"/>
  <c r="B17" i="7" a="1"/>
  <c r="D98" i="7" a="1"/>
  <c r="C241" i="7" a="1"/>
  <c r="G204" i="7" a="1"/>
  <c r="D186" i="7" a="1"/>
  <c r="F268" i="7" a="1"/>
  <c r="G231" i="7" a="1"/>
  <c r="G76" i="7" a="1"/>
  <c r="C155" i="7" a="1"/>
  <c r="E77" i="7" a="1"/>
  <c r="H150" i="7" a="1"/>
  <c r="D240" i="7" a="1"/>
  <c r="G288" i="7" a="1"/>
  <c r="F221" i="7" a="1"/>
  <c r="H131" i="7" a="1"/>
  <c r="B202" i="7" a="1"/>
  <c r="C108" i="7" a="1"/>
  <c r="B246" i="7" a="1"/>
  <c r="I90" i="7" a="1"/>
  <c r="C59" i="7" a="1"/>
  <c r="C212" i="7" a="1"/>
  <c r="G152" i="7" a="1"/>
  <c r="I32" i="7" a="1"/>
  <c r="I228" i="7" a="1"/>
  <c r="E222" i="7" a="1"/>
  <c r="G227" i="7" a="1"/>
  <c r="H93" i="7" a="1"/>
  <c r="E132" i="7" a="1"/>
  <c r="B124" i="7" a="1"/>
  <c r="I272" i="7" a="1"/>
  <c r="H208" i="7" a="1"/>
  <c r="H21" i="7" a="1"/>
  <c r="E178" i="7" a="1"/>
  <c r="H112" i="7" a="1"/>
  <c r="C101" i="7" a="1"/>
  <c r="D47" i="7" a="1"/>
  <c r="D268" i="7" a="1"/>
  <c r="G243" i="7" a="1"/>
  <c r="H73" i="7" a="1"/>
  <c r="I100" i="7" a="1"/>
  <c r="I118" i="7" a="1"/>
  <c r="G101" i="7" a="1"/>
  <c r="B68" i="7" a="1"/>
  <c r="B25" i="7" a="1"/>
  <c r="F89" i="7" a="1"/>
  <c r="D213" i="7" a="1"/>
  <c r="B52" i="7" a="1"/>
  <c r="F127" i="7" a="1"/>
  <c r="E286" i="7" a="1"/>
  <c r="E63" i="7" a="1"/>
  <c r="E289" i="7" a="1"/>
  <c r="H48" i="7" a="1"/>
  <c r="H196" i="7" a="1"/>
  <c r="F296" i="7" a="1"/>
  <c r="F256" i="7" a="1"/>
  <c r="C91" i="7" a="1"/>
  <c r="D108" i="7" a="1"/>
  <c r="C180" i="7" a="1"/>
  <c r="D105" i="7" a="1"/>
  <c r="F272" i="7" a="1"/>
  <c r="D71" i="7" a="1"/>
  <c r="B258" i="7" a="1"/>
  <c r="C124" i="7" a="1"/>
  <c r="F151" i="7" a="1"/>
  <c r="G42" i="7" a="1"/>
  <c r="D22" i="7" a="1"/>
  <c r="I279" i="7" a="1"/>
  <c r="F96" i="7" a="1"/>
  <c r="H268" i="7" a="1"/>
  <c r="I291" i="7" a="1"/>
  <c r="C71" i="7" a="1"/>
  <c r="B36" i="7" a="1"/>
  <c r="H63" i="7" a="1"/>
  <c r="E64" i="7" a="1"/>
  <c r="I282" i="7" a="1"/>
  <c r="I196" i="7" a="1"/>
  <c r="C254" i="7" a="1"/>
  <c r="H76" i="7" a="1"/>
  <c r="H108" i="7" a="1"/>
  <c r="C149" i="7" a="1"/>
  <c r="I91" i="7" a="1"/>
  <c r="B155" i="7" a="1"/>
  <c r="H297" i="7" a="1"/>
  <c r="I56" i="7" a="1"/>
  <c r="G50" i="7" a="1"/>
  <c r="F77" i="7" a="1"/>
  <c r="E293" i="7" a="1"/>
  <c r="H242" i="7" a="1"/>
  <c r="C97" i="7" a="1"/>
  <c r="H119" i="7" a="1"/>
  <c r="G5" i="7" a="1"/>
  <c r="D257" i="7" a="1"/>
  <c r="H272" i="7" a="1"/>
  <c r="H212" i="7" a="1"/>
  <c r="E34" i="7" a="1"/>
  <c r="I54" i="7" a="1"/>
  <c r="D215" i="7" a="1"/>
  <c r="H222" i="7" a="1"/>
  <c r="B263" i="7" a="1"/>
  <c r="G29" i="7" a="1"/>
  <c r="C127" i="7" a="1"/>
  <c r="B149" i="7" a="1"/>
  <c r="G25" i="7" a="1"/>
  <c r="D247" i="7" a="1"/>
  <c r="C62" i="7" a="1"/>
  <c r="E277" i="7" a="1"/>
  <c r="D296" i="7" a="1"/>
  <c r="G280" i="7" a="1"/>
  <c r="I114" i="7" a="1"/>
  <c r="I104" i="7" a="1"/>
  <c r="I18" i="7" a="1"/>
  <c r="D117" i="7" a="1"/>
  <c r="C84" i="7" a="1"/>
  <c r="C29" i="7" a="1"/>
  <c r="D5" i="7" a="1"/>
  <c r="I267" i="7" a="1"/>
  <c r="I15" i="7" a="1"/>
  <c r="G189" i="7" a="1"/>
  <c r="G41" i="7" a="1"/>
  <c r="B94" i="7" a="1"/>
  <c r="E242" i="7" a="1"/>
  <c r="B230" i="7" a="1"/>
  <c r="F71" i="7" a="1"/>
  <c r="I166" i="7" a="1"/>
  <c r="G98" i="7" a="1"/>
  <c r="H77" i="7" a="1"/>
  <c r="B190" i="7" a="1"/>
  <c r="C289" i="7" a="1"/>
  <c r="E251" i="7" a="1"/>
  <c r="G35" i="7" a="1"/>
  <c r="B89" i="7" a="1"/>
  <c r="F205" i="7" a="1"/>
  <c r="C245" i="7" a="1"/>
  <c r="C247" i="7" a="1"/>
  <c r="F95" i="7" a="1"/>
  <c r="D133" i="7" a="1"/>
  <c r="D33" i="7" a="1"/>
  <c r="G242" i="7" a="1"/>
  <c r="B60" i="7" a="1"/>
  <c r="G150" i="7" a="1"/>
  <c r="H238" i="7" a="1"/>
  <c r="G20" i="7" a="1"/>
  <c r="H156" i="7" a="1"/>
  <c r="F285" i="7" a="1"/>
  <c r="G255" i="7" a="1"/>
  <c r="B22" i="7" a="1"/>
  <c r="H168" i="7" a="1"/>
  <c r="G83" i="7" a="1"/>
  <c r="F21" i="7" a="1"/>
  <c r="C171" i="7" a="1"/>
  <c r="E98" i="7" a="1"/>
  <c r="E268" i="7" a="1"/>
  <c r="I239" i="7" a="1"/>
  <c r="E197" i="7" a="1"/>
  <c r="C135" i="7" a="1"/>
  <c r="H88" i="7" a="1"/>
  <c r="H136" i="7" a="1"/>
  <c r="B62" i="7" a="1"/>
  <c r="H145" i="7" a="1"/>
  <c r="H288" i="7" a="1"/>
  <c r="H209" i="7" a="1"/>
  <c r="B223" i="7" a="1"/>
  <c r="F283" i="7" a="1"/>
  <c r="C37" i="7" a="1"/>
  <c r="C53" i="7" a="1"/>
  <c r="C111" i="7" a="1"/>
  <c r="I189" i="7" a="1"/>
  <c r="C260" i="7" a="1"/>
  <c r="E240" i="7" a="1"/>
  <c r="B289" i="7" a="1"/>
  <c r="C106" i="7" a="1"/>
  <c r="F211" i="7" a="1"/>
  <c r="B29" i="7" a="1"/>
  <c r="D39" i="7" a="1"/>
  <c r="D281" i="7" a="1"/>
  <c r="I85" i="7" a="1"/>
  <c r="F177" i="7" a="1"/>
  <c r="I142" i="7" a="1"/>
  <c r="E121" i="7" a="1"/>
  <c r="F35" i="7" a="1"/>
  <c r="D85" i="7" a="1"/>
  <c r="C261" i="7" a="1"/>
  <c r="B39" i="7" a="1"/>
  <c r="G297" i="7" a="1"/>
  <c r="B144" i="7" a="1"/>
  <c r="B280" i="7" a="1"/>
  <c r="I94" i="7" a="1"/>
  <c r="G52" i="7" a="1"/>
  <c r="H41" i="7" a="1"/>
  <c r="H237" i="7" a="1"/>
  <c r="I273" i="7" a="1"/>
  <c r="H165" i="7" a="1"/>
  <c r="C251" i="7" a="1"/>
  <c r="G196" i="7" a="1"/>
  <c r="F93" i="7" a="1"/>
  <c r="D285" i="7" a="1"/>
  <c r="D132" i="7" a="1"/>
  <c r="H245" i="7" a="1"/>
  <c r="H139" i="7" a="1"/>
  <c r="F116" i="7" a="1"/>
  <c r="C181" i="7" a="1"/>
  <c r="C44" i="7" a="1"/>
  <c r="E260" i="7" a="1"/>
  <c r="B98" i="7" a="1"/>
  <c r="D275" i="7" a="1"/>
  <c r="C191" i="7" a="1"/>
  <c r="C198" i="7" a="1"/>
  <c r="D54" i="7" a="1"/>
  <c r="I29" i="7" a="1"/>
  <c r="G44" i="7" a="1"/>
  <c r="C264" i="7" a="1"/>
  <c r="F29" i="7" a="1"/>
  <c r="B8" i="7" a="1"/>
  <c r="G28" i="7" a="1"/>
  <c r="E259" i="7" a="1"/>
  <c r="E32" i="7" a="1"/>
  <c r="G180" i="7" a="1"/>
  <c r="E120" i="7" a="1"/>
  <c r="I252" i="7" a="1"/>
  <c r="B299" i="7" a="1"/>
  <c r="C96" i="7" a="1"/>
  <c r="I143" i="7" a="1"/>
  <c r="G181" i="7" a="1"/>
  <c r="C215" i="7" a="1"/>
  <c r="F91" i="7" a="1"/>
  <c r="B106" i="7" a="1"/>
  <c r="D267" i="7" a="1"/>
  <c r="I48" i="7" a="1"/>
  <c r="G259" i="7" a="1"/>
  <c r="I206" i="7" a="1"/>
  <c r="F260" i="7" a="1"/>
  <c r="G128" i="7" a="1"/>
  <c r="G54" i="7" a="1"/>
  <c r="C250" i="7" a="1"/>
  <c r="F168" i="7" a="1"/>
  <c r="E157" i="7" a="1"/>
  <c r="I295" i="7" a="1"/>
  <c r="I112" i="7" a="1"/>
  <c r="G18" i="7" a="1"/>
  <c r="I96" i="7" a="1"/>
  <c r="I277" i="7" a="1"/>
  <c r="C244" i="7" a="1"/>
  <c r="C42" i="7" a="1"/>
  <c r="E24" i="7" a="1"/>
  <c r="D131" i="7" a="1"/>
  <c r="E100" i="7" a="1"/>
  <c r="G217" i="7" a="1"/>
  <c r="G73" i="7" a="1"/>
  <c r="G158" i="7" a="1"/>
  <c r="I41" i="7" a="1"/>
  <c r="G111" i="7" a="1"/>
  <c r="B56" i="7" a="1"/>
  <c r="H229" i="7" a="1"/>
  <c r="I92" i="7" a="1"/>
  <c r="B251" i="7" a="1"/>
  <c r="I135" i="7" a="1"/>
  <c r="D107" i="7" a="1"/>
  <c r="G94" i="7" a="1"/>
  <c r="H82" i="7" a="1"/>
  <c r="E82" i="7" a="1"/>
  <c r="H98" i="7" a="1"/>
  <c r="H135" i="7" a="1"/>
  <c r="H224" i="7" a="1"/>
  <c r="B136" i="7" a="1"/>
  <c r="E167" i="7" a="1"/>
  <c r="E7" i="7" a="1"/>
  <c r="H241" i="7" a="1"/>
  <c r="I44" i="7" a="1"/>
  <c r="H234" i="7" a="1"/>
  <c r="C189" i="7" a="1"/>
  <c r="D172" i="7" a="1"/>
  <c r="E175" i="7" a="1"/>
  <c r="B158" i="7" a="1"/>
  <c r="E279" i="7" a="1"/>
  <c r="H292" i="7" a="1"/>
  <c r="H211" i="7" a="1"/>
  <c r="D114" i="7" a="1"/>
  <c r="E53" i="7" a="1"/>
  <c r="B87" i="7" a="1"/>
  <c r="B76" i="7" a="1"/>
  <c r="F26" i="7" a="1"/>
  <c r="E267" i="7" a="1"/>
  <c r="F284" i="7" a="1"/>
  <c r="C103" i="7" a="1"/>
  <c r="D115" i="7" a="1"/>
  <c r="I49" i="7" a="1"/>
  <c r="F142" i="7" a="1"/>
  <c r="H25" i="7" a="1"/>
  <c r="F128" i="7" a="1"/>
  <c r="E188" i="7" a="1"/>
  <c r="F7" i="7" a="1"/>
  <c r="B86" i="7" a="1"/>
  <c r="H99" i="7" a="1"/>
  <c r="H83" i="7" a="1"/>
  <c r="H27" i="7" a="1"/>
  <c r="H293" i="7" a="1"/>
  <c r="G246" i="7" a="1"/>
  <c r="E85" i="7" a="1"/>
  <c r="I165" i="7" a="1"/>
  <c r="B47" i="7" a="1"/>
  <c r="E262" i="7" a="1"/>
  <c r="I59" i="7" a="1"/>
  <c r="E55" i="7" a="1"/>
  <c r="F74" i="7" a="1"/>
  <c r="I220" i="7" a="1"/>
  <c r="I175" i="7" a="1"/>
  <c r="E199" i="7" a="1"/>
  <c r="B298" i="7" a="1"/>
  <c r="D185" i="7" a="1"/>
  <c r="G253" i="7" a="1"/>
  <c r="I233" i="7" a="1"/>
  <c r="G129" i="7" a="1"/>
  <c r="I186" i="7" a="1"/>
  <c r="H265" i="7" a="1"/>
  <c r="E135" i="7" a="1"/>
  <c r="F34" i="7" a="1"/>
  <c r="E249" i="7" a="1"/>
  <c r="E285" i="7" a="1"/>
  <c r="G267" i="7" a="1"/>
  <c r="H250" i="7" a="1"/>
  <c r="E18" i="7" a="1"/>
  <c r="E273" i="7" a="1"/>
  <c r="E145" i="7" a="1"/>
  <c r="E281" i="7" a="1"/>
  <c r="I213" i="7" a="1"/>
  <c r="D230" i="7" a="1"/>
  <c r="G97" i="7" a="1"/>
  <c r="C277" i="7" a="1"/>
  <c r="H260" i="7" a="1"/>
  <c r="C138" i="7" a="1"/>
  <c r="F197" i="7" a="1"/>
  <c r="E276" i="7" a="1"/>
  <c r="D264" i="7" a="1"/>
  <c r="H285" i="7" a="1"/>
  <c r="D282" i="7" a="1"/>
  <c r="H228" i="7" a="1"/>
  <c r="B146" i="7" a="1"/>
  <c r="I68" i="7" a="1"/>
  <c r="G49" i="7" a="1"/>
  <c r="D150" i="7" a="1"/>
  <c r="H236" i="7" a="1"/>
  <c r="E54" i="7" a="1"/>
  <c r="I73" i="7" a="1"/>
  <c r="C27" i="7" a="1"/>
  <c r="E115" i="7" a="1"/>
  <c r="E139" i="7" a="1"/>
  <c r="I33" i="7" a="1"/>
  <c r="H295" i="7" a="1"/>
  <c r="D158" i="7" a="1"/>
  <c r="G149" i="7" a="1"/>
  <c r="G183" i="7" a="1"/>
  <c r="D143" i="7" a="1"/>
  <c r="C55" i="7" a="1"/>
  <c r="D200" i="7" a="1"/>
  <c r="H251" i="7" a="1"/>
  <c r="I155" i="7" a="1"/>
  <c r="E161" i="7" a="1"/>
  <c r="F194" i="7" a="1"/>
  <c r="G205" i="7" a="1"/>
  <c r="G258" i="7" a="1"/>
  <c r="G269" i="7" a="1"/>
  <c r="F86" i="7" a="1"/>
  <c r="E229" i="7" a="1"/>
  <c r="I60" i="7" a="1"/>
  <c r="F294" i="7" a="1"/>
  <c r="E300" i="7" a="1"/>
  <c r="H96" i="7" a="1"/>
  <c r="I11" i="7" a="1"/>
  <c r="D79" i="7" a="1"/>
  <c r="D116" i="7" a="1"/>
  <c r="H205" i="7" a="1"/>
  <c r="C5" i="7" a="1"/>
  <c r="D183" i="7" a="1"/>
  <c r="G138" i="7" a="1"/>
  <c r="B120" i="7" a="1"/>
  <c r="G163" i="7" a="1"/>
  <c r="G85" i="7" a="1"/>
  <c r="F214" i="7" a="1"/>
  <c r="B291" i="7" a="1"/>
  <c r="E211" i="7" a="1"/>
  <c r="G63" i="7" a="1"/>
  <c r="G300" i="7" a="1"/>
  <c r="F289" i="7" a="1"/>
  <c r="G239" i="7" a="1"/>
  <c r="F139" i="7" a="1"/>
  <c r="I111" i="7" a="1"/>
  <c r="F229" i="7" a="1"/>
  <c r="B181" i="7" a="1"/>
  <c r="B277" i="7" a="1"/>
  <c r="E212" i="7" a="1"/>
  <c r="I105" i="7" a="1"/>
  <c r="C34" i="7" a="1"/>
  <c r="E164" i="7" a="1"/>
  <c r="F247" i="7" a="1"/>
  <c r="C224" i="7" a="1"/>
  <c r="F38" i="7" a="1"/>
  <c r="C166" i="7" a="1"/>
  <c r="D4" i="7" a="1"/>
  <c r="C52" i="7" a="1"/>
  <c r="C221" i="7" a="1"/>
  <c r="G124" i="7" a="1"/>
  <c r="D149" i="7" a="1"/>
  <c r="B30" i="7" a="1"/>
  <c r="I38" i="7" a="1"/>
  <c r="I219" i="7" a="1"/>
  <c r="B21" i="7" a="1"/>
  <c r="B51" i="7" a="1"/>
  <c r="C45" i="7" a="1"/>
  <c r="H97" i="7" a="1"/>
  <c r="E133" i="7" a="1"/>
  <c r="B276" i="7" a="1"/>
  <c r="G136" i="7" a="1"/>
  <c r="G224" i="7" a="1"/>
  <c r="F235" i="7" a="1"/>
  <c r="D170" i="7" a="1"/>
  <c r="I75" i="7" a="1"/>
  <c r="F140" i="7" a="1"/>
  <c r="E271" i="7" a="1"/>
  <c r="B81" i="7" a="1"/>
  <c r="C286" i="7" a="1"/>
  <c r="D102" i="7" a="1"/>
  <c r="G80" i="7" a="1"/>
  <c r="G197" i="7" a="1"/>
  <c r="B250" i="7" a="1"/>
  <c r="G95" i="7" a="1"/>
  <c r="I99" i="7" a="1"/>
  <c r="B111" i="7" a="1"/>
  <c r="D160" i="7" a="1"/>
  <c r="B201" i="7" a="1"/>
  <c r="I241" i="7" a="1"/>
  <c r="C273" i="7" a="1"/>
  <c r="B199" i="7" a="1"/>
  <c r="I87" i="7" a="1"/>
  <c r="I235" i="7" a="1"/>
  <c r="F239" i="7" a="1"/>
  <c r="D93" i="7" a="1"/>
  <c r="I84" i="7" a="1"/>
  <c r="H201" i="7" a="1"/>
  <c r="F207" i="7" a="1"/>
  <c r="C232" i="7" a="1"/>
  <c r="H29" i="7" a="1"/>
  <c r="D99" i="7" a="1"/>
  <c r="E130" i="7" a="1"/>
  <c r="E201" i="7" a="1"/>
  <c r="H18" i="7" a="1"/>
  <c r="D211" i="7" a="1"/>
  <c r="D92" i="7" a="1"/>
  <c r="H64" i="7" a="1"/>
  <c r="C223" i="7" a="1"/>
  <c r="B217" i="7" a="1"/>
  <c r="G117" i="7" a="1"/>
  <c r="C58" i="7" a="1"/>
  <c r="C235" i="7" a="1"/>
  <c r="D151" i="7" a="1"/>
  <c r="H60" i="7" a="1"/>
  <c r="E296" i="7" a="1"/>
  <c r="H129" i="7" a="1"/>
  <c r="H33" i="7" a="1"/>
  <c r="G32" i="7" a="1"/>
  <c r="E8" i="7" a="1"/>
  <c r="F167" i="7" a="1"/>
  <c r="B63" i="7" a="1"/>
  <c r="I255" i="7" a="1"/>
  <c r="B80" i="7" a="1"/>
  <c r="G296" i="7" a="1"/>
  <c r="C288" i="7" a="1"/>
  <c r="B49" i="7" a="1"/>
  <c r="F94" i="7" a="1"/>
  <c r="D244" i="7" a="1"/>
  <c r="I198" i="7" a="1"/>
  <c r="H188" i="7" a="1"/>
  <c r="H34" i="7" a="1"/>
  <c r="E94" i="7" a="1"/>
  <c r="I287" i="7" a="1"/>
  <c r="F138" i="7" a="1"/>
  <c r="F185" i="7" a="1"/>
  <c r="C276" i="7" a="1"/>
  <c r="C176" i="7" a="1"/>
  <c r="C81" i="7" a="1"/>
  <c r="D239" i="7" a="1"/>
  <c r="F66" i="7" a="1"/>
  <c r="D197" i="7" a="1"/>
  <c r="F186" i="7" a="1"/>
  <c r="C144" i="7" a="1"/>
  <c r="I177" i="7" a="1"/>
  <c r="H143" i="7" a="1"/>
  <c r="I22" i="7" a="1"/>
  <c r="I300" i="7" a="1"/>
  <c r="F282" i="7" a="1"/>
  <c r="E252" i="7" a="1"/>
  <c r="C219" i="7" a="1"/>
  <c r="H5" i="7" a="1"/>
  <c r="G171" i="7" a="1"/>
  <c r="F166" i="7" a="1"/>
  <c r="C3" i="7" a="1"/>
  <c r="G159" i="7" a="1"/>
  <c r="G161" i="7" a="1"/>
  <c r="H81" i="7" a="1"/>
  <c r="F68" i="7" a="1"/>
  <c r="D155" i="7" a="1"/>
  <c r="D262" i="7" a="1"/>
  <c r="C40" i="7" a="1"/>
  <c r="G53" i="7" a="1"/>
  <c r="D34" i="7" a="1"/>
  <c r="F208" i="7" a="1"/>
  <c r="F169" i="7" a="1"/>
  <c r="F102" i="7" a="1"/>
  <c r="F72" i="7" a="1"/>
  <c r="C95" i="7" a="1"/>
  <c r="B232" i="7" a="1"/>
  <c r="D212" i="7" a="1"/>
  <c r="I294" i="7" a="1"/>
  <c r="G106" i="7" a="1"/>
  <c r="I64" i="7" a="1"/>
  <c r="H43" i="7" a="1"/>
  <c r="F180" i="7" a="1"/>
  <c r="H22" i="7" a="1"/>
  <c r="H164" i="7" a="1"/>
  <c r="G241" i="7" a="1"/>
  <c r="C291" i="7" a="1"/>
  <c r="H56" i="7" a="1"/>
  <c r="G145" i="7" a="1"/>
  <c r="E204" i="7" a="1"/>
  <c r="I97" i="7" a="1"/>
  <c r="I157" i="7" a="1"/>
  <c r="D153" i="7" a="1"/>
  <c r="B105" i="7" a="1"/>
  <c r="D126" i="7" a="1"/>
  <c r="H178" i="7" a="1"/>
  <c r="G173" i="7" a="1"/>
  <c r="D147" i="7" a="1"/>
  <c r="H92" i="7" a="1"/>
  <c r="B147" i="7" a="1"/>
  <c r="B43" i="7" a="1"/>
  <c r="C72" i="7" a="1"/>
  <c r="B58" i="7" a="1"/>
  <c r="B297" i="7" a="1"/>
  <c r="G276" i="7" a="1"/>
  <c r="D29" i="7" a="1"/>
  <c r="H117" i="7" a="1"/>
  <c r="I229" i="7" a="1"/>
  <c r="I172" i="7" a="1"/>
  <c r="E45" i="7" a="1"/>
  <c r="E244" i="7" a="1"/>
  <c r="E244" i="7" l="1"/>
  <c r="E45" i="7"/>
  <c r="I172" i="7"/>
  <c r="I229" i="7"/>
  <c r="H117" i="7"/>
  <c r="D29" i="7"/>
  <c r="G276" i="7"/>
  <c r="B297" i="7"/>
  <c r="B58" i="7"/>
  <c r="C72" i="7"/>
  <c r="B43" i="7"/>
  <c r="B147" i="7"/>
  <c r="H92" i="7"/>
  <c r="D147" i="7"/>
  <c r="G173" i="7"/>
  <c r="H178" i="7"/>
  <c r="D126" i="7"/>
  <c r="B105" i="7"/>
  <c r="D153" i="7"/>
  <c r="I157" i="7"/>
  <c r="I97" i="7"/>
  <c r="E204" i="7"/>
  <c r="G145" i="7"/>
  <c r="H56" i="7"/>
  <c r="C291" i="7"/>
  <c r="G241" i="7"/>
  <c r="H164" i="7"/>
  <c r="H22" i="7"/>
  <c r="F180" i="7"/>
  <c r="H43" i="7"/>
  <c r="I64" i="7"/>
  <c r="G106" i="7"/>
  <c r="I294" i="7"/>
  <c r="D212" i="7"/>
  <c r="B232" i="7"/>
  <c r="C95" i="7"/>
  <c r="F72" i="7"/>
  <c r="F102" i="7"/>
  <c r="F169" i="7"/>
  <c r="F208" i="7"/>
  <c r="D34" i="7"/>
  <c r="G53" i="7"/>
  <c r="C40" i="7"/>
  <c r="D262" i="7"/>
  <c r="D155" i="7"/>
  <c r="F68" i="7"/>
  <c r="H81" i="7"/>
  <c r="G161" i="7"/>
  <c r="G159" i="7"/>
  <c r="C3" i="7"/>
  <c r="F166" i="7"/>
  <c r="G171" i="7"/>
  <c r="H5" i="7"/>
  <c r="C219" i="7"/>
  <c r="E252" i="7"/>
  <c r="F282" i="7"/>
  <c r="I300" i="7"/>
  <c r="I22" i="7"/>
  <c r="H143" i="7"/>
  <c r="I177" i="7"/>
  <c r="C144" i="7"/>
  <c r="F186" i="7"/>
  <c r="D197" i="7"/>
  <c r="F66" i="7"/>
  <c r="D239" i="7"/>
  <c r="C81" i="7"/>
  <c r="C176" i="7"/>
  <c r="C276" i="7"/>
  <c r="F185" i="7"/>
  <c r="F138" i="7"/>
  <c r="I287" i="7"/>
  <c r="E94" i="7"/>
  <c r="H34" i="7"/>
  <c r="H188" i="7"/>
  <c r="I198" i="7"/>
  <c r="D244" i="7"/>
  <c r="F94" i="7"/>
  <c r="B49" i="7"/>
  <c r="C288" i="7"/>
  <c r="G296" i="7"/>
  <c r="B80" i="7"/>
  <c r="I255" i="7"/>
  <c r="B63" i="7"/>
  <c r="F167" i="7"/>
  <c r="E8" i="7"/>
  <c r="G32" i="7"/>
  <c r="H33" i="7"/>
  <c r="H129" i="7"/>
  <c r="E296" i="7"/>
  <c r="H60" i="7"/>
  <c r="D151" i="7"/>
  <c r="C235" i="7"/>
  <c r="C58" i="7"/>
  <c r="G117" i="7"/>
  <c r="B217" i="7"/>
  <c r="C223" i="7"/>
  <c r="H64" i="7"/>
  <c r="D92" i="7"/>
  <c r="D211" i="7"/>
  <c r="H18" i="7"/>
  <c r="E201" i="7"/>
  <c r="E130" i="7"/>
  <c r="D99" i="7"/>
  <c r="H29" i="7"/>
  <c r="C232" i="7"/>
  <c r="F207" i="7"/>
  <c r="H201" i="7"/>
  <c r="I84" i="7"/>
  <c r="D93" i="7"/>
  <c r="F239" i="7"/>
  <c r="I235" i="7"/>
  <c r="I87" i="7"/>
  <c r="B199" i="7"/>
  <c r="C273" i="7"/>
  <c r="I241" i="7"/>
  <c r="B201" i="7"/>
  <c r="D160" i="7"/>
  <c r="B111" i="7"/>
  <c r="I99" i="7"/>
  <c r="G95" i="7"/>
  <c r="B250" i="7"/>
  <c r="G197" i="7"/>
  <c r="G80" i="7"/>
  <c r="D102" i="7"/>
  <c r="C286" i="7"/>
  <c r="B81" i="7"/>
  <c r="E271" i="7"/>
  <c r="F140" i="7"/>
  <c r="I75" i="7"/>
  <c r="D170" i="7"/>
  <c r="F235" i="7"/>
  <c r="G224" i="7"/>
  <c r="G136" i="7"/>
  <c r="B276" i="7"/>
  <c r="E133" i="7"/>
  <c r="H97" i="7"/>
  <c r="C45" i="7"/>
  <c r="B51" i="7"/>
  <c r="B21" i="7"/>
  <c r="I219" i="7"/>
  <c r="I38" i="7"/>
  <c r="B30" i="7"/>
  <c r="D149" i="7"/>
  <c r="G124" i="7"/>
  <c r="C221" i="7"/>
  <c r="C52" i="7"/>
  <c r="D4" i="7"/>
  <c r="C166" i="7"/>
  <c r="F38" i="7"/>
  <c r="C224" i="7"/>
  <c r="F247" i="7"/>
  <c r="E164" i="7"/>
  <c r="C34" i="7"/>
  <c r="I105" i="7"/>
  <c r="E212" i="7"/>
  <c r="B277" i="7"/>
  <c r="B181" i="7"/>
  <c r="F229" i="7"/>
  <c r="I111" i="7"/>
  <c r="F139" i="7"/>
  <c r="G239" i="7"/>
  <c r="F289" i="7"/>
  <c r="G300" i="7"/>
  <c r="G63" i="7"/>
  <c r="E211" i="7"/>
  <c r="B291" i="7"/>
  <c r="F214" i="7"/>
  <c r="G85" i="7"/>
  <c r="G163" i="7"/>
  <c r="B120" i="7"/>
  <c r="G138" i="7"/>
  <c r="D183" i="7"/>
  <c r="C5" i="7"/>
  <c r="H205" i="7"/>
  <c r="D116" i="7"/>
  <c r="D79" i="7"/>
  <c r="I11" i="7"/>
  <c r="H96" i="7"/>
  <c r="E300" i="7"/>
  <c r="F294" i="7"/>
  <c r="I60" i="7"/>
  <c r="E229" i="7"/>
  <c r="F86" i="7"/>
  <c r="G269" i="7"/>
  <c r="G258" i="7"/>
  <c r="G205" i="7"/>
  <c r="F194" i="7"/>
  <c r="E161" i="7"/>
  <c r="I155" i="7"/>
  <c r="H251" i="7"/>
  <c r="D200" i="7"/>
  <c r="C55" i="7"/>
  <c r="D143" i="7"/>
  <c r="G183" i="7"/>
  <c r="G149" i="7"/>
  <c r="D158" i="7"/>
  <c r="H295" i="7"/>
  <c r="I33" i="7"/>
  <c r="E139" i="7"/>
  <c r="E115" i="7"/>
  <c r="C27" i="7"/>
  <c r="I73" i="7"/>
  <c r="E54" i="7"/>
  <c r="H236" i="7"/>
  <c r="D150" i="7"/>
  <c r="G49" i="7"/>
  <c r="I68" i="7"/>
  <c r="B146" i="7"/>
  <c r="H228" i="7"/>
  <c r="D282" i="7"/>
  <c r="H285" i="7"/>
  <c r="D264" i="7"/>
  <c r="E276" i="7"/>
  <c r="F197" i="7"/>
  <c r="C138" i="7"/>
  <c r="H260" i="7"/>
  <c r="C277" i="7"/>
  <c r="G97" i="7"/>
  <c r="D230" i="7"/>
  <c r="I213" i="7"/>
  <c r="E281" i="7"/>
  <c r="E145" i="7"/>
  <c r="E273" i="7"/>
  <c r="E18" i="7"/>
  <c r="H250" i="7"/>
  <c r="G267" i="7"/>
  <c r="E285" i="7"/>
  <c r="E249" i="7"/>
  <c r="F34" i="7"/>
  <c r="E135" i="7"/>
  <c r="H265" i="7"/>
  <c r="I186" i="7"/>
  <c r="G129" i="7"/>
  <c r="I233" i="7"/>
  <c r="G253" i="7"/>
  <c r="D185" i="7"/>
  <c r="B298" i="7"/>
  <c r="E199" i="7"/>
  <c r="I175" i="7"/>
  <c r="I220" i="7"/>
  <c r="F74" i="7"/>
  <c r="E55" i="7"/>
  <c r="I59" i="7"/>
  <c r="E262" i="7"/>
  <c r="B47" i="7"/>
  <c r="I165" i="7"/>
  <c r="E85" i="7"/>
  <c r="G246" i="7"/>
  <c r="H293" i="7"/>
  <c r="H27" i="7"/>
  <c r="H83" i="7"/>
  <c r="H99" i="7"/>
  <c r="B86" i="7"/>
  <c r="F7" i="7"/>
  <c r="E188" i="7"/>
  <c r="F128" i="7"/>
  <c r="H25" i="7"/>
  <c r="F142" i="7"/>
  <c r="I49" i="7"/>
  <c r="D115" i="7"/>
  <c r="C103" i="7"/>
  <c r="F284" i="7"/>
  <c r="E267" i="7"/>
  <c r="F26" i="7"/>
  <c r="B76" i="7"/>
  <c r="B87" i="7"/>
  <c r="E53" i="7"/>
  <c r="D114" i="7"/>
  <c r="H211" i="7"/>
  <c r="H292" i="7"/>
  <c r="E279" i="7"/>
  <c r="B158" i="7"/>
  <c r="E175" i="7"/>
  <c r="D172" i="7"/>
  <c r="C189" i="7"/>
  <c r="H234" i="7"/>
  <c r="I44" i="7"/>
  <c r="H241" i="7"/>
  <c r="E7" i="7"/>
  <c r="E167" i="7"/>
  <c r="B136" i="7"/>
  <c r="H224" i="7"/>
  <c r="H135" i="7"/>
  <c r="H98" i="7"/>
  <c r="E82" i="7"/>
  <c r="H82" i="7"/>
  <c r="G94" i="7"/>
  <c r="D107" i="7"/>
  <c r="I135" i="7"/>
  <c r="B251" i="7"/>
  <c r="I92" i="7"/>
  <c r="H229" i="7"/>
  <c r="B56" i="7"/>
  <c r="G111" i="7"/>
  <c r="I41" i="7"/>
  <c r="G158" i="7"/>
  <c r="G73" i="7"/>
  <c r="G217" i="7"/>
  <c r="E100" i="7"/>
  <c r="D131" i="7"/>
  <c r="E24" i="7"/>
  <c r="C42" i="7"/>
  <c r="C244" i="7"/>
  <c r="I277" i="7"/>
  <c r="I96" i="7"/>
  <c r="G18" i="7"/>
  <c r="I112" i="7"/>
  <c r="I295" i="7"/>
  <c r="E157" i="7"/>
  <c r="F168" i="7"/>
  <c r="C250" i="7"/>
  <c r="G54" i="7"/>
  <c r="G128" i="7"/>
  <c r="F260" i="7"/>
  <c r="I206" i="7"/>
  <c r="G259" i="7"/>
  <c r="I48" i="7"/>
  <c r="D267" i="7"/>
  <c r="B106" i="7"/>
  <c r="F91" i="7"/>
  <c r="C215" i="7"/>
  <c r="G181" i="7"/>
  <c r="I143" i="7"/>
  <c r="C96" i="7"/>
  <c r="B299" i="7"/>
  <c r="I252" i="7"/>
  <c r="E120" i="7"/>
  <c r="G180" i="7"/>
  <c r="E32" i="7"/>
  <c r="E259" i="7"/>
  <c r="G28" i="7"/>
  <c r="B8" i="7"/>
  <c r="F29" i="7"/>
  <c r="C264" i="7"/>
  <c r="G44" i="7"/>
  <c r="I29" i="7"/>
  <c r="D54" i="7"/>
  <c r="C198" i="7"/>
  <c r="C191" i="7"/>
  <c r="D275" i="7"/>
  <c r="B98" i="7"/>
  <c r="E260" i="7"/>
  <c r="C44" i="7"/>
  <c r="C181" i="7"/>
  <c r="F116" i="7"/>
  <c r="H139" i="7"/>
  <c r="H245" i="7"/>
  <c r="D132" i="7"/>
  <c r="D285" i="7"/>
  <c r="F93" i="7"/>
  <c r="G196" i="7"/>
  <c r="C251" i="7"/>
  <c r="H165" i="7"/>
  <c r="I273" i="7"/>
  <c r="H237" i="7"/>
  <c r="H41" i="7"/>
  <c r="G52" i="7"/>
  <c r="I94" i="7"/>
  <c r="B280" i="7"/>
  <c r="B144" i="7"/>
  <c r="G297" i="7"/>
  <c r="B39" i="7"/>
  <c r="C261" i="7"/>
  <c r="D85" i="7"/>
  <c r="F35" i="7"/>
  <c r="E121" i="7"/>
  <c r="I142" i="7"/>
  <c r="F177" i="7"/>
  <c r="I85" i="7"/>
  <c r="D281" i="7"/>
  <c r="D39" i="7"/>
  <c r="B29" i="7"/>
  <c r="F211" i="7"/>
  <c r="C106" i="7"/>
  <c r="B289" i="7"/>
  <c r="E240" i="7"/>
  <c r="C260" i="7"/>
  <c r="I189" i="7"/>
  <c r="C111" i="7"/>
  <c r="C53" i="7"/>
  <c r="C37" i="7"/>
  <c r="F283" i="7"/>
  <c r="B223" i="7"/>
  <c r="H209" i="7"/>
  <c r="H288" i="7"/>
  <c r="H145" i="7"/>
  <c r="B62" i="7"/>
  <c r="H136" i="7"/>
  <c r="H88" i="7"/>
  <c r="C135" i="7"/>
  <c r="E197" i="7"/>
  <c r="I239" i="7"/>
  <c r="E268" i="7"/>
  <c r="E98" i="7"/>
  <c r="C171" i="7"/>
  <c r="F21" i="7"/>
  <c r="G83" i="7"/>
  <c r="H168" i="7"/>
  <c r="B22" i="7"/>
  <c r="G255" i="7"/>
  <c r="F285" i="7"/>
  <c r="H156" i="7"/>
  <c r="G20" i="7"/>
  <c r="H238" i="7"/>
  <c r="G150" i="7"/>
  <c r="B60" i="7"/>
  <c r="G242" i="7"/>
  <c r="D33" i="7"/>
  <c r="D133" i="7"/>
  <c r="F95" i="7"/>
  <c r="C247" i="7"/>
  <c r="C245" i="7"/>
  <c r="F205" i="7"/>
  <c r="B89" i="7"/>
  <c r="G35" i="7"/>
  <c r="E251" i="7"/>
  <c r="C289" i="7"/>
  <c r="B190" i="7"/>
  <c r="H77" i="7"/>
  <c r="G98" i="7"/>
  <c r="I166" i="7"/>
  <c r="F71" i="7"/>
  <c r="B230" i="7"/>
  <c r="E242" i="7"/>
  <c r="B94" i="7"/>
  <c r="G41" i="7"/>
  <c r="G189" i="7"/>
  <c r="I15" i="7"/>
  <c r="I267" i="7"/>
  <c r="D5" i="7"/>
  <c r="C29" i="7"/>
  <c r="C84" i="7"/>
  <c r="D117" i="7"/>
  <c r="I18" i="7"/>
  <c r="I104" i="7"/>
  <c r="I114" i="7"/>
  <c r="G280" i="7"/>
  <c r="D296" i="7"/>
  <c r="E277" i="7"/>
  <c r="C62" i="7"/>
  <c r="D247" i="7"/>
  <c r="G25" i="7"/>
  <c r="B149" i="7"/>
  <c r="C127" i="7"/>
  <c r="G29" i="7"/>
  <c r="B263" i="7"/>
  <c r="H222" i="7"/>
  <c r="D215" i="7"/>
  <c r="I54" i="7"/>
  <c r="E34" i="7"/>
  <c r="H212" i="7"/>
  <c r="H272" i="7"/>
  <c r="D257" i="7"/>
  <c r="G5" i="7"/>
  <c r="H119" i="7"/>
  <c r="C97" i="7"/>
  <c r="H242" i="7"/>
  <c r="E293" i="7"/>
  <c r="F77" i="7"/>
  <c r="G50" i="7"/>
  <c r="I56" i="7"/>
  <c r="H297" i="7"/>
  <c r="B155" i="7"/>
  <c r="I91" i="7"/>
  <c r="C149" i="7"/>
  <c r="H108" i="7"/>
  <c r="H76" i="7"/>
  <c r="C254" i="7"/>
  <c r="I196" i="7"/>
  <c r="I282" i="7"/>
  <c r="E64" i="7"/>
  <c r="H63" i="7"/>
  <c r="B36" i="7"/>
  <c r="C71" i="7"/>
  <c r="I291" i="7"/>
  <c r="H268" i="7"/>
  <c r="F96" i="7"/>
  <c r="I279" i="7"/>
  <c r="D22" i="7"/>
  <c r="G42" i="7"/>
  <c r="F151" i="7"/>
  <c r="C124" i="7"/>
  <c r="B258" i="7"/>
  <c r="D71" i="7"/>
  <c r="F272" i="7"/>
  <c r="D105" i="7"/>
  <c r="C180" i="7"/>
  <c r="D108" i="7"/>
  <c r="C91" i="7"/>
  <c r="F256" i="7"/>
  <c r="F296" i="7"/>
  <c r="H196" i="7"/>
  <c r="H48" i="7"/>
  <c r="E289" i="7"/>
  <c r="E63" i="7"/>
  <c r="E286" i="7"/>
  <c r="F127" i="7"/>
  <c r="B52" i="7"/>
  <c r="D213" i="7"/>
  <c r="F89" i="7"/>
  <c r="B25" i="7"/>
  <c r="B68" i="7"/>
  <c r="G101" i="7"/>
  <c r="I118" i="7"/>
  <c r="I100" i="7"/>
  <c r="H73" i="7"/>
  <c r="G243" i="7"/>
  <c r="D268" i="7"/>
  <c r="D47" i="7"/>
  <c r="C101" i="7"/>
  <c r="H112" i="7"/>
  <c r="E178" i="7"/>
  <c r="H21" i="7"/>
  <c r="H208" i="7"/>
  <c r="I272" i="7"/>
  <c r="B124" i="7"/>
  <c r="E132" i="7"/>
  <c r="H93" i="7"/>
  <c r="G227" i="7"/>
  <c r="E222" i="7"/>
  <c r="I228" i="7"/>
  <c r="I32" i="7"/>
  <c r="G152" i="7"/>
  <c r="C212" i="7"/>
  <c r="C59" i="7"/>
  <c r="I90" i="7"/>
  <c r="B246" i="7"/>
  <c r="C108" i="7"/>
  <c r="B202" i="7"/>
  <c r="H131" i="7"/>
  <c r="F221" i="7"/>
  <c r="G288" i="7"/>
  <c r="D240" i="7"/>
  <c r="H150" i="7"/>
  <c r="E77" i="7"/>
  <c r="C155" i="7"/>
  <c r="G76" i="7"/>
  <c r="G231" i="7"/>
  <c r="F268" i="7"/>
  <c r="D186" i="7"/>
  <c r="G204" i="7"/>
  <c r="C241" i="7"/>
  <c r="D98" i="7"/>
  <c r="B17" i="7"/>
  <c r="I2" i="7"/>
  <c r="D165" i="7"/>
  <c r="H183" i="7"/>
  <c r="H230" i="7"/>
  <c r="F226" i="7"/>
  <c r="I134" i="7"/>
  <c r="C49" i="7"/>
  <c r="C200" i="7"/>
  <c r="G156" i="7"/>
  <c r="C33" i="7"/>
  <c r="G45" i="7"/>
  <c r="I28" i="7"/>
  <c r="I158" i="7"/>
  <c r="B38" i="7"/>
  <c r="B83" i="7"/>
  <c r="F273" i="7"/>
  <c r="E232" i="7"/>
  <c r="F210" i="7"/>
  <c r="D167" i="7"/>
  <c r="F45" i="7"/>
  <c r="I46" i="7"/>
  <c r="H50" i="7"/>
  <c r="E228" i="7"/>
  <c r="H256" i="7"/>
  <c r="E223" i="7"/>
  <c r="H239" i="7"/>
  <c r="D46" i="7"/>
  <c r="H148" i="7"/>
  <c r="B286" i="7"/>
  <c r="H100" i="7"/>
  <c r="I5" i="7"/>
  <c r="C47" i="7"/>
  <c r="B265" i="7"/>
  <c r="D63" i="7"/>
  <c r="H74" i="7"/>
  <c r="G17" i="7"/>
  <c r="D91" i="7"/>
  <c r="E92" i="7"/>
  <c r="D76" i="7"/>
  <c r="H61" i="7"/>
  <c r="F297" i="7"/>
  <c r="E218" i="7"/>
  <c r="E79" i="7"/>
  <c r="D284" i="7"/>
  <c r="H72" i="7"/>
  <c r="I132" i="7"/>
  <c r="I107" i="7"/>
  <c r="B170" i="7"/>
  <c r="F164" i="7"/>
  <c r="I51" i="7"/>
  <c r="B269" i="7"/>
  <c r="F300" i="7"/>
  <c r="F163" i="7"/>
  <c r="H273" i="7"/>
  <c r="H162" i="7"/>
  <c r="I202" i="7"/>
  <c r="H163" i="7"/>
  <c r="H283" i="7"/>
  <c r="G108" i="7"/>
  <c r="I17" i="7"/>
  <c r="I20" i="7"/>
  <c r="E113" i="7"/>
  <c r="F244" i="7"/>
  <c r="E150" i="7"/>
  <c r="H152" i="7"/>
  <c r="D188" i="7"/>
  <c r="D96" i="7"/>
  <c r="E141" i="7"/>
  <c r="G62" i="7"/>
  <c r="D112" i="7"/>
  <c r="B151" i="7"/>
  <c r="D293" i="7"/>
  <c r="F200" i="7"/>
  <c r="D146" i="7"/>
  <c r="B141" i="7"/>
  <c r="H279" i="7"/>
  <c r="E23" i="7"/>
  <c r="C248" i="7"/>
  <c r="I93" i="7"/>
  <c r="G198" i="7"/>
  <c r="B101" i="7"/>
  <c r="F255" i="7"/>
  <c r="F223" i="7"/>
  <c r="I140" i="7"/>
  <c r="B164" i="7"/>
  <c r="G65" i="7"/>
  <c r="D195" i="7"/>
  <c r="E235" i="7"/>
  <c r="I263" i="7"/>
  <c r="B161" i="7"/>
  <c r="G194" i="7"/>
  <c r="H289" i="7"/>
  <c r="C48" i="7"/>
  <c r="F212" i="7"/>
  <c r="G299" i="7"/>
  <c r="D78" i="7"/>
  <c r="G47" i="7"/>
  <c r="H53" i="7"/>
  <c r="I109" i="7"/>
  <c r="E256" i="7"/>
  <c r="F162" i="7"/>
  <c r="H202" i="7"/>
  <c r="E221" i="7"/>
  <c r="E99" i="7"/>
  <c r="B216" i="7"/>
  <c r="F59" i="7"/>
  <c r="B3" i="7"/>
  <c r="E17" i="7"/>
  <c r="D274" i="7"/>
  <c r="B55" i="7"/>
  <c r="I190" i="7"/>
  <c r="G293" i="7"/>
  <c r="H66" i="7"/>
  <c r="C78" i="7"/>
  <c r="C209" i="7"/>
  <c r="H247" i="7"/>
  <c r="C90" i="7"/>
  <c r="G134" i="7"/>
  <c r="H261" i="7"/>
  <c r="F237" i="7"/>
  <c r="B139" i="7"/>
  <c r="E159" i="7"/>
  <c r="D152" i="7"/>
  <c r="D256" i="7"/>
  <c r="D127" i="7"/>
  <c r="E196" i="7"/>
  <c r="B82" i="7"/>
  <c r="F57" i="7"/>
  <c r="D136" i="7"/>
  <c r="E35" i="7"/>
  <c r="D259" i="7"/>
  <c r="F174" i="7"/>
  <c r="D81" i="7"/>
  <c r="C77" i="7"/>
  <c r="B95" i="7"/>
  <c r="F265" i="7"/>
  <c r="E146" i="7"/>
  <c r="B194" i="7"/>
  <c r="I211" i="7"/>
  <c r="D181" i="7"/>
  <c r="H38" i="7"/>
  <c r="F157" i="7"/>
  <c r="B104" i="7"/>
  <c r="F152" i="7"/>
  <c r="F222" i="7"/>
  <c r="I257" i="7"/>
  <c r="E37" i="7"/>
  <c r="B300" i="7"/>
  <c r="I47" i="7"/>
  <c r="I247" i="7"/>
  <c r="C76" i="7"/>
  <c r="E87" i="7"/>
  <c r="B4" i="7"/>
  <c r="D226" i="7"/>
  <c r="G19" i="7"/>
  <c r="B116" i="7"/>
  <c r="H86" i="7"/>
  <c r="G283" i="7"/>
  <c r="I270" i="7"/>
  <c r="F51" i="7"/>
  <c r="G256" i="7"/>
  <c r="G4" i="7"/>
  <c r="B268" i="7"/>
  <c r="C25" i="7"/>
  <c r="B171" i="7"/>
  <c r="E179" i="7"/>
  <c r="I76" i="7"/>
  <c r="G264" i="7"/>
  <c r="H280" i="7"/>
  <c r="B242" i="7"/>
  <c r="C266" i="7"/>
  <c r="H146" i="7"/>
  <c r="C85" i="7"/>
  <c r="E193" i="7"/>
  <c r="F60" i="7"/>
  <c r="G170" i="7"/>
  <c r="D202" i="7"/>
  <c r="F50" i="7"/>
  <c r="D110" i="7"/>
  <c r="D82" i="7"/>
  <c r="B243" i="7"/>
  <c r="G208" i="7"/>
  <c r="C190" i="7"/>
  <c r="F215" i="7"/>
  <c r="E95" i="7"/>
  <c r="G125" i="7"/>
  <c r="B257" i="7"/>
  <c r="D222" i="7"/>
  <c r="I43" i="7"/>
  <c r="I160" i="7"/>
  <c r="C257" i="7"/>
  <c r="B244" i="7"/>
  <c r="I6" i="7"/>
  <c r="C246" i="7"/>
  <c r="E160" i="7"/>
  <c r="E263" i="7"/>
  <c r="G262" i="7"/>
  <c r="E176" i="7"/>
  <c r="H258" i="7"/>
  <c r="C201" i="7"/>
  <c r="I7" i="7"/>
  <c r="D144" i="7"/>
  <c r="H30" i="7"/>
  <c r="B241" i="7"/>
  <c r="E294" i="7"/>
  <c r="F129" i="7"/>
  <c r="E49" i="7"/>
  <c r="C179" i="7"/>
  <c r="C182" i="7"/>
  <c r="I103" i="7"/>
  <c r="H271" i="7"/>
  <c r="D234" i="7"/>
  <c r="E43" i="7"/>
  <c r="D241" i="7"/>
  <c r="B33" i="7"/>
  <c r="F192" i="7"/>
  <c r="I126" i="7"/>
  <c r="B44" i="7"/>
  <c r="E28" i="7"/>
  <c r="C43" i="7"/>
  <c r="G34" i="7"/>
  <c r="E165" i="7"/>
  <c r="H42" i="7"/>
  <c r="C294" i="7"/>
  <c r="I115" i="7"/>
  <c r="E209" i="7"/>
  <c r="G104" i="7"/>
  <c r="G78" i="7"/>
  <c r="G59" i="7"/>
  <c r="D125" i="7"/>
  <c r="C31" i="7"/>
  <c r="B188" i="7"/>
  <c r="B78" i="7"/>
  <c r="H124" i="7"/>
  <c r="G23" i="7"/>
  <c r="E237" i="7"/>
  <c r="E93" i="7"/>
  <c r="G119" i="7"/>
  <c r="E129" i="7"/>
  <c r="B138" i="7"/>
  <c r="B205" i="7"/>
  <c r="E291" i="7"/>
  <c r="H244" i="7"/>
  <c r="G110" i="7"/>
  <c r="H109" i="7"/>
  <c r="C202" i="7"/>
  <c r="F32" i="7"/>
  <c r="H255" i="7"/>
  <c r="G184" i="7"/>
  <c r="D18" i="7"/>
  <c r="H262" i="7"/>
  <c r="E224" i="7"/>
  <c r="E191" i="7"/>
  <c r="D67" i="7"/>
  <c r="F281" i="7"/>
  <c r="G172" i="7"/>
  <c r="H207" i="7"/>
  <c r="E185" i="7"/>
  <c r="H197" i="7"/>
  <c r="D101" i="7"/>
  <c r="B204" i="7"/>
  <c r="H78" i="7"/>
  <c r="B74" i="7"/>
  <c r="G68" i="7"/>
  <c r="G51" i="7"/>
  <c r="B186" i="7"/>
  <c r="I82" i="7"/>
  <c r="E248" i="7"/>
  <c r="E51" i="7"/>
  <c r="B227" i="7"/>
  <c r="E246" i="7"/>
  <c r="E117" i="7"/>
  <c r="C165" i="7"/>
  <c r="D227" i="7"/>
  <c r="F121" i="7"/>
  <c r="I39" i="7"/>
  <c r="E47" i="7"/>
  <c r="G167" i="7"/>
  <c r="H174" i="7"/>
  <c r="C278" i="7"/>
  <c r="E88" i="7"/>
  <c r="C61" i="7"/>
  <c r="F3" i="7"/>
  <c r="F172" i="7"/>
  <c r="C146" i="7"/>
  <c r="C183" i="7"/>
  <c r="H193" i="7"/>
  <c r="F195" i="7"/>
  <c r="E22" i="7"/>
  <c r="B162" i="7"/>
  <c r="I188" i="7"/>
  <c r="D287" i="7"/>
  <c r="G278" i="7"/>
  <c r="D135" i="7"/>
  <c r="G270" i="7"/>
  <c r="G84" i="7"/>
  <c r="H287" i="7"/>
  <c r="C60" i="7"/>
  <c r="I179" i="7"/>
  <c r="H206" i="7"/>
  <c r="G77" i="7"/>
  <c r="B182" i="7"/>
  <c r="I207" i="7"/>
  <c r="H2" i="7"/>
  <c r="G289" i="7"/>
  <c r="F115" i="7"/>
  <c r="F30" i="7"/>
  <c r="B125" i="7"/>
  <c r="G105" i="7"/>
  <c r="C210" i="7"/>
  <c r="F165" i="7"/>
  <c r="E171" i="7"/>
  <c r="F100" i="7"/>
  <c r="D261" i="7"/>
  <c r="D223" i="7"/>
  <c r="G169" i="7"/>
  <c r="H24" i="7"/>
  <c r="I246" i="7"/>
  <c r="E149" i="7"/>
  <c r="I57" i="7"/>
  <c r="D122" i="7"/>
  <c r="I260" i="7"/>
  <c r="D111" i="7"/>
  <c r="C38" i="7"/>
  <c r="I34" i="7"/>
  <c r="C297" i="7"/>
  <c r="D145" i="7"/>
  <c r="C136" i="7"/>
  <c r="B292" i="7"/>
  <c r="C271" i="7"/>
  <c r="G212" i="7"/>
  <c r="I156" i="7"/>
  <c r="C173" i="7"/>
  <c r="I248" i="7"/>
  <c r="G37" i="7"/>
  <c r="H175" i="7"/>
  <c r="D238" i="7"/>
  <c r="E21" i="7"/>
  <c r="E91" i="7"/>
  <c r="H89" i="7"/>
  <c r="C240" i="7"/>
  <c r="G238" i="7"/>
  <c r="H94" i="7"/>
  <c r="E103" i="7"/>
  <c r="C242" i="7"/>
  <c r="C145" i="7"/>
  <c r="B295" i="7"/>
  <c r="I278" i="7"/>
  <c r="G230" i="7"/>
  <c r="I65" i="7"/>
  <c r="D290" i="7"/>
  <c r="D27" i="7"/>
  <c r="F267" i="7"/>
  <c r="H181" i="7"/>
  <c r="I154" i="7"/>
  <c r="I262" i="7"/>
  <c r="D199" i="7"/>
  <c r="C283" i="7"/>
  <c r="E162" i="7"/>
  <c r="H290" i="7"/>
  <c r="G273" i="7"/>
  <c r="G247" i="7"/>
  <c r="D190" i="7"/>
  <c r="D233" i="7"/>
  <c r="C178" i="7"/>
  <c r="G39" i="7"/>
  <c r="F240" i="7"/>
  <c r="B198" i="7"/>
  <c r="E137" i="7"/>
  <c r="G166" i="7"/>
  <c r="D42" i="7"/>
  <c r="F62" i="7"/>
  <c r="I238" i="7"/>
  <c r="G122" i="7"/>
  <c r="E225" i="7"/>
  <c r="H270" i="7"/>
  <c r="F107" i="7"/>
  <c r="D84" i="7"/>
  <c r="D279" i="7"/>
  <c r="D31" i="7"/>
  <c r="E261" i="7"/>
  <c r="B224" i="7"/>
  <c r="F18" i="7"/>
  <c r="D120" i="7"/>
  <c r="D277" i="7"/>
  <c r="H240" i="7"/>
  <c r="I86" i="7"/>
  <c r="F81" i="7"/>
  <c r="F39" i="7"/>
  <c r="E217" i="7"/>
  <c r="I98" i="7"/>
  <c r="H4" i="7"/>
  <c r="B284" i="7"/>
  <c r="H54" i="7"/>
  <c r="C132" i="7"/>
  <c r="F271" i="7"/>
  <c r="B203" i="7"/>
  <c r="C237" i="7"/>
  <c r="G261" i="7"/>
  <c r="E66" i="7"/>
  <c r="C233" i="7"/>
  <c r="G191" i="7"/>
  <c r="I261" i="7"/>
  <c r="D242" i="7"/>
  <c r="C268" i="7"/>
  <c r="G24" i="7"/>
  <c r="H226" i="7"/>
  <c r="E110" i="7"/>
  <c r="I130" i="7"/>
  <c r="B84" i="7"/>
  <c r="C123" i="7"/>
  <c r="H167" i="7"/>
  <c r="C105" i="7"/>
  <c r="B189" i="7"/>
  <c r="G220" i="7"/>
  <c r="I236" i="7"/>
  <c r="I200" i="7"/>
  <c r="E142" i="7"/>
  <c r="C102" i="7"/>
  <c r="F136" i="7"/>
  <c r="I293" i="7"/>
  <c r="I296" i="7"/>
  <c r="D273" i="7"/>
  <c r="E128" i="7"/>
  <c r="F117" i="7"/>
  <c r="G160" i="7"/>
  <c r="F175" i="7"/>
  <c r="D270" i="7"/>
  <c r="H120" i="7"/>
  <c r="C79" i="7"/>
  <c r="F203" i="7"/>
  <c r="I125" i="7"/>
  <c r="B234" i="7"/>
  <c r="F173" i="7"/>
  <c r="B197" i="7"/>
  <c r="C226" i="7"/>
  <c r="C142" i="7"/>
  <c r="G137" i="7"/>
  <c r="C151" i="7"/>
  <c r="I25" i="7"/>
  <c r="C229" i="7"/>
  <c r="F134" i="7"/>
  <c r="C83" i="7"/>
  <c r="F159" i="7"/>
  <c r="F25" i="7"/>
  <c r="G222" i="7"/>
  <c r="H172" i="7"/>
  <c r="D210" i="7"/>
  <c r="C57" i="7"/>
  <c r="D86" i="7"/>
  <c r="B173" i="7"/>
  <c r="B225" i="7"/>
  <c r="E245" i="7"/>
  <c r="G79" i="7"/>
  <c r="B2" i="7"/>
  <c r="E292" i="7"/>
  <c r="C6" i="7"/>
  <c r="F37" i="7"/>
  <c r="B262" i="7"/>
  <c r="C195" i="7"/>
  <c r="I30" i="7"/>
  <c r="G211" i="7"/>
  <c r="C159" i="7"/>
  <c r="E269" i="7"/>
  <c r="B23" i="7"/>
  <c r="I31" i="7"/>
  <c r="G133" i="7"/>
  <c r="B191" i="7"/>
  <c r="I124" i="7"/>
  <c r="D171" i="7"/>
  <c r="C119" i="7"/>
  <c r="H45" i="7"/>
  <c r="D192" i="7"/>
  <c r="C67" i="7"/>
  <c r="B159" i="7"/>
  <c r="H101" i="7"/>
  <c r="D201" i="7"/>
  <c r="E75" i="7"/>
  <c r="I210" i="7"/>
  <c r="I167" i="7"/>
  <c r="B64" i="7"/>
  <c r="H55" i="7"/>
  <c r="E214" i="7"/>
  <c r="H233" i="7"/>
  <c r="H220" i="7"/>
  <c r="F257" i="7"/>
  <c r="F261" i="7"/>
  <c r="F8" i="7"/>
  <c r="I249" i="7"/>
  <c r="D134" i="7"/>
  <c r="E230" i="7"/>
  <c r="D280" i="7"/>
  <c r="I259" i="7"/>
  <c r="D75" i="7"/>
  <c r="B237" i="7"/>
  <c r="H218" i="7"/>
  <c r="G235" i="7"/>
  <c r="C270" i="7"/>
  <c r="F23" i="7"/>
  <c r="I223" i="7"/>
  <c r="B240" i="7"/>
  <c r="B160" i="7"/>
  <c r="E65" i="7"/>
  <c r="E62" i="7"/>
  <c r="F161" i="7"/>
  <c r="C121" i="7"/>
  <c r="F160" i="7"/>
  <c r="E48" i="7"/>
  <c r="C263" i="7"/>
  <c r="G275" i="7"/>
  <c r="F262" i="7"/>
  <c r="B85" i="7"/>
  <c r="I70" i="7"/>
  <c r="B69" i="7"/>
  <c r="D179" i="7"/>
  <c r="G43" i="7"/>
  <c r="G248" i="7"/>
  <c r="H254" i="7"/>
  <c r="C117" i="7"/>
  <c r="E200" i="7"/>
  <c r="D156" i="7"/>
  <c r="C18" i="7"/>
  <c r="C238" i="7"/>
  <c r="B20" i="7"/>
  <c r="H127" i="7"/>
  <c r="E41" i="7"/>
  <c r="G113" i="7"/>
  <c r="C253" i="7"/>
  <c r="B145" i="7"/>
  <c r="I74" i="7"/>
  <c r="C160" i="7"/>
  <c r="G127" i="7"/>
  <c r="F236" i="7"/>
  <c r="F69" i="7"/>
  <c r="E83" i="7"/>
  <c r="E144" i="7"/>
  <c r="B238" i="7"/>
  <c r="E203" i="7"/>
  <c r="G131" i="7"/>
  <c r="D166" i="7"/>
  <c r="I250" i="7"/>
  <c r="D174" i="7"/>
  <c r="F119" i="7"/>
  <c r="E265" i="7"/>
  <c r="B7" i="7"/>
  <c r="G214" i="7"/>
  <c r="C218" i="7"/>
  <c r="I271" i="7"/>
  <c r="E56" i="7"/>
  <c r="H198" i="7"/>
  <c r="D225" i="7"/>
  <c r="D263" i="7"/>
  <c r="C184" i="7"/>
  <c r="B179" i="7"/>
  <c r="F135" i="7"/>
  <c r="B253" i="7"/>
  <c r="E168" i="7"/>
  <c r="H180" i="7"/>
  <c r="F97" i="7"/>
  <c r="E206" i="7"/>
  <c r="B290" i="7"/>
  <c r="G165" i="7"/>
  <c r="F258" i="7"/>
  <c r="G193" i="7"/>
  <c r="E195" i="7"/>
  <c r="G91" i="7"/>
  <c r="I212" i="7"/>
  <c r="B256" i="7"/>
  <c r="I26" i="7"/>
  <c r="C275" i="7"/>
  <c r="G219" i="7"/>
  <c r="H284" i="7"/>
  <c r="D300" i="7"/>
  <c r="B103" i="7"/>
  <c r="G126" i="7"/>
  <c r="E238" i="7"/>
  <c r="E247" i="7"/>
  <c r="D104" i="7"/>
  <c r="H118" i="7"/>
  <c r="G93" i="7"/>
  <c r="E39" i="7"/>
  <c r="C292" i="7"/>
  <c r="H137" i="7"/>
  <c r="I139" i="7"/>
  <c r="E90" i="7"/>
  <c r="G209" i="7"/>
  <c r="G274" i="7"/>
  <c r="D53" i="7"/>
  <c r="B154" i="7"/>
  <c r="G115" i="7"/>
  <c r="H192" i="7"/>
  <c r="D12" i="7"/>
  <c r="H103" i="7"/>
  <c r="I16" i="7"/>
  <c r="F20" i="7"/>
  <c r="G190" i="7"/>
  <c r="B177" i="7"/>
  <c r="I245" i="7"/>
  <c r="C267" i="7"/>
  <c r="H223" i="7"/>
  <c r="I193" i="7"/>
  <c r="F154" i="7"/>
  <c r="C82" i="7"/>
  <c r="E148" i="7"/>
  <c r="B112" i="7"/>
  <c r="G55" i="7"/>
  <c r="F277" i="7"/>
  <c r="C66" i="7"/>
  <c r="F183" i="7"/>
  <c r="E119" i="7"/>
  <c r="I199" i="7"/>
  <c r="D97" i="7"/>
  <c r="H210" i="7"/>
  <c r="F64" i="7"/>
  <c r="B174" i="7"/>
  <c r="I120" i="7"/>
  <c r="H58" i="7"/>
  <c r="D7" i="7"/>
  <c r="G164" i="7"/>
  <c r="F90" i="7"/>
  <c r="C63" i="7"/>
  <c r="D138" i="7"/>
  <c r="F145" i="7"/>
  <c r="H113" i="7"/>
  <c r="I191" i="7"/>
  <c r="G109" i="7"/>
  <c r="D73" i="7"/>
  <c r="B294" i="7"/>
  <c r="H59" i="7"/>
  <c r="F248" i="7"/>
  <c r="H8" i="7"/>
  <c r="C73" i="7"/>
  <c r="I67" i="7"/>
  <c r="F225" i="7"/>
  <c r="B129" i="7"/>
  <c r="C192" i="7"/>
  <c r="D64" i="7"/>
  <c r="F88" i="7"/>
  <c r="C75" i="7"/>
  <c r="H68" i="7"/>
  <c r="B273" i="7"/>
  <c r="D118" i="7"/>
  <c r="I280" i="7"/>
  <c r="B172" i="7"/>
  <c r="F291" i="7"/>
  <c r="I102" i="7"/>
  <c r="H122" i="7"/>
  <c r="E46" i="7"/>
  <c r="I275" i="7"/>
  <c r="C118" i="7"/>
  <c r="I45" i="7"/>
  <c r="I133" i="7"/>
  <c r="B229" i="7"/>
  <c r="H52" i="7"/>
  <c r="D176" i="7"/>
  <c r="D162" i="7"/>
  <c r="C122" i="7"/>
  <c r="F43" i="7"/>
  <c r="C17" i="7"/>
  <c r="E27" i="7"/>
  <c r="H160" i="7"/>
  <c r="G162" i="7"/>
  <c r="I110" i="7"/>
  <c r="G71" i="7"/>
  <c r="G146" i="7"/>
  <c r="C162" i="7"/>
  <c r="D6" i="7"/>
  <c r="D175" i="7"/>
  <c r="B176" i="7"/>
  <c r="E239" i="7"/>
  <c r="C134" i="7"/>
  <c r="H227" i="7"/>
  <c r="I55" i="7"/>
  <c r="B28" i="7"/>
  <c r="B281" i="7"/>
  <c r="C104" i="7"/>
  <c r="I69" i="7"/>
  <c r="D216" i="7"/>
  <c r="E208" i="7"/>
  <c r="I230" i="7"/>
  <c r="B278" i="7"/>
  <c r="C281" i="7"/>
  <c r="G96" i="7"/>
  <c r="B272" i="7"/>
  <c r="G118" i="7"/>
  <c r="E67" i="7"/>
  <c r="G27" i="7"/>
  <c r="G186" i="7"/>
  <c r="B219" i="7"/>
  <c r="G228" i="7"/>
  <c r="I215" i="7"/>
  <c r="I289" i="7"/>
  <c r="B97" i="7"/>
  <c r="H200" i="7"/>
  <c r="B231" i="7"/>
  <c r="C217" i="7"/>
  <c r="H221" i="7"/>
  <c r="B46" i="7"/>
  <c r="C69" i="7"/>
  <c r="F148" i="7"/>
  <c r="I8" i="7"/>
  <c r="E243" i="7"/>
  <c r="H216" i="7"/>
  <c r="E194" i="7"/>
  <c r="D245" i="7"/>
  <c r="F234" i="7"/>
  <c r="H264" i="7"/>
  <c r="E186" i="7"/>
  <c r="H35" i="7"/>
  <c r="B48" i="7"/>
  <c r="I40" i="7"/>
  <c r="G153" i="7"/>
  <c r="E61" i="7"/>
  <c r="E4" i="7"/>
  <c r="I131" i="7"/>
  <c r="C168" i="7"/>
  <c r="D57" i="7"/>
  <c r="G210" i="7"/>
  <c r="B247" i="7"/>
  <c r="F178" i="7"/>
  <c r="H32" i="7"/>
  <c r="C225" i="7"/>
  <c r="C140" i="7"/>
  <c r="H259" i="7"/>
  <c r="C39" i="7"/>
  <c r="C265" i="7"/>
  <c r="I226" i="7"/>
  <c r="G82" i="7"/>
  <c r="C112" i="7"/>
  <c r="F54" i="7"/>
  <c r="G234" i="7"/>
  <c r="C188" i="7"/>
  <c r="F199" i="7"/>
  <c r="F124" i="7"/>
  <c r="G233" i="7"/>
  <c r="B92" i="7"/>
  <c r="C228" i="7"/>
  <c r="D106" i="7"/>
  <c r="I201" i="7"/>
  <c r="G240" i="7"/>
  <c r="H85" i="7"/>
  <c r="B109" i="7"/>
  <c r="I159" i="7"/>
  <c r="E172" i="7"/>
  <c r="I299" i="7"/>
  <c r="E108" i="7"/>
  <c r="D198" i="7"/>
  <c r="E33" i="7"/>
  <c r="B99" i="7"/>
  <c r="I185" i="7"/>
  <c r="F6" i="7"/>
  <c r="G218" i="7"/>
  <c r="E210" i="7"/>
  <c r="B72" i="7"/>
  <c r="B67" i="7"/>
  <c r="D128" i="7"/>
  <c r="F219" i="7"/>
  <c r="D235" i="7"/>
  <c r="I192" i="7"/>
  <c r="H246" i="7"/>
  <c r="E126" i="7"/>
  <c r="I268" i="7"/>
  <c r="H39" i="7"/>
  <c r="I195" i="7"/>
  <c r="E52" i="7"/>
  <c r="H276" i="7"/>
  <c r="C199" i="7"/>
  <c r="D219" i="7"/>
  <c r="D88" i="7"/>
  <c r="C169" i="7"/>
  <c r="C207" i="7"/>
  <c r="D154" i="7"/>
  <c r="D248" i="7"/>
  <c r="H87" i="7"/>
  <c r="I227" i="7"/>
  <c r="B207" i="7"/>
  <c r="B26" i="7"/>
  <c r="B135" i="7"/>
  <c r="E280" i="7"/>
  <c r="F232" i="7"/>
  <c r="E71" i="7"/>
  <c r="B192" i="7"/>
  <c r="C7" i="7"/>
  <c r="D124" i="7"/>
  <c r="C133" i="7"/>
  <c r="G244" i="7"/>
  <c r="E177" i="7"/>
  <c r="E153" i="7"/>
  <c r="D250" i="7"/>
  <c r="D157" i="7"/>
  <c r="B6" i="7"/>
  <c r="D276" i="7"/>
  <c r="I50" i="7"/>
  <c r="G46" i="7"/>
  <c r="C65" i="7"/>
  <c r="D119" i="7"/>
  <c r="G266" i="7"/>
  <c r="F156" i="7"/>
  <c r="F80" i="7"/>
  <c r="E155" i="7"/>
  <c r="B32" i="7"/>
  <c r="F22" i="7"/>
  <c r="H161" i="7"/>
  <c r="G130" i="7"/>
  <c r="B148" i="7"/>
  <c r="I83" i="7"/>
  <c r="B102" i="7"/>
  <c r="H157" i="7"/>
  <c r="B296" i="7"/>
  <c r="I36" i="7"/>
  <c r="G155" i="7"/>
  <c r="F246" i="7"/>
  <c r="H70" i="7"/>
  <c r="I281" i="7"/>
  <c r="F295" i="7"/>
  <c r="H107" i="7"/>
  <c r="B252" i="7"/>
  <c r="D87" i="7"/>
  <c r="D30" i="7"/>
  <c r="F231" i="7"/>
  <c r="E40" i="7"/>
  <c r="C32" i="7"/>
  <c r="H44" i="7"/>
  <c r="I205" i="7"/>
  <c r="E122" i="7"/>
  <c r="H204" i="7"/>
  <c r="D23" i="7"/>
  <c r="I106" i="7"/>
  <c r="E60" i="7"/>
  <c r="G203" i="7"/>
  <c r="F242" i="7"/>
  <c r="C216" i="7"/>
  <c r="H128" i="7"/>
  <c r="D237" i="7"/>
  <c r="F252" i="7"/>
  <c r="B206" i="7"/>
  <c r="I243" i="7"/>
  <c r="C222" i="7"/>
  <c r="I162" i="7"/>
  <c r="B228" i="7"/>
  <c r="B270" i="7"/>
  <c r="F114" i="7"/>
  <c r="I184" i="7"/>
  <c r="D220" i="7"/>
  <c r="B50" i="7"/>
  <c r="H46" i="7"/>
  <c r="F293" i="7"/>
  <c r="C220" i="7"/>
  <c r="D283" i="7"/>
  <c r="D130" i="7"/>
  <c r="B266" i="7"/>
  <c r="F209" i="7"/>
  <c r="F103" i="7"/>
  <c r="H91" i="7"/>
  <c r="F224" i="7"/>
  <c r="E136" i="7"/>
  <c r="B196" i="7"/>
  <c r="H17" i="7"/>
  <c r="I234" i="7"/>
  <c r="H84" i="7"/>
  <c r="F132" i="7"/>
  <c r="E138" i="7"/>
  <c r="C249" i="7"/>
  <c r="H213" i="7"/>
  <c r="G226" i="7"/>
  <c r="H26" i="7"/>
  <c r="C156" i="7"/>
  <c r="H40" i="7"/>
  <c r="E84" i="7"/>
  <c r="C187" i="7"/>
  <c r="G132" i="7"/>
  <c r="C130" i="7"/>
  <c r="B185" i="7"/>
  <c r="B75" i="7"/>
  <c r="D80" i="7"/>
  <c r="C22" i="7"/>
  <c r="B35" i="7"/>
  <c r="E151" i="7"/>
  <c r="F187" i="7"/>
  <c r="B287" i="7"/>
  <c r="C93" i="7"/>
  <c r="I298" i="7"/>
  <c r="B283" i="7"/>
  <c r="B175" i="7"/>
  <c r="G26" i="7"/>
  <c r="C258" i="7"/>
  <c r="B143" i="7"/>
  <c r="E80" i="7"/>
  <c r="G88" i="7"/>
  <c r="I217" i="7"/>
  <c r="I208" i="7"/>
  <c r="F137" i="7"/>
  <c r="B261" i="7"/>
  <c r="F42" i="7"/>
  <c r="H191" i="7"/>
  <c r="I180" i="7"/>
  <c r="B57" i="7"/>
  <c r="E29" i="7"/>
  <c r="C115" i="7"/>
  <c r="H47" i="7"/>
  <c r="D52" i="7"/>
  <c r="E275" i="7"/>
  <c r="I244" i="7"/>
  <c r="H147" i="7"/>
  <c r="E36" i="7"/>
  <c r="D207" i="7"/>
  <c r="D62" i="7"/>
  <c r="C46" i="7"/>
  <c r="D204" i="7"/>
  <c r="D255" i="7"/>
  <c r="C186" i="7"/>
  <c r="G252" i="7"/>
  <c r="D45" i="7"/>
  <c r="C54" i="7"/>
  <c r="H217" i="7"/>
  <c r="B212" i="7"/>
  <c r="B275" i="7"/>
  <c r="C167" i="7"/>
  <c r="D113" i="7"/>
  <c r="I148" i="7"/>
  <c r="C175" i="7"/>
  <c r="E298" i="7"/>
  <c r="I153" i="7"/>
  <c r="D36" i="7"/>
  <c r="E111" i="7"/>
  <c r="I121" i="7"/>
  <c r="H67" i="7"/>
  <c r="F24" i="7"/>
  <c r="F184" i="7"/>
  <c r="B215" i="7"/>
  <c r="E272" i="7"/>
  <c r="B131" i="7"/>
  <c r="D260" i="7"/>
  <c r="B271" i="7"/>
  <c r="G114" i="7"/>
  <c r="G182" i="7"/>
  <c r="C64" i="7"/>
  <c r="C26" i="7"/>
  <c r="D161" i="7"/>
  <c r="B210" i="7"/>
  <c r="B114" i="7"/>
  <c r="H189" i="7"/>
  <c r="H176" i="7"/>
  <c r="F196" i="7"/>
  <c r="D69" i="7"/>
  <c r="F251" i="7"/>
  <c r="E216" i="7"/>
  <c r="D182" i="7"/>
  <c r="H231" i="7"/>
  <c r="E97" i="7"/>
  <c r="E184" i="7"/>
  <c r="F182" i="7"/>
  <c r="E284" i="7"/>
  <c r="B218" i="7"/>
  <c r="F279" i="7"/>
  <c r="E96" i="7"/>
  <c r="B27" i="7"/>
  <c r="B24" i="7"/>
  <c r="B239" i="7"/>
  <c r="D72" i="7"/>
  <c r="I127" i="7"/>
  <c r="B61" i="7"/>
  <c r="C158" i="7"/>
  <c r="F243" i="7"/>
  <c r="B183" i="7"/>
  <c r="H190" i="7"/>
  <c r="H125" i="7"/>
  <c r="G195" i="7"/>
  <c r="C284" i="7"/>
  <c r="I13" i="7"/>
  <c r="G75" i="7"/>
  <c r="F113" i="7"/>
  <c r="E255" i="7"/>
  <c r="G142" i="7"/>
  <c r="H69" i="7"/>
  <c r="I78" i="7"/>
  <c r="D55" i="7"/>
  <c r="B128" i="7"/>
  <c r="G66" i="7"/>
  <c r="D191" i="7"/>
  <c r="C36" i="7"/>
  <c r="I222" i="7"/>
  <c r="E57" i="7"/>
  <c r="F249" i="7"/>
  <c r="C56" i="7"/>
  <c r="E274" i="7"/>
  <c r="G157" i="7"/>
  <c r="I128" i="7"/>
  <c r="B115" i="7"/>
  <c r="G6" i="7"/>
  <c r="I119" i="7"/>
  <c r="E257" i="7"/>
  <c r="H123" i="7"/>
  <c r="G178" i="7"/>
  <c r="F85" i="7"/>
  <c r="I161" i="7"/>
  <c r="C51" i="7"/>
  <c r="G57" i="7"/>
  <c r="H282" i="7"/>
  <c r="E231" i="7"/>
  <c r="F278" i="7"/>
  <c r="I62" i="7"/>
  <c r="G72" i="7"/>
  <c r="E236" i="7"/>
  <c r="E166" i="7"/>
  <c r="H149" i="7"/>
  <c r="E215" i="7"/>
  <c r="B163" i="7"/>
  <c r="H281" i="7"/>
  <c r="C205" i="7"/>
  <c r="E78" i="7"/>
  <c r="D294" i="7"/>
  <c r="E114" i="7"/>
  <c r="B226" i="7"/>
  <c r="F266" i="7"/>
  <c r="D24" i="7"/>
  <c r="G8" i="7"/>
  <c r="B108" i="7"/>
  <c r="C131" i="7"/>
  <c r="F290" i="7"/>
  <c r="H243" i="7"/>
  <c r="E227" i="7"/>
  <c r="D44" i="7"/>
  <c r="C92" i="7"/>
  <c r="G229" i="7"/>
  <c r="D70" i="7"/>
  <c r="C116" i="7"/>
  <c r="H199" i="7"/>
  <c r="G188" i="7"/>
  <c r="C204" i="7"/>
  <c r="C129" i="7"/>
  <c r="E192" i="7"/>
  <c r="E213" i="7"/>
  <c r="I209" i="7"/>
  <c r="G254" i="7"/>
  <c r="H102" i="7"/>
  <c r="F70" i="7"/>
  <c r="F110" i="7"/>
  <c r="C230" i="7"/>
  <c r="C68" i="7"/>
  <c r="G69" i="7"/>
  <c r="F58" i="7"/>
  <c r="F87" i="7"/>
  <c r="F280" i="7"/>
  <c r="G237" i="7"/>
  <c r="C35" i="7"/>
  <c r="E105" i="7"/>
  <c r="G199" i="7"/>
  <c r="C296" i="7"/>
  <c r="E173" i="7"/>
  <c r="D228" i="7"/>
  <c r="C163" i="7"/>
  <c r="E158" i="7"/>
  <c r="D258" i="7"/>
  <c r="H49" i="7"/>
  <c r="D90" i="7"/>
  <c r="H65" i="7"/>
  <c r="D236" i="7"/>
  <c r="H253" i="7"/>
  <c r="F213" i="7"/>
  <c r="D189" i="7"/>
  <c r="H203" i="7"/>
  <c r="D41" i="7"/>
  <c r="I221" i="7"/>
  <c r="D295" i="7"/>
  <c r="D28" i="7"/>
  <c r="I95" i="7"/>
  <c r="G67" i="7"/>
  <c r="H142" i="7"/>
  <c r="F198" i="7"/>
  <c r="G268" i="7"/>
  <c r="D19" i="7"/>
  <c r="D103" i="7"/>
  <c r="C293" i="7"/>
  <c r="G120" i="7"/>
  <c r="G206" i="7"/>
  <c r="F288" i="7"/>
  <c r="E6" i="7"/>
  <c r="G295" i="7"/>
  <c r="D140" i="7"/>
  <c r="H177" i="7"/>
  <c r="G213" i="7"/>
  <c r="F101" i="7"/>
  <c r="I27" i="7"/>
  <c r="E102" i="7"/>
  <c r="D159" i="7"/>
  <c r="B222" i="7"/>
  <c r="E182" i="7"/>
  <c r="F105" i="7"/>
  <c r="E38" i="7"/>
  <c r="H187" i="7"/>
  <c r="B121" i="7"/>
  <c r="E124" i="7"/>
  <c r="E241" i="7"/>
  <c r="D231" i="7"/>
  <c r="I24" i="7"/>
  <c r="E116" i="7"/>
  <c r="E70" i="7"/>
  <c r="G92" i="7"/>
  <c r="B209" i="7"/>
  <c r="E295" i="7"/>
  <c r="B193" i="7"/>
  <c r="F108" i="7"/>
  <c r="I113" i="7"/>
  <c r="D286" i="7"/>
  <c r="B233" i="7"/>
  <c r="B88" i="7"/>
  <c r="F274" i="7"/>
  <c r="C150" i="7"/>
  <c r="F264" i="7"/>
  <c r="I285" i="7"/>
  <c r="F181" i="7"/>
  <c r="G64" i="7"/>
  <c r="F250" i="7"/>
  <c r="G281" i="7"/>
  <c r="E147" i="7"/>
  <c r="D177" i="7"/>
  <c r="D169" i="7"/>
  <c r="H179" i="7"/>
  <c r="F17" i="7"/>
  <c r="H275" i="7"/>
  <c r="H294" i="7"/>
  <c r="B45" i="7"/>
  <c r="C194" i="7"/>
  <c r="F241" i="7"/>
  <c r="B127" i="7"/>
  <c r="F49" i="7"/>
  <c r="H134" i="7"/>
  <c r="D251" i="7"/>
  <c r="B134" i="7"/>
  <c r="G232" i="7"/>
  <c r="I258" i="7"/>
  <c r="D61" i="7"/>
  <c r="I58" i="7"/>
  <c r="B184" i="7"/>
  <c r="C282" i="7"/>
  <c r="I266" i="7"/>
  <c r="G2" i="7"/>
  <c r="C148" i="7"/>
  <c r="H106" i="7"/>
  <c r="I292" i="7"/>
  <c r="H215" i="7"/>
  <c r="E270" i="7"/>
  <c r="C88" i="7"/>
  <c r="G271" i="7"/>
  <c r="C89" i="7"/>
  <c r="D139" i="7"/>
  <c r="G121" i="7"/>
  <c r="G202" i="7"/>
  <c r="D3" i="7"/>
  <c r="C269" i="7"/>
  <c r="C256" i="7"/>
  <c r="I147" i="7"/>
  <c r="C274" i="7"/>
  <c r="I42" i="7"/>
  <c r="B260" i="7"/>
  <c r="H248" i="7"/>
  <c r="F63" i="7"/>
  <c r="E107" i="7"/>
  <c r="I146" i="7"/>
  <c r="E283" i="7"/>
  <c r="B100" i="7"/>
  <c r="C239" i="7"/>
  <c r="C120" i="7"/>
  <c r="G103" i="7"/>
  <c r="G87" i="7"/>
  <c r="B37" i="7"/>
  <c r="F126" i="7"/>
  <c r="H51" i="7"/>
  <c r="E183" i="7"/>
  <c r="E125" i="7"/>
  <c r="G141" i="7"/>
  <c r="E207" i="7"/>
  <c r="B220" i="7"/>
  <c r="G236" i="7"/>
  <c r="H173" i="7"/>
  <c r="F5" i="7"/>
  <c r="E50" i="7"/>
  <c r="C50" i="7"/>
  <c r="D194" i="7"/>
  <c r="G279" i="7"/>
  <c r="I194" i="7"/>
  <c r="H6" i="7"/>
  <c r="C197" i="7"/>
  <c r="F190" i="7"/>
  <c r="F287" i="7"/>
  <c r="G22" i="7"/>
  <c r="E297" i="7"/>
  <c r="B142" i="7"/>
  <c r="F99" i="7"/>
  <c r="I61" i="7"/>
  <c r="C255" i="7"/>
  <c r="B70" i="7"/>
  <c r="C161" i="7"/>
  <c r="H252" i="7"/>
  <c r="B150" i="7"/>
  <c r="D25" i="7"/>
  <c r="H249" i="7"/>
  <c r="I122" i="7"/>
  <c r="F269" i="7"/>
  <c r="I123" i="7"/>
  <c r="D292" i="7"/>
  <c r="I35" i="7"/>
  <c r="F263" i="7"/>
  <c r="H291" i="7"/>
  <c r="I71" i="7"/>
  <c r="F84" i="7"/>
  <c r="I37" i="7"/>
  <c r="C154" i="7"/>
  <c r="G112" i="7"/>
  <c r="G40" i="7"/>
  <c r="C172" i="7"/>
  <c r="E290" i="7"/>
  <c r="H299" i="7"/>
  <c r="D148" i="7"/>
  <c r="C143" i="7"/>
  <c r="G221" i="7"/>
  <c r="I101" i="7"/>
  <c r="E73" i="7"/>
  <c r="F46" i="7"/>
  <c r="I19" i="7"/>
  <c r="B285" i="7"/>
  <c r="D38" i="7"/>
  <c r="F204" i="7"/>
  <c r="I89" i="7"/>
  <c r="H300" i="7"/>
  <c r="B93" i="7"/>
  <c r="I183" i="7"/>
  <c r="E81" i="7"/>
  <c r="C19" i="7"/>
  <c r="I264" i="7"/>
  <c r="B71" i="7"/>
  <c r="H23" i="7"/>
  <c r="H80" i="7"/>
  <c r="G260" i="7"/>
  <c r="D266" i="7"/>
  <c r="H105" i="7"/>
  <c r="B288" i="7"/>
  <c r="D203" i="7"/>
  <c r="F52" i="7"/>
  <c r="I12" i="7"/>
  <c r="C114" i="7"/>
  <c r="I23" i="7"/>
  <c r="I169" i="7"/>
  <c r="C4" i="7"/>
  <c r="D249" i="7"/>
  <c r="H62" i="7"/>
  <c r="I163" i="7"/>
  <c r="D89" i="7"/>
  <c r="E68" i="7"/>
  <c r="G100" i="7"/>
  <c r="F33" i="7"/>
  <c r="H20" i="7"/>
  <c r="I21" i="7"/>
  <c r="D56" i="7"/>
  <c r="F216" i="7"/>
  <c r="B110" i="7"/>
  <c r="C234" i="7"/>
  <c r="C177" i="7"/>
  <c r="I224" i="7"/>
  <c r="D173" i="7"/>
  <c r="H110" i="7"/>
  <c r="H219" i="7"/>
  <c r="H214" i="7"/>
  <c r="G277" i="7"/>
  <c r="F218" i="7"/>
  <c r="B140" i="7"/>
  <c r="G58" i="7"/>
  <c r="B53" i="7"/>
  <c r="I216" i="7"/>
  <c r="G292" i="7"/>
  <c r="C157" i="7"/>
  <c r="E127" i="7"/>
  <c r="C252" i="7"/>
  <c r="H267" i="7"/>
  <c r="D180" i="7"/>
  <c r="D26" i="7"/>
  <c r="G251" i="7"/>
  <c r="D254" i="7"/>
  <c r="I225" i="7"/>
  <c r="I117" i="7"/>
  <c r="G7" i="7"/>
  <c r="F228" i="7"/>
  <c r="G177" i="7"/>
  <c r="E202" i="7"/>
  <c r="C227" i="7"/>
  <c r="C299" i="7"/>
  <c r="C164" i="7"/>
  <c r="D205" i="7"/>
  <c r="G192" i="7"/>
  <c r="D2" i="7"/>
  <c r="D184" i="7"/>
  <c r="G3" i="7"/>
  <c r="B248" i="7"/>
  <c r="G257" i="7"/>
  <c r="D8" i="7"/>
  <c r="E2" i="7"/>
  <c r="F55" i="7"/>
  <c r="C70" i="7"/>
  <c r="C211" i="7"/>
  <c r="B133" i="7"/>
  <c r="I269" i="7"/>
  <c r="D229" i="7"/>
  <c r="D232" i="7"/>
  <c r="F189" i="7"/>
  <c r="H140" i="7"/>
  <c r="I66" i="7"/>
  <c r="C20" i="7"/>
  <c r="H158" i="7"/>
  <c r="H111" i="7"/>
  <c r="B200" i="7"/>
  <c r="G135" i="7"/>
  <c r="I176" i="7"/>
  <c r="G272" i="7"/>
  <c r="H232" i="7"/>
  <c r="F153" i="7"/>
  <c r="G223" i="7"/>
  <c r="G216" i="7"/>
  <c r="D51" i="7"/>
  <c r="C139" i="7"/>
  <c r="E190" i="7"/>
  <c r="D208" i="7"/>
  <c r="H155" i="7"/>
  <c r="B59" i="7"/>
  <c r="E264" i="7"/>
  <c r="B54" i="7"/>
  <c r="G144" i="7"/>
  <c r="B119" i="7"/>
  <c r="D95" i="7"/>
  <c r="D163" i="7"/>
  <c r="G38" i="7"/>
  <c r="B18" i="7"/>
  <c r="H28" i="7"/>
  <c r="B169" i="7"/>
  <c r="C262" i="7"/>
  <c r="F276" i="7"/>
  <c r="I297" i="7"/>
  <c r="I288" i="7"/>
  <c r="F104" i="7"/>
  <c r="G290" i="7"/>
  <c r="H36" i="7"/>
  <c r="B214" i="7"/>
  <c r="I3" i="7"/>
  <c r="F67" i="7"/>
  <c r="C185" i="7"/>
  <c r="C125" i="7"/>
  <c r="G61" i="7"/>
  <c r="E254" i="7"/>
  <c r="D94" i="7"/>
  <c r="G285" i="7"/>
  <c r="I108" i="7"/>
  <c r="G139" i="7"/>
  <c r="H133" i="7"/>
  <c r="F125" i="7"/>
  <c r="G207" i="7"/>
  <c r="C21" i="7"/>
  <c r="C285" i="7"/>
  <c r="F158" i="7"/>
  <c r="F2" i="7"/>
  <c r="H116" i="7"/>
  <c r="H151" i="7"/>
  <c r="I141" i="7"/>
  <c r="G187" i="7"/>
  <c r="F28" i="7"/>
  <c r="G21" i="7"/>
  <c r="I72" i="7"/>
  <c r="F220" i="7"/>
  <c r="B279" i="7"/>
  <c r="B31" i="7"/>
  <c r="I174" i="7"/>
  <c r="G89" i="7"/>
  <c r="C290" i="7"/>
  <c r="G215" i="7"/>
  <c r="B165" i="7"/>
  <c r="F65" i="7"/>
  <c r="C203" i="7"/>
  <c r="I171" i="7"/>
  <c r="G176" i="7"/>
  <c r="G99" i="7"/>
  <c r="F230" i="7"/>
  <c r="G56" i="7"/>
  <c r="B65" i="7"/>
  <c r="F254" i="7"/>
  <c r="F130" i="7"/>
  <c r="C141" i="7"/>
  <c r="G48" i="7"/>
  <c r="D17" i="7"/>
  <c r="G265" i="7"/>
  <c r="F48" i="7"/>
  <c r="D142" i="7"/>
  <c r="H121" i="7"/>
  <c r="C23" i="7"/>
  <c r="F92" i="7"/>
  <c r="E266" i="7"/>
  <c r="G147" i="7"/>
  <c r="F253" i="7"/>
  <c r="B122" i="7"/>
  <c r="E20" i="7"/>
  <c r="I265" i="7"/>
  <c r="H277" i="7"/>
  <c r="H79" i="7"/>
  <c r="B91" i="7"/>
  <c r="E123" i="7"/>
  <c r="D271" i="7"/>
  <c r="D66" i="7"/>
  <c r="F118" i="7"/>
  <c r="E278" i="7"/>
  <c r="G148" i="7"/>
  <c r="H182" i="7"/>
  <c r="E42" i="7"/>
  <c r="C98" i="7"/>
  <c r="G154" i="7"/>
  <c r="I116" i="7"/>
  <c r="E299" i="7"/>
  <c r="C100" i="7"/>
  <c r="E31" i="7"/>
  <c r="F111" i="7"/>
  <c r="C110" i="7"/>
  <c r="H257" i="7"/>
  <c r="C80" i="7"/>
  <c r="I79" i="7"/>
  <c r="I149" i="7"/>
  <c r="G287" i="7"/>
  <c r="E174" i="7"/>
  <c r="B113" i="7"/>
  <c r="F206" i="7"/>
  <c r="F123" i="7"/>
  <c r="H31" i="7"/>
  <c r="I80" i="7"/>
  <c r="E104" i="7"/>
  <c r="H286" i="7"/>
  <c r="I81" i="7"/>
  <c r="B153" i="7"/>
  <c r="G175" i="7"/>
  <c r="F171" i="7"/>
  <c r="I253" i="7"/>
  <c r="C86" i="7"/>
  <c r="H114" i="7"/>
  <c r="H166" i="7"/>
  <c r="D141" i="7"/>
  <c r="G116" i="7"/>
  <c r="C128" i="7"/>
  <c r="H37" i="7"/>
  <c r="F238" i="7"/>
  <c r="F259" i="7"/>
  <c r="C259" i="7"/>
  <c r="B40" i="7"/>
  <c r="G86" i="7"/>
  <c r="D43" i="7"/>
  <c r="I170" i="7"/>
  <c r="F202" i="7"/>
  <c r="H19" i="7"/>
  <c r="E163" i="7"/>
  <c r="C196" i="7"/>
  <c r="I138" i="7"/>
  <c r="H75" i="7"/>
  <c r="D109" i="7"/>
  <c r="B254" i="7"/>
  <c r="E112" i="7"/>
  <c r="C8" i="7"/>
  <c r="E154" i="7"/>
  <c r="B282" i="7"/>
  <c r="C109" i="7"/>
  <c r="B123" i="7"/>
  <c r="H159" i="7"/>
  <c r="G245" i="7"/>
  <c r="F106" i="7"/>
  <c r="B259" i="7"/>
  <c r="D83" i="7"/>
  <c r="D214" i="7"/>
  <c r="I168" i="7"/>
  <c r="B117" i="7"/>
  <c r="E189" i="7"/>
  <c r="B130" i="7"/>
  <c r="H104" i="7"/>
  <c r="B79" i="7"/>
  <c r="I152" i="7"/>
  <c r="G81" i="7"/>
  <c r="F144" i="7"/>
  <c r="F41" i="7"/>
  <c r="C272" i="7"/>
  <c r="E131" i="7"/>
  <c r="C94" i="7"/>
  <c r="C99" i="7"/>
  <c r="H170" i="7"/>
  <c r="B274" i="7"/>
  <c r="E74" i="7"/>
  <c r="C295" i="7"/>
  <c r="H184" i="7"/>
  <c r="E3" i="7"/>
  <c r="G200" i="7"/>
  <c r="D298" i="7"/>
  <c r="H278" i="7"/>
  <c r="I203" i="7"/>
  <c r="I218" i="7"/>
  <c r="G140" i="7"/>
  <c r="E69" i="7"/>
  <c r="D168" i="7"/>
  <c r="F31" i="7"/>
  <c r="E86" i="7"/>
  <c r="D272" i="7"/>
  <c r="F27" i="7"/>
  <c r="D252" i="7"/>
  <c r="B208" i="7"/>
  <c r="F143" i="7"/>
  <c r="G294" i="7"/>
  <c r="F286" i="7"/>
  <c r="B255" i="7"/>
  <c r="D291" i="7"/>
  <c r="D35" i="7"/>
  <c r="G123" i="7"/>
  <c r="C287" i="7"/>
  <c r="B77" i="7"/>
  <c r="G74" i="7"/>
  <c r="B107" i="7"/>
  <c r="H225" i="7"/>
  <c r="H3" i="7"/>
  <c r="F191" i="7"/>
  <c r="F292" i="7"/>
  <c r="E89" i="7"/>
  <c r="I52" i="7"/>
  <c r="D60" i="7"/>
  <c r="E287" i="7"/>
  <c r="E25" i="7"/>
  <c r="B157" i="7"/>
  <c r="G174" i="7"/>
  <c r="D269" i="7"/>
  <c r="F120" i="7"/>
  <c r="F179" i="7"/>
  <c r="F201" i="7"/>
  <c r="H266" i="7"/>
  <c r="F188" i="7"/>
  <c r="F109" i="7"/>
  <c r="E187" i="7"/>
  <c r="F147" i="7"/>
  <c r="F227" i="7"/>
  <c r="D265" i="7"/>
  <c r="E76" i="7"/>
  <c r="D209" i="7"/>
  <c r="I136" i="7"/>
  <c r="G284" i="7"/>
  <c r="B152" i="7"/>
  <c r="B19" i="7"/>
  <c r="I150" i="7"/>
  <c r="H169" i="7"/>
  <c r="I274" i="7"/>
  <c r="G298" i="7"/>
  <c r="D77" i="7"/>
  <c r="C231" i="7"/>
  <c r="D288" i="7"/>
  <c r="D59" i="7"/>
  <c r="D20" i="7"/>
  <c r="D50" i="7"/>
  <c r="I214" i="7"/>
  <c r="H132" i="7"/>
  <c r="D137" i="7"/>
  <c r="I242" i="7"/>
  <c r="F98" i="7"/>
  <c r="F150" i="7"/>
  <c r="I129" i="7"/>
  <c r="D253" i="7"/>
  <c r="B236" i="7"/>
  <c r="I137" i="7"/>
  <c r="H138" i="7"/>
  <c r="C24" i="7"/>
  <c r="G33" i="7"/>
  <c r="E181" i="7"/>
  <c r="F155" i="7"/>
  <c r="E226" i="7"/>
  <c r="E30" i="7"/>
  <c r="G107" i="7"/>
  <c r="G143" i="7"/>
  <c r="E198" i="7"/>
  <c r="D100" i="7"/>
  <c r="B132" i="7"/>
  <c r="E44" i="7"/>
  <c r="H171" i="7"/>
  <c r="D299" i="7"/>
  <c r="F299" i="7"/>
  <c r="E234" i="7"/>
  <c r="E101" i="7"/>
  <c r="I182" i="7"/>
  <c r="I63" i="7"/>
  <c r="C279" i="7"/>
  <c r="I240" i="7"/>
  <c r="F133" i="7"/>
  <c r="B66" i="7"/>
  <c r="I286" i="7"/>
  <c r="B73" i="7"/>
  <c r="C213" i="7"/>
  <c r="B180" i="7"/>
  <c r="D196" i="7"/>
  <c r="E118" i="7"/>
  <c r="I151" i="7"/>
  <c r="D193" i="7"/>
  <c r="D65" i="7"/>
  <c r="G60" i="7"/>
  <c r="F83" i="7"/>
  <c r="H296" i="7"/>
  <c r="G263" i="7"/>
  <c r="H71" i="7"/>
  <c r="E156" i="7"/>
  <c r="I187" i="7"/>
  <c r="G36" i="7"/>
  <c r="E5" i="7"/>
  <c r="B5" i="7"/>
  <c r="E72" i="7"/>
  <c r="B249" i="7"/>
  <c r="C236" i="7"/>
  <c r="H195" i="7"/>
  <c r="E58" i="7"/>
  <c r="I4" i="7"/>
  <c r="B213" i="7"/>
  <c r="I53" i="7"/>
  <c r="I197" i="7"/>
  <c r="B42" i="7"/>
  <c r="B137" i="7"/>
  <c r="H235" i="7"/>
  <c r="I256" i="7"/>
  <c r="H153" i="7"/>
  <c r="E152" i="7"/>
  <c r="C300" i="7"/>
  <c r="E134" i="7"/>
  <c r="F75" i="7"/>
  <c r="E253" i="7"/>
  <c r="F44" i="7"/>
  <c r="G282" i="7"/>
  <c r="F47" i="7"/>
  <c r="D123" i="7"/>
  <c r="B187" i="7"/>
  <c r="C2" i="7"/>
  <c r="H126" i="7"/>
  <c r="C208" i="7"/>
  <c r="D243" i="7"/>
  <c r="D37" i="7"/>
  <c r="E26" i="7"/>
  <c r="E169" i="7"/>
  <c r="B293" i="7"/>
  <c r="G250" i="7"/>
  <c r="H154" i="7"/>
  <c r="B235" i="7"/>
  <c r="D221" i="7"/>
  <c r="D164" i="7"/>
  <c r="I77" i="7"/>
  <c r="I290" i="7"/>
  <c r="C206" i="7"/>
  <c r="H115" i="7"/>
  <c r="D206" i="7"/>
  <c r="D32" i="7"/>
  <c r="E19" i="7"/>
  <c r="D68" i="7"/>
  <c r="G201" i="7"/>
  <c r="F61" i="7"/>
  <c r="I204" i="7"/>
  <c r="I144" i="7"/>
  <c r="D297" i="7"/>
  <c r="D48" i="7"/>
  <c r="F40" i="7"/>
  <c r="H263" i="7"/>
  <c r="C243" i="7"/>
  <c r="E205" i="7"/>
  <c r="B245" i="7"/>
  <c r="H274" i="7"/>
  <c r="H185" i="7"/>
  <c r="D74" i="7"/>
  <c r="D58" i="7"/>
  <c r="C126" i="7"/>
  <c r="B178" i="7"/>
  <c r="E143" i="7"/>
  <c r="G151" i="7"/>
  <c r="G291" i="7"/>
  <c r="C193" i="7"/>
  <c r="B96" i="7"/>
  <c r="C214" i="7"/>
  <c r="H141" i="7"/>
  <c r="C170" i="7"/>
  <c r="I173" i="7"/>
  <c r="E106" i="7"/>
  <c r="E109" i="7"/>
  <c r="B41" i="7"/>
  <c r="H7" i="7"/>
  <c r="H298" i="7"/>
  <c r="D178" i="7"/>
  <c r="G249" i="7"/>
  <c r="D224" i="7"/>
  <c r="B221" i="7"/>
  <c r="H90" i="7"/>
  <c r="B167" i="7"/>
  <c r="H269" i="7"/>
  <c r="F122" i="7"/>
  <c r="F170" i="7"/>
  <c r="F176" i="7"/>
  <c r="C113" i="7"/>
  <c r="E250" i="7"/>
  <c r="G168" i="7"/>
  <c r="G31" i="7"/>
  <c r="F149" i="7"/>
  <c r="E233" i="7"/>
  <c r="H144" i="7"/>
  <c r="I254" i="7"/>
  <c r="C41" i="7"/>
  <c r="C153" i="7"/>
  <c r="I276" i="7"/>
  <c r="G286" i="7"/>
  <c r="I178" i="7"/>
  <c r="C298" i="7"/>
  <c r="D217" i="7"/>
  <c r="I232" i="7"/>
  <c r="F233" i="7"/>
  <c r="D187" i="7"/>
  <c r="F76" i="7"/>
  <c r="D289" i="7"/>
  <c r="E180" i="7"/>
  <c r="C30" i="7"/>
  <c r="C147" i="7"/>
  <c r="D129" i="7"/>
  <c r="B168" i="7"/>
  <c r="C107" i="7"/>
  <c r="G185" i="7"/>
  <c r="D21" i="7"/>
  <c r="F53" i="7"/>
  <c r="C137" i="7"/>
  <c r="I284" i="7"/>
  <c r="F56" i="7"/>
  <c r="F193" i="7"/>
  <c r="C174" i="7"/>
  <c r="F270" i="7"/>
  <c r="F36" i="7"/>
  <c r="B118" i="7"/>
  <c r="G70" i="7"/>
  <c r="I231" i="7"/>
  <c r="I237" i="7"/>
  <c r="H95" i="7"/>
  <c r="H130" i="7"/>
  <c r="H194" i="7"/>
  <c r="B211" i="7"/>
  <c r="G90" i="7"/>
  <c r="E282" i="7"/>
  <c r="E59" i="7"/>
  <c r="E219" i="7"/>
  <c r="D246" i="7"/>
  <c r="C152" i="7"/>
  <c r="D278" i="7"/>
  <c r="H57" i="7"/>
  <c r="F146" i="7"/>
  <c r="E170" i="7"/>
  <c r="F131" i="7"/>
  <c r="D40" i="7"/>
  <c r="G102" i="7"/>
  <c r="C280" i="7"/>
  <c r="B264" i="7"/>
  <c r="F112" i="7"/>
  <c r="B90" i="7"/>
  <c r="F245" i="7"/>
  <c r="B34" i="7"/>
  <c r="B126" i="7"/>
  <c r="F217" i="7"/>
  <c r="B267" i="7"/>
  <c r="I88" i="7"/>
  <c r="D218" i="7"/>
  <c r="I145" i="7"/>
  <c r="G179" i="7"/>
  <c r="F82" i="7"/>
  <c r="G225" i="7"/>
  <c r="I283" i="7"/>
  <c r="D121" i="7"/>
  <c r="E258" i="7"/>
  <c r="E288" i="7"/>
  <c r="F79" i="7"/>
  <c r="C74" i="7"/>
  <c r="F275" i="7"/>
  <c r="H186" i="7"/>
  <c r="I181" i="7"/>
  <c r="E140" i="7"/>
  <c r="I14" i="7"/>
  <c r="C28" i="7"/>
  <c r="C87" i="7"/>
  <c r="D49" i="7"/>
  <c r="F141" i="7"/>
  <c r="B156" i="7"/>
  <c r="E220" i="7"/>
  <c r="F298" i="7"/>
  <c r="I164" i="7"/>
  <c r="F73" i="7"/>
  <c r="I251" i="7"/>
  <c r="B166" i="7"/>
  <c r="F78" i="7"/>
  <c r="B195" i="7"/>
  <c r="F19" i="7"/>
  <c r="F4" i="7"/>
  <c r="G3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<sst xmlns="http://schemas.openxmlformats.org/spreadsheetml/2006/main" count="68" uniqueCount="26">
  <si>
    <t>C1</t>
  </si>
  <si>
    <t>C2</t>
  </si>
  <si>
    <t>C3</t>
  </si>
  <si>
    <t>C4</t>
  </si>
  <si>
    <t>C5</t>
  </si>
  <si>
    <t>C6</t>
  </si>
  <si>
    <t>INT</t>
  </si>
  <si>
    <t>DECIMAL(13,2)</t>
  </si>
  <si>
    <t>DATE</t>
  </si>
  <si>
    <t>NVARCHAR(255)</t>
  </si>
  <si>
    <t>No</t>
  </si>
  <si>
    <t>Yes</t>
  </si>
  <si>
    <t>range_start</t>
  </si>
  <si>
    <t>range_stop</t>
  </si>
  <si>
    <t>project_active_start</t>
  </si>
  <si>
    <t>project_inactive_end</t>
  </si>
  <si>
    <t>relate_document</t>
  </si>
  <si>
    <t>Contract / PO Date</t>
  </si>
  <si>
    <t>B10</t>
  </si>
  <si>
    <t>G?</t>
  </si>
  <si>
    <t>F20</t>
  </si>
  <si>
    <t>C7</t>
  </si>
  <si>
    <t>C8</t>
  </si>
  <si>
    <t>col_number</t>
  </si>
  <si>
    <t>01. Project Information</t>
  </si>
  <si>
    <t>1. Prj Information-Edited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</si>
</sst>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Consolas"/>
      <family val="3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14" fontId="1" fillId="2" borderId="2" xfId="0" applyNumberFormat="1" applyFont="1" applyFill="1" applyBorder="1" applyAlignment="1">
      <alignment horizontal="center" vertical="top" wrapText="1"/>
    </xf>
    <xf numFmtId="3" fontId="0" fillId="0" borderId="0" xfId="0" applyNumberFormat="1"/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4" fillId="0" borderId="0" xfId="1" applyNumberFormat="1" applyFont="1" applyAlignment="1">
      <alignment horizontal="center"/>
    </xf>
    <xf numFmtId="0" fontId="0" fillId="3" borderId="0" xfId="0" applyFill="1"/>
    <xf numFmtId="14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I24"/>
  <sheetViews>
    <sheetView zoomScaleNormal="100" workbookViewId="0">
      <selection activeCell="H8" sqref="H8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2" customWidth="1"/>
    <col min="5" max="5" width="25" bestFit="1" customWidth="1"/>
    <col min="6" max="6" width="10.85546875" customWidth="1"/>
    <col min="7" max="7" width="11.5703125" customWidth="1"/>
    <col min="8" max="8" width="16.42578125" bestFit="1" customWidth="1"/>
  </cols>
  <sheetData>
    <row r="1" spans="2:9" x14ac:dyDescent="0.25">
      <c r="F1" s="2"/>
      <c r="H1" s="4"/>
      <c r="I1" s="4"/>
    </row>
    <row r="9" spans="2:9" x14ac:dyDescent="0.25">
      <c r="B9" s="8" t="s">
        <v>0</v>
      </c>
      <c r="C9" s="8" t="s">
        <v>1</v>
      </c>
      <c r="D9" s="9" t="s">
        <v>2</v>
      </c>
      <c r="E9" s="8" t="s">
        <v>3</v>
      </c>
      <c r="F9" s="8" t="s">
        <v>4</v>
      </c>
      <c r="G9" s="8" t="s">
        <v>5</v>
      </c>
    </row>
    <row r="10" spans="2:9" x14ac:dyDescent="0.25">
      <c r="B10">
        <v>1</v>
      </c>
      <c r="C10" s="15">
        <v>101428150</v>
      </c>
      <c r="D10" s="2">
        <v>45530</v>
      </c>
      <c r="E10" s="15">
        <v>101428.15</v>
      </c>
      <c r="F10" s="2">
        <v>45556</v>
      </c>
      <c r="H10" s="18"/>
    </row>
    <row r="11" spans="2:9" x14ac:dyDescent="0.25">
      <c r="C11" s="15"/>
      <c r="D11"/>
      <c r="E11" s="15"/>
    </row>
    <row r="12" spans="2:9" x14ac:dyDescent="0.25">
      <c r="D12"/>
    </row>
    <row r="13" spans="2:9" x14ac:dyDescent="0.25">
      <c r="D13"/>
    </row>
    <row r="14" spans="2:9" x14ac:dyDescent="0.25">
      <c r="D14"/>
    </row>
    <row r="15" spans="2:9" x14ac:dyDescent="0.25">
      <c r="D15"/>
    </row>
    <row r="16" spans="2:9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G23"/>
  <sheetViews>
    <sheetView topLeftCell="A4" zoomScale="130" zoomScaleNormal="130" workbookViewId="0">
      <selection activeCell="A10" sqref="A10:XFD10"/>
    </sheetView>
  </sheetViews>
  <sheetFormatPr defaultRowHeight="15" x14ac:dyDescent="0.25"/>
  <sheetData>
    <row r="8" spans="2:7" x14ac:dyDescent="0.25">
      <c r="B8" s="12" t="b">
        <v>1</v>
      </c>
      <c r="C8" s="12" t="b">
        <v>0</v>
      </c>
      <c r="D8" s="12" t="b">
        <v>0</v>
      </c>
      <c r="E8" s="12" t="b">
        <v>1</v>
      </c>
      <c r="F8" s="12" t="b">
        <v>0</v>
      </c>
      <c r="G8" s="13" t="b">
        <v>0</v>
      </c>
    </row>
    <row r="9" spans="2:7" x14ac:dyDescent="0.25">
      <c r="B9" s="11" t="s">
        <v>0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</row>
    <row r="10" spans="2:7" x14ac:dyDescent="0.25">
      <c r="B10" s="5" t="str" cm="1">
        <f t="array" aca="1" ref="B10" ca="1">IFERROR(IF(OR('Raw Data'!B10="",LEN(TRIM('Raw Data'!B10))=0),_xlfn.REGEXEXTRACT(CELL("address",'Raw Data'!B10),"\$([A-Z]+)\$[0-9]+"),""),"")</f>
        <v/>
      </c>
      <c r="C10" s="5"/>
      <c r="D10" s="5"/>
      <c r="E10" s="5" t="str" cm="1">
        <f t="array" aca="1" ref="E10" ca="1">IFERROR(IF(OR('Raw Data'!E10="",LEN(TRIM('Raw Data'!E10))=0),_xlfn.REGEXEXTRACT(CELL("address",'Raw Data'!E10),"\$([A-Z]+)\$[0-9]+"),""),"")</f>
        <v/>
      </c>
      <c r="F10" s="5"/>
      <c r="G10" s="5"/>
    </row>
    <row r="11" spans="2:7" x14ac:dyDescent="0.25">
      <c r="B11" s="5" t="str" cm="1">
        <f t="array" aca="1" ref="B11" ca="1">IFERROR(IF(OR('Raw Data'!B11="",LEN(TRIM('Raw Data'!B11))=0),_xlfn.REGEXEXTRACT(CELL("address",'Raw Data'!B11),"\$([A-Z]+)\$[0-9]+"),""),"")</f>
        <v>$B$11</v>
      </c>
      <c r="C11" s="5"/>
      <c r="D11" s="5"/>
      <c r="E11" s="5" t="str" cm="1">
        <f t="array" aca="1" ref="E11" ca="1">IFERROR(IF(OR('Raw Data'!E11="",LEN(TRIM('Raw Data'!E11))=0),_xlfn.REGEXEXTRACT(CELL("address",'Raw Data'!E11),"\$([A-Z]+)\$[0-9]+"),""),"")</f>
        <v>$E$11</v>
      </c>
      <c r="F11" s="5"/>
      <c r="G11" s="5"/>
    </row>
    <row r="12" spans="2:7" x14ac:dyDescent="0.25">
      <c r="B12" s="5" t="str" cm="1">
        <f t="array" aca="1" ref="B12" ca="1">IFERROR(IF(OR('Raw Data'!B12="",LEN(TRIM('Raw Data'!B12))=0),_xlfn.REGEXEXTRACT(CELL("address",'Raw Data'!B12),"\$([A-Z]+)\$[0-9]+"),""),"")</f>
        <v>$B$12</v>
      </c>
      <c r="C12" s="5"/>
      <c r="D12" s="5"/>
      <c r="E12" s="5" t="str" cm="1">
        <f t="array" aca="1" ref="E12" ca="1">IFERROR(IF(OR('Raw Data'!E12="",LEN(TRIM('Raw Data'!E12))=0),_xlfn.REGEXEXTRACT(CELL("address",'Raw Data'!E12),"\$([A-Z]+)\$[0-9]+"),""),"")</f>
        <v>$E$12</v>
      </c>
      <c r="F12" s="5"/>
      <c r="G12" s="5"/>
    </row>
    <row r="13" spans="2:7" x14ac:dyDescent="0.25">
      <c r="B13" s="5" t="str" cm="1">
        <f t="array" aca="1" ref="B13" ca="1">IFERROR(IF(OR('Raw Data'!B13="",LEN(TRIM('Raw Data'!B13))=0),_xlfn.REGEXEXTRACT(CELL("address",'Raw Data'!B13),"\$([A-Z]+)\$[0-9]+"),""),"")</f>
        <v>$B$13</v>
      </c>
      <c r="C13" s="5"/>
      <c r="D13" s="5"/>
      <c r="E13" s="5" t="str" cm="1">
        <f t="array" aca="1" ref="E13" ca="1">IFERROR(IF(OR('Raw Data'!E13="",LEN(TRIM('Raw Data'!E13))=0),_xlfn.REGEXEXTRACT(CELL("address",'Raw Data'!E13),"\$([A-Z]+)\$[0-9]+"),""),"")</f>
        <v>$E$13</v>
      </c>
      <c r="F13" s="5"/>
      <c r="G13" s="5"/>
    </row>
    <row r="14" spans="2:7" x14ac:dyDescent="0.25">
      <c r="B14" s="5" t="str" cm="1">
        <f t="array" aca="1" ref="B14" ca="1">IFERROR(IF(OR('Raw Data'!B14="",LEN(TRIM('Raw Data'!B14))=0),_xlfn.REGEXEXTRACT(CELL("address",'Raw Data'!B14),"\$([A-Z]+)\$[0-9]+"),""),"")</f>
        <v>$B$14</v>
      </c>
      <c r="C14" s="5"/>
      <c r="D14" s="5"/>
      <c r="E14" s="5" t="str" cm="1">
        <f t="array" aca="1" ref="E14" ca="1">IFERROR(IF(OR('Raw Data'!E14="",LEN(TRIM('Raw Data'!E14))=0),_xlfn.REGEXEXTRACT(CELL("address",'Raw Data'!E14),"\$([A-Z]+)\$[0-9]+"),""),"")</f>
        <v>$E$14</v>
      </c>
      <c r="F14" s="5"/>
      <c r="G14" s="5"/>
    </row>
    <row r="15" spans="2:7" x14ac:dyDescent="0.25">
      <c r="B15" s="5" t="str" cm="1">
        <f t="array" aca="1" ref="B15" ca="1">IFERROR(IF(OR('Raw Data'!B15="",LEN(TRIM('Raw Data'!B15))=0),_xlfn.REGEXEXTRACT(CELL("address",'Raw Data'!B15),"\$([A-Z]+)\$[0-9]+"),""),"")</f>
        <v>$B$15</v>
      </c>
      <c r="C15" s="5"/>
      <c r="D15" s="5"/>
      <c r="E15" s="5" t="str" cm="1">
        <f t="array" aca="1" ref="E15" ca="1">IFERROR(IF(OR('Raw Data'!E15="",LEN(TRIM('Raw Data'!E15))=0),_xlfn.REGEXEXTRACT(CELL("address",'Raw Data'!E15),"\$([A-Z]+)\$[0-9]+"),""),"")</f>
        <v>$E$15</v>
      </c>
      <c r="F15" s="5"/>
      <c r="G15" s="5"/>
    </row>
    <row r="16" spans="2:7" x14ac:dyDescent="0.25">
      <c r="B16" s="5" t="str" cm="1">
        <f t="array" aca="1" ref="B16" ca="1">IFERROR(IF(OR('Raw Data'!B16="",LEN(TRIM('Raw Data'!B16))=0),_xlfn.REGEXEXTRACT(CELL("address",'Raw Data'!B16),"\$([A-Z]+)\$[0-9]+"),""),"")</f>
        <v>$B$16</v>
      </c>
      <c r="C16" s="5"/>
      <c r="D16" s="5"/>
      <c r="E16" s="5" t="str" cm="1">
        <f t="array" aca="1" ref="E16" ca="1">IFERROR(IF(OR('Raw Data'!E16="",LEN(TRIM('Raw Data'!E16))=0),_xlfn.REGEXEXTRACT(CELL("address",'Raw Data'!E16),"\$([A-Z]+)\$[0-9]+"),""),"")</f>
        <v>$E$16</v>
      </c>
      <c r="F16" s="5"/>
      <c r="G16" s="5"/>
    </row>
    <row r="17" spans="2:7" x14ac:dyDescent="0.25">
      <c r="B17" s="5" t="str" cm="1">
        <f t="array" aca="1" ref="B17" ca="1">IFERROR(IF(OR('Raw Data'!B17="",LEN(TRIM('Raw Data'!B17))=0),_xlfn.REGEXEXTRACT(CELL("address",'Raw Data'!B17),"\$([A-Z]+)\$[0-9]+"),""),"")</f>
        <v>$B$17</v>
      </c>
      <c r="C17" s="5"/>
      <c r="D17" s="5"/>
      <c r="E17" s="5" t="str" cm="1">
        <f t="array" aca="1" ref="E17" ca="1">IFERROR(IF(OR('Raw Data'!E17="",LEN(TRIM('Raw Data'!E17))=0),_xlfn.REGEXEXTRACT(CELL("address",'Raw Data'!E17),"\$([A-Z]+)\$[0-9]+"),""),"")</f>
        <v>$E$17</v>
      </c>
      <c r="F17" s="5"/>
      <c r="G17" s="5"/>
    </row>
    <row r="18" spans="2:7" x14ac:dyDescent="0.25">
      <c r="B18" s="5" t="str" cm="1">
        <f t="array" aca="1" ref="B18" ca="1">IFERROR(IF(OR('Raw Data'!B18="",LEN(TRIM('Raw Data'!B18))=0),_xlfn.REGEXEXTRACT(CELL("address",'Raw Data'!B18),"\$([A-Z]+)\$[0-9]+"),""),"")</f>
        <v>$B$18</v>
      </c>
      <c r="C18" s="5"/>
      <c r="D18" s="5"/>
      <c r="E18" s="5" t="str" cm="1">
        <f t="array" aca="1" ref="E18" ca="1">IFERROR(IF(OR('Raw Data'!E18="",LEN(TRIM('Raw Data'!E18))=0),_xlfn.REGEXEXTRACT(CELL("address",'Raw Data'!E18),"\$([A-Z]+)\$[0-9]+"),""),"")</f>
        <v>$E$18</v>
      </c>
      <c r="F18" s="5"/>
      <c r="G18" s="5"/>
    </row>
    <row r="19" spans="2:7" x14ac:dyDescent="0.25">
      <c r="B19" s="5" t="str" cm="1">
        <f t="array" aca="1" ref="B19" ca="1">IFERROR(IF(OR('Raw Data'!B19="",LEN(TRIM('Raw Data'!B19))=0),_xlfn.REGEXEXTRACT(CELL("address",'Raw Data'!B19),"\$([A-Z]+)\$[0-9]+"),""),"")</f>
        <v>$B$19</v>
      </c>
      <c r="C19" s="5"/>
      <c r="D19" s="5"/>
      <c r="E19" s="5" t="str" cm="1">
        <f t="array" aca="1" ref="E19" ca="1">IFERROR(IF(OR('Raw Data'!E19="",LEN(TRIM('Raw Data'!E19))=0),_xlfn.REGEXEXTRACT(CELL("address",'Raw Data'!E19),"\$([A-Z]+)\$[0-9]+"),""),"")</f>
        <v>$E$19</v>
      </c>
      <c r="F19" s="5"/>
      <c r="G19" s="5"/>
    </row>
    <row r="20" spans="2:7" x14ac:dyDescent="0.25">
      <c r="B20" s="5" t="str" cm="1">
        <f t="array" aca="1" ref="B20" ca="1">IFERROR(IF(OR('Raw Data'!B20="",LEN(TRIM('Raw Data'!B20))=0),_xlfn.REGEXEXTRACT(CELL("address",'Raw Data'!B20),"\$([A-Z]+)\$[0-9]+"),""),"")</f>
        <v>$B$20</v>
      </c>
      <c r="C20" s="5"/>
      <c r="D20" s="5"/>
      <c r="E20" s="5" t="str" cm="1">
        <f t="array" aca="1" ref="E20" ca="1">IFERROR(IF(OR('Raw Data'!E20="",LEN(TRIM('Raw Data'!E20))=0),_xlfn.REGEXEXTRACT(CELL("address",'Raw Data'!E20),"\$([A-Z]+)\$[0-9]+"),""),"")</f>
        <v>$E$20</v>
      </c>
      <c r="F20" s="5"/>
      <c r="G20" s="5"/>
    </row>
    <row r="21" spans="2:7" x14ac:dyDescent="0.25">
      <c r="B21" s="5" t="str" cm="1">
        <f t="array" aca="1" ref="B21" ca="1">IFERROR(IF(OR('Raw Data'!B21="",LEN(TRIM('Raw Data'!B21))=0),_xlfn.REGEXEXTRACT(CELL("address",'Raw Data'!B21),"\$([A-Z]+)\$[0-9]+"),""),"")</f>
        <v>$B$21</v>
      </c>
      <c r="C21" s="5"/>
      <c r="D21" s="5"/>
      <c r="E21" s="5" t="str" cm="1">
        <f t="array" aca="1" ref="E21" ca="1">IFERROR(IF(OR('Raw Data'!E21="",LEN(TRIM('Raw Data'!E21))=0),_xlfn.REGEXEXTRACT(CELL("address",'Raw Data'!E21),"\$([A-Z]+)\$[0-9]+"),""),"")</f>
        <v>$E$21</v>
      </c>
      <c r="F21" s="5"/>
      <c r="G21" s="5"/>
    </row>
    <row r="22" spans="2:7" x14ac:dyDescent="0.25">
      <c r="B22" s="5" t="str" cm="1">
        <f t="array" aca="1" ref="B22" ca="1">IFERROR(IF(OR('Raw Data'!B22="",LEN(TRIM('Raw Data'!B22))=0),_xlfn.REGEXEXTRACT(CELL("address",'Raw Data'!B22),"\$([A-Z]+)\$[0-9]+"),""),"")</f>
        <v>$B$22</v>
      </c>
      <c r="C22" s="5"/>
      <c r="D22" s="5"/>
      <c r="E22" s="5" t="str" cm="1">
        <f t="array" aca="1" ref="E22" ca="1">IFERROR(IF(OR('Raw Data'!E22="",LEN(TRIM('Raw Data'!E22))=0),_xlfn.REGEXEXTRACT(CELL("address",'Raw Data'!E22),"\$([A-Z]+)\$[0-9]+"),""),"")</f>
        <v>$E$22</v>
      </c>
      <c r="F22" s="5"/>
      <c r="G22" s="5"/>
    </row>
    <row r="23" spans="2:7" x14ac:dyDescent="0.25">
      <c r="B23" s="5" t="str" cm="1">
        <f t="array" aca="1" ref="B23" ca="1">IFERROR(IF(OR('Raw Data'!B23="",LEN(TRIM('Raw Data'!B23))=0),_xlfn.REGEXEXTRACT(CELL("address",'Raw Data'!B23),"\$([A-Z]+)\$[0-9]+"),""),"")</f>
        <v>$B$23</v>
      </c>
      <c r="C23" s="5"/>
      <c r="D23" s="5"/>
      <c r="E23" s="5" t="str" cm="1">
        <f t="array" aca="1" ref="E23" ca="1">IFERROR(IF(OR('Raw Data'!E23="",LEN(TRIM('Raw Data'!E23))=0),_xlfn.REGEXEXTRACT(CELL("address",'Raw Data'!E23),"\$([A-Z]+)\$[0-9]+"),""),"")</f>
        <v>$E$23</v>
      </c>
      <c r="F23" s="5"/>
      <c r="G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I20"/>
  <sheetViews>
    <sheetView zoomScaleNormal="100" workbookViewId="0">
      <selection activeCell="F10" sqref="F10"/>
    </sheetView>
  </sheetViews>
  <sheetFormatPr defaultRowHeight="15" x14ac:dyDescent="0.25"/>
  <cols>
    <col min="2" max="7" width="14" style="7" customWidth="1"/>
    <col min="8" max="8" width="9.140625" customWidth="1"/>
  </cols>
  <sheetData>
    <row r="8" spans="2:7" x14ac:dyDescent="0.25">
      <c r="B8" s="7" t="s">
        <v>6</v>
      </c>
      <c r="C8" s="7" t="s">
        <v>7</v>
      </c>
      <c r="D8" s="7" t="s">
        <v>8</v>
      </c>
      <c r="E8" s="7" t="s">
        <v>7</v>
      </c>
      <c r="F8" s="7" t="s">
        <v>8</v>
      </c>
      <c r="G8" s="7" t="s">
        <v>9</v>
      </c>
    </row>
    <row r="9" spans="2:7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2:7" x14ac:dyDescent="0.25">
      <c r="B10" s="6" t="str" cm="1">
        <f t="array" aca="1" ref="B10" ca="1">IFERROR(IF(OR('Raw Data'!B10="",LEN(TRIM('Raw Data'!B10))=0),"",IF(ISNUMBER('Raw Data'!B10),"",_xlfn.REGEXEXTRACT(CELL("address",B10), "\$([A-Z]+)\$[0-9]+"))),_xlfn.REGEXEXTRACT(CELL("address",B10), "\$([A-Z]+)\$[0-9]+"))</f>
        <v/>
      </c>
      <c r="C10" s="6" t="str" cm="1">
        <f t="array" aca="1" ref="C10" ca="1">IFERROR(IF(OR('Raw Data'!C10="",LEN(TRIM('Raw Data'!C10))=0),"",IF(AND(ISNUMBER('Raw Data'!C10), IFERROR('Raw Data'!C10 = ROUND('Raw Data'!C10, 2),FALSE)),"",_xlfn.REGEXEXTRACT(CELL("address",C10), "\$([A-Z]+)\$[0-9]+"))),_xlfn.REGEXEXTRACT(CELL("address",C10), "\$([A-Z]+)\$[0-9]+"))</f>
        <v/>
      </c>
      <c r="D10" s="6" t="str" cm="1">
        <f t="array" aca="1" ref="D10" ca="1">IFERROR(IF(OR('Raw Data'!D10="",LEN(TRIM('Raw Data'!D10))=0),"",IF(AND(ISNUMBER('Raw Data'!D10),'Raw Data'!D10&gt;=Configuration!$D$2),"",_xlfn.REGEXEXTRACT(CELL("address",'Raw Data'!D10),"\$([A-Z]+)\$[0-9]+"))),_xlfn.REGEXEXTRACT(CELL("address",D10), "\$([A-Z]+)\$[0-9]+"))</f>
        <v/>
      </c>
      <c r="E10" s="6" t="str" cm="1">
        <f t="array" aca="1" ref="E10" ca="1">IFERROR(IF(OR('Raw Data'!E10="",LEN(TRIM('Raw Data'!E10))=0),"",IF(AND(ISNUMBER('Raw Data'!E10), IFERROR('Raw Data'!E10 = ROUND('Raw Data'!E10, 2),FALSE)),"",_xlfn.REGEXEXTRACT(CELL("address",E10), "\$([A-Z]+)\$[0-9]+"))),_xlfn.REGEXEXTRACT(CELL("address",E10), "\$([A-Z]+)\$[0-9]+"))</f>
        <v/>
      </c>
      <c r="F10" s="6" t="str" cm="1">
        <f t="array" aca="1" ref="F10" ca="1">IFERROR(IF(OR('Raw Data'!F10="",LEN(TRIM('Raw Data'!F10))=0),"",IF(AND(ISNUMBER('Raw Data'!F10),'Raw Data'!F10&gt;=Configuration!$D$2),"",_xlfn.REGEXEXTRACT(CELL("address",'Raw Data'!F10),"\$([A-Z]+)\$[0-9]+"))),_xlfn.REGEXEXTRACT(CELL("address",F10), "\$([A-Z]+)\$[0-9]+"))</f>
        <v/>
      </c>
      <c r="G10" s="6" t="str" cm="1">
        <f t="array" aca="1" ref="G10" ca="1">IFERROR(IF(OR('Raw Data'!G10="",LEN(TRIM('Raw Data'!G10))=0),"",IF(AND(LEN('Raw Data'!G10) &lt;= 255,LEN('Raw Data'!G10)&gt; 0),"",_xlfn.REGEXEXTRACT(CELL("address",'Raw Data'!G10),"\$([A-Z]+)\$[0-9]+"))),_xlfn.REGEXEXTRACT(CELL("address",'Raw Data'!G10),"\$([A-Z]+)\$[0-9]+"))</f>
        <v/>
      </c>
    </row>
    <row r="11" spans="2:7" x14ac:dyDescent="0.25">
      <c r="B11" s="6" t="str" cm="1">
        <f t="array" aca="1" ref="B11" ca="1">IFERROR(IF(OR('Raw Data'!B11="",LEN(TRIM('Raw Data'!B11))=0),"",IF(ISNUMBER('Raw Data'!B11),"",_xlfn.REGEXEXTRACT(CELL("address",B11), "\$([A-Z]+)\$[0-9]+"))),_xlfn.REGEXEXTRACT(CELL("address",B11), "\$([A-Z]+)\$[0-9]+"))</f>
        <v/>
      </c>
      <c r="C11" s="6" t="str" cm="1">
        <f t="array" aca="1" ref="C11" ca="1">IFERROR(IF(OR('Raw Data'!C11="",LEN(TRIM('Raw Data'!C11))=0),"",IF(AND(ISNUMBER('Raw Data'!C11), IFERROR('Raw Data'!C11 = ROUND('Raw Data'!C11, 2),FALSE)),"",_xlfn.REGEXEXTRACT(CELL("address",C11), "\$([A-Z]+)\$[0-9]+"))),_xlfn.REGEXEXTRACT(CELL("address",C11), "\$([A-Z]+)\$[0-9]+"))</f>
        <v/>
      </c>
      <c r="D11" s="6" t="str" cm="1">
        <f t="array" aca="1" ref="D11" ca="1">IFERROR(IF(OR('Raw Data'!D11="",LEN(TRIM('Raw Data'!D11))=0),"",IF(AND(ISNUMBER('Raw Data'!D11),'Raw Data'!D11&gt;=Configuration!$D$2),"",_xlfn.REGEXEXTRACT(CELL("address",'Raw Data'!D11),"\$([A-Z]+)\$[0-9]+"))),_xlfn.REGEXEXTRACT(CELL("address",D11), "\$([A-Z]+)\$[0-9]+"))</f>
        <v/>
      </c>
      <c r="E11" s="6" t="str" cm="1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6" t="str" cm="1">
        <f t="array" aca="1" ref="F11" ca="1">IFERROR(IF(OR('Raw Data'!F11="",LEN(TRIM('Raw Data'!F11))=0),"",IF(AND(ISNUMBER('Raw Data'!F11),'Raw Data'!F11&gt;=Configuration!$D$2),"",_xlfn.REGEXEXTRACT(CELL("address",'Raw Data'!F11),"\$([A-Z]+)\$[0-9]+"))),_xlfn.REGEXEXTRACT(CELL("address",F11), "\$([A-Z]+)\$[0-9]+"))</f>
        <v/>
      </c>
      <c r="G11" s="6" t="str" cm="1">
        <f t="array" aca="1" ref="G11" ca="1">IFERROR(IF(OR('Raw Data'!G11="",LEN(TRIM('Raw Data'!G11))=0),"",IF(AND(LEN('Raw Data'!G11) &lt;= 255,LEN('Raw Data'!G11)&gt; 0),"",_xlfn.REGEXEXTRACT(CELL("address",'Raw Data'!G11),"\$([A-Z]+)\$[0-9]+"))),_xlfn.REGEXEXTRACT(CELL("address",'Raw Data'!G11),"\$([A-Z]+)\$[0-9]+"))</f>
        <v/>
      </c>
    </row>
    <row r="12" spans="2:7" x14ac:dyDescent="0.25">
      <c r="B12" s="6" t="str" cm="1">
        <f t="array" aca="1" ref="B12" ca="1">IFERROR(IF(OR('Raw Data'!B12="",LEN(TRIM('Raw Data'!B12))=0),"",IF(ISNUMBER('Raw Data'!B12),"",_xlfn.REGEXEXTRACT(CELL("address",B12), "\$([A-Z]+)\$[0-9]+"))),_xlfn.REGEXEXTRACT(CELL("address",B12), "\$([A-Z]+)\$[0-9]+"))</f>
        <v/>
      </c>
      <c r="C12" s="6" t="str" cm="1">
        <f t="array" aca="1" ref="C12" ca="1">IFERROR(IF(OR('Raw Data'!C12="",LEN(TRIM('Raw Data'!C12))=0),"",IF(AND(ISNUMBER('Raw Data'!C12), IFERROR('Raw Data'!C12 = ROUND('Raw Data'!C12, 2),FALSE)),"",_xlfn.REGEXEXTRACT(CELL("address",C12), "\$([A-Z]+)\$[0-9]+"))),_xlfn.REGEXEXTRACT(CELL("address",C12), "\$([A-Z]+)\$[0-9]+"))</f>
        <v/>
      </c>
      <c r="D12" s="6" t="str" cm="1">
        <f t="array" aca="1" ref="D12" ca="1">IFERROR(IF(OR('Raw Data'!D12="",LEN(TRIM('Raw Data'!D12))=0),"",IF(AND(ISNUMBER('Raw Data'!D12),'Raw Data'!D12&gt;=Configuration!$D$2),"",_xlfn.REGEXEXTRACT(CELL("address",'Raw Data'!D12),"\$([A-Z]+)\$[0-9]+"))),_xlfn.REGEXEXTRACT(CELL("address",D12), "\$([A-Z]+)\$[0-9]+"))</f>
        <v/>
      </c>
      <c r="E12" s="6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6" t="str" cm="1">
        <f t="array" aca="1" ref="F12" ca="1">IFERROR(IF(OR('Raw Data'!F12="",LEN(TRIM('Raw Data'!F12))=0),"",IF(AND(ISNUMBER('Raw Data'!F12),'Raw Data'!F12&gt;=Configuration!$D$2),"",_xlfn.REGEXEXTRACT(CELL("address",'Raw Data'!F12),"\$([A-Z]+)\$[0-9]+"))),_xlfn.REGEXEXTRACT(CELL("address",F12), "\$([A-Z]+)\$[0-9]+"))</f>
        <v/>
      </c>
      <c r="G12" s="6" t="str" cm="1">
        <f t="array" aca="1" ref="G12" ca="1">IFERROR(IF(OR('Raw Data'!G12="",LEN(TRIM('Raw Data'!G12))=0),"",IF(AND(LEN('Raw Data'!G12) &lt;= 255,LEN('Raw Data'!G12)&gt; 0),"",_xlfn.REGEXEXTRACT(CELL("address",'Raw Data'!G12),"\$([A-Z]+)\$[0-9]+"))),_xlfn.REGEXEXTRACT(CELL("address",'Raw Data'!G12),"\$([A-Z]+)\$[0-9]+"))</f>
        <v/>
      </c>
    </row>
    <row r="13" spans="2:7" x14ac:dyDescent="0.25">
      <c r="B13" s="6" t="str" cm="1">
        <f t="array" aca="1" ref="B13" ca="1">IFERROR(IF(OR('Raw Data'!B13="",LEN(TRIM('Raw Data'!B13))=0),"",IF(ISNUMBER('Raw Data'!B13),"",_xlfn.REGEXEXTRACT(CELL("address",B13), "\$([A-Z]+)\$[0-9]+"))),_xlfn.REGEXEXTRACT(CELL("address",B13), "\$([A-Z]+)\$[0-9]+"))</f>
        <v/>
      </c>
      <c r="C13" s="6" t="str" cm="1">
        <f t="array" aca="1" ref="C13" ca="1">IFERROR(IF(OR('Raw Data'!C13="",LEN(TRIM('Raw Data'!C13))=0),"",IF(AND(ISNUMBER('Raw Data'!C13), IFERROR('Raw Data'!C13 = ROUND('Raw Data'!C13, 2),FALSE)),"",_xlfn.REGEXEXTRACT(CELL("address",C13), "\$([A-Z]+)\$[0-9]+"))),_xlfn.REGEXEXTRACT(CELL("address",C13), "\$([A-Z]+)\$[0-9]+"))</f>
        <v/>
      </c>
      <c r="D13" s="6" t="str" cm="1">
        <f t="array" aca="1" ref="D13" ca="1">IFERROR(IF(OR('Raw Data'!D13="",LEN(TRIM('Raw Data'!D13))=0),"",IF(AND(ISNUMBER('Raw Data'!D13),'Raw Data'!D13&gt;=Configuration!$D$2),"",_xlfn.REGEXEXTRACT(CELL("address",'Raw Data'!D13),"\$([A-Z]+)\$[0-9]+"))),_xlfn.REGEXEXTRACT(CELL("address",D13), "\$([A-Z]+)\$[0-9]+"))</f>
        <v/>
      </c>
      <c r="E13" s="6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6" t="str" cm="1">
        <f t="array" aca="1" ref="F13" ca="1">IFERROR(IF(OR('Raw Data'!F13="",LEN(TRIM('Raw Data'!F13))=0),"",IF(AND(ISNUMBER('Raw Data'!F13),'Raw Data'!F13&gt;=Configuration!$D$2),"",_xlfn.REGEXEXTRACT(CELL("address",'Raw Data'!F13),"\$([A-Z]+)\$[0-9]+"))),_xlfn.REGEXEXTRACT(CELL("address",F13), "\$([A-Z]+)\$[0-9]+"))</f>
        <v/>
      </c>
      <c r="G13" s="6" t="str" cm="1">
        <f t="array" aca="1" ref="G13" ca="1">IFERROR(IF(OR('Raw Data'!G13="",LEN(TRIM('Raw Data'!G13))=0),"",IF(AND(LEN('Raw Data'!G13) &lt;= 255,LEN('Raw Data'!G13)&gt; 0),"",_xlfn.REGEXEXTRACT(CELL("address",'Raw Data'!G13),"\$([A-Z]+)\$[0-9]+"))),_xlfn.REGEXEXTRACT(CELL("address",'Raw Data'!G13),"\$([A-Z]+)\$[0-9]+"))</f>
        <v/>
      </c>
    </row>
    <row r="14" spans="2:7" x14ac:dyDescent="0.25">
      <c r="B14" s="6" t="str" cm="1">
        <f t="array" aca="1" ref="B14" ca="1">IFERROR(IF(OR('Raw Data'!B14="",LEN(TRIM('Raw Data'!B14))=0),"",IF(ISNUMBER('Raw Data'!B14),"",_xlfn.REGEXEXTRACT(CELL("address",B14), "\$([A-Z]+)\$[0-9]+"))),_xlfn.REGEXEXTRACT(CELL("address",B14), "\$([A-Z]+)\$[0-9]+"))</f>
        <v/>
      </c>
      <c r="C14" s="6" t="str" cm="1">
        <f t="array" aca="1" ref="C14" ca="1">IFERROR(IF(OR('Raw Data'!C14="",LEN(TRIM('Raw Data'!C14))=0),"",IF(AND(ISNUMBER('Raw Data'!C14), IFERROR('Raw Data'!C14 = ROUND('Raw Data'!C14, 2),FALSE)),"",_xlfn.REGEXEXTRACT(CELL("address",C14), "\$([A-Z]+)\$[0-9]+"))),_xlfn.REGEXEXTRACT(CELL("address",C14), "\$([A-Z]+)\$[0-9]+"))</f>
        <v/>
      </c>
      <c r="D14" s="6" t="str" cm="1">
        <f t="array" aca="1" ref="D14" ca="1">IFERROR(IF(OR('Raw Data'!D14="",LEN(TRIM('Raw Data'!D14))=0),"",IF(AND(ISNUMBER('Raw Data'!D14),'Raw Data'!D14&gt;=Configuration!$D$2),"",_xlfn.REGEXEXTRACT(CELL("address",'Raw Data'!D14),"\$([A-Z]+)\$[0-9]+"))),_xlfn.REGEXEXTRACT(CELL("address",D14), "\$([A-Z]+)\$[0-9]+"))</f>
        <v/>
      </c>
      <c r="E14" s="6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6" t="str" cm="1">
        <f t="array" aca="1" ref="F14" ca="1">IFERROR(IF(OR('Raw Data'!F14="",LEN(TRIM('Raw Data'!F14))=0),"",IF(AND(ISNUMBER('Raw Data'!F14),'Raw Data'!F14&gt;=Configuration!$D$2),"",_xlfn.REGEXEXTRACT(CELL("address",'Raw Data'!F14),"\$([A-Z]+)\$[0-9]+"))),_xlfn.REGEXEXTRACT(CELL("address",F14), "\$([A-Z]+)\$[0-9]+"))</f>
        <v/>
      </c>
      <c r="G14" s="6" t="str" cm="1">
        <f t="array" aca="1" ref="G14" ca="1">IFERROR(IF(OR('Raw Data'!G14="",LEN(TRIM('Raw Data'!G14))=0),"",IF(AND(LEN('Raw Data'!G14) &lt;= 255,LEN('Raw Data'!G14)&gt; 0),"",_xlfn.REGEXEXTRACT(CELL("address",'Raw Data'!G14),"\$([A-Z]+)\$[0-9]+"))),_xlfn.REGEXEXTRACT(CELL("address",'Raw Data'!G14),"\$([A-Z]+)\$[0-9]+"))</f>
        <v/>
      </c>
    </row>
    <row r="15" spans="2:7" x14ac:dyDescent="0.25">
      <c r="B15" s="6" t="str" cm="1">
        <f t="array" aca="1" ref="B15" ca="1">IFERROR(IF(OR('Raw Data'!B15="",LEN(TRIM('Raw Data'!B15))=0),"",IF(ISNUMBER('Raw Data'!B15),"",_xlfn.REGEXEXTRACT(CELL("address",B15), "\$([A-Z]+)\$[0-9]+"))),_xlfn.REGEXEXTRACT(CELL("address",B15), "\$([A-Z]+)\$[0-9]+"))</f>
        <v/>
      </c>
      <c r="C15" s="6" t="str" cm="1">
        <f t="array" aca="1" ref="C15" ca="1">IFERROR(IF(OR('Raw Data'!C15="",LEN(TRIM('Raw Data'!C15))=0),"",IF(AND(ISNUMBER('Raw Data'!C15), IFERROR('Raw Data'!C15 = ROUND('Raw Data'!C15, 2),FALSE)),"",_xlfn.REGEXEXTRACT(CELL("address",C15), "\$([A-Z]+)\$[0-9]+"))),_xlfn.REGEXEXTRACT(CELL("address",C15), "\$([A-Z]+)\$[0-9]+"))</f>
        <v/>
      </c>
      <c r="D15" s="6" t="str" cm="1">
        <f t="array" aca="1" ref="D15" ca="1">IFERROR(IF(OR('Raw Data'!D15="",LEN(TRIM('Raw Data'!D15))=0),"",IF(AND(ISNUMBER('Raw Data'!D15),'Raw Data'!D15&gt;=Configuration!$D$2),"",_xlfn.REGEXEXTRACT(CELL("address",'Raw Data'!D15),"\$([A-Z]+)\$[0-9]+"))),_xlfn.REGEXEXTRACT(CELL("address",D15), "\$([A-Z]+)\$[0-9]+"))</f>
        <v/>
      </c>
      <c r="E15" s="6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6" t="str" cm="1">
        <f t="array" aca="1" ref="F15" ca="1">IFERROR(IF(OR('Raw Data'!F15="",LEN(TRIM('Raw Data'!F15))=0),"",IF(AND(ISNUMBER('Raw Data'!F15),'Raw Data'!F15&gt;=Configuration!$D$2),"",_xlfn.REGEXEXTRACT(CELL("address",'Raw Data'!F15),"\$([A-Z]+)\$[0-9]+"))),_xlfn.REGEXEXTRACT(CELL("address",F15), "\$([A-Z]+)\$[0-9]+"))</f>
        <v/>
      </c>
      <c r="G15" s="6" t="str" cm="1">
        <f t="array" aca="1" ref="G15" ca="1">IFERROR(IF(OR('Raw Data'!G15="",LEN(TRIM('Raw Data'!G15))=0),"",IF(AND(LEN('Raw Data'!G15) &lt;= 255,LEN('Raw Data'!G15)&gt; 0),"",_xlfn.REGEXEXTRACT(CELL("address",'Raw Data'!G15),"\$([A-Z]+)\$[0-9]+"))),_xlfn.REGEXEXTRACT(CELL("address",'Raw Data'!G15),"\$([A-Z]+)\$[0-9]+"))</f>
        <v/>
      </c>
    </row>
    <row r="16" spans="2:7" x14ac:dyDescent="0.25">
      <c r="B16" s="6" t="str" cm="1">
        <f t="array" aca="1" ref="B16" ca="1">IFERROR(IF(OR('Raw Data'!B16="",LEN(TRIM('Raw Data'!B16))=0),"",IF(ISNUMBER('Raw Data'!B16),"",_xlfn.REGEXEXTRACT(CELL("address",B16), "\$([A-Z]+)\$[0-9]+"))),_xlfn.REGEXEXTRACT(CELL("address",B16), "\$([A-Z]+)\$[0-9]+"))</f>
        <v/>
      </c>
      <c r="C16" s="6" t="str" cm="1">
        <f t="array" aca="1" ref="C16" ca="1">IFERROR(IF(OR('Raw Data'!C16="",LEN(TRIM('Raw Data'!C16))=0),"",IF(AND(ISNUMBER('Raw Data'!C16), IFERROR('Raw Data'!C16 = ROUND('Raw Data'!C16, 2),FALSE)),"",_xlfn.REGEXEXTRACT(CELL("address",C16), "\$([A-Z]+)\$[0-9]+"))),_xlfn.REGEXEXTRACT(CELL("address",C16), "\$([A-Z]+)\$[0-9]+"))</f>
        <v/>
      </c>
      <c r="D16" s="6" t="str" cm="1">
        <f t="array" aca="1" ref="D16" ca="1">IFERROR(IF(OR('Raw Data'!D16="",LEN(TRIM('Raw Data'!D16))=0),"",IF(AND(ISNUMBER('Raw Data'!D16),'Raw Data'!D16&gt;=Configuration!$D$2),"",_xlfn.REGEXEXTRACT(CELL("address",'Raw Data'!D16),"\$([A-Z]+)\$[0-9]+"))),_xlfn.REGEXEXTRACT(CELL("address",D16), "\$([A-Z]+)\$[0-9]+"))</f>
        <v/>
      </c>
      <c r="E16" s="6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6" t="str" cm="1">
        <f t="array" aca="1" ref="F16" ca="1">IFERROR(IF(OR('Raw Data'!F16="",LEN(TRIM('Raw Data'!F16))=0),"",IF(AND(ISNUMBER('Raw Data'!F16),'Raw Data'!F16&gt;=Configuration!$D$2),"",_xlfn.REGEXEXTRACT(CELL("address",'Raw Data'!F16),"\$([A-Z]+)\$[0-9]+"))),_xlfn.REGEXEXTRACT(CELL("address",F16), "\$([A-Z]+)\$[0-9]+"))</f>
        <v/>
      </c>
      <c r="G16" s="6" t="str" cm="1">
        <f t="array" aca="1" ref="G16" ca="1">IFERROR(IF(OR('Raw Data'!G16="",LEN(TRIM('Raw Data'!G16))=0),"",IF(AND(LEN('Raw Data'!G16) &lt;= 255,LEN('Raw Data'!G16)&gt; 0),"",_xlfn.REGEXEXTRACT(CELL("address",'Raw Data'!G16),"\$([A-Z]+)\$[0-9]+"))),_xlfn.REGEXEXTRACT(CELL("address",'Raw Data'!G16),"\$([A-Z]+)\$[0-9]+"))</f>
        <v/>
      </c>
    </row>
    <row r="17" spans="2:9" x14ac:dyDescent="0.25">
      <c r="B17" s="6" t="str" cm="1">
        <f t="array" aca="1" ref="B17" ca="1">IFERROR(IF(OR('Raw Data'!B17="",LEN(TRIM('Raw Data'!B17))=0),"",IF(ISNUMBER('Raw Data'!B17),"",_xlfn.REGEXEXTRACT(CELL("address",B17), "\$([A-Z]+)\$[0-9]+"))),_xlfn.REGEXEXTRACT(CELL("address",B17), "\$([A-Z]+)\$[0-9]+"))</f>
        <v/>
      </c>
      <c r="C17" s="6" t="str" cm="1">
        <f t="array" aca="1" ref="C17" ca="1">IFERROR(IF(OR('Raw Data'!C17="",LEN(TRIM('Raw Data'!C17))=0),"",IF(AND(ISNUMBER('Raw Data'!C17), IFERROR('Raw Data'!C17 = ROUND('Raw Data'!C17, 2),FALSE)),"",_xlfn.REGEXEXTRACT(CELL("address",C17), "\$([A-Z]+)\$[0-9]+"))),_xlfn.REGEXEXTRACT(CELL("address",C17), "\$([A-Z]+)\$[0-9]+"))</f>
        <v/>
      </c>
      <c r="D17" s="6" t="str" cm="1">
        <f t="array" aca="1" ref="D17" ca="1">IFERROR(IF(OR('Raw Data'!D17="",LEN(TRIM('Raw Data'!D17))=0),"",IF(AND(ISNUMBER('Raw Data'!D17),'Raw Data'!D17&gt;=Configuration!$D$2),"",_xlfn.REGEXEXTRACT(CELL("address",'Raw Data'!D17),"\$([A-Z]+)\$[0-9]+"))),_xlfn.REGEXEXTRACT(CELL("address",D17), "\$([A-Z]+)\$[0-9]+"))</f>
        <v/>
      </c>
      <c r="E17" s="6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6" t="str" cm="1">
        <f t="array" aca="1" ref="F17" ca="1">IFERROR(IF(OR('Raw Data'!F17="",LEN(TRIM('Raw Data'!F17))=0),"",IF(AND(ISNUMBER('Raw Data'!F17),'Raw Data'!F17&gt;=Configuration!$D$2),"",_xlfn.REGEXEXTRACT(CELL("address",'Raw Data'!F17),"\$([A-Z]+)\$[0-9]+"))),_xlfn.REGEXEXTRACT(CELL("address",F17), "\$([A-Z]+)\$[0-9]+"))</f>
        <v/>
      </c>
      <c r="G17" s="6" t="str" cm="1">
        <f t="array" aca="1" ref="G17" ca="1">IFERROR(IF(OR('Raw Data'!G17="",LEN(TRIM('Raw Data'!G17))=0),"",IF(AND(LEN('Raw Data'!G17) &lt;= 255,LEN('Raw Data'!G17)&gt; 0),"",_xlfn.REGEXEXTRACT(CELL("address",'Raw Data'!G17),"\$([A-Z]+)\$[0-9]+"))),_xlfn.REGEXEXTRACT(CELL("address",'Raw Data'!G17),"\$([A-Z]+)\$[0-9]+"))</f>
        <v/>
      </c>
    </row>
    <row r="18" spans="2:9" x14ac:dyDescent="0.25">
      <c r="B18" s="6" t="str" cm="1">
        <f t="array" aca="1" ref="B18" ca="1">IFERROR(IF(OR('Raw Data'!B18="",LEN(TRIM('Raw Data'!B18))=0),"",IF(ISNUMBER('Raw Data'!B18),"",_xlfn.REGEXEXTRACT(CELL("address",B18), "\$([A-Z]+)\$[0-9]+"))),_xlfn.REGEXEXTRACT(CELL("address",B18), "\$([A-Z]+)\$[0-9]+"))</f>
        <v/>
      </c>
      <c r="C18" s="6" t="str" cm="1">
        <f t="array" aca="1" ref="C18" ca="1">IFERROR(IF(OR('Raw Data'!C18="",LEN(TRIM('Raw Data'!C18))=0),"",IF(AND(ISNUMBER('Raw Data'!C18), IFERROR('Raw Data'!C18 = ROUND('Raw Data'!C18, 2),FALSE)),"",_xlfn.REGEXEXTRACT(CELL("address",C18), "\$([A-Z]+)\$[0-9]+"))),_xlfn.REGEXEXTRACT(CELL("address",C18), "\$([A-Z]+)\$[0-9]+"))</f>
        <v/>
      </c>
      <c r="D18" s="6" t="str" cm="1">
        <f t="array" aca="1" ref="D18" ca="1">IFERROR(IF(OR('Raw Data'!D18="",LEN(TRIM('Raw Data'!D18))=0),"",IF(AND(ISNUMBER('Raw Data'!D18),'Raw Data'!D18&gt;=Configuration!$D$2),"",_xlfn.REGEXEXTRACT(CELL("address",'Raw Data'!D18),"\$([A-Z]+)\$[0-9]+"))),_xlfn.REGEXEXTRACT(CELL("address",D18), "\$([A-Z]+)\$[0-9]+"))</f>
        <v/>
      </c>
      <c r="E18" s="6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6" t="str" cm="1">
        <f t="array" aca="1" ref="F18" ca="1">IFERROR(IF(OR('Raw Data'!F18="",LEN(TRIM('Raw Data'!F18))=0),"",IF(AND(ISNUMBER('Raw Data'!F18),'Raw Data'!F18&gt;=Configuration!$D$2),"",_xlfn.REGEXEXTRACT(CELL("address",'Raw Data'!F18),"\$([A-Z]+)\$[0-9]+"))),_xlfn.REGEXEXTRACT(CELL("address",F18), "\$([A-Z]+)\$[0-9]+"))</f>
        <v/>
      </c>
      <c r="G18" s="6" t="str" cm="1">
        <f t="array" aca="1" ref="G18" ca="1">IFERROR(IF(OR('Raw Data'!G18="",LEN(TRIM('Raw Data'!G18))=0),"",IF(AND(LEN('Raw Data'!G18) &lt;= 255,LEN('Raw Data'!G18)&gt; 0),"",_xlfn.REGEXEXTRACT(CELL("address",'Raw Data'!G18),"\$([A-Z]+)\$[0-9]+"))),_xlfn.REGEXEXTRACT(CELL("address",'Raw Data'!G18),"\$([A-Z]+)\$[0-9]+"))</f>
        <v/>
      </c>
    </row>
    <row r="19" spans="2:9" x14ac:dyDescent="0.25">
      <c r="B19" s="6" t="str" cm="1">
        <f t="array" aca="1" ref="B19" ca="1">IFERROR(IF(OR('Raw Data'!B19="",LEN(TRIM('Raw Data'!B19))=0),"",IF(ISNUMBER('Raw Data'!B19),"",_xlfn.REGEXEXTRACT(CELL("address",B19), "\$([A-Z]+)\$[0-9]+"))),_xlfn.REGEXEXTRACT(CELL("address",B19), "\$([A-Z]+)\$[0-9]+"))</f>
        <v/>
      </c>
      <c r="C19" s="6" t="str" cm="1">
        <f t="array" aca="1" ref="C19" ca="1">IFERROR(IF(OR('Raw Data'!C19="",LEN(TRIM('Raw Data'!C19))=0),"",IF(AND(ISNUMBER('Raw Data'!C19), IFERROR('Raw Data'!C19 = ROUND('Raw Data'!C19, 2),FALSE)),"",_xlfn.REGEXEXTRACT(CELL("address",C19), "\$([A-Z]+)\$[0-9]+"))),_xlfn.REGEXEXTRACT(CELL("address",C19), "\$([A-Z]+)\$[0-9]+"))</f>
        <v/>
      </c>
      <c r="D19" s="6" t="str" cm="1">
        <f t="array" aca="1" ref="D19" ca="1">IFERROR(IF(OR('Raw Data'!D19="",LEN(TRIM('Raw Data'!D19))=0),"",IF(AND(ISNUMBER('Raw Data'!D19),'Raw Data'!D19&gt;=Configuration!$D$2),"",_xlfn.REGEXEXTRACT(CELL("address",'Raw Data'!D19),"\$([A-Z]+)\$[0-9]+"))),_xlfn.REGEXEXTRACT(CELL("address",D19), "\$([A-Z]+)\$[0-9]+"))</f>
        <v/>
      </c>
      <c r="E19" s="6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6" t="str" cm="1">
        <f t="array" aca="1" ref="F19" ca="1">IFERROR(IF(OR('Raw Data'!F19="",LEN(TRIM('Raw Data'!F19))=0),"",IF(AND(ISNUMBER('Raw Data'!F19),'Raw Data'!F19&gt;=Configuration!$D$2),"",_xlfn.REGEXEXTRACT(CELL("address",'Raw Data'!F19),"\$([A-Z]+)\$[0-9]+"))),_xlfn.REGEXEXTRACT(CELL("address",F19), "\$([A-Z]+)\$[0-9]+"))</f>
        <v/>
      </c>
      <c r="G19" s="6" t="str" cm="1">
        <f t="array" aca="1" ref="G19" ca="1">IFERROR(IF(OR('Raw Data'!G19="",LEN(TRIM('Raw Data'!G19))=0),"",IF(AND(LEN('Raw Data'!G19) &lt;= 255,LEN('Raw Data'!G19)&gt; 0),"",_xlfn.REGEXEXTRACT(CELL("address",'Raw Data'!G19),"\$([A-Z]+)\$[0-9]+"))),_xlfn.REGEXEXTRACT(CELL("address",'Raw Data'!G19),"\$([A-Z]+)\$[0-9]+"))</f>
        <v/>
      </c>
      <c r="I19" s="14"/>
    </row>
    <row r="20" spans="2:9" x14ac:dyDescent="0.25">
      <c r="B20" s="6" t="str" cm="1">
        <f t="array" aca="1" ref="B20" ca="1">IFERROR(IF(OR('Raw Data'!B20="",LEN(TRIM('Raw Data'!B20))=0),"",IF(ISNUMBER('Raw Data'!B20),"",_xlfn.REGEXEXTRACT(CELL("address",B20), "\$([A-Z]+)\$[0-9]+"))),_xlfn.REGEXEXTRACT(CELL("address",B20), "\$([A-Z]+)\$[0-9]+"))</f>
        <v/>
      </c>
      <c r="C20" s="6" t="str" cm="1">
        <f t="array" aca="1" ref="C20" ca="1">IFERROR(IF(OR('Raw Data'!C20="",LEN(TRIM('Raw Data'!C20))=0),"",IF(AND(ISNUMBER('Raw Data'!C20), IFERROR('Raw Data'!C20 = ROUND('Raw Data'!C20, 2),FALSE)),"",_xlfn.REGEXEXTRACT(CELL("address",C20), "\$([A-Z]+)\$[0-9]+"))),_xlfn.REGEXEXTRACT(CELL("address",C20), "\$([A-Z]+)\$[0-9]+"))</f>
        <v/>
      </c>
      <c r="D20" s="6" t="str" cm="1">
        <f t="array" aca="1" ref="D20" ca="1">IFERROR(IF(OR('Raw Data'!D20="",LEN(TRIM('Raw Data'!D20))=0),"",IF(AND(ISNUMBER('Raw Data'!D20),'Raw Data'!D20&gt;=Configuration!$D$2),"",_xlfn.REGEXEXTRACT(CELL("address",'Raw Data'!D20),"\$([A-Z]+)\$[0-9]+"))),_xlfn.REGEXEXTRACT(CELL("address",D20), "\$([A-Z]+)\$[0-9]+"))</f>
        <v/>
      </c>
      <c r="E20" s="6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6" t="str" cm="1">
        <f t="array" aca="1" ref="F20" ca="1">IFERROR(IF(OR('Raw Data'!F20="",LEN(TRIM('Raw Data'!F20))=0),"",IF(AND(ISNUMBER('Raw Data'!F20),'Raw Data'!F20&gt;=Configuration!$D$2),"",_xlfn.REGEXEXTRACT(CELL("address",'Raw Data'!F20),"\$([A-Z]+)\$[0-9]+"))),_xlfn.REGEXEXTRACT(CELL("address",F20), "\$([A-Z]+)\$[0-9]+"))</f>
        <v/>
      </c>
      <c r="G20" s="6" t="str" cm="1">
        <f t="array" aca="1" ref="G20" ca="1">IFERROR(IF(OR('Raw Data'!G20="",LEN(TRIM('Raw Data'!G20))=0),"",IF(AND(LEN('Raw Data'!G20) &lt;= 255,LEN('Raw Data'!G20)&gt; 0),"",_xlfn.REGEXEXTRACT(CELL("address",'Raw Data'!G20),"\$([A-Z]+)\$[0-9]+"))),_xlfn.REGEXEXTRACT(CELL("address",'Raw Data'!G20),"\$([A-Z]+)\$[0-9]+"))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3C3D-3093-4E96-BBE0-17CDFEDD4F6A}">
  <sheetPr codeName="Sheet6"/>
  <dimension ref="B8:G20"/>
  <sheetViews>
    <sheetView topLeftCell="A7" workbookViewId="0">
      <selection activeCell="I15" sqref="I15"/>
    </sheetView>
  </sheetViews>
  <sheetFormatPr defaultRowHeight="15" x14ac:dyDescent="0.25"/>
  <cols>
    <col min="2" max="7" width="12.28515625" customWidth="1"/>
  </cols>
  <sheetData>
    <row r="8" spans="2:7" x14ac:dyDescent="0.25">
      <c r="B8" s="7" t="s">
        <v>10</v>
      </c>
      <c r="C8" s="7" t="s">
        <v>10</v>
      </c>
      <c r="D8" s="7" t="s">
        <v>11</v>
      </c>
      <c r="E8" s="7" t="s">
        <v>11</v>
      </c>
      <c r="F8" s="7" t="s">
        <v>11</v>
      </c>
      <c r="G8" s="7" t="s">
        <v>10</v>
      </c>
    </row>
    <row r="9" spans="2:7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2:7" x14ac:dyDescent="0.25">
      <c r="B10" s="6"/>
      <c r="C10" s="5"/>
      <c r="D10" s="5" t="str" cm="1">
        <f t="array" aca="1" ref="D10" ca="1">IF(OR('Raw Data'!D10="",LEN(TRIM('Raw Data'!D10))=0),"",IF('Raw Data'!D10 = Configuration!$G$2,"",_xlfn.REGEXEXTRACT(CELL("address",D10), "\$([A-Z]+)\$[0-9]+")))</f>
        <v/>
      </c>
      <c r="E10" s="5" t="str" cm="1">
        <f t="array" aca="1" ref="E10" ca="1">IF(OR('Raw Data'!E10="",LEN(TRIM('Raw Data'!E10))=0),"",IF('Raw Data'!E10 = ROUND('Raw Data'!C10/1000,2),"",_xlfn.REGEXEXTRACT(CELL("address",E10), "\$([A-Z]+)\$[0-9]+")))</f>
        <v/>
      </c>
      <c r="F10" s="5" t="str" cm="1">
        <f t="array" aca="1" ref="F10" ca="1">IF(OR('Raw Data'!F10="",LEN(TRIM('Raw Data'!F10))=0),"",IF('Raw Data'!F10 - 'Raw Data'!D10 &lt; 30,"",_xlfn.REGEXEXTRACT(CELL("address",F10), "\$([A-Z]+)\$[0-9]+")))</f>
        <v/>
      </c>
      <c r="G10" s="5"/>
    </row>
    <row r="11" spans="2:7" x14ac:dyDescent="0.25">
      <c r="B11" s="6"/>
      <c r="C11" s="5"/>
      <c r="D11" s="5" t="str" cm="1">
        <f t="array" aca="1" ref="D11" ca="1">IF(OR('Raw Data'!D11="",LEN(TRIM('Raw Data'!D11))=0),"",IF('Raw Data'!D11 = Configuration!$G$2,"",_xlfn.REGEXEXTRACT(CELL("address",D11), "\$([A-Z]+)\$[0-9]+")))</f>
        <v/>
      </c>
      <c r="E11" s="5" t="str" cm="1">
        <f t="array" aca="1" ref="E11" ca="1">IF(OR('Raw Data'!E11="",LEN(TRIM('Raw Data'!E11))=0),"",IF('Raw Data'!E11 = ROUND('Raw Data'!C11/1000,2),"",_xlfn.REGEXEXTRACT(CELL("address",E11), "\$([A-Z]+)\$[0-9]+")))</f>
        <v/>
      </c>
      <c r="F11" s="5" t="str" cm="1">
        <f t="array" aca="1" ref="F11" ca="1">IF(OR('Raw Data'!F11="",LEN(TRIM('Raw Data'!F11))=0),"",IF('Raw Data'!F11 - 'Raw Data'!D11 &lt; 30,"",_xlfn.REGEXEXTRACT(CELL("address",F11), "\$([A-Z]+)\$[0-9]+")))</f>
        <v/>
      </c>
      <c r="G11" s="5"/>
    </row>
    <row r="12" spans="2:7" x14ac:dyDescent="0.25">
      <c r="B12" s="6"/>
      <c r="C12" s="5"/>
      <c r="D12" s="5" t="str" cm="1">
        <f t="array" aca="1" ref="D12" ca="1">IF(OR('Raw Data'!D12="",LEN(TRIM('Raw Data'!D12))=0),"",IF('Raw Data'!D12 = Configuration!$G$2,"",_xlfn.REGEXEXTRACT(CELL("address",D12), "\$([A-Z]+)\$[0-9]+")))</f>
        <v/>
      </c>
      <c r="E12" s="5" t="str" cm="1">
        <f t="array" aca="1" ref="E12" ca="1">IF(OR('Raw Data'!E12="",LEN(TRIM('Raw Data'!E12))=0),"",IF('Raw Data'!E12 = ROUND('Raw Data'!C12/1000,2),"",_xlfn.REGEXEXTRACT(CELL("address",E12), "\$([A-Z]+)\$[0-9]+")))</f>
        <v/>
      </c>
      <c r="F12" s="5" t="str" cm="1">
        <f t="array" aca="1" ref="F12" ca="1">IF(OR('Raw Data'!F12="",LEN(TRIM('Raw Data'!F12))=0),"",IF('Raw Data'!F12 - 'Raw Data'!D12 &lt; 30,"",_xlfn.REGEXEXTRACT(CELL("address",F12), "\$([A-Z]+)\$[0-9]+")))</f>
        <v/>
      </c>
      <c r="G12" s="5"/>
    </row>
    <row r="13" spans="2:7" x14ac:dyDescent="0.25">
      <c r="B13" s="6"/>
      <c r="C13" s="5"/>
      <c r="D13" s="5" t="str" cm="1">
        <f t="array" aca="1" ref="D13" ca="1">IF(OR('Raw Data'!D13="",LEN(TRIM('Raw Data'!D13))=0),"",IF('Raw Data'!D13 = Configuration!$G$2,"",_xlfn.REGEXEXTRACT(CELL("address",D13), "\$([A-Z]+)\$[0-9]+")))</f>
        <v/>
      </c>
      <c r="E13" s="5" t="str" cm="1">
        <f t="array" aca="1" ref="E13" ca="1">IF(OR('Raw Data'!E13="",LEN(TRIM('Raw Data'!E13))=0),"",IF('Raw Data'!E13 = ROUND('Raw Data'!C13/1000,2),"",_xlfn.REGEXEXTRACT(CELL("address",E13), "\$([A-Z]+)\$[0-9]+")))</f>
        <v/>
      </c>
      <c r="F13" s="5" t="str" cm="1">
        <f t="array" aca="1" ref="F13" ca="1">IF(OR('Raw Data'!F13="",LEN(TRIM('Raw Data'!F13))=0),"",IF('Raw Data'!F13 - 'Raw Data'!D13 &lt; 30,"",_xlfn.REGEXEXTRACT(CELL("address",F13), "\$([A-Z]+)\$[0-9]+")))</f>
        <v/>
      </c>
      <c r="G13" s="5"/>
    </row>
    <row r="14" spans="2:7" x14ac:dyDescent="0.25">
      <c r="B14" s="6"/>
      <c r="C14" s="5"/>
      <c r="D14" s="5" t="str" cm="1">
        <f t="array" aca="1" ref="D14" ca="1">IF(OR('Raw Data'!D14="",LEN(TRIM('Raw Data'!D14))=0),"",IF('Raw Data'!D14 = Configuration!$G$2,"",_xlfn.REGEXEXTRACT(CELL("address",D14), "\$([A-Z]+)\$[0-9]+")))</f>
        <v/>
      </c>
      <c r="E14" s="5" t="str" cm="1">
        <f t="array" aca="1" ref="E14" ca="1">IF(OR('Raw Data'!E14="",LEN(TRIM('Raw Data'!E14))=0),"",IF('Raw Data'!E14 = ROUND('Raw Data'!C14/1000,2),"",_xlfn.REGEXEXTRACT(CELL("address",E14), "\$([A-Z]+)\$[0-9]+")))</f>
        <v/>
      </c>
      <c r="F14" s="5" t="str" cm="1">
        <f t="array" aca="1" ref="F14" ca="1">IF(OR('Raw Data'!F14="",LEN(TRIM('Raw Data'!F14))=0),"",IF('Raw Data'!F14 - 'Raw Data'!D14 &lt; 30,"",_xlfn.REGEXEXTRACT(CELL("address",F14), "\$([A-Z]+)\$[0-9]+")))</f>
        <v/>
      </c>
      <c r="G14" s="5"/>
    </row>
    <row r="15" spans="2:7" x14ac:dyDescent="0.25">
      <c r="B15" s="6"/>
      <c r="C15" s="5"/>
      <c r="D15" s="5" t="str" cm="1">
        <f t="array" aca="1" ref="D15" ca="1">IF(OR('Raw Data'!D15="",LEN(TRIM('Raw Data'!D15))=0),"",IF('Raw Data'!D15 = Configuration!$G$2,"",_xlfn.REGEXEXTRACT(CELL("address",D15), "\$([A-Z]+)\$[0-9]+")))</f>
        <v/>
      </c>
      <c r="E15" s="5" t="str" cm="1">
        <f t="array" aca="1" ref="E15" ca="1">IF(OR('Raw Data'!E15="",LEN(TRIM('Raw Data'!E15))=0),"",IF('Raw Data'!E15 = ROUND('Raw Data'!C15/1000,2),"",_xlfn.REGEXEXTRACT(CELL("address",E15), "\$([A-Z]+)\$[0-9]+")))</f>
        <v/>
      </c>
      <c r="F15" s="5" t="str" cm="1">
        <f t="array" aca="1" ref="F15" ca="1">IF(OR('Raw Data'!F15="",LEN(TRIM('Raw Data'!F15))=0),"",IF('Raw Data'!F15 - 'Raw Data'!D15 &lt; 30,"",_xlfn.REGEXEXTRACT(CELL("address",F15), "\$([A-Z]+)\$[0-9]+")))</f>
        <v/>
      </c>
      <c r="G15" s="5"/>
    </row>
    <row r="16" spans="2:7" x14ac:dyDescent="0.25">
      <c r="B16" s="6"/>
      <c r="C16" s="5"/>
      <c r="D16" s="5" t="str" cm="1">
        <f t="array" aca="1" ref="D16" ca="1">IF(OR('Raw Data'!D16="",LEN(TRIM('Raw Data'!D16))=0),"",IF('Raw Data'!D16 = Configuration!$G$2,"",_xlfn.REGEXEXTRACT(CELL("address",D16), "\$([A-Z]+)\$[0-9]+")))</f>
        <v/>
      </c>
      <c r="E16" s="5" t="str" cm="1">
        <f t="array" aca="1" ref="E16" ca="1">IF(OR('Raw Data'!E16="",LEN(TRIM('Raw Data'!E16))=0),"",IF('Raw Data'!E16 = ROUND('Raw Data'!C16/1000,2),"",_xlfn.REGEXEXTRACT(CELL("address",E16), "\$([A-Z]+)\$[0-9]+")))</f>
        <v/>
      </c>
      <c r="F16" s="5" t="str" cm="1">
        <f t="array" aca="1" ref="F16" ca="1">IF(OR('Raw Data'!F16="",LEN(TRIM('Raw Data'!F16))=0),"",IF('Raw Data'!F16 - 'Raw Data'!D16 &lt; 30,"",_xlfn.REGEXEXTRACT(CELL("address",F16), "\$([A-Z]+)\$[0-9]+")))</f>
        <v/>
      </c>
      <c r="G16" s="5"/>
    </row>
    <row r="17" spans="2:7" x14ac:dyDescent="0.25">
      <c r="B17" s="6"/>
      <c r="C17" s="5"/>
      <c r="D17" s="5" t="str" cm="1">
        <f t="array" aca="1" ref="D17" ca="1">IF(OR('Raw Data'!D17="",LEN(TRIM('Raw Data'!D17))=0),"",IF('Raw Data'!D17 = Configuration!$G$2,"",_xlfn.REGEXEXTRACT(CELL("address",D17), "\$([A-Z]+)\$[0-9]+")))</f>
        <v/>
      </c>
      <c r="E17" s="5" t="str" cm="1">
        <f t="array" aca="1" ref="E17" ca="1">IF(OR('Raw Data'!E17="",LEN(TRIM('Raw Data'!E17))=0),"",IF('Raw Data'!E17 = ROUND('Raw Data'!C17/1000,2),"",_xlfn.REGEXEXTRACT(CELL("address",E17), "\$([A-Z]+)\$[0-9]+")))</f>
        <v/>
      </c>
      <c r="F17" s="5" t="str" cm="1">
        <f t="array" aca="1" ref="F17" ca="1">IF(OR('Raw Data'!F17="",LEN(TRIM('Raw Data'!F17))=0),"",IF('Raw Data'!F17 - 'Raw Data'!D17 &lt; 30,"",_xlfn.REGEXEXTRACT(CELL("address",F17), "\$([A-Z]+)\$[0-9]+")))</f>
        <v/>
      </c>
      <c r="G17" s="5"/>
    </row>
    <row r="18" spans="2:7" x14ac:dyDescent="0.25">
      <c r="B18" s="6"/>
      <c r="C18" s="5"/>
      <c r="D18" s="5" t="str" cm="1">
        <f t="array" aca="1" ref="D18" ca="1">IF(OR('Raw Data'!D18="",LEN(TRIM('Raw Data'!D18))=0),"",IF('Raw Data'!D18 = Configuration!$G$2,"",_xlfn.REGEXEXTRACT(CELL("address",D18), "\$([A-Z]+)\$[0-9]+")))</f>
        <v/>
      </c>
      <c r="E18" s="5" t="str" cm="1">
        <f t="array" aca="1" ref="E18" ca="1">IF(OR('Raw Data'!E18="",LEN(TRIM('Raw Data'!E18))=0),"",IF('Raw Data'!E18 = ROUND('Raw Data'!C18/1000,2),"",_xlfn.REGEXEXTRACT(CELL("address",E18), "\$([A-Z]+)\$[0-9]+")))</f>
        <v/>
      </c>
      <c r="F18" s="5" t="str" cm="1">
        <f t="array" aca="1" ref="F18" ca="1">IF(OR('Raw Data'!F18="",LEN(TRIM('Raw Data'!F18))=0),"",IF('Raw Data'!F18 - 'Raw Data'!D18 &lt; 30,"",_xlfn.REGEXEXTRACT(CELL("address",F18), "\$([A-Z]+)\$[0-9]+")))</f>
        <v/>
      </c>
      <c r="G18" s="5"/>
    </row>
    <row r="19" spans="2:7" x14ac:dyDescent="0.25">
      <c r="B19" s="6"/>
      <c r="C19" s="5"/>
      <c r="D19" s="5" t="str" cm="1">
        <f t="array" aca="1" ref="D19" ca="1">IF(OR('Raw Data'!D19="",LEN(TRIM('Raw Data'!D19))=0),"",IF('Raw Data'!D19 = Configuration!$G$2,"",_xlfn.REGEXEXTRACT(CELL("address",D19), "\$([A-Z]+)\$[0-9]+")))</f>
        <v/>
      </c>
      <c r="E19" s="5" t="str" cm="1">
        <f t="array" aca="1" ref="E19" ca="1">IF(OR('Raw Data'!E19="",LEN(TRIM('Raw Data'!E19))=0),"",IF('Raw Data'!E19 = ROUND('Raw Data'!C19/1000,2),"",_xlfn.REGEXEXTRACT(CELL("address",E19), "\$([A-Z]+)\$[0-9]+")))</f>
        <v/>
      </c>
      <c r="F19" s="5" t="str" cm="1">
        <f t="array" aca="1" ref="F19" ca="1">IF(OR('Raw Data'!F19="",LEN(TRIM('Raw Data'!F19))=0),"",IF('Raw Data'!F19 - 'Raw Data'!D19 &lt; 30,"",_xlfn.REGEXEXTRACT(CELL("address",F19), "\$([A-Z]+)\$[0-9]+")))</f>
        <v/>
      </c>
      <c r="G19" s="5"/>
    </row>
    <row r="20" spans="2:7" x14ac:dyDescent="0.25">
      <c r="B20" s="6"/>
      <c r="C20" s="5"/>
      <c r="D20" s="5" t="str" cm="1">
        <f t="array" aca="1" ref="D20" ca="1">IF(OR('Raw Data'!D20="",LEN(TRIM('Raw Data'!D20))=0),"",IF('Raw Data'!D20 = Configuration!$G$2,"",_xlfn.REGEXEXTRACT(CELL("address",D20), "\$([A-Z]+)\$[0-9]+")))</f>
        <v/>
      </c>
      <c r="E20" s="5" t="str" cm="1">
        <f t="array" aca="1" ref="E20" ca="1">IF(OR('Raw Data'!E20="",LEN(TRIM('Raw Data'!E20))=0),"",IF('Raw Data'!E20 = ROUND('Raw Data'!C20/1000,2),"",_xlfn.REGEXEXTRACT(CELL("address",E20), "\$([A-Z]+)\$[0-9]+")))</f>
        <v/>
      </c>
      <c r="F20" s="5" t="str" cm="1">
        <f t="array" aca="1" ref="F20" ca="1">IF(OR('Raw Data'!F20="",LEN(TRIM('Raw Data'!F20))=0),"",IF('Raw Data'!F20 - 'Raw Data'!D20 &lt; 30,"",_xlfn.REGEXEXTRACT(CELL("address",F20), "\$([A-Z]+)\$[0-9]+")))</f>
        <v/>
      </c>
      <c r="G2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7364-E05A-4EF5-A51C-3DADB006826F}">
  <dimension ref="A1"/>
  <sheetViews>
    <sheetView workbookViewId="0">
      <selection activeCell="J31" sqref="J31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9C76-6A64-4F94-A721-2075481E440F}">
  <sheetPr codeName="Sheet7"/>
  <dimension ref="B8:G14"/>
  <sheetViews>
    <sheetView topLeftCell="A4" workbookViewId="0">
      <selection activeCell="F15" sqref="F15"/>
    </sheetView>
  </sheetViews>
  <sheetFormatPr defaultRowHeight="15" x14ac:dyDescent="0.25"/>
  <cols>
    <col min="3" max="4" width="15" customWidth="1"/>
  </cols>
  <sheetData>
    <row r="8" spans="2:7" x14ac:dyDescent="0.25">
      <c r="B8" s="7" t="s">
        <v>10</v>
      </c>
      <c r="C8" s="7" t="s">
        <v>10</v>
      </c>
      <c r="D8" s="7" t="s">
        <v>11</v>
      </c>
      <c r="E8" s="7" t="s">
        <v>11</v>
      </c>
      <c r="F8" s="7" t="s">
        <v>11</v>
      </c>
      <c r="G8" s="7" t="s">
        <v>10</v>
      </c>
    </row>
    <row r="9" spans="2:7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2:7" x14ac:dyDescent="0.25">
      <c r="C10" s="10"/>
      <c r="D10" s="2"/>
    </row>
    <row r="11" spans="2:7" x14ac:dyDescent="0.25">
      <c r="D11" s="2"/>
    </row>
    <row r="12" spans="2:7" x14ac:dyDescent="0.25">
      <c r="C12" s="10"/>
      <c r="D12" s="2"/>
    </row>
    <row r="13" spans="2:7" x14ac:dyDescent="0.25">
      <c r="C13" s="10"/>
      <c r="D13" s="2"/>
    </row>
    <row r="14" spans="2:7" x14ac:dyDescent="0.25">
      <c r="C14" s="10"/>
      <c r="D1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G3"/>
  <sheetViews>
    <sheetView tabSelected="1" workbookViewId="0">
      <selection activeCell="D9" sqref="D9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  <col min="7" max="7" width="18.28515625" customWidth="1"/>
  </cols>
  <sheetData>
    <row r="1" spans="1:7" x14ac:dyDescent="0.25">
      <c r="A1" t="s">
        <v>23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16" t="s">
        <v>17</v>
      </c>
    </row>
    <row r="2" spans="1:7" x14ac:dyDescent="0.25">
      <c r="A2">
        <v>2</v>
      </c>
      <c r="B2" t="s">
        <v>18</v>
      </c>
      <c r="C2" t="s">
        <v>19</v>
      </c>
      <c r="D2" s="3">
        <v>45292</v>
      </c>
      <c r="E2" s="3">
        <v>46388</v>
      </c>
      <c r="F2" t="s">
        <v>24</v>
      </c>
      <c r="G2" s="17">
        <v>45530</v>
      </c>
    </row>
    <row r="3" spans="1:7" x14ac:dyDescent="0.25">
      <c r="F3" t="s">
        <v>25</v>
      </c>
      <c r="G3" s="7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21</v>
      </c>
      <c r="I1" s="1" t="s">
        <v>22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str" cm="1">
        <f t="array" aca="1" ref="G2" ca="1">IF('Raw Data'!G2="",_xlfn.REGEXEXTRACT(CELL("address",'Raw Data'!G2),"\$([A-Z]+)\$[0-9]+"),"")</f>
        <v>$G$2</v>
      </c>
      <c r="H2" t="str" cm="1">
        <f t="array" aca="1" ref="H2" ca="1">IF('Raw Data'!H2="",_xlfn.REGEXEXTRACT(CELL("address",'Raw Data'!H2),"\$([A-Z]+)\$[0-9]+"),"")</f>
        <v>$H$2</v>
      </c>
      <c r="I2" t="str" cm="1">
        <f t="array" aca="1" ref="I2" ca="1">IF('Raw Data'!I2="",_xlfn.REGEXEXTRACT(CELL("address",'Raw Data'!I2),"\$([A-Z]+)\$[0-9]+"),"")</f>
        <v>$I$2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str" cm="1">
        <f t="array" aca="1" ref="G3" ca="1">IF('Raw Data'!G3="",_xlfn.REGEXEXTRACT(CELL("address",'Raw Data'!G3),"\$([A-Z]+)\$[0-9]+"),"")</f>
        <v>$G$3</v>
      </c>
      <c r="H3" t="str" cm="1">
        <f t="array" aca="1" ref="H3" ca="1">IF('Raw Data'!H3="",_xlfn.REGEXEXTRACT(CELL("address",'Raw Data'!H3),"\$([A-Z]+)\$[0-9]+"),"")</f>
        <v>$H$3</v>
      </c>
      <c r="I3" t="str" cm="1">
        <f t="array" aca="1" ref="I3" ca="1">IF('Raw Data'!I3="",_xlfn.REGEXEXTRACT(CELL("address",'Raw Data'!I3),"\$([A-Z]+)\$[0-9]+"),"")</f>
        <v>$I$3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str" cm="1">
        <f t="array" aca="1" ref="G4" ca="1">IF('Raw Data'!G4="",_xlfn.REGEXEXTRACT(CELL("address",'Raw Data'!G4),"\$([A-Z]+)\$[0-9]+"),"")</f>
        <v>$G$4</v>
      </c>
      <c r="H4" t="str" cm="1">
        <f t="array" aca="1" ref="H4" ca="1">IF('Raw Data'!H4="",_xlfn.REGEXEXTRACT(CELL("address",'Raw Data'!H4),"\$([A-Z]+)\$[0-9]+"),"")</f>
        <v>$H$4</v>
      </c>
      <c r="I4" t="str" cm="1">
        <f t="array" aca="1" ref="I4" ca="1">IF('Raw Data'!I4="",_xlfn.REGEXEXTRACT(CELL("address",'Raw Data'!I4),"\$([A-Z]+)\$[0-9]+"),"")</f>
        <v>$I$4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str" cm="1">
        <f t="array" aca="1" ref="G5" ca="1">IF('Raw Data'!G5="",_xlfn.REGEXEXTRACT(CELL("address",'Raw Data'!G5),"\$([A-Z]+)\$[0-9]+"),"")</f>
        <v>$G$5</v>
      </c>
      <c r="H5" t="str" cm="1">
        <f t="array" aca="1" ref="H5" ca="1">IF('Raw Data'!H5="",_xlfn.REGEXEXTRACT(CELL("address",'Raw Data'!H5),"\$([A-Z]+)\$[0-9]+"),"")</f>
        <v>$H$5</v>
      </c>
      <c r="I5" t="str" cm="1">
        <f t="array" aca="1" ref="I5" ca="1">IF('Raw Data'!I5="",_xlfn.REGEXEXTRACT(CELL("address",'Raw Data'!I5),"\$([A-Z]+)\$[0-9]+"),"")</f>
        <v>$I$5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str" cm="1">
        <f t="array" aca="1" ref="G6" ca="1">IF('Raw Data'!G6="",_xlfn.REGEXEXTRACT(CELL("address",'Raw Data'!G6),"\$([A-Z]+)\$[0-9]+"),"")</f>
        <v>$G$6</v>
      </c>
      <c r="H6" t="str" cm="1">
        <f t="array" aca="1" ref="H6" ca="1">IF('Raw Data'!H6="",_xlfn.REGEXEXTRACT(CELL("address",'Raw Data'!H6),"\$([A-Z]+)\$[0-9]+"),"")</f>
        <v>$H$6</v>
      </c>
      <c r="I6" t="str" cm="1">
        <f t="array" aca="1" ref="I6" ca="1">IF('Raw Data'!I6="",_xlfn.REGEXEXTRACT(CELL("address",'Raw Data'!I6),"\$([A-Z]+)\$[0-9]+"),"")</f>
        <v>$I$6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str" cm="1">
        <f t="array" aca="1" ref="G7" ca="1">IF('Raw Data'!G7="",_xlfn.REGEXEXTRACT(CELL("address",'Raw Data'!G7),"\$([A-Z]+)\$[0-9]+"),"")</f>
        <v>$G$7</v>
      </c>
      <c r="H7" t="str" cm="1">
        <f t="array" aca="1" ref="H7" ca="1">IF('Raw Data'!H7="",_xlfn.REGEXEXTRACT(CELL("address",'Raw Data'!H7),"\$([A-Z]+)\$[0-9]+"),"")</f>
        <v>$H$7</v>
      </c>
      <c r="I7" t="str" cm="1">
        <f t="array" aca="1" ref="I7" ca="1">IF('Raw Data'!I7="",_xlfn.REGEXEXTRACT(CELL("address",'Raw Data'!I7),"\$([A-Z]+)\$[0-9]+"),"")</f>
        <v>$I$7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str" cm="1">
        <f t="array" aca="1" ref="G8" ca="1">IF('Raw Data'!G8="",_xlfn.REGEXEXTRACT(CELL("address",'Raw Data'!G8),"\$([A-Z]+)\$[0-9]+"),"")</f>
        <v>$G$8</v>
      </c>
      <c r="H8" t="str" cm="1">
        <f t="array" aca="1" ref="H8" ca="1">IF('Raw Data'!H8="",_xlfn.REGEXEXTRACT(CELL("address",'Raw Data'!H8),"\$([A-Z]+)\$[0-9]+"),"")</f>
        <v>$H$8</v>
      </c>
      <c r="I8" t="str" cm="1">
        <f t="array" aca="1" ref="I8" ca="1">IF('Raw Data'!I8="",_xlfn.REGEXEXTRACT(CELL("address",'Raw Data'!I8),"\$([A-Z]+)\$[0-9]+"),"")</f>
        <v>$I$8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Data'!H9="",_xlfn.REGEXEXTRACT(CELL("address",'Raw Data'!H9),"\$([A-Z]+)\$[0-9]+"),"")</f>
        <v>$H$9</v>
      </c>
      <c r="I9" t="str" cm="1">
        <f t="array" aca="1" ref="I9" ca="1">IF('Raw Data'!I9="",_xlfn.REGEXEXTRACT(CELL("address",'Raw Data'!I9),"\$([A-Z]+)\$[0-9]+"),"")</f>
        <v>$I$9</v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str" cm="1">
        <f t="array" aca="1" ref="G10" ca="1">IF('Raw Data'!G10="",_xlfn.REGEXEXTRACT(CELL("address",'Raw Data'!G10),"\$([A-Z]+)\$[0-9]+"),"")</f>
        <v>$G$10</v>
      </c>
      <c r="H10" t="str" cm="1">
        <f t="array" aca="1" ref="H10" ca="1">IF('Raw Data'!H10="",_xlfn.REGEXEXTRACT(CELL("address",'Raw Data'!H10),"\$([A-Z]+)\$[0-9]+"),"")</f>
        <v>$H$10</v>
      </c>
      <c r="I10" t="str" cm="1">
        <f t="array" aca="1" ref="I10" ca="1">IF('Raw Data'!I10="",_xlfn.REGEXEXTRACT(CELL("address",'Raw Data'!I10),"\$([A-Z]+)\$[0-9]+"),"")</f>
        <v>$I$10</v>
      </c>
    </row>
    <row r="11" spans="2:9" x14ac:dyDescent="0.25">
      <c r="B11" t="str" cm="1">
        <f t="array" aca="1" ref="B11" ca="1">IF('Raw Data'!B11="",_xlfn.REGEXEXTRACT(CELL("address",'Raw Data'!B11),"\$([A-Z]+)\$[0-9]+"),"")</f>
        <v>$B$11</v>
      </c>
      <c r="C11" t="str" cm="1">
        <f t="array" aca="1" ref="C11" ca="1">IF('Raw Data'!C11="",_xlfn.REGEXEXTRACT(CELL("address",'Raw Data'!C11),"\$([A-Z]+)\$[0-9]+"),"")</f>
        <v>$C$11</v>
      </c>
      <c r="D11" t="str" cm="1">
        <f t="array" aca="1" ref="D11" ca="1">IF('Raw Data'!D11="",_xlfn.REGEXEXTRACT(CELL("address",'Raw Data'!D11),"\$([A-Z]+)\$[0-9]+"),"")</f>
        <v>$D$11</v>
      </c>
      <c r="E11" t="str" cm="1">
        <f t="array" aca="1" ref="E11" ca="1">IF('Raw Data'!E11="",_xlfn.REGEXEXTRACT(CELL("address",'Raw Data'!E11),"\$([A-Z]+)\$[0-9]+"),"")</f>
        <v>$E$11</v>
      </c>
      <c r="F11" t="str" cm="1">
        <f t="array" aca="1" ref="F11" ca="1">IF('Raw Data'!F11="",_xlfn.REGEXEXTRACT(CELL("address",'Raw Data'!F11),"\$([A-Z]+)\$[0-9]+"),"")</f>
        <v>$F$11</v>
      </c>
      <c r="G11" t="str" cm="1">
        <f t="array" aca="1" ref="G11" ca="1">IF('Raw Data'!G11="",_xlfn.REGEXEXTRACT(CELL("address",'Raw Data'!G11),"\$([A-Z]+)\$[0-9]+"),"")</f>
        <v>$G$11</v>
      </c>
      <c r="H11" t="str" cm="1">
        <f t="array" aca="1" ref="H11" ca="1">IF('Raw Data'!H11="",_xlfn.REGEXEXTRACT(CELL("address",'Raw Data'!H11),"\$([A-Z]+)\$[0-9]+"),"")</f>
        <v>$H$11</v>
      </c>
      <c r="I11" t="str" cm="1">
        <f t="array" aca="1" ref="I11" ca="1">IF('Raw Data'!I11="",_xlfn.REGEXEXTRACT(CELL("address",'Raw Data'!I11),"\$([A-Z]+)\$[0-9]+"),"")</f>
        <v>$I$11</v>
      </c>
    </row>
    <row r="12" spans="2:9" x14ac:dyDescent="0.25">
      <c r="B12" t="str" cm="1">
        <f t="array" aca="1" ref="B12" ca="1">IF('Raw Data'!B12="",_xlfn.REGEXEXTRACT(CELL("address",'Raw Data'!B12),"\$([A-Z]+)\$[0-9]+"),"")</f>
        <v>$B$12</v>
      </c>
      <c r="C12" t="str" cm="1">
        <f t="array" aca="1" ref="C12" ca="1">IF('Raw Data'!C12="",_xlfn.REGEXEXTRACT(CELL("address",'Raw Data'!C12),"\$([A-Z]+)\$[0-9]+"),"")</f>
        <v>$C$12</v>
      </c>
      <c r="D12" t="str" cm="1">
        <f t="array" aca="1" ref="D12" ca="1">IF('Raw Data'!D12="",_xlfn.REGEXEXTRACT(CELL("address",'Raw Data'!D12),"\$([A-Z]+)\$[0-9]+"),"")</f>
        <v>$D$12</v>
      </c>
      <c r="E12" t="str" cm="1">
        <f t="array" aca="1" ref="E12" ca="1">IF('Raw Data'!E12="",_xlfn.REGEXEXTRACT(CELL("address",'Raw Data'!E12),"\$([A-Z]+)\$[0-9]+"),"")</f>
        <v>$E$12</v>
      </c>
      <c r="F12" t="str" cm="1">
        <f t="array" aca="1" ref="F12" ca="1">IF('Raw Data'!F12="",_xlfn.REGEXEXTRACT(CELL("address",'Raw Data'!F12),"\$([A-Z]+)\$[0-9]+"),"")</f>
        <v>$F$12</v>
      </c>
      <c r="G12" t="str" cm="1">
        <f t="array" aca="1" ref="G12" ca="1">IF('Raw Data'!G12="",_xlfn.REGEXEXTRACT(CELL("address",'Raw Data'!G12),"\$([A-Z]+)\$[0-9]+"),"")</f>
        <v>$G$12</v>
      </c>
      <c r="H12" t="str" cm="1">
        <f t="array" aca="1" ref="H12" ca="1">IF('Raw Data'!H12="",_xlfn.REGEXEXTRACT(CELL("address",'Raw Data'!H12),"\$([A-Z]+)\$[0-9]+"),"")</f>
        <v>$H$12</v>
      </c>
      <c r="I12" t="str" cm="1">
        <f t="array" aca="1" ref="I12" ca="1">IF('Raw Data'!I12="",_xlfn.REGEXEXTRACT(CELL("address",'Raw Data'!I12),"\$([A-Z]+)\$[0-9]+"),"")</f>
        <v>$I$12</v>
      </c>
    </row>
    <row r="13" spans="2:9" x14ac:dyDescent="0.25">
      <c r="B13" t="str" cm="1">
        <f t="array" aca="1" ref="B13" ca="1">IF('Raw Data'!B13="",_xlfn.REGEXEXTRACT(CELL("address",'Raw Data'!B13),"\$([A-Z]+)\$[0-9]+"),"")</f>
        <v>$B$13</v>
      </c>
      <c r="C13" t="str" cm="1">
        <f t="array" aca="1" ref="C13" ca="1">IF('Raw Data'!C13="",_xlfn.REGEXEXTRACT(CELL("address",'Raw Data'!C13),"\$([A-Z]+)\$[0-9]+"),"")</f>
        <v>$C$13</v>
      </c>
      <c r="D13" t="str" cm="1">
        <f t="array" aca="1" ref="D13" ca="1">IF('Raw Data'!D13="",_xlfn.REGEXEXTRACT(CELL("address",'Raw Data'!D13),"\$([A-Z]+)\$[0-9]+"),"")</f>
        <v>$D$13</v>
      </c>
      <c r="E13" t="str" cm="1">
        <f t="array" aca="1" ref="E13" ca="1">IF('Raw Data'!E13="",_xlfn.REGEXEXTRACT(CELL("address",'Raw Data'!E13),"\$([A-Z]+)\$[0-9]+"),"")</f>
        <v>$E$13</v>
      </c>
      <c r="F13" t="str" cm="1">
        <f t="array" aca="1" ref="F13" ca="1">IF('Raw Data'!F13="",_xlfn.REGEXEXTRACT(CELL("address",'Raw Data'!F13),"\$([A-Z]+)\$[0-9]+"),"")</f>
        <v>$F$13</v>
      </c>
      <c r="G13" t="str" cm="1">
        <f t="array" aca="1" ref="G13" ca="1">IF('Raw Data'!G13="",_xlfn.REGEXEXTRACT(CELL("address",'Raw Data'!G13),"\$([A-Z]+)\$[0-9]+"),"")</f>
        <v>$G$13</v>
      </c>
      <c r="H13" t="str" cm="1">
        <f t="array" aca="1" ref="H13" ca="1">IF('Raw Data'!H13="",_xlfn.REGEXEXTRACT(CELL("address",'Raw Data'!H13),"\$([A-Z]+)\$[0-9]+"),"")</f>
        <v>$H$13</v>
      </c>
      <c r="I13" t="str" cm="1">
        <f t="array" aca="1" ref="I13" ca="1">IF('Raw Data'!I13="",_xlfn.REGEXEXTRACT(CELL("address",'Raw Data'!I13),"\$([A-Z]+)\$[0-9]+"),"")</f>
        <v>$I$13</v>
      </c>
    </row>
    <row r="14" spans="2:9" x14ac:dyDescent="0.25">
      <c r="B14" t="str" cm="1">
        <f t="array" aca="1" ref="B14" ca="1">IF('Raw Data'!B14="",_xlfn.REGEXEXTRACT(CELL("address",'Raw Data'!B14),"\$([A-Z]+)\$[0-9]+"),"")</f>
        <v>$B$14</v>
      </c>
      <c r="C14" t="str" cm="1">
        <f t="array" aca="1" ref="C14" ca="1">IF('Raw Data'!C14="",_xlfn.REGEXEXTRACT(CELL("address",'Raw Data'!C14),"\$([A-Z]+)\$[0-9]+"),"")</f>
        <v>$C$14</v>
      </c>
      <c r="D14" t="str" cm="1">
        <f t="array" aca="1" ref="D14" ca="1">IF('Raw Data'!D14="",_xlfn.REGEXEXTRACT(CELL("address",'Raw Data'!D14),"\$([A-Z]+)\$[0-9]+"),"")</f>
        <v>$D$14</v>
      </c>
      <c r="E14" t="str" cm="1">
        <f t="array" aca="1" ref="E14" ca="1">IF('Raw Data'!E14="",_xlfn.REGEXEXTRACT(CELL("address",'Raw Data'!E14),"\$([A-Z]+)\$[0-9]+"),"")</f>
        <v>$E$14</v>
      </c>
      <c r="F14" t="str" cm="1">
        <f t="array" aca="1" ref="F14" ca="1">IF('Raw Data'!F14="",_xlfn.REGEXEXTRACT(CELL("address",'Raw Data'!F14),"\$([A-Z]+)\$[0-9]+"),"")</f>
        <v>$F$14</v>
      </c>
      <c r="G14" t="str" cm="1">
        <f t="array" aca="1" ref="G14" ca="1">IF('Raw Data'!G14="",_xlfn.REGEXEXTRACT(CELL("address",'Raw Data'!G14),"\$([A-Z]+)\$[0-9]+"),"")</f>
        <v>$G$14</v>
      </c>
      <c r="H14" t="str" cm="1">
        <f t="array" aca="1" ref="H14" ca="1">IF('Raw Data'!H14="",_xlfn.REGEXEXTRACT(CELL("address",'Raw Data'!H14),"\$([A-Z]+)\$[0-9]+"),"")</f>
        <v>$H$14</v>
      </c>
      <c r="I14" t="str" cm="1">
        <f t="array" aca="1" ref="I14" ca="1">IF('Raw Data'!I14="",_xlfn.REGEXEXTRACT(CELL("address",'Raw Data'!I14),"\$([A-Z]+)\$[0-9]+"),"")</f>
        <v>$I$14</v>
      </c>
    </row>
    <row r="15" spans="2:9" x14ac:dyDescent="0.25">
      <c r="B15" t="str" cm="1">
        <f t="array" aca="1" ref="B15" ca="1">IF('Raw Data'!B15="",_xlfn.REGEXEXTRACT(CELL("address",'Raw Data'!B15),"\$([A-Z]+)\$[0-9]+"),"")</f>
        <v>$B$15</v>
      </c>
      <c r="C15" t="str" cm="1">
        <f t="array" aca="1" ref="C15" ca="1">IF('Raw Data'!C15="",_xlfn.REGEXEXTRACT(CELL("address",'Raw Data'!C15),"\$([A-Z]+)\$[0-9]+"),"")</f>
        <v>$C$15</v>
      </c>
      <c r="D15" t="str" cm="1">
        <f t="array" aca="1" ref="D15" ca="1">IF('Raw Data'!D15="",_xlfn.REGEXEXTRACT(CELL("address",'Raw Data'!D15),"\$([A-Z]+)\$[0-9]+"),"")</f>
        <v>$D$15</v>
      </c>
      <c r="E15" t="str" cm="1">
        <f t="array" aca="1" ref="E15" ca="1">IF('Raw Data'!E15="",_xlfn.REGEXEXTRACT(CELL("address",'Raw Data'!E15),"\$([A-Z]+)\$[0-9]+"),"")</f>
        <v>$E$15</v>
      </c>
      <c r="F15" t="str" cm="1">
        <f t="array" aca="1" ref="F15" ca="1">IF('Raw Data'!F15="",_xlfn.REGEXEXTRACT(CELL("address",'Raw Data'!F15),"\$([A-Z]+)\$[0-9]+"),"")</f>
        <v>$F$15</v>
      </c>
      <c r="G15" t="str" cm="1">
        <f t="array" aca="1" ref="G15" ca="1">IF('Raw Data'!G15="",_xlfn.REGEXEXTRACT(CELL("address",'Raw Data'!G15),"\$([A-Z]+)\$[0-9]+"),"")</f>
        <v>$G$15</v>
      </c>
      <c r="H15" t="str" cm="1">
        <f t="array" aca="1" ref="H15" ca="1">IF('Raw Data'!H15="",_xlfn.REGEXEXTRACT(CELL("address",'Raw Data'!H15),"\$([A-Z]+)\$[0-9]+"),"")</f>
        <v>$H$15</v>
      </c>
      <c r="I15" t="str" cm="1">
        <f t="array" aca="1" ref="I15" ca="1">IF('Raw Data'!I15="",_xlfn.REGEXEXTRACT(CELL("address",'Raw Data'!I15),"\$([A-Z]+)\$[0-9]+"),"")</f>
        <v>$I$15</v>
      </c>
    </row>
    <row r="16" spans="2:9" x14ac:dyDescent="0.25">
      <c r="B16" t="str" cm="1">
        <f t="array" aca="1" ref="B16" ca="1">IF('Raw Data'!B16="",_xlfn.REGEXEXTRACT(CELL("address",'Raw Data'!B16),"\$([A-Z]+)\$[0-9]+"),"")</f>
        <v>$B$16</v>
      </c>
      <c r="C16" t="str" cm="1">
        <f t="array" aca="1" ref="C16" ca="1">IF('Raw Data'!C16="",_xlfn.REGEXEXTRACT(CELL("address",'Raw Data'!C16),"\$([A-Z]+)\$[0-9]+"),"")</f>
        <v>$C$16</v>
      </c>
      <c r="D16" t="str" cm="1">
        <f t="array" aca="1" ref="D16" ca="1">IF('Raw Data'!D16="",_xlfn.REGEXEXTRACT(CELL("address",'Raw Data'!D16),"\$([A-Z]+)\$[0-9]+"),"")</f>
        <v>$D$16</v>
      </c>
      <c r="E16" t="str" cm="1">
        <f t="array" aca="1" ref="E16" ca="1">IF('Raw Data'!E16="",_xlfn.REGEXEXTRACT(CELL("address",'Raw Data'!E16),"\$([A-Z]+)\$[0-9]+"),"")</f>
        <v>$E$16</v>
      </c>
      <c r="F16" t="str" cm="1">
        <f t="array" aca="1" ref="F16" ca="1">IF('Raw Data'!F16="",_xlfn.REGEXEXTRACT(CELL("address",'Raw Data'!F16),"\$([A-Z]+)\$[0-9]+"),"")</f>
        <v>$F$16</v>
      </c>
      <c r="G16" t="str" cm="1">
        <f t="array" aca="1" ref="G16" ca="1">IF('Raw Data'!G16="",_xlfn.REGEXEXTRACT(CELL("address",'Raw Data'!G16),"\$([A-Z]+)\$[0-9]+"),"")</f>
        <v>$G$16</v>
      </c>
      <c r="H16" t="str" cm="1">
        <f t="array" aca="1" ref="H16" ca="1">IF('Raw Data'!H16="",_xlfn.REGEXEXTRACT(CELL("address",'Raw Data'!H16),"\$([A-Z]+)\$[0-9]+"),"")</f>
        <v>$H$16</v>
      </c>
      <c r="I16" t="str" cm="1">
        <f t="array" aca="1" ref="I16" ca="1">IF('Raw Data'!I16="",_xlfn.REGEXEXTRACT(CELL("address",'Raw Data'!I16),"\$([A-Z]+)\$[0-9]+"),"")</f>
        <v>$I$16</v>
      </c>
    </row>
    <row r="17" spans="2:9" x14ac:dyDescent="0.25">
      <c r="B17" t="str" cm="1">
        <f t="array" aca="1" ref="B17" ca="1">IF('Raw Data'!B17="",_xlfn.REGEXEXTRACT(CELL("address",'Raw Data'!B17),"\$([A-Z]+)\$[0-9]+"),"")</f>
        <v>$B$17</v>
      </c>
      <c r="C17" t="str" cm="1">
        <f t="array" aca="1" ref="C17" ca="1">IF('Raw Data'!C17="",_xlfn.REGEXEXTRACT(CELL("address",'Raw Data'!C17),"\$([A-Z]+)\$[0-9]+"),"")</f>
        <v>$C$17</v>
      </c>
      <c r="D17" t="str" cm="1">
        <f t="array" aca="1" ref="D17" ca="1">IF('Raw Data'!D17="",_xlfn.REGEXEXTRACT(CELL("address",'Raw Data'!D17),"\$([A-Z]+)\$[0-9]+"),"")</f>
        <v>$D$17</v>
      </c>
      <c r="E17" t="str" cm="1">
        <f t="array" aca="1" ref="E17" ca="1">IF('Raw Data'!E17="",_xlfn.REGEXEXTRACT(CELL("address",'Raw Data'!E17),"\$([A-Z]+)\$[0-9]+"),"")</f>
        <v>$E$17</v>
      </c>
      <c r="F17" t="str" cm="1">
        <f t="array" aca="1" ref="F17" ca="1">IF('Raw Data'!F17="",_xlfn.REGEXEXTRACT(CELL("address",'Raw Data'!F17),"\$([A-Z]+)\$[0-9]+"),"")</f>
        <v>$F$17</v>
      </c>
      <c r="G17" t="str" cm="1">
        <f t="array" aca="1" ref="G17" ca="1">IF('Raw Data'!G17="",_xlfn.REGEXEXTRACT(CELL("address",'Raw Data'!G17),"\$([A-Z]+)\$[0-9]+"),"")</f>
        <v>$G$17</v>
      </c>
      <c r="H17" t="str" cm="1">
        <f t="array" aca="1" ref="H17" ca="1">IF('Raw Data'!H17="",_xlfn.REGEXEXTRACT(CELL("address",'Raw Data'!H17),"\$([A-Z]+)\$[0-9]+"),"")</f>
        <v>$H$17</v>
      </c>
      <c r="I17" t="str" cm="1">
        <f t="array" aca="1" ref="I17" ca="1">IF('Raw Data'!I17="",_xlfn.REGEXEXTRACT(CELL("address",'Raw Data'!I17),"\$([A-Z]+)\$[0-9]+"),"")</f>
        <v>$I$17</v>
      </c>
    </row>
    <row r="18" spans="2:9" x14ac:dyDescent="0.25">
      <c r="B18" t="str" cm="1">
        <f t="array" aca="1" ref="B18" ca="1">IF('Raw Data'!B18="",_xlfn.REGEXEXTRACT(CELL("address",'Raw Data'!B18),"\$([A-Z]+)\$[0-9]+"),"")</f>
        <v>$B$18</v>
      </c>
      <c r="C18" t="str" cm="1">
        <f t="array" aca="1" ref="C18" ca="1">IF('Raw Data'!C18="",_xlfn.REGEXEXTRACT(CELL("address",'Raw Data'!C18),"\$([A-Z]+)\$[0-9]+"),"")</f>
        <v>$C$18</v>
      </c>
      <c r="D18" t="str" cm="1">
        <f t="array" aca="1" ref="D18" ca="1">IF('Raw Data'!D18="",_xlfn.REGEXEXTRACT(CELL("address",'Raw Data'!D18),"\$([A-Z]+)\$[0-9]+"),"")</f>
        <v>$D$18</v>
      </c>
      <c r="E18" t="str" cm="1">
        <f t="array" aca="1" ref="E18" ca="1">IF('Raw Data'!E18="",_xlfn.REGEXEXTRACT(CELL("address",'Raw Data'!E18),"\$([A-Z]+)\$[0-9]+"),"")</f>
        <v>$E$18</v>
      </c>
      <c r="F18" t="str" cm="1">
        <f t="array" aca="1" ref="F18" ca="1">IF('Raw Data'!F18="",_xlfn.REGEXEXTRACT(CELL("address",'Raw Data'!F18),"\$([A-Z]+)\$[0-9]+"),"")</f>
        <v>$F$18</v>
      </c>
      <c r="G18" t="str" cm="1">
        <f t="array" aca="1" ref="G18" ca="1">IF('Raw Data'!G18="",_xlfn.REGEXEXTRACT(CELL("address",'Raw Data'!G18),"\$([A-Z]+)\$[0-9]+"),"")</f>
        <v>$G$18</v>
      </c>
      <c r="H18" t="str" cm="1">
        <f t="array" aca="1" ref="H18" ca="1">IF('Raw Data'!H18="",_xlfn.REGEXEXTRACT(CELL("address",'Raw Data'!H18),"\$([A-Z]+)\$[0-9]+"),"")</f>
        <v>$H$18</v>
      </c>
      <c r="I18" t="str" cm="1">
        <f t="array" aca="1" ref="I18" ca="1">IF('Raw Data'!I18="",_xlfn.REGEXEXTRACT(CELL("address",'Raw Data'!I18),"\$([A-Z]+)\$[0-9]+"),"")</f>
        <v>$I$18</v>
      </c>
    </row>
    <row r="19" spans="2:9" x14ac:dyDescent="0.25">
      <c r="B19" t="str" cm="1">
        <f t="array" aca="1" ref="B19" ca="1">IF('Raw Data'!B19="",_xlfn.REGEXEXTRACT(CELL("address",'Raw Data'!B19),"\$([A-Z]+)\$[0-9]+"),"")</f>
        <v>$B$19</v>
      </c>
      <c r="C19" t="str" cm="1">
        <f t="array" aca="1" ref="C19" ca="1">IF('Raw Data'!C19="",_xlfn.REGEXEXTRACT(CELL("address",'Raw Data'!C19),"\$([A-Z]+)\$[0-9]+"),"")</f>
        <v>$C$19</v>
      </c>
      <c r="D19" t="str" cm="1">
        <f t="array" aca="1" ref="D19" ca="1">IF('Raw Data'!D19="",_xlfn.REGEXEXTRACT(CELL("address",'Raw Data'!D19),"\$([A-Z]+)\$[0-9]+"),"")</f>
        <v>$D$19</v>
      </c>
      <c r="E19" t="str" cm="1">
        <f t="array" aca="1" ref="E19" ca="1">IF('Raw Data'!E19="",_xlfn.REGEXEXTRACT(CELL("address",'Raw Data'!E19),"\$([A-Z]+)\$[0-9]+"),"")</f>
        <v>$E$19</v>
      </c>
      <c r="F19" t="str" cm="1">
        <f t="array" aca="1" ref="F19" ca="1">IF('Raw Data'!F19="",_xlfn.REGEXEXTRACT(CELL("address",'Raw Data'!F19),"\$([A-Z]+)\$[0-9]+"),"")</f>
        <v>$F$19</v>
      </c>
      <c r="G19" t="str" cm="1">
        <f t="array" aca="1" ref="G19" ca="1">IF('Raw Data'!G19="",_xlfn.REGEXEXTRACT(CELL("address",'Raw Data'!G19),"\$([A-Z]+)\$[0-9]+"),"")</f>
        <v>$G$19</v>
      </c>
      <c r="H19" t="str" cm="1">
        <f t="array" aca="1" ref="H19" ca="1">IF('Raw Data'!H19="",_xlfn.REGEXEXTRACT(CELL("address",'Raw Data'!H19),"\$([A-Z]+)\$[0-9]+"),"")</f>
        <v>$H$19</v>
      </c>
      <c r="I19" t="str" cm="1">
        <f t="array" aca="1" ref="I19" ca="1">IF('Raw Data'!I19="",_xlfn.REGEXEXTRACT(CELL("address",'Raw Data'!I19),"\$([A-Z]+)\$[0-9]+"),"")</f>
        <v>$I$19</v>
      </c>
    </row>
    <row r="20" spans="2:9" x14ac:dyDescent="0.25">
      <c r="B20" t="str" cm="1">
        <f t="array" aca="1" ref="B20" ca="1">IF('Raw Data'!B20="",_xlfn.REGEXEXTRACT(CELL("address",'Raw Data'!B20),"\$([A-Z]+)\$[0-9]+"),"")</f>
        <v>$B$20</v>
      </c>
      <c r="C20" t="str" cm="1">
        <f t="array" aca="1" ref="C20" ca="1">IF('Raw Data'!C20="",_xlfn.REGEXEXTRACT(CELL("address",'Raw Data'!C20),"\$([A-Z]+)\$[0-9]+"),"")</f>
        <v>$C$20</v>
      </c>
      <c r="D20" t="str" cm="1">
        <f t="array" aca="1" ref="D20" ca="1">IF('Raw Data'!D20="",_xlfn.REGEXEXTRACT(CELL("address",'Raw Data'!D20),"\$([A-Z]+)\$[0-9]+"),"")</f>
        <v>$D$20</v>
      </c>
      <c r="E20" t="str" cm="1">
        <f t="array" aca="1" ref="E20" ca="1">IF('Raw Data'!E20="",_xlfn.REGEXEXTRACT(CELL("address",'Raw Data'!E20),"\$([A-Z]+)\$[0-9]+"),"")</f>
        <v>$E$20</v>
      </c>
      <c r="F20" t="str" cm="1">
        <f t="array" aca="1" ref="F20" ca="1">IF('Raw Data'!F20="",_xlfn.REGEXEXTRACT(CELL("address",'Raw Data'!F20),"\$([A-Z]+)\$[0-9]+"),"")</f>
        <v>$F$20</v>
      </c>
      <c r="G20" t="str" cm="1">
        <f t="array" aca="1" ref="G20" ca="1">IF('Raw Data'!G20="",_xlfn.REGEXEXTRACT(CELL("address",'Raw Data'!G20),"\$([A-Z]+)\$[0-9]+"),"")</f>
        <v>$G$20</v>
      </c>
      <c r="H20" t="str" cm="1">
        <f t="array" aca="1" ref="H20" ca="1">IF('Raw Data'!H20="",_xlfn.REGEXEXTRACT(CELL("address",'Raw Data'!H20),"\$([A-Z]+)\$[0-9]+"),"")</f>
        <v>$H$20</v>
      </c>
      <c r="I20" t="str" cm="1">
        <f t="array" aca="1" ref="I20" ca="1">IF('Raw Data'!I20="",_xlfn.REGEXEXTRACT(CELL("address",'Raw Data'!I20),"\$([A-Z]+)\$[0-9]+"),"")</f>
        <v>$I$20</v>
      </c>
    </row>
    <row r="21" spans="2:9" x14ac:dyDescent="0.25">
      <c r="B21" t="str" cm="1">
        <f t="array" aca="1" ref="B21" ca="1">IF('Raw Data'!B21="",_xlfn.REGEXEXTRACT(CELL("address",'Raw Data'!B21),"\$([A-Z]+)\$[0-9]+"),"")</f>
        <v>$B$21</v>
      </c>
      <c r="C21" t="str" cm="1">
        <f t="array" aca="1" ref="C21" ca="1">IF('Raw Data'!C21="",_xlfn.REGEXEXTRACT(CELL("address",'Raw Data'!C21),"\$([A-Z]+)\$[0-9]+"),"")</f>
        <v>$C$21</v>
      </c>
      <c r="D21" t="str" cm="1">
        <f t="array" aca="1" ref="D21" ca="1">IF('Raw Data'!D21="",_xlfn.REGEXEXTRACT(CELL("address",'Raw Data'!D21),"\$([A-Z]+)\$[0-9]+"),"")</f>
        <v>$D$21</v>
      </c>
      <c r="E21" t="str" cm="1">
        <f t="array" aca="1" ref="E21" ca="1">IF('Raw Data'!E21="",_xlfn.REGEXEXTRACT(CELL("address",'Raw Data'!E21),"\$([A-Z]+)\$[0-9]+"),"")</f>
        <v>$E$21</v>
      </c>
      <c r="F21" t="str" cm="1">
        <f t="array" aca="1" ref="F21" ca="1">IF('Raw Data'!F21="",_xlfn.REGEXEXTRACT(CELL("address",'Raw Data'!F21),"\$([A-Z]+)\$[0-9]+"),"")</f>
        <v>$F$21</v>
      </c>
      <c r="G21" t="str" cm="1">
        <f t="array" aca="1" ref="G21" ca="1">IF('Raw Data'!G21="",_xlfn.REGEXEXTRACT(CELL("address",'Raw Data'!G21),"\$([A-Z]+)\$[0-9]+"),"")</f>
        <v>$G$21</v>
      </c>
      <c r="H21" t="str" cm="1">
        <f t="array" aca="1" ref="H21" ca="1">IF('Raw Data'!H21="",_xlfn.REGEXEXTRACT(CELL("address",'Raw Data'!H21),"\$([A-Z]+)\$[0-9]+"),"")</f>
        <v>$H$21</v>
      </c>
      <c r="I21" t="str" cm="1">
        <f t="array" aca="1" ref="I21" ca="1">IF('Raw Data'!I21="",_xlfn.REGEXEXTRACT(CELL("address",'Raw Data'!I21),"\$([A-Z]+)\$[0-9]+"),"")</f>
        <v>$I$21</v>
      </c>
    </row>
    <row r="22" spans="2:9" x14ac:dyDescent="0.25">
      <c r="B22" t="str" cm="1">
        <f t="array" aca="1" ref="B22" ca="1">IF('Raw Data'!B22="",_xlfn.REGEXEXTRACT(CELL("address",'Raw Data'!B22),"\$([A-Z]+)\$[0-9]+"),"")</f>
        <v>$B$22</v>
      </c>
      <c r="C22" t="str" cm="1">
        <f t="array" aca="1" ref="C22" ca="1">IF('Raw Data'!C22="",_xlfn.REGEXEXTRACT(CELL("address",'Raw Data'!C22),"\$([A-Z]+)\$[0-9]+"),"")</f>
        <v>$C$22</v>
      </c>
      <c r="D22" t="str" cm="1">
        <f t="array" aca="1" ref="D22" ca="1">IF('Raw Data'!D22="",_xlfn.REGEXEXTRACT(CELL("address",'Raw Data'!D22),"\$([A-Z]+)\$[0-9]+"),"")</f>
        <v>$D$22</v>
      </c>
      <c r="E22" t="str" cm="1">
        <f t="array" aca="1" ref="E22" ca="1">IF('Raw Data'!E22="",_xlfn.REGEXEXTRACT(CELL("address",'Raw Data'!E22),"\$([A-Z]+)\$[0-9]+"),"")</f>
        <v>$E$22</v>
      </c>
      <c r="F22" t="str" cm="1">
        <f t="array" aca="1" ref="F22" ca="1">IF('Raw Data'!F22="",_xlfn.REGEXEXTRACT(CELL("address",'Raw Data'!F22),"\$([A-Z]+)\$[0-9]+"),"")</f>
        <v>$F$22</v>
      </c>
      <c r="G22" t="str" cm="1">
        <f t="array" aca="1" ref="G22" ca="1">IF('Raw Data'!G22="",_xlfn.REGEXEXTRACT(CELL("address",'Raw Data'!G22),"\$([A-Z]+)\$[0-9]+"),"")</f>
        <v>$G$22</v>
      </c>
      <c r="H22" t="str" cm="1">
        <f t="array" aca="1" ref="H22" ca="1">IF('Raw Data'!H22="",_xlfn.REGEXEXTRACT(CELL("address",'Raw Data'!H22),"\$([A-Z]+)\$[0-9]+"),"")</f>
        <v>$H$22</v>
      </c>
      <c r="I22" t="str" cm="1">
        <f t="array" aca="1" ref="I22" ca="1">IF('Raw Data'!I22="",_xlfn.REGEXEXTRACT(CELL("address",'Raw Data'!I22),"\$([A-Z]+)\$[0-9]+"),"")</f>
        <v>$I$22</v>
      </c>
    </row>
    <row r="23" spans="2:9" x14ac:dyDescent="0.25">
      <c r="B23" t="str" cm="1">
        <f t="array" aca="1" ref="B23" ca="1">IF('Raw Data'!B23="",_xlfn.REGEXEXTRACT(CELL("address",'Raw Data'!B23),"\$([A-Z]+)\$[0-9]+"),"")</f>
        <v>$B$23</v>
      </c>
      <c r="C23" t="str" cm="1">
        <f t="array" aca="1" ref="C23" ca="1">IF('Raw Data'!C23="",_xlfn.REGEXEXTRACT(CELL("address",'Raw Data'!C23),"\$([A-Z]+)\$[0-9]+"),"")</f>
        <v>$C$23</v>
      </c>
      <c r="D23" t="str" cm="1">
        <f t="array" aca="1" ref="D23" ca="1">IF('Raw Data'!D23="",_xlfn.REGEXEXTRACT(CELL("address",'Raw Data'!D23),"\$([A-Z]+)\$[0-9]+"),"")</f>
        <v>$D$23</v>
      </c>
      <c r="E23" t="str" cm="1">
        <f t="array" aca="1" ref="E23" ca="1">IF('Raw Data'!E23="",_xlfn.REGEXEXTRACT(CELL("address",'Raw Data'!E23),"\$([A-Z]+)\$[0-9]+"),"")</f>
        <v>$E$23</v>
      </c>
      <c r="F23" t="str" cm="1">
        <f t="array" aca="1" ref="F23" ca="1">IF('Raw Data'!F23="",_xlfn.REGEXEXTRACT(CELL("address",'Raw Data'!F23),"\$([A-Z]+)\$[0-9]+"),"")</f>
        <v>$F$23</v>
      </c>
      <c r="G23" t="str" cm="1">
        <f t="array" aca="1" ref="G23" ca="1">IF('Raw Data'!G23="",_xlfn.REGEXEXTRACT(CELL("address",'Raw Data'!G23),"\$([A-Z]+)\$[0-9]+"),"")</f>
        <v>$G$23</v>
      </c>
      <c r="H23" t="str" cm="1">
        <f t="array" aca="1" ref="H23" ca="1">IF('Raw Data'!H23="",_xlfn.REGEXEXTRACT(CELL("address",'Raw Data'!H23),"\$([A-Z]+)\$[0-9]+"),"")</f>
        <v>$H$23</v>
      </c>
      <c r="I23" t="str" cm="1">
        <f t="array" aca="1" ref="I23" ca="1">IF('Raw Data'!I23="",_xlfn.REGEXEXTRACT(CELL("address",'Raw Data'!I23),"\$([A-Z]+)\$[0-9]+"),"")</f>
        <v>$I$23</v>
      </c>
    </row>
    <row r="24" spans="2:9" x14ac:dyDescent="0.25">
      <c r="B24" t="str" cm="1">
        <f t="array" aca="1" ref="B24" ca="1">IF('Raw Data'!B24="",_xlfn.REGEXEXTRACT(CELL("address",'Raw Data'!B24),"\$([A-Z]+)\$[0-9]+"),"")</f>
        <v>$B$24</v>
      </c>
      <c r="C24" t="str" cm="1">
        <f t="array" aca="1" ref="C24" ca="1">IF('Raw Data'!C24="",_xlfn.REGEXEXTRACT(CELL("address",'Raw Data'!C24),"\$([A-Z]+)\$[0-9]+"),"")</f>
        <v>$C$24</v>
      </c>
      <c r="D24" t="str" cm="1">
        <f t="array" aca="1" ref="D24" ca="1">IF('Raw Data'!D24="",_xlfn.REGEXEXTRACT(CELL("address",'Raw Data'!D24),"\$([A-Z]+)\$[0-9]+"),"")</f>
        <v>$D$24</v>
      </c>
      <c r="E24" t="str" cm="1">
        <f t="array" aca="1" ref="E24" ca="1">IF('Raw Data'!E24="",_xlfn.REGEXEXTRACT(CELL("address",'Raw Data'!E24),"\$([A-Z]+)\$[0-9]+"),"")</f>
        <v>$E$24</v>
      </c>
      <c r="F24" t="str" cm="1">
        <f t="array" aca="1" ref="F24" ca="1">IF('Raw Data'!F24="",_xlfn.REGEXEXTRACT(CELL("address",'Raw Data'!F24),"\$([A-Z]+)\$[0-9]+"),"")</f>
        <v>$F$24</v>
      </c>
      <c r="G24" t="str" cm="1">
        <f t="array" aca="1" ref="G24" ca="1">IF('Raw Data'!G24="",_xlfn.REGEXEXTRACT(CELL("address",'Raw Data'!G24),"\$([A-Z]+)\$[0-9]+"),"")</f>
        <v>$G$24</v>
      </c>
      <c r="H24" t="str" cm="1">
        <f t="array" aca="1" ref="H24" ca="1">IF('Raw Data'!H24="",_xlfn.REGEXEXTRACT(CELL("address",'Raw Data'!H24),"\$([A-Z]+)\$[0-9]+"),"")</f>
        <v>$H$24</v>
      </c>
      <c r="I24" t="str" cm="1">
        <f t="array" aca="1" ref="I24" ca="1">IF('Raw Data'!I24="",_xlfn.REGEXEXTRACT(CELL("address",'Raw Data'!I24),"\$([A-Z]+)\$[0-9]+"),"")</f>
        <v>$I$24</v>
      </c>
    </row>
    <row r="25" spans="2:9" x14ac:dyDescent="0.25">
      <c r="B25" t="str" cm="1">
        <f t="array" aca="1" ref="B25" ca="1">IF('Raw Data'!B25="",_xlfn.REGEXEXTRACT(CELL("address",'Raw Data'!B25),"\$([A-Z]+)\$[0-9]+"),"")</f>
        <v>$B$25</v>
      </c>
      <c r="C25" t="str" cm="1">
        <f t="array" aca="1" ref="C25" ca="1">IF('Raw Data'!C25="",_xlfn.REGEXEXTRACT(CELL("address",'Raw Data'!C25),"\$([A-Z]+)\$[0-9]+"),"")</f>
        <v>$C$25</v>
      </c>
      <c r="D25" t="str" cm="1">
        <f t="array" aca="1" ref="D25" ca="1">IF('Raw Data'!D25="",_xlfn.REGEXEXTRACT(CELL("address",'Raw Data'!D25),"\$([A-Z]+)\$[0-9]+"),"")</f>
        <v>$D$25</v>
      </c>
      <c r="E25" t="str" cm="1">
        <f t="array" aca="1" ref="E25" ca="1">IF('Raw Data'!E25="",_xlfn.REGEXEXTRACT(CELL("address",'Raw Data'!E25),"\$([A-Z]+)\$[0-9]+"),"")</f>
        <v>$E$25</v>
      </c>
      <c r="F25" t="str" cm="1">
        <f t="array" aca="1" ref="F25" ca="1">IF('Raw Data'!F25="",_xlfn.REGEXEXTRACT(CELL("address",'Raw Data'!F25),"\$([A-Z]+)\$[0-9]+"),"")</f>
        <v>$F$25</v>
      </c>
      <c r="G25" t="str" cm="1">
        <f t="array" aca="1" ref="G25" ca="1">IF('Raw Data'!G25="",_xlfn.REGEXEXTRACT(CELL("address",'Raw Data'!G25),"\$([A-Z]+)\$[0-9]+"),"")</f>
        <v>$G$25</v>
      </c>
      <c r="H25" t="str" cm="1">
        <f t="array" aca="1" ref="H25" ca="1">IF('Raw Data'!H25="",_xlfn.REGEXEXTRACT(CELL("address",'Raw Data'!H25),"\$([A-Z]+)\$[0-9]+"),"")</f>
        <v>$H$25</v>
      </c>
      <c r="I25" t="str" cm="1">
        <f t="array" aca="1" ref="I25" ca="1">IF('Raw Data'!I25="",_xlfn.REGEXEXTRACT(CELL("address",'Raw Data'!I25),"\$([A-Z]+)\$[0-9]+"),"")</f>
        <v>$I$25</v>
      </c>
    </row>
    <row r="26" spans="2:9" x14ac:dyDescent="0.25">
      <c r="B26" t="str" cm="1">
        <f t="array" aca="1" ref="B26" ca="1">IF('Raw Data'!B26="",_xlfn.REGEXEXTRACT(CELL("address",'Raw Data'!B26),"\$([A-Z]+)\$[0-9]+"),"")</f>
        <v>$B$26</v>
      </c>
      <c r="C26" t="str" cm="1">
        <f t="array" aca="1" ref="C26" ca="1">IF('Raw Data'!C26="",_xlfn.REGEXEXTRACT(CELL("address",'Raw Data'!C26),"\$([A-Z]+)\$[0-9]+"),"")</f>
        <v>$C$26</v>
      </c>
      <c r="D26" t="str" cm="1">
        <f t="array" aca="1" ref="D26" ca="1">IF('Raw Data'!D26="",_xlfn.REGEXEXTRACT(CELL("address",'Raw Data'!D26),"\$([A-Z]+)\$[0-9]+"),"")</f>
        <v>$D$26</v>
      </c>
      <c r="E26" t="str" cm="1">
        <f t="array" aca="1" ref="E26" ca="1">IF('Raw Data'!E26="",_xlfn.REGEXEXTRACT(CELL("address",'Raw Data'!E26),"\$([A-Z]+)\$[0-9]+"),"")</f>
        <v>$E$26</v>
      </c>
      <c r="F26" t="str" cm="1">
        <f t="array" aca="1" ref="F26" ca="1">IF('Raw Data'!F26="",_xlfn.REGEXEXTRACT(CELL("address",'Raw Data'!F26),"\$([A-Z]+)\$[0-9]+"),"")</f>
        <v>$F$26</v>
      </c>
      <c r="G26" t="str" cm="1">
        <f t="array" aca="1" ref="G26" ca="1">IF('Raw Data'!G26="",_xlfn.REGEXEXTRACT(CELL("address",'Raw Data'!G26),"\$([A-Z]+)\$[0-9]+"),"")</f>
        <v>$G$26</v>
      </c>
      <c r="H26" t="str" cm="1">
        <f t="array" aca="1" ref="H26" ca="1">IF('Raw Data'!H26="",_xlfn.REGEXEXTRACT(CELL("address",'Raw Data'!H26),"\$([A-Z]+)\$[0-9]+"),"")</f>
        <v>$H$26</v>
      </c>
      <c r="I26" t="str" cm="1">
        <f t="array" aca="1" ref="I26" ca="1">IF('Raw Data'!I26="",_xlfn.REGEXEXTRACT(CELL("address",'Raw Data'!I26),"\$([A-Z]+)\$[0-9]+"),"")</f>
        <v>$I$26</v>
      </c>
    </row>
    <row r="27" spans="2:9" x14ac:dyDescent="0.25">
      <c r="B27" t="str" cm="1">
        <f t="array" aca="1" ref="B27" ca="1">IF('Raw Data'!B27="",_xlfn.REGEXEXTRACT(CELL("address",'Raw Data'!B27),"\$([A-Z]+)\$[0-9]+"),"")</f>
        <v>$B$27</v>
      </c>
      <c r="C27" t="str" cm="1">
        <f t="array" aca="1" ref="C27" ca="1">IF('Raw Data'!C27="",_xlfn.REGEXEXTRACT(CELL("address",'Raw Data'!C27),"\$([A-Z]+)\$[0-9]+"),"")</f>
        <v>$C$27</v>
      </c>
      <c r="D27" t="str" cm="1">
        <f t="array" aca="1" ref="D27" ca="1">IF('Raw Data'!D27="",_xlfn.REGEXEXTRACT(CELL("address",'Raw Data'!D27),"\$([A-Z]+)\$[0-9]+"),"")</f>
        <v>$D$27</v>
      </c>
      <c r="E27" t="str" cm="1">
        <f t="array" aca="1" ref="E27" ca="1">IF('Raw Data'!E27="",_xlfn.REGEXEXTRACT(CELL("address",'Raw Data'!E27),"\$([A-Z]+)\$[0-9]+"),"")</f>
        <v>$E$27</v>
      </c>
      <c r="F27" t="str" cm="1">
        <f t="array" aca="1" ref="F27" ca="1">IF('Raw Data'!F27="",_xlfn.REGEXEXTRACT(CELL("address",'Raw Data'!F27),"\$([A-Z]+)\$[0-9]+"),"")</f>
        <v>$F$27</v>
      </c>
      <c r="G27" t="str" cm="1">
        <f t="array" aca="1" ref="G27" ca="1">IF('Raw Data'!G27="",_xlfn.REGEXEXTRACT(CELL("address",'Raw Data'!G27),"\$([A-Z]+)\$[0-9]+"),"")</f>
        <v>$G$27</v>
      </c>
      <c r="H27" t="str" cm="1">
        <f t="array" aca="1" ref="H27" ca="1">IF('Raw Data'!H27="",_xlfn.REGEXEXTRACT(CELL("address",'Raw Data'!H27),"\$([A-Z]+)\$[0-9]+"),"")</f>
        <v>$H$27</v>
      </c>
      <c r="I27" t="str" cm="1">
        <f t="array" aca="1" ref="I27" ca="1">IF('Raw Data'!I27="",_xlfn.REGEXEXTRACT(CELL("address",'Raw Data'!I27),"\$([A-Z]+)\$[0-9]+"),"")</f>
        <v>$I$27</v>
      </c>
    </row>
    <row r="28" spans="2:9" x14ac:dyDescent="0.25">
      <c r="B28" t="str" cm="1">
        <f t="array" aca="1" ref="B28" ca="1">IF('Raw Data'!B28="",_xlfn.REGEXEXTRACT(CELL("address",'Raw Data'!B28),"\$([A-Z]+)\$[0-9]+"),"")</f>
        <v>$B$28</v>
      </c>
      <c r="C28" t="str" cm="1">
        <f t="array" aca="1" ref="C28" ca="1">IF('Raw Data'!C28="",_xlfn.REGEXEXTRACT(CELL("address",'Raw Data'!C28),"\$([A-Z]+)\$[0-9]+"),"")</f>
        <v>$C$28</v>
      </c>
      <c r="D28" t="str" cm="1">
        <f t="array" aca="1" ref="D28" ca="1">IF('Raw Data'!D28="",_xlfn.REGEXEXTRACT(CELL("address",'Raw Data'!D28),"\$([A-Z]+)\$[0-9]+"),"")</f>
        <v>$D$28</v>
      </c>
      <c r="E28" t="str" cm="1">
        <f t="array" aca="1" ref="E28" ca="1">IF('Raw Data'!E28="",_xlfn.REGEXEXTRACT(CELL("address",'Raw Data'!E28),"\$([A-Z]+)\$[0-9]+"),"")</f>
        <v>$E$28</v>
      </c>
      <c r="F28" t="str" cm="1">
        <f t="array" aca="1" ref="F28" ca="1">IF('Raw Data'!F28="",_xlfn.REGEXEXTRACT(CELL("address",'Raw Data'!F28),"\$([A-Z]+)\$[0-9]+"),"")</f>
        <v>$F$28</v>
      </c>
      <c r="G28" t="str" cm="1">
        <f t="array" aca="1" ref="G28" ca="1">IF('Raw Data'!G28="",_xlfn.REGEXEXTRACT(CELL("address",'Raw Data'!G28),"\$([A-Z]+)\$[0-9]+"),"")</f>
        <v>$G$28</v>
      </c>
      <c r="H28" t="str" cm="1">
        <f t="array" aca="1" ref="H28" ca="1">IF('Raw Data'!H28="",_xlfn.REGEXEXTRACT(CELL("address",'Raw Data'!H28),"\$([A-Z]+)\$[0-9]+"),"")</f>
        <v>$H$28</v>
      </c>
      <c r="I28" t="str" cm="1">
        <f t="array" aca="1" ref="I28" ca="1">IF('Raw Data'!I28="",_xlfn.REGEXEXTRACT(CELL("address",'Raw Data'!I28),"\$([A-Z]+)\$[0-9]+"),"")</f>
        <v>$I$28</v>
      </c>
    </row>
    <row r="29" spans="2:9" x14ac:dyDescent="0.25">
      <c r="B29" t="str" cm="1">
        <f t="array" aca="1" ref="B29" ca="1">IF('Raw Data'!B29="",_xlfn.REGEXEXTRACT(CELL("address",'Raw Data'!B29),"\$([A-Z]+)\$[0-9]+"),"")</f>
        <v>$B$29</v>
      </c>
      <c r="C29" t="str" cm="1">
        <f t="array" aca="1" ref="C29" ca="1">IF('Raw Data'!C29="",_xlfn.REGEXEXTRACT(CELL("address",'Raw Data'!C29),"\$([A-Z]+)\$[0-9]+"),"")</f>
        <v>$C$29</v>
      </c>
      <c r="D29" t="str" cm="1">
        <f t="array" aca="1" ref="D29" ca="1">IF('Raw Data'!D29="",_xlfn.REGEXEXTRACT(CELL("address",'Raw Data'!D29),"\$([A-Z]+)\$[0-9]+"),"")</f>
        <v>$D$29</v>
      </c>
      <c r="E29" t="str" cm="1">
        <f t="array" aca="1" ref="E29" ca="1">IF('Raw Data'!E29="",_xlfn.REGEXEXTRACT(CELL("address",'Raw Data'!E29),"\$([A-Z]+)\$[0-9]+"),"")</f>
        <v>$E$29</v>
      </c>
      <c r="F29" t="str" cm="1">
        <f t="array" aca="1" ref="F29" ca="1">IF('Raw Data'!F29="",_xlfn.REGEXEXTRACT(CELL("address",'Raw Data'!F29),"\$([A-Z]+)\$[0-9]+"),"")</f>
        <v>$F$29</v>
      </c>
      <c r="G29" t="str" cm="1">
        <f t="array" aca="1" ref="G29" ca="1">IF('Raw Data'!G29="",_xlfn.REGEXEXTRACT(CELL("address",'Raw Data'!G29),"\$([A-Z]+)\$[0-9]+"),"")</f>
        <v>$G$29</v>
      </c>
      <c r="H29" t="str" cm="1">
        <f t="array" aca="1" ref="H29" ca="1">IF('Raw Data'!H29="",_xlfn.REGEXEXTRACT(CELL("address",'Raw Data'!H29),"\$([A-Z]+)\$[0-9]+"),"")</f>
        <v>$H$29</v>
      </c>
      <c r="I29" t="str" cm="1">
        <f t="array" aca="1" ref="I29" ca="1">IF('Raw Data'!I29="",_xlfn.REGEXEXTRACT(CELL("address",'Raw Data'!I29),"\$([A-Z]+)\$[0-9]+"),"")</f>
        <v>$I$29</v>
      </c>
    </row>
    <row r="30" spans="2:9" x14ac:dyDescent="0.25">
      <c r="B30" t="str" cm="1">
        <f t="array" aca="1" ref="B30" ca="1">IF('Raw Data'!B30="",_xlfn.REGEXEXTRACT(CELL("address",'Raw Data'!B30),"\$([A-Z]+)\$[0-9]+"),"")</f>
        <v>$B$30</v>
      </c>
      <c r="C30" t="str" cm="1">
        <f t="array" aca="1" ref="C30" ca="1">IF('Raw Data'!C30="",_xlfn.REGEXEXTRACT(CELL("address",'Raw Data'!C30),"\$([A-Z]+)\$[0-9]+"),"")</f>
        <v>$C$30</v>
      </c>
      <c r="D30" t="str" cm="1">
        <f t="array" aca="1" ref="D30" ca="1">IF('Raw Data'!D30="",_xlfn.REGEXEXTRACT(CELL("address",'Raw Data'!D30),"\$([A-Z]+)\$[0-9]+"),"")</f>
        <v>$D$30</v>
      </c>
      <c r="E30" t="str" cm="1">
        <f t="array" aca="1" ref="E30" ca="1">IF('Raw Data'!E30="",_xlfn.REGEXEXTRACT(CELL("address",'Raw Data'!E30),"\$([A-Z]+)\$[0-9]+"),"")</f>
        <v>$E$30</v>
      </c>
      <c r="F30" t="str" cm="1">
        <f t="array" aca="1" ref="F30" ca="1">IF('Raw Data'!F30="",_xlfn.REGEXEXTRACT(CELL("address",'Raw Data'!F30),"\$([A-Z]+)\$[0-9]+"),"")</f>
        <v>$F$30</v>
      </c>
      <c r="G30" t="str" cm="1">
        <f t="array" aca="1" ref="G30" ca="1">IF('Raw Data'!G30="",_xlfn.REGEXEXTRACT(CELL("address",'Raw Data'!G30),"\$([A-Z]+)\$[0-9]+"),"")</f>
        <v>$G$30</v>
      </c>
      <c r="H30" t="str" cm="1">
        <f t="array" aca="1" ref="H30" ca="1">IF('Raw Data'!H30="",_xlfn.REGEXEXTRACT(CELL("address",'Raw Data'!H30),"\$([A-Z]+)\$[0-9]+"),"")</f>
        <v>$H$30</v>
      </c>
      <c r="I30" t="str" cm="1">
        <f t="array" aca="1" ref="I30" ca="1">IF('Raw Data'!I30="",_xlfn.REGEXEXTRACT(CELL("address",'Raw Data'!I30),"\$([A-Z]+)\$[0-9]+"),"")</f>
        <v>$I$30</v>
      </c>
    </row>
    <row r="31" spans="2:9" x14ac:dyDescent="0.25">
      <c r="B31" t="str" cm="1">
        <f t="array" aca="1" ref="B31" ca="1">IF('Raw Data'!B31="",_xlfn.REGEXEXTRACT(CELL("address",'Raw Data'!B31),"\$([A-Z]+)\$[0-9]+"),"")</f>
        <v>$B$31</v>
      </c>
      <c r="C31" t="str" cm="1">
        <f t="array" aca="1" ref="C31" ca="1">IF('Raw Data'!C31="",_xlfn.REGEXEXTRACT(CELL("address",'Raw Data'!C31),"\$([A-Z]+)\$[0-9]+"),"")</f>
        <v>$C$31</v>
      </c>
      <c r="D31" t="str" cm="1">
        <f t="array" aca="1" ref="D31" ca="1">IF('Raw Data'!D31="",_xlfn.REGEXEXTRACT(CELL("address",'Raw Data'!D31),"\$([A-Z]+)\$[0-9]+"),"")</f>
        <v>$D$31</v>
      </c>
      <c r="E31" t="str" cm="1">
        <f t="array" aca="1" ref="E31" ca="1">IF('Raw Data'!E31="",_xlfn.REGEXEXTRACT(CELL("address",'Raw Data'!E31),"\$([A-Z]+)\$[0-9]+"),"")</f>
        <v>$E$31</v>
      </c>
      <c r="F31" t="str" cm="1">
        <f t="array" aca="1" ref="F31" ca="1">IF('Raw Data'!F31="",_xlfn.REGEXEXTRACT(CELL("address",'Raw Data'!F31),"\$([A-Z]+)\$[0-9]+"),"")</f>
        <v>$F$31</v>
      </c>
      <c r="G31" t="str" cm="1">
        <f t="array" aca="1" ref="G31" ca="1">IF('Raw Data'!G31="",_xlfn.REGEXEXTRACT(CELL("address",'Raw Data'!G31),"\$([A-Z]+)\$[0-9]+"),"")</f>
        <v>$G$31</v>
      </c>
      <c r="H31" t="str" cm="1">
        <f t="array" aca="1" ref="H31" ca="1">IF('Raw Data'!H31="",_xlfn.REGEXEXTRACT(CELL("address",'Raw Data'!H31),"\$([A-Z]+)\$[0-9]+"),"")</f>
        <v>$H$31</v>
      </c>
      <c r="I31" t="str" cm="1">
        <f t="array" aca="1" ref="I31" ca="1">IF('Raw Data'!I31="",_xlfn.REGEXEXTRACT(CELL("address",'Raw Data'!I31),"\$([A-Z]+)\$[0-9]+"),"")</f>
        <v>$I$31</v>
      </c>
    </row>
    <row r="32" spans="2:9" x14ac:dyDescent="0.25">
      <c r="B32" t="str" cm="1">
        <f t="array" aca="1" ref="B32" ca="1">IF('Raw Data'!B32="",_xlfn.REGEXEXTRACT(CELL("address",'Raw Data'!B32),"\$([A-Z]+)\$[0-9]+"),"")</f>
        <v>$B$32</v>
      </c>
      <c r="C32" t="str" cm="1">
        <f t="array" aca="1" ref="C32" ca="1">IF('Raw Data'!C32="",_xlfn.REGEXEXTRACT(CELL("address",'Raw Data'!C32),"\$([A-Z]+)\$[0-9]+"),"")</f>
        <v>$C$32</v>
      </c>
      <c r="D32" t="str" cm="1">
        <f t="array" aca="1" ref="D32" ca="1">IF('Raw Data'!D32="",_xlfn.REGEXEXTRACT(CELL("address",'Raw Data'!D32),"\$([A-Z]+)\$[0-9]+"),"")</f>
        <v>$D$32</v>
      </c>
      <c r="E32" t="str" cm="1">
        <f t="array" aca="1" ref="E32" ca="1">IF('Raw Data'!E32="",_xlfn.REGEXEXTRACT(CELL("address",'Raw Data'!E32),"\$([A-Z]+)\$[0-9]+"),"")</f>
        <v>$E$32</v>
      </c>
      <c r="F32" t="str" cm="1">
        <f t="array" aca="1" ref="F32" ca="1">IF('Raw Data'!F32="",_xlfn.REGEXEXTRACT(CELL("address",'Raw Data'!F32),"\$([A-Z]+)\$[0-9]+"),"")</f>
        <v>$F$32</v>
      </c>
      <c r="G32" t="str" cm="1">
        <f t="array" aca="1" ref="G32" ca="1">IF('Raw Data'!G32="",_xlfn.REGEXEXTRACT(CELL("address",'Raw Data'!G32),"\$([A-Z]+)\$[0-9]+"),"")</f>
        <v>$G$32</v>
      </c>
      <c r="H32" t="str" cm="1">
        <f t="array" aca="1" ref="H32" ca="1">IF('Raw Data'!H32="",_xlfn.REGEXEXTRACT(CELL("address",'Raw Data'!H32),"\$([A-Z]+)\$[0-9]+"),"")</f>
        <v>$H$32</v>
      </c>
      <c r="I32" t="str" cm="1">
        <f t="array" aca="1" ref="I32" ca="1">IF('Raw Data'!I32="",_xlfn.REGEXEXTRACT(CELL("address",'Raw Data'!I32),"\$([A-Z]+)\$[0-9]+"),"")</f>
        <v>$I$32</v>
      </c>
    </row>
    <row r="33" spans="2:9" x14ac:dyDescent="0.25">
      <c r="B33" t="str" cm="1">
        <f t="array" aca="1" ref="B33" ca="1">IF('Raw Data'!B33="",_xlfn.REGEXEXTRACT(CELL("address",'Raw Data'!B33),"\$([A-Z]+)\$[0-9]+"),"")</f>
        <v>$B$33</v>
      </c>
      <c r="C33" t="str" cm="1">
        <f t="array" aca="1" ref="C33" ca="1">IF('Raw Data'!C33="",_xlfn.REGEXEXTRACT(CELL("address",'Raw Data'!C33),"\$([A-Z]+)\$[0-9]+"),"")</f>
        <v>$C$33</v>
      </c>
      <c r="D33" t="str" cm="1">
        <f t="array" aca="1" ref="D33" ca="1">IF('Raw Data'!D33="",_xlfn.REGEXEXTRACT(CELL("address",'Raw Data'!D33),"\$([A-Z]+)\$[0-9]+"),"")</f>
        <v>$D$33</v>
      </c>
      <c r="E33" t="str" cm="1">
        <f t="array" aca="1" ref="E33" ca="1">IF('Raw Data'!E33="",_xlfn.REGEXEXTRACT(CELL("address",'Raw Data'!E33),"\$([A-Z]+)\$[0-9]+"),"")</f>
        <v>$E$33</v>
      </c>
      <c r="F33" t="str" cm="1">
        <f t="array" aca="1" ref="F33" ca="1">IF('Raw Data'!F33="",_xlfn.REGEXEXTRACT(CELL("address",'Raw Data'!F33),"\$([A-Z]+)\$[0-9]+"),"")</f>
        <v>$F$33</v>
      </c>
      <c r="G33" t="str" cm="1">
        <f t="array" aca="1" ref="G33" ca="1">IF('Raw Data'!G33="",_xlfn.REGEXEXTRACT(CELL("address",'Raw Data'!G33),"\$([A-Z]+)\$[0-9]+"),"")</f>
        <v>$G$33</v>
      </c>
      <c r="H33" t="str" cm="1">
        <f t="array" aca="1" ref="H33" ca="1">IF('Raw Data'!H33="",_xlfn.REGEXEXTRACT(CELL("address",'Raw Data'!H33),"\$([A-Z]+)\$[0-9]+"),"")</f>
        <v>$H$33</v>
      </c>
      <c r="I33" t="str" cm="1">
        <f t="array" aca="1" ref="I33" ca="1">IF('Raw Data'!I33="",_xlfn.REGEXEXTRACT(CELL("address",'Raw Data'!I33),"\$([A-Z]+)\$[0-9]+"),"")</f>
        <v>$I$33</v>
      </c>
    </row>
    <row r="34" spans="2:9" x14ac:dyDescent="0.25">
      <c r="B34" t="str" cm="1">
        <f t="array" aca="1" ref="B34" ca="1">IF('Raw Data'!B34="",_xlfn.REGEXEXTRACT(CELL("address",'Raw Data'!B34),"\$([A-Z]+)\$[0-9]+"),"")</f>
        <v>$B$34</v>
      </c>
      <c r="C34" t="str" cm="1">
        <f t="array" aca="1" ref="C34" ca="1">IF('Raw Data'!C34="",_xlfn.REGEXEXTRACT(CELL("address",'Raw Data'!C34),"\$([A-Z]+)\$[0-9]+"),"")</f>
        <v>$C$34</v>
      </c>
      <c r="D34" t="str" cm="1">
        <f t="array" aca="1" ref="D34" ca="1">IF('Raw Data'!D34="",_xlfn.REGEXEXTRACT(CELL("address",'Raw Data'!D34),"\$([A-Z]+)\$[0-9]+"),"")</f>
        <v>$D$34</v>
      </c>
      <c r="E34" t="str" cm="1">
        <f t="array" aca="1" ref="E34" ca="1">IF('Raw Data'!E34="",_xlfn.REGEXEXTRACT(CELL("address",'Raw Data'!E34),"\$([A-Z]+)\$[0-9]+"),"")</f>
        <v>$E$34</v>
      </c>
      <c r="F34" t="str" cm="1">
        <f t="array" aca="1" ref="F34" ca="1">IF('Raw Data'!F34="",_xlfn.REGEXEXTRACT(CELL("address",'Raw Data'!F34),"\$([A-Z]+)\$[0-9]+"),"")</f>
        <v>$F$34</v>
      </c>
      <c r="G34" t="str" cm="1">
        <f t="array" aca="1" ref="G34" ca="1">IF('Raw Data'!G34="",_xlfn.REGEXEXTRACT(CELL("address",'Raw Data'!G34),"\$([A-Z]+)\$[0-9]+"),"")</f>
        <v>$G$34</v>
      </c>
      <c r="H34" t="str" cm="1">
        <f t="array" aca="1" ref="H34" ca="1">IF('Raw Data'!H34="",_xlfn.REGEXEXTRACT(CELL("address",'Raw Data'!H34),"\$([A-Z]+)\$[0-9]+"),"")</f>
        <v>$H$34</v>
      </c>
      <c r="I34" t="str" cm="1">
        <f t="array" aca="1" ref="I34" ca="1">IF('Raw Data'!I34="",_xlfn.REGEXEXTRACT(CELL("address",'Raw Data'!I34),"\$([A-Z]+)\$[0-9]+"),"")</f>
        <v>$I$34</v>
      </c>
    </row>
    <row r="35" spans="2:9" x14ac:dyDescent="0.25">
      <c r="B35" t="str" cm="1">
        <f t="array" aca="1" ref="B35" ca="1">IF('Raw Data'!B35="",_xlfn.REGEXEXTRACT(CELL("address",'Raw Data'!B35),"\$([A-Z]+)\$[0-9]+"),"")</f>
        <v>$B$35</v>
      </c>
      <c r="C35" t="str" cm="1">
        <f t="array" aca="1" ref="C35" ca="1">IF('Raw Data'!C35="",_xlfn.REGEXEXTRACT(CELL("address",'Raw Data'!C35),"\$([A-Z]+)\$[0-9]+"),"")</f>
        <v>$C$35</v>
      </c>
      <c r="D35" t="str" cm="1">
        <f t="array" aca="1" ref="D35" ca="1">IF('Raw Data'!D35="",_xlfn.REGEXEXTRACT(CELL("address",'Raw Data'!D35),"\$([A-Z]+)\$[0-9]+"),"")</f>
        <v>$D$35</v>
      </c>
      <c r="E35" t="str" cm="1">
        <f t="array" aca="1" ref="E35" ca="1">IF('Raw Data'!E35="",_xlfn.REGEXEXTRACT(CELL("address",'Raw Data'!E35),"\$([A-Z]+)\$[0-9]+"),"")</f>
        <v>$E$35</v>
      </c>
      <c r="F35" t="str" cm="1">
        <f t="array" aca="1" ref="F35" ca="1">IF('Raw Data'!F35="",_xlfn.REGEXEXTRACT(CELL("address",'Raw Data'!F35),"\$([A-Z]+)\$[0-9]+"),"")</f>
        <v>$F$35</v>
      </c>
      <c r="G35" t="str" cm="1">
        <f t="array" aca="1" ref="G35" ca="1">IF('Raw Data'!G35="",_xlfn.REGEXEXTRACT(CELL("address",'Raw Data'!G35),"\$([A-Z]+)\$[0-9]+"),"")</f>
        <v>$G$35</v>
      </c>
      <c r="H35" t="str" cm="1">
        <f t="array" aca="1" ref="H35" ca="1">IF('Raw Data'!H35="",_xlfn.REGEXEXTRACT(CELL("address",'Raw Data'!H35),"\$([A-Z]+)\$[0-9]+"),"")</f>
        <v>$H$35</v>
      </c>
      <c r="I35" t="str" cm="1">
        <f t="array" aca="1" ref="I35" ca="1">IF('Raw Data'!I35="",_xlfn.REGEXEXTRACT(CELL("address",'Raw Data'!I35),"\$([A-Z]+)\$[0-9]+"),"")</f>
        <v>$I$35</v>
      </c>
    </row>
    <row r="36" spans="2:9" x14ac:dyDescent="0.25">
      <c r="B36" t="str" cm="1">
        <f t="array" aca="1" ref="B36" ca="1">IF('Raw Data'!B36="",_xlfn.REGEXEXTRACT(CELL("address",'Raw Data'!B36),"\$([A-Z]+)\$[0-9]+"),"")</f>
        <v>$B$36</v>
      </c>
      <c r="C36" t="str" cm="1">
        <f t="array" aca="1" ref="C36" ca="1">IF('Raw Data'!C36="",_xlfn.REGEXEXTRACT(CELL("address",'Raw Data'!C36),"\$([A-Z]+)\$[0-9]+"),"")</f>
        <v>$C$36</v>
      </c>
      <c r="D36" t="str" cm="1">
        <f t="array" aca="1" ref="D36" ca="1">IF('Raw Data'!D36="",_xlfn.REGEXEXTRACT(CELL("address",'Raw Data'!D36),"\$([A-Z]+)\$[0-9]+"),"")</f>
        <v>$D$36</v>
      </c>
      <c r="E36" t="str" cm="1">
        <f t="array" aca="1" ref="E36" ca="1">IF('Raw Data'!E36="",_xlfn.REGEXEXTRACT(CELL("address",'Raw Data'!E36),"\$([A-Z]+)\$[0-9]+"),"")</f>
        <v>$E$36</v>
      </c>
      <c r="F36" t="str" cm="1">
        <f t="array" aca="1" ref="F36" ca="1">IF('Raw Data'!F36="",_xlfn.REGEXEXTRACT(CELL("address",'Raw Data'!F36),"\$([A-Z]+)\$[0-9]+"),"")</f>
        <v>$F$36</v>
      </c>
      <c r="G36" t="str" cm="1">
        <f t="array" aca="1" ref="G36" ca="1">IF('Raw Data'!G36="",_xlfn.REGEXEXTRACT(CELL("address",'Raw Data'!G36),"\$([A-Z]+)\$[0-9]+"),"")</f>
        <v>$G$36</v>
      </c>
      <c r="H36" t="str" cm="1">
        <f t="array" aca="1" ref="H36" ca="1">IF('Raw Data'!H36="",_xlfn.REGEXEXTRACT(CELL("address",'Raw Data'!H36),"\$([A-Z]+)\$[0-9]+"),"")</f>
        <v>$H$36</v>
      </c>
      <c r="I36" t="str" cm="1">
        <f t="array" aca="1" ref="I36" ca="1">IF('Raw Data'!I36="",_xlfn.REGEXEXTRACT(CELL("address",'Raw Data'!I36),"\$([A-Z]+)\$[0-9]+"),"")</f>
        <v>$I$36</v>
      </c>
    </row>
    <row r="37" spans="2:9" x14ac:dyDescent="0.25">
      <c r="B37" t="str" cm="1">
        <f t="array" aca="1" ref="B37" ca="1">IF('Raw Data'!B37="",_xlfn.REGEXEXTRACT(CELL("address",'Raw Data'!B37),"\$([A-Z]+)\$[0-9]+"),"")</f>
        <v>$B$37</v>
      </c>
      <c r="C37" t="str" cm="1">
        <f t="array" aca="1" ref="C37" ca="1">IF('Raw Data'!C37="",_xlfn.REGEXEXTRACT(CELL("address",'Raw Data'!C37),"\$([A-Z]+)\$[0-9]+"),"")</f>
        <v>$C$37</v>
      </c>
      <c r="D37" t="str" cm="1">
        <f t="array" aca="1" ref="D37" ca="1">IF('Raw Data'!D37="",_xlfn.REGEXEXTRACT(CELL("address",'Raw Data'!D37),"\$([A-Z]+)\$[0-9]+"),"")</f>
        <v>$D$37</v>
      </c>
      <c r="E37" t="str" cm="1">
        <f t="array" aca="1" ref="E37" ca="1">IF('Raw Data'!E37="",_xlfn.REGEXEXTRACT(CELL("address",'Raw Data'!E37),"\$([A-Z]+)\$[0-9]+"),"")</f>
        <v>$E$37</v>
      </c>
      <c r="F37" t="str" cm="1">
        <f t="array" aca="1" ref="F37" ca="1">IF('Raw Data'!F37="",_xlfn.REGEXEXTRACT(CELL("address",'Raw Data'!F37),"\$([A-Z]+)\$[0-9]+"),"")</f>
        <v>$F$37</v>
      </c>
      <c r="G37" t="str" cm="1">
        <f t="array" aca="1" ref="G37" ca="1">IF('Raw Data'!G37="",_xlfn.REGEXEXTRACT(CELL("address",'Raw Data'!G37),"\$([A-Z]+)\$[0-9]+"),"")</f>
        <v>$G$37</v>
      </c>
      <c r="H37" t="str" cm="1">
        <f t="array" aca="1" ref="H37" ca="1">IF('Raw Data'!H37="",_xlfn.REGEXEXTRACT(CELL("address",'Raw Data'!H37),"\$([A-Z]+)\$[0-9]+"),"")</f>
        <v>$H$37</v>
      </c>
      <c r="I37" t="str" cm="1">
        <f t="array" aca="1" ref="I37" ca="1">IF('Raw Data'!I37="",_xlfn.REGEXEXTRACT(CELL("address",'Raw Data'!I37),"\$([A-Z]+)\$[0-9]+"),"")</f>
        <v>$I$37</v>
      </c>
    </row>
    <row r="38" spans="2:9" x14ac:dyDescent="0.25">
      <c r="B38" t="str" cm="1">
        <f t="array" aca="1" ref="B38" ca="1">IF('Raw Data'!B38="",_xlfn.REGEXEXTRACT(CELL("address",'Raw Data'!B38),"\$([A-Z]+)\$[0-9]+"),"")</f>
        <v>$B$38</v>
      </c>
      <c r="C38" t="str" cm="1">
        <f t="array" aca="1" ref="C38" ca="1">IF('Raw Data'!C38="",_xlfn.REGEXEXTRACT(CELL("address",'Raw Data'!C38),"\$([A-Z]+)\$[0-9]+"),"")</f>
        <v>$C$38</v>
      </c>
      <c r="D38" t="str" cm="1">
        <f t="array" aca="1" ref="D38" ca="1">IF('Raw Data'!D38="",_xlfn.REGEXEXTRACT(CELL("address",'Raw Data'!D38),"\$([A-Z]+)\$[0-9]+"),"")</f>
        <v>$D$38</v>
      </c>
      <c r="E38" t="str" cm="1">
        <f t="array" aca="1" ref="E38" ca="1">IF('Raw Data'!E38="",_xlfn.REGEXEXTRACT(CELL("address",'Raw Data'!E38),"\$([A-Z]+)\$[0-9]+"),"")</f>
        <v>$E$38</v>
      </c>
      <c r="F38" t="str" cm="1">
        <f t="array" aca="1" ref="F38" ca="1">IF('Raw Data'!F38="",_xlfn.REGEXEXTRACT(CELL("address",'Raw Data'!F38),"\$([A-Z]+)\$[0-9]+"),"")</f>
        <v>$F$38</v>
      </c>
      <c r="G38" t="str" cm="1">
        <f t="array" aca="1" ref="G38" ca="1">IF('Raw Data'!G38="",_xlfn.REGEXEXTRACT(CELL("address",'Raw Data'!G38),"\$([A-Z]+)\$[0-9]+"),"")</f>
        <v>$G$38</v>
      </c>
      <c r="H38" t="str" cm="1">
        <f t="array" aca="1" ref="H38" ca="1">IF('Raw Data'!H38="",_xlfn.REGEXEXTRACT(CELL("address",'Raw Data'!H38),"\$([A-Z]+)\$[0-9]+"),"")</f>
        <v>$H$38</v>
      </c>
      <c r="I38" t="str" cm="1">
        <f t="array" aca="1" ref="I38" ca="1">IF('Raw Data'!I38="",_xlfn.REGEXEXTRACT(CELL("address",'Raw Data'!I38),"\$([A-Z]+)\$[0-9]+"),"")</f>
        <v>$I$38</v>
      </c>
    </row>
    <row r="39" spans="2:9" x14ac:dyDescent="0.25">
      <c r="B39" t="str" cm="1">
        <f t="array" aca="1" ref="B39" ca="1">IF('Raw Data'!B39="",_xlfn.REGEXEXTRACT(CELL("address",'Raw Data'!B39),"\$([A-Z]+)\$[0-9]+"),"")</f>
        <v>$B$39</v>
      </c>
      <c r="C39" t="str" cm="1">
        <f t="array" aca="1" ref="C39" ca="1">IF('Raw Data'!C39="",_xlfn.REGEXEXTRACT(CELL("address",'Raw Data'!C39),"\$([A-Z]+)\$[0-9]+"),"")</f>
        <v>$C$39</v>
      </c>
      <c r="D39" t="str" cm="1">
        <f t="array" aca="1" ref="D39" ca="1">IF('Raw Data'!D39="",_xlfn.REGEXEXTRACT(CELL("address",'Raw Data'!D39),"\$([A-Z]+)\$[0-9]+"),"")</f>
        <v>$D$39</v>
      </c>
      <c r="E39" t="str" cm="1">
        <f t="array" aca="1" ref="E39" ca="1">IF('Raw Data'!E39="",_xlfn.REGEXEXTRACT(CELL("address",'Raw Data'!E39),"\$([A-Z]+)\$[0-9]+"),"")</f>
        <v>$E$39</v>
      </c>
      <c r="F39" t="str" cm="1">
        <f t="array" aca="1" ref="F39" ca="1">IF('Raw Data'!F39="",_xlfn.REGEXEXTRACT(CELL("address",'Raw Data'!F39),"\$([A-Z]+)\$[0-9]+"),"")</f>
        <v>$F$39</v>
      </c>
      <c r="G39" t="str" cm="1">
        <f t="array" aca="1" ref="G39" ca="1">IF('Raw Data'!G39="",_xlfn.REGEXEXTRACT(CELL("address",'Raw Data'!G39),"\$([A-Z]+)\$[0-9]+"),"")</f>
        <v>$G$39</v>
      </c>
      <c r="H39" t="str" cm="1">
        <f t="array" aca="1" ref="H39" ca="1">IF('Raw Data'!H39="",_xlfn.REGEXEXTRACT(CELL("address",'Raw Data'!H39),"\$([A-Z]+)\$[0-9]+"),"")</f>
        <v>$H$39</v>
      </c>
      <c r="I39" t="str" cm="1">
        <f t="array" aca="1" ref="I39" ca="1">IF('Raw Data'!I39="",_xlfn.REGEXEXTRACT(CELL("address",'Raw Data'!I39),"\$([A-Z]+)\$[0-9]+"),"")</f>
        <v>$I$39</v>
      </c>
    </row>
    <row r="40" spans="2:9" x14ac:dyDescent="0.25">
      <c r="B40" t="str" cm="1">
        <f t="array" aca="1" ref="B40" ca="1">IF('Raw Data'!B40="",_xlfn.REGEXEXTRACT(CELL("address",'Raw Data'!B40),"\$([A-Z]+)\$[0-9]+"),"")</f>
        <v>$B$40</v>
      </c>
      <c r="C40" t="str" cm="1">
        <f t="array" aca="1" ref="C40" ca="1">IF('Raw Data'!C40="",_xlfn.REGEXEXTRACT(CELL("address",'Raw Data'!C40),"\$([A-Z]+)\$[0-9]+"),"")</f>
        <v>$C$40</v>
      </c>
      <c r="D40" t="str" cm="1">
        <f t="array" aca="1" ref="D40" ca="1">IF('Raw Data'!D40="",_xlfn.REGEXEXTRACT(CELL("address",'Raw Data'!D40),"\$([A-Z]+)\$[0-9]+"),"")</f>
        <v>$D$40</v>
      </c>
      <c r="E40" t="str" cm="1">
        <f t="array" aca="1" ref="E40" ca="1">IF('Raw Data'!E40="",_xlfn.REGEXEXTRACT(CELL("address",'Raw Data'!E40),"\$([A-Z]+)\$[0-9]+"),"")</f>
        <v>$E$40</v>
      </c>
      <c r="F40" t="str" cm="1">
        <f t="array" aca="1" ref="F40" ca="1">IF('Raw Data'!F40="",_xlfn.REGEXEXTRACT(CELL("address",'Raw Data'!F40),"\$([A-Z]+)\$[0-9]+"),"")</f>
        <v>$F$40</v>
      </c>
      <c r="G40" t="str" cm="1">
        <f t="array" aca="1" ref="G40" ca="1">IF('Raw Data'!G40="",_xlfn.REGEXEXTRACT(CELL("address",'Raw Data'!G40),"\$([A-Z]+)\$[0-9]+"),"")</f>
        <v>$G$40</v>
      </c>
      <c r="H40" t="str" cm="1">
        <f t="array" aca="1" ref="H40" ca="1">IF('Raw Data'!H40="",_xlfn.REGEXEXTRACT(CELL("address",'Raw Data'!H40),"\$([A-Z]+)\$[0-9]+"),"")</f>
        <v>$H$40</v>
      </c>
      <c r="I40" t="str" cm="1">
        <f t="array" aca="1" ref="I40" ca="1">IF('Raw Data'!I40="",_xlfn.REGEXEXTRACT(CELL("address",'Raw Data'!I40),"\$([A-Z]+)\$[0-9]+"),"")</f>
        <v>$I$40</v>
      </c>
    </row>
    <row r="41" spans="2:9" x14ac:dyDescent="0.25">
      <c r="B41" t="str" cm="1">
        <f t="array" aca="1" ref="B41" ca="1">IF('Raw Data'!B41="",_xlfn.REGEXEXTRACT(CELL("address",'Raw Data'!B41),"\$([A-Z]+)\$[0-9]+"),"")</f>
        <v>$B$41</v>
      </c>
      <c r="C41" t="str" cm="1">
        <f t="array" aca="1" ref="C41" ca="1">IF('Raw Data'!C41="",_xlfn.REGEXEXTRACT(CELL("address",'Raw Data'!C41),"\$([A-Z]+)\$[0-9]+"),"")</f>
        <v>$C$41</v>
      </c>
      <c r="D41" t="str" cm="1">
        <f t="array" aca="1" ref="D41" ca="1">IF('Raw Data'!D41="",_xlfn.REGEXEXTRACT(CELL("address",'Raw Data'!D41),"\$([A-Z]+)\$[0-9]+"),"")</f>
        <v>$D$41</v>
      </c>
      <c r="E41" t="str" cm="1">
        <f t="array" aca="1" ref="E41" ca="1">IF('Raw Data'!E41="",_xlfn.REGEXEXTRACT(CELL("address",'Raw Data'!E41),"\$([A-Z]+)\$[0-9]+"),"")</f>
        <v>$E$41</v>
      </c>
      <c r="F41" t="str" cm="1">
        <f t="array" aca="1" ref="F41" ca="1">IF('Raw Data'!F41="",_xlfn.REGEXEXTRACT(CELL("address",'Raw Data'!F41),"\$([A-Z]+)\$[0-9]+"),"")</f>
        <v>$F$41</v>
      </c>
      <c r="G41" t="str" cm="1">
        <f t="array" aca="1" ref="G41" ca="1">IF('Raw Data'!G41="",_xlfn.REGEXEXTRACT(CELL("address",'Raw Data'!G41),"\$([A-Z]+)\$[0-9]+"),"")</f>
        <v>$G$41</v>
      </c>
      <c r="H41" t="str" cm="1">
        <f t="array" aca="1" ref="H41" ca="1">IF('Raw Data'!H41="",_xlfn.REGEXEXTRACT(CELL("address",'Raw Data'!H41),"\$([A-Z]+)\$[0-9]+"),"")</f>
        <v>$H$41</v>
      </c>
      <c r="I41" t="str" cm="1">
        <f t="array" aca="1" ref="I41" ca="1">IF('Raw Data'!I41="",_xlfn.REGEXEXTRACT(CELL("address",'Raw Data'!I41),"\$([A-Z]+)\$[0-9]+"),"")</f>
        <v>$I$41</v>
      </c>
    </row>
    <row r="42" spans="2:9" x14ac:dyDescent="0.25">
      <c r="B42" t="str" cm="1">
        <f t="array" aca="1" ref="B42" ca="1">IF('Raw Data'!B42="",_xlfn.REGEXEXTRACT(CELL("address",'Raw Data'!B42),"\$([A-Z]+)\$[0-9]+"),"")</f>
        <v>$B$42</v>
      </c>
      <c r="C42" t="str" cm="1">
        <f t="array" aca="1" ref="C42" ca="1">IF('Raw Data'!C42="",_xlfn.REGEXEXTRACT(CELL("address",'Raw Data'!C42),"\$([A-Z]+)\$[0-9]+"),"")</f>
        <v>$C$42</v>
      </c>
      <c r="D42" t="str" cm="1">
        <f t="array" aca="1" ref="D42" ca="1">IF('Raw Data'!D42="",_xlfn.REGEXEXTRACT(CELL("address",'Raw Data'!D42),"\$([A-Z]+)\$[0-9]+"),"")</f>
        <v>$D$42</v>
      </c>
      <c r="E42" t="str" cm="1">
        <f t="array" aca="1" ref="E42" ca="1">IF('Raw Data'!E42="",_xlfn.REGEXEXTRACT(CELL("address",'Raw Data'!E42),"\$([A-Z]+)\$[0-9]+"),"")</f>
        <v>$E$42</v>
      </c>
      <c r="F42" t="str" cm="1">
        <f t="array" aca="1" ref="F42" ca="1">IF('Raw Data'!F42="",_xlfn.REGEXEXTRACT(CELL("address",'Raw Data'!F42),"\$([A-Z]+)\$[0-9]+"),"")</f>
        <v>$F$42</v>
      </c>
      <c r="G42" t="str" cm="1">
        <f t="array" aca="1" ref="G42" ca="1">IF('Raw Data'!G42="",_xlfn.REGEXEXTRACT(CELL("address",'Raw Data'!G42),"\$([A-Z]+)\$[0-9]+"),"")</f>
        <v>$G$42</v>
      </c>
      <c r="H42" t="str" cm="1">
        <f t="array" aca="1" ref="H42" ca="1">IF('Raw Data'!H42="",_xlfn.REGEXEXTRACT(CELL("address",'Raw Data'!H42),"\$([A-Z]+)\$[0-9]+"),"")</f>
        <v>$H$42</v>
      </c>
      <c r="I42" t="str" cm="1">
        <f t="array" aca="1" ref="I42" ca="1">IF('Raw Data'!I42="",_xlfn.REGEXEXTRACT(CELL("address",'Raw Data'!I42),"\$([A-Z]+)\$[0-9]+"),"")</f>
        <v>$I$42</v>
      </c>
    </row>
    <row r="43" spans="2:9" x14ac:dyDescent="0.25">
      <c r="B43" t="str" cm="1">
        <f t="array" aca="1" ref="B43" ca="1">IF('Raw Data'!B43="",_xlfn.REGEXEXTRACT(CELL("address",'Raw Data'!B43),"\$([A-Z]+)\$[0-9]+"),"")</f>
        <v>$B$43</v>
      </c>
      <c r="C43" t="str" cm="1">
        <f t="array" aca="1" ref="C43" ca="1">IF('Raw Data'!C43="",_xlfn.REGEXEXTRACT(CELL("address",'Raw Data'!C43),"\$([A-Z]+)\$[0-9]+"),"")</f>
        <v>$C$43</v>
      </c>
      <c r="D43" t="str" cm="1">
        <f t="array" aca="1" ref="D43" ca="1">IF('Raw Data'!D43="",_xlfn.REGEXEXTRACT(CELL("address",'Raw Data'!D43),"\$([A-Z]+)\$[0-9]+"),"")</f>
        <v>$D$43</v>
      </c>
      <c r="E43" t="str" cm="1">
        <f t="array" aca="1" ref="E43" ca="1">IF('Raw Data'!E43="",_xlfn.REGEXEXTRACT(CELL("address",'Raw Data'!E43),"\$([A-Z]+)\$[0-9]+"),"")</f>
        <v>$E$43</v>
      </c>
      <c r="F43" t="str" cm="1">
        <f t="array" aca="1" ref="F43" ca="1">IF('Raw Data'!F43="",_xlfn.REGEXEXTRACT(CELL("address",'Raw Data'!F43),"\$([A-Z]+)\$[0-9]+"),"")</f>
        <v>$F$43</v>
      </c>
      <c r="G43" t="str" cm="1">
        <f t="array" aca="1" ref="G43" ca="1">IF('Raw Data'!G43="",_xlfn.REGEXEXTRACT(CELL("address",'Raw Data'!G43),"\$([A-Z]+)\$[0-9]+"),"")</f>
        <v>$G$43</v>
      </c>
      <c r="H43" t="str" cm="1">
        <f t="array" aca="1" ref="H43" ca="1">IF('Raw Data'!H43="",_xlfn.REGEXEXTRACT(CELL("address",'Raw Data'!H43),"\$([A-Z]+)\$[0-9]+"),"")</f>
        <v>$H$43</v>
      </c>
      <c r="I43" t="str" cm="1">
        <f t="array" aca="1" ref="I43" ca="1">IF('Raw Data'!I43="",_xlfn.REGEXEXTRACT(CELL("address",'Raw Data'!I43),"\$([A-Z]+)\$[0-9]+"),"")</f>
        <v>$I$43</v>
      </c>
    </row>
    <row r="44" spans="2:9" x14ac:dyDescent="0.25">
      <c r="B44" t="str" cm="1">
        <f t="array" aca="1" ref="B44" ca="1">IF('Raw Data'!B44="",_xlfn.REGEXEXTRACT(CELL("address",'Raw Data'!B44),"\$([A-Z]+)\$[0-9]+"),"")</f>
        <v>$B$44</v>
      </c>
      <c r="C44" t="str" cm="1">
        <f t="array" aca="1" ref="C44" ca="1">IF('Raw Data'!C44="",_xlfn.REGEXEXTRACT(CELL("address",'Raw Data'!C44),"\$([A-Z]+)\$[0-9]+"),"")</f>
        <v>$C$44</v>
      </c>
      <c r="D44" t="str" cm="1">
        <f t="array" aca="1" ref="D44" ca="1">IF('Raw Data'!D44="",_xlfn.REGEXEXTRACT(CELL("address",'Raw Data'!D44),"\$([A-Z]+)\$[0-9]+"),"")</f>
        <v>$D$44</v>
      </c>
      <c r="E44" t="str" cm="1">
        <f t="array" aca="1" ref="E44" ca="1">IF('Raw Data'!E44="",_xlfn.REGEXEXTRACT(CELL("address",'Raw Data'!E44),"\$([A-Z]+)\$[0-9]+"),"")</f>
        <v>$E$44</v>
      </c>
      <c r="F44" t="str" cm="1">
        <f t="array" aca="1" ref="F44" ca="1">IF('Raw Data'!F44="",_xlfn.REGEXEXTRACT(CELL("address",'Raw Data'!F44),"\$([A-Z]+)\$[0-9]+"),"")</f>
        <v>$F$44</v>
      </c>
      <c r="G44" t="str" cm="1">
        <f t="array" aca="1" ref="G44" ca="1">IF('Raw Data'!G44="",_xlfn.REGEXEXTRACT(CELL("address",'Raw Data'!G44),"\$([A-Z]+)\$[0-9]+"),"")</f>
        <v>$G$44</v>
      </c>
      <c r="H44" t="str" cm="1">
        <f t="array" aca="1" ref="H44" ca="1">IF('Raw Data'!H44="",_xlfn.REGEXEXTRACT(CELL("address",'Raw Data'!H44),"\$([A-Z]+)\$[0-9]+"),"")</f>
        <v>$H$44</v>
      </c>
      <c r="I44" t="str" cm="1">
        <f t="array" aca="1" ref="I44" ca="1">IF('Raw Data'!I44="",_xlfn.REGEXEXTRACT(CELL("address",'Raw Data'!I44),"\$([A-Z]+)\$[0-9]+"),"")</f>
        <v>$I$44</v>
      </c>
    </row>
    <row r="45" spans="2:9" x14ac:dyDescent="0.25">
      <c r="B45" t="str" cm="1">
        <f t="array" aca="1" ref="B45" ca="1">IF('Raw Data'!B45="",_xlfn.REGEXEXTRACT(CELL("address",'Raw Data'!B45),"\$([A-Z]+)\$[0-9]+"),"")</f>
        <v>$B$45</v>
      </c>
      <c r="C45" t="str" cm="1">
        <f t="array" aca="1" ref="C45" ca="1">IF('Raw Data'!C45="",_xlfn.REGEXEXTRACT(CELL("address",'Raw Data'!C45),"\$([A-Z]+)\$[0-9]+"),"")</f>
        <v>$C$45</v>
      </c>
      <c r="D45" t="str" cm="1">
        <f t="array" aca="1" ref="D45" ca="1">IF('Raw Data'!D45="",_xlfn.REGEXEXTRACT(CELL("address",'Raw Data'!D45),"\$([A-Z]+)\$[0-9]+"),"")</f>
        <v>$D$45</v>
      </c>
      <c r="E45" t="str" cm="1">
        <f t="array" aca="1" ref="E45" ca="1">IF('Raw Data'!E45="",_xlfn.REGEXEXTRACT(CELL("address",'Raw Data'!E45),"\$([A-Z]+)\$[0-9]+"),"")</f>
        <v>$E$45</v>
      </c>
      <c r="F45" t="str" cm="1">
        <f t="array" aca="1" ref="F45" ca="1">IF('Raw Data'!F45="",_xlfn.REGEXEXTRACT(CELL("address",'Raw Data'!F45),"\$([A-Z]+)\$[0-9]+"),"")</f>
        <v>$F$45</v>
      </c>
      <c r="G45" t="str" cm="1">
        <f t="array" aca="1" ref="G45" ca="1">IF('Raw Data'!G45="",_xlfn.REGEXEXTRACT(CELL("address",'Raw Data'!G45),"\$([A-Z]+)\$[0-9]+"),"")</f>
        <v>$G$45</v>
      </c>
      <c r="H45" t="str" cm="1">
        <f t="array" aca="1" ref="H45" ca="1">IF('Raw Data'!H45="",_xlfn.REGEXEXTRACT(CELL("address",'Raw Data'!H45),"\$([A-Z]+)\$[0-9]+"),"")</f>
        <v>$H$45</v>
      </c>
      <c r="I45" t="str" cm="1">
        <f t="array" aca="1" ref="I45" ca="1">IF('Raw Data'!I45="",_xlfn.REGEXEXTRACT(CELL("address",'Raw Data'!I45),"\$([A-Z]+)\$[0-9]+"),"")</f>
        <v>$I$45</v>
      </c>
    </row>
    <row r="46" spans="2:9" x14ac:dyDescent="0.25">
      <c r="B46" t="str" cm="1">
        <f t="array" aca="1" ref="B46" ca="1">IF('Raw Data'!B46="",_xlfn.REGEXEXTRACT(CELL("address",'Raw Data'!B46),"\$([A-Z]+)\$[0-9]+"),"")</f>
        <v>$B$46</v>
      </c>
      <c r="C46" t="str" cm="1">
        <f t="array" aca="1" ref="C46" ca="1">IF('Raw Data'!C46="",_xlfn.REGEXEXTRACT(CELL("address",'Raw Data'!C46),"\$([A-Z]+)\$[0-9]+"),"")</f>
        <v>$C$46</v>
      </c>
      <c r="D46" t="str" cm="1">
        <f t="array" aca="1" ref="D46" ca="1">IF('Raw Data'!D46="",_xlfn.REGEXEXTRACT(CELL("address",'Raw Data'!D46),"\$([A-Z]+)\$[0-9]+"),"")</f>
        <v>$D$46</v>
      </c>
      <c r="E46" t="str" cm="1">
        <f t="array" aca="1" ref="E46" ca="1">IF('Raw Data'!E46="",_xlfn.REGEXEXTRACT(CELL("address",'Raw Data'!E46),"\$([A-Z]+)\$[0-9]+"),"")</f>
        <v>$E$46</v>
      </c>
      <c r="F46" t="str" cm="1">
        <f t="array" aca="1" ref="F46" ca="1">IF('Raw Data'!F46="",_xlfn.REGEXEXTRACT(CELL("address",'Raw Data'!F46),"\$([A-Z]+)\$[0-9]+"),"")</f>
        <v>$F$46</v>
      </c>
      <c r="G46" t="str" cm="1">
        <f t="array" aca="1" ref="G46" ca="1">IF('Raw Data'!G46="",_xlfn.REGEXEXTRACT(CELL("address",'Raw Data'!G46),"\$([A-Z]+)\$[0-9]+"),"")</f>
        <v>$G$46</v>
      </c>
      <c r="H46" t="str" cm="1">
        <f t="array" aca="1" ref="H46" ca="1">IF('Raw Data'!H46="",_xlfn.REGEXEXTRACT(CELL("address",'Raw Data'!H46),"\$([A-Z]+)\$[0-9]+"),"")</f>
        <v>$H$46</v>
      </c>
      <c r="I46" t="str" cm="1">
        <f t="array" aca="1" ref="I46" ca="1">IF('Raw Data'!I46="",_xlfn.REGEXEXTRACT(CELL("address",'Raw Data'!I46),"\$([A-Z]+)\$[0-9]+"),"")</f>
        <v>$I$46</v>
      </c>
    </row>
    <row r="47" spans="2:9" x14ac:dyDescent="0.25">
      <c r="B47" t="str" cm="1">
        <f t="array" aca="1" ref="B47" ca="1">IF('Raw Data'!B47="",_xlfn.REGEXEXTRACT(CELL("address",'Raw Data'!B47),"\$([A-Z]+)\$[0-9]+"),"")</f>
        <v>$B$47</v>
      </c>
      <c r="C47" t="str" cm="1">
        <f t="array" aca="1" ref="C47" ca="1">IF('Raw Data'!C47="",_xlfn.REGEXEXTRACT(CELL("address",'Raw Data'!C47),"\$([A-Z]+)\$[0-9]+"),"")</f>
        <v>$C$47</v>
      </c>
      <c r="D47" t="str" cm="1">
        <f t="array" aca="1" ref="D47" ca="1">IF('Raw Data'!D47="",_xlfn.REGEXEXTRACT(CELL("address",'Raw Data'!D47),"\$([A-Z]+)\$[0-9]+"),"")</f>
        <v>$D$47</v>
      </c>
      <c r="E47" t="str" cm="1">
        <f t="array" aca="1" ref="E47" ca="1">IF('Raw Data'!E47="",_xlfn.REGEXEXTRACT(CELL("address",'Raw Data'!E47),"\$([A-Z]+)\$[0-9]+"),"")</f>
        <v>$E$47</v>
      </c>
      <c r="F47" t="str" cm="1">
        <f t="array" aca="1" ref="F47" ca="1">IF('Raw Data'!F47="",_xlfn.REGEXEXTRACT(CELL("address",'Raw Data'!F47),"\$([A-Z]+)\$[0-9]+"),"")</f>
        <v>$F$47</v>
      </c>
      <c r="G47" t="str" cm="1">
        <f t="array" aca="1" ref="G47" ca="1">IF('Raw Data'!G47="",_xlfn.REGEXEXTRACT(CELL("address",'Raw Data'!G47),"\$([A-Z]+)\$[0-9]+"),"")</f>
        <v>$G$47</v>
      </c>
      <c r="H47" t="str" cm="1">
        <f t="array" aca="1" ref="H47" ca="1">IF('Raw Data'!H47="",_xlfn.REGEXEXTRACT(CELL("address",'Raw Data'!H47),"\$([A-Z]+)\$[0-9]+"),"")</f>
        <v>$H$47</v>
      </c>
      <c r="I47" t="str" cm="1">
        <f t="array" aca="1" ref="I47" ca="1">IF('Raw Data'!I47="",_xlfn.REGEXEXTRACT(CELL("address",'Raw Data'!I47),"\$([A-Z]+)\$[0-9]+"),"")</f>
        <v>$I$47</v>
      </c>
    </row>
    <row r="48" spans="2:9" x14ac:dyDescent="0.25">
      <c r="B48" t="str" cm="1">
        <f t="array" aca="1" ref="B48" ca="1">IF('Raw Data'!B48="",_xlfn.REGEXEXTRACT(CELL("address",'Raw Data'!B48),"\$([A-Z]+)\$[0-9]+"),"")</f>
        <v>$B$48</v>
      </c>
      <c r="C48" t="str" cm="1">
        <f t="array" aca="1" ref="C48" ca="1">IF('Raw Data'!C48="",_xlfn.REGEXEXTRACT(CELL("address",'Raw Data'!C48),"\$([A-Z]+)\$[0-9]+"),"")</f>
        <v>$C$48</v>
      </c>
      <c r="D48" t="str" cm="1">
        <f t="array" aca="1" ref="D48" ca="1">IF('Raw Data'!D48="",_xlfn.REGEXEXTRACT(CELL("address",'Raw Data'!D48),"\$([A-Z]+)\$[0-9]+"),"")</f>
        <v>$D$48</v>
      </c>
      <c r="E48" t="str" cm="1">
        <f t="array" aca="1" ref="E48" ca="1">IF('Raw Data'!E48="",_xlfn.REGEXEXTRACT(CELL("address",'Raw Data'!E48),"\$([A-Z]+)\$[0-9]+"),"")</f>
        <v>$E$48</v>
      </c>
      <c r="F48" t="str" cm="1">
        <f t="array" aca="1" ref="F48" ca="1">IF('Raw Data'!F48="",_xlfn.REGEXEXTRACT(CELL("address",'Raw Data'!F48),"\$([A-Z]+)\$[0-9]+"),"")</f>
        <v>$F$48</v>
      </c>
      <c r="G48" t="str" cm="1">
        <f t="array" aca="1" ref="G48" ca="1">IF('Raw Data'!G48="",_xlfn.REGEXEXTRACT(CELL("address",'Raw Data'!G48),"\$([A-Z]+)\$[0-9]+"),"")</f>
        <v>$G$48</v>
      </c>
      <c r="H48" t="str" cm="1">
        <f t="array" aca="1" ref="H48" ca="1">IF('Raw Data'!H48="",_xlfn.REGEXEXTRACT(CELL("address",'Raw Data'!H48),"\$([A-Z]+)\$[0-9]+"),"")</f>
        <v>$H$48</v>
      </c>
      <c r="I48" t="str" cm="1">
        <f t="array" aca="1" ref="I48" ca="1">IF('Raw Data'!I48="",_xlfn.REGEXEXTRACT(CELL("address",'Raw Data'!I48),"\$([A-Z]+)\$[0-9]+"),"")</f>
        <v>$I$48</v>
      </c>
    </row>
    <row r="49" spans="2:9" x14ac:dyDescent="0.25">
      <c r="B49" t="str" cm="1">
        <f t="array" aca="1" ref="B49" ca="1">IF('Raw Data'!B49="",_xlfn.REGEXEXTRACT(CELL("address",'Raw Data'!B49),"\$([A-Z]+)\$[0-9]+"),"")</f>
        <v>$B$49</v>
      </c>
      <c r="C49" t="str" cm="1">
        <f t="array" aca="1" ref="C49" ca="1">IF('Raw Data'!C49="",_xlfn.REGEXEXTRACT(CELL("address",'Raw Data'!C49),"\$([A-Z]+)\$[0-9]+"),"")</f>
        <v>$C$49</v>
      </c>
      <c r="D49" t="str" cm="1">
        <f t="array" aca="1" ref="D49" ca="1">IF('Raw Data'!D49="",_xlfn.REGEXEXTRACT(CELL("address",'Raw Data'!D49),"\$([A-Z]+)\$[0-9]+"),"")</f>
        <v>$D$49</v>
      </c>
      <c r="E49" t="str" cm="1">
        <f t="array" aca="1" ref="E49" ca="1">IF('Raw Data'!E49="",_xlfn.REGEXEXTRACT(CELL("address",'Raw Data'!E49),"\$([A-Z]+)\$[0-9]+"),"")</f>
        <v>$E$49</v>
      </c>
      <c r="F49" t="str" cm="1">
        <f t="array" aca="1" ref="F49" ca="1">IF('Raw Data'!F49="",_xlfn.REGEXEXTRACT(CELL("address",'Raw Data'!F49),"\$([A-Z]+)\$[0-9]+"),"")</f>
        <v>$F$49</v>
      </c>
      <c r="G49" t="str" cm="1">
        <f t="array" aca="1" ref="G49" ca="1">IF('Raw Data'!G49="",_xlfn.REGEXEXTRACT(CELL("address",'Raw Data'!G49),"\$([A-Z]+)\$[0-9]+"),"")</f>
        <v>$G$49</v>
      </c>
      <c r="H49" t="str" cm="1">
        <f t="array" aca="1" ref="H49" ca="1">IF('Raw Data'!H49="",_xlfn.REGEXEXTRACT(CELL("address",'Raw Data'!H49),"\$([A-Z]+)\$[0-9]+"),"")</f>
        <v>$H$49</v>
      </c>
      <c r="I49" t="str" cm="1">
        <f t="array" aca="1" ref="I49" ca="1">IF('Raw Data'!I49="",_xlfn.REGEXEXTRACT(CELL("address",'Raw Data'!I49),"\$([A-Z]+)\$[0-9]+"),"")</f>
        <v>$I$49</v>
      </c>
    </row>
    <row r="50" spans="2:9" x14ac:dyDescent="0.25">
      <c r="B50" t="str" cm="1">
        <f t="array" aca="1" ref="B50" ca="1">IF('Raw Data'!B50="",_xlfn.REGEXEXTRACT(CELL("address",'Raw Data'!B50),"\$([A-Z]+)\$[0-9]+"),"")</f>
        <v>$B$50</v>
      </c>
      <c r="C50" t="str" cm="1">
        <f t="array" aca="1" ref="C50" ca="1">IF('Raw Data'!C50="",_xlfn.REGEXEXTRACT(CELL("address",'Raw Data'!C50),"\$([A-Z]+)\$[0-9]+"),"")</f>
        <v>$C$50</v>
      </c>
      <c r="D50" t="str" cm="1">
        <f t="array" aca="1" ref="D50" ca="1">IF('Raw Data'!D50="",_xlfn.REGEXEXTRACT(CELL("address",'Raw Data'!D50),"\$([A-Z]+)\$[0-9]+"),"")</f>
        <v>$D$50</v>
      </c>
      <c r="E50" t="str" cm="1">
        <f t="array" aca="1" ref="E50" ca="1">IF('Raw Data'!E50="",_xlfn.REGEXEXTRACT(CELL("address",'Raw Data'!E50),"\$([A-Z]+)\$[0-9]+"),"")</f>
        <v>$E$50</v>
      </c>
      <c r="F50" t="str" cm="1">
        <f t="array" aca="1" ref="F50" ca="1">IF('Raw Data'!F50="",_xlfn.REGEXEXTRACT(CELL("address",'Raw Data'!F50),"\$([A-Z]+)\$[0-9]+"),"")</f>
        <v>$F$50</v>
      </c>
      <c r="G50" t="str" cm="1">
        <f t="array" aca="1" ref="G50" ca="1">IF('Raw Data'!G50="",_xlfn.REGEXEXTRACT(CELL("address",'Raw Data'!G50),"\$([A-Z]+)\$[0-9]+"),"")</f>
        <v>$G$50</v>
      </c>
      <c r="H50" t="str" cm="1">
        <f t="array" aca="1" ref="H50" ca="1">IF('Raw Data'!H50="",_xlfn.REGEXEXTRACT(CELL("address",'Raw Data'!H50),"\$([A-Z]+)\$[0-9]+"),"")</f>
        <v>$H$50</v>
      </c>
      <c r="I50" t="str" cm="1">
        <f t="array" aca="1" ref="I50" ca="1">IF('Raw Data'!I50="",_xlfn.REGEXEXTRACT(CELL("address",'Raw Data'!I50),"\$([A-Z]+)\$[0-9]+"),"")</f>
        <v>$I$50</v>
      </c>
    </row>
    <row r="51" spans="2:9" x14ac:dyDescent="0.25">
      <c r="B51" t="str" cm="1">
        <f t="array" aca="1" ref="B51" ca="1">IF('Raw Data'!B51="",_xlfn.REGEXEXTRACT(CELL("address",'Raw Data'!B51),"\$([A-Z]+)\$[0-9]+"),"")</f>
        <v>$B$51</v>
      </c>
      <c r="C51" t="str" cm="1">
        <f t="array" aca="1" ref="C51" ca="1">IF('Raw Data'!C51="",_xlfn.REGEXEXTRACT(CELL("address",'Raw Data'!C51),"\$([A-Z]+)\$[0-9]+"),"")</f>
        <v>$C$51</v>
      </c>
      <c r="D51" t="str" cm="1">
        <f t="array" aca="1" ref="D51" ca="1">IF('Raw Data'!D51="",_xlfn.REGEXEXTRACT(CELL("address",'Raw Data'!D51),"\$([A-Z]+)\$[0-9]+"),"")</f>
        <v>$D$51</v>
      </c>
      <c r="E51" t="str" cm="1">
        <f t="array" aca="1" ref="E51" ca="1">IF('Raw Data'!E51="",_xlfn.REGEXEXTRACT(CELL("address",'Raw Data'!E51),"\$([A-Z]+)\$[0-9]+"),"")</f>
        <v>$E$51</v>
      </c>
      <c r="F51" t="str" cm="1">
        <f t="array" aca="1" ref="F51" ca="1">IF('Raw Data'!F51="",_xlfn.REGEXEXTRACT(CELL("address",'Raw Data'!F51),"\$([A-Z]+)\$[0-9]+"),"")</f>
        <v>$F$51</v>
      </c>
      <c r="G51" t="str" cm="1">
        <f t="array" aca="1" ref="G51" ca="1">IF('Raw Data'!G51="",_xlfn.REGEXEXTRACT(CELL("address",'Raw Data'!G51),"\$([A-Z]+)\$[0-9]+"),"")</f>
        <v>$G$51</v>
      </c>
      <c r="H51" t="str" cm="1">
        <f t="array" aca="1" ref="H51" ca="1">IF('Raw Data'!H51="",_xlfn.REGEXEXTRACT(CELL("address",'Raw Data'!H51),"\$([A-Z]+)\$[0-9]+"),"")</f>
        <v>$H$51</v>
      </c>
      <c r="I51" t="str" cm="1">
        <f t="array" aca="1" ref="I51" ca="1">IF('Raw Data'!I51="",_xlfn.REGEXEXTRACT(CELL("address",'Raw Data'!I51),"\$([A-Z]+)\$[0-9]+"),"")</f>
        <v>$I$51</v>
      </c>
    </row>
    <row r="52" spans="2:9" x14ac:dyDescent="0.25">
      <c r="B52" t="str" cm="1">
        <f t="array" aca="1" ref="B52" ca="1">IF('Raw Data'!B52="",_xlfn.REGEXEXTRACT(CELL("address",'Raw Data'!B52),"\$([A-Z]+)\$[0-9]+"),"")</f>
        <v>$B$52</v>
      </c>
      <c r="C52" t="str" cm="1">
        <f t="array" aca="1" ref="C52" ca="1">IF('Raw Data'!C52="",_xlfn.REGEXEXTRACT(CELL("address",'Raw Data'!C52),"\$([A-Z]+)\$[0-9]+"),"")</f>
        <v>$C$52</v>
      </c>
      <c r="D52" t="str" cm="1">
        <f t="array" aca="1" ref="D52" ca="1">IF('Raw Data'!D52="",_xlfn.REGEXEXTRACT(CELL("address",'Raw Data'!D52),"\$([A-Z]+)\$[0-9]+"),"")</f>
        <v>$D$52</v>
      </c>
      <c r="E52" t="str" cm="1">
        <f t="array" aca="1" ref="E52" ca="1">IF('Raw Data'!E52="",_xlfn.REGEXEXTRACT(CELL("address",'Raw Data'!E52),"\$([A-Z]+)\$[0-9]+"),"")</f>
        <v>$E$52</v>
      </c>
      <c r="F52" t="str" cm="1">
        <f t="array" aca="1" ref="F52" ca="1">IF('Raw Data'!F52="",_xlfn.REGEXEXTRACT(CELL("address",'Raw Data'!F52),"\$([A-Z]+)\$[0-9]+"),"")</f>
        <v>$F$52</v>
      </c>
      <c r="G52" t="str" cm="1">
        <f t="array" aca="1" ref="G52" ca="1">IF('Raw Data'!G52="",_xlfn.REGEXEXTRACT(CELL("address",'Raw Data'!G52),"\$([A-Z]+)\$[0-9]+"),"")</f>
        <v>$G$52</v>
      </c>
      <c r="H52" t="str" cm="1">
        <f t="array" aca="1" ref="H52" ca="1">IF('Raw Data'!H52="",_xlfn.REGEXEXTRACT(CELL("address",'Raw Data'!H52),"\$([A-Z]+)\$[0-9]+"),"")</f>
        <v>$H$52</v>
      </c>
      <c r="I52" t="str" cm="1">
        <f t="array" aca="1" ref="I52" ca="1">IF('Raw Data'!I52="",_xlfn.REGEXEXTRACT(CELL("address",'Raw Data'!I52),"\$([A-Z]+)\$[0-9]+"),"")</f>
        <v>$I$52</v>
      </c>
    </row>
    <row r="53" spans="2:9" x14ac:dyDescent="0.25">
      <c r="B53" t="str" cm="1">
        <f t="array" aca="1" ref="B53" ca="1">IF('Raw Data'!B53="",_xlfn.REGEXEXTRACT(CELL("address",'Raw Data'!B53),"\$([A-Z]+)\$[0-9]+"),"")</f>
        <v>$B$53</v>
      </c>
      <c r="C53" t="str" cm="1">
        <f t="array" aca="1" ref="C53" ca="1">IF('Raw Data'!C53="",_xlfn.REGEXEXTRACT(CELL("address",'Raw Data'!C53),"\$([A-Z]+)\$[0-9]+"),"")</f>
        <v>$C$53</v>
      </c>
      <c r="D53" t="str" cm="1">
        <f t="array" aca="1" ref="D53" ca="1">IF('Raw Data'!D53="",_xlfn.REGEXEXTRACT(CELL("address",'Raw Data'!D53),"\$([A-Z]+)\$[0-9]+"),"")</f>
        <v>$D$53</v>
      </c>
      <c r="E53" t="str" cm="1">
        <f t="array" aca="1" ref="E53" ca="1">IF('Raw Data'!E53="",_xlfn.REGEXEXTRACT(CELL("address",'Raw Data'!E53),"\$([A-Z]+)\$[0-9]+"),"")</f>
        <v>$E$53</v>
      </c>
      <c r="F53" t="str" cm="1">
        <f t="array" aca="1" ref="F53" ca="1">IF('Raw Data'!F53="",_xlfn.REGEXEXTRACT(CELL("address",'Raw Data'!F53),"\$([A-Z]+)\$[0-9]+"),"")</f>
        <v>$F$53</v>
      </c>
      <c r="G53" t="str" cm="1">
        <f t="array" aca="1" ref="G53" ca="1">IF('Raw Data'!G53="",_xlfn.REGEXEXTRACT(CELL("address",'Raw Data'!G53),"\$([A-Z]+)\$[0-9]+"),"")</f>
        <v>$G$53</v>
      </c>
      <c r="H53" t="str" cm="1">
        <f t="array" aca="1" ref="H53" ca="1">IF('Raw Data'!H53="",_xlfn.REGEXEXTRACT(CELL("address",'Raw Data'!H53),"\$([A-Z]+)\$[0-9]+"),"")</f>
        <v>$H$53</v>
      </c>
      <c r="I53" t="str" cm="1">
        <f t="array" aca="1" ref="I53" ca="1">IF('Raw Data'!I53="",_xlfn.REGEXEXTRACT(CELL("address",'Raw Data'!I53),"\$([A-Z]+)\$[0-9]+"),"")</f>
        <v>$I$53</v>
      </c>
    </row>
    <row r="54" spans="2:9" x14ac:dyDescent="0.25">
      <c r="B54" t="str" cm="1">
        <f t="array" aca="1" ref="B54" ca="1">IF('Raw Data'!B54="",_xlfn.REGEXEXTRACT(CELL("address",'Raw Data'!B54),"\$([A-Z]+)\$[0-9]+"),"")</f>
        <v>$B$54</v>
      </c>
      <c r="C54" t="str" cm="1">
        <f t="array" aca="1" ref="C54" ca="1">IF('Raw Data'!C54="",_xlfn.REGEXEXTRACT(CELL("address",'Raw Data'!C54),"\$([A-Z]+)\$[0-9]+"),"")</f>
        <v>$C$54</v>
      </c>
      <c r="D54" t="str" cm="1">
        <f t="array" aca="1" ref="D54" ca="1">IF('Raw Data'!D54="",_xlfn.REGEXEXTRACT(CELL("address",'Raw Data'!D54),"\$([A-Z]+)\$[0-9]+"),"")</f>
        <v>$D$54</v>
      </c>
      <c r="E54" t="str" cm="1">
        <f t="array" aca="1" ref="E54" ca="1">IF('Raw Data'!E54="",_xlfn.REGEXEXTRACT(CELL("address",'Raw Data'!E54),"\$([A-Z]+)\$[0-9]+"),"")</f>
        <v>$E$54</v>
      </c>
      <c r="F54" t="str" cm="1">
        <f t="array" aca="1" ref="F54" ca="1">IF('Raw Data'!F54="",_xlfn.REGEXEXTRACT(CELL("address",'Raw Data'!F54),"\$([A-Z]+)\$[0-9]+"),"")</f>
        <v>$F$54</v>
      </c>
      <c r="G54" t="str" cm="1">
        <f t="array" aca="1" ref="G54" ca="1">IF('Raw Data'!G54="",_xlfn.REGEXEXTRACT(CELL("address",'Raw Data'!G54),"\$([A-Z]+)\$[0-9]+"),"")</f>
        <v>$G$54</v>
      </c>
      <c r="H54" t="str" cm="1">
        <f t="array" aca="1" ref="H54" ca="1">IF('Raw Data'!H54="",_xlfn.REGEXEXTRACT(CELL("address",'Raw Data'!H54),"\$([A-Z]+)\$[0-9]+"),"")</f>
        <v>$H$54</v>
      </c>
      <c r="I54" t="str" cm="1">
        <f t="array" aca="1" ref="I54" ca="1">IF('Raw Data'!I54="",_xlfn.REGEXEXTRACT(CELL("address",'Raw Data'!I54),"\$([A-Z]+)\$[0-9]+"),"")</f>
        <v>$I$54</v>
      </c>
    </row>
    <row r="55" spans="2:9" x14ac:dyDescent="0.25">
      <c r="B55" t="str" cm="1">
        <f t="array" aca="1" ref="B55" ca="1">IF('Raw Data'!B55="",_xlfn.REGEXEXTRACT(CELL("address",'Raw Data'!B55),"\$([A-Z]+)\$[0-9]+"),"")</f>
        <v>$B$55</v>
      </c>
      <c r="C55" t="str" cm="1">
        <f t="array" aca="1" ref="C55" ca="1">IF('Raw Data'!C55="",_xlfn.REGEXEXTRACT(CELL("address",'Raw Data'!C55),"\$([A-Z]+)\$[0-9]+"),"")</f>
        <v>$C$55</v>
      </c>
      <c r="D55" t="str" cm="1">
        <f t="array" aca="1" ref="D55" ca="1">IF('Raw Data'!D55="",_xlfn.REGEXEXTRACT(CELL("address",'Raw Data'!D55),"\$([A-Z]+)\$[0-9]+"),"")</f>
        <v>$D$55</v>
      </c>
      <c r="E55" t="str" cm="1">
        <f t="array" aca="1" ref="E55" ca="1">IF('Raw Data'!E55="",_xlfn.REGEXEXTRACT(CELL("address",'Raw Data'!E55),"\$([A-Z]+)\$[0-9]+"),"")</f>
        <v>$E$55</v>
      </c>
      <c r="F55" t="str" cm="1">
        <f t="array" aca="1" ref="F55" ca="1">IF('Raw Data'!F55="",_xlfn.REGEXEXTRACT(CELL("address",'Raw Data'!F55),"\$([A-Z]+)\$[0-9]+"),"")</f>
        <v>$F$55</v>
      </c>
      <c r="G55" t="str" cm="1">
        <f t="array" aca="1" ref="G55" ca="1">IF('Raw Data'!G55="",_xlfn.REGEXEXTRACT(CELL("address",'Raw Data'!G55),"\$([A-Z]+)\$[0-9]+"),"")</f>
        <v>$G$55</v>
      </c>
      <c r="H55" t="str" cm="1">
        <f t="array" aca="1" ref="H55" ca="1">IF('Raw Data'!H55="",_xlfn.REGEXEXTRACT(CELL("address",'Raw Data'!H55),"\$([A-Z]+)\$[0-9]+"),"")</f>
        <v>$H$55</v>
      </c>
      <c r="I55" t="str" cm="1">
        <f t="array" aca="1" ref="I55" ca="1">IF('Raw Data'!I55="",_xlfn.REGEXEXTRACT(CELL("address",'Raw Data'!I55),"\$([A-Z]+)\$[0-9]+"),"")</f>
        <v>$I$55</v>
      </c>
    </row>
    <row r="56" spans="2:9" x14ac:dyDescent="0.25">
      <c r="B56" t="str" cm="1">
        <f t="array" aca="1" ref="B56" ca="1">IF('Raw Data'!B56="",_xlfn.REGEXEXTRACT(CELL("address",'Raw Data'!B56),"\$([A-Z]+)\$[0-9]+"),"")</f>
        <v>$B$56</v>
      </c>
      <c r="C56" t="str" cm="1">
        <f t="array" aca="1" ref="C56" ca="1">IF('Raw Data'!C56="",_xlfn.REGEXEXTRACT(CELL("address",'Raw Data'!C56),"\$([A-Z]+)\$[0-9]+"),"")</f>
        <v>$C$56</v>
      </c>
      <c r="D56" t="str" cm="1">
        <f t="array" aca="1" ref="D56" ca="1">IF('Raw Data'!D56="",_xlfn.REGEXEXTRACT(CELL("address",'Raw Data'!D56),"\$([A-Z]+)\$[0-9]+"),"")</f>
        <v>$D$56</v>
      </c>
      <c r="E56" t="str" cm="1">
        <f t="array" aca="1" ref="E56" ca="1">IF('Raw Data'!E56="",_xlfn.REGEXEXTRACT(CELL("address",'Raw Data'!E56),"\$([A-Z]+)\$[0-9]+"),"")</f>
        <v>$E$56</v>
      </c>
      <c r="F56" t="str" cm="1">
        <f t="array" aca="1" ref="F56" ca="1">IF('Raw Data'!F56="",_xlfn.REGEXEXTRACT(CELL("address",'Raw Data'!F56),"\$([A-Z]+)\$[0-9]+"),"")</f>
        <v>$F$56</v>
      </c>
      <c r="G56" t="str" cm="1">
        <f t="array" aca="1" ref="G56" ca="1">IF('Raw Data'!G56="",_xlfn.REGEXEXTRACT(CELL("address",'Raw Data'!G56),"\$([A-Z]+)\$[0-9]+"),"")</f>
        <v>$G$56</v>
      </c>
      <c r="H56" t="str" cm="1">
        <f t="array" aca="1" ref="H56" ca="1">IF('Raw Data'!H56="",_xlfn.REGEXEXTRACT(CELL("address",'Raw Data'!H56),"\$([A-Z]+)\$[0-9]+"),"")</f>
        <v>$H$56</v>
      </c>
      <c r="I56" t="str" cm="1">
        <f t="array" aca="1" ref="I56" ca="1">IF('Raw Data'!I56="",_xlfn.REGEXEXTRACT(CELL("address",'Raw Data'!I56),"\$([A-Z]+)\$[0-9]+"),"")</f>
        <v>$I$56</v>
      </c>
    </row>
    <row r="57" spans="2:9" x14ac:dyDescent="0.25">
      <c r="B57" t="str" cm="1">
        <f t="array" aca="1" ref="B57" ca="1">IF('Raw Data'!B57="",_xlfn.REGEXEXTRACT(CELL("address",'Raw Data'!B57),"\$([A-Z]+)\$[0-9]+"),"")</f>
        <v>$B$57</v>
      </c>
      <c r="C57" t="str" cm="1">
        <f t="array" aca="1" ref="C57" ca="1">IF('Raw Data'!C57="",_xlfn.REGEXEXTRACT(CELL("address",'Raw Data'!C57),"\$([A-Z]+)\$[0-9]+"),"")</f>
        <v>$C$57</v>
      </c>
      <c r="D57" t="str" cm="1">
        <f t="array" aca="1" ref="D57" ca="1">IF('Raw Data'!D57="",_xlfn.REGEXEXTRACT(CELL("address",'Raw Data'!D57),"\$([A-Z]+)\$[0-9]+"),"")</f>
        <v>$D$57</v>
      </c>
      <c r="E57" t="str" cm="1">
        <f t="array" aca="1" ref="E57" ca="1">IF('Raw Data'!E57="",_xlfn.REGEXEXTRACT(CELL("address",'Raw Data'!E57),"\$([A-Z]+)\$[0-9]+"),"")</f>
        <v>$E$57</v>
      </c>
      <c r="F57" t="str" cm="1">
        <f t="array" aca="1" ref="F57" ca="1">IF('Raw Data'!F57="",_xlfn.REGEXEXTRACT(CELL("address",'Raw Data'!F57),"\$([A-Z]+)\$[0-9]+"),"")</f>
        <v>$F$57</v>
      </c>
      <c r="G57" t="str" cm="1">
        <f t="array" aca="1" ref="G57" ca="1">IF('Raw Data'!G57="",_xlfn.REGEXEXTRACT(CELL("address",'Raw Data'!G57),"\$([A-Z]+)\$[0-9]+"),"")</f>
        <v>$G$57</v>
      </c>
      <c r="H57" t="str" cm="1">
        <f t="array" aca="1" ref="H57" ca="1">IF('Raw Data'!H57="",_xlfn.REGEXEXTRACT(CELL("address",'Raw Data'!H57),"\$([A-Z]+)\$[0-9]+"),"")</f>
        <v>$H$57</v>
      </c>
      <c r="I57" t="str" cm="1">
        <f t="array" aca="1" ref="I57" ca="1">IF('Raw Data'!I57="",_xlfn.REGEXEXTRACT(CELL("address",'Raw Data'!I57),"\$([A-Z]+)\$[0-9]+"),"")</f>
        <v>$I$57</v>
      </c>
    </row>
    <row r="58" spans="2:9" x14ac:dyDescent="0.25">
      <c r="B58" t="str" cm="1">
        <f t="array" aca="1" ref="B58" ca="1">IF('Raw Data'!B58="",_xlfn.REGEXEXTRACT(CELL("address",'Raw Data'!B58),"\$([A-Z]+)\$[0-9]+"),"")</f>
        <v>$B$58</v>
      </c>
      <c r="C58" t="str" cm="1">
        <f t="array" aca="1" ref="C58" ca="1">IF('Raw Data'!C58="",_xlfn.REGEXEXTRACT(CELL("address",'Raw Data'!C58),"\$([A-Z]+)\$[0-9]+"),"")</f>
        <v>$C$58</v>
      </c>
      <c r="D58" t="str" cm="1">
        <f t="array" aca="1" ref="D58" ca="1">IF('Raw Data'!D58="",_xlfn.REGEXEXTRACT(CELL("address",'Raw Data'!D58),"\$([A-Z]+)\$[0-9]+"),"")</f>
        <v>$D$58</v>
      </c>
      <c r="E58" t="str" cm="1">
        <f t="array" aca="1" ref="E58" ca="1">IF('Raw Data'!E58="",_xlfn.REGEXEXTRACT(CELL("address",'Raw Data'!E58),"\$([A-Z]+)\$[0-9]+"),"")</f>
        <v>$E$58</v>
      </c>
      <c r="F58" t="str" cm="1">
        <f t="array" aca="1" ref="F58" ca="1">IF('Raw Data'!F58="",_xlfn.REGEXEXTRACT(CELL("address",'Raw Data'!F58),"\$([A-Z]+)\$[0-9]+"),"")</f>
        <v>$F$58</v>
      </c>
      <c r="G58" t="str" cm="1">
        <f t="array" aca="1" ref="G58" ca="1">IF('Raw Data'!G58="",_xlfn.REGEXEXTRACT(CELL("address",'Raw Data'!G58),"\$([A-Z]+)\$[0-9]+"),"")</f>
        <v>$G$58</v>
      </c>
      <c r="H58" t="str" cm="1">
        <f t="array" aca="1" ref="H58" ca="1">IF('Raw Data'!H58="",_xlfn.REGEXEXTRACT(CELL("address",'Raw Data'!H58),"\$([A-Z]+)\$[0-9]+"),"")</f>
        <v>$H$58</v>
      </c>
      <c r="I58" t="str" cm="1">
        <f t="array" aca="1" ref="I58" ca="1">IF('Raw Data'!I58="",_xlfn.REGEXEXTRACT(CELL("address",'Raw Data'!I58),"\$([A-Z]+)\$[0-9]+"),"")</f>
        <v>$I$58</v>
      </c>
    </row>
    <row r="59" spans="2:9" x14ac:dyDescent="0.25">
      <c r="B59" t="str" cm="1">
        <f t="array" aca="1" ref="B59" ca="1">IF('Raw Data'!B59="",_xlfn.REGEXEXTRACT(CELL("address",'Raw Data'!B59),"\$([A-Z]+)\$[0-9]+"),"")</f>
        <v>$B$59</v>
      </c>
      <c r="C59" t="str" cm="1">
        <f t="array" aca="1" ref="C59" ca="1">IF('Raw Data'!C59="",_xlfn.REGEXEXTRACT(CELL("address",'Raw Data'!C59),"\$([A-Z]+)\$[0-9]+"),"")</f>
        <v>$C$59</v>
      </c>
      <c r="D59" t="str" cm="1">
        <f t="array" aca="1" ref="D59" ca="1">IF('Raw Data'!D59="",_xlfn.REGEXEXTRACT(CELL("address",'Raw Data'!D59),"\$([A-Z]+)\$[0-9]+"),"")</f>
        <v>$D$59</v>
      </c>
      <c r="E59" t="str" cm="1">
        <f t="array" aca="1" ref="E59" ca="1">IF('Raw Data'!E59="",_xlfn.REGEXEXTRACT(CELL("address",'Raw Data'!E59),"\$([A-Z]+)\$[0-9]+"),"")</f>
        <v>$E$59</v>
      </c>
      <c r="F59" t="str" cm="1">
        <f t="array" aca="1" ref="F59" ca="1">IF('Raw Data'!F59="",_xlfn.REGEXEXTRACT(CELL("address",'Raw Data'!F59),"\$([A-Z]+)\$[0-9]+"),"")</f>
        <v>$F$59</v>
      </c>
      <c r="G59" t="str" cm="1">
        <f t="array" aca="1" ref="G59" ca="1">IF('Raw Data'!G59="",_xlfn.REGEXEXTRACT(CELL("address",'Raw Data'!G59),"\$([A-Z]+)\$[0-9]+"),"")</f>
        <v>$G$59</v>
      </c>
      <c r="H59" t="str" cm="1">
        <f t="array" aca="1" ref="H59" ca="1">IF('Raw Data'!H59="",_xlfn.REGEXEXTRACT(CELL("address",'Raw Data'!H59),"\$([A-Z]+)\$[0-9]+"),"")</f>
        <v>$H$59</v>
      </c>
      <c r="I59" t="str" cm="1">
        <f t="array" aca="1" ref="I59" ca="1">IF('Raw Data'!I59="",_xlfn.REGEXEXTRACT(CELL("address",'Raw Data'!I59),"\$([A-Z]+)\$[0-9]+"),"")</f>
        <v>$I$59</v>
      </c>
    </row>
    <row r="60" spans="2:9" x14ac:dyDescent="0.25">
      <c r="B60" t="str" cm="1">
        <f t="array" aca="1" ref="B60" ca="1">IF('Raw Data'!B60="",_xlfn.REGEXEXTRACT(CELL("address",'Raw Data'!B60),"\$([A-Z]+)\$[0-9]+"),"")</f>
        <v>$B$60</v>
      </c>
      <c r="C60" t="str" cm="1">
        <f t="array" aca="1" ref="C60" ca="1">IF('Raw Data'!C60="",_xlfn.REGEXEXTRACT(CELL("address",'Raw Data'!C60),"\$([A-Z]+)\$[0-9]+"),"")</f>
        <v>$C$60</v>
      </c>
      <c r="D60" t="str" cm="1">
        <f t="array" aca="1" ref="D60" ca="1">IF('Raw Data'!D60="",_xlfn.REGEXEXTRACT(CELL("address",'Raw Data'!D60),"\$([A-Z]+)\$[0-9]+"),"")</f>
        <v>$D$60</v>
      </c>
      <c r="E60" t="str" cm="1">
        <f t="array" aca="1" ref="E60" ca="1">IF('Raw Data'!E60="",_xlfn.REGEXEXTRACT(CELL("address",'Raw Data'!E60),"\$([A-Z]+)\$[0-9]+"),"")</f>
        <v>$E$60</v>
      </c>
      <c r="F60" t="str" cm="1">
        <f t="array" aca="1" ref="F60" ca="1">IF('Raw Data'!F60="",_xlfn.REGEXEXTRACT(CELL("address",'Raw Data'!F60),"\$([A-Z]+)\$[0-9]+"),"")</f>
        <v>$F$60</v>
      </c>
      <c r="G60" t="str" cm="1">
        <f t="array" aca="1" ref="G60" ca="1">IF('Raw Data'!G60="",_xlfn.REGEXEXTRACT(CELL("address",'Raw Data'!G60),"\$([A-Z]+)\$[0-9]+"),"")</f>
        <v>$G$60</v>
      </c>
      <c r="H60" t="str" cm="1">
        <f t="array" aca="1" ref="H60" ca="1">IF('Raw Data'!H60="",_xlfn.REGEXEXTRACT(CELL("address",'Raw Data'!H60),"\$([A-Z]+)\$[0-9]+"),"")</f>
        <v>$H$60</v>
      </c>
      <c r="I60" t="str" cm="1">
        <f t="array" aca="1" ref="I60" ca="1">IF('Raw Data'!I60="",_xlfn.REGEXEXTRACT(CELL("address",'Raw Data'!I60),"\$([A-Z]+)\$[0-9]+"),"")</f>
        <v>$I$60</v>
      </c>
    </row>
    <row r="61" spans="2:9" x14ac:dyDescent="0.25">
      <c r="B61" t="str" cm="1">
        <f t="array" aca="1" ref="B61" ca="1">IF('Raw Data'!B61="",_xlfn.REGEXEXTRACT(CELL("address",'Raw Data'!B61),"\$([A-Z]+)\$[0-9]+"),"")</f>
        <v>$B$61</v>
      </c>
      <c r="C61" t="str" cm="1">
        <f t="array" aca="1" ref="C61" ca="1">IF('Raw Data'!C61="",_xlfn.REGEXEXTRACT(CELL("address",'Raw Data'!C61),"\$([A-Z]+)\$[0-9]+"),"")</f>
        <v>$C$61</v>
      </c>
      <c r="D61" t="str" cm="1">
        <f t="array" aca="1" ref="D61" ca="1">IF('Raw Data'!D61="",_xlfn.REGEXEXTRACT(CELL("address",'Raw Data'!D61),"\$([A-Z]+)\$[0-9]+"),"")</f>
        <v>$D$61</v>
      </c>
      <c r="E61" t="str" cm="1">
        <f t="array" aca="1" ref="E61" ca="1">IF('Raw Data'!E61="",_xlfn.REGEXEXTRACT(CELL("address",'Raw Data'!E61),"\$([A-Z]+)\$[0-9]+"),"")</f>
        <v>$E$61</v>
      </c>
      <c r="F61" t="str" cm="1">
        <f t="array" aca="1" ref="F61" ca="1">IF('Raw Data'!F61="",_xlfn.REGEXEXTRACT(CELL("address",'Raw Data'!F61),"\$([A-Z]+)\$[0-9]+"),"")</f>
        <v>$F$61</v>
      </c>
      <c r="G61" t="str" cm="1">
        <f t="array" aca="1" ref="G61" ca="1">IF('Raw Data'!G61="",_xlfn.REGEXEXTRACT(CELL("address",'Raw Data'!G61),"\$([A-Z]+)\$[0-9]+"),"")</f>
        <v>$G$61</v>
      </c>
      <c r="H61" t="str" cm="1">
        <f t="array" aca="1" ref="H61" ca="1">IF('Raw Data'!H61="",_xlfn.REGEXEXTRACT(CELL("address",'Raw Data'!H61),"\$([A-Z]+)\$[0-9]+"),"")</f>
        <v>$H$61</v>
      </c>
      <c r="I61" t="str" cm="1">
        <f t="array" aca="1" ref="I61" ca="1">IF('Raw Data'!I61="",_xlfn.REGEXEXTRACT(CELL("address",'Raw Data'!I61),"\$([A-Z]+)\$[0-9]+"),"")</f>
        <v>$I$61</v>
      </c>
    </row>
    <row r="62" spans="2:9" x14ac:dyDescent="0.25">
      <c r="B62" t="str" cm="1">
        <f t="array" aca="1" ref="B62" ca="1">IF('Raw Data'!B62="",_xlfn.REGEXEXTRACT(CELL("address",'Raw Data'!B62),"\$([A-Z]+)\$[0-9]+"),"")</f>
        <v>$B$62</v>
      </c>
      <c r="C62" t="str" cm="1">
        <f t="array" aca="1" ref="C62" ca="1">IF('Raw Data'!C62="",_xlfn.REGEXEXTRACT(CELL("address",'Raw Data'!C62),"\$([A-Z]+)\$[0-9]+"),"")</f>
        <v>$C$62</v>
      </c>
      <c r="D62" t="str" cm="1">
        <f t="array" aca="1" ref="D62" ca="1">IF('Raw Data'!D62="",_xlfn.REGEXEXTRACT(CELL("address",'Raw Data'!D62),"\$([A-Z]+)\$[0-9]+"),"")</f>
        <v>$D$62</v>
      </c>
      <c r="E62" t="str" cm="1">
        <f t="array" aca="1" ref="E62" ca="1">IF('Raw Data'!E62="",_xlfn.REGEXEXTRACT(CELL("address",'Raw Data'!E62),"\$([A-Z]+)\$[0-9]+"),"")</f>
        <v>$E$62</v>
      </c>
      <c r="F62" t="str" cm="1">
        <f t="array" aca="1" ref="F62" ca="1">IF('Raw Data'!F62="",_xlfn.REGEXEXTRACT(CELL("address",'Raw Data'!F62),"\$([A-Z]+)\$[0-9]+"),"")</f>
        <v>$F$62</v>
      </c>
      <c r="G62" t="str" cm="1">
        <f t="array" aca="1" ref="G62" ca="1">IF('Raw Data'!G62="",_xlfn.REGEXEXTRACT(CELL("address",'Raw Data'!G62),"\$([A-Z]+)\$[0-9]+"),"")</f>
        <v>$G$62</v>
      </c>
      <c r="H62" t="str" cm="1">
        <f t="array" aca="1" ref="H62" ca="1">IF('Raw Data'!H62="",_xlfn.REGEXEXTRACT(CELL("address",'Raw Data'!H62),"\$([A-Z]+)\$[0-9]+"),"")</f>
        <v>$H$62</v>
      </c>
      <c r="I62" t="str" cm="1">
        <f t="array" aca="1" ref="I62" ca="1">IF('Raw Data'!I62="",_xlfn.REGEXEXTRACT(CELL("address",'Raw Data'!I62),"\$([A-Z]+)\$[0-9]+"),"")</f>
        <v>$I$62</v>
      </c>
    </row>
    <row r="63" spans="2:9" x14ac:dyDescent="0.25">
      <c r="B63" t="str" cm="1">
        <f t="array" aca="1" ref="B63" ca="1">IF('Raw Data'!B63="",_xlfn.REGEXEXTRACT(CELL("address",'Raw Data'!B63),"\$([A-Z]+)\$[0-9]+"),"")</f>
        <v>$B$63</v>
      </c>
      <c r="C63" t="str" cm="1">
        <f t="array" aca="1" ref="C63" ca="1">IF('Raw Data'!C63="",_xlfn.REGEXEXTRACT(CELL("address",'Raw Data'!C63),"\$([A-Z]+)\$[0-9]+"),"")</f>
        <v>$C$63</v>
      </c>
      <c r="D63" t="str" cm="1">
        <f t="array" aca="1" ref="D63" ca="1">IF('Raw Data'!D63="",_xlfn.REGEXEXTRACT(CELL("address",'Raw Data'!D63),"\$([A-Z]+)\$[0-9]+"),"")</f>
        <v>$D$63</v>
      </c>
      <c r="E63" t="str" cm="1">
        <f t="array" aca="1" ref="E63" ca="1">IF('Raw Data'!E63="",_xlfn.REGEXEXTRACT(CELL("address",'Raw Data'!E63),"\$([A-Z]+)\$[0-9]+"),"")</f>
        <v>$E$63</v>
      </c>
      <c r="F63" t="str" cm="1">
        <f t="array" aca="1" ref="F63" ca="1">IF('Raw Data'!F63="",_xlfn.REGEXEXTRACT(CELL("address",'Raw Data'!F63),"\$([A-Z]+)\$[0-9]+"),"")</f>
        <v>$F$63</v>
      </c>
      <c r="G63" t="str" cm="1">
        <f t="array" aca="1" ref="G63" ca="1">IF('Raw Data'!G63="",_xlfn.REGEXEXTRACT(CELL("address",'Raw Data'!G63),"\$([A-Z]+)\$[0-9]+"),"")</f>
        <v>$G$63</v>
      </c>
      <c r="H63" t="str" cm="1">
        <f t="array" aca="1" ref="H63" ca="1">IF('Raw Data'!H63="",_xlfn.REGEXEXTRACT(CELL("address",'Raw Data'!H63),"\$([A-Z]+)\$[0-9]+"),"")</f>
        <v>$H$63</v>
      </c>
      <c r="I63" t="str" cm="1">
        <f t="array" aca="1" ref="I63" ca="1">IF('Raw Data'!I63="",_xlfn.REGEXEXTRACT(CELL("address",'Raw Data'!I63),"\$([A-Z]+)\$[0-9]+"),"")</f>
        <v>$I$63</v>
      </c>
    </row>
    <row r="64" spans="2:9" x14ac:dyDescent="0.25">
      <c r="B64" t="str" cm="1">
        <f t="array" aca="1" ref="B64" ca="1">IF('Raw Data'!B64="",_xlfn.REGEXEXTRACT(CELL("address",'Raw Data'!B64),"\$([A-Z]+)\$[0-9]+"),"")</f>
        <v>$B$64</v>
      </c>
      <c r="C64" t="str" cm="1">
        <f t="array" aca="1" ref="C64" ca="1">IF('Raw Data'!C64="",_xlfn.REGEXEXTRACT(CELL("address",'Raw Data'!C64),"\$([A-Z]+)\$[0-9]+"),"")</f>
        <v>$C$64</v>
      </c>
      <c r="D64" t="str" cm="1">
        <f t="array" aca="1" ref="D64" ca="1">IF('Raw Data'!D64="",_xlfn.REGEXEXTRACT(CELL("address",'Raw Data'!D64),"\$([A-Z]+)\$[0-9]+"),"")</f>
        <v>$D$64</v>
      </c>
      <c r="E64" t="str" cm="1">
        <f t="array" aca="1" ref="E64" ca="1">IF('Raw Data'!E64="",_xlfn.REGEXEXTRACT(CELL("address",'Raw Data'!E64),"\$([A-Z]+)\$[0-9]+"),"")</f>
        <v>$E$64</v>
      </c>
      <c r="F64" t="str" cm="1">
        <f t="array" aca="1" ref="F64" ca="1">IF('Raw Data'!F64="",_xlfn.REGEXEXTRACT(CELL("address",'Raw Data'!F64),"\$([A-Z]+)\$[0-9]+"),"")</f>
        <v>$F$64</v>
      </c>
      <c r="G64" t="str" cm="1">
        <f t="array" aca="1" ref="G64" ca="1">IF('Raw Data'!G64="",_xlfn.REGEXEXTRACT(CELL("address",'Raw Data'!G64),"\$([A-Z]+)\$[0-9]+"),"")</f>
        <v>$G$64</v>
      </c>
      <c r="H64" t="str" cm="1">
        <f t="array" aca="1" ref="H64" ca="1">IF('Raw Data'!H64="",_xlfn.REGEXEXTRACT(CELL("address",'Raw Data'!H64),"\$([A-Z]+)\$[0-9]+"),"")</f>
        <v>$H$64</v>
      </c>
      <c r="I64" t="str" cm="1">
        <f t="array" aca="1" ref="I64" ca="1">IF('Raw Data'!I64="",_xlfn.REGEXEXTRACT(CELL("address",'Raw Data'!I64),"\$([A-Z]+)\$[0-9]+"),"")</f>
        <v>$I$64</v>
      </c>
    </row>
    <row r="65" spans="2:9" x14ac:dyDescent="0.25">
      <c r="B65" t="str" cm="1">
        <f t="array" aca="1" ref="B65" ca="1">IF('Raw Data'!B65="",_xlfn.REGEXEXTRACT(CELL("address",'Raw Data'!B65),"\$([A-Z]+)\$[0-9]+"),"")</f>
        <v>$B$65</v>
      </c>
      <c r="C65" t="str" cm="1">
        <f t="array" aca="1" ref="C65" ca="1">IF('Raw Data'!C65="",_xlfn.REGEXEXTRACT(CELL("address",'Raw Data'!C65),"\$([A-Z]+)\$[0-9]+"),"")</f>
        <v>$C$65</v>
      </c>
      <c r="D65" t="str" cm="1">
        <f t="array" aca="1" ref="D65" ca="1">IF('Raw Data'!D65="",_xlfn.REGEXEXTRACT(CELL("address",'Raw Data'!D65),"\$([A-Z]+)\$[0-9]+"),"")</f>
        <v>$D$65</v>
      </c>
      <c r="E65" t="str" cm="1">
        <f t="array" aca="1" ref="E65" ca="1">IF('Raw Data'!E65="",_xlfn.REGEXEXTRACT(CELL("address",'Raw Data'!E65),"\$([A-Z]+)\$[0-9]+"),"")</f>
        <v>$E$65</v>
      </c>
      <c r="F65" t="str" cm="1">
        <f t="array" aca="1" ref="F65" ca="1">IF('Raw Data'!F65="",_xlfn.REGEXEXTRACT(CELL("address",'Raw Data'!F65),"\$([A-Z]+)\$[0-9]+"),"")</f>
        <v>$F$65</v>
      </c>
      <c r="G65" t="str" cm="1">
        <f t="array" aca="1" ref="G65" ca="1">IF('Raw Data'!G65="",_xlfn.REGEXEXTRACT(CELL("address",'Raw Data'!G65),"\$([A-Z]+)\$[0-9]+"),"")</f>
        <v>$G$65</v>
      </c>
      <c r="H65" t="str" cm="1">
        <f t="array" aca="1" ref="H65" ca="1">IF('Raw Data'!H65="",_xlfn.REGEXEXTRACT(CELL("address",'Raw Data'!H65),"\$([A-Z]+)\$[0-9]+"),"")</f>
        <v>$H$65</v>
      </c>
      <c r="I65" t="str" cm="1">
        <f t="array" aca="1" ref="I65" ca="1">IF('Raw Data'!I65="",_xlfn.REGEXEXTRACT(CELL("address",'Raw Data'!I65),"\$([A-Z]+)\$[0-9]+"),"")</f>
        <v>$I$65</v>
      </c>
    </row>
    <row r="66" spans="2:9" x14ac:dyDescent="0.25">
      <c r="B66" t="str" cm="1">
        <f t="array" aca="1" ref="B66" ca="1">IF('Raw Data'!B66="",_xlfn.REGEXEXTRACT(CELL("address",'Raw Data'!B66),"\$([A-Z]+)\$[0-9]+"),"")</f>
        <v>$B$66</v>
      </c>
      <c r="C66" t="str" cm="1">
        <f t="array" aca="1" ref="C66" ca="1">IF('Raw Data'!C66="",_xlfn.REGEXEXTRACT(CELL("address",'Raw Data'!C66),"\$([A-Z]+)\$[0-9]+"),"")</f>
        <v>$C$66</v>
      </c>
      <c r="D66" t="str" cm="1">
        <f t="array" aca="1" ref="D66" ca="1">IF('Raw Data'!D66="",_xlfn.REGEXEXTRACT(CELL("address",'Raw Data'!D66),"\$([A-Z]+)\$[0-9]+"),"")</f>
        <v>$D$66</v>
      </c>
      <c r="E66" t="str" cm="1">
        <f t="array" aca="1" ref="E66" ca="1">IF('Raw Data'!E66="",_xlfn.REGEXEXTRACT(CELL("address",'Raw Data'!E66),"\$([A-Z]+)\$[0-9]+"),"")</f>
        <v>$E$66</v>
      </c>
      <c r="F66" t="str" cm="1">
        <f t="array" aca="1" ref="F66" ca="1">IF('Raw Data'!F66="",_xlfn.REGEXEXTRACT(CELL("address",'Raw Data'!F66),"\$([A-Z]+)\$[0-9]+"),"")</f>
        <v>$F$66</v>
      </c>
      <c r="G66" t="str" cm="1">
        <f t="array" aca="1" ref="G66" ca="1">IF('Raw Data'!G66="",_xlfn.REGEXEXTRACT(CELL("address",'Raw Data'!G66),"\$([A-Z]+)\$[0-9]+"),"")</f>
        <v>$G$66</v>
      </c>
      <c r="H66" t="str" cm="1">
        <f t="array" aca="1" ref="H66" ca="1">IF('Raw Data'!H66="",_xlfn.REGEXEXTRACT(CELL("address",'Raw Data'!H66),"\$([A-Z]+)\$[0-9]+"),"")</f>
        <v>$H$66</v>
      </c>
      <c r="I66" t="str" cm="1">
        <f t="array" aca="1" ref="I66" ca="1">IF('Raw Data'!I66="",_xlfn.REGEXEXTRACT(CELL("address",'Raw Data'!I66),"\$([A-Z]+)\$[0-9]+"),"")</f>
        <v>$I$66</v>
      </c>
    </row>
    <row r="67" spans="2:9" x14ac:dyDescent="0.25">
      <c r="B67" t="str" cm="1">
        <f t="array" aca="1" ref="B67" ca="1">IF('Raw Data'!B67="",_xlfn.REGEXEXTRACT(CELL("address",'Raw Data'!B67),"\$([A-Z]+)\$[0-9]+"),"")</f>
        <v>$B$67</v>
      </c>
      <c r="C67" t="str" cm="1">
        <f t="array" aca="1" ref="C67" ca="1">IF('Raw Data'!C67="",_xlfn.REGEXEXTRACT(CELL("address",'Raw Data'!C67),"\$([A-Z]+)\$[0-9]+"),"")</f>
        <v>$C$67</v>
      </c>
      <c r="D67" t="str" cm="1">
        <f t="array" aca="1" ref="D67" ca="1">IF('Raw Data'!D67="",_xlfn.REGEXEXTRACT(CELL("address",'Raw Data'!D67),"\$([A-Z]+)\$[0-9]+"),"")</f>
        <v>$D$67</v>
      </c>
      <c r="E67" t="str" cm="1">
        <f t="array" aca="1" ref="E67" ca="1">IF('Raw Data'!E67="",_xlfn.REGEXEXTRACT(CELL("address",'Raw Data'!E67),"\$([A-Z]+)\$[0-9]+"),"")</f>
        <v>$E$67</v>
      </c>
      <c r="F67" t="str" cm="1">
        <f t="array" aca="1" ref="F67" ca="1">IF('Raw Data'!F67="",_xlfn.REGEXEXTRACT(CELL("address",'Raw Data'!F67),"\$([A-Z]+)\$[0-9]+"),"")</f>
        <v>$F$67</v>
      </c>
      <c r="G67" t="str" cm="1">
        <f t="array" aca="1" ref="G67" ca="1">IF('Raw Data'!G67="",_xlfn.REGEXEXTRACT(CELL("address",'Raw Data'!G67),"\$([A-Z]+)\$[0-9]+"),"")</f>
        <v>$G$67</v>
      </c>
      <c r="H67" t="str" cm="1">
        <f t="array" aca="1" ref="H67" ca="1">IF('Raw Data'!H67="",_xlfn.REGEXEXTRACT(CELL("address",'Raw Data'!H67),"\$([A-Z]+)\$[0-9]+"),"")</f>
        <v>$H$67</v>
      </c>
      <c r="I67" t="str" cm="1">
        <f t="array" aca="1" ref="I67" ca="1">IF('Raw Data'!I67="",_xlfn.REGEXEXTRACT(CELL("address",'Raw Data'!I67),"\$([A-Z]+)\$[0-9]+"),"")</f>
        <v>$I$67</v>
      </c>
    </row>
    <row r="68" spans="2:9" x14ac:dyDescent="0.25">
      <c r="B68" t="str" cm="1">
        <f t="array" aca="1" ref="B68" ca="1">IF('Raw Data'!B68="",_xlfn.REGEXEXTRACT(CELL("address",'Raw Data'!B68),"\$([A-Z]+)\$[0-9]+"),"")</f>
        <v>$B$68</v>
      </c>
      <c r="C68" t="str" cm="1">
        <f t="array" aca="1" ref="C68" ca="1">IF('Raw Data'!C68="",_xlfn.REGEXEXTRACT(CELL("address",'Raw Data'!C68),"\$([A-Z]+)\$[0-9]+"),"")</f>
        <v>$C$68</v>
      </c>
      <c r="D68" t="str" cm="1">
        <f t="array" aca="1" ref="D68" ca="1">IF('Raw Data'!D68="",_xlfn.REGEXEXTRACT(CELL("address",'Raw Data'!D68),"\$([A-Z]+)\$[0-9]+"),"")</f>
        <v>$D$68</v>
      </c>
      <c r="E68" t="str" cm="1">
        <f t="array" aca="1" ref="E68" ca="1">IF('Raw Data'!E68="",_xlfn.REGEXEXTRACT(CELL("address",'Raw Data'!E68),"\$([A-Z]+)\$[0-9]+"),"")</f>
        <v>$E$68</v>
      </c>
      <c r="F68" t="str" cm="1">
        <f t="array" aca="1" ref="F68" ca="1">IF('Raw Data'!F68="",_xlfn.REGEXEXTRACT(CELL("address",'Raw Data'!F68),"\$([A-Z]+)\$[0-9]+"),"")</f>
        <v>$F$68</v>
      </c>
      <c r="G68" t="str" cm="1">
        <f t="array" aca="1" ref="G68" ca="1">IF('Raw Data'!G68="",_xlfn.REGEXEXTRACT(CELL("address",'Raw Data'!G68),"\$([A-Z]+)\$[0-9]+"),"")</f>
        <v>$G$68</v>
      </c>
      <c r="H68" t="str" cm="1">
        <f t="array" aca="1" ref="H68" ca="1">IF('Raw Data'!H68="",_xlfn.REGEXEXTRACT(CELL("address",'Raw Data'!H68),"\$([A-Z]+)\$[0-9]+"),"")</f>
        <v>$H$68</v>
      </c>
      <c r="I68" t="str" cm="1">
        <f t="array" aca="1" ref="I68" ca="1">IF('Raw Data'!I68="",_xlfn.REGEXEXTRACT(CELL("address",'Raw Data'!I68),"\$([A-Z]+)\$[0-9]+"),"")</f>
        <v>$I$68</v>
      </c>
    </row>
    <row r="69" spans="2:9" x14ac:dyDescent="0.25">
      <c r="B69" t="str" cm="1">
        <f t="array" aca="1" ref="B69" ca="1">IF('Raw Data'!B69="",_xlfn.REGEXEXTRACT(CELL("address",'Raw Data'!B69),"\$([A-Z]+)\$[0-9]+"),"")</f>
        <v>$B$69</v>
      </c>
      <c r="C69" t="str" cm="1">
        <f t="array" aca="1" ref="C69" ca="1">IF('Raw Data'!C69="",_xlfn.REGEXEXTRACT(CELL("address",'Raw Data'!C69),"\$([A-Z]+)\$[0-9]+"),"")</f>
        <v>$C$69</v>
      </c>
      <c r="D69" t="str" cm="1">
        <f t="array" aca="1" ref="D69" ca="1">IF('Raw Data'!D69="",_xlfn.REGEXEXTRACT(CELL("address",'Raw Data'!D69),"\$([A-Z]+)\$[0-9]+"),"")</f>
        <v>$D$69</v>
      </c>
      <c r="E69" t="str" cm="1">
        <f t="array" aca="1" ref="E69" ca="1">IF('Raw Data'!E69="",_xlfn.REGEXEXTRACT(CELL("address",'Raw Data'!E69),"\$([A-Z]+)\$[0-9]+"),"")</f>
        <v>$E$69</v>
      </c>
      <c r="F69" t="str" cm="1">
        <f t="array" aca="1" ref="F69" ca="1">IF('Raw Data'!F69="",_xlfn.REGEXEXTRACT(CELL("address",'Raw Data'!F69),"\$([A-Z]+)\$[0-9]+"),"")</f>
        <v>$F$69</v>
      </c>
      <c r="G69" t="str" cm="1">
        <f t="array" aca="1" ref="G69" ca="1">IF('Raw Data'!G69="",_xlfn.REGEXEXTRACT(CELL("address",'Raw Data'!G69),"\$([A-Z]+)\$[0-9]+"),"")</f>
        <v>$G$69</v>
      </c>
      <c r="H69" t="str" cm="1">
        <f t="array" aca="1" ref="H69" ca="1">IF('Raw Data'!H69="",_xlfn.REGEXEXTRACT(CELL("address",'Raw Data'!H69),"\$([A-Z]+)\$[0-9]+"),"")</f>
        <v>$H$69</v>
      </c>
      <c r="I69" t="str" cm="1">
        <f t="array" aca="1" ref="I69" ca="1">IF('Raw Data'!I69="",_xlfn.REGEXEXTRACT(CELL("address",'Raw Data'!I69),"\$([A-Z]+)\$[0-9]+"),"")</f>
        <v>$I$69</v>
      </c>
    </row>
    <row r="70" spans="2:9" x14ac:dyDescent="0.25">
      <c r="B70" t="str" cm="1">
        <f t="array" aca="1" ref="B70" ca="1">IF('Raw Data'!B70="",_xlfn.REGEXEXTRACT(CELL("address",'Raw Data'!B70),"\$([A-Z]+)\$[0-9]+"),"")</f>
        <v>$B$70</v>
      </c>
      <c r="C70" t="str" cm="1">
        <f t="array" aca="1" ref="C70" ca="1">IF('Raw Data'!C70="",_xlfn.REGEXEXTRACT(CELL("address",'Raw Data'!C70),"\$([A-Z]+)\$[0-9]+"),"")</f>
        <v>$C$70</v>
      </c>
      <c r="D70" t="str" cm="1">
        <f t="array" aca="1" ref="D70" ca="1">IF('Raw Data'!D70="",_xlfn.REGEXEXTRACT(CELL("address",'Raw Data'!D70),"\$([A-Z]+)\$[0-9]+"),"")</f>
        <v>$D$70</v>
      </c>
      <c r="E70" t="str" cm="1">
        <f t="array" aca="1" ref="E70" ca="1">IF('Raw Data'!E70="",_xlfn.REGEXEXTRACT(CELL("address",'Raw Data'!E70),"\$([A-Z]+)\$[0-9]+"),"")</f>
        <v>$E$70</v>
      </c>
      <c r="F70" t="str" cm="1">
        <f t="array" aca="1" ref="F70" ca="1">IF('Raw Data'!F70="",_xlfn.REGEXEXTRACT(CELL("address",'Raw Data'!F70),"\$([A-Z]+)\$[0-9]+"),"")</f>
        <v>$F$70</v>
      </c>
      <c r="G70" t="str" cm="1">
        <f t="array" aca="1" ref="G70" ca="1">IF('Raw Data'!G70="",_xlfn.REGEXEXTRACT(CELL("address",'Raw Data'!G70),"\$([A-Z]+)\$[0-9]+"),"")</f>
        <v>$G$70</v>
      </c>
      <c r="H70" t="str" cm="1">
        <f t="array" aca="1" ref="H70" ca="1">IF('Raw Data'!H70="",_xlfn.REGEXEXTRACT(CELL("address",'Raw Data'!H70),"\$([A-Z]+)\$[0-9]+"),"")</f>
        <v>$H$70</v>
      </c>
      <c r="I70" t="str" cm="1">
        <f t="array" aca="1" ref="I70" ca="1">IF('Raw Data'!I70="",_xlfn.REGEXEXTRACT(CELL("address",'Raw Data'!I70),"\$([A-Z]+)\$[0-9]+"),"")</f>
        <v>$I$70</v>
      </c>
    </row>
    <row r="71" spans="2:9" x14ac:dyDescent="0.25">
      <c r="B71" t="str" cm="1">
        <f t="array" aca="1" ref="B71" ca="1">IF('Raw Data'!B71="",_xlfn.REGEXEXTRACT(CELL("address",'Raw Data'!B71),"\$([A-Z]+)\$[0-9]+"),"")</f>
        <v>$B$71</v>
      </c>
      <c r="C71" t="str" cm="1">
        <f t="array" aca="1" ref="C71" ca="1">IF('Raw Data'!C71="",_xlfn.REGEXEXTRACT(CELL("address",'Raw Data'!C71),"\$([A-Z]+)\$[0-9]+"),"")</f>
        <v>$C$71</v>
      </c>
      <c r="D71" t="str" cm="1">
        <f t="array" aca="1" ref="D71" ca="1">IF('Raw Data'!D71="",_xlfn.REGEXEXTRACT(CELL("address",'Raw Data'!D71),"\$([A-Z]+)\$[0-9]+"),"")</f>
        <v>$D$71</v>
      </c>
      <c r="E71" t="str" cm="1">
        <f t="array" aca="1" ref="E71" ca="1">IF('Raw Data'!E71="",_xlfn.REGEXEXTRACT(CELL("address",'Raw Data'!E71),"\$([A-Z]+)\$[0-9]+"),"")</f>
        <v>$E$71</v>
      </c>
      <c r="F71" t="str" cm="1">
        <f t="array" aca="1" ref="F71" ca="1">IF('Raw Data'!F71="",_xlfn.REGEXEXTRACT(CELL("address",'Raw Data'!F71),"\$([A-Z]+)\$[0-9]+"),"")</f>
        <v>$F$71</v>
      </c>
      <c r="G71" t="str" cm="1">
        <f t="array" aca="1" ref="G71" ca="1">IF('Raw Data'!G71="",_xlfn.REGEXEXTRACT(CELL("address",'Raw Data'!G71),"\$([A-Z]+)\$[0-9]+"),"")</f>
        <v>$G$71</v>
      </c>
      <c r="H71" t="str" cm="1">
        <f t="array" aca="1" ref="H71" ca="1">IF('Raw Data'!H71="",_xlfn.REGEXEXTRACT(CELL("address",'Raw Data'!H71),"\$([A-Z]+)\$[0-9]+"),"")</f>
        <v>$H$71</v>
      </c>
      <c r="I71" t="str" cm="1">
        <f t="array" aca="1" ref="I71" ca="1">IF('Raw Data'!I71="",_xlfn.REGEXEXTRACT(CELL("address",'Raw Data'!I71),"\$([A-Z]+)\$[0-9]+"),"")</f>
        <v>$I$71</v>
      </c>
    </row>
    <row r="72" spans="2:9" x14ac:dyDescent="0.25">
      <c r="B72" t="str" cm="1">
        <f t="array" aca="1" ref="B72" ca="1">IF('Raw Data'!B72="",_xlfn.REGEXEXTRACT(CELL("address",'Raw Data'!B72),"\$([A-Z]+)\$[0-9]+"),"")</f>
        <v>$B$72</v>
      </c>
      <c r="C72" t="str" cm="1">
        <f t="array" aca="1" ref="C72" ca="1">IF('Raw Data'!C72="",_xlfn.REGEXEXTRACT(CELL("address",'Raw Data'!C72),"\$([A-Z]+)\$[0-9]+"),"")</f>
        <v>$C$72</v>
      </c>
      <c r="D72" t="str" cm="1">
        <f t="array" aca="1" ref="D72" ca="1">IF('Raw Data'!D72="",_xlfn.REGEXEXTRACT(CELL("address",'Raw Data'!D72),"\$([A-Z]+)\$[0-9]+"),"")</f>
        <v>$D$72</v>
      </c>
      <c r="E72" t="str" cm="1">
        <f t="array" aca="1" ref="E72" ca="1">IF('Raw Data'!E72="",_xlfn.REGEXEXTRACT(CELL("address",'Raw Data'!E72),"\$([A-Z]+)\$[0-9]+"),"")</f>
        <v>$E$72</v>
      </c>
      <c r="F72" t="str" cm="1">
        <f t="array" aca="1" ref="F72" ca="1">IF('Raw Data'!F72="",_xlfn.REGEXEXTRACT(CELL("address",'Raw Data'!F72),"\$([A-Z]+)\$[0-9]+"),"")</f>
        <v>$F$72</v>
      </c>
      <c r="G72" t="str" cm="1">
        <f t="array" aca="1" ref="G72" ca="1">IF('Raw Data'!G72="",_xlfn.REGEXEXTRACT(CELL("address",'Raw Data'!G72),"\$([A-Z]+)\$[0-9]+"),"")</f>
        <v>$G$72</v>
      </c>
      <c r="H72" t="str" cm="1">
        <f t="array" aca="1" ref="H72" ca="1">IF('Raw Data'!H72="",_xlfn.REGEXEXTRACT(CELL("address",'Raw Data'!H72),"\$([A-Z]+)\$[0-9]+"),"")</f>
        <v>$H$72</v>
      </c>
      <c r="I72" t="str" cm="1">
        <f t="array" aca="1" ref="I72" ca="1">IF('Raw Data'!I72="",_xlfn.REGEXEXTRACT(CELL("address",'Raw Data'!I72),"\$([A-Z]+)\$[0-9]+"),"")</f>
        <v>$I$72</v>
      </c>
    </row>
    <row r="73" spans="2:9" x14ac:dyDescent="0.25">
      <c r="B73" t="str" cm="1">
        <f t="array" aca="1" ref="B73" ca="1">IF('Raw Data'!B73="",_xlfn.REGEXEXTRACT(CELL("address",'Raw Data'!B73),"\$([A-Z]+)\$[0-9]+"),"")</f>
        <v>$B$73</v>
      </c>
      <c r="C73" t="str" cm="1">
        <f t="array" aca="1" ref="C73" ca="1">IF('Raw Data'!C73="",_xlfn.REGEXEXTRACT(CELL("address",'Raw Data'!C73),"\$([A-Z]+)\$[0-9]+"),"")</f>
        <v>$C$73</v>
      </c>
      <c r="D73" t="str" cm="1">
        <f t="array" aca="1" ref="D73" ca="1">IF('Raw Data'!D73="",_xlfn.REGEXEXTRACT(CELL("address",'Raw Data'!D73),"\$([A-Z]+)\$[0-9]+"),"")</f>
        <v>$D$73</v>
      </c>
      <c r="E73" t="str" cm="1">
        <f t="array" aca="1" ref="E73" ca="1">IF('Raw Data'!E73="",_xlfn.REGEXEXTRACT(CELL("address",'Raw Data'!E73),"\$([A-Z]+)\$[0-9]+"),"")</f>
        <v>$E$73</v>
      </c>
      <c r="F73" t="str" cm="1">
        <f t="array" aca="1" ref="F73" ca="1">IF('Raw Data'!F73="",_xlfn.REGEXEXTRACT(CELL("address",'Raw Data'!F73),"\$([A-Z]+)\$[0-9]+"),"")</f>
        <v>$F$73</v>
      </c>
      <c r="G73" t="str" cm="1">
        <f t="array" aca="1" ref="G73" ca="1">IF('Raw Data'!G73="",_xlfn.REGEXEXTRACT(CELL("address",'Raw Data'!G73),"\$([A-Z]+)\$[0-9]+"),"")</f>
        <v>$G$73</v>
      </c>
      <c r="H73" t="str" cm="1">
        <f t="array" aca="1" ref="H73" ca="1">IF('Raw Data'!H73="",_xlfn.REGEXEXTRACT(CELL("address",'Raw Data'!H73),"\$([A-Z]+)\$[0-9]+"),"")</f>
        <v>$H$73</v>
      </c>
      <c r="I73" t="str" cm="1">
        <f t="array" aca="1" ref="I73" ca="1">IF('Raw Data'!I73="",_xlfn.REGEXEXTRACT(CELL("address",'Raw Data'!I73),"\$([A-Z]+)\$[0-9]+"),"")</f>
        <v>$I$73</v>
      </c>
    </row>
    <row r="74" spans="2:9" x14ac:dyDescent="0.25">
      <c r="B74" t="str" cm="1">
        <f t="array" aca="1" ref="B74" ca="1">IF('Raw Data'!B74="",_xlfn.REGEXEXTRACT(CELL("address",'Raw Data'!B74),"\$([A-Z]+)\$[0-9]+"),"")</f>
        <v>$B$74</v>
      </c>
      <c r="C74" t="str" cm="1">
        <f t="array" aca="1" ref="C74" ca="1">IF('Raw Data'!C74="",_xlfn.REGEXEXTRACT(CELL("address",'Raw Data'!C74),"\$([A-Z]+)\$[0-9]+"),"")</f>
        <v>$C$74</v>
      </c>
      <c r="D74" t="str" cm="1">
        <f t="array" aca="1" ref="D74" ca="1">IF('Raw Data'!D74="",_xlfn.REGEXEXTRACT(CELL("address",'Raw Data'!D74),"\$([A-Z]+)\$[0-9]+"),"")</f>
        <v>$D$74</v>
      </c>
      <c r="E74" t="str" cm="1">
        <f t="array" aca="1" ref="E74" ca="1">IF('Raw Data'!E74="",_xlfn.REGEXEXTRACT(CELL("address",'Raw Data'!E74),"\$([A-Z]+)\$[0-9]+"),"")</f>
        <v>$E$74</v>
      </c>
      <c r="F74" t="str" cm="1">
        <f t="array" aca="1" ref="F74" ca="1">IF('Raw Data'!F74="",_xlfn.REGEXEXTRACT(CELL("address",'Raw Data'!F74),"\$([A-Z]+)\$[0-9]+"),"")</f>
        <v>$F$74</v>
      </c>
      <c r="G74" t="str" cm="1">
        <f t="array" aca="1" ref="G74" ca="1">IF('Raw Data'!G74="",_xlfn.REGEXEXTRACT(CELL("address",'Raw Data'!G74),"\$([A-Z]+)\$[0-9]+"),"")</f>
        <v>$G$74</v>
      </c>
      <c r="H74" t="str" cm="1">
        <f t="array" aca="1" ref="H74" ca="1">IF('Raw Data'!H74="",_xlfn.REGEXEXTRACT(CELL("address",'Raw Data'!H74),"\$([A-Z]+)\$[0-9]+"),"")</f>
        <v>$H$74</v>
      </c>
      <c r="I74" t="str" cm="1">
        <f t="array" aca="1" ref="I74" ca="1">IF('Raw Data'!I74="",_xlfn.REGEXEXTRACT(CELL("address",'Raw Data'!I74),"\$([A-Z]+)\$[0-9]+"),"")</f>
        <v>$I$74</v>
      </c>
    </row>
    <row r="75" spans="2:9" x14ac:dyDescent="0.25">
      <c r="B75" t="str" cm="1">
        <f t="array" aca="1" ref="B75" ca="1">IF('Raw Data'!B75="",_xlfn.REGEXEXTRACT(CELL("address",'Raw Data'!B75),"\$([A-Z]+)\$[0-9]+"),"")</f>
        <v>$B$75</v>
      </c>
      <c r="C75" t="str" cm="1">
        <f t="array" aca="1" ref="C75" ca="1">IF('Raw Data'!C75="",_xlfn.REGEXEXTRACT(CELL("address",'Raw Data'!C75),"\$([A-Z]+)\$[0-9]+"),"")</f>
        <v>$C$75</v>
      </c>
      <c r="D75" t="str" cm="1">
        <f t="array" aca="1" ref="D75" ca="1">IF('Raw Data'!D75="",_xlfn.REGEXEXTRACT(CELL("address",'Raw Data'!D75),"\$([A-Z]+)\$[0-9]+"),"")</f>
        <v>$D$75</v>
      </c>
      <c r="E75" t="str" cm="1">
        <f t="array" aca="1" ref="E75" ca="1">IF('Raw Data'!E75="",_xlfn.REGEXEXTRACT(CELL("address",'Raw Data'!E75),"\$([A-Z]+)\$[0-9]+"),"")</f>
        <v>$E$75</v>
      </c>
      <c r="F75" t="str" cm="1">
        <f t="array" aca="1" ref="F75" ca="1">IF('Raw Data'!F75="",_xlfn.REGEXEXTRACT(CELL("address",'Raw Data'!F75),"\$([A-Z]+)\$[0-9]+"),"")</f>
        <v>$F$75</v>
      </c>
      <c r="G75" t="str" cm="1">
        <f t="array" aca="1" ref="G75" ca="1">IF('Raw Data'!G75="",_xlfn.REGEXEXTRACT(CELL("address",'Raw Data'!G75),"\$([A-Z]+)\$[0-9]+"),"")</f>
        <v>$G$75</v>
      </c>
      <c r="H75" t="str" cm="1">
        <f t="array" aca="1" ref="H75" ca="1">IF('Raw Data'!H75="",_xlfn.REGEXEXTRACT(CELL("address",'Raw Data'!H75),"\$([A-Z]+)\$[0-9]+"),"")</f>
        <v>$H$75</v>
      </c>
      <c r="I75" t="str" cm="1">
        <f t="array" aca="1" ref="I75" ca="1">IF('Raw Data'!I75="",_xlfn.REGEXEXTRACT(CELL("address",'Raw Data'!I75),"\$([A-Z]+)\$[0-9]+"),"")</f>
        <v>$I$75</v>
      </c>
    </row>
    <row r="76" spans="2:9" x14ac:dyDescent="0.25">
      <c r="B76" t="str" cm="1">
        <f t="array" aca="1" ref="B76" ca="1">IF('Raw Data'!B76="",_xlfn.REGEXEXTRACT(CELL("address",'Raw Data'!B76),"\$([A-Z]+)\$[0-9]+"),"")</f>
        <v>$B$76</v>
      </c>
      <c r="C76" t="str" cm="1">
        <f t="array" aca="1" ref="C76" ca="1">IF('Raw Data'!C76="",_xlfn.REGEXEXTRACT(CELL("address",'Raw Data'!C76),"\$([A-Z]+)\$[0-9]+"),"")</f>
        <v>$C$76</v>
      </c>
      <c r="D76" t="str" cm="1">
        <f t="array" aca="1" ref="D76" ca="1">IF('Raw Data'!D76="",_xlfn.REGEXEXTRACT(CELL("address",'Raw Data'!D76),"\$([A-Z]+)\$[0-9]+"),"")</f>
        <v>$D$76</v>
      </c>
      <c r="E76" t="str" cm="1">
        <f t="array" aca="1" ref="E76" ca="1">IF('Raw Data'!E76="",_xlfn.REGEXEXTRACT(CELL("address",'Raw Data'!E76),"\$([A-Z]+)\$[0-9]+"),"")</f>
        <v>$E$76</v>
      </c>
      <c r="F76" t="str" cm="1">
        <f t="array" aca="1" ref="F76" ca="1">IF('Raw Data'!F76="",_xlfn.REGEXEXTRACT(CELL("address",'Raw Data'!F76),"\$([A-Z]+)\$[0-9]+"),"")</f>
        <v>$F$76</v>
      </c>
      <c r="G76" t="str" cm="1">
        <f t="array" aca="1" ref="G76" ca="1">IF('Raw Data'!G76="",_xlfn.REGEXEXTRACT(CELL("address",'Raw Data'!G76),"\$([A-Z]+)\$[0-9]+"),"")</f>
        <v>$G$76</v>
      </c>
      <c r="H76" t="str" cm="1">
        <f t="array" aca="1" ref="H76" ca="1">IF('Raw Data'!H76="",_xlfn.REGEXEXTRACT(CELL("address",'Raw Data'!H76),"\$([A-Z]+)\$[0-9]+"),"")</f>
        <v>$H$76</v>
      </c>
      <c r="I76" t="str" cm="1">
        <f t="array" aca="1" ref="I76" ca="1">IF('Raw Data'!I76="",_xlfn.REGEXEXTRACT(CELL("address",'Raw Data'!I76),"\$([A-Z]+)\$[0-9]+"),"")</f>
        <v>$I$76</v>
      </c>
    </row>
    <row r="77" spans="2:9" x14ac:dyDescent="0.25">
      <c r="B77" t="str" cm="1">
        <f t="array" aca="1" ref="B77" ca="1">IF('Raw Data'!B77="",_xlfn.REGEXEXTRACT(CELL("address",'Raw Data'!B77),"\$([A-Z]+)\$[0-9]+"),"")</f>
        <v>$B$77</v>
      </c>
      <c r="C77" t="str" cm="1">
        <f t="array" aca="1" ref="C77" ca="1">IF('Raw Data'!C77="",_xlfn.REGEXEXTRACT(CELL("address",'Raw Data'!C77),"\$([A-Z]+)\$[0-9]+"),"")</f>
        <v>$C$77</v>
      </c>
      <c r="D77" t="str" cm="1">
        <f t="array" aca="1" ref="D77" ca="1">IF('Raw Data'!D77="",_xlfn.REGEXEXTRACT(CELL("address",'Raw Data'!D77),"\$([A-Z]+)\$[0-9]+"),"")</f>
        <v>$D$77</v>
      </c>
      <c r="E77" t="str" cm="1">
        <f t="array" aca="1" ref="E77" ca="1">IF('Raw Data'!E77="",_xlfn.REGEXEXTRACT(CELL("address",'Raw Data'!E77),"\$([A-Z]+)\$[0-9]+"),"")</f>
        <v>$E$77</v>
      </c>
      <c r="F77" t="str" cm="1">
        <f t="array" aca="1" ref="F77" ca="1">IF('Raw Data'!F77="",_xlfn.REGEXEXTRACT(CELL("address",'Raw Data'!F77),"\$([A-Z]+)\$[0-9]+"),"")</f>
        <v>$F$77</v>
      </c>
      <c r="G77" t="str" cm="1">
        <f t="array" aca="1" ref="G77" ca="1">IF('Raw Data'!G77="",_xlfn.REGEXEXTRACT(CELL("address",'Raw Data'!G77),"\$([A-Z]+)\$[0-9]+"),"")</f>
        <v>$G$77</v>
      </c>
      <c r="H77" t="str" cm="1">
        <f t="array" aca="1" ref="H77" ca="1">IF('Raw Data'!H77="",_xlfn.REGEXEXTRACT(CELL("address",'Raw Data'!H77),"\$([A-Z]+)\$[0-9]+"),"")</f>
        <v>$H$77</v>
      </c>
      <c r="I77" t="str" cm="1">
        <f t="array" aca="1" ref="I77" ca="1">IF('Raw Data'!I77="",_xlfn.REGEXEXTRACT(CELL("address",'Raw Data'!I77),"\$([A-Z]+)\$[0-9]+"),"")</f>
        <v>$I$77</v>
      </c>
    </row>
    <row r="78" spans="2:9" x14ac:dyDescent="0.25">
      <c r="B78" t="str" cm="1">
        <f t="array" aca="1" ref="B78" ca="1">IF('Raw Data'!B78="",_xlfn.REGEXEXTRACT(CELL("address",'Raw Data'!B78),"\$([A-Z]+)\$[0-9]+"),"")</f>
        <v>$B$78</v>
      </c>
      <c r="C78" t="str" cm="1">
        <f t="array" aca="1" ref="C78" ca="1">IF('Raw Data'!C78="",_xlfn.REGEXEXTRACT(CELL("address",'Raw Data'!C78),"\$([A-Z]+)\$[0-9]+"),"")</f>
        <v>$C$78</v>
      </c>
      <c r="D78" t="str" cm="1">
        <f t="array" aca="1" ref="D78" ca="1">IF('Raw Data'!D78="",_xlfn.REGEXEXTRACT(CELL("address",'Raw Data'!D78),"\$([A-Z]+)\$[0-9]+"),"")</f>
        <v>$D$78</v>
      </c>
      <c r="E78" t="str" cm="1">
        <f t="array" aca="1" ref="E78" ca="1">IF('Raw Data'!E78="",_xlfn.REGEXEXTRACT(CELL("address",'Raw Data'!E78),"\$([A-Z]+)\$[0-9]+"),"")</f>
        <v>$E$78</v>
      </c>
      <c r="F78" t="str" cm="1">
        <f t="array" aca="1" ref="F78" ca="1">IF('Raw Data'!F78="",_xlfn.REGEXEXTRACT(CELL("address",'Raw Data'!F78),"\$([A-Z]+)\$[0-9]+"),"")</f>
        <v>$F$78</v>
      </c>
      <c r="G78" t="str" cm="1">
        <f t="array" aca="1" ref="G78" ca="1">IF('Raw Data'!G78="",_xlfn.REGEXEXTRACT(CELL("address",'Raw Data'!G78),"\$([A-Z]+)\$[0-9]+"),"")</f>
        <v>$G$78</v>
      </c>
      <c r="H78" t="str" cm="1">
        <f t="array" aca="1" ref="H78" ca="1">IF('Raw Data'!H78="",_xlfn.REGEXEXTRACT(CELL("address",'Raw Data'!H78),"\$([A-Z]+)\$[0-9]+"),"")</f>
        <v>$H$78</v>
      </c>
      <c r="I78" t="str" cm="1">
        <f t="array" aca="1" ref="I78" ca="1">IF('Raw Data'!I78="",_xlfn.REGEXEXTRACT(CELL("address",'Raw Data'!I78),"\$([A-Z]+)\$[0-9]+"),"")</f>
        <v>$I$78</v>
      </c>
    </row>
    <row r="79" spans="2:9" x14ac:dyDescent="0.25">
      <c r="B79" t="str" cm="1">
        <f t="array" aca="1" ref="B79" ca="1">IF('Raw Data'!B79="",_xlfn.REGEXEXTRACT(CELL("address",'Raw Data'!B79),"\$([A-Z]+)\$[0-9]+"),"")</f>
        <v>$B$79</v>
      </c>
      <c r="C79" t="str" cm="1">
        <f t="array" aca="1" ref="C79" ca="1">IF('Raw Data'!C79="",_xlfn.REGEXEXTRACT(CELL("address",'Raw Data'!C79),"\$([A-Z]+)\$[0-9]+"),"")</f>
        <v>$C$79</v>
      </c>
      <c r="D79" t="str" cm="1">
        <f t="array" aca="1" ref="D79" ca="1">IF('Raw Data'!D79="",_xlfn.REGEXEXTRACT(CELL("address",'Raw Data'!D79),"\$([A-Z]+)\$[0-9]+"),"")</f>
        <v>$D$79</v>
      </c>
      <c r="E79" t="str" cm="1">
        <f t="array" aca="1" ref="E79" ca="1">IF('Raw Data'!E79="",_xlfn.REGEXEXTRACT(CELL("address",'Raw Data'!E79),"\$([A-Z]+)\$[0-9]+"),"")</f>
        <v>$E$79</v>
      </c>
      <c r="F79" t="str" cm="1">
        <f t="array" aca="1" ref="F79" ca="1">IF('Raw Data'!F79="",_xlfn.REGEXEXTRACT(CELL("address",'Raw Data'!F79),"\$([A-Z]+)\$[0-9]+"),"")</f>
        <v>$F$79</v>
      </c>
      <c r="G79" t="str" cm="1">
        <f t="array" aca="1" ref="G79" ca="1">IF('Raw Data'!G79="",_xlfn.REGEXEXTRACT(CELL("address",'Raw Data'!G79),"\$([A-Z]+)\$[0-9]+"),"")</f>
        <v>$G$79</v>
      </c>
      <c r="H79" t="str" cm="1">
        <f t="array" aca="1" ref="H79" ca="1">IF('Raw Data'!H79="",_xlfn.REGEXEXTRACT(CELL("address",'Raw Data'!H79),"\$([A-Z]+)\$[0-9]+"),"")</f>
        <v>$H$79</v>
      </c>
      <c r="I79" t="str" cm="1">
        <f t="array" aca="1" ref="I79" ca="1">IF('Raw Data'!I79="",_xlfn.REGEXEXTRACT(CELL("address",'Raw Data'!I79),"\$([A-Z]+)\$[0-9]+"),"")</f>
        <v>$I$79</v>
      </c>
    </row>
    <row r="80" spans="2:9" x14ac:dyDescent="0.25">
      <c r="B80" t="str" cm="1">
        <f t="array" aca="1" ref="B80" ca="1">IF('Raw Data'!B80="",_xlfn.REGEXEXTRACT(CELL("address",'Raw Data'!B80),"\$([A-Z]+)\$[0-9]+"),"")</f>
        <v>$B$80</v>
      </c>
      <c r="C80" t="str" cm="1">
        <f t="array" aca="1" ref="C80" ca="1">IF('Raw Data'!C80="",_xlfn.REGEXEXTRACT(CELL("address",'Raw Data'!C80),"\$([A-Z]+)\$[0-9]+"),"")</f>
        <v>$C$80</v>
      </c>
      <c r="D80" t="str" cm="1">
        <f t="array" aca="1" ref="D80" ca="1">IF('Raw Data'!D80="",_xlfn.REGEXEXTRACT(CELL("address",'Raw Data'!D80),"\$([A-Z]+)\$[0-9]+"),"")</f>
        <v>$D$80</v>
      </c>
      <c r="E80" t="str" cm="1">
        <f t="array" aca="1" ref="E80" ca="1">IF('Raw Data'!E80="",_xlfn.REGEXEXTRACT(CELL("address",'Raw Data'!E80),"\$([A-Z]+)\$[0-9]+"),"")</f>
        <v>$E$80</v>
      </c>
      <c r="F80" t="str" cm="1">
        <f t="array" aca="1" ref="F80" ca="1">IF('Raw Data'!F80="",_xlfn.REGEXEXTRACT(CELL("address",'Raw Data'!F80),"\$([A-Z]+)\$[0-9]+"),"")</f>
        <v>$F$80</v>
      </c>
      <c r="G80" t="str" cm="1">
        <f t="array" aca="1" ref="G80" ca="1">IF('Raw Data'!G80="",_xlfn.REGEXEXTRACT(CELL("address",'Raw Data'!G80),"\$([A-Z]+)\$[0-9]+"),"")</f>
        <v>$G$80</v>
      </c>
      <c r="H80" t="str" cm="1">
        <f t="array" aca="1" ref="H80" ca="1">IF('Raw Data'!H80="",_xlfn.REGEXEXTRACT(CELL("address",'Raw Data'!H80),"\$([A-Z]+)\$[0-9]+"),"")</f>
        <v>$H$80</v>
      </c>
      <c r="I80" t="str" cm="1">
        <f t="array" aca="1" ref="I80" ca="1">IF('Raw Data'!I80="",_xlfn.REGEXEXTRACT(CELL("address",'Raw Data'!I80),"\$([A-Z]+)\$[0-9]+"),"")</f>
        <v>$I$80</v>
      </c>
    </row>
    <row r="81" spans="2:9" x14ac:dyDescent="0.25">
      <c r="B81" t="str" cm="1">
        <f t="array" aca="1" ref="B81" ca="1">IF('Raw Data'!B81="",_xlfn.REGEXEXTRACT(CELL("address",'Raw Data'!B81),"\$([A-Z]+)\$[0-9]+"),"")</f>
        <v>$B$81</v>
      </c>
      <c r="C81" t="str" cm="1">
        <f t="array" aca="1" ref="C81" ca="1">IF('Raw Data'!C81="",_xlfn.REGEXEXTRACT(CELL("address",'Raw Data'!C81),"\$([A-Z]+)\$[0-9]+"),"")</f>
        <v>$C$81</v>
      </c>
      <c r="D81" t="str" cm="1">
        <f t="array" aca="1" ref="D81" ca="1">IF('Raw Data'!D81="",_xlfn.REGEXEXTRACT(CELL("address",'Raw Data'!D81),"\$([A-Z]+)\$[0-9]+"),"")</f>
        <v>$D$81</v>
      </c>
      <c r="E81" t="str" cm="1">
        <f t="array" aca="1" ref="E81" ca="1">IF('Raw Data'!E81="",_xlfn.REGEXEXTRACT(CELL("address",'Raw Data'!E81),"\$([A-Z]+)\$[0-9]+"),"")</f>
        <v>$E$81</v>
      </c>
      <c r="F81" t="str" cm="1">
        <f t="array" aca="1" ref="F81" ca="1">IF('Raw Data'!F81="",_xlfn.REGEXEXTRACT(CELL("address",'Raw Data'!F81),"\$([A-Z]+)\$[0-9]+"),"")</f>
        <v>$F$81</v>
      </c>
      <c r="G81" t="str" cm="1">
        <f t="array" aca="1" ref="G81" ca="1">IF('Raw Data'!G81="",_xlfn.REGEXEXTRACT(CELL("address",'Raw Data'!G81),"\$([A-Z]+)\$[0-9]+"),"")</f>
        <v>$G$81</v>
      </c>
      <c r="H81" t="str" cm="1">
        <f t="array" aca="1" ref="H81" ca="1">IF('Raw Data'!H81="",_xlfn.REGEXEXTRACT(CELL("address",'Raw Data'!H81),"\$([A-Z]+)\$[0-9]+"),"")</f>
        <v>$H$81</v>
      </c>
      <c r="I81" t="str" cm="1">
        <f t="array" aca="1" ref="I81" ca="1">IF('Raw Data'!I81="",_xlfn.REGEXEXTRACT(CELL("address",'Raw Data'!I81),"\$([A-Z]+)\$[0-9]+"),"")</f>
        <v>$I$81</v>
      </c>
    </row>
    <row r="82" spans="2:9" x14ac:dyDescent="0.25">
      <c r="B82" t="str" cm="1">
        <f t="array" aca="1" ref="B82" ca="1">IF('Raw Data'!B82="",_xlfn.REGEXEXTRACT(CELL("address",'Raw Data'!B82),"\$([A-Z]+)\$[0-9]+"),"")</f>
        <v>$B$82</v>
      </c>
      <c r="C82" t="str" cm="1">
        <f t="array" aca="1" ref="C82" ca="1">IF('Raw Data'!C82="",_xlfn.REGEXEXTRACT(CELL("address",'Raw Data'!C82),"\$([A-Z]+)\$[0-9]+"),"")</f>
        <v>$C$82</v>
      </c>
      <c r="D82" t="str" cm="1">
        <f t="array" aca="1" ref="D82" ca="1">IF('Raw Data'!D82="",_xlfn.REGEXEXTRACT(CELL("address",'Raw Data'!D82),"\$([A-Z]+)\$[0-9]+"),"")</f>
        <v>$D$82</v>
      </c>
      <c r="E82" t="str" cm="1">
        <f t="array" aca="1" ref="E82" ca="1">IF('Raw Data'!E82="",_xlfn.REGEXEXTRACT(CELL("address",'Raw Data'!E82),"\$([A-Z]+)\$[0-9]+"),"")</f>
        <v>$E$82</v>
      </c>
      <c r="F82" t="str" cm="1">
        <f t="array" aca="1" ref="F82" ca="1">IF('Raw Data'!F82="",_xlfn.REGEXEXTRACT(CELL("address",'Raw Data'!F82),"\$([A-Z]+)\$[0-9]+"),"")</f>
        <v>$F$82</v>
      </c>
      <c r="G82" t="str" cm="1">
        <f t="array" aca="1" ref="G82" ca="1">IF('Raw Data'!G82="",_xlfn.REGEXEXTRACT(CELL("address",'Raw Data'!G82),"\$([A-Z]+)\$[0-9]+"),"")</f>
        <v>$G$82</v>
      </c>
      <c r="H82" t="str" cm="1">
        <f t="array" aca="1" ref="H82" ca="1">IF('Raw Data'!H82="",_xlfn.REGEXEXTRACT(CELL("address",'Raw Data'!H82),"\$([A-Z]+)\$[0-9]+"),"")</f>
        <v>$H$82</v>
      </c>
      <c r="I82" t="str" cm="1">
        <f t="array" aca="1" ref="I82" ca="1">IF('Raw Data'!I82="",_xlfn.REGEXEXTRACT(CELL("address",'Raw Data'!I82),"\$([A-Z]+)\$[0-9]+"),"")</f>
        <v>$I$82</v>
      </c>
    </row>
    <row r="83" spans="2:9" x14ac:dyDescent="0.25">
      <c r="B83" t="str" cm="1">
        <f t="array" aca="1" ref="B83" ca="1">IF('Raw Data'!B83="",_xlfn.REGEXEXTRACT(CELL("address",'Raw Data'!B83),"\$([A-Z]+)\$[0-9]+"),"")</f>
        <v>$B$83</v>
      </c>
      <c r="C83" t="str" cm="1">
        <f t="array" aca="1" ref="C83" ca="1">IF('Raw Data'!C83="",_xlfn.REGEXEXTRACT(CELL("address",'Raw Data'!C83),"\$([A-Z]+)\$[0-9]+"),"")</f>
        <v>$C$83</v>
      </c>
      <c r="D83" t="str" cm="1">
        <f t="array" aca="1" ref="D83" ca="1">IF('Raw Data'!D83="",_xlfn.REGEXEXTRACT(CELL("address",'Raw Data'!D83),"\$([A-Z]+)\$[0-9]+"),"")</f>
        <v>$D$83</v>
      </c>
      <c r="E83" t="str" cm="1">
        <f t="array" aca="1" ref="E83" ca="1">IF('Raw Data'!E83="",_xlfn.REGEXEXTRACT(CELL("address",'Raw Data'!E83),"\$([A-Z]+)\$[0-9]+"),"")</f>
        <v>$E$83</v>
      </c>
      <c r="F83" t="str" cm="1">
        <f t="array" aca="1" ref="F83" ca="1">IF('Raw Data'!F83="",_xlfn.REGEXEXTRACT(CELL("address",'Raw Data'!F83),"\$([A-Z]+)\$[0-9]+"),"")</f>
        <v>$F$83</v>
      </c>
      <c r="G83" t="str" cm="1">
        <f t="array" aca="1" ref="G83" ca="1">IF('Raw Data'!G83="",_xlfn.REGEXEXTRACT(CELL("address",'Raw Data'!G83),"\$([A-Z]+)\$[0-9]+"),"")</f>
        <v>$G$83</v>
      </c>
      <c r="H83" t="str" cm="1">
        <f t="array" aca="1" ref="H83" ca="1">IF('Raw Data'!H83="",_xlfn.REGEXEXTRACT(CELL("address",'Raw Data'!H83),"\$([A-Z]+)\$[0-9]+"),"")</f>
        <v>$H$83</v>
      </c>
      <c r="I83" t="str" cm="1">
        <f t="array" aca="1" ref="I83" ca="1">IF('Raw Data'!I83="",_xlfn.REGEXEXTRACT(CELL("address",'Raw Data'!I83),"\$([A-Z]+)\$[0-9]+"),"")</f>
        <v>$I$83</v>
      </c>
    </row>
    <row r="84" spans="2:9" x14ac:dyDescent="0.25">
      <c r="B84" t="str" cm="1">
        <f t="array" aca="1" ref="B84" ca="1">IF('Raw Data'!B84="",_xlfn.REGEXEXTRACT(CELL("address",'Raw Data'!B84),"\$([A-Z]+)\$[0-9]+"),"")</f>
        <v>$B$84</v>
      </c>
      <c r="C84" t="str" cm="1">
        <f t="array" aca="1" ref="C84" ca="1">IF('Raw Data'!C84="",_xlfn.REGEXEXTRACT(CELL("address",'Raw Data'!C84),"\$([A-Z]+)\$[0-9]+"),"")</f>
        <v>$C$84</v>
      </c>
      <c r="D84" t="str" cm="1">
        <f t="array" aca="1" ref="D84" ca="1">IF('Raw Data'!D84="",_xlfn.REGEXEXTRACT(CELL("address",'Raw Data'!D84),"\$([A-Z]+)\$[0-9]+"),"")</f>
        <v>$D$84</v>
      </c>
      <c r="E84" t="str" cm="1">
        <f t="array" aca="1" ref="E84" ca="1">IF('Raw Data'!E84="",_xlfn.REGEXEXTRACT(CELL("address",'Raw Data'!E84),"\$([A-Z]+)\$[0-9]+"),"")</f>
        <v>$E$84</v>
      </c>
      <c r="F84" t="str" cm="1">
        <f t="array" aca="1" ref="F84" ca="1">IF('Raw Data'!F84="",_xlfn.REGEXEXTRACT(CELL("address",'Raw Data'!F84),"\$([A-Z]+)\$[0-9]+"),"")</f>
        <v>$F$84</v>
      </c>
      <c r="G84" t="str" cm="1">
        <f t="array" aca="1" ref="G84" ca="1">IF('Raw Data'!G84="",_xlfn.REGEXEXTRACT(CELL("address",'Raw Data'!G84),"\$([A-Z]+)\$[0-9]+"),"")</f>
        <v>$G$84</v>
      </c>
      <c r="H84" t="str" cm="1">
        <f t="array" aca="1" ref="H84" ca="1">IF('Raw Data'!H84="",_xlfn.REGEXEXTRACT(CELL("address",'Raw Data'!H84),"\$([A-Z]+)\$[0-9]+"),"")</f>
        <v>$H$84</v>
      </c>
      <c r="I84" t="str" cm="1">
        <f t="array" aca="1" ref="I84" ca="1">IF('Raw Data'!I84="",_xlfn.REGEXEXTRACT(CELL("address",'Raw Data'!I84),"\$([A-Z]+)\$[0-9]+"),"")</f>
        <v>$I$84</v>
      </c>
    </row>
    <row r="85" spans="2:9" x14ac:dyDescent="0.25">
      <c r="B85" t="str" cm="1">
        <f t="array" aca="1" ref="B85" ca="1">IF('Raw Data'!B85="",_xlfn.REGEXEXTRACT(CELL("address",'Raw Data'!B85),"\$([A-Z]+)\$[0-9]+"),"")</f>
        <v>$B$85</v>
      </c>
      <c r="C85" t="str" cm="1">
        <f t="array" aca="1" ref="C85" ca="1">IF('Raw Data'!C85="",_xlfn.REGEXEXTRACT(CELL("address",'Raw Data'!C85),"\$([A-Z]+)\$[0-9]+"),"")</f>
        <v>$C$85</v>
      </c>
      <c r="D85" t="str" cm="1">
        <f t="array" aca="1" ref="D85" ca="1">IF('Raw Data'!D85="",_xlfn.REGEXEXTRACT(CELL("address",'Raw Data'!D85),"\$([A-Z]+)\$[0-9]+"),"")</f>
        <v>$D$85</v>
      </c>
      <c r="E85" t="str" cm="1">
        <f t="array" aca="1" ref="E85" ca="1">IF('Raw Data'!E85="",_xlfn.REGEXEXTRACT(CELL("address",'Raw Data'!E85),"\$([A-Z]+)\$[0-9]+"),"")</f>
        <v>$E$85</v>
      </c>
      <c r="F85" t="str" cm="1">
        <f t="array" aca="1" ref="F85" ca="1">IF('Raw Data'!F85="",_xlfn.REGEXEXTRACT(CELL("address",'Raw Data'!F85),"\$([A-Z]+)\$[0-9]+"),"")</f>
        <v>$F$85</v>
      </c>
      <c r="G85" t="str" cm="1">
        <f t="array" aca="1" ref="G85" ca="1">IF('Raw Data'!G85="",_xlfn.REGEXEXTRACT(CELL("address",'Raw Data'!G85),"\$([A-Z]+)\$[0-9]+"),"")</f>
        <v>$G$85</v>
      </c>
      <c r="H85" t="str" cm="1">
        <f t="array" aca="1" ref="H85" ca="1">IF('Raw Data'!H85="",_xlfn.REGEXEXTRACT(CELL("address",'Raw Data'!H85),"\$([A-Z]+)\$[0-9]+"),"")</f>
        <v>$H$85</v>
      </c>
      <c r="I85" t="str" cm="1">
        <f t="array" aca="1" ref="I85" ca="1">IF('Raw Data'!I85="",_xlfn.REGEXEXTRACT(CELL("address",'Raw Data'!I85),"\$([A-Z]+)\$[0-9]+"),"")</f>
        <v>$I$85</v>
      </c>
    </row>
    <row r="86" spans="2:9" x14ac:dyDescent="0.25">
      <c r="B86" t="str" cm="1">
        <f t="array" aca="1" ref="B86" ca="1">IF('Raw Data'!B86="",_xlfn.REGEXEXTRACT(CELL("address",'Raw Data'!B86),"\$([A-Z]+)\$[0-9]+"),"")</f>
        <v>$B$86</v>
      </c>
      <c r="C86" t="str" cm="1">
        <f t="array" aca="1" ref="C86" ca="1">IF('Raw Data'!C86="",_xlfn.REGEXEXTRACT(CELL("address",'Raw Data'!C86),"\$([A-Z]+)\$[0-9]+"),"")</f>
        <v>$C$86</v>
      </c>
      <c r="D86" t="str" cm="1">
        <f t="array" aca="1" ref="D86" ca="1">IF('Raw Data'!D86="",_xlfn.REGEXEXTRACT(CELL("address",'Raw Data'!D86),"\$([A-Z]+)\$[0-9]+"),"")</f>
        <v>$D$86</v>
      </c>
      <c r="E86" t="str" cm="1">
        <f t="array" aca="1" ref="E86" ca="1">IF('Raw Data'!E86="",_xlfn.REGEXEXTRACT(CELL("address",'Raw Data'!E86),"\$([A-Z]+)\$[0-9]+"),"")</f>
        <v>$E$86</v>
      </c>
      <c r="F86" t="str" cm="1">
        <f t="array" aca="1" ref="F86" ca="1">IF('Raw Data'!F86="",_xlfn.REGEXEXTRACT(CELL("address",'Raw Data'!F86),"\$([A-Z]+)\$[0-9]+"),"")</f>
        <v>$F$86</v>
      </c>
      <c r="G86" t="str" cm="1">
        <f t="array" aca="1" ref="G86" ca="1">IF('Raw Data'!G86="",_xlfn.REGEXEXTRACT(CELL("address",'Raw Data'!G86),"\$([A-Z]+)\$[0-9]+"),"")</f>
        <v>$G$86</v>
      </c>
      <c r="H86" t="str" cm="1">
        <f t="array" aca="1" ref="H86" ca="1">IF('Raw Data'!H86="",_xlfn.REGEXEXTRACT(CELL("address",'Raw Data'!H86),"\$([A-Z]+)\$[0-9]+"),"")</f>
        <v>$H$86</v>
      </c>
      <c r="I86" t="str" cm="1">
        <f t="array" aca="1" ref="I86" ca="1">IF('Raw Data'!I86="",_xlfn.REGEXEXTRACT(CELL("address",'Raw Data'!I86),"\$([A-Z]+)\$[0-9]+"),"")</f>
        <v>$I$86</v>
      </c>
    </row>
    <row r="87" spans="2:9" x14ac:dyDescent="0.25">
      <c r="B87" t="str" cm="1">
        <f t="array" aca="1" ref="B87" ca="1">IF('Raw Data'!B87="",_xlfn.REGEXEXTRACT(CELL("address",'Raw Data'!B87),"\$([A-Z]+)\$[0-9]+"),"")</f>
        <v>$B$87</v>
      </c>
      <c r="C87" t="str" cm="1">
        <f t="array" aca="1" ref="C87" ca="1">IF('Raw Data'!C87="",_xlfn.REGEXEXTRACT(CELL("address",'Raw Data'!C87),"\$([A-Z]+)\$[0-9]+"),"")</f>
        <v>$C$87</v>
      </c>
      <c r="D87" t="str" cm="1">
        <f t="array" aca="1" ref="D87" ca="1">IF('Raw Data'!D87="",_xlfn.REGEXEXTRACT(CELL("address",'Raw Data'!D87),"\$([A-Z]+)\$[0-9]+"),"")</f>
        <v>$D$87</v>
      </c>
      <c r="E87" t="str" cm="1">
        <f t="array" aca="1" ref="E87" ca="1">IF('Raw Data'!E87="",_xlfn.REGEXEXTRACT(CELL("address",'Raw Data'!E87),"\$([A-Z]+)\$[0-9]+"),"")</f>
        <v>$E$87</v>
      </c>
      <c r="F87" t="str" cm="1">
        <f t="array" aca="1" ref="F87" ca="1">IF('Raw Data'!F87="",_xlfn.REGEXEXTRACT(CELL("address",'Raw Data'!F87),"\$([A-Z]+)\$[0-9]+"),"")</f>
        <v>$F$87</v>
      </c>
      <c r="G87" t="str" cm="1">
        <f t="array" aca="1" ref="G87" ca="1">IF('Raw Data'!G87="",_xlfn.REGEXEXTRACT(CELL("address",'Raw Data'!G87),"\$([A-Z]+)\$[0-9]+"),"")</f>
        <v>$G$87</v>
      </c>
      <c r="H87" t="str" cm="1">
        <f t="array" aca="1" ref="H87" ca="1">IF('Raw Data'!H87="",_xlfn.REGEXEXTRACT(CELL("address",'Raw Data'!H87),"\$([A-Z]+)\$[0-9]+"),"")</f>
        <v>$H$87</v>
      </c>
      <c r="I87" t="str" cm="1">
        <f t="array" aca="1" ref="I87" ca="1">IF('Raw Data'!I87="",_xlfn.REGEXEXTRACT(CELL("address",'Raw Data'!I87),"\$([A-Z]+)\$[0-9]+"),"")</f>
        <v>$I$87</v>
      </c>
    </row>
    <row r="88" spans="2:9" x14ac:dyDescent="0.25">
      <c r="B88" t="str" cm="1">
        <f t="array" aca="1" ref="B88" ca="1">IF('Raw Data'!B88="",_xlfn.REGEXEXTRACT(CELL("address",'Raw Data'!B88),"\$([A-Z]+)\$[0-9]+"),"")</f>
        <v>$B$88</v>
      </c>
      <c r="C88" t="str" cm="1">
        <f t="array" aca="1" ref="C88" ca="1">IF('Raw Data'!C88="",_xlfn.REGEXEXTRACT(CELL("address",'Raw Data'!C88),"\$([A-Z]+)\$[0-9]+"),"")</f>
        <v>$C$88</v>
      </c>
      <c r="D88" t="str" cm="1">
        <f t="array" aca="1" ref="D88" ca="1">IF('Raw Data'!D88="",_xlfn.REGEXEXTRACT(CELL("address",'Raw Data'!D88),"\$([A-Z]+)\$[0-9]+"),"")</f>
        <v>$D$88</v>
      </c>
      <c r="E88" t="str" cm="1">
        <f t="array" aca="1" ref="E88" ca="1">IF('Raw Data'!E88="",_xlfn.REGEXEXTRACT(CELL("address",'Raw Data'!E88),"\$([A-Z]+)\$[0-9]+"),"")</f>
        <v>$E$88</v>
      </c>
      <c r="F88" t="str" cm="1">
        <f t="array" aca="1" ref="F88" ca="1">IF('Raw Data'!F88="",_xlfn.REGEXEXTRACT(CELL("address",'Raw Data'!F88),"\$([A-Z]+)\$[0-9]+"),"")</f>
        <v>$F$88</v>
      </c>
      <c r="G88" t="str" cm="1">
        <f t="array" aca="1" ref="G88" ca="1">IF('Raw Data'!G88="",_xlfn.REGEXEXTRACT(CELL("address",'Raw Data'!G88),"\$([A-Z]+)\$[0-9]+"),"")</f>
        <v>$G$88</v>
      </c>
      <c r="H88" t="str" cm="1">
        <f t="array" aca="1" ref="H88" ca="1">IF('Raw Data'!H88="",_xlfn.REGEXEXTRACT(CELL("address",'Raw Data'!H88),"\$([A-Z]+)\$[0-9]+"),"")</f>
        <v>$H$88</v>
      </c>
      <c r="I88" t="str" cm="1">
        <f t="array" aca="1" ref="I88" ca="1">IF('Raw Data'!I88="",_xlfn.REGEXEXTRACT(CELL("address",'Raw Data'!I88),"\$([A-Z]+)\$[0-9]+"),"")</f>
        <v>$I$88</v>
      </c>
    </row>
    <row r="89" spans="2:9" x14ac:dyDescent="0.25">
      <c r="B89" t="str" cm="1">
        <f t="array" aca="1" ref="B89" ca="1">IF('Raw Data'!B89="",_xlfn.REGEXEXTRACT(CELL("address",'Raw Data'!B89),"\$([A-Z]+)\$[0-9]+"),"")</f>
        <v>$B$89</v>
      </c>
      <c r="C89" t="str" cm="1">
        <f t="array" aca="1" ref="C89" ca="1">IF('Raw Data'!C89="",_xlfn.REGEXEXTRACT(CELL("address",'Raw Data'!C89),"\$([A-Z]+)\$[0-9]+"),"")</f>
        <v>$C$89</v>
      </c>
      <c r="D89" t="str" cm="1">
        <f t="array" aca="1" ref="D89" ca="1">IF('Raw Data'!D89="",_xlfn.REGEXEXTRACT(CELL("address",'Raw Data'!D89),"\$([A-Z]+)\$[0-9]+"),"")</f>
        <v>$D$89</v>
      </c>
      <c r="E89" t="str" cm="1">
        <f t="array" aca="1" ref="E89" ca="1">IF('Raw Data'!E89="",_xlfn.REGEXEXTRACT(CELL("address",'Raw Data'!E89),"\$([A-Z]+)\$[0-9]+"),"")</f>
        <v>$E$89</v>
      </c>
      <c r="F89" t="str" cm="1">
        <f t="array" aca="1" ref="F89" ca="1">IF('Raw Data'!F89="",_xlfn.REGEXEXTRACT(CELL("address",'Raw Data'!F89),"\$([A-Z]+)\$[0-9]+"),"")</f>
        <v>$F$89</v>
      </c>
      <c r="G89" t="str" cm="1">
        <f t="array" aca="1" ref="G89" ca="1">IF('Raw Data'!G89="",_xlfn.REGEXEXTRACT(CELL("address",'Raw Data'!G89),"\$([A-Z]+)\$[0-9]+"),"")</f>
        <v>$G$89</v>
      </c>
      <c r="H89" t="str" cm="1">
        <f t="array" aca="1" ref="H89" ca="1">IF('Raw Data'!H89="",_xlfn.REGEXEXTRACT(CELL("address",'Raw Data'!H89),"\$([A-Z]+)\$[0-9]+"),"")</f>
        <v>$H$89</v>
      </c>
      <c r="I89" t="str" cm="1">
        <f t="array" aca="1" ref="I89" ca="1">IF('Raw Data'!I89="",_xlfn.REGEXEXTRACT(CELL("address",'Raw Data'!I89),"\$([A-Z]+)\$[0-9]+"),"")</f>
        <v>$I$89</v>
      </c>
    </row>
    <row r="90" spans="2:9" x14ac:dyDescent="0.25">
      <c r="B90" t="str" cm="1">
        <f t="array" aca="1" ref="B90" ca="1">IF('Raw Data'!B90="",_xlfn.REGEXEXTRACT(CELL("address",'Raw Data'!B90),"\$([A-Z]+)\$[0-9]+"),"")</f>
        <v>$B$90</v>
      </c>
      <c r="C90" t="str" cm="1">
        <f t="array" aca="1" ref="C90" ca="1">IF('Raw Data'!C90="",_xlfn.REGEXEXTRACT(CELL("address",'Raw Data'!C90),"\$([A-Z]+)\$[0-9]+"),"")</f>
        <v>$C$90</v>
      </c>
      <c r="D90" t="str" cm="1">
        <f t="array" aca="1" ref="D90" ca="1">IF('Raw Data'!D90="",_xlfn.REGEXEXTRACT(CELL("address",'Raw Data'!D90),"\$([A-Z]+)\$[0-9]+"),"")</f>
        <v>$D$90</v>
      </c>
      <c r="E90" t="str" cm="1">
        <f t="array" aca="1" ref="E90" ca="1">IF('Raw Data'!E90="",_xlfn.REGEXEXTRACT(CELL("address",'Raw Data'!E90),"\$([A-Z]+)\$[0-9]+"),"")</f>
        <v>$E$90</v>
      </c>
      <c r="F90" t="str" cm="1">
        <f t="array" aca="1" ref="F90" ca="1">IF('Raw Data'!F90="",_xlfn.REGEXEXTRACT(CELL("address",'Raw Data'!F90),"\$([A-Z]+)\$[0-9]+"),"")</f>
        <v>$F$90</v>
      </c>
      <c r="G90" t="str" cm="1">
        <f t="array" aca="1" ref="G90" ca="1">IF('Raw Data'!G90="",_xlfn.REGEXEXTRACT(CELL("address",'Raw Data'!G90),"\$([A-Z]+)\$[0-9]+"),"")</f>
        <v>$G$90</v>
      </c>
      <c r="H90" t="str" cm="1">
        <f t="array" aca="1" ref="H90" ca="1">IF('Raw Data'!H90="",_xlfn.REGEXEXTRACT(CELL("address",'Raw Data'!H90),"\$([A-Z]+)\$[0-9]+"),"")</f>
        <v>$H$90</v>
      </c>
      <c r="I90" t="str" cm="1">
        <f t="array" aca="1" ref="I90" ca="1">IF('Raw Data'!I90="",_xlfn.REGEXEXTRACT(CELL("address",'Raw Data'!I90),"\$([A-Z]+)\$[0-9]+"),"")</f>
        <v>$I$90</v>
      </c>
    </row>
    <row r="91" spans="2:9" x14ac:dyDescent="0.25">
      <c r="B91" t="str" cm="1">
        <f t="array" aca="1" ref="B91" ca="1">IF('Raw Data'!B91="",_xlfn.REGEXEXTRACT(CELL("address",'Raw Data'!B91),"\$([A-Z]+)\$[0-9]+"),"")</f>
        <v>$B$91</v>
      </c>
      <c r="C91" t="str" cm="1">
        <f t="array" aca="1" ref="C91" ca="1">IF('Raw Data'!C91="",_xlfn.REGEXEXTRACT(CELL("address",'Raw Data'!C91),"\$([A-Z]+)\$[0-9]+"),"")</f>
        <v>$C$91</v>
      </c>
      <c r="D91" t="str" cm="1">
        <f t="array" aca="1" ref="D91" ca="1">IF('Raw Data'!D91="",_xlfn.REGEXEXTRACT(CELL("address",'Raw Data'!D91),"\$([A-Z]+)\$[0-9]+"),"")</f>
        <v>$D$91</v>
      </c>
      <c r="E91" t="str" cm="1">
        <f t="array" aca="1" ref="E91" ca="1">IF('Raw Data'!E91="",_xlfn.REGEXEXTRACT(CELL("address",'Raw Data'!E91),"\$([A-Z]+)\$[0-9]+"),"")</f>
        <v>$E$91</v>
      </c>
      <c r="F91" t="str" cm="1">
        <f t="array" aca="1" ref="F91" ca="1">IF('Raw Data'!F91="",_xlfn.REGEXEXTRACT(CELL("address",'Raw Data'!F91),"\$([A-Z]+)\$[0-9]+"),"")</f>
        <v>$F$91</v>
      </c>
      <c r="G91" t="str" cm="1">
        <f t="array" aca="1" ref="G91" ca="1">IF('Raw Data'!G91="",_xlfn.REGEXEXTRACT(CELL("address",'Raw Data'!G91),"\$([A-Z]+)\$[0-9]+"),"")</f>
        <v>$G$91</v>
      </c>
      <c r="H91" t="str" cm="1">
        <f t="array" aca="1" ref="H91" ca="1">IF('Raw Data'!H91="",_xlfn.REGEXEXTRACT(CELL("address",'Raw Data'!H91),"\$([A-Z]+)\$[0-9]+"),"")</f>
        <v>$H$91</v>
      </c>
      <c r="I91" t="str" cm="1">
        <f t="array" aca="1" ref="I91" ca="1">IF('Raw Data'!I91="",_xlfn.REGEXEXTRACT(CELL("address",'Raw Data'!I91),"\$([A-Z]+)\$[0-9]+"),"")</f>
        <v>$I$91</v>
      </c>
    </row>
    <row r="92" spans="2:9" x14ac:dyDescent="0.25">
      <c r="B92" t="str" cm="1">
        <f t="array" aca="1" ref="B92" ca="1">IF('Raw Data'!B92="",_xlfn.REGEXEXTRACT(CELL("address",'Raw Data'!B92),"\$([A-Z]+)\$[0-9]+"),"")</f>
        <v>$B$92</v>
      </c>
      <c r="C92" t="str" cm="1">
        <f t="array" aca="1" ref="C92" ca="1">IF('Raw Data'!C92="",_xlfn.REGEXEXTRACT(CELL("address",'Raw Data'!C92),"\$([A-Z]+)\$[0-9]+"),"")</f>
        <v>$C$92</v>
      </c>
      <c r="D92" t="str" cm="1">
        <f t="array" aca="1" ref="D92" ca="1">IF('Raw Data'!D92="",_xlfn.REGEXEXTRACT(CELL("address",'Raw Data'!D92),"\$([A-Z]+)\$[0-9]+"),"")</f>
        <v>$D$92</v>
      </c>
      <c r="E92" t="str" cm="1">
        <f t="array" aca="1" ref="E92" ca="1">IF('Raw Data'!E92="",_xlfn.REGEXEXTRACT(CELL("address",'Raw Data'!E92),"\$([A-Z]+)\$[0-9]+"),"")</f>
        <v>$E$92</v>
      </c>
      <c r="F92" t="str" cm="1">
        <f t="array" aca="1" ref="F92" ca="1">IF('Raw Data'!F92="",_xlfn.REGEXEXTRACT(CELL("address",'Raw Data'!F92),"\$([A-Z]+)\$[0-9]+"),"")</f>
        <v>$F$92</v>
      </c>
      <c r="G92" t="str" cm="1">
        <f t="array" aca="1" ref="G92" ca="1">IF('Raw Data'!G92="",_xlfn.REGEXEXTRACT(CELL("address",'Raw Data'!G92),"\$([A-Z]+)\$[0-9]+"),"")</f>
        <v>$G$92</v>
      </c>
      <c r="H92" t="str" cm="1">
        <f t="array" aca="1" ref="H92" ca="1">IF('Raw Data'!H92="",_xlfn.REGEXEXTRACT(CELL("address",'Raw Data'!H92),"\$([A-Z]+)\$[0-9]+"),"")</f>
        <v>$H$92</v>
      </c>
      <c r="I92" t="str" cm="1">
        <f t="array" aca="1" ref="I92" ca="1">IF('Raw Data'!I92="",_xlfn.REGEXEXTRACT(CELL("address",'Raw Data'!I92),"\$([A-Z]+)\$[0-9]+"),"")</f>
        <v>$I$92</v>
      </c>
    </row>
    <row r="93" spans="2:9" x14ac:dyDescent="0.25">
      <c r="B93" t="str" cm="1">
        <f t="array" aca="1" ref="B93" ca="1">IF('Raw Data'!B93="",_xlfn.REGEXEXTRACT(CELL("address",'Raw Data'!B93),"\$([A-Z]+)\$[0-9]+"),"")</f>
        <v>$B$93</v>
      </c>
      <c r="C93" t="str" cm="1">
        <f t="array" aca="1" ref="C93" ca="1">IF('Raw Data'!C93="",_xlfn.REGEXEXTRACT(CELL("address",'Raw Data'!C93),"\$([A-Z]+)\$[0-9]+"),"")</f>
        <v>$C$93</v>
      </c>
      <c r="D93" t="str" cm="1">
        <f t="array" aca="1" ref="D93" ca="1">IF('Raw Data'!D93="",_xlfn.REGEXEXTRACT(CELL("address",'Raw Data'!D93),"\$([A-Z]+)\$[0-9]+"),"")</f>
        <v>$D$93</v>
      </c>
      <c r="E93" t="str" cm="1">
        <f t="array" aca="1" ref="E93" ca="1">IF('Raw Data'!E93="",_xlfn.REGEXEXTRACT(CELL("address",'Raw Data'!E93),"\$([A-Z]+)\$[0-9]+"),"")</f>
        <v>$E$93</v>
      </c>
      <c r="F93" t="str" cm="1">
        <f t="array" aca="1" ref="F93" ca="1">IF('Raw Data'!F93="",_xlfn.REGEXEXTRACT(CELL("address",'Raw Data'!F93),"\$([A-Z]+)\$[0-9]+"),"")</f>
        <v>$F$93</v>
      </c>
      <c r="G93" t="str" cm="1">
        <f t="array" aca="1" ref="G93" ca="1">IF('Raw Data'!G93="",_xlfn.REGEXEXTRACT(CELL("address",'Raw Data'!G93),"\$([A-Z]+)\$[0-9]+"),"")</f>
        <v>$G$93</v>
      </c>
      <c r="H93" t="str" cm="1">
        <f t="array" aca="1" ref="H93" ca="1">IF('Raw Data'!H93="",_xlfn.REGEXEXTRACT(CELL("address",'Raw Data'!H93),"\$([A-Z]+)\$[0-9]+"),"")</f>
        <v>$H$93</v>
      </c>
      <c r="I93" t="str" cm="1">
        <f t="array" aca="1" ref="I93" ca="1">IF('Raw Data'!I93="",_xlfn.REGEXEXTRACT(CELL("address",'Raw Data'!I93),"\$([A-Z]+)\$[0-9]+"),"")</f>
        <v>$I$93</v>
      </c>
    </row>
    <row r="94" spans="2:9" x14ac:dyDescent="0.25">
      <c r="B94" t="str" cm="1">
        <f t="array" aca="1" ref="B94" ca="1">IF('Raw Data'!B94="",_xlfn.REGEXEXTRACT(CELL("address",'Raw Data'!B94),"\$([A-Z]+)\$[0-9]+"),"")</f>
        <v>$B$94</v>
      </c>
      <c r="C94" t="str" cm="1">
        <f t="array" aca="1" ref="C94" ca="1">IF('Raw Data'!C94="",_xlfn.REGEXEXTRACT(CELL("address",'Raw Data'!C94),"\$([A-Z]+)\$[0-9]+"),"")</f>
        <v>$C$94</v>
      </c>
      <c r="D94" t="str" cm="1">
        <f t="array" aca="1" ref="D94" ca="1">IF('Raw Data'!D94="",_xlfn.REGEXEXTRACT(CELL("address",'Raw Data'!D94),"\$([A-Z]+)\$[0-9]+"),"")</f>
        <v>$D$94</v>
      </c>
      <c r="E94" t="str" cm="1">
        <f t="array" aca="1" ref="E94" ca="1">IF('Raw Data'!E94="",_xlfn.REGEXEXTRACT(CELL("address",'Raw Data'!E94),"\$([A-Z]+)\$[0-9]+"),"")</f>
        <v>$E$94</v>
      </c>
      <c r="F94" t="str" cm="1">
        <f t="array" aca="1" ref="F94" ca="1">IF('Raw Data'!F94="",_xlfn.REGEXEXTRACT(CELL("address",'Raw Data'!F94),"\$([A-Z]+)\$[0-9]+"),"")</f>
        <v>$F$94</v>
      </c>
      <c r="G94" t="str" cm="1">
        <f t="array" aca="1" ref="G94" ca="1">IF('Raw Data'!G94="",_xlfn.REGEXEXTRACT(CELL("address",'Raw Data'!G94),"\$([A-Z]+)\$[0-9]+"),"")</f>
        <v>$G$94</v>
      </c>
      <c r="H94" t="str" cm="1">
        <f t="array" aca="1" ref="H94" ca="1">IF('Raw Data'!H94="",_xlfn.REGEXEXTRACT(CELL("address",'Raw Data'!H94),"\$([A-Z]+)\$[0-9]+"),"")</f>
        <v>$H$94</v>
      </c>
      <c r="I94" t="str" cm="1">
        <f t="array" aca="1" ref="I94" ca="1">IF('Raw Data'!I94="",_xlfn.REGEXEXTRACT(CELL("address",'Raw Data'!I94),"\$([A-Z]+)\$[0-9]+"),"")</f>
        <v>$I$94</v>
      </c>
    </row>
    <row r="95" spans="2:9" x14ac:dyDescent="0.25">
      <c r="B95" t="str" cm="1">
        <f t="array" aca="1" ref="B95" ca="1">IF('Raw Data'!B95="",_xlfn.REGEXEXTRACT(CELL("address",'Raw Data'!B95),"\$([A-Z]+)\$[0-9]+"),"")</f>
        <v>$B$95</v>
      </c>
      <c r="C95" t="str" cm="1">
        <f t="array" aca="1" ref="C95" ca="1">IF('Raw Data'!C95="",_xlfn.REGEXEXTRACT(CELL("address",'Raw Data'!C95),"\$([A-Z]+)\$[0-9]+"),"")</f>
        <v>$C$95</v>
      </c>
      <c r="D95" t="str" cm="1">
        <f t="array" aca="1" ref="D95" ca="1">IF('Raw Data'!D95="",_xlfn.REGEXEXTRACT(CELL("address",'Raw Data'!D95),"\$([A-Z]+)\$[0-9]+"),"")</f>
        <v>$D$95</v>
      </c>
      <c r="E95" t="str" cm="1">
        <f t="array" aca="1" ref="E95" ca="1">IF('Raw Data'!E95="",_xlfn.REGEXEXTRACT(CELL("address",'Raw Data'!E95),"\$([A-Z]+)\$[0-9]+"),"")</f>
        <v>$E$95</v>
      </c>
      <c r="F95" t="str" cm="1">
        <f t="array" aca="1" ref="F95" ca="1">IF('Raw Data'!F95="",_xlfn.REGEXEXTRACT(CELL("address",'Raw Data'!F95),"\$([A-Z]+)\$[0-9]+"),"")</f>
        <v>$F$95</v>
      </c>
      <c r="G95" t="str" cm="1">
        <f t="array" aca="1" ref="G95" ca="1">IF('Raw Data'!G95="",_xlfn.REGEXEXTRACT(CELL("address",'Raw Data'!G95),"\$([A-Z]+)\$[0-9]+"),"")</f>
        <v>$G$95</v>
      </c>
      <c r="H95" t="str" cm="1">
        <f t="array" aca="1" ref="H95" ca="1">IF('Raw Data'!H95="",_xlfn.REGEXEXTRACT(CELL("address",'Raw Data'!H95),"\$([A-Z]+)\$[0-9]+"),"")</f>
        <v>$H$95</v>
      </c>
      <c r="I95" t="str" cm="1">
        <f t="array" aca="1" ref="I95" ca="1">IF('Raw Data'!I95="",_xlfn.REGEXEXTRACT(CELL("address",'Raw Data'!I95),"\$([A-Z]+)\$[0-9]+"),"")</f>
        <v>$I$95</v>
      </c>
    </row>
    <row r="96" spans="2:9" x14ac:dyDescent="0.25">
      <c r="B96" t="str" cm="1">
        <f t="array" aca="1" ref="B96" ca="1">IF('Raw Data'!B96="",_xlfn.REGEXEXTRACT(CELL("address",'Raw Data'!B96),"\$([A-Z]+)\$[0-9]+"),"")</f>
        <v>$B$96</v>
      </c>
      <c r="C96" t="str" cm="1">
        <f t="array" aca="1" ref="C96" ca="1">IF('Raw Data'!C96="",_xlfn.REGEXEXTRACT(CELL("address",'Raw Data'!C96),"\$([A-Z]+)\$[0-9]+"),"")</f>
        <v>$C$96</v>
      </c>
      <c r="D96" t="str" cm="1">
        <f t="array" aca="1" ref="D96" ca="1">IF('Raw Data'!D96="",_xlfn.REGEXEXTRACT(CELL("address",'Raw Data'!D96),"\$([A-Z]+)\$[0-9]+"),"")</f>
        <v>$D$96</v>
      </c>
      <c r="E96" t="str" cm="1">
        <f t="array" aca="1" ref="E96" ca="1">IF('Raw Data'!E96="",_xlfn.REGEXEXTRACT(CELL("address",'Raw Data'!E96),"\$([A-Z]+)\$[0-9]+"),"")</f>
        <v>$E$96</v>
      </c>
      <c r="F96" t="str" cm="1">
        <f t="array" aca="1" ref="F96" ca="1">IF('Raw Data'!F96="",_xlfn.REGEXEXTRACT(CELL("address",'Raw Data'!F96),"\$([A-Z]+)\$[0-9]+"),"")</f>
        <v>$F$96</v>
      </c>
      <c r="G96" t="str" cm="1">
        <f t="array" aca="1" ref="G96" ca="1">IF('Raw Data'!G96="",_xlfn.REGEXEXTRACT(CELL("address",'Raw Data'!G96),"\$([A-Z]+)\$[0-9]+"),"")</f>
        <v>$G$96</v>
      </c>
      <c r="H96" t="str" cm="1">
        <f t="array" aca="1" ref="H96" ca="1">IF('Raw Data'!H96="",_xlfn.REGEXEXTRACT(CELL("address",'Raw Data'!H96),"\$([A-Z]+)\$[0-9]+"),"")</f>
        <v>$H$96</v>
      </c>
      <c r="I96" t="str" cm="1">
        <f t="array" aca="1" ref="I96" ca="1">IF('Raw Data'!I96="",_xlfn.REGEXEXTRACT(CELL("address",'Raw Data'!I96),"\$([A-Z]+)\$[0-9]+"),"")</f>
        <v>$I$96</v>
      </c>
    </row>
    <row r="97" spans="2:9" x14ac:dyDescent="0.25">
      <c r="B97" t="str" cm="1">
        <f t="array" aca="1" ref="B97" ca="1">IF('Raw Data'!B97="",_xlfn.REGEXEXTRACT(CELL("address",'Raw Data'!B97),"\$([A-Z]+)\$[0-9]+"),"")</f>
        <v>$B$97</v>
      </c>
      <c r="C97" t="str" cm="1">
        <f t="array" aca="1" ref="C97" ca="1">IF('Raw Data'!C97="",_xlfn.REGEXEXTRACT(CELL("address",'Raw Data'!C97),"\$([A-Z]+)\$[0-9]+"),"")</f>
        <v>$C$97</v>
      </c>
      <c r="D97" t="str" cm="1">
        <f t="array" aca="1" ref="D97" ca="1">IF('Raw Data'!D97="",_xlfn.REGEXEXTRACT(CELL("address",'Raw Data'!D97),"\$([A-Z]+)\$[0-9]+"),"")</f>
        <v>$D$97</v>
      </c>
      <c r="E97" t="str" cm="1">
        <f t="array" aca="1" ref="E97" ca="1">IF('Raw Data'!E97="",_xlfn.REGEXEXTRACT(CELL("address",'Raw Data'!E97),"\$([A-Z]+)\$[0-9]+"),"")</f>
        <v>$E$97</v>
      </c>
      <c r="F97" t="str" cm="1">
        <f t="array" aca="1" ref="F97" ca="1">IF('Raw Data'!F97="",_xlfn.REGEXEXTRACT(CELL("address",'Raw Data'!F97),"\$([A-Z]+)\$[0-9]+"),"")</f>
        <v>$F$97</v>
      </c>
      <c r="G97" t="str" cm="1">
        <f t="array" aca="1" ref="G97" ca="1">IF('Raw Data'!G97="",_xlfn.REGEXEXTRACT(CELL("address",'Raw Data'!G97),"\$([A-Z]+)\$[0-9]+"),"")</f>
        <v>$G$97</v>
      </c>
      <c r="H97" t="str" cm="1">
        <f t="array" aca="1" ref="H97" ca="1">IF('Raw Data'!H97="",_xlfn.REGEXEXTRACT(CELL("address",'Raw Data'!H97),"\$([A-Z]+)\$[0-9]+"),"")</f>
        <v>$H$97</v>
      </c>
      <c r="I97" t="str" cm="1">
        <f t="array" aca="1" ref="I97" ca="1">IF('Raw Data'!I97="",_xlfn.REGEXEXTRACT(CELL("address",'Raw Data'!I97),"\$([A-Z]+)\$[0-9]+"),"")</f>
        <v>$I$97</v>
      </c>
    </row>
    <row r="98" spans="2:9" x14ac:dyDescent="0.25">
      <c r="B98" t="str" cm="1">
        <f t="array" aca="1" ref="B98" ca="1">IF('Raw Data'!B98="",_xlfn.REGEXEXTRACT(CELL("address",'Raw Data'!B98),"\$([A-Z]+)\$[0-9]+"),"")</f>
        <v>$B$98</v>
      </c>
      <c r="C98" t="str" cm="1">
        <f t="array" aca="1" ref="C98" ca="1">IF('Raw Data'!C98="",_xlfn.REGEXEXTRACT(CELL("address",'Raw Data'!C98),"\$([A-Z]+)\$[0-9]+"),"")</f>
        <v>$C$98</v>
      </c>
      <c r="D98" t="str" cm="1">
        <f t="array" aca="1" ref="D98" ca="1">IF('Raw Data'!D98="",_xlfn.REGEXEXTRACT(CELL("address",'Raw Data'!D98),"\$([A-Z]+)\$[0-9]+"),"")</f>
        <v>$D$98</v>
      </c>
      <c r="E98" t="str" cm="1">
        <f t="array" aca="1" ref="E98" ca="1">IF('Raw Data'!E98="",_xlfn.REGEXEXTRACT(CELL("address",'Raw Data'!E98),"\$([A-Z]+)\$[0-9]+"),"")</f>
        <v>$E$98</v>
      </c>
      <c r="F98" t="str" cm="1">
        <f t="array" aca="1" ref="F98" ca="1">IF('Raw Data'!F98="",_xlfn.REGEXEXTRACT(CELL("address",'Raw Data'!F98),"\$([A-Z]+)\$[0-9]+"),"")</f>
        <v>$F$98</v>
      </c>
      <c r="G98" t="str" cm="1">
        <f t="array" aca="1" ref="G98" ca="1">IF('Raw Data'!G98="",_xlfn.REGEXEXTRACT(CELL("address",'Raw Data'!G98),"\$([A-Z]+)\$[0-9]+"),"")</f>
        <v>$G$98</v>
      </c>
      <c r="H98" t="str" cm="1">
        <f t="array" aca="1" ref="H98" ca="1">IF('Raw Data'!H98="",_xlfn.REGEXEXTRACT(CELL("address",'Raw Data'!H98),"\$([A-Z]+)\$[0-9]+"),"")</f>
        <v>$H$98</v>
      </c>
      <c r="I98" t="str" cm="1">
        <f t="array" aca="1" ref="I98" ca="1">IF('Raw Data'!I98="",_xlfn.REGEXEXTRACT(CELL("address",'Raw Data'!I98),"\$([A-Z]+)\$[0-9]+"),"")</f>
        <v>$I$98</v>
      </c>
    </row>
    <row r="99" spans="2:9" x14ac:dyDescent="0.25">
      <c r="B99" t="str" cm="1">
        <f t="array" aca="1" ref="B99" ca="1">IF('Raw Data'!B99="",_xlfn.REGEXEXTRACT(CELL("address",'Raw Data'!B99),"\$([A-Z]+)\$[0-9]+"),"")</f>
        <v>$B$99</v>
      </c>
      <c r="C99" t="str" cm="1">
        <f t="array" aca="1" ref="C99" ca="1">IF('Raw Data'!C99="",_xlfn.REGEXEXTRACT(CELL("address",'Raw Data'!C99),"\$([A-Z]+)\$[0-9]+"),"")</f>
        <v>$C$99</v>
      </c>
      <c r="D99" t="str" cm="1">
        <f t="array" aca="1" ref="D99" ca="1">IF('Raw Data'!D99="",_xlfn.REGEXEXTRACT(CELL("address",'Raw Data'!D99),"\$([A-Z]+)\$[0-9]+"),"")</f>
        <v>$D$99</v>
      </c>
      <c r="E99" t="str" cm="1">
        <f t="array" aca="1" ref="E99" ca="1">IF('Raw Data'!E99="",_xlfn.REGEXEXTRACT(CELL("address",'Raw Data'!E99),"\$([A-Z]+)\$[0-9]+"),"")</f>
        <v>$E$99</v>
      </c>
      <c r="F99" t="str" cm="1">
        <f t="array" aca="1" ref="F99" ca="1">IF('Raw Data'!F99="",_xlfn.REGEXEXTRACT(CELL("address",'Raw Data'!F99),"\$([A-Z]+)\$[0-9]+"),"")</f>
        <v>$F$99</v>
      </c>
      <c r="G99" t="str" cm="1">
        <f t="array" aca="1" ref="G99" ca="1">IF('Raw Data'!G99="",_xlfn.REGEXEXTRACT(CELL("address",'Raw Data'!G99),"\$([A-Z]+)\$[0-9]+"),"")</f>
        <v>$G$99</v>
      </c>
      <c r="H99" t="str" cm="1">
        <f t="array" aca="1" ref="H99" ca="1">IF('Raw Data'!H99="",_xlfn.REGEXEXTRACT(CELL("address",'Raw Data'!H99),"\$([A-Z]+)\$[0-9]+"),"")</f>
        <v>$H$99</v>
      </c>
      <c r="I99" t="str" cm="1">
        <f t="array" aca="1" ref="I99" ca="1">IF('Raw Data'!I99="",_xlfn.REGEXEXTRACT(CELL("address",'Raw Data'!I99),"\$([A-Z]+)\$[0-9]+"),"")</f>
        <v>$I$99</v>
      </c>
    </row>
    <row r="100" spans="2:9" x14ac:dyDescent="0.25">
      <c r="B100" t="str" cm="1">
        <f t="array" aca="1" ref="B100" ca="1">IF('Raw Data'!B100="",_xlfn.REGEXEXTRACT(CELL("address",'Raw Data'!B100),"\$([A-Z]+)\$[0-9]+"),"")</f>
        <v>$B$100</v>
      </c>
      <c r="C100" t="str" cm="1">
        <f t="array" aca="1" ref="C100" ca="1">IF('Raw Data'!C100="",_xlfn.REGEXEXTRACT(CELL("address",'Raw Data'!C100),"\$([A-Z]+)\$[0-9]+"),"")</f>
        <v>$C$100</v>
      </c>
      <c r="D100" t="str" cm="1">
        <f t="array" aca="1" ref="D100" ca="1">IF('Raw Data'!D100="",_xlfn.REGEXEXTRACT(CELL("address",'Raw Data'!D100),"\$([A-Z]+)\$[0-9]+"),"")</f>
        <v>$D$100</v>
      </c>
      <c r="E100" t="str" cm="1">
        <f t="array" aca="1" ref="E100" ca="1">IF('Raw Data'!E100="",_xlfn.REGEXEXTRACT(CELL("address",'Raw Data'!E100),"\$([A-Z]+)\$[0-9]+"),"")</f>
        <v>$E$100</v>
      </c>
      <c r="F100" t="str" cm="1">
        <f t="array" aca="1" ref="F100" ca="1">IF('Raw Data'!F100="",_xlfn.REGEXEXTRACT(CELL("address",'Raw Data'!F100),"\$([A-Z]+)\$[0-9]+"),"")</f>
        <v>$F$100</v>
      </c>
      <c r="G100" t="str" cm="1">
        <f t="array" aca="1" ref="G100" ca="1">IF('Raw Data'!G100="",_xlfn.REGEXEXTRACT(CELL("address",'Raw Data'!G100),"\$([A-Z]+)\$[0-9]+"),"")</f>
        <v>$G$100</v>
      </c>
      <c r="H100" t="str" cm="1">
        <f t="array" aca="1" ref="H100" ca="1">IF('Raw Data'!H100="",_xlfn.REGEXEXTRACT(CELL("address",'Raw Data'!H100),"\$([A-Z]+)\$[0-9]+"),"")</f>
        <v>$H$100</v>
      </c>
      <c r="I100" t="str" cm="1">
        <f t="array" aca="1" ref="I100" ca="1">IF('Raw Data'!I100="",_xlfn.REGEXEXTRACT(CELL("address",'Raw Data'!I100),"\$([A-Z]+)\$[0-9]+"),"")</f>
        <v>$I$100</v>
      </c>
    </row>
    <row r="101" spans="2:9" x14ac:dyDescent="0.25">
      <c r="B101" t="str" cm="1">
        <f t="array" aca="1" ref="B101" ca="1">IF('Raw Data'!B101="",_xlfn.REGEXEXTRACT(CELL("address",'Raw Data'!B101),"\$([A-Z]+)\$[0-9]+"),"")</f>
        <v>$B$101</v>
      </c>
      <c r="C101" t="str" cm="1">
        <f t="array" aca="1" ref="C101" ca="1">IF('Raw Data'!C101="",_xlfn.REGEXEXTRACT(CELL("address",'Raw Data'!C101),"\$([A-Z]+)\$[0-9]+"),"")</f>
        <v>$C$101</v>
      </c>
      <c r="D101" t="str" cm="1">
        <f t="array" aca="1" ref="D101" ca="1">IF('Raw Data'!D101="",_xlfn.REGEXEXTRACT(CELL("address",'Raw Data'!D101),"\$([A-Z]+)\$[0-9]+"),"")</f>
        <v>$D$101</v>
      </c>
      <c r="E101" t="str" cm="1">
        <f t="array" aca="1" ref="E101" ca="1">IF('Raw Data'!E101="",_xlfn.REGEXEXTRACT(CELL("address",'Raw Data'!E101),"\$([A-Z]+)\$[0-9]+"),"")</f>
        <v>$E$101</v>
      </c>
      <c r="F101" t="str" cm="1">
        <f t="array" aca="1" ref="F101" ca="1">IF('Raw Data'!F101="",_xlfn.REGEXEXTRACT(CELL("address",'Raw Data'!F101),"\$([A-Z]+)\$[0-9]+"),"")</f>
        <v>$F$101</v>
      </c>
      <c r="G101" t="str" cm="1">
        <f t="array" aca="1" ref="G101" ca="1">IF('Raw Data'!G101="",_xlfn.REGEXEXTRACT(CELL("address",'Raw Data'!G101),"\$([A-Z]+)\$[0-9]+"),"")</f>
        <v>$G$101</v>
      </c>
      <c r="H101" t="str" cm="1">
        <f t="array" aca="1" ref="H101" ca="1">IF('Raw Data'!H101="",_xlfn.REGEXEXTRACT(CELL("address",'Raw Data'!H101),"\$([A-Z]+)\$[0-9]+"),"")</f>
        <v>$H$101</v>
      </c>
      <c r="I101" t="str" cm="1">
        <f t="array" aca="1" ref="I101" ca="1">IF('Raw Data'!I101="",_xlfn.REGEXEXTRACT(CELL("address",'Raw Data'!I101),"\$([A-Z]+)\$[0-9]+"),"")</f>
        <v>$I$101</v>
      </c>
    </row>
    <row r="102" spans="2:9" x14ac:dyDescent="0.25">
      <c r="B102" t="str" cm="1">
        <f t="array" aca="1" ref="B102" ca="1">IF('Raw Data'!B102="",_xlfn.REGEXEXTRACT(CELL("address",'Raw Data'!B102),"\$([A-Z]+)\$[0-9]+"),"")</f>
        <v>$B$102</v>
      </c>
      <c r="C102" t="str" cm="1">
        <f t="array" aca="1" ref="C102" ca="1">IF('Raw Data'!C102="",_xlfn.REGEXEXTRACT(CELL("address",'Raw Data'!C102),"\$([A-Z]+)\$[0-9]+"),"")</f>
        <v>$C$102</v>
      </c>
      <c r="D102" t="str" cm="1">
        <f t="array" aca="1" ref="D102" ca="1">IF('Raw Data'!D102="",_xlfn.REGEXEXTRACT(CELL("address",'Raw Data'!D102),"\$([A-Z]+)\$[0-9]+"),"")</f>
        <v>$D$102</v>
      </c>
      <c r="E102" t="str" cm="1">
        <f t="array" aca="1" ref="E102" ca="1">IF('Raw Data'!E102="",_xlfn.REGEXEXTRACT(CELL("address",'Raw Data'!E102),"\$([A-Z]+)\$[0-9]+"),"")</f>
        <v>$E$102</v>
      </c>
      <c r="F102" t="str" cm="1">
        <f t="array" aca="1" ref="F102" ca="1">IF('Raw Data'!F102="",_xlfn.REGEXEXTRACT(CELL("address",'Raw Data'!F102),"\$([A-Z]+)\$[0-9]+"),"")</f>
        <v>$F$102</v>
      </c>
      <c r="G102" t="str" cm="1">
        <f t="array" aca="1" ref="G102" ca="1">IF('Raw Data'!G102="",_xlfn.REGEXEXTRACT(CELL("address",'Raw Data'!G102),"\$([A-Z]+)\$[0-9]+"),"")</f>
        <v>$G$102</v>
      </c>
      <c r="H102" t="str" cm="1">
        <f t="array" aca="1" ref="H102" ca="1">IF('Raw Data'!H102="",_xlfn.REGEXEXTRACT(CELL("address",'Raw Data'!H102),"\$([A-Z]+)\$[0-9]+"),"")</f>
        <v>$H$102</v>
      </c>
      <c r="I102" t="str" cm="1">
        <f t="array" aca="1" ref="I102" ca="1">IF('Raw Data'!I102="",_xlfn.REGEXEXTRACT(CELL("address",'Raw Data'!I102),"\$([A-Z]+)\$[0-9]+"),"")</f>
        <v>$I$102</v>
      </c>
    </row>
    <row r="103" spans="2:9" x14ac:dyDescent="0.25">
      <c r="B103" t="str" cm="1">
        <f t="array" aca="1" ref="B103" ca="1">IF('Raw Data'!B103="",_xlfn.REGEXEXTRACT(CELL("address",'Raw Data'!B103),"\$([A-Z]+)\$[0-9]+"),"")</f>
        <v>$B$103</v>
      </c>
      <c r="C103" t="str" cm="1">
        <f t="array" aca="1" ref="C103" ca="1">IF('Raw Data'!C103="",_xlfn.REGEXEXTRACT(CELL("address",'Raw Data'!C103),"\$([A-Z]+)\$[0-9]+"),"")</f>
        <v>$C$103</v>
      </c>
      <c r="D103" t="str" cm="1">
        <f t="array" aca="1" ref="D103" ca="1">IF('Raw Data'!D103="",_xlfn.REGEXEXTRACT(CELL("address",'Raw Data'!D103),"\$([A-Z]+)\$[0-9]+"),"")</f>
        <v>$D$103</v>
      </c>
      <c r="E103" t="str" cm="1">
        <f t="array" aca="1" ref="E103" ca="1">IF('Raw Data'!E103="",_xlfn.REGEXEXTRACT(CELL("address",'Raw Data'!E103),"\$([A-Z]+)\$[0-9]+"),"")</f>
        <v>$E$103</v>
      </c>
      <c r="F103" t="str" cm="1">
        <f t="array" aca="1" ref="F103" ca="1">IF('Raw Data'!F103="",_xlfn.REGEXEXTRACT(CELL("address",'Raw Data'!F103),"\$([A-Z]+)\$[0-9]+"),"")</f>
        <v>$F$103</v>
      </c>
      <c r="G103" t="str" cm="1">
        <f t="array" aca="1" ref="G103" ca="1">IF('Raw Data'!G103="",_xlfn.REGEXEXTRACT(CELL("address",'Raw Data'!G103),"\$([A-Z]+)\$[0-9]+"),"")</f>
        <v>$G$103</v>
      </c>
      <c r="H103" t="str" cm="1">
        <f t="array" aca="1" ref="H103" ca="1">IF('Raw Data'!H103="",_xlfn.REGEXEXTRACT(CELL("address",'Raw Data'!H103),"\$([A-Z]+)\$[0-9]+"),"")</f>
        <v>$H$103</v>
      </c>
      <c r="I103" t="str" cm="1">
        <f t="array" aca="1" ref="I103" ca="1">IF('Raw Data'!I103="",_xlfn.REGEXEXTRACT(CELL("address",'Raw Data'!I103),"\$([A-Z]+)\$[0-9]+"),"")</f>
        <v>$I$103</v>
      </c>
    </row>
    <row r="104" spans="2:9" x14ac:dyDescent="0.25">
      <c r="B104" t="str" cm="1">
        <f t="array" aca="1" ref="B104" ca="1">IF('Raw Data'!B104="",_xlfn.REGEXEXTRACT(CELL("address",'Raw Data'!B104),"\$([A-Z]+)\$[0-9]+"),"")</f>
        <v>$B$104</v>
      </c>
      <c r="C104" t="str" cm="1">
        <f t="array" aca="1" ref="C104" ca="1">IF('Raw Data'!C104="",_xlfn.REGEXEXTRACT(CELL("address",'Raw Data'!C104),"\$([A-Z]+)\$[0-9]+"),"")</f>
        <v>$C$104</v>
      </c>
      <c r="D104" t="str" cm="1">
        <f t="array" aca="1" ref="D104" ca="1">IF('Raw Data'!D104="",_xlfn.REGEXEXTRACT(CELL("address",'Raw Data'!D104),"\$([A-Z]+)\$[0-9]+"),"")</f>
        <v>$D$104</v>
      </c>
      <c r="E104" t="str" cm="1">
        <f t="array" aca="1" ref="E104" ca="1">IF('Raw Data'!E104="",_xlfn.REGEXEXTRACT(CELL("address",'Raw Data'!E104),"\$([A-Z]+)\$[0-9]+"),"")</f>
        <v>$E$104</v>
      </c>
      <c r="F104" t="str" cm="1">
        <f t="array" aca="1" ref="F104" ca="1">IF('Raw Data'!F104="",_xlfn.REGEXEXTRACT(CELL("address",'Raw Data'!F104),"\$([A-Z]+)\$[0-9]+"),"")</f>
        <v>$F$104</v>
      </c>
      <c r="G104" t="str" cm="1">
        <f t="array" aca="1" ref="G104" ca="1">IF('Raw Data'!G104="",_xlfn.REGEXEXTRACT(CELL("address",'Raw Data'!G104),"\$([A-Z]+)\$[0-9]+"),"")</f>
        <v>$G$104</v>
      </c>
      <c r="H104" t="str" cm="1">
        <f t="array" aca="1" ref="H104" ca="1">IF('Raw Data'!H104="",_xlfn.REGEXEXTRACT(CELL("address",'Raw Data'!H104),"\$([A-Z]+)\$[0-9]+"),"")</f>
        <v>$H$104</v>
      </c>
      <c r="I104" t="str" cm="1">
        <f t="array" aca="1" ref="I104" ca="1">IF('Raw Data'!I104="",_xlfn.REGEXEXTRACT(CELL("address",'Raw Data'!I104),"\$([A-Z]+)\$[0-9]+"),"")</f>
        <v>$I$104</v>
      </c>
    </row>
    <row r="105" spans="2:9" x14ac:dyDescent="0.25">
      <c r="B105" t="str" cm="1">
        <f t="array" aca="1" ref="B105" ca="1">IF('Raw Data'!B105="",_xlfn.REGEXEXTRACT(CELL("address",'Raw Data'!B105),"\$([A-Z]+)\$[0-9]+"),"")</f>
        <v>$B$105</v>
      </c>
      <c r="C105" t="str" cm="1">
        <f t="array" aca="1" ref="C105" ca="1">IF('Raw Data'!C105="",_xlfn.REGEXEXTRACT(CELL("address",'Raw Data'!C105),"\$([A-Z]+)\$[0-9]+"),"")</f>
        <v>$C$105</v>
      </c>
      <c r="D105" t="str" cm="1">
        <f t="array" aca="1" ref="D105" ca="1">IF('Raw Data'!D105="",_xlfn.REGEXEXTRACT(CELL("address",'Raw Data'!D105),"\$([A-Z]+)\$[0-9]+"),"")</f>
        <v>$D$105</v>
      </c>
      <c r="E105" t="str" cm="1">
        <f t="array" aca="1" ref="E105" ca="1">IF('Raw Data'!E105="",_xlfn.REGEXEXTRACT(CELL("address",'Raw Data'!E105),"\$([A-Z]+)\$[0-9]+"),"")</f>
        <v>$E$105</v>
      </c>
      <c r="F105" t="str" cm="1">
        <f t="array" aca="1" ref="F105" ca="1">IF('Raw Data'!F105="",_xlfn.REGEXEXTRACT(CELL("address",'Raw Data'!F105),"\$([A-Z]+)\$[0-9]+"),"")</f>
        <v>$F$105</v>
      </c>
      <c r="G105" t="str" cm="1">
        <f t="array" aca="1" ref="G105" ca="1">IF('Raw Data'!G105="",_xlfn.REGEXEXTRACT(CELL("address",'Raw Data'!G105),"\$([A-Z]+)\$[0-9]+"),"")</f>
        <v>$G$105</v>
      </c>
      <c r="H105" t="str" cm="1">
        <f t="array" aca="1" ref="H105" ca="1">IF('Raw Data'!H105="",_xlfn.REGEXEXTRACT(CELL("address",'Raw Data'!H105),"\$([A-Z]+)\$[0-9]+"),"")</f>
        <v>$H$105</v>
      </c>
      <c r="I105" t="str" cm="1">
        <f t="array" aca="1" ref="I105" ca="1">IF('Raw Data'!I105="",_xlfn.REGEXEXTRACT(CELL("address",'Raw Data'!I105),"\$([A-Z]+)\$[0-9]+"),"")</f>
        <v>$I$105</v>
      </c>
    </row>
    <row r="106" spans="2:9" x14ac:dyDescent="0.25">
      <c r="B106" t="str" cm="1">
        <f t="array" aca="1" ref="B106" ca="1">IF('Raw Data'!B106="",_xlfn.REGEXEXTRACT(CELL("address",'Raw Data'!B106),"\$([A-Z]+)\$[0-9]+"),"")</f>
        <v>$B$106</v>
      </c>
      <c r="C106" t="str" cm="1">
        <f t="array" aca="1" ref="C106" ca="1">IF('Raw Data'!C106="",_xlfn.REGEXEXTRACT(CELL("address",'Raw Data'!C106),"\$([A-Z]+)\$[0-9]+"),"")</f>
        <v>$C$106</v>
      </c>
      <c r="D106" t="str" cm="1">
        <f t="array" aca="1" ref="D106" ca="1">IF('Raw Data'!D106="",_xlfn.REGEXEXTRACT(CELL("address",'Raw Data'!D106),"\$([A-Z]+)\$[0-9]+"),"")</f>
        <v>$D$106</v>
      </c>
      <c r="E106" t="str" cm="1">
        <f t="array" aca="1" ref="E106" ca="1">IF('Raw Data'!E106="",_xlfn.REGEXEXTRACT(CELL("address",'Raw Data'!E106),"\$([A-Z]+)\$[0-9]+"),"")</f>
        <v>$E$106</v>
      </c>
      <c r="F106" t="str" cm="1">
        <f t="array" aca="1" ref="F106" ca="1">IF('Raw Data'!F106="",_xlfn.REGEXEXTRACT(CELL("address",'Raw Data'!F106),"\$([A-Z]+)\$[0-9]+"),"")</f>
        <v>$F$106</v>
      </c>
      <c r="G106" t="str" cm="1">
        <f t="array" aca="1" ref="G106" ca="1">IF('Raw Data'!G106="",_xlfn.REGEXEXTRACT(CELL("address",'Raw Data'!G106),"\$([A-Z]+)\$[0-9]+"),"")</f>
        <v>$G$106</v>
      </c>
      <c r="H106" t="str" cm="1">
        <f t="array" aca="1" ref="H106" ca="1">IF('Raw Data'!H106="",_xlfn.REGEXEXTRACT(CELL("address",'Raw Data'!H106),"\$([A-Z]+)\$[0-9]+"),"")</f>
        <v>$H$106</v>
      </c>
      <c r="I106" t="str" cm="1">
        <f t="array" aca="1" ref="I106" ca="1">IF('Raw Data'!I106="",_xlfn.REGEXEXTRACT(CELL("address",'Raw Data'!I106),"\$([A-Z]+)\$[0-9]+"),"")</f>
        <v>$I$106</v>
      </c>
    </row>
    <row r="107" spans="2:9" x14ac:dyDescent="0.25">
      <c r="B107" t="str" cm="1">
        <f t="array" aca="1" ref="B107" ca="1">IF('Raw Data'!B107="",_xlfn.REGEXEXTRACT(CELL("address",'Raw Data'!B107),"\$([A-Z]+)\$[0-9]+"),"")</f>
        <v>$B$107</v>
      </c>
      <c r="C107" t="str" cm="1">
        <f t="array" aca="1" ref="C107" ca="1">IF('Raw Data'!C107="",_xlfn.REGEXEXTRACT(CELL("address",'Raw Data'!C107),"\$([A-Z]+)\$[0-9]+"),"")</f>
        <v>$C$107</v>
      </c>
      <c r="D107" t="str" cm="1">
        <f t="array" aca="1" ref="D107" ca="1">IF('Raw Data'!D107="",_xlfn.REGEXEXTRACT(CELL("address",'Raw Data'!D107),"\$([A-Z]+)\$[0-9]+"),"")</f>
        <v>$D$107</v>
      </c>
      <c r="E107" t="str" cm="1">
        <f t="array" aca="1" ref="E107" ca="1">IF('Raw Data'!E107="",_xlfn.REGEXEXTRACT(CELL("address",'Raw Data'!E107),"\$([A-Z]+)\$[0-9]+"),"")</f>
        <v>$E$107</v>
      </c>
      <c r="F107" t="str" cm="1">
        <f t="array" aca="1" ref="F107" ca="1">IF('Raw Data'!F107="",_xlfn.REGEXEXTRACT(CELL("address",'Raw Data'!F107),"\$([A-Z]+)\$[0-9]+"),"")</f>
        <v>$F$107</v>
      </c>
      <c r="G107" t="str" cm="1">
        <f t="array" aca="1" ref="G107" ca="1">IF('Raw Data'!G107="",_xlfn.REGEXEXTRACT(CELL("address",'Raw Data'!G107),"\$([A-Z]+)\$[0-9]+"),"")</f>
        <v>$G$107</v>
      </c>
      <c r="H107" t="str" cm="1">
        <f t="array" aca="1" ref="H107" ca="1">IF('Raw Data'!H107="",_xlfn.REGEXEXTRACT(CELL("address",'Raw Data'!H107),"\$([A-Z]+)\$[0-9]+"),"")</f>
        <v>$H$107</v>
      </c>
      <c r="I107" t="str" cm="1">
        <f t="array" aca="1" ref="I107" ca="1">IF('Raw Data'!I107="",_xlfn.REGEXEXTRACT(CELL("address",'Raw Data'!I107),"\$([A-Z]+)\$[0-9]+"),"")</f>
        <v>$I$107</v>
      </c>
    </row>
    <row r="108" spans="2:9" x14ac:dyDescent="0.25">
      <c r="B108" t="str" cm="1">
        <f t="array" aca="1" ref="B108" ca="1">IF('Raw Data'!B108="",_xlfn.REGEXEXTRACT(CELL("address",'Raw Data'!B108),"\$([A-Z]+)\$[0-9]+"),"")</f>
        <v>$B$108</v>
      </c>
      <c r="C108" t="str" cm="1">
        <f t="array" aca="1" ref="C108" ca="1">IF('Raw Data'!C108="",_xlfn.REGEXEXTRACT(CELL("address",'Raw Data'!C108),"\$([A-Z]+)\$[0-9]+"),"")</f>
        <v>$C$108</v>
      </c>
      <c r="D108" t="str" cm="1">
        <f t="array" aca="1" ref="D108" ca="1">IF('Raw Data'!D108="",_xlfn.REGEXEXTRACT(CELL("address",'Raw Data'!D108),"\$([A-Z]+)\$[0-9]+"),"")</f>
        <v>$D$108</v>
      </c>
      <c r="E108" t="str" cm="1">
        <f t="array" aca="1" ref="E108" ca="1">IF('Raw Data'!E108="",_xlfn.REGEXEXTRACT(CELL("address",'Raw Data'!E108),"\$([A-Z]+)\$[0-9]+"),"")</f>
        <v>$E$108</v>
      </c>
      <c r="F108" t="str" cm="1">
        <f t="array" aca="1" ref="F108" ca="1">IF('Raw Data'!F108="",_xlfn.REGEXEXTRACT(CELL("address",'Raw Data'!F108),"\$([A-Z]+)\$[0-9]+"),"")</f>
        <v>$F$108</v>
      </c>
      <c r="G108" t="str" cm="1">
        <f t="array" aca="1" ref="G108" ca="1">IF('Raw Data'!G108="",_xlfn.REGEXEXTRACT(CELL("address",'Raw Data'!G108),"\$([A-Z]+)\$[0-9]+"),"")</f>
        <v>$G$108</v>
      </c>
      <c r="H108" t="str" cm="1">
        <f t="array" aca="1" ref="H108" ca="1">IF('Raw Data'!H108="",_xlfn.REGEXEXTRACT(CELL("address",'Raw Data'!H108),"\$([A-Z]+)\$[0-9]+"),"")</f>
        <v>$H$108</v>
      </c>
      <c r="I108" t="str" cm="1">
        <f t="array" aca="1" ref="I108" ca="1">IF('Raw Data'!I108="",_xlfn.REGEXEXTRACT(CELL("address",'Raw Data'!I108),"\$([A-Z]+)\$[0-9]+"),"")</f>
        <v>$I$108</v>
      </c>
    </row>
    <row r="109" spans="2:9" x14ac:dyDescent="0.25">
      <c r="B109" t="str" cm="1">
        <f t="array" aca="1" ref="B109" ca="1">IF('Raw Data'!B109="",_xlfn.REGEXEXTRACT(CELL("address",'Raw Data'!B109),"\$([A-Z]+)\$[0-9]+"),"")</f>
        <v>$B$109</v>
      </c>
      <c r="C109" t="str" cm="1">
        <f t="array" aca="1" ref="C109" ca="1">IF('Raw Data'!C109="",_xlfn.REGEXEXTRACT(CELL("address",'Raw Data'!C109),"\$([A-Z]+)\$[0-9]+"),"")</f>
        <v>$C$109</v>
      </c>
      <c r="D109" t="str" cm="1">
        <f t="array" aca="1" ref="D109" ca="1">IF('Raw Data'!D109="",_xlfn.REGEXEXTRACT(CELL("address",'Raw Data'!D109),"\$([A-Z]+)\$[0-9]+"),"")</f>
        <v>$D$109</v>
      </c>
      <c r="E109" t="str" cm="1">
        <f t="array" aca="1" ref="E109" ca="1">IF('Raw Data'!E109="",_xlfn.REGEXEXTRACT(CELL("address",'Raw Data'!E109),"\$([A-Z]+)\$[0-9]+"),"")</f>
        <v>$E$109</v>
      </c>
      <c r="F109" t="str" cm="1">
        <f t="array" aca="1" ref="F109" ca="1">IF('Raw Data'!F109="",_xlfn.REGEXEXTRACT(CELL("address",'Raw Data'!F109),"\$([A-Z]+)\$[0-9]+"),"")</f>
        <v>$F$109</v>
      </c>
      <c r="G109" t="str" cm="1">
        <f t="array" aca="1" ref="G109" ca="1">IF('Raw Data'!G109="",_xlfn.REGEXEXTRACT(CELL("address",'Raw Data'!G109),"\$([A-Z]+)\$[0-9]+"),"")</f>
        <v>$G$109</v>
      </c>
      <c r="H109" t="str" cm="1">
        <f t="array" aca="1" ref="H109" ca="1">IF('Raw Data'!H109="",_xlfn.REGEXEXTRACT(CELL("address",'Raw Data'!H109),"\$([A-Z]+)\$[0-9]+"),"")</f>
        <v>$H$109</v>
      </c>
      <c r="I109" t="str" cm="1">
        <f t="array" aca="1" ref="I109" ca="1">IF('Raw Data'!I109="",_xlfn.REGEXEXTRACT(CELL("address",'Raw Data'!I109),"\$([A-Z]+)\$[0-9]+"),"")</f>
        <v>$I$109</v>
      </c>
    </row>
    <row r="110" spans="2:9" x14ac:dyDescent="0.25">
      <c r="B110" t="str" cm="1">
        <f t="array" aca="1" ref="B110" ca="1">IF('Raw Data'!B110="",_xlfn.REGEXEXTRACT(CELL("address",'Raw Data'!B110),"\$([A-Z]+)\$[0-9]+"),"")</f>
        <v>$B$110</v>
      </c>
      <c r="C110" t="str" cm="1">
        <f t="array" aca="1" ref="C110" ca="1">IF('Raw Data'!C110="",_xlfn.REGEXEXTRACT(CELL("address",'Raw Data'!C110),"\$([A-Z]+)\$[0-9]+"),"")</f>
        <v>$C$110</v>
      </c>
      <c r="D110" t="str" cm="1">
        <f t="array" aca="1" ref="D110" ca="1">IF('Raw Data'!D110="",_xlfn.REGEXEXTRACT(CELL("address",'Raw Data'!D110),"\$([A-Z]+)\$[0-9]+"),"")</f>
        <v>$D$110</v>
      </c>
      <c r="E110" t="str" cm="1">
        <f t="array" aca="1" ref="E110" ca="1">IF('Raw Data'!E110="",_xlfn.REGEXEXTRACT(CELL("address",'Raw Data'!E110),"\$([A-Z]+)\$[0-9]+"),"")</f>
        <v>$E$110</v>
      </c>
      <c r="F110" t="str" cm="1">
        <f t="array" aca="1" ref="F110" ca="1">IF('Raw Data'!F110="",_xlfn.REGEXEXTRACT(CELL("address",'Raw Data'!F110),"\$([A-Z]+)\$[0-9]+"),"")</f>
        <v>$F$110</v>
      </c>
      <c r="G110" t="str" cm="1">
        <f t="array" aca="1" ref="G110" ca="1">IF('Raw Data'!G110="",_xlfn.REGEXEXTRACT(CELL("address",'Raw Data'!G110),"\$([A-Z]+)\$[0-9]+"),"")</f>
        <v>$G$110</v>
      </c>
      <c r="H110" t="str" cm="1">
        <f t="array" aca="1" ref="H110" ca="1">IF('Raw Data'!H110="",_xlfn.REGEXEXTRACT(CELL("address",'Raw Data'!H110),"\$([A-Z]+)\$[0-9]+"),"")</f>
        <v>$H$110</v>
      </c>
      <c r="I110" t="str" cm="1">
        <f t="array" aca="1" ref="I110" ca="1">IF('Raw Data'!I110="",_xlfn.REGEXEXTRACT(CELL("address",'Raw Data'!I110),"\$([A-Z]+)\$[0-9]+"),"")</f>
        <v>$I$110</v>
      </c>
    </row>
    <row r="111" spans="2:9" x14ac:dyDescent="0.25">
      <c r="B111" t="str" cm="1">
        <f t="array" aca="1" ref="B111" ca="1">IF('Raw Data'!B111="",_xlfn.REGEXEXTRACT(CELL("address",'Raw Data'!B111),"\$([A-Z]+)\$[0-9]+"),"")</f>
        <v>$B$111</v>
      </c>
      <c r="C111" t="str" cm="1">
        <f t="array" aca="1" ref="C111" ca="1">IF('Raw Data'!C111="",_xlfn.REGEXEXTRACT(CELL("address",'Raw Data'!C111),"\$([A-Z]+)\$[0-9]+"),"")</f>
        <v>$C$111</v>
      </c>
      <c r="D111" t="str" cm="1">
        <f t="array" aca="1" ref="D111" ca="1">IF('Raw Data'!D111="",_xlfn.REGEXEXTRACT(CELL("address",'Raw Data'!D111),"\$([A-Z]+)\$[0-9]+"),"")</f>
        <v>$D$111</v>
      </c>
      <c r="E111" t="str" cm="1">
        <f t="array" aca="1" ref="E111" ca="1">IF('Raw Data'!E111="",_xlfn.REGEXEXTRACT(CELL("address",'Raw Data'!E111),"\$([A-Z]+)\$[0-9]+"),"")</f>
        <v>$E$111</v>
      </c>
      <c r="F111" t="str" cm="1">
        <f t="array" aca="1" ref="F111" ca="1">IF('Raw Data'!F111="",_xlfn.REGEXEXTRACT(CELL("address",'Raw Data'!F111),"\$([A-Z]+)\$[0-9]+"),"")</f>
        <v>$F$111</v>
      </c>
      <c r="G111" t="str" cm="1">
        <f t="array" aca="1" ref="G111" ca="1">IF('Raw Data'!G111="",_xlfn.REGEXEXTRACT(CELL("address",'Raw Data'!G111),"\$([A-Z]+)\$[0-9]+"),"")</f>
        <v>$G$111</v>
      </c>
      <c r="H111" t="str" cm="1">
        <f t="array" aca="1" ref="H111" ca="1">IF('Raw Data'!H111="",_xlfn.REGEXEXTRACT(CELL("address",'Raw Data'!H111),"\$([A-Z]+)\$[0-9]+"),"")</f>
        <v>$H$111</v>
      </c>
      <c r="I111" t="str" cm="1">
        <f t="array" aca="1" ref="I111" ca="1">IF('Raw Data'!I111="",_xlfn.REGEXEXTRACT(CELL("address",'Raw Data'!I111),"\$([A-Z]+)\$[0-9]+"),"")</f>
        <v>$I$111</v>
      </c>
    </row>
    <row r="112" spans="2:9" x14ac:dyDescent="0.25">
      <c r="B112" t="str" cm="1">
        <f t="array" aca="1" ref="B112" ca="1">IF('Raw Data'!B112="",_xlfn.REGEXEXTRACT(CELL("address",'Raw Data'!B112),"\$([A-Z]+)\$[0-9]+"),"")</f>
        <v>$B$112</v>
      </c>
      <c r="C112" t="str" cm="1">
        <f t="array" aca="1" ref="C112" ca="1">IF('Raw Data'!C112="",_xlfn.REGEXEXTRACT(CELL("address",'Raw Data'!C112),"\$([A-Z]+)\$[0-9]+"),"")</f>
        <v>$C$112</v>
      </c>
      <c r="D112" t="str" cm="1">
        <f t="array" aca="1" ref="D112" ca="1">IF('Raw Data'!D112="",_xlfn.REGEXEXTRACT(CELL("address",'Raw Data'!D112),"\$([A-Z]+)\$[0-9]+"),"")</f>
        <v>$D$112</v>
      </c>
      <c r="E112" t="str" cm="1">
        <f t="array" aca="1" ref="E112" ca="1">IF('Raw Data'!E112="",_xlfn.REGEXEXTRACT(CELL("address",'Raw Data'!E112),"\$([A-Z]+)\$[0-9]+"),"")</f>
        <v>$E$112</v>
      </c>
      <c r="F112" t="str" cm="1">
        <f t="array" aca="1" ref="F112" ca="1">IF('Raw Data'!F112="",_xlfn.REGEXEXTRACT(CELL("address",'Raw Data'!F112),"\$([A-Z]+)\$[0-9]+"),"")</f>
        <v>$F$112</v>
      </c>
      <c r="G112" t="str" cm="1">
        <f t="array" aca="1" ref="G112" ca="1">IF('Raw Data'!G112="",_xlfn.REGEXEXTRACT(CELL("address",'Raw Data'!G112),"\$([A-Z]+)\$[0-9]+"),"")</f>
        <v>$G$112</v>
      </c>
      <c r="H112" t="str" cm="1">
        <f t="array" aca="1" ref="H112" ca="1">IF('Raw Data'!H112="",_xlfn.REGEXEXTRACT(CELL("address",'Raw Data'!H112),"\$([A-Z]+)\$[0-9]+"),"")</f>
        <v>$H$112</v>
      </c>
      <c r="I112" t="str" cm="1">
        <f t="array" aca="1" ref="I112" ca="1">IF('Raw Data'!I112="",_xlfn.REGEXEXTRACT(CELL("address",'Raw Data'!I112),"\$([A-Z]+)\$[0-9]+"),"")</f>
        <v>$I$112</v>
      </c>
    </row>
    <row r="113" spans="2:9" x14ac:dyDescent="0.25">
      <c r="B113" t="str" cm="1">
        <f t="array" aca="1" ref="B113" ca="1">IF('Raw Data'!B113="",_xlfn.REGEXEXTRACT(CELL("address",'Raw Data'!B113),"\$([A-Z]+)\$[0-9]+"),"")</f>
        <v>$B$113</v>
      </c>
      <c r="C113" t="str" cm="1">
        <f t="array" aca="1" ref="C113" ca="1">IF('Raw Data'!C113="",_xlfn.REGEXEXTRACT(CELL("address",'Raw Data'!C113),"\$([A-Z]+)\$[0-9]+"),"")</f>
        <v>$C$113</v>
      </c>
      <c r="D113" t="str" cm="1">
        <f t="array" aca="1" ref="D113" ca="1">IF('Raw Data'!D113="",_xlfn.REGEXEXTRACT(CELL("address",'Raw Data'!D113),"\$([A-Z]+)\$[0-9]+"),"")</f>
        <v>$D$113</v>
      </c>
      <c r="E113" t="str" cm="1">
        <f t="array" aca="1" ref="E113" ca="1">IF('Raw Data'!E113="",_xlfn.REGEXEXTRACT(CELL("address",'Raw Data'!E113),"\$([A-Z]+)\$[0-9]+"),"")</f>
        <v>$E$113</v>
      </c>
      <c r="F113" t="str" cm="1">
        <f t="array" aca="1" ref="F113" ca="1">IF('Raw Data'!F113="",_xlfn.REGEXEXTRACT(CELL("address",'Raw Data'!F113),"\$([A-Z]+)\$[0-9]+"),"")</f>
        <v>$F$113</v>
      </c>
      <c r="G113" t="str" cm="1">
        <f t="array" aca="1" ref="G113" ca="1">IF('Raw Data'!G113="",_xlfn.REGEXEXTRACT(CELL("address",'Raw Data'!G113),"\$([A-Z]+)\$[0-9]+"),"")</f>
        <v>$G$113</v>
      </c>
      <c r="H113" t="str" cm="1">
        <f t="array" aca="1" ref="H113" ca="1">IF('Raw Data'!H113="",_xlfn.REGEXEXTRACT(CELL("address",'Raw Data'!H113),"\$([A-Z]+)\$[0-9]+"),"")</f>
        <v>$H$113</v>
      </c>
      <c r="I113" t="str" cm="1">
        <f t="array" aca="1" ref="I113" ca="1">IF('Raw Data'!I113="",_xlfn.REGEXEXTRACT(CELL("address",'Raw Data'!I113),"\$([A-Z]+)\$[0-9]+"),"")</f>
        <v>$I$113</v>
      </c>
    </row>
    <row r="114" spans="2:9" x14ac:dyDescent="0.25">
      <c r="B114" t="str" cm="1">
        <f t="array" aca="1" ref="B114" ca="1">IF('Raw Data'!B114="",_xlfn.REGEXEXTRACT(CELL("address",'Raw Data'!B114),"\$([A-Z]+)\$[0-9]+"),"")</f>
        <v>$B$114</v>
      </c>
      <c r="C114" t="str" cm="1">
        <f t="array" aca="1" ref="C114" ca="1">IF('Raw Data'!C114="",_xlfn.REGEXEXTRACT(CELL("address",'Raw Data'!C114),"\$([A-Z]+)\$[0-9]+"),"")</f>
        <v>$C$114</v>
      </c>
      <c r="D114" t="str" cm="1">
        <f t="array" aca="1" ref="D114" ca="1">IF('Raw Data'!D114="",_xlfn.REGEXEXTRACT(CELL("address",'Raw Data'!D114),"\$([A-Z]+)\$[0-9]+"),"")</f>
        <v>$D$114</v>
      </c>
      <c r="E114" t="str" cm="1">
        <f t="array" aca="1" ref="E114" ca="1">IF('Raw Data'!E114="",_xlfn.REGEXEXTRACT(CELL("address",'Raw Data'!E114),"\$([A-Z]+)\$[0-9]+"),"")</f>
        <v>$E$114</v>
      </c>
      <c r="F114" t="str" cm="1">
        <f t="array" aca="1" ref="F114" ca="1">IF('Raw Data'!F114="",_xlfn.REGEXEXTRACT(CELL("address",'Raw Data'!F114),"\$([A-Z]+)\$[0-9]+"),"")</f>
        <v>$F$114</v>
      </c>
      <c r="G114" t="str" cm="1">
        <f t="array" aca="1" ref="G114" ca="1">IF('Raw Data'!G114="",_xlfn.REGEXEXTRACT(CELL("address",'Raw Data'!G114),"\$([A-Z]+)\$[0-9]+"),"")</f>
        <v>$G$114</v>
      </c>
      <c r="H114" t="str" cm="1">
        <f t="array" aca="1" ref="H114" ca="1">IF('Raw Data'!H114="",_xlfn.REGEXEXTRACT(CELL("address",'Raw Data'!H114),"\$([A-Z]+)\$[0-9]+"),"")</f>
        <v>$H$114</v>
      </c>
      <c r="I114" t="str" cm="1">
        <f t="array" aca="1" ref="I114" ca="1">IF('Raw Data'!I114="",_xlfn.REGEXEXTRACT(CELL("address",'Raw Data'!I114),"\$([A-Z]+)\$[0-9]+"),"")</f>
        <v>$I$114</v>
      </c>
    </row>
    <row r="115" spans="2:9" x14ac:dyDescent="0.25">
      <c r="B115" t="str" cm="1">
        <f t="array" aca="1" ref="B115" ca="1">IF('Raw Data'!B115="",_xlfn.REGEXEXTRACT(CELL("address",'Raw Data'!B115),"\$([A-Z]+)\$[0-9]+"),"")</f>
        <v>$B$115</v>
      </c>
      <c r="C115" t="str" cm="1">
        <f t="array" aca="1" ref="C115" ca="1">IF('Raw Data'!C115="",_xlfn.REGEXEXTRACT(CELL("address",'Raw Data'!C115),"\$([A-Z]+)\$[0-9]+"),"")</f>
        <v>$C$115</v>
      </c>
      <c r="D115" t="str" cm="1">
        <f t="array" aca="1" ref="D115" ca="1">IF('Raw Data'!D115="",_xlfn.REGEXEXTRACT(CELL("address",'Raw Data'!D115),"\$([A-Z]+)\$[0-9]+"),"")</f>
        <v>$D$115</v>
      </c>
      <c r="E115" t="str" cm="1">
        <f t="array" aca="1" ref="E115" ca="1">IF('Raw Data'!E115="",_xlfn.REGEXEXTRACT(CELL("address",'Raw Data'!E115),"\$([A-Z]+)\$[0-9]+"),"")</f>
        <v>$E$115</v>
      </c>
      <c r="F115" t="str" cm="1">
        <f t="array" aca="1" ref="F115" ca="1">IF('Raw Data'!F115="",_xlfn.REGEXEXTRACT(CELL("address",'Raw Data'!F115),"\$([A-Z]+)\$[0-9]+"),"")</f>
        <v>$F$115</v>
      </c>
      <c r="G115" t="str" cm="1">
        <f t="array" aca="1" ref="G115" ca="1">IF('Raw Data'!G115="",_xlfn.REGEXEXTRACT(CELL("address",'Raw Data'!G115),"\$([A-Z]+)\$[0-9]+"),"")</f>
        <v>$G$115</v>
      </c>
      <c r="H115" t="str" cm="1">
        <f t="array" aca="1" ref="H115" ca="1">IF('Raw Data'!H115="",_xlfn.REGEXEXTRACT(CELL("address",'Raw Data'!H115),"\$([A-Z]+)\$[0-9]+"),"")</f>
        <v>$H$115</v>
      </c>
      <c r="I115" t="str" cm="1">
        <f t="array" aca="1" ref="I115" ca="1">IF('Raw Data'!I115="",_xlfn.REGEXEXTRACT(CELL("address",'Raw Data'!I115),"\$([A-Z]+)\$[0-9]+"),"")</f>
        <v>$I$115</v>
      </c>
    </row>
    <row r="116" spans="2:9" x14ac:dyDescent="0.25">
      <c r="B116" t="str" cm="1">
        <f t="array" aca="1" ref="B116" ca="1">IF('Raw Data'!B116="",_xlfn.REGEXEXTRACT(CELL("address",'Raw Data'!B116),"\$([A-Z]+)\$[0-9]+"),"")</f>
        <v>$B$116</v>
      </c>
      <c r="C116" t="str" cm="1">
        <f t="array" aca="1" ref="C116" ca="1">IF('Raw Data'!C116="",_xlfn.REGEXEXTRACT(CELL("address",'Raw Data'!C116),"\$([A-Z]+)\$[0-9]+"),"")</f>
        <v>$C$116</v>
      </c>
      <c r="D116" t="str" cm="1">
        <f t="array" aca="1" ref="D116" ca="1">IF('Raw Data'!D116="",_xlfn.REGEXEXTRACT(CELL("address",'Raw Data'!D116),"\$([A-Z]+)\$[0-9]+"),"")</f>
        <v>$D$116</v>
      </c>
      <c r="E116" t="str" cm="1">
        <f t="array" aca="1" ref="E116" ca="1">IF('Raw Data'!E116="",_xlfn.REGEXEXTRACT(CELL("address",'Raw Data'!E116),"\$([A-Z]+)\$[0-9]+"),"")</f>
        <v>$E$116</v>
      </c>
      <c r="F116" t="str" cm="1">
        <f t="array" aca="1" ref="F116" ca="1">IF('Raw Data'!F116="",_xlfn.REGEXEXTRACT(CELL("address",'Raw Data'!F116),"\$([A-Z]+)\$[0-9]+"),"")</f>
        <v>$F$116</v>
      </c>
      <c r="G116" t="str" cm="1">
        <f t="array" aca="1" ref="G116" ca="1">IF('Raw Data'!G116="",_xlfn.REGEXEXTRACT(CELL("address",'Raw Data'!G116),"\$([A-Z]+)\$[0-9]+"),"")</f>
        <v>$G$116</v>
      </c>
      <c r="H116" t="str" cm="1">
        <f t="array" aca="1" ref="H116" ca="1">IF('Raw Data'!H116="",_xlfn.REGEXEXTRACT(CELL("address",'Raw Data'!H116),"\$([A-Z]+)\$[0-9]+"),"")</f>
        <v>$H$116</v>
      </c>
      <c r="I116" t="str" cm="1">
        <f t="array" aca="1" ref="I116" ca="1">IF('Raw Data'!I116="",_xlfn.REGEXEXTRACT(CELL("address",'Raw Data'!I116),"\$([A-Z]+)\$[0-9]+"),"")</f>
        <v>$I$116</v>
      </c>
    </row>
    <row r="117" spans="2:9" x14ac:dyDescent="0.25">
      <c r="B117" t="str" cm="1">
        <f t="array" aca="1" ref="B117" ca="1">IF('Raw Data'!B117="",_xlfn.REGEXEXTRACT(CELL("address",'Raw Data'!B117),"\$([A-Z]+)\$[0-9]+"),"")</f>
        <v>$B$117</v>
      </c>
      <c r="C117" t="str" cm="1">
        <f t="array" aca="1" ref="C117" ca="1">IF('Raw Data'!C117="",_xlfn.REGEXEXTRACT(CELL("address",'Raw Data'!C117),"\$([A-Z]+)\$[0-9]+"),"")</f>
        <v>$C$117</v>
      </c>
      <c r="D117" t="str" cm="1">
        <f t="array" aca="1" ref="D117" ca="1">IF('Raw Data'!D117="",_xlfn.REGEXEXTRACT(CELL("address",'Raw Data'!D117),"\$([A-Z]+)\$[0-9]+"),"")</f>
        <v>$D$117</v>
      </c>
      <c r="E117" t="str" cm="1">
        <f t="array" aca="1" ref="E117" ca="1">IF('Raw Data'!E117="",_xlfn.REGEXEXTRACT(CELL("address",'Raw Data'!E117),"\$([A-Z]+)\$[0-9]+"),"")</f>
        <v>$E$117</v>
      </c>
      <c r="F117" t="str" cm="1">
        <f t="array" aca="1" ref="F117" ca="1">IF('Raw Data'!F117="",_xlfn.REGEXEXTRACT(CELL("address",'Raw Data'!F117),"\$([A-Z]+)\$[0-9]+"),"")</f>
        <v>$F$117</v>
      </c>
      <c r="G117" t="str" cm="1">
        <f t="array" aca="1" ref="G117" ca="1">IF('Raw Data'!G117="",_xlfn.REGEXEXTRACT(CELL("address",'Raw Data'!G117),"\$([A-Z]+)\$[0-9]+"),"")</f>
        <v>$G$117</v>
      </c>
      <c r="H117" t="str" cm="1">
        <f t="array" aca="1" ref="H117" ca="1">IF('Raw Data'!H117="",_xlfn.REGEXEXTRACT(CELL("address",'Raw Data'!H117),"\$([A-Z]+)\$[0-9]+"),"")</f>
        <v>$H$117</v>
      </c>
      <c r="I117" t="str" cm="1">
        <f t="array" aca="1" ref="I117" ca="1">IF('Raw Data'!I117="",_xlfn.REGEXEXTRACT(CELL("address",'Raw Data'!I117),"\$([A-Z]+)\$[0-9]+"),"")</f>
        <v>$I$117</v>
      </c>
    </row>
    <row r="118" spans="2:9" x14ac:dyDescent="0.25">
      <c r="B118" t="str" cm="1">
        <f t="array" aca="1" ref="B118" ca="1">IF('Raw Data'!B118="",_xlfn.REGEXEXTRACT(CELL("address",'Raw Data'!B118),"\$([A-Z]+)\$[0-9]+"),"")</f>
        <v>$B$118</v>
      </c>
      <c r="C118" t="str" cm="1">
        <f t="array" aca="1" ref="C118" ca="1">IF('Raw Data'!C118="",_xlfn.REGEXEXTRACT(CELL("address",'Raw Data'!C118),"\$([A-Z]+)\$[0-9]+"),"")</f>
        <v>$C$118</v>
      </c>
      <c r="D118" t="str" cm="1">
        <f t="array" aca="1" ref="D118" ca="1">IF('Raw Data'!D118="",_xlfn.REGEXEXTRACT(CELL("address",'Raw Data'!D118),"\$([A-Z]+)\$[0-9]+"),"")</f>
        <v>$D$118</v>
      </c>
      <c r="E118" t="str" cm="1">
        <f t="array" aca="1" ref="E118" ca="1">IF('Raw Data'!E118="",_xlfn.REGEXEXTRACT(CELL("address",'Raw Data'!E118),"\$([A-Z]+)\$[0-9]+"),"")</f>
        <v>$E$118</v>
      </c>
      <c r="F118" t="str" cm="1">
        <f t="array" aca="1" ref="F118" ca="1">IF('Raw Data'!F118="",_xlfn.REGEXEXTRACT(CELL("address",'Raw Data'!F118),"\$([A-Z]+)\$[0-9]+"),"")</f>
        <v>$F$118</v>
      </c>
      <c r="G118" t="str" cm="1">
        <f t="array" aca="1" ref="G118" ca="1">IF('Raw Data'!G118="",_xlfn.REGEXEXTRACT(CELL("address",'Raw Data'!G118),"\$([A-Z]+)\$[0-9]+"),"")</f>
        <v>$G$118</v>
      </c>
      <c r="H118" t="str" cm="1">
        <f t="array" aca="1" ref="H118" ca="1">IF('Raw Data'!H118="",_xlfn.REGEXEXTRACT(CELL("address",'Raw Data'!H118),"\$([A-Z]+)\$[0-9]+"),"")</f>
        <v>$H$118</v>
      </c>
      <c r="I118" t="str" cm="1">
        <f t="array" aca="1" ref="I118" ca="1">IF('Raw Data'!I118="",_xlfn.REGEXEXTRACT(CELL("address",'Raw Data'!I118),"\$([A-Z]+)\$[0-9]+"),"")</f>
        <v>$I$118</v>
      </c>
    </row>
    <row r="119" spans="2:9" x14ac:dyDescent="0.25">
      <c r="B119" t="str" cm="1">
        <f t="array" aca="1" ref="B119" ca="1">IF('Raw Data'!B119="",_xlfn.REGEXEXTRACT(CELL("address",'Raw Data'!B119),"\$([A-Z]+)\$[0-9]+"),"")</f>
        <v>$B$119</v>
      </c>
      <c r="C119" t="str" cm="1">
        <f t="array" aca="1" ref="C119" ca="1">IF('Raw Data'!C119="",_xlfn.REGEXEXTRACT(CELL("address",'Raw Data'!C119),"\$([A-Z]+)\$[0-9]+"),"")</f>
        <v>$C$119</v>
      </c>
      <c r="D119" t="str" cm="1">
        <f t="array" aca="1" ref="D119" ca="1">IF('Raw Data'!D119="",_xlfn.REGEXEXTRACT(CELL("address",'Raw Data'!D119),"\$([A-Z]+)\$[0-9]+"),"")</f>
        <v>$D$119</v>
      </c>
      <c r="E119" t="str" cm="1">
        <f t="array" aca="1" ref="E119" ca="1">IF('Raw Data'!E119="",_xlfn.REGEXEXTRACT(CELL("address",'Raw Data'!E119),"\$([A-Z]+)\$[0-9]+"),"")</f>
        <v>$E$119</v>
      </c>
      <c r="F119" t="str" cm="1">
        <f t="array" aca="1" ref="F119" ca="1">IF('Raw Data'!F119="",_xlfn.REGEXEXTRACT(CELL("address",'Raw Data'!F119),"\$([A-Z]+)\$[0-9]+"),"")</f>
        <v>$F$119</v>
      </c>
      <c r="G119" t="str" cm="1">
        <f t="array" aca="1" ref="G119" ca="1">IF('Raw Data'!G119="",_xlfn.REGEXEXTRACT(CELL("address",'Raw Data'!G119),"\$([A-Z]+)\$[0-9]+"),"")</f>
        <v>$G$119</v>
      </c>
      <c r="H119" t="str" cm="1">
        <f t="array" aca="1" ref="H119" ca="1">IF('Raw Data'!H119="",_xlfn.REGEXEXTRACT(CELL("address",'Raw Data'!H119),"\$([A-Z]+)\$[0-9]+"),"")</f>
        <v>$H$119</v>
      </c>
      <c r="I119" t="str" cm="1">
        <f t="array" aca="1" ref="I119" ca="1">IF('Raw Data'!I119="",_xlfn.REGEXEXTRACT(CELL("address",'Raw Data'!I119),"\$([A-Z]+)\$[0-9]+"),"")</f>
        <v>$I$119</v>
      </c>
    </row>
    <row r="120" spans="2:9" x14ac:dyDescent="0.25">
      <c r="B120" t="str" cm="1">
        <f t="array" aca="1" ref="B120" ca="1">IF('Raw Data'!B120="",_xlfn.REGEXEXTRACT(CELL("address",'Raw Data'!B120),"\$([A-Z]+)\$[0-9]+"),"")</f>
        <v>$B$120</v>
      </c>
      <c r="C120" t="str" cm="1">
        <f t="array" aca="1" ref="C120" ca="1">IF('Raw Data'!C120="",_xlfn.REGEXEXTRACT(CELL("address",'Raw Data'!C120),"\$([A-Z]+)\$[0-9]+"),"")</f>
        <v>$C$120</v>
      </c>
      <c r="D120" t="str" cm="1">
        <f t="array" aca="1" ref="D120" ca="1">IF('Raw Data'!D120="",_xlfn.REGEXEXTRACT(CELL("address",'Raw Data'!D120),"\$([A-Z]+)\$[0-9]+"),"")</f>
        <v>$D$120</v>
      </c>
      <c r="E120" t="str" cm="1">
        <f t="array" aca="1" ref="E120" ca="1">IF('Raw Data'!E120="",_xlfn.REGEXEXTRACT(CELL("address",'Raw Data'!E120),"\$([A-Z]+)\$[0-9]+"),"")</f>
        <v>$E$120</v>
      </c>
      <c r="F120" t="str" cm="1">
        <f t="array" aca="1" ref="F120" ca="1">IF('Raw Data'!F120="",_xlfn.REGEXEXTRACT(CELL("address",'Raw Data'!F120),"\$([A-Z]+)\$[0-9]+"),"")</f>
        <v>$F$120</v>
      </c>
      <c r="G120" t="str" cm="1">
        <f t="array" aca="1" ref="G120" ca="1">IF('Raw Data'!G120="",_xlfn.REGEXEXTRACT(CELL("address",'Raw Data'!G120),"\$([A-Z]+)\$[0-9]+"),"")</f>
        <v>$G$120</v>
      </c>
      <c r="H120" t="str" cm="1">
        <f t="array" aca="1" ref="H120" ca="1">IF('Raw Data'!H120="",_xlfn.REGEXEXTRACT(CELL("address",'Raw Data'!H120),"\$([A-Z]+)\$[0-9]+"),"")</f>
        <v>$H$120</v>
      </c>
      <c r="I120" t="str" cm="1">
        <f t="array" aca="1" ref="I120" ca="1">IF('Raw Data'!I120="",_xlfn.REGEXEXTRACT(CELL("address",'Raw Data'!I120),"\$([A-Z]+)\$[0-9]+"),"")</f>
        <v>$I$120</v>
      </c>
    </row>
    <row r="121" spans="2:9" x14ac:dyDescent="0.25">
      <c r="B121" t="str" cm="1">
        <f t="array" aca="1" ref="B121" ca="1">IF('Raw Data'!B121="",_xlfn.REGEXEXTRACT(CELL("address",'Raw Data'!B121),"\$([A-Z]+)\$[0-9]+"),"")</f>
        <v>$B$121</v>
      </c>
      <c r="C121" t="str" cm="1">
        <f t="array" aca="1" ref="C121" ca="1">IF('Raw Data'!C121="",_xlfn.REGEXEXTRACT(CELL("address",'Raw Data'!C121),"\$([A-Z]+)\$[0-9]+"),"")</f>
        <v>$C$121</v>
      </c>
      <c r="D121" t="str" cm="1">
        <f t="array" aca="1" ref="D121" ca="1">IF('Raw Data'!D121="",_xlfn.REGEXEXTRACT(CELL("address",'Raw Data'!D121),"\$([A-Z]+)\$[0-9]+"),"")</f>
        <v>$D$121</v>
      </c>
      <c r="E121" t="str" cm="1">
        <f t="array" aca="1" ref="E121" ca="1">IF('Raw Data'!E121="",_xlfn.REGEXEXTRACT(CELL("address",'Raw Data'!E121),"\$([A-Z]+)\$[0-9]+"),"")</f>
        <v>$E$121</v>
      </c>
      <c r="F121" t="str" cm="1">
        <f t="array" aca="1" ref="F121" ca="1">IF('Raw Data'!F121="",_xlfn.REGEXEXTRACT(CELL("address",'Raw Data'!F121),"\$([A-Z]+)\$[0-9]+"),"")</f>
        <v>$F$121</v>
      </c>
      <c r="G121" t="str" cm="1">
        <f t="array" aca="1" ref="G121" ca="1">IF('Raw Data'!G121="",_xlfn.REGEXEXTRACT(CELL("address",'Raw Data'!G121),"\$([A-Z]+)\$[0-9]+"),"")</f>
        <v>$G$121</v>
      </c>
      <c r="H121" t="str" cm="1">
        <f t="array" aca="1" ref="H121" ca="1">IF('Raw Data'!H121="",_xlfn.REGEXEXTRACT(CELL("address",'Raw Data'!H121),"\$([A-Z]+)\$[0-9]+"),"")</f>
        <v>$H$121</v>
      </c>
      <c r="I121" t="str" cm="1">
        <f t="array" aca="1" ref="I121" ca="1">IF('Raw Data'!I121="",_xlfn.REGEXEXTRACT(CELL("address",'Raw Data'!I121),"\$([A-Z]+)\$[0-9]+"),"")</f>
        <v>$I$121</v>
      </c>
    </row>
    <row r="122" spans="2:9" x14ac:dyDescent="0.25">
      <c r="B122" t="str" cm="1">
        <f t="array" aca="1" ref="B122" ca="1">IF('Raw Data'!B122="",_xlfn.REGEXEXTRACT(CELL("address",'Raw Data'!B122),"\$([A-Z]+)\$[0-9]+"),"")</f>
        <v>$B$122</v>
      </c>
      <c r="C122" t="str" cm="1">
        <f t="array" aca="1" ref="C122" ca="1">IF('Raw Data'!C122="",_xlfn.REGEXEXTRACT(CELL("address",'Raw Data'!C122),"\$([A-Z]+)\$[0-9]+"),"")</f>
        <v>$C$122</v>
      </c>
      <c r="D122" t="str" cm="1">
        <f t="array" aca="1" ref="D122" ca="1">IF('Raw Data'!D122="",_xlfn.REGEXEXTRACT(CELL("address",'Raw Data'!D122),"\$([A-Z]+)\$[0-9]+"),"")</f>
        <v>$D$122</v>
      </c>
      <c r="E122" t="str" cm="1">
        <f t="array" aca="1" ref="E122" ca="1">IF('Raw Data'!E122="",_xlfn.REGEXEXTRACT(CELL("address",'Raw Data'!E122),"\$([A-Z]+)\$[0-9]+"),"")</f>
        <v>$E$122</v>
      </c>
      <c r="F122" t="str" cm="1">
        <f t="array" aca="1" ref="F122" ca="1">IF('Raw Data'!F122="",_xlfn.REGEXEXTRACT(CELL("address",'Raw Data'!F122),"\$([A-Z]+)\$[0-9]+"),"")</f>
        <v>$F$122</v>
      </c>
      <c r="G122" t="str" cm="1">
        <f t="array" aca="1" ref="G122" ca="1">IF('Raw Data'!G122="",_xlfn.REGEXEXTRACT(CELL("address",'Raw Data'!G122),"\$([A-Z]+)\$[0-9]+"),"")</f>
        <v>$G$122</v>
      </c>
      <c r="H122" t="str" cm="1">
        <f t="array" aca="1" ref="H122" ca="1">IF('Raw Data'!H122="",_xlfn.REGEXEXTRACT(CELL("address",'Raw Data'!H122),"\$([A-Z]+)\$[0-9]+"),"")</f>
        <v>$H$122</v>
      </c>
      <c r="I122" t="str" cm="1">
        <f t="array" aca="1" ref="I122" ca="1">IF('Raw Data'!I122="",_xlfn.REGEXEXTRACT(CELL("address",'Raw Data'!I122),"\$([A-Z]+)\$[0-9]+"),"")</f>
        <v>$I$122</v>
      </c>
    </row>
    <row r="123" spans="2:9" x14ac:dyDescent="0.25">
      <c r="B123" t="str" cm="1">
        <f t="array" aca="1" ref="B123" ca="1">IF('Raw Data'!B123="",_xlfn.REGEXEXTRACT(CELL("address",'Raw Data'!B123),"\$([A-Z]+)\$[0-9]+"),"")</f>
        <v>$B$123</v>
      </c>
      <c r="C123" t="str" cm="1">
        <f t="array" aca="1" ref="C123" ca="1">IF('Raw Data'!C123="",_xlfn.REGEXEXTRACT(CELL("address",'Raw Data'!C123),"\$([A-Z]+)\$[0-9]+"),"")</f>
        <v>$C$123</v>
      </c>
      <c r="D123" t="str" cm="1">
        <f t="array" aca="1" ref="D123" ca="1">IF('Raw Data'!D123="",_xlfn.REGEXEXTRACT(CELL("address",'Raw Data'!D123),"\$([A-Z]+)\$[0-9]+"),"")</f>
        <v>$D$123</v>
      </c>
      <c r="E123" t="str" cm="1">
        <f t="array" aca="1" ref="E123" ca="1">IF('Raw Data'!E123="",_xlfn.REGEXEXTRACT(CELL("address",'Raw Data'!E123),"\$([A-Z]+)\$[0-9]+"),"")</f>
        <v>$E$123</v>
      </c>
      <c r="F123" t="str" cm="1">
        <f t="array" aca="1" ref="F123" ca="1">IF('Raw Data'!F123="",_xlfn.REGEXEXTRACT(CELL("address",'Raw Data'!F123),"\$([A-Z]+)\$[0-9]+"),"")</f>
        <v>$F$123</v>
      </c>
      <c r="G123" t="str" cm="1">
        <f t="array" aca="1" ref="G123" ca="1">IF('Raw Data'!G123="",_xlfn.REGEXEXTRACT(CELL("address",'Raw Data'!G123),"\$([A-Z]+)\$[0-9]+"),"")</f>
        <v>$G$123</v>
      </c>
      <c r="H123" t="str" cm="1">
        <f t="array" aca="1" ref="H123" ca="1">IF('Raw Data'!H123="",_xlfn.REGEXEXTRACT(CELL("address",'Raw Data'!H123),"\$([A-Z]+)\$[0-9]+"),"")</f>
        <v>$H$123</v>
      </c>
      <c r="I123" t="str" cm="1">
        <f t="array" aca="1" ref="I123" ca="1">IF('Raw Data'!I123="",_xlfn.REGEXEXTRACT(CELL("address",'Raw Data'!I123),"\$([A-Z]+)\$[0-9]+"),"")</f>
        <v>$I$123</v>
      </c>
    </row>
    <row r="124" spans="2:9" x14ac:dyDescent="0.25">
      <c r="B124" t="str" cm="1">
        <f t="array" aca="1" ref="B124" ca="1">IF('Raw Data'!B124="",_xlfn.REGEXEXTRACT(CELL("address",'Raw Data'!B124),"\$([A-Z]+)\$[0-9]+"),"")</f>
        <v>$B$124</v>
      </c>
      <c r="C124" t="str" cm="1">
        <f t="array" aca="1" ref="C124" ca="1">IF('Raw Data'!C124="",_xlfn.REGEXEXTRACT(CELL("address",'Raw Data'!C124),"\$([A-Z]+)\$[0-9]+"),"")</f>
        <v>$C$124</v>
      </c>
      <c r="D124" t="str" cm="1">
        <f t="array" aca="1" ref="D124" ca="1">IF('Raw Data'!D124="",_xlfn.REGEXEXTRACT(CELL("address",'Raw Data'!D124),"\$([A-Z]+)\$[0-9]+"),"")</f>
        <v>$D$124</v>
      </c>
      <c r="E124" t="str" cm="1">
        <f t="array" aca="1" ref="E124" ca="1">IF('Raw Data'!E124="",_xlfn.REGEXEXTRACT(CELL("address",'Raw Data'!E124),"\$([A-Z]+)\$[0-9]+"),"")</f>
        <v>$E$124</v>
      </c>
      <c r="F124" t="str" cm="1">
        <f t="array" aca="1" ref="F124" ca="1">IF('Raw Data'!F124="",_xlfn.REGEXEXTRACT(CELL("address",'Raw Data'!F124),"\$([A-Z]+)\$[0-9]+"),"")</f>
        <v>$F$124</v>
      </c>
      <c r="G124" t="str" cm="1">
        <f t="array" aca="1" ref="G124" ca="1">IF('Raw Data'!G124="",_xlfn.REGEXEXTRACT(CELL("address",'Raw Data'!G124),"\$([A-Z]+)\$[0-9]+"),"")</f>
        <v>$G$124</v>
      </c>
      <c r="H124" t="str" cm="1">
        <f t="array" aca="1" ref="H124" ca="1">IF('Raw Data'!H124="",_xlfn.REGEXEXTRACT(CELL("address",'Raw Data'!H124),"\$([A-Z]+)\$[0-9]+"),"")</f>
        <v>$H$124</v>
      </c>
      <c r="I124" t="str" cm="1">
        <f t="array" aca="1" ref="I124" ca="1">IF('Raw Data'!I124="",_xlfn.REGEXEXTRACT(CELL("address",'Raw Data'!I124),"\$([A-Z]+)\$[0-9]+"),"")</f>
        <v>$I$124</v>
      </c>
    </row>
    <row r="125" spans="2:9" x14ac:dyDescent="0.25">
      <c r="B125" t="str" cm="1">
        <f t="array" aca="1" ref="B125" ca="1">IF('Raw Data'!B125="",_xlfn.REGEXEXTRACT(CELL("address",'Raw Data'!B125),"\$([A-Z]+)\$[0-9]+"),"")</f>
        <v>$B$125</v>
      </c>
      <c r="C125" t="str" cm="1">
        <f t="array" aca="1" ref="C125" ca="1">IF('Raw Data'!C125="",_xlfn.REGEXEXTRACT(CELL("address",'Raw Data'!C125),"\$([A-Z]+)\$[0-9]+"),"")</f>
        <v>$C$125</v>
      </c>
      <c r="D125" t="str" cm="1">
        <f t="array" aca="1" ref="D125" ca="1">IF('Raw Data'!D125="",_xlfn.REGEXEXTRACT(CELL("address",'Raw Data'!D125),"\$([A-Z]+)\$[0-9]+"),"")</f>
        <v>$D$125</v>
      </c>
      <c r="E125" t="str" cm="1">
        <f t="array" aca="1" ref="E125" ca="1">IF('Raw Data'!E125="",_xlfn.REGEXEXTRACT(CELL("address",'Raw Data'!E125),"\$([A-Z]+)\$[0-9]+"),"")</f>
        <v>$E$125</v>
      </c>
      <c r="F125" t="str" cm="1">
        <f t="array" aca="1" ref="F125" ca="1">IF('Raw Data'!F125="",_xlfn.REGEXEXTRACT(CELL("address",'Raw Data'!F125),"\$([A-Z]+)\$[0-9]+"),"")</f>
        <v>$F$125</v>
      </c>
      <c r="G125" t="str" cm="1">
        <f t="array" aca="1" ref="G125" ca="1">IF('Raw Data'!G125="",_xlfn.REGEXEXTRACT(CELL("address",'Raw Data'!G125),"\$([A-Z]+)\$[0-9]+"),"")</f>
        <v>$G$125</v>
      </c>
      <c r="H125" t="str" cm="1">
        <f t="array" aca="1" ref="H125" ca="1">IF('Raw Data'!H125="",_xlfn.REGEXEXTRACT(CELL("address",'Raw Data'!H125),"\$([A-Z]+)\$[0-9]+"),"")</f>
        <v>$H$125</v>
      </c>
      <c r="I125" t="str" cm="1">
        <f t="array" aca="1" ref="I125" ca="1">IF('Raw Data'!I125="",_xlfn.REGEXEXTRACT(CELL("address",'Raw Data'!I125),"\$([A-Z]+)\$[0-9]+"),"")</f>
        <v>$I$125</v>
      </c>
    </row>
    <row r="126" spans="2:9" x14ac:dyDescent="0.25">
      <c r="B126" t="str" cm="1">
        <f t="array" aca="1" ref="B126" ca="1">IF('Raw Data'!B126="",_xlfn.REGEXEXTRACT(CELL("address",'Raw Data'!B126),"\$([A-Z]+)\$[0-9]+"),"")</f>
        <v>$B$126</v>
      </c>
      <c r="C126" t="str" cm="1">
        <f t="array" aca="1" ref="C126" ca="1">IF('Raw Data'!C126="",_xlfn.REGEXEXTRACT(CELL("address",'Raw Data'!C126),"\$([A-Z]+)\$[0-9]+"),"")</f>
        <v>$C$126</v>
      </c>
      <c r="D126" t="str" cm="1">
        <f t="array" aca="1" ref="D126" ca="1">IF('Raw Data'!D126="",_xlfn.REGEXEXTRACT(CELL("address",'Raw Data'!D126),"\$([A-Z]+)\$[0-9]+"),"")</f>
        <v>$D$126</v>
      </c>
      <c r="E126" t="str" cm="1">
        <f t="array" aca="1" ref="E126" ca="1">IF('Raw Data'!E126="",_xlfn.REGEXEXTRACT(CELL("address",'Raw Data'!E126),"\$([A-Z]+)\$[0-9]+"),"")</f>
        <v>$E$126</v>
      </c>
      <c r="F126" t="str" cm="1">
        <f t="array" aca="1" ref="F126" ca="1">IF('Raw Data'!F126="",_xlfn.REGEXEXTRACT(CELL("address",'Raw Data'!F126),"\$([A-Z]+)\$[0-9]+"),"")</f>
        <v>$F$126</v>
      </c>
      <c r="G126" t="str" cm="1">
        <f t="array" aca="1" ref="G126" ca="1">IF('Raw Data'!G126="",_xlfn.REGEXEXTRACT(CELL("address",'Raw Data'!G126),"\$([A-Z]+)\$[0-9]+"),"")</f>
        <v>$G$126</v>
      </c>
      <c r="H126" t="str" cm="1">
        <f t="array" aca="1" ref="H126" ca="1">IF('Raw Data'!H126="",_xlfn.REGEXEXTRACT(CELL("address",'Raw Data'!H126),"\$([A-Z]+)\$[0-9]+"),"")</f>
        <v>$H$126</v>
      </c>
      <c r="I126" t="str" cm="1">
        <f t="array" aca="1" ref="I126" ca="1">IF('Raw Data'!I126="",_xlfn.REGEXEXTRACT(CELL("address",'Raw Data'!I126),"\$([A-Z]+)\$[0-9]+"),"")</f>
        <v>$I$126</v>
      </c>
    </row>
    <row r="127" spans="2:9" x14ac:dyDescent="0.25">
      <c r="B127" t="str" cm="1">
        <f t="array" aca="1" ref="B127" ca="1">IF('Raw Data'!B127="",_xlfn.REGEXEXTRACT(CELL("address",'Raw Data'!B127),"\$([A-Z]+)\$[0-9]+"),"")</f>
        <v>$B$127</v>
      </c>
      <c r="C127" t="str" cm="1">
        <f t="array" aca="1" ref="C127" ca="1">IF('Raw Data'!C127="",_xlfn.REGEXEXTRACT(CELL("address",'Raw Data'!C127),"\$([A-Z]+)\$[0-9]+"),"")</f>
        <v>$C$127</v>
      </c>
      <c r="D127" t="str" cm="1">
        <f t="array" aca="1" ref="D127" ca="1">IF('Raw Data'!D127="",_xlfn.REGEXEXTRACT(CELL("address",'Raw Data'!D127),"\$([A-Z]+)\$[0-9]+"),"")</f>
        <v>$D$127</v>
      </c>
      <c r="E127" t="str" cm="1">
        <f t="array" aca="1" ref="E127" ca="1">IF('Raw Data'!E127="",_xlfn.REGEXEXTRACT(CELL("address",'Raw Data'!E127),"\$([A-Z]+)\$[0-9]+"),"")</f>
        <v>$E$127</v>
      </c>
      <c r="F127" t="str" cm="1">
        <f t="array" aca="1" ref="F127" ca="1">IF('Raw Data'!F127="",_xlfn.REGEXEXTRACT(CELL("address",'Raw Data'!F127),"\$([A-Z]+)\$[0-9]+"),"")</f>
        <v>$F$127</v>
      </c>
      <c r="G127" t="str" cm="1">
        <f t="array" aca="1" ref="G127" ca="1">IF('Raw Data'!G127="",_xlfn.REGEXEXTRACT(CELL("address",'Raw Data'!G127),"\$([A-Z]+)\$[0-9]+"),"")</f>
        <v>$G$127</v>
      </c>
      <c r="H127" t="str" cm="1">
        <f t="array" aca="1" ref="H127" ca="1">IF('Raw Data'!H127="",_xlfn.REGEXEXTRACT(CELL("address",'Raw Data'!H127),"\$([A-Z]+)\$[0-9]+"),"")</f>
        <v>$H$127</v>
      </c>
      <c r="I127" t="str" cm="1">
        <f t="array" aca="1" ref="I127" ca="1">IF('Raw Data'!I127="",_xlfn.REGEXEXTRACT(CELL("address",'Raw Data'!I127),"\$([A-Z]+)\$[0-9]+"),"")</f>
        <v>$I$127</v>
      </c>
    </row>
    <row r="128" spans="2:9" x14ac:dyDescent="0.25">
      <c r="B128" t="str" cm="1">
        <f t="array" aca="1" ref="B128" ca="1">IF('Raw Data'!B128="",_xlfn.REGEXEXTRACT(CELL("address",'Raw Data'!B128),"\$([A-Z]+)\$[0-9]+"),"")</f>
        <v>$B$128</v>
      </c>
      <c r="C128" t="str" cm="1">
        <f t="array" aca="1" ref="C128" ca="1">IF('Raw Data'!C128="",_xlfn.REGEXEXTRACT(CELL("address",'Raw Data'!C128),"\$([A-Z]+)\$[0-9]+"),"")</f>
        <v>$C$128</v>
      </c>
      <c r="D128" t="str" cm="1">
        <f t="array" aca="1" ref="D128" ca="1">IF('Raw Data'!D128="",_xlfn.REGEXEXTRACT(CELL("address",'Raw Data'!D128),"\$([A-Z]+)\$[0-9]+"),"")</f>
        <v>$D$128</v>
      </c>
      <c r="E128" t="str" cm="1">
        <f t="array" aca="1" ref="E128" ca="1">IF('Raw Data'!E128="",_xlfn.REGEXEXTRACT(CELL("address",'Raw Data'!E128),"\$([A-Z]+)\$[0-9]+"),"")</f>
        <v>$E$128</v>
      </c>
      <c r="F128" t="str" cm="1">
        <f t="array" aca="1" ref="F128" ca="1">IF('Raw Data'!F128="",_xlfn.REGEXEXTRACT(CELL("address",'Raw Data'!F128),"\$([A-Z]+)\$[0-9]+"),"")</f>
        <v>$F$128</v>
      </c>
      <c r="G128" t="str" cm="1">
        <f t="array" aca="1" ref="G128" ca="1">IF('Raw Data'!G128="",_xlfn.REGEXEXTRACT(CELL("address",'Raw Data'!G128),"\$([A-Z]+)\$[0-9]+"),"")</f>
        <v>$G$128</v>
      </c>
      <c r="H128" t="str" cm="1">
        <f t="array" aca="1" ref="H128" ca="1">IF('Raw Data'!H128="",_xlfn.REGEXEXTRACT(CELL("address",'Raw Data'!H128),"\$([A-Z]+)\$[0-9]+"),"")</f>
        <v>$H$128</v>
      </c>
      <c r="I128" t="str" cm="1">
        <f t="array" aca="1" ref="I128" ca="1">IF('Raw Data'!I128="",_xlfn.REGEXEXTRACT(CELL("address",'Raw Data'!I128),"\$([A-Z]+)\$[0-9]+"),"")</f>
        <v>$I$128</v>
      </c>
    </row>
    <row r="129" spans="2:9" x14ac:dyDescent="0.25">
      <c r="B129" t="str" cm="1">
        <f t="array" aca="1" ref="B129" ca="1">IF('Raw Data'!B129="",_xlfn.REGEXEXTRACT(CELL("address",'Raw Data'!B129),"\$([A-Z]+)\$[0-9]+"),"")</f>
        <v>$B$129</v>
      </c>
      <c r="C129" t="str" cm="1">
        <f t="array" aca="1" ref="C129" ca="1">IF('Raw Data'!C129="",_xlfn.REGEXEXTRACT(CELL("address",'Raw Data'!C129),"\$([A-Z]+)\$[0-9]+"),"")</f>
        <v>$C$129</v>
      </c>
      <c r="D129" t="str" cm="1">
        <f t="array" aca="1" ref="D129" ca="1">IF('Raw Data'!D129="",_xlfn.REGEXEXTRACT(CELL("address",'Raw Data'!D129),"\$([A-Z]+)\$[0-9]+"),"")</f>
        <v>$D$129</v>
      </c>
      <c r="E129" t="str" cm="1">
        <f t="array" aca="1" ref="E129" ca="1">IF('Raw Data'!E129="",_xlfn.REGEXEXTRACT(CELL("address",'Raw Data'!E129),"\$([A-Z]+)\$[0-9]+"),"")</f>
        <v>$E$129</v>
      </c>
      <c r="F129" t="str" cm="1">
        <f t="array" aca="1" ref="F129" ca="1">IF('Raw Data'!F129="",_xlfn.REGEXEXTRACT(CELL("address",'Raw Data'!F129),"\$([A-Z]+)\$[0-9]+"),"")</f>
        <v>$F$129</v>
      </c>
      <c r="G129" t="str" cm="1">
        <f t="array" aca="1" ref="G129" ca="1">IF('Raw Data'!G129="",_xlfn.REGEXEXTRACT(CELL("address",'Raw Data'!G129),"\$([A-Z]+)\$[0-9]+"),"")</f>
        <v>$G$129</v>
      </c>
      <c r="H129" t="str" cm="1">
        <f t="array" aca="1" ref="H129" ca="1">IF('Raw Data'!H129="",_xlfn.REGEXEXTRACT(CELL("address",'Raw Data'!H129),"\$([A-Z]+)\$[0-9]+"),"")</f>
        <v>$H$129</v>
      </c>
      <c r="I129" t="str" cm="1">
        <f t="array" aca="1" ref="I129" ca="1">IF('Raw Data'!I129="",_xlfn.REGEXEXTRACT(CELL("address",'Raw Data'!I129),"\$([A-Z]+)\$[0-9]+"),"")</f>
        <v>$I$129</v>
      </c>
    </row>
    <row r="130" spans="2:9" x14ac:dyDescent="0.25">
      <c r="B130" t="str" cm="1">
        <f t="array" aca="1" ref="B130" ca="1">IF('Raw Data'!B130="",_xlfn.REGEXEXTRACT(CELL("address",'Raw Data'!B130),"\$([A-Z]+)\$[0-9]+"),"")</f>
        <v>$B$130</v>
      </c>
      <c r="C130" t="str" cm="1">
        <f t="array" aca="1" ref="C130" ca="1">IF('Raw Data'!C130="",_xlfn.REGEXEXTRACT(CELL("address",'Raw Data'!C130),"\$([A-Z]+)\$[0-9]+"),"")</f>
        <v>$C$130</v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>$E$130</v>
      </c>
      <c r="F130" t="str" cm="1">
        <f t="array" aca="1" ref="F130" ca="1">IF('Raw Data'!F130="",_xlfn.REGEXEXTRACT(CELL("address",'Raw Data'!F130),"\$([A-Z]+)\$[0-9]+"),"")</f>
        <v>$F$130</v>
      </c>
      <c r="G130" t="str" cm="1">
        <f t="array" aca="1" ref="G130" ca="1">IF('Raw Data'!G130="",_xlfn.REGEXEXTRACT(CELL("address",'Raw Data'!G130),"\$([A-Z]+)\$[0-9]+"),"")</f>
        <v>$G$130</v>
      </c>
      <c r="H130" t="str" cm="1">
        <f t="array" aca="1" ref="H130" ca="1">IF('Raw Data'!H130="",_xlfn.REGEXEXTRACT(CELL("address",'Raw Data'!H130),"\$([A-Z]+)\$[0-9]+"),"")</f>
        <v>$H$130</v>
      </c>
      <c r="I130" t="str" cm="1">
        <f t="array" aca="1" ref="I130" ca="1">IF('Raw Data'!I130="",_xlfn.REGEXEXTRACT(CELL("address",'Raw Data'!I130),"\$([A-Z]+)\$[0-9]+"),"")</f>
        <v>$I$130</v>
      </c>
    </row>
    <row r="131" spans="2:9" x14ac:dyDescent="0.25">
      <c r="B131" t="str" cm="1">
        <f t="array" aca="1" ref="B131" ca="1">IF('Raw Data'!B131="",_xlfn.REGEXEXTRACT(CELL("address",'Raw Data'!B131),"\$([A-Z]+)\$[0-9]+"),"")</f>
        <v>$B$131</v>
      </c>
      <c r="C131" t="str" cm="1">
        <f t="array" aca="1" ref="C131" ca="1">IF('Raw Data'!C131="",_xlfn.REGEXEXTRACT(CELL("address",'Raw Data'!C131),"\$([A-Z]+)\$[0-9]+"),"")</f>
        <v>$C$131</v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>$E$131</v>
      </c>
      <c r="F131" t="str" cm="1">
        <f t="array" aca="1" ref="F131" ca="1">IF('Raw Data'!F131="",_xlfn.REGEXEXTRACT(CELL("address",'Raw Data'!F131),"\$([A-Z]+)\$[0-9]+"),"")</f>
        <v>$F$131</v>
      </c>
      <c r="G131" t="str" cm="1">
        <f t="array" aca="1" ref="G131" ca="1">IF('Raw Data'!G131="",_xlfn.REGEXEXTRACT(CELL("address",'Raw Data'!G131),"\$([A-Z]+)\$[0-9]+"),"")</f>
        <v>$G$131</v>
      </c>
      <c r="H131" t="str" cm="1">
        <f t="array" aca="1" ref="H131" ca="1">IF('Raw Data'!H131="",_xlfn.REGEXEXTRACT(CELL("address",'Raw Data'!H131),"\$([A-Z]+)\$[0-9]+"),"")</f>
        <v>$H$131</v>
      </c>
      <c r="I131" t="str" cm="1">
        <f t="array" aca="1" ref="I131" ca="1">IF('Raw Data'!I131="",_xlfn.REGEXEXTRACT(CELL("address",'Raw Data'!I131),"\$([A-Z]+)\$[0-9]+"),"")</f>
        <v>$I$131</v>
      </c>
    </row>
    <row r="132" spans="2:9" x14ac:dyDescent="0.25">
      <c r="B132" t="str" cm="1">
        <f t="array" aca="1" ref="B132" ca="1">IF('Raw Data'!B132="",_xlfn.REGEXEXTRACT(CELL("address",'Raw Data'!B132),"\$([A-Z]+)\$[0-9]+"),"")</f>
        <v>$B$132</v>
      </c>
      <c r="C132" t="str" cm="1">
        <f t="array" aca="1" ref="C132" ca="1">IF('Raw Data'!C132="",_xlfn.REGEXEXTRACT(CELL("address",'Raw Data'!C132),"\$([A-Z]+)\$[0-9]+"),"")</f>
        <v>$C$132</v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>$E$132</v>
      </c>
      <c r="F132" t="str" cm="1">
        <f t="array" aca="1" ref="F132" ca="1">IF('Raw Data'!F132="",_xlfn.REGEXEXTRACT(CELL("address",'Raw Data'!F132),"\$([A-Z]+)\$[0-9]+"),"")</f>
        <v>$F$132</v>
      </c>
      <c r="G132" t="str" cm="1">
        <f t="array" aca="1" ref="G132" ca="1">IF('Raw Data'!G132="",_xlfn.REGEXEXTRACT(CELL("address",'Raw Data'!G132),"\$([A-Z]+)\$[0-9]+"),"")</f>
        <v>$G$132</v>
      </c>
      <c r="H132" t="str" cm="1">
        <f t="array" aca="1" ref="H132" ca="1">IF('Raw Data'!H132="",_xlfn.REGEXEXTRACT(CELL("address",'Raw Data'!H132),"\$([A-Z]+)\$[0-9]+"),"")</f>
        <v>$H$132</v>
      </c>
      <c r="I132" t="str" cm="1">
        <f t="array" aca="1" ref="I132" ca="1">IF('Raw Data'!I132="",_xlfn.REGEXEXTRACT(CELL("address",'Raw Data'!I132),"\$([A-Z]+)\$[0-9]+"),"")</f>
        <v>$I$132</v>
      </c>
    </row>
    <row r="133" spans="2:9" x14ac:dyDescent="0.25">
      <c r="B133" t="str" cm="1">
        <f t="array" aca="1" ref="B133" ca="1">IF('Raw Data'!B133="",_xlfn.REGEXEXTRACT(CELL("address",'Raw Data'!B133),"\$([A-Z]+)\$[0-9]+"),"")</f>
        <v>$B$133</v>
      </c>
      <c r="C133" t="str" cm="1">
        <f t="array" aca="1" ref="C133" ca="1">IF('Raw Data'!C133="",_xlfn.REGEXEXTRACT(CELL("address",'Raw Data'!C133),"\$([A-Z]+)\$[0-9]+"),"")</f>
        <v>$C$133</v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>$E$133</v>
      </c>
      <c r="F133" t="str" cm="1">
        <f t="array" aca="1" ref="F133" ca="1">IF('Raw Data'!F133="",_xlfn.REGEXEXTRACT(CELL("address",'Raw Data'!F133),"\$([A-Z]+)\$[0-9]+"),"")</f>
        <v>$F$133</v>
      </c>
      <c r="G133" t="str" cm="1">
        <f t="array" aca="1" ref="G133" ca="1">IF('Raw Data'!G133="",_xlfn.REGEXEXTRACT(CELL("address",'Raw Data'!G133),"\$([A-Z]+)\$[0-9]+"),"")</f>
        <v>$G$133</v>
      </c>
      <c r="H133" t="str" cm="1">
        <f t="array" aca="1" ref="H133" ca="1">IF('Raw Data'!H133="",_xlfn.REGEXEXTRACT(CELL("address",'Raw Data'!H133),"\$([A-Z]+)\$[0-9]+"),"")</f>
        <v>$H$133</v>
      </c>
      <c r="I133" t="str" cm="1">
        <f t="array" aca="1" ref="I133" ca="1">IF('Raw Data'!I133="",_xlfn.REGEXEXTRACT(CELL("address",'Raw Data'!I133),"\$([A-Z]+)\$[0-9]+"),"")</f>
        <v>$I$133</v>
      </c>
    </row>
    <row r="134" spans="2:9" x14ac:dyDescent="0.25">
      <c r="B134" t="str" cm="1">
        <f t="array" aca="1" ref="B134" ca="1">IF('Raw Data'!B134="",_xlfn.REGEXEXTRACT(CELL("address",'Raw Data'!B134),"\$([A-Z]+)\$[0-9]+"),"")</f>
        <v>$B$134</v>
      </c>
      <c r="C134" t="str" cm="1">
        <f t="array" aca="1" ref="C134" ca="1">IF('Raw Data'!C134="",_xlfn.REGEXEXTRACT(CELL("address",'Raw Data'!C134),"\$([A-Z]+)\$[0-9]+"),"")</f>
        <v>$C$134</v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>$E$134</v>
      </c>
      <c r="F134" t="str" cm="1">
        <f t="array" aca="1" ref="F134" ca="1">IF('Raw Data'!F134="",_xlfn.REGEXEXTRACT(CELL("address",'Raw Data'!F134),"\$([A-Z]+)\$[0-9]+"),"")</f>
        <v>$F$134</v>
      </c>
      <c r="G134" t="str" cm="1">
        <f t="array" aca="1" ref="G134" ca="1">IF('Raw Data'!G134="",_xlfn.REGEXEXTRACT(CELL("address",'Raw Data'!G134),"\$([A-Z]+)\$[0-9]+"),"")</f>
        <v>$G$134</v>
      </c>
      <c r="H134" t="str" cm="1">
        <f t="array" aca="1" ref="H134" ca="1">IF('Raw Data'!H134="",_xlfn.REGEXEXTRACT(CELL("address",'Raw Data'!H134),"\$([A-Z]+)\$[0-9]+"),"")</f>
        <v>$H$134</v>
      </c>
      <c r="I134" t="str" cm="1">
        <f t="array" aca="1" ref="I134" ca="1">IF('Raw Data'!I134="",_xlfn.REGEXEXTRACT(CELL("address",'Raw Data'!I134),"\$([A-Z]+)\$[0-9]+"),"")</f>
        <v>$I$134</v>
      </c>
    </row>
    <row r="135" spans="2:9" x14ac:dyDescent="0.25">
      <c r="B135" t="str" cm="1">
        <f t="array" aca="1" ref="B135" ca="1">IF('Raw Data'!B135="",_xlfn.REGEXEXTRACT(CELL("address",'Raw Data'!B135),"\$([A-Z]+)\$[0-9]+"),"")</f>
        <v>$B$135</v>
      </c>
      <c r="C135" t="str" cm="1">
        <f t="array" aca="1" ref="C135" ca="1">IF('Raw Data'!C135="",_xlfn.REGEXEXTRACT(CELL("address",'Raw Data'!C135),"\$([A-Z]+)\$[0-9]+"),"")</f>
        <v>$C$135</v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>$E$135</v>
      </c>
      <c r="F135" t="str" cm="1">
        <f t="array" aca="1" ref="F135" ca="1">IF('Raw Data'!F135="",_xlfn.REGEXEXTRACT(CELL("address",'Raw Data'!F135),"\$([A-Z]+)\$[0-9]+"),"")</f>
        <v>$F$135</v>
      </c>
      <c r="G135" t="str" cm="1">
        <f t="array" aca="1" ref="G135" ca="1">IF('Raw Data'!G135="",_xlfn.REGEXEXTRACT(CELL("address",'Raw Data'!G135),"\$([A-Z]+)\$[0-9]+"),"")</f>
        <v>$G$135</v>
      </c>
      <c r="H135" t="str" cm="1">
        <f t="array" aca="1" ref="H135" ca="1">IF('Raw Data'!H135="",_xlfn.REGEXEXTRACT(CELL("address",'Raw Data'!H135),"\$([A-Z]+)\$[0-9]+"),"")</f>
        <v>$H$135</v>
      </c>
      <c r="I135" t="str" cm="1">
        <f t="array" aca="1" ref="I135" ca="1">IF('Raw Data'!I135="",_xlfn.REGEXEXTRACT(CELL("address",'Raw Data'!I135),"\$([A-Z]+)\$[0-9]+"),"")</f>
        <v>$I$135</v>
      </c>
    </row>
    <row r="136" spans="2:9" x14ac:dyDescent="0.25">
      <c r="B136" t="str" cm="1">
        <f t="array" aca="1" ref="B136" ca="1">IF('Raw Data'!B136="",_xlfn.REGEXEXTRACT(CELL("address",'Raw Data'!B136),"\$([A-Z]+)\$[0-9]+"),"")</f>
        <v>$B$136</v>
      </c>
      <c r="C136" t="str" cm="1">
        <f t="array" aca="1" ref="C136" ca="1">IF('Raw Data'!C136="",_xlfn.REGEXEXTRACT(CELL("address",'Raw Data'!C136),"\$([A-Z]+)\$[0-9]+"),"")</f>
        <v>$C$136</v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>$E$136</v>
      </c>
      <c r="F136" t="str" cm="1">
        <f t="array" aca="1" ref="F136" ca="1">IF('Raw Data'!F136="",_xlfn.REGEXEXTRACT(CELL("address",'Raw Data'!F136),"\$([A-Z]+)\$[0-9]+"),"")</f>
        <v>$F$136</v>
      </c>
      <c r="G136" t="str" cm="1">
        <f t="array" aca="1" ref="G136" ca="1">IF('Raw Data'!G136="",_xlfn.REGEXEXTRACT(CELL("address",'Raw Data'!G136),"\$([A-Z]+)\$[0-9]+"),"")</f>
        <v>$G$136</v>
      </c>
      <c r="H136" t="str" cm="1">
        <f t="array" aca="1" ref="H136" ca="1">IF('Raw Data'!H136="",_xlfn.REGEXEXTRACT(CELL("address",'Raw Data'!H136),"\$([A-Z]+)\$[0-9]+"),"")</f>
        <v>$H$136</v>
      </c>
      <c r="I136" t="str" cm="1">
        <f t="array" aca="1" ref="I136" ca="1">IF('Raw Data'!I136="",_xlfn.REGEXEXTRACT(CELL("address",'Raw Data'!I136),"\$([A-Z]+)\$[0-9]+"),"")</f>
        <v>$I$136</v>
      </c>
    </row>
    <row r="137" spans="2:9" x14ac:dyDescent="0.25">
      <c r="B137" t="str" cm="1">
        <f t="array" aca="1" ref="B137" ca="1">IF('Raw Data'!B137="",_xlfn.REGEXEXTRACT(CELL("address",'Raw Data'!B137),"\$([A-Z]+)\$[0-9]+"),"")</f>
        <v>$B$137</v>
      </c>
      <c r="C137" t="str" cm="1">
        <f t="array" aca="1" ref="C137" ca="1">IF('Raw Data'!C137="",_xlfn.REGEXEXTRACT(CELL("address",'Raw Data'!C137),"\$([A-Z]+)\$[0-9]+"),"")</f>
        <v>$C$137</v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>$E$137</v>
      </c>
      <c r="F137" t="str" cm="1">
        <f t="array" aca="1" ref="F137" ca="1">IF('Raw Data'!F137="",_xlfn.REGEXEXTRACT(CELL("address",'Raw Data'!F137),"\$([A-Z]+)\$[0-9]+"),"")</f>
        <v>$F$137</v>
      </c>
      <c r="G137" t="str" cm="1">
        <f t="array" aca="1" ref="G137" ca="1">IF('Raw Data'!G137="",_xlfn.REGEXEXTRACT(CELL("address",'Raw Data'!G137),"\$([A-Z]+)\$[0-9]+"),"")</f>
        <v>$G$137</v>
      </c>
      <c r="H137" t="str" cm="1">
        <f t="array" aca="1" ref="H137" ca="1">IF('Raw Data'!H137="",_xlfn.REGEXEXTRACT(CELL("address",'Raw Data'!H137),"\$([A-Z]+)\$[0-9]+"),"")</f>
        <v>$H$137</v>
      </c>
      <c r="I137" t="str" cm="1">
        <f t="array" aca="1" ref="I137" ca="1">IF('Raw Data'!I137="",_xlfn.REGEXEXTRACT(CELL("address",'Raw Data'!I137),"\$([A-Z]+)\$[0-9]+"),"")</f>
        <v>$I$137</v>
      </c>
    </row>
    <row r="138" spans="2:9" x14ac:dyDescent="0.25">
      <c r="B138" t="str" cm="1">
        <f t="array" aca="1" ref="B138" ca="1">IF('Raw Data'!B138="",_xlfn.REGEXEXTRACT(CELL("address",'Raw Data'!B138),"\$([A-Z]+)\$[0-9]+"),"")</f>
        <v>$B$138</v>
      </c>
      <c r="C138" t="str" cm="1">
        <f t="array" aca="1" ref="C138" ca="1">IF('Raw Data'!C138="",_xlfn.REGEXEXTRACT(CELL("address",'Raw Data'!C138),"\$([A-Z]+)\$[0-9]+"),"")</f>
        <v>$C$138</v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>$E$138</v>
      </c>
      <c r="F138" t="str" cm="1">
        <f t="array" aca="1" ref="F138" ca="1">IF('Raw Data'!F138="",_xlfn.REGEXEXTRACT(CELL("address",'Raw Data'!F138),"\$([A-Z]+)\$[0-9]+"),"")</f>
        <v>$F$138</v>
      </c>
      <c r="G138" t="str" cm="1">
        <f t="array" aca="1" ref="G138" ca="1">IF('Raw Data'!G138="",_xlfn.REGEXEXTRACT(CELL("address",'Raw Data'!G138),"\$([A-Z]+)\$[0-9]+"),"")</f>
        <v>$G$138</v>
      </c>
      <c r="H138" t="str" cm="1">
        <f t="array" aca="1" ref="H138" ca="1">IF('Raw Data'!H138="",_xlfn.REGEXEXTRACT(CELL("address",'Raw Data'!H138),"\$([A-Z]+)\$[0-9]+"),"")</f>
        <v>$H$138</v>
      </c>
      <c r="I138" t="str" cm="1">
        <f t="array" aca="1" ref="I138" ca="1">IF('Raw Data'!I138="",_xlfn.REGEXEXTRACT(CELL("address",'Raw Data'!I138),"\$([A-Z]+)\$[0-9]+"),"")</f>
        <v>$I$138</v>
      </c>
    </row>
    <row r="139" spans="2:9" x14ac:dyDescent="0.25">
      <c r="B139" t="str" cm="1">
        <f t="array" aca="1" ref="B139" ca="1">IF('Raw Data'!B139="",_xlfn.REGEXEXTRACT(CELL("address",'Raw Data'!B139),"\$([A-Z]+)\$[0-9]+"),"")</f>
        <v>$B$139</v>
      </c>
      <c r="C139" t="str" cm="1">
        <f t="array" aca="1" ref="C139" ca="1">IF('Raw Data'!C139="",_xlfn.REGEXEXTRACT(CELL("address",'Raw Data'!C139),"\$([A-Z]+)\$[0-9]+"),"")</f>
        <v>$C$139</v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>$E$139</v>
      </c>
      <c r="F139" t="str" cm="1">
        <f t="array" aca="1" ref="F139" ca="1">IF('Raw Data'!F139="",_xlfn.REGEXEXTRACT(CELL("address",'Raw Data'!F139),"\$([A-Z]+)\$[0-9]+"),"")</f>
        <v>$F$139</v>
      </c>
      <c r="G139" t="str" cm="1">
        <f t="array" aca="1" ref="G139" ca="1">IF('Raw Data'!G139="",_xlfn.REGEXEXTRACT(CELL("address",'Raw Data'!G139),"\$([A-Z]+)\$[0-9]+"),"")</f>
        <v>$G$139</v>
      </c>
      <c r="H139" t="str" cm="1">
        <f t="array" aca="1" ref="H139" ca="1">IF('Raw Data'!H139="",_xlfn.REGEXEXTRACT(CELL("address",'Raw Data'!H139),"\$([A-Z]+)\$[0-9]+"),"")</f>
        <v>$H$139</v>
      </c>
      <c r="I139" t="str" cm="1">
        <f t="array" aca="1" ref="I139" ca="1">IF('Raw Data'!I139="",_xlfn.REGEXEXTRACT(CELL("address",'Raw Data'!I139),"\$([A-Z]+)\$[0-9]+"),"")</f>
        <v>$I$139</v>
      </c>
    </row>
    <row r="140" spans="2:9" x14ac:dyDescent="0.25">
      <c r="B140" t="str" cm="1">
        <f t="array" aca="1" ref="B140" ca="1">IF('Raw Data'!B140="",_xlfn.REGEXEXTRACT(CELL("address",'Raw Data'!B140),"\$([A-Z]+)\$[0-9]+"),"")</f>
        <v>$B$140</v>
      </c>
      <c r="C140" t="str" cm="1">
        <f t="array" aca="1" ref="C140" ca="1">IF('Raw Data'!C140="",_xlfn.REGEXEXTRACT(CELL("address",'Raw Data'!C140),"\$([A-Z]+)\$[0-9]+"),"")</f>
        <v>$C$140</v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>$E$140</v>
      </c>
      <c r="F140" t="str" cm="1">
        <f t="array" aca="1" ref="F140" ca="1">IF('Raw Data'!F140="",_xlfn.REGEXEXTRACT(CELL("address",'Raw Data'!F140),"\$([A-Z]+)\$[0-9]+"),"")</f>
        <v>$F$140</v>
      </c>
      <c r="G140" t="str" cm="1">
        <f t="array" aca="1" ref="G140" ca="1">IF('Raw Data'!G140="",_xlfn.REGEXEXTRACT(CELL("address",'Raw Data'!G140),"\$([A-Z]+)\$[0-9]+"),"")</f>
        <v>$G$140</v>
      </c>
      <c r="H140" t="str" cm="1">
        <f t="array" aca="1" ref="H140" ca="1">IF('Raw Data'!H140="",_xlfn.REGEXEXTRACT(CELL("address",'Raw Data'!H140),"\$([A-Z]+)\$[0-9]+"),"")</f>
        <v>$H$140</v>
      </c>
      <c r="I140" t="str" cm="1">
        <f t="array" aca="1" ref="I140" ca="1">IF('Raw Data'!I140="",_xlfn.REGEXEXTRACT(CELL("address",'Raw Data'!I140),"\$([A-Z]+)\$[0-9]+"),"")</f>
        <v>$I$140</v>
      </c>
    </row>
    <row r="141" spans="2:9" x14ac:dyDescent="0.25">
      <c r="B141" t="str" cm="1">
        <f t="array" aca="1" ref="B141" ca="1">IF('Raw Data'!B141="",_xlfn.REGEXEXTRACT(CELL("address",'Raw Data'!B141),"\$([A-Z]+)\$[0-9]+"),"")</f>
        <v>$B$141</v>
      </c>
      <c r="C141" t="str" cm="1">
        <f t="array" aca="1" ref="C141" ca="1">IF('Raw Data'!C141="",_xlfn.REGEXEXTRACT(CELL("address",'Raw Data'!C141),"\$([A-Z]+)\$[0-9]+"),"")</f>
        <v>$C$141</v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>$E$141</v>
      </c>
      <c r="F141" t="str" cm="1">
        <f t="array" aca="1" ref="F141" ca="1">IF('Raw Data'!F141="",_xlfn.REGEXEXTRACT(CELL("address",'Raw Data'!F141),"\$([A-Z]+)\$[0-9]+"),"")</f>
        <v>$F$141</v>
      </c>
      <c r="G141" t="str" cm="1">
        <f t="array" aca="1" ref="G141" ca="1">IF('Raw Data'!G141="",_xlfn.REGEXEXTRACT(CELL("address",'Raw Data'!G141),"\$([A-Z]+)\$[0-9]+"),"")</f>
        <v>$G$141</v>
      </c>
      <c r="H141" t="str" cm="1">
        <f t="array" aca="1" ref="H141" ca="1">IF('Raw Data'!H141="",_xlfn.REGEXEXTRACT(CELL("address",'Raw Data'!H141),"\$([A-Z]+)\$[0-9]+"),"")</f>
        <v>$H$141</v>
      </c>
      <c r="I141" t="str" cm="1">
        <f t="array" aca="1" ref="I141" ca="1">IF('Raw Data'!I141="",_xlfn.REGEXEXTRACT(CELL("address",'Raw Data'!I141),"\$([A-Z]+)\$[0-9]+"),"")</f>
        <v>$I$141</v>
      </c>
    </row>
    <row r="142" spans="2:9" x14ac:dyDescent="0.25">
      <c r="B142" t="str" cm="1">
        <f t="array" aca="1" ref="B142" ca="1">IF('Raw Data'!B142="",_xlfn.REGEXEXTRACT(CELL("address",'Raw Data'!B142),"\$([A-Z]+)\$[0-9]+"),"")</f>
        <v>$B$142</v>
      </c>
      <c r="C142" t="str" cm="1">
        <f t="array" aca="1" ref="C142" ca="1">IF('Raw Data'!C142="",_xlfn.REGEXEXTRACT(CELL("address",'Raw Data'!C142),"\$([A-Z]+)\$[0-9]+"),"")</f>
        <v>$C$142</v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>$E$142</v>
      </c>
      <c r="F142" t="str" cm="1">
        <f t="array" aca="1" ref="F142" ca="1">IF('Raw Data'!F142="",_xlfn.REGEXEXTRACT(CELL("address",'Raw Data'!F142),"\$([A-Z]+)\$[0-9]+"),"")</f>
        <v>$F$142</v>
      </c>
      <c r="G142" t="str" cm="1">
        <f t="array" aca="1" ref="G142" ca="1">IF('Raw Data'!G142="",_xlfn.REGEXEXTRACT(CELL("address",'Raw Data'!G142),"\$([A-Z]+)\$[0-9]+"),"")</f>
        <v>$G$142</v>
      </c>
      <c r="H142" t="str" cm="1">
        <f t="array" aca="1" ref="H142" ca="1">IF('Raw Data'!H142="",_xlfn.REGEXEXTRACT(CELL("address",'Raw Data'!H142),"\$([A-Z]+)\$[0-9]+"),"")</f>
        <v>$H$142</v>
      </c>
      <c r="I142" t="str" cm="1">
        <f t="array" aca="1" ref="I142" ca="1">IF('Raw Data'!I142="",_xlfn.REGEXEXTRACT(CELL("address",'Raw Data'!I142),"\$([A-Z]+)\$[0-9]+"),"")</f>
        <v>$I$142</v>
      </c>
    </row>
    <row r="143" spans="2:9" x14ac:dyDescent="0.25">
      <c r="B143" t="str" cm="1">
        <f t="array" aca="1" ref="B143" ca="1">IF('Raw Data'!B143="",_xlfn.REGEXEXTRACT(CELL("address",'Raw Data'!B143),"\$([A-Z]+)\$[0-9]+"),"")</f>
        <v>$B$143</v>
      </c>
      <c r="C143" t="str" cm="1">
        <f t="array" aca="1" ref="C143" ca="1">IF('Raw Data'!C143="",_xlfn.REGEXEXTRACT(CELL("address",'Raw Data'!C143),"\$([A-Z]+)\$[0-9]+"),"")</f>
        <v>$C$143</v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>$E$143</v>
      </c>
      <c r="F143" t="str" cm="1">
        <f t="array" aca="1" ref="F143" ca="1">IF('Raw Data'!F143="",_xlfn.REGEXEXTRACT(CELL("address",'Raw Data'!F143),"\$([A-Z]+)\$[0-9]+"),"")</f>
        <v>$F$143</v>
      </c>
      <c r="G143" t="str" cm="1">
        <f t="array" aca="1" ref="G143" ca="1">IF('Raw Data'!G143="",_xlfn.REGEXEXTRACT(CELL("address",'Raw Data'!G143),"\$([A-Z]+)\$[0-9]+"),"")</f>
        <v>$G$143</v>
      </c>
      <c r="H143" t="str" cm="1">
        <f t="array" aca="1" ref="H143" ca="1">IF('Raw Data'!H143="",_xlfn.REGEXEXTRACT(CELL("address",'Raw Data'!H143),"\$([A-Z]+)\$[0-9]+"),"")</f>
        <v>$H$143</v>
      </c>
      <c r="I143" t="str" cm="1">
        <f t="array" aca="1" ref="I143" ca="1">IF('Raw Data'!I143="",_xlfn.REGEXEXTRACT(CELL("address",'Raw Data'!I143),"\$([A-Z]+)\$[0-9]+"),"")</f>
        <v>$I$143</v>
      </c>
    </row>
    <row r="144" spans="2:9" x14ac:dyDescent="0.25">
      <c r="B144" t="str" cm="1">
        <f t="array" aca="1" ref="B144" ca="1">IF('Raw Data'!B144="",_xlfn.REGEXEXTRACT(CELL("address",'Raw Data'!B144),"\$([A-Z]+)\$[0-9]+"),"")</f>
        <v>$B$144</v>
      </c>
      <c r="C144" t="str" cm="1">
        <f t="array" aca="1" ref="C144" ca="1">IF('Raw Data'!C144="",_xlfn.REGEXEXTRACT(CELL("address",'Raw Data'!C144),"\$([A-Z]+)\$[0-9]+"),"")</f>
        <v>$C$144</v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>$E$144</v>
      </c>
      <c r="F144" t="str" cm="1">
        <f t="array" aca="1" ref="F144" ca="1">IF('Raw Data'!F144="",_xlfn.REGEXEXTRACT(CELL("address",'Raw Data'!F144),"\$([A-Z]+)\$[0-9]+"),"")</f>
        <v>$F$144</v>
      </c>
      <c r="G144" t="str" cm="1">
        <f t="array" aca="1" ref="G144" ca="1">IF('Raw Data'!G144="",_xlfn.REGEXEXTRACT(CELL("address",'Raw Data'!G144),"\$([A-Z]+)\$[0-9]+"),"")</f>
        <v>$G$144</v>
      </c>
      <c r="H144" t="str" cm="1">
        <f t="array" aca="1" ref="H144" ca="1">IF('Raw Data'!H144="",_xlfn.REGEXEXTRACT(CELL("address",'Raw Data'!H144),"\$([A-Z]+)\$[0-9]+"),"")</f>
        <v>$H$144</v>
      </c>
      <c r="I144" t="str" cm="1">
        <f t="array" aca="1" ref="I144" ca="1">IF('Raw Data'!I144="",_xlfn.REGEXEXTRACT(CELL("address",'Raw Data'!I144),"\$([A-Z]+)\$[0-9]+"),"")</f>
        <v>$I$144</v>
      </c>
    </row>
    <row r="145" spans="2:9" x14ac:dyDescent="0.25">
      <c r="B145" t="str" cm="1">
        <f t="array" aca="1" ref="B145" ca="1">IF('Raw Data'!B145="",_xlfn.REGEXEXTRACT(CELL("address",'Raw Data'!B145),"\$([A-Z]+)\$[0-9]+"),"")</f>
        <v>$B$145</v>
      </c>
      <c r="C145" t="str" cm="1">
        <f t="array" aca="1" ref="C145" ca="1">IF('Raw Data'!C145="",_xlfn.REGEXEXTRACT(CELL("address",'Raw Data'!C145),"\$([A-Z]+)\$[0-9]+"),"")</f>
        <v>$C$145</v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>$E$145</v>
      </c>
      <c r="F145" t="str" cm="1">
        <f t="array" aca="1" ref="F145" ca="1">IF('Raw Data'!F145="",_xlfn.REGEXEXTRACT(CELL("address",'Raw Data'!F145),"\$([A-Z]+)\$[0-9]+"),"")</f>
        <v>$F$145</v>
      </c>
      <c r="G145" t="str" cm="1">
        <f t="array" aca="1" ref="G145" ca="1">IF('Raw Data'!G145="",_xlfn.REGEXEXTRACT(CELL("address",'Raw Data'!G145),"\$([A-Z]+)\$[0-9]+"),"")</f>
        <v>$G$145</v>
      </c>
      <c r="H145" t="str" cm="1">
        <f t="array" aca="1" ref="H145" ca="1">IF('Raw Data'!H145="",_xlfn.REGEXEXTRACT(CELL("address",'Raw Data'!H145),"\$([A-Z]+)\$[0-9]+"),"")</f>
        <v>$H$145</v>
      </c>
      <c r="I145" t="str" cm="1">
        <f t="array" aca="1" ref="I145" ca="1">IF('Raw Data'!I145="",_xlfn.REGEXEXTRACT(CELL("address",'Raw Data'!I145),"\$([A-Z]+)\$[0-9]+"),"")</f>
        <v>$I$145</v>
      </c>
    </row>
    <row r="146" spans="2:9" x14ac:dyDescent="0.25">
      <c r="B146" t="str" cm="1">
        <f t="array" aca="1" ref="B146" ca="1">IF('Raw Data'!B146="",_xlfn.REGEXEXTRACT(CELL("address",'Raw Data'!B146),"\$([A-Z]+)\$[0-9]+"),"")</f>
        <v>$B$146</v>
      </c>
      <c r="C146" t="str" cm="1">
        <f t="array" aca="1" ref="C146" ca="1">IF('Raw Data'!C146="",_xlfn.REGEXEXTRACT(CELL("address",'Raw Data'!C146),"\$([A-Z]+)\$[0-9]+"),"")</f>
        <v>$C$146</v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>$E$146</v>
      </c>
      <c r="F146" t="str" cm="1">
        <f t="array" aca="1" ref="F146" ca="1">IF('Raw Data'!F146="",_xlfn.REGEXEXTRACT(CELL("address",'Raw Data'!F146),"\$([A-Z]+)\$[0-9]+"),"")</f>
        <v>$F$146</v>
      </c>
      <c r="G146" t="str" cm="1">
        <f t="array" aca="1" ref="G146" ca="1">IF('Raw Data'!G146="",_xlfn.REGEXEXTRACT(CELL("address",'Raw Data'!G146),"\$([A-Z]+)\$[0-9]+"),"")</f>
        <v>$G$146</v>
      </c>
      <c r="H146" t="str" cm="1">
        <f t="array" aca="1" ref="H146" ca="1">IF('Raw Data'!H146="",_xlfn.REGEXEXTRACT(CELL("address",'Raw Data'!H146),"\$([A-Z]+)\$[0-9]+"),"")</f>
        <v>$H$146</v>
      </c>
      <c r="I146" t="str" cm="1">
        <f t="array" aca="1" ref="I146" ca="1">IF('Raw Data'!I146="",_xlfn.REGEXEXTRACT(CELL("address",'Raw Data'!I146),"\$([A-Z]+)\$[0-9]+"),"")</f>
        <v>$I$146</v>
      </c>
    </row>
    <row r="147" spans="2:9" x14ac:dyDescent="0.25">
      <c r="B147" t="str" cm="1">
        <f t="array" aca="1" ref="B147" ca="1">IF('Raw Data'!B147="",_xlfn.REGEXEXTRACT(CELL("address",'Raw Data'!B147),"\$([A-Z]+)\$[0-9]+"),"")</f>
        <v>$B$147</v>
      </c>
      <c r="C147" t="str" cm="1">
        <f t="array" aca="1" ref="C147" ca="1">IF('Raw Data'!C147="",_xlfn.REGEXEXTRACT(CELL("address",'Raw Data'!C147),"\$([A-Z]+)\$[0-9]+"),"")</f>
        <v>$C$147</v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>$E$147</v>
      </c>
      <c r="F147" t="str" cm="1">
        <f t="array" aca="1" ref="F147" ca="1">IF('Raw Data'!F147="",_xlfn.REGEXEXTRACT(CELL("address",'Raw Data'!F147),"\$([A-Z]+)\$[0-9]+"),"")</f>
        <v>$F$147</v>
      </c>
      <c r="G147" t="str" cm="1">
        <f t="array" aca="1" ref="G147" ca="1">IF('Raw Data'!G147="",_xlfn.REGEXEXTRACT(CELL("address",'Raw Data'!G147),"\$([A-Z]+)\$[0-9]+"),"")</f>
        <v>$G$147</v>
      </c>
      <c r="H147" t="str" cm="1">
        <f t="array" aca="1" ref="H147" ca="1">IF('Raw Data'!H147="",_xlfn.REGEXEXTRACT(CELL("address",'Raw Data'!H147),"\$([A-Z]+)\$[0-9]+"),"")</f>
        <v>$H$147</v>
      </c>
      <c r="I147" t="str" cm="1">
        <f t="array" aca="1" ref="I147" ca="1">IF('Raw Data'!I147="",_xlfn.REGEXEXTRACT(CELL("address",'Raw Data'!I147),"\$([A-Z]+)\$[0-9]+"),"")</f>
        <v>$I$147</v>
      </c>
    </row>
    <row r="148" spans="2:9" x14ac:dyDescent="0.25">
      <c r="B148" t="str" cm="1">
        <f t="array" aca="1" ref="B148" ca="1">IF('Raw Data'!B148="",_xlfn.REGEXEXTRACT(CELL("address",'Raw Data'!B148),"\$([A-Z]+)\$[0-9]+"),"")</f>
        <v>$B$148</v>
      </c>
      <c r="C148" t="str" cm="1">
        <f t="array" aca="1" ref="C148" ca="1">IF('Raw Data'!C148="",_xlfn.REGEXEXTRACT(CELL("address",'Raw Data'!C148),"\$([A-Z]+)\$[0-9]+"),"")</f>
        <v>$C$148</v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>$E$148</v>
      </c>
      <c r="F148" t="str" cm="1">
        <f t="array" aca="1" ref="F148" ca="1">IF('Raw Data'!F148="",_xlfn.REGEXEXTRACT(CELL("address",'Raw Data'!F148),"\$([A-Z]+)\$[0-9]+"),"")</f>
        <v>$F$148</v>
      </c>
      <c r="G148" t="str" cm="1">
        <f t="array" aca="1" ref="G148" ca="1">IF('Raw Data'!G148="",_xlfn.REGEXEXTRACT(CELL("address",'Raw Data'!G148),"\$([A-Z]+)\$[0-9]+"),"")</f>
        <v>$G$148</v>
      </c>
      <c r="H148" t="str" cm="1">
        <f t="array" aca="1" ref="H148" ca="1">IF('Raw Data'!H148="",_xlfn.REGEXEXTRACT(CELL("address",'Raw Data'!H148),"\$([A-Z]+)\$[0-9]+"),"")</f>
        <v>$H$148</v>
      </c>
      <c r="I148" t="str" cm="1">
        <f t="array" aca="1" ref="I148" ca="1">IF('Raw Data'!I148="",_xlfn.REGEXEXTRACT(CELL("address",'Raw Data'!I148),"\$([A-Z]+)\$[0-9]+"),"")</f>
        <v>$I$148</v>
      </c>
    </row>
    <row r="149" spans="2:9" x14ac:dyDescent="0.25">
      <c r="B149" t="str" cm="1">
        <f t="array" aca="1" ref="B149" ca="1">IF('Raw Data'!B149="",_xlfn.REGEXEXTRACT(CELL("address",'Raw Data'!B149),"\$([A-Z]+)\$[0-9]+"),"")</f>
        <v>$B$149</v>
      </c>
      <c r="C149" t="str" cm="1">
        <f t="array" aca="1" ref="C149" ca="1">IF('Raw Data'!C149="",_xlfn.REGEXEXTRACT(CELL("address",'Raw Data'!C149),"\$([A-Z]+)\$[0-9]+"),"")</f>
        <v>$C$149</v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>$E$149</v>
      </c>
      <c r="F149" t="str" cm="1">
        <f t="array" aca="1" ref="F149" ca="1">IF('Raw Data'!F149="",_xlfn.REGEXEXTRACT(CELL("address",'Raw Data'!F149),"\$([A-Z]+)\$[0-9]+"),"")</f>
        <v>$F$149</v>
      </c>
      <c r="G149" t="str" cm="1">
        <f t="array" aca="1" ref="G149" ca="1">IF('Raw Data'!G149="",_xlfn.REGEXEXTRACT(CELL("address",'Raw Data'!G149),"\$([A-Z]+)\$[0-9]+"),"")</f>
        <v>$G$149</v>
      </c>
      <c r="H149" t="str" cm="1">
        <f t="array" aca="1" ref="H149" ca="1">IF('Raw Data'!H149="",_xlfn.REGEXEXTRACT(CELL("address",'Raw Data'!H149),"\$([A-Z]+)\$[0-9]+"),"")</f>
        <v>$H$149</v>
      </c>
      <c r="I149" t="str" cm="1">
        <f t="array" aca="1" ref="I149" ca="1">IF('Raw Data'!I149="",_xlfn.REGEXEXTRACT(CELL("address",'Raw Data'!I149),"\$([A-Z]+)\$[0-9]+"),"")</f>
        <v>$I$149</v>
      </c>
    </row>
    <row r="150" spans="2:9" x14ac:dyDescent="0.25">
      <c r="B150" t="str" cm="1">
        <f t="array" aca="1" ref="B150" ca="1">IF('Raw Data'!B150="",_xlfn.REGEXEXTRACT(CELL("address",'Raw Data'!B150),"\$([A-Z]+)\$[0-9]+"),"")</f>
        <v>$B$150</v>
      </c>
      <c r="C150" t="str" cm="1">
        <f t="array" aca="1" ref="C150" ca="1">IF('Raw Data'!C150="",_xlfn.REGEXEXTRACT(CELL("address",'Raw Data'!C150),"\$([A-Z]+)\$[0-9]+"),"")</f>
        <v>$C$150</v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>$E$150</v>
      </c>
      <c r="F150" t="str" cm="1">
        <f t="array" aca="1" ref="F150" ca="1">IF('Raw Data'!F150="",_xlfn.REGEXEXTRACT(CELL("address",'Raw Data'!F150),"\$([A-Z]+)\$[0-9]+"),"")</f>
        <v>$F$150</v>
      </c>
      <c r="G150" t="str" cm="1">
        <f t="array" aca="1" ref="G150" ca="1">IF('Raw Data'!G150="",_xlfn.REGEXEXTRACT(CELL("address",'Raw Data'!G150),"\$([A-Z]+)\$[0-9]+"),"")</f>
        <v>$G$150</v>
      </c>
      <c r="H150" t="str" cm="1">
        <f t="array" aca="1" ref="H150" ca="1">IF('Raw Data'!H150="",_xlfn.REGEXEXTRACT(CELL("address",'Raw Data'!H150),"\$([A-Z]+)\$[0-9]+"),"")</f>
        <v>$H$150</v>
      </c>
      <c r="I150" t="str" cm="1">
        <f t="array" aca="1" ref="I150" ca="1">IF('Raw Data'!I150="",_xlfn.REGEXEXTRACT(CELL("address",'Raw Data'!I150),"\$([A-Z]+)\$[0-9]+"),"")</f>
        <v>$I$150</v>
      </c>
    </row>
    <row r="151" spans="2:9" x14ac:dyDescent="0.25">
      <c r="B151" t="str" cm="1">
        <f t="array" aca="1" ref="B151" ca="1">IF('Raw Data'!B151="",_xlfn.REGEXEXTRACT(CELL("address",'Raw Data'!B151),"\$([A-Z]+)\$[0-9]+"),"")</f>
        <v>$B$151</v>
      </c>
      <c r="C151" t="str" cm="1">
        <f t="array" aca="1" ref="C151" ca="1">IF('Raw Data'!C151="",_xlfn.REGEXEXTRACT(CELL("address",'Raw Data'!C151),"\$([A-Z]+)\$[0-9]+"),"")</f>
        <v>$C$151</v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>$E$151</v>
      </c>
      <c r="F151" t="str" cm="1">
        <f t="array" aca="1" ref="F151" ca="1">IF('Raw Data'!F151="",_xlfn.REGEXEXTRACT(CELL("address",'Raw Data'!F151),"\$([A-Z]+)\$[0-9]+"),"")</f>
        <v>$F$151</v>
      </c>
      <c r="G151" t="str" cm="1">
        <f t="array" aca="1" ref="G151" ca="1">IF('Raw Data'!G151="",_xlfn.REGEXEXTRACT(CELL("address",'Raw Data'!G151),"\$([A-Z]+)\$[0-9]+"),"")</f>
        <v>$G$151</v>
      </c>
      <c r="H151" t="str" cm="1">
        <f t="array" aca="1" ref="H151" ca="1">IF('Raw Data'!H151="",_xlfn.REGEXEXTRACT(CELL("address",'Raw Data'!H151),"\$([A-Z]+)\$[0-9]+"),"")</f>
        <v>$H$151</v>
      </c>
      <c r="I151" t="str" cm="1">
        <f t="array" aca="1" ref="I151" ca="1">IF('Raw Data'!I151="",_xlfn.REGEXEXTRACT(CELL("address",'Raw Data'!I151),"\$([A-Z]+)\$[0-9]+"),"")</f>
        <v>$I$151</v>
      </c>
    </row>
    <row r="152" spans="2:9" x14ac:dyDescent="0.25">
      <c r="B152" t="str" cm="1">
        <f t="array" aca="1" ref="B152" ca="1">IF('Raw Data'!B152="",_xlfn.REGEXEXTRACT(CELL("address",'Raw Data'!B152),"\$([A-Z]+)\$[0-9]+"),"")</f>
        <v>$B$152</v>
      </c>
      <c r="C152" t="str" cm="1">
        <f t="array" aca="1" ref="C152" ca="1">IF('Raw Data'!C152="",_xlfn.REGEXEXTRACT(CELL("address",'Raw Data'!C152),"\$([A-Z]+)\$[0-9]+"),"")</f>
        <v>$C$152</v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>$E$152</v>
      </c>
      <c r="F152" t="str" cm="1">
        <f t="array" aca="1" ref="F152" ca="1">IF('Raw Data'!F152="",_xlfn.REGEXEXTRACT(CELL("address",'Raw Data'!F152),"\$([A-Z]+)\$[0-9]+"),"")</f>
        <v>$F$152</v>
      </c>
      <c r="G152" t="str" cm="1">
        <f t="array" aca="1" ref="G152" ca="1">IF('Raw Data'!G152="",_xlfn.REGEXEXTRACT(CELL("address",'Raw Data'!G152),"\$([A-Z]+)\$[0-9]+"),"")</f>
        <v>$G$152</v>
      </c>
      <c r="H152" t="str" cm="1">
        <f t="array" aca="1" ref="H152" ca="1">IF('Raw Data'!H152="",_xlfn.REGEXEXTRACT(CELL("address",'Raw Data'!H152),"\$([A-Z]+)\$[0-9]+"),"")</f>
        <v>$H$152</v>
      </c>
      <c r="I152" t="str" cm="1">
        <f t="array" aca="1" ref="I152" ca="1">IF('Raw Data'!I152="",_xlfn.REGEXEXTRACT(CELL("address",'Raw Data'!I152),"\$([A-Z]+)\$[0-9]+"),"")</f>
        <v>$I$152</v>
      </c>
    </row>
    <row r="153" spans="2:9" x14ac:dyDescent="0.25">
      <c r="B153" t="str" cm="1">
        <f t="array" aca="1" ref="B153" ca="1">IF('Raw Data'!B153="",_xlfn.REGEXEXTRACT(CELL("address",'Raw Data'!B153),"\$([A-Z]+)\$[0-9]+"),"")</f>
        <v>$B$153</v>
      </c>
      <c r="C153" t="str" cm="1">
        <f t="array" aca="1" ref="C153" ca="1">IF('Raw Data'!C153="",_xlfn.REGEXEXTRACT(CELL("address",'Raw Data'!C153),"\$([A-Z]+)\$[0-9]+"),"")</f>
        <v>$C$153</v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>$E$153</v>
      </c>
      <c r="F153" t="str" cm="1">
        <f t="array" aca="1" ref="F153" ca="1">IF('Raw Data'!F153="",_xlfn.REGEXEXTRACT(CELL("address",'Raw Data'!F153),"\$([A-Z]+)\$[0-9]+"),"")</f>
        <v>$F$153</v>
      </c>
      <c r="G153" t="str" cm="1">
        <f t="array" aca="1" ref="G153" ca="1">IF('Raw Data'!G153="",_xlfn.REGEXEXTRACT(CELL("address",'Raw Data'!G153),"\$([A-Z]+)\$[0-9]+"),"")</f>
        <v>$G$153</v>
      </c>
      <c r="H153" t="str" cm="1">
        <f t="array" aca="1" ref="H153" ca="1">IF('Raw Data'!H153="",_xlfn.REGEXEXTRACT(CELL("address",'Raw Data'!H153),"\$([A-Z]+)\$[0-9]+"),"")</f>
        <v>$H$153</v>
      </c>
      <c r="I153" t="str" cm="1">
        <f t="array" aca="1" ref="I153" ca="1">IF('Raw Data'!I153="",_xlfn.REGEXEXTRACT(CELL("address",'Raw Data'!I153),"\$([A-Z]+)\$[0-9]+"),"")</f>
        <v>$I$153</v>
      </c>
    </row>
    <row r="154" spans="2:9" x14ac:dyDescent="0.25">
      <c r="B154" t="str" cm="1">
        <f t="array" aca="1" ref="B154" ca="1">IF('Raw Data'!B154="",_xlfn.REGEXEXTRACT(CELL("address",'Raw Data'!B154),"\$([A-Z]+)\$[0-9]+"),"")</f>
        <v>$B$154</v>
      </c>
      <c r="C154" t="str" cm="1">
        <f t="array" aca="1" ref="C154" ca="1">IF('Raw Data'!C154="",_xlfn.REGEXEXTRACT(CELL("address",'Raw Data'!C154),"\$([A-Z]+)\$[0-9]+"),"")</f>
        <v>$C$154</v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>$E$154</v>
      </c>
      <c r="F154" t="str" cm="1">
        <f t="array" aca="1" ref="F154" ca="1">IF('Raw Data'!F154="",_xlfn.REGEXEXTRACT(CELL("address",'Raw Data'!F154),"\$([A-Z]+)\$[0-9]+"),"")</f>
        <v>$F$154</v>
      </c>
      <c r="G154" t="str" cm="1">
        <f t="array" aca="1" ref="G154" ca="1">IF('Raw Data'!G154="",_xlfn.REGEXEXTRACT(CELL("address",'Raw Data'!G154),"\$([A-Z]+)\$[0-9]+"),"")</f>
        <v>$G$154</v>
      </c>
      <c r="H154" t="str" cm="1">
        <f t="array" aca="1" ref="H154" ca="1">IF('Raw Data'!H154="",_xlfn.REGEXEXTRACT(CELL("address",'Raw Data'!H154),"\$([A-Z]+)\$[0-9]+"),"")</f>
        <v>$H$154</v>
      </c>
      <c r="I154" t="str" cm="1">
        <f t="array" aca="1" ref="I154" ca="1">IF('Raw Data'!I154="",_xlfn.REGEXEXTRACT(CELL("address",'Raw Data'!I154),"\$([A-Z]+)\$[0-9]+"),"")</f>
        <v>$I$154</v>
      </c>
    </row>
    <row r="155" spans="2:9" x14ac:dyDescent="0.25">
      <c r="B155" t="str" cm="1">
        <f t="array" aca="1" ref="B155" ca="1">IF('Raw Data'!B155="",_xlfn.REGEXEXTRACT(CELL("address",'Raw Data'!B155),"\$([A-Z]+)\$[0-9]+"),"")</f>
        <v>$B$155</v>
      </c>
      <c r="C155" t="str" cm="1">
        <f t="array" aca="1" ref="C155" ca="1">IF('Raw Data'!C155="",_xlfn.REGEXEXTRACT(CELL("address",'Raw Data'!C155),"\$([A-Z]+)\$[0-9]+"),"")</f>
        <v>$C$155</v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>$E$155</v>
      </c>
      <c r="F155" t="str" cm="1">
        <f t="array" aca="1" ref="F155" ca="1">IF('Raw Data'!F155="",_xlfn.REGEXEXTRACT(CELL("address",'Raw Data'!F155),"\$([A-Z]+)\$[0-9]+"),"")</f>
        <v>$F$155</v>
      </c>
      <c r="G155" t="str" cm="1">
        <f t="array" aca="1" ref="G155" ca="1">IF('Raw Data'!G155="",_xlfn.REGEXEXTRACT(CELL("address",'Raw Data'!G155),"\$([A-Z]+)\$[0-9]+"),"")</f>
        <v>$G$155</v>
      </c>
      <c r="H155" t="str" cm="1">
        <f t="array" aca="1" ref="H155" ca="1">IF('Raw Data'!H155="",_xlfn.REGEXEXTRACT(CELL("address",'Raw Data'!H155),"\$([A-Z]+)\$[0-9]+"),"")</f>
        <v>$H$155</v>
      </c>
      <c r="I155" t="str" cm="1">
        <f t="array" aca="1" ref="I155" ca="1">IF('Raw Data'!I155="",_xlfn.REGEXEXTRACT(CELL("address",'Raw Data'!I155),"\$([A-Z]+)\$[0-9]+"),"")</f>
        <v>$I$155</v>
      </c>
    </row>
    <row r="156" spans="2:9" x14ac:dyDescent="0.25">
      <c r="B156" t="str" cm="1">
        <f t="array" aca="1" ref="B156" ca="1">IF('Raw Data'!B156="",_xlfn.REGEXEXTRACT(CELL("address",'Raw Data'!B156),"\$([A-Z]+)\$[0-9]+"),"")</f>
        <v>$B$156</v>
      </c>
      <c r="C156" t="str" cm="1">
        <f t="array" aca="1" ref="C156" ca="1">IF('Raw Data'!C156="",_xlfn.REGEXEXTRACT(CELL("address",'Raw Data'!C156),"\$([A-Z]+)\$[0-9]+"),"")</f>
        <v>$C$156</v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>$E$156</v>
      </c>
      <c r="F156" t="str" cm="1">
        <f t="array" aca="1" ref="F156" ca="1">IF('Raw Data'!F156="",_xlfn.REGEXEXTRACT(CELL("address",'Raw Data'!F156),"\$([A-Z]+)\$[0-9]+"),"")</f>
        <v>$F$156</v>
      </c>
      <c r="G156" t="str" cm="1">
        <f t="array" aca="1" ref="G156" ca="1">IF('Raw Data'!G156="",_xlfn.REGEXEXTRACT(CELL("address",'Raw Data'!G156),"\$([A-Z]+)\$[0-9]+"),"")</f>
        <v>$G$156</v>
      </c>
      <c r="H156" t="str" cm="1">
        <f t="array" aca="1" ref="H156" ca="1">IF('Raw Data'!H156="",_xlfn.REGEXEXTRACT(CELL("address",'Raw Data'!H156),"\$([A-Z]+)\$[0-9]+"),"")</f>
        <v>$H$156</v>
      </c>
      <c r="I156" t="str" cm="1">
        <f t="array" aca="1" ref="I156" ca="1">IF('Raw Data'!I156="",_xlfn.REGEXEXTRACT(CELL("address",'Raw Data'!I156),"\$([A-Z]+)\$[0-9]+"),"")</f>
        <v>$I$156</v>
      </c>
    </row>
    <row r="157" spans="2:9" x14ac:dyDescent="0.25">
      <c r="B157" t="str" cm="1">
        <f t="array" aca="1" ref="B157" ca="1">IF('Raw Data'!B157="",_xlfn.REGEXEXTRACT(CELL("address",'Raw Data'!B157),"\$([A-Z]+)\$[0-9]+"),"")</f>
        <v>$B$157</v>
      </c>
      <c r="C157" t="str" cm="1">
        <f t="array" aca="1" ref="C157" ca="1">IF('Raw Data'!C157="",_xlfn.REGEXEXTRACT(CELL("address",'Raw Data'!C157),"\$([A-Z]+)\$[0-9]+"),"")</f>
        <v>$C$157</v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>$E$157</v>
      </c>
      <c r="F157" t="str" cm="1">
        <f t="array" aca="1" ref="F157" ca="1">IF('Raw Data'!F157="",_xlfn.REGEXEXTRACT(CELL("address",'Raw Data'!F157),"\$([A-Z]+)\$[0-9]+"),"")</f>
        <v>$F$157</v>
      </c>
      <c r="G157" t="str" cm="1">
        <f t="array" aca="1" ref="G157" ca="1">IF('Raw Data'!G157="",_xlfn.REGEXEXTRACT(CELL("address",'Raw Data'!G157),"\$([A-Z]+)\$[0-9]+"),"")</f>
        <v>$G$157</v>
      </c>
      <c r="H157" t="str" cm="1">
        <f t="array" aca="1" ref="H157" ca="1">IF('Raw Data'!H157="",_xlfn.REGEXEXTRACT(CELL("address",'Raw Data'!H157),"\$([A-Z]+)\$[0-9]+"),"")</f>
        <v>$H$157</v>
      </c>
      <c r="I157" t="str" cm="1">
        <f t="array" aca="1" ref="I157" ca="1">IF('Raw Data'!I157="",_xlfn.REGEXEXTRACT(CELL("address",'Raw Data'!I157),"\$([A-Z]+)\$[0-9]+"),"")</f>
        <v>$I$157</v>
      </c>
    </row>
    <row r="158" spans="2:9" x14ac:dyDescent="0.25">
      <c r="B158" t="str" cm="1">
        <f t="array" aca="1" ref="B158" ca="1">IF('Raw Data'!B158="",_xlfn.REGEXEXTRACT(CELL("address",'Raw Data'!B158),"\$([A-Z]+)\$[0-9]+"),"")</f>
        <v>$B$158</v>
      </c>
      <c r="C158" t="str" cm="1">
        <f t="array" aca="1" ref="C158" ca="1">IF('Raw Data'!C158="",_xlfn.REGEXEXTRACT(CELL("address",'Raw Data'!C158),"\$([A-Z]+)\$[0-9]+"),"")</f>
        <v>$C$158</v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>$E$158</v>
      </c>
      <c r="F158" t="str" cm="1">
        <f t="array" aca="1" ref="F158" ca="1">IF('Raw Data'!F158="",_xlfn.REGEXEXTRACT(CELL("address",'Raw Data'!F158),"\$([A-Z]+)\$[0-9]+"),"")</f>
        <v>$F$158</v>
      </c>
      <c r="G158" t="str" cm="1">
        <f t="array" aca="1" ref="G158" ca="1">IF('Raw Data'!G158="",_xlfn.REGEXEXTRACT(CELL("address",'Raw Data'!G158),"\$([A-Z]+)\$[0-9]+"),"")</f>
        <v>$G$158</v>
      </c>
      <c r="H158" t="str" cm="1">
        <f t="array" aca="1" ref="H158" ca="1">IF('Raw Data'!H158="",_xlfn.REGEXEXTRACT(CELL("address",'Raw Data'!H158),"\$([A-Z]+)\$[0-9]+"),"")</f>
        <v>$H$158</v>
      </c>
      <c r="I158" t="str" cm="1">
        <f t="array" aca="1" ref="I158" ca="1">IF('Raw Data'!I158="",_xlfn.REGEXEXTRACT(CELL("address",'Raw Data'!I158),"\$([A-Z]+)\$[0-9]+"),"")</f>
        <v>$I$158</v>
      </c>
    </row>
    <row r="159" spans="2:9" x14ac:dyDescent="0.25">
      <c r="B159" t="str" cm="1">
        <f t="array" aca="1" ref="B159" ca="1">IF('Raw Data'!B159="",_xlfn.REGEXEXTRACT(CELL("address",'Raw Data'!B159),"\$([A-Z]+)\$[0-9]+"),"")</f>
        <v>$B$159</v>
      </c>
      <c r="C159" t="str" cm="1">
        <f t="array" aca="1" ref="C159" ca="1">IF('Raw Data'!C159="",_xlfn.REGEXEXTRACT(CELL("address",'Raw Data'!C159),"\$([A-Z]+)\$[0-9]+"),"")</f>
        <v>$C$159</v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>$E$159</v>
      </c>
      <c r="F159" t="str" cm="1">
        <f t="array" aca="1" ref="F159" ca="1">IF('Raw Data'!F159="",_xlfn.REGEXEXTRACT(CELL("address",'Raw Data'!F159),"\$([A-Z]+)\$[0-9]+"),"")</f>
        <v>$F$159</v>
      </c>
      <c r="G159" t="str" cm="1">
        <f t="array" aca="1" ref="G159" ca="1">IF('Raw Data'!G159="",_xlfn.REGEXEXTRACT(CELL("address",'Raw Data'!G159),"\$([A-Z]+)\$[0-9]+"),"")</f>
        <v>$G$159</v>
      </c>
      <c r="H159" t="str" cm="1">
        <f t="array" aca="1" ref="H159" ca="1">IF('Raw Data'!H159="",_xlfn.REGEXEXTRACT(CELL("address",'Raw Data'!H159),"\$([A-Z]+)\$[0-9]+"),"")</f>
        <v>$H$159</v>
      </c>
      <c r="I159" t="str" cm="1">
        <f t="array" aca="1" ref="I159" ca="1">IF('Raw Data'!I159="",_xlfn.REGEXEXTRACT(CELL("address",'Raw Data'!I159),"\$([A-Z]+)\$[0-9]+"),"")</f>
        <v>$I$159</v>
      </c>
    </row>
    <row r="160" spans="2:9" x14ac:dyDescent="0.25">
      <c r="B160" t="str" cm="1">
        <f t="array" aca="1" ref="B160" ca="1">IF('Raw Data'!B160="",_xlfn.REGEXEXTRACT(CELL("address",'Raw Data'!B160),"\$([A-Z]+)\$[0-9]+"),"")</f>
        <v>$B$160</v>
      </c>
      <c r="C160" t="str" cm="1">
        <f t="array" aca="1" ref="C160" ca="1">IF('Raw Data'!C160="",_xlfn.REGEXEXTRACT(CELL("address",'Raw Data'!C160),"\$([A-Z]+)\$[0-9]+"),"")</f>
        <v>$C$160</v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>$E$160</v>
      </c>
      <c r="F160" t="str" cm="1">
        <f t="array" aca="1" ref="F160" ca="1">IF('Raw Data'!F160="",_xlfn.REGEXEXTRACT(CELL("address",'Raw Data'!F160),"\$([A-Z]+)\$[0-9]+"),"")</f>
        <v>$F$160</v>
      </c>
      <c r="G160" t="str" cm="1">
        <f t="array" aca="1" ref="G160" ca="1">IF('Raw Data'!G160="",_xlfn.REGEXEXTRACT(CELL("address",'Raw Data'!G160),"\$([A-Z]+)\$[0-9]+"),"")</f>
        <v>$G$160</v>
      </c>
      <c r="H160" t="str" cm="1">
        <f t="array" aca="1" ref="H160" ca="1">IF('Raw Data'!H160="",_xlfn.REGEXEXTRACT(CELL("address",'Raw Data'!H160),"\$([A-Z]+)\$[0-9]+"),"")</f>
        <v>$H$160</v>
      </c>
      <c r="I160" t="str" cm="1">
        <f t="array" aca="1" ref="I160" ca="1">IF('Raw Data'!I160="",_xlfn.REGEXEXTRACT(CELL("address",'Raw Data'!I160),"\$([A-Z]+)\$[0-9]+"),"")</f>
        <v>$I$160</v>
      </c>
    </row>
    <row r="161" spans="2:9" x14ac:dyDescent="0.25">
      <c r="B161" t="str" cm="1">
        <f t="array" aca="1" ref="B161" ca="1">IF('Raw Data'!B161="",_xlfn.REGEXEXTRACT(CELL("address",'Raw Data'!B161),"\$([A-Z]+)\$[0-9]+"),"")</f>
        <v>$B$161</v>
      </c>
      <c r="C161" t="str" cm="1">
        <f t="array" aca="1" ref="C161" ca="1">IF('Raw Data'!C161="",_xlfn.REGEXEXTRACT(CELL("address",'Raw Data'!C161),"\$([A-Z]+)\$[0-9]+"),"")</f>
        <v>$C$161</v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>$E$161</v>
      </c>
      <c r="F161" t="str" cm="1">
        <f t="array" aca="1" ref="F161" ca="1">IF('Raw Data'!F161="",_xlfn.REGEXEXTRACT(CELL("address",'Raw Data'!F161),"\$([A-Z]+)\$[0-9]+"),"")</f>
        <v>$F$161</v>
      </c>
      <c r="G161" t="str" cm="1">
        <f t="array" aca="1" ref="G161" ca="1">IF('Raw Data'!G161="",_xlfn.REGEXEXTRACT(CELL("address",'Raw Data'!G161),"\$([A-Z]+)\$[0-9]+"),"")</f>
        <v>$G$161</v>
      </c>
      <c r="H161" t="str" cm="1">
        <f t="array" aca="1" ref="H161" ca="1">IF('Raw Data'!H161="",_xlfn.REGEXEXTRACT(CELL("address",'Raw Data'!H161),"\$([A-Z]+)\$[0-9]+"),"")</f>
        <v>$H$161</v>
      </c>
      <c r="I161" t="str" cm="1">
        <f t="array" aca="1" ref="I161" ca="1">IF('Raw Data'!I161="",_xlfn.REGEXEXTRACT(CELL("address",'Raw Data'!I161),"\$([A-Z]+)\$[0-9]+"),"")</f>
        <v>$I$161</v>
      </c>
    </row>
    <row r="162" spans="2:9" x14ac:dyDescent="0.25">
      <c r="B162" t="str" cm="1">
        <f t="array" aca="1" ref="B162" ca="1">IF('Raw Data'!B162="",_xlfn.REGEXEXTRACT(CELL("address",'Raw Data'!B162),"\$([A-Z]+)\$[0-9]+"),"")</f>
        <v>$B$162</v>
      </c>
      <c r="C162" t="str" cm="1">
        <f t="array" aca="1" ref="C162" ca="1">IF('Raw Data'!C162="",_xlfn.REGEXEXTRACT(CELL("address",'Raw Data'!C162),"\$([A-Z]+)\$[0-9]+"),"")</f>
        <v>$C$162</v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>$E$162</v>
      </c>
      <c r="F162" t="str" cm="1">
        <f t="array" aca="1" ref="F162" ca="1">IF('Raw Data'!F162="",_xlfn.REGEXEXTRACT(CELL("address",'Raw Data'!F162),"\$([A-Z]+)\$[0-9]+"),"")</f>
        <v>$F$162</v>
      </c>
      <c r="G162" t="str" cm="1">
        <f t="array" aca="1" ref="G162" ca="1">IF('Raw Data'!G162="",_xlfn.REGEXEXTRACT(CELL("address",'Raw Data'!G162),"\$([A-Z]+)\$[0-9]+"),"")</f>
        <v>$G$162</v>
      </c>
      <c r="H162" t="str" cm="1">
        <f t="array" aca="1" ref="H162" ca="1">IF('Raw Data'!H162="",_xlfn.REGEXEXTRACT(CELL("address",'Raw Data'!H162),"\$([A-Z]+)\$[0-9]+"),"")</f>
        <v>$H$162</v>
      </c>
      <c r="I162" t="str" cm="1">
        <f t="array" aca="1" ref="I162" ca="1">IF('Raw Data'!I162="",_xlfn.REGEXEXTRACT(CELL("address",'Raw Data'!I162),"\$([A-Z]+)\$[0-9]+"),"")</f>
        <v>$I$162</v>
      </c>
    </row>
    <row r="163" spans="2:9" x14ac:dyDescent="0.25">
      <c r="B163" t="str" cm="1">
        <f t="array" aca="1" ref="B163" ca="1">IF('Raw Data'!B163="",_xlfn.REGEXEXTRACT(CELL("address",'Raw Data'!B163),"\$([A-Z]+)\$[0-9]+"),"")</f>
        <v>$B$163</v>
      </c>
      <c r="C163" t="str" cm="1">
        <f t="array" aca="1" ref="C163" ca="1">IF('Raw Data'!C163="",_xlfn.REGEXEXTRACT(CELL("address",'Raw Data'!C163),"\$([A-Z]+)\$[0-9]+"),"")</f>
        <v>$C$163</v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>$E$163</v>
      </c>
      <c r="F163" t="str" cm="1">
        <f t="array" aca="1" ref="F163" ca="1">IF('Raw Data'!F163="",_xlfn.REGEXEXTRACT(CELL("address",'Raw Data'!F163),"\$([A-Z]+)\$[0-9]+"),"")</f>
        <v>$F$163</v>
      </c>
      <c r="G163" t="str" cm="1">
        <f t="array" aca="1" ref="G163" ca="1">IF('Raw Data'!G163="",_xlfn.REGEXEXTRACT(CELL("address",'Raw Data'!G163),"\$([A-Z]+)\$[0-9]+"),"")</f>
        <v>$G$163</v>
      </c>
      <c r="H163" t="str" cm="1">
        <f t="array" aca="1" ref="H163" ca="1">IF('Raw Data'!H163="",_xlfn.REGEXEXTRACT(CELL("address",'Raw Data'!H163),"\$([A-Z]+)\$[0-9]+"),"")</f>
        <v>$H$163</v>
      </c>
      <c r="I163" t="str" cm="1">
        <f t="array" aca="1" ref="I163" ca="1">IF('Raw Data'!I163="",_xlfn.REGEXEXTRACT(CELL("address",'Raw Data'!I163),"\$([A-Z]+)\$[0-9]+"),"")</f>
        <v>$I$163</v>
      </c>
    </row>
    <row r="164" spans="2:9" x14ac:dyDescent="0.25">
      <c r="B164" t="str" cm="1">
        <f t="array" aca="1" ref="B164" ca="1">IF('Raw Data'!B164="",_xlfn.REGEXEXTRACT(CELL("address",'Raw Data'!B164),"\$([A-Z]+)\$[0-9]+"),"")</f>
        <v>$B$164</v>
      </c>
      <c r="C164" t="str" cm="1">
        <f t="array" aca="1" ref="C164" ca="1">IF('Raw Data'!C164="",_xlfn.REGEXEXTRACT(CELL("address",'Raw Data'!C164),"\$([A-Z]+)\$[0-9]+"),"")</f>
        <v>$C$164</v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>$E$164</v>
      </c>
      <c r="F164" t="str" cm="1">
        <f t="array" aca="1" ref="F164" ca="1">IF('Raw Data'!F164="",_xlfn.REGEXEXTRACT(CELL("address",'Raw Data'!F164),"\$([A-Z]+)\$[0-9]+"),"")</f>
        <v>$F$164</v>
      </c>
      <c r="G164" t="str" cm="1">
        <f t="array" aca="1" ref="G164" ca="1">IF('Raw Data'!G164="",_xlfn.REGEXEXTRACT(CELL("address",'Raw Data'!G164),"\$([A-Z]+)\$[0-9]+"),"")</f>
        <v>$G$164</v>
      </c>
      <c r="H164" t="str" cm="1">
        <f t="array" aca="1" ref="H164" ca="1">IF('Raw Data'!H164="",_xlfn.REGEXEXTRACT(CELL("address",'Raw Data'!H164),"\$([A-Z]+)\$[0-9]+"),"")</f>
        <v>$H$164</v>
      </c>
      <c r="I164" t="str" cm="1">
        <f t="array" aca="1" ref="I164" ca="1">IF('Raw Data'!I164="",_xlfn.REGEXEXTRACT(CELL("address",'Raw Data'!I164),"\$([A-Z]+)\$[0-9]+"),"")</f>
        <v>$I$164</v>
      </c>
    </row>
    <row r="165" spans="2:9" x14ac:dyDescent="0.25">
      <c r="B165" t="str" cm="1">
        <f t="array" aca="1" ref="B165" ca="1">IF('Raw Data'!B165="",_xlfn.REGEXEXTRACT(CELL("address",'Raw Data'!B165),"\$([A-Z]+)\$[0-9]+"),"")</f>
        <v>$B$165</v>
      </c>
      <c r="C165" t="str" cm="1">
        <f t="array" aca="1" ref="C165" ca="1">IF('Raw Data'!C165="",_xlfn.REGEXEXTRACT(CELL("address",'Raw Data'!C165),"\$([A-Z]+)\$[0-9]+"),"")</f>
        <v>$C$165</v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>$E$165</v>
      </c>
      <c r="F165" t="str" cm="1">
        <f t="array" aca="1" ref="F165" ca="1">IF('Raw Data'!F165="",_xlfn.REGEXEXTRACT(CELL("address",'Raw Data'!F165),"\$([A-Z]+)\$[0-9]+"),"")</f>
        <v>$F$165</v>
      </c>
      <c r="G165" t="str" cm="1">
        <f t="array" aca="1" ref="G165" ca="1">IF('Raw Data'!G165="",_xlfn.REGEXEXTRACT(CELL("address",'Raw Data'!G165),"\$([A-Z]+)\$[0-9]+"),"")</f>
        <v>$G$165</v>
      </c>
      <c r="H165" t="str" cm="1">
        <f t="array" aca="1" ref="H165" ca="1">IF('Raw Data'!H165="",_xlfn.REGEXEXTRACT(CELL("address",'Raw Data'!H165),"\$([A-Z]+)\$[0-9]+"),"")</f>
        <v>$H$165</v>
      </c>
      <c r="I165" t="str" cm="1">
        <f t="array" aca="1" ref="I165" ca="1">IF('Raw Data'!I165="",_xlfn.REGEXEXTRACT(CELL("address",'Raw Data'!I165),"\$([A-Z]+)\$[0-9]+"),"")</f>
        <v>$I$165</v>
      </c>
    </row>
    <row r="166" spans="2:9" x14ac:dyDescent="0.25">
      <c r="B166" t="str" cm="1">
        <f t="array" aca="1" ref="B166" ca="1">IF('Raw Data'!B166="",_xlfn.REGEXEXTRACT(CELL("address",'Raw Data'!B166),"\$([A-Z]+)\$[0-9]+"),"")</f>
        <v>$B$166</v>
      </c>
      <c r="C166" t="str" cm="1">
        <f t="array" aca="1" ref="C166" ca="1">IF('Raw Data'!C166="",_xlfn.REGEXEXTRACT(CELL("address",'Raw Data'!C166),"\$([A-Z]+)\$[0-9]+"),"")</f>
        <v>$C$166</v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>$F$166</v>
      </c>
      <c r="G166" t="str" cm="1">
        <f t="array" aca="1" ref="G166" ca="1">IF('Raw Data'!G166="",_xlfn.REGEXEXTRACT(CELL("address",'Raw Data'!G166),"\$([A-Z]+)\$[0-9]+"),"")</f>
        <v>$G$166</v>
      </c>
      <c r="H166" t="str" cm="1">
        <f t="array" aca="1" ref="H166" ca="1">IF('Raw Data'!H166="",_xlfn.REGEXEXTRACT(CELL("address",'Raw Data'!H166),"\$([A-Z]+)\$[0-9]+"),"")</f>
        <v>$H$166</v>
      </c>
      <c r="I166" t="str" cm="1">
        <f t="array" aca="1" ref="I166" ca="1">IF('Raw Data'!I166="",_xlfn.REGEXEXTRACT(CELL("address",'Raw Data'!I166),"\$([A-Z]+)\$[0-9]+"),"")</f>
        <v>$I$166</v>
      </c>
    </row>
    <row r="167" spans="2:9" x14ac:dyDescent="0.25">
      <c r="B167" t="str" cm="1">
        <f t="array" aca="1" ref="B167" ca="1">IF('Raw Data'!B167="",_xlfn.REGEXEXTRACT(CELL("address",'Raw Data'!B167),"\$([A-Z]+)\$[0-9]+"),"")</f>
        <v>$B$167</v>
      </c>
      <c r="C167" t="str" cm="1">
        <f t="array" aca="1" ref="C167" ca="1">IF('Raw Data'!C167="",_xlfn.REGEXEXTRACT(CELL("address",'Raw Data'!C167),"\$([A-Z]+)\$[0-9]+"),"")</f>
        <v>$C$167</v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>$F$167</v>
      </c>
      <c r="G167" t="str" cm="1">
        <f t="array" aca="1" ref="G167" ca="1">IF('Raw Data'!G167="",_xlfn.REGEXEXTRACT(CELL("address",'Raw Data'!G167),"\$([A-Z]+)\$[0-9]+"),"")</f>
        <v>$G$167</v>
      </c>
      <c r="H167" t="str" cm="1">
        <f t="array" aca="1" ref="H167" ca="1">IF('Raw Data'!H167="",_xlfn.REGEXEXTRACT(CELL("address",'Raw Data'!H167),"\$([A-Z]+)\$[0-9]+"),"")</f>
        <v>$H$167</v>
      </c>
      <c r="I167" t="str" cm="1">
        <f t="array" aca="1" ref="I167" ca="1">IF('Raw Data'!I167="",_xlfn.REGEXEXTRACT(CELL("address",'Raw Data'!I167),"\$([A-Z]+)\$[0-9]+"),"")</f>
        <v>$I$167</v>
      </c>
    </row>
    <row r="168" spans="2:9" x14ac:dyDescent="0.25">
      <c r="B168" t="str" cm="1">
        <f t="array" aca="1" ref="B168" ca="1">IF('Raw Data'!B168="",_xlfn.REGEXEXTRACT(CELL("address",'Raw Data'!B168),"\$([A-Z]+)\$[0-9]+"),"")</f>
        <v>$B$168</v>
      </c>
      <c r="C168" t="str" cm="1">
        <f t="array" aca="1" ref="C168" ca="1">IF('Raw Data'!C168="",_xlfn.REGEXEXTRACT(CELL("address",'Raw Data'!C168),"\$([A-Z]+)\$[0-9]+"),"")</f>
        <v>$C$168</v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>$F$168</v>
      </c>
      <c r="G168" t="str" cm="1">
        <f t="array" aca="1" ref="G168" ca="1">IF('Raw Data'!G168="",_xlfn.REGEXEXTRACT(CELL("address",'Raw Data'!G168),"\$([A-Z]+)\$[0-9]+"),"")</f>
        <v>$G$168</v>
      </c>
      <c r="H168" t="str" cm="1">
        <f t="array" aca="1" ref="H168" ca="1">IF('Raw Data'!H168="",_xlfn.REGEXEXTRACT(CELL("address",'Raw Data'!H168),"\$([A-Z]+)\$[0-9]+"),"")</f>
        <v>$H$168</v>
      </c>
      <c r="I168" t="str" cm="1">
        <f t="array" aca="1" ref="I168" ca="1">IF('Raw Data'!I168="",_xlfn.REGEXEXTRACT(CELL("address",'Raw Data'!I168),"\$([A-Z]+)\$[0-9]+"),"")</f>
        <v>$I$168</v>
      </c>
    </row>
    <row r="169" spans="2:9" x14ac:dyDescent="0.25">
      <c r="B169" t="str" cm="1">
        <f t="array" aca="1" ref="B169" ca="1">IF('Raw Data'!B169="",_xlfn.REGEXEXTRACT(CELL("address",'Raw Data'!B169),"\$([A-Z]+)\$[0-9]+"),"")</f>
        <v>$B$169</v>
      </c>
      <c r="C169" t="str" cm="1">
        <f t="array" aca="1" ref="C169" ca="1">IF('Raw Data'!C169="",_xlfn.REGEXEXTRACT(CELL("address",'Raw Data'!C169),"\$([A-Z]+)\$[0-9]+"),"")</f>
        <v>$C$169</v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>$F$169</v>
      </c>
      <c r="G169" t="str" cm="1">
        <f t="array" aca="1" ref="G169" ca="1">IF('Raw Data'!G169="",_xlfn.REGEXEXTRACT(CELL("address",'Raw Data'!G169),"\$([A-Z]+)\$[0-9]+"),"")</f>
        <v>$G$169</v>
      </c>
      <c r="H169" t="str" cm="1">
        <f t="array" aca="1" ref="H169" ca="1">IF('Raw Data'!H169="",_xlfn.REGEXEXTRACT(CELL("address",'Raw Data'!H169),"\$([A-Z]+)\$[0-9]+"),"")</f>
        <v>$H$169</v>
      </c>
      <c r="I169" t="str" cm="1">
        <f t="array" aca="1" ref="I169" ca="1">IF('Raw Data'!I169="",_xlfn.REGEXEXTRACT(CELL("address",'Raw Data'!I169),"\$([A-Z]+)\$[0-9]+"),"")</f>
        <v>$I$169</v>
      </c>
    </row>
    <row r="170" spans="2:9" x14ac:dyDescent="0.25">
      <c r="B170" t="str" cm="1">
        <f t="array" aca="1" ref="B170" ca="1">IF('Raw Data'!B170="",_xlfn.REGEXEXTRACT(CELL("address",'Raw Data'!B170),"\$([A-Z]+)\$[0-9]+"),"")</f>
        <v>$B$170</v>
      </c>
      <c r="C170" t="str" cm="1">
        <f t="array" aca="1" ref="C170" ca="1">IF('Raw Data'!C170="",_xlfn.REGEXEXTRACT(CELL("address",'Raw Data'!C170),"\$([A-Z]+)\$[0-9]+"),"")</f>
        <v>$C$170</v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>$F$170</v>
      </c>
      <c r="G170" t="str" cm="1">
        <f t="array" aca="1" ref="G170" ca="1">IF('Raw Data'!G170="",_xlfn.REGEXEXTRACT(CELL("address",'Raw Data'!G170),"\$([A-Z]+)\$[0-9]+"),"")</f>
        <v>$G$170</v>
      </c>
      <c r="H170" t="str" cm="1">
        <f t="array" aca="1" ref="H170" ca="1">IF('Raw Data'!H170="",_xlfn.REGEXEXTRACT(CELL("address",'Raw Data'!H170),"\$([A-Z]+)\$[0-9]+"),"")</f>
        <v>$H$170</v>
      </c>
      <c r="I170" t="str" cm="1">
        <f t="array" aca="1" ref="I170" ca="1">IF('Raw Data'!I170="",_xlfn.REGEXEXTRACT(CELL("address",'Raw Data'!I170),"\$([A-Z]+)\$[0-9]+"),"")</f>
        <v>$I$170</v>
      </c>
    </row>
    <row r="171" spans="2:9" x14ac:dyDescent="0.25">
      <c r="B171" t="str" cm="1">
        <f t="array" aca="1" ref="B171" ca="1">IF('Raw Data'!B171="",_xlfn.REGEXEXTRACT(CELL("address",'Raw Data'!B171),"\$([A-Z]+)\$[0-9]+"),"")</f>
        <v>$B$171</v>
      </c>
      <c r="C171" t="str" cm="1">
        <f t="array" aca="1" ref="C171" ca="1">IF('Raw Data'!C171="",_xlfn.REGEXEXTRACT(CELL("address",'Raw Data'!C171),"\$([A-Z]+)\$[0-9]+"),"")</f>
        <v>$C$171</v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>$F$171</v>
      </c>
      <c r="G171" t="str" cm="1">
        <f t="array" aca="1" ref="G171" ca="1">IF('Raw Data'!G171="",_xlfn.REGEXEXTRACT(CELL("address",'Raw Data'!G171),"\$([A-Z]+)\$[0-9]+"),"")</f>
        <v>$G$171</v>
      </c>
      <c r="H171" t="str" cm="1">
        <f t="array" aca="1" ref="H171" ca="1">IF('Raw Data'!H171="",_xlfn.REGEXEXTRACT(CELL("address",'Raw Data'!H171),"\$([A-Z]+)\$[0-9]+"),"")</f>
        <v>$H$171</v>
      </c>
      <c r="I171" t="str" cm="1">
        <f t="array" aca="1" ref="I171" ca="1">IF('Raw Data'!I171="",_xlfn.REGEXEXTRACT(CELL("address",'Raw Data'!I171),"\$([A-Z]+)\$[0-9]+"),"")</f>
        <v>$I$171</v>
      </c>
    </row>
    <row r="172" spans="2:9" x14ac:dyDescent="0.25">
      <c r="B172" t="str" cm="1">
        <f t="array" aca="1" ref="B172" ca="1">IF('Raw Data'!B172="",_xlfn.REGEXEXTRACT(CELL("address",'Raw Data'!B172),"\$([A-Z]+)\$[0-9]+"),"")</f>
        <v>$B$172</v>
      </c>
      <c r="C172" t="str" cm="1">
        <f t="array" aca="1" ref="C172" ca="1">IF('Raw Data'!C172="",_xlfn.REGEXEXTRACT(CELL("address",'Raw Data'!C172),"\$([A-Z]+)\$[0-9]+"),"")</f>
        <v>$C$172</v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>$F$172</v>
      </c>
      <c r="G172" t="str" cm="1">
        <f t="array" aca="1" ref="G172" ca="1">IF('Raw Data'!G172="",_xlfn.REGEXEXTRACT(CELL("address",'Raw Data'!G172),"\$([A-Z]+)\$[0-9]+"),"")</f>
        <v>$G$172</v>
      </c>
      <c r="H172" t="str" cm="1">
        <f t="array" aca="1" ref="H172" ca="1">IF('Raw Data'!H172="",_xlfn.REGEXEXTRACT(CELL("address",'Raw Data'!H172),"\$([A-Z]+)\$[0-9]+"),"")</f>
        <v>$H$172</v>
      </c>
      <c r="I172" t="str" cm="1">
        <f t="array" aca="1" ref="I172" ca="1">IF('Raw Data'!I172="",_xlfn.REGEXEXTRACT(CELL("address",'Raw Data'!I172),"\$([A-Z]+)\$[0-9]+"),"")</f>
        <v>$I$172</v>
      </c>
    </row>
    <row r="173" spans="2:9" x14ac:dyDescent="0.25">
      <c r="B173" t="str" cm="1">
        <f t="array" aca="1" ref="B173" ca="1">IF('Raw Data'!B173="",_xlfn.REGEXEXTRACT(CELL("address",'Raw Data'!B173),"\$([A-Z]+)\$[0-9]+"),"")</f>
        <v>$B$173</v>
      </c>
      <c r="C173" t="str" cm="1">
        <f t="array" aca="1" ref="C173" ca="1">IF('Raw Data'!C173="",_xlfn.REGEXEXTRACT(CELL("address",'Raw Data'!C173),"\$([A-Z]+)\$[0-9]+"),"")</f>
        <v>$C$173</v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>$F$173</v>
      </c>
      <c r="G173" t="str" cm="1">
        <f t="array" aca="1" ref="G173" ca="1">IF('Raw Data'!G173="",_xlfn.REGEXEXTRACT(CELL("address",'Raw Data'!G173),"\$([A-Z]+)\$[0-9]+"),"")</f>
        <v>$G$173</v>
      </c>
      <c r="H173" t="str" cm="1">
        <f t="array" aca="1" ref="H173" ca="1">IF('Raw Data'!H173="",_xlfn.REGEXEXTRACT(CELL("address",'Raw Data'!H173),"\$([A-Z]+)\$[0-9]+"),"")</f>
        <v>$H$173</v>
      </c>
      <c r="I173" t="str" cm="1">
        <f t="array" aca="1" ref="I173" ca="1">IF('Raw Data'!I173="",_xlfn.REGEXEXTRACT(CELL("address",'Raw Data'!I173),"\$([A-Z]+)\$[0-9]+"),"")</f>
        <v>$I$173</v>
      </c>
    </row>
    <row r="174" spans="2:9" x14ac:dyDescent="0.25">
      <c r="B174" t="str" cm="1">
        <f t="array" aca="1" ref="B174" ca="1">IF('Raw Data'!B174="",_xlfn.REGEXEXTRACT(CELL("address",'Raw Data'!B174),"\$([A-Z]+)\$[0-9]+"),"")</f>
        <v>$B$174</v>
      </c>
      <c r="C174" t="str" cm="1">
        <f t="array" aca="1" ref="C174" ca="1">IF('Raw Data'!C174="",_xlfn.REGEXEXTRACT(CELL("address",'Raw Data'!C174),"\$([A-Z]+)\$[0-9]+"),"")</f>
        <v>$C$174</v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>$F$174</v>
      </c>
      <c r="G174" t="str" cm="1">
        <f t="array" aca="1" ref="G174" ca="1">IF('Raw Data'!G174="",_xlfn.REGEXEXTRACT(CELL("address",'Raw Data'!G174),"\$([A-Z]+)\$[0-9]+"),"")</f>
        <v>$G$174</v>
      </c>
      <c r="H174" t="str" cm="1">
        <f t="array" aca="1" ref="H174" ca="1">IF('Raw Data'!H174="",_xlfn.REGEXEXTRACT(CELL("address",'Raw Data'!H174),"\$([A-Z]+)\$[0-9]+"),"")</f>
        <v>$H$174</v>
      </c>
      <c r="I174" t="str" cm="1">
        <f t="array" aca="1" ref="I174" ca="1">IF('Raw Data'!I174="",_xlfn.REGEXEXTRACT(CELL("address",'Raw Data'!I174),"\$([A-Z]+)\$[0-9]+"),"")</f>
        <v>$I$174</v>
      </c>
    </row>
    <row r="175" spans="2:9" x14ac:dyDescent="0.25">
      <c r="B175" t="str" cm="1">
        <f t="array" aca="1" ref="B175" ca="1">IF('Raw Data'!B175="",_xlfn.REGEXEXTRACT(CELL("address",'Raw Data'!B175),"\$([A-Z]+)\$[0-9]+"),"")</f>
        <v>$B$175</v>
      </c>
      <c r="C175" t="str" cm="1">
        <f t="array" aca="1" ref="C175" ca="1">IF('Raw Data'!C175="",_xlfn.REGEXEXTRACT(CELL("address",'Raw Data'!C175),"\$([A-Z]+)\$[0-9]+"),"")</f>
        <v>$C$175</v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>$F$175</v>
      </c>
      <c r="G175" t="str" cm="1">
        <f t="array" aca="1" ref="G175" ca="1">IF('Raw Data'!G175="",_xlfn.REGEXEXTRACT(CELL("address",'Raw Data'!G175),"\$([A-Z]+)\$[0-9]+"),"")</f>
        <v>$G$175</v>
      </c>
      <c r="H175" t="str" cm="1">
        <f t="array" aca="1" ref="H175" ca="1">IF('Raw Data'!H175="",_xlfn.REGEXEXTRACT(CELL("address",'Raw Data'!H175),"\$([A-Z]+)\$[0-9]+"),"")</f>
        <v>$H$175</v>
      </c>
      <c r="I175" t="str" cm="1">
        <f t="array" aca="1" ref="I175" ca="1">IF('Raw Data'!I175="",_xlfn.REGEXEXTRACT(CELL("address",'Raw Data'!I175),"\$([A-Z]+)\$[0-9]+"),"")</f>
        <v>$I$175</v>
      </c>
    </row>
    <row r="176" spans="2:9" x14ac:dyDescent="0.25">
      <c r="B176" t="str" cm="1">
        <f t="array" aca="1" ref="B176" ca="1">IF('Raw Data'!B176="",_xlfn.REGEXEXTRACT(CELL("address",'Raw Data'!B176),"\$([A-Z]+)\$[0-9]+"),"")</f>
        <v>$B$176</v>
      </c>
      <c r="C176" t="str" cm="1">
        <f t="array" aca="1" ref="C176" ca="1">IF('Raw Data'!C176="",_xlfn.REGEXEXTRACT(CELL("address",'Raw Data'!C176),"\$([A-Z]+)\$[0-9]+"),"")</f>
        <v>$C$176</v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>$F$176</v>
      </c>
      <c r="G176" t="str" cm="1">
        <f t="array" aca="1" ref="G176" ca="1">IF('Raw Data'!G176="",_xlfn.REGEXEXTRACT(CELL("address",'Raw Data'!G176),"\$([A-Z]+)\$[0-9]+"),"")</f>
        <v>$G$176</v>
      </c>
      <c r="H176" t="str" cm="1">
        <f t="array" aca="1" ref="H176" ca="1">IF('Raw Data'!H176="",_xlfn.REGEXEXTRACT(CELL("address",'Raw Data'!H176),"\$([A-Z]+)\$[0-9]+"),"")</f>
        <v>$H$176</v>
      </c>
      <c r="I176" t="str" cm="1">
        <f t="array" aca="1" ref="I176" ca="1">IF('Raw Data'!I176="",_xlfn.REGEXEXTRACT(CELL("address",'Raw Data'!I176),"\$([A-Z]+)\$[0-9]+"),"")</f>
        <v>$I$176</v>
      </c>
    </row>
    <row r="177" spans="2:9" x14ac:dyDescent="0.25">
      <c r="B177" t="str" cm="1">
        <f t="array" aca="1" ref="B177" ca="1">IF('Raw Data'!B177="",_xlfn.REGEXEXTRACT(CELL("address",'Raw Data'!B177),"\$([A-Z]+)\$[0-9]+"),"")</f>
        <v>$B$177</v>
      </c>
      <c r="C177" t="str" cm="1">
        <f t="array" aca="1" ref="C177" ca="1">IF('Raw Data'!C177="",_xlfn.REGEXEXTRACT(CELL("address",'Raw Data'!C177),"\$([A-Z]+)\$[0-9]+"),"")</f>
        <v>$C$177</v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>$F$177</v>
      </c>
      <c r="G177" t="str" cm="1">
        <f t="array" aca="1" ref="G177" ca="1">IF('Raw Data'!G177="",_xlfn.REGEXEXTRACT(CELL("address",'Raw Data'!G177),"\$([A-Z]+)\$[0-9]+"),"")</f>
        <v>$G$177</v>
      </c>
      <c r="H177" t="str" cm="1">
        <f t="array" aca="1" ref="H177" ca="1">IF('Raw Data'!H177="",_xlfn.REGEXEXTRACT(CELL("address",'Raw Data'!H177),"\$([A-Z]+)\$[0-9]+"),"")</f>
        <v>$H$177</v>
      </c>
      <c r="I177" t="str" cm="1">
        <f t="array" aca="1" ref="I177" ca="1">IF('Raw Data'!I177="",_xlfn.REGEXEXTRACT(CELL("address",'Raw Data'!I177),"\$([A-Z]+)\$[0-9]+"),"")</f>
        <v>$I$177</v>
      </c>
    </row>
    <row r="178" spans="2:9" x14ac:dyDescent="0.25">
      <c r="B178" t="str" cm="1">
        <f t="array" aca="1" ref="B178" ca="1">IF('Raw Data'!B178="",_xlfn.REGEXEXTRACT(CELL("address",'Raw Data'!B178),"\$([A-Z]+)\$[0-9]+"),"")</f>
        <v>$B$178</v>
      </c>
      <c r="C178" t="str" cm="1">
        <f t="array" aca="1" ref="C178" ca="1">IF('Raw Data'!C178="",_xlfn.REGEXEXTRACT(CELL("address",'Raw Data'!C178),"\$([A-Z]+)\$[0-9]+"),"")</f>
        <v>$C$178</v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str" cm="1">
        <f t="array" aca="1" ref="G178" ca="1">IF('Raw Data'!G178="",_xlfn.REGEXEXTRACT(CELL("address",'Raw Data'!G178),"\$([A-Z]+)\$[0-9]+"),"")</f>
        <v>$G$178</v>
      </c>
      <c r="H178" t="str" cm="1">
        <f t="array" aca="1" ref="H178" ca="1">IF('Raw Data'!H178="",_xlfn.REGEXEXTRACT(CELL("address",'Raw Data'!H178),"\$([A-Z]+)\$[0-9]+"),"")</f>
        <v>$H$178</v>
      </c>
      <c r="I178" t="str" cm="1">
        <f t="array" aca="1" ref="I178" ca="1">IF('Raw Data'!I178="",_xlfn.REGEXEXTRACT(CELL("address",'Raw Data'!I178),"\$([A-Z]+)\$[0-9]+"),"")</f>
        <v>$I$178</v>
      </c>
    </row>
    <row r="179" spans="2:9" x14ac:dyDescent="0.25">
      <c r="B179" t="str" cm="1">
        <f t="array" aca="1" ref="B179" ca="1">IF('Raw Data'!B179="",_xlfn.REGEXEXTRACT(CELL("address",'Raw Data'!B179),"\$([A-Z]+)\$[0-9]+"),"")</f>
        <v>$B$179</v>
      </c>
      <c r="C179" t="str" cm="1">
        <f t="array" aca="1" ref="C179" ca="1">IF('Raw Data'!C179="",_xlfn.REGEXEXTRACT(CELL("address",'Raw Data'!C179),"\$([A-Z]+)\$[0-9]+"),"")</f>
        <v>$C$179</v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str" cm="1">
        <f t="array" aca="1" ref="G179" ca="1">IF('Raw Data'!G179="",_xlfn.REGEXEXTRACT(CELL("address",'Raw Data'!G179),"\$([A-Z]+)\$[0-9]+"),"")</f>
        <v>$G$179</v>
      </c>
      <c r="H179" t="str" cm="1">
        <f t="array" aca="1" ref="H179" ca="1">IF('Raw Data'!H179="",_xlfn.REGEXEXTRACT(CELL("address",'Raw Data'!H179),"\$([A-Z]+)\$[0-9]+"),"")</f>
        <v>$H$179</v>
      </c>
      <c r="I179" t="str" cm="1">
        <f t="array" aca="1" ref="I179" ca="1">IF('Raw Data'!I179="",_xlfn.REGEXEXTRACT(CELL("address",'Raw Data'!I179),"\$([A-Z]+)\$[0-9]+"),"")</f>
        <v>$I$179</v>
      </c>
    </row>
    <row r="180" spans="2:9" x14ac:dyDescent="0.25">
      <c r="B180" t="str" cm="1">
        <f t="array" aca="1" ref="B180" ca="1">IF('Raw Data'!B180="",_xlfn.REGEXEXTRACT(CELL("address",'Raw Data'!B180),"\$([A-Z]+)\$[0-9]+"),"")</f>
        <v>$B$180</v>
      </c>
      <c r="C180" t="str" cm="1">
        <f t="array" aca="1" ref="C180" ca="1">IF('Raw Data'!C180="",_xlfn.REGEXEXTRACT(CELL("address",'Raw Data'!C180),"\$([A-Z]+)\$[0-9]+"),"")</f>
        <v>$C$180</v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str" cm="1">
        <f t="array" aca="1" ref="G180" ca="1">IF('Raw Data'!G180="",_xlfn.REGEXEXTRACT(CELL("address",'Raw Data'!G180),"\$([A-Z]+)\$[0-9]+"),"")</f>
        <v>$G$180</v>
      </c>
      <c r="H180" t="str" cm="1">
        <f t="array" aca="1" ref="H180" ca="1">IF('Raw Data'!H180="",_xlfn.REGEXEXTRACT(CELL("address",'Raw Data'!H180),"\$([A-Z]+)\$[0-9]+"),"")</f>
        <v>$H$180</v>
      </c>
      <c r="I180" t="str" cm="1">
        <f t="array" aca="1" ref="I180" ca="1">IF('Raw Data'!I180="",_xlfn.REGEXEXTRACT(CELL("address",'Raw Data'!I180),"\$([A-Z]+)\$[0-9]+"),"")</f>
        <v>$I$180</v>
      </c>
    </row>
    <row r="181" spans="2:9" x14ac:dyDescent="0.25">
      <c r="B181" t="str" cm="1">
        <f t="array" aca="1" ref="B181" ca="1">IF('Raw Data'!B181="",_xlfn.REGEXEXTRACT(CELL("address",'Raw Data'!B181),"\$([A-Z]+)\$[0-9]+"),"")</f>
        <v>$B$181</v>
      </c>
      <c r="C181" t="str" cm="1">
        <f t="array" aca="1" ref="C181" ca="1">IF('Raw Data'!C181="",_xlfn.REGEXEXTRACT(CELL("address",'Raw Data'!C181),"\$([A-Z]+)\$[0-9]+"),"")</f>
        <v>$C$181</v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str" cm="1">
        <f t="array" aca="1" ref="G181" ca="1">IF('Raw Data'!G181="",_xlfn.REGEXEXTRACT(CELL("address",'Raw Data'!G181),"\$([A-Z]+)\$[0-9]+"),"")</f>
        <v>$G$181</v>
      </c>
      <c r="H181" t="str" cm="1">
        <f t="array" aca="1" ref="H181" ca="1">IF('Raw Data'!H181="",_xlfn.REGEXEXTRACT(CELL("address",'Raw Data'!H181),"\$([A-Z]+)\$[0-9]+"),"")</f>
        <v>$H$181</v>
      </c>
      <c r="I181" t="str" cm="1">
        <f t="array" aca="1" ref="I181" ca="1">IF('Raw Data'!I181="",_xlfn.REGEXEXTRACT(CELL("address",'Raw Data'!I181),"\$([A-Z]+)\$[0-9]+"),"")</f>
        <v>$I$181</v>
      </c>
    </row>
    <row r="182" spans="2:9" x14ac:dyDescent="0.25">
      <c r="B182" t="str" cm="1">
        <f t="array" aca="1" ref="B182" ca="1">IF('Raw Data'!B182="",_xlfn.REGEXEXTRACT(CELL("address",'Raw Data'!B182),"\$([A-Z]+)\$[0-9]+"),"")</f>
        <v>$B$182</v>
      </c>
      <c r="C182" t="str" cm="1">
        <f t="array" aca="1" ref="C182" ca="1">IF('Raw Data'!C182="",_xlfn.REGEXEXTRACT(CELL("address",'Raw Data'!C182),"\$([A-Z]+)\$[0-9]+"),"")</f>
        <v>$C$182</v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str" cm="1">
        <f t="array" aca="1" ref="G182" ca="1">IF('Raw Data'!G182="",_xlfn.REGEXEXTRACT(CELL("address",'Raw Data'!G182),"\$([A-Z]+)\$[0-9]+"),"")</f>
        <v>$G$182</v>
      </c>
      <c r="H182" t="str" cm="1">
        <f t="array" aca="1" ref="H182" ca="1">IF('Raw Data'!H182="",_xlfn.REGEXEXTRACT(CELL("address",'Raw Data'!H182),"\$([A-Z]+)\$[0-9]+"),"")</f>
        <v>$H$182</v>
      </c>
      <c r="I182" t="str" cm="1">
        <f t="array" aca="1" ref="I182" ca="1">IF('Raw Data'!I182="",_xlfn.REGEXEXTRACT(CELL("address",'Raw Data'!I182),"\$([A-Z]+)\$[0-9]+"),"")</f>
        <v>$I$182</v>
      </c>
    </row>
    <row r="183" spans="2:9" x14ac:dyDescent="0.25">
      <c r="B183" t="str" cm="1">
        <f t="array" aca="1" ref="B183" ca="1">IF('Raw Data'!B183="",_xlfn.REGEXEXTRACT(CELL("address",'Raw Data'!B183),"\$([A-Z]+)\$[0-9]+"),"")</f>
        <v>$B$183</v>
      </c>
      <c r="C183" t="str" cm="1">
        <f t="array" aca="1" ref="C183" ca="1">IF('Raw Data'!C183="",_xlfn.REGEXEXTRACT(CELL("address",'Raw Data'!C183),"\$([A-Z]+)\$[0-9]+"),"")</f>
        <v>$C$183</v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str" cm="1">
        <f t="array" aca="1" ref="G183" ca="1">IF('Raw Data'!G183="",_xlfn.REGEXEXTRACT(CELL("address",'Raw Data'!G183),"\$([A-Z]+)\$[0-9]+"),"")</f>
        <v>$G$183</v>
      </c>
      <c r="H183" t="str" cm="1">
        <f t="array" aca="1" ref="H183" ca="1">IF('Raw Data'!H183="",_xlfn.REGEXEXTRACT(CELL("address",'Raw Data'!H183),"\$([A-Z]+)\$[0-9]+"),"")</f>
        <v>$H$183</v>
      </c>
      <c r="I183" t="str" cm="1">
        <f t="array" aca="1" ref="I183" ca="1">IF('Raw Data'!I183="",_xlfn.REGEXEXTRACT(CELL("address",'Raw Data'!I183),"\$([A-Z]+)\$[0-9]+"),"")</f>
        <v>$I$183</v>
      </c>
    </row>
    <row r="184" spans="2:9" x14ac:dyDescent="0.25">
      <c r="B184" t="str" cm="1">
        <f t="array" aca="1" ref="B184" ca="1">IF('Raw Data'!B184="",_xlfn.REGEXEXTRACT(CELL("address",'Raw Data'!B184),"\$([A-Z]+)\$[0-9]+"),"")</f>
        <v>$B$184</v>
      </c>
      <c r="C184" t="str" cm="1">
        <f t="array" aca="1" ref="C184" ca="1">IF('Raw Data'!C184="",_xlfn.REGEXEXTRACT(CELL("address",'Raw Data'!C184),"\$([A-Z]+)\$[0-9]+"),"")</f>
        <v>$C$184</v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str" cm="1">
        <f t="array" aca="1" ref="G184" ca="1">IF('Raw Data'!G184="",_xlfn.REGEXEXTRACT(CELL("address",'Raw Data'!G184),"\$([A-Z]+)\$[0-9]+"),"")</f>
        <v>$G$184</v>
      </c>
      <c r="H184" t="str" cm="1">
        <f t="array" aca="1" ref="H184" ca="1">IF('Raw Data'!H184="",_xlfn.REGEXEXTRACT(CELL("address",'Raw Data'!H184),"\$([A-Z]+)\$[0-9]+"),"")</f>
        <v>$H$184</v>
      </c>
      <c r="I184" t="str" cm="1">
        <f t="array" aca="1" ref="I184" ca="1">IF('Raw Data'!I184="",_xlfn.REGEXEXTRACT(CELL("address",'Raw Data'!I184),"\$([A-Z]+)\$[0-9]+"),"")</f>
        <v>$I$184</v>
      </c>
    </row>
    <row r="185" spans="2:9" x14ac:dyDescent="0.25">
      <c r="B185" t="str" cm="1">
        <f t="array" aca="1" ref="B185" ca="1">IF('Raw Data'!B185="",_xlfn.REGEXEXTRACT(CELL("address",'Raw Data'!B185),"\$([A-Z]+)\$[0-9]+"),"")</f>
        <v>$B$185</v>
      </c>
      <c r="C185" t="str" cm="1">
        <f t="array" aca="1" ref="C185" ca="1">IF('Raw Data'!C185="",_xlfn.REGEXEXTRACT(CELL("address",'Raw Data'!C185),"\$([A-Z]+)\$[0-9]+"),"")</f>
        <v>$C$185</v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str" cm="1">
        <f t="array" aca="1" ref="G185" ca="1">IF('Raw Data'!G185="",_xlfn.REGEXEXTRACT(CELL("address",'Raw Data'!G185),"\$([A-Z]+)\$[0-9]+"),"")</f>
        <v>$G$185</v>
      </c>
      <c r="H185" t="str" cm="1">
        <f t="array" aca="1" ref="H185" ca="1">IF('Raw Data'!H185="",_xlfn.REGEXEXTRACT(CELL("address",'Raw Data'!H185),"\$([A-Z]+)\$[0-9]+"),"")</f>
        <v>$H$185</v>
      </c>
      <c r="I185" t="str" cm="1">
        <f t="array" aca="1" ref="I185" ca="1">IF('Raw Data'!I185="",_xlfn.REGEXEXTRACT(CELL("address",'Raw Data'!I185),"\$([A-Z]+)\$[0-9]+"),"")</f>
        <v>$I$185</v>
      </c>
    </row>
    <row r="186" spans="2:9" x14ac:dyDescent="0.25">
      <c r="B186" t="str" cm="1">
        <f t="array" aca="1" ref="B186" ca="1">IF('Raw Data'!B186="",_xlfn.REGEXEXTRACT(CELL("address",'Raw Data'!B186),"\$([A-Z]+)\$[0-9]+"),"")</f>
        <v>$B$186</v>
      </c>
      <c r="C186" t="str" cm="1">
        <f t="array" aca="1" ref="C186" ca="1">IF('Raw Data'!C186="",_xlfn.REGEXEXTRACT(CELL("address",'Raw Data'!C186),"\$([A-Z]+)\$[0-9]+"),"")</f>
        <v>$C$186</v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str" cm="1">
        <f t="array" aca="1" ref="G186" ca="1">IF('Raw Data'!G186="",_xlfn.REGEXEXTRACT(CELL("address",'Raw Data'!G186),"\$([A-Z]+)\$[0-9]+"),"")</f>
        <v>$G$186</v>
      </c>
      <c r="H186" t="str" cm="1">
        <f t="array" aca="1" ref="H186" ca="1">IF('Raw Data'!H186="",_xlfn.REGEXEXTRACT(CELL("address",'Raw Data'!H186),"\$([A-Z]+)\$[0-9]+"),"")</f>
        <v>$H$186</v>
      </c>
      <c r="I186" t="str" cm="1">
        <f t="array" aca="1" ref="I186" ca="1">IF('Raw Data'!I186="",_xlfn.REGEXEXTRACT(CELL("address",'Raw Data'!I186),"\$([A-Z]+)\$[0-9]+"),"")</f>
        <v>$I$186</v>
      </c>
    </row>
    <row r="187" spans="2:9" x14ac:dyDescent="0.25">
      <c r="B187" t="str" cm="1">
        <f t="array" aca="1" ref="B187" ca="1">IF('Raw Data'!B187="",_xlfn.REGEXEXTRACT(CELL("address",'Raw Data'!B187),"\$([A-Z]+)\$[0-9]+"),"")</f>
        <v>$B$187</v>
      </c>
      <c r="C187" t="str" cm="1">
        <f t="array" aca="1" ref="C187" ca="1">IF('Raw Data'!C187="",_xlfn.REGEXEXTRACT(CELL("address",'Raw Data'!C187),"\$([A-Z]+)\$[0-9]+"),"")</f>
        <v>$C$187</v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str" cm="1">
        <f t="array" aca="1" ref="G187" ca="1">IF('Raw Data'!G187="",_xlfn.REGEXEXTRACT(CELL("address",'Raw Data'!G187),"\$([A-Z]+)\$[0-9]+"),"")</f>
        <v>$G$187</v>
      </c>
      <c r="H187" t="str" cm="1">
        <f t="array" aca="1" ref="H187" ca="1">IF('Raw Data'!H187="",_xlfn.REGEXEXTRACT(CELL("address",'Raw Data'!H187),"\$([A-Z]+)\$[0-9]+"),"")</f>
        <v>$H$187</v>
      </c>
      <c r="I187" t="str" cm="1">
        <f t="array" aca="1" ref="I187" ca="1">IF('Raw Data'!I187="",_xlfn.REGEXEXTRACT(CELL("address",'Raw Data'!I187),"\$([A-Z]+)\$[0-9]+"),"")</f>
        <v>$I$187</v>
      </c>
    </row>
    <row r="188" spans="2:9" x14ac:dyDescent="0.25">
      <c r="B188" t="str" cm="1">
        <f t="array" aca="1" ref="B188" ca="1">IF('Raw Data'!B188="",_xlfn.REGEXEXTRACT(CELL("address",'Raw Data'!B188),"\$([A-Z]+)\$[0-9]+"),"")</f>
        <v>$B$188</v>
      </c>
      <c r="C188" t="str" cm="1">
        <f t="array" aca="1" ref="C188" ca="1">IF('Raw Data'!C188="",_xlfn.REGEXEXTRACT(CELL("address",'Raw Data'!C188),"\$([A-Z]+)\$[0-9]+"),"")</f>
        <v>$C$188</v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str" cm="1">
        <f t="array" aca="1" ref="G188" ca="1">IF('Raw Data'!G188="",_xlfn.REGEXEXTRACT(CELL("address",'Raw Data'!G188),"\$([A-Z]+)\$[0-9]+"),"")</f>
        <v>$G$188</v>
      </c>
      <c r="H188" t="str" cm="1">
        <f t="array" aca="1" ref="H188" ca="1">IF('Raw Data'!H188="",_xlfn.REGEXEXTRACT(CELL("address",'Raw Data'!H188),"\$([A-Z]+)\$[0-9]+"),"")</f>
        <v>$H$188</v>
      </c>
      <c r="I188" t="str" cm="1">
        <f t="array" aca="1" ref="I188" ca="1">IF('Raw Data'!I188="",_xlfn.REGEXEXTRACT(CELL("address",'Raw Data'!I188),"\$([A-Z]+)\$[0-9]+"),"")</f>
        <v>$I$188</v>
      </c>
    </row>
    <row r="189" spans="2:9" x14ac:dyDescent="0.25">
      <c r="B189" t="str" cm="1">
        <f t="array" aca="1" ref="B189" ca="1">IF('Raw Data'!B189="",_xlfn.REGEXEXTRACT(CELL("address",'Raw Data'!B189),"\$([A-Z]+)\$[0-9]+"),"")</f>
        <v>$B$189</v>
      </c>
      <c r="C189" t="str" cm="1">
        <f t="array" aca="1" ref="C189" ca="1">IF('Raw Data'!C189="",_xlfn.REGEXEXTRACT(CELL("address",'Raw Data'!C189),"\$([A-Z]+)\$[0-9]+"),"")</f>
        <v>$C$189</v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str" cm="1">
        <f t="array" aca="1" ref="G189" ca="1">IF('Raw Data'!G189="",_xlfn.REGEXEXTRACT(CELL("address",'Raw Data'!G189),"\$([A-Z]+)\$[0-9]+"),"")</f>
        <v>$G$189</v>
      </c>
      <c r="H189" t="str" cm="1">
        <f t="array" aca="1" ref="H189" ca="1">IF('Raw Data'!H189="",_xlfn.REGEXEXTRACT(CELL("address",'Raw Data'!H189),"\$([A-Z]+)\$[0-9]+"),"")</f>
        <v>$H$189</v>
      </c>
      <c r="I189" t="str" cm="1">
        <f t="array" aca="1" ref="I189" ca="1">IF('Raw Data'!I189="",_xlfn.REGEXEXTRACT(CELL("address",'Raw Data'!I189),"\$([A-Z]+)\$[0-9]+"),"")</f>
        <v>$I$189</v>
      </c>
    </row>
    <row r="190" spans="2:9" x14ac:dyDescent="0.25">
      <c r="B190" t="str" cm="1">
        <f t="array" aca="1" ref="B190" ca="1">IF('Raw Data'!B190="",_xlfn.REGEXEXTRACT(CELL("address",'Raw Data'!B190),"\$([A-Z]+)\$[0-9]+"),"")</f>
        <v>$B$190</v>
      </c>
      <c r="C190" t="str" cm="1">
        <f t="array" aca="1" ref="C190" ca="1">IF('Raw Data'!C190="",_xlfn.REGEXEXTRACT(CELL("address",'Raw Data'!C190),"\$([A-Z]+)\$[0-9]+"),"")</f>
        <v>$C$190</v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str" cm="1">
        <f t="array" aca="1" ref="G190" ca="1">IF('Raw Data'!G190="",_xlfn.REGEXEXTRACT(CELL("address",'Raw Data'!G190),"\$([A-Z]+)\$[0-9]+"),"")</f>
        <v>$G$190</v>
      </c>
      <c r="H190" t="str" cm="1">
        <f t="array" aca="1" ref="H190" ca="1">IF('Raw Data'!H190="",_xlfn.REGEXEXTRACT(CELL("address",'Raw Data'!H190),"\$([A-Z]+)\$[0-9]+"),"")</f>
        <v>$H$190</v>
      </c>
      <c r="I190" t="str" cm="1">
        <f t="array" aca="1" ref="I190" ca="1">IF('Raw Data'!I190="",_xlfn.REGEXEXTRACT(CELL("address",'Raw Data'!I190),"\$([A-Z]+)\$[0-9]+"),"")</f>
        <v>$I$190</v>
      </c>
    </row>
    <row r="191" spans="2:9" x14ac:dyDescent="0.25">
      <c r="B191" t="str" cm="1">
        <f t="array" aca="1" ref="B191" ca="1">IF('Raw Data'!B191="",_xlfn.REGEXEXTRACT(CELL("address",'Raw Data'!B191),"\$([A-Z]+)\$[0-9]+"),"")</f>
        <v>$B$191</v>
      </c>
      <c r="C191" t="str" cm="1">
        <f t="array" aca="1" ref="C191" ca="1">IF('Raw Data'!C191="",_xlfn.REGEXEXTRACT(CELL("address",'Raw Data'!C191),"\$([A-Z]+)\$[0-9]+"),"")</f>
        <v>$C$191</v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str" cm="1">
        <f t="array" aca="1" ref="G191" ca="1">IF('Raw Data'!G191="",_xlfn.REGEXEXTRACT(CELL("address",'Raw Data'!G191),"\$([A-Z]+)\$[0-9]+"),"")</f>
        <v>$G$191</v>
      </c>
      <c r="H191" t="str" cm="1">
        <f t="array" aca="1" ref="H191" ca="1">IF('Raw Data'!H191="",_xlfn.REGEXEXTRACT(CELL("address",'Raw Data'!H191),"\$([A-Z]+)\$[0-9]+"),"")</f>
        <v>$H$191</v>
      </c>
      <c r="I191" t="str" cm="1">
        <f t="array" aca="1" ref="I191" ca="1">IF('Raw Data'!I191="",_xlfn.REGEXEXTRACT(CELL("address",'Raw Data'!I191),"\$([A-Z]+)\$[0-9]+"),"")</f>
        <v>$I$191</v>
      </c>
    </row>
    <row r="192" spans="2:9" x14ac:dyDescent="0.25">
      <c r="B192" t="str" cm="1">
        <f t="array" aca="1" ref="B192" ca="1">IF('Raw Data'!B192="",_xlfn.REGEXEXTRACT(CELL("address",'Raw Data'!B192),"\$([A-Z]+)\$[0-9]+"),"")</f>
        <v>$B$192</v>
      </c>
      <c r="C192" t="str" cm="1">
        <f t="array" aca="1" ref="C192" ca="1">IF('Raw Data'!C192="",_xlfn.REGEXEXTRACT(CELL("address",'Raw Data'!C192),"\$([A-Z]+)\$[0-9]+"),"")</f>
        <v>$C$192</v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str" cm="1">
        <f t="array" aca="1" ref="G192" ca="1">IF('Raw Data'!G192="",_xlfn.REGEXEXTRACT(CELL("address",'Raw Data'!G192),"\$([A-Z]+)\$[0-9]+"),"")</f>
        <v>$G$192</v>
      </c>
      <c r="H192" t="str" cm="1">
        <f t="array" aca="1" ref="H192" ca="1">IF('Raw Data'!H192="",_xlfn.REGEXEXTRACT(CELL("address",'Raw Data'!H192),"\$([A-Z]+)\$[0-9]+"),"")</f>
        <v>$H$192</v>
      </c>
      <c r="I192" t="str" cm="1">
        <f t="array" aca="1" ref="I192" ca="1">IF('Raw Data'!I192="",_xlfn.REGEXEXTRACT(CELL("address",'Raw Data'!I192),"\$([A-Z]+)\$[0-9]+"),"")</f>
        <v>$I$192</v>
      </c>
    </row>
    <row r="193" spans="2:9" x14ac:dyDescent="0.25">
      <c r="B193" t="str" cm="1">
        <f t="array" aca="1" ref="B193" ca="1">IF('Raw Data'!B193="",_xlfn.REGEXEXTRACT(CELL("address",'Raw Data'!B193),"\$([A-Z]+)\$[0-9]+"),"")</f>
        <v>$B$193</v>
      </c>
      <c r="C193" t="str" cm="1">
        <f t="array" aca="1" ref="C193" ca="1">IF('Raw Data'!C193="",_xlfn.REGEXEXTRACT(CELL("address",'Raw Data'!C193),"\$([A-Z]+)\$[0-9]+"),"")</f>
        <v>$C$193</v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str" cm="1">
        <f t="array" aca="1" ref="G193" ca="1">IF('Raw Data'!G193="",_xlfn.REGEXEXTRACT(CELL("address",'Raw Data'!G193),"\$([A-Z]+)\$[0-9]+"),"")</f>
        <v>$G$193</v>
      </c>
      <c r="H193" t="str" cm="1">
        <f t="array" aca="1" ref="H193" ca="1">IF('Raw Data'!H193="",_xlfn.REGEXEXTRACT(CELL("address",'Raw Data'!H193),"\$([A-Z]+)\$[0-9]+"),"")</f>
        <v>$H$193</v>
      </c>
      <c r="I193" t="str" cm="1">
        <f t="array" aca="1" ref="I193" ca="1">IF('Raw Data'!I193="",_xlfn.REGEXEXTRACT(CELL("address",'Raw Data'!I193),"\$([A-Z]+)\$[0-9]+"),"")</f>
        <v>$I$193</v>
      </c>
    </row>
    <row r="194" spans="2:9" x14ac:dyDescent="0.25">
      <c r="B194" t="str" cm="1">
        <f t="array" aca="1" ref="B194" ca="1">IF('Raw Data'!B194="",_xlfn.REGEXEXTRACT(CELL("address",'Raw Data'!B194),"\$([A-Z]+)\$[0-9]+"),"")</f>
        <v>$B$194</v>
      </c>
      <c r="C194" t="str" cm="1">
        <f t="array" aca="1" ref="C194" ca="1">IF('Raw Data'!C194="",_xlfn.REGEXEXTRACT(CELL("address",'Raw Data'!C194),"\$([A-Z]+)\$[0-9]+"),"")</f>
        <v>$C$194</v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str" cm="1">
        <f t="array" aca="1" ref="G194" ca="1">IF('Raw Data'!G194="",_xlfn.REGEXEXTRACT(CELL("address",'Raw Data'!G194),"\$([A-Z]+)\$[0-9]+"),"")</f>
        <v>$G$194</v>
      </c>
      <c r="H194" t="str" cm="1">
        <f t="array" aca="1" ref="H194" ca="1">IF('Raw Data'!H194="",_xlfn.REGEXEXTRACT(CELL("address",'Raw Data'!H194),"\$([A-Z]+)\$[0-9]+"),"")</f>
        <v>$H$194</v>
      </c>
      <c r="I194" t="str" cm="1">
        <f t="array" aca="1" ref="I194" ca="1">IF('Raw Data'!I194="",_xlfn.REGEXEXTRACT(CELL("address",'Raw Data'!I194),"\$([A-Z]+)\$[0-9]+"),"")</f>
        <v>$I$194</v>
      </c>
    </row>
    <row r="195" spans="2:9" x14ac:dyDescent="0.25">
      <c r="B195" t="str" cm="1">
        <f t="array" aca="1" ref="B195" ca="1">IF('Raw Data'!B195="",_xlfn.REGEXEXTRACT(CELL("address",'Raw Data'!B195),"\$([A-Z]+)\$[0-9]+"),"")</f>
        <v>$B$195</v>
      </c>
      <c r="C195" t="str" cm="1">
        <f t="array" aca="1" ref="C195" ca="1">IF('Raw Data'!C195="",_xlfn.REGEXEXTRACT(CELL("address",'Raw Data'!C195),"\$([A-Z]+)\$[0-9]+"),"")</f>
        <v>$C$195</v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str" cm="1">
        <f t="array" aca="1" ref="G195" ca="1">IF('Raw Data'!G195="",_xlfn.REGEXEXTRACT(CELL("address",'Raw Data'!G195),"\$([A-Z]+)\$[0-9]+"),"")</f>
        <v>$G$195</v>
      </c>
      <c r="H195" t="str" cm="1">
        <f t="array" aca="1" ref="H195" ca="1">IF('Raw Data'!H195="",_xlfn.REGEXEXTRACT(CELL("address",'Raw Data'!H195),"\$([A-Z]+)\$[0-9]+"),"")</f>
        <v>$H$195</v>
      </c>
      <c r="I195" t="str" cm="1">
        <f t="array" aca="1" ref="I195" ca="1">IF('Raw Data'!I195="",_xlfn.REGEXEXTRACT(CELL("address",'Raw Data'!I195),"\$([A-Z]+)\$[0-9]+"),"")</f>
        <v>$I$195</v>
      </c>
    </row>
    <row r="196" spans="2:9" x14ac:dyDescent="0.25">
      <c r="B196" t="str" cm="1">
        <f t="array" aca="1" ref="B196" ca="1">IF('Raw Data'!B196="",_xlfn.REGEXEXTRACT(CELL("address",'Raw Data'!B196),"\$([A-Z]+)\$[0-9]+"),"")</f>
        <v>$B$196</v>
      </c>
      <c r="C196" t="str" cm="1">
        <f t="array" aca="1" ref="C196" ca="1">IF('Raw Data'!C196="",_xlfn.REGEXEXTRACT(CELL("address",'Raw Data'!C196),"\$([A-Z]+)\$[0-9]+"),"")</f>
        <v>$C$196</v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str" cm="1">
        <f t="array" aca="1" ref="G196" ca="1">IF('Raw Data'!G196="",_xlfn.REGEXEXTRACT(CELL("address",'Raw Data'!G196),"\$([A-Z]+)\$[0-9]+"),"")</f>
        <v>$G$196</v>
      </c>
      <c r="H196" t="str" cm="1">
        <f t="array" aca="1" ref="H196" ca="1">IF('Raw Data'!H196="",_xlfn.REGEXEXTRACT(CELL("address",'Raw Data'!H196),"\$([A-Z]+)\$[0-9]+"),"")</f>
        <v>$H$196</v>
      </c>
      <c r="I196" t="str" cm="1">
        <f t="array" aca="1" ref="I196" ca="1">IF('Raw Data'!I196="",_xlfn.REGEXEXTRACT(CELL("address",'Raw Data'!I196),"\$([A-Z]+)\$[0-9]+"),"")</f>
        <v>$I$196</v>
      </c>
    </row>
    <row r="197" spans="2:9" x14ac:dyDescent="0.25">
      <c r="B197" t="str" cm="1">
        <f t="array" aca="1" ref="B197" ca="1">IF('Raw Data'!B197="",_xlfn.REGEXEXTRACT(CELL("address",'Raw Data'!B197),"\$([A-Z]+)\$[0-9]+"),"")</f>
        <v>$B$197</v>
      </c>
      <c r="C197" t="str" cm="1">
        <f t="array" aca="1" ref="C197" ca="1">IF('Raw Data'!C197="",_xlfn.REGEXEXTRACT(CELL("address",'Raw Data'!C197),"\$([A-Z]+)\$[0-9]+"),"")</f>
        <v>$C$197</v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str" cm="1">
        <f t="array" aca="1" ref="G197" ca="1">IF('Raw Data'!G197="",_xlfn.REGEXEXTRACT(CELL("address",'Raw Data'!G197),"\$([A-Z]+)\$[0-9]+"),"")</f>
        <v>$G$197</v>
      </c>
      <c r="H197" t="str" cm="1">
        <f t="array" aca="1" ref="H197" ca="1">IF('Raw Data'!H197="",_xlfn.REGEXEXTRACT(CELL("address",'Raw Data'!H197),"\$([A-Z]+)\$[0-9]+"),"")</f>
        <v>$H$197</v>
      </c>
      <c r="I197" t="str" cm="1">
        <f t="array" aca="1" ref="I197" ca="1">IF('Raw Data'!I197="",_xlfn.REGEXEXTRACT(CELL("address",'Raw Data'!I197),"\$([A-Z]+)\$[0-9]+"),"")</f>
        <v>$I$197</v>
      </c>
    </row>
    <row r="198" spans="2:9" x14ac:dyDescent="0.25">
      <c r="B198" t="str" cm="1">
        <f t="array" aca="1" ref="B198" ca="1">IF('Raw Data'!B198="",_xlfn.REGEXEXTRACT(CELL("address",'Raw Data'!B198),"\$([A-Z]+)\$[0-9]+"),"")</f>
        <v>$B$198</v>
      </c>
      <c r="C198" t="str" cm="1">
        <f t="array" aca="1" ref="C198" ca="1">IF('Raw Data'!C198="",_xlfn.REGEXEXTRACT(CELL("address",'Raw Data'!C198),"\$([A-Z]+)\$[0-9]+"),"")</f>
        <v>$C$198</v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str" cm="1">
        <f t="array" aca="1" ref="G198" ca="1">IF('Raw Data'!G198="",_xlfn.REGEXEXTRACT(CELL("address",'Raw Data'!G198),"\$([A-Z]+)\$[0-9]+"),"")</f>
        <v>$G$198</v>
      </c>
      <c r="H198" t="str" cm="1">
        <f t="array" aca="1" ref="H198" ca="1">IF('Raw Data'!H198="",_xlfn.REGEXEXTRACT(CELL("address",'Raw Data'!H198),"\$([A-Z]+)\$[0-9]+"),"")</f>
        <v>$H$198</v>
      </c>
      <c r="I198" t="str" cm="1">
        <f t="array" aca="1" ref="I198" ca="1">IF('Raw Data'!I198="",_xlfn.REGEXEXTRACT(CELL("address",'Raw Data'!I198),"\$([A-Z]+)\$[0-9]+"),"")</f>
        <v>$I$198</v>
      </c>
    </row>
    <row r="199" spans="2:9" x14ac:dyDescent="0.25">
      <c r="B199" t="str" cm="1">
        <f t="array" aca="1" ref="B199" ca="1">IF('Raw Data'!B199="",_xlfn.REGEXEXTRACT(CELL("address",'Raw Data'!B199),"\$([A-Z]+)\$[0-9]+"),"")</f>
        <v>$B$199</v>
      </c>
      <c r="C199" t="str" cm="1">
        <f t="array" aca="1" ref="C199" ca="1">IF('Raw Data'!C199="",_xlfn.REGEXEXTRACT(CELL("address",'Raw Data'!C199),"\$([A-Z]+)\$[0-9]+"),"")</f>
        <v>$C$199</v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str" cm="1">
        <f t="array" aca="1" ref="G199" ca="1">IF('Raw Data'!G199="",_xlfn.REGEXEXTRACT(CELL("address",'Raw Data'!G199),"\$([A-Z]+)\$[0-9]+"),"")</f>
        <v>$G$199</v>
      </c>
      <c r="H199" t="str" cm="1">
        <f t="array" aca="1" ref="H199" ca="1">IF('Raw Data'!H199="",_xlfn.REGEXEXTRACT(CELL("address",'Raw Data'!H199),"\$([A-Z]+)\$[0-9]+"),"")</f>
        <v>$H$199</v>
      </c>
      <c r="I199" t="str" cm="1">
        <f t="array" aca="1" ref="I199" ca="1">IF('Raw Data'!I199="",_xlfn.REGEXEXTRACT(CELL("address",'Raw Data'!I199),"\$([A-Z]+)\$[0-9]+"),"")</f>
        <v>$I$199</v>
      </c>
    </row>
    <row r="200" spans="2:9" x14ac:dyDescent="0.25">
      <c r="B200" t="str" cm="1">
        <f t="array" aca="1" ref="B200" ca="1">IF('Raw Data'!B200="",_xlfn.REGEXEXTRACT(CELL("address",'Raw Data'!B200),"\$([A-Z]+)\$[0-9]+"),"")</f>
        <v>$B$200</v>
      </c>
      <c r="C200" t="str" cm="1">
        <f t="array" aca="1" ref="C200" ca="1">IF('Raw Data'!C200="",_xlfn.REGEXEXTRACT(CELL("address",'Raw Data'!C200),"\$([A-Z]+)\$[0-9]+"),"")</f>
        <v>$C$200</v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str" cm="1">
        <f t="array" aca="1" ref="G200" ca="1">IF('Raw Data'!G200="",_xlfn.REGEXEXTRACT(CELL("address",'Raw Data'!G200),"\$([A-Z]+)\$[0-9]+"),"")</f>
        <v>$G$200</v>
      </c>
      <c r="H200" t="str" cm="1">
        <f t="array" aca="1" ref="H200" ca="1">IF('Raw Data'!H200="",_xlfn.REGEXEXTRACT(CELL("address",'Raw Data'!H200),"\$([A-Z]+)\$[0-9]+"),"")</f>
        <v>$H$200</v>
      </c>
      <c r="I200" t="str" cm="1">
        <f t="array" aca="1" ref="I200" ca="1">IF('Raw Data'!I200="",_xlfn.REGEXEXTRACT(CELL("address",'Raw Data'!I200),"\$([A-Z]+)\$[0-9]+"),"")</f>
        <v>$I$200</v>
      </c>
    </row>
    <row r="201" spans="2:9" x14ac:dyDescent="0.25">
      <c r="B201" t="str" cm="1">
        <f t="array" aca="1" ref="B201" ca="1">IF('Raw Data'!B201="",_xlfn.REGEXEXTRACT(CELL("address",'Raw Data'!B201),"\$([A-Z]+)\$[0-9]+"),"")</f>
        <v>$B$201</v>
      </c>
      <c r="C201" t="str" cm="1">
        <f t="array" aca="1" ref="C201" ca="1">IF('Raw Data'!C201="",_xlfn.REGEXEXTRACT(CELL("address",'Raw Data'!C201),"\$([A-Z]+)\$[0-9]+"),"")</f>
        <v>$C$201</v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str" cm="1">
        <f t="array" aca="1" ref="G201" ca="1">IF('Raw Data'!G201="",_xlfn.REGEXEXTRACT(CELL("address",'Raw Data'!G201),"\$([A-Z]+)\$[0-9]+"),"")</f>
        <v>$G$201</v>
      </c>
      <c r="H201" t="str" cm="1">
        <f t="array" aca="1" ref="H201" ca="1">IF('Raw Data'!H201="",_xlfn.REGEXEXTRACT(CELL("address",'Raw Data'!H201),"\$([A-Z]+)\$[0-9]+"),"")</f>
        <v>$H$201</v>
      </c>
      <c r="I201" t="str" cm="1">
        <f t="array" aca="1" ref="I201" ca="1">IF('Raw Data'!I201="",_xlfn.REGEXEXTRACT(CELL("address",'Raw Data'!I201),"\$([A-Z]+)\$[0-9]+"),"")</f>
        <v>$I$201</v>
      </c>
    </row>
    <row r="202" spans="2:9" x14ac:dyDescent="0.25">
      <c r="B202" t="str" cm="1">
        <f t="array" aca="1" ref="B202" ca="1">IF('Raw Data'!B202="",_xlfn.REGEXEXTRACT(CELL("address",'Raw Data'!B202),"\$([A-Z]+)\$[0-9]+"),"")</f>
        <v>$B$202</v>
      </c>
      <c r="C202" t="str" cm="1">
        <f t="array" aca="1" ref="C202" ca="1">IF('Raw Data'!C202="",_xlfn.REGEXEXTRACT(CELL("address",'Raw Data'!C202),"\$([A-Z]+)\$[0-9]+"),"")</f>
        <v>$C$202</v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str" cm="1">
        <f t="array" aca="1" ref="G202" ca="1">IF('Raw Data'!G202="",_xlfn.REGEXEXTRACT(CELL("address",'Raw Data'!G202),"\$([A-Z]+)\$[0-9]+"),"")</f>
        <v>$G$202</v>
      </c>
      <c r="H202" t="str" cm="1">
        <f t="array" aca="1" ref="H202" ca="1">IF('Raw Data'!H202="",_xlfn.REGEXEXTRACT(CELL("address",'Raw Data'!H202),"\$([A-Z]+)\$[0-9]+"),"")</f>
        <v>$H$202</v>
      </c>
      <c r="I202" t="str" cm="1">
        <f t="array" aca="1" ref="I202" ca="1">IF('Raw Data'!I202="",_xlfn.REGEXEXTRACT(CELL("address",'Raw Data'!I202),"\$([A-Z]+)\$[0-9]+"),"")</f>
        <v>$I$202</v>
      </c>
    </row>
    <row r="203" spans="2:9" x14ac:dyDescent="0.25">
      <c r="B203" t="str" cm="1">
        <f t="array" aca="1" ref="B203" ca="1">IF('Raw Data'!B203="",_xlfn.REGEXEXTRACT(CELL("address",'Raw Data'!B203),"\$([A-Z]+)\$[0-9]+"),"")</f>
        <v>$B$203</v>
      </c>
      <c r="C203" t="str" cm="1">
        <f t="array" aca="1" ref="C203" ca="1">IF('Raw Data'!C203="",_xlfn.REGEXEXTRACT(CELL("address",'Raw Data'!C203),"\$([A-Z]+)\$[0-9]+"),"")</f>
        <v>$C$203</v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str" cm="1">
        <f t="array" aca="1" ref="G203" ca="1">IF('Raw Data'!G203="",_xlfn.REGEXEXTRACT(CELL("address",'Raw Data'!G203),"\$([A-Z]+)\$[0-9]+"),"")</f>
        <v>$G$203</v>
      </c>
      <c r="H203" t="str" cm="1">
        <f t="array" aca="1" ref="H203" ca="1">IF('Raw Data'!H203="",_xlfn.REGEXEXTRACT(CELL("address",'Raw Data'!H203),"\$([A-Z]+)\$[0-9]+"),"")</f>
        <v>$H$203</v>
      </c>
      <c r="I203" t="str" cm="1">
        <f t="array" aca="1" ref="I203" ca="1">IF('Raw Data'!I203="",_xlfn.REGEXEXTRACT(CELL("address",'Raw Data'!I203),"\$([A-Z]+)\$[0-9]+"),"")</f>
        <v>$I$203</v>
      </c>
    </row>
    <row r="204" spans="2:9" x14ac:dyDescent="0.25">
      <c r="B204" t="str" cm="1">
        <f t="array" aca="1" ref="B204" ca="1">IF('Raw Data'!B204="",_xlfn.REGEXEXTRACT(CELL("address",'Raw Data'!B204),"\$([A-Z]+)\$[0-9]+"),"")</f>
        <v>$B$204</v>
      </c>
      <c r="C204" t="str" cm="1">
        <f t="array" aca="1" ref="C204" ca="1">IF('Raw Data'!C204="",_xlfn.REGEXEXTRACT(CELL("address",'Raw Data'!C204),"\$([A-Z]+)\$[0-9]+"),"")</f>
        <v>$C$204</v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str" cm="1">
        <f t="array" aca="1" ref="G204" ca="1">IF('Raw Data'!G204="",_xlfn.REGEXEXTRACT(CELL("address",'Raw Data'!G204),"\$([A-Z]+)\$[0-9]+"),"")</f>
        <v>$G$204</v>
      </c>
      <c r="H204" t="str" cm="1">
        <f t="array" aca="1" ref="H204" ca="1">IF('Raw Data'!H204="",_xlfn.REGEXEXTRACT(CELL("address",'Raw Data'!H204),"\$([A-Z]+)\$[0-9]+"),"")</f>
        <v>$H$204</v>
      </c>
      <c r="I204" t="str" cm="1">
        <f t="array" aca="1" ref="I204" ca="1">IF('Raw Data'!I204="",_xlfn.REGEXEXTRACT(CELL("address",'Raw Data'!I204),"\$([A-Z]+)\$[0-9]+"),"")</f>
        <v>$I$204</v>
      </c>
    </row>
    <row r="205" spans="2:9" x14ac:dyDescent="0.25">
      <c r="B205" t="str" cm="1">
        <f t="array" aca="1" ref="B205" ca="1">IF('Raw Data'!B205="",_xlfn.REGEXEXTRACT(CELL("address",'Raw Data'!B205),"\$([A-Z]+)\$[0-9]+"),"")</f>
        <v>$B$205</v>
      </c>
      <c r="C205" t="str" cm="1">
        <f t="array" aca="1" ref="C205" ca="1">IF('Raw Data'!C205="",_xlfn.REGEXEXTRACT(CELL("address",'Raw Data'!C205),"\$([A-Z]+)\$[0-9]+"),"")</f>
        <v>$C$205</v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str" cm="1">
        <f t="array" aca="1" ref="G205" ca="1">IF('Raw Data'!G205="",_xlfn.REGEXEXTRACT(CELL("address",'Raw Data'!G205),"\$([A-Z]+)\$[0-9]+"),"")</f>
        <v>$G$205</v>
      </c>
      <c r="H205" t="str" cm="1">
        <f t="array" aca="1" ref="H205" ca="1">IF('Raw Data'!H205="",_xlfn.REGEXEXTRACT(CELL("address",'Raw Data'!H205),"\$([A-Z]+)\$[0-9]+"),"")</f>
        <v>$H$205</v>
      </c>
      <c r="I205" t="str" cm="1">
        <f t="array" aca="1" ref="I205" ca="1">IF('Raw Data'!I205="",_xlfn.REGEXEXTRACT(CELL("address",'Raw Data'!I205),"\$([A-Z]+)\$[0-9]+"),"")</f>
        <v>$I$205</v>
      </c>
    </row>
    <row r="206" spans="2:9" x14ac:dyDescent="0.25">
      <c r="B206" t="str" cm="1">
        <f t="array" aca="1" ref="B206" ca="1">IF('Raw Data'!B206="",_xlfn.REGEXEXTRACT(CELL("address",'Raw Data'!B206),"\$([A-Z]+)\$[0-9]+"),"")</f>
        <v>$B$206</v>
      </c>
      <c r="C206" t="str" cm="1">
        <f t="array" aca="1" ref="C206" ca="1">IF('Raw Data'!C206="",_xlfn.REGEXEXTRACT(CELL("address",'Raw Data'!C206),"\$([A-Z]+)\$[0-9]+"),"")</f>
        <v>$C$206</v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str" cm="1">
        <f t="array" aca="1" ref="G206" ca="1">IF('Raw Data'!G206="",_xlfn.REGEXEXTRACT(CELL("address",'Raw Data'!G206),"\$([A-Z]+)\$[0-9]+"),"")</f>
        <v>$G$206</v>
      </c>
      <c r="H206" t="str" cm="1">
        <f t="array" aca="1" ref="H206" ca="1">IF('Raw Data'!H206="",_xlfn.REGEXEXTRACT(CELL("address",'Raw Data'!H206),"\$([A-Z]+)\$[0-9]+"),"")</f>
        <v>$H$206</v>
      </c>
      <c r="I206" t="str" cm="1">
        <f t="array" aca="1" ref="I206" ca="1">IF('Raw Data'!I206="",_xlfn.REGEXEXTRACT(CELL("address",'Raw Data'!I206),"\$([A-Z]+)\$[0-9]+"),"")</f>
        <v>$I$206</v>
      </c>
    </row>
    <row r="207" spans="2:9" x14ac:dyDescent="0.25">
      <c r="B207" t="str" cm="1">
        <f t="array" aca="1" ref="B207" ca="1">IF('Raw Data'!B207="",_xlfn.REGEXEXTRACT(CELL("address",'Raw Data'!B207),"\$([A-Z]+)\$[0-9]+"),"")</f>
        <v>$B$207</v>
      </c>
      <c r="C207" t="str" cm="1">
        <f t="array" aca="1" ref="C207" ca="1">IF('Raw Data'!C207="",_xlfn.REGEXEXTRACT(CELL("address",'Raw Data'!C207),"\$([A-Z]+)\$[0-9]+"),"")</f>
        <v>$C$207</v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str" cm="1">
        <f t="array" aca="1" ref="G207" ca="1">IF('Raw Data'!G207="",_xlfn.REGEXEXTRACT(CELL("address",'Raw Data'!G207),"\$([A-Z]+)\$[0-9]+"),"")</f>
        <v>$G$207</v>
      </c>
      <c r="H207" t="str" cm="1">
        <f t="array" aca="1" ref="H207" ca="1">IF('Raw Data'!H207="",_xlfn.REGEXEXTRACT(CELL("address",'Raw Data'!H207),"\$([A-Z]+)\$[0-9]+"),"")</f>
        <v>$H$207</v>
      </c>
      <c r="I207" t="str" cm="1">
        <f t="array" aca="1" ref="I207" ca="1">IF('Raw Data'!I207="",_xlfn.REGEXEXTRACT(CELL("address",'Raw Data'!I207),"\$([A-Z]+)\$[0-9]+"),"")</f>
        <v>$I$207</v>
      </c>
    </row>
    <row r="208" spans="2:9" x14ac:dyDescent="0.25">
      <c r="B208" t="str" cm="1">
        <f t="array" aca="1" ref="B208" ca="1">IF('Raw Data'!B208="",_xlfn.REGEXEXTRACT(CELL("address",'Raw Data'!B208),"\$([A-Z]+)\$[0-9]+"),"")</f>
        <v>$B$208</v>
      </c>
      <c r="C208" t="str" cm="1">
        <f t="array" aca="1" ref="C208" ca="1">IF('Raw Data'!C208="",_xlfn.REGEXEXTRACT(CELL("address",'Raw Data'!C208),"\$([A-Z]+)\$[0-9]+"),"")</f>
        <v>$C$208</v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str" cm="1">
        <f t="array" aca="1" ref="G208" ca="1">IF('Raw Data'!G208="",_xlfn.REGEXEXTRACT(CELL("address",'Raw Data'!G208),"\$([A-Z]+)\$[0-9]+"),"")</f>
        <v>$G$208</v>
      </c>
      <c r="H208" t="str" cm="1">
        <f t="array" aca="1" ref="H208" ca="1">IF('Raw Data'!H208="",_xlfn.REGEXEXTRACT(CELL("address",'Raw Data'!H208),"\$([A-Z]+)\$[0-9]+"),"")</f>
        <v>$H$208</v>
      </c>
      <c r="I208" t="str" cm="1">
        <f t="array" aca="1" ref="I208" ca="1">IF('Raw Data'!I208="",_xlfn.REGEXEXTRACT(CELL("address",'Raw Data'!I208),"\$([A-Z]+)\$[0-9]+"),"")</f>
        <v>$I$208</v>
      </c>
    </row>
    <row r="209" spans="2:9" x14ac:dyDescent="0.25">
      <c r="B209" t="str" cm="1">
        <f t="array" aca="1" ref="B209" ca="1">IF('Raw Data'!B209="",_xlfn.REGEXEXTRACT(CELL("address",'Raw Data'!B209),"\$([A-Z]+)\$[0-9]+"),"")</f>
        <v>$B$209</v>
      </c>
      <c r="C209" t="str" cm="1">
        <f t="array" aca="1" ref="C209" ca="1">IF('Raw Data'!C209="",_xlfn.REGEXEXTRACT(CELL("address",'Raw Data'!C209),"\$([A-Z]+)\$[0-9]+"),"")</f>
        <v>$C$209</v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str" cm="1">
        <f t="array" aca="1" ref="G209" ca="1">IF('Raw Data'!G209="",_xlfn.REGEXEXTRACT(CELL("address",'Raw Data'!G209),"\$([A-Z]+)\$[0-9]+"),"")</f>
        <v>$G$209</v>
      </c>
      <c r="H209" t="str" cm="1">
        <f t="array" aca="1" ref="H209" ca="1">IF('Raw Data'!H209="",_xlfn.REGEXEXTRACT(CELL("address",'Raw Data'!H209),"\$([A-Z]+)\$[0-9]+"),"")</f>
        <v>$H$209</v>
      </c>
      <c r="I209" t="str" cm="1">
        <f t="array" aca="1" ref="I209" ca="1">IF('Raw Data'!I209="",_xlfn.REGEXEXTRACT(CELL("address",'Raw Data'!I209),"\$([A-Z]+)\$[0-9]+"),"")</f>
        <v>$I$209</v>
      </c>
    </row>
    <row r="210" spans="2:9" x14ac:dyDescent="0.25">
      <c r="B210" t="str" cm="1">
        <f t="array" aca="1" ref="B210" ca="1">IF('Raw Data'!B210="",_xlfn.REGEXEXTRACT(CELL("address",'Raw Data'!B210),"\$([A-Z]+)\$[0-9]+"),"")</f>
        <v>$B$210</v>
      </c>
      <c r="C210" t="str" cm="1">
        <f t="array" aca="1" ref="C210" ca="1">IF('Raw Data'!C210="",_xlfn.REGEXEXTRACT(CELL("address",'Raw Data'!C210),"\$([A-Z]+)\$[0-9]+"),"")</f>
        <v>$C$210</v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str" cm="1">
        <f t="array" aca="1" ref="G210" ca="1">IF('Raw Data'!G210="",_xlfn.REGEXEXTRACT(CELL("address",'Raw Data'!G210),"\$([A-Z]+)\$[0-9]+"),"")</f>
        <v>$G$210</v>
      </c>
      <c r="H210" t="str" cm="1">
        <f t="array" aca="1" ref="H210" ca="1">IF('Raw Data'!H210="",_xlfn.REGEXEXTRACT(CELL("address",'Raw Data'!H210),"\$([A-Z]+)\$[0-9]+"),"")</f>
        <v>$H$210</v>
      </c>
      <c r="I210" t="str" cm="1">
        <f t="array" aca="1" ref="I210" ca="1">IF('Raw Data'!I210="",_xlfn.REGEXEXTRACT(CELL("address",'Raw Data'!I210),"\$([A-Z]+)\$[0-9]+"),"")</f>
        <v>$I$210</v>
      </c>
    </row>
    <row r="211" spans="2:9" x14ac:dyDescent="0.25">
      <c r="B211" t="str" cm="1">
        <f t="array" aca="1" ref="B211" ca="1">IF('Raw Data'!B211="",_xlfn.REGEXEXTRACT(CELL("address",'Raw Data'!B211),"\$([A-Z]+)\$[0-9]+"),"")</f>
        <v>$B$211</v>
      </c>
      <c r="C211" t="str" cm="1">
        <f t="array" aca="1" ref="C211" ca="1">IF('Raw Data'!C211="",_xlfn.REGEXEXTRACT(CELL("address",'Raw Data'!C211),"\$([A-Z]+)\$[0-9]+"),"")</f>
        <v>$C$211</v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str" cm="1">
        <f t="array" aca="1" ref="G211" ca="1">IF('Raw Data'!G211="",_xlfn.REGEXEXTRACT(CELL("address",'Raw Data'!G211),"\$([A-Z]+)\$[0-9]+"),"")</f>
        <v>$G$211</v>
      </c>
      <c r="H211" t="str" cm="1">
        <f t="array" aca="1" ref="H211" ca="1">IF('Raw Data'!H211="",_xlfn.REGEXEXTRACT(CELL("address",'Raw Data'!H211),"\$([A-Z]+)\$[0-9]+"),"")</f>
        <v>$H$211</v>
      </c>
      <c r="I211" t="str" cm="1">
        <f t="array" aca="1" ref="I211" ca="1">IF('Raw Data'!I211="",_xlfn.REGEXEXTRACT(CELL("address",'Raw Data'!I211),"\$([A-Z]+)\$[0-9]+"),"")</f>
        <v>$I$211</v>
      </c>
    </row>
    <row r="212" spans="2:9" x14ac:dyDescent="0.25">
      <c r="B212" t="str" cm="1">
        <f t="array" aca="1" ref="B212" ca="1">IF('Raw Data'!B212="",_xlfn.REGEXEXTRACT(CELL("address",'Raw Data'!B212),"\$([A-Z]+)\$[0-9]+"),"")</f>
        <v>$B$212</v>
      </c>
      <c r="C212" t="str" cm="1">
        <f t="array" aca="1" ref="C212" ca="1">IF('Raw Data'!C212="",_xlfn.REGEXEXTRACT(CELL("address",'Raw Data'!C212),"\$([A-Z]+)\$[0-9]+"),"")</f>
        <v>$C$212</v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str" cm="1">
        <f t="array" aca="1" ref="G212" ca="1">IF('Raw Data'!G212="",_xlfn.REGEXEXTRACT(CELL("address",'Raw Data'!G212),"\$([A-Z]+)\$[0-9]+"),"")</f>
        <v>$G$212</v>
      </c>
      <c r="H212" t="str" cm="1">
        <f t="array" aca="1" ref="H212" ca="1">IF('Raw Data'!H212="",_xlfn.REGEXEXTRACT(CELL("address",'Raw Data'!H212),"\$([A-Z]+)\$[0-9]+"),"")</f>
        <v>$H$212</v>
      </c>
      <c r="I212" t="str" cm="1">
        <f t="array" aca="1" ref="I212" ca="1">IF('Raw Data'!I212="",_xlfn.REGEXEXTRACT(CELL("address",'Raw Data'!I212),"\$([A-Z]+)\$[0-9]+"),"")</f>
        <v>$I$212</v>
      </c>
    </row>
    <row r="213" spans="2:9" x14ac:dyDescent="0.25">
      <c r="B213" t="str" cm="1">
        <f t="array" aca="1" ref="B213" ca="1">IF('Raw Data'!B213="",_xlfn.REGEXEXTRACT(CELL("address",'Raw Data'!B213),"\$([A-Z]+)\$[0-9]+"),"")</f>
        <v>$B$213</v>
      </c>
      <c r="C213" t="str" cm="1">
        <f t="array" aca="1" ref="C213" ca="1">IF('Raw Data'!C213="",_xlfn.REGEXEXTRACT(CELL("address",'Raw Data'!C213),"\$([A-Z]+)\$[0-9]+"),"")</f>
        <v>$C$213</v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str" cm="1">
        <f t="array" aca="1" ref="G213" ca="1">IF('Raw Data'!G213="",_xlfn.REGEXEXTRACT(CELL("address",'Raw Data'!G213),"\$([A-Z]+)\$[0-9]+"),"")</f>
        <v>$G$213</v>
      </c>
      <c r="H213" t="str" cm="1">
        <f t="array" aca="1" ref="H213" ca="1">IF('Raw Data'!H213="",_xlfn.REGEXEXTRACT(CELL("address",'Raw Data'!H213),"\$([A-Z]+)\$[0-9]+"),"")</f>
        <v>$H$213</v>
      </c>
      <c r="I213" t="str" cm="1">
        <f t="array" aca="1" ref="I213" ca="1">IF('Raw Data'!I213="",_xlfn.REGEXEXTRACT(CELL("address",'Raw Data'!I213),"\$([A-Z]+)\$[0-9]+"),"")</f>
        <v>$I$213</v>
      </c>
    </row>
    <row r="214" spans="2:9" x14ac:dyDescent="0.25">
      <c r="B214" t="str" cm="1">
        <f t="array" aca="1" ref="B214" ca="1">IF('Raw Data'!B214="",_xlfn.REGEXEXTRACT(CELL("address",'Raw Data'!B214),"\$([A-Z]+)\$[0-9]+"),"")</f>
        <v>$B$214</v>
      </c>
      <c r="C214" t="str" cm="1">
        <f t="array" aca="1" ref="C214" ca="1">IF('Raw Data'!C214="",_xlfn.REGEXEXTRACT(CELL("address",'Raw Data'!C214),"\$([A-Z]+)\$[0-9]+"),"")</f>
        <v>$C$214</v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str" cm="1">
        <f t="array" aca="1" ref="G214" ca="1">IF('Raw Data'!G214="",_xlfn.REGEXEXTRACT(CELL("address",'Raw Data'!G214),"\$([A-Z]+)\$[0-9]+"),"")</f>
        <v>$G$214</v>
      </c>
      <c r="H214" t="str" cm="1">
        <f t="array" aca="1" ref="H214" ca="1">IF('Raw Data'!H214="",_xlfn.REGEXEXTRACT(CELL("address",'Raw Data'!H214),"\$([A-Z]+)\$[0-9]+"),"")</f>
        <v>$H$214</v>
      </c>
      <c r="I214" t="str" cm="1">
        <f t="array" aca="1" ref="I214" ca="1">IF('Raw Data'!I214="",_xlfn.REGEXEXTRACT(CELL("address",'Raw Data'!I214),"\$([A-Z]+)\$[0-9]+"),"")</f>
        <v>$I$214</v>
      </c>
    </row>
    <row r="215" spans="2:9" x14ac:dyDescent="0.25">
      <c r="B215" t="str" cm="1">
        <f t="array" aca="1" ref="B215" ca="1">IF('Raw Data'!B215="",_xlfn.REGEXEXTRACT(CELL("address",'Raw Data'!B215),"\$([A-Z]+)\$[0-9]+"),"")</f>
        <v>$B$215</v>
      </c>
      <c r="C215" t="str" cm="1">
        <f t="array" aca="1" ref="C215" ca="1">IF('Raw Data'!C215="",_xlfn.REGEXEXTRACT(CELL("address",'Raw Data'!C215),"\$([A-Z]+)\$[0-9]+"),"")</f>
        <v>$C$215</v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str" cm="1">
        <f t="array" aca="1" ref="G215" ca="1">IF('Raw Data'!G215="",_xlfn.REGEXEXTRACT(CELL("address",'Raw Data'!G215),"\$([A-Z]+)\$[0-9]+"),"")</f>
        <v>$G$215</v>
      </c>
      <c r="H215" t="str" cm="1">
        <f t="array" aca="1" ref="H215" ca="1">IF('Raw Data'!H215="",_xlfn.REGEXEXTRACT(CELL("address",'Raw Data'!H215),"\$([A-Z]+)\$[0-9]+"),"")</f>
        <v>$H$215</v>
      </c>
      <c r="I215" t="str" cm="1">
        <f t="array" aca="1" ref="I215" ca="1">IF('Raw Data'!I215="",_xlfn.REGEXEXTRACT(CELL("address",'Raw Data'!I215),"\$([A-Z]+)\$[0-9]+"),"")</f>
        <v>$I$215</v>
      </c>
    </row>
    <row r="216" spans="2:9" x14ac:dyDescent="0.25">
      <c r="B216" t="str" cm="1">
        <f t="array" aca="1" ref="B216" ca="1">IF('Raw Data'!B216="",_xlfn.REGEXEXTRACT(CELL("address",'Raw Data'!B216),"\$([A-Z]+)\$[0-9]+"),"")</f>
        <v>$B$216</v>
      </c>
      <c r="C216" t="str" cm="1">
        <f t="array" aca="1" ref="C216" ca="1">IF('Raw Data'!C216="",_xlfn.REGEXEXTRACT(CELL("address",'Raw Data'!C216),"\$([A-Z]+)\$[0-9]+"),"")</f>
        <v>$C$216</v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str" cm="1">
        <f t="array" aca="1" ref="G216" ca="1">IF('Raw Data'!G216="",_xlfn.REGEXEXTRACT(CELL("address",'Raw Data'!G216),"\$([A-Z]+)\$[0-9]+"),"")</f>
        <v>$G$216</v>
      </c>
      <c r="H216" t="str" cm="1">
        <f t="array" aca="1" ref="H216" ca="1">IF('Raw Data'!H216="",_xlfn.REGEXEXTRACT(CELL("address",'Raw Data'!H216),"\$([A-Z]+)\$[0-9]+"),"")</f>
        <v>$H$216</v>
      </c>
      <c r="I216" t="str" cm="1">
        <f t="array" aca="1" ref="I216" ca="1">IF('Raw Data'!I216="",_xlfn.REGEXEXTRACT(CELL("address",'Raw Data'!I216),"\$([A-Z]+)\$[0-9]+"),"")</f>
        <v>$I$216</v>
      </c>
    </row>
    <row r="217" spans="2:9" x14ac:dyDescent="0.25">
      <c r="B217" t="str" cm="1">
        <f t="array" aca="1" ref="B217" ca="1">IF('Raw Data'!B217="",_xlfn.REGEXEXTRACT(CELL("address",'Raw Data'!B217),"\$([A-Z]+)\$[0-9]+"),"")</f>
        <v>$B$217</v>
      </c>
      <c r="C217" t="str" cm="1">
        <f t="array" aca="1" ref="C217" ca="1">IF('Raw Data'!C217="",_xlfn.REGEXEXTRACT(CELL("address",'Raw Data'!C217),"\$([A-Z]+)\$[0-9]+"),"")</f>
        <v>$C$217</v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str" cm="1">
        <f t="array" aca="1" ref="G217" ca="1">IF('Raw Data'!G217="",_xlfn.REGEXEXTRACT(CELL("address",'Raw Data'!G217),"\$([A-Z]+)\$[0-9]+"),"")</f>
        <v>$G$217</v>
      </c>
      <c r="H217" t="str" cm="1">
        <f t="array" aca="1" ref="H217" ca="1">IF('Raw Data'!H217="",_xlfn.REGEXEXTRACT(CELL("address",'Raw Data'!H217),"\$([A-Z]+)\$[0-9]+"),"")</f>
        <v>$H$217</v>
      </c>
      <c r="I217" t="str" cm="1">
        <f t="array" aca="1" ref="I217" ca="1">IF('Raw Data'!I217="",_xlfn.REGEXEXTRACT(CELL("address",'Raw Data'!I217),"\$([A-Z]+)\$[0-9]+"),"")</f>
        <v>$I$217</v>
      </c>
    </row>
    <row r="218" spans="2:9" x14ac:dyDescent="0.25">
      <c r="B218" t="str" cm="1">
        <f t="array" aca="1" ref="B218" ca="1">IF('Raw Data'!B218="",_xlfn.REGEXEXTRACT(CELL("address",'Raw Data'!B218),"\$([A-Z]+)\$[0-9]+"),"")</f>
        <v>$B$218</v>
      </c>
      <c r="C218" t="str" cm="1">
        <f t="array" aca="1" ref="C218" ca="1">IF('Raw Data'!C218="",_xlfn.REGEXEXTRACT(CELL("address",'Raw Data'!C218),"\$([A-Z]+)\$[0-9]+"),"")</f>
        <v>$C$218</v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str" cm="1">
        <f t="array" aca="1" ref="G218" ca="1">IF('Raw Data'!G218="",_xlfn.REGEXEXTRACT(CELL("address",'Raw Data'!G218),"\$([A-Z]+)\$[0-9]+"),"")</f>
        <v>$G$218</v>
      </c>
      <c r="H218" t="str" cm="1">
        <f t="array" aca="1" ref="H218" ca="1">IF('Raw Data'!H218="",_xlfn.REGEXEXTRACT(CELL("address",'Raw Data'!H218),"\$([A-Z]+)\$[0-9]+"),"")</f>
        <v>$H$218</v>
      </c>
      <c r="I218" t="str" cm="1">
        <f t="array" aca="1" ref="I218" ca="1">IF('Raw Data'!I218="",_xlfn.REGEXEXTRACT(CELL("address",'Raw Data'!I218),"\$([A-Z]+)\$[0-9]+"),"")</f>
        <v>$I$218</v>
      </c>
    </row>
    <row r="219" spans="2:9" x14ac:dyDescent="0.25">
      <c r="B219" t="str" cm="1">
        <f t="array" aca="1" ref="B219" ca="1">IF('Raw Data'!B219="",_xlfn.REGEXEXTRACT(CELL("address",'Raw Data'!B219),"\$([A-Z]+)\$[0-9]+"),"")</f>
        <v>$B$219</v>
      </c>
      <c r="C219" t="str" cm="1">
        <f t="array" aca="1" ref="C219" ca="1">IF('Raw Data'!C219="",_xlfn.REGEXEXTRACT(CELL("address",'Raw Data'!C219),"\$([A-Z]+)\$[0-9]+"),"")</f>
        <v>$C$219</v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str" cm="1">
        <f t="array" aca="1" ref="G219" ca="1">IF('Raw Data'!G219="",_xlfn.REGEXEXTRACT(CELL("address",'Raw Data'!G219),"\$([A-Z]+)\$[0-9]+"),"")</f>
        <v>$G$219</v>
      </c>
      <c r="H219" t="str" cm="1">
        <f t="array" aca="1" ref="H219" ca="1">IF('Raw Data'!H219="",_xlfn.REGEXEXTRACT(CELL("address",'Raw Data'!H219),"\$([A-Z]+)\$[0-9]+"),"")</f>
        <v>$H$219</v>
      </c>
      <c r="I219" t="str" cm="1">
        <f t="array" aca="1" ref="I219" ca="1">IF('Raw Data'!I219="",_xlfn.REGEXEXTRACT(CELL("address",'Raw Data'!I219),"\$([A-Z]+)\$[0-9]+"),"")</f>
        <v>$I$219</v>
      </c>
    </row>
    <row r="220" spans="2:9" x14ac:dyDescent="0.25">
      <c r="B220" t="str" cm="1">
        <f t="array" aca="1" ref="B220" ca="1">IF('Raw Data'!B220="",_xlfn.REGEXEXTRACT(CELL("address",'Raw Data'!B220),"\$([A-Z]+)\$[0-9]+"),"")</f>
        <v>$B$220</v>
      </c>
      <c r="C220" t="str" cm="1">
        <f t="array" aca="1" ref="C220" ca="1">IF('Raw Data'!C220="",_xlfn.REGEXEXTRACT(CELL("address",'Raw Data'!C220),"\$([A-Z]+)\$[0-9]+"),"")</f>
        <v>$C$220</v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str" cm="1">
        <f t="array" aca="1" ref="G220" ca="1">IF('Raw Data'!G220="",_xlfn.REGEXEXTRACT(CELL("address",'Raw Data'!G220),"\$([A-Z]+)\$[0-9]+"),"")</f>
        <v>$G$220</v>
      </c>
      <c r="H220" t="str" cm="1">
        <f t="array" aca="1" ref="H220" ca="1">IF('Raw Data'!H220="",_xlfn.REGEXEXTRACT(CELL("address",'Raw Data'!H220),"\$([A-Z]+)\$[0-9]+"),"")</f>
        <v>$H$220</v>
      </c>
      <c r="I220" t="str" cm="1">
        <f t="array" aca="1" ref="I220" ca="1">IF('Raw Data'!I220="",_xlfn.REGEXEXTRACT(CELL("address",'Raw Data'!I220),"\$([A-Z]+)\$[0-9]+"),"")</f>
        <v>$I$220</v>
      </c>
    </row>
    <row r="221" spans="2:9" x14ac:dyDescent="0.25">
      <c r="B221" t="str" cm="1">
        <f t="array" aca="1" ref="B221" ca="1">IF('Raw Data'!B221="",_xlfn.REGEXEXTRACT(CELL("address",'Raw Data'!B221),"\$([A-Z]+)\$[0-9]+"),"")</f>
        <v>$B$221</v>
      </c>
      <c r="C221" t="str" cm="1">
        <f t="array" aca="1" ref="C221" ca="1">IF('Raw Data'!C221="",_xlfn.REGEXEXTRACT(CELL("address",'Raw Data'!C221),"\$([A-Z]+)\$[0-9]+"),"")</f>
        <v>$C$221</v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str" cm="1">
        <f t="array" aca="1" ref="G221" ca="1">IF('Raw Data'!G221="",_xlfn.REGEXEXTRACT(CELL("address",'Raw Data'!G221),"\$([A-Z]+)\$[0-9]+"),"")</f>
        <v>$G$221</v>
      </c>
      <c r="H221" t="str" cm="1">
        <f t="array" aca="1" ref="H221" ca="1">IF('Raw Data'!H221="",_xlfn.REGEXEXTRACT(CELL("address",'Raw Data'!H221),"\$([A-Z]+)\$[0-9]+"),"")</f>
        <v>$H$221</v>
      </c>
      <c r="I221" t="str" cm="1">
        <f t="array" aca="1" ref="I221" ca="1">IF('Raw Data'!I221="",_xlfn.REGEXEXTRACT(CELL("address",'Raw Data'!I221),"\$([A-Z]+)\$[0-9]+"),"")</f>
        <v>$I$221</v>
      </c>
    </row>
    <row r="222" spans="2:9" x14ac:dyDescent="0.25">
      <c r="B222" t="str" cm="1">
        <f t="array" aca="1" ref="B222" ca="1">IF('Raw Data'!B222="",_xlfn.REGEXEXTRACT(CELL("address",'Raw Data'!B222),"\$([A-Z]+)\$[0-9]+"),"")</f>
        <v>$B$222</v>
      </c>
      <c r="C222" t="str" cm="1">
        <f t="array" aca="1" ref="C222" ca="1">IF('Raw Data'!C222="",_xlfn.REGEXEXTRACT(CELL("address",'Raw Data'!C222),"\$([A-Z]+)\$[0-9]+"),"")</f>
        <v>$C$222</v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str" cm="1">
        <f t="array" aca="1" ref="G222" ca="1">IF('Raw Data'!G222="",_xlfn.REGEXEXTRACT(CELL("address",'Raw Data'!G222),"\$([A-Z]+)\$[0-9]+"),"")</f>
        <v>$G$222</v>
      </c>
      <c r="H222" t="str" cm="1">
        <f t="array" aca="1" ref="H222" ca="1">IF('Raw Data'!H222="",_xlfn.REGEXEXTRACT(CELL("address",'Raw Data'!H222),"\$([A-Z]+)\$[0-9]+"),"")</f>
        <v>$H$222</v>
      </c>
      <c r="I222" t="str" cm="1">
        <f t="array" aca="1" ref="I222" ca="1">IF('Raw Data'!I222="",_xlfn.REGEXEXTRACT(CELL("address",'Raw Data'!I222),"\$([A-Z]+)\$[0-9]+"),"")</f>
        <v>$I$222</v>
      </c>
    </row>
    <row r="223" spans="2:9" x14ac:dyDescent="0.25">
      <c r="B223" t="str" cm="1">
        <f t="array" aca="1" ref="B223" ca="1">IF('Raw Data'!B223="",_xlfn.REGEXEXTRACT(CELL("address",'Raw Data'!B223),"\$([A-Z]+)\$[0-9]+"),"")</f>
        <v>$B$223</v>
      </c>
      <c r="C223" t="str" cm="1">
        <f t="array" aca="1" ref="C223" ca="1">IF('Raw Data'!C223="",_xlfn.REGEXEXTRACT(CELL("address",'Raw Data'!C223),"\$([A-Z]+)\$[0-9]+"),"")</f>
        <v>$C$223</v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str" cm="1">
        <f t="array" aca="1" ref="G223" ca="1">IF('Raw Data'!G223="",_xlfn.REGEXEXTRACT(CELL("address",'Raw Data'!G223),"\$([A-Z]+)\$[0-9]+"),"")</f>
        <v>$G$223</v>
      </c>
      <c r="H223" t="str" cm="1">
        <f t="array" aca="1" ref="H223" ca="1">IF('Raw Data'!H223="",_xlfn.REGEXEXTRACT(CELL("address",'Raw Data'!H223),"\$([A-Z]+)\$[0-9]+"),"")</f>
        <v>$H$223</v>
      </c>
      <c r="I223" t="str" cm="1">
        <f t="array" aca="1" ref="I223" ca="1">IF('Raw Data'!I223="",_xlfn.REGEXEXTRACT(CELL("address",'Raw Data'!I223),"\$([A-Z]+)\$[0-9]+"),"")</f>
        <v>$I$223</v>
      </c>
    </row>
    <row r="224" spans="2:9" x14ac:dyDescent="0.25">
      <c r="B224" t="str" cm="1">
        <f t="array" aca="1" ref="B224" ca="1">IF('Raw Data'!B224="",_xlfn.REGEXEXTRACT(CELL("address",'Raw Data'!B224),"\$([A-Z]+)\$[0-9]+"),"")</f>
        <v>$B$224</v>
      </c>
      <c r="C224" t="str" cm="1">
        <f t="array" aca="1" ref="C224" ca="1">IF('Raw Data'!C224="",_xlfn.REGEXEXTRACT(CELL("address",'Raw Data'!C224),"\$([A-Z]+)\$[0-9]+"),"")</f>
        <v>$C$224</v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str" cm="1">
        <f t="array" aca="1" ref="G224" ca="1">IF('Raw Data'!G224="",_xlfn.REGEXEXTRACT(CELL("address",'Raw Data'!G224),"\$([A-Z]+)\$[0-9]+"),"")</f>
        <v>$G$224</v>
      </c>
      <c r="H224" t="str" cm="1">
        <f t="array" aca="1" ref="H224" ca="1">IF('Raw Data'!H224="",_xlfn.REGEXEXTRACT(CELL("address",'Raw Data'!H224),"\$([A-Z]+)\$[0-9]+"),"")</f>
        <v>$H$224</v>
      </c>
      <c r="I224" t="str" cm="1">
        <f t="array" aca="1" ref="I224" ca="1">IF('Raw Data'!I224="",_xlfn.REGEXEXTRACT(CELL("address",'Raw Data'!I224),"\$([A-Z]+)\$[0-9]+"),"")</f>
        <v>$I$224</v>
      </c>
    </row>
    <row r="225" spans="2:9" x14ac:dyDescent="0.25">
      <c r="B225" t="str" cm="1">
        <f t="array" aca="1" ref="B225" ca="1">IF('Raw Data'!B225="",_xlfn.REGEXEXTRACT(CELL("address",'Raw Data'!B225),"\$([A-Z]+)\$[0-9]+"),"")</f>
        <v>$B$225</v>
      </c>
      <c r="C225" t="str" cm="1">
        <f t="array" aca="1" ref="C225" ca="1">IF('Raw Data'!C225="",_xlfn.REGEXEXTRACT(CELL("address",'Raw Data'!C225),"\$([A-Z]+)\$[0-9]+"),"")</f>
        <v>$C$225</v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str" cm="1">
        <f t="array" aca="1" ref="G225" ca="1">IF('Raw Data'!G225="",_xlfn.REGEXEXTRACT(CELL("address",'Raw Data'!G225),"\$([A-Z]+)\$[0-9]+"),"")</f>
        <v>$G$225</v>
      </c>
      <c r="H225" t="str" cm="1">
        <f t="array" aca="1" ref="H225" ca="1">IF('Raw Data'!H225="",_xlfn.REGEXEXTRACT(CELL("address",'Raw Data'!H225),"\$([A-Z]+)\$[0-9]+"),"")</f>
        <v>$H$225</v>
      </c>
      <c r="I225" t="str" cm="1">
        <f t="array" aca="1" ref="I225" ca="1">IF('Raw Data'!I225="",_xlfn.REGEXEXTRACT(CELL("address",'Raw Data'!I225),"\$([A-Z]+)\$[0-9]+"),"")</f>
        <v>$I$225</v>
      </c>
    </row>
    <row r="226" spans="2:9" x14ac:dyDescent="0.25">
      <c r="B226" t="str" cm="1">
        <f t="array" aca="1" ref="B226" ca="1">IF('Raw Data'!B226="",_xlfn.REGEXEXTRACT(CELL("address",'Raw Data'!B226),"\$([A-Z]+)\$[0-9]+"),"")</f>
        <v>$B$226</v>
      </c>
      <c r="C226" t="str" cm="1">
        <f t="array" aca="1" ref="C226" ca="1">IF('Raw Data'!C226="",_xlfn.REGEXEXTRACT(CELL("address",'Raw Data'!C226),"\$([A-Z]+)\$[0-9]+"),"")</f>
        <v>$C$226</v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str" cm="1">
        <f t="array" aca="1" ref="G226" ca="1">IF('Raw Data'!G226="",_xlfn.REGEXEXTRACT(CELL("address",'Raw Data'!G226),"\$([A-Z]+)\$[0-9]+"),"")</f>
        <v>$G$226</v>
      </c>
      <c r="H226" t="str" cm="1">
        <f t="array" aca="1" ref="H226" ca="1">IF('Raw Data'!H226="",_xlfn.REGEXEXTRACT(CELL("address",'Raw Data'!H226),"\$([A-Z]+)\$[0-9]+"),"")</f>
        <v>$H$226</v>
      </c>
      <c r="I226" t="str" cm="1">
        <f t="array" aca="1" ref="I226" ca="1">IF('Raw Data'!I226="",_xlfn.REGEXEXTRACT(CELL("address",'Raw Data'!I226),"\$([A-Z]+)\$[0-9]+"),"")</f>
        <v>$I$226</v>
      </c>
    </row>
    <row r="227" spans="2:9" x14ac:dyDescent="0.25">
      <c r="B227" t="str" cm="1">
        <f t="array" aca="1" ref="B227" ca="1">IF('Raw Data'!B227="",_xlfn.REGEXEXTRACT(CELL("address",'Raw Data'!B227),"\$([A-Z]+)\$[0-9]+"),"")</f>
        <v>$B$227</v>
      </c>
      <c r="C227" t="str" cm="1">
        <f t="array" aca="1" ref="C227" ca="1">IF('Raw Data'!C227="",_xlfn.REGEXEXTRACT(CELL("address",'Raw Data'!C227),"\$([A-Z]+)\$[0-9]+"),"")</f>
        <v>$C$227</v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str" cm="1">
        <f t="array" aca="1" ref="G227" ca="1">IF('Raw Data'!G227="",_xlfn.REGEXEXTRACT(CELL("address",'Raw Data'!G227),"\$([A-Z]+)\$[0-9]+"),"")</f>
        <v>$G$227</v>
      </c>
      <c r="H227" t="str" cm="1">
        <f t="array" aca="1" ref="H227" ca="1">IF('Raw Data'!H227="",_xlfn.REGEXEXTRACT(CELL("address",'Raw Data'!H227),"\$([A-Z]+)\$[0-9]+"),"")</f>
        <v>$H$227</v>
      </c>
      <c r="I227" t="str" cm="1">
        <f t="array" aca="1" ref="I227" ca="1">IF('Raw Data'!I227="",_xlfn.REGEXEXTRACT(CELL("address",'Raw Data'!I227),"\$([A-Z]+)\$[0-9]+"),"")</f>
        <v>$I$227</v>
      </c>
    </row>
    <row r="228" spans="2:9" x14ac:dyDescent="0.25">
      <c r="B228" t="str" cm="1">
        <f t="array" aca="1" ref="B228" ca="1">IF('Raw Data'!B228="",_xlfn.REGEXEXTRACT(CELL("address",'Raw Data'!B228),"\$([A-Z]+)\$[0-9]+"),"")</f>
        <v>$B$228</v>
      </c>
      <c r="C228" t="str" cm="1">
        <f t="array" aca="1" ref="C228" ca="1">IF('Raw Data'!C228="",_xlfn.REGEXEXTRACT(CELL("address",'Raw Data'!C228),"\$([A-Z]+)\$[0-9]+"),"")</f>
        <v>$C$228</v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str" cm="1">
        <f t="array" aca="1" ref="G228" ca="1">IF('Raw Data'!G228="",_xlfn.REGEXEXTRACT(CELL("address",'Raw Data'!G228),"\$([A-Z]+)\$[0-9]+"),"")</f>
        <v>$G$228</v>
      </c>
      <c r="H228" t="str" cm="1">
        <f t="array" aca="1" ref="H228" ca="1">IF('Raw Data'!H228="",_xlfn.REGEXEXTRACT(CELL("address",'Raw Data'!H228),"\$([A-Z]+)\$[0-9]+"),"")</f>
        <v>$H$228</v>
      </c>
      <c r="I228" t="str" cm="1">
        <f t="array" aca="1" ref="I228" ca="1">IF('Raw Data'!I228="",_xlfn.REGEXEXTRACT(CELL("address",'Raw Data'!I228),"\$([A-Z]+)\$[0-9]+"),"")</f>
        <v>$I$228</v>
      </c>
    </row>
    <row r="229" spans="2:9" x14ac:dyDescent="0.25">
      <c r="B229" t="str" cm="1">
        <f t="array" aca="1" ref="B229" ca="1">IF('Raw Data'!B229="",_xlfn.REGEXEXTRACT(CELL("address",'Raw Data'!B229),"\$([A-Z]+)\$[0-9]+"),"")</f>
        <v>$B$229</v>
      </c>
      <c r="C229" t="str" cm="1">
        <f t="array" aca="1" ref="C229" ca="1">IF('Raw Data'!C229="",_xlfn.REGEXEXTRACT(CELL("address",'Raw Data'!C229),"\$([A-Z]+)\$[0-9]+"),"")</f>
        <v>$C$229</v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str" cm="1">
        <f t="array" aca="1" ref="G229" ca="1">IF('Raw Data'!G229="",_xlfn.REGEXEXTRACT(CELL("address",'Raw Data'!G229),"\$([A-Z]+)\$[0-9]+"),"")</f>
        <v>$G$229</v>
      </c>
      <c r="H229" t="str" cm="1">
        <f t="array" aca="1" ref="H229" ca="1">IF('Raw Data'!H229="",_xlfn.REGEXEXTRACT(CELL("address",'Raw Data'!H229),"\$([A-Z]+)\$[0-9]+"),"")</f>
        <v>$H$229</v>
      </c>
      <c r="I229" t="str" cm="1">
        <f t="array" aca="1" ref="I229" ca="1">IF('Raw Data'!I229="",_xlfn.REGEXEXTRACT(CELL("address",'Raw Data'!I229),"\$([A-Z]+)\$[0-9]+"),"")</f>
        <v>$I$229</v>
      </c>
    </row>
    <row r="230" spans="2:9" x14ac:dyDescent="0.25">
      <c r="B230" t="str" cm="1">
        <f t="array" aca="1" ref="B230" ca="1">IF('Raw Data'!B230="",_xlfn.REGEXEXTRACT(CELL("address",'Raw Data'!B230),"\$([A-Z]+)\$[0-9]+"),"")</f>
        <v>$B$230</v>
      </c>
      <c r="C230" t="str" cm="1">
        <f t="array" aca="1" ref="C230" ca="1">IF('Raw Data'!C230="",_xlfn.REGEXEXTRACT(CELL("address",'Raw Data'!C230),"\$([A-Z]+)\$[0-9]+"),"")</f>
        <v>$C$230</v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str" cm="1">
        <f t="array" aca="1" ref="G230" ca="1">IF('Raw Data'!G230="",_xlfn.REGEXEXTRACT(CELL("address",'Raw Data'!G230),"\$([A-Z]+)\$[0-9]+"),"")</f>
        <v>$G$230</v>
      </c>
      <c r="H230" t="str" cm="1">
        <f t="array" aca="1" ref="H230" ca="1">IF('Raw Data'!H230="",_xlfn.REGEXEXTRACT(CELL("address",'Raw Data'!H230),"\$([A-Z]+)\$[0-9]+"),"")</f>
        <v>$H$230</v>
      </c>
      <c r="I230" t="str" cm="1">
        <f t="array" aca="1" ref="I230" ca="1">IF('Raw Data'!I230="",_xlfn.REGEXEXTRACT(CELL("address",'Raw Data'!I230),"\$([A-Z]+)\$[0-9]+"),"")</f>
        <v>$I$230</v>
      </c>
    </row>
    <row r="231" spans="2:9" x14ac:dyDescent="0.25">
      <c r="B231" t="str" cm="1">
        <f t="array" aca="1" ref="B231" ca="1">IF('Raw Data'!B231="",_xlfn.REGEXEXTRACT(CELL("address",'Raw Data'!B231),"\$([A-Z]+)\$[0-9]+"),"")</f>
        <v>$B$231</v>
      </c>
      <c r="C231" t="str" cm="1">
        <f t="array" aca="1" ref="C231" ca="1">IF('Raw Data'!C231="",_xlfn.REGEXEXTRACT(CELL("address",'Raw Data'!C231),"\$([A-Z]+)\$[0-9]+"),"")</f>
        <v>$C$231</v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str" cm="1">
        <f t="array" aca="1" ref="G231" ca="1">IF('Raw Data'!G231="",_xlfn.REGEXEXTRACT(CELL("address",'Raw Data'!G231),"\$([A-Z]+)\$[0-9]+"),"")</f>
        <v>$G$231</v>
      </c>
      <c r="H231" t="str" cm="1">
        <f t="array" aca="1" ref="H231" ca="1">IF('Raw Data'!H231="",_xlfn.REGEXEXTRACT(CELL("address",'Raw Data'!H231),"\$([A-Z]+)\$[0-9]+"),"")</f>
        <v>$H$231</v>
      </c>
      <c r="I231" t="str" cm="1">
        <f t="array" aca="1" ref="I231" ca="1">IF('Raw Data'!I231="",_xlfn.REGEXEXTRACT(CELL("address",'Raw Data'!I231),"\$([A-Z]+)\$[0-9]+"),"")</f>
        <v>$I$231</v>
      </c>
    </row>
    <row r="232" spans="2:9" x14ac:dyDescent="0.25">
      <c r="B232" t="str" cm="1">
        <f t="array" aca="1" ref="B232" ca="1">IF('Raw Data'!B232="",_xlfn.REGEXEXTRACT(CELL("address",'Raw Data'!B232),"\$([A-Z]+)\$[0-9]+"),"")</f>
        <v>$B$232</v>
      </c>
      <c r="C232" t="str" cm="1">
        <f t="array" aca="1" ref="C232" ca="1">IF('Raw Data'!C232="",_xlfn.REGEXEXTRACT(CELL("address",'Raw Data'!C232),"\$([A-Z]+)\$[0-9]+"),"")</f>
        <v>$C$232</v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str" cm="1">
        <f t="array" aca="1" ref="G232" ca="1">IF('Raw Data'!G232="",_xlfn.REGEXEXTRACT(CELL("address",'Raw Data'!G232),"\$([A-Z]+)\$[0-9]+"),"")</f>
        <v>$G$232</v>
      </c>
      <c r="H232" t="str" cm="1">
        <f t="array" aca="1" ref="H232" ca="1">IF('Raw Data'!H232="",_xlfn.REGEXEXTRACT(CELL("address",'Raw Data'!H232),"\$([A-Z]+)\$[0-9]+"),"")</f>
        <v>$H$232</v>
      </c>
      <c r="I232" t="str" cm="1">
        <f t="array" aca="1" ref="I232" ca="1">IF('Raw Data'!I232="",_xlfn.REGEXEXTRACT(CELL("address",'Raw Data'!I232),"\$([A-Z]+)\$[0-9]+"),"")</f>
        <v>$I$232</v>
      </c>
    </row>
    <row r="233" spans="2:9" x14ac:dyDescent="0.25">
      <c r="B233" t="str" cm="1">
        <f t="array" aca="1" ref="B233" ca="1">IF('Raw Data'!B233="",_xlfn.REGEXEXTRACT(CELL("address",'Raw Data'!B233),"\$([A-Z]+)\$[0-9]+"),"")</f>
        <v>$B$233</v>
      </c>
      <c r="C233" t="str" cm="1">
        <f t="array" aca="1" ref="C233" ca="1">IF('Raw Data'!C233="",_xlfn.REGEXEXTRACT(CELL("address",'Raw Data'!C233),"\$([A-Z]+)\$[0-9]+"),"")</f>
        <v>$C$233</v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str" cm="1">
        <f t="array" aca="1" ref="G233" ca="1">IF('Raw Data'!G233="",_xlfn.REGEXEXTRACT(CELL("address",'Raw Data'!G233),"\$([A-Z]+)\$[0-9]+"),"")</f>
        <v>$G$233</v>
      </c>
      <c r="H233" t="str" cm="1">
        <f t="array" aca="1" ref="H233" ca="1">IF('Raw Data'!H233="",_xlfn.REGEXEXTRACT(CELL("address",'Raw Data'!H233),"\$([A-Z]+)\$[0-9]+"),"")</f>
        <v>$H$233</v>
      </c>
      <c r="I233" t="str" cm="1">
        <f t="array" aca="1" ref="I233" ca="1">IF('Raw Data'!I233="",_xlfn.REGEXEXTRACT(CELL("address",'Raw Data'!I233),"\$([A-Z]+)\$[0-9]+"),"")</f>
        <v>$I$233</v>
      </c>
    </row>
    <row r="234" spans="2:9" x14ac:dyDescent="0.25">
      <c r="B234" t="str" cm="1">
        <f t="array" aca="1" ref="B234" ca="1">IF('Raw Data'!B234="",_xlfn.REGEXEXTRACT(CELL("address",'Raw Data'!B234),"\$([A-Z]+)\$[0-9]+"),"")</f>
        <v>$B$234</v>
      </c>
      <c r="C234" t="str" cm="1">
        <f t="array" aca="1" ref="C234" ca="1">IF('Raw Data'!C234="",_xlfn.REGEXEXTRACT(CELL("address",'Raw Data'!C234),"\$([A-Z]+)\$[0-9]+"),"")</f>
        <v>$C$234</v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str" cm="1">
        <f t="array" aca="1" ref="G234" ca="1">IF('Raw Data'!G234="",_xlfn.REGEXEXTRACT(CELL("address",'Raw Data'!G234),"\$([A-Z]+)\$[0-9]+"),"")</f>
        <v>$G$234</v>
      </c>
      <c r="H234" t="str" cm="1">
        <f t="array" aca="1" ref="H234" ca="1">IF('Raw Data'!H234="",_xlfn.REGEXEXTRACT(CELL("address",'Raw Data'!H234),"\$([A-Z]+)\$[0-9]+"),"")</f>
        <v>$H$234</v>
      </c>
      <c r="I234" t="str" cm="1">
        <f t="array" aca="1" ref="I234" ca="1">IF('Raw Data'!I234="",_xlfn.REGEXEXTRACT(CELL("address",'Raw Data'!I234),"\$([A-Z]+)\$[0-9]+"),"")</f>
        <v>$I$234</v>
      </c>
    </row>
    <row r="235" spans="2:9" x14ac:dyDescent="0.25">
      <c r="B235" t="str" cm="1">
        <f t="array" aca="1" ref="B235" ca="1">IF('Raw Data'!B235="",_xlfn.REGEXEXTRACT(CELL("address",'Raw Data'!B235),"\$([A-Z]+)\$[0-9]+"),"")</f>
        <v>$B$235</v>
      </c>
      <c r="C235" t="str" cm="1">
        <f t="array" aca="1" ref="C235" ca="1">IF('Raw Data'!C235="",_xlfn.REGEXEXTRACT(CELL("address",'Raw Data'!C235),"\$([A-Z]+)\$[0-9]+"),"")</f>
        <v>$C$235</v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str" cm="1">
        <f t="array" aca="1" ref="G235" ca="1">IF('Raw Data'!G235="",_xlfn.REGEXEXTRACT(CELL("address",'Raw Data'!G235),"\$([A-Z]+)\$[0-9]+"),"")</f>
        <v>$G$235</v>
      </c>
      <c r="H235" t="str" cm="1">
        <f t="array" aca="1" ref="H235" ca="1">IF('Raw Data'!H235="",_xlfn.REGEXEXTRACT(CELL("address",'Raw Data'!H235),"\$([A-Z]+)\$[0-9]+"),"")</f>
        <v>$H$235</v>
      </c>
      <c r="I235" t="str" cm="1">
        <f t="array" aca="1" ref="I235" ca="1">IF('Raw Data'!I235="",_xlfn.REGEXEXTRACT(CELL("address",'Raw Data'!I235),"\$([A-Z]+)\$[0-9]+"),"")</f>
        <v>$I$235</v>
      </c>
    </row>
    <row r="236" spans="2:9" x14ac:dyDescent="0.25">
      <c r="B236" t="str" cm="1">
        <f t="array" aca="1" ref="B236" ca="1">IF('Raw Data'!B236="",_xlfn.REGEXEXTRACT(CELL("address",'Raw Data'!B236),"\$([A-Z]+)\$[0-9]+"),"")</f>
        <v>$B$236</v>
      </c>
      <c r="C236" t="str" cm="1">
        <f t="array" aca="1" ref="C236" ca="1">IF('Raw Data'!C236="",_xlfn.REGEXEXTRACT(CELL("address",'Raw Data'!C236),"\$([A-Z]+)\$[0-9]+"),"")</f>
        <v>$C$236</v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str" cm="1">
        <f t="array" aca="1" ref="G236" ca="1">IF('Raw Data'!G236="",_xlfn.REGEXEXTRACT(CELL("address",'Raw Data'!G236),"\$([A-Z]+)\$[0-9]+"),"")</f>
        <v>$G$236</v>
      </c>
      <c r="H236" t="str" cm="1">
        <f t="array" aca="1" ref="H236" ca="1">IF('Raw Data'!H236="",_xlfn.REGEXEXTRACT(CELL("address",'Raw Data'!H236),"\$([A-Z]+)\$[0-9]+"),"")</f>
        <v>$H$236</v>
      </c>
      <c r="I236" t="str" cm="1">
        <f t="array" aca="1" ref="I236" ca="1">IF('Raw Data'!I236="",_xlfn.REGEXEXTRACT(CELL("address",'Raw Data'!I236),"\$([A-Z]+)\$[0-9]+"),"")</f>
        <v>$I$236</v>
      </c>
    </row>
    <row r="237" spans="2:9" x14ac:dyDescent="0.25">
      <c r="B237" t="str" cm="1">
        <f t="array" aca="1" ref="B237" ca="1">IF('Raw Data'!B237="",_xlfn.REGEXEXTRACT(CELL("address",'Raw Data'!B237),"\$([A-Z]+)\$[0-9]+"),"")</f>
        <v>$B$237</v>
      </c>
      <c r="C237" t="str" cm="1">
        <f t="array" aca="1" ref="C237" ca="1">IF('Raw Data'!C237="",_xlfn.REGEXEXTRACT(CELL("address",'Raw Data'!C237),"\$([A-Z]+)\$[0-9]+"),"")</f>
        <v>$C$237</v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str" cm="1">
        <f t="array" aca="1" ref="G237" ca="1">IF('Raw Data'!G237="",_xlfn.REGEXEXTRACT(CELL("address",'Raw Data'!G237),"\$([A-Z]+)\$[0-9]+"),"")</f>
        <v>$G$237</v>
      </c>
      <c r="H237" t="str" cm="1">
        <f t="array" aca="1" ref="H237" ca="1">IF('Raw Data'!H237="",_xlfn.REGEXEXTRACT(CELL("address",'Raw Data'!H237),"\$([A-Z]+)\$[0-9]+"),"")</f>
        <v>$H$237</v>
      </c>
      <c r="I237" t="str" cm="1">
        <f t="array" aca="1" ref="I237" ca="1">IF('Raw Data'!I237="",_xlfn.REGEXEXTRACT(CELL("address",'Raw Data'!I237),"\$([A-Z]+)\$[0-9]+"),"")</f>
        <v>$I$237</v>
      </c>
    </row>
    <row r="238" spans="2:9" x14ac:dyDescent="0.25">
      <c r="B238" t="str" cm="1">
        <f t="array" aca="1" ref="B238" ca="1">IF('Raw Data'!B238="",_xlfn.REGEXEXTRACT(CELL("address",'Raw Data'!B238),"\$([A-Z]+)\$[0-9]+"),"")</f>
        <v>$B$238</v>
      </c>
      <c r="C238" t="str" cm="1">
        <f t="array" aca="1" ref="C238" ca="1">IF('Raw Data'!C238="",_xlfn.REGEXEXTRACT(CELL("address",'Raw Data'!C238),"\$([A-Z]+)\$[0-9]+"),"")</f>
        <v>$C$238</v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str" cm="1">
        <f t="array" aca="1" ref="G238" ca="1">IF('Raw Data'!G238="",_xlfn.REGEXEXTRACT(CELL("address",'Raw Data'!G238),"\$([A-Z]+)\$[0-9]+"),"")</f>
        <v>$G$238</v>
      </c>
      <c r="H238" t="str" cm="1">
        <f t="array" aca="1" ref="H238" ca="1">IF('Raw Data'!H238="",_xlfn.REGEXEXTRACT(CELL("address",'Raw Data'!H238),"\$([A-Z]+)\$[0-9]+"),"")</f>
        <v>$H$238</v>
      </c>
      <c r="I238" t="str" cm="1">
        <f t="array" aca="1" ref="I238" ca="1">IF('Raw Data'!I238="",_xlfn.REGEXEXTRACT(CELL("address",'Raw Data'!I238),"\$([A-Z]+)\$[0-9]+"),"")</f>
        <v>$I$238</v>
      </c>
    </row>
    <row r="239" spans="2:9" x14ac:dyDescent="0.25">
      <c r="B239" t="str" cm="1">
        <f t="array" aca="1" ref="B239" ca="1">IF('Raw Data'!B239="",_xlfn.REGEXEXTRACT(CELL("address",'Raw Data'!B239),"\$([A-Z]+)\$[0-9]+"),"")</f>
        <v>$B$239</v>
      </c>
      <c r="C239" t="str" cm="1">
        <f t="array" aca="1" ref="C239" ca="1">IF('Raw Data'!C239="",_xlfn.REGEXEXTRACT(CELL("address",'Raw Data'!C239),"\$([A-Z]+)\$[0-9]+"),"")</f>
        <v>$C$239</v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str" cm="1">
        <f t="array" aca="1" ref="G239" ca="1">IF('Raw Data'!G239="",_xlfn.REGEXEXTRACT(CELL("address",'Raw Data'!G239),"\$([A-Z]+)\$[0-9]+"),"")</f>
        <v>$G$239</v>
      </c>
      <c r="H239" t="str" cm="1">
        <f t="array" aca="1" ref="H239" ca="1">IF('Raw Data'!H239="",_xlfn.REGEXEXTRACT(CELL("address",'Raw Data'!H239),"\$([A-Z]+)\$[0-9]+"),"")</f>
        <v>$H$239</v>
      </c>
      <c r="I239" t="str" cm="1">
        <f t="array" aca="1" ref="I239" ca="1">IF('Raw Data'!I239="",_xlfn.REGEXEXTRACT(CELL("address",'Raw Data'!I239),"\$([A-Z]+)\$[0-9]+"),"")</f>
        <v>$I$239</v>
      </c>
    </row>
    <row r="240" spans="2:9" x14ac:dyDescent="0.25">
      <c r="B240" t="str" cm="1">
        <f t="array" aca="1" ref="B240" ca="1">IF('Raw Data'!B240="",_xlfn.REGEXEXTRACT(CELL("address",'Raw Data'!B240),"\$([A-Z]+)\$[0-9]+"),"")</f>
        <v>$B$240</v>
      </c>
      <c r="C240" t="str" cm="1">
        <f t="array" aca="1" ref="C240" ca="1">IF('Raw Data'!C240="",_xlfn.REGEXEXTRACT(CELL("address",'Raw Data'!C240),"\$([A-Z]+)\$[0-9]+"),"")</f>
        <v>$C$240</v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str" cm="1">
        <f t="array" aca="1" ref="G240" ca="1">IF('Raw Data'!G240="",_xlfn.REGEXEXTRACT(CELL("address",'Raw Data'!G240),"\$([A-Z]+)\$[0-9]+"),"")</f>
        <v>$G$240</v>
      </c>
      <c r="H240" t="str" cm="1">
        <f t="array" aca="1" ref="H240" ca="1">IF('Raw Data'!H240="",_xlfn.REGEXEXTRACT(CELL("address",'Raw Data'!H240),"\$([A-Z]+)\$[0-9]+"),"")</f>
        <v>$H$240</v>
      </c>
      <c r="I240" t="str" cm="1">
        <f t="array" aca="1" ref="I240" ca="1">IF('Raw Data'!I240="",_xlfn.REGEXEXTRACT(CELL("address",'Raw Data'!I240),"\$([A-Z]+)\$[0-9]+"),"")</f>
        <v>$I$240</v>
      </c>
    </row>
    <row r="241" spans="2:9" x14ac:dyDescent="0.25">
      <c r="B241" t="str" cm="1">
        <f t="array" aca="1" ref="B241" ca="1">IF('Raw Data'!B241="",_xlfn.REGEXEXTRACT(CELL("address",'Raw Data'!B241),"\$([A-Z]+)\$[0-9]+"),"")</f>
        <v>$B$241</v>
      </c>
      <c r="C241" t="str" cm="1">
        <f t="array" aca="1" ref="C241" ca="1">IF('Raw Data'!C241="",_xlfn.REGEXEXTRACT(CELL("address",'Raw Data'!C241),"\$([A-Z]+)\$[0-9]+"),"")</f>
        <v>$C$241</v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str" cm="1">
        <f t="array" aca="1" ref="G241" ca="1">IF('Raw Data'!G241="",_xlfn.REGEXEXTRACT(CELL("address",'Raw Data'!G241),"\$([A-Z]+)\$[0-9]+"),"")</f>
        <v>$G$241</v>
      </c>
      <c r="H241" t="str" cm="1">
        <f t="array" aca="1" ref="H241" ca="1">IF('Raw Data'!H241="",_xlfn.REGEXEXTRACT(CELL("address",'Raw Data'!H241),"\$([A-Z]+)\$[0-9]+"),"")</f>
        <v>$H$241</v>
      </c>
      <c r="I241" t="str" cm="1">
        <f t="array" aca="1" ref="I241" ca="1">IF('Raw Data'!I241="",_xlfn.REGEXEXTRACT(CELL("address",'Raw Data'!I241),"\$([A-Z]+)\$[0-9]+"),"")</f>
        <v>$I$241</v>
      </c>
    </row>
    <row r="242" spans="2:9" x14ac:dyDescent="0.25">
      <c r="B242" t="str" cm="1">
        <f t="array" aca="1" ref="B242" ca="1">IF('Raw Data'!B242="",_xlfn.REGEXEXTRACT(CELL("address",'Raw Data'!B242),"\$([A-Z]+)\$[0-9]+"),"")</f>
        <v>$B$242</v>
      </c>
      <c r="C242" t="str" cm="1">
        <f t="array" aca="1" ref="C242" ca="1">IF('Raw Data'!C242="",_xlfn.REGEXEXTRACT(CELL("address",'Raw Data'!C242),"\$([A-Z]+)\$[0-9]+"),"")</f>
        <v>$C$242</v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str" cm="1">
        <f t="array" aca="1" ref="G242" ca="1">IF('Raw Data'!G242="",_xlfn.REGEXEXTRACT(CELL("address",'Raw Data'!G242),"\$([A-Z]+)\$[0-9]+"),"")</f>
        <v>$G$242</v>
      </c>
      <c r="H242" t="str" cm="1">
        <f t="array" aca="1" ref="H242" ca="1">IF('Raw Data'!H242="",_xlfn.REGEXEXTRACT(CELL("address",'Raw Data'!H242),"\$([A-Z]+)\$[0-9]+"),"")</f>
        <v>$H$242</v>
      </c>
      <c r="I242" t="str" cm="1">
        <f t="array" aca="1" ref="I242" ca="1">IF('Raw Data'!I242="",_xlfn.REGEXEXTRACT(CELL("address",'Raw Data'!I242),"\$([A-Z]+)\$[0-9]+"),"")</f>
        <v>$I$242</v>
      </c>
    </row>
    <row r="243" spans="2:9" x14ac:dyDescent="0.25">
      <c r="B243" t="str" cm="1">
        <f t="array" aca="1" ref="B243" ca="1">IF('Raw Data'!B243="",_xlfn.REGEXEXTRACT(CELL("address",'Raw Data'!B243),"\$([A-Z]+)\$[0-9]+"),"")</f>
        <v>$B$243</v>
      </c>
      <c r="C243" t="str" cm="1">
        <f t="array" aca="1" ref="C243" ca="1">IF('Raw Data'!C243="",_xlfn.REGEXEXTRACT(CELL("address",'Raw Data'!C243),"\$([A-Z]+)\$[0-9]+"),"")</f>
        <v>$C$243</v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str" cm="1">
        <f t="array" aca="1" ref="G243" ca="1">IF('Raw Data'!G243="",_xlfn.REGEXEXTRACT(CELL("address",'Raw Data'!G243),"\$([A-Z]+)\$[0-9]+"),"")</f>
        <v>$G$243</v>
      </c>
      <c r="H243" t="str" cm="1">
        <f t="array" aca="1" ref="H243" ca="1">IF('Raw Data'!H243="",_xlfn.REGEXEXTRACT(CELL("address",'Raw Data'!H243),"\$([A-Z]+)\$[0-9]+"),"")</f>
        <v>$H$243</v>
      </c>
      <c r="I243" t="str" cm="1">
        <f t="array" aca="1" ref="I243" ca="1">IF('Raw Data'!I243="",_xlfn.REGEXEXTRACT(CELL("address",'Raw Data'!I243),"\$([A-Z]+)\$[0-9]+"),"")</f>
        <v>$I$243</v>
      </c>
    </row>
    <row r="244" spans="2:9" x14ac:dyDescent="0.25">
      <c r="B244" t="str" cm="1">
        <f t="array" aca="1" ref="B244" ca="1">IF('Raw Data'!B244="",_xlfn.REGEXEXTRACT(CELL("address",'Raw Data'!B244),"\$([A-Z]+)\$[0-9]+"),"")</f>
        <v>$B$244</v>
      </c>
      <c r="C244" t="str" cm="1">
        <f t="array" aca="1" ref="C244" ca="1">IF('Raw Data'!C244="",_xlfn.REGEXEXTRACT(CELL("address",'Raw Data'!C244),"\$([A-Z]+)\$[0-9]+"),"")</f>
        <v>$C$244</v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str" cm="1">
        <f t="array" aca="1" ref="G244" ca="1">IF('Raw Data'!G244="",_xlfn.REGEXEXTRACT(CELL("address",'Raw Data'!G244),"\$([A-Z]+)\$[0-9]+"),"")</f>
        <v>$G$244</v>
      </c>
      <c r="H244" t="str" cm="1">
        <f t="array" aca="1" ref="H244" ca="1">IF('Raw Data'!H244="",_xlfn.REGEXEXTRACT(CELL("address",'Raw Data'!H244),"\$([A-Z]+)\$[0-9]+"),"")</f>
        <v>$H$244</v>
      </c>
      <c r="I244" t="str" cm="1">
        <f t="array" aca="1" ref="I244" ca="1">IF('Raw Data'!I244="",_xlfn.REGEXEXTRACT(CELL("address",'Raw Data'!I244),"\$([A-Z]+)\$[0-9]+"),"")</f>
        <v>$I$244</v>
      </c>
    </row>
    <row r="245" spans="2:9" x14ac:dyDescent="0.25">
      <c r="B245" t="str" cm="1">
        <f t="array" aca="1" ref="B245" ca="1">IF('Raw Data'!B245="",_xlfn.REGEXEXTRACT(CELL("address",'Raw Data'!B245),"\$([A-Z]+)\$[0-9]+"),"")</f>
        <v>$B$245</v>
      </c>
      <c r="C245" t="str" cm="1">
        <f t="array" aca="1" ref="C245" ca="1">IF('Raw Data'!C245="",_xlfn.REGEXEXTRACT(CELL("address",'Raw Data'!C245),"\$([A-Z]+)\$[0-9]+"),"")</f>
        <v>$C$245</v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str" cm="1">
        <f t="array" aca="1" ref="G245" ca="1">IF('Raw Data'!G245="",_xlfn.REGEXEXTRACT(CELL("address",'Raw Data'!G245),"\$([A-Z]+)\$[0-9]+"),"")</f>
        <v>$G$245</v>
      </c>
      <c r="H245" t="str" cm="1">
        <f t="array" aca="1" ref="H245" ca="1">IF('Raw Data'!H245="",_xlfn.REGEXEXTRACT(CELL("address",'Raw Data'!H245),"\$([A-Z]+)\$[0-9]+"),"")</f>
        <v>$H$245</v>
      </c>
      <c r="I245" t="str" cm="1">
        <f t="array" aca="1" ref="I245" ca="1">IF('Raw Data'!I245="",_xlfn.REGEXEXTRACT(CELL("address",'Raw Data'!I245),"\$([A-Z]+)\$[0-9]+"),"")</f>
        <v>$I$245</v>
      </c>
    </row>
    <row r="246" spans="2:9" x14ac:dyDescent="0.25">
      <c r="B246" t="str" cm="1">
        <f t="array" aca="1" ref="B246" ca="1">IF('Raw Data'!B246="",_xlfn.REGEXEXTRACT(CELL("address",'Raw Data'!B246),"\$([A-Z]+)\$[0-9]+"),"")</f>
        <v>$B$246</v>
      </c>
      <c r="C246" t="str" cm="1">
        <f t="array" aca="1" ref="C246" ca="1">IF('Raw Data'!C246="",_xlfn.REGEXEXTRACT(CELL("address",'Raw Data'!C246),"\$([A-Z]+)\$[0-9]+"),"")</f>
        <v>$C$246</v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str" cm="1">
        <f t="array" aca="1" ref="G246" ca="1">IF('Raw Data'!G246="",_xlfn.REGEXEXTRACT(CELL("address",'Raw Data'!G246),"\$([A-Z]+)\$[0-9]+"),"")</f>
        <v>$G$246</v>
      </c>
      <c r="H246" t="str" cm="1">
        <f t="array" aca="1" ref="H246" ca="1">IF('Raw Data'!H246="",_xlfn.REGEXEXTRACT(CELL("address",'Raw Data'!H246),"\$([A-Z]+)\$[0-9]+"),"")</f>
        <v>$H$246</v>
      </c>
      <c r="I246" t="str" cm="1">
        <f t="array" aca="1" ref="I246" ca="1">IF('Raw Data'!I246="",_xlfn.REGEXEXTRACT(CELL("address",'Raw Data'!I246),"\$([A-Z]+)\$[0-9]+"),"")</f>
        <v>$I$246</v>
      </c>
    </row>
    <row r="247" spans="2:9" x14ac:dyDescent="0.25">
      <c r="B247" t="str" cm="1">
        <f t="array" aca="1" ref="B247" ca="1">IF('Raw Data'!B247="",_xlfn.REGEXEXTRACT(CELL("address",'Raw Data'!B247),"\$([A-Z]+)\$[0-9]+"),"")</f>
        <v>$B$247</v>
      </c>
      <c r="C247" t="str" cm="1">
        <f t="array" aca="1" ref="C247" ca="1">IF('Raw Data'!C247="",_xlfn.REGEXEXTRACT(CELL("address",'Raw Data'!C247),"\$([A-Z]+)\$[0-9]+"),"")</f>
        <v>$C$247</v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str" cm="1">
        <f t="array" aca="1" ref="G247" ca="1">IF('Raw Data'!G247="",_xlfn.REGEXEXTRACT(CELL("address",'Raw Data'!G247),"\$([A-Z]+)\$[0-9]+"),"")</f>
        <v>$G$247</v>
      </c>
      <c r="H247" t="str" cm="1">
        <f t="array" aca="1" ref="H247" ca="1">IF('Raw Data'!H247="",_xlfn.REGEXEXTRACT(CELL("address",'Raw Data'!H247),"\$([A-Z]+)\$[0-9]+"),"")</f>
        <v>$H$247</v>
      </c>
      <c r="I247" t="str" cm="1">
        <f t="array" aca="1" ref="I247" ca="1">IF('Raw Data'!I247="",_xlfn.REGEXEXTRACT(CELL("address",'Raw Data'!I247),"\$([A-Z]+)\$[0-9]+"),"")</f>
        <v>$I$247</v>
      </c>
    </row>
    <row r="248" spans="2:9" x14ac:dyDescent="0.25">
      <c r="B248" t="str" cm="1">
        <f t="array" aca="1" ref="B248" ca="1">IF('Raw Data'!B248="",_xlfn.REGEXEXTRACT(CELL("address",'Raw Data'!B248),"\$([A-Z]+)\$[0-9]+"),"")</f>
        <v>$B$248</v>
      </c>
      <c r="C248" t="str" cm="1">
        <f t="array" aca="1" ref="C248" ca="1">IF('Raw Data'!C248="",_xlfn.REGEXEXTRACT(CELL("address",'Raw Data'!C248),"\$([A-Z]+)\$[0-9]+"),"")</f>
        <v>$C$248</v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str" cm="1">
        <f t="array" aca="1" ref="G248" ca="1">IF('Raw Data'!G248="",_xlfn.REGEXEXTRACT(CELL("address",'Raw Data'!G248),"\$([A-Z]+)\$[0-9]+"),"")</f>
        <v>$G$248</v>
      </c>
      <c r="H248" t="str" cm="1">
        <f t="array" aca="1" ref="H248" ca="1">IF('Raw Data'!H248="",_xlfn.REGEXEXTRACT(CELL("address",'Raw Data'!H248),"\$([A-Z]+)\$[0-9]+"),"")</f>
        <v>$H$248</v>
      </c>
      <c r="I248" t="str" cm="1">
        <f t="array" aca="1" ref="I248" ca="1">IF('Raw Data'!I248="",_xlfn.REGEXEXTRACT(CELL("address",'Raw Data'!I248),"\$([A-Z]+)\$[0-9]+"),"")</f>
        <v>$I$248</v>
      </c>
    </row>
    <row r="249" spans="2:9" x14ac:dyDescent="0.25">
      <c r="B249" t="str" cm="1">
        <f t="array" aca="1" ref="B249" ca="1">IF('Raw Data'!B249="",_xlfn.REGEXEXTRACT(CELL("address",'Raw Data'!B249),"\$([A-Z]+)\$[0-9]+"),"")</f>
        <v>$B$249</v>
      </c>
      <c r="C249" t="str" cm="1">
        <f t="array" aca="1" ref="C249" ca="1">IF('Raw Data'!C249="",_xlfn.REGEXEXTRACT(CELL("address",'Raw Data'!C249),"\$([A-Z]+)\$[0-9]+"),"")</f>
        <v>$C$249</v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str" cm="1">
        <f t="array" aca="1" ref="G249" ca="1">IF('Raw Data'!G249="",_xlfn.REGEXEXTRACT(CELL("address",'Raw Data'!G249),"\$([A-Z]+)\$[0-9]+"),"")</f>
        <v>$G$249</v>
      </c>
      <c r="H249" t="str" cm="1">
        <f t="array" aca="1" ref="H249" ca="1">IF('Raw Data'!H249="",_xlfn.REGEXEXTRACT(CELL("address",'Raw Data'!H249),"\$([A-Z]+)\$[0-9]+"),"")</f>
        <v>$H$249</v>
      </c>
      <c r="I249" t="str" cm="1">
        <f t="array" aca="1" ref="I249" ca="1">IF('Raw Data'!I249="",_xlfn.REGEXEXTRACT(CELL("address",'Raw Data'!I249),"\$([A-Z]+)\$[0-9]+"),"")</f>
        <v>$I$249</v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str" cm="1">
        <f t="array" aca="1" ref="G250" ca="1">IF('Raw Data'!G250="",_xlfn.REGEXEXTRACT(CELL("address",'Raw Data'!G250),"\$([A-Z]+)\$[0-9]+"),"")</f>
        <v>$G$250</v>
      </c>
      <c r="H250" t="str" cm="1">
        <f t="array" aca="1" ref="H250" ca="1">IF('Raw Data'!H250="",_xlfn.REGEXEXTRACT(CELL("address",'Raw Data'!H250),"\$([A-Z]+)\$[0-9]+"),"")</f>
        <v>$H$250</v>
      </c>
      <c r="I250" t="str" cm="1">
        <f t="array" aca="1" ref="I250" ca="1">IF('Raw Data'!I250="",_xlfn.REGEXEXTRACT(CELL("address",'Raw Data'!I250),"\$([A-Z]+)\$[0-9]+"),"")</f>
        <v>$I$250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str" cm="1">
        <f t="array" aca="1" ref="G251" ca="1">IF('Raw Data'!G251="",_xlfn.REGEXEXTRACT(CELL("address",'Raw Data'!G251),"\$([A-Z]+)\$[0-9]+"),"")</f>
        <v>$G$251</v>
      </c>
      <c r="H251" t="str" cm="1">
        <f t="array" aca="1" ref="H251" ca="1">IF('Raw Data'!H251="",_xlfn.REGEXEXTRACT(CELL("address",'Raw Data'!H251),"\$([A-Z]+)\$[0-9]+"),"")</f>
        <v>$H$251</v>
      </c>
      <c r="I251" t="str" cm="1">
        <f t="array" aca="1" ref="I251" ca="1">IF('Raw Data'!I251="",_xlfn.REGEXEXTRACT(CELL("address",'Raw Data'!I251),"\$([A-Z]+)\$[0-9]+"),"")</f>
        <v>$I$251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str" cm="1">
        <f t="array" aca="1" ref="G252" ca="1">IF('Raw Data'!G252="",_xlfn.REGEXEXTRACT(CELL("address",'Raw Data'!G252),"\$([A-Z]+)\$[0-9]+"),"")</f>
        <v>$G$252</v>
      </c>
      <c r="H252" t="str" cm="1">
        <f t="array" aca="1" ref="H252" ca="1">IF('Raw Data'!H252="",_xlfn.REGEXEXTRACT(CELL("address",'Raw Data'!H252),"\$([A-Z]+)\$[0-9]+"),"")</f>
        <v>$H$252</v>
      </c>
      <c r="I252" t="str" cm="1">
        <f t="array" aca="1" ref="I252" ca="1">IF('Raw Data'!I252="",_xlfn.REGEXEXTRACT(CELL("address",'Raw Data'!I252),"\$([A-Z]+)\$[0-9]+"),"")</f>
        <v>$I$252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str" cm="1">
        <f t="array" aca="1" ref="G253" ca="1">IF('Raw Data'!G253="",_xlfn.REGEXEXTRACT(CELL("address",'Raw Data'!G253),"\$([A-Z]+)\$[0-9]+"),"")</f>
        <v>$G$253</v>
      </c>
      <c r="H253" t="str" cm="1">
        <f t="array" aca="1" ref="H253" ca="1">IF('Raw Data'!H253="",_xlfn.REGEXEXTRACT(CELL("address",'Raw Data'!H253),"\$([A-Z]+)\$[0-9]+"),"")</f>
        <v>$H$253</v>
      </c>
      <c r="I253" t="str" cm="1">
        <f t="array" aca="1" ref="I253" ca="1">IF('Raw Data'!I253="",_xlfn.REGEXEXTRACT(CELL("address",'Raw Data'!I253),"\$([A-Z]+)\$[0-9]+"),"")</f>
        <v>$I$253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str" cm="1">
        <f t="array" aca="1" ref="G254" ca="1">IF('Raw Data'!G254="",_xlfn.REGEXEXTRACT(CELL("address",'Raw Data'!G254),"\$([A-Z]+)\$[0-9]+"),"")</f>
        <v>$G$254</v>
      </c>
      <c r="H254" t="str" cm="1">
        <f t="array" aca="1" ref="H254" ca="1">IF('Raw Data'!H254="",_xlfn.REGEXEXTRACT(CELL("address",'Raw Data'!H254),"\$([A-Z]+)\$[0-9]+"),"")</f>
        <v>$H$254</v>
      </c>
      <c r="I254" t="str" cm="1">
        <f t="array" aca="1" ref="I254" ca="1">IF('Raw Data'!I254="",_xlfn.REGEXEXTRACT(CELL("address",'Raw Data'!I254),"\$([A-Z]+)\$[0-9]+"),"")</f>
        <v>$I$254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str" cm="1">
        <f t="array" aca="1" ref="G255" ca="1">IF('Raw Data'!G255="",_xlfn.REGEXEXTRACT(CELL("address",'Raw Data'!G255),"\$([A-Z]+)\$[0-9]+"),"")</f>
        <v>$G$255</v>
      </c>
      <c r="H255" t="str" cm="1">
        <f t="array" aca="1" ref="H255" ca="1">IF('Raw Data'!H255="",_xlfn.REGEXEXTRACT(CELL("address",'Raw Data'!H255),"\$([A-Z]+)\$[0-9]+"),"")</f>
        <v>$H$255</v>
      </c>
      <c r="I255" t="str" cm="1">
        <f t="array" aca="1" ref="I255" ca="1">IF('Raw Data'!I255="",_xlfn.REGEXEXTRACT(CELL("address",'Raw Data'!I255),"\$([A-Z]+)\$[0-9]+"),"")</f>
        <v>$I$255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str" cm="1">
        <f t="array" aca="1" ref="G256" ca="1">IF('Raw Data'!G256="",_xlfn.REGEXEXTRACT(CELL("address",'Raw Data'!G256),"\$([A-Z]+)\$[0-9]+"),"")</f>
        <v>$G$256</v>
      </c>
      <c r="H256" t="str" cm="1">
        <f t="array" aca="1" ref="H256" ca="1">IF('Raw Data'!H256="",_xlfn.REGEXEXTRACT(CELL("address",'Raw Data'!H256),"\$([A-Z]+)\$[0-9]+"),"")</f>
        <v>$H$256</v>
      </c>
      <c r="I256" t="str" cm="1">
        <f t="array" aca="1" ref="I256" ca="1">IF('Raw Data'!I256="",_xlfn.REGEXEXTRACT(CELL("address",'Raw Data'!I256),"\$([A-Z]+)\$[0-9]+"),"")</f>
        <v>$I$256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str" cm="1">
        <f t="array" aca="1" ref="G257" ca="1">IF('Raw Data'!G257="",_xlfn.REGEXEXTRACT(CELL("address",'Raw Data'!G257),"\$([A-Z]+)\$[0-9]+"),"")</f>
        <v>$G$257</v>
      </c>
      <c r="H257" t="str" cm="1">
        <f t="array" aca="1" ref="H257" ca="1">IF('Raw Data'!H257="",_xlfn.REGEXEXTRACT(CELL("address",'Raw Data'!H257),"\$([A-Z]+)\$[0-9]+"),"")</f>
        <v>$H$257</v>
      </c>
      <c r="I257" t="str" cm="1">
        <f t="array" aca="1" ref="I257" ca="1">IF('Raw Data'!I257="",_xlfn.REGEXEXTRACT(CELL("address",'Raw Data'!I257),"\$([A-Z]+)\$[0-9]+"),"")</f>
        <v>$I$257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str" cm="1">
        <f t="array" aca="1" ref="G258" ca="1">IF('Raw Data'!G258="",_xlfn.REGEXEXTRACT(CELL("address",'Raw Data'!G258),"\$([A-Z]+)\$[0-9]+"),"")</f>
        <v>$G$258</v>
      </c>
      <c r="H258" t="str" cm="1">
        <f t="array" aca="1" ref="H258" ca="1">IF('Raw Data'!H258="",_xlfn.REGEXEXTRACT(CELL("address",'Raw Data'!H258),"\$([A-Z]+)\$[0-9]+"),"")</f>
        <v>$H$258</v>
      </c>
      <c r="I258" t="str" cm="1">
        <f t="array" aca="1" ref="I258" ca="1">IF('Raw Data'!I258="",_xlfn.REGEXEXTRACT(CELL("address",'Raw Data'!I258),"\$([A-Z]+)\$[0-9]+"),"")</f>
        <v>$I$258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str" cm="1">
        <f t="array" aca="1" ref="G259" ca="1">IF('Raw Data'!G259="",_xlfn.REGEXEXTRACT(CELL("address",'Raw Data'!G259),"\$([A-Z]+)\$[0-9]+"),"")</f>
        <v>$G$259</v>
      </c>
      <c r="H259" t="str" cm="1">
        <f t="array" aca="1" ref="H259" ca="1">IF('Raw Data'!H259="",_xlfn.REGEXEXTRACT(CELL("address",'Raw Data'!H259),"\$([A-Z]+)\$[0-9]+"),"")</f>
        <v>$H$259</v>
      </c>
      <c r="I259" t="str" cm="1">
        <f t="array" aca="1" ref="I259" ca="1">IF('Raw Data'!I259="",_xlfn.REGEXEXTRACT(CELL("address",'Raw Data'!I259),"\$([A-Z]+)\$[0-9]+"),"")</f>
        <v>$I$259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str" cm="1">
        <f t="array" aca="1" ref="G260" ca="1">IF('Raw Data'!G260="",_xlfn.REGEXEXTRACT(CELL("address",'Raw Data'!G260),"\$([A-Z]+)\$[0-9]+"),"")</f>
        <v>$G$260</v>
      </c>
      <c r="H260" t="str" cm="1">
        <f t="array" aca="1" ref="H260" ca="1">IF('Raw Data'!H260="",_xlfn.REGEXEXTRACT(CELL("address",'Raw Data'!H260),"\$([A-Z]+)\$[0-9]+"),"")</f>
        <v>$H$260</v>
      </c>
      <c r="I260" t="str" cm="1">
        <f t="array" aca="1" ref="I260" ca="1">IF('Raw Data'!I260="",_xlfn.REGEXEXTRACT(CELL("address",'Raw Data'!I260),"\$([A-Z]+)\$[0-9]+"),"")</f>
        <v>$I$260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str" cm="1">
        <f t="array" aca="1" ref="G261" ca="1">IF('Raw Data'!G261="",_xlfn.REGEXEXTRACT(CELL("address",'Raw Data'!G261),"\$([A-Z]+)\$[0-9]+"),"")</f>
        <v>$G$261</v>
      </c>
      <c r="H261" t="str" cm="1">
        <f t="array" aca="1" ref="H261" ca="1">IF('Raw Data'!H261="",_xlfn.REGEXEXTRACT(CELL("address",'Raw Data'!H261),"\$([A-Z]+)\$[0-9]+"),"")</f>
        <v>$H$261</v>
      </c>
      <c r="I261" t="str" cm="1">
        <f t="array" aca="1" ref="I261" ca="1">IF('Raw Data'!I261="",_xlfn.REGEXEXTRACT(CELL("address",'Raw Data'!I261),"\$([A-Z]+)\$[0-9]+"),"")</f>
        <v>$I$261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str" cm="1">
        <f t="array" aca="1" ref="G262" ca="1">IF('Raw Data'!G262="",_xlfn.REGEXEXTRACT(CELL("address",'Raw Data'!G262),"\$([A-Z]+)\$[0-9]+"),"")</f>
        <v>$G$262</v>
      </c>
      <c r="H262" t="str" cm="1">
        <f t="array" aca="1" ref="H262" ca="1">IF('Raw Data'!H262="",_xlfn.REGEXEXTRACT(CELL("address",'Raw Data'!H262),"\$([A-Z]+)\$[0-9]+"),"")</f>
        <v>$H$262</v>
      </c>
      <c r="I262" t="str" cm="1">
        <f t="array" aca="1" ref="I262" ca="1">IF('Raw Data'!I262="",_xlfn.REGEXEXTRACT(CELL("address",'Raw Data'!I262),"\$([A-Z]+)\$[0-9]+"),"")</f>
        <v>$I$262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str" cm="1">
        <f t="array" aca="1" ref="G263" ca="1">IF('Raw Data'!G263="",_xlfn.REGEXEXTRACT(CELL("address",'Raw Data'!G263),"\$([A-Z]+)\$[0-9]+"),"")</f>
        <v>$G$263</v>
      </c>
      <c r="H263" t="str" cm="1">
        <f t="array" aca="1" ref="H263" ca="1">IF('Raw Data'!H263="",_xlfn.REGEXEXTRACT(CELL("address",'Raw Data'!H263),"\$([A-Z]+)\$[0-9]+"),"")</f>
        <v>$H$263</v>
      </c>
      <c r="I263" t="str" cm="1">
        <f t="array" aca="1" ref="I263" ca="1">IF('Raw Data'!I263="",_xlfn.REGEXEXTRACT(CELL("address",'Raw Data'!I263),"\$([A-Z]+)\$[0-9]+"),"")</f>
        <v>$I$263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str" cm="1">
        <f t="array" aca="1" ref="G264" ca="1">IF('Raw Data'!G264="",_xlfn.REGEXEXTRACT(CELL("address",'Raw Data'!G264),"\$([A-Z]+)\$[0-9]+"),"")</f>
        <v>$G$264</v>
      </c>
      <c r="H264" t="str" cm="1">
        <f t="array" aca="1" ref="H264" ca="1">IF('Raw Data'!H264="",_xlfn.REGEXEXTRACT(CELL("address",'Raw Data'!H264),"\$([A-Z]+)\$[0-9]+"),"")</f>
        <v>$H$264</v>
      </c>
      <c r="I264" t="str" cm="1">
        <f t="array" aca="1" ref="I264" ca="1">IF('Raw Data'!I264="",_xlfn.REGEXEXTRACT(CELL("address",'Raw Data'!I264),"\$([A-Z]+)\$[0-9]+"),"")</f>
        <v>$I$264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str" cm="1">
        <f t="array" aca="1" ref="G265" ca="1">IF('Raw Data'!G265="",_xlfn.REGEXEXTRACT(CELL("address",'Raw Data'!G265),"\$([A-Z]+)\$[0-9]+"),"")</f>
        <v>$G$265</v>
      </c>
      <c r="H265" t="str" cm="1">
        <f t="array" aca="1" ref="H265" ca="1">IF('Raw Data'!H265="",_xlfn.REGEXEXTRACT(CELL("address",'Raw Data'!H265),"\$([A-Z]+)\$[0-9]+"),"")</f>
        <v>$H$265</v>
      </c>
      <c r="I265" t="str" cm="1">
        <f t="array" aca="1" ref="I265" ca="1">IF('Raw Data'!I265="",_xlfn.REGEXEXTRACT(CELL("address",'Raw Data'!I265),"\$([A-Z]+)\$[0-9]+"),"")</f>
        <v>$I$265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str" cm="1">
        <f t="array" aca="1" ref="G266" ca="1">IF('Raw Data'!G266="",_xlfn.REGEXEXTRACT(CELL("address",'Raw Data'!G266),"\$([A-Z]+)\$[0-9]+"),"")</f>
        <v>$G$266</v>
      </c>
      <c r="H266" t="str" cm="1">
        <f t="array" aca="1" ref="H266" ca="1">IF('Raw Data'!H266="",_xlfn.REGEXEXTRACT(CELL("address",'Raw Data'!H266),"\$([A-Z]+)\$[0-9]+"),"")</f>
        <v>$H$266</v>
      </c>
      <c r="I266" t="str" cm="1">
        <f t="array" aca="1" ref="I266" ca="1">IF('Raw Data'!I266="",_xlfn.REGEXEXTRACT(CELL("address",'Raw Data'!I266),"\$([A-Z]+)\$[0-9]+"),"")</f>
        <v>$I$266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str" cm="1">
        <f t="array" aca="1" ref="G267" ca="1">IF('Raw Data'!G267="",_xlfn.REGEXEXTRACT(CELL("address",'Raw Data'!G267),"\$([A-Z]+)\$[0-9]+"),"")</f>
        <v>$G$267</v>
      </c>
      <c r="H267" t="str" cm="1">
        <f t="array" aca="1" ref="H267" ca="1">IF('Raw Data'!H267="",_xlfn.REGEXEXTRACT(CELL("address",'Raw Data'!H267),"\$([A-Z]+)\$[0-9]+"),"")</f>
        <v>$H$267</v>
      </c>
      <c r="I267" t="str" cm="1">
        <f t="array" aca="1" ref="I267" ca="1">IF('Raw Data'!I267="",_xlfn.REGEXEXTRACT(CELL("address",'Raw Data'!I267),"\$([A-Z]+)\$[0-9]+"),"")</f>
        <v>$I$267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str" cm="1">
        <f t="array" aca="1" ref="G268" ca="1">IF('Raw Data'!G268="",_xlfn.REGEXEXTRACT(CELL("address",'Raw Data'!G268),"\$([A-Z]+)\$[0-9]+"),"")</f>
        <v>$G$268</v>
      </c>
      <c r="H268" t="str" cm="1">
        <f t="array" aca="1" ref="H268" ca="1">IF('Raw Data'!H268="",_xlfn.REGEXEXTRACT(CELL("address",'Raw Data'!H268),"\$([A-Z]+)\$[0-9]+"),"")</f>
        <v>$H$268</v>
      </c>
      <c r="I268" t="str" cm="1">
        <f t="array" aca="1" ref="I268" ca="1">IF('Raw Data'!I268="",_xlfn.REGEXEXTRACT(CELL("address",'Raw Data'!I268),"\$([A-Z]+)\$[0-9]+"),"")</f>
        <v>$I$268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str" cm="1">
        <f t="array" aca="1" ref="G269" ca="1">IF('Raw Data'!G269="",_xlfn.REGEXEXTRACT(CELL("address",'Raw Data'!G269),"\$([A-Z]+)\$[0-9]+"),"")</f>
        <v>$G$269</v>
      </c>
      <c r="H269" t="str" cm="1">
        <f t="array" aca="1" ref="H269" ca="1">IF('Raw Data'!H269="",_xlfn.REGEXEXTRACT(CELL("address",'Raw Data'!H269),"\$([A-Z]+)\$[0-9]+"),"")</f>
        <v>$H$269</v>
      </c>
      <c r="I269" t="str" cm="1">
        <f t="array" aca="1" ref="I269" ca="1">IF('Raw Data'!I269="",_xlfn.REGEXEXTRACT(CELL("address",'Raw Data'!I269),"\$([A-Z]+)\$[0-9]+"),"")</f>
        <v>$I$269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str" cm="1">
        <f t="array" aca="1" ref="G270" ca="1">IF('Raw Data'!G270="",_xlfn.REGEXEXTRACT(CELL("address",'Raw Data'!G270),"\$([A-Z]+)\$[0-9]+"),"")</f>
        <v>$G$270</v>
      </c>
      <c r="H270" t="str" cm="1">
        <f t="array" aca="1" ref="H270" ca="1">IF('Raw Data'!H270="",_xlfn.REGEXEXTRACT(CELL("address",'Raw Data'!H270),"\$([A-Z]+)\$[0-9]+"),"")</f>
        <v>$H$270</v>
      </c>
      <c r="I270" t="str" cm="1">
        <f t="array" aca="1" ref="I270" ca="1">IF('Raw Data'!I270="",_xlfn.REGEXEXTRACT(CELL("address",'Raw Data'!I270),"\$([A-Z]+)\$[0-9]+"),"")</f>
        <v>$I$270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str" cm="1">
        <f t="array" aca="1" ref="G271" ca="1">IF('Raw Data'!G271="",_xlfn.REGEXEXTRACT(CELL("address",'Raw Data'!G271),"\$([A-Z]+)\$[0-9]+"),"")</f>
        <v>$G$271</v>
      </c>
      <c r="H271" t="str" cm="1">
        <f t="array" aca="1" ref="H271" ca="1">IF('Raw Data'!H271="",_xlfn.REGEXEXTRACT(CELL("address",'Raw Data'!H271),"\$([A-Z]+)\$[0-9]+"),"")</f>
        <v>$H$271</v>
      </c>
      <c r="I271" t="str" cm="1">
        <f t="array" aca="1" ref="I271" ca="1">IF('Raw Data'!I271="",_xlfn.REGEXEXTRACT(CELL("address",'Raw Data'!I271),"\$([A-Z]+)\$[0-9]+"),"")</f>
        <v>$I$271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str" cm="1">
        <f t="array" aca="1" ref="G272" ca="1">IF('Raw Data'!G272="",_xlfn.REGEXEXTRACT(CELL("address",'Raw Data'!G272),"\$([A-Z]+)\$[0-9]+"),"")</f>
        <v>$G$272</v>
      </c>
      <c r="H272" t="str" cm="1">
        <f t="array" aca="1" ref="H272" ca="1">IF('Raw Data'!H272="",_xlfn.REGEXEXTRACT(CELL("address",'Raw Data'!H272),"\$([A-Z]+)\$[0-9]+"),"")</f>
        <v>$H$272</v>
      </c>
      <c r="I272" t="str" cm="1">
        <f t="array" aca="1" ref="I272" ca="1">IF('Raw Data'!I272="",_xlfn.REGEXEXTRACT(CELL("address",'Raw Data'!I272),"\$([A-Z]+)\$[0-9]+"),"")</f>
        <v>$I$272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str" cm="1">
        <f t="array" aca="1" ref="G273" ca="1">IF('Raw Data'!G273="",_xlfn.REGEXEXTRACT(CELL("address",'Raw Data'!G273),"\$([A-Z]+)\$[0-9]+"),"")</f>
        <v>$G$273</v>
      </c>
      <c r="H273" t="str" cm="1">
        <f t="array" aca="1" ref="H273" ca="1">IF('Raw Data'!H273="",_xlfn.REGEXEXTRACT(CELL("address",'Raw Data'!H273),"\$([A-Z]+)\$[0-9]+"),"")</f>
        <v>$H$273</v>
      </c>
      <c r="I273" t="str" cm="1">
        <f t="array" aca="1" ref="I273" ca="1">IF('Raw Data'!I273="",_xlfn.REGEXEXTRACT(CELL("address",'Raw Data'!I273),"\$([A-Z]+)\$[0-9]+"),"")</f>
        <v>$I$273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str" cm="1">
        <f t="array" aca="1" ref="G274" ca="1">IF('Raw Data'!G274="",_xlfn.REGEXEXTRACT(CELL("address",'Raw Data'!G274),"\$([A-Z]+)\$[0-9]+"),"")</f>
        <v>$G$274</v>
      </c>
      <c r="H274" t="str" cm="1">
        <f t="array" aca="1" ref="H274" ca="1">IF('Raw Data'!H274="",_xlfn.REGEXEXTRACT(CELL("address",'Raw Data'!H274),"\$([A-Z]+)\$[0-9]+"),"")</f>
        <v>$H$274</v>
      </c>
      <c r="I274" t="str" cm="1">
        <f t="array" aca="1" ref="I274" ca="1">IF('Raw Data'!I274="",_xlfn.REGEXEXTRACT(CELL("address",'Raw Data'!I274),"\$([A-Z]+)\$[0-9]+"),"")</f>
        <v>$I$274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str" cm="1">
        <f t="array" aca="1" ref="G275" ca="1">IF('Raw Data'!G275="",_xlfn.REGEXEXTRACT(CELL("address",'Raw Data'!G275),"\$([A-Z]+)\$[0-9]+"),"")</f>
        <v>$G$275</v>
      </c>
      <c r="H275" t="str" cm="1">
        <f t="array" aca="1" ref="H275" ca="1">IF('Raw Data'!H275="",_xlfn.REGEXEXTRACT(CELL("address",'Raw Data'!H275),"\$([A-Z]+)\$[0-9]+"),"")</f>
        <v>$H$275</v>
      </c>
      <c r="I275" t="str" cm="1">
        <f t="array" aca="1" ref="I275" ca="1">IF('Raw Data'!I275="",_xlfn.REGEXEXTRACT(CELL("address",'Raw Data'!I275),"\$([A-Z]+)\$[0-9]+"),"")</f>
        <v>$I$275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str" cm="1">
        <f t="array" aca="1" ref="G276" ca="1">IF('Raw Data'!G276="",_xlfn.REGEXEXTRACT(CELL("address",'Raw Data'!G276),"\$([A-Z]+)\$[0-9]+"),"")</f>
        <v>$G$276</v>
      </c>
      <c r="H276" t="str" cm="1">
        <f t="array" aca="1" ref="H276" ca="1">IF('Raw Data'!H276="",_xlfn.REGEXEXTRACT(CELL("address",'Raw Data'!H276),"\$([A-Z]+)\$[0-9]+"),"")</f>
        <v>$H$276</v>
      </c>
      <c r="I276" t="str" cm="1">
        <f t="array" aca="1" ref="I276" ca="1">IF('Raw Data'!I276="",_xlfn.REGEXEXTRACT(CELL("address",'Raw Data'!I276),"\$([A-Z]+)\$[0-9]+"),"")</f>
        <v>$I$276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str" cm="1">
        <f t="array" aca="1" ref="G277" ca="1">IF('Raw Data'!G277="",_xlfn.REGEXEXTRACT(CELL("address",'Raw Data'!G277),"\$([A-Z]+)\$[0-9]+"),"")</f>
        <v>$G$277</v>
      </c>
      <c r="H277" t="str" cm="1">
        <f t="array" aca="1" ref="H277" ca="1">IF('Raw Data'!H277="",_xlfn.REGEXEXTRACT(CELL("address",'Raw Data'!H277),"\$([A-Z]+)\$[0-9]+"),"")</f>
        <v>$H$277</v>
      </c>
      <c r="I277" t="str" cm="1">
        <f t="array" aca="1" ref="I277" ca="1">IF('Raw Data'!I277="",_xlfn.REGEXEXTRACT(CELL("address",'Raw Data'!I277),"\$([A-Z]+)\$[0-9]+"),"")</f>
        <v>$I$277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str" cm="1">
        <f t="array" aca="1" ref="G278" ca="1">IF('Raw Data'!G278="",_xlfn.REGEXEXTRACT(CELL("address",'Raw Data'!G278),"\$([A-Z]+)\$[0-9]+"),"")</f>
        <v>$G$278</v>
      </c>
      <c r="H278" t="str" cm="1">
        <f t="array" aca="1" ref="H278" ca="1">IF('Raw Data'!H278="",_xlfn.REGEXEXTRACT(CELL("address",'Raw Data'!H278),"\$([A-Z]+)\$[0-9]+"),"")</f>
        <v>$H$278</v>
      </c>
      <c r="I278" t="str" cm="1">
        <f t="array" aca="1" ref="I278" ca="1">IF('Raw Data'!I278="",_xlfn.REGEXEXTRACT(CELL("address",'Raw Data'!I278),"\$([A-Z]+)\$[0-9]+"),"")</f>
        <v>$I$278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str" cm="1">
        <f t="array" aca="1" ref="G279" ca="1">IF('Raw Data'!G279="",_xlfn.REGEXEXTRACT(CELL("address",'Raw Data'!G279),"\$([A-Z]+)\$[0-9]+"),"")</f>
        <v>$G$279</v>
      </c>
      <c r="H279" t="str" cm="1">
        <f t="array" aca="1" ref="H279" ca="1">IF('Raw Data'!H279="",_xlfn.REGEXEXTRACT(CELL("address",'Raw Data'!H279),"\$([A-Z]+)\$[0-9]+"),"")</f>
        <v>$H$279</v>
      </c>
      <c r="I279" t="str" cm="1">
        <f t="array" aca="1" ref="I279" ca="1">IF('Raw Data'!I279="",_xlfn.REGEXEXTRACT(CELL("address",'Raw Data'!I279),"\$([A-Z]+)\$[0-9]+"),"")</f>
        <v>$I$279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str" cm="1">
        <f t="array" aca="1" ref="G280" ca="1">IF('Raw Data'!G280="",_xlfn.REGEXEXTRACT(CELL("address",'Raw Data'!G280),"\$([A-Z]+)\$[0-9]+"),"")</f>
        <v>$G$280</v>
      </c>
      <c r="H280" t="str" cm="1">
        <f t="array" aca="1" ref="H280" ca="1">IF('Raw Data'!H280="",_xlfn.REGEXEXTRACT(CELL("address",'Raw Data'!H280),"\$([A-Z]+)\$[0-9]+"),"")</f>
        <v>$H$280</v>
      </c>
      <c r="I280" t="str" cm="1">
        <f t="array" aca="1" ref="I280" ca="1">IF('Raw Data'!I280="",_xlfn.REGEXEXTRACT(CELL("address",'Raw Data'!I280),"\$([A-Z]+)\$[0-9]+"),"")</f>
        <v>$I$280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str" cm="1">
        <f t="array" aca="1" ref="G281" ca="1">IF('Raw Data'!G281="",_xlfn.REGEXEXTRACT(CELL("address",'Raw Data'!G281),"\$([A-Z]+)\$[0-9]+"),"")</f>
        <v>$G$281</v>
      </c>
      <c r="H281" t="str" cm="1">
        <f t="array" aca="1" ref="H281" ca="1">IF('Raw Data'!H281="",_xlfn.REGEXEXTRACT(CELL("address",'Raw Data'!H281),"\$([A-Z]+)\$[0-9]+"),"")</f>
        <v>$H$281</v>
      </c>
      <c r="I281" t="str" cm="1">
        <f t="array" aca="1" ref="I281" ca="1">IF('Raw Data'!I281="",_xlfn.REGEXEXTRACT(CELL("address",'Raw Data'!I281),"\$([A-Z]+)\$[0-9]+"),"")</f>
        <v>$I$281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str" cm="1">
        <f t="array" aca="1" ref="G282" ca="1">IF('Raw Data'!G282="",_xlfn.REGEXEXTRACT(CELL("address",'Raw Data'!G282),"\$([A-Z]+)\$[0-9]+"),"")</f>
        <v>$G$282</v>
      </c>
      <c r="H282" t="str" cm="1">
        <f t="array" aca="1" ref="H282" ca="1">IF('Raw Data'!H282="",_xlfn.REGEXEXTRACT(CELL("address",'Raw Data'!H282),"\$([A-Z]+)\$[0-9]+"),"")</f>
        <v>$H$282</v>
      </c>
      <c r="I282" t="str" cm="1">
        <f t="array" aca="1" ref="I282" ca="1">IF('Raw Data'!I282="",_xlfn.REGEXEXTRACT(CELL("address",'Raw Data'!I282),"\$([A-Z]+)\$[0-9]+"),"")</f>
        <v>$I$282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str" cm="1">
        <f t="array" aca="1" ref="G283" ca="1">IF('Raw Data'!G283="",_xlfn.REGEXEXTRACT(CELL("address",'Raw Data'!G283),"\$([A-Z]+)\$[0-9]+"),"")</f>
        <v>$G$283</v>
      </c>
      <c r="H283" t="str" cm="1">
        <f t="array" aca="1" ref="H283" ca="1">IF('Raw Data'!H283="",_xlfn.REGEXEXTRACT(CELL("address",'Raw Data'!H283),"\$([A-Z]+)\$[0-9]+"),"")</f>
        <v>$H$283</v>
      </c>
      <c r="I283" t="str" cm="1">
        <f t="array" aca="1" ref="I283" ca="1">IF('Raw Data'!I283="",_xlfn.REGEXEXTRACT(CELL("address",'Raw Data'!I283),"\$([A-Z]+)\$[0-9]+"),"")</f>
        <v>$I$283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str" cm="1">
        <f t="array" aca="1" ref="G284" ca="1">IF('Raw Data'!G284="",_xlfn.REGEXEXTRACT(CELL("address",'Raw Data'!G284),"\$([A-Z]+)\$[0-9]+"),"")</f>
        <v>$G$284</v>
      </c>
      <c r="H284" t="str" cm="1">
        <f t="array" aca="1" ref="H284" ca="1">IF('Raw Data'!H284="",_xlfn.REGEXEXTRACT(CELL("address",'Raw Data'!H284),"\$([A-Z]+)\$[0-9]+"),"")</f>
        <v>$H$284</v>
      </c>
      <c r="I284" t="str" cm="1">
        <f t="array" aca="1" ref="I284" ca="1">IF('Raw Data'!I284="",_xlfn.REGEXEXTRACT(CELL("address",'Raw Data'!I284),"\$([A-Z]+)\$[0-9]+"),"")</f>
        <v>$I$284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str" cm="1">
        <f t="array" aca="1" ref="G285" ca="1">IF('Raw Data'!G285="",_xlfn.REGEXEXTRACT(CELL("address",'Raw Data'!G285),"\$([A-Z]+)\$[0-9]+"),"")</f>
        <v>$G$285</v>
      </c>
      <c r="H285" t="str" cm="1">
        <f t="array" aca="1" ref="H285" ca="1">IF('Raw Data'!H285="",_xlfn.REGEXEXTRACT(CELL("address",'Raw Data'!H285),"\$([A-Z]+)\$[0-9]+"),"")</f>
        <v>$H$285</v>
      </c>
      <c r="I285" t="str" cm="1">
        <f t="array" aca="1" ref="I285" ca="1">IF('Raw Data'!I285="",_xlfn.REGEXEXTRACT(CELL("address",'Raw Data'!I285),"\$([A-Z]+)\$[0-9]+"),"")</f>
        <v>$I$285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str" cm="1">
        <f t="array" aca="1" ref="G286" ca="1">IF('Raw Data'!G286="",_xlfn.REGEXEXTRACT(CELL("address",'Raw Data'!G286),"\$([A-Z]+)\$[0-9]+"),"")</f>
        <v>$G$286</v>
      </c>
      <c r="H286" t="str" cm="1">
        <f t="array" aca="1" ref="H286" ca="1">IF('Raw Data'!H286="",_xlfn.REGEXEXTRACT(CELL("address",'Raw Data'!H286),"\$([A-Z]+)\$[0-9]+"),"")</f>
        <v>$H$286</v>
      </c>
      <c r="I286" t="str" cm="1">
        <f t="array" aca="1" ref="I286" ca="1">IF('Raw Data'!I286="",_xlfn.REGEXEXTRACT(CELL("address",'Raw Data'!I286),"\$([A-Z]+)\$[0-9]+"),"")</f>
        <v>$I$286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str" cm="1">
        <f t="array" aca="1" ref="G287" ca="1">IF('Raw Data'!G287="",_xlfn.REGEXEXTRACT(CELL("address",'Raw Data'!G287),"\$([A-Z]+)\$[0-9]+"),"")</f>
        <v>$G$287</v>
      </c>
      <c r="H287" t="str" cm="1">
        <f t="array" aca="1" ref="H287" ca="1">IF('Raw Data'!H287="",_xlfn.REGEXEXTRACT(CELL("address",'Raw Data'!H287),"\$([A-Z]+)\$[0-9]+"),"")</f>
        <v>$H$287</v>
      </c>
      <c r="I287" t="str" cm="1">
        <f t="array" aca="1" ref="I287" ca="1">IF('Raw Data'!I287="",_xlfn.REGEXEXTRACT(CELL("address",'Raw Data'!I287),"\$([A-Z]+)\$[0-9]+"),"")</f>
        <v>$I$287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str" cm="1">
        <f t="array" aca="1" ref="G288" ca="1">IF('Raw Data'!G288="",_xlfn.REGEXEXTRACT(CELL("address",'Raw Data'!G288),"\$([A-Z]+)\$[0-9]+"),"")</f>
        <v>$G$288</v>
      </c>
      <c r="H288" t="str" cm="1">
        <f t="array" aca="1" ref="H288" ca="1">IF('Raw Data'!H288="",_xlfn.REGEXEXTRACT(CELL("address",'Raw Data'!H288),"\$([A-Z]+)\$[0-9]+"),"")</f>
        <v>$H$288</v>
      </c>
      <c r="I288" t="str" cm="1">
        <f t="array" aca="1" ref="I288" ca="1">IF('Raw Data'!I288="",_xlfn.REGEXEXTRACT(CELL("address",'Raw Data'!I288),"\$([A-Z]+)\$[0-9]+"),"")</f>
        <v>$I$288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str" cm="1">
        <f t="array" aca="1" ref="G289" ca="1">IF('Raw Data'!G289="",_xlfn.REGEXEXTRACT(CELL("address",'Raw Data'!G289),"\$([A-Z]+)\$[0-9]+"),"")</f>
        <v>$G$289</v>
      </c>
      <c r="H289" t="str" cm="1">
        <f t="array" aca="1" ref="H289" ca="1">IF('Raw Data'!H289="",_xlfn.REGEXEXTRACT(CELL("address",'Raw Data'!H289),"\$([A-Z]+)\$[0-9]+"),"")</f>
        <v>$H$289</v>
      </c>
      <c r="I289" t="str" cm="1">
        <f t="array" aca="1" ref="I289" ca="1">IF('Raw Data'!I289="",_xlfn.REGEXEXTRACT(CELL("address",'Raw Data'!I289),"\$([A-Z]+)\$[0-9]+"),"")</f>
        <v>$I$289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str" cm="1">
        <f t="array" aca="1" ref="G290" ca="1">IF('Raw Data'!G290="",_xlfn.REGEXEXTRACT(CELL("address",'Raw Data'!G290),"\$([A-Z]+)\$[0-9]+"),"")</f>
        <v>$G$290</v>
      </c>
      <c r="H290" t="str" cm="1">
        <f t="array" aca="1" ref="H290" ca="1">IF('Raw Data'!H290="",_xlfn.REGEXEXTRACT(CELL("address",'Raw Data'!H290),"\$([A-Z]+)\$[0-9]+"),"")</f>
        <v>$H$290</v>
      </c>
      <c r="I290" t="str" cm="1">
        <f t="array" aca="1" ref="I290" ca="1">IF('Raw Data'!I290="",_xlfn.REGEXEXTRACT(CELL("address",'Raw Data'!I290),"\$([A-Z]+)\$[0-9]+"),"")</f>
        <v>$I$290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str" cm="1">
        <f t="array" aca="1" ref="G291" ca="1">IF('Raw Data'!G291="",_xlfn.REGEXEXTRACT(CELL("address",'Raw Data'!G291),"\$([A-Z]+)\$[0-9]+"),"")</f>
        <v>$G$291</v>
      </c>
      <c r="H291" t="str" cm="1">
        <f t="array" aca="1" ref="H291" ca="1">IF('Raw Data'!H291="",_xlfn.REGEXEXTRACT(CELL("address",'Raw Data'!H291),"\$([A-Z]+)\$[0-9]+"),"")</f>
        <v>$H$291</v>
      </c>
      <c r="I291" t="str" cm="1">
        <f t="array" aca="1" ref="I291" ca="1">IF('Raw Data'!I291="",_xlfn.REGEXEXTRACT(CELL("address",'Raw Data'!I291),"\$([A-Z]+)\$[0-9]+"),"")</f>
        <v>$I$291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str" cm="1">
        <f t="array" aca="1" ref="G292" ca="1">IF('Raw Data'!G292="",_xlfn.REGEXEXTRACT(CELL("address",'Raw Data'!G292),"\$([A-Z]+)\$[0-9]+"),"")</f>
        <v>$G$292</v>
      </c>
      <c r="H292" t="str" cm="1">
        <f t="array" aca="1" ref="H292" ca="1">IF('Raw Data'!H292="",_xlfn.REGEXEXTRACT(CELL("address",'Raw Data'!H292),"\$([A-Z]+)\$[0-9]+"),"")</f>
        <v>$H$292</v>
      </c>
      <c r="I292" t="str" cm="1">
        <f t="array" aca="1" ref="I292" ca="1">IF('Raw Data'!I292="",_xlfn.REGEXEXTRACT(CELL("address",'Raw Data'!I292),"\$([A-Z]+)\$[0-9]+"),"")</f>
        <v>$I$292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str" cm="1">
        <f t="array" aca="1" ref="G293" ca="1">IF('Raw Data'!G293="",_xlfn.REGEXEXTRACT(CELL("address",'Raw Data'!G293),"\$([A-Z]+)\$[0-9]+"),"")</f>
        <v>$G$293</v>
      </c>
      <c r="H293" t="str" cm="1">
        <f t="array" aca="1" ref="H293" ca="1">IF('Raw Data'!H293="",_xlfn.REGEXEXTRACT(CELL("address",'Raw Data'!H293),"\$([A-Z]+)\$[0-9]+"),"")</f>
        <v>$H$293</v>
      </c>
      <c r="I293" t="str" cm="1">
        <f t="array" aca="1" ref="I293" ca="1">IF('Raw Data'!I293="",_xlfn.REGEXEXTRACT(CELL("address",'Raw Data'!I293),"\$([A-Z]+)\$[0-9]+"),"")</f>
        <v>$I$293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str" cm="1">
        <f t="array" aca="1" ref="G294" ca="1">IF('Raw Data'!G294="",_xlfn.REGEXEXTRACT(CELL("address",'Raw Data'!G294),"\$([A-Z]+)\$[0-9]+"),"")</f>
        <v>$G$294</v>
      </c>
      <c r="H294" t="str" cm="1">
        <f t="array" aca="1" ref="H294" ca="1">IF('Raw Data'!H294="",_xlfn.REGEXEXTRACT(CELL("address",'Raw Data'!H294),"\$([A-Z]+)\$[0-9]+"),"")</f>
        <v>$H$294</v>
      </c>
      <c r="I294" t="str" cm="1">
        <f t="array" aca="1" ref="I294" ca="1">IF('Raw Data'!I294="",_xlfn.REGEXEXTRACT(CELL("address",'Raw Data'!I294),"\$([A-Z]+)\$[0-9]+"),"")</f>
        <v>$I$294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str" cm="1">
        <f t="array" aca="1" ref="G295" ca="1">IF('Raw Data'!G295="",_xlfn.REGEXEXTRACT(CELL("address",'Raw Data'!G295),"\$([A-Z]+)\$[0-9]+"),"")</f>
        <v>$G$295</v>
      </c>
      <c r="H295" t="str" cm="1">
        <f t="array" aca="1" ref="H295" ca="1">IF('Raw Data'!H295="",_xlfn.REGEXEXTRACT(CELL("address",'Raw Data'!H295),"\$([A-Z]+)\$[0-9]+"),"")</f>
        <v>$H$295</v>
      </c>
      <c r="I295" t="str" cm="1">
        <f t="array" aca="1" ref="I295" ca="1">IF('Raw Data'!I295="",_xlfn.REGEXEXTRACT(CELL("address",'Raw Data'!I295),"\$([A-Z]+)\$[0-9]+"),"")</f>
        <v>$I$295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str" cm="1">
        <f t="array" aca="1" ref="G296" ca="1">IF('Raw Data'!G296="",_xlfn.REGEXEXTRACT(CELL("address",'Raw Data'!G296),"\$([A-Z]+)\$[0-9]+"),"")</f>
        <v>$G$296</v>
      </c>
      <c r="H296" t="str" cm="1">
        <f t="array" aca="1" ref="H296" ca="1">IF('Raw Data'!H296="",_xlfn.REGEXEXTRACT(CELL("address",'Raw Data'!H296),"\$([A-Z]+)\$[0-9]+"),"")</f>
        <v>$H$296</v>
      </c>
      <c r="I296" t="str" cm="1">
        <f t="array" aca="1" ref="I296" ca="1">IF('Raw Data'!I296="",_xlfn.REGEXEXTRACT(CELL("address",'Raw Data'!I296),"\$([A-Z]+)\$[0-9]+"),"")</f>
        <v>$I$296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str" cm="1">
        <f t="array" aca="1" ref="G297" ca="1">IF('Raw Data'!G297="",_xlfn.REGEXEXTRACT(CELL("address",'Raw Data'!G297),"\$([A-Z]+)\$[0-9]+"),"")</f>
        <v>$G$297</v>
      </c>
      <c r="H297" t="str" cm="1">
        <f t="array" aca="1" ref="H297" ca="1">IF('Raw Data'!H297="",_xlfn.REGEXEXTRACT(CELL("address",'Raw Data'!H297),"\$([A-Z]+)\$[0-9]+"),"")</f>
        <v>$H$297</v>
      </c>
      <c r="I297" t="str" cm="1">
        <f t="array" aca="1" ref="I297" ca="1">IF('Raw Data'!I297="",_xlfn.REGEXEXTRACT(CELL("address",'Raw Data'!I297),"\$([A-Z]+)\$[0-9]+"),"")</f>
        <v>$I$297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str" cm="1">
        <f t="array" aca="1" ref="G298" ca="1">IF('Raw Data'!G298="",_xlfn.REGEXEXTRACT(CELL("address",'Raw Data'!G298),"\$([A-Z]+)\$[0-9]+"),"")</f>
        <v>$G$298</v>
      </c>
      <c r="H298" t="str" cm="1">
        <f t="array" aca="1" ref="H298" ca="1">IF('Raw Data'!H298="",_xlfn.REGEXEXTRACT(CELL("address",'Raw Data'!H298),"\$([A-Z]+)\$[0-9]+"),"")</f>
        <v>$H$298</v>
      </c>
      <c r="I298" t="str" cm="1">
        <f t="array" aca="1" ref="I298" ca="1">IF('Raw Data'!I298="",_xlfn.REGEXEXTRACT(CELL("address",'Raw Data'!I298),"\$([A-Z]+)\$[0-9]+"),"")</f>
        <v>$I$298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str" cm="1">
        <f t="array" aca="1" ref="G299" ca="1">IF('Raw Data'!G299="",_xlfn.REGEXEXTRACT(CELL("address",'Raw Data'!G299),"\$([A-Z]+)\$[0-9]+"),"")</f>
        <v>$G$299</v>
      </c>
      <c r="H299" t="str" cm="1">
        <f t="array" aca="1" ref="H299" ca="1">IF('Raw Data'!H299="",_xlfn.REGEXEXTRACT(CELL("address",'Raw Data'!H299),"\$([A-Z]+)\$[0-9]+"),"")</f>
        <v>$H$299</v>
      </c>
      <c r="I299" t="str" cm="1">
        <f t="array" aca="1" ref="I299" ca="1">IF('Raw Data'!I299="",_xlfn.REGEXEXTRACT(CELL("address",'Raw Data'!I299),"\$([A-Z]+)\$[0-9]+"),"")</f>
        <v>$I$299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str" cm="1">
        <f t="array" aca="1" ref="G300" ca="1">IF('Raw Data'!G300="",_xlfn.REGEXEXTRACT(CELL("address",'Raw Data'!G300),"\$([A-Z]+)\$[0-9]+"),"")</f>
        <v>$G$300</v>
      </c>
      <c r="H300" t="str" cm="1">
        <f t="array" aca="1" ref="H300" ca="1">IF('Raw Data'!H300="",_xlfn.REGEXEXTRACT(CELL("address",'Raw Data'!H300),"\$([A-Z]+)\$[0-9]+"),"")</f>
        <v>$H$300</v>
      </c>
      <c r="I300" t="str" cm="1">
        <f t="array" aca="1" ref="I300" ca="1">IF('Raw Data'!I300="",_xlfn.REGEXEXTRACT(CELL("address",'Raw Data'!I300),"\$([A-Z]+)\$[0-9]+"),"")</f>
        <v>$I$300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9d1afac5-b60d-4e4d-a4ac-b7fd40ee06f7"/>
    <ds:schemaRef ds:uri="70b27058-927e-4d8f-928f-bc642ff32b6a"/>
    <ds:schemaRef ds:uri="http://www.w3.org/XML/1998/namespace"/>
    <ds:schemaRef ds:uri="http://schemas.microsoft.com/office/2006/metadata/properties"/>
    <ds:schemaRef ds:uri="http://purl.org/dc/dcmitype/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DA064E7C-63ED-4ED7-907B-DF1FA3092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Validate_Empty</vt:lpstr>
      <vt:lpstr>Validate_Value</vt:lpstr>
      <vt:lpstr>Validate_Condition</vt:lpstr>
      <vt:lpstr>Sheet1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